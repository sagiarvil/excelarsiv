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4.xml" ContentType="application/vnd.openxmlformats-officedocument.spreadsheetml.comments+xml"/>
  <Override PartName="/xl/worksheets/sheet12.xml" ContentType="application/vnd.openxmlformats-officedocument.spreadsheetml.worksheet+xml"/>
  <Override PartName="/xl/comments/comment5.xml" ContentType="application/vnd.openxmlformats-officedocument.spreadsheetml.comments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PAK" sheetId="1" state="visible" r:id="rId1"/>
    <sheet xmlns:r="http://schemas.openxmlformats.org/officeDocument/2006/relationships" name="VARLIKLAR" sheetId="2" state="visible" r:id="rId2"/>
    <sheet xmlns:r="http://schemas.openxmlformats.org/officeDocument/2006/relationships" name="GUNLUK_GIRIS" sheetId="3" state="visible" r:id="rId3"/>
    <sheet xmlns:r="http://schemas.openxmlformats.org/officeDocument/2006/relationships" name="DONEM_ANALIZ" sheetId="4" state="visible" r:id="rId4"/>
    <sheet xmlns:r="http://schemas.openxmlformats.org/officeDocument/2006/relationships" name="HESAP" sheetId="5" state="visible" r:id="rId5"/>
    <sheet xmlns:r="http://schemas.openxmlformats.org/officeDocument/2006/relationships" name="PANO" sheetId="6" state="visible" r:id="rId6"/>
    <sheet xmlns:r="http://schemas.openxmlformats.org/officeDocument/2006/relationships" name="ALARMLAR" sheetId="7" state="visible" r:id="rId7"/>
    <sheet xmlns:r="http://schemas.openxmlformats.org/officeDocument/2006/relationships" name="RAPOR" sheetId="8" state="visible" r:id="rId8"/>
    <sheet xmlns:r="http://schemas.openxmlformats.org/officeDocument/2006/relationships" name="KONTROLLER" sheetId="9" state="visible" r:id="rId9"/>
    <sheet xmlns:r="http://schemas.openxmlformats.org/officeDocument/2006/relationships" name="ORNEK_VERI" sheetId="10" state="visible" r:id="rId10"/>
    <sheet xmlns:r="http://schemas.openxmlformats.org/officeDocument/2006/relationships" name="LISTELER" sheetId="11" state="visible" r:id="rId11"/>
    <sheet xmlns:r="http://schemas.openxmlformats.org/officeDocument/2006/relationships" name="AYARLAR" sheetId="12" state="visible" r:id="rId12"/>
    <sheet xmlns:r="http://schemas.openxmlformats.org/officeDocument/2006/relationships" name="KILAVUZ" sheetId="13" state="visible" r:id="rId13"/>
  </sheets>
  <definedNames>
    <definedName name="raporTarihi">AYARLAR!$B$6</definedName>
    <definedName name="odk_varsayilanCevrim">AYARLAR!$B$7</definedName>
    <definedName name="odk_esikOee">AYARLAR!$B$8</definedName>
    <definedName name="odk_esikDurusDk">AYARLAR!$B$9</definedName>
    <definedName name="odk_esikSaglik">AYARLAR!$B$10</definedName>
    <definedName name="odk_aylikCarpan">AYARLAR!$B$11</definedName>
    <definedName name="odk_senaryoTemkinli">AYARLAR!$B$12</definedName>
    <definedName name="odk_senaryoBaz">AYARLAR!$B$13</definedName>
    <definedName name="odk_senaryoIyimser">AYARLAR!$B$14</definedName>
    <definedName name="odk_tornadoOran">AYARLAR!$B$15</definedName>
    <definedName name="odk_yuzdelikOran">AYARLAR!$B$16</definedName>
    <definedName name="odk_percentileOran">AYARLAR!$B$17</definedName>
    <definedName name="odk_tahminCarpan">AYARLAR!$B$18</definedName>
    <definedName name="odk_olcekHedef">AYARLAR!$B$19</definedName>
    <definedName name="odk_kaliteTaban">AYARLAR!$B$20</definedName>
    <definedName name="odk_kaliteCeza">AYARLAR!$B$21</definedName>
    <definedName name="odk_kaliteSapma">AYARLAR!$B$22</definedName>
    <definedName name="odk_dosyaSurumu">AYARLAR!$B$23</definedName>
    <definedName name="odk_firmaUnvan">AYARLAR!$B$24</definedName>
    <definedName name="odk_alarmEsikMetin">AYARLAR!$B$25</definedName>
    <definedName name="odk_dakikaSn">AYARLAR!$B$26</definedName>
    <definedName name="odk_oeeReferans">AYARLAR!$B$27</definedName>
    <definedName name="odk_durusMaliyetTlDk">AYARLAR!$B$28</definedName>
    <definedName name="odk_doluKayit">AYARLAR!$I$32</definedName>
    <definedName name="odk_toplamDurus">AYARLAR!$I$33</definedName>
    <definedName name="odk_toplamUretim">AYARLAR!$I$34</definedName>
    <definedName name="odk_oeeOrani">AYARLAR!$I$35</definedName>
    <definedName name="odk_kullanilabilirlik">AYARLAR!$I$36</definedName>
    <definedName name="odk_performans">AYARLAR!$I$37</definedName>
    <definedName name="odk_kaliteOrani">AYARLAR!$I$38</definedName>
    <definedName name="odk_gunlukOeeOrt">AYARLAR!$I$39</definedName>
    <definedName name="odk_aylikDurusTrend">AYARLAR!$I$40</definedName>
    <definedName name="odk_saglikSkor">AYARLAR!$I$41</definedName>
    <definedName name="odk_alarmAdet">AYARLAR!$I$42</definedName>
    <definedName name="odk_yetimAdet">AYARLAR!$I$43</definedName>
    <definedName name="odk_oeeSapma">AYARLAR!$I$44</definedName>
    <definedName name="odk_tornadoZirve">AYARLAR!$I$45</definedName>
    <definedName name="odk_senaryoKarsilastirma">AYARLAR!$I$46</definedName>
    <definedName name="odk_hhi">AYARLAR!$I$47</definedName>
    <definedName name="odk_kaliteSkor">AYARLAR!$I$48</definedName>
    <definedName name="odk_senaryoMotor">AYARLAR!$I$49</definedName>
    <definedName name="odk_tahminAralik">AYARLAR!$I$50</definedName>
    <definedName name="odk_yuzdelikP90">AYARLAR!$I$51</definedName>
    <definedName name="odk_kokNedenKirilim">AYARLAR!$I$52</definedName>
    <definedName name="odk_sezonsalTrend">AYARLAR!$I$53</definedName>
    <definedName name="odk_alarmListesi">AYARLAR!$I$54</definedName>
    <definedName name="odk_kararKapi">AYARLAR!$I$55</definedName>
    <definedName name="odk_kararGerekce">AYARLAR!$I$56</definedName>
    <definedName name="odk_sonrakiKimlik">AYARLAR!$I$57</definedName>
    <definedName name="odk_yorumGunluk">AYARLAR!$I$60</definedName>
    <definedName name="odk_yorumAylik">AYARLAR!$I$61</definedName>
    <definedName name="odk_yorumSapma">AYARLAR!$I$62</definedName>
    <definedName name="odk_yorumTornado">AYARLAR!$I$63</definedName>
    <definedName name="odk_yorumSenaryo">AYARLAR!$I$64</definedName>
    <definedName name="odk_yorumHhi">AYARLAR!$I$65</definedName>
    <definedName name="odk_yorumKalite">AYARLAR!$I$66</definedName>
    <definedName name="odk_yorumSenMotor">AYARLAR!$I$67</definedName>
    <definedName name="odk_yorumTahmin">AYARLAR!$I$68</definedName>
    <definedName name="odk_yorumP90">AYARLAR!$I$69</definedName>
    <definedName name="ListeEvetHayir">LISTELER!$A$7:$A$8</definedName>
    <definedName name="ListeKokNeden">LISTELER!$C$7:$C$13</definedName>
    <definedName name="ListeHat">LISTELER!$E$7:$E$9</definedName>
    <definedName name="_xlnm.Print_Area" localSheetId="5">'PANO'!$A$1:$N$30</definedName>
    <definedName name="_xlnm.Print_Area" localSheetId="7">'RAPOR'!$A$1:$F$35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0.0%;[Red](0.0%);-"/>
    <numFmt numFmtId="166" formatCode="dd.mm.yyyy"/>
    <numFmt numFmtId="167" formatCode="₺ #,##0;[Red](₺ #,##0);-"/>
  </numFmts>
  <fonts count="18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8"/>
    </font>
    <font>
      <name val="Segoe UI"/>
      <color rgb="00595959"/>
      <sz val="10"/>
    </font>
    <font>
      <name val="Segoe UI"/>
      <b val="1"/>
      <color rgb="000F2742"/>
      <sz val="12"/>
    </font>
    <font>
      <name val="Segoe UI"/>
      <color rgb="00333333"/>
      <sz val="10"/>
    </font>
    <font>
      <name val="Segoe UI"/>
      <color rgb="00000000"/>
      <sz val="10"/>
    </font>
    <font>
      <name val="Segoe UI"/>
      <color rgb="00595959"/>
      <sz val="9"/>
    </font>
    <font>
      <name val="Segoe UI"/>
      <color rgb="001F4E79"/>
      <sz val="10"/>
    </font>
    <font>
      <name val="Segoe UI"/>
      <b val="1"/>
      <color rgb="00000000"/>
      <sz val="10"/>
    </font>
    <font>
      <name val="Segoe UI"/>
      <b val="1"/>
      <color rgb="00FFFFFF"/>
      <sz val="10"/>
    </font>
    <font>
      <name val="Segoe UI"/>
      <b val="1"/>
      <color rgb="000F2742"/>
      <sz val="10"/>
    </font>
    <font>
      <name val="Segoe UI"/>
      <b val="1"/>
      <color rgb="000F2742"/>
      <sz val="14"/>
    </font>
    <font>
      <name val="Segoe UI"/>
      <b val="1"/>
      <color rgb="00000000"/>
      <sz val="16"/>
    </font>
    <font>
      <name val="Segoe UI"/>
      <b val="1"/>
      <color rgb="00000000"/>
      <sz val="12"/>
    </font>
    <font>
      <name val="Segoe UI"/>
      <b val="1"/>
      <color rgb="00000000"/>
      <sz val="14"/>
    </font>
    <font>
      <name val="Montserrat"/>
      <b val="1"/>
      <color rgb="00FFFFFF"/>
      <sz val="13"/>
    </font>
    <font>
      <name val="Segoe UI"/>
      <i val="1"/>
      <color rgb="00475569"/>
      <sz val="9.5"/>
    </font>
  </fonts>
  <fills count="8">
    <fill>
      <patternFill/>
    </fill>
    <fill>
      <patternFill patternType="gray125"/>
    </fill>
    <fill>
      <patternFill patternType="solid">
        <fgColor rgb="000F2742"/>
        <bgColor rgb="000F2742"/>
      </patternFill>
    </fill>
    <fill>
      <patternFill patternType="solid">
        <fgColor rgb="00DDEBF7"/>
        <bgColor rgb="00DDEBF7"/>
      </patternFill>
    </fill>
    <fill>
      <patternFill patternType="solid">
        <fgColor rgb="001F4E79"/>
        <bgColor rgb="001F4E79"/>
      </patternFill>
    </fill>
    <fill>
      <patternFill patternType="solid">
        <fgColor rgb="FFFFF2CC"/>
        <bgColor rgb="FFFFF2CC"/>
      </patternFill>
    </fill>
    <fill>
      <patternFill patternType="solid">
        <fgColor rgb="00EEF2F7"/>
        <bgColor rgb="00EEF2F7"/>
      </patternFill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3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4" borderId="1" applyAlignment="1" pivotButton="0" quotePrefix="0" xfId="0">
      <alignment horizontal="center" vertical="center" wrapText="1"/>
    </xf>
    <xf numFmtId="0" fontId="8" fillId="5" borderId="0" applyAlignment="1" applyProtection="1" pivotButton="0" quotePrefix="0" xfId="0">
      <alignment horizontal="left" vertical="center"/>
      <protection locked="0" hidden="0"/>
    </xf>
    <xf numFmtId="164" fontId="8" fillId="5" borderId="0" applyAlignment="1" applyProtection="1" pivotButton="0" quotePrefix="0" xfId="0">
      <alignment horizontal="left" vertical="center"/>
      <protection locked="0" hidden="0"/>
    </xf>
    <xf numFmtId="3" fontId="8" fillId="5" borderId="0" applyAlignment="1" applyProtection="1" pivotButton="0" quotePrefix="0" xfId="0">
      <alignment horizontal="left" vertical="center"/>
      <protection locked="0" hidden="0"/>
    </xf>
    <xf numFmtId="165" fontId="8" fillId="5" borderId="0" applyAlignment="1" applyProtection="1" pivotButton="0" quotePrefix="0" xfId="0">
      <alignment horizontal="left" vertical="center"/>
      <protection locked="0" hidden="0"/>
    </xf>
    <xf numFmtId="0" fontId="0" fillId="6" borderId="0" pivotButton="0" quotePrefix="0" xfId="0"/>
    <xf numFmtId="166" fontId="8" fillId="5" borderId="0" applyAlignment="1" applyProtection="1" pivotButton="0" quotePrefix="0" xfId="0">
      <alignment horizontal="left" vertical="center"/>
      <protection locked="0" hidden="0"/>
    </xf>
    <xf numFmtId="0" fontId="10" fillId="4" borderId="0" applyAlignment="1" pivotButton="0" quotePrefix="0" xfId="0">
      <alignment horizontal="left" vertical="center"/>
    </xf>
    <xf numFmtId="3" fontId="6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3" fontId="9" fillId="0" borderId="0" applyAlignment="1" pivotButton="0" quotePrefix="0" xfId="0">
      <alignment horizontal="left" vertical="center"/>
    </xf>
    <xf numFmtId="165" fontId="9" fillId="0" borderId="0" applyAlignment="1" pivotButton="0" quotePrefix="0" xfId="0">
      <alignment horizontal="left" vertical="center"/>
    </xf>
    <xf numFmtId="166" fontId="6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167" fontId="8" fillId="5" borderId="0" applyAlignment="1" applyProtection="1" pivotButton="0" quotePrefix="0" xfId="0">
      <alignment horizontal="left" vertical="center"/>
      <protection locked="0" hidden="0"/>
    </xf>
    <xf numFmtId="0" fontId="16" fillId="7" borderId="0" applyAlignment="1" pivotButton="0" quotePrefix="0" xfId="0">
      <alignment horizontal="left" vertical="center"/>
    </xf>
    <xf numFmtId="0" fontId="0" fillId="7" borderId="0" pivotButton="0" quotePrefix="0" xfId="0"/>
    <xf numFmtId="0" fontId="17" fillId="2" borderId="0" applyAlignment="1" pivotButton="0" quotePrefix="0" xfId="0">
      <alignment horizontal="left" vertical="center"/>
    </xf>
    <xf numFmtId="0" fontId="17" fillId="3" borderId="0" applyAlignment="1" pivotButton="0" quotePrefix="0" xfId="0">
      <alignment horizontal="left" vertical="center"/>
    </xf>
    <xf numFmtId="166" fontId="8" fillId="5" borderId="0" applyAlignment="1" applyProtection="1" pivotButton="0" quotePrefix="0" xfId="0">
      <alignment horizontal="left" vertical="center"/>
      <protection locked="0" hidden="0"/>
    </xf>
    <xf numFmtId="166" fontId="6" fillId="0" borderId="0" applyAlignment="1" pivotButton="0" quotePrefix="0" xfId="0">
      <alignment horizontal="left" vertical="center"/>
    </xf>
    <xf numFmtId="167" fontId="8" fillId="5" borderId="0" applyAlignment="1" applyProtection="1" pivotButton="0" quotePrefix="0" xfId="0">
      <alignment horizontal="left" vertical="center"/>
      <protection locked="0" hidden="0"/>
    </xf>
    <xf numFmtId="0" fontId="17" fillId="0" borderId="0" applyAlignment="1" pivotButton="0" quotePrefix="0" xfId="0">
      <alignment horizontal="left" vertical="center"/>
    </xf>
  </cellXfs>
  <cellStyles count="1">
    <cellStyle name="Normal" xfId="0" builtinId="0" hidden="0"/>
  </cellStyles>
  <dxfs count="5">
    <dxf>
      <fill>
        <patternFill patternType="solid">
          <fgColor rgb="00FFEB9C"/>
        </patternFill>
      </fill>
    </dxf>
    <dxf>
      <font>
        <name val="Segoe UI"/>
        <color rgb="009C0006"/>
      </font>
      <fill>
        <patternFill patternType="solid">
          <fgColor rgb="00FFC7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C6EFCE"/>
        </patternFill>
      </fill>
    </dxf>
    <dxf>
      <font>
        <name val="Segoe UI"/>
        <color rgb="00006100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12 Ay Duruş Sezonsallığı</a:t>
            </a:r>
          </a:p>
        </rich>
      </tx>
    </title>
    <plotArea>
      <lineChart>
        <grouping val="standard"/>
        <ser>
          <idx val="0"/>
          <order val="0"/>
          <tx>
            <strRef>
              <f>'DONEM_ANALIZ'!C5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'DONEM_ANALIZ'!$A$6:$A$17</f>
            </numRef>
          </cat>
          <val>
            <numRef>
              <f>'DONEM_ANALIZ'!$C$6:$C$17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12 Ay OEE Dağılımı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'DONEM_ANALIZ'!E5</f>
            </strRef>
          </tx>
          <spPr>
            <a:ln xmlns:a="http://schemas.openxmlformats.org/drawingml/2006/main">
              <a:prstDash val="solid"/>
            </a:ln>
          </spPr>
          <cat>
            <numRef>
              <f>'DONEM_ANALIZ'!$A$6:$A$17</f>
            </numRef>
          </cat>
          <val>
            <numRef>
              <f>'DONEM_ANALIZ'!$E$6:$E$17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Kök Neden Dağılımı</a:t>
            </a:r>
          </a:p>
        </rich>
      </tx>
    </title>
    <plotArea>
      <pieChart>
        <varyColors val="1"/>
        <ser>
          <idx val="0"/>
          <order val="0"/>
          <tx>
            <strRef>
              <f>'PANO'!B22</f>
            </strRef>
          </tx>
          <spPr>
            <a:ln xmlns:a="http://schemas.openxmlformats.org/drawingml/2006/main">
              <a:prstDash val="solid"/>
            </a:ln>
          </spPr>
          <cat>
            <numRef>
              <f>'PANO'!$A$23:$A$26</f>
            </numRef>
          </cat>
          <val>
            <numRef>
              <f>'PANO'!$B$23:$B$26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Senaryo Karşılaştırma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'PANO'!E22</f>
            </strRef>
          </tx>
          <spPr>
            <a:ln xmlns:a="http://schemas.openxmlformats.org/drawingml/2006/main">
              <a:prstDash val="solid"/>
            </a:ln>
          </spPr>
          <cat>
            <numRef>
              <f>'PANO'!$D$23:$D$25</f>
            </numRef>
          </cat>
          <val>
            <numRef>
              <f>'PANO'!$E$23:$E$25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Tutar / Endeks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Haftalık Duruş Trend</a:t>
            </a:r>
          </a:p>
        </rich>
      </tx>
    </title>
    <plotArea>
      <lineChart>
        <grouping val="standard"/>
        <ser>
          <idx val="0"/>
          <order val="0"/>
          <tx>
            <strRef>
              <f>'PANO'!H22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'PANO'!$G$23:$G$30</f>
            </numRef>
          </cat>
          <val>
            <numRef>
              <f>'PANO'!$H$23:$H$30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Aylık OEE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'PANO'!K22</f>
            </strRef>
          </tx>
          <spPr>
            <a:ln xmlns:a="http://schemas.openxmlformats.org/drawingml/2006/main">
              <a:prstDash val="solid"/>
            </a:ln>
          </spPr>
          <cat>
            <numRef>
              <f>'PANO'!$J$23:$J$26</f>
            </numRef>
          </cat>
          <val>
            <numRef>
              <f>'PANO'!$K$23:$K$26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Tutar / Endeks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Kök Neden (tekrar)</a:t>
            </a:r>
          </a:p>
        </rich>
      </tx>
    </title>
    <plotArea>
      <pieChart>
        <varyColors val="1"/>
        <ser>
          <idx val="0"/>
          <order val="0"/>
          <tx>
            <strRef>
              <f>'PANO'!B22</f>
            </strRef>
          </tx>
          <spPr>
            <a:ln xmlns:a="http://schemas.openxmlformats.org/drawingml/2006/main">
              <a:prstDash val="solid"/>
            </a:ln>
          </spPr>
          <cat>
            <numRef>
              <f>'PANO'!$A$23:$A$25</f>
            </numRef>
          </cat>
          <val>
            <numRef>
              <f>'PANO'!$B$23:$B$25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Senaryo vs Baz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'PANO'!E22</f>
            </strRef>
          </tx>
          <spPr>
            <a:ln xmlns:a="http://schemas.openxmlformats.org/drawingml/2006/main">
              <a:prstDash val="solid"/>
            </a:ln>
          </spPr>
          <cat>
            <numRef>
              <f>'PANO'!$D$23:$D$25</f>
            </numRef>
          </cat>
          <val>
            <numRef>
              <f>'PANO'!$E$23:$E$25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Tutar / Endeks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Duruş Trend (kısa)</a:t>
            </a:r>
          </a:p>
        </rich>
      </tx>
    </title>
    <plotArea>
      <lineChart>
        <grouping val="standard"/>
        <ser>
          <idx val="0"/>
          <order val="0"/>
          <tx>
            <strRef>
              <f>'PANO'!H22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'PANO'!$G$23:$G$28</f>
            </numRef>
          </cat>
          <val>
            <numRef>
              <f>'PANO'!$H$23:$H$28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Kök Neden Adet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'PANO'!B22</f>
            </strRef>
          </tx>
          <spPr>
            <a:ln xmlns:a="http://schemas.openxmlformats.org/drawingml/2006/main">
              <a:prstDash val="solid"/>
            </a:ln>
          </spPr>
          <cat>
            <numRef>
              <f>'PANO'!$A$23:$A$26</f>
            </numRef>
          </cat>
          <val>
            <numRef>
              <f>'PANO'!$B$23:$B$26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Tutar / Endeks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ExcelArşiv</author>
  </authors>
  <commentList>
    <comment ref="B4" authorId="0" shapeId="0">
      <text>
        <t>Tanım: Otomatik kimlik önerisi | Neden önemli: ID disiplini | Doğru kullanım: Yeni kartta kullanın | Örnek: MAK-00009 | Risk: Elle çakışma</t>
      </text>
    </comment>
    <comment ref="A6" authorId="0" shapeId="0">
      <text>
        <t>Tanım: Varlık Kimliği | Neden önemli: OEE ve duruş kök-neden analizini etkiler | Doğru kullanım: MAK-##### formatında | Örnek: hücredeki örnek değere bakın | Risk: Yanlış giriş hatalı karar üretir</t>
      </text>
    </comment>
    <comment ref="B6" authorId="0" shapeId="0">
      <text>
        <t>Tanım: Makine Adı | Neden önemli: OEE ve duruş kök-neden analizini etkiler | Doğru kullanım: Makine / hat adı | Örnek: hücredeki örnek değere bakın | Risk: Yanlış giriş hatalı karar üretir</t>
      </text>
    </comment>
    <comment ref="C6" authorId="0" shapeId="0">
      <text>
        <t>Tanım: Hat | Neden önemli: OEE ve duruş kök-neden analizini etkiler | Doğru kullanım: Üretim hattı kodu | Örnek: hücredeki örnek değere bakın | Risk: Yanlış giriş hatalı karar üretir</t>
      </text>
    </comment>
    <comment ref="D6" authorId="0" shapeId="0">
      <text>
        <t>Tanım: İdeal Çevrim [sn] | Neden önemli: OEE ve duruş kök-neden analizini etkiler | Doğru kullanım: Parça başına sn | Örnek: hücredeki örnek değere bakın | Risk: Yanlış giriş hatalı karar üretir</t>
      </text>
    </comment>
    <comment ref="E6" authorId="0" shapeId="0">
      <text>
        <t>Tanım: Vardiya [dk] | Neden önemli: OEE ve duruş kök-neden analizini etkiler | Doğru kullanım: Planlı vardiya dakikası | Örnek: hücredeki örnek değere bakın | Risk: Yanlış giriş hatalı karar üretir</t>
      </text>
    </comment>
    <comment ref="F6" authorId="0" shapeId="0">
      <text>
        <t>Tanım: Hedef OEE | Neden önemli: OEE ve duruş kök-neden analizini etkiler | Doğru kullanım: Hedef OEE oranı | Örnek: hücredeki örnek değere bakın | Risk: Yanlış giriş hatalı karar üretir</t>
      </text>
    </comment>
    <comment ref="G6" authorId="0" shapeId="0">
      <text>
        <t>Tanım: Aktif | Neden önemli: OEE ve duruş kök-neden analizini etkiler | Doğru kullanım: EVET veya HAYIR | Örnek: hücredeki örnek değere bakın | Risk: Yanlış giriş hatalı karar üretir</t>
      </text>
    </comment>
    <comment ref="A7" authorId="0" shapeId="0">
      <text>
        <t>Tanım: Varlık Kimliği | Neden önemli: OEE ve duruş kök-neden analizini etkiler | Doğru kullanım: MAK-##### formatında | Örnek: hücredeki örnek değere bakın | Risk: Yanlış giriş hatalı karar üretir</t>
      </text>
    </comment>
    <comment ref="B7" authorId="0" shapeId="0">
      <text>
        <t>Tanım: Makine Adı | Neden önemli: OEE ve duruş kök-neden analizini etkiler | Doğru kullanım: Makine / hat adı | Örnek: hücredeki örnek değere bakın | Risk: Yanlış giriş hatalı karar üretir</t>
      </text>
    </comment>
    <comment ref="C7" authorId="0" shapeId="0">
      <text>
        <t>Tanım: Hat | Neden önemli: OEE ve duruş kök-neden analizini etkiler | Doğru kullanım: Üretim hattı kodu | Örnek: hücredeki örnek değere bakın | Risk: Yanlış giriş hatalı karar üretir</t>
      </text>
    </comment>
    <comment ref="D7" authorId="0" shapeId="0">
      <text>
        <t>Tanım: İdeal Çevrim [sn] | Neden önemli: OEE ve duruş kök-neden analizini etkiler | Doğru kullanım: Parça başına sn | Örnek: hücredeki örnek değere bakın | Risk: Yanlış giriş hatalı karar üretir</t>
      </text>
    </comment>
    <comment ref="E7" authorId="0" shapeId="0">
      <text>
        <t>Tanım: Vardiya [dk] | Neden önemli: OEE ve duruş kök-neden analizini etkiler | Doğru kullanım: Planlı vardiya dakikası | Örnek: hücredeki örnek değere bakın | Risk: Yanlış giriş hatalı karar üretir</t>
      </text>
    </comment>
    <comment ref="F7" authorId="0" shapeId="0">
      <text>
        <t>Tanım: Hedef OEE | Neden önemli: OEE ve duruş kök-neden analizini etkiler | Doğru kullanım: Hedef OEE oranı | Örnek: hücredeki örnek değere bakın | Risk: Yanlış giriş hatalı karar üretir</t>
      </text>
    </comment>
    <comment ref="G7" authorId="0" shapeId="0">
      <text>
        <t>Tanım: Aktif | Neden önemli: OEE ve duruş kök-neden analizini etkiler | Doğru kullanım: EVET veya HAYIR | Örnek: hücredeki örnek değere bakın | Risk: Yanlış giriş hatalı karar üretir</t>
      </text>
    </comment>
    <comment ref="A8" authorId="0" shapeId="0">
      <text>
        <t>Tanım: Varlık Kimliği | Neden önemli: OEE ve duruş kök-neden analizini etkiler | Doğru kullanım: MAK-##### formatında | Örnek: hücredeki örnek değere bakın | Risk: Yanlış giriş hatalı karar üretir</t>
      </text>
    </comment>
    <comment ref="B8" authorId="0" shapeId="0">
      <text>
        <t>Tanım: Makine Adı | Neden önemli: OEE ve duruş kök-neden analizini etkiler | Doğru kullanım: Makine / hat adı | Örnek: hücredeki örnek değere bakın | Risk: Yanlış giriş hatalı karar üretir</t>
      </text>
    </comment>
    <comment ref="C8" authorId="0" shapeId="0">
      <text>
        <t>Tanım: Hat | Neden önemli: OEE ve duruş kök-neden analizini etkiler | Doğru kullanım: Üretim hattı kodu | Örnek: hücredeki örnek değere bakın | Risk: Yanlış giriş hatalı karar üretir</t>
      </text>
    </comment>
    <comment ref="D8" authorId="0" shapeId="0">
      <text>
        <t>Tanım: İdeal Çevrim [sn] | Neden önemli: OEE ve duruş kök-neden analizini etkiler | Doğru kullanım: Parça başına sn | Örnek: hücredeki örnek değere bakın | Risk: Yanlış giriş hatalı karar üretir</t>
      </text>
    </comment>
    <comment ref="E8" authorId="0" shapeId="0">
      <text>
        <t>Tanım: Vardiya [dk] | Neden önemli: OEE ve duruş kök-neden analizini etkiler | Doğru kullanım: Planlı vardiya dakikası | Örnek: hücredeki örnek değere bakın | Risk: Yanlış giriş hatalı karar üretir</t>
      </text>
    </comment>
    <comment ref="F8" authorId="0" shapeId="0">
      <text>
        <t>Tanım: Hedef OEE | Neden önemli: OEE ve duruş kök-neden analizini etkiler | Doğru kullanım: Hedef OEE oranı | Örnek: hücredeki örnek değere bakın | Risk: Yanlış giriş hatalı karar üretir</t>
      </text>
    </comment>
    <comment ref="G8" authorId="0" shapeId="0">
      <text>
        <t>Tanım: Aktif | Neden önemli: OEE ve duruş kök-neden analizini etkiler | Doğru kullanım: EVET veya HAYIR | Örnek: hücredeki örnek değere bakın | Risk: Yanlış giriş hatalı karar üretir</t>
      </text>
    </comment>
    <comment ref="A9" authorId="0" shapeId="0">
      <text>
        <t>Tanım: Varlık Kimliği | Neden önemli: OEE ve duruş kök-neden analizini etkiler | Doğru kullanım: MAK-##### formatında | Örnek: hücredeki örnek değere bakın | Risk: Yanlış giriş hatalı karar üretir</t>
      </text>
    </comment>
    <comment ref="B9" authorId="0" shapeId="0">
      <text>
        <t>Tanım: Makine Adı | Neden önemli: OEE ve duruş kök-neden analizini etkiler | Doğru kullanım: Makine / hat adı | Örnek: hücredeki örnek değere bakın | Risk: Yanlış giriş hatalı karar üretir</t>
      </text>
    </comment>
    <comment ref="C9" authorId="0" shapeId="0">
      <text>
        <t>Tanım: Hat | Neden önemli: OEE ve duruş kök-neden analizini etkiler | Doğru kullanım: Üretim hattı kodu | Örnek: hücredeki örnek değere bakın | Risk: Yanlış giriş hatalı karar üretir</t>
      </text>
    </comment>
    <comment ref="D9" authorId="0" shapeId="0">
      <text>
        <t>Tanım: İdeal Çevrim [sn] | Neden önemli: OEE ve duruş kök-neden analizini etkiler | Doğru kullanım: Parça başına sn | Örnek: hücredeki örnek değere bakın | Risk: Yanlış giriş hatalı karar üretir</t>
      </text>
    </comment>
    <comment ref="E9" authorId="0" shapeId="0">
      <text>
        <t>Tanım: Vardiya [dk] | Neden önemli: OEE ve duruş kök-neden analizini etkiler | Doğru kullanım: Planlı vardiya dakikası | Örnek: hücredeki örnek değere bakın | Risk: Yanlış giriş hatalı karar üretir</t>
      </text>
    </comment>
    <comment ref="F9" authorId="0" shapeId="0">
      <text>
        <t>Tanım: Hedef OEE | Neden önemli: OEE ve duruş kök-neden analizini etkiler | Doğru kullanım: Hedef OEE oranı | Örnek: hücredeki örnek değere bakın | Risk: Yanlış giriş hatalı karar üretir</t>
      </text>
    </comment>
    <comment ref="G9" authorId="0" shapeId="0">
      <text>
        <t>Tanım: Aktif | Neden önemli: OEE ve duruş kök-neden analizini etkiler | Doğru kullanım: EVET veya HAYIR | Örnek: hücredeki örnek değere bakın | Risk: Yanlış giriş hatalı karar üretir</t>
      </text>
    </comment>
    <comment ref="A10" authorId="0" shapeId="0">
      <text>
        <t>Tanım: Varlık Kimliği | Neden önemli: OEE ve duruş kök-neden analizini etkiler | Doğru kullanım: MAK-##### formatında | Örnek: hücredeki örnek değere bakın | Risk: Yanlış giriş hatalı karar üretir</t>
      </text>
    </comment>
    <comment ref="B10" authorId="0" shapeId="0">
      <text>
        <t>Tanım: Makine Adı | Neden önemli: OEE ve duruş kök-neden analizini etkiler | Doğru kullanım: Makine / hat adı | Örnek: hücredeki örnek değere bakın | Risk: Yanlış giriş hatalı karar üretir</t>
      </text>
    </comment>
    <comment ref="C10" authorId="0" shapeId="0">
      <text>
        <t>Tanım: Hat | Neden önemli: OEE ve duruş kök-neden analizini etkiler | Doğru kullanım: Üretim hattı kodu | Örnek: hücredeki örnek değere bakın | Risk: Yanlış giriş hatalı karar üretir</t>
      </text>
    </comment>
    <comment ref="D10" authorId="0" shapeId="0">
      <text>
        <t>Tanım: İdeal Çevrim [sn] | Neden önemli: OEE ve duruş kök-neden analizini etkiler | Doğru kullanım: Parça başına sn | Örnek: hücredeki örnek değere bakın | Risk: Yanlış giriş hatalı karar üretir</t>
      </text>
    </comment>
    <comment ref="E10" authorId="0" shapeId="0">
      <text>
        <t>Tanım: Vardiya [dk] | Neden önemli: OEE ve duruş kök-neden analizini etkiler | Doğru kullanım: Planlı vardiya dakikası | Örnek: hücredeki örnek değere bakın | Risk: Yanlış giriş hatalı karar üretir</t>
      </text>
    </comment>
    <comment ref="F10" authorId="0" shapeId="0">
      <text>
        <t>Tanım: Hedef OEE | Neden önemli: OEE ve duruş kök-neden analizini etkiler | Doğru kullanım: Hedef OEE oranı | Örnek: hücredeki örnek değere bakın | Risk: Yanlış giriş hatalı karar üretir</t>
      </text>
    </comment>
    <comment ref="G10" authorId="0" shapeId="0">
      <text>
        <t>Tanım: Aktif | Neden önemli: OEE ve duruş kök-neden analizini etkiler | Doğru kullanım: EVET veya HAYIR | Örnek: hücredeki örnek değere bakın | Risk: Yanlış giriş hatalı karar üretir</t>
      </text>
    </comment>
    <comment ref="A11" authorId="0" shapeId="0">
      <text>
        <t>Tanım: Varlık Kimliği | Neden önemli: OEE ve duruş kök-neden analizini etkiler | Doğru kullanım: MAK-##### formatında | Örnek: hücredeki örnek değere bakın | Risk: Yanlış giriş hatalı karar üretir</t>
      </text>
    </comment>
    <comment ref="B11" authorId="0" shapeId="0">
      <text>
        <t>Tanım: Makine Adı | Neden önemli: OEE ve duruş kök-neden analizini etkiler | Doğru kullanım: Makine / hat adı | Örnek: hücredeki örnek değere bakın | Risk: Yanlış giriş hatalı karar üretir</t>
      </text>
    </comment>
    <comment ref="C11" authorId="0" shapeId="0">
      <text>
        <t>Tanım: Hat | Neden önemli: OEE ve duruş kök-neden analizini etkiler | Doğru kullanım: Üretim hattı kodu | Örnek: hücredeki örnek değere bakın | Risk: Yanlış giriş hatalı karar üretir</t>
      </text>
    </comment>
    <comment ref="D11" authorId="0" shapeId="0">
      <text>
        <t>Tanım: İdeal Çevrim [sn] | Neden önemli: OEE ve duruş kök-neden analizini etkiler | Doğru kullanım: Parça başına sn | Örnek: hücredeki örnek değere bakın | Risk: Yanlış giriş hatalı karar üretir</t>
      </text>
    </comment>
    <comment ref="E11" authorId="0" shapeId="0">
      <text>
        <t>Tanım: Vardiya [dk] | Neden önemli: OEE ve duruş kök-neden analizini etkiler | Doğru kullanım: Planlı vardiya dakikası | Örnek: hücredeki örnek değere bakın | Risk: Yanlış giriş hatalı karar üretir</t>
      </text>
    </comment>
    <comment ref="F11" authorId="0" shapeId="0">
      <text>
        <t>Tanım: Hedef OEE | Neden önemli: OEE ve duruş kök-neden analizini etkiler | Doğru kullanım: Hedef OEE oranı | Örnek: hücredeki örnek değere bakın | Risk: Yanlış giriş hatalı karar üretir</t>
      </text>
    </comment>
    <comment ref="G11" authorId="0" shapeId="0">
      <text>
        <t>Tanım: Aktif | Neden önemli: OEE ve duruş kök-neden analizini etkiler | Doğru kullanım: EVET veya HAYIR | Örnek: hücredeki örnek değere bakın | Risk: Yanlış giriş hatalı karar üretir</t>
      </text>
    </comment>
    <comment ref="A12" authorId="0" shapeId="0">
      <text>
        <t>Tanım: Varlık Kimliği | Neden önemli: OEE ve duruş kök-neden analizini etkiler | Doğru kullanım: MAK-##### formatında | Örnek: hücredeki örnek değere bakın | Risk: Yanlış giriş hatalı karar üretir</t>
      </text>
    </comment>
    <comment ref="B12" authorId="0" shapeId="0">
      <text>
        <t>Tanım: Makine Adı | Neden önemli: OEE ve duruş kök-neden analizini etkiler | Doğru kullanım: Makine / hat adı | Örnek: hücredeki örnek değere bakın | Risk: Yanlış giriş hatalı karar üretir</t>
      </text>
    </comment>
    <comment ref="C12" authorId="0" shapeId="0">
      <text>
        <t>Tanım: Hat | Neden önemli: OEE ve duruş kök-neden analizini etkiler | Doğru kullanım: Üretim hattı kodu | Örnek: hücredeki örnek değere bakın | Risk: Yanlış giriş hatalı karar üretir</t>
      </text>
    </comment>
    <comment ref="D12" authorId="0" shapeId="0">
      <text>
        <t>Tanım: İdeal Çevrim [sn] | Neden önemli: OEE ve duruş kök-neden analizini etkiler | Doğru kullanım: Parça başına sn | Örnek: hücredeki örnek değere bakın | Risk: Yanlış giriş hatalı karar üretir</t>
      </text>
    </comment>
    <comment ref="E12" authorId="0" shapeId="0">
      <text>
        <t>Tanım: Vardiya [dk] | Neden önemli: OEE ve duruş kök-neden analizini etkiler | Doğru kullanım: Planlı vardiya dakikası | Örnek: hücredeki örnek değere bakın | Risk: Yanlış giriş hatalı karar üretir</t>
      </text>
    </comment>
    <comment ref="F12" authorId="0" shapeId="0">
      <text>
        <t>Tanım: Hedef OEE | Neden önemli: OEE ve duruş kök-neden analizini etkiler | Doğru kullanım: Hedef OEE oranı | Örnek: hücredeki örnek değere bakın | Risk: Yanlış giriş hatalı karar üretir</t>
      </text>
    </comment>
    <comment ref="G12" authorId="0" shapeId="0">
      <text>
        <t>Tanım: Aktif | Neden önemli: OEE ve duruş kök-neden analizini etkiler | Doğru kullanım: EVET veya HAYIR | Örnek: hücredeki örnek değere bakın | Risk: Yanlış giriş hatalı karar üretir</t>
      </text>
    </comment>
    <comment ref="A13" authorId="0" shapeId="0">
      <text>
        <t>Tanım: Varlık Kimliği | Neden önemli: OEE ve duruş kök-neden analizini etkiler | Doğru kullanım: MAK-##### formatında | Örnek: hücredeki örnek değere bakın | Risk: Yanlış giriş hatalı karar üretir</t>
      </text>
    </comment>
    <comment ref="B13" authorId="0" shapeId="0">
      <text>
        <t>Tanım: Makine Adı | Neden önemli: OEE ve duruş kök-neden analizini etkiler | Doğru kullanım: Makine / hat adı | Örnek: hücredeki örnek değere bakın | Risk: Yanlış giriş hatalı karar üretir</t>
      </text>
    </comment>
    <comment ref="C13" authorId="0" shapeId="0">
      <text>
        <t>Tanım: Hat | Neden önemli: OEE ve duruş kök-neden analizini etkiler | Doğru kullanım: Üretim hattı kodu | Örnek: hücredeki örnek değere bakın | Risk: Yanlış giriş hatalı karar üretir</t>
      </text>
    </comment>
    <comment ref="D13" authorId="0" shapeId="0">
      <text>
        <t>Tanım: İdeal Çevrim [sn] | Neden önemli: OEE ve duruş kök-neden analizini etkiler | Doğru kullanım: Parça başına sn | Örnek: hücredeki örnek değere bakın | Risk: Yanlış giriş hatalı karar üretir</t>
      </text>
    </comment>
    <comment ref="E13" authorId="0" shapeId="0">
      <text>
        <t>Tanım: Vardiya [dk] | Neden önemli: OEE ve duruş kök-neden analizini etkiler | Doğru kullanım: Planlı vardiya dakikası | Örnek: hücredeki örnek değere bakın | Risk: Yanlış giriş hatalı karar üretir</t>
      </text>
    </comment>
    <comment ref="F13" authorId="0" shapeId="0">
      <text>
        <t>Tanım: Hedef OEE | Neden önemli: OEE ve duruş kök-neden analizini etkiler | Doğru kullanım: Hedef OEE oranı | Örnek: hücredeki örnek değere bakın | Risk: Yanlış giriş hatalı karar üretir</t>
      </text>
    </comment>
    <comment ref="G13" authorId="0" shapeId="0">
      <text>
        <t>Tanım: Aktif | Neden önemli: OEE ve duruş kök-neden analizini etkiler | Doğru kullanım: EVET veya HAYIR | Örnek: hücredeki örnek değere bakın | Risk: Yanlış giriş hatalı karar üretir</t>
      </text>
    </comment>
    <comment ref="A14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4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4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4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4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4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4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5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5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5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5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5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5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5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6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6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6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6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6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6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6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7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7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7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7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7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7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7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8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8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8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8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8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8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8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9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9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9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9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9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9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9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0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0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0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0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0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0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0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1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1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1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1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1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1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1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2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2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2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2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2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2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2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3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3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3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3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3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3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3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4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4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4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4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4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4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4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5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5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5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5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5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5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5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6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6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6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6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6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6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6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7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7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7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7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7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7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7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8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8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8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8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8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8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8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9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9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9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9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9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9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9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30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30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30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30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30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30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30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31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31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31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31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31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31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31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32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32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32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32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32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32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32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33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33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33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33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33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33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33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34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34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34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34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34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34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34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35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35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35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35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35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35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35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36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36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36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36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36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36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36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37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37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37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37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37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37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37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38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38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38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38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38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38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38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39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39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39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39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39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39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39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40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40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40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40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40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40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40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41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41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41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41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41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41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41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42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42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42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42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42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42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42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43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43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43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43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43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43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43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44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44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44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44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44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44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44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45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45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45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45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45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45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45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46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46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46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46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46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46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46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47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47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47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47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47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47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47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48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48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48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48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48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48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48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49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49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49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49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49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49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49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50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50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50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50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50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50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50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51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51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51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51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51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51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51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52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52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52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52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52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52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52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53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53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53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53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53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53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53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54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54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54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54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54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54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54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55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55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55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55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55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55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55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56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56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56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56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56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56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56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57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57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57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57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57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57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57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58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58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58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58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58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58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58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59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59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59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59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59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59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59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60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60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60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60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60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60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60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61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61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61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61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61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61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61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62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62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62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62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62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62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62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63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63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63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63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63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63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63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64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64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64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64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64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64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64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65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65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65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65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65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65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65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66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66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66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66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66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66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66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67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67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67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67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67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67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67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68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68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68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68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68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68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68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69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69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69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69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69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69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69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70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70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70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70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70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70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70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71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71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71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71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71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71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71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72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72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72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72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72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72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72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73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73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73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73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73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73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73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74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74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74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74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74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74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74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75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75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75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75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75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75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75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76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76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76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76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76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76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76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77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77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77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77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77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77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77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78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78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78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78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78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78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78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79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79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79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79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79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79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79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80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80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80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80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80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80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80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81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81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81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81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81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81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81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82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82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82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82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82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82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82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83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83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83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83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83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83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83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84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84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84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84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84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84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84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85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85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85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85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85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85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85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86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86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86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86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86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86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86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87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87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87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87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87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87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87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88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88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88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88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88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88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88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89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89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89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89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89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89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89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90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90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90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90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90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90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90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91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91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91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91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91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91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91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92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92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92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92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92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92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92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93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93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93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93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93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93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93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94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94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94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94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94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94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94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95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95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95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95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95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95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95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96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96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96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96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96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96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96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97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97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97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97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97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97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97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98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98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98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98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98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98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98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99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99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99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99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99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99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99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00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00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00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00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00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00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00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01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01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01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01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01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01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01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02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02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02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02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02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02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02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03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03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03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03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03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03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03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04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04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04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04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04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04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04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05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05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05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05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05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05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05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06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06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06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06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06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06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06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07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07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07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07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07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07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07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08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08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08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08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08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08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08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09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09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09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09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09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09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09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10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10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10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10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10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10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10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11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11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11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11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11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11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11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12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12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12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12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12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12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12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13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13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13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13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13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13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13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14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14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14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14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14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14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14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15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15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15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15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15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15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15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16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16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16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16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16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16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16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17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17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17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17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17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17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17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18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18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18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18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18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18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18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19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19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19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19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19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19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19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20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20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20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20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20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20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20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21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21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21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21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21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21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21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22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22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22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22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22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22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22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23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23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23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23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23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23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23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24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24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24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24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24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24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24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25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25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25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25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25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25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25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26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26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26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26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26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26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26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27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27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27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27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27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27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27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28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28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28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28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28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28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28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29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29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29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29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29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29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29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30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30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30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30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30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30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30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31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31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31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31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31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31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31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32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32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32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32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32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32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32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33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33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33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33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33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33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33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34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34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34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34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34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34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34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35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35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35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35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35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35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35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36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36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36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36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36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36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36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37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37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37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37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37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37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37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38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38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38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38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38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38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38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39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39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39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39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39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39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39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40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40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40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40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40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40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40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41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41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41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41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41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41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41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42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42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42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42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42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42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42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43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43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43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43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43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43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43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44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44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44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44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44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44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44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45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45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45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45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45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45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45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46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46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46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46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46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46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46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47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47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47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47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47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47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47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48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48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48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48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48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48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48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49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49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49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49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49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49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49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50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50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50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50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50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50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50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51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51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51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51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51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51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51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52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52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52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52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52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52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52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53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53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53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53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53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53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53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54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54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54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54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54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54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54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55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55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55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55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55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55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55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56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56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56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56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56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56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56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57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57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57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57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57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57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57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58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58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58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58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58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58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58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59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59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59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59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59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59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59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60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60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60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60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60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60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60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61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61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61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61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61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61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61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62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62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62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62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62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62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62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63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63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63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63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63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63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63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64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64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64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64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64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64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64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65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65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65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65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65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65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65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66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66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66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66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66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66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66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67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67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67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67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67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67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67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68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68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68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68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68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68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68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69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69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69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69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69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69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69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70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70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70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70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70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70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70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71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71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71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71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71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71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71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72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72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72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72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72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72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72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73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73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73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73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73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73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73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74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74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74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74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74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74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74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75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75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75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75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75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75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75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76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76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76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76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76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76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76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77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77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77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77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77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77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77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78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78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78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78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78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78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78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79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79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79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79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79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79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79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80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80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80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80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80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80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80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81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81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81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81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81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81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81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82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82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82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82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82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82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82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83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83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83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83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83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83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83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84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84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84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84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84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84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84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85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85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85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85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85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85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85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86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86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86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86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86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86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86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87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87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87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87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87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87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87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88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88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88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88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88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88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88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89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89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89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89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89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89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89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90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90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90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90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90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90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90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91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91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91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91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91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91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91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92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92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92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92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92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92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92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93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93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93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93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93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93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93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94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94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94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94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94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94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94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95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95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95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95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95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95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95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96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96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96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96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96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96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96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97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97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97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97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97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97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97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98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98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98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98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98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98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98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199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199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199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199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199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199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199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00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00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00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00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00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00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00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01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01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01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01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01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01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01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02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02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02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02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02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02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02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03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03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03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03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03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03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03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04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04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04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04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04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04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04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05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05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05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05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05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05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05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06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06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06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06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06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06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06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07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07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07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07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07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07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07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08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08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08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08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08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08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08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09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09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09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09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09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09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09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10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10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10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10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10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10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10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11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11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11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11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11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11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11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12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12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12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12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12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12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12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13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13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13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13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13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13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13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14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14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14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14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14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14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14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15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15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15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15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15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15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15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16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16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16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16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16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16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16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17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17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17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17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17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17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17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18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18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18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18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18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18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18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19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19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19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19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19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19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19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20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20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20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20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20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20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20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21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21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21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21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21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21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21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22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22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22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22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22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22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22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23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23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23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23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23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23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23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24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24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24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24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24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24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24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25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25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25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25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25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25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25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26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26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26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26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26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26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26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27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27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27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27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27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27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27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28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28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28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28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28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28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28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29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29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29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29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29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29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29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30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30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30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30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30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30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30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31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31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31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31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31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31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31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32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32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32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32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32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32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32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33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33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33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33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33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33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33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34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34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34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34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34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34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34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35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35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35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35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35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35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35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36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36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36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36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36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36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36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37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37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37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37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37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37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37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38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38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38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38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38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38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38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39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39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39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39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39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39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39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40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40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40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40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40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40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40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41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41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41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41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41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41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41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42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42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42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42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42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42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42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43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43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43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43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43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43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43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44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44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44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44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44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44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44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45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45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45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45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45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45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45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46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46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46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46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46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46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46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47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47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47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47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47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47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47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48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48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48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48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48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48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48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49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49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49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49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49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49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49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50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50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50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50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50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50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50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51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51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51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51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51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51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51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52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52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52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52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52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52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52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53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53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53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53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53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53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53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54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54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54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54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54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54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54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  <comment ref="A255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B255" authorId="0" shapeId="0">
      <text>
        <t>Tanım: MakineAd | Neden önemli: OEE ve duruş kök-neden analizini etkiler | Doğru kullanım: Manuel giriş | Örnek: hücredeki örnek değere bakın | Risk: Yanlış giriş hatalı karar üretir</t>
      </text>
    </comment>
    <comment ref="C255" authorId="0" shapeId="0">
      <text>
        <t>Tanım: Hat | Neden önemli: OEE ve duruş kök-neden analizini etkiler | Doğru kullanım: Manuel giriş | Örnek: hücredeki örnek değere bakın | Risk: Yanlış giriş hatalı karar üretir</t>
      </text>
    </comment>
    <comment ref="D255" authorId="0" shapeId="0">
      <text>
        <t>Tanım: IdealCevrim_sn | Neden önemli: OEE ve duruş kök-neden analizini etkiler | Doğru kullanım: Manuel giriş | Örnek: hücredeki örnek değere bakın | Risk: Yanlış giriş hatalı karar üretir</t>
      </text>
    </comment>
    <comment ref="E255" authorId="0" shapeId="0">
      <text>
        <t>Tanım: VardiyaSure_dk | Neden önemli: OEE ve duruş kök-neden analizini etkiler | Doğru kullanım: Manuel giriş | Örnek: hücredeki örnek değere bakın | Risk: Yanlış giriş hatalı karar üretir</t>
      </text>
    </comment>
    <comment ref="F255" authorId="0" shapeId="0">
      <text>
        <t>Tanım: HedefOee_oran | Neden önemli: OEE ve duruş kök-neden analizini etkiler | Doğru kullanım: Manuel giriş | Örnek: hücredeki örnek değere bakın | Risk: Yanlış giriş hatalı karar üretir</t>
      </text>
    </comment>
    <comment ref="G255" authorId="0" shapeId="0">
      <text>
        <t>Tanım: Aktif | Neden önemli: OEE ve duruş kök-neden analizini etkiler | Doğru kullanım: Manuel giriş | Örnek: hücredeki örnek değere bakın | Risk: Yanlış giriş hatalı karar üretir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A6" authorId="0" shapeId="0">
      <text>
        <t>Tanım: Günlük Kimlik | Neden önemli: OEE ve duruş kök-neden analizini etkiler | Doğru kullanım: ODK-##### | Örnek: hücredeki örnek değere bakın | Risk: Yanlış giriş hatalı karar üretir</t>
      </text>
    </comment>
    <comment ref="B6" authorId="0" shapeId="0">
      <text>
        <t>Tanım: Varlık Kimliği | Neden önemli: OEE ve duruş kök-neden analizini etkiler | Doğru kullanım: MAK listesinden | Örnek: hücredeki örnek değere bakın | Risk: Yanlış giriş hatalı karar üretir</t>
      </text>
    </comment>
    <comment ref="C6" authorId="0" shapeId="0">
      <text>
        <t>Tanım: Tarih | Neden önemli: OEE ve duruş kök-neden analizini etkiler | Doğru kullanım: GG.AA.YYYY | Örnek: hücredeki örnek değere bakın | Risk: Yanlış giriş hatalı karar üretir</t>
      </text>
    </comment>
    <comment ref="D6" authorId="0" shapeId="0">
      <text>
        <t>Tanım: Plan Süre [dk] | Neden önemli: OEE ve duruş kök-neden analizini etkiler | Doğru kullanım: Planlı üretim süresi | Örnek: hücredeki örnek değere bakın | Risk: Yanlış giriş hatalı karar üretir</t>
      </text>
    </comment>
    <comment ref="E6" authorId="0" shapeId="0">
      <text>
        <t>Tanım: Duruş [dk] | Neden önemli: OEE ve duruş kök-neden analizini etkiler | Doğru kullanım: Toplam duruş dakikası | Örnek: hücredeki örnek değere bakın | Risk: Yanlış giriş hatalı karar üretir</t>
      </text>
    </comment>
    <comment ref="F6" authorId="0" shapeId="0">
      <text>
        <t>Tanım: Üretim [adet] | Neden önemli: OEE ve duruş kök-neden analizini etkiler | Doğru kullanım: Toplam üretilen adet | Örnek: hücredeki örnek değere bakın | Risk: Yanlış giriş hatalı karar üretir</t>
      </text>
    </comment>
    <comment ref="G6" authorId="0" shapeId="0">
      <text>
        <t>Tanım: Fire [adet] | Neden önemli: OEE ve duruş kök-neden analizini etkiler | Doğru kullanım: Fire / hurda adedi | Örnek: hücredeki örnek değere bakın | Risk: Yanlış giriş hatalı karar üretir</t>
      </text>
    </comment>
    <comment ref="H6" authorId="0" shapeId="0">
      <text>
        <t>Tanım: Kök Neden | Neden önemli: OEE ve duruş kök-neden analizini etkiler | Doğru kullanım: Duruş kök-neden kodu | Örnek: hücredeki örnek değere bakın | Risk: Yanlış giriş hatalı karar üretir</t>
      </text>
    </comment>
    <comment ref="A7" authorId="0" shapeId="0">
      <text>
        <t>Tanım: Günlük Kimlik | Neden önemli: OEE ve duruş kök-neden analizini etkiler | Doğru kullanım: ODK-##### | Örnek: hücredeki örnek değere bakın | Risk: Yanlış giriş hatalı karar üretir</t>
      </text>
    </comment>
    <comment ref="B7" authorId="0" shapeId="0">
      <text>
        <t>Tanım: Varlık Kimliği | Neden önemli: OEE ve duruş kök-neden analizini etkiler | Doğru kullanım: MAK listesinden | Örnek: hücredeki örnek değere bakın | Risk: Yanlış giriş hatalı karar üretir</t>
      </text>
    </comment>
    <comment ref="C7" authorId="0" shapeId="0">
      <text>
        <t>Tanım: Tarih | Neden önemli: OEE ve duruş kök-neden analizini etkiler | Doğru kullanım: GG.AA.YYYY | Örnek: hücredeki örnek değere bakın | Risk: Yanlış giriş hatalı karar üretir</t>
      </text>
    </comment>
    <comment ref="D7" authorId="0" shapeId="0">
      <text>
        <t>Tanım: Plan Süre [dk] | Neden önemli: OEE ve duruş kök-neden analizini etkiler | Doğru kullanım: Planlı üretim süresi | Örnek: hücredeki örnek değere bakın | Risk: Yanlış giriş hatalı karar üretir</t>
      </text>
    </comment>
    <comment ref="E7" authorId="0" shapeId="0">
      <text>
        <t>Tanım: Duruş [dk] | Neden önemli: OEE ve duruş kök-neden analizini etkiler | Doğru kullanım: Toplam duruş dakikası | Örnek: hücredeki örnek değere bakın | Risk: Yanlış giriş hatalı karar üretir</t>
      </text>
    </comment>
    <comment ref="F7" authorId="0" shapeId="0">
      <text>
        <t>Tanım: Üretim [adet] | Neden önemli: OEE ve duruş kök-neden analizini etkiler | Doğru kullanım: Toplam üretilen adet | Örnek: hücredeki örnek değere bakın | Risk: Yanlış giriş hatalı karar üretir</t>
      </text>
    </comment>
    <comment ref="G7" authorId="0" shapeId="0">
      <text>
        <t>Tanım: Fire [adet] | Neden önemli: OEE ve duruş kök-neden analizini etkiler | Doğru kullanım: Fire / hurda adedi | Örnek: hücredeki örnek değere bakın | Risk: Yanlış giriş hatalı karar üretir</t>
      </text>
    </comment>
    <comment ref="H7" authorId="0" shapeId="0">
      <text>
        <t>Tanım: Kök Neden | Neden önemli: OEE ve duruş kök-neden analizini etkiler | Doğru kullanım: Duruş kök-neden kodu | Örnek: hücredeki örnek değere bakın | Risk: Yanlış giriş hatalı karar üretir</t>
      </text>
    </comment>
    <comment ref="A8" authorId="0" shapeId="0">
      <text>
        <t>Tanım: Günlük Kimlik | Neden önemli: OEE ve duruş kök-neden analizini etkiler | Doğru kullanım: ODK-##### | Örnek: hücredeki örnek değere bakın | Risk: Yanlış giriş hatalı karar üretir</t>
      </text>
    </comment>
    <comment ref="B8" authorId="0" shapeId="0">
      <text>
        <t>Tanım: Varlık Kimliği | Neden önemli: OEE ve duruş kök-neden analizini etkiler | Doğru kullanım: MAK listesinden | Örnek: hücredeki örnek değere bakın | Risk: Yanlış giriş hatalı karar üretir</t>
      </text>
    </comment>
    <comment ref="C8" authorId="0" shapeId="0">
      <text>
        <t>Tanım: Tarih | Neden önemli: OEE ve duruş kök-neden analizini etkiler | Doğru kullanım: GG.AA.YYYY | Örnek: hücredeki örnek değere bakın | Risk: Yanlış giriş hatalı karar üretir</t>
      </text>
    </comment>
    <comment ref="D8" authorId="0" shapeId="0">
      <text>
        <t>Tanım: Plan Süre [dk] | Neden önemli: OEE ve duruş kök-neden analizini etkiler | Doğru kullanım: Planlı üretim süresi | Örnek: hücredeki örnek değere bakın | Risk: Yanlış giriş hatalı karar üretir</t>
      </text>
    </comment>
    <comment ref="E8" authorId="0" shapeId="0">
      <text>
        <t>Tanım: Duruş [dk] | Neden önemli: OEE ve duruş kök-neden analizini etkiler | Doğru kullanım: Toplam duruş dakikası | Örnek: hücredeki örnek değere bakın | Risk: Yanlış giriş hatalı karar üretir</t>
      </text>
    </comment>
    <comment ref="F8" authorId="0" shapeId="0">
      <text>
        <t>Tanım: Üretim [adet] | Neden önemli: OEE ve duruş kök-neden analizini etkiler | Doğru kullanım: Toplam üretilen adet | Örnek: hücredeki örnek değere bakın | Risk: Yanlış giriş hatalı karar üretir</t>
      </text>
    </comment>
    <comment ref="G8" authorId="0" shapeId="0">
      <text>
        <t>Tanım: Fire [adet] | Neden önemli: OEE ve duruş kök-neden analizini etkiler | Doğru kullanım: Fire / hurda adedi | Örnek: hücredeki örnek değere bakın | Risk: Yanlış giriş hatalı karar üretir</t>
      </text>
    </comment>
    <comment ref="H8" authorId="0" shapeId="0">
      <text>
        <t>Tanım: Kök Neden | Neden önemli: OEE ve duruş kök-neden analizini etkiler | Doğru kullanım: Duruş kök-neden kodu | Örnek: hücredeki örnek değere bakın | Risk: Yanlış giriş hatalı karar üretir</t>
      </text>
    </comment>
    <comment ref="A9" authorId="0" shapeId="0">
      <text>
        <t>Tanım: Günlük Kimlik | Neden önemli: OEE ve duruş kök-neden analizini etkiler | Doğru kullanım: ODK-##### | Örnek: hücredeki örnek değere bakın | Risk: Yanlış giriş hatalı karar üretir</t>
      </text>
    </comment>
    <comment ref="B9" authorId="0" shapeId="0">
      <text>
        <t>Tanım: Varlık Kimliği | Neden önemli: OEE ve duruş kök-neden analizini etkiler | Doğru kullanım: MAK listesinden | Örnek: hücredeki örnek değere bakın | Risk: Yanlış giriş hatalı karar üretir</t>
      </text>
    </comment>
    <comment ref="C9" authorId="0" shapeId="0">
      <text>
        <t>Tanım: Tarih | Neden önemli: OEE ve duruş kök-neden analizini etkiler | Doğru kullanım: GG.AA.YYYY | Örnek: hücredeki örnek değere bakın | Risk: Yanlış giriş hatalı karar üretir</t>
      </text>
    </comment>
    <comment ref="D9" authorId="0" shapeId="0">
      <text>
        <t>Tanım: Plan Süre [dk] | Neden önemli: OEE ve duruş kök-neden analizini etkiler | Doğru kullanım: Planlı üretim süresi | Örnek: hücredeki örnek değere bakın | Risk: Yanlış giriş hatalı karar üretir</t>
      </text>
    </comment>
    <comment ref="E9" authorId="0" shapeId="0">
      <text>
        <t>Tanım: Duruş [dk] | Neden önemli: OEE ve duruş kök-neden analizini etkiler | Doğru kullanım: Toplam duruş dakikası | Örnek: hücredeki örnek değere bakın | Risk: Yanlış giriş hatalı karar üretir</t>
      </text>
    </comment>
    <comment ref="F9" authorId="0" shapeId="0">
      <text>
        <t>Tanım: Üretim [adet] | Neden önemli: OEE ve duruş kök-neden analizini etkiler | Doğru kullanım: Toplam üretilen adet | Örnek: hücredeki örnek değere bakın | Risk: Yanlış giriş hatalı karar üretir</t>
      </text>
    </comment>
    <comment ref="G9" authorId="0" shapeId="0">
      <text>
        <t>Tanım: Fire [adet] | Neden önemli: OEE ve duruş kök-neden analizini etkiler | Doğru kullanım: Fire / hurda adedi | Örnek: hücredeki örnek değere bakın | Risk: Yanlış giriş hatalı karar üretir</t>
      </text>
    </comment>
    <comment ref="H9" authorId="0" shapeId="0">
      <text>
        <t>Tanım: Kök Neden | Neden önemli: OEE ve duruş kök-neden analizini etkiler | Doğru kullanım: Duruş kök-neden kodu | Örnek: hücredeki örnek değere bakın | Risk: Yanlış giriş hatalı karar üretir</t>
      </text>
    </comment>
    <comment ref="A10" authorId="0" shapeId="0">
      <text>
        <t>Tanım: Günlük Kimlik | Neden önemli: OEE ve duruş kök-neden analizini etkiler | Doğru kullanım: ODK-##### | Örnek: hücredeki örnek değere bakın | Risk: Yanlış giriş hatalı karar üretir</t>
      </text>
    </comment>
    <comment ref="B10" authorId="0" shapeId="0">
      <text>
        <t>Tanım: Varlık Kimliği | Neden önemli: OEE ve duruş kök-neden analizini etkiler | Doğru kullanım: MAK listesinden | Örnek: hücredeki örnek değere bakın | Risk: Yanlış giriş hatalı karar üretir</t>
      </text>
    </comment>
    <comment ref="C10" authorId="0" shapeId="0">
      <text>
        <t>Tanım: Tarih | Neden önemli: OEE ve duruş kök-neden analizini etkiler | Doğru kullanım: GG.AA.YYYY | Örnek: hücredeki örnek değere bakın | Risk: Yanlış giriş hatalı karar üretir</t>
      </text>
    </comment>
    <comment ref="D10" authorId="0" shapeId="0">
      <text>
        <t>Tanım: Plan Süre [dk] | Neden önemli: OEE ve duruş kök-neden analizini etkiler | Doğru kullanım: Planlı üretim süresi | Örnek: hücredeki örnek değere bakın | Risk: Yanlış giriş hatalı karar üretir</t>
      </text>
    </comment>
    <comment ref="E10" authorId="0" shapeId="0">
      <text>
        <t>Tanım: Duruş [dk] | Neden önemli: OEE ve duruş kök-neden analizini etkiler | Doğru kullanım: Toplam duruş dakikası | Örnek: hücredeki örnek değere bakın | Risk: Yanlış giriş hatalı karar üretir</t>
      </text>
    </comment>
    <comment ref="F10" authorId="0" shapeId="0">
      <text>
        <t>Tanım: Üretim [adet] | Neden önemli: OEE ve duruş kök-neden analizini etkiler | Doğru kullanım: Toplam üretilen adet | Örnek: hücredeki örnek değere bakın | Risk: Yanlış giriş hatalı karar üretir</t>
      </text>
    </comment>
    <comment ref="G10" authorId="0" shapeId="0">
      <text>
        <t>Tanım: Fire [adet] | Neden önemli: OEE ve duruş kök-neden analizini etkiler | Doğru kullanım: Fire / hurda adedi | Örnek: hücredeki örnek değere bakın | Risk: Yanlış giriş hatalı karar üretir</t>
      </text>
    </comment>
    <comment ref="H10" authorId="0" shapeId="0">
      <text>
        <t>Tanım: Kök Neden | Neden önemli: OEE ve duruş kök-neden analizini etkiler | Doğru kullanım: Duruş kök-neden kodu | Örnek: hücredeki örnek değere bakın | Risk: Yanlış giriş hatalı karar üretir</t>
      </text>
    </comment>
    <comment ref="A11" authorId="0" shapeId="0">
      <text>
        <t>Tanım: Günlük Kimlik | Neden önemli: OEE ve duruş kök-neden analizini etkiler | Doğru kullanım: ODK-##### | Örnek: hücredeki örnek değere bakın | Risk: Yanlış giriş hatalı karar üretir</t>
      </text>
    </comment>
    <comment ref="B11" authorId="0" shapeId="0">
      <text>
        <t>Tanım: Varlık Kimliği | Neden önemli: OEE ve duruş kök-neden analizini etkiler | Doğru kullanım: MAK listesinden | Örnek: hücredeki örnek değere bakın | Risk: Yanlış giriş hatalı karar üretir</t>
      </text>
    </comment>
    <comment ref="C11" authorId="0" shapeId="0">
      <text>
        <t>Tanım: Tarih | Neden önemli: OEE ve duruş kök-neden analizini etkiler | Doğru kullanım: GG.AA.YYYY | Örnek: hücredeki örnek değere bakın | Risk: Yanlış giriş hatalı karar üretir</t>
      </text>
    </comment>
    <comment ref="D11" authorId="0" shapeId="0">
      <text>
        <t>Tanım: Plan Süre [dk] | Neden önemli: OEE ve duruş kök-neden analizini etkiler | Doğru kullanım: Planlı üretim süresi | Örnek: hücredeki örnek değere bakın | Risk: Yanlış giriş hatalı karar üretir</t>
      </text>
    </comment>
    <comment ref="E11" authorId="0" shapeId="0">
      <text>
        <t>Tanım: Duruş [dk] | Neden önemli: OEE ve duruş kök-neden analizini etkiler | Doğru kullanım: Toplam duruş dakikası | Örnek: hücredeki örnek değere bakın | Risk: Yanlış giriş hatalı karar üretir</t>
      </text>
    </comment>
    <comment ref="F11" authorId="0" shapeId="0">
      <text>
        <t>Tanım: Üretim [adet] | Neden önemli: OEE ve duruş kök-neden analizini etkiler | Doğru kullanım: Toplam üretilen adet | Örnek: hücredeki örnek değere bakın | Risk: Yanlış giriş hatalı karar üretir</t>
      </text>
    </comment>
    <comment ref="G11" authorId="0" shapeId="0">
      <text>
        <t>Tanım: Fire [adet] | Neden önemli: OEE ve duruş kök-neden analizini etkiler | Doğru kullanım: Fire / hurda adedi | Örnek: hücredeki örnek değere bakın | Risk: Yanlış giriş hatalı karar üretir</t>
      </text>
    </comment>
    <comment ref="H11" authorId="0" shapeId="0">
      <text>
        <t>Tanım: Kök Neden | Neden önemli: OEE ve duruş kök-neden analizini etkiler | Doğru kullanım: Duruş kök-neden kodu | Örnek: hücredeki örnek değere bakın | Risk: Yanlış giriş hatalı karar üretir</t>
      </text>
    </comment>
    <comment ref="A12" authorId="0" shapeId="0">
      <text>
        <t>Tanım: Günlük Kimlik | Neden önemli: OEE ve duruş kök-neden analizini etkiler | Doğru kullanım: ODK-##### | Örnek: hücredeki örnek değere bakın | Risk: Yanlış giriş hatalı karar üretir</t>
      </text>
    </comment>
    <comment ref="B12" authorId="0" shapeId="0">
      <text>
        <t>Tanım: Varlık Kimliği | Neden önemli: OEE ve duruş kök-neden analizini etkiler | Doğru kullanım: MAK listesinden | Örnek: hücredeki örnek değere bakın | Risk: Yanlış giriş hatalı karar üretir</t>
      </text>
    </comment>
    <comment ref="C12" authorId="0" shapeId="0">
      <text>
        <t>Tanım: Tarih | Neden önemli: OEE ve duruş kök-neden analizini etkiler | Doğru kullanım: GG.AA.YYYY | Örnek: hücredeki örnek değere bakın | Risk: Yanlış giriş hatalı karar üretir</t>
      </text>
    </comment>
    <comment ref="D12" authorId="0" shapeId="0">
      <text>
        <t>Tanım: Plan Süre [dk] | Neden önemli: OEE ve duruş kök-neden analizini etkiler | Doğru kullanım: Planlı üretim süresi | Örnek: hücredeki örnek değere bakın | Risk: Yanlış giriş hatalı karar üretir</t>
      </text>
    </comment>
    <comment ref="E12" authorId="0" shapeId="0">
      <text>
        <t>Tanım: Duruş [dk] | Neden önemli: OEE ve duruş kök-neden analizini etkiler | Doğru kullanım: Toplam duruş dakikası | Örnek: hücredeki örnek değere bakın | Risk: Yanlış giriş hatalı karar üretir</t>
      </text>
    </comment>
    <comment ref="F12" authorId="0" shapeId="0">
      <text>
        <t>Tanım: Üretim [adet] | Neden önemli: OEE ve duruş kök-neden analizini etkiler | Doğru kullanım: Toplam üretilen adet | Örnek: hücredeki örnek değere bakın | Risk: Yanlış giriş hatalı karar üretir</t>
      </text>
    </comment>
    <comment ref="G12" authorId="0" shapeId="0">
      <text>
        <t>Tanım: Fire [adet] | Neden önemli: OEE ve duruş kök-neden analizini etkiler | Doğru kullanım: Fire / hurda adedi | Örnek: hücredeki örnek değere bakın | Risk: Yanlış giriş hatalı karar üretir</t>
      </text>
    </comment>
    <comment ref="H12" authorId="0" shapeId="0">
      <text>
        <t>Tanım: Kök Neden | Neden önemli: OEE ve duruş kök-neden analizini etkiler | Doğru kullanım: Duruş kök-neden kodu | Örnek: hücredeki örnek değere bakın | Risk: Yanlış giriş hatalı karar üretir</t>
      </text>
    </comment>
    <comment ref="A13" authorId="0" shapeId="0">
      <text>
        <t>Tanım: Günlük Kimlik | Neden önemli: OEE ve duruş kök-neden analizini etkiler | Doğru kullanım: ODK-##### | Örnek: hücredeki örnek değere bakın | Risk: Yanlış giriş hatalı karar üretir</t>
      </text>
    </comment>
    <comment ref="B13" authorId="0" shapeId="0">
      <text>
        <t>Tanım: Varlık Kimliği | Neden önemli: OEE ve duruş kök-neden analizini etkiler | Doğru kullanım: MAK listesinden | Örnek: hücredeki örnek değere bakın | Risk: Yanlış giriş hatalı karar üretir</t>
      </text>
    </comment>
    <comment ref="C13" authorId="0" shapeId="0">
      <text>
        <t>Tanım: Tarih | Neden önemli: OEE ve duruş kök-neden analizini etkiler | Doğru kullanım: GG.AA.YYYY | Örnek: hücredeki örnek değere bakın | Risk: Yanlış giriş hatalı karar üretir</t>
      </text>
    </comment>
    <comment ref="D13" authorId="0" shapeId="0">
      <text>
        <t>Tanım: Plan Süre [dk] | Neden önemli: OEE ve duruş kök-neden analizini etkiler | Doğru kullanım: Planlı üretim süresi | Örnek: hücredeki örnek değere bakın | Risk: Yanlış giriş hatalı karar üretir</t>
      </text>
    </comment>
    <comment ref="E13" authorId="0" shapeId="0">
      <text>
        <t>Tanım: Duruş [dk] | Neden önemli: OEE ve duruş kök-neden analizini etkiler | Doğru kullanım: Toplam duruş dakikası | Örnek: hücredeki örnek değere bakın | Risk: Yanlış giriş hatalı karar üretir</t>
      </text>
    </comment>
    <comment ref="F13" authorId="0" shapeId="0">
      <text>
        <t>Tanım: Üretim [adet] | Neden önemli: OEE ve duruş kök-neden analizini etkiler | Doğru kullanım: Toplam üretilen adet | Örnek: hücredeki örnek değere bakın | Risk: Yanlış giriş hatalı karar üretir</t>
      </text>
    </comment>
    <comment ref="G13" authorId="0" shapeId="0">
      <text>
        <t>Tanım: Fire [adet] | Neden önemli: OEE ve duruş kök-neden analizini etkiler | Doğru kullanım: Fire / hurda adedi | Örnek: hücredeki örnek değere bakın | Risk: Yanlış giriş hatalı karar üretir</t>
      </text>
    </comment>
    <comment ref="H13" authorId="0" shapeId="0">
      <text>
        <t>Tanım: Kök Neden | Neden önemli: OEE ve duruş kök-neden analizini etkiler | Doğru kullanım: Duruş kök-neden kodu | Örnek: hücredeki örnek değere bakın | Risk: Yanlış giriş hatalı karar üretir</t>
      </text>
    </comment>
    <comment ref="A14" authorId="0" shapeId="0">
      <text>
        <t>Tanım: Günlük Kimlik | Neden önemli: OEE ve duruş kök-neden analizini etkiler | Doğru kullanım: ODK-##### | Örnek: hücredeki örnek değere bakın | Risk: Yanlış giriş hatalı karar üretir</t>
      </text>
    </comment>
    <comment ref="B14" authorId="0" shapeId="0">
      <text>
        <t>Tanım: Varlık Kimliği | Neden önemli: OEE ve duruş kök-neden analizini etkiler | Doğru kullanım: MAK listesinden | Örnek: hücredeki örnek değere bakın | Risk: Yanlış giriş hatalı karar üretir</t>
      </text>
    </comment>
    <comment ref="C14" authorId="0" shapeId="0">
      <text>
        <t>Tanım: Tarih | Neden önemli: OEE ve duruş kök-neden analizini etkiler | Doğru kullanım: GG.AA.YYYY | Örnek: hücredeki örnek değere bakın | Risk: Yanlış giriş hatalı karar üretir</t>
      </text>
    </comment>
    <comment ref="D14" authorId="0" shapeId="0">
      <text>
        <t>Tanım: Plan Süre [dk] | Neden önemli: OEE ve duruş kök-neden analizini etkiler | Doğru kullanım: Planlı üretim süresi | Örnek: hücredeki örnek değere bakın | Risk: Yanlış giriş hatalı karar üretir</t>
      </text>
    </comment>
    <comment ref="E14" authorId="0" shapeId="0">
      <text>
        <t>Tanım: Duruş [dk] | Neden önemli: OEE ve duruş kök-neden analizini etkiler | Doğru kullanım: Toplam duruş dakikası | Örnek: hücredeki örnek değere bakın | Risk: Yanlış giriş hatalı karar üretir</t>
      </text>
    </comment>
    <comment ref="F14" authorId="0" shapeId="0">
      <text>
        <t>Tanım: Üretim [adet] | Neden önemli: OEE ve duruş kök-neden analizini etkiler | Doğru kullanım: Toplam üretilen adet | Örnek: hücredeki örnek değere bakın | Risk: Yanlış giriş hatalı karar üretir</t>
      </text>
    </comment>
    <comment ref="G14" authorId="0" shapeId="0">
      <text>
        <t>Tanım: Fire [adet] | Neden önemli: OEE ve duruş kök-neden analizini etkiler | Doğru kullanım: Fire / hurda adedi | Örnek: hücredeki örnek değere bakın | Risk: Yanlış giriş hatalı karar üretir</t>
      </text>
    </comment>
    <comment ref="H14" authorId="0" shapeId="0">
      <text>
        <t>Tanım: Kök Neden | Neden önemli: OEE ve duruş kök-neden analizini etkiler | Doğru kullanım: Duruş kök-neden kodu | Örnek: hücredeki örnek değere bakın | Risk: Yanlış giriş hatalı karar üretir</t>
      </text>
    </comment>
    <comment ref="A15" authorId="0" shapeId="0">
      <text>
        <t>Tanım: Günlük Kimlik | Neden önemli: OEE ve duruş kök-neden analizini etkiler | Doğru kullanım: ODK-##### | Örnek: hücredeki örnek değere bakın | Risk: Yanlış giriş hatalı karar üretir</t>
      </text>
    </comment>
    <comment ref="B15" authorId="0" shapeId="0">
      <text>
        <t>Tanım: Varlık Kimliği | Neden önemli: OEE ve duruş kök-neden analizini etkiler | Doğru kullanım: MAK listesinden | Örnek: hücredeki örnek değere bakın | Risk: Yanlış giriş hatalı karar üretir</t>
      </text>
    </comment>
    <comment ref="C15" authorId="0" shapeId="0">
      <text>
        <t>Tanım: Tarih | Neden önemli: OEE ve duruş kök-neden analizini etkiler | Doğru kullanım: GG.AA.YYYY | Örnek: hücredeki örnek değere bakın | Risk: Yanlış giriş hatalı karar üretir</t>
      </text>
    </comment>
    <comment ref="D15" authorId="0" shapeId="0">
      <text>
        <t>Tanım: Plan Süre [dk] | Neden önemli: OEE ve duruş kök-neden analizini etkiler | Doğru kullanım: Planlı üretim süresi | Örnek: hücredeki örnek değere bakın | Risk: Yanlış giriş hatalı karar üretir</t>
      </text>
    </comment>
    <comment ref="E15" authorId="0" shapeId="0">
      <text>
        <t>Tanım: Duruş [dk] | Neden önemli: OEE ve duruş kök-neden analizini etkiler | Doğru kullanım: Toplam duruş dakikası | Örnek: hücredeki örnek değere bakın | Risk: Yanlış giriş hatalı karar üretir</t>
      </text>
    </comment>
    <comment ref="F15" authorId="0" shapeId="0">
      <text>
        <t>Tanım: Üretim [adet] | Neden önemli: OEE ve duruş kök-neden analizini etkiler | Doğru kullanım: Toplam üretilen adet | Örnek: hücredeki örnek değere bakın | Risk: Yanlış giriş hatalı karar üretir</t>
      </text>
    </comment>
    <comment ref="G15" authorId="0" shapeId="0">
      <text>
        <t>Tanım: Fire [adet] | Neden önemli: OEE ve duruş kök-neden analizini etkiler | Doğru kullanım: Fire / hurda adedi | Örnek: hücredeki örnek değere bakın | Risk: Yanlış giriş hatalı karar üretir</t>
      </text>
    </comment>
    <comment ref="H15" authorId="0" shapeId="0">
      <text>
        <t>Tanım: Kök Neden | Neden önemli: OEE ve duruş kök-neden analizini etkiler | Doğru kullanım: Duruş kök-neden kodu | Örnek: hücredeki örnek değere bakın | Risk: Yanlış giriş hatalı karar üretir</t>
      </text>
    </comment>
    <comment ref="A16" authorId="0" shapeId="0">
      <text>
        <t>Tanım: Günlük Kimlik | Neden önemli: OEE ve duruş kök-neden analizini etkiler | Doğru kullanım: ODK-##### | Örnek: hücredeki örnek değere bakın | Risk: Yanlış giriş hatalı karar üretir</t>
      </text>
    </comment>
    <comment ref="B16" authorId="0" shapeId="0">
      <text>
        <t>Tanım: Varlık Kimliği | Neden önemli: OEE ve duruş kök-neden analizini etkiler | Doğru kullanım: MAK listesinden | Örnek: hücredeki örnek değere bakın | Risk: Yanlış giriş hatalı karar üretir</t>
      </text>
    </comment>
    <comment ref="C16" authorId="0" shapeId="0">
      <text>
        <t>Tanım: Tarih | Neden önemli: OEE ve duruş kök-neden analizini etkiler | Doğru kullanım: GG.AA.YYYY | Örnek: hücredeki örnek değere bakın | Risk: Yanlış giriş hatalı karar üretir</t>
      </text>
    </comment>
    <comment ref="D16" authorId="0" shapeId="0">
      <text>
        <t>Tanım: Plan Süre [dk] | Neden önemli: OEE ve duruş kök-neden analizini etkiler | Doğru kullanım: Planlı üretim süresi | Örnek: hücredeki örnek değere bakın | Risk: Yanlış giriş hatalı karar üretir</t>
      </text>
    </comment>
    <comment ref="E16" authorId="0" shapeId="0">
      <text>
        <t>Tanım: Duruş [dk] | Neden önemli: OEE ve duruş kök-neden analizini etkiler | Doğru kullanım: Toplam duruş dakikası | Örnek: hücredeki örnek değere bakın | Risk: Yanlış giriş hatalı karar üretir</t>
      </text>
    </comment>
    <comment ref="F16" authorId="0" shapeId="0">
      <text>
        <t>Tanım: Üretim [adet] | Neden önemli: OEE ve duruş kök-neden analizini etkiler | Doğru kullanım: Toplam üretilen adet | Örnek: hücredeki örnek değere bakın | Risk: Yanlış giriş hatalı karar üretir</t>
      </text>
    </comment>
    <comment ref="G16" authorId="0" shapeId="0">
      <text>
        <t>Tanım: Fire [adet] | Neden önemli: OEE ve duruş kök-neden analizini etkiler | Doğru kullanım: Fire / hurda adedi | Örnek: hücredeki örnek değere bakın | Risk: Yanlış giriş hatalı karar üretir</t>
      </text>
    </comment>
    <comment ref="H16" authorId="0" shapeId="0">
      <text>
        <t>Tanım: Kök Neden | Neden önemli: OEE ve duruş kök-neden analizini etkiler | Doğru kullanım: Duruş kök-neden kodu | Örnek: hücredeki örnek değere bakın | Risk: Yanlış giriş hatalı karar üretir</t>
      </text>
    </comment>
    <comment ref="A17" authorId="0" shapeId="0">
      <text>
        <t>Tanım: Günlük Kimlik | Neden önemli: OEE ve duruş kök-neden analizini etkiler | Doğru kullanım: ODK-##### | Örnek: hücredeki örnek değere bakın | Risk: Yanlış giriş hatalı karar üretir</t>
      </text>
    </comment>
    <comment ref="B17" authorId="0" shapeId="0">
      <text>
        <t>Tanım: Varlık Kimliği | Neden önemli: OEE ve duruş kök-neden analizini etkiler | Doğru kullanım: MAK listesinden | Örnek: hücredeki örnek değere bakın | Risk: Yanlış giriş hatalı karar üretir</t>
      </text>
    </comment>
    <comment ref="C17" authorId="0" shapeId="0">
      <text>
        <t>Tanım: Tarih | Neden önemli: OEE ve duruş kök-neden analizini etkiler | Doğru kullanım: GG.AA.YYYY | Örnek: hücredeki örnek değere bakın | Risk: Yanlış giriş hatalı karar üretir</t>
      </text>
    </comment>
    <comment ref="D17" authorId="0" shapeId="0">
      <text>
        <t>Tanım: Plan Süre [dk] | Neden önemli: OEE ve duruş kök-neden analizini etkiler | Doğru kullanım: Planlı üretim süresi | Örnek: hücredeki örnek değere bakın | Risk: Yanlış giriş hatalı karar üretir</t>
      </text>
    </comment>
    <comment ref="E17" authorId="0" shapeId="0">
      <text>
        <t>Tanım: Duruş [dk] | Neden önemli: OEE ve duruş kök-neden analizini etkiler | Doğru kullanım: Toplam duruş dakikası | Örnek: hücredeki örnek değere bakın | Risk: Yanlış giriş hatalı karar üretir</t>
      </text>
    </comment>
    <comment ref="F17" authorId="0" shapeId="0">
      <text>
        <t>Tanım: Üretim [adet] | Neden önemli: OEE ve duruş kök-neden analizini etkiler | Doğru kullanım: Toplam üretilen adet | Örnek: hücredeki örnek değere bakın | Risk: Yanlış giriş hatalı karar üretir</t>
      </text>
    </comment>
    <comment ref="G17" authorId="0" shapeId="0">
      <text>
        <t>Tanım: Fire [adet] | Neden önemli: OEE ve duruş kök-neden analizini etkiler | Doğru kullanım: Fire / hurda adedi | Örnek: hücredeki örnek değere bakın | Risk: Yanlış giriş hatalı karar üretir</t>
      </text>
    </comment>
    <comment ref="H17" authorId="0" shapeId="0">
      <text>
        <t>Tanım: Kök Neden | Neden önemli: OEE ve duruş kök-neden analizini etkiler | Doğru kullanım: Duruş kök-neden kodu | Örnek: hücredeki örnek değere bakın | Risk: Yanlış giriş hatalı karar üretir</t>
      </text>
    </comment>
    <comment ref="A18" authorId="0" shapeId="0">
      <text>
        <t>Tanım: Günlük Kimlik | Neden önemli: OEE ve duruş kök-neden analizini etkiler | Doğru kullanım: ODK-##### | Örnek: hücredeki örnek değere bakın | Risk: Yanlış giriş hatalı karar üretir</t>
      </text>
    </comment>
    <comment ref="B18" authorId="0" shapeId="0">
      <text>
        <t>Tanım: Varlık Kimliği | Neden önemli: OEE ve duruş kök-neden analizini etkiler | Doğru kullanım: MAK listesinden | Örnek: hücredeki örnek değere bakın | Risk: Yanlış giriş hatalı karar üretir</t>
      </text>
    </comment>
    <comment ref="C18" authorId="0" shapeId="0">
      <text>
        <t>Tanım: Tarih | Neden önemli: OEE ve duruş kök-neden analizini etkiler | Doğru kullanım: GG.AA.YYYY | Örnek: hücredeki örnek değere bakın | Risk: Yanlış giriş hatalı karar üretir</t>
      </text>
    </comment>
    <comment ref="D18" authorId="0" shapeId="0">
      <text>
        <t>Tanım: Plan Süre [dk] | Neden önemli: OEE ve duruş kök-neden analizini etkiler | Doğru kullanım: Planlı üretim süresi | Örnek: hücredeki örnek değere bakın | Risk: Yanlış giriş hatalı karar üretir</t>
      </text>
    </comment>
    <comment ref="E18" authorId="0" shapeId="0">
      <text>
        <t>Tanım: Duruş [dk] | Neden önemli: OEE ve duruş kök-neden analizini etkiler | Doğru kullanım: Toplam duruş dakikası | Örnek: hücredeki örnek değere bakın | Risk: Yanlış giriş hatalı karar üretir</t>
      </text>
    </comment>
    <comment ref="F18" authorId="0" shapeId="0">
      <text>
        <t>Tanım: Üretim [adet] | Neden önemli: OEE ve duruş kök-neden analizini etkiler | Doğru kullanım: Toplam üretilen adet | Örnek: hücredeki örnek değere bakın | Risk: Yanlış giriş hatalı karar üretir</t>
      </text>
    </comment>
    <comment ref="G18" authorId="0" shapeId="0">
      <text>
        <t>Tanım: Fire [adet] | Neden önemli: OEE ve duruş kök-neden analizini etkiler | Doğru kullanım: Fire / hurda adedi | Örnek: hücredeki örnek değere bakın | Risk: Yanlış giriş hatalı karar üretir</t>
      </text>
    </comment>
    <comment ref="H18" authorId="0" shapeId="0">
      <text>
        <t>Tanım: Kök Neden | Neden önemli: OEE ve duruş kök-neden analizini etkiler | Doğru kullanım: Duruş kök-neden kodu | Örnek: hücredeki örnek değere bakın | Risk: Yanlış giriş hatalı karar üretir</t>
      </text>
    </comment>
    <comment ref="A19" authorId="0" shapeId="0">
      <text>
        <t>Tanım: Günlük Kimlik | Neden önemli: OEE ve duruş kök-neden analizini etkiler | Doğru kullanım: ODK-##### | Örnek: hücredeki örnek değere bakın | Risk: Yanlış giriş hatalı karar üretir</t>
      </text>
    </comment>
    <comment ref="B19" authorId="0" shapeId="0">
      <text>
        <t>Tanım: Varlık Kimliği | Neden önemli: OEE ve duruş kök-neden analizini etkiler | Doğru kullanım: MAK listesinden | Örnek: hücredeki örnek değere bakın | Risk: Yanlış giriş hatalı karar üretir</t>
      </text>
    </comment>
    <comment ref="C19" authorId="0" shapeId="0">
      <text>
        <t>Tanım: Tarih | Neden önemli: OEE ve duruş kök-neden analizini etkiler | Doğru kullanım: GG.AA.YYYY | Örnek: hücredeki örnek değere bakın | Risk: Yanlış giriş hatalı karar üretir</t>
      </text>
    </comment>
    <comment ref="D19" authorId="0" shapeId="0">
      <text>
        <t>Tanım: Plan Süre [dk] | Neden önemli: OEE ve duruş kök-neden analizini etkiler | Doğru kullanım: Planlı üretim süresi | Örnek: hücredeki örnek değere bakın | Risk: Yanlış giriş hatalı karar üretir</t>
      </text>
    </comment>
    <comment ref="E19" authorId="0" shapeId="0">
      <text>
        <t>Tanım: Duruş [dk] | Neden önemli: OEE ve duruş kök-neden analizini etkiler | Doğru kullanım: Toplam duruş dakikası | Örnek: hücredeki örnek değere bakın | Risk: Yanlış giriş hatalı karar üretir</t>
      </text>
    </comment>
    <comment ref="F19" authorId="0" shapeId="0">
      <text>
        <t>Tanım: Üretim [adet] | Neden önemli: OEE ve duruş kök-neden analizini etkiler | Doğru kullanım: Toplam üretilen adet | Örnek: hücredeki örnek değere bakın | Risk: Yanlış giriş hatalı karar üretir</t>
      </text>
    </comment>
    <comment ref="G19" authorId="0" shapeId="0">
      <text>
        <t>Tanım: Fire [adet] | Neden önemli: OEE ve duruş kök-neden analizini etkiler | Doğru kullanım: Fire / hurda adedi | Örnek: hücredeki örnek değere bakın | Risk: Yanlış giriş hatalı karar üretir</t>
      </text>
    </comment>
    <comment ref="H19" authorId="0" shapeId="0">
      <text>
        <t>Tanım: Kök Neden | Neden önemli: OEE ve duruş kök-neden analizini etkiler | Doğru kullanım: Duruş kök-neden kodu | Örnek: hücredeki örnek değere bakın | Risk: Yanlış giriş hatalı karar üretir</t>
      </text>
    </comment>
    <comment ref="A20" authorId="0" shapeId="0">
      <text>
        <t>Tanım: Günlük Kimlik | Neden önemli: OEE ve duruş kök-neden analizini etkiler | Doğru kullanım: ODK-##### | Örnek: hücredeki örnek değere bakın | Risk: Yanlış giriş hatalı karar üretir</t>
      </text>
    </comment>
    <comment ref="B20" authorId="0" shapeId="0">
      <text>
        <t>Tanım: Varlık Kimliği | Neden önemli: OEE ve duruş kök-neden analizini etkiler | Doğru kullanım: MAK listesinden | Örnek: hücredeki örnek değere bakın | Risk: Yanlış giriş hatalı karar üretir</t>
      </text>
    </comment>
    <comment ref="C20" authorId="0" shapeId="0">
      <text>
        <t>Tanım: Tarih | Neden önemli: OEE ve duruş kök-neden analizini etkiler | Doğru kullanım: GG.AA.YYYY | Örnek: hücredeki örnek değere bakın | Risk: Yanlış giriş hatalı karar üretir</t>
      </text>
    </comment>
    <comment ref="D20" authorId="0" shapeId="0">
      <text>
        <t>Tanım: Plan Süre [dk] | Neden önemli: OEE ve duruş kök-neden analizini etkiler | Doğru kullanım: Planlı üretim süresi | Örnek: hücredeki örnek değere bakın | Risk: Yanlış giriş hatalı karar üretir</t>
      </text>
    </comment>
    <comment ref="E20" authorId="0" shapeId="0">
      <text>
        <t>Tanım: Duruş [dk] | Neden önemli: OEE ve duruş kök-neden analizini etkiler | Doğru kullanım: Toplam duruş dakikası | Örnek: hücredeki örnek değere bakın | Risk: Yanlış giriş hatalı karar üretir</t>
      </text>
    </comment>
    <comment ref="F20" authorId="0" shapeId="0">
      <text>
        <t>Tanım: Üretim [adet] | Neden önemli: OEE ve duruş kök-neden analizini etkiler | Doğru kullanım: Toplam üretilen adet | Örnek: hücredeki örnek değere bakın | Risk: Yanlış giriş hatalı karar üretir</t>
      </text>
    </comment>
    <comment ref="G20" authorId="0" shapeId="0">
      <text>
        <t>Tanım: Fire [adet] | Neden önemli: OEE ve duruş kök-neden analizini etkiler | Doğru kullanım: Fire / hurda adedi | Örnek: hücredeki örnek değere bakın | Risk: Yanlış giriş hatalı karar üretir</t>
      </text>
    </comment>
    <comment ref="H20" authorId="0" shapeId="0">
      <text>
        <t>Tanım: Kök Neden | Neden önemli: OEE ve duruş kök-neden analizini etkiler | Doğru kullanım: Duruş kök-neden kodu | Örnek: hücredeki örnek değere bakın | Risk: Yanlış giriş hatalı karar üretir</t>
      </text>
    </comment>
    <comment ref="A21" authorId="0" shapeId="0">
      <text>
        <t>Tanım: Günlük Kimlik | Neden önemli: OEE ve duruş kök-neden analizini etkiler | Doğru kullanım: ODK-##### | Örnek: hücredeki örnek değere bakın | Risk: Yanlış giriş hatalı karar üretir</t>
      </text>
    </comment>
    <comment ref="B21" authorId="0" shapeId="0">
      <text>
        <t>Tanım: Varlık Kimliği | Neden önemli: OEE ve duruş kök-neden analizini etkiler | Doğru kullanım: MAK listesinden | Örnek: hücredeki örnek değere bakın | Risk: Yanlış giriş hatalı karar üretir</t>
      </text>
    </comment>
    <comment ref="C21" authorId="0" shapeId="0">
      <text>
        <t>Tanım: Tarih | Neden önemli: OEE ve duruş kök-neden analizini etkiler | Doğru kullanım: GG.AA.YYYY | Örnek: hücredeki örnek değere bakın | Risk: Yanlış giriş hatalı karar üretir</t>
      </text>
    </comment>
    <comment ref="D21" authorId="0" shapeId="0">
      <text>
        <t>Tanım: Plan Süre [dk] | Neden önemli: OEE ve duruş kök-neden analizini etkiler | Doğru kullanım: Planlı üretim süresi | Örnek: hücredeki örnek değere bakın | Risk: Yanlış giriş hatalı karar üretir</t>
      </text>
    </comment>
    <comment ref="E21" authorId="0" shapeId="0">
      <text>
        <t>Tanım: Duruş [dk] | Neden önemli: OEE ve duruş kök-neden analizini etkiler | Doğru kullanım: Toplam duruş dakikası | Örnek: hücredeki örnek değere bakın | Risk: Yanlış giriş hatalı karar üretir</t>
      </text>
    </comment>
    <comment ref="F21" authorId="0" shapeId="0">
      <text>
        <t>Tanım: Üretim [adet] | Neden önemli: OEE ve duruş kök-neden analizini etkiler | Doğru kullanım: Toplam üretilen adet | Örnek: hücredeki örnek değere bakın | Risk: Yanlış giriş hatalı karar üretir</t>
      </text>
    </comment>
    <comment ref="G21" authorId="0" shapeId="0">
      <text>
        <t>Tanım: Fire [adet] | Neden önemli: OEE ve duruş kök-neden analizini etkiler | Doğru kullanım: Fire / hurda adedi | Örnek: hücredeki örnek değere bakın | Risk: Yanlış giriş hatalı karar üretir</t>
      </text>
    </comment>
    <comment ref="H21" authorId="0" shapeId="0">
      <text>
        <t>Tanım: Kök Neden | Neden önemli: OEE ve duruş kök-neden analizini etkiler | Doğru kullanım: Duruş kök-neden kodu | Örnek: hücredeki örnek değere bakın | Risk: Yanlış giriş hatalı karar üretir</t>
      </text>
    </comment>
    <comment ref="A22" authorId="0" shapeId="0">
      <text>
        <t>Tanım: Günlük Kimlik | Neden önemli: OEE ve duruş kök-neden analizini etkiler | Doğru kullanım: ODK-##### | Örnek: hücredeki örnek değere bakın | Risk: Yanlış giriş hatalı karar üretir</t>
      </text>
    </comment>
    <comment ref="B22" authorId="0" shapeId="0">
      <text>
        <t>Tanım: Varlık Kimliği | Neden önemli: OEE ve duruş kök-neden analizini etkiler | Doğru kullanım: MAK listesinden | Örnek: hücredeki örnek değere bakın | Risk: Yanlış giriş hatalı karar üretir</t>
      </text>
    </comment>
    <comment ref="C22" authorId="0" shapeId="0">
      <text>
        <t>Tanım: Tarih | Neden önemli: OEE ve duruş kök-neden analizini etkiler | Doğru kullanım: GG.AA.YYYY | Örnek: hücredeki örnek değere bakın | Risk: Yanlış giriş hatalı karar üretir</t>
      </text>
    </comment>
    <comment ref="D22" authorId="0" shapeId="0">
      <text>
        <t>Tanım: Plan Süre [dk] | Neden önemli: OEE ve duruş kök-neden analizini etkiler | Doğru kullanım: Planlı üretim süresi | Örnek: hücredeki örnek değere bakın | Risk: Yanlış giriş hatalı karar üretir</t>
      </text>
    </comment>
    <comment ref="E22" authorId="0" shapeId="0">
      <text>
        <t>Tanım: Duruş [dk] | Neden önemli: OEE ve duruş kök-neden analizini etkiler | Doğru kullanım: Toplam duruş dakikası | Örnek: hücredeki örnek değere bakın | Risk: Yanlış giriş hatalı karar üretir</t>
      </text>
    </comment>
    <comment ref="F22" authorId="0" shapeId="0">
      <text>
        <t>Tanım: Üretim [adet] | Neden önemli: OEE ve duruş kök-neden analizini etkiler | Doğru kullanım: Toplam üretilen adet | Örnek: hücredeki örnek değere bakın | Risk: Yanlış giriş hatalı karar üretir</t>
      </text>
    </comment>
    <comment ref="G22" authorId="0" shapeId="0">
      <text>
        <t>Tanım: Fire [adet] | Neden önemli: OEE ve duruş kök-neden analizini etkiler | Doğru kullanım: Fire / hurda adedi | Örnek: hücredeki örnek değere bakın | Risk: Yanlış giriş hatalı karar üretir</t>
      </text>
    </comment>
    <comment ref="H22" authorId="0" shapeId="0">
      <text>
        <t>Tanım: Kök Neden | Neden önemli: OEE ve duruş kök-neden analizini etkiler | Doğru kullanım: Duruş kök-neden kodu | Örnek: hücredeki örnek değere bakın | Risk: Yanlış giriş hatalı karar üretir</t>
      </text>
    </comment>
    <comment ref="A23" authorId="0" shapeId="0">
      <text>
        <t>Tanım: Günlük Kimlik | Neden önemli: OEE ve duruş kök-neden analizini etkiler | Doğru kullanım: ODK-##### | Örnek: hücredeki örnek değere bakın | Risk: Yanlış giriş hatalı karar üretir</t>
      </text>
    </comment>
    <comment ref="B23" authorId="0" shapeId="0">
      <text>
        <t>Tanım: Varlık Kimliği | Neden önemli: OEE ve duruş kök-neden analizini etkiler | Doğru kullanım: MAK listesinden | Örnek: hücredeki örnek değere bakın | Risk: Yanlış giriş hatalı karar üretir</t>
      </text>
    </comment>
    <comment ref="C23" authorId="0" shapeId="0">
      <text>
        <t>Tanım: Tarih | Neden önemli: OEE ve duruş kök-neden analizini etkiler | Doğru kullanım: GG.AA.YYYY | Örnek: hücredeki örnek değere bakın | Risk: Yanlış giriş hatalı karar üretir</t>
      </text>
    </comment>
    <comment ref="D23" authorId="0" shapeId="0">
      <text>
        <t>Tanım: Plan Süre [dk] | Neden önemli: OEE ve duruş kök-neden analizini etkiler | Doğru kullanım: Planlı üretim süresi | Örnek: hücredeki örnek değere bakın | Risk: Yanlış giriş hatalı karar üretir</t>
      </text>
    </comment>
    <comment ref="E23" authorId="0" shapeId="0">
      <text>
        <t>Tanım: Duruş [dk] | Neden önemli: OEE ve duruş kök-neden analizini etkiler | Doğru kullanım: Toplam duruş dakikası | Örnek: hücredeki örnek değere bakın | Risk: Yanlış giriş hatalı karar üretir</t>
      </text>
    </comment>
    <comment ref="F23" authorId="0" shapeId="0">
      <text>
        <t>Tanım: Üretim [adet] | Neden önemli: OEE ve duruş kök-neden analizini etkiler | Doğru kullanım: Toplam üretilen adet | Örnek: hücredeki örnek değere bakın | Risk: Yanlış giriş hatalı karar üretir</t>
      </text>
    </comment>
    <comment ref="G23" authorId="0" shapeId="0">
      <text>
        <t>Tanım: Fire [adet] | Neden önemli: OEE ve duruş kök-neden analizini etkiler | Doğru kullanım: Fire / hurda adedi | Örnek: hücredeki örnek değere bakın | Risk: Yanlış giriş hatalı karar üretir</t>
      </text>
    </comment>
    <comment ref="H23" authorId="0" shapeId="0">
      <text>
        <t>Tanım: Kök Neden | Neden önemli: OEE ve duruş kök-neden analizini etkiler | Doğru kullanım: Duruş kök-neden kodu | Örnek: hücredeki örnek değere bakın | Risk: Yanlış giriş hatalı karar üretir</t>
      </text>
    </comment>
    <comment ref="A24" authorId="0" shapeId="0">
      <text>
        <t>Tanım: Günlük Kimlik | Neden önemli: OEE ve duruş kök-neden analizini etkiler | Doğru kullanım: ODK-##### | Örnek: hücredeki örnek değere bakın | Risk: Yanlış giriş hatalı karar üretir</t>
      </text>
    </comment>
    <comment ref="B24" authorId="0" shapeId="0">
      <text>
        <t>Tanım: Varlık Kimliği | Neden önemli: OEE ve duruş kök-neden analizini etkiler | Doğru kullanım: MAK listesinden | Örnek: hücredeki örnek değere bakın | Risk: Yanlış giriş hatalı karar üretir</t>
      </text>
    </comment>
    <comment ref="C24" authorId="0" shapeId="0">
      <text>
        <t>Tanım: Tarih | Neden önemli: OEE ve duruş kök-neden analizini etkiler | Doğru kullanım: GG.AA.YYYY | Örnek: hücredeki örnek değere bakın | Risk: Yanlış giriş hatalı karar üretir</t>
      </text>
    </comment>
    <comment ref="D24" authorId="0" shapeId="0">
      <text>
        <t>Tanım: Plan Süre [dk] | Neden önemli: OEE ve duruş kök-neden analizini etkiler | Doğru kullanım: Planlı üretim süresi | Örnek: hücredeki örnek değere bakın | Risk: Yanlış giriş hatalı karar üretir</t>
      </text>
    </comment>
    <comment ref="E24" authorId="0" shapeId="0">
      <text>
        <t>Tanım: Duruş [dk] | Neden önemli: OEE ve duruş kök-neden analizini etkiler | Doğru kullanım: Toplam duruş dakikası | Örnek: hücredeki örnek değere bakın | Risk: Yanlış giriş hatalı karar üretir</t>
      </text>
    </comment>
    <comment ref="F24" authorId="0" shapeId="0">
      <text>
        <t>Tanım: Üretim [adet] | Neden önemli: OEE ve duruş kök-neden analizini etkiler | Doğru kullanım: Toplam üretilen adet | Örnek: hücredeki örnek değere bakın | Risk: Yanlış giriş hatalı karar üretir</t>
      </text>
    </comment>
    <comment ref="G24" authorId="0" shapeId="0">
      <text>
        <t>Tanım: Fire [adet] | Neden önemli: OEE ve duruş kök-neden analizini etkiler | Doğru kullanım: Fire / hurda adedi | Örnek: hücredeki örnek değere bakın | Risk: Yanlış giriş hatalı karar üretir</t>
      </text>
    </comment>
    <comment ref="H24" authorId="0" shapeId="0">
      <text>
        <t>Tanım: Kök Neden | Neden önemli: OEE ve duruş kök-neden analizini etkiler | Doğru kullanım: Duruş kök-neden kodu | Örnek: hücredeki örnek değere bakın | Risk: Yanlış giriş hatalı karar üretir</t>
      </text>
    </comment>
    <comment ref="A25" authorId="0" shapeId="0">
      <text>
        <t>Tanım: Günlük Kimlik | Neden önemli: OEE ve duruş kök-neden analizini etkiler | Doğru kullanım: ODK-##### | Örnek: hücredeki örnek değere bakın | Risk: Yanlış giriş hatalı karar üretir</t>
      </text>
    </comment>
    <comment ref="B25" authorId="0" shapeId="0">
      <text>
        <t>Tanım: Varlık Kimliği | Neden önemli: OEE ve duruş kök-neden analizini etkiler | Doğru kullanım: MAK listesinden | Örnek: hücredeki örnek değere bakın | Risk: Yanlış giriş hatalı karar üretir</t>
      </text>
    </comment>
    <comment ref="C25" authorId="0" shapeId="0">
      <text>
        <t>Tanım: Tarih | Neden önemli: OEE ve duruş kök-neden analizini etkiler | Doğru kullanım: GG.AA.YYYY | Örnek: hücredeki örnek değere bakın | Risk: Yanlış giriş hatalı karar üretir</t>
      </text>
    </comment>
    <comment ref="D25" authorId="0" shapeId="0">
      <text>
        <t>Tanım: Plan Süre [dk] | Neden önemli: OEE ve duruş kök-neden analizini etkiler | Doğru kullanım: Planlı üretim süresi | Örnek: hücredeki örnek değere bakın | Risk: Yanlış giriş hatalı karar üretir</t>
      </text>
    </comment>
    <comment ref="E25" authorId="0" shapeId="0">
      <text>
        <t>Tanım: Duruş [dk] | Neden önemli: OEE ve duruş kök-neden analizini etkiler | Doğru kullanım: Toplam duruş dakikası | Örnek: hücredeki örnek değere bakın | Risk: Yanlış giriş hatalı karar üretir</t>
      </text>
    </comment>
    <comment ref="F25" authorId="0" shapeId="0">
      <text>
        <t>Tanım: Üretim [adet] | Neden önemli: OEE ve duruş kök-neden analizini etkiler | Doğru kullanım: Toplam üretilen adet | Örnek: hücredeki örnek değere bakın | Risk: Yanlış giriş hatalı karar üretir</t>
      </text>
    </comment>
    <comment ref="G25" authorId="0" shapeId="0">
      <text>
        <t>Tanım: Fire [adet] | Neden önemli: OEE ve duruş kök-neden analizini etkiler | Doğru kullanım: Fire / hurda adedi | Örnek: hücredeki örnek değere bakın | Risk: Yanlış giriş hatalı karar üretir</t>
      </text>
    </comment>
    <comment ref="H25" authorId="0" shapeId="0">
      <text>
        <t>Tanım: Kök Neden | Neden önemli: OEE ve duruş kök-neden analizini etkiler | Doğru kullanım: Duruş kök-neden kodu | Örnek: hücredeki örnek değere bakın | Risk: Yanlış giriş hatalı karar üretir</t>
      </text>
    </comment>
    <comment ref="A26" authorId="0" shapeId="0">
      <text>
        <t>Tanım: Günlük Kimlik | Neden önemli: OEE ve duruş kök-neden analizini etkiler | Doğru kullanım: ODK-##### | Örnek: hücredeki örnek değere bakın | Risk: Yanlış giriş hatalı karar üretir</t>
      </text>
    </comment>
    <comment ref="B26" authorId="0" shapeId="0">
      <text>
        <t>Tanım: Varlık Kimliği | Neden önemli: OEE ve duruş kök-neden analizini etkiler | Doğru kullanım: MAK listesinden | Örnek: hücredeki örnek değere bakın | Risk: Yanlış giriş hatalı karar üretir</t>
      </text>
    </comment>
    <comment ref="C26" authorId="0" shapeId="0">
      <text>
        <t>Tanım: Tarih | Neden önemli: OEE ve duruş kök-neden analizini etkiler | Doğru kullanım: GG.AA.YYYY | Örnek: hücredeki örnek değere bakın | Risk: Yanlış giriş hatalı karar üretir</t>
      </text>
    </comment>
    <comment ref="D26" authorId="0" shapeId="0">
      <text>
        <t>Tanım: Plan Süre [dk] | Neden önemli: OEE ve duruş kök-neden analizini etkiler | Doğru kullanım: Planlı üretim süresi | Örnek: hücredeki örnek değere bakın | Risk: Yanlış giriş hatalı karar üretir</t>
      </text>
    </comment>
    <comment ref="E26" authorId="0" shapeId="0">
      <text>
        <t>Tanım: Duruş [dk] | Neden önemli: OEE ve duruş kök-neden analizini etkiler | Doğru kullanım: Toplam duruş dakikası | Örnek: hücredeki örnek değere bakın | Risk: Yanlış giriş hatalı karar üretir</t>
      </text>
    </comment>
    <comment ref="F26" authorId="0" shapeId="0">
      <text>
        <t>Tanım: Üretim [adet] | Neden önemli: OEE ve duruş kök-neden analizini etkiler | Doğru kullanım: Toplam üretilen adet | Örnek: hücredeki örnek değere bakın | Risk: Yanlış giriş hatalı karar üretir</t>
      </text>
    </comment>
    <comment ref="G26" authorId="0" shapeId="0">
      <text>
        <t>Tanım: Fire [adet] | Neden önemli: OEE ve duruş kök-neden analizini etkiler | Doğru kullanım: Fire / hurda adedi | Örnek: hücredeki örnek değere bakın | Risk: Yanlış giriş hatalı karar üretir</t>
      </text>
    </comment>
    <comment ref="H26" authorId="0" shapeId="0">
      <text>
        <t>Tanım: Kök Neden | Neden önemli: OEE ve duruş kök-neden analizini etkiler | Doğru kullanım: Duruş kök-neden kodu | Örnek: hücredeki örnek değere bakın | Risk: Yanlış giriş hatalı karar üretir</t>
      </text>
    </comment>
    <comment ref="A27" authorId="0" shapeId="0">
      <text>
        <t>Tanım: Günlük Kimlik | Neden önemli: OEE ve duruş kök-neden analizini etkiler | Doğru kullanım: ODK-##### | Örnek: hücredeki örnek değere bakın | Risk: Yanlış giriş hatalı karar üretir</t>
      </text>
    </comment>
    <comment ref="B27" authorId="0" shapeId="0">
      <text>
        <t>Tanım: Varlık Kimliği | Neden önemli: OEE ve duruş kök-neden analizini etkiler | Doğru kullanım: MAK listesinden | Örnek: hücredeki örnek değere bakın | Risk: Yanlış giriş hatalı karar üretir</t>
      </text>
    </comment>
    <comment ref="C27" authorId="0" shapeId="0">
      <text>
        <t>Tanım: Tarih | Neden önemli: OEE ve duruş kök-neden analizini etkiler | Doğru kullanım: GG.AA.YYYY | Örnek: hücredeki örnek değere bakın | Risk: Yanlış giriş hatalı karar üretir</t>
      </text>
    </comment>
    <comment ref="D27" authorId="0" shapeId="0">
      <text>
        <t>Tanım: Plan Süre [dk] | Neden önemli: OEE ve duruş kök-neden analizini etkiler | Doğru kullanım: Planlı üretim süresi | Örnek: hücredeki örnek değere bakın | Risk: Yanlış giriş hatalı karar üretir</t>
      </text>
    </comment>
    <comment ref="E27" authorId="0" shapeId="0">
      <text>
        <t>Tanım: Duruş [dk] | Neden önemli: OEE ve duruş kök-neden analizini etkiler | Doğru kullanım: Toplam duruş dakikası | Örnek: hücredeki örnek değere bakın | Risk: Yanlış giriş hatalı karar üretir</t>
      </text>
    </comment>
    <comment ref="F27" authorId="0" shapeId="0">
      <text>
        <t>Tanım: Üretim [adet] | Neden önemli: OEE ve duruş kök-neden analizini etkiler | Doğru kullanım: Toplam üretilen adet | Örnek: hücredeki örnek değere bakın | Risk: Yanlış giriş hatalı karar üretir</t>
      </text>
    </comment>
    <comment ref="G27" authorId="0" shapeId="0">
      <text>
        <t>Tanım: Fire [adet] | Neden önemli: OEE ve duruş kök-neden analizini etkiler | Doğru kullanım: Fire / hurda adedi | Örnek: hücredeki örnek değere bakın | Risk: Yanlış giriş hatalı karar üretir</t>
      </text>
    </comment>
    <comment ref="H27" authorId="0" shapeId="0">
      <text>
        <t>Tanım: Kök Neden | Neden önemli: OEE ve duruş kök-neden analizini etkiler | Doğru kullanım: Duruş kök-neden kodu | Örnek: hücredeki örnek değere bakın | Risk: Yanlış giriş hatalı karar üretir</t>
      </text>
    </comment>
    <comment ref="A28" authorId="0" shapeId="0">
      <text>
        <t>Tanım: Günlük Kimlik | Neden önemli: OEE ve duruş kök-neden analizini etkiler | Doğru kullanım: ODK-##### | Örnek: hücredeki örnek değere bakın | Risk: Yanlış giriş hatalı karar üretir</t>
      </text>
    </comment>
    <comment ref="B28" authorId="0" shapeId="0">
      <text>
        <t>Tanım: Varlık Kimliği | Neden önemli: OEE ve duruş kök-neden analizini etkiler | Doğru kullanım: MAK listesinden | Örnek: hücredeki örnek değere bakın | Risk: Yanlış giriş hatalı karar üretir</t>
      </text>
    </comment>
    <comment ref="C28" authorId="0" shapeId="0">
      <text>
        <t>Tanım: Tarih | Neden önemli: OEE ve duruş kök-neden analizini etkiler | Doğru kullanım: GG.AA.YYYY | Örnek: hücredeki örnek değere bakın | Risk: Yanlış giriş hatalı karar üretir</t>
      </text>
    </comment>
    <comment ref="D28" authorId="0" shapeId="0">
      <text>
        <t>Tanım: Plan Süre [dk] | Neden önemli: OEE ve duruş kök-neden analizini etkiler | Doğru kullanım: Planlı üretim süresi | Örnek: hücredeki örnek değere bakın | Risk: Yanlış giriş hatalı karar üretir</t>
      </text>
    </comment>
    <comment ref="E28" authorId="0" shapeId="0">
      <text>
        <t>Tanım: Duruş [dk] | Neden önemli: OEE ve duruş kök-neden analizini etkiler | Doğru kullanım: Toplam duruş dakikası | Örnek: hücredeki örnek değere bakın | Risk: Yanlış giriş hatalı karar üretir</t>
      </text>
    </comment>
    <comment ref="F28" authorId="0" shapeId="0">
      <text>
        <t>Tanım: Üretim [adet] | Neden önemli: OEE ve duruş kök-neden analizini etkiler | Doğru kullanım: Toplam üretilen adet | Örnek: hücredeki örnek değere bakın | Risk: Yanlış giriş hatalı karar üretir</t>
      </text>
    </comment>
    <comment ref="G28" authorId="0" shapeId="0">
      <text>
        <t>Tanım: Fire [adet] | Neden önemli: OEE ve duruş kök-neden analizini etkiler | Doğru kullanım: Fire / hurda adedi | Örnek: hücredeki örnek değere bakın | Risk: Yanlış giriş hatalı karar üretir</t>
      </text>
    </comment>
    <comment ref="H28" authorId="0" shapeId="0">
      <text>
        <t>Tanım: Kök Neden | Neden önemli: OEE ve duruş kök-neden analizini etkiler | Doğru kullanım: Duruş kök-neden kodu | Örnek: hücredeki örnek değere bakın | Risk: Yanlış giriş hatalı karar üretir</t>
      </text>
    </comment>
    <comment ref="A29" authorId="0" shapeId="0">
      <text>
        <t>Tanım: Günlük Kimlik | Neden önemli: OEE ve duruş kök-neden analizini etkiler | Doğru kullanım: ODK-##### | Örnek: hücredeki örnek değere bakın | Risk: Yanlış giriş hatalı karar üretir</t>
      </text>
    </comment>
    <comment ref="B29" authorId="0" shapeId="0">
      <text>
        <t>Tanım: Varlık Kimliği | Neden önemli: OEE ve duruş kök-neden analizini etkiler | Doğru kullanım: MAK listesinden | Örnek: hücredeki örnek değere bakın | Risk: Yanlış giriş hatalı karar üretir</t>
      </text>
    </comment>
    <comment ref="C29" authorId="0" shapeId="0">
      <text>
        <t>Tanım: Tarih | Neden önemli: OEE ve duruş kök-neden analizini etkiler | Doğru kullanım: GG.AA.YYYY | Örnek: hücredeki örnek değere bakın | Risk: Yanlış giriş hatalı karar üretir</t>
      </text>
    </comment>
    <comment ref="D29" authorId="0" shapeId="0">
      <text>
        <t>Tanım: Plan Süre [dk] | Neden önemli: OEE ve duruş kök-neden analizini etkiler | Doğru kullanım: Planlı üretim süresi | Örnek: hücredeki örnek değere bakın | Risk: Yanlış giriş hatalı karar üretir</t>
      </text>
    </comment>
    <comment ref="E29" authorId="0" shapeId="0">
      <text>
        <t>Tanım: Duruş [dk] | Neden önemli: OEE ve duruş kök-neden analizini etkiler | Doğru kullanım: Toplam duruş dakikası | Örnek: hücredeki örnek değere bakın | Risk: Yanlış giriş hatalı karar üretir</t>
      </text>
    </comment>
    <comment ref="F29" authorId="0" shapeId="0">
      <text>
        <t>Tanım: Üretim [adet] | Neden önemli: OEE ve duruş kök-neden analizini etkiler | Doğru kullanım: Toplam üretilen adet | Örnek: hücredeki örnek değere bakın | Risk: Yanlış giriş hatalı karar üretir</t>
      </text>
    </comment>
    <comment ref="G29" authorId="0" shapeId="0">
      <text>
        <t>Tanım: Fire [adet] | Neden önemli: OEE ve duruş kök-neden analizini etkiler | Doğru kullanım: Fire / hurda adedi | Örnek: hücredeki örnek değere bakın | Risk: Yanlış giriş hatalı karar üretir</t>
      </text>
    </comment>
    <comment ref="H29" authorId="0" shapeId="0">
      <text>
        <t>Tanım: Kök Neden | Neden önemli: OEE ve duruş kök-neden analizini etkiler | Doğru kullanım: Duruş kök-neden kodu | Örnek: hücredeki örnek değere bakın | Risk: Yanlış giriş hatalı karar üretir</t>
      </text>
    </comment>
    <comment ref="A30" authorId="0" shapeId="0">
      <text>
        <t>Tanım: Günlük Kimlik | Neden önemli: OEE ve duruş kök-neden analizini etkiler | Doğru kullanım: ODK-##### | Örnek: hücredeki örnek değere bakın | Risk: Yanlış giriş hatalı karar üretir</t>
      </text>
    </comment>
    <comment ref="B30" authorId="0" shapeId="0">
      <text>
        <t>Tanım: Varlık Kimliği | Neden önemli: OEE ve duruş kök-neden analizini etkiler | Doğru kullanım: MAK listesinden | Örnek: hücredeki örnek değere bakın | Risk: Yanlış giriş hatalı karar üretir</t>
      </text>
    </comment>
    <comment ref="C30" authorId="0" shapeId="0">
      <text>
        <t>Tanım: Tarih | Neden önemli: OEE ve duruş kök-neden analizini etkiler | Doğru kullanım: GG.AA.YYYY | Örnek: hücredeki örnek değere bakın | Risk: Yanlış giriş hatalı karar üretir</t>
      </text>
    </comment>
    <comment ref="D30" authorId="0" shapeId="0">
      <text>
        <t>Tanım: Plan Süre [dk] | Neden önemli: OEE ve duruş kök-neden analizini etkiler | Doğru kullanım: Planlı üretim süresi | Örnek: hücredeki örnek değere bakın | Risk: Yanlış giriş hatalı karar üretir</t>
      </text>
    </comment>
    <comment ref="E30" authorId="0" shapeId="0">
      <text>
        <t>Tanım: Duruş [dk] | Neden önemli: OEE ve duruş kök-neden analizini etkiler | Doğru kullanım: Toplam duruş dakikası | Örnek: hücredeki örnek değere bakın | Risk: Yanlış giriş hatalı karar üretir</t>
      </text>
    </comment>
    <comment ref="F30" authorId="0" shapeId="0">
      <text>
        <t>Tanım: Üretim [adet] | Neden önemli: OEE ve duruş kök-neden analizini etkiler | Doğru kullanım: Toplam üretilen adet | Örnek: hücredeki örnek değere bakın | Risk: Yanlış giriş hatalı karar üretir</t>
      </text>
    </comment>
    <comment ref="G30" authorId="0" shapeId="0">
      <text>
        <t>Tanım: Fire [adet] | Neden önemli: OEE ve duruş kök-neden analizini etkiler | Doğru kullanım: Fire / hurda adedi | Örnek: hücredeki örnek değere bakın | Risk: Yanlış giriş hatalı karar üretir</t>
      </text>
    </comment>
    <comment ref="H30" authorId="0" shapeId="0">
      <text>
        <t>Tanım: Kök Neden | Neden önemli: OEE ve duruş kök-neden analizini etkiler | Doğru kullanım: Duruş kök-neden kodu | Örnek: hücredeki örnek değere bakın | Risk: Yanlış giriş hatalı karar üretir</t>
      </text>
    </comment>
    <comment ref="A31" authorId="0" shapeId="0">
      <text>
        <t>Tanım: Günlük Kimlik | Neden önemli: OEE ve duruş kök-neden analizini etkiler | Doğru kullanım: ODK-##### | Örnek: hücredeki örnek değere bakın | Risk: Yanlış giriş hatalı karar üretir</t>
      </text>
    </comment>
    <comment ref="B31" authorId="0" shapeId="0">
      <text>
        <t>Tanım: Varlık Kimliği | Neden önemli: OEE ve duruş kök-neden analizini etkiler | Doğru kullanım: MAK listesinden | Örnek: hücredeki örnek değere bakın | Risk: Yanlış giriş hatalı karar üretir</t>
      </text>
    </comment>
    <comment ref="C31" authorId="0" shapeId="0">
      <text>
        <t>Tanım: Tarih | Neden önemli: OEE ve duruş kök-neden analizini etkiler | Doğru kullanım: GG.AA.YYYY | Örnek: hücredeki örnek değere bakın | Risk: Yanlış giriş hatalı karar üretir</t>
      </text>
    </comment>
    <comment ref="D31" authorId="0" shapeId="0">
      <text>
        <t>Tanım: Plan Süre [dk] | Neden önemli: OEE ve duruş kök-neden analizini etkiler | Doğru kullanım: Planlı üretim süresi | Örnek: hücredeki örnek değere bakın | Risk: Yanlış giriş hatalı karar üretir</t>
      </text>
    </comment>
    <comment ref="E31" authorId="0" shapeId="0">
      <text>
        <t>Tanım: Duruş [dk] | Neden önemli: OEE ve duruş kök-neden analizini etkiler | Doğru kullanım: Toplam duruş dakikası | Örnek: hücredeki örnek değere bakın | Risk: Yanlış giriş hatalı karar üretir</t>
      </text>
    </comment>
    <comment ref="F31" authorId="0" shapeId="0">
      <text>
        <t>Tanım: Üretim [adet] | Neden önemli: OEE ve duruş kök-neden analizini etkiler | Doğru kullanım: Toplam üretilen adet | Örnek: hücredeki örnek değere bakın | Risk: Yanlış giriş hatalı karar üretir</t>
      </text>
    </comment>
    <comment ref="G31" authorId="0" shapeId="0">
      <text>
        <t>Tanım: Fire [adet] | Neden önemli: OEE ve duruş kök-neden analizini etkiler | Doğru kullanım: Fire / hurda adedi | Örnek: hücredeki örnek değere bakın | Risk: Yanlış giriş hatalı karar üretir</t>
      </text>
    </comment>
    <comment ref="H31" authorId="0" shapeId="0">
      <text>
        <t>Tanım: Kök Neden | Neden önemli: OEE ve duruş kök-neden analizini etkiler | Doğru kullanım: Duruş kök-neden kodu | Örnek: hücredeki örnek değere bakın | Risk: Yanlış giriş hatalı karar üretir</t>
      </text>
    </comment>
    <comment ref="A32" authorId="0" shapeId="0">
      <text>
        <t>Tanım: Günlük Kimlik | Neden önemli: OEE ve duruş kök-neden analizini etkiler | Doğru kullanım: ODK-##### | Örnek: hücredeki örnek değere bakın | Risk: Yanlış giriş hatalı karar üretir</t>
      </text>
    </comment>
    <comment ref="B32" authorId="0" shapeId="0">
      <text>
        <t>Tanım: Varlık Kimliği | Neden önemli: OEE ve duruş kök-neden analizini etkiler | Doğru kullanım: MAK listesinden | Örnek: hücredeki örnek değere bakın | Risk: Yanlış giriş hatalı karar üretir</t>
      </text>
    </comment>
    <comment ref="C32" authorId="0" shapeId="0">
      <text>
        <t>Tanım: Tarih | Neden önemli: OEE ve duruş kök-neden analizini etkiler | Doğru kullanım: GG.AA.YYYY | Örnek: hücredeki örnek değere bakın | Risk: Yanlış giriş hatalı karar üretir</t>
      </text>
    </comment>
    <comment ref="D32" authorId="0" shapeId="0">
      <text>
        <t>Tanım: Plan Süre [dk] | Neden önemli: OEE ve duruş kök-neden analizini etkiler | Doğru kullanım: Planlı üretim süresi | Örnek: hücredeki örnek değere bakın | Risk: Yanlış giriş hatalı karar üretir</t>
      </text>
    </comment>
    <comment ref="E32" authorId="0" shapeId="0">
      <text>
        <t>Tanım: Duruş [dk] | Neden önemli: OEE ve duruş kök-neden analizini etkiler | Doğru kullanım: Toplam duruş dakikası | Örnek: hücredeki örnek değere bakın | Risk: Yanlış giriş hatalı karar üretir</t>
      </text>
    </comment>
    <comment ref="F32" authorId="0" shapeId="0">
      <text>
        <t>Tanım: Üretim [adet] | Neden önemli: OEE ve duruş kök-neden analizini etkiler | Doğru kullanım: Toplam üretilen adet | Örnek: hücredeki örnek değere bakın | Risk: Yanlış giriş hatalı karar üretir</t>
      </text>
    </comment>
    <comment ref="G32" authorId="0" shapeId="0">
      <text>
        <t>Tanım: Fire [adet] | Neden önemli: OEE ve duruş kök-neden analizini etkiler | Doğru kullanım: Fire / hurda adedi | Örnek: hücredeki örnek değere bakın | Risk: Yanlış giriş hatalı karar üretir</t>
      </text>
    </comment>
    <comment ref="H32" authorId="0" shapeId="0">
      <text>
        <t>Tanım: Kök Neden | Neden önemli: OEE ve duruş kök-neden analizini etkiler | Doğru kullanım: Duruş kök-neden kodu | Örnek: hücredeki örnek değere bakın | Risk: Yanlış giriş hatalı karar üretir</t>
      </text>
    </comment>
    <comment ref="A33" authorId="0" shapeId="0">
      <text>
        <t>Tanım: Günlük Kimlik | Neden önemli: OEE ve duruş kök-neden analizini etkiler | Doğru kullanım: ODK-##### | Örnek: hücredeki örnek değere bakın | Risk: Yanlış giriş hatalı karar üretir</t>
      </text>
    </comment>
    <comment ref="B33" authorId="0" shapeId="0">
      <text>
        <t>Tanım: Varlık Kimliği | Neden önemli: OEE ve duruş kök-neden analizini etkiler | Doğru kullanım: MAK listesinden | Örnek: hücredeki örnek değere bakın | Risk: Yanlış giriş hatalı karar üretir</t>
      </text>
    </comment>
    <comment ref="C33" authorId="0" shapeId="0">
      <text>
        <t>Tanım: Tarih | Neden önemli: OEE ve duruş kök-neden analizini etkiler | Doğru kullanım: GG.AA.YYYY | Örnek: hücredeki örnek değere bakın | Risk: Yanlış giriş hatalı karar üretir</t>
      </text>
    </comment>
    <comment ref="D33" authorId="0" shapeId="0">
      <text>
        <t>Tanım: Plan Süre [dk] | Neden önemli: OEE ve duruş kök-neden analizini etkiler | Doğru kullanım: Planlı üretim süresi | Örnek: hücredeki örnek değere bakın | Risk: Yanlış giriş hatalı karar üretir</t>
      </text>
    </comment>
    <comment ref="E33" authorId="0" shapeId="0">
      <text>
        <t>Tanım: Duruş [dk] | Neden önemli: OEE ve duruş kök-neden analizini etkiler | Doğru kullanım: Toplam duruş dakikası | Örnek: hücredeki örnek değere bakın | Risk: Yanlış giriş hatalı karar üretir</t>
      </text>
    </comment>
    <comment ref="F33" authorId="0" shapeId="0">
      <text>
        <t>Tanım: Üretim [adet] | Neden önemli: OEE ve duruş kök-neden analizini etkiler | Doğru kullanım: Toplam üretilen adet | Örnek: hücredeki örnek değere bakın | Risk: Yanlış giriş hatalı karar üretir</t>
      </text>
    </comment>
    <comment ref="G33" authorId="0" shapeId="0">
      <text>
        <t>Tanım: Fire [adet] | Neden önemli: OEE ve duruş kök-neden analizini etkiler | Doğru kullanım: Fire / hurda adedi | Örnek: hücredeki örnek değere bakın | Risk: Yanlış giriş hatalı karar üretir</t>
      </text>
    </comment>
    <comment ref="H33" authorId="0" shapeId="0">
      <text>
        <t>Tanım: Kök Neden | Neden önemli: OEE ve duruş kök-neden analizini etkiler | Doğru kullanım: Duruş kök-neden kodu | Örnek: hücredeki örnek değere bakın | Risk: Yanlış giriş hatalı karar üretir</t>
      </text>
    </comment>
    <comment ref="A34" authorId="0" shapeId="0">
      <text>
        <t>Tanım: Günlük Kimlik | Neden önemli: OEE ve duruş kök-neden analizini etkiler | Doğru kullanım: ODK-##### | Örnek: hücredeki örnek değere bakın | Risk: Yanlış giriş hatalı karar üretir</t>
      </text>
    </comment>
    <comment ref="B34" authorId="0" shapeId="0">
      <text>
        <t>Tanım: Varlık Kimliği | Neden önemli: OEE ve duruş kök-neden analizini etkiler | Doğru kullanım: MAK listesinden | Örnek: hücredeki örnek değere bakın | Risk: Yanlış giriş hatalı karar üretir</t>
      </text>
    </comment>
    <comment ref="C34" authorId="0" shapeId="0">
      <text>
        <t>Tanım: Tarih | Neden önemli: OEE ve duruş kök-neden analizini etkiler | Doğru kullanım: GG.AA.YYYY | Örnek: hücredeki örnek değere bakın | Risk: Yanlış giriş hatalı karar üretir</t>
      </text>
    </comment>
    <comment ref="D34" authorId="0" shapeId="0">
      <text>
        <t>Tanım: Plan Süre [dk] | Neden önemli: OEE ve duruş kök-neden analizini etkiler | Doğru kullanım: Planlı üretim süresi | Örnek: hücredeki örnek değere bakın | Risk: Yanlış giriş hatalı karar üretir</t>
      </text>
    </comment>
    <comment ref="E34" authorId="0" shapeId="0">
      <text>
        <t>Tanım: Duruş [dk] | Neden önemli: OEE ve duruş kök-neden analizini etkiler | Doğru kullanım: Toplam duruş dakikası | Örnek: hücredeki örnek değere bakın | Risk: Yanlış giriş hatalı karar üretir</t>
      </text>
    </comment>
    <comment ref="F34" authorId="0" shapeId="0">
      <text>
        <t>Tanım: Üretim [adet] | Neden önemli: OEE ve duruş kök-neden analizini etkiler | Doğru kullanım: Toplam üretilen adet | Örnek: hücredeki örnek değere bakın | Risk: Yanlış giriş hatalı karar üretir</t>
      </text>
    </comment>
    <comment ref="G34" authorId="0" shapeId="0">
      <text>
        <t>Tanım: Fire [adet] | Neden önemli: OEE ve duruş kök-neden analizini etkiler | Doğru kullanım: Fire / hurda adedi | Örnek: hücredeki örnek değere bakın | Risk: Yanlış giriş hatalı karar üretir</t>
      </text>
    </comment>
    <comment ref="H34" authorId="0" shapeId="0">
      <text>
        <t>Tanım: Kök Neden | Neden önemli: OEE ve duruş kök-neden analizini etkiler | Doğru kullanım: Duruş kök-neden kodu | Örnek: hücredeki örnek değere bakın | Risk: Yanlış giriş hatalı karar üretir</t>
      </text>
    </comment>
    <comment ref="A35" authorId="0" shapeId="0">
      <text>
        <t>Tanım: Günlük Kimlik | Neden önemli: OEE ve duruş kök-neden analizini etkiler | Doğru kullanım: ODK-##### | Örnek: hücredeki örnek değere bakın | Risk: Yanlış giriş hatalı karar üretir</t>
      </text>
    </comment>
    <comment ref="B35" authorId="0" shapeId="0">
      <text>
        <t>Tanım: Varlık Kimliği | Neden önemli: OEE ve duruş kök-neden analizini etkiler | Doğru kullanım: MAK listesinden | Örnek: hücredeki örnek değere bakın | Risk: Yanlış giriş hatalı karar üretir</t>
      </text>
    </comment>
    <comment ref="C35" authorId="0" shapeId="0">
      <text>
        <t>Tanım: Tarih | Neden önemli: OEE ve duruş kök-neden analizini etkiler | Doğru kullanım: GG.AA.YYYY | Örnek: hücredeki örnek değere bakın | Risk: Yanlış giriş hatalı karar üretir</t>
      </text>
    </comment>
    <comment ref="D35" authorId="0" shapeId="0">
      <text>
        <t>Tanım: Plan Süre [dk] | Neden önemli: OEE ve duruş kök-neden analizini etkiler | Doğru kullanım: Planlı üretim süresi | Örnek: hücredeki örnek değere bakın | Risk: Yanlış giriş hatalı karar üretir</t>
      </text>
    </comment>
    <comment ref="E35" authorId="0" shapeId="0">
      <text>
        <t>Tanım: Duruş [dk] | Neden önemli: OEE ve duruş kök-neden analizini etkiler | Doğru kullanım: Toplam duruş dakikası | Örnek: hücredeki örnek değere bakın | Risk: Yanlış giriş hatalı karar üretir</t>
      </text>
    </comment>
    <comment ref="F35" authorId="0" shapeId="0">
      <text>
        <t>Tanım: Üretim [adet] | Neden önemli: OEE ve duruş kök-neden analizini etkiler | Doğru kullanım: Toplam üretilen adet | Örnek: hücredeki örnek değere bakın | Risk: Yanlış giriş hatalı karar üretir</t>
      </text>
    </comment>
    <comment ref="G35" authorId="0" shapeId="0">
      <text>
        <t>Tanım: Fire [adet] | Neden önemli: OEE ve duruş kök-neden analizini etkiler | Doğru kullanım: Fire / hurda adedi | Örnek: hücredeki örnek değere bakın | Risk: Yanlış giriş hatalı karar üretir</t>
      </text>
    </comment>
    <comment ref="H35" authorId="0" shapeId="0">
      <text>
        <t>Tanım: Kök Neden | Neden önemli: OEE ve duruş kök-neden analizini etkiler | Doğru kullanım: Duruş kök-neden kodu | Örnek: hücredeki örnek değere bakın | Risk: Yanlış giriş hatalı karar üretir</t>
      </text>
    </comment>
    <comment ref="A36" authorId="0" shapeId="0">
      <text>
        <t>Tanım: Günlük Kimlik | Neden önemli: OEE ve duruş kök-neden analizini etkiler | Doğru kullanım: ODK-##### | Örnek: hücredeki örnek değere bakın | Risk: Yanlış giriş hatalı karar üretir</t>
      </text>
    </comment>
    <comment ref="B36" authorId="0" shapeId="0">
      <text>
        <t>Tanım: Varlık Kimliği | Neden önemli: OEE ve duruş kök-neden analizini etkiler | Doğru kullanım: MAK listesinden | Örnek: hücredeki örnek değere bakın | Risk: Yanlış giriş hatalı karar üretir</t>
      </text>
    </comment>
    <comment ref="C36" authorId="0" shapeId="0">
      <text>
        <t>Tanım: Tarih | Neden önemli: OEE ve duruş kök-neden analizini etkiler | Doğru kullanım: GG.AA.YYYY | Örnek: hücredeki örnek değere bakın | Risk: Yanlış giriş hatalı karar üretir</t>
      </text>
    </comment>
    <comment ref="D36" authorId="0" shapeId="0">
      <text>
        <t>Tanım: Plan Süre [dk] | Neden önemli: OEE ve duruş kök-neden analizini etkiler | Doğru kullanım: Planlı üretim süresi | Örnek: hücredeki örnek değere bakın | Risk: Yanlış giriş hatalı karar üretir</t>
      </text>
    </comment>
    <comment ref="E36" authorId="0" shapeId="0">
      <text>
        <t>Tanım: Duruş [dk] | Neden önemli: OEE ve duruş kök-neden analizini etkiler | Doğru kullanım: Toplam duruş dakikası | Örnek: hücredeki örnek değere bakın | Risk: Yanlış giriş hatalı karar üretir</t>
      </text>
    </comment>
    <comment ref="F36" authorId="0" shapeId="0">
      <text>
        <t>Tanım: Üretim [adet] | Neden önemli: OEE ve duruş kök-neden analizini etkiler | Doğru kullanım: Toplam üretilen adet | Örnek: hücredeki örnek değere bakın | Risk: Yanlış giriş hatalı karar üretir</t>
      </text>
    </comment>
    <comment ref="G36" authorId="0" shapeId="0">
      <text>
        <t>Tanım: Fire [adet] | Neden önemli: OEE ve duruş kök-neden analizini etkiler | Doğru kullanım: Fire / hurda adedi | Örnek: hücredeki örnek değere bakın | Risk: Yanlış giriş hatalı karar üretir</t>
      </text>
    </comment>
    <comment ref="H36" authorId="0" shapeId="0">
      <text>
        <t>Tanım: Kök Neden | Neden önemli: OEE ve duruş kök-neden analizini etkiler | Doğru kullanım: Duruş kök-neden kodu | Örnek: hücredeki örnek değere bakın | Risk: Yanlış giriş hatalı karar üretir</t>
      </text>
    </comment>
    <comment ref="A37" authorId="0" shapeId="0">
      <text>
        <t>Tanım: Günlük Kimlik | Neden önemli: OEE ve duruş kök-neden analizini etkiler | Doğru kullanım: ODK-##### | Örnek: hücredeki örnek değere bakın | Risk: Yanlış giriş hatalı karar üretir</t>
      </text>
    </comment>
    <comment ref="B37" authorId="0" shapeId="0">
      <text>
        <t>Tanım: Varlık Kimliği | Neden önemli: OEE ve duruş kök-neden analizini etkiler | Doğru kullanım: MAK listesinden | Örnek: hücredeki örnek değere bakın | Risk: Yanlış giriş hatalı karar üretir</t>
      </text>
    </comment>
    <comment ref="C37" authorId="0" shapeId="0">
      <text>
        <t>Tanım: Tarih | Neden önemli: OEE ve duruş kök-neden analizini etkiler | Doğru kullanım: GG.AA.YYYY | Örnek: hücredeki örnek değere bakın | Risk: Yanlış giriş hatalı karar üretir</t>
      </text>
    </comment>
    <comment ref="D37" authorId="0" shapeId="0">
      <text>
        <t>Tanım: Plan Süre [dk] | Neden önemli: OEE ve duruş kök-neden analizini etkiler | Doğru kullanım: Planlı üretim süresi | Örnek: hücredeki örnek değere bakın | Risk: Yanlış giriş hatalı karar üretir</t>
      </text>
    </comment>
    <comment ref="E37" authorId="0" shapeId="0">
      <text>
        <t>Tanım: Duruş [dk] | Neden önemli: OEE ve duruş kök-neden analizini etkiler | Doğru kullanım: Toplam duruş dakikası | Örnek: hücredeki örnek değere bakın | Risk: Yanlış giriş hatalı karar üretir</t>
      </text>
    </comment>
    <comment ref="F37" authorId="0" shapeId="0">
      <text>
        <t>Tanım: Üretim [adet] | Neden önemli: OEE ve duruş kök-neden analizini etkiler | Doğru kullanım: Toplam üretilen adet | Örnek: hücredeki örnek değere bakın | Risk: Yanlış giriş hatalı karar üretir</t>
      </text>
    </comment>
    <comment ref="G37" authorId="0" shapeId="0">
      <text>
        <t>Tanım: Fire [adet] | Neden önemli: OEE ve duruş kök-neden analizini etkiler | Doğru kullanım: Fire / hurda adedi | Örnek: hücredeki örnek değere bakın | Risk: Yanlış giriş hatalı karar üretir</t>
      </text>
    </comment>
    <comment ref="H37" authorId="0" shapeId="0">
      <text>
        <t>Tanım: Kök Neden | Neden önemli: OEE ve duruş kök-neden analizini etkiler | Doğru kullanım: Duruş kök-neden kodu | Örnek: hücredeki örnek değere bakın | Risk: Yanlış giriş hatalı karar üretir</t>
      </text>
    </comment>
    <comment ref="A38" authorId="0" shapeId="0">
      <text>
        <t>Tanım: Günlük Kimlik | Neden önemli: OEE ve duruş kök-neden analizini etkiler | Doğru kullanım: ODK-##### | Örnek: hücredeki örnek değere bakın | Risk: Yanlış giriş hatalı karar üretir</t>
      </text>
    </comment>
    <comment ref="B38" authorId="0" shapeId="0">
      <text>
        <t>Tanım: Varlık Kimliği | Neden önemli: OEE ve duruş kök-neden analizini etkiler | Doğru kullanım: MAK listesinden | Örnek: hücredeki örnek değere bakın | Risk: Yanlış giriş hatalı karar üretir</t>
      </text>
    </comment>
    <comment ref="C38" authorId="0" shapeId="0">
      <text>
        <t>Tanım: Tarih | Neden önemli: OEE ve duruş kök-neden analizini etkiler | Doğru kullanım: GG.AA.YYYY | Örnek: hücredeki örnek değere bakın | Risk: Yanlış giriş hatalı karar üretir</t>
      </text>
    </comment>
    <comment ref="D38" authorId="0" shapeId="0">
      <text>
        <t>Tanım: Plan Süre [dk] | Neden önemli: OEE ve duruş kök-neden analizini etkiler | Doğru kullanım: Planlı üretim süresi | Örnek: hücredeki örnek değere bakın | Risk: Yanlış giriş hatalı karar üretir</t>
      </text>
    </comment>
    <comment ref="E38" authorId="0" shapeId="0">
      <text>
        <t>Tanım: Duruş [dk] | Neden önemli: OEE ve duruş kök-neden analizini etkiler | Doğru kullanım: Toplam duruş dakikası | Örnek: hücredeki örnek değere bakın | Risk: Yanlış giriş hatalı karar üretir</t>
      </text>
    </comment>
    <comment ref="F38" authorId="0" shapeId="0">
      <text>
        <t>Tanım: Üretim [adet] | Neden önemli: OEE ve duruş kök-neden analizini etkiler | Doğru kullanım: Toplam üretilen adet | Örnek: hücredeki örnek değere bakın | Risk: Yanlış giriş hatalı karar üretir</t>
      </text>
    </comment>
    <comment ref="G38" authorId="0" shapeId="0">
      <text>
        <t>Tanım: Fire [adet] | Neden önemli: OEE ve duruş kök-neden analizini etkiler | Doğru kullanım: Fire / hurda adedi | Örnek: hücredeki örnek değere bakın | Risk: Yanlış giriş hatalı karar üretir</t>
      </text>
    </comment>
    <comment ref="H38" authorId="0" shapeId="0">
      <text>
        <t>Tanım: Kök Neden | Neden önemli: OEE ve duruş kök-neden analizini etkiler | Doğru kullanım: Duruş kök-neden kodu | Örnek: hücredeki örnek değere bakın | Risk: Yanlış giriş hatalı karar üretir</t>
      </text>
    </comment>
    <comment ref="A39" authorId="0" shapeId="0">
      <text>
        <t>Tanım: Günlük Kimlik | Neden önemli: OEE ve duruş kök-neden analizini etkiler | Doğru kullanım: ODK-##### | Örnek: hücredeki örnek değere bakın | Risk: Yanlış giriş hatalı karar üretir</t>
      </text>
    </comment>
    <comment ref="B39" authorId="0" shapeId="0">
      <text>
        <t>Tanım: Varlık Kimliği | Neden önemli: OEE ve duruş kök-neden analizini etkiler | Doğru kullanım: MAK listesinden | Örnek: hücredeki örnek değere bakın | Risk: Yanlış giriş hatalı karar üretir</t>
      </text>
    </comment>
    <comment ref="C39" authorId="0" shapeId="0">
      <text>
        <t>Tanım: Tarih | Neden önemli: OEE ve duruş kök-neden analizini etkiler | Doğru kullanım: GG.AA.YYYY | Örnek: hücredeki örnek değere bakın | Risk: Yanlış giriş hatalı karar üretir</t>
      </text>
    </comment>
    <comment ref="D39" authorId="0" shapeId="0">
      <text>
        <t>Tanım: Plan Süre [dk] | Neden önemli: OEE ve duruş kök-neden analizini etkiler | Doğru kullanım: Planlı üretim süresi | Örnek: hücredeki örnek değere bakın | Risk: Yanlış giriş hatalı karar üretir</t>
      </text>
    </comment>
    <comment ref="E39" authorId="0" shapeId="0">
      <text>
        <t>Tanım: Duruş [dk] | Neden önemli: OEE ve duruş kök-neden analizini etkiler | Doğru kullanım: Toplam duruş dakikası | Örnek: hücredeki örnek değere bakın | Risk: Yanlış giriş hatalı karar üretir</t>
      </text>
    </comment>
    <comment ref="F39" authorId="0" shapeId="0">
      <text>
        <t>Tanım: Üretim [adet] | Neden önemli: OEE ve duruş kök-neden analizini etkiler | Doğru kullanım: Toplam üretilen adet | Örnek: hücredeki örnek değere bakın | Risk: Yanlış giriş hatalı karar üretir</t>
      </text>
    </comment>
    <comment ref="G39" authorId="0" shapeId="0">
      <text>
        <t>Tanım: Fire [adet] | Neden önemli: OEE ve duruş kök-neden analizini etkiler | Doğru kullanım: Fire / hurda adedi | Örnek: hücredeki örnek değere bakın | Risk: Yanlış giriş hatalı karar üretir</t>
      </text>
    </comment>
    <comment ref="H39" authorId="0" shapeId="0">
      <text>
        <t>Tanım: Kök Neden | Neden önemli: OEE ve duruş kök-neden analizini etkiler | Doğru kullanım: Duruş kök-neden kodu | Örnek: hücredeki örnek değere bakın | Risk: Yanlış giriş hatalı karar üretir</t>
      </text>
    </comment>
    <comment ref="A40" authorId="0" shapeId="0">
      <text>
        <t>Tanım: Günlük Kimlik | Neden önemli: OEE ve duruş kök-neden analizini etkiler | Doğru kullanım: ODK-##### | Örnek: hücredeki örnek değere bakın | Risk: Yanlış giriş hatalı karar üretir</t>
      </text>
    </comment>
    <comment ref="B40" authorId="0" shapeId="0">
      <text>
        <t>Tanım: Varlık Kimliği | Neden önemli: OEE ve duruş kök-neden analizini etkiler | Doğru kullanım: MAK listesinden | Örnek: hücredeki örnek değere bakın | Risk: Yanlış giriş hatalı karar üretir</t>
      </text>
    </comment>
    <comment ref="C40" authorId="0" shapeId="0">
      <text>
        <t>Tanım: Tarih | Neden önemli: OEE ve duruş kök-neden analizini etkiler | Doğru kullanım: GG.AA.YYYY | Örnek: hücredeki örnek değere bakın | Risk: Yanlış giriş hatalı karar üretir</t>
      </text>
    </comment>
    <comment ref="D40" authorId="0" shapeId="0">
      <text>
        <t>Tanım: Plan Süre [dk] | Neden önemli: OEE ve duruş kök-neden analizini etkiler | Doğru kullanım: Planlı üretim süresi | Örnek: hücredeki örnek değere bakın | Risk: Yanlış giriş hatalı karar üretir</t>
      </text>
    </comment>
    <comment ref="E40" authorId="0" shapeId="0">
      <text>
        <t>Tanım: Duruş [dk] | Neden önemli: OEE ve duruş kök-neden analizini etkiler | Doğru kullanım: Toplam duruş dakikası | Örnek: hücredeki örnek değere bakın | Risk: Yanlış giriş hatalı karar üretir</t>
      </text>
    </comment>
    <comment ref="F40" authorId="0" shapeId="0">
      <text>
        <t>Tanım: Üretim [adet] | Neden önemli: OEE ve duruş kök-neden analizini etkiler | Doğru kullanım: Toplam üretilen adet | Örnek: hücredeki örnek değere bakın | Risk: Yanlış giriş hatalı karar üretir</t>
      </text>
    </comment>
    <comment ref="G40" authorId="0" shapeId="0">
      <text>
        <t>Tanım: Fire [adet] | Neden önemli: OEE ve duruş kök-neden analizini etkiler | Doğru kullanım: Fire / hurda adedi | Örnek: hücredeki örnek değere bakın | Risk: Yanlış giriş hatalı karar üretir</t>
      </text>
    </comment>
    <comment ref="H40" authorId="0" shapeId="0">
      <text>
        <t>Tanım: Kök Neden | Neden önemli: OEE ve duruş kök-neden analizini etkiler | Doğru kullanım: Duruş kök-neden kodu | Örnek: hücredeki örnek değere bakın | Risk: Yanlış giriş hatalı karar üretir</t>
      </text>
    </comment>
    <comment ref="A41" authorId="0" shapeId="0">
      <text>
        <t>Tanım: Günlük Kimlik | Neden önemli: OEE ve duruş kök-neden analizini etkiler | Doğru kullanım: ODK-##### | Örnek: hücredeki örnek değere bakın | Risk: Yanlış giriş hatalı karar üretir</t>
      </text>
    </comment>
    <comment ref="B41" authorId="0" shapeId="0">
      <text>
        <t>Tanım: Varlık Kimliği | Neden önemli: OEE ve duruş kök-neden analizini etkiler | Doğru kullanım: MAK listesinden | Örnek: hücredeki örnek değere bakın | Risk: Yanlış giriş hatalı karar üretir</t>
      </text>
    </comment>
    <comment ref="C41" authorId="0" shapeId="0">
      <text>
        <t>Tanım: Tarih | Neden önemli: OEE ve duruş kök-neden analizini etkiler | Doğru kullanım: GG.AA.YYYY | Örnek: hücredeki örnek değere bakın | Risk: Yanlış giriş hatalı karar üretir</t>
      </text>
    </comment>
    <comment ref="D41" authorId="0" shapeId="0">
      <text>
        <t>Tanım: Plan Süre [dk] | Neden önemli: OEE ve duruş kök-neden analizini etkiler | Doğru kullanım: Planlı üretim süresi | Örnek: hücredeki örnek değere bakın | Risk: Yanlış giriş hatalı karar üretir</t>
      </text>
    </comment>
    <comment ref="E41" authorId="0" shapeId="0">
      <text>
        <t>Tanım: Duruş [dk] | Neden önemli: OEE ve duruş kök-neden analizini etkiler | Doğru kullanım: Toplam duruş dakikası | Örnek: hücredeki örnek değere bakın | Risk: Yanlış giriş hatalı karar üretir</t>
      </text>
    </comment>
    <comment ref="F41" authorId="0" shapeId="0">
      <text>
        <t>Tanım: Üretim [adet] | Neden önemli: OEE ve duruş kök-neden analizini etkiler | Doğru kullanım: Toplam üretilen adet | Örnek: hücredeki örnek değere bakın | Risk: Yanlış giriş hatalı karar üretir</t>
      </text>
    </comment>
    <comment ref="G41" authorId="0" shapeId="0">
      <text>
        <t>Tanım: Fire [adet] | Neden önemli: OEE ve duruş kök-neden analizini etkiler | Doğru kullanım: Fire / hurda adedi | Örnek: hücredeki örnek değere bakın | Risk: Yanlış giriş hatalı karar üretir</t>
      </text>
    </comment>
    <comment ref="H41" authorId="0" shapeId="0">
      <text>
        <t>Tanım: Kök Neden | Neden önemli: OEE ve duruş kök-neden analizini etkiler | Doğru kullanım: Duruş kök-neden kodu | Örnek: hücredeki örnek değere bakın | Risk: Yanlış giriş hatalı karar üretir</t>
      </text>
    </comment>
    <comment ref="A42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42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42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42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42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42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42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42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43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43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43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43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43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43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43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43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44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44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44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44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44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44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44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44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45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45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45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45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45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45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45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45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46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46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46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46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46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46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46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46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47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47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47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47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47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47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47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47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48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48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48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48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48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48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48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48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49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49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49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49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49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49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49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49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50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50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50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50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50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50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50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50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51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51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51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51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51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51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51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51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52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52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52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52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52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52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52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52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53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53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53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53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53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53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53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53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54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54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54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54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54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54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54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54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55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55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55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55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55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55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55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55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56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56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56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56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56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56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56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56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57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57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57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57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57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57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57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57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58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58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58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58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58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58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58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58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59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59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59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59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59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59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59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59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60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60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60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60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60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60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60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60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61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61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61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61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61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61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61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61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62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62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62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62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62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62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62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62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63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63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63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63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63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63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63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63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64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64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64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64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64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64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64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64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65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65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65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65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65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65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65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65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66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66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66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66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66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66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66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66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67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67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67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67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67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67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67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67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68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68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68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68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68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68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68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68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69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69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69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69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69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69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69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69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70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70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70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70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70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70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70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70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71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71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71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71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71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71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71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71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72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72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72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72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72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72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72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72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73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73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73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73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73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73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73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73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74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74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74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74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74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74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74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74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75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75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75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75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75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75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75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75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76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76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76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76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76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76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76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76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77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77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77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77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77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77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77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77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78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78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78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78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78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78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78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78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79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79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79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79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79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79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79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79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80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80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80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80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80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80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80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80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81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81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81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81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81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81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81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81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82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82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82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82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82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82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82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82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83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83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83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83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83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83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83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83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84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84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84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84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84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84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84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84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85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85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85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85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85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85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85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85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86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86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86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86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86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86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86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86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87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87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87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87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87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87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87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87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88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88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88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88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88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88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88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88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89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89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89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89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89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89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89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89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90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90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90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90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90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90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90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90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91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91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91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91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91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91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91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91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92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92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92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92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92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92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92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92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93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93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93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93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93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93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93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93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94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94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94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94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94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94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94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94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95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95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95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95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95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95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95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95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96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96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96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96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96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96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96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96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97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97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97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97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97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97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97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97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98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98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98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98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98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98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98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98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99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99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99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99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99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99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99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99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00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00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00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00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00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00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00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00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01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01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01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01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01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01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01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01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02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02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02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02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02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02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02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02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03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03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03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03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03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03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03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03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04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04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04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04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04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04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04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04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05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05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05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05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05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05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05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05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06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06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06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06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06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06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06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06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07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07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07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07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07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07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07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07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08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08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08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08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08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08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08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08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09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09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09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09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09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09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09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09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10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10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10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10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10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10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10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10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11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11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11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11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11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11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11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11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12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12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12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12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12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12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12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12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13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13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13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13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13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13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13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13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14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14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14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14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14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14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14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14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15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15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15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15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15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15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15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15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16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16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16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16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16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16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16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16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17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17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17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17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17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17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17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17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18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18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18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18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18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18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18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18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19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19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19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19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19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19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19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19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20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20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20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20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20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20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20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20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21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21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21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21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21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21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21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21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22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22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22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22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22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22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22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22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23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23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23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23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23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23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23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23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24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24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24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24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24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24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24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24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25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25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25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25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25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25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25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25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26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26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26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26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26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26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26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26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27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27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27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27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27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27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27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27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28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28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28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28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28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28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28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28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29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29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29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29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29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29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29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29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30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30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30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30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30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30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30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30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31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31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31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31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31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31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31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31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32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32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32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32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32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32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32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32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33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33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33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33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33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33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33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33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34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34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34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34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34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34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34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34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35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35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35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35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35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35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35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35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36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36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36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36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36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36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36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36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37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37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37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37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37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37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37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37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38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38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38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38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38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38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38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38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39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39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39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39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39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39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39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39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40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40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40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40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40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40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40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40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41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41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41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41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41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41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41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41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42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42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42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42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42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42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42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42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43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43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43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43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43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43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43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43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44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44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44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44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44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44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44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44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45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45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45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45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45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45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45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45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46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46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46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46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46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46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46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46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47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47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47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47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47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47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47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47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48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48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48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48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48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48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48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48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49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49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49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49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49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49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49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49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50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50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50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50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50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50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50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50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51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51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51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51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51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51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51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51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52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52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52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52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52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52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52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52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53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53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53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53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53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53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53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53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54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54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54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54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54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54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54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54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55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55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55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55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55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55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55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55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56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56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56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56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56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56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56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56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57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57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57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57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57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57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57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57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58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58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58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58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58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58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58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58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59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59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59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59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59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59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59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59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60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60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60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60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60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60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60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60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61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61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61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61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61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61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61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61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62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62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62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62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62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62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62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62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63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63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63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63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63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63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63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63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64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64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64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64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64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64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64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64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65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65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65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65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65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65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65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65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66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66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66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66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66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66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66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66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67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67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67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67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67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67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67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67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68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68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68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68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68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68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68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68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69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69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69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69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69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69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69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69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70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70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70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70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70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70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70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70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71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71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71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71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71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71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71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71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72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72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72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72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72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72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72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72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73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73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73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73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73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73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73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73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74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74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74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74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74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74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74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74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75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75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75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75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75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75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75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75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76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76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76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76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76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76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76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76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77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77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77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77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77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77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77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77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78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78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78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78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78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78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78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78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79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79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79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79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79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79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79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79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80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80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80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80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80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80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80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80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81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81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81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81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81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81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81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81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82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82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82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82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82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82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82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82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83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83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83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83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83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83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83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83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84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84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84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84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84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84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84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84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85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85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85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85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85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85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85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85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86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86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86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86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86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86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86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86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87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87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87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87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87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87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87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87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88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88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88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88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88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88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88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88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89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89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89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89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89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89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89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89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90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90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90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90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90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90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90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90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91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91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91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91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91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91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91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91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92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92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92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92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92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92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92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92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93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93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93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93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93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93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93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93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94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94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94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94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94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94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94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94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95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95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95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95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95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95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95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95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96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96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96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96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96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96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96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96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97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97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97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97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97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97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97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97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98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98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98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98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98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98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98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98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199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199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199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199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199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199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199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199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200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200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200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200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200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200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200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200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201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201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201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201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201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201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201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201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202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202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202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202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202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202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202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202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203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203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203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203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203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203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203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203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204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204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204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204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204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204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204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204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205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205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205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205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205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205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205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205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206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206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206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206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206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206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206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206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207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207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207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207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207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207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207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207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208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208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208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208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208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208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208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208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209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209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209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209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209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209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209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209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210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210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210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210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210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210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210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210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211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211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211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211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211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211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211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211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212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212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212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212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212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212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212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212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213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213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213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213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213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213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213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213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214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214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214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214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214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214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214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214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215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215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215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215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215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215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215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215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216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216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216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216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216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216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216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216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217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217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217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217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217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217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217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217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218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218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218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218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218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218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218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218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219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219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219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219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219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219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219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219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220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220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220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220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220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220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220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220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221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221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221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221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221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221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221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221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222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222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222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222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222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222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222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222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223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223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223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223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223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223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223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223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224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224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224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224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224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224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224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224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225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225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225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225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225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225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225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225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226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226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226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226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226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226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226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226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227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227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227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227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227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227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227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227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228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228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228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228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228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228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228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228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229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229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229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229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229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229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229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229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230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230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230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230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230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230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230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230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231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231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231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231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231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231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231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231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232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232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232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232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232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232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232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232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233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233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233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233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233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233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233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233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234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234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234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234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234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234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234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234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235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235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235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235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235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235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235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235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236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236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236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236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236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236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236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236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237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237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237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237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237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237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237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237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238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238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238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238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238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238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238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238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239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239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239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239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239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239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239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239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240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240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240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240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240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240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240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240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241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241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241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241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241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241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241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241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242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242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242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242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242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242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242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242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243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243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243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243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243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243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243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243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244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244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244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244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244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244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244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244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245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245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245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245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245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245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245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245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246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246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246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246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246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246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246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246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247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247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247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247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247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247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247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247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248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248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248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248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248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248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248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248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249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249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249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249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249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249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249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249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250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250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250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250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250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250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250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250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251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251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251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251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251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251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251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251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252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252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252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252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252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252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252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252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253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253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253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253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253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253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253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253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254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254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254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254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254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254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254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254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  <comment ref="A255" authorId="0" shapeId="0">
      <text>
        <t>Tanım: SatirId | Neden önemli: OEE ve duruş kök-neden analizini etkiler | Doğru kullanım: Manuel giriş | Örnek: hücredeki örnek değere bakın | Risk: Yanlış giriş hatalı karar üretir</t>
      </text>
    </comment>
    <comment ref="B255" authorId="0" shapeId="0">
      <text>
        <t>Tanım: VarlikId | Neden önemli: OEE ve duruş kök-neden analizini etkiler | Doğru kullanım: Manuel giriş | Örnek: hücredeki örnek değere bakın | Risk: Yanlış giriş hatalı karar üretir</t>
      </text>
    </comment>
    <comment ref="C255" authorId="0" shapeId="0">
      <text>
        <t>Tanım: Tarih | Neden önemli: OEE ve duruş kök-neden analizini etkiler | Doğru kullanım: Manuel giriş | Örnek: hücredeki örnek değere bakın | Risk: Yanlış giriş hatalı karar üretir</t>
      </text>
    </comment>
    <comment ref="D255" authorId="0" shapeId="0">
      <text>
        <t>Tanım: PlanSure_dk | Neden önemli: OEE ve duruş kök-neden analizini etkiler | Doğru kullanım: Manuel giriş | Örnek: hücredeki örnek değere bakın | Risk: Yanlış giriş hatalı karar üretir</t>
      </text>
    </comment>
    <comment ref="E255" authorId="0" shapeId="0">
      <text>
        <t>Tanım: DurusSure_dk | Neden önemli: OEE ve duruş kök-neden analizini etkiler | Doğru kullanım: Manuel giriş | Örnek: hücredeki örnek değere bakın | Risk: Yanlış giriş hatalı karar üretir</t>
      </text>
    </comment>
    <comment ref="F255" authorId="0" shapeId="0">
      <text>
        <t>Tanım: UretimAdet_adet | Neden önemli: OEE ve duruş kök-neden analizini etkiler | Doğru kullanım: Manuel giriş | Örnek: hücredeki örnek değere bakın | Risk: Yanlış giriş hatalı karar üretir</t>
      </text>
    </comment>
    <comment ref="G255" authorId="0" shapeId="0">
      <text>
        <t>Tanım: FireAdet_adet | Neden önemli: OEE ve duruş kök-neden analizini etkiler | Doğru kullanım: Manuel giriş | Örnek: hücredeki örnek değere bakın | Risk: Yanlış giriş hatalı karar üretir</t>
      </text>
    </comment>
    <comment ref="H255" authorId="0" shapeId="0">
      <text>
        <t>Tanım: KokNedenKodu | Neden önemli: OEE ve duruş kök-neden analizini etkiler | Doğru kullanım: Manuel giriş | Örnek: hücredeki örnek değere bakın | Risk: Yanlış giriş hatalı karar üretir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B5" authorId="0" shapeId="0">
      <text>
        <t>Tanım: Karar kapısı | Neden önemli: Boş dosyada VERİ YOK | Doğru kullanım: Otomatik | Örnek: UYGUN | Risk: Elle müdahale yok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A7" authorId="0" shapeId="0">
      <text>
        <t>Tanım: Seçim | Neden önemli: OEE ve duruş kök-neden analizini etkiler | Doğru kullanım: EVET/HAYIR | Örnek: hücredeki örnek değere bakın | Risk: Yanlış giriş hatalı karar üretir</t>
      </text>
    </comment>
    <comment ref="C7" authorId="0" shapeId="0">
      <text>
        <t>Tanım: Kök Neden | Neden önemli: OEE ve duruş kök-neden analizini etkiler | Doğru kullanım: Duruş kök-neden kodu | Örnek: hücredeki örnek değere bakın | Risk: Yanlış giriş hatalı karar üretir</t>
      </text>
    </comment>
    <comment ref="E7" authorId="0" shapeId="0">
      <text>
        <t>Tanım: Hat | Neden önemli: OEE ve duruş kök-neden analizini etkiler | Doğru kullanım: Hat kodu | Örnek: hücredeki örnek değere bakın | Risk: Yanlış giriş hatalı karar üretir</t>
      </text>
    </comment>
    <comment ref="A8" authorId="0" shapeId="0">
      <text>
        <t>Tanım: Seçim | Neden önemli: OEE ve duruş kök-neden analizini etkiler | Doğru kullanım: EVET/HAYIR | Örnek: hücredeki örnek değere bakın | Risk: Yanlış giriş hatalı karar üretir</t>
      </text>
    </comment>
    <comment ref="C8" authorId="0" shapeId="0">
      <text>
        <t>Tanım: Kök Neden | Neden önemli: OEE ve duruş kök-neden analizini etkiler | Doğru kullanım: Duruş kök-neden kodu | Örnek: hücredeki örnek değere bakın | Risk: Yanlış giriş hatalı karar üretir</t>
      </text>
    </comment>
    <comment ref="E8" authorId="0" shapeId="0">
      <text>
        <t>Tanım: Hat | Neden önemli: OEE ve duruş kök-neden analizini etkiler | Doğru kullanım: Hat kodu | Örnek: hücredeki örnek değere bakın | Risk: Yanlış giriş hatalı karar üretir</t>
      </text>
    </comment>
    <comment ref="C9" authorId="0" shapeId="0">
      <text>
        <t>Tanım: Kök Neden | Neden önemli: OEE ve duruş kök-neden analizini etkiler | Doğru kullanım: Duruş kök-neden kodu | Örnek: hücredeki örnek değere bakın | Risk: Yanlış giriş hatalı karar üretir</t>
      </text>
    </comment>
    <comment ref="E9" authorId="0" shapeId="0">
      <text>
        <t>Tanım: Hat | Neden önemli: OEE ve duruş kök-neden analizini etkiler | Doğru kullanım: Hat kodu | Örnek: hücredeki örnek değere bakın | Risk: Yanlış giriş hatalı karar üretir</t>
      </text>
    </comment>
    <comment ref="C10" authorId="0" shapeId="0">
      <text>
        <t>Tanım: Kök Neden | Neden önemli: OEE ve duruş kök-neden analizini etkiler | Doğru kullanım: Duruş kök-neden kodu | Örnek: hücredeki örnek değere bakın | Risk: Yanlış giriş hatalı karar üretir</t>
      </text>
    </comment>
    <comment ref="C11" authorId="0" shapeId="0">
      <text>
        <t>Tanım: Kök Neden | Neden önemli: OEE ve duruş kök-neden analizini etkiler | Doğru kullanım: Duruş kök-neden kodu | Örnek: hücredeki örnek değere bakın | Risk: Yanlış giriş hatalı karar üretir</t>
      </text>
    </comment>
    <comment ref="C12" authorId="0" shapeId="0">
      <text>
        <t>Tanım: Kök Neden | Neden önemli: OEE ve duruş kök-neden analizini etkiler | Doğru kullanım: Duruş kök-neden kodu | Örnek: hücredeki örnek değere bakın | Risk: Yanlış giriş hatalı karar üretir</t>
      </text>
    </comment>
    <comment ref="C13" authorId="0" shapeId="0">
      <text>
        <t>Tanım: Kök Neden | Neden önemli: OEE ve duruş kök-neden analizini etkiler | Doğru kullanım: Duruş kök-neden kodu | Örnek: hücredeki örnek değere bakın | Risk: Yanlış giriş hatalı karar üretir</t>
      </text>
    </comment>
  </commentList>
</comments>
</file>

<file path=xl/comments/comment5.xml><?xml version="1.0" encoding="utf-8"?>
<comments xmlns="http://schemas.openxmlformats.org/spreadsheetml/2006/main">
  <authors>
    <author>ExcelArşiv</author>
  </authors>
  <commentList>
    <comment ref="B6" authorId="0" shapeId="0">
      <text>
        <t>Tanım: raporTarihi | Neden önemli: OEE ve duruş kök-neden analizini etkiler | Doğru kullanım: Rapor tarihi (TODAY yok) | Örnek: hücredeki örnek değere bakın | Risk: Yanlış giriş hatalı karar üretir</t>
      </text>
    </comment>
    <comment ref="B7" authorId="0" shapeId="0">
      <text>
        <t>Tanım: odk_varsayilanCevrim | Neden önemli: OEE ve duruş kök-neden analizini etkiler | Doğru kullanım: Varsayılan ideal çevrim sn | Örnek: hücredeki örnek değere bakın | Risk: Yanlış giriş hatalı karar üretir</t>
      </text>
    </comment>
    <comment ref="B8" authorId="0" shapeId="0">
      <text>
        <t>Tanım: odk_esikOee | Neden önemli: OEE ve duruş kök-neden analizini etkiler | Doğru kullanım: OEE alt alarm eşiği | Örnek: hücredeki örnek değere bakın | Risk: Yanlış giriş hatalı karar üretir</t>
      </text>
    </comment>
    <comment ref="B9" authorId="0" shapeId="0">
      <text>
        <t>Tanım: odk_esikDurusDk | Neden önemli: OEE ve duruş kök-neden analizini etkiler | Doğru kullanım: Günlük duruş alarm eşiği | Örnek: hücredeki örnek değere bakın | Risk: Yanlış giriş hatalı karar üretir</t>
      </text>
    </comment>
    <comment ref="B10" authorId="0" shapeId="0">
      <text>
        <t>Tanım: odk_esikSaglik | Neden önemli: OEE ve duruş kök-neden analizini etkiler | Doğru kullanım: Sağlık skor alt eşiği | Örnek: hücredeki örnek değere bakın | Risk: Yanlış giriş hatalı karar üretir</t>
      </text>
    </comment>
    <comment ref="B11" authorId="0" shapeId="0">
      <text>
        <t>Tanım: odk_aylikCarpan | Neden önemli: OEE ve duruş kök-neden analizini etkiler | Doğru kullanım: Aylık duruş çarpan | Örnek: hücredeki örnek değere bakın | Risk: Yanlış giriş hatalı karar üretir</t>
      </text>
    </comment>
    <comment ref="B12" authorId="0" shapeId="0">
      <text>
        <t>Tanım: odk_senaryoTemkinli | Neden önemli: OEE ve duruş kök-neden analizini etkiler | Doğru kullanım: Temkinli çarpan | Örnek: hücredeki örnek değere bakın | Risk: Yanlış giriş hatalı karar üretir</t>
      </text>
    </comment>
    <comment ref="B13" authorId="0" shapeId="0">
      <text>
        <t>Tanım: odk_senaryoBaz | Neden önemli: OEE ve duruş kök-neden analizini etkiler | Doğru kullanım: Baz çarpan | Örnek: hücredeki örnek değere bakın | Risk: Yanlış giriş hatalı karar üretir</t>
      </text>
    </comment>
    <comment ref="B14" authorId="0" shapeId="0">
      <text>
        <t>Tanım: odk_senaryoIyimser | Neden önemli: OEE ve duruş kök-neden analizini etkiler | Doğru kullanım: İyimser çarpan | Örnek: hücredeki örnek değere bakın | Risk: Yanlış giriş hatalı karar üretir</t>
      </text>
    </comment>
    <comment ref="B15" authorId="0" shapeId="0">
      <text>
        <t>Tanım: odk_tornadoOran | Neden önemli: OEE ve duruş kök-neden analizini etkiler | Doğru kullanım: Tornado etki oranı | Örnek: hücredeki örnek değere bakın | Risk: Yanlış giriş hatalı karar üretir</t>
      </text>
    </comment>
    <comment ref="B16" authorId="0" shapeId="0">
      <text>
        <t>Tanım: odk_yuzdelikOran | Neden önemli: OEE ve duruş kök-neden analizini etkiler | Doğru kullanım: P90 çarpan proxy | Örnek: hücredeki örnek değere bakın | Risk: Yanlış giriş hatalı karar üretir</t>
      </text>
    </comment>
    <comment ref="B17" authorId="0" shapeId="0">
      <text>
        <t>Tanım: odk_percentileOran | Neden önemli: OEE ve duruş kök-neden analizini etkiler | Doğru kullanım: Yüzdelik dilim | Örnek: hücredeki örnek değere bakın | Risk: Yanlış giriş hatalı karar üretir</t>
      </text>
    </comment>
    <comment ref="B18" authorId="0" shapeId="0">
      <text>
        <t>Tanım: odk_tahminCarpan | Neden önemli: OEE ve duruş kök-neden analizini etkiler | Doğru kullanım: Tahmin aralık çarpan | Örnek: hücredeki örnek değere bakın | Risk: Yanlış giriş hatalı karar üretir</t>
      </text>
    </comment>
    <comment ref="B19" authorId="0" shapeId="0">
      <text>
        <t>Tanım: odk_olcekHedef | Neden önemli: OEE ve duruş kök-neden analizini etkiler | Doğru kullanım: Ölçek sözleşmesi | Örnek: hücredeki örnek değere bakın | Risk: Yanlış giriş hatalı karar üretir</t>
      </text>
    </comment>
    <comment ref="B20" authorId="0" shapeId="0">
      <text>
        <t>Tanım: odk_kaliteTaban | Neden önemli: OEE ve duruş kök-neden analizini etkiler | Doğru kullanım: Taban puan | Örnek: hücredeki örnek değere bakın | Risk: Yanlış giriş hatalı karar üretir</t>
      </text>
    </comment>
    <comment ref="B21" authorId="0" shapeId="0">
      <text>
        <t>Tanım: odk_kaliteCeza | Neden önemli: OEE ve duruş kök-neden analizini etkiler | Doğru kullanım: Eşik aşım cezası | Örnek: hücredeki örnek değere bakın | Risk: Yanlış giriş hatalı karar üretir</t>
      </text>
    </comment>
    <comment ref="B22" authorId="0" shapeId="0">
      <text>
        <t>Tanım: odk_kaliteSapma | Neden önemli: OEE ve duruş kök-neden analizini etkiler | Doğru kullanım: Sapma / alarm cezası | Örnek: hücredeki örnek değere bakın | Risk: Yanlış giriş hatalı karar üretir</t>
      </text>
    </comment>
    <comment ref="B23" authorId="0" shapeId="0">
      <text>
        <t>Tanım: odk_dosyaSurumu | Neden önemli: OEE ve duruş kök-neden analizini etkiler | Doğru kullanım: Ürün sürümü | Örnek: hücredeki örnek değere bakın | Risk: Yanlış giriş hatalı karar üretir</t>
      </text>
    </comment>
    <comment ref="B24" authorId="0" shapeId="0">
      <text>
        <t>Tanım: odk_firmaUnvan | Neden önemli: OEE ve duruş kök-neden analizini etkiler | Doğru kullanım: Firma unvanı | Örnek: hücredeki örnek değere bakın | Risk: Yanlış giriş hatalı karar üretir</t>
      </text>
    </comment>
    <comment ref="B25" authorId="0" shapeId="0">
      <text>
        <t>Tanım: odk_alarmEsikMetin | Neden önemli: OEE ve duruş kök-neden analizini etkiler | Doğru kullanım: Alarm eşiği tanımı | Örnek: hücredeki örnek değere bakın | Risk: Yanlış giriş hatalı karar üretir</t>
      </text>
    </comment>
    <comment ref="B26" authorId="0" shapeId="0">
      <text>
        <t>Tanım: odk_dakikaSn | Neden önemli: OEE ve duruş kök-neden analizini etkiler | Doğru kullanım: Dakika → saniye çarpanı | Örnek: hücredeki örnek değere bakın | Risk: Yanlış giriş hatalı karar üretir</t>
      </text>
    </comment>
    <comment ref="B27" authorId="0" shapeId="0">
      <text>
        <t>Tanım: odk_oeeReferans | Neden önemli: OEE ve duruş kök-neden analizini etkiler | Doğru kullanım: Referans OEE hedefi | Örnek: hücredeki örnek değere bakın | Risk: Yanlış giriş hatalı karar üretir</t>
      </text>
    </comment>
    <comment ref="B28" authorId="0" shapeId="0">
      <text>
        <t>Tanım: odk_durusMaliyetTlDk | Neden önemli: OEE ve duruş kök-neden analizini etkiler | Doğru kullanım: Duruş dakikası maliyeti | Örnek: hücredeki örnek değere bakın | Risk: Yanlış giriş hatalı karar üretir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/Relationships>
</file>

<file path=xl/drawings/drawing1.xml><?xml version="1.0" encoding="utf-8"?>
<wsDr xmlns="http://schemas.openxmlformats.org/drawingml/2006/spreadsheetDrawing">
  <oneCellAnchor>
    <from>
      <col>0</col>
      <colOff>0</colOff>
      <row>26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26</row>
      <rowOff>0</rowOff>
    </from>
    <ext cx="50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31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31</row>
      <rowOff>0</rowOff>
    </from>
    <ext cx="36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46</row>
      <rowOff>0</rowOff>
    </from>
    <ext cx="432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</col>
      <colOff>0</colOff>
      <row>46</row>
      <rowOff>0</rowOff>
    </from>
    <ext cx="360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61</row>
      <rowOff>0</rowOff>
    </from>
    <ext cx="3600000" cy="25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5</col>
      <colOff>0</colOff>
      <row>61</row>
      <rowOff>0</rowOff>
    </from>
    <ext cx="3600000" cy="252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76</row>
      <rowOff>0</rowOff>
    </from>
    <ext cx="4320000" cy="252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5</col>
      <colOff>0</colOff>
      <row>76</row>
      <rowOff>0</rowOff>
    </from>
    <ext cx="3600000" cy="252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Varliklar" displayName="tblVarliklar" ref="A5:K255" headerRowCount="1">
  <tableColumns count="11">
    <tableColumn id="1" name="VarlikId"/>
    <tableColumn id="2" name="MakineAd"/>
    <tableColumn id="3" name="Hat"/>
    <tableColumn id="4" name="IdealCevrim_sn"/>
    <tableColumn id="5" name="VardiyaSure_dk"/>
    <tableColumn id="6" name="HedefOee_oran"/>
    <tableColumn id="7" name="Aktif"/>
    <tableColumn id="8" name="ToplamDurus_dk">
      <calculatedColumnFormula>IF(tblVarliklar[[#This Row],[VarlikId]]="","",SUMIF(tblGunluk[VarlikId],tblVarliklar[[#This Row],[VarlikId]],tblGunluk[DurusSure_dk]))</calculatedColumnFormula>
    </tableColumn>
    <tableColumn id="9" name="OrtOee">
      <calculatedColumnFormula>IF(tblVarliklar[[#This Row],[VarlikId]]="","",IFERROR(AVERAGEIF(tblGunluk[VarlikId],tblVarliklar[[#This Row],[VarlikId]],tblGunluk[FormulOee_oran]),0))</calculatedColumnFormula>
    </tableColumn>
    <tableColumn id="10" name="ToplamUretim_adet">
      <calculatedColumnFormula>IF(tblVarliklar[[#This Row],[VarlikId]]="","",SUMIF(tblGunluk[VarlikId],tblVarliklar[[#This Row],[VarlikId]],tblGunluk[UretimAdet_adet]))</calculatedColumnFormula>
    </tableColumn>
    <tableColumn id="11" name="SaglikSkor">
      <calculatedColumnFormula>IF(tblVarliklar[[#This Row],[VarlikId]]="","",MAX(0,MIN(100,odk_kaliteTaban-IF(tblVarliklar[[#This Row],[OrtOee]]&lt;odk_esikOee,odk_kaliteCeza,0)-COUNTIFS(tblGunluk[VarlikId],tblVarliklar[[#This Row],[VarlikId]],tblGunluk[AlarmBayrak],"ALARM")*odk_kaliteSapma-IF(tblVarliklar[[#This Row],[Aktif]]="HAYIR",odk_kaliteCeza,0))))</calculatedColumnFormula>
    </tableColumn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blGunluk" displayName="tblGunluk" ref="A5:T255" headerRowCount="1">
  <tableColumns count="20">
    <tableColumn id="1" name="SatirId"/>
    <tableColumn id="2" name="VarlikId"/>
    <tableColumn id="3" name="Tarih"/>
    <tableColumn id="4" name="PlanSure_dk"/>
    <tableColumn id="5" name="DurusSure_dk"/>
    <tableColumn id="6" name="UretimAdet_adet"/>
    <tableColumn id="7" name="FireAdet_adet"/>
    <tableColumn id="8" name="KokNedenKodu"/>
    <tableColumn id="9" name="FormulIdealCevrim_sn">
      <calculatedColumnFormula>IF(tblGunluk[[#This Row],[SatirId]]="","",IFERROR(SUMIF(tblVarliklar[VarlikId],tblGunluk[[#This Row],[VarlikId]],tblVarliklar[IdealCevrim_sn]),odk_varsayilanCevrim))</calculatedColumnFormula>
    </tableColumn>
    <tableColumn id="10" name="FormulCalisma_dk">
      <calculatedColumnFormula>IF(tblGunluk[[#This Row],[SatirId]]="","",IFERROR(MAX(0,tblGunluk[[#This Row],[PlanSure_dk]]-tblGunluk[[#This Row],[DurusSure_dk]]),0))</calculatedColumnFormula>
    </tableColumn>
    <tableColumn id="11" name="FormulKullanilabilirlik_oran">
      <calculatedColumnFormula>IF(tblGunluk[[#This Row],[SatirId]]="","",IFERROR(tblGunluk[[#This Row],[FormulCalisma_dk]]/tblGunluk[[#This Row],[PlanSure_dk]],0))</calculatedColumnFormula>
    </tableColumn>
    <tableColumn id="12" name="FormulTeorikAdet_adet">
      <calculatedColumnFormula>IF(tblGunluk[[#This Row],[SatirId]]="","",IFERROR(tblGunluk[[#This Row],[FormulCalisma_dk]]*odk_dakikaSn/tblGunluk[[#This Row],[FormulIdealCevrim_sn]],0))</calculatedColumnFormula>
    </tableColumn>
    <tableColumn id="13" name="FormulPerformans_oran">
      <calculatedColumnFormula>IF(tblGunluk[[#This Row],[SatirId]]="","",IFERROR(tblGunluk[[#This Row],[UretimAdet_adet]]/tblGunluk[[#This Row],[FormulTeorikAdet_adet]],0))</calculatedColumnFormula>
    </tableColumn>
    <tableColumn id="14" name="FormulKalite_oran">
      <calculatedColumnFormula>IF(tblGunluk[[#This Row],[SatirId]]="","",IFERROR((tblGunluk[[#This Row],[UretimAdet_adet]]-tblGunluk[[#This Row],[FireAdet_adet]])/tblGunluk[[#This Row],[UretimAdet_adet]],0))</calculatedColumnFormula>
    </tableColumn>
    <tableColumn id="15" name="FormulOee_oran">
      <calculatedColumnFormula>IF(tblGunluk[[#This Row],[SatirId]]="","",IFERROR(N(tblGunluk[[#This Row],[FormulKullanilabilirlik_oran]])*N(tblGunluk[[#This Row],[FormulPerformans_oran]])*N(tblGunluk[[#This Row],[FormulKalite_oran]]),0))</calculatedColumnFormula>
    </tableColumn>
    <tableColumn id="16" name="FormulDurusPay_oran">
      <calculatedColumnFormula>IF(tblGunluk[[#This Row],[SatirId]]="","",IFERROR(tblGunluk[[#This Row],[DurusSure_dk]]/tblGunluk[[#This Row],[PlanSure_dk]],0))</calculatedColumnFormula>
    </tableColumn>
    <tableColumn id="17" name="SaglikSkor_puan">
      <calculatedColumnFormula>IF(tblGunluk[[#This Row],[SatirId]]="","",IFERROR(MAX(0,MIN(100,odk_kaliteTaban-IF(N(tblGunluk[[#This Row],[FormulOee_oran]])&lt;odk_esikOee,odk_kaliteCeza,0)-IF(tblGunluk[[#This Row],[DurusSure_dk]]&gt;odk_esikDurusDk,odk_kaliteSapma,0)-IF(tblGunluk[[#This Row],[FormulYetim]]="YETIM",odk_kaliteCeza,0))),0))</calculatedColumnFormula>
    </tableColumn>
    <tableColumn id="18" name="AlarmBayrak">
      <calculatedColumnFormula>IF(tblGunluk[[#This Row],[SatirId]]="","",IF(OR(N(tblGunluk[[#This Row],[FormulOee_oran]])&lt;odk_esikOee,tblGunluk[[#This Row],[DurusSure_dk]]&gt;odk_esikDurusDk,N(tblGunluk[[#This Row],[SaglikSkor_puan]])&lt;odk_esikSaglik),"ALARM","UYGUN"))</calculatedColumnFormula>
    </tableColumn>
    <tableColumn id="19" name="FormulKayitDolu">
      <calculatedColumnFormula>IF(tblGunluk[[#This Row],[SatirId]]="","",1)</calculatedColumnFormula>
    </tableColumn>
    <tableColumn id="20" name="FormulYetim">
      <calculatedColumnFormula>IF(tblGunluk[[#This Row],[SatirId]]="","",IF(OR(tblGunluk[[#This Row],[VarlikId]]="",COUNTIF(tblVarliklar[VarlikId],tblGunluk[[#This Row],[VarlikId]])=0),"YETIM","TAMAM"))</calculatedColumnFormula>
    </tableColumn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tabColor rgb="001A365D"/>
    <outlinePr summaryBelow="1" summaryRight="1"/>
    <pageSetUpPr/>
  </sheetPr>
  <dimension ref="A1:AC21"/>
  <sheetViews>
    <sheetView showGridLines="0" workbookViewId="0">
      <selection activeCell="A1" sqref="A1"/>
    </sheetView>
  </sheetViews>
  <sheetFormatPr baseColWidth="8" defaultRowHeight="15"/>
  <cols>
    <col width="7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33" t="inlineStr">
        <is>
          <t>KAPAK — OEE &amp; Duruş Kök-Neden Komutası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</row>
    <row r="2"/>
    <row r="3" ht="22" customHeight="1">
      <c r="A3" s="35" t="inlineStr">
        <is>
          <t>OEE &amp; Duruş Kök-Neden Komutası</t>
        </is>
      </c>
    </row>
    <row r="4">
      <c r="A4" s="4" t="inlineStr">
        <is>
          <t>Üretim hatlarında günlük plan süre, duruş, üretim ve fire verisinden OEE'yi hesaplar; duruş kök-neden Pareto kırılımı ve varlık sağlık skoru üretir; UYGUN / DİKKAT / KRİTİK / VERİ YOK kararı verir.</t>
        </is>
      </c>
    </row>
    <row r="5"/>
    <row r="6">
      <c r="A6" s="5" t="inlineStr">
        <is>
          <t>Bu ürün ne sağlar?</t>
        </is>
      </c>
    </row>
    <row r="7">
      <c r="A7" s="6" t="inlineStr">
        <is>
          <t>• OEE = kullanılabilirlik × performans × kalite — tek formül, sabit skor yok</t>
        </is>
      </c>
    </row>
    <row r="8">
      <c r="A8" s="6" t="inlineStr">
        <is>
          <t>• Günlük saha girişi en fazla 6 manuel alan — 30 saniye hedefi</t>
        </is>
      </c>
    </row>
    <row r="9">
      <c r="A9" s="6" t="inlineStr">
        <is>
          <t>• Duruş kök-neden Pareto (ARIZA / AYAR / MALZEME / OPERATÖR / KALIP / BEKLEME)</t>
        </is>
      </c>
    </row>
    <row r="10">
      <c r="A10" s="6" t="inlineStr">
        <is>
          <t>• 12 aylık sezonsal OEE-duruş zinciri ve alarm eşiği kuyruğu</t>
        </is>
      </c>
    </row>
    <row r="11">
      <c r="A11" s="6" t="inlineStr">
        <is>
          <t>• Makrosuz, çevrimdışı; MES / SCADA API bağı yok</t>
        </is>
      </c>
    </row>
    <row r="12"/>
    <row r="13">
      <c r="A13" s="5" t="inlineStr">
        <is>
          <t>Kimler için?</t>
        </is>
      </c>
    </row>
    <row r="14">
      <c r="A14" s="7" t="inlineStr">
        <is>
          <t>• Vardiya / hat operatörü — günlük plan-duruş-üretim-fire-kök neden satırı</t>
        </is>
      </c>
    </row>
    <row r="15">
      <c r="A15" s="7" t="inlineStr">
        <is>
          <t>• Üretim müdürü / OEE sahibi — OEE panosu ve karar</t>
        </is>
      </c>
    </row>
    <row r="16">
      <c r="A16" s="7" t="inlineStr">
        <is>
          <t>• Kalite müdürü / fabrika yöneticisi — dönemsel RAPOR kanıt çıktısı</t>
        </is>
      </c>
    </row>
    <row r="17"/>
    <row r="18">
      <c r="A18" s="5" t="inlineStr">
        <is>
          <t>Nasıl başlanır?</t>
        </is>
      </c>
    </row>
    <row r="19">
      <c r="A19" s="8" t="inlineStr">
        <is>
          <t>1) VARLIKLAR'a makine kartı girin. 2) GUNLUK_GIRIS'e günlük satır yazın. 3) DONEM_ANALIZ ve PANO'dan kararı görün. 4) RAPOR'dan çıktı alın.</t>
        </is>
      </c>
    </row>
    <row r="20"/>
    <row r="21">
      <c r="A21" s="9" t="inlineStr">
        <is>
          <t>Sürüm 1.0.0 | Kod: ODK-PRO | Lisans: Tek kullanıcı | ExcelArşiv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9">
    <mergeCell ref="A9:N9"/>
    <mergeCell ref="A8:N8"/>
    <mergeCell ref="A19:L19"/>
    <mergeCell ref="A7:N7"/>
    <mergeCell ref="A1:I1"/>
    <mergeCell ref="A11:N11"/>
    <mergeCell ref="A3:I3"/>
    <mergeCell ref="A10:N10"/>
    <mergeCell ref="A4:L4"/>
  </mergeCells>
  <dataValidations count="1">
    <dataValidation sqref="A21" showDropDown="0" showInputMessage="1" showErrorMessage="1" allowBlank="1" errorTitle="Not" error="Geçersiz" promptTitle="Sürüm notu" prompt="Sürüm satırı salt okunur referans" type="textLength" errorStyle="stop" operator="greaterThanOrEqual">
      <formula1>0</formula1>
      <formula2>120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A365D"/>
    <outlinePr summaryBelow="1" summaryRight="1"/>
    <pageSetUpPr/>
  </sheetPr>
  <dimension ref="A1:AC2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8.5" customWidth="1" min="4" max="4"/>
    <col width="18.5" customWidth="1" min="5" max="5"/>
    <col width="17.5" customWidth="1" min="6" max="6"/>
    <col width="14" customWidth="1" min="7" max="7"/>
    <col width="18.5" customWidth="1" min="8" max="8"/>
    <col width="14" customWidth="1" min="9" max="9"/>
    <col width="21.5" customWidth="1" min="10" max="10"/>
    <col width="14.5" customWidth="1" min="11" max="11"/>
    <col width="13" customWidth="1" min="12" max="12"/>
  </cols>
  <sheetData>
    <row r="1" ht="32" customHeight="1">
      <c r="A1" s="33" t="inlineStr">
        <is>
          <t>VARLIKLAR — OEE &amp; Duruş Kök-Neden Komutası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</row>
    <row r="2"/>
    <row r="3" ht="22" customHeight="1">
      <c r="A3" s="36" t="inlineStr">
        <is>
          <t>Makine / hat kartları — her varlığın tek kimliği vardır</t>
        </is>
      </c>
    </row>
    <row r="4">
      <c r="A4" s="12" t="inlineStr">
        <is>
          <t>Sonraki Kimlik</t>
        </is>
      </c>
      <c r="B4" s="13">
        <f>odk_sonrakiKimlik</f>
        <v/>
      </c>
    </row>
    <row r="5" ht="30" customHeight="1">
      <c r="A5" s="14" t="inlineStr">
        <is>
          <t>VarlikId</t>
        </is>
      </c>
      <c r="B5" s="14" t="inlineStr">
        <is>
          <t>MakineAd</t>
        </is>
      </c>
      <c r="C5" s="14" t="inlineStr">
        <is>
          <t>Hat</t>
        </is>
      </c>
      <c r="D5" s="14" t="inlineStr">
        <is>
          <t>IdealCevrim_sn</t>
        </is>
      </c>
      <c r="E5" s="14" t="inlineStr">
        <is>
          <t>VardiyaSure_dk</t>
        </is>
      </c>
      <c r="F5" s="14" t="inlineStr">
        <is>
          <t>HedefOee_oran</t>
        </is>
      </c>
      <c r="G5" s="14" t="inlineStr">
        <is>
          <t>Aktif</t>
        </is>
      </c>
      <c r="H5" s="14" t="inlineStr">
        <is>
          <t>ToplamDurus_dk</t>
        </is>
      </c>
      <c r="I5" s="14" t="inlineStr">
        <is>
          <t>OrtOee</t>
        </is>
      </c>
      <c r="J5" s="14" t="inlineStr">
        <is>
          <t>ToplamUretim_adet</t>
        </is>
      </c>
      <c r="K5" s="14" t="inlineStr">
        <is>
          <t>SaglikSkor</t>
        </is>
      </c>
    </row>
    <row r="6">
      <c r="A6" s="15" t="inlineStr">
        <is>
          <t>MAK-00001</t>
        </is>
      </c>
      <c r="B6" s="15" t="inlineStr">
        <is>
          <t>Pres Hat 1</t>
        </is>
      </c>
      <c r="C6" s="15" t="inlineStr">
        <is>
          <t>HAT-A</t>
        </is>
      </c>
      <c r="D6" s="16" t="n">
        <v>12</v>
      </c>
      <c r="E6" s="17" t="n">
        <v>480</v>
      </c>
      <c r="F6" s="18" t="n">
        <v>0.75</v>
      </c>
      <c r="G6" s="15" t="inlineStr">
        <is>
          <t>EVET</t>
        </is>
      </c>
      <c r="H6" s="19">
        <f>IF($A6="","",SUMIF(tblGunluk[VarlikId],$A6,tblGunluk[DurusSure_dk]))</f>
        <v/>
      </c>
      <c r="I6" s="19">
        <f>IF($A6="","",IFERROR(AVERAGEIF(tblGunluk[VarlikId],$A6,tblGunluk[FormulOee_oran]),0))</f>
        <v/>
      </c>
      <c r="J6" s="19">
        <f>IF($A6="","",SUMIF(tblGunluk[VarlikId],$A6,tblGunluk[UretimAdet_adet]))</f>
        <v/>
      </c>
      <c r="K6" s="19">
        <f>IF($A6="","",MAX(0,MIN(100,odk_kaliteTaban-IF($I6&lt;odk_esikOee,odk_kaliteCeza,0)-COUNTIFS(tblGunluk[VarlikId],$A6,tblGunluk[AlarmBayrak],"ALARM")*odk_kaliteSapma-IF($G6="HAYIR",odk_kaliteCeza,0))))</f>
        <v/>
      </c>
    </row>
    <row r="7">
      <c r="A7" s="15" t="inlineStr">
        <is>
          <t>MAK-00002</t>
        </is>
      </c>
      <c r="B7" s="15" t="inlineStr">
        <is>
          <t>Torna CNC 2</t>
        </is>
      </c>
      <c r="C7" s="15" t="inlineStr">
        <is>
          <t>HAT-A</t>
        </is>
      </c>
      <c r="D7" s="16" t="n">
        <v>45</v>
      </c>
      <c r="E7" s="17" t="n">
        <v>480</v>
      </c>
      <c r="F7" s="18" t="n">
        <v>0.72</v>
      </c>
      <c r="G7" s="15" t="inlineStr">
        <is>
          <t>EVET</t>
        </is>
      </c>
      <c r="H7" s="19">
        <f>IF($A7="","",SUMIF(tblGunluk[VarlikId],$A7,tblGunluk[DurusSure_dk]))</f>
        <v/>
      </c>
      <c r="I7" s="19">
        <f>IF($A7="","",IFERROR(AVERAGEIF(tblGunluk[VarlikId],$A7,tblGunluk[FormulOee_oran]),0))</f>
        <v/>
      </c>
      <c r="J7" s="19">
        <f>IF($A7="","",SUMIF(tblGunluk[VarlikId],$A7,tblGunluk[UretimAdet_adet]))</f>
        <v/>
      </c>
      <c r="K7" s="19">
        <f>IF($A7="","",MAX(0,MIN(100,odk_kaliteTaban-IF($I7&lt;odk_esikOee,odk_kaliteCeza,0)-COUNTIFS(tblGunluk[VarlikId],$A7,tblGunluk[AlarmBayrak],"ALARM")*odk_kaliteSapma-IF($G7="HAYIR",odk_kaliteCeza,0))))</f>
        <v/>
      </c>
    </row>
    <row r="8">
      <c r="A8" s="15" t="inlineStr">
        <is>
          <t>MAK-00003</t>
        </is>
      </c>
      <c r="B8" s="15" t="inlineStr">
        <is>
          <t>Montaj Hatti B</t>
        </is>
      </c>
      <c r="C8" s="15" t="inlineStr">
        <is>
          <t>HAT-B</t>
        </is>
      </c>
      <c r="D8" s="16" t="n">
        <v>18</v>
      </c>
      <c r="E8" s="17" t="n">
        <v>480</v>
      </c>
      <c r="F8" s="18" t="n">
        <v>0.78</v>
      </c>
      <c r="G8" s="15" t="inlineStr">
        <is>
          <t>EVET</t>
        </is>
      </c>
      <c r="H8" s="19">
        <f>IF($A8="","",SUMIF(tblGunluk[VarlikId],$A8,tblGunluk[DurusSure_dk]))</f>
        <v/>
      </c>
      <c r="I8" s="19">
        <f>IF($A8="","",IFERROR(AVERAGEIF(tblGunluk[VarlikId],$A8,tblGunluk[FormulOee_oran]),0))</f>
        <v/>
      </c>
      <c r="J8" s="19">
        <f>IF($A8="","",SUMIF(tblGunluk[VarlikId],$A8,tblGunluk[UretimAdet_adet]))</f>
        <v/>
      </c>
      <c r="K8" s="19">
        <f>IF($A8="","",MAX(0,MIN(100,odk_kaliteTaban-IF($I8&lt;odk_esikOee,odk_kaliteCeza,0)-COUNTIFS(tblGunluk[VarlikId],$A8,tblGunluk[AlarmBayrak],"ALARM")*odk_kaliteSapma-IF($G8="HAYIR",odk_kaliteCeza,0))))</f>
        <v/>
      </c>
    </row>
    <row r="9">
      <c r="A9" s="15" t="inlineStr">
        <is>
          <t>MAK-00004</t>
        </is>
      </c>
      <c r="B9" s="15" t="inlineStr">
        <is>
          <t>Kaynak Robot 4</t>
        </is>
      </c>
      <c r="C9" s="15" t="inlineStr">
        <is>
          <t>HAT-B</t>
        </is>
      </c>
      <c r="D9" s="16" t="n">
        <v>30</v>
      </c>
      <c r="E9" s="17" t="n">
        <v>480</v>
      </c>
      <c r="F9" s="18" t="n">
        <v>0.7</v>
      </c>
      <c r="G9" s="15" t="inlineStr">
        <is>
          <t>EVET</t>
        </is>
      </c>
      <c r="H9" s="19">
        <f>IF($A9="","",SUMIF(tblGunluk[VarlikId],$A9,tblGunluk[DurusSure_dk]))</f>
        <v/>
      </c>
      <c r="I9" s="19">
        <f>IF($A9="","",IFERROR(AVERAGEIF(tblGunluk[VarlikId],$A9,tblGunluk[FormulOee_oran]),0))</f>
        <v/>
      </c>
      <c r="J9" s="19">
        <f>IF($A9="","",SUMIF(tblGunluk[VarlikId],$A9,tblGunluk[UretimAdet_adet]))</f>
        <v/>
      </c>
      <c r="K9" s="19">
        <f>IF($A9="","",MAX(0,MIN(100,odk_kaliteTaban-IF($I9&lt;odk_esikOee,odk_kaliteCeza,0)-COUNTIFS(tblGunluk[VarlikId],$A9,tblGunluk[AlarmBayrak],"ALARM")*odk_kaliteSapma-IF($G9="HAYIR",odk_kaliteCeza,0))))</f>
        <v/>
      </c>
    </row>
    <row r="10">
      <c r="A10" s="15" t="inlineStr">
        <is>
          <t>MAK-00005</t>
        </is>
      </c>
      <c r="B10" s="15" t="inlineStr">
        <is>
          <t>Enjeksiyon 5</t>
        </is>
      </c>
      <c r="C10" s="15" t="inlineStr">
        <is>
          <t>HAT-C</t>
        </is>
      </c>
      <c r="D10" s="16" t="n">
        <v>22</v>
      </c>
      <c r="E10" s="17" t="n">
        <v>480</v>
      </c>
      <c r="F10" s="18" t="n">
        <v>0.74</v>
      </c>
      <c r="G10" s="15" t="inlineStr">
        <is>
          <t>EVET</t>
        </is>
      </c>
      <c r="H10" s="19">
        <f>IF($A10="","",SUMIF(tblGunluk[VarlikId],$A10,tblGunluk[DurusSure_dk]))</f>
        <v/>
      </c>
      <c r="I10" s="19">
        <f>IF($A10="","",IFERROR(AVERAGEIF(tblGunluk[VarlikId],$A10,tblGunluk[FormulOee_oran]),0))</f>
        <v/>
      </c>
      <c r="J10" s="19">
        <f>IF($A10="","",SUMIF(tblGunluk[VarlikId],$A10,tblGunluk[UretimAdet_adet]))</f>
        <v/>
      </c>
      <c r="K10" s="19">
        <f>IF($A10="","",MAX(0,MIN(100,odk_kaliteTaban-IF($I10&lt;odk_esikOee,odk_kaliteCeza,0)-COUNTIFS(tblGunluk[VarlikId],$A10,tblGunluk[AlarmBayrak],"ALARM")*odk_kaliteSapma-IF($G10="HAYIR",odk_kaliteCeza,0))))</f>
        <v/>
      </c>
    </row>
    <row r="11">
      <c r="A11" s="15" t="inlineStr">
        <is>
          <t>MAK-00006</t>
        </is>
      </c>
      <c r="B11" s="15" t="inlineStr">
        <is>
          <t>Paketleme 6</t>
        </is>
      </c>
      <c r="C11" s="15" t="inlineStr">
        <is>
          <t>HAT-C</t>
        </is>
      </c>
      <c r="D11" s="16" t="n">
        <v>8</v>
      </c>
      <c r="E11" s="17" t="n">
        <v>480</v>
      </c>
      <c r="F11" s="18" t="n">
        <v>0.8</v>
      </c>
      <c r="G11" s="15" t="inlineStr">
        <is>
          <t>EVET</t>
        </is>
      </c>
      <c r="H11" s="19">
        <f>IF($A11="","",SUMIF(tblGunluk[VarlikId],$A11,tblGunluk[DurusSure_dk]))</f>
        <v/>
      </c>
      <c r="I11" s="19">
        <f>IF($A11="","",IFERROR(AVERAGEIF(tblGunluk[VarlikId],$A11,tblGunluk[FormulOee_oran]),0))</f>
        <v/>
      </c>
      <c r="J11" s="19">
        <f>IF($A11="","",SUMIF(tblGunluk[VarlikId],$A11,tblGunluk[UretimAdet_adet]))</f>
        <v/>
      </c>
      <c r="K11" s="19">
        <f>IF($A11="","",MAX(0,MIN(100,odk_kaliteTaban-IF($I11&lt;odk_esikOee,odk_kaliteCeza,0)-COUNTIFS(tblGunluk[VarlikId],$A11,tblGunluk[AlarmBayrak],"ALARM")*odk_kaliteSapma-IF($G11="HAYIR",odk_kaliteCeza,0))))</f>
        <v/>
      </c>
    </row>
    <row r="12">
      <c r="A12" s="15" t="inlineStr">
        <is>
          <t>MAK-00007</t>
        </is>
      </c>
      <c r="B12" s="15" t="inlineStr">
        <is>
          <t>Kesim Lazer 7</t>
        </is>
      </c>
      <c r="C12" s="15" t="inlineStr">
        <is>
          <t>HAT-A</t>
        </is>
      </c>
      <c r="D12" s="16" t="n">
        <v>35</v>
      </c>
      <c r="E12" s="17" t="n">
        <v>480</v>
      </c>
      <c r="F12" s="18" t="n">
        <v>0.71</v>
      </c>
      <c r="G12" s="15" t="inlineStr">
        <is>
          <t>EVET</t>
        </is>
      </c>
      <c r="H12" s="19">
        <f>IF($A12="","",SUMIF(tblGunluk[VarlikId],$A12,tblGunluk[DurusSure_dk]))</f>
        <v/>
      </c>
      <c r="I12" s="19">
        <f>IF($A12="","",IFERROR(AVERAGEIF(tblGunluk[VarlikId],$A12,tblGunluk[FormulOee_oran]),0))</f>
        <v/>
      </c>
      <c r="J12" s="19">
        <f>IF($A12="","",SUMIF(tblGunluk[VarlikId],$A12,tblGunluk[UretimAdet_adet]))</f>
        <v/>
      </c>
      <c r="K12" s="19">
        <f>IF($A12="","",MAX(0,MIN(100,odk_kaliteTaban-IF($I12&lt;odk_esikOee,odk_kaliteCeza,0)-COUNTIFS(tblGunluk[VarlikId],$A12,tblGunluk[AlarmBayrak],"ALARM")*odk_kaliteSapma-IF($G12="HAYIR",odk_kaliteCeza,0))))</f>
        <v/>
      </c>
    </row>
    <row r="13">
      <c r="A13" s="15" t="inlineStr">
        <is>
          <t>MAK-00008</t>
        </is>
      </c>
      <c r="B13" s="15" t="inlineStr">
        <is>
          <t>Kalip Pres 8</t>
        </is>
      </c>
      <c r="C13" s="15" t="inlineStr">
        <is>
          <t>HAT-B</t>
        </is>
      </c>
      <c r="D13" s="16" t="n">
        <v>15</v>
      </c>
      <c r="E13" s="17" t="n">
        <v>480</v>
      </c>
      <c r="F13" s="18" t="n">
        <v>0.76</v>
      </c>
      <c r="G13" s="15" t="inlineStr">
        <is>
          <t>EVET</t>
        </is>
      </c>
      <c r="H13" s="19">
        <f>IF($A13="","",SUMIF(tblGunluk[VarlikId],$A13,tblGunluk[DurusSure_dk]))</f>
        <v/>
      </c>
      <c r="I13" s="19">
        <f>IF($A13="","",IFERROR(AVERAGEIF(tblGunluk[VarlikId],$A13,tblGunluk[FormulOee_oran]),0))</f>
        <v/>
      </c>
      <c r="J13" s="19">
        <f>IF($A13="","",SUMIF(tblGunluk[VarlikId],$A13,tblGunluk[UretimAdet_adet]))</f>
        <v/>
      </c>
      <c r="K13" s="19">
        <f>IF($A13="","",MAX(0,MIN(100,odk_kaliteTaban-IF($I13&lt;odk_esikOee,odk_kaliteCeza,0)-COUNTIFS(tblGunluk[VarlikId],$A13,tblGunluk[AlarmBayrak],"ALARM")*odk_kaliteSapma-IF($G13="HAYIR",odk_kaliteCeza,0))))</f>
        <v/>
      </c>
    </row>
    <row r="14">
      <c r="A14" s="15" t="n"/>
      <c r="B14" s="15" t="n"/>
      <c r="C14" s="15" t="n"/>
      <c r="D14" s="16" t="n"/>
      <c r="E14" s="17" t="n"/>
      <c r="F14" s="18" t="n"/>
      <c r="G14" s="15" t="n"/>
      <c r="H14" s="19">
        <f>IF($A14="","",SUMIF(tblGunluk[VarlikId],$A14,tblGunluk[DurusSure_dk]))</f>
        <v/>
      </c>
      <c r="I14" s="19">
        <f>IF($A14="","",IFERROR(AVERAGEIF(tblGunluk[VarlikId],$A14,tblGunluk[FormulOee_oran]),0))</f>
        <v/>
      </c>
      <c r="J14" s="19">
        <f>IF($A14="","",SUMIF(tblGunluk[VarlikId],$A14,tblGunluk[UretimAdet_adet]))</f>
        <v/>
      </c>
      <c r="K14" s="19">
        <f>IF($A14="","",MAX(0,MIN(100,odk_kaliteTaban-IF($I14&lt;odk_esikOee,odk_kaliteCeza,0)-COUNTIFS(tblGunluk[VarlikId],$A14,tblGunluk[AlarmBayrak],"ALARM")*odk_kaliteSapma-IF($G14="HAYIR",odk_kaliteCeza,0))))</f>
        <v/>
      </c>
    </row>
    <row r="15">
      <c r="A15" s="15" t="n"/>
      <c r="B15" s="15" t="n"/>
      <c r="C15" s="15" t="n"/>
      <c r="D15" s="16" t="n"/>
      <c r="E15" s="17" t="n"/>
      <c r="F15" s="18" t="n"/>
      <c r="G15" s="15" t="n"/>
      <c r="H15" s="19">
        <f>IF($A15="","",SUMIF(tblGunluk[VarlikId],$A15,tblGunluk[DurusSure_dk]))</f>
        <v/>
      </c>
      <c r="I15" s="19">
        <f>IF($A15="","",IFERROR(AVERAGEIF(tblGunluk[VarlikId],$A15,tblGunluk[FormulOee_oran]),0))</f>
        <v/>
      </c>
      <c r="J15" s="19">
        <f>IF($A15="","",SUMIF(tblGunluk[VarlikId],$A15,tblGunluk[UretimAdet_adet]))</f>
        <v/>
      </c>
      <c r="K15" s="19">
        <f>IF($A15="","",MAX(0,MIN(100,odk_kaliteTaban-IF($I15&lt;odk_esikOee,odk_kaliteCeza,0)-COUNTIFS(tblGunluk[VarlikId],$A15,tblGunluk[AlarmBayrak],"ALARM")*odk_kaliteSapma-IF($G15="HAYIR",odk_kaliteCeza,0))))</f>
        <v/>
      </c>
    </row>
    <row r="16">
      <c r="A16" s="15" t="n"/>
      <c r="B16" s="15" t="n"/>
      <c r="C16" s="15" t="n"/>
      <c r="D16" s="16" t="n"/>
      <c r="E16" s="17" t="n"/>
      <c r="F16" s="18" t="n"/>
      <c r="G16" s="15" t="n"/>
      <c r="H16" s="19">
        <f>IF($A16="","",SUMIF(tblGunluk[VarlikId],$A16,tblGunluk[DurusSure_dk]))</f>
        <v/>
      </c>
      <c r="I16" s="19">
        <f>IF($A16="","",IFERROR(AVERAGEIF(tblGunluk[VarlikId],$A16,tblGunluk[FormulOee_oran]),0))</f>
        <v/>
      </c>
      <c r="J16" s="19">
        <f>IF($A16="","",SUMIF(tblGunluk[VarlikId],$A16,tblGunluk[UretimAdet_adet]))</f>
        <v/>
      </c>
      <c r="K16" s="19">
        <f>IF($A16="","",MAX(0,MIN(100,odk_kaliteTaban-IF($I16&lt;odk_esikOee,odk_kaliteCeza,0)-COUNTIFS(tblGunluk[VarlikId],$A16,tblGunluk[AlarmBayrak],"ALARM")*odk_kaliteSapma-IF($G16="HAYIR",odk_kaliteCeza,0))))</f>
        <v/>
      </c>
    </row>
    <row r="17">
      <c r="A17" s="15" t="n"/>
      <c r="B17" s="15" t="n"/>
      <c r="C17" s="15" t="n"/>
      <c r="D17" s="16" t="n"/>
      <c r="E17" s="17" t="n"/>
      <c r="F17" s="18" t="n"/>
      <c r="G17" s="15" t="n"/>
      <c r="H17" s="19">
        <f>IF($A17="","",SUMIF(tblGunluk[VarlikId],$A17,tblGunluk[DurusSure_dk]))</f>
        <v/>
      </c>
      <c r="I17" s="19">
        <f>IF($A17="","",IFERROR(AVERAGEIF(tblGunluk[VarlikId],$A17,tblGunluk[FormulOee_oran]),0))</f>
        <v/>
      </c>
      <c r="J17" s="19">
        <f>IF($A17="","",SUMIF(tblGunluk[VarlikId],$A17,tblGunluk[UretimAdet_adet]))</f>
        <v/>
      </c>
      <c r="K17" s="19">
        <f>IF($A17="","",MAX(0,MIN(100,odk_kaliteTaban-IF($I17&lt;odk_esikOee,odk_kaliteCeza,0)-COUNTIFS(tblGunluk[VarlikId],$A17,tblGunluk[AlarmBayrak],"ALARM")*odk_kaliteSapma-IF($G17="HAYIR",odk_kaliteCeza,0))))</f>
        <v/>
      </c>
    </row>
    <row r="18">
      <c r="A18" s="15" t="n"/>
      <c r="B18" s="15" t="n"/>
      <c r="C18" s="15" t="n"/>
      <c r="D18" s="16" t="n"/>
      <c r="E18" s="17" t="n"/>
      <c r="F18" s="18" t="n"/>
      <c r="G18" s="15" t="n"/>
      <c r="H18" s="19">
        <f>IF($A18="","",SUMIF(tblGunluk[VarlikId],$A18,tblGunluk[DurusSure_dk]))</f>
        <v/>
      </c>
      <c r="I18" s="19">
        <f>IF($A18="","",IFERROR(AVERAGEIF(tblGunluk[VarlikId],$A18,tblGunluk[FormulOee_oran]),0))</f>
        <v/>
      </c>
      <c r="J18" s="19">
        <f>IF($A18="","",SUMIF(tblGunluk[VarlikId],$A18,tblGunluk[UretimAdet_adet]))</f>
        <v/>
      </c>
      <c r="K18" s="19">
        <f>IF($A18="","",MAX(0,MIN(100,odk_kaliteTaban-IF($I18&lt;odk_esikOee,odk_kaliteCeza,0)-COUNTIFS(tblGunluk[VarlikId],$A18,tblGunluk[AlarmBayrak],"ALARM")*odk_kaliteSapma-IF($G18="HAYIR",odk_kaliteCeza,0))))</f>
        <v/>
      </c>
    </row>
    <row r="19">
      <c r="A19" s="15" t="n"/>
      <c r="B19" s="15" t="n"/>
      <c r="C19" s="15" t="n"/>
      <c r="D19" s="16" t="n"/>
      <c r="E19" s="17" t="n"/>
      <c r="F19" s="18" t="n"/>
      <c r="G19" s="15" t="n"/>
      <c r="H19" s="19">
        <f>IF($A19="","",SUMIF(tblGunluk[VarlikId],$A19,tblGunluk[DurusSure_dk]))</f>
        <v/>
      </c>
      <c r="I19" s="19">
        <f>IF($A19="","",IFERROR(AVERAGEIF(tblGunluk[VarlikId],$A19,tblGunluk[FormulOee_oran]),0))</f>
        <v/>
      </c>
      <c r="J19" s="19">
        <f>IF($A19="","",SUMIF(tblGunluk[VarlikId],$A19,tblGunluk[UretimAdet_adet]))</f>
        <v/>
      </c>
      <c r="K19" s="19">
        <f>IF($A19="","",MAX(0,MIN(100,odk_kaliteTaban-IF($I19&lt;odk_esikOee,odk_kaliteCeza,0)-COUNTIFS(tblGunluk[VarlikId],$A19,tblGunluk[AlarmBayrak],"ALARM")*odk_kaliteSapma-IF($G19="HAYIR",odk_kaliteCeza,0))))</f>
        <v/>
      </c>
    </row>
    <row r="20">
      <c r="A20" s="15" t="n"/>
      <c r="B20" s="15" t="n"/>
      <c r="C20" s="15" t="n"/>
      <c r="D20" s="16" t="n"/>
      <c r="E20" s="17" t="n"/>
      <c r="F20" s="18" t="n"/>
      <c r="G20" s="15" t="n"/>
      <c r="H20" s="19">
        <f>IF($A20="","",SUMIF(tblGunluk[VarlikId],$A20,tblGunluk[DurusSure_dk]))</f>
        <v/>
      </c>
      <c r="I20" s="19">
        <f>IF($A20="","",IFERROR(AVERAGEIF(tblGunluk[VarlikId],$A20,tblGunluk[FormulOee_oran]),0))</f>
        <v/>
      </c>
      <c r="J20" s="19">
        <f>IF($A20="","",SUMIF(tblGunluk[VarlikId],$A20,tblGunluk[UretimAdet_adet]))</f>
        <v/>
      </c>
      <c r="K20" s="19">
        <f>IF($A20="","",MAX(0,MIN(100,odk_kaliteTaban-IF($I20&lt;odk_esikOee,odk_kaliteCeza,0)-COUNTIFS(tblGunluk[VarlikId],$A20,tblGunluk[AlarmBayrak],"ALARM")*odk_kaliteSapma-IF($G20="HAYIR",odk_kaliteCeza,0))))</f>
        <v/>
      </c>
    </row>
    <row r="21">
      <c r="A21" s="15" t="n"/>
      <c r="B21" s="15" t="n"/>
      <c r="C21" s="15" t="n"/>
      <c r="D21" s="16" t="n"/>
      <c r="E21" s="17" t="n"/>
      <c r="F21" s="18" t="n"/>
      <c r="G21" s="15" t="n"/>
      <c r="H21" s="19">
        <f>IF($A21="","",SUMIF(tblGunluk[VarlikId],$A21,tblGunluk[DurusSure_dk]))</f>
        <v/>
      </c>
      <c r="I21" s="19">
        <f>IF($A21="","",IFERROR(AVERAGEIF(tblGunluk[VarlikId],$A21,tblGunluk[FormulOee_oran]),0))</f>
        <v/>
      </c>
      <c r="J21" s="19">
        <f>IF($A21="","",SUMIF(tblGunluk[VarlikId],$A21,tblGunluk[UretimAdet_adet]))</f>
        <v/>
      </c>
      <c r="K21" s="19">
        <f>IF($A21="","",MAX(0,MIN(100,odk_kaliteTaban-IF($I21&lt;odk_esikOee,odk_kaliteCeza,0)-COUNTIFS(tblGunluk[VarlikId],$A21,tblGunluk[AlarmBayrak],"ALARM")*odk_kaliteSapma-IF($G21="HAYIR",odk_kaliteCeza,0))))</f>
        <v/>
      </c>
    </row>
    <row r="22">
      <c r="A22" s="15" t="n"/>
      <c r="B22" s="15" t="n"/>
      <c r="C22" s="15" t="n"/>
      <c r="D22" s="16" t="n"/>
      <c r="E22" s="17" t="n"/>
      <c r="F22" s="18" t="n"/>
      <c r="G22" s="15" t="n"/>
      <c r="H22" s="19">
        <f>IF($A22="","",SUMIF(tblGunluk[VarlikId],$A22,tblGunluk[DurusSure_dk]))</f>
        <v/>
      </c>
      <c r="I22" s="19">
        <f>IF($A22="","",IFERROR(AVERAGEIF(tblGunluk[VarlikId],$A22,tblGunluk[FormulOee_oran]),0))</f>
        <v/>
      </c>
      <c r="J22" s="19">
        <f>IF($A22="","",SUMIF(tblGunluk[VarlikId],$A22,tblGunluk[UretimAdet_adet]))</f>
        <v/>
      </c>
      <c r="K22" s="19">
        <f>IF($A22="","",MAX(0,MIN(100,odk_kaliteTaban-IF($I22&lt;odk_esikOee,odk_kaliteCeza,0)-COUNTIFS(tblGunluk[VarlikId],$A22,tblGunluk[AlarmBayrak],"ALARM")*odk_kaliteSapma-IF($G22="HAYIR",odk_kaliteCeza,0))))</f>
        <v/>
      </c>
    </row>
    <row r="23">
      <c r="A23" s="15" t="n"/>
      <c r="B23" s="15" t="n"/>
      <c r="C23" s="15" t="n"/>
      <c r="D23" s="16" t="n"/>
      <c r="E23" s="17" t="n"/>
      <c r="F23" s="18" t="n"/>
      <c r="G23" s="15" t="n"/>
      <c r="H23" s="19">
        <f>IF($A23="","",SUMIF(tblGunluk[VarlikId],$A23,tblGunluk[DurusSure_dk]))</f>
        <v/>
      </c>
      <c r="I23" s="19">
        <f>IF($A23="","",IFERROR(AVERAGEIF(tblGunluk[VarlikId],$A23,tblGunluk[FormulOee_oran]),0))</f>
        <v/>
      </c>
      <c r="J23" s="19">
        <f>IF($A23="","",SUMIF(tblGunluk[VarlikId],$A23,tblGunluk[UretimAdet_adet]))</f>
        <v/>
      </c>
      <c r="K23" s="19">
        <f>IF($A23="","",MAX(0,MIN(100,odk_kaliteTaban-IF($I23&lt;odk_esikOee,odk_kaliteCeza,0)-COUNTIFS(tblGunluk[VarlikId],$A23,tblGunluk[AlarmBayrak],"ALARM")*odk_kaliteSapma-IF($G23="HAYIR",odk_kaliteCeza,0))))</f>
        <v/>
      </c>
    </row>
    <row r="24">
      <c r="A24" s="15" t="n"/>
      <c r="B24" s="15" t="n"/>
      <c r="C24" s="15" t="n"/>
      <c r="D24" s="16" t="n"/>
      <c r="E24" s="17" t="n"/>
      <c r="F24" s="18" t="n"/>
      <c r="G24" s="15" t="n"/>
      <c r="H24" s="19">
        <f>IF($A24="","",SUMIF(tblGunluk[VarlikId],$A24,tblGunluk[DurusSure_dk]))</f>
        <v/>
      </c>
      <c r="I24" s="19">
        <f>IF($A24="","",IFERROR(AVERAGEIF(tblGunluk[VarlikId],$A24,tblGunluk[FormulOee_oran]),0))</f>
        <v/>
      </c>
      <c r="J24" s="19">
        <f>IF($A24="","",SUMIF(tblGunluk[VarlikId],$A24,tblGunluk[UretimAdet_adet]))</f>
        <v/>
      </c>
      <c r="K24" s="19">
        <f>IF($A24="","",MAX(0,MIN(100,odk_kaliteTaban-IF($I24&lt;odk_esikOee,odk_kaliteCeza,0)-COUNTIFS(tblGunluk[VarlikId],$A24,tblGunluk[AlarmBayrak],"ALARM")*odk_kaliteSapma-IF($G24="HAYIR",odk_kaliteCeza,0))))</f>
        <v/>
      </c>
    </row>
    <row r="25">
      <c r="A25" s="15" t="n"/>
      <c r="B25" s="15" t="n"/>
      <c r="C25" s="15" t="n"/>
      <c r="D25" s="16" t="n"/>
      <c r="E25" s="17" t="n"/>
      <c r="F25" s="18" t="n"/>
      <c r="G25" s="15" t="n"/>
      <c r="H25" s="19">
        <f>IF($A25="","",SUMIF(tblGunluk[VarlikId],$A25,tblGunluk[DurusSure_dk]))</f>
        <v/>
      </c>
      <c r="I25" s="19">
        <f>IF($A25="","",IFERROR(AVERAGEIF(tblGunluk[VarlikId],$A25,tblGunluk[FormulOee_oran]),0))</f>
        <v/>
      </c>
      <c r="J25" s="19">
        <f>IF($A25="","",SUMIF(tblGunluk[VarlikId],$A25,tblGunluk[UretimAdet_adet]))</f>
        <v/>
      </c>
      <c r="K25" s="19">
        <f>IF($A25="","",MAX(0,MIN(100,odk_kaliteTaban-IF($I25&lt;odk_esikOee,odk_kaliteCeza,0)-COUNTIFS(tblGunluk[VarlikId],$A25,tblGunluk[AlarmBayrak],"ALARM")*odk_kaliteSapma-IF($G25="HAYIR",odk_kaliteCeza,0))))</f>
        <v/>
      </c>
    </row>
    <row r="26">
      <c r="A26" s="15" t="n"/>
      <c r="B26" s="15" t="n"/>
      <c r="C26" s="15" t="n"/>
      <c r="D26" s="16" t="n"/>
      <c r="E26" s="17" t="n"/>
      <c r="F26" s="18" t="n"/>
      <c r="G26" s="15" t="n"/>
      <c r="H26" s="19">
        <f>IF($A26="","",SUMIF(tblGunluk[VarlikId],$A26,tblGunluk[DurusSure_dk]))</f>
        <v/>
      </c>
      <c r="I26" s="19">
        <f>IF($A26="","",IFERROR(AVERAGEIF(tblGunluk[VarlikId],$A26,tblGunluk[FormulOee_oran]),0))</f>
        <v/>
      </c>
      <c r="J26" s="19">
        <f>IF($A26="","",SUMIF(tblGunluk[VarlikId],$A26,tblGunluk[UretimAdet_adet]))</f>
        <v/>
      </c>
      <c r="K26" s="19">
        <f>IF($A26="","",MAX(0,MIN(100,odk_kaliteTaban-IF($I26&lt;odk_esikOee,odk_kaliteCeza,0)-COUNTIFS(tblGunluk[VarlikId],$A26,tblGunluk[AlarmBayrak],"ALARM")*odk_kaliteSapma-IF($G26="HAYIR",odk_kaliteCeza,0))))</f>
        <v/>
      </c>
    </row>
    <row r="27">
      <c r="A27" s="15" t="n"/>
      <c r="B27" s="15" t="n"/>
      <c r="C27" s="15" t="n"/>
      <c r="D27" s="16" t="n"/>
      <c r="E27" s="17" t="n"/>
      <c r="F27" s="18" t="n"/>
      <c r="G27" s="15" t="n"/>
      <c r="H27" s="19">
        <f>IF($A27="","",SUMIF(tblGunluk[VarlikId],$A27,tblGunluk[DurusSure_dk]))</f>
        <v/>
      </c>
      <c r="I27" s="19">
        <f>IF($A27="","",IFERROR(AVERAGEIF(tblGunluk[VarlikId],$A27,tblGunluk[FormulOee_oran]),0))</f>
        <v/>
      </c>
      <c r="J27" s="19">
        <f>IF($A27="","",SUMIF(tblGunluk[VarlikId],$A27,tblGunluk[UretimAdet_adet]))</f>
        <v/>
      </c>
      <c r="K27" s="19">
        <f>IF($A27="","",MAX(0,MIN(100,odk_kaliteTaban-IF($I27&lt;odk_esikOee,odk_kaliteCeza,0)-COUNTIFS(tblGunluk[VarlikId],$A27,tblGunluk[AlarmBayrak],"ALARM")*odk_kaliteSapma-IF($G27="HAYIR",odk_kaliteCeza,0))))</f>
        <v/>
      </c>
    </row>
    <row r="28">
      <c r="A28" s="15" t="n"/>
      <c r="B28" s="15" t="n"/>
      <c r="C28" s="15" t="n"/>
      <c r="D28" s="16" t="n"/>
      <c r="E28" s="17" t="n"/>
      <c r="F28" s="18" t="n"/>
      <c r="G28" s="15" t="n"/>
      <c r="H28" s="19">
        <f>IF($A28="","",SUMIF(tblGunluk[VarlikId],$A28,tblGunluk[DurusSure_dk]))</f>
        <v/>
      </c>
      <c r="I28" s="19">
        <f>IF($A28="","",IFERROR(AVERAGEIF(tblGunluk[VarlikId],$A28,tblGunluk[FormulOee_oran]),0))</f>
        <v/>
      </c>
      <c r="J28" s="19">
        <f>IF($A28="","",SUMIF(tblGunluk[VarlikId],$A28,tblGunluk[UretimAdet_adet]))</f>
        <v/>
      </c>
      <c r="K28" s="19">
        <f>IF($A28="","",MAX(0,MIN(100,odk_kaliteTaban-IF($I28&lt;odk_esikOee,odk_kaliteCeza,0)-COUNTIFS(tblGunluk[VarlikId],$A28,tblGunluk[AlarmBayrak],"ALARM")*odk_kaliteSapma-IF($G28="HAYIR",odk_kaliteCeza,0))))</f>
        <v/>
      </c>
    </row>
    <row r="29">
      <c r="A29" s="15" t="n"/>
      <c r="B29" s="15" t="n"/>
      <c r="C29" s="15" t="n"/>
      <c r="D29" s="16" t="n"/>
      <c r="E29" s="17" t="n"/>
      <c r="F29" s="18" t="n"/>
      <c r="G29" s="15" t="n"/>
      <c r="H29" s="19">
        <f>IF($A29="","",SUMIF(tblGunluk[VarlikId],$A29,tblGunluk[DurusSure_dk]))</f>
        <v/>
      </c>
      <c r="I29" s="19">
        <f>IF($A29="","",IFERROR(AVERAGEIF(tblGunluk[VarlikId],$A29,tblGunluk[FormulOee_oran]),0))</f>
        <v/>
      </c>
      <c r="J29" s="19">
        <f>IF($A29="","",SUMIF(tblGunluk[VarlikId],$A29,tblGunluk[UretimAdet_adet]))</f>
        <v/>
      </c>
      <c r="K29" s="19">
        <f>IF($A29="","",MAX(0,MIN(100,odk_kaliteTaban-IF($I29&lt;odk_esikOee,odk_kaliteCeza,0)-COUNTIFS(tblGunluk[VarlikId],$A29,tblGunluk[AlarmBayrak],"ALARM")*odk_kaliteSapma-IF($G29="HAYIR",odk_kaliteCeza,0))))</f>
        <v/>
      </c>
    </row>
    <row r="30">
      <c r="A30" s="15" t="n"/>
      <c r="B30" s="15" t="n"/>
      <c r="C30" s="15" t="n"/>
      <c r="D30" s="16" t="n"/>
      <c r="E30" s="17" t="n"/>
      <c r="F30" s="18" t="n"/>
      <c r="G30" s="15" t="n"/>
      <c r="H30" s="19">
        <f>IF($A30="","",SUMIF(tblGunluk[VarlikId],$A30,tblGunluk[DurusSure_dk]))</f>
        <v/>
      </c>
      <c r="I30" s="19">
        <f>IF($A30="","",IFERROR(AVERAGEIF(tblGunluk[VarlikId],$A30,tblGunluk[FormulOee_oran]),0))</f>
        <v/>
      </c>
      <c r="J30" s="19">
        <f>IF($A30="","",SUMIF(tblGunluk[VarlikId],$A30,tblGunluk[UretimAdet_adet]))</f>
        <v/>
      </c>
      <c r="K30" s="19">
        <f>IF($A30="","",MAX(0,MIN(100,odk_kaliteTaban-IF($I30&lt;odk_esikOee,odk_kaliteCeza,0)-COUNTIFS(tblGunluk[VarlikId],$A30,tblGunluk[AlarmBayrak],"ALARM")*odk_kaliteSapma-IF($G30="HAYIR",odk_kaliteCeza,0))))</f>
        <v/>
      </c>
    </row>
    <row r="31">
      <c r="A31" s="15" t="n"/>
      <c r="B31" s="15" t="n"/>
      <c r="C31" s="15" t="n"/>
      <c r="D31" s="16" t="n"/>
      <c r="E31" s="17" t="n"/>
      <c r="F31" s="18" t="n"/>
      <c r="G31" s="15" t="n"/>
      <c r="H31" s="19">
        <f>IF($A31="","",SUMIF(tblGunluk[VarlikId],$A31,tblGunluk[DurusSure_dk]))</f>
        <v/>
      </c>
      <c r="I31" s="19">
        <f>IF($A31="","",IFERROR(AVERAGEIF(tblGunluk[VarlikId],$A31,tblGunluk[FormulOee_oran]),0))</f>
        <v/>
      </c>
      <c r="J31" s="19">
        <f>IF($A31="","",SUMIF(tblGunluk[VarlikId],$A31,tblGunluk[UretimAdet_adet]))</f>
        <v/>
      </c>
      <c r="K31" s="19">
        <f>IF($A31="","",MAX(0,MIN(100,odk_kaliteTaban-IF($I31&lt;odk_esikOee,odk_kaliteCeza,0)-COUNTIFS(tblGunluk[VarlikId],$A31,tblGunluk[AlarmBayrak],"ALARM")*odk_kaliteSapma-IF($G31="HAYIR",odk_kaliteCeza,0))))</f>
        <v/>
      </c>
    </row>
    <row r="32">
      <c r="A32" s="15" t="n"/>
      <c r="B32" s="15" t="n"/>
      <c r="C32" s="15" t="n"/>
      <c r="D32" s="16" t="n"/>
      <c r="E32" s="17" t="n"/>
      <c r="F32" s="18" t="n"/>
      <c r="G32" s="15" t="n"/>
      <c r="H32" s="19">
        <f>IF($A32="","",SUMIF(tblGunluk[VarlikId],$A32,tblGunluk[DurusSure_dk]))</f>
        <v/>
      </c>
      <c r="I32" s="19">
        <f>IF($A32="","",IFERROR(AVERAGEIF(tblGunluk[VarlikId],$A32,tblGunluk[FormulOee_oran]),0))</f>
        <v/>
      </c>
      <c r="J32" s="19">
        <f>IF($A32="","",SUMIF(tblGunluk[VarlikId],$A32,tblGunluk[UretimAdet_adet]))</f>
        <v/>
      </c>
      <c r="K32" s="19">
        <f>IF($A32="","",MAX(0,MIN(100,odk_kaliteTaban-IF($I32&lt;odk_esikOee,odk_kaliteCeza,0)-COUNTIFS(tblGunluk[VarlikId],$A32,tblGunluk[AlarmBayrak],"ALARM")*odk_kaliteSapma-IF($G32="HAYIR",odk_kaliteCeza,0))))</f>
        <v/>
      </c>
    </row>
    <row r="33">
      <c r="A33" s="15" t="n"/>
      <c r="B33" s="15" t="n"/>
      <c r="C33" s="15" t="n"/>
      <c r="D33" s="16" t="n"/>
      <c r="E33" s="17" t="n"/>
      <c r="F33" s="18" t="n"/>
      <c r="G33" s="15" t="n"/>
      <c r="H33" s="19">
        <f>IF($A33="","",SUMIF(tblGunluk[VarlikId],$A33,tblGunluk[DurusSure_dk]))</f>
        <v/>
      </c>
      <c r="I33" s="19">
        <f>IF($A33="","",IFERROR(AVERAGEIF(tblGunluk[VarlikId],$A33,tblGunluk[FormulOee_oran]),0))</f>
        <v/>
      </c>
      <c r="J33" s="19">
        <f>IF($A33="","",SUMIF(tblGunluk[VarlikId],$A33,tblGunluk[UretimAdet_adet]))</f>
        <v/>
      </c>
      <c r="K33" s="19">
        <f>IF($A33="","",MAX(0,MIN(100,odk_kaliteTaban-IF($I33&lt;odk_esikOee,odk_kaliteCeza,0)-COUNTIFS(tblGunluk[VarlikId],$A33,tblGunluk[AlarmBayrak],"ALARM")*odk_kaliteSapma-IF($G33="HAYIR",odk_kaliteCeza,0))))</f>
        <v/>
      </c>
    </row>
    <row r="34">
      <c r="A34" s="15" t="n"/>
      <c r="B34" s="15" t="n"/>
      <c r="C34" s="15" t="n"/>
      <c r="D34" s="16" t="n"/>
      <c r="E34" s="17" t="n"/>
      <c r="F34" s="18" t="n"/>
      <c r="G34" s="15" t="n"/>
      <c r="H34" s="19">
        <f>IF($A34="","",SUMIF(tblGunluk[VarlikId],$A34,tblGunluk[DurusSure_dk]))</f>
        <v/>
      </c>
      <c r="I34" s="19">
        <f>IF($A34="","",IFERROR(AVERAGEIF(tblGunluk[VarlikId],$A34,tblGunluk[FormulOee_oran]),0))</f>
        <v/>
      </c>
      <c r="J34" s="19">
        <f>IF($A34="","",SUMIF(tblGunluk[VarlikId],$A34,tblGunluk[UretimAdet_adet]))</f>
        <v/>
      </c>
      <c r="K34" s="19">
        <f>IF($A34="","",MAX(0,MIN(100,odk_kaliteTaban-IF($I34&lt;odk_esikOee,odk_kaliteCeza,0)-COUNTIFS(tblGunluk[VarlikId],$A34,tblGunluk[AlarmBayrak],"ALARM")*odk_kaliteSapma-IF($G34="HAYIR",odk_kaliteCeza,0))))</f>
        <v/>
      </c>
    </row>
    <row r="35">
      <c r="A35" s="15" t="n"/>
      <c r="B35" s="15" t="n"/>
      <c r="C35" s="15" t="n"/>
      <c r="D35" s="16" t="n"/>
      <c r="E35" s="17" t="n"/>
      <c r="F35" s="18" t="n"/>
      <c r="G35" s="15" t="n"/>
      <c r="H35" s="19">
        <f>IF($A35="","",SUMIF(tblGunluk[VarlikId],$A35,tblGunluk[DurusSure_dk]))</f>
        <v/>
      </c>
      <c r="I35" s="19">
        <f>IF($A35="","",IFERROR(AVERAGEIF(tblGunluk[VarlikId],$A35,tblGunluk[FormulOee_oran]),0))</f>
        <v/>
      </c>
      <c r="J35" s="19">
        <f>IF($A35="","",SUMIF(tblGunluk[VarlikId],$A35,tblGunluk[UretimAdet_adet]))</f>
        <v/>
      </c>
      <c r="K35" s="19">
        <f>IF($A35="","",MAX(0,MIN(100,odk_kaliteTaban-IF($I35&lt;odk_esikOee,odk_kaliteCeza,0)-COUNTIFS(tblGunluk[VarlikId],$A35,tblGunluk[AlarmBayrak],"ALARM")*odk_kaliteSapma-IF($G35="HAYIR",odk_kaliteCeza,0))))</f>
        <v/>
      </c>
    </row>
    <row r="36">
      <c r="A36" s="15" t="n"/>
      <c r="B36" s="15" t="n"/>
      <c r="C36" s="15" t="n"/>
      <c r="D36" s="16" t="n"/>
      <c r="E36" s="17" t="n"/>
      <c r="F36" s="18" t="n"/>
      <c r="G36" s="15" t="n"/>
      <c r="H36" s="19">
        <f>IF($A36="","",SUMIF(tblGunluk[VarlikId],$A36,tblGunluk[DurusSure_dk]))</f>
        <v/>
      </c>
      <c r="I36" s="19">
        <f>IF($A36="","",IFERROR(AVERAGEIF(tblGunluk[VarlikId],$A36,tblGunluk[FormulOee_oran]),0))</f>
        <v/>
      </c>
      <c r="J36" s="19">
        <f>IF($A36="","",SUMIF(tblGunluk[VarlikId],$A36,tblGunluk[UretimAdet_adet]))</f>
        <v/>
      </c>
      <c r="K36" s="19">
        <f>IF($A36="","",MAX(0,MIN(100,odk_kaliteTaban-IF($I36&lt;odk_esikOee,odk_kaliteCeza,0)-COUNTIFS(tblGunluk[VarlikId],$A36,tblGunluk[AlarmBayrak],"ALARM")*odk_kaliteSapma-IF($G36="HAYIR",odk_kaliteCeza,0))))</f>
        <v/>
      </c>
    </row>
    <row r="37">
      <c r="A37" s="15" t="n"/>
      <c r="B37" s="15" t="n"/>
      <c r="C37" s="15" t="n"/>
      <c r="D37" s="16" t="n"/>
      <c r="E37" s="17" t="n"/>
      <c r="F37" s="18" t="n"/>
      <c r="G37" s="15" t="n"/>
      <c r="H37" s="19">
        <f>IF($A37="","",SUMIF(tblGunluk[VarlikId],$A37,tblGunluk[DurusSure_dk]))</f>
        <v/>
      </c>
      <c r="I37" s="19">
        <f>IF($A37="","",IFERROR(AVERAGEIF(tblGunluk[VarlikId],$A37,tblGunluk[FormulOee_oran]),0))</f>
        <v/>
      </c>
      <c r="J37" s="19">
        <f>IF($A37="","",SUMIF(tblGunluk[VarlikId],$A37,tblGunluk[UretimAdet_adet]))</f>
        <v/>
      </c>
      <c r="K37" s="19">
        <f>IF($A37="","",MAX(0,MIN(100,odk_kaliteTaban-IF($I37&lt;odk_esikOee,odk_kaliteCeza,0)-COUNTIFS(tblGunluk[VarlikId],$A37,tblGunluk[AlarmBayrak],"ALARM")*odk_kaliteSapma-IF($G37="HAYIR",odk_kaliteCeza,0))))</f>
        <v/>
      </c>
    </row>
    <row r="38">
      <c r="A38" s="15" t="n"/>
      <c r="B38" s="15" t="n"/>
      <c r="C38" s="15" t="n"/>
      <c r="D38" s="16" t="n"/>
      <c r="E38" s="17" t="n"/>
      <c r="F38" s="18" t="n"/>
      <c r="G38" s="15" t="n"/>
      <c r="H38" s="19">
        <f>IF($A38="","",SUMIF(tblGunluk[VarlikId],$A38,tblGunluk[DurusSure_dk]))</f>
        <v/>
      </c>
      <c r="I38" s="19">
        <f>IF($A38="","",IFERROR(AVERAGEIF(tblGunluk[VarlikId],$A38,tblGunluk[FormulOee_oran]),0))</f>
        <v/>
      </c>
      <c r="J38" s="19">
        <f>IF($A38="","",SUMIF(tblGunluk[VarlikId],$A38,tblGunluk[UretimAdet_adet]))</f>
        <v/>
      </c>
      <c r="K38" s="19">
        <f>IF($A38="","",MAX(0,MIN(100,odk_kaliteTaban-IF($I38&lt;odk_esikOee,odk_kaliteCeza,0)-COUNTIFS(tblGunluk[VarlikId],$A38,tblGunluk[AlarmBayrak],"ALARM")*odk_kaliteSapma-IF($G38="HAYIR",odk_kaliteCeza,0))))</f>
        <v/>
      </c>
    </row>
    <row r="39">
      <c r="A39" s="15" t="n"/>
      <c r="B39" s="15" t="n"/>
      <c r="C39" s="15" t="n"/>
      <c r="D39" s="16" t="n"/>
      <c r="E39" s="17" t="n"/>
      <c r="F39" s="18" t="n"/>
      <c r="G39" s="15" t="n"/>
      <c r="H39" s="19">
        <f>IF($A39="","",SUMIF(tblGunluk[VarlikId],$A39,tblGunluk[DurusSure_dk]))</f>
        <v/>
      </c>
      <c r="I39" s="19">
        <f>IF($A39="","",IFERROR(AVERAGEIF(tblGunluk[VarlikId],$A39,tblGunluk[FormulOee_oran]),0))</f>
        <v/>
      </c>
      <c r="J39" s="19">
        <f>IF($A39="","",SUMIF(tblGunluk[VarlikId],$A39,tblGunluk[UretimAdet_adet]))</f>
        <v/>
      </c>
      <c r="K39" s="19">
        <f>IF($A39="","",MAX(0,MIN(100,odk_kaliteTaban-IF($I39&lt;odk_esikOee,odk_kaliteCeza,0)-COUNTIFS(tblGunluk[VarlikId],$A39,tblGunluk[AlarmBayrak],"ALARM")*odk_kaliteSapma-IF($G39="HAYIR",odk_kaliteCeza,0))))</f>
        <v/>
      </c>
    </row>
    <row r="40">
      <c r="A40" s="15" t="n"/>
      <c r="B40" s="15" t="n"/>
      <c r="C40" s="15" t="n"/>
      <c r="D40" s="16" t="n"/>
      <c r="E40" s="17" t="n"/>
      <c r="F40" s="18" t="n"/>
      <c r="G40" s="15" t="n"/>
      <c r="H40" s="19">
        <f>IF($A40="","",SUMIF(tblGunluk[VarlikId],$A40,tblGunluk[DurusSure_dk]))</f>
        <v/>
      </c>
      <c r="I40" s="19">
        <f>IF($A40="","",IFERROR(AVERAGEIF(tblGunluk[VarlikId],$A40,tblGunluk[FormulOee_oran]),0))</f>
        <v/>
      </c>
      <c r="J40" s="19">
        <f>IF($A40="","",SUMIF(tblGunluk[VarlikId],$A40,tblGunluk[UretimAdet_adet]))</f>
        <v/>
      </c>
      <c r="K40" s="19">
        <f>IF($A40="","",MAX(0,MIN(100,odk_kaliteTaban-IF($I40&lt;odk_esikOee,odk_kaliteCeza,0)-COUNTIFS(tblGunluk[VarlikId],$A40,tblGunluk[AlarmBayrak],"ALARM")*odk_kaliteSapma-IF($G40="HAYIR",odk_kaliteCeza,0))))</f>
        <v/>
      </c>
    </row>
    <row r="41">
      <c r="A41" s="15" t="n"/>
      <c r="B41" s="15" t="n"/>
      <c r="C41" s="15" t="n"/>
      <c r="D41" s="16" t="n"/>
      <c r="E41" s="17" t="n"/>
      <c r="F41" s="18" t="n"/>
      <c r="G41" s="15" t="n"/>
      <c r="H41" s="19">
        <f>IF($A41="","",SUMIF(tblGunluk[VarlikId],$A41,tblGunluk[DurusSure_dk]))</f>
        <v/>
      </c>
      <c r="I41" s="19">
        <f>IF($A41="","",IFERROR(AVERAGEIF(tblGunluk[VarlikId],$A41,tblGunluk[FormulOee_oran]),0))</f>
        <v/>
      </c>
      <c r="J41" s="19">
        <f>IF($A41="","",SUMIF(tblGunluk[VarlikId],$A41,tblGunluk[UretimAdet_adet]))</f>
        <v/>
      </c>
      <c r="K41" s="19">
        <f>IF($A41="","",MAX(0,MIN(100,odk_kaliteTaban-IF($I41&lt;odk_esikOee,odk_kaliteCeza,0)-COUNTIFS(tblGunluk[VarlikId],$A41,tblGunluk[AlarmBayrak],"ALARM")*odk_kaliteSapma-IF($G41="HAYIR",odk_kaliteCeza,0))))</f>
        <v/>
      </c>
    </row>
    <row r="42">
      <c r="A42" s="15" t="n"/>
      <c r="B42" s="15" t="n"/>
      <c r="C42" s="15" t="n"/>
      <c r="D42" s="16" t="n"/>
      <c r="E42" s="17" t="n"/>
      <c r="F42" s="18" t="n"/>
      <c r="G42" s="15" t="n"/>
      <c r="H42" s="19">
        <f>IF($A42="","",SUMIF(tblGunluk[VarlikId],$A42,tblGunluk[DurusSure_dk]))</f>
        <v/>
      </c>
      <c r="I42" s="19">
        <f>IF($A42="","",IFERROR(AVERAGEIF(tblGunluk[VarlikId],$A42,tblGunluk[FormulOee_oran]),0))</f>
        <v/>
      </c>
      <c r="J42" s="19">
        <f>IF($A42="","",SUMIF(tblGunluk[VarlikId],$A42,tblGunluk[UretimAdet_adet]))</f>
        <v/>
      </c>
      <c r="K42" s="19">
        <f>IF($A42="","",MAX(0,MIN(100,odk_kaliteTaban-IF($I42&lt;odk_esikOee,odk_kaliteCeza,0)-COUNTIFS(tblGunluk[VarlikId],$A42,tblGunluk[AlarmBayrak],"ALARM")*odk_kaliteSapma-IF($G42="HAYIR",odk_kaliteCeza,0))))</f>
        <v/>
      </c>
    </row>
    <row r="43">
      <c r="A43" s="15" t="n"/>
      <c r="B43" s="15" t="n"/>
      <c r="C43" s="15" t="n"/>
      <c r="D43" s="16" t="n"/>
      <c r="E43" s="17" t="n"/>
      <c r="F43" s="18" t="n"/>
      <c r="G43" s="15" t="n"/>
      <c r="H43" s="19">
        <f>IF($A43="","",SUMIF(tblGunluk[VarlikId],$A43,tblGunluk[DurusSure_dk]))</f>
        <v/>
      </c>
      <c r="I43" s="19">
        <f>IF($A43="","",IFERROR(AVERAGEIF(tblGunluk[VarlikId],$A43,tblGunluk[FormulOee_oran]),0))</f>
        <v/>
      </c>
      <c r="J43" s="19">
        <f>IF($A43="","",SUMIF(tblGunluk[VarlikId],$A43,tblGunluk[UretimAdet_adet]))</f>
        <v/>
      </c>
      <c r="K43" s="19">
        <f>IF($A43="","",MAX(0,MIN(100,odk_kaliteTaban-IF($I43&lt;odk_esikOee,odk_kaliteCeza,0)-COUNTIFS(tblGunluk[VarlikId],$A43,tblGunluk[AlarmBayrak],"ALARM")*odk_kaliteSapma-IF($G43="HAYIR",odk_kaliteCeza,0))))</f>
        <v/>
      </c>
    </row>
    <row r="44">
      <c r="A44" s="15" t="n"/>
      <c r="B44" s="15" t="n"/>
      <c r="C44" s="15" t="n"/>
      <c r="D44" s="16" t="n"/>
      <c r="E44" s="17" t="n"/>
      <c r="F44" s="18" t="n"/>
      <c r="G44" s="15" t="n"/>
      <c r="H44" s="19">
        <f>IF($A44="","",SUMIF(tblGunluk[VarlikId],$A44,tblGunluk[DurusSure_dk]))</f>
        <v/>
      </c>
      <c r="I44" s="19">
        <f>IF($A44="","",IFERROR(AVERAGEIF(tblGunluk[VarlikId],$A44,tblGunluk[FormulOee_oran]),0))</f>
        <v/>
      </c>
      <c r="J44" s="19">
        <f>IF($A44="","",SUMIF(tblGunluk[VarlikId],$A44,tblGunluk[UretimAdet_adet]))</f>
        <v/>
      </c>
      <c r="K44" s="19">
        <f>IF($A44="","",MAX(0,MIN(100,odk_kaliteTaban-IF($I44&lt;odk_esikOee,odk_kaliteCeza,0)-COUNTIFS(tblGunluk[VarlikId],$A44,tblGunluk[AlarmBayrak],"ALARM")*odk_kaliteSapma-IF($G44="HAYIR",odk_kaliteCeza,0))))</f>
        <v/>
      </c>
    </row>
    <row r="45">
      <c r="A45" s="15" t="n"/>
      <c r="B45" s="15" t="n"/>
      <c r="C45" s="15" t="n"/>
      <c r="D45" s="16" t="n"/>
      <c r="E45" s="17" t="n"/>
      <c r="F45" s="18" t="n"/>
      <c r="G45" s="15" t="n"/>
      <c r="H45" s="19">
        <f>IF($A45="","",SUMIF(tblGunluk[VarlikId],$A45,tblGunluk[DurusSure_dk]))</f>
        <v/>
      </c>
      <c r="I45" s="19">
        <f>IF($A45="","",IFERROR(AVERAGEIF(tblGunluk[VarlikId],$A45,tblGunluk[FormulOee_oran]),0))</f>
        <v/>
      </c>
      <c r="J45" s="19">
        <f>IF($A45="","",SUMIF(tblGunluk[VarlikId],$A45,tblGunluk[UretimAdet_adet]))</f>
        <v/>
      </c>
      <c r="K45" s="19">
        <f>IF($A45="","",MAX(0,MIN(100,odk_kaliteTaban-IF($I45&lt;odk_esikOee,odk_kaliteCeza,0)-COUNTIFS(tblGunluk[VarlikId],$A45,tblGunluk[AlarmBayrak],"ALARM")*odk_kaliteSapma-IF($G45="HAYIR",odk_kaliteCeza,0))))</f>
        <v/>
      </c>
    </row>
    <row r="46">
      <c r="A46" s="15" t="n"/>
      <c r="B46" s="15" t="n"/>
      <c r="C46" s="15" t="n"/>
      <c r="D46" s="16" t="n"/>
      <c r="E46" s="17" t="n"/>
      <c r="F46" s="18" t="n"/>
      <c r="G46" s="15" t="n"/>
      <c r="H46" s="19">
        <f>IF($A46="","",SUMIF(tblGunluk[VarlikId],$A46,tblGunluk[DurusSure_dk]))</f>
        <v/>
      </c>
      <c r="I46" s="19">
        <f>IF($A46="","",IFERROR(AVERAGEIF(tblGunluk[VarlikId],$A46,tblGunluk[FormulOee_oran]),0))</f>
        <v/>
      </c>
      <c r="J46" s="19">
        <f>IF($A46="","",SUMIF(tblGunluk[VarlikId],$A46,tblGunluk[UretimAdet_adet]))</f>
        <v/>
      </c>
      <c r="K46" s="19">
        <f>IF($A46="","",MAX(0,MIN(100,odk_kaliteTaban-IF($I46&lt;odk_esikOee,odk_kaliteCeza,0)-COUNTIFS(tblGunluk[VarlikId],$A46,tblGunluk[AlarmBayrak],"ALARM")*odk_kaliteSapma-IF($G46="HAYIR",odk_kaliteCeza,0))))</f>
        <v/>
      </c>
    </row>
    <row r="47">
      <c r="A47" s="15" t="n"/>
      <c r="B47" s="15" t="n"/>
      <c r="C47" s="15" t="n"/>
      <c r="D47" s="16" t="n"/>
      <c r="E47" s="17" t="n"/>
      <c r="F47" s="18" t="n"/>
      <c r="G47" s="15" t="n"/>
      <c r="H47" s="19">
        <f>IF($A47="","",SUMIF(tblGunluk[VarlikId],$A47,tblGunluk[DurusSure_dk]))</f>
        <v/>
      </c>
      <c r="I47" s="19">
        <f>IF($A47="","",IFERROR(AVERAGEIF(tblGunluk[VarlikId],$A47,tblGunluk[FormulOee_oran]),0))</f>
        <v/>
      </c>
      <c r="J47" s="19">
        <f>IF($A47="","",SUMIF(tblGunluk[VarlikId],$A47,tblGunluk[UretimAdet_adet]))</f>
        <v/>
      </c>
      <c r="K47" s="19">
        <f>IF($A47="","",MAX(0,MIN(100,odk_kaliteTaban-IF($I47&lt;odk_esikOee,odk_kaliteCeza,0)-COUNTIFS(tblGunluk[VarlikId],$A47,tblGunluk[AlarmBayrak],"ALARM")*odk_kaliteSapma-IF($G47="HAYIR",odk_kaliteCeza,0))))</f>
        <v/>
      </c>
    </row>
    <row r="48">
      <c r="A48" s="15" t="n"/>
      <c r="B48" s="15" t="n"/>
      <c r="C48" s="15" t="n"/>
      <c r="D48" s="16" t="n"/>
      <c r="E48" s="17" t="n"/>
      <c r="F48" s="18" t="n"/>
      <c r="G48" s="15" t="n"/>
      <c r="H48" s="19">
        <f>IF($A48="","",SUMIF(tblGunluk[VarlikId],$A48,tblGunluk[DurusSure_dk]))</f>
        <v/>
      </c>
      <c r="I48" s="19">
        <f>IF($A48="","",IFERROR(AVERAGEIF(tblGunluk[VarlikId],$A48,tblGunluk[FormulOee_oran]),0))</f>
        <v/>
      </c>
      <c r="J48" s="19">
        <f>IF($A48="","",SUMIF(tblGunluk[VarlikId],$A48,tblGunluk[UretimAdet_adet]))</f>
        <v/>
      </c>
      <c r="K48" s="19">
        <f>IF($A48="","",MAX(0,MIN(100,odk_kaliteTaban-IF($I48&lt;odk_esikOee,odk_kaliteCeza,0)-COUNTIFS(tblGunluk[VarlikId],$A48,tblGunluk[AlarmBayrak],"ALARM")*odk_kaliteSapma-IF($G48="HAYIR",odk_kaliteCeza,0))))</f>
        <v/>
      </c>
    </row>
    <row r="49">
      <c r="A49" s="15" t="n"/>
      <c r="B49" s="15" t="n"/>
      <c r="C49" s="15" t="n"/>
      <c r="D49" s="16" t="n"/>
      <c r="E49" s="17" t="n"/>
      <c r="F49" s="18" t="n"/>
      <c r="G49" s="15" t="n"/>
      <c r="H49" s="19">
        <f>IF($A49="","",SUMIF(tblGunluk[VarlikId],$A49,tblGunluk[DurusSure_dk]))</f>
        <v/>
      </c>
      <c r="I49" s="19">
        <f>IF($A49="","",IFERROR(AVERAGEIF(tblGunluk[VarlikId],$A49,tblGunluk[FormulOee_oran]),0))</f>
        <v/>
      </c>
      <c r="J49" s="19">
        <f>IF($A49="","",SUMIF(tblGunluk[VarlikId],$A49,tblGunluk[UretimAdet_adet]))</f>
        <v/>
      </c>
      <c r="K49" s="19">
        <f>IF($A49="","",MAX(0,MIN(100,odk_kaliteTaban-IF($I49&lt;odk_esikOee,odk_kaliteCeza,0)-COUNTIFS(tblGunluk[VarlikId],$A49,tblGunluk[AlarmBayrak],"ALARM")*odk_kaliteSapma-IF($G49="HAYIR",odk_kaliteCeza,0))))</f>
        <v/>
      </c>
    </row>
    <row r="50">
      <c r="A50" s="15" t="n"/>
      <c r="B50" s="15" t="n"/>
      <c r="C50" s="15" t="n"/>
      <c r="D50" s="16" t="n"/>
      <c r="E50" s="17" t="n"/>
      <c r="F50" s="18" t="n"/>
      <c r="G50" s="15" t="n"/>
      <c r="H50" s="19">
        <f>IF($A50="","",SUMIF(tblGunluk[VarlikId],$A50,tblGunluk[DurusSure_dk]))</f>
        <v/>
      </c>
      <c r="I50" s="19">
        <f>IF($A50="","",IFERROR(AVERAGEIF(tblGunluk[VarlikId],$A50,tblGunluk[FormulOee_oran]),0))</f>
        <v/>
      </c>
      <c r="J50" s="19">
        <f>IF($A50="","",SUMIF(tblGunluk[VarlikId],$A50,tblGunluk[UretimAdet_adet]))</f>
        <v/>
      </c>
      <c r="K50" s="19">
        <f>IF($A50="","",MAX(0,MIN(100,odk_kaliteTaban-IF($I50&lt;odk_esikOee,odk_kaliteCeza,0)-COUNTIFS(tblGunluk[VarlikId],$A50,tblGunluk[AlarmBayrak],"ALARM")*odk_kaliteSapma-IF($G50="HAYIR",odk_kaliteCeza,0))))</f>
        <v/>
      </c>
    </row>
    <row r="51">
      <c r="A51" s="15" t="n"/>
      <c r="B51" s="15" t="n"/>
      <c r="C51" s="15" t="n"/>
      <c r="D51" s="16" t="n"/>
      <c r="E51" s="17" t="n"/>
      <c r="F51" s="18" t="n"/>
      <c r="G51" s="15" t="n"/>
      <c r="H51" s="19">
        <f>IF($A51="","",SUMIF(tblGunluk[VarlikId],$A51,tblGunluk[DurusSure_dk]))</f>
        <v/>
      </c>
      <c r="I51" s="19">
        <f>IF($A51="","",IFERROR(AVERAGEIF(tblGunluk[VarlikId],$A51,tblGunluk[FormulOee_oran]),0))</f>
        <v/>
      </c>
      <c r="J51" s="19">
        <f>IF($A51="","",SUMIF(tblGunluk[VarlikId],$A51,tblGunluk[UretimAdet_adet]))</f>
        <v/>
      </c>
      <c r="K51" s="19">
        <f>IF($A51="","",MAX(0,MIN(100,odk_kaliteTaban-IF($I51&lt;odk_esikOee,odk_kaliteCeza,0)-COUNTIFS(tblGunluk[VarlikId],$A51,tblGunluk[AlarmBayrak],"ALARM")*odk_kaliteSapma-IF($G51="HAYIR",odk_kaliteCeza,0))))</f>
        <v/>
      </c>
    </row>
    <row r="52">
      <c r="A52" s="15" t="n"/>
      <c r="B52" s="15" t="n"/>
      <c r="C52" s="15" t="n"/>
      <c r="D52" s="16" t="n"/>
      <c r="E52" s="17" t="n"/>
      <c r="F52" s="18" t="n"/>
      <c r="G52" s="15" t="n"/>
      <c r="H52" s="19">
        <f>IF($A52="","",SUMIF(tblGunluk[VarlikId],$A52,tblGunluk[DurusSure_dk]))</f>
        <v/>
      </c>
      <c r="I52" s="19">
        <f>IF($A52="","",IFERROR(AVERAGEIF(tblGunluk[VarlikId],$A52,tblGunluk[FormulOee_oran]),0))</f>
        <v/>
      </c>
      <c r="J52" s="19">
        <f>IF($A52="","",SUMIF(tblGunluk[VarlikId],$A52,tblGunluk[UretimAdet_adet]))</f>
        <v/>
      </c>
      <c r="K52" s="19">
        <f>IF($A52="","",MAX(0,MIN(100,odk_kaliteTaban-IF($I52&lt;odk_esikOee,odk_kaliteCeza,0)-COUNTIFS(tblGunluk[VarlikId],$A52,tblGunluk[AlarmBayrak],"ALARM")*odk_kaliteSapma-IF($G52="HAYIR",odk_kaliteCeza,0))))</f>
        <v/>
      </c>
    </row>
    <row r="53">
      <c r="A53" s="15" t="n"/>
      <c r="B53" s="15" t="n"/>
      <c r="C53" s="15" t="n"/>
      <c r="D53" s="16" t="n"/>
      <c r="E53" s="17" t="n"/>
      <c r="F53" s="18" t="n"/>
      <c r="G53" s="15" t="n"/>
      <c r="H53" s="19">
        <f>IF($A53="","",SUMIF(tblGunluk[VarlikId],$A53,tblGunluk[DurusSure_dk]))</f>
        <v/>
      </c>
      <c r="I53" s="19">
        <f>IF($A53="","",IFERROR(AVERAGEIF(tblGunluk[VarlikId],$A53,tblGunluk[FormulOee_oran]),0))</f>
        <v/>
      </c>
      <c r="J53" s="19">
        <f>IF($A53="","",SUMIF(tblGunluk[VarlikId],$A53,tblGunluk[UretimAdet_adet]))</f>
        <v/>
      </c>
      <c r="K53" s="19">
        <f>IF($A53="","",MAX(0,MIN(100,odk_kaliteTaban-IF($I53&lt;odk_esikOee,odk_kaliteCeza,0)-COUNTIFS(tblGunluk[VarlikId],$A53,tblGunluk[AlarmBayrak],"ALARM")*odk_kaliteSapma-IF($G53="HAYIR",odk_kaliteCeza,0))))</f>
        <v/>
      </c>
    </row>
    <row r="54">
      <c r="A54" s="15" t="n"/>
      <c r="B54" s="15" t="n"/>
      <c r="C54" s="15" t="n"/>
      <c r="D54" s="16" t="n"/>
      <c r="E54" s="17" t="n"/>
      <c r="F54" s="18" t="n"/>
      <c r="G54" s="15" t="n"/>
      <c r="H54" s="19">
        <f>IF($A54="","",SUMIF(tblGunluk[VarlikId],$A54,tblGunluk[DurusSure_dk]))</f>
        <v/>
      </c>
      <c r="I54" s="19">
        <f>IF($A54="","",IFERROR(AVERAGEIF(tblGunluk[VarlikId],$A54,tblGunluk[FormulOee_oran]),0))</f>
        <v/>
      </c>
      <c r="J54" s="19">
        <f>IF($A54="","",SUMIF(tblGunluk[VarlikId],$A54,tblGunluk[UretimAdet_adet]))</f>
        <v/>
      </c>
      <c r="K54" s="19">
        <f>IF($A54="","",MAX(0,MIN(100,odk_kaliteTaban-IF($I54&lt;odk_esikOee,odk_kaliteCeza,0)-COUNTIFS(tblGunluk[VarlikId],$A54,tblGunluk[AlarmBayrak],"ALARM")*odk_kaliteSapma-IF($G54="HAYIR",odk_kaliteCeza,0))))</f>
        <v/>
      </c>
    </row>
    <row r="55">
      <c r="A55" s="15" t="n"/>
      <c r="B55" s="15" t="n"/>
      <c r="C55" s="15" t="n"/>
      <c r="D55" s="16" t="n"/>
      <c r="E55" s="17" t="n"/>
      <c r="F55" s="18" t="n"/>
      <c r="G55" s="15" t="n"/>
      <c r="H55" s="19">
        <f>IF($A55="","",SUMIF(tblGunluk[VarlikId],$A55,tblGunluk[DurusSure_dk]))</f>
        <v/>
      </c>
      <c r="I55" s="19">
        <f>IF($A55="","",IFERROR(AVERAGEIF(tblGunluk[VarlikId],$A55,tblGunluk[FormulOee_oran]),0))</f>
        <v/>
      </c>
      <c r="J55" s="19">
        <f>IF($A55="","",SUMIF(tblGunluk[VarlikId],$A55,tblGunluk[UretimAdet_adet]))</f>
        <v/>
      </c>
      <c r="K55" s="19">
        <f>IF($A55="","",MAX(0,MIN(100,odk_kaliteTaban-IF($I55&lt;odk_esikOee,odk_kaliteCeza,0)-COUNTIFS(tblGunluk[VarlikId],$A55,tblGunluk[AlarmBayrak],"ALARM")*odk_kaliteSapma-IF($G55="HAYIR",odk_kaliteCeza,0))))</f>
        <v/>
      </c>
    </row>
    <row r="56">
      <c r="A56" s="15" t="n"/>
      <c r="B56" s="15" t="n"/>
      <c r="C56" s="15" t="n"/>
      <c r="D56" s="16" t="n"/>
      <c r="E56" s="17" t="n"/>
      <c r="F56" s="18" t="n"/>
      <c r="G56" s="15" t="n"/>
      <c r="H56" s="19">
        <f>IF($A56="","",SUMIF(tblGunluk[VarlikId],$A56,tblGunluk[DurusSure_dk]))</f>
        <v/>
      </c>
      <c r="I56" s="19">
        <f>IF($A56="","",IFERROR(AVERAGEIF(tblGunluk[VarlikId],$A56,tblGunluk[FormulOee_oran]),0))</f>
        <v/>
      </c>
      <c r="J56" s="19">
        <f>IF($A56="","",SUMIF(tblGunluk[VarlikId],$A56,tblGunluk[UretimAdet_adet]))</f>
        <v/>
      </c>
      <c r="K56" s="19">
        <f>IF($A56="","",MAX(0,MIN(100,odk_kaliteTaban-IF($I56&lt;odk_esikOee,odk_kaliteCeza,0)-COUNTIFS(tblGunluk[VarlikId],$A56,tblGunluk[AlarmBayrak],"ALARM")*odk_kaliteSapma-IF($G56="HAYIR",odk_kaliteCeza,0))))</f>
        <v/>
      </c>
    </row>
    <row r="57">
      <c r="A57" s="15" t="n"/>
      <c r="B57" s="15" t="n"/>
      <c r="C57" s="15" t="n"/>
      <c r="D57" s="16" t="n"/>
      <c r="E57" s="17" t="n"/>
      <c r="F57" s="18" t="n"/>
      <c r="G57" s="15" t="n"/>
      <c r="H57" s="19">
        <f>IF($A57="","",SUMIF(tblGunluk[VarlikId],$A57,tblGunluk[DurusSure_dk]))</f>
        <v/>
      </c>
      <c r="I57" s="19">
        <f>IF($A57="","",IFERROR(AVERAGEIF(tblGunluk[VarlikId],$A57,tblGunluk[FormulOee_oran]),0))</f>
        <v/>
      </c>
      <c r="J57" s="19">
        <f>IF($A57="","",SUMIF(tblGunluk[VarlikId],$A57,tblGunluk[UretimAdet_adet]))</f>
        <v/>
      </c>
      <c r="K57" s="19">
        <f>IF($A57="","",MAX(0,MIN(100,odk_kaliteTaban-IF($I57&lt;odk_esikOee,odk_kaliteCeza,0)-COUNTIFS(tblGunluk[VarlikId],$A57,tblGunluk[AlarmBayrak],"ALARM")*odk_kaliteSapma-IF($G57="HAYIR",odk_kaliteCeza,0))))</f>
        <v/>
      </c>
    </row>
    <row r="58">
      <c r="A58" s="15" t="n"/>
      <c r="B58" s="15" t="n"/>
      <c r="C58" s="15" t="n"/>
      <c r="D58" s="16" t="n"/>
      <c r="E58" s="17" t="n"/>
      <c r="F58" s="18" t="n"/>
      <c r="G58" s="15" t="n"/>
      <c r="H58" s="19">
        <f>IF($A58="","",SUMIF(tblGunluk[VarlikId],$A58,tblGunluk[DurusSure_dk]))</f>
        <v/>
      </c>
      <c r="I58" s="19">
        <f>IF($A58="","",IFERROR(AVERAGEIF(tblGunluk[VarlikId],$A58,tblGunluk[FormulOee_oran]),0))</f>
        <v/>
      </c>
      <c r="J58" s="19">
        <f>IF($A58="","",SUMIF(tblGunluk[VarlikId],$A58,tblGunluk[UretimAdet_adet]))</f>
        <v/>
      </c>
      <c r="K58" s="19">
        <f>IF($A58="","",MAX(0,MIN(100,odk_kaliteTaban-IF($I58&lt;odk_esikOee,odk_kaliteCeza,0)-COUNTIFS(tblGunluk[VarlikId],$A58,tblGunluk[AlarmBayrak],"ALARM")*odk_kaliteSapma-IF($G58="HAYIR",odk_kaliteCeza,0))))</f>
        <v/>
      </c>
    </row>
    <row r="59">
      <c r="A59" s="15" t="n"/>
      <c r="B59" s="15" t="n"/>
      <c r="C59" s="15" t="n"/>
      <c r="D59" s="16" t="n"/>
      <c r="E59" s="17" t="n"/>
      <c r="F59" s="18" t="n"/>
      <c r="G59" s="15" t="n"/>
      <c r="H59" s="19">
        <f>IF($A59="","",SUMIF(tblGunluk[VarlikId],$A59,tblGunluk[DurusSure_dk]))</f>
        <v/>
      </c>
      <c r="I59" s="19">
        <f>IF($A59="","",IFERROR(AVERAGEIF(tblGunluk[VarlikId],$A59,tblGunluk[FormulOee_oran]),0))</f>
        <v/>
      </c>
      <c r="J59" s="19">
        <f>IF($A59="","",SUMIF(tblGunluk[VarlikId],$A59,tblGunluk[UretimAdet_adet]))</f>
        <v/>
      </c>
      <c r="K59" s="19">
        <f>IF($A59="","",MAX(0,MIN(100,odk_kaliteTaban-IF($I59&lt;odk_esikOee,odk_kaliteCeza,0)-COUNTIFS(tblGunluk[VarlikId],$A59,tblGunluk[AlarmBayrak],"ALARM")*odk_kaliteSapma-IF($G59="HAYIR",odk_kaliteCeza,0))))</f>
        <v/>
      </c>
    </row>
    <row r="60">
      <c r="A60" s="15" t="n"/>
      <c r="B60" s="15" t="n"/>
      <c r="C60" s="15" t="n"/>
      <c r="D60" s="16" t="n"/>
      <c r="E60" s="17" t="n"/>
      <c r="F60" s="18" t="n"/>
      <c r="G60" s="15" t="n"/>
      <c r="H60" s="19">
        <f>IF($A60="","",SUMIF(tblGunluk[VarlikId],$A60,tblGunluk[DurusSure_dk]))</f>
        <v/>
      </c>
      <c r="I60" s="19">
        <f>IF($A60="","",IFERROR(AVERAGEIF(tblGunluk[VarlikId],$A60,tblGunluk[FormulOee_oran]),0))</f>
        <v/>
      </c>
      <c r="J60" s="19">
        <f>IF($A60="","",SUMIF(tblGunluk[VarlikId],$A60,tblGunluk[UretimAdet_adet]))</f>
        <v/>
      </c>
      <c r="K60" s="19">
        <f>IF($A60="","",MAX(0,MIN(100,odk_kaliteTaban-IF($I60&lt;odk_esikOee,odk_kaliteCeza,0)-COUNTIFS(tblGunluk[VarlikId],$A60,tblGunluk[AlarmBayrak],"ALARM")*odk_kaliteSapma-IF($G60="HAYIR",odk_kaliteCeza,0))))</f>
        <v/>
      </c>
    </row>
    <row r="61">
      <c r="A61" s="15" t="n"/>
      <c r="B61" s="15" t="n"/>
      <c r="C61" s="15" t="n"/>
      <c r="D61" s="16" t="n"/>
      <c r="E61" s="17" t="n"/>
      <c r="F61" s="18" t="n"/>
      <c r="G61" s="15" t="n"/>
      <c r="H61" s="19">
        <f>IF($A61="","",SUMIF(tblGunluk[VarlikId],$A61,tblGunluk[DurusSure_dk]))</f>
        <v/>
      </c>
      <c r="I61" s="19">
        <f>IF($A61="","",IFERROR(AVERAGEIF(tblGunluk[VarlikId],$A61,tblGunluk[FormulOee_oran]),0))</f>
        <v/>
      </c>
      <c r="J61" s="19">
        <f>IF($A61="","",SUMIF(tblGunluk[VarlikId],$A61,tblGunluk[UretimAdet_adet]))</f>
        <v/>
      </c>
      <c r="K61" s="19">
        <f>IF($A61="","",MAX(0,MIN(100,odk_kaliteTaban-IF($I61&lt;odk_esikOee,odk_kaliteCeza,0)-COUNTIFS(tblGunluk[VarlikId],$A61,tblGunluk[AlarmBayrak],"ALARM")*odk_kaliteSapma-IF($G61="HAYIR",odk_kaliteCeza,0))))</f>
        <v/>
      </c>
    </row>
    <row r="62">
      <c r="A62" s="15" t="n"/>
      <c r="B62" s="15" t="n"/>
      <c r="C62" s="15" t="n"/>
      <c r="D62" s="16" t="n"/>
      <c r="E62" s="17" t="n"/>
      <c r="F62" s="18" t="n"/>
      <c r="G62" s="15" t="n"/>
      <c r="H62" s="19">
        <f>IF($A62="","",SUMIF(tblGunluk[VarlikId],$A62,tblGunluk[DurusSure_dk]))</f>
        <v/>
      </c>
      <c r="I62" s="19">
        <f>IF($A62="","",IFERROR(AVERAGEIF(tblGunluk[VarlikId],$A62,tblGunluk[FormulOee_oran]),0))</f>
        <v/>
      </c>
      <c r="J62" s="19">
        <f>IF($A62="","",SUMIF(tblGunluk[VarlikId],$A62,tblGunluk[UretimAdet_adet]))</f>
        <v/>
      </c>
      <c r="K62" s="19">
        <f>IF($A62="","",MAX(0,MIN(100,odk_kaliteTaban-IF($I62&lt;odk_esikOee,odk_kaliteCeza,0)-COUNTIFS(tblGunluk[VarlikId],$A62,tblGunluk[AlarmBayrak],"ALARM")*odk_kaliteSapma-IF($G62="HAYIR",odk_kaliteCeza,0))))</f>
        <v/>
      </c>
    </row>
    <row r="63">
      <c r="A63" s="15" t="n"/>
      <c r="B63" s="15" t="n"/>
      <c r="C63" s="15" t="n"/>
      <c r="D63" s="16" t="n"/>
      <c r="E63" s="17" t="n"/>
      <c r="F63" s="18" t="n"/>
      <c r="G63" s="15" t="n"/>
      <c r="H63" s="19">
        <f>IF($A63="","",SUMIF(tblGunluk[VarlikId],$A63,tblGunluk[DurusSure_dk]))</f>
        <v/>
      </c>
      <c r="I63" s="19">
        <f>IF($A63="","",IFERROR(AVERAGEIF(tblGunluk[VarlikId],$A63,tblGunluk[FormulOee_oran]),0))</f>
        <v/>
      </c>
      <c r="J63" s="19">
        <f>IF($A63="","",SUMIF(tblGunluk[VarlikId],$A63,tblGunluk[UretimAdet_adet]))</f>
        <v/>
      </c>
      <c r="K63" s="19">
        <f>IF($A63="","",MAX(0,MIN(100,odk_kaliteTaban-IF($I63&lt;odk_esikOee,odk_kaliteCeza,0)-COUNTIFS(tblGunluk[VarlikId],$A63,tblGunluk[AlarmBayrak],"ALARM")*odk_kaliteSapma-IF($G63="HAYIR",odk_kaliteCeza,0))))</f>
        <v/>
      </c>
    </row>
    <row r="64">
      <c r="A64" s="15" t="n"/>
      <c r="B64" s="15" t="n"/>
      <c r="C64" s="15" t="n"/>
      <c r="D64" s="16" t="n"/>
      <c r="E64" s="17" t="n"/>
      <c r="F64" s="18" t="n"/>
      <c r="G64" s="15" t="n"/>
      <c r="H64" s="19">
        <f>IF($A64="","",SUMIF(tblGunluk[VarlikId],$A64,tblGunluk[DurusSure_dk]))</f>
        <v/>
      </c>
      <c r="I64" s="19">
        <f>IF($A64="","",IFERROR(AVERAGEIF(tblGunluk[VarlikId],$A64,tblGunluk[FormulOee_oran]),0))</f>
        <v/>
      </c>
      <c r="J64" s="19">
        <f>IF($A64="","",SUMIF(tblGunluk[VarlikId],$A64,tblGunluk[UretimAdet_adet]))</f>
        <v/>
      </c>
      <c r="K64" s="19">
        <f>IF($A64="","",MAX(0,MIN(100,odk_kaliteTaban-IF($I64&lt;odk_esikOee,odk_kaliteCeza,0)-COUNTIFS(tblGunluk[VarlikId],$A64,tblGunluk[AlarmBayrak],"ALARM")*odk_kaliteSapma-IF($G64="HAYIR",odk_kaliteCeza,0))))</f>
        <v/>
      </c>
    </row>
    <row r="65">
      <c r="A65" s="15" t="n"/>
      <c r="B65" s="15" t="n"/>
      <c r="C65" s="15" t="n"/>
      <c r="D65" s="16" t="n"/>
      <c r="E65" s="17" t="n"/>
      <c r="F65" s="18" t="n"/>
      <c r="G65" s="15" t="n"/>
      <c r="H65" s="19">
        <f>IF($A65="","",SUMIF(tblGunluk[VarlikId],$A65,tblGunluk[DurusSure_dk]))</f>
        <v/>
      </c>
      <c r="I65" s="19">
        <f>IF($A65="","",IFERROR(AVERAGEIF(tblGunluk[VarlikId],$A65,tblGunluk[FormulOee_oran]),0))</f>
        <v/>
      </c>
      <c r="J65" s="19">
        <f>IF($A65="","",SUMIF(tblGunluk[VarlikId],$A65,tblGunluk[UretimAdet_adet]))</f>
        <v/>
      </c>
      <c r="K65" s="19">
        <f>IF($A65="","",MAX(0,MIN(100,odk_kaliteTaban-IF($I65&lt;odk_esikOee,odk_kaliteCeza,0)-COUNTIFS(tblGunluk[VarlikId],$A65,tblGunluk[AlarmBayrak],"ALARM")*odk_kaliteSapma-IF($G65="HAYIR",odk_kaliteCeza,0))))</f>
        <v/>
      </c>
    </row>
    <row r="66">
      <c r="A66" s="15" t="n"/>
      <c r="B66" s="15" t="n"/>
      <c r="C66" s="15" t="n"/>
      <c r="D66" s="16" t="n"/>
      <c r="E66" s="17" t="n"/>
      <c r="F66" s="18" t="n"/>
      <c r="G66" s="15" t="n"/>
      <c r="H66" s="19">
        <f>IF($A66="","",SUMIF(tblGunluk[VarlikId],$A66,tblGunluk[DurusSure_dk]))</f>
        <v/>
      </c>
      <c r="I66" s="19">
        <f>IF($A66="","",IFERROR(AVERAGEIF(tblGunluk[VarlikId],$A66,tblGunluk[FormulOee_oran]),0))</f>
        <v/>
      </c>
      <c r="J66" s="19">
        <f>IF($A66="","",SUMIF(tblGunluk[VarlikId],$A66,tblGunluk[UretimAdet_adet]))</f>
        <v/>
      </c>
      <c r="K66" s="19">
        <f>IF($A66="","",MAX(0,MIN(100,odk_kaliteTaban-IF($I66&lt;odk_esikOee,odk_kaliteCeza,0)-COUNTIFS(tblGunluk[VarlikId],$A66,tblGunluk[AlarmBayrak],"ALARM")*odk_kaliteSapma-IF($G66="HAYIR",odk_kaliteCeza,0))))</f>
        <v/>
      </c>
    </row>
    <row r="67">
      <c r="A67" s="15" t="n"/>
      <c r="B67" s="15" t="n"/>
      <c r="C67" s="15" t="n"/>
      <c r="D67" s="16" t="n"/>
      <c r="E67" s="17" t="n"/>
      <c r="F67" s="18" t="n"/>
      <c r="G67" s="15" t="n"/>
      <c r="H67" s="19">
        <f>IF($A67="","",SUMIF(tblGunluk[VarlikId],$A67,tblGunluk[DurusSure_dk]))</f>
        <v/>
      </c>
      <c r="I67" s="19">
        <f>IF($A67="","",IFERROR(AVERAGEIF(tblGunluk[VarlikId],$A67,tblGunluk[FormulOee_oran]),0))</f>
        <v/>
      </c>
      <c r="J67" s="19">
        <f>IF($A67="","",SUMIF(tblGunluk[VarlikId],$A67,tblGunluk[UretimAdet_adet]))</f>
        <v/>
      </c>
      <c r="K67" s="19">
        <f>IF($A67="","",MAX(0,MIN(100,odk_kaliteTaban-IF($I67&lt;odk_esikOee,odk_kaliteCeza,0)-COUNTIFS(tblGunluk[VarlikId],$A67,tblGunluk[AlarmBayrak],"ALARM")*odk_kaliteSapma-IF($G67="HAYIR",odk_kaliteCeza,0))))</f>
        <v/>
      </c>
    </row>
    <row r="68">
      <c r="A68" s="15" t="n"/>
      <c r="B68" s="15" t="n"/>
      <c r="C68" s="15" t="n"/>
      <c r="D68" s="16" t="n"/>
      <c r="E68" s="17" t="n"/>
      <c r="F68" s="18" t="n"/>
      <c r="G68" s="15" t="n"/>
      <c r="H68" s="19">
        <f>IF($A68="","",SUMIF(tblGunluk[VarlikId],$A68,tblGunluk[DurusSure_dk]))</f>
        <v/>
      </c>
      <c r="I68" s="19">
        <f>IF($A68="","",IFERROR(AVERAGEIF(tblGunluk[VarlikId],$A68,tblGunluk[FormulOee_oran]),0))</f>
        <v/>
      </c>
      <c r="J68" s="19">
        <f>IF($A68="","",SUMIF(tblGunluk[VarlikId],$A68,tblGunluk[UretimAdet_adet]))</f>
        <v/>
      </c>
      <c r="K68" s="19">
        <f>IF($A68="","",MAX(0,MIN(100,odk_kaliteTaban-IF($I68&lt;odk_esikOee,odk_kaliteCeza,0)-COUNTIFS(tblGunluk[VarlikId],$A68,tblGunluk[AlarmBayrak],"ALARM")*odk_kaliteSapma-IF($G68="HAYIR",odk_kaliteCeza,0))))</f>
        <v/>
      </c>
    </row>
    <row r="69">
      <c r="A69" s="15" t="n"/>
      <c r="B69" s="15" t="n"/>
      <c r="C69" s="15" t="n"/>
      <c r="D69" s="16" t="n"/>
      <c r="E69" s="17" t="n"/>
      <c r="F69" s="18" t="n"/>
      <c r="G69" s="15" t="n"/>
      <c r="H69" s="19">
        <f>IF($A69="","",SUMIF(tblGunluk[VarlikId],$A69,tblGunluk[DurusSure_dk]))</f>
        <v/>
      </c>
      <c r="I69" s="19">
        <f>IF($A69="","",IFERROR(AVERAGEIF(tblGunluk[VarlikId],$A69,tblGunluk[FormulOee_oran]),0))</f>
        <v/>
      </c>
      <c r="J69" s="19">
        <f>IF($A69="","",SUMIF(tblGunluk[VarlikId],$A69,tblGunluk[UretimAdet_adet]))</f>
        <v/>
      </c>
      <c r="K69" s="19">
        <f>IF($A69="","",MAX(0,MIN(100,odk_kaliteTaban-IF($I69&lt;odk_esikOee,odk_kaliteCeza,0)-COUNTIFS(tblGunluk[VarlikId],$A69,tblGunluk[AlarmBayrak],"ALARM")*odk_kaliteSapma-IF($G69="HAYIR",odk_kaliteCeza,0))))</f>
        <v/>
      </c>
    </row>
    <row r="70">
      <c r="A70" s="15" t="n"/>
      <c r="B70" s="15" t="n"/>
      <c r="C70" s="15" t="n"/>
      <c r="D70" s="16" t="n"/>
      <c r="E70" s="17" t="n"/>
      <c r="F70" s="18" t="n"/>
      <c r="G70" s="15" t="n"/>
      <c r="H70" s="19">
        <f>IF($A70="","",SUMIF(tblGunluk[VarlikId],$A70,tblGunluk[DurusSure_dk]))</f>
        <v/>
      </c>
      <c r="I70" s="19">
        <f>IF($A70="","",IFERROR(AVERAGEIF(tblGunluk[VarlikId],$A70,tblGunluk[FormulOee_oran]),0))</f>
        <v/>
      </c>
      <c r="J70" s="19">
        <f>IF($A70="","",SUMIF(tblGunluk[VarlikId],$A70,tblGunluk[UretimAdet_adet]))</f>
        <v/>
      </c>
      <c r="K70" s="19">
        <f>IF($A70="","",MAX(0,MIN(100,odk_kaliteTaban-IF($I70&lt;odk_esikOee,odk_kaliteCeza,0)-COUNTIFS(tblGunluk[VarlikId],$A70,tblGunluk[AlarmBayrak],"ALARM")*odk_kaliteSapma-IF($G70="HAYIR",odk_kaliteCeza,0))))</f>
        <v/>
      </c>
    </row>
    <row r="71">
      <c r="A71" s="15" t="n"/>
      <c r="B71" s="15" t="n"/>
      <c r="C71" s="15" t="n"/>
      <c r="D71" s="16" t="n"/>
      <c r="E71" s="17" t="n"/>
      <c r="F71" s="18" t="n"/>
      <c r="G71" s="15" t="n"/>
      <c r="H71" s="19">
        <f>IF($A71="","",SUMIF(tblGunluk[VarlikId],$A71,tblGunluk[DurusSure_dk]))</f>
        <v/>
      </c>
      <c r="I71" s="19">
        <f>IF($A71="","",IFERROR(AVERAGEIF(tblGunluk[VarlikId],$A71,tblGunluk[FormulOee_oran]),0))</f>
        <v/>
      </c>
      <c r="J71" s="19">
        <f>IF($A71="","",SUMIF(tblGunluk[VarlikId],$A71,tblGunluk[UretimAdet_adet]))</f>
        <v/>
      </c>
      <c r="K71" s="19">
        <f>IF($A71="","",MAX(0,MIN(100,odk_kaliteTaban-IF($I71&lt;odk_esikOee,odk_kaliteCeza,0)-COUNTIFS(tblGunluk[VarlikId],$A71,tblGunluk[AlarmBayrak],"ALARM")*odk_kaliteSapma-IF($G71="HAYIR",odk_kaliteCeza,0))))</f>
        <v/>
      </c>
    </row>
    <row r="72">
      <c r="A72" s="15" t="n"/>
      <c r="B72" s="15" t="n"/>
      <c r="C72" s="15" t="n"/>
      <c r="D72" s="16" t="n"/>
      <c r="E72" s="17" t="n"/>
      <c r="F72" s="18" t="n"/>
      <c r="G72" s="15" t="n"/>
      <c r="H72" s="19">
        <f>IF($A72="","",SUMIF(tblGunluk[VarlikId],$A72,tblGunluk[DurusSure_dk]))</f>
        <v/>
      </c>
      <c r="I72" s="19">
        <f>IF($A72="","",IFERROR(AVERAGEIF(tblGunluk[VarlikId],$A72,tblGunluk[FormulOee_oran]),0))</f>
        <v/>
      </c>
      <c r="J72" s="19">
        <f>IF($A72="","",SUMIF(tblGunluk[VarlikId],$A72,tblGunluk[UretimAdet_adet]))</f>
        <v/>
      </c>
      <c r="K72" s="19">
        <f>IF($A72="","",MAX(0,MIN(100,odk_kaliteTaban-IF($I72&lt;odk_esikOee,odk_kaliteCeza,0)-COUNTIFS(tblGunluk[VarlikId],$A72,tblGunluk[AlarmBayrak],"ALARM")*odk_kaliteSapma-IF($G72="HAYIR",odk_kaliteCeza,0))))</f>
        <v/>
      </c>
    </row>
    <row r="73">
      <c r="A73" s="15" t="n"/>
      <c r="B73" s="15" t="n"/>
      <c r="C73" s="15" t="n"/>
      <c r="D73" s="16" t="n"/>
      <c r="E73" s="17" t="n"/>
      <c r="F73" s="18" t="n"/>
      <c r="G73" s="15" t="n"/>
      <c r="H73" s="19">
        <f>IF($A73="","",SUMIF(tblGunluk[VarlikId],$A73,tblGunluk[DurusSure_dk]))</f>
        <v/>
      </c>
      <c r="I73" s="19">
        <f>IF($A73="","",IFERROR(AVERAGEIF(tblGunluk[VarlikId],$A73,tblGunluk[FormulOee_oran]),0))</f>
        <v/>
      </c>
      <c r="J73" s="19">
        <f>IF($A73="","",SUMIF(tblGunluk[VarlikId],$A73,tblGunluk[UretimAdet_adet]))</f>
        <v/>
      </c>
      <c r="K73" s="19">
        <f>IF($A73="","",MAX(0,MIN(100,odk_kaliteTaban-IF($I73&lt;odk_esikOee,odk_kaliteCeza,0)-COUNTIFS(tblGunluk[VarlikId],$A73,tblGunluk[AlarmBayrak],"ALARM")*odk_kaliteSapma-IF($G73="HAYIR",odk_kaliteCeza,0))))</f>
        <v/>
      </c>
    </row>
    <row r="74">
      <c r="A74" s="15" t="n"/>
      <c r="B74" s="15" t="n"/>
      <c r="C74" s="15" t="n"/>
      <c r="D74" s="16" t="n"/>
      <c r="E74" s="17" t="n"/>
      <c r="F74" s="18" t="n"/>
      <c r="G74" s="15" t="n"/>
      <c r="H74" s="19">
        <f>IF($A74="","",SUMIF(tblGunluk[VarlikId],$A74,tblGunluk[DurusSure_dk]))</f>
        <v/>
      </c>
      <c r="I74" s="19">
        <f>IF($A74="","",IFERROR(AVERAGEIF(tblGunluk[VarlikId],$A74,tblGunluk[FormulOee_oran]),0))</f>
        <v/>
      </c>
      <c r="J74" s="19">
        <f>IF($A74="","",SUMIF(tblGunluk[VarlikId],$A74,tblGunluk[UretimAdet_adet]))</f>
        <v/>
      </c>
      <c r="K74" s="19">
        <f>IF($A74="","",MAX(0,MIN(100,odk_kaliteTaban-IF($I74&lt;odk_esikOee,odk_kaliteCeza,0)-COUNTIFS(tblGunluk[VarlikId],$A74,tblGunluk[AlarmBayrak],"ALARM")*odk_kaliteSapma-IF($G74="HAYIR",odk_kaliteCeza,0))))</f>
        <v/>
      </c>
    </row>
    <row r="75">
      <c r="A75" s="15" t="n"/>
      <c r="B75" s="15" t="n"/>
      <c r="C75" s="15" t="n"/>
      <c r="D75" s="16" t="n"/>
      <c r="E75" s="17" t="n"/>
      <c r="F75" s="18" t="n"/>
      <c r="G75" s="15" t="n"/>
      <c r="H75" s="19">
        <f>IF($A75="","",SUMIF(tblGunluk[VarlikId],$A75,tblGunluk[DurusSure_dk]))</f>
        <v/>
      </c>
      <c r="I75" s="19">
        <f>IF($A75="","",IFERROR(AVERAGEIF(tblGunluk[VarlikId],$A75,tblGunluk[FormulOee_oran]),0))</f>
        <v/>
      </c>
      <c r="J75" s="19">
        <f>IF($A75="","",SUMIF(tblGunluk[VarlikId],$A75,tblGunluk[UretimAdet_adet]))</f>
        <v/>
      </c>
      <c r="K75" s="19">
        <f>IF($A75="","",MAX(0,MIN(100,odk_kaliteTaban-IF($I75&lt;odk_esikOee,odk_kaliteCeza,0)-COUNTIFS(tblGunluk[VarlikId],$A75,tblGunluk[AlarmBayrak],"ALARM")*odk_kaliteSapma-IF($G75="HAYIR",odk_kaliteCeza,0))))</f>
        <v/>
      </c>
    </row>
    <row r="76">
      <c r="A76" s="15" t="n"/>
      <c r="B76" s="15" t="n"/>
      <c r="C76" s="15" t="n"/>
      <c r="D76" s="16" t="n"/>
      <c r="E76" s="17" t="n"/>
      <c r="F76" s="18" t="n"/>
      <c r="G76" s="15" t="n"/>
      <c r="H76" s="19">
        <f>IF($A76="","",SUMIF(tblGunluk[VarlikId],$A76,tblGunluk[DurusSure_dk]))</f>
        <v/>
      </c>
      <c r="I76" s="19">
        <f>IF($A76="","",IFERROR(AVERAGEIF(tblGunluk[VarlikId],$A76,tblGunluk[FormulOee_oran]),0))</f>
        <v/>
      </c>
      <c r="J76" s="19">
        <f>IF($A76="","",SUMIF(tblGunluk[VarlikId],$A76,tblGunluk[UretimAdet_adet]))</f>
        <v/>
      </c>
      <c r="K76" s="19">
        <f>IF($A76="","",MAX(0,MIN(100,odk_kaliteTaban-IF($I76&lt;odk_esikOee,odk_kaliteCeza,0)-COUNTIFS(tblGunluk[VarlikId],$A76,tblGunluk[AlarmBayrak],"ALARM")*odk_kaliteSapma-IF($G76="HAYIR",odk_kaliteCeza,0))))</f>
        <v/>
      </c>
    </row>
    <row r="77">
      <c r="A77" s="15" t="n"/>
      <c r="B77" s="15" t="n"/>
      <c r="C77" s="15" t="n"/>
      <c r="D77" s="16" t="n"/>
      <c r="E77" s="17" t="n"/>
      <c r="F77" s="18" t="n"/>
      <c r="G77" s="15" t="n"/>
      <c r="H77" s="19">
        <f>IF($A77="","",SUMIF(tblGunluk[VarlikId],$A77,tblGunluk[DurusSure_dk]))</f>
        <v/>
      </c>
      <c r="I77" s="19">
        <f>IF($A77="","",IFERROR(AVERAGEIF(tblGunluk[VarlikId],$A77,tblGunluk[FormulOee_oran]),0))</f>
        <v/>
      </c>
      <c r="J77" s="19">
        <f>IF($A77="","",SUMIF(tblGunluk[VarlikId],$A77,tblGunluk[UretimAdet_adet]))</f>
        <v/>
      </c>
      <c r="K77" s="19">
        <f>IF($A77="","",MAX(0,MIN(100,odk_kaliteTaban-IF($I77&lt;odk_esikOee,odk_kaliteCeza,0)-COUNTIFS(tblGunluk[VarlikId],$A77,tblGunluk[AlarmBayrak],"ALARM")*odk_kaliteSapma-IF($G77="HAYIR",odk_kaliteCeza,0))))</f>
        <v/>
      </c>
    </row>
    <row r="78">
      <c r="A78" s="15" t="n"/>
      <c r="B78" s="15" t="n"/>
      <c r="C78" s="15" t="n"/>
      <c r="D78" s="16" t="n"/>
      <c r="E78" s="17" t="n"/>
      <c r="F78" s="18" t="n"/>
      <c r="G78" s="15" t="n"/>
      <c r="H78" s="19">
        <f>IF($A78="","",SUMIF(tblGunluk[VarlikId],$A78,tblGunluk[DurusSure_dk]))</f>
        <v/>
      </c>
      <c r="I78" s="19">
        <f>IF($A78="","",IFERROR(AVERAGEIF(tblGunluk[VarlikId],$A78,tblGunluk[FormulOee_oran]),0))</f>
        <v/>
      </c>
      <c r="J78" s="19">
        <f>IF($A78="","",SUMIF(tblGunluk[VarlikId],$A78,tblGunluk[UretimAdet_adet]))</f>
        <v/>
      </c>
      <c r="K78" s="19">
        <f>IF($A78="","",MAX(0,MIN(100,odk_kaliteTaban-IF($I78&lt;odk_esikOee,odk_kaliteCeza,0)-COUNTIFS(tblGunluk[VarlikId],$A78,tblGunluk[AlarmBayrak],"ALARM")*odk_kaliteSapma-IF($G78="HAYIR",odk_kaliteCeza,0))))</f>
        <v/>
      </c>
    </row>
    <row r="79">
      <c r="A79" s="15" t="n"/>
      <c r="B79" s="15" t="n"/>
      <c r="C79" s="15" t="n"/>
      <c r="D79" s="16" t="n"/>
      <c r="E79" s="17" t="n"/>
      <c r="F79" s="18" t="n"/>
      <c r="G79" s="15" t="n"/>
      <c r="H79" s="19">
        <f>IF($A79="","",SUMIF(tblGunluk[VarlikId],$A79,tblGunluk[DurusSure_dk]))</f>
        <v/>
      </c>
      <c r="I79" s="19">
        <f>IF($A79="","",IFERROR(AVERAGEIF(tblGunluk[VarlikId],$A79,tblGunluk[FormulOee_oran]),0))</f>
        <v/>
      </c>
      <c r="J79" s="19">
        <f>IF($A79="","",SUMIF(tblGunluk[VarlikId],$A79,tblGunluk[UretimAdet_adet]))</f>
        <v/>
      </c>
      <c r="K79" s="19">
        <f>IF($A79="","",MAX(0,MIN(100,odk_kaliteTaban-IF($I79&lt;odk_esikOee,odk_kaliteCeza,0)-COUNTIFS(tblGunluk[VarlikId],$A79,tblGunluk[AlarmBayrak],"ALARM")*odk_kaliteSapma-IF($G79="HAYIR",odk_kaliteCeza,0))))</f>
        <v/>
      </c>
    </row>
    <row r="80">
      <c r="A80" s="15" t="n"/>
      <c r="B80" s="15" t="n"/>
      <c r="C80" s="15" t="n"/>
      <c r="D80" s="16" t="n"/>
      <c r="E80" s="17" t="n"/>
      <c r="F80" s="18" t="n"/>
      <c r="G80" s="15" t="n"/>
      <c r="H80" s="19">
        <f>IF($A80="","",SUMIF(tblGunluk[VarlikId],$A80,tblGunluk[DurusSure_dk]))</f>
        <v/>
      </c>
      <c r="I80" s="19">
        <f>IF($A80="","",IFERROR(AVERAGEIF(tblGunluk[VarlikId],$A80,tblGunluk[FormulOee_oran]),0))</f>
        <v/>
      </c>
      <c r="J80" s="19">
        <f>IF($A80="","",SUMIF(tblGunluk[VarlikId],$A80,tblGunluk[UretimAdet_adet]))</f>
        <v/>
      </c>
      <c r="K80" s="19">
        <f>IF($A80="","",MAX(0,MIN(100,odk_kaliteTaban-IF($I80&lt;odk_esikOee,odk_kaliteCeza,0)-COUNTIFS(tblGunluk[VarlikId],$A80,tblGunluk[AlarmBayrak],"ALARM")*odk_kaliteSapma-IF($G80="HAYIR",odk_kaliteCeza,0))))</f>
        <v/>
      </c>
    </row>
    <row r="81">
      <c r="A81" s="15" t="n"/>
      <c r="B81" s="15" t="n"/>
      <c r="C81" s="15" t="n"/>
      <c r="D81" s="16" t="n"/>
      <c r="E81" s="17" t="n"/>
      <c r="F81" s="18" t="n"/>
      <c r="G81" s="15" t="n"/>
      <c r="H81" s="19">
        <f>IF($A81="","",SUMIF(tblGunluk[VarlikId],$A81,tblGunluk[DurusSure_dk]))</f>
        <v/>
      </c>
      <c r="I81" s="19">
        <f>IF($A81="","",IFERROR(AVERAGEIF(tblGunluk[VarlikId],$A81,tblGunluk[FormulOee_oran]),0))</f>
        <v/>
      </c>
      <c r="J81" s="19">
        <f>IF($A81="","",SUMIF(tblGunluk[VarlikId],$A81,tblGunluk[UretimAdet_adet]))</f>
        <v/>
      </c>
      <c r="K81" s="19">
        <f>IF($A81="","",MAX(0,MIN(100,odk_kaliteTaban-IF($I81&lt;odk_esikOee,odk_kaliteCeza,0)-COUNTIFS(tblGunluk[VarlikId],$A81,tblGunluk[AlarmBayrak],"ALARM")*odk_kaliteSapma-IF($G81="HAYIR",odk_kaliteCeza,0))))</f>
        <v/>
      </c>
    </row>
    <row r="82">
      <c r="A82" s="15" t="n"/>
      <c r="B82" s="15" t="n"/>
      <c r="C82" s="15" t="n"/>
      <c r="D82" s="16" t="n"/>
      <c r="E82" s="17" t="n"/>
      <c r="F82" s="18" t="n"/>
      <c r="G82" s="15" t="n"/>
      <c r="H82" s="19">
        <f>IF($A82="","",SUMIF(tblGunluk[VarlikId],$A82,tblGunluk[DurusSure_dk]))</f>
        <v/>
      </c>
      <c r="I82" s="19">
        <f>IF($A82="","",IFERROR(AVERAGEIF(tblGunluk[VarlikId],$A82,tblGunluk[FormulOee_oran]),0))</f>
        <v/>
      </c>
      <c r="J82" s="19">
        <f>IF($A82="","",SUMIF(tblGunluk[VarlikId],$A82,tblGunluk[UretimAdet_adet]))</f>
        <v/>
      </c>
      <c r="K82" s="19">
        <f>IF($A82="","",MAX(0,MIN(100,odk_kaliteTaban-IF($I82&lt;odk_esikOee,odk_kaliteCeza,0)-COUNTIFS(tblGunluk[VarlikId],$A82,tblGunluk[AlarmBayrak],"ALARM")*odk_kaliteSapma-IF($G82="HAYIR",odk_kaliteCeza,0))))</f>
        <v/>
      </c>
    </row>
    <row r="83">
      <c r="A83" s="15" t="n"/>
      <c r="B83" s="15" t="n"/>
      <c r="C83" s="15" t="n"/>
      <c r="D83" s="16" t="n"/>
      <c r="E83" s="17" t="n"/>
      <c r="F83" s="18" t="n"/>
      <c r="G83" s="15" t="n"/>
      <c r="H83" s="19">
        <f>IF($A83="","",SUMIF(tblGunluk[VarlikId],$A83,tblGunluk[DurusSure_dk]))</f>
        <v/>
      </c>
      <c r="I83" s="19">
        <f>IF($A83="","",IFERROR(AVERAGEIF(tblGunluk[VarlikId],$A83,tblGunluk[FormulOee_oran]),0))</f>
        <v/>
      </c>
      <c r="J83" s="19">
        <f>IF($A83="","",SUMIF(tblGunluk[VarlikId],$A83,tblGunluk[UretimAdet_adet]))</f>
        <v/>
      </c>
      <c r="K83" s="19">
        <f>IF($A83="","",MAX(0,MIN(100,odk_kaliteTaban-IF($I83&lt;odk_esikOee,odk_kaliteCeza,0)-COUNTIFS(tblGunluk[VarlikId],$A83,tblGunluk[AlarmBayrak],"ALARM")*odk_kaliteSapma-IF($G83="HAYIR",odk_kaliteCeza,0))))</f>
        <v/>
      </c>
    </row>
    <row r="84">
      <c r="A84" s="15" t="n"/>
      <c r="B84" s="15" t="n"/>
      <c r="C84" s="15" t="n"/>
      <c r="D84" s="16" t="n"/>
      <c r="E84" s="17" t="n"/>
      <c r="F84" s="18" t="n"/>
      <c r="G84" s="15" t="n"/>
      <c r="H84" s="19">
        <f>IF($A84="","",SUMIF(tblGunluk[VarlikId],$A84,tblGunluk[DurusSure_dk]))</f>
        <v/>
      </c>
      <c r="I84" s="19">
        <f>IF($A84="","",IFERROR(AVERAGEIF(tblGunluk[VarlikId],$A84,tblGunluk[FormulOee_oran]),0))</f>
        <v/>
      </c>
      <c r="J84" s="19">
        <f>IF($A84="","",SUMIF(tblGunluk[VarlikId],$A84,tblGunluk[UretimAdet_adet]))</f>
        <v/>
      </c>
      <c r="K84" s="19">
        <f>IF($A84="","",MAX(0,MIN(100,odk_kaliteTaban-IF($I84&lt;odk_esikOee,odk_kaliteCeza,0)-COUNTIFS(tblGunluk[VarlikId],$A84,tblGunluk[AlarmBayrak],"ALARM")*odk_kaliteSapma-IF($G84="HAYIR",odk_kaliteCeza,0))))</f>
        <v/>
      </c>
    </row>
    <row r="85">
      <c r="A85" s="15" t="n"/>
      <c r="B85" s="15" t="n"/>
      <c r="C85" s="15" t="n"/>
      <c r="D85" s="16" t="n"/>
      <c r="E85" s="17" t="n"/>
      <c r="F85" s="18" t="n"/>
      <c r="G85" s="15" t="n"/>
      <c r="H85" s="19">
        <f>IF($A85="","",SUMIF(tblGunluk[VarlikId],$A85,tblGunluk[DurusSure_dk]))</f>
        <v/>
      </c>
      <c r="I85" s="19">
        <f>IF($A85="","",IFERROR(AVERAGEIF(tblGunluk[VarlikId],$A85,tblGunluk[FormulOee_oran]),0))</f>
        <v/>
      </c>
      <c r="J85" s="19">
        <f>IF($A85="","",SUMIF(tblGunluk[VarlikId],$A85,tblGunluk[UretimAdet_adet]))</f>
        <v/>
      </c>
      <c r="K85" s="19">
        <f>IF($A85="","",MAX(0,MIN(100,odk_kaliteTaban-IF($I85&lt;odk_esikOee,odk_kaliteCeza,0)-COUNTIFS(tblGunluk[VarlikId],$A85,tblGunluk[AlarmBayrak],"ALARM")*odk_kaliteSapma-IF($G85="HAYIR",odk_kaliteCeza,0))))</f>
        <v/>
      </c>
    </row>
    <row r="86">
      <c r="A86" s="15" t="n"/>
      <c r="B86" s="15" t="n"/>
      <c r="C86" s="15" t="n"/>
      <c r="D86" s="16" t="n"/>
      <c r="E86" s="17" t="n"/>
      <c r="F86" s="18" t="n"/>
      <c r="G86" s="15" t="n"/>
      <c r="H86" s="19">
        <f>IF($A86="","",SUMIF(tblGunluk[VarlikId],$A86,tblGunluk[DurusSure_dk]))</f>
        <v/>
      </c>
      <c r="I86" s="19">
        <f>IF($A86="","",IFERROR(AVERAGEIF(tblGunluk[VarlikId],$A86,tblGunluk[FormulOee_oran]),0))</f>
        <v/>
      </c>
      <c r="J86" s="19">
        <f>IF($A86="","",SUMIF(tblGunluk[VarlikId],$A86,tblGunluk[UretimAdet_adet]))</f>
        <v/>
      </c>
      <c r="K86" s="19">
        <f>IF($A86="","",MAX(0,MIN(100,odk_kaliteTaban-IF($I86&lt;odk_esikOee,odk_kaliteCeza,0)-COUNTIFS(tblGunluk[VarlikId],$A86,tblGunluk[AlarmBayrak],"ALARM")*odk_kaliteSapma-IF($G86="HAYIR",odk_kaliteCeza,0))))</f>
        <v/>
      </c>
    </row>
    <row r="87">
      <c r="A87" s="15" t="n"/>
      <c r="B87" s="15" t="n"/>
      <c r="C87" s="15" t="n"/>
      <c r="D87" s="16" t="n"/>
      <c r="E87" s="17" t="n"/>
      <c r="F87" s="18" t="n"/>
      <c r="G87" s="15" t="n"/>
      <c r="H87" s="19">
        <f>IF($A87="","",SUMIF(tblGunluk[VarlikId],$A87,tblGunluk[DurusSure_dk]))</f>
        <v/>
      </c>
      <c r="I87" s="19">
        <f>IF($A87="","",IFERROR(AVERAGEIF(tblGunluk[VarlikId],$A87,tblGunluk[FormulOee_oran]),0))</f>
        <v/>
      </c>
      <c r="J87" s="19">
        <f>IF($A87="","",SUMIF(tblGunluk[VarlikId],$A87,tblGunluk[UretimAdet_adet]))</f>
        <v/>
      </c>
      <c r="K87" s="19">
        <f>IF($A87="","",MAX(0,MIN(100,odk_kaliteTaban-IF($I87&lt;odk_esikOee,odk_kaliteCeza,0)-COUNTIFS(tblGunluk[VarlikId],$A87,tblGunluk[AlarmBayrak],"ALARM")*odk_kaliteSapma-IF($G87="HAYIR",odk_kaliteCeza,0))))</f>
        <v/>
      </c>
    </row>
    <row r="88">
      <c r="A88" s="15" t="n"/>
      <c r="B88" s="15" t="n"/>
      <c r="C88" s="15" t="n"/>
      <c r="D88" s="16" t="n"/>
      <c r="E88" s="17" t="n"/>
      <c r="F88" s="18" t="n"/>
      <c r="G88" s="15" t="n"/>
      <c r="H88" s="19">
        <f>IF($A88="","",SUMIF(tblGunluk[VarlikId],$A88,tblGunluk[DurusSure_dk]))</f>
        <v/>
      </c>
      <c r="I88" s="19">
        <f>IF($A88="","",IFERROR(AVERAGEIF(tblGunluk[VarlikId],$A88,tblGunluk[FormulOee_oran]),0))</f>
        <v/>
      </c>
      <c r="J88" s="19">
        <f>IF($A88="","",SUMIF(tblGunluk[VarlikId],$A88,tblGunluk[UretimAdet_adet]))</f>
        <v/>
      </c>
      <c r="K88" s="19">
        <f>IF($A88="","",MAX(0,MIN(100,odk_kaliteTaban-IF($I88&lt;odk_esikOee,odk_kaliteCeza,0)-COUNTIFS(tblGunluk[VarlikId],$A88,tblGunluk[AlarmBayrak],"ALARM")*odk_kaliteSapma-IF($G88="HAYIR",odk_kaliteCeza,0))))</f>
        <v/>
      </c>
    </row>
    <row r="89">
      <c r="A89" s="15" t="n"/>
      <c r="B89" s="15" t="n"/>
      <c r="C89" s="15" t="n"/>
      <c r="D89" s="16" t="n"/>
      <c r="E89" s="17" t="n"/>
      <c r="F89" s="18" t="n"/>
      <c r="G89" s="15" t="n"/>
      <c r="H89" s="19">
        <f>IF($A89="","",SUMIF(tblGunluk[VarlikId],$A89,tblGunluk[DurusSure_dk]))</f>
        <v/>
      </c>
      <c r="I89" s="19">
        <f>IF($A89="","",IFERROR(AVERAGEIF(tblGunluk[VarlikId],$A89,tblGunluk[FormulOee_oran]),0))</f>
        <v/>
      </c>
      <c r="J89" s="19">
        <f>IF($A89="","",SUMIF(tblGunluk[VarlikId],$A89,tblGunluk[UretimAdet_adet]))</f>
        <v/>
      </c>
      <c r="K89" s="19">
        <f>IF($A89="","",MAX(0,MIN(100,odk_kaliteTaban-IF($I89&lt;odk_esikOee,odk_kaliteCeza,0)-COUNTIFS(tblGunluk[VarlikId],$A89,tblGunluk[AlarmBayrak],"ALARM")*odk_kaliteSapma-IF($G89="HAYIR",odk_kaliteCeza,0))))</f>
        <v/>
      </c>
    </row>
    <row r="90">
      <c r="A90" s="15" t="n"/>
      <c r="B90" s="15" t="n"/>
      <c r="C90" s="15" t="n"/>
      <c r="D90" s="16" t="n"/>
      <c r="E90" s="17" t="n"/>
      <c r="F90" s="18" t="n"/>
      <c r="G90" s="15" t="n"/>
      <c r="H90" s="19">
        <f>IF($A90="","",SUMIF(tblGunluk[VarlikId],$A90,tblGunluk[DurusSure_dk]))</f>
        <v/>
      </c>
      <c r="I90" s="19">
        <f>IF($A90="","",IFERROR(AVERAGEIF(tblGunluk[VarlikId],$A90,tblGunluk[FormulOee_oran]),0))</f>
        <v/>
      </c>
      <c r="J90" s="19">
        <f>IF($A90="","",SUMIF(tblGunluk[VarlikId],$A90,tblGunluk[UretimAdet_adet]))</f>
        <v/>
      </c>
      <c r="K90" s="19">
        <f>IF($A90="","",MAX(0,MIN(100,odk_kaliteTaban-IF($I90&lt;odk_esikOee,odk_kaliteCeza,0)-COUNTIFS(tblGunluk[VarlikId],$A90,tblGunluk[AlarmBayrak],"ALARM")*odk_kaliteSapma-IF($G90="HAYIR",odk_kaliteCeza,0))))</f>
        <v/>
      </c>
    </row>
    <row r="91">
      <c r="A91" s="15" t="n"/>
      <c r="B91" s="15" t="n"/>
      <c r="C91" s="15" t="n"/>
      <c r="D91" s="16" t="n"/>
      <c r="E91" s="17" t="n"/>
      <c r="F91" s="18" t="n"/>
      <c r="G91" s="15" t="n"/>
      <c r="H91" s="19">
        <f>IF($A91="","",SUMIF(tblGunluk[VarlikId],$A91,tblGunluk[DurusSure_dk]))</f>
        <v/>
      </c>
      <c r="I91" s="19">
        <f>IF($A91="","",IFERROR(AVERAGEIF(tblGunluk[VarlikId],$A91,tblGunluk[FormulOee_oran]),0))</f>
        <v/>
      </c>
      <c r="J91" s="19">
        <f>IF($A91="","",SUMIF(tblGunluk[VarlikId],$A91,tblGunluk[UretimAdet_adet]))</f>
        <v/>
      </c>
      <c r="K91" s="19">
        <f>IF($A91="","",MAX(0,MIN(100,odk_kaliteTaban-IF($I91&lt;odk_esikOee,odk_kaliteCeza,0)-COUNTIFS(tblGunluk[VarlikId],$A91,tblGunluk[AlarmBayrak],"ALARM")*odk_kaliteSapma-IF($G91="HAYIR",odk_kaliteCeza,0))))</f>
        <v/>
      </c>
    </row>
    <row r="92">
      <c r="A92" s="15" t="n"/>
      <c r="B92" s="15" t="n"/>
      <c r="C92" s="15" t="n"/>
      <c r="D92" s="16" t="n"/>
      <c r="E92" s="17" t="n"/>
      <c r="F92" s="18" t="n"/>
      <c r="G92" s="15" t="n"/>
      <c r="H92" s="19">
        <f>IF($A92="","",SUMIF(tblGunluk[VarlikId],$A92,tblGunluk[DurusSure_dk]))</f>
        <v/>
      </c>
      <c r="I92" s="19">
        <f>IF($A92="","",IFERROR(AVERAGEIF(tblGunluk[VarlikId],$A92,tblGunluk[FormulOee_oran]),0))</f>
        <v/>
      </c>
      <c r="J92" s="19">
        <f>IF($A92="","",SUMIF(tblGunluk[VarlikId],$A92,tblGunluk[UretimAdet_adet]))</f>
        <v/>
      </c>
      <c r="K92" s="19">
        <f>IF($A92="","",MAX(0,MIN(100,odk_kaliteTaban-IF($I92&lt;odk_esikOee,odk_kaliteCeza,0)-COUNTIFS(tblGunluk[VarlikId],$A92,tblGunluk[AlarmBayrak],"ALARM")*odk_kaliteSapma-IF($G92="HAYIR",odk_kaliteCeza,0))))</f>
        <v/>
      </c>
    </row>
    <row r="93">
      <c r="A93" s="15" t="n"/>
      <c r="B93" s="15" t="n"/>
      <c r="C93" s="15" t="n"/>
      <c r="D93" s="16" t="n"/>
      <c r="E93" s="17" t="n"/>
      <c r="F93" s="18" t="n"/>
      <c r="G93" s="15" t="n"/>
      <c r="H93" s="19">
        <f>IF($A93="","",SUMIF(tblGunluk[VarlikId],$A93,tblGunluk[DurusSure_dk]))</f>
        <v/>
      </c>
      <c r="I93" s="19">
        <f>IF($A93="","",IFERROR(AVERAGEIF(tblGunluk[VarlikId],$A93,tblGunluk[FormulOee_oran]),0))</f>
        <v/>
      </c>
      <c r="J93" s="19">
        <f>IF($A93="","",SUMIF(tblGunluk[VarlikId],$A93,tblGunluk[UretimAdet_adet]))</f>
        <v/>
      </c>
      <c r="K93" s="19">
        <f>IF($A93="","",MAX(0,MIN(100,odk_kaliteTaban-IF($I93&lt;odk_esikOee,odk_kaliteCeza,0)-COUNTIFS(tblGunluk[VarlikId],$A93,tblGunluk[AlarmBayrak],"ALARM")*odk_kaliteSapma-IF($G93="HAYIR",odk_kaliteCeza,0))))</f>
        <v/>
      </c>
    </row>
    <row r="94">
      <c r="A94" s="15" t="n"/>
      <c r="B94" s="15" t="n"/>
      <c r="C94" s="15" t="n"/>
      <c r="D94" s="16" t="n"/>
      <c r="E94" s="17" t="n"/>
      <c r="F94" s="18" t="n"/>
      <c r="G94" s="15" t="n"/>
      <c r="H94" s="19">
        <f>IF($A94="","",SUMIF(tblGunluk[VarlikId],$A94,tblGunluk[DurusSure_dk]))</f>
        <v/>
      </c>
      <c r="I94" s="19">
        <f>IF($A94="","",IFERROR(AVERAGEIF(tblGunluk[VarlikId],$A94,tblGunluk[FormulOee_oran]),0))</f>
        <v/>
      </c>
      <c r="J94" s="19">
        <f>IF($A94="","",SUMIF(tblGunluk[VarlikId],$A94,tblGunluk[UretimAdet_adet]))</f>
        <v/>
      </c>
      <c r="K94" s="19">
        <f>IF($A94="","",MAX(0,MIN(100,odk_kaliteTaban-IF($I94&lt;odk_esikOee,odk_kaliteCeza,0)-COUNTIFS(tblGunluk[VarlikId],$A94,tblGunluk[AlarmBayrak],"ALARM")*odk_kaliteSapma-IF($G94="HAYIR",odk_kaliteCeza,0))))</f>
        <v/>
      </c>
    </row>
    <row r="95">
      <c r="A95" s="15" t="n"/>
      <c r="B95" s="15" t="n"/>
      <c r="C95" s="15" t="n"/>
      <c r="D95" s="16" t="n"/>
      <c r="E95" s="17" t="n"/>
      <c r="F95" s="18" t="n"/>
      <c r="G95" s="15" t="n"/>
      <c r="H95" s="19">
        <f>IF($A95="","",SUMIF(tblGunluk[VarlikId],$A95,tblGunluk[DurusSure_dk]))</f>
        <v/>
      </c>
      <c r="I95" s="19">
        <f>IF($A95="","",IFERROR(AVERAGEIF(tblGunluk[VarlikId],$A95,tblGunluk[FormulOee_oran]),0))</f>
        <v/>
      </c>
      <c r="J95" s="19">
        <f>IF($A95="","",SUMIF(tblGunluk[VarlikId],$A95,tblGunluk[UretimAdet_adet]))</f>
        <v/>
      </c>
      <c r="K95" s="19">
        <f>IF($A95="","",MAX(0,MIN(100,odk_kaliteTaban-IF($I95&lt;odk_esikOee,odk_kaliteCeza,0)-COUNTIFS(tblGunluk[VarlikId],$A95,tblGunluk[AlarmBayrak],"ALARM")*odk_kaliteSapma-IF($G95="HAYIR",odk_kaliteCeza,0))))</f>
        <v/>
      </c>
    </row>
    <row r="96">
      <c r="A96" s="15" t="n"/>
      <c r="B96" s="15" t="n"/>
      <c r="C96" s="15" t="n"/>
      <c r="D96" s="16" t="n"/>
      <c r="E96" s="17" t="n"/>
      <c r="F96" s="18" t="n"/>
      <c r="G96" s="15" t="n"/>
      <c r="H96" s="19">
        <f>IF($A96="","",SUMIF(tblGunluk[VarlikId],$A96,tblGunluk[DurusSure_dk]))</f>
        <v/>
      </c>
      <c r="I96" s="19">
        <f>IF($A96="","",IFERROR(AVERAGEIF(tblGunluk[VarlikId],$A96,tblGunluk[FormulOee_oran]),0))</f>
        <v/>
      </c>
      <c r="J96" s="19">
        <f>IF($A96="","",SUMIF(tblGunluk[VarlikId],$A96,tblGunluk[UretimAdet_adet]))</f>
        <v/>
      </c>
      <c r="K96" s="19">
        <f>IF($A96="","",MAX(0,MIN(100,odk_kaliteTaban-IF($I96&lt;odk_esikOee,odk_kaliteCeza,0)-COUNTIFS(tblGunluk[VarlikId],$A96,tblGunluk[AlarmBayrak],"ALARM")*odk_kaliteSapma-IF($G96="HAYIR",odk_kaliteCeza,0))))</f>
        <v/>
      </c>
    </row>
    <row r="97">
      <c r="A97" s="15" t="n"/>
      <c r="B97" s="15" t="n"/>
      <c r="C97" s="15" t="n"/>
      <c r="D97" s="16" t="n"/>
      <c r="E97" s="17" t="n"/>
      <c r="F97" s="18" t="n"/>
      <c r="G97" s="15" t="n"/>
      <c r="H97" s="19">
        <f>IF($A97="","",SUMIF(tblGunluk[VarlikId],$A97,tblGunluk[DurusSure_dk]))</f>
        <v/>
      </c>
      <c r="I97" s="19">
        <f>IF($A97="","",IFERROR(AVERAGEIF(tblGunluk[VarlikId],$A97,tblGunluk[FormulOee_oran]),0))</f>
        <v/>
      </c>
      <c r="J97" s="19">
        <f>IF($A97="","",SUMIF(tblGunluk[VarlikId],$A97,tblGunluk[UretimAdet_adet]))</f>
        <v/>
      </c>
      <c r="K97" s="19">
        <f>IF($A97="","",MAX(0,MIN(100,odk_kaliteTaban-IF($I97&lt;odk_esikOee,odk_kaliteCeza,0)-COUNTIFS(tblGunluk[VarlikId],$A97,tblGunluk[AlarmBayrak],"ALARM")*odk_kaliteSapma-IF($G97="HAYIR",odk_kaliteCeza,0))))</f>
        <v/>
      </c>
    </row>
    <row r="98">
      <c r="A98" s="15" t="n"/>
      <c r="B98" s="15" t="n"/>
      <c r="C98" s="15" t="n"/>
      <c r="D98" s="16" t="n"/>
      <c r="E98" s="17" t="n"/>
      <c r="F98" s="18" t="n"/>
      <c r="G98" s="15" t="n"/>
      <c r="H98" s="19">
        <f>IF($A98="","",SUMIF(tblGunluk[VarlikId],$A98,tblGunluk[DurusSure_dk]))</f>
        <v/>
      </c>
      <c r="I98" s="19">
        <f>IF($A98="","",IFERROR(AVERAGEIF(tblGunluk[VarlikId],$A98,tblGunluk[FormulOee_oran]),0))</f>
        <v/>
      </c>
      <c r="J98" s="19">
        <f>IF($A98="","",SUMIF(tblGunluk[VarlikId],$A98,tblGunluk[UretimAdet_adet]))</f>
        <v/>
      </c>
      <c r="K98" s="19">
        <f>IF($A98="","",MAX(0,MIN(100,odk_kaliteTaban-IF($I98&lt;odk_esikOee,odk_kaliteCeza,0)-COUNTIFS(tblGunluk[VarlikId],$A98,tblGunluk[AlarmBayrak],"ALARM")*odk_kaliteSapma-IF($G98="HAYIR",odk_kaliteCeza,0))))</f>
        <v/>
      </c>
    </row>
    <row r="99">
      <c r="A99" s="15" t="n"/>
      <c r="B99" s="15" t="n"/>
      <c r="C99" s="15" t="n"/>
      <c r="D99" s="16" t="n"/>
      <c r="E99" s="17" t="n"/>
      <c r="F99" s="18" t="n"/>
      <c r="G99" s="15" t="n"/>
      <c r="H99" s="19">
        <f>IF($A99="","",SUMIF(tblGunluk[VarlikId],$A99,tblGunluk[DurusSure_dk]))</f>
        <v/>
      </c>
      <c r="I99" s="19">
        <f>IF($A99="","",IFERROR(AVERAGEIF(tblGunluk[VarlikId],$A99,tblGunluk[FormulOee_oran]),0))</f>
        <v/>
      </c>
      <c r="J99" s="19">
        <f>IF($A99="","",SUMIF(tblGunluk[VarlikId],$A99,tblGunluk[UretimAdet_adet]))</f>
        <v/>
      </c>
      <c r="K99" s="19">
        <f>IF($A99="","",MAX(0,MIN(100,odk_kaliteTaban-IF($I99&lt;odk_esikOee,odk_kaliteCeza,0)-COUNTIFS(tblGunluk[VarlikId],$A99,tblGunluk[AlarmBayrak],"ALARM")*odk_kaliteSapma-IF($G99="HAYIR",odk_kaliteCeza,0))))</f>
        <v/>
      </c>
    </row>
    <row r="100">
      <c r="A100" s="15" t="n"/>
      <c r="B100" s="15" t="n"/>
      <c r="C100" s="15" t="n"/>
      <c r="D100" s="16" t="n"/>
      <c r="E100" s="17" t="n"/>
      <c r="F100" s="18" t="n"/>
      <c r="G100" s="15" t="n"/>
      <c r="H100" s="19">
        <f>IF($A100="","",SUMIF(tblGunluk[VarlikId],$A100,tblGunluk[DurusSure_dk]))</f>
        <v/>
      </c>
      <c r="I100" s="19">
        <f>IF($A100="","",IFERROR(AVERAGEIF(tblGunluk[VarlikId],$A100,tblGunluk[FormulOee_oran]),0))</f>
        <v/>
      </c>
      <c r="J100" s="19">
        <f>IF($A100="","",SUMIF(tblGunluk[VarlikId],$A100,tblGunluk[UretimAdet_adet]))</f>
        <v/>
      </c>
      <c r="K100" s="19">
        <f>IF($A100="","",MAX(0,MIN(100,odk_kaliteTaban-IF($I100&lt;odk_esikOee,odk_kaliteCeza,0)-COUNTIFS(tblGunluk[VarlikId],$A100,tblGunluk[AlarmBayrak],"ALARM")*odk_kaliteSapma-IF($G100="HAYIR",odk_kaliteCeza,0))))</f>
        <v/>
      </c>
    </row>
    <row r="101">
      <c r="A101" s="15" t="n"/>
      <c r="B101" s="15" t="n"/>
      <c r="C101" s="15" t="n"/>
      <c r="D101" s="16" t="n"/>
      <c r="E101" s="17" t="n"/>
      <c r="F101" s="18" t="n"/>
      <c r="G101" s="15" t="n"/>
      <c r="H101" s="19">
        <f>IF($A101="","",SUMIF(tblGunluk[VarlikId],$A101,tblGunluk[DurusSure_dk]))</f>
        <v/>
      </c>
      <c r="I101" s="19">
        <f>IF($A101="","",IFERROR(AVERAGEIF(tblGunluk[VarlikId],$A101,tblGunluk[FormulOee_oran]),0))</f>
        <v/>
      </c>
      <c r="J101" s="19">
        <f>IF($A101="","",SUMIF(tblGunluk[VarlikId],$A101,tblGunluk[UretimAdet_adet]))</f>
        <v/>
      </c>
      <c r="K101" s="19">
        <f>IF($A101="","",MAX(0,MIN(100,odk_kaliteTaban-IF($I101&lt;odk_esikOee,odk_kaliteCeza,0)-COUNTIFS(tblGunluk[VarlikId],$A101,tblGunluk[AlarmBayrak],"ALARM")*odk_kaliteSapma-IF($G101="HAYIR",odk_kaliteCeza,0))))</f>
        <v/>
      </c>
    </row>
    <row r="102">
      <c r="A102" s="15" t="n"/>
      <c r="B102" s="15" t="n"/>
      <c r="C102" s="15" t="n"/>
      <c r="D102" s="16" t="n"/>
      <c r="E102" s="17" t="n"/>
      <c r="F102" s="18" t="n"/>
      <c r="G102" s="15" t="n"/>
      <c r="H102" s="19">
        <f>IF($A102="","",SUMIF(tblGunluk[VarlikId],$A102,tblGunluk[DurusSure_dk]))</f>
        <v/>
      </c>
      <c r="I102" s="19">
        <f>IF($A102="","",IFERROR(AVERAGEIF(tblGunluk[VarlikId],$A102,tblGunluk[FormulOee_oran]),0))</f>
        <v/>
      </c>
      <c r="J102" s="19">
        <f>IF($A102="","",SUMIF(tblGunluk[VarlikId],$A102,tblGunluk[UretimAdet_adet]))</f>
        <v/>
      </c>
      <c r="K102" s="19">
        <f>IF($A102="","",MAX(0,MIN(100,odk_kaliteTaban-IF($I102&lt;odk_esikOee,odk_kaliteCeza,0)-COUNTIFS(tblGunluk[VarlikId],$A102,tblGunluk[AlarmBayrak],"ALARM")*odk_kaliteSapma-IF($G102="HAYIR",odk_kaliteCeza,0))))</f>
        <v/>
      </c>
    </row>
    <row r="103">
      <c r="A103" s="15" t="n"/>
      <c r="B103" s="15" t="n"/>
      <c r="C103" s="15" t="n"/>
      <c r="D103" s="16" t="n"/>
      <c r="E103" s="17" t="n"/>
      <c r="F103" s="18" t="n"/>
      <c r="G103" s="15" t="n"/>
      <c r="H103" s="19">
        <f>IF($A103="","",SUMIF(tblGunluk[VarlikId],$A103,tblGunluk[DurusSure_dk]))</f>
        <v/>
      </c>
      <c r="I103" s="19">
        <f>IF($A103="","",IFERROR(AVERAGEIF(tblGunluk[VarlikId],$A103,tblGunluk[FormulOee_oran]),0))</f>
        <v/>
      </c>
      <c r="J103" s="19">
        <f>IF($A103="","",SUMIF(tblGunluk[VarlikId],$A103,tblGunluk[UretimAdet_adet]))</f>
        <v/>
      </c>
      <c r="K103" s="19">
        <f>IF($A103="","",MAX(0,MIN(100,odk_kaliteTaban-IF($I103&lt;odk_esikOee,odk_kaliteCeza,0)-COUNTIFS(tblGunluk[VarlikId],$A103,tblGunluk[AlarmBayrak],"ALARM")*odk_kaliteSapma-IF($G103="HAYIR",odk_kaliteCeza,0))))</f>
        <v/>
      </c>
    </row>
    <row r="104">
      <c r="A104" s="15" t="n"/>
      <c r="B104" s="15" t="n"/>
      <c r="C104" s="15" t="n"/>
      <c r="D104" s="16" t="n"/>
      <c r="E104" s="17" t="n"/>
      <c r="F104" s="18" t="n"/>
      <c r="G104" s="15" t="n"/>
      <c r="H104" s="19">
        <f>IF($A104="","",SUMIF(tblGunluk[VarlikId],$A104,tblGunluk[DurusSure_dk]))</f>
        <v/>
      </c>
      <c r="I104" s="19">
        <f>IF($A104="","",IFERROR(AVERAGEIF(tblGunluk[VarlikId],$A104,tblGunluk[FormulOee_oran]),0))</f>
        <v/>
      </c>
      <c r="J104" s="19">
        <f>IF($A104="","",SUMIF(tblGunluk[VarlikId],$A104,tblGunluk[UretimAdet_adet]))</f>
        <v/>
      </c>
      <c r="K104" s="19">
        <f>IF($A104="","",MAX(0,MIN(100,odk_kaliteTaban-IF($I104&lt;odk_esikOee,odk_kaliteCeza,0)-COUNTIFS(tblGunluk[VarlikId],$A104,tblGunluk[AlarmBayrak],"ALARM")*odk_kaliteSapma-IF($G104="HAYIR",odk_kaliteCeza,0))))</f>
        <v/>
      </c>
    </row>
    <row r="105">
      <c r="A105" s="15" t="n"/>
      <c r="B105" s="15" t="n"/>
      <c r="C105" s="15" t="n"/>
      <c r="D105" s="16" t="n"/>
      <c r="E105" s="17" t="n"/>
      <c r="F105" s="18" t="n"/>
      <c r="G105" s="15" t="n"/>
      <c r="H105" s="19">
        <f>IF($A105="","",SUMIF(tblGunluk[VarlikId],$A105,tblGunluk[DurusSure_dk]))</f>
        <v/>
      </c>
      <c r="I105" s="19">
        <f>IF($A105="","",IFERROR(AVERAGEIF(tblGunluk[VarlikId],$A105,tblGunluk[FormulOee_oran]),0))</f>
        <v/>
      </c>
      <c r="J105" s="19">
        <f>IF($A105="","",SUMIF(tblGunluk[VarlikId],$A105,tblGunluk[UretimAdet_adet]))</f>
        <v/>
      </c>
      <c r="K105" s="19">
        <f>IF($A105="","",MAX(0,MIN(100,odk_kaliteTaban-IF($I105&lt;odk_esikOee,odk_kaliteCeza,0)-COUNTIFS(tblGunluk[VarlikId],$A105,tblGunluk[AlarmBayrak],"ALARM")*odk_kaliteSapma-IF($G105="HAYIR",odk_kaliteCeza,0))))</f>
        <v/>
      </c>
    </row>
    <row r="106">
      <c r="A106" s="15" t="n"/>
      <c r="B106" s="15" t="n"/>
      <c r="C106" s="15" t="n"/>
      <c r="D106" s="16" t="n"/>
      <c r="E106" s="17" t="n"/>
      <c r="F106" s="18" t="n"/>
      <c r="G106" s="15" t="n"/>
      <c r="H106" s="19">
        <f>IF($A106="","",SUMIF(tblGunluk[VarlikId],$A106,tblGunluk[DurusSure_dk]))</f>
        <v/>
      </c>
      <c r="I106" s="19">
        <f>IF($A106="","",IFERROR(AVERAGEIF(tblGunluk[VarlikId],$A106,tblGunluk[FormulOee_oran]),0))</f>
        <v/>
      </c>
      <c r="J106" s="19">
        <f>IF($A106="","",SUMIF(tblGunluk[VarlikId],$A106,tblGunluk[UretimAdet_adet]))</f>
        <v/>
      </c>
      <c r="K106" s="19">
        <f>IF($A106="","",MAX(0,MIN(100,odk_kaliteTaban-IF($I106&lt;odk_esikOee,odk_kaliteCeza,0)-COUNTIFS(tblGunluk[VarlikId],$A106,tblGunluk[AlarmBayrak],"ALARM")*odk_kaliteSapma-IF($G106="HAYIR",odk_kaliteCeza,0))))</f>
        <v/>
      </c>
    </row>
    <row r="107">
      <c r="A107" s="15" t="n"/>
      <c r="B107" s="15" t="n"/>
      <c r="C107" s="15" t="n"/>
      <c r="D107" s="16" t="n"/>
      <c r="E107" s="17" t="n"/>
      <c r="F107" s="18" t="n"/>
      <c r="G107" s="15" t="n"/>
      <c r="H107" s="19">
        <f>IF($A107="","",SUMIF(tblGunluk[VarlikId],$A107,tblGunluk[DurusSure_dk]))</f>
        <v/>
      </c>
      <c r="I107" s="19">
        <f>IF($A107="","",IFERROR(AVERAGEIF(tblGunluk[VarlikId],$A107,tblGunluk[FormulOee_oran]),0))</f>
        <v/>
      </c>
      <c r="J107" s="19">
        <f>IF($A107="","",SUMIF(tblGunluk[VarlikId],$A107,tblGunluk[UretimAdet_adet]))</f>
        <v/>
      </c>
      <c r="K107" s="19">
        <f>IF($A107="","",MAX(0,MIN(100,odk_kaliteTaban-IF($I107&lt;odk_esikOee,odk_kaliteCeza,0)-COUNTIFS(tblGunluk[VarlikId],$A107,tblGunluk[AlarmBayrak],"ALARM")*odk_kaliteSapma-IF($G107="HAYIR",odk_kaliteCeza,0))))</f>
        <v/>
      </c>
    </row>
    <row r="108">
      <c r="A108" s="15" t="n"/>
      <c r="B108" s="15" t="n"/>
      <c r="C108" s="15" t="n"/>
      <c r="D108" s="16" t="n"/>
      <c r="E108" s="17" t="n"/>
      <c r="F108" s="18" t="n"/>
      <c r="G108" s="15" t="n"/>
      <c r="H108" s="19">
        <f>IF($A108="","",SUMIF(tblGunluk[VarlikId],$A108,tblGunluk[DurusSure_dk]))</f>
        <v/>
      </c>
      <c r="I108" s="19">
        <f>IF($A108="","",IFERROR(AVERAGEIF(tblGunluk[VarlikId],$A108,tblGunluk[FormulOee_oran]),0))</f>
        <v/>
      </c>
      <c r="J108" s="19">
        <f>IF($A108="","",SUMIF(tblGunluk[VarlikId],$A108,tblGunluk[UretimAdet_adet]))</f>
        <v/>
      </c>
      <c r="K108" s="19">
        <f>IF($A108="","",MAX(0,MIN(100,odk_kaliteTaban-IF($I108&lt;odk_esikOee,odk_kaliteCeza,0)-COUNTIFS(tblGunluk[VarlikId],$A108,tblGunluk[AlarmBayrak],"ALARM")*odk_kaliteSapma-IF($G108="HAYIR",odk_kaliteCeza,0))))</f>
        <v/>
      </c>
    </row>
    <row r="109">
      <c r="A109" s="15" t="n"/>
      <c r="B109" s="15" t="n"/>
      <c r="C109" s="15" t="n"/>
      <c r="D109" s="16" t="n"/>
      <c r="E109" s="17" t="n"/>
      <c r="F109" s="18" t="n"/>
      <c r="G109" s="15" t="n"/>
      <c r="H109" s="19">
        <f>IF($A109="","",SUMIF(tblGunluk[VarlikId],$A109,tblGunluk[DurusSure_dk]))</f>
        <v/>
      </c>
      <c r="I109" s="19">
        <f>IF($A109="","",IFERROR(AVERAGEIF(tblGunluk[VarlikId],$A109,tblGunluk[FormulOee_oran]),0))</f>
        <v/>
      </c>
      <c r="J109" s="19">
        <f>IF($A109="","",SUMIF(tblGunluk[VarlikId],$A109,tblGunluk[UretimAdet_adet]))</f>
        <v/>
      </c>
      <c r="K109" s="19">
        <f>IF($A109="","",MAX(0,MIN(100,odk_kaliteTaban-IF($I109&lt;odk_esikOee,odk_kaliteCeza,0)-COUNTIFS(tblGunluk[VarlikId],$A109,tblGunluk[AlarmBayrak],"ALARM")*odk_kaliteSapma-IF($G109="HAYIR",odk_kaliteCeza,0))))</f>
        <v/>
      </c>
    </row>
    <row r="110">
      <c r="A110" s="15" t="n"/>
      <c r="B110" s="15" t="n"/>
      <c r="C110" s="15" t="n"/>
      <c r="D110" s="16" t="n"/>
      <c r="E110" s="17" t="n"/>
      <c r="F110" s="18" t="n"/>
      <c r="G110" s="15" t="n"/>
      <c r="H110" s="19">
        <f>IF($A110="","",SUMIF(tblGunluk[VarlikId],$A110,tblGunluk[DurusSure_dk]))</f>
        <v/>
      </c>
      <c r="I110" s="19">
        <f>IF($A110="","",IFERROR(AVERAGEIF(tblGunluk[VarlikId],$A110,tblGunluk[FormulOee_oran]),0))</f>
        <v/>
      </c>
      <c r="J110" s="19">
        <f>IF($A110="","",SUMIF(tblGunluk[VarlikId],$A110,tblGunluk[UretimAdet_adet]))</f>
        <v/>
      </c>
      <c r="K110" s="19">
        <f>IF($A110="","",MAX(0,MIN(100,odk_kaliteTaban-IF($I110&lt;odk_esikOee,odk_kaliteCeza,0)-COUNTIFS(tblGunluk[VarlikId],$A110,tblGunluk[AlarmBayrak],"ALARM")*odk_kaliteSapma-IF($G110="HAYIR",odk_kaliteCeza,0))))</f>
        <v/>
      </c>
    </row>
    <row r="111">
      <c r="A111" s="15" t="n"/>
      <c r="B111" s="15" t="n"/>
      <c r="C111" s="15" t="n"/>
      <c r="D111" s="16" t="n"/>
      <c r="E111" s="17" t="n"/>
      <c r="F111" s="18" t="n"/>
      <c r="G111" s="15" t="n"/>
      <c r="H111" s="19">
        <f>IF($A111="","",SUMIF(tblGunluk[VarlikId],$A111,tblGunluk[DurusSure_dk]))</f>
        <v/>
      </c>
      <c r="I111" s="19">
        <f>IF($A111="","",IFERROR(AVERAGEIF(tblGunluk[VarlikId],$A111,tblGunluk[FormulOee_oran]),0))</f>
        <v/>
      </c>
      <c r="J111" s="19">
        <f>IF($A111="","",SUMIF(tblGunluk[VarlikId],$A111,tblGunluk[UretimAdet_adet]))</f>
        <v/>
      </c>
      <c r="K111" s="19">
        <f>IF($A111="","",MAX(0,MIN(100,odk_kaliteTaban-IF($I111&lt;odk_esikOee,odk_kaliteCeza,0)-COUNTIFS(tblGunluk[VarlikId],$A111,tblGunluk[AlarmBayrak],"ALARM")*odk_kaliteSapma-IF($G111="HAYIR",odk_kaliteCeza,0))))</f>
        <v/>
      </c>
    </row>
    <row r="112">
      <c r="A112" s="15" t="n"/>
      <c r="B112" s="15" t="n"/>
      <c r="C112" s="15" t="n"/>
      <c r="D112" s="16" t="n"/>
      <c r="E112" s="17" t="n"/>
      <c r="F112" s="18" t="n"/>
      <c r="G112" s="15" t="n"/>
      <c r="H112" s="19">
        <f>IF($A112="","",SUMIF(tblGunluk[VarlikId],$A112,tblGunluk[DurusSure_dk]))</f>
        <v/>
      </c>
      <c r="I112" s="19">
        <f>IF($A112="","",IFERROR(AVERAGEIF(tblGunluk[VarlikId],$A112,tblGunluk[FormulOee_oran]),0))</f>
        <v/>
      </c>
      <c r="J112" s="19">
        <f>IF($A112="","",SUMIF(tblGunluk[VarlikId],$A112,tblGunluk[UretimAdet_adet]))</f>
        <v/>
      </c>
      <c r="K112" s="19">
        <f>IF($A112="","",MAX(0,MIN(100,odk_kaliteTaban-IF($I112&lt;odk_esikOee,odk_kaliteCeza,0)-COUNTIFS(tblGunluk[VarlikId],$A112,tblGunluk[AlarmBayrak],"ALARM")*odk_kaliteSapma-IF($G112="HAYIR",odk_kaliteCeza,0))))</f>
        <v/>
      </c>
    </row>
    <row r="113">
      <c r="A113" s="15" t="n"/>
      <c r="B113" s="15" t="n"/>
      <c r="C113" s="15" t="n"/>
      <c r="D113" s="16" t="n"/>
      <c r="E113" s="17" t="n"/>
      <c r="F113" s="18" t="n"/>
      <c r="G113" s="15" t="n"/>
      <c r="H113" s="19">
        <f>IF($A113="","",SUMIF(tblGunluk[VarlikId],$A113,tblGunluk[DurusSure_dk]))</f>
        <v/>
      </c>
      <c r="I113" s="19">
        <f>IF($A113="","",IFERROR(AVERAGEIF(tblGunluk[VarlikId],$A113,tblGunluk[FormulOee_oran]),0))</f>
        <v/>
      </c>
      <c r="J113" s="19">
        <f>IF($A113="","",SUMIF(tblGunluk[VarlikId],$A113,tblGunluk[UretimAdet_adet]))</f>
        <v/>
      </c>
      <c r="K113" s="19">
        <f>IF($A113="","",MAX(0,MIN(100,odk_kaliteTaban-IF($I113&lt;odk_esikOee,odk_kaliteCeza,0)-COUNTIFS(tblGunluk[VarlikId],$A113,tblGunluk[AlarmBayrak],"ALARM")*odk_kaliteSapma-IF($G113="HAYIR",odk_kaliteCeza,0))))</f>
        <v/>
      </c>
    </row>
    <row r="114">
      <c r="A114" s="15" t="n"/>
      <c r="B114" s="15" t="n"/>
      <c r="C114" s="15" t="n"/>
      <c r="D114" s="16" t="n"/>
      <c r="E114" s="17" t="n"/>
      <c r="F114" s="18" t="n"/>
      <c r="G114" s="15" t="n"/>
      <c r="H114" s="19">
        <f>IF($A114="","",SUMIF(tblGunluk[VarlikId],$A114,tblGunluk[DurusSure_dk]))</f>
        <v/>
      </c>
      <c r="I114" s="19">
        <f>IF($A114="","",IFERROR(AVERAGEIF(tblGunluk[VarlikId],$A114,tblGunluk[FormulOee_oran]),0))</f>
        <v/>
      </c>
      <c r="J114" s="19">
        <f>IF($A114="","",SUMIF(tblGunluk[VarlikId],$A114,tblGunluk[UretimAdet_adet]))</f>
        <v/>
      </c>
      <c r="K114" s="19">
        <f>IF($A114="","",MAX(0,MIN(100,odk_kaliteTaban-IF($I114&lt;odk_esikOee,odk_kaliteCeza,0)-COUNTIFS(tblGunluk[VarlikId],$A114,tblGunluk[AlarmBayrak],"ALARM")*odk_kaliteSapma-IF($G114="HAYIR",odk_kaliteCeza,0))))</f>
        <v/>
      </c>
    </row>
    <row r="115">
      <c r="A115" s="15" t="n"/>
      <c r="B115" s="15" t="n"/>
      <c r="C115" s="15" t="n"/>
      <c r="D115" s="16" t="n"/>
      <c r="E115" s="17" t="n"/>
      <c r="F115" s="18" t="n"/>
      <c r="G115" s="15" t="n"/>
      <c r="H115" s="19">
        <f>IF($A115="","",SUMIF(tblGunluk[VarlikId],$A115,tblGunluk[DurusSure_dk]))</f>
        <v/>
      </c>
      <c r="I115" s="19">
        <f>IF($A115="","",IFERROR(AVERAGEIF(tblGunluk[VarlikId],$A115,tblGunluk[FormulOee_oran]),0))</f>
        <v/>
      </c>
      <c r="J115" s="19">
        <f>IF($A115="","",SUMIF(tblGunluk[VarlikId],$A115,tblGunluk[UretimAdet_adet]))</f>
        <v/>
      </c>
      <c r="K115" s="19">
        <f>IF($A115="","",MAX(0,MIN(100,odk_kaliteTaban-IF($I115&lt;odk_esikOee,odk_kaliteCeza,0)-COUNTIFS(tblGunluk[VarlikId],$A115,tblGunluk[AlarmBayrak],"ALARM")*odk_kaliteSapma-IF($G115="HAYIR",odk_kaliteCeza,0))))</f>
        <v/>
      </c>
    </row>
    <row r="116">
      <c r="A116" s="15" t="n"/>
      <c r="B116" s="15" t="n"/>
      <c r="C116" s="15" t="n"/>
      <c r="D116" s="16" t="n"/>
      <c r="E116" s="17" t="n"/>
      <c r="F116" s="18" t="n"/>
      <c r="G116" s="15" t="n"/>
      <c r="H116" s="19">
        <f>IF($A116="","",SUMIF(tblGunluk[VarlikId],$A116,tblGunluk[DurusSure_dk]))</f>
        <v/>
      </c>
      <c r="I116" s="19">
        <f>IF($A116="","",IFERROR(AVERAGEIF(tblGunluk[VarlikId],$A116,tblGunluk[FormulOee_oran]),0))</f>
        <v/>
      </c>
      <c r="J116" s="19">
        <f>IF($A116="","",SUMIF(tblGunluk[VarlikId],$A116,tblGunluk[UretimAdet_adet]))</f>
        <v/>
      </c>
      <c r="K116" s="19">
        <f>IF($A116="","",MAX(0,MIN(100,odk_kaliteTaban-IF($I116&lt;odk_esikOee,odk_kaliteCeza,0)-COUNTIFS(tblGunluk[VarlikId],$A116,tblGunluk[AlarmBayrak],"ALARM")*odk_kaliteSapma-IF($G116="HAYIR",odk_kaliteCeza,0))))</f>
        <v/>
      </c>
    </row>
    <row r="117">
      <c r="A117" s="15" t="n"/>
      <c r="B117" s="15" t="n"/>
      <c r="C117" s="15" t="n"/>
      <c r="D117" s="16" t="n"/>
      <c r="E117" s="17" t="n"/>
      <c r="F117" s="18" t="n"/>
      <c r="G117" s="15" t="n"/>
      <c r="H117" s="19">
        <f>IF($A117="","",SUMIF(tblGunluk[VarlikId],$A117,tblGunluk[DurusSure_dk]))</f>
        <v/>
      </c>
      <c r="I117" s="19">
        <f>IF($A117="","",IFERROR(AVERAGEIF(tblGunluk[VarlikId],$A117,tblGunluk[FormulOee_oran]),0))</f>
        <v/>
      </c>
      <c r="J117" s="19">
        <f>IF($A117="","",SUMIF(tblGunluk[VarlikId],$A117,tblGunluk[UretimAdet_adet]))</f>
        <v/>
      </c>
      <c r="K117" s="19">
        <f>IF($A117="","",MAX(0,MIN(100,odk_kaliteTaban-IF($I117&lt;odk_esikOee,odk_kaliteCeza,0)-COUNTIFS(tblGunluk[VarlikId],$A117,tblGunluk[AlarmBayrak],"ALARM")*odk_kaliteSapma-IF($G117="HAYIR",odk_kaliteCeza,0))))</f>
        <v/>
      </c>
    </row>
    <row r="118">
      <c r="A118" s="15" t="n"/>
      <c r="B118" s="15" t="n"/>
      <c r="C118" s="15" t="n"/>
      <c r="D118" s="16" t="n"/>
      <c r="E118" s="17" t="n"/>
      <c r="F118" s="18" t="n"/>
      <c r="G118" s="15" t="n"/>
      <c r="H118" s="19">
        <f>IF($A118="","",SUMIF(tblGunluk[VarlikId],$A118,tblGunluk[DurusSure_dk]))</f>
        <v/>
      </c>
      <c r="I118" s="19">
        <f>IF($A118="","",IFERROR(AVERAGEIF(tblGunluk[VarlikId],$A118,tblGunluk[FormulOee_oran]),0))</f>
        <v/>
      </c>
      <c r="J118" s="19">
        <f>IF($A118="","",SUMIF(tblGunluk[VarlikId],$A118,tblGunluk[UretimAdet_adet]))</f>
        <v/>
      </c>
      <c r="K118" s="19">
        <f>IF($A118="","",MAX(0,MIN(100,odk_kaliteTaban-IF($I118&lt;odk_esikOee,odk_kaliteCeza,0)-COUNTIFS(tblGunluk[VarlikId],$A118,tblGunluk[AlarmBayrak],"ALARM")*odk_kaliteSapma-IF($G118="HAYIR",odk_kaliteCeza,0))))</f>
        <v/>
      </c>
    </row>
    <row r="119">
      <c r="A119" s="15" t="n"/>
      <c r="B119" s="15" t="n"/>
      <c r="C119" s="15" t="n"/>
      <c r="D119" s="16" t="n"/>
      <c r="E119" s="17" t="n"/>
      <c r="F119" s="18" t="n"/>
      <c r="G119" s="15" t="n"/>
      <c r="H119" s="19">
        <f>IF($A119="","",SUMIF(tblGunluk[VarlikId],$A119,tblGunluk[DurusSure_dk]))</f>
        <v/>
      </c>
      <c r="I119" s="19">
        <f>IF($A119="","",IFERROR(AVERAGEIF(tblGunluk[VarlikId],$A119,tblGunluk[FormulOee_oran]),0))</f>
        <v/>
      </c>
      <c r="J119" s="19">
        <f>IF($A119="","",SUMIF(tblGunluk[VarlikId],$A119,tblGunluk[UretimAdet_adet]))</f>
        <v/>
      </c>
      <c r="K119" s="19">
        <f>IF($A119="","",MAX(0,MIN(100,odk_kaliteTaban-IF($I119&lt;odk_esikOee,odk_kaliteCeza,0)-COUNTIFS(tblGunluk[VarlikId],$A119,tblGunluk[AlarmBayrak],"ALARM")*odk_kaliteSapma-IF($G119="HAYIR",odk_kaliteCeza,0))))</f>
        <v/>
      </c>
    </row>
    <row r="120">
      <c r="A120" s="15" t="n"/>
      <c r="B120" s="15" t="n"/>
      <c r="C120" s="15" t="n"/>
      <c r="D120" s="16" t="n"/>
      <c r="E120" s="17" t="n"/>
      <c r="F120" s="18" t="n"/>
      <c r="G120" s="15" t="n"/>
      <c r="H120" s="19">
        <f>IF($A120="","",SUMIF(tblGunluk[VarlikId],$A120,tblGunluk[DurusSure_dk]))</f>
        <v/>
      </c>
      <c r="I120" s="19">
        <f>IF($A120="","",IFERROR(AVERAGEIF(tblGunluk[VarlikId],$A120,tblGunluk[FormulOee_oran]),0))</f>
        <v/>
      </c>
      <c r="J120" s="19">
        <f>IF($A120="","",SUMIF(tblGunluk[VarlikId],$A120,tblGunluk[UretimAdet_adet]))</f>
        <v/>
      </c>
      <c r="K120" s="19">
        <f>IF($A120="","",MAX(0,MIN(100,odk_kaliteTaban-IF($I120&lt;odk_esikOee,odk_kaliteCeza,0)-COUNTIFS(tblGunluk[VarlikId],$A120,tblGunluk[AlarmBayrak],"ALARM")*odk_kaliteSapma-IF($G120="HAYIR",odk_kaliteCeza,0))))</f>
        <v/>
      </c>
    </row>
    <row r="121">
      <c r="A121" s="15" t="n"/>
      <c r="B121" s="15" t="n"/>
      <c r="C121" s="15" t="n"/>
      <c r="D121" s="16" t="n"/>
      <c r="E121" s="17" t="n"/>
      <c r="F121" s="18" t="n"/>
      <c r="G121" s="15" t="n"/>
      <c r="H121" s="19">
        <f>IF($A121="","",SUMIF(tblGunluk[VarlikId],$A121,tblGunluk[DurusSure_dk]))</f>
        <v/>
      </c>
      <c r="I121" s="19">
        <f>IF($A121="","",IFERROR(AVERAGEIF(tblGunluk[VarlikId],$A121,tblGunluk[FormulOee_oran]),0))</f>
        <v/>
      </c>
      <c r="J121" s="19">
        <f>IF($A121="","",SUMIF(tblGunluk[VarlikId],$A121,tblGunluk[UretimAdet_adet]))</f>
        <v/>
      </c>
      <c r="K121" s="19">
        <f>IF($A121="","",MAX(0,MIN(100,odk_kaliteTaban-IF($I121&lt;odk_esikOee,odk_kaliteCeza,0)-COUNTIFS(tblGunluk[VarlikId],$A121,tblGunluk[AlarmBayrak],"ALARM")*odk_kaliteSapma-IF($G121="HAYIR",odk_kaliteCeza,0))))</f>
        <v/>
      </c>
    </row>
    <row r="122">
      <c r="A122" s="15" t="n"/>
      <c r="B122" s="15" t="n"/>
      <c r="C122" s="15" t="n"/>
      <c r="D122" s="16" t="n"/>
      <c r="E122" s="17" t="n"/>
      <c r="F122" s="18" t="n"/>
      <c r="G122" s="15" t="n"/>
      <c r="H122" s="19">
        <f>IF($A122="","",SUMIF(tblGunluk[VarlikId],$A122,tblGunluk[DurusSure_dk]))</f>
        <v/>
      </c>
      <c r="I122" s="19">
        <f>IF($A122="","",IFERROR(AVERAGEIF(tblGunluk[VarlikId],$A122,tblGunluk[FormulOee_oran]),0))</f>
        <v/>
      </c>
      <c r="J122" s="19">
        <f>IF($A122="","",SUMIF(tblGunluk[VarlikId],$A122,tblGunluk[UretimAdet_adet]))</f>
        <v/>
      </c>
      <c r="K122" s="19">
        <f>IF($A122="","",MAX(0,MIN(100,odk_kaliteTaban-IF($I122&lt;odk_esikOee,odk_kaliteCeza,0)-COUNTIFS(tblGunluk[VarlikId],$A122,tblGunluk[AlarmBayrak],"ALARM")*odk_kaliteSapma-IF($G122="HAYIR",odk_kaliteCeza,0))))</f>
        <v/>
      </c>
    </row>
    <row r="123">
      <c r="A123" s="15" t="n"/>
      <c r="B123" s="15" t="n"/>
      <c r="C123" s="15" t="n"/>
      <c r="D123" s="16" t="n"/>
      <c r="E123" s="17" t="n"/>
      <c r="F123" s="18" t="n"/>
      <c r="G123" s="15" t="n"/>
      <c r="H123" s="19">
        <f>IF($A123="","",SUMIF(tblGunluk[VarlikId],$A123,tblGunluk[DurusSure_dk]))</f>
        <v/>
      </c>
      <c r="I123" s="19">
        <f>IF($A123="","",IFERROR(AVERAGEIF(tblGunluk[VarlikId],$A123,tblGunluk[FormulOee_oran]),0))</f>
        <v/>
      </c>
      <c r="J123" s="19">
        <f>IF($A123="","",SUMIF(tblGunluk[VarlikId],$A123,tblGunluk[UretimAdet_adet]))</f>
        <v/>
      </c>
      <c r="K123" s="19">
        <f>IF($A123="","",MAX(0,MIN(100,odk_kaliteTaban-IF($I123&lt;odk_esikOee,odk_kaliteCeza,0)-COUNTIFS(tblGunluk[VarlikId],$A123,tblGunluk[AlarmBayrak],"ALARM")*odk_kaliteSapma-IF($G123="HAYIR",odk_kaliteCeza,0))))</f>
        <v/>
      </c>
    </row>
    <row r="124">
      <c r="A124" s="15" t="n"/>
      <c r="B124" s="15" t="n"/>
      <c r="C124" s="15" t="n"/>
      <c r="D124" s="16" t="n"/>
      <c r="E124" s="17" t="n"/>
      <c r="F124" s="18" t="n"/>
      <c r="G124" s="15" t="n"/>
      <c r="H124" s="19">
        <f>IF($A124="","",SUMIF(tblGunluk[VarlikId],$A124,tblGunluk[DurusSure_dk]))</f>
        <v/>
      </c>
      <c r="I124" s="19">
        <f>IF($A124="","",IFERROR(AVERAGEIF(tblGunluk[VarlikId],$A124,tblGunluk[FormulOee_oran]),0))</f>
        <v/>
      </c>
      <c r="J124" s="19">
        <f>IF($A124="","",SUMIF(tblGunluk[VarlikId],$A124,tblGunluk[UretimAdet_adet]))</f>
        <v/>
      </c>
      <c r="K124" s="19">
        <f>IF($A124="","",MAX(0,MIN(100,odk_kaliteTaban-IF($I124&lt;odk_esikOee,odk_kaliteCeza,0)-COUNTIFS(tblGunluk[VarlikId],$A124,tblGunluk[AlarmBayrak],"ALARM")*odk_kaliteSapma-IF($G124="HAYIR",odk_kaliteCeza,0))))</f>
        <v/>
      </c>
    </row>
    <row r="125">
      <c r="A125" s="15" t="n"/>
      <c r="B125" s="15" t="n"/>
      <c r="C125" s="15" t="n"/>
      <c r="D125" s="16" t="n"/>
      <c r="E125" s="17" t="n"/>
      <c r="F125" s="18" t="n"/>
      <c r="G125" s="15" t="n"/>
      <c r="H125" s="19">
        <f>IF($A125="","",SUMIF(tblGunluk[VarlikId],$A125,tblGunluk[DurusSure_dk]))</f>
        <v/>
      </c>
      <c r="I125" s="19">
        <f>IF($A125="","",IFERROR(AVERAGEIF(tblGunluk[VarlikId],$A125,tblGunluk[FormulOee_oran]),0))</f>
        <v/>
      </c>
      <c r="J125" s="19">
        <f>IF($A125="","",SUMIF(tblGunluk[VarlikId],$A125,tblGunluk[UretimAdet_adet]))</f>
        <v/>
      </c>
      <c r="K125" s="19">
        <f>IF($A125="","",MAX(0,MIN(100,odk_kaliteTaban-IF($I125&lt;odk_esikOee,odk_kaliteCeza,0)-COUNTIFS(tblGunluk[VarlikId],$A125,tblGunluk[AlarmBayrak],"ALARM")*odk_kaliteSapma-IF($G125="HAYIR",odk_kaliteCeza,0))))</f>
        <v/>
      </c>
    </row>
    <row r="126">
      <c r="A126" s="15" t="n"/>
      <c r="B126" s="15" t="n"/>
      <c r="C126" s="15" t="n"/>
      <c r="D126" s="16" t="n"/>
      <c r="E126" s="17" t="n"/>
      <c r="F126" s="18" t="n"/>
      <c r="G126" s="15" t="n"/>
      <c r="H126" s="19">
        <f>IF($A126="","",SUMIF(tblGunluk[VarlikId],$A126,tblGunluk[DurusSure_dk]))</f>
        <v/>
      </c>
      <c r="I126" s="19">
        <f>IF($A126="","",IFERROR(AVERAGEIF(tblGunluk[VarlikId],$A126,tblGunluk[FormulOee_oran]),0))</f>
        <v/>
      </c>
      <c r="J126" s="19">
        <f>IF($A126="","",SUMIF(tblGunluk[VarlikId],$A126,tblGunluk[UretimAdet_adet]))</f>
        <v/>
      </c>
      <c r="K126" s="19">
        <f>IF($A126="","",MAX(0,MIN(100,odk_kaliteTaban-IF($I126&lt;odk_esikOee,odk_kaliteCeza,0)-COUNTIFS(tblGunluk[VarlikId],$A126,tblGunluk[AlarmBayrak],"ALARM")*odk_kaliteSapma-IF($G126="HAYIR",odk_kaliteCeza,0))))</f>
        <v/>
      </c>
    </row>
    <row r="127">
      <c r="A127" s="15" t="n"/>
      <c r="B127" s="15" t="n"/>
      <c r="C127" s="15" t="n"/>
      <c r="D127" s="16" t="n"/>
      <c r="E127" s="17" t="n"/>
      <c r="F127" s="18" t="n"/>
      <c r="G127" s="15" t="n"/>
      <c r="H127" s="19">
        <f>IF($A127="","",SUMIF(tblGunluk[VarlikId],$A127,tblGunluk[DurusSure_dk]))</f>
        <v/>
      </c>
      <c r="I127" s="19">
        <f>IF($A127="","",IFERROR(AVERAGEIF(tblGunluk[VarlikId],$A127,tblGunluk[FormulOee_oran]),0))</f>
        <v/>
      </c>
      <c r="J127" s="19">
        <f>IF($A127="","",SUMIF(tblGunluk[VarlikId],$A127,tblGunluk[UretimAdet_adet]))</f>
        <v/>
      </c>
      <c r="K127" s="19">
        <f>IF($A127="","",MAX(0,MIN(100,odk_kaliteTaban-IF($I127&lt;odk_esikOee,odk_kaliteCeza,0)-COUNTIFS(tblGunluk[VarlikId],$A127,tblGunluk[AlarmBayrak],"ALARM")*odk_kaliteSapma-IF($G127="HAYIR",odk_kaliteCeza,0))))</f>
        <v/>
      </c>
    </row>
    <row r="128">
      <c r="A128" s="15" t="n"/>
      <c r="B128" s="15" t="n"/>
      <c r="C128" s="15" t="n"/>
      <c r="D128" s="16" t="n"/>
      <c r="E128" s="17" t="n"/>
      <c r="F128" s="18" t="n"/>
      <c r="G128" s="15" t="n"/>
      <c r="H128" s="19">
        <f>IF($A128="","",SUMIF(tblGunluk[VarlikId],$A128,tblGunluk[DurusSure_dk]))</f>
        <v/>
      </c>
      <c r="I128" s="19">
        <f>IF($A128="","",IFERROR(AVERAGEIF(tblGunluk[VarlikId],$A128,tblGunluk[FormulOee_oran]),0))</f>
        <v/>
      </c>
      <c r="J128" s="19">
        <f>IF($A128="","",SUMIF(tblGunluk[VarlikId],$A128,tblGunluk[UretimAdet_adet]))</f>
        <v/>
      </c>
      <c r="K128" s="19">
        <f>IF($A128="","",MAX(0,MIN(100,odk_kaliteTaban-IF($I128&lt;odk_esikOee,odk_kaliteCeza,0)-COUNTIFS(tblGunluk[VarlikId],$A128,tblGunluk[AlarmBayrak],"ALARM")*odk_kaliteSapma-IF($G128="HAYIR",odk_kaliteCeza,0))))</f>
        <v/>
      </c>
    </row>
    <row r="129">
      <c r="A129" s="15" t="n"/>
      <c r="B129" s="15" t="n"/>
      <c r="C129" s="15" t="n"/>
      <c r="D129" s="16" t="n"/>
      <c r="E129" s="17" t="n"/>
      <c r="F129" s="18" t="n"/>
      <c r="G129" s="15" t="n"/>
      <c r="H129" s="19">
        <f>IF($A129="","",SUMIF(tblGunluk[VarlikId],$A129,tblGunluk[DurusSure_dk]))</f>
        <v/>
      </c>
      <c r="I129" s="19">
        <f>IF($A129="","",IFERROR(AVERAGEIF(tblGunluk[VarlikId],$A129,tblGunluk[FormulOee_oran]),0))</f>
        <v/>
      </c>
      <c r="J129" s="19">
        <f>IF($A129="","",SUMIF(tblGunluk[VarlikId],$A129,tblGunluk[UretimAdet_adet]))</f>
        <v/>
      </c>
      <c r="K129" s="19">
        <f>IF($A129="","",MAX(0,MIN(100,odk_kaliteTaban-IF($I129&lt;odk_esikOee,odk_kaliteCeza,0)-COUNTIFS(tblGunluk[VarlikId],$A129,tblGunluk[AlarmBayrak],"ALARM")*odk_kaliteSapma-IF($G129="HAYIR",odk_kaliteCeza,0))))</f>
        <v/>
      </c>
    </row>
    <row r="130">
      <c r="A130" s="15" t="n"/>
      <c r="B130" s="15" t="n"/>
      <c r="C130" s="15" t="n"/>
      <c r="D130" s="16" t="n"/>
      <c r="E130" s="17" t="n"/>
      <c r="F130" s="18" t="n"/>
      <c r="G130" s="15" t="n"/>
      <c r="H130" s="19">
        <f>IF($A130="","",SUMIF(tblGunluk[VarlikId],$A130,tblGunluk[DurusSure_dk]))</f>
        <v/>
      </c>
      <c r="I130" s="19">
        <f>IF($A130="","",IFERROR(AVERAGEIF(tblGunluk[VarlikId],$A130,tblGunluk[FormulOee_oran]),0))</f>
        <v/>
      </c>
      <c r="J130" s="19">
        <f>IF($A130="","",SUMIF(tblGunluk[VarlikId],$A130,tblGunluk[UretimAdet_adet]))</f>
        <v/>
      </c>
      <c r="K130" s="19">
        <f>IF($A130="","",MAX(0,MIN(100,odk_kaliteTaban-IF($I130&lt;odk_esikOee,odk_kaliteCeza,0)-COUNTIFS(tblGunluk[VarlikId],$A130,tblGunluk[AlarmBayrak],"ALARM")*odk_kaliteSapma-IF($G130="HAYIR",odk_kaliteCeza,0))))</f>
        <v/>
      </c>
    </row>
    <row r="131">
      <c r="A131" s="15" t="n"/>
      <c r="B131" s="15" t="n"/>
      <c r="C131" s="15" t="n"/>
      <c r="D131" s="16" t="n"/>
      <c r="E131" s="17" t="n"/>
      <c r="F131" s="18" t="n"/>
      <c r="G131" s="15" t="n"/>
      <c r="H131" s="19">
        <f>IF($A131="","",SUMIF(tblGunluk[VarlikId],$A131,tblGunluk[DurusSure_dk]))</f>
        <v/>
      </c>
      <c r="I131" s="19">
        <f>IF($A131="","",IFERROR(AVERAGEIF(tblGunluk[VarlikId],$A131,tblGunluk[FormulOee_oran]),0))</f>
        <v/>
      </c>
      <c r="J131" s="19">
        <f>IF($A131="","",SUMIF(tblGunluk[VarlikId],$A131,tblGunluk[UretimAdet_adet]))</f>
        <v/>
      </c>
      <c r="K131" s="19">
        <f>IF($A131="","",MAX(0,MIN(100,odk_kaliteTaban-IF($I131&lt;odk_esikOee,odk_kaliteCeza,0)-COUNTIFS(tblGunluk[VarlikId],$A131,tblGunluk[AlarmBayrak],"ALARM")*odk_kaliteSapma-IF($G131="HAYIR",odk_kaliteCeza,0))))</f>
        <v/>
      </c>
    </row>
    <row r="132">
      <c r="A132" s="15" t="n"/>
      <c r="B132" s="15" t="n"/>
      <c r="C132" s="15" t="n"/>
      <c r="D132" s="16" t="n"/>
      <c r="E132" s="17" t="n"/>
      <c r="F132" s="18" t="n"/>
      <c r="G132" s="15" t="n"/>
      <c r="H132" s="19">
        <f>IF($A132="","",SUMIF(tblGunluk[VarlikId],$A132,tblGunluk[DurusSure_dk]))</f>
        <v/>
      </c>
      <c r="I132" s="19">
        <f>IF($A132="","",IFERROR(AVERAGEIF(tblGunluk[VarlikId],$A132,tblGunluk[FormulOee_oran]),0))</f>
        <v/>
      </c>
      <c r="J132" s="19">
        <f>IF($A132="","",SUMIF(tblGunluk[VarlikId],$A132,tblGunluk[UretimAdet_adet]))</f>
        <v/>
      </c>
      <c r="K132" s="19">
        <f>IF($A132="","",MAX(0,MIN(100,odk_kaliteTaban-IF($I132&lt;odk_esikOee,odk_kaliteCeza,0)-COUNTIFS(tblGunluk[VarlikId],$A132,tblGunluk[AlarmBayrak],"ALARM")*odk_kaliteSapma-IF($G132="HAYIR",odk_kaliteCeza,0))))</f>
        <v/>
      </c>
    </row>
    <row r="133">
      <c r="A133" s="15" t="n"/>
      <c r="B133" s="15" t="n"/>
      <c r="C133" s="15" t="n"/>
      <c r="D133" s="16" t="n"/>
      <c r="E133" s="17" t="n"/>
      <c r="F133" s="18" t="n"/>
      <c r="G133" s="15" t="n"/>
      <c r="H133" s="19">
        <f>IF($A133="","",SUMIF(tblGunluk[VarlikId],$A133,tblGunluk[DurusSure_dk]))</f>
        <v/>
      </c>
      <c r="I133" s="19">
        <f>IF($A133="","",IFERROR(AVERAGEIF(tblGunluk[VarlikId],$A133,tblGunluk[FormulOee_oran]),0))</f>
        <v/>
      </c>
      <c r="J133" s="19">
        <f>IF($A133="","",SUMIF(tblGunluk[VarlikId],$A133,tblGunluk[UretimAdet_adet]))</f>
        <v/>
      </c>
      <c r="K133" s="19">
        <f>IF($A133="","",MAX(0,MIN(100,odk_kaliteTaban-IF($I133&lt;odk_esikOee,odk_kaliteCeza,0)-COUNTIFS(tblGunluk[VarlikId],$A133,tblGunluk[AlarmBayrak],"ALARM")*odk_kaliteSapma-IF($G133="HAYIR",odk_kaliteCeza,0))))</f>
        <v/>
      </c>
    </row>
    <row r="134">
      <c r="A134" s="15" t="n"/>
      <c r="B134" s="15" t="n"/>
      <c r="C134" s="15" t="n"/>
      <c r="D134" s="16" t="n"/>
      <c r="E134" s="17" t="n"/>
      <c r="F134" s="18" t="n"/>
      <c r="G134" s="15" t="n"/>
      <c r="H134" s="19">
        <f>IF($A134="","",SUMIF(tblGunluk[VarlikId],$A134,tblGunluk[DurusSure_dk]))</f>
        <v/>
      </c>
      <c r="I134" s="19">
        <f>IF($A134="","",IFERROR(AVERAGEIF(tblGunluk[VarlikId],$A134,tblGunluk[FormulOee_oran]),0))</f>
        <v/>
      </c>
      <c r="J134" s="19">
        <f>IF($A134="","",SUMIF(tblGunluk[VarlikId],$A134,tblGunluk[UretimAdet_adet]))</f>
        <v/>
      </c>
      <c r="K134" s="19">
        <f>IF($A134="","",MAX(0,MIN(100,odk_kaliteTaban-IF($I134&lt;odk_esikOee,odk_kaliteCeza,0)-COUNTIFS(tblGunluk[VarlikId],$A134,tblGunluk[AlarmBayrak],"ALARM")*odk_kaliteSapma-IF($G134="HAYIR",odk_kaliteCeza,0))))</f>
        <v/>
      </c>
    </row>
    <row r="135">
      <c r="A135" s="15" t="n"/>
      <c r="B135" s="15" t="n"/>
      <c r="C135" s="15" t="n"/>
      <c r="D135" s="16" t="n"/>
      <c r="E135" s="17" t="n"/>
      <c r="F135" s="18" t="n"/>
      <c r="G135" s="15" t="n"/>
      <c r="H135" s="19">
        <f>IF($A135="","",SUMIF(tblGunluk[VarlikId],$A135,tblGunluk[DurusSure_dk]))</f>
        <v/>
      </c>
      <c r="I135" s="19">
        <f>IF($A135="","",IFERROR(AVERAGEIF(tblGunluk[VarlikId],$A135,tblGunluk[FormulOee_oran]),0))</f>
        <v/>
      </c>
      <c r="J135" s="19">
        <f>IF($A135="","",SUMIF(tblGunluk[VarlikId],$A135,tblGunluk[UretimAdet_adet]))</f>
        <v/>
      </c>
      <c r="K135" s="19">
        <f>IF($A135="","",MAX(0,MIN(100,odk_kaliteTaban-IF($I135&lt;odk_esikOee,odk_kaliteCeza,0)-COUNTIFS(tblGunluk[VarlikId],$A135,tblGunluk[AlarmBayrak],"ALARM")*odk_kaliteSapma-IF($G135="HAYIR",odk_kaliteCeza,0))))</f>
        <v/>
      </c>
    </row>
    <row r="136">
      <c r="A136" s="15" t="n"/>
      <c r="B136" s="15" t="n"/>
      <c r="C136" s="15" t="n"/>
      <c r="D136" s="16" t="n"/>
      <c r="E136" s="17" t="n"/>
      <c r="F136" s="18" t="n"/>
      <c r="G136" s="15" t="n"/>
      <c r="H136" s="19">
        <f>IF($A136="","",SUMIF(tblGunluk[VarlikId],$A136,tblGunluk[DurusSure_dk]))</f>
        <v/>
      </c>
      <c r="I136" s="19">
        <f>IF($A136="","",IFERROR(AVERAGEIF(tblGunluk[VarlikId],$A136,tblGunluk[FormulOee_oran]),0))</f>
        <v/>
      </c>
      <c r="J136" s="19">
        <f>IF($A136="","",SUMIF(tblGunluk[VarlikId],$A136,tblGunluk[UretimAdet_adet]))</f>
        <v/>
      </c>
      <c r="K136" s="19">
        <f>IF($A136="","",MAX(0,MIN(100,odk_kaliteTaban-IF($I136&lt;odk_esikOee,odk_kaliteCeza,0)-COUNTIFS(tblGunluk[VarlikId],$A136,tblGunluk[AlarmBayrak],"ALARM")*odk_kaliteSapma-IF($G136="HAYIR",odk_kaliteCeza,0))))</f>
        <v/>
      </c>
    </row>
    <row r="137">
      <c r="A137" s="15" t="n"/>
      <c r="B137" s="15" t="n"/>
      <c r="C137" s="15" t="n"/>
      <c r="D137" s="16" t="n"/>
      <c r="E137" s="17" t="n"/>
      <c r="F137" s="18" t="n"/>
      <c r="G137" s="15" t="n"/>
      <c r="H137" s="19">
        <f>IF($A137="","",SUMIF(tblGunluk[VarlikId],$A137,tblGunluk[DurusSure_dk]))</f>
        <v/>
      </c>
      <c r="I137" s="19">
        <f>IF($A137="","",IFERROR(AVERAGEIF(tblGunluk[VarlikId],$A137,tblGunluk[FormulOee_oran]),0))</f>
        <v/>
      </c>
      <c r="J137" s="19">
        <f>IF($A137="","",SUMIF(tblGunluk[VarlikId],$A137,tblGunluk[UretimAdet_adet]))</f>
        <v/>
      </c>
      <c r="K137" s="19">
        <f>IF($A137="","",MAX(0,MIN(100,odk_kaliteTaban-IF($I137&lt;odk_esikOee,odk_kaliteCeza,0)-COUNTIFS(tblGunluk[VarlikId],$A137,tblGunluk[AlarmBayrak],"ALARM")*odk_kaliteSapma-IF($G137="HAYIR",odk_kaliteCeza,0))))</f>
        <v/>
      </c>
    </row>
    <row r="138">
      <c r="A138" s="15" t="n"/>
      <c r="B138" s="15" t="n"/>
      <c r="C138" s="15" t="n"/>
      <c r="D138" s="16" t="n"/>
      <c r="E138" s="17" t="n"/>
      <c r="F138" s="18" t="n"/>
      <c r="G138" s="15" t="n"/>
      <c r="H138" s="19">
        <f>IF($A138="","",SUMIF(tblGunluk[VarlikId],$A138,tblGunluk[DurusSure_dk]))</f>
        <v/>
      </c>
      <c r="I138" s="19">
        <f>IF($A138="","",IFERROR(AVERAGEIF(tblGunluk[VarlikId],$A138,tblGunluk[FormulOee_oran]),0))</f>
        <v/>
      </c>
      <c r="J138" s="19">
        <f>IF($A138="","",SUMIF(tblGunluk[VarlikId],$A138,tblGunluk[UretimAdet_adet]))</f>
        <v/>
      </c>
      <c r="K138" s="19">
        <f>IF($A138="","",MAX(0,MIN(100,odk_kaliteTaban-IF($I138&lt;odk_esikOee,odk_kaliteCeza,0)-COUNTIFS(tblGunluk[VarlikId],$A138,tblGunluk[AlarmBayrak],"ALARM")*odk_kaliteSapma-IF($G138="HAYIR",odk_kaliteCeza,0))))</f>
        <v/>
      </c>
    </row>
    <row r="139">
      <c r="A139" s="15" t="n"/>
      <c r="B139" s="15" t="n"/>
      <c r="C139" s="15" t="n"/>
      <c r="D139" s="16" t="n"/>
      <c r="E139" s="17" t="n"/>
      <c r="F139" s="18" t="n"/>
      <c r="G139" s="15" t="n"/>
      <c r="H139" s="19">
        <f>IF($A139="","",SUMIF(tblGunluk[VarlikId],$A139,tblGunluk[DurusSure_dk]))</f>
        <v/>
      </c>
      <c r="I139" s="19">
        <f>IF($A139="","",IFERROR(AVERAGEIF(tblGunluk[VarlikId],$A139,tblGunluk[FormulOee_oran]),0))</f>
        <v/>
      </c>
      <c r="J139" s="19">
        <f>IF($A139="","",SUMIF(tblGunluk[VarlikId],$A139,tblGunluk[UretimAdet_adet]))</f>
        <v/>
      </c>
      <c r="K139" s="19">
        <f>IF($A139="","",MAX(0,MIN(100,odk_kaliteTaban-IF($I139&lt;odk_esikOee,odk_kaliteCeza,0)-COUNTIFS(tblGunluk[VarlikId],$A139,tblGunluk[AlarmBayrak],"ALARM")*odk_kaliteSapma-IF($G139="HAYIR",odk_kaliteCeza,0))))</f>
        <v/>
      </c>
    </row>
    <row r="140">
      <c r="A140" s="15" t="n"/>
      <c r="B140" s="15" t="n"/>
      <c r="C140" s="15" t="n"/>
      <c r="D140" s="16" t="n"/>
      <c r="E140" s="17" t="n"/>
      <c r="F140" s="18" t="n"/>
      <c r="G140" s="15" t="n"/>
      <c r="H140" s="19">
        <f>IF($A140="","",SUMIF(tblGunluk[VarlikId],$A140,tblGunluk[DurusSure_dk]))</f>
        <v/>
      </c>
      <c r="I140" s="19">
        <f>IF($A140="","",IFERROR(AVERAGEIF(tblGunluk[VarlikId],$A140,tblGunluk[FormulOee_oran]),0))</f>
        <v/>
      </c>
      <c r="J140" s="19">
        <f>IF($A140="","",SUMIF(tblGunluk[VarlikId],$A140,tblGunluk[UretimAdet_adet]))</f>
        <v/>
      </c>
      <c r="K140" s="19">
        <f>IF($A140="","",MAX(0,MIN(100,odk_kaliteTaban-IF($I140&lt;odk_esikOee,odk_kaliteCeza,0)-COUNTIFS(tblGunluk[VarlikId],$A140,tblGunluk[AlarmBayrak],"ALARM")*odk_kaliteSapma-IF($G140="HAYIR",odk_kaliteCeza,0))))</f>
        <v/>
      </c>
    </row>
    <row r="141">
      <c r="A141" s="15" t="n"/>
      <c r="B141" s="15" t="n"/>
      <c r="C141" s="15" t="n"/>
      <c r="D141" s="16" t="n"/>
      <c r="E141" s="17" t="n"/>
      <c r="F141" s="18" t="n"/>
      <c r="G141" s="15" t="n"/>
      <c r="H141" s="19">
        <f>IF($A141="","",SUMIF(tblGunluk[VarlikId],$A141,tblGunluk[DurusSure_dk]))</f>
        <v/>
      </c>
      <c r="I141" s="19">
        <f>IF($A141="","",IFERROR(AVERAGEIF(tblGunluk[VarlikId],$A141,tblGunluk[FormulOee_oran]),0))</f>
        <v/>
      </c>
      <c r="J141" s="19">
        <f>IF($A141="","",SUMIF(tblGunluk[VarlikId],$A141,tblGunluk[UretimAdet_adet]))</f>
        <v/>
      </c>
      <c r="K141" s="19">
        <f>IF($A141="","",MAX(0,MIN(100,odk_kaliteTaban-IF($I141&lt;odk_esikOee,odk_kaliteCeza,0)-COUNTIFS(tblGunluk[VarlikId],$A141,tblGunluk[AlarmBayrak],"ALARM")*odk_kaliteSapma-IF($G141="HAYIR",odk_kaliteCeza,0))))</f>
        <v/>
      </c>
    </row>
    <row r="142">
      <c r="A142" s="15" t="n"/>
      <c r="B142" s="15" t="n"/>
      <c r="C142" s="15" t="n"/>
      <c r="D142" s="16" t="n"/>
      <c r="E142" s="17" t="n"/>
      <c r="F142" s="18" t="n"/>
      <c r="G142" s="15" t="n"/>
      <c r="H142" s="19">
        <f>IF($A142="","",SUMIF(tblGunluk[VarlikId],$A142,tblGunluk[DurusSure_dk]))</f>
        <v/>
      </c>
      <c r="I142" s="19">
        <f>IF($A142="","",IFERROR(AVERAGEIF(tblGunluk[VarlikId],$A142,tblGunluk[FormulOee_oran]),0))</f>
        <v/>
      </c>
      <c r="J142" s="19">
        <f>IF($A142="","",SUMIF(tblGunluk[VarlikId],$A142,tblGunluk[UretimAdet_adet]))</f>
        <v/>
      </c>
      <c r="K142" s="19">
        <f>IF($A142="","",MAX(0,MIN(100,odk_kaliteTaban-IF($I142&lt;odk_esikOee,odk_kaliteCeza,0)-COUNTIFS(tblGunluk[VarlikId],$A142,tblGunluk[AlarmBayrak],"ALARM")*odk_kaliteSapma-IF($G142="HAYIR",odk_kaliteCeza,0))))</f>
        <v/>
      </c>
    </row>
    <row r="143">
      <c r="A143" s="15" t="n"/>
      <c r="B143" s="15" t="n"/>
      <c r="C143" s="15" t="n"/>
      <c r="D143" s="16" t="n"/>
      <c r="E143" s="17" t="n"/>
      <c r="F143" s="18" t="n"/>
      <c r="G143" s="15" t="n"/>
      <c r="H143" s="19">
        <f>IF($A143="","",SUMIF(tblGunluk[VarlikId],$A143,tblGunluk[DurusSure_dk]))</f>
        <v/>
      </c>
      <c r="I143" s="19">
        <f>IF($A143="","",IFERROR(AVERAGEIF(tblGunluk[VarlikId],$A143,tblGunluk[FormulOee_oran]),0))</f>
        <v/>
      </c>
      <c r="J143" s="19">
        <f>IF($A143="","",SUMIF(tblGunluk[VarlikId],$A143,tblGunluk[UretimAdet_adet]))</f>
        <v/>
      </c>
      <c r="K143" s="19">
        <f>IF($A143="","",MAX(0,MIN(100,odk_kaliteTaban-IF($I143&lt;odk_esikOee,odk_kaliteCeza,0)-COUNTIFS(tblGunluk[VarlikId],$A143,tblGunluk[AlarmBayrak],"ALARM")*odk_kaliteSapma-IF($G143="HAYIR",odk_kaliteCeza,0))))</f>
        <v/>
      </c>
    </row>
    <row r="144">
      <c r="A144" s="15" t="n"/>
      <c r="B144" s="15" t="n"/>
      <c r="C144" s="15" t="n"/>
      <c r="D144" s="16" t="n"/>
      <c r="E144" s="17" t="n"/>
      <c r="F144" s="18" t="n"/>
      <c r="G144" s="15" t="n"/>
      <c r="H144" s="19">
        <f>IF($A144="","",SUMIF(tblGunluk[VarlikId],$A144,tblGunluk[DurusSure_dk]))</f>
        <v/>
      </c>
      <c r="I144" s="19">
        <f>IF($A144="","",IFERROR(AVERAGEIF(tblGunluk[VarlikId],$A144,tblGunluk[FormulOee_oran]),0))</f>
        <v/>
      </c>
      <c r="J144" s="19">
        <f>IF($A144="","",SUMIF(tblGunluk[VarlikId],$A144,tblGunluk[UretimAdet_adet]))</f>
        <v/>
      </c>
      <c r="K144" s="19">
        <f>IF($A144="","",MAX(0,MIN(100,odk_kaliteTaban-IF($I144&lt;odk_esikOee,odk_kaliteCeza,0)-COUNTIFS(tblGunluk[VarlikId],$A144,tblGunluk[AlarmBayrak],"ALARM")*odk_kaliteSapma-IF($G144="HAYIR",odk_kaliteCeza,0))))</f>
        <v/>
      </c>
    </row>
    <row r="145">
      <c r="A145" s="15" t="n"/>
      <c r="B145" s="15" t="n"/>
      <c r="C145" s="15" t="n"/>
      <c r="D145" s="16" t="n"/>
      <c r="E145" s="17" t="n"/>
      <c r="F145" s="18" t="n"/>
      <c r="G145" s="15" t="n"/>
      <c r="H145" s="19">
        <f>IF($A145="","",SUMIF(tblGunluk[VarlikId],$A145,tblGunluk[DurusSure_dk]))</f>
        <v/>
      </c>
      <c r="I145" s="19">
        <f>IF($A145="","",IFERROR(AVERAGEIF(tblGunluk[VarlikId],$A145,tblGunluk[FormulOee_oran]),0))</f>
        <v/>
      </c>
      <c r="J145" s="19">
        <f>IF($A145="","",SUMIF(tblGunluk[VarlikId],$A145,tblGunluk[UretimAdet_adet]))</f>
        <v/>
      </c>
      <c r="K145" s="19">
        <f>IF($A145="","",MAX(0,MIN(100,odk_kaliteTaban-IF($I145&lt;odk_esikOee,odk_kaliteCeza,0)-COUNTIFS(tblGunluk[VarlikId],$A145,tblGunluk[AlarmBayrak],"ALARM")*odk_kaliteSapma-IF($G145="HAYIR",odk_kaliteCeza,0))))</f>
        <v/>
      </c>
    </row>
    <row r="146">
      <c r="A146" s="15" t="n"/>
      <c r="B146" s="15" t="n"/>
      <c r="C146" s="15" t="n"/>
      <c r="D146" s="16" t="n"/>
      <c r="E146" s="17" t="n"/>
      <c r="F146" s="18" t="n"/>
      <c r="G146" s="15" t="n"/>
      <c r="H146" s="19">
        <f>IF($A146="","",SUMIF(tblGunluk[VarlikId],$A146,tblGunluk[DurusSure_dk]))</f>
        <v/>
      </c>
      <c r="I146" s="19">
        <f>IF($A146="","",IFERROR(AVERAGEIF(tblGunluk[VarlikId],$A146,tblGunluk[FormulOee_oran]),0))</f>
        <v/>
      </c>
      <c r="J146" s="19">
        <f>IF($A146="","",SUMIF(tblGunluk[VarlikId],$A146,tblGunluk[UretimAdet_adet]))</f>
        <v/>
      </c>
      <c r="K146" s="19">
        <f>IF($A146="","",MAX(0,MIN(100,odk_kaliteTaban-IF($I146&lt;odk_esikOee,odk_kaliteCeza,0)-COUNTIFS(tblGunluk[VarlikId],$A146,tblGunluk[AlarmBayrak],"ALARM")*odk_kaliteSapma-IF($G146="HAYIR",odk_kaliteCeza,0))))</f>
        <v/>
      </c>
    </row>
    <row r="147">
      <c r="A147" s="15" t="n"/>
      <c r="B147" s="15" t="n"/>
      <c r="C147" s="15" t="n"/>
      <c r="D147" s="16" t="n"/>
      <c r="E147" s="17" t="n"/>
      <c r="F147" s="18" t="n"/>
      <c r="G147" s="15" t="n"/>
      <c r="H147" s="19">
        <f>IF($A147="","",SUMIF(tblGunluk[VarlikId],$A147,tblGunluk[DurusSure_dk]))</f>
        <v/>
      </c>
      <c r="I147" s="19">
        <f>IF($A147="","",IFERROR(AVERAGEIF(tblGunluk[VarlikId],$A147,tblGunluk[FormulOee_oran]),0))</f>
        <v/>
      </c>
      <c r="J147" s="19">
        <f>IF($A147="","",SUMIF(tblGunluk[VarlikId],$A147,tblGunluk[UretimAdet_adet]))</f>
        <v/>
      </c>
      <c r="K147" s="19">
        <f>IF($A147="","",MAX(0,MIN(100,odk_kaliteTaban-IF($I147&lt;odk_esikOee,odk_kaliteCeza,0)-COUNTIFS(tblGunluk[VarlikId],$A147,tblGunluk[AlarmBayrak],"ALARM")*odk_kaliteSapma-IF($G147="HAYIR",odk_kaliteCeza,0))))</f>
        <v/>
      </c>
    </row>
    <row r="148">
      <c r="A148" s="15" t="n"/>
      <c r="B148" s="15" t="n"/>
      <c r="C148" s="15" t="n"/>
      <c r="D148" s="16" t="n"/>
      <c r="E148" s="17" t="n"/>
      <c r="F148" s="18" t="n"/>
      <c r="G148" s="15" t="n"/>
      <c r="H148" s="19">
        <f>IF($A148="","",SUMIF(tblGunluk[VarlikId],$A148,tblGunluk[DurusSure_dk]))</f>
        <v/>
      </c>
      <c r="I148" s="19">
        <f>IF($A148="","",IFERROR(AVERAGEIF(tblGunluk[VarlikId],$A148,tblGunluk[FormulOee_oran]),0))</f>
        <v/>
      </c>
      <c r="J148" s="19">
        <f>IF($A148="","",SUMIF(tblGunluk[VarlikId],$A148,tblGunluk[UretimAdet_adet]))</f>
        <v/>
      </c>
      <c r="K148" s="19">
        <f>IF($A148="","",MAX(0,MIN(100,odk_kaliteTaban-IF($I148&lt;odk_esikOee,odk_kaliteCeza,0)-COUNTIFS(tblGunluk[VarlikId],$A148,tblGunluk[AlarmBayrak],"ALARM")*odk_kaliteSapma-IF($G148="HAYIR",odk_kaliteCeza,0))))</f>
        <v/>
      </c>
    </row>
    <row r="149">
      <c r="A149" s="15" t="n"/>
      <c r="B149" s="15" t="n"/>
      <c r="C149" s="15" t="n"/>
      <c r="D149" s="16" t="n"/>
      <c r="E149" s="17" t="n"/>
      <c r="F149" s="18" t="n"/>
      <c r="G149" s="15" t="n"/>
      <c r="H149" s="19">
        <f>IF($A149="","",SUMIF(tblGunluk[VarlikId],$A149,tblGunluk[DurusSure_dk]))</f>
        <v/>
      </c>
      <c r="I149" s="19">
        <f>IF($A149="","",IFERROR(AVERAGEIF(tblGunluk[VarlikId],$A149,tblGunluk[FormulOee_oran]),0))</f>
        <v/>
      </c>
      <c r="J149" s="19">
        <f>IF($A149="","",SUMIF(tblGunluk[VarlikId],$A149,tblGunluk[UretimAdet_adet]))</f>
        <v/>
      </c>
      <c r="K149" s="19">
        <f>IF($A149="","",MAX(0,MIN(100,odk_kaliteTaban-IF($I149&lt;odk_esikOee,odk_kaliteCeza,0)-COUNTIFS(tblGunluk[VarlikId],$A149,tblGunluk[AlarmBayrak],"ALARM")*odk_kaliteSapma-IF($G149="HAYIR",odk_kaliteCeza,0))))</f>
        <v/>
      </c>
    </row>
    <row r="150">
      <c r="A150" s="15" t="n"/>
      <c r="B150" s="15" t="n"/>
      <c r="C150" s="15" t="n"/>
      <c r="D150" s="16" t="n"/>
      <c r="E150" s="17" t="n"/>
      <c r="F150" s="18" t="n"/>
      <c r="G150" s="15" t="n"/>
      <c r="H150" s="19">
        <f>IF($A150="","",SUMIF(tblGunluk[VarlikId],$A150,tblGunluk[DurusSure_dk]))</f>
        <v/>
      </c>
      <c r="I150" s="19">
        <f>IF($A150="","",IFERROR(AVERAGEIF(tblGunluk[VarlikId],$A150,tblGunluk[FormulOee_oran]),0))</f>
        <v/>
      </c>
      <c r="J150" s="19">
        <f>IF($A150="","",SUMIF(tblGunluk[VarlikId],$A150,tblGunluk[UretimAdet_adet]))</f>
        <v/>
      </c>
      <c r="K150" s="19">
        <f>IF($A150="","",MAX(0,MIN(100,odk_kaliteTaban-IF($I150&lt;odk_esikOee,odk_kaliteCeza,0)-COUNTIFS(tblGunluk[VarlikId],$A150,tblGunluk[AlarmBayrak],"ALARM")*odk_kaliteSapma-IF($G150="HAYIR",odk_kaliteCeza,0))))</f>
        <v/>
      </c>
    </row>
    <row r="151">
      <c r="A151" s="15" t="n"/>
      <c r="B151" s="15" t="n"/>
      <c r="C151" s="15" t="n"/>
      <c r="D151" s="16" t="n"/>
      <c r="E151" s="17" t="n"/>
      <c r="F151" s="18" t="n"/>
      <c r="G151" s="15" t="n"/>
      <c r="H151" s="19">
        <f>IF($A151="","",SUMIF(tblGunluk[VarlikId],$A151,tblGunluk[DurusSure_dk]))</f>
        <v/>
      </c>
      <c r="I151" s="19">
        <f>IF($A151="","",IFERROR(AVERAGEIF(tblGunluk[VarlikId],$A151,tblGunluk[FormulOee_oran]),0))</f>
        <v/>
      </c>
      <c r="J151" s="19">
        <f>IF($A151="","",SUMIF(tblGunluk[VarlikId],$A151,tblGunluk[UretimAdet_adet]))</f>
        <v/>
      </c>
      <c r="K151" s="19">
        <f>IF($A151="","",MAX(0,MIN(100,odk_kaliteTaban-IF($I151&lt;odk_esikOee,odk_kaliteCeza,0)-COUNTIFS(tblGunluk[VarlikId],$A151,tblGunluk[AlarmBayrak],"ALARM")*odk_kaliteSapma-IF($G151="HAYIR",odk_kaliteCeza,0))))</f>
        <v/>
      </c>
    </row>
    <row r="152">
      <c r="A152" s="15" t="n"/>
      <c r="B152" s="15" t="n"/>
      <c r="C152" s="15" t="n"/>
      <c r="D152" s="16" t="n"/>
      <c r="E152" s="17" t="n"/>
      <c r="F152" s="18" t="n"/>
      <c r="G152" s="15" t="n"/>
      <c r="H152" s="19">
        <f>IF($A152="","",SUMIF(tblGunluk[VarlikId],$A152,tblGunluk[DurusSure_dk]))</f>
        <v/>
      </c>
      <c r="I152" s="19">
        <f>IF($A152="","",IFERROR(AVERAGEIF(tblGunluk[VarlikId],$A152,tblGunluk[FormulOee_oran]),0))</f>
        <v/>
      </c>
      <c r="J152" s="19">
        <f>IF($A152="","",SUMIF(tblGunluk[VarlikId],$A152,tblGunluk[UretimAdet_adet]))</f>
        <v/>
      </c>
      <c r="K152" s="19">
        <f>IF($A152="","",MAX(0,MIN(100,odk_kaliteTaban-IF($I152&lt;odk_esikOee,odk_kaliteCeza,0)-COUNTIFS(tblGunluk[VarlikId],$A152,tblGunluk[AlarmBayrak],"ALARM")*odk_kaliteSapma-IF($G152="HAYIR",odk_kaliteCeza,0))))</f>
        <v/>
      </c>
    </row>
    <row r="153">
      <c r="A153" s="15" t="n"/>
      <c r="B153" s="15" t="n"/>
      <c r="C153" s="15" t="n"/>
      <c r="D153" s="16" t="n"/>
      <c r="E153" s="17" t="n"/>
      <c r="F153" s="18" t="n"/>
      <c r="G153" s="15" t="n"/>
      <c r="H153" s="19">
        <f>IF($A153="","",SUMIF(tblGunluk[VarlikId],$A153,tblGunluk[DurusSure_dk]))</f>
        <v/>
      </c>
      <c r="I153" s="19">
        <f>IF($A153="","",IFERROR(AVERAGEIF(tblGunluk[VarlikId],$A153,tblGunluk[FormulOee_oran]),0))</f>
        <v/>
      </c>
      <c r="J153" s="19">
        <f>IF($A153="","",SUMIF(tblGunluk[VarlikId],$A153,tblGunluk[UretimAdet_adet]))</f>
        <v/>
      </c>
      <c r="K153" s="19">
        <f>IF($A153="","",MAX(0,MIN(100,odk_kaliteTaban-IF($I153&lt;odk_esikOee,odk_kaliteCeza,0)-COUNTIFS(tblGunluk[VarlikId],$A153,tblGunluk[AlarmBayrak],"ALARM")*odk_kaliteSapma-IF($G153="HAYIR",odk_kaliteCeza,0))))</f>
        <v/>
      </c>
    </row>
    <row r="154">
      <c r="A154" s="15" t="n"/>
      <c r="B154" s="15" t="n"/>
      <c r="C154" s="15" t="n"/>
      <c r="D154" s="16" t="n"/>
      <c r="E154" s="17" t="n"/>
      <c r="F154" s="18" t="n"/>
      <c r="G154" s="15" t="n"/>
      <c r="H154" s="19">
        <f>IF($A154="","",SUMIF(tblGunluk[VarlikId],$A154,tblGunluk[DurusSure_dk]))</f>
        <v/>
      </c>
      <c r="I154" s="19">
        <f>IF($A154="","",IFERROR(AVERAGEIF(tblGunluk[VarlikId],$A154,tblGunluk[FormulOee_oran]),0))</f>
        <v/>
      </c>
      <c r="J154" s="19">
        <f>IF($A154="","",SUMIF(tblGunluk[VarlikId],$A154,tblGunluk[UretimAdet_adet]))</f>
        <v/>
      </c>
      <c r="K154" s="19">
        <f>IF($A154="","",MAX(0,MIN(100,odk_kaliteTaban-IF($I154&lt;odk_esikOee,odk_kaliteCeza,0)-COUNTIFS(tblGunluk[VarlikId],$A154,tblGunluk[AlarmBayrak],"ALARM")*odk_kaliteSapma-IF($G154="HAYIR",odk_kaliteCeza,0))))</f>
        <v/>
      </c>
    </row>
    <row r="155">
      <c r="A155" s="15" t="n"/>
      <c r="B155" s="15" t="n"/>
      <c r="C155" s="15" t="n"/>
      <c r="D155" s="16" t="n"/>
      <c r="E155" s="17" t="n"/>
      <c r="F155" s="18" t="n"/>
      <c r="G155" s="15" t="n"/>
      <c r="H155" s="19">
        <f>IF($A155="","",SUMIF(tblGunluk[VarlikId],$A155,tblGunluk[DurusSure_dk]))</f>
        <v/>
      </c>
      <c r="I155" s="19">
        <f>IF($A155="","",IFERROR(AVERAGEIF(tblGunluk[VarlikId],$A155,tblGunluk[FormulOee_oran]),0))</f>
        <v/>
      </c>
      <c r="J155" s="19">
        <f>IF($A155="","",SUMIF(tblGunluk[VarlikId],$A155,tblGunluk[UretimAdet_adet]))</f>
        <v/>
      </c>
      <c r="K155" s="19">
        <f>IF($A155="","",MAX(0,MIN(100,odk_kaliteTaban-IF($I155&lt;odk_esikOee,odk_kaliteCeza,0)-COUNTIFS(tblGunluk[VarlikId],$A155,tblGunluk[AlarmBayrak],"ALARM")*odk_kaliteSapma-IF($G155="HAYIR",odk_kaliteCeza,0))))</f>
        <v/>
      </c>
    </row>
    <row r="156">
      <c r="A156" s="15" t="n"/>
      <c r="B156" s="15" t="n"/>
      <c r="C156" s="15" t="n"/>
      <c r="D156" s="16" t="n"/>
      <c r="E156" s="17" t="n"/>
      <c r="F156" s="18" t="n"/>
      <c r="G156" s="15" t="n"/>
      <c r="H156" s="19">
        <f>IF($A156="","",SUMIF(tblGunluk[VarlikId],$A156,tblGunluk[DurusSure_dk]))</f>
        <v/>
      </c>
      <c r="I156" s="19">
        <f>IF($A156="","",IFERROR(AVERAGEIF(tblGunluk[VarlikId],$A156,tblGunluk[FormulOee_oran]),0))</f>
        <v/>
      </c>
      <c r="J156" s="19">
        <f>IF($A156="","",SUMIF(tblGunluk[VarlikId],$A156,tblGunluk[UretimAdet_adet]))</f>
        <v/>
      </c>
      <c r="K156" s="19">
        <f>IF($A156="","",MAX(0,MIN(100,odk_kaliteTaban-IF($I156&lt;odk_esikOee,odk_kaliteCeza,0)-COUNTIFS(tblGunluk[VarlikId],$A156,tblGunluk[AlarmBayrak],"ALARM")*odk_kaliteSapma-IF($G156="HAYIR",odk_kaliteCeza,0))))</f>
        <v/>
      </c>
    </row>
    <row r="157">
      <c r="A157" s="15" t="n"/>
      <c r="B157" s="15" t="n"/>
      <c r="C157" s="15" t="n"/>
      <c r="D157" s="16" t="n"/>
      <c r="E157" s="17" t="n"/>
      <c r="F157" s="18" t="n"/>
      <c r="G157" s="15" t="n"/>
      <c r="H157" s="19">
        <f>IF($A157="","",SUMIF(tblGunluk[VarlikId],$A157,tblGunluk[DurusSure_dk]))</f>
        <v/>
      </c>
      <c r="I157" s="19">
        <f>IF($A157="","",IFERROR(AVERAGEIF(tblGunluk[VarlikId],$A157,tblGunluk[FormulOee_oran]),0))</f>
        <v/>
      </c>
      <c r="J157" s="19">
        <f>IF($A157="","",SUMIF(tblGunluk[VarlikId],$A157,tblGunluk[UretimAdet_adet]))</f>
        <v/>
      </c>
      <c r="K157" s="19">
        <f>IF($A157="","",MAX(0,MIN(100,odk_kaliteTaban-IF($I157&lt;odk_esikOee,odk_kaliteCeza,0)-COUNTIFS(tblGunluk[VarlikId],$A157,tblGunluk[AlarmBayrak],"ALARM")*odk_kaliteSapma-IF($G157="HAYIR",odk_kaliteCeza,0))))</f>
        <v/>
      </c>
    </row>
    <row r="158">
      <c r="A158" s="15" t="n"/>
      <c r="B158" s="15" t="n"/>
      <c r="C158" s="15" t="n"/>
      <c r="D158" s="16" t="n"/>
      <c r="E158" s="17" t="n"/>
      <c r="F158" s="18" t="n"/>
      <c r="G158" s="15" t="n"/>
      <c r="H158" s="19">
        <f>IF($A158="","",SUMIF(tblGunluk[VarlikId],$A158,tblGunluk[DurusSure_dk]))</f>
        <v/>
      </c>
      <c r="I158" s="19">
        <f>IF($A158="","",IFERROR(AVERAGEIF(tblGunluk[VarlikId],$A158,tblGunluk[FormulOee_oran]),0))</f>
        <v/>
      </c>
      <c r="J158" s="19">
        <f>IF($A158="","",SUMIF(tblGunluk[VarlikId],$A158,tblGunluk[UretimAdet_adet]))</f>
        <v/>
      </c>
      <c r="K158" s="19">
        <f>IF($A158="","",MAX(0,MIN(100,odk_kaliteTaban-IF($I158&lt;odk_esikOee,odk_kaliteCeza,0)-COUNTIFS(tblGunluk[VarlikId],$A158,tblGunluk[AlarmBayrak],"ALARM")*odk_kaliteSapma-IF($G158="HAYIR",odk_kaliteCeza,0))))</f>
        <v/>
      </c>
    </row>
    <row r="159">
      <c r="A159" s="15" t="n"/>
      <c r="B159" s="15" t="n"/>
      <c r="C159" s="15" t="n"/>
      <c r="D159" s="16" t="n"/>
      <c r="E159" s="17" t="n"/>
      <c r="F159" s="18" t="n"/>
      <c r="G159" s="15" t="n"/>
      <c r="H159" s="19">
        <f>IF($A159="","",SUMIF(tblGunluk[VarlikId],$A159,tblGunluk[DurusSure_dk]))</f>
        <v/>
      </c>
      <c r="I159" s="19">
        <f>IF($A159="","",IFERROR(AVERAGEIF(tblGunluk[VarlikId],$A159,tblGunluk[FormulOee_oran]),0))</f>
        <v/>
      </c>
      <c r="J159" s="19">
        <f>IF($A159="","",SUMIF(tblGunluk[VarlikId],$A159,tblGunluk[UretimAdet_adet]))</f>
        <v/>
      </c>
      <c r="K159" s="19">
        <f>IF($A159="","",MAX(0,MIN(100,odk_kaliteTaban-IF($I159&lt;odk_esikOee,odk_kaliteCeza,0)-COUNTIFS(tblGunluk[VarlikId],$A159,tblGunluk[AlarmBayrak],"ALARM")*odk_kaliteSapma-IF($G159="HAYIR",odk_kaliteCeza,0))))</f>
        <v/>
      </c>
    </row>
    <row r="160">
      <c r="A160" s="15" t="n"/>
      <c r="B160" s="15" t="n"/>
      <c r="C160" s="15" t="n"/>
      <c r="D160" s="16" t="n"/>
      <c r="E160" s="17" t="n"/>
      <c r="F160" s="18" t="n"/>
      <c r="G160" s="15" t="n"/>
      <c r="H160" s="19">
        <f>IF($A160="","",SUMIF(tblGunluk[VarlikId],$A160,tblGunluk[DurusSure_dk]))</f>
        <v/>
      </c>
      <c r="I160" s="19">
        <f>IF($A160="","",IFERROR(AVERAGEIF(tblGunluk[VarlikId],$A160,tblGunluk[FormulOee_oran]),0))</f>
        <v/>
      </c>
      <c r="J160" s="19">
        <f>IF($A160="","",SUMIF(tblGunluk[VarlikId],$A160,tblGunluk[UretimAdet_adet]))</f>
        <v/>
      </c>
      <c r="K160" s="19">
        <f>IF($A160="","",MAX(0,MIN(100,odk_kaliteTaban-IF($I160&lt;odk_esikOee,odk_kaliteCeza,0)-COUNTIFS(tblGunluk[VarlikId],$A160,tblGunluk[AlarmBayrak],"ALARM")*odk_kaliteSapma-IF($G160="HAYIR",odk_kaliteCeza,0))))</f>
        <v/>
      </c>
    </row>
    <row r="161">
      <c r="A161" s="15" t="n"/>
      <c r="B161" s="15" t="n"/>
      <c r="C161" s="15" t="n"/>
      <c r="D161" s="16" t="n"/>
      <c r="E161" s="17" t="n"/>
      <c r="F161" s="18" t="n"/>
      <c r="G161" s="15" t="n"/>
      <c r="H161" s="19">
        <f>IF($A161="","",SUMIF(tblGunluk[VarlikId],$A161,tblGunluk[DurusSure_dk]))</f>
        <v/>
      </c>
      <c r="I161" s="19">
        <f>IF($A161="","",IFERROR(AVERAGEIF(tblGunluk[VarlikId],$A161,tblGunluk[FormulOee_oran]),0))</f>
        <v/>
      </c>
      <c r="J161" s="19">
        <f>IF($A161="","",SUMIF(tblGunluk[VarlikId],$A161,tblGunluk[UretimAdet_adet]))</f>
        <v/>
      </c>
      <c r="K161" s="19">
        <f>IF($A161="","",MAX(0,MIN(100,odk_kaliteTaban-IF($I161&lt;odk_esikOee,odk_kaliteCeza,0)-COUNTIFS(tblGunluk[VarlikId],$A161,tblGunluk[AlarmBayrak],"ALARM")*odk_kaliteSapma-IF($G161="HAYIR",odk_kaliteCeza,0))))</f>
        <v/>
      </c>
    </row>
    <row r="162">
      <c r="A162" s="15" t="n"/>
      <c r="B162" s="15" t="n"/>
      <c r="C162" s="15" t="n"/>
      <c r="D162" s="16" t="n"/>
      <c r="E162" s="17" t="n"/>
      <c r="F162" s="18" t="n"/>
      <c r="G162" s="15" t="n"/>
      <c r="H162" s="19">
        <f>IF($A162="","",SUMIF(tblGunluk[VarlikId],$A162,tblGunluk[DurusSure_dk]))</f>
        <v/>
      </c>
      <c r="I162" s="19">
        <f>IF($A162="","",IFERROR(AVERAGEIF(tblGunluk[VarlikId],$A162,tblGunluk[FormulOee_oran]),0))</f>
        <v/>
      </c>
      <c r="J162" s="19">
        <f>IF($A162="","",SUMIF(tblGunluk[VarlikId],$A162,tblGunluk[UretimAdet_adet]))</f>
        <v/>
      </c>
      <c r="K162" s="19">
        <f>IF($A162="","",MAX(0,MIN(100,odk_kaliteTaban-IF($I162&lt;odk_esikOee,odk_kaliteCeza,0)-COUNTIFS(tblGunluk[VarlikId],$A162,tblGunluk[AlarmBayrak],"ALARM")*odk_kaliteSapma-IF($G162="HAYIR",odk_kaliteCeza,0))))</f>
        <v/>
      </c>
    </row>
    <row r="163">
      <c r="A163" s="15" t="n"/>
      <c r="B163" s="15" t="n"/>
      <c r="C163" s="15" t="n"/>
      <c r="D163" s="16" t="n"/>
      <c r="E163" s="17" t="n"/>
      <c r="F163" s="18" t="n"/>
      <c r="G163" s="15" t="n"/>
      <c r="H163" s="19">
        <f>IF($A163="","",SUMIF(tblGunluk[VarlikId],$A163,tblGunluk[DurusSure_dk]))</f>
        <v/>
      </c>
      <c r="I163" s="19">
        <f>IF($A163="","",IFERROR(AVERAGEIF(tblGunluk[VarlikId],$A163,tblGunluk[FormulOee_oran]),0))</f>
        <v/>
      </c>
      <c r="J163" s="19">
        <f>IF($A163="","",SUMIF(tblGunluk[VarlikId],$A163,tblGunluk[UretimAdet_adet]))</f>
        <v/>
      </c>
      <c r="K163" s="19">
        <f>IF($A163="","",MAX(0,MIN(100,odk_kaliteTaban-IF($I163&lt;odk_esikOee,odk_kaliteCeza,0)-COUNTIFS(tblGunluk[VarlikId],$A163,tblGunluk[AlarmBayrak],"ALARM")*odk_kaliteSapma-IF($G163="HAYIR",odk_kaliteCeza,0))))</f>
        <v/>
      </c>
    </row>
    <row r="164">
      <c r="A164" s="15" t="n"/>
      <c r="B164" s="15" t="n"/>
      <c r="C164" s="15" t="n"/>
      <c r="D164" s="16" t="n"/>
      <c r="E164" s="17" t="n"/>
      <c r="F164" s="18" t="n"/>
      <c r="G164" s="15" t="n"/>
      <c r="H164" s="19">
        <f>IF($A164="","",SUMIF(tblGunluk[VarlikId],$A164,tblGunluk[DurusSure_dk]))</f>
        <v/>
      </c>
      <c r="I164" s="19">
        <f>IF($A164="","",IFERROR(AVERAGEIF(tblGunluk[VarlikId],$A164,tblGunluk[FormulOee_oran]),0))</f>
        <v/>
      </c>
      <c r="J164" s="19">
        <f>IF($A164="","",SUMIF(tblGunluk[VarlikId],$A164,tblGunluk[UretimAdet_adet]))</f>
        <v/>
      </c>
      <c r="K164" s="19">
        <f>IF($A164="","",MAX(0,MIN(100,odk_kaliteTaban-IF($I164&lt;odk_esikOee,odk_kaliteCeza,0)-COUNTIFS(tblGunluk[VarlikId],$A164,tblGunluk[AlarmBayrak],"ALARM")*odk_kaliteSapma-IF($G164="HAYIR",odk_kaliteCeza,0))))</f>
        <v/>
      </c>
    </row>
    <row r="165">
      <c r="A165" s="15" t="n"/>
      <c r="B165" s="15" t="n"/>
      <c r="C165" s="15" t="n"/>
      <c r="D165" s="16" t="n"/>
      <c r="E165" s="17" t="n"/>
      <c r="F165" s="18" t="n"/>
      <c r="G165" s="15" t="n"/>
      <c r="H165" s="19">
        <f>IF($A165="","",SUMIF(tblGunluk[VarlikId],$A165,tblGunluk[DurusSure_dk]))</f>
        <v/>
      </c>
      <c r="I165" s="19">
        <f>IF($A165="","",IFERROR(AVERAGEIF(tblGunluk[VarlikId],$A165,tblGunluk[FormulOee_oran]),0))</f>
        <v/>
      </c>
      <c r="J165" s="19">
        <f>IF($A165="","",SUMIF(tblGunluk[VarlikId],$A165,tblGunluk[UretimAdet_adet]))</f>
        <v/>
      </c>
      <c r="K165" s="19">
        <f>IF($A165="","",MAX(0,MIN(100,odk_kaliteTaban-IF($I165&lt;odk_esikOee,odk_kaliteCeza,0)-COUNTIFS(tblGunluk[VarlikId],$A165,tblGunluk[AlarmBayrak],"ALARM")*odk_kaliteSapma-IF($G165="HAYIR",odk_kaliteCeza,0))))</f>
        <v/>
      </c>
    </row>
    <row r="166">
      <c r="A166" s="15" t="n"/>
      <c r="B166" s="15" t="n"/>
      <c r="C166" s="15" t="n"/>
      <c r="D166" s="16" t="n"/>
      <c r="E166" s="17" t="n"/>
      <c r="F166" s="18" t="n"/>
      <c r="G166" s="15" t="n"/>
      <c r="H166" s="19">
        <f>IF($A166="","",SUMIF(tblGunluk[VarlikId],$A166,tblGunluk[DurusSure_dk]))</f>
        <v/>
      </c>
      <c r="I166" s="19">
        <f>IF($A166="","",IFERROR(AVERAGEIF(tblGunluk[VarlikId],$A166,tblGunluk[FormulOee_oran]),0))</f>
        <v/>
      </c>
      <c r="J166" s="19">
        <f>IF($A166="","",SUMIF(tblGunluk[VarlikId],$A166,tblGunluk[UretimAdet_adet]))</f>
        <v/>
      </c>
      <c r="K166" s="19">
        <f>IF($A166="","",MAX(0,MIN(100,odk_kaliteTaban-IF($I166&lt;odk_esikOee,odk_kaliteCeza,0)-COUNTIFS(tblGunluk[VarlikId],$A166,tblGunluk[AlarmBayrak],"ALARM")*odk_kaliteSapma-IF($G166="HAYIR",odk_kaliteCeza,0))))</f>
        <v/>
      </c>
    </row>
    <row r="167">
      <c r="A167" s="15" t="n"/>
      <c r="B167" s="15" t="n"/>
      <c r="C167" s="15" t="n"/>
      <c r="D167" s="16" t="n"/>
      <c r="E167" s="17" t="n"/>
      <c r="F167" s="18" t="n"/>
      <c r="G167" s="15" t="n"/>
      <c r="H167" s="19">
        <f>IF($A167="","",SUMIF(tblGunluk[VarlikId],$A167,tblGunluk[DurusSure_dk]))</f>
        <v/>
      </c>
      <c r="I167" s="19">
        <f>IF($A167="","",IFERROR(AVERAGEIF(tblGunluk[VarlikId],$A167,tblGunluk[FormulOee_oran]),0))</f>
        <v/>
      </c>
      <c r="J167" s="19">
        <f>IF($A167="","",SUMIF(tblGunluk[VarlikId],$A167,tblGunluk[UretimAdet_adet]))</f>
        <v/>
      </c>
      <c r="K167" s="19">
        <f>IF($A167="","",MAX(0,MIN(100,odk_kaliteTaban-IF($I167&lt;odk_esikOee,odk_kaliteCeza,0)-COUNTIFS(tblGunluk[VarlikId],$A167,tblGunluk[AlarmBayrak],"ALARM")*odk_kaliteSapma-IF($G167="HAYIR",odk_kaliteCeza,0))))</f>
        <v/>
      </c>
    </row>
    <row r="168">
      <c r="A168" s="15" t="n"/>
      <c r="B168" s="15" t="n"/>
      <c r="C168" s="15" t="n"/>
      <c r="D168" s="16" t="n"/>
      <c r="E168" s="17" t="n"/>
      <c r="F168" s="18" t="n"/>
      <c r="G168" s="15" t="n"/>
      <c r="H168" s="19">
        <f>IF($A168="","",SUMIF(tblGunluk[VarlikId],$A168,tblGunluk[DurusSure_dk]))</f>
        <v/>
      </c>
      <c r="I168" s="19">
        <f>IF($A168="","",IFERROR(AVERAGEIF(tblGunluk[VarlikId],$A168,tblGunluk[FormulOee_oran]),0))</f>
        <v/>
      </c>
      <c r="J168" s="19">
        <f>IF($A168="","",SUMIF(tblGunluk[VarlikId],$A168,tblGunluk[UretimAdet_adet]))</f>
        <v/>
      </c>
      <c r="K168" s="19">
        <f>IF($A168="","",MAX(0,MIN(100,odk_kaliteTaban-IF($I168&lt;odk_esikOee,odk_kaliteCeza,0)-COUNTIFS(tblGunluk[VarlikId],$A168,tblGunluk[AlarmBayrak],"ALARM")*odk_kaliteSapma-IF($G168="HAYIR",odk_kaliteCeza,0))))</f>
        <v/>
      </c>
    </row>
    <row r="169">
      <c r="A169" s="15" t="n"/>
      <c r="B169" s="15" t="n"/>
      <c r="C169" s="15" t="n"/>
      <c r="D169" s="16" t="n"/>
      <c r="E169" s="17" t="n"/>
      <c r="F169" s="18" t="n"/>
      <c r="G169" s="15" t="n"/>
      <c r="H169" s="19">
        <f>IF($A169="","",SUMIF(tblGunluk[VarlikId],$A169,tblGunluk[DurusSure_dk]))</f>
        <v/>
      </c>
      <c r="I169" s="19">
        <f>IF($A169="","",IFERROR(AVERAGEIF(tblGunluk[VarlikId],$A169,tblGunluk[FormulOee_oran]),0))</f>
        <v/>
      </c>
      <c r="J169" s="19">
        <f>IF($A169="","",SUMIF(tblGunluk[VarlikId],$A169,tblGunluk[UretimAdet_adet]))</f>
        <v/>
      </c>
      <c r="K169" s="19">
        <f>IF($A169="","",MAX(0,MIN(100,odk_kaliteTaban-IF($I169&lt;odk_esikOee,odk_kaliteCeza,0)-COUNTIFS(tblGunluk[VarlikId],$A169,tblGunluk[AlarmBayrak],"ALARM")*odk_kaliteSapma-IF($G169="HAYIR",odk_kaliteCeza,0))))</f>
        <v/>
      </c>
    </row>
    <row r="170">
      <c r="A170" s="15" t="n"/>
      <c r="B170" s="15" t="n"/>
      <c r="C170" s="15" t="n"/>
      <c r="D170" s="16" t="n"/>
      <c r="E170" s="17" t="n"/>
      <c r="F170" s="18" t="n"/>
      <c r="G170" s="15" t="n"/>
      <c r="H170" s="19">
        <f>IF($A170="","",SUMIF(tblGunluk[VarlikId],$A170,tblGunluk[DurusSure_dk]))</f>
        <v/>
      </c>
      <c r="I170" s="19">
        <f>IF($A170="","",IFERROR(AVERAGEIF(tblGunluk[VarlikId],$A170,tblGunluk[FormulOee_oran]),0))</f>
        <v/>
      </c>
      <c r="J170" s="19">
        <f>IF($A170="","",SUMIF(tblGunluk[VarlikId],$A170,tblGunluk[UretimAdet_adet]))</f>
        <v/>
      </c>
      <c r="K170" s="19">
        <f>IF($A170="","",MAX(0,MIN(100,odk_kaliteTaban-IF($I170&lt;odk_esikOee,odk_kaliteCeza,0)-COUNTIFS(tblGunluk[VarlikId],$A170,tblGunluk[AlarmBayrak],"ALARM")*odk_kaliteSapma-IF($G170="HAYIR",odk_kaliteCeza,0))))</f>
        <v/>
      </c>
    </row>
    <row r="171">
      <c r="A171" s="15" t="n"/>
      <c r="B171" s="15" t="n"/>
      <c r="C171" s="15" t="n"/>
      <c r="D171" s="16" t="n"/>
      <c r="E171" s="17" t="n"/>
      <c r="F171" s="18" t="n"/>
      <c r="G171" s="15" t="n"/>
      <c r="H171" s="19">
        <f>IF($A171="","",SUMIF(tblGunluk[VarlikId],$A171,tblGunluk[DurusSure_dk]))</f>
        <v/>
      </c>
      <c r="I171" s="19">
        <f>IF($A171="","",IFERROR(AVERAGEIF(tblGunluk[VarlikId],$A171,tblGunluk[FormulOee_oran]),0))</f>
        <v/>
      </c>
      <c r="J171" s="19">
        <f>IF($A171="","",SUMIF(tblGunluk[VarlikId],$A171,tblGunluk[UretimAdet_adet]))</f>
        <v/>
      </c>
      <c r="K171" s="19">
        <f>IF($A171="","",MAX(0,MIN(100,odk_kaliteTaban-IF($I171&lt;odk_esikOee,odk_kaliteCeza,0)-COUNTIFS(tblGunluk[VarlikId],$A171,tblGunluk[AlarmBayrak],"ALARM")*odk_kaliteSapma-IF($G171="HAYIR",odk_kaliteCeza,0))))</f>
        <v/>
      </c>
    </row>
    <row r="172">
      <c r="A172" s="15" t="n"/>
      <c r="B172" s="15" t="n"/>
      <c r="C172" s="15" t="n"/>
      <c r="D172" s="16" t="n"/>
      <c r="E172" s="17" t="n"/>
      <c r="F172" s="18" t="n"/>
      <c r="G172" s="15" t="n"/>
      <c r="H172" s="19">
        <f>IF($A172="","",SUMIF(tblGunluk[VarlikId],$A172,tblGunluk[DurusSure_dk]))</f>
        <v/>
      </c>
      <c r="I172" s="19">
        <f>IF($A172="","",IFERROR(AVERAGEIF(tblGunluk[VarlikId],$A172,tblGunluk[FormulOee_oran]),0))</f>
        <v/>
      </c>
      <c r="J172" s="19">
        <f>IF($A172="","",SUMIF(tblGunluk[VarlikId],$A172,tblGunluk[UretimAdet_adet]))</f>
        <v/>
      </c>
      <c r="K172" s="19">
        <f>IF($A172="","",MAX(0,MIN(100,odk_kaliteTaban-IF($I172&lt;odk_esikOee,odk_kaliteCeza,0)-COUNTIFS(tblGunluk[VarlikId],$A172,tblGunluk[AlarmBayrak],"ALARM")*odk_kaliteSapma-IF($G172="HAYIR",odk_kaliteCeza,0))))</f>
        <v/>
      </c>
    </row>
    <row r="173">
      <c r="A173" s="15" t="n"/>
      <c r="B173" s="15" t="n"/>
      <c r="C173" s="15" t="n"/>
      <c r="D173" s="16" t="n"/>
      <c r="E173" s="17" t="n"/>
      <c r="F173" s="18" t="n"/>
      <c r="G173" s="15" t="n"/>
      <c r="H173" s="19">
        <f>IF($A173="","",SUMIF(tblGunluk[VarlikId],$A173,tblGunluk[DurusSure_dk]))</f>
        <v/>
      </c>
      <c r="I173" s="19">
        <f>IF($A173="","",IFERROR(AVERAGEIF(tblGunluk[VarlikId],$A173,tblGunluk[FormulOee_oran]),0))</f>
        <v/>
      </c>
      <c r="J173" s="19">
        <f>IF($A173="","",SUMIF(tblGunluk[VarlikId],$A173,tblGunluk[UretimAdet_adet]))</f>
        <v/>
      </c>
      <c r="K173" s="19">
        <f>IF($A173="","",MAX(0,MIN(100,odk_kaliteTaban-IF($I173&lt;odk_esikOee,odk_kaliteCeza,0)-COUNTIFS(tblGunluk[VarlikId],$A173,tblGunluk[AlarmBayrak],"ALARM")*odk_kaliteSapma-IF($G173="HAYIR",odk_kaliteCeza,0))))</f>
        <v/>
      </c>
    </row>
    <row r="174">
      <c r="A174" s="15" t="n"/>
      <c r="B174" s="15" t="n"/>
      <c r="C174" s="15" t="n"/>
      <c r="D174" s="16" t="n"/>
      <c r="E174" s="17" t="n"/>
      <c r="F174" s="18" t="n"/>
      <c r="G174" s="15" t="n"/>
      <c r="H174" s="19">
        <f>IF($A174="","",SUMIF(tblGunluk[VarlikId],$A174,tblGunluk[DurusSure_dk]))</f>
        <v/>
      </c>
      <c r="I174" s="19">
        <f>IF($A174="","",IFERROR(AVERAGEIF(tblGunluk[VarlikId],$A174,tblGunluk[FormulOee_oran]),0))</f>
        <v/>
      </c>
      <c r="J174" s="19">
        <f>IF($A174="","",SUMIF(tblGunluk[VarlikId],$A174,tblGunluk[UretimAdet_adet]))</f>
        <v/>
      </c>
      <c r="K174" s="19">
        <f>IF($A174="","",MAX(0,MIN(100,odk_kaliteTaban-IF($I174&lt;odk_esikOee,odk_kaliteCeza,0)-COUNTIFS(tblGunluk[VarlikId],$A174,tblGunluk[AlarmBayrak],"ALARM")*odk_kaliteSapma-IF($G174="HAYIR",odk_kaliteCeza,0))))</f>
        <v/>
      </c>
    </row>
    <row r="175">
      <c r="A175" s="15" t="n"/>
      <c r="B175" s="15" t="n"/>
      <c r="C175" s="15" t="n"/>
      <c r="D175" s="16" t="n"/>
      <c r="E175" s="17" t="n"/>
      <c r="F175" s="18" t="n"/>
      <c r="G175" s="15" t="n"/>
      <c r="H175" s="19">
        <f>IF($A175="","",SUMIF(tblGunluk[VarlikId],$A175,tblGunluk[DurusSure_dk]))</f>
        <v/>
      </c>
      <c r="I175" s="19">
        <f>IF($A175="","",IFERROR(AVERAGEIF(tblGunluk[VarlikId],$A175,tblGunluk[FormulOee_oran]),0))</f>
        <v/>
      </c>
      <c r="J175" s="19">
        <f>IF($A175="","",SUMIF(tblGunluk[VarlikId],$A175,tblGunluk[UretimAdet_adet]))</f>
        <v/>
      </c>
      <c r="K175" s="19">
        <f>IF($A175="","",MAX(0,MIN(100,odk_kaliteTaban-IF($I175&lt;odk_esikOee,odk_kaliteCeza,0)-COUNTIFS(tblGunluk[VarlikId],$A175,tblGunluk[AlarmBayrak],"ALARM")*odk_kaliteSapma-IF($G175="HAYIR",odk_kaliteCeza,0))))</f>
        <v/>
      </c>
    </row>
    <row r="176">
      <c r="A176" s="15" t="n"/>
      <c r="B176" s="15" t="n"/>
      <c r="C176" s="15" t="n"/>
      <c r="D176" s="16" t="n"/>
      <c r="E176" s="17" t="n"/>
      <c r="F176" s="18" t="n"/>
      <c r="G176" s="15" t="n"/>
      <c r="H176" s="19">
        <f>IF($A176="","",SUMIF(tblGunluk[VarlikId],$A176,tblGunluk[DurusSure_dk]))</f>
        <v/>
      </c>
      <c r="I176" s="19">
        <f>IF($A176="","",IFERROR(AVERAGEIF(tblGunluk[VarlikId],$A176,tblGunluk[FormulOee_oran]),0))</f>
        <v/>
      </c>
      <c r="J176" s="19">
        <f>IF($A176="","",SUMIF(tblGunluk[VarlikId],$A176,tblGunluk[UretimAdet_adet]))</f>
        <v/>
      </c>
      <c r="K176" s="19">
        <f>IF($A176="","",MAX(0,MIN(100,odk_kaliteTaban-IF($I176&lt;odk_esikOee,odk_kaliteCeza,0)-COUNTIFS(tblGunluk[VarlikId],$A176,tblGunluk[AlarmBayrak],"ALARM")*odk_kaliteSapma-IF($G176="HAYIR",odk_kaliteCeza,0))))</f>
        <v/>
      </c>
    </row>
    <row r="177">
      <c r="A177" s="15" t="n"/>
      <c r="B177" s="15" t="n"/>
      <c r="C177" s="15" t="n"/>
      <c r="D177" s="16" t="n"/>
      <c r="E177" s="17" t="n"/>
      <c r="F177" s="18" t="n"/>
      <c r="G177" s="15" t="n"/>
      <c r="H177" s="19">
        <f>IF($A177="","",SUMIF(tblGunluk[VarlikId],$A177,tblGunluk[DurusSure_dk]))</f>
        <v/>
      </c>
      <c r="I177" s="19">
        <f>IF($A177="","",IFERROR(AVERAGEIF(tblGunluk[VarlikId],$A177,tblGunluk[FormulOee_oran]),0))</f>
        <v/>
      </c>
      <c r="J177" s="19">
        <f>IF($A177="","",SUMIF(tblGunluk[VarlikId],$A177,tblGunluk[UretimAdet_adet]))</f>
        <v/>
      </c>
      <c r="K177" s="19">
        <f>IF($A177="","",MAX(0,MIN(100,odk_kaliteTaban-IF($I177&lt;odk_esikOee,odk_kaliteCeza,0)-COUNTIFS(tblGunluk[VarlikId],$A177,tblGunluk[AlarmBayrak],"ALARM")*odk_kaliteSapma-IF($G177="HAYIR",odk_kaliteCeza,0))))</f>
        <v/>
      </c>
    </row>
    <row r="178">
      <c r="A178" s="15" t="n"/>
      <c r="B178" s="15" t="n"/>
      <c r="C178" s="15" t="n"/>
      <c r="D178" s="16" t="n"/>
      <c r="E178" s="17" t="n"/>
      <c r="F178" s="18" t="n"/>
      <c r="G178" s="15" t="n"/>
      <c r="H178" s="19">
        <f>IF($A178="","",SUMIF(tblGunluk[VarlikId],$A178,tblGunluk[DurusSure_dk]))</f>
        <v/>
      </c>
      <c r="I178" s="19">
        <f>IF($A178="","",IFERROR(AVERAGEIF(tblGunluk[VarlikId],$A178,tblGunluk[FormulOee_oran]),0))</f>
        <v/>
      </c>
      <c r="J178" s="19">
        <f>IF($A178="","",SUMIF(tblGunluk[VarlikId],$A178,tblGunluk[UretimAdet_adet]))</f>
        <v/>
      </c>
      <c r="K178" s="19">
        <f>IF($A178="","",MAX(0,MIN(100,odk_kaliteTaban-IF($I178&lt;odk_esikOee,odk_kaliteCeza,0)-COUNTIFS(tblGunluk[VarlikId],$A178,tblGunluk[AlarmBayrak],"ALARM")*odk_kaliteSapma-IF($G178="HAYIR",odk_kaliteCeza,0))))</f>
        <v/>
      </c>
    </row>
    <row r="179">
      <c r="A179" s="15" t="n"/>
      <c r="B179" s="15" t="n"/>
      <c r="C179" s="15" t="n"/>
      <c r="D179" s="16" t="n"/>
      <c r="E179" s="17" t="n"/>
      <c r="F179" s="18" t="n"/>
      <c r="G179" s="15" t="n"/>
      <c r="H179" s="19">
        <f>IF($A179="","",SUMIF(tblGunluk[VarlikId],$A179,tblGunluk[DurusSure_dk]))</f>
        <v/>
      </c>
      <c r="I179" s="19">
        <f>IF($A179="","",IFERROR(AVERAGEIF(tblGunluk[VarlikId],$A179,tblGunluk[FormulOee_oran]),0))</f>
        <v/>
      </c>
      <c r="J179" s="19">
        <f>IF($A179="","",SUMIF(tblGunluk[VarlikId],$A179,tblGunluk[UretimAdet_adet]))</f>
        <v/>
      </c>
      <c r="K179" s="19">
        <f>IF($A179="","",MAX(0,MIN(100,odk_kaliteTaban-IF($I179&lt;odk_esikOee,odk_kaliteCeza,0)-COUNTIFS(tblGunluk[VarlikId],$A179,tblGunluk[AlarmBayrak],"ALARM")*odk_kaliteSapma-IF($G179="HAYIR",odk_kaliteCeza,0))))</f>
        <v/>
      </c>
    </row>
    <row r="180">
      <c r="A180" s="15" t="n"/>
      <c r="B180" s="15" t="n"/>
      <c r="C180" s="15" t="n"/>
      <c r="D180" s="16" t="n"/>
      <c r="E180" s="17" t="n"/>
      <c r="F180" s="18" t="n"/>
      <c r="G180" s="15" t="n"/>
      <c r="H180" s="19">
        <f>IF($A180="","",SUMIF(tblGunluk[VarlikId],$A180,tblGunluk[DurusSure_dk]))</f>
        <v/>
      </c>
      <c r="I180" s="19">
        <f>IF($A180="","",IFERROR(AVERAGEIF(tblGunluk[VarlikId],$A180,tblGunluk[FormulOee_oran]),0))</f>
        <v/>
      </c>
      <c r="J180" s="19">
        <f>IF($A180="","",SUMIF(tblGunluk[VarlikId],$A180,tblGunluk[UretimAdet_adet]))</f>
        <v/>
      </c>
      <c r="K180" s="19">
        <f>IF($A180="","",MAX(0,MIN(100,odk_kaliteTaban-IF($I180&lt;odk_esikOee,odk_kaliteCeza,0)-COUNTIFS(tblGunluk[VarlikId],$A180,tblGunluk[AlarmBayrak],"ALARM")*odk_kaliteSapma-IF($G180="HAYIR",odk_kaliteCeza,0))))</f>
        <v/>
      </c>
    </row>
    <row r="181">
      <c r="A181" s="15" t="n"/>
      <c r="B181" s="15" t="n"/>
      <c r="C181" s="15" t="n"/>
      <c r="D181" s="16" t="n"/>
      <c r="E181" s="17" t="n"/>
      <c r="F181" s="18" t="n"/>
      <c r="G181" s="15" t="n"/>
      <c r="H181" s="19">
        <f>IF($A181="","",SUMIF(tblGunluk[VarlikId],$A181,tblGunluk[DurusSure_dk]))</f>
        <v/>
      </c>
      <c r="I181" s="19">
        <f>IF($A181="","",IFERROR(AVERAGEIF(tblGunluk[VarlikId],$A181,tblGunluk[FormulOee_oran]),0))</f>
        <v/>
      </c>
      <c r="J181" s="19">
        <f>IF($A181="","",SUMIF(tblGunluk[VarlikId],$A181,tblGunluk[UretimAdet_adet]))</f>
        <v/>
      </c>
      <c r="K181" s="19">
        <f>IF($A181="","",MAX(0,MIN(100,odk_kaliteTaban-IF($I181&lt;odk_esikOee,odk_kaliteCeza,0)-COUNTIFS(tblGunluk[VarlikId],$A181,tblGunluk[AlarmBayrak],"ALARM")*odk_kaliteSapma-IF($G181="HAYIR",odk_kaliteCeza,0))))</f>
        <v/>
      </c>
    </row>
    <row r="182">
      <c r="A182" s="15" t="n"/>
      <c r="B182" s="15" t="n"/>
      <c r="C182" s="15" t="n"/>
      <c r="D182" s="16" t="n"/>
      <c r="E182" s="17" t="n"/>
      <c r="F182" s="18" t="n"/>
      <c r="G182" s="15" t="n"/>
      <c r="H182" s="19">
        <f>IF($A182="","",SUMIF(tblGunluk[VarlikId],$A182,tblGunluk[DurusSure_dk]))</f>
        <v/>
      </c>
      <c r="I182" s="19">
        <f>IF($A182="","",IFERROR(AVERAGEIF(tblGunluk[VarlikId],$A182,tblGunluk[FormulOee_oran]),0))</f>
        <v/>
      </c>
      <c r="J182" s="19">
        <f>IF($A182="","",SUMIF(tblGunluk[VarlikId],$A182,tblGunluk[UretimAdet_adet]))</f>
        <v/>
      </c>
      <c r="K182" s="19">
        <f>IF($A182="","",MAX(0,MIN(100,odk_kaliteTaban-IF($I182&lt;odk_esikOee,odk_kaliteCeza,0)-COUNTIFS(tblGunluk[VarlikId],$A182,tblGunluk[AlarmBayrak],"ALARM")*odk_kaliteSapma-IF($G182="HAYIR",odk_kaliteCeza,0))))</f>
        <v/>
      </c>
    </row>
    <row r="183">
      <c r="A183" s="15" t="n"/>
      <c r="B183" s="15" t="n"/>
      <c r="C183" s="15" t="n"/>
      <c r="D183" s="16" t="n"/>
      <c r="E183" s="17" t="n"/>
      <c r="F183" s="18" t="n"/>
      <c r="G183" s="15" t="n"/>
      <c r="H183" s="19">
        <f>IF($A183="","",SUMIF(tblGunluk[VarlikId],$A183,tblGunluk[DurusSure_dk]))</f>
        <v/>
      </c>
      <c r="I183" s="19">
        <f>IF($A183="","",IFERROR(AVERAGEIF(tblGunluk[VarlikId],$A183,tblGunluk[FormulOee_oran]),0))</f>
        <v/>
      </c>
      <c r="J183" s="19">
        <f>IF($A183="","",SUMIF(tblGunluk[VarlikId],$A183,tblGunluk[UretimAdet_adet]))</f>
        <v/>
      </c>
      <c r="K183" s="19">
        <f>IF($A183="","",MAX(0,MIN(100,odk_kaliteTaban-IF($I183&lt;odk_esikOee,odk_kaliteCeza,0)-COUNTIFS(tblGunluk[VarlikId],$A183,tblGunluk[AlarmBayrak],"ALARM")*odk_kaliteSapma-IF($G183="HAYIR",odk_kaliteCeza,0))))</f>
        <v/>
      </c>
    </row>
    <row r="184">
      <c r="A184" s="15" t="n"/>
      <c r="B184" s="15" t="n"/>
      <c r="C184" s="15" t="n"/>
      <c r="D184" s="16" t="n"/>
      <c r="E184" s="17" t="n"/>
      <c r="F184" s="18" t="n"/>
      <c r="G184" s="15" t="n"/>
      <c r="H184" s="19">
        <f>IF($A184="","",SUMIF(tblGunluk[VarlikId],$A184,tblGunluk[DurusSure_dk]))</f>
        <v/>
      </c>
      <c r="I184" s="19">
        <f>IF($A184="","",IFERROR(AVERAGEIF(tblGunluk[VarlikId],$A184,tblGunluk[FormulOee_oran]),0))</f>
        <v/>
      </c>
      <c r="J184" s="19">
        <f>IF($A184="","",SUMIF(tblGunluk[VarlikId],$A184,tblGunluk[UretimAdet_adet]))</f>
        <v/>
      </c>
      <c r="K184" s="19">
        <f>IF($A184="","",MAX(0,MIN(100,odk_kaliteTaban-IF($I184&lt;odk_esikOee,odk_kaliteCeza,0)-COUNTIFS(tblGunluk[VarlikId],$A184,tblGunluk[AlarmBayrak],"ALARM")*odk_kaliteSapma-IF($G184="HAYIR",odk_kaliteCeza,0))))</f>
        <v/>
      </c>
    </row>
    <row r="185">
      <c r="A185" s="15" t="n"/>
      <c r="B185" s="15" t="n"/>
      <c r="C185" s="15" t="n"/>
      <c r="D185" s="16" t="n"/>
      <c r="E185" s="17" t="n"/>
      <c r="F185" s="18" t="n"/>
      <c r="G185" s="15" t="n"/>
      <c r="H185" s="19">
        <f>IF($A185="","",SUMIF(tblGunluk[VarlikId],$A185,tblGunluk[DurusSure_dk]))</f>
        <v/>
      </c>
      <c r="I185" s="19">
        <f>IF($A185="","",IFERROR(AVERAGEIF(tblGunluk[VarlikId],$A185,tblGunluk[FormulOee_oran]),0))</f>
        <v/>
      </c>
      <c r="J185" s="19">
        <f>IF($A185="","",SUMIF(tblGunluk[VarlikId],$A185,tblGunluk[UretimAdet_adet]))</f>
        <v/>
      </c>
      <c r="K185" s="19">
        <f>IF($A185="","",MAX(0,MIN(100,odk_kaliteTaban-IF($I185&lt;odk_esikOee,odk_kaliteCeza,0)-COUNTIFS(tblGunluk[VarlikId],$A185,tblGunluk[AlarmBayrak],"ALARM")*odk_kaliteSapma-IF($G185="HAYIR",odk_kaliteCeza,0))))</f>
        <v/>
      </c>
    </row>
    <row r="186">
      <c r="A186" s="15" t="n"/>
      <c r="B186" s="15" t="n"/>
      <c r="C186" s="15" t="n"/>
      <c r="D186" s="16" t="n"/>
      <c r="E186" s="17" t="n"/>
      <c r="F186" s="18" t="n"/>
      <c r="G186" s="15" t="n"/>
      <c r="H186" s="19">
        <f>IF($A186="","",SUMIF(tblGunluk[VarlikId],$A186,tblGunluk[DurusSure_dk]))</f>
        <v/>
      </c>
      <c r="I186" s="19">
        <f>IF($A186="","",IFERROR(AVERAGEIF(tblGunluk[VarlikId],$A186,tblGunluk[FormulOee_oran]),0))</f>
        <v/>
      </c>
      <c r="J186" s="19">
        <f>IF($A186="","",SUMIF(tblGunluk[VarlikId],$A186,tblGunluk[UretimAdet_adet]))</f>
        <v/>
      </c>
      <c r="K186" s="19">
        <f>IF($A186="","",MAX(0,MIN(100,odk_kaliteTaban-IF($I186&lt;odk_esikOee,odk_kaliteCeza,0)-COUNTIFS(tblGunluk[VarlikId],$A186,tblGunluk[AlarmBayrak],"ALARM")*odk_kaliteSapma-IF($G186="HAYIR",odk_kaliteCeza,0))))</f>
        <v/>
      </c>
    </row>
    <row r="187">
      <c r="A187" s="15" t="n"/>
      <c r="B187" s="15" t="n"/>
      <c r="C187" s="15" t="n"/>
      <c r="D187" s="16" t="n"/>
      <c r="E187" s="17" t="n"/>
      <c r="F187" s="18" t="n"/>
      <c r="G187" s="15" t="n"/>
      <c r="H187" s="19">
        <f>IF($A187="","",SUMIF(tblGunluk[VarlikId],$A187,tblGunluk[DurusSure_dk]))</f>
        <v/>
      </c>
      <c r="I187" s="19">
        <f>IF($A187="","",IFERROR(AVERAGEIF(tblGunluk[VarlikId],$A187,tblGunluk[FormulOee_oran]),0))</f>
        <v/>
      </c>
      <c r="J187" s="19">
        <f>IF($A187="","",SUMIF(tblGunluk[VarlikId],$A187,tblGunluk[UretimAdet_adet]))</f>
        <v/>
      </c>
      <c r="K187" s="19">
        <f>IF($A187="","",MAX(0,MIN(100,odk_kaliteTaban-IF($I187&lt;odk_esikOee,odk_kaliteCeza,0)-COUNTIFS(tblGunluk[VarlikId],$A187,tblGunluk[AlarmBayrak],"ALARM")*odk_kaliteSapma-IF($G187="HAYIR",odk_kaliteCeza,0))))</f>
        <v/>
      </c>
    </row>
    <row r="188">
      <c r="A188" s="15" t="n"/>
      <c r="B188" s="15" t="n"/>
      <c r="C188" s="15" t="n"/>
      <c r="D188" s="16" t="n"/>
      <c r="E188" s="17" t="n"/>
      <c r="F188" s="18" t="n"/>
      <c r="G188" s="15" t="n"/>
      <c r="H188" s="19">
        <f>IF($A188="","",SUMIF(tblGunluk[VarlikId],$A188,tblGunluk[DurusSure_dk]))</f>
        <v/>
      </c>
      <c r="I188" s="19">
        <f>IF($A188="","",IFERROR(AVERAGEIF(tblGunluk[VarlikId],$A188,tblGunluk[FormulOee_oran]),0))</f>
        <v/>
      </c>
      <c r="J188" s="19">
        <f>IF($A188="","",SUMIF(tblGunluk[VarlikId],$A188,tblGunluk[UretimAdet_adet]))</f>
        <v/>
      </c>
      <c r="K188" s="19">
        <f>IF($A188="","",MAX(0,MIN(100,odk_kaliteTaban-IF($I188&lt;odk_esikOee,odk_kaliteCeza,0)-COUNTIFS(tblGunluk[VarlikId],$A188,tblGunluk[AlarmBayrak],"ALARM")*odk_kaliteSapma-IF($G188="HAYIR",odk_kaliteCeza,0))))</f>
        <v/>
      </c>
    </row>
    <row r="189">
      <c r="A189" s="15" t="n"/>
      <c r="B189" s="15" t="n"/>
      <c r="C189" s="15" t="n"/>
      <c r="D189" s="16" t="n"/>
      <c r="E189" s="17" t="n"/>
      <c r="F189" s="18" t="n"/>
      <c r="G189" s="15" t="n"/>
      <c r="H189" s="19">
        <f>IF($A189="","",SUMIF(tblGunluk[VarlikId],$A189,tblGunluk[DurusSure_dk]))</f>
        <v/>
      </c>
      <c r="I189" s="19">
        <f>IF($A189="","",IFERROR(AVERAGEIF(tblGunluk[VarlikId],$A189,tblGunluk[FormulOee_oran]),0))</f>
        <v/>
      </c>
      <c r="J189" s="19">
        <f>IF($A189="","",SUMIF(tblGunluk[VarlikId],$A189,tblGunluk[UretimAdet_adet]))</f>
        <v/>
      </c>
      <c r="K189" s="19">
        <f>IF($A189="","",MAX(0,MIN(100,odk_kaliteTaban-IF($I189&lt;odk_esikOee,odk_kaliteCeza,0)-COUNTIFS(tblGunluk[VarlikId],$A189,tblGunluk[AlarmBayrak],"ALARM")*odk_kaliteSapma-IF($G189="HAYIR",odk_kaliteCeza,0))))</f>
        <v/>
      </c>
    </row>
    <row r="190">
      <c r="A190" s="15" t="n"/>
      <c r="B190" s="15" t="n"/>
      <c r="C190" s="15" t="n"/>
      <c r="D190" s="16" t="n"/>
      <c r="E190" s="17" t="n"/>
      <c r="F190" s="18" t="n"/>
      <c r="G190" s="15" t="n"/>
      <c r="H190" s="19">
        <f>IF($A190="","",SUMIF(tblGunluk[VarlikId],$A190,tblGunluk[DurusSure_dk]))</f>
        <v/>
      </c>
      <c r="I190" s="19">
        <f>IF($A190="","",IFERROR(AVERAGEIF(tblGunluk[VarlikId],$A190,tblGunluk[FormulOee_oran]),0))</f>
        <v/>
      </c>
      <c r="J190" s="19">
        <f>IF($A190="","",SUMIF(tblGunluk[VarlikId],$A190,tblGunluk[UretimAdet_adet]))</f>
        <v/>
      </c>
      <c r="K190" s="19">
        <f>IF($A190="","",MAX(0,MIN(100,odk_kaliteTaban-IF($I190&lt;odk_esikOee,odk_kaliteCeza,0)-COUNTIFS(tblGunluk[VarlikId],$A190,tblGunluk[AlarmBayrak],"ALARM")*odk_kaliteSapma-IF($G190="HAYIR",odk_kaliteCeza,0))))</f>
        <v/>
      </c>
    </row>
    <row r="191">
      <c r="A191" s="15" t="n"/>
      <c r="B191" s="15" t="n"/>
      <c r="C191" s="15" t="n"/>
      <c r="D191" s="16" t="n"/>
      <c r="E191" s="17" t="n"/>
      <c r="F191" s="18" t="n"/>
      <c r="G191" s="15" t="n"/>
      <c r="H191" s="19">
        <f>IF($A191="","",SUMIF(tblGunluk[VarlikId],$A191,tblGunluk[DurusSure_dk]))</f>
        <v/>
      </c>
      <c r="I191" s="19">
        <f>IF($A191="","",IFERROR(AVERAGEIF(tblGunluk[VarlikId],$A191,tblGunluk[FormulOee_oran]),0))</f>
        <v/>
      </c>
      <c r="J191" s="19">
        <f>IF($A191="","",SUMIF(tblGunluk[VarlikId],$A191,tblGunluk[UretimAdet_adet]))</f>
        <v/>
      </c>
      <c r="K191" s="19">
        <f>IF($A191="","",MAX(0,MIN(100,odk_kaliteTaban-IF($I191&lt;odk_esikOee,odk_kaliteCeza,0)-COUNTIFS(tblGunluk[VarlikId],$A191,tblGunluk[AlarmBayrak],"ALARM")*odk_kaliteSapma-IF($G191="HAYIR",odk_kaliteCeza,0))))</f>
        <v/>
      </c>
    </row>
    <row r="192">
      <c r="A192" s="15" t="n"/>
      <c r="B192" s="15" t="n"/>
      <c r="C192" s="15" t="n"/>
      <c r="D192" s="16" t="n"/>
      <c r="E192" s="17" t="n"/>
      <c r="F192" s="18" t="n"/>
      <c r="G192" s="15" t="n"/>
      <c r="H192" s="19">
        <f>IF($A192="","",SUMIF(tblGunluk[VarlikId],$A192,tblGunluk[DurusSure_dk]))</f>
        <v/>
      </c>
      <c r="I192" s="19">
        <f>IF($A192="","",IFERROR(AVERAGEIF(tblGunluk[VarlikId],$A192,tblGunluk[FormulOee_oran]),0))</f>
        <v/>
      </c>
      <c r="J192" s="19">
        <f>IF($A192="","",SUMIF(tblGunluk[VarlikId],$A192,tblGunluk[UretimAdet_adet]))</f>
        <v/>
      </c>
      <c r="K192" s="19">
        <f>IF($A192="","",MAX(0,MIN(100,odk_kaliteTaban-IF($I192&lt;odk_esikOee,odk_kaliteCeza,0)-COUNTIFS(tblGunluk[VarlikId],$A192,tblGunluk[AlarmBayrak],"ALARM")*odk_kaliteSapma-IF($G192="HAYIR",odk_kaliteCeza,0))))</f>
        <v/>
      </c>
    </row>
    <row r="193">
      <c r="A193" s="15" t="n"/>
      <c r="B193" s="15" t="n"/>
      <c r="C193" s="15" t="n"/>
      <c r="D193" s="16" t="n"/>
      <c r="E193" s="17" t="n"/>
      <c r="F193" s="18" t="n"/>
      <c r="G193" s="15" t="n"/>
      <c r="H193" s="19">
        <f>IF($A193="","",SUMIF(tblGunluk[VarlikId],$A193,tblGunluk[DurusSure_dk]))</f>
        <v/>
      </c>
      <c r="I193" s="19">
        <f>IF($A193="","",IFERROR(AVERAGEIF(tblGunluk[VarlikId],$A193,tblGunluk[FormulOee_oran]),0))</f>
        <v/>
      </c>
      <c r="J193" s="19">
        <f>IF($A193="","",SUMIF(tblGunluk[VarlikId],$A193,tblGunluk[UretimAdet_adet]))</f>
        <v/>
      </c>
      <c r="K193" s="19">
        <f>IF($A193="","",MAX(0,MIN(100,odk_kaliteTaban-IF($I193&lt;odk_esikOee,odk_kaliteCeza,0)-COUNTIFS(tblGunluk[VarlikId],$A193,tblGunluk[AlarmBayrak],"ALARM")*odk_kaliteSapma-IF($G193="HAYIR",odk_kaliteCeza,0))))</f>
        <v/>
      </c>
    </row>
    <row r="194">
      <c r="A194" s="15" t="n"/>
      <c r="B194" s="15" t="n"/>
      <c r="C194" s="15" t="n"/>
      <c r="D194" s="16" t="n"/>
      <c r="E194" s="17" t="n"/>
      <c r="F194" s="18" t="n"/>
      <c r="G194" s="15" t="n"/>
      <c r="H194" s="19">
        <f>IF($A194="","",SUMIF(tblGunluk[VarlikId],$A194,tblGunluk[DurusSure_dk]))</f>
        <v/>
      </c>
      <c r="I194" s="19">
        <f>IF($A194="","",IFERROR(AVERAGEIF(tblGunluk[VarlikId],$A194,tblGunluk[FormulOee_oran]),0))</f>
        <v/>
      </c>
      <c r="J194" s="19">
        <f>IF($A194="","",SUMIF(tblGunluk[VarlikId],$A194,tblGunluk[UretimAdet_adet]))</f>
        <v/>
      </c>
      <c r="K194" s="19">
        <f>IF($A194="","",MAX(0,MIN(100,odk_kaliteTaban-IF($I194&lt;odk_esikOee,odk_kaliteCeza,0)-COUNTIFS(tblGunluk[VarlikId],$A194,tblGunluk[AlarmBayrak],"ALARM")*odk_kaliteSapma-IF($G194="HAYIR",odk_kaliteCeza,0))))</f>
        <v/>
      </c>
    </row>
    <row r="195">
      <c r="A195" s="15" t="n"/>
      <c r="B195" s="15" t="n"/>
      <c r="C195" s="15" t="n"/>
      <c r="D195" s="16" t="n"/>
      <c r="E195" s="17" t="n"/>
      <c r="F195" s="18" t="n"/>
      <c r="G195" s="15" t="n"/>
      <c r="H195" s="19">
        <f>IF($A195="","",SUMIF(tblGunluk[VarlikId],$A195,tblGunluk[DurusSure_dk]))</f>
        <v/>
      </c>
      <c r="I195" s="19">
        <f>IF($A195="","",IFERROR(AVERAGEIF(tblGunluk[VarlikId],$A195,tblGunluk[FormulOee_oran]),0))</f>
        <v/>
      </c>
      <c r="J195" s="19">
        <f>IF($A195="","",SUMIF(tblGunluk[VarlikId],$A195,tblGunluk[UretimAdet_adet]))</f>
        <v/>
      </c>
      <c r="K195" s="19">
        <f>IF($A195="","",MAX(0,MIN(100,odk_kaliteTaban-IF($I195&lt;odk_esikOee,odk_kaliteCeza,0)-COUNTIFS(tblGunluk[VarlikId],$A195,tblGunluk[AlarmBayrak],"ALARM")*odk_kaliteSapma-IF($G195="HAYIR",odk_kaliteCeza,0))))</f>
        <v/>
      </c>
    </row>
    <row r="196">
      <c r="A196" s="15" t="n"/>
      <c r="B196" s="15" t="n"/>
      <c r="C196" s="15" t="n"/>
      <c r="D196" s="16" t="n"/>
      <c r="E196" s="17" t="n"/>
      <c r="F196" s="18" t="n"/>
      <c r="G196" s="15" t="n"/>
      <c r="H196" s="19">
        <f>IF($A196="","",SUMIF(tblGunluk[VarlikId],$A196,tblGunluk[DurusSure_dk]))</f>
        <v/>
      </c>
      <c r="I196" s="19">
        <f>IF($A196="","",IFERROR(AVERAGEIF(tblGunluk[VarlikId],$A196,tblGunluk[FormulOee_oran]),0))</f>
        <v/>
      </c>
      <c r="J196" s="19">
        <f>IF($A196="","",SUMIF(tblGunluk[VarlikId],$A196,tblGunluk[UretimAdet_adet]))</f>
        <v/>
      </c>
      <c r="K196" s="19">
        <f>IF($A196="","",MAX(0,MIN(100,odk_kaliteTaban-IF($I196&lt;odk_esikOee,odk_kaliteCeza,0)-COUNTIFS(tblGunluk[VarlikId],$A196,tblGunluk[AlarmBayrak],"ALARM")*odk_kaliteSapma-IF($G196="HAYIR",odk_kaliteCeza,0))))</f>
        <v/>
      </c>
    </row>
    <row r="197">
      <c r="A197" s="15" t="n"/>
      <c r="B197" s="15" t="n"/>
      <c r="C197" s="15" t="n"/>
      <c r="D197" s="16" t="n"/>
      <c r="E197" s="17" t="n"/>
      <c r="F197" s="18" t="n"/>
      <c r="G197" s="15" t="n"/>
      <c r="H197" s="19">
        <f>IF($A197="","",SUMIF(tblGunluk[VarlikId],$A197,tblGunluk[DurusSure_dk]))</f>
        <v/>
      </c>
      <c r="I197" s="19">
        <f>IF($A197="","",IFERROR(AVERAGEIF(tblGunluk[VarlikId],$A197,tblGunluk[FormulOee_oran]),0))</f>
        <v/>
      </c>
      <c r="J197" s="19">
        <f>IF($A197="","",SUMIF(tblGunluk[VarlikId],$A197,tblGunluk[UretimAdet_adet]))</f>
        <v/>
      </c>
      <c r="K197" s="19">
        <f>IF($A197="","",MAX(0,MIN(100,odk_kaliteTaban-IF($I197&lt;odk_esikOee,odk_kaliteCeza,0)-COUNTIFS(tblGunluk[VarlikId],$A197,tblGunluk[AlarmBayrak],"ALARM")*odk_kaliteSapma-IF($G197="HAYIR",odk_kaliteCeza,0))))</f>
        <v/>
      </c>
    </row>
    <row r="198">
      <c r="A198" s="15" t="n"/>
      <c r="B198" s="15" t="n"/>
      <c r="C198" s="15" t="n"/>
      <c r="D198" s="16" t="n"/>
      <c r="E198" s="17" t="n"/>
      <c r="F198" s="18" t="n"/>
      <c r="G198" s="15" t="n"/>
      <c r="H198" s="19">
        <f>IF($A198="","",SUMIF(tblGunluk[VarlikId],$A198,tblGunluk[DurusSure_dk]))</f>
        <v/>
      </c>
      <c r="I198" s="19">
        <f>IF($A198="","",IFERROR(AVERAGEIF(tblGunluk[VarlikId],$A198,tblGunluk[FormulOee_oran]),0))</f>
        <v/>
      </c>
      <c r="J198" s="19">
        <f>IF($A198="","",SUMIF(tblGunluk[VarlikId],$A198,tblGunluk[UretimAdet_adet]))</f>
        <v/>
      </c>
      <c r="K198" s="19">
        <f>IF($A198="","",MAX(0,MIN(100,odk_kaliteTaban-IF($I198&lt;odk_esikOee,odk_kaliteCeza,0)-COUNTIFS(tblGunluk[VarlikId],$A198,tblGunluk[AlarmBayrak],"ALARM")*odk_kaliteSapma-IF($G198="HAYIR",odk_kaliteCeza,0))))</f>
        <v/>
      </c>
    </row>
    <row r="199">
      <c r="A199" s="15" t="n"/>
      <c r="B199" s="15" t="n"/>
      <c r="C199" s="15" t="n"/>
      <c r="D199" s="16" t="n"/>
      <c r="E199" s="17" t="n"/>
      <c r="F199" s="18" t="n"/>
      <c r="G199" s="15" t="n"/>
      <c r="H199" s="19">
        <f>IF($A199="","",SUMIF(tblGunluk[VarlikId],$A199,tblGunluk[DurusSure_dk]))</f>
        <v/>
      </c>
      <c r="I199" s="19">
        <f>IF($A199="","",IFERROR(AVERAGEIF(tblGunluk[VarlikId],$A199,tblGunluk[FormulOee_oran]),0))</f>
        <v/>
      </c>
      <c r="J199" s="19">
        <f>IF($A199="","",SUMIF(tblGunluk[VarlikId],$A199,tblGunluk[UretimAdet_adet]))</f>
        <v/>
      </c>
      <c r="K199" s="19">
        <f>IF($A199="","",MAX(0,MIN(100,odk_kaliteTaban-IF($I199&lt;odk_esikOee,odk_kaliteCeza,0)-COUNTIFS(tblGunluk[VarlikId],$A199,tblGunluk[AlarmBayrak],"ALARM")*odk_kaliteSapma-IF($G199="HAYIR",odk_kaliteCeza,0))))</f>
        <v/>
      </c>
    </row>
    <row r="200">
      <c r="A200" s="15" t="n"/>
      <c r="B200" s="15" t="n"/>
      <c r="C200" s="15" t="n"/>
      <c r="D200" s="16" t="n"/>
      <c r="E200" s="17" t="n"/>
      <c r="F200" s="18" t="n"/>
      <c r="G200" s="15" t="n"/>
      <c r="H200" s="19">
        <f>IF($A200="","",SUMIF(tblGunluk[VarlikId],$A200,tblGunluk[DurusSure_dk]))</f>
        <v/>
      </c>
      <c r="I200" s="19">
        <f>IF($A200="","",IFERROR(AVERAGEIF(tblGunluk[VarlikId],$A200,tblGunluk[FormulOee_oran]),0))</f>
        <v/>
      </c>
      <c r="J200" s="19">
        <f>IF($A200="","",SUMIF(tblGunluk[VarlikId],$A200,tblGunluk[UretimAdet_adet]))</f>
        <v/>
      </c>
      <c r="K200" s="19">
        <f>IF($A200="","",MAX(0,MIN(100,odk_kaliteTaban-IF($I200&lt;odk_esikOee,odk_kaliteCeza,0)-COUNTIFS(tblGunluk[VarlikId],$A200,tblGunluk[AlarmBayrak],"ALARM")*odk_kaliteSapma-IF($G200="HAYIR",odk_kaliteCeza,0))))</f>
        <v/>
      </c>
    </row>
    <row r="201">
      <c r="A201" s="15" t="n"/>
      <c r="B201" s="15" t="n"/>
      <c r="C201" s="15" t="n"/>
      <c r="D201" s="16" t="n"/>
      <c r="E201" s="17" t="n"/>
      <c r="F201" s="18" t="n"/>
      <c r="G201" s="15" t="n"/>
      <c r="H201" s="19">
        <f>IF($A201="","",SUMIF(tblGunluk[VarlikId],$A201,tblGunluk[DurusSure_dk]))</f>
        <v/>
      </c>
      <c r="I201" s="19">
        <f>IF($A201="","",IFERROR(AVERAGEIF(tblGunluk[VarlikId],$A201,tblGunluk[FormulOee_oran]),0))</f>
        <v/>
      </c>
      <c r="J201" s="19">
        <f>IF($A201="","",SUMIF(tblGunluk[VarlikId],$A201,tblGunluk[UretimAdet_adet]))</f>
        <v/>
      </c>
      <c r="K201" s="19">
        <f>IF($A201="","",MAX(0,MIN(100,odk_kaliteTaban-IF($I201&lt;odk_esikOee,odk_kaliteCeza,0)-COUNTIFS(tblGunluk[VarlikId],$A201,tblGunluk[AlarmBayrak],"ALARM")*odk_kaliteSapma-IF($G201="HAYIR",odk_kaliteCeza,0))))</f>
        <v/>
      </c>
    </row>
    <row r="202">
      <c r="A202" s="15" t="n"/>
      <c r="B202" s="15" t="n"/>
      <c r="C202" s="15" t="n"/>
      <c r="D202" s="16" t="n"/>
      <c r="E202" s="17" t="n"/>
      <c r="F202" s="18" t="n"/>
      <c r="G202" s="15" t="n"/>
      <c r="H202" s="19">
        <f>IF($A202="","",SUMIF(tblGunluk[VarlikId],$A202,tblGunluk[DurusSure_dk]))</f>
        <v/>
      </c>
      <c r="I202" s="19">
        <f>IF($A202="","",IFERROR(AVERAGEIF(tblGunluk[VarlikId],$A202,tblGunluk[FormulOee_oran]),0))</f>
        <v/>
      </c>
      <c r="J202" s="19">
        <f>IF($A202="","",SUMIF(tblGunluk[VarlikId],$A202,tblGunluk[UretimAdet_adet]))</f>
        <v/>
      </c>
      <c r="K202" s="19">
        <f>IF($A202="","",MAX(0,MIN(100,odk_kaliteTaban-IF($I202&lt;odk_esikOee,odk_kaliteCeza,0)-COUNTIFS(tblGunluk[VarlikId],$A202,tblGunluk[AlarmBayrak],"ALARM")*odk_kaliteSapma-IF($G202="HAYIR",odk_kaliteCeza,0))))</f>
        <v/>
      </c>
    </row>
    <row r="203">
      <c r="A203" s="15" t="n"/>
      <c r="B203" s="15" t="n"/>
      <c r="C203" s="15" t="n"/>
      <c r="D203" s="16" t="n"/>
      <c r="E203" s="17" t="n"/>
      <c r="F203" s="18" t="n"/>
      <c r="G203" s="15" t="n"/>
      <c r="H203" s="19">
        <f>IF($A203="","",SUMIF(tblGunluk[VarlikId],$A203,tblGunluk[DurusSure_dk]))</f>
        <v/>
      </c>
      <c r="I203" s="19">
        <f>IF($A203="","",IFERROR(AVERAGEIF(tblGunluk[VarlikId],$A203,tblGunluk[FormulOee_oran]),0))</f>
        <v/>
      </c>
      <c r="J203" s="19">
        <f>IF($A203="","",SUMIF(tblGunluk[VarlikId],$A203,tblGunluk[UretimAdet_adet]))</f>
        <v/>
      </c>
      <c r="K203" s="19">
        <f>IF($A203="","",MAX(0,MIN(100,odk_kaliteTaban-IF($I203&lt;odk_esikOee,odk_kaliteCeza,0)-COUNTIFS(tblGunluk[VarlikId],$A203,tblGunluk[AlarmBayrak],"ALARM")*odk_kaliteSapma-IF($G203="HAYIR",odk_kaliteCeza,0))))</f>
        <v/>
      </c>
    </row>
    <row r="204">
      <c r="A204" s="15" t="n"/>
      <c r="B204" s="15" t="n"/>
      <c r="C204" s="15" t="n"/>
      <c r="D204" s="16" t="n"/>
      <c r="E204" s="17" t="n"/>
      <c r="F204" s="18" t="n"/>
      <c r="G204" s="15" t="n"/>
      <c r="H204" s="19">
        <f>IF($A204="","",SUMIF(tblGunluk[VarlikId],$A204,tblGunluk[DurusSure_dk]))</f>
        <v/>
      </c>
      <c r="I204" s="19">
        <f>IF($A204="","",IFERROR(AVERAGEIF(tblGunluk[VarlikId],$A204,tblGunluk[FormulOee_oran]),0))</f>
        <v/>
      </c>
      <c r="J204" s="19">
        <f>IF($A204="","",SUMIF(tblGunluk[VarlikId],$A204,tblGunluk[UretimAdet_adet]))</f>
        <v/>
      </c>
      <c r="K204" s="19">
        <f>IF($A204="","",MAX(0,MIN(100,odk_kaliteTaban-IF($I204&lt;odk_esikOee,odk_kaliteCeza,0)-COUNTIFS(tblGunluk[VarlikId],$A204,tblGunluk[AlarmBayrak],"ALARM")*odk_kaliteSapma-IF($G204="HAYIR",odk_kaliteCeza,0))))</f>
        <v/>
      </c>
    </row>
    <row r="205">
      <c r="A205" s="15" t="n"/>
      <c r="B205" s="15" t="n"/>
      <c r="C205" s="15" t="n"/>
      <c r="D205" s="16" t="n"/>
      <c r="E205" s="17" t="n"/>
      <c r="F205" s="18" t="n"/>
      <c r="G205" s="15" t="n"/>
      <c r="H205" s="19">
        <f>IF($A205="","",SUMIF(tblGunluk[VarlikId],$A205,tblGunluk[DurusSure_dk]))</f>
        <v/>
      </c>
      <c r="I205" s="19">
        <f>IF($A205="","",IFERROR(AVERAGEIF(tblGunluk[VarlikId],$A205,tblGunluk[FormulOee_oran]),0))</f>
        <v/>
      </c>
      <c r="J205" s="19">
        <f>IF($A205="","",SUMIF(tblGunluk[VarlikId],$A205,tblGunluk[UretimAdet_adet]))</f>
        <v/>
      </c>
      <c r="K205" s="19">
        <f>IF($A205="","",MAX(0,MIN(100,odk_kaliteTaban-IF($I205&lt;odk_esikOee,odk_kaliteCeza,0)-COUNTIFS(tblGunluk[VarlikId],$A205,tblGunluk[AlarmBayrak],"ALARM")*odk_kaliteSapma-IF($G205="HAYIR",odk_kaliteCeza,0))))</f>
        <v/>
      </c>
    </row>
    <row r="206">
      <c r="A206" s="15" t="n"/>
      <c r="B206" s="15" t="n"/>
      <c r="C206" s="15" t="n"/>
      <c r="D206" s="16" t="n"/>
      <c r="E206" s="17" t="n"/>
      <c r="F206" s="18" t="n"/>
      <c r="G206" s="15" t="n"/>
      <c r="H206" s="19">
        <f>IF($A206="","",SUMIF(tblGunluk[VarlikId],$A206,tblGunluk[DurusSure_dk]))</f>
        <v/>
      </c>
      <c r="I206" s="19">
        <f>IF($A206="","",IFERROR(AVERAGEIF(tblGunluk[VarlikId],$A206,tblGunluk[FormulOee_oran]),0))</f>
        <v/>
      </c>
      <c r="J206" s="19">
        <f>IF($A206="","",SUMIF(tblGunluk[VarlikId],$A206,tblGunluk[UretimAdet_adet]))</f>
        <v/>
      </c>
      <c r="K206" s="19">
        <f>IF($A206="","",MAX(0,MIN(100,odk_kaliteTaban-IF($I206&lt;odk_esikOee,odk_kaliteCeza,0)-COUNTIFS(tblGunluk[VarlikId],$A206,tblGunluk[AlarmBayrak],"ALARM")*odk_kaliteSapma-IF($G206="HAYIR",odk_kaliteCeza,0))))</f>
        <v/>
      </c>
    </row>
    <row r="207">
      <c r="A207" s="15" t="n"/>
      <c r="B207" s="15" t="n"/>
      <c r="C207" s="15" t="n"/>
      <c r="D207" s="16" t="n"/>
      <c r="E207" s="17" t="n"/>
      <c r="F207" s="18" t="n"/>
      <c r="G207" s="15" t="n"/>
      <c r="H207" s="19">
        <f>IF($A207="","",SUMIF(tblGunluk[VarlikId],$A207,tblGunluk[DurusSure_dk]))</f>
        <v/>
      </c>
      <c r="I207" s="19">
        <f>IF($A207="","",IFERROR(AVERAGEIF(tblGunluk[VarlikId],$A207,tblGunluk[FormulOee_oran]),0))</f>
        <v/>
      </c>
      <c r="J207" s="19">
        <f>IF($A207="","",SUMIF(tblGunluk[VarlikId],$A207,tblGunluk[UretimAdet_adet]))</f>
        <v/>
      </c>
      <c r="K207" s="19">
        <f>IF($A207="","",MAX(0,MIN(100,odk_kaliteTaban-IF($I207&lt;odk_esikOee,odk_kaliteCeza,0)-COUNTIFS(tblGunluk[VarlikId],$A207,tblGunluk[AlarmBayrak],"ALARM")*odk_kaliteSapma-IF($G207="HAYIR",odk_kaliteCeza,0))))</f>
        <v/>
      </c>
    </row>
    <row r="208">
      <c r="A208" s="15" t="n"/>
      <c r="B208" s="15" t="n"/>
      <c r="C208" s="15" t="n"/>
      <c r="D208" s="16" t="n"/>
      <c r="E208" s="17" t="n"/>
      <c r="F208" s="18" t="n"/>
      <c r="G208" s="15" t="n"/>
      <c r="H208" s="19">
        <f>IF($A208="","",SUMIF(tblGunluk[VarlikId],$A208,tblGunluk[DurusSure_dk]))</f>
        <v/>
      </c>
      <c r="I208" s="19">
        <f>IF($A208="","",IFERROR(AVERAGEIF(tblGunluk[VarlikId],$A208,tblGunluk[FormulOee_oran]),0))</f>
        <v/>
      </c>
      <c r="J208" s="19">
        <f>IF($A208="","",SUMIF(tblGunluk[VarlikId],$A208,tblGunluk[UretimAdet_adet]))</f>
        <v/>
      </c>
      <c r="K208" s="19">
        <f>IF($A208="","",MAX(0,MIN(100,odk_kaliteTaban-IF($I208&lt;odk_esikOee,odk_kaliteCeza,0)-COUNTIFS(tblGunluk[VarlikId],$A208,tblGunluk[AlarmBayrak],"ALARM")*odk_kaliteSapma-IF($G208="HAYIR",odk_kaliteCeza,0))))</f>
        <v/>
      </c>
    </row>
    <row r="209">
      <c r="A209" s="15" t="n"/>
      <c r="B209" s="15" t="n"/>
      <c r="C209" s="15" t="n"/>
      <c r="D209" s="16" t="n"/>
      <c r="E209" s="17" t="n"/>
      <c r="F209" s="18" t="n"/>
      <c r="G209" s="15" t="n"/>
      <c r="H209" s="19">
        <f>IF($A209="","",SUMIF(tblGunluk[VarlikId],$A209,tblGunluk[DurusSure_dk]))</f>
        <v/>
      </c>
      <c r="I209" s="19">
        <f>IF($A209="","",IFERROR(AVERAGEIF(tblGunluk[VarlikId],$A209,tblGunluk[FormulOee_oran]),0))</f>
        <v/>
      </c>
      <c r="J209" s="19">
        <f>IF($A209="","",SUMIF(tblGunluk[VarlikId],$A209,tblGunluk[UretimAdet_adet]))</f>
        <v/>
      </c>
      <c r="K209" s="19">
        <f>IF($A209="","",MAX(0,MIN(100,odk_kaliteTaban-IF($I209&lt;odk_esikOee,odk_kaliteCeza,0)-COUNTIFS(tblGunluk[VarlikId],$A209,tblGunluk[AlarmBayrak],"ALARM")*odk_kaliteSapma-IF($G209="HAYIR",odk_kaliteCeza,0))))</f>
        <v/>
      </c>
    </row>
    <row r="210">
      <c r="A210" s="15" t="n"/>
      <c r="B210" s="15" t="n"/>
      <c r="C210" s="15" t="n"/>
      <c r="D210" s="16" t="n"/>
      <c r="E210" s="17" t="n"/>
      <c r="F210" s="18" t="n"/>
      <c r="G210" s="15" t="n"/>
      <c r="H210" s="19">
        <f>IF($A210="","",SUMIF(tblGunluk[VarlikId],$A210,tblGunluk[DurusSure_dk]))</f>
        <v/>
      </c>
      <c r="I210" s="19">
        <f>IF($A210="","",IFERROR(AVERAGEIF(tblGunluk[VarlikId],$A210,tblGunluk[FormulOee_oran]),0))</f>
        <v/>
      </c>
      <c r="J210" s="19">
        <f>IF($A210="","",SUMIF(tblGunluk[VarlikId],$A210,tblGunluk[UretimAdet_adet]))</f>
        <v/>
      </c>
      <c r="K210" s="19">
        <f>IF($A210="","",MAX(0,MIN(100,odk_kaliteTaban-IF($I210&lt;odk_esikOee,odk_kaliteCeza,0)-COUNTIFS(tblGunluk[VarlikId],$A210,tblGunluk[AlarmBayrak],"ALARM")*odk_kaliteSapma-IF($G210="HAYIR",odk_kaliteCeza,0))))</f>
        <v/>
      </c>
    </row>
    <row r="211">
      <c r="A211" s="15" t="n"/>
      <c r="B211" s="15" t="n"/>
      <c r="C211" s="15" t="n"/>
      <c r="D211" s="16" t="n"/>
      <c r="E211" s="17" t="n"/>
      <c r="F211" s="18" t="n"/>
      <c r="G211" s="15" t="n"/>
      <c r="H211" s="19">
        <f>IF($A211="","",SUMIF(tblGunluk[VarlikId],$A211,tblGunluk[DurusSure_dk]))</f>
        <v/>
      </c>
      <c r="I211" s="19">
        <f>IF($A211="","",IFERROR(AVERAGEIF(tblGunluk[VarlikId],$A211,tblGunluk[FormulOee_oran]),0))</f>
        <v/>
      </c>
      <c r="J211" s="19">
        <f>IF($A211="","",SUMIF(tblGunluk[VarlikId],$A211,tblGunluk[UretimAdet_adet]))</f>
        <v/>
      </c>
      <c r="K211" s="19">
        <f>IF($A211="","",MAX(0,MIN(100,odk_kaliteTaban-IF($I211&lt;odk_esikOee,odk_kaliteCeza,0)-COUNTIFS(tblGunluk[VarlikId],$A211,tblGunluk[AlarmBayrak],"ALARM")*odk_kaliteSapma-IF($G211="HAYIR",odk_kaliteCeza,0))))</f>
        <v/>
      </c>
    </row>
    <row r="212">
      <c r="A212" s="15" t="n"/>
      <c r="B212" s="15" t="n"/>
      <c r="C212" s="15" t="n"/>
      <c r="D212" s="16" t="n"/>
      <c r="E212" s="17" t="n"/>
      <c r="F212" s="18" t="n"/>
      <c r="G212" s="15" t="n"/>
      <c r="H212" s="19">
        <f>IF($A212="","",SUMIF(tblGunluk[VarlikId],$A212,tblGunluk[DurusSure_dk]))</f>
        <v/>
      </c>
      <c r="I212" s="19">
        <f>IF($A212="","",IFERROR(AVERAGEIF(tblGunluk[VarlikId],$A212,tblGunluk[FormulOee_oran]),0))</f>
        <v/>
      </c>
      <c r="J212" s="19">
        <f>IF($A212="","",SUMIF(tblGunluk[VarlikId],$A212,tblGunluk[UretimAdet_adet]))</f>
        <v/>
      </c>
      <c r="K212" s="19">
        <f>IF($A212="","",MAX(0,MIN(100,odk_kaliteTaban-IF($I212&lt;odk_esikOee,odk_kaliteCeza,0)-COUNTIFS(tblGunluk[VarlikId],$A212,tblGunluk[AlarmBayrak],"ALARM")*odk_kaliteSapma-IF($G212="HAYIR",odk_kaliteCeza,0))))</f>
        <v/>
      </c>
    </row>
    <row r="213">
      <c r="A213" s="15" t="n"/>
      <c r="B213" s="15" t="n"/>
      <c r="C213" s="15" t="n"/>
      <c r="D213" s="16" t="n"/>
      <c r="E213" s="17" t="n"/>
      <c r="F213" s="18" t="n"/>
      <c r="G213" s="15" t="n"/>
      <c r="H213" s="19">
        <f>IF($A213="","",SUMIF(tblGunluk[VarlikId],$A213,tblGunluk[DurusSure_dk]))</f>
        <v/>
      </c>
      <c r="I213" s="19">
        <f>IF($A213="","",IFERROR(AVERAGEIF(tblGunluk[VarlikId],$A213,tblGunluk[FormulOee_oran]),0))</f>
        <v/>
      </c>
      <c r="J213" s="19">
        <f>IF($A213="","",SUMIF(tblGunluk[VarlikId],$A213,tblGunluk[UretimAdet_adet]))</f>
        <v/>
      </c>
      <c r="K213" s="19">
        <f>IF($A213="","",MAX(0,MIN(100,odk_kaliteTaban-IF($I213&lt;odk_esikOee,odk_kaliteCeza,0)-COUNTIFS(tblGunluk[VarlikId],$A213,tblGunluk[AlarmBayrak],"ALARM")*odk_kaliteSapma-IF($G213="HAYIR",odk_kaliteCeza,0))))</f>
        <v/>
      </c>
    </row>
    <row r="214">
      <c r="A214" s="15" t="n"/>
      <c r="B214" s="15" t="n"/>
      <c r="C214" s="15" t="n"/>
      <c r="D214" s="16" t="n"/>
      <c r="E214" s="17" t="n"/>
      <c r="F214" s="18" t="n"/>
      <c r="G214" s="15" t="n"/>
      <c r="H214" s="19">
        <f>IF($A214="","",SUMIF(tblGunluk[VarlikId],$A214,tblGunluk[DurusSure_dk]))</f>
        <v/>
      </c>
      <c r="I214" s="19">
        <f>IF($A214="","",IFERROR(AVERAGEIF(tblGunluk[VarlikId],$A214,tblGunluk[FormulOee_oran]),0))</f>
        <v/>
      </c>
      <c r="J214" s="19">
        <f>IF($A214="","",SUMIF(tblGunluk[VarlikId],$A214,tblGunluk[UretimAdet_adet]))</f>
        <v/>
      </c>
      <c r="K214" s="19">
        <f>IF($A214="","",MAX(0,MIN(100,odk_kaliteTaban-IF($I214&lt;odk_esikOee,odk_kaliteCeza,0)-COUNTIFS(tblGunluk[VarlikId],$A214,tblGunluk[AlarmBayrak],"ALARM")*odk_kaliteSapma-IF($G214="HAYIR",odk_kaliteCeza,0))))</f>
        <v/>
      </c>
    </row>
    <row r="215">
      <c r="A215" s="15" t="n"/>
      <c r="B215" s="15" t="n"/>
      <c r="C215" s="15" t="n"/>
      <c r="D215" s="16" t="n"/>
      <c r="E215" s="17" t="n"/>
      <c r="F215" s="18" t="n"/>
      <c r="G215" s="15" t="n"/>
      <c r="H215" s="19">
        <f>IF($A215="","",SUMIF(tblGunluk[VarlikId],$A215,tblGunluk[DurusSure_dk]))</f>
        <v/>
      </c>
      <c r="I215" s="19">
        <f>IF($A215="","",IFERROR(AVERAGEIF(tblGunluk[VarlikId],$A215,tblGunluk[FormulOee_oran]),0))</f>
        <v/>
      </c>
      <c r="J215" s="19">
        <f>IF($A215="","",SUMIF(tblGunluk[VarlikId],$A215,tblGunluk[UretimAdet_adet]))</f>
        <v/>
      </c>
      <c r="K215" s="19">
        <f>IF($A215="","",MAX(0,MIN(100,odk_kaliteTaban-IF($I215&lt;odk_esikOee,odk_kaliteCeza,0)-COUNTIFS(tblGunluk[VarlikId],$A215,tblGunluk[AlarmBayrak],"ALARM")*odk_kaliteSapma-IF($G215="HAYIR",odk_kaliteCeza,0))))</f>
        <v/>
      </c>
    </row>
    <row r="216">
      <c r="A216" s="15" t="n"/>
      <c r="B216" s="15" t="n"/>
      <c r="C216" s="15" t="n"/>
      <c r="D216" s="16" t="n"/>
      <c r="E216" s="17" t="n"/>
      <c r="F216" s="18" t="n"/>
      <c r="G216" s="15" t="n"/>
      <c r="H216" s="19">
        <f>IF($A216="","",SUMIF(tblGunluk[VarlikId],$A216,tblGunluk[DurusSure_dk]))</f>
        <v/>
      </c>
      <c r="I216" s="19">
        <f>IF($A216="","",IFERROR(AVERAGEIF(tblGunluk[VarlikId],$A216,tblGunluk[FormulOee_oran]),0))</f>
        <v/>
      </c>
      <c r="J216" s="19">
        <f>IF($A216="","",SUMIF(tblGunluk[VarlikId],$A216,tblGunluk[UretimAdet_adet]))</f>
        <v/>
      </c>
      <c r="K216" s="19">
        <f>IF($A216="","",MAX(0,MIN(100,odk_kaliteTaban-IF($I216&lt;odk_esikOee,odk_kaliteCeza,0)-COUNTIFS(tblGunluk[VarlikId],$A216,tblGunluk[AlarmBayrak],"ALARM")*odk_kaliteSapma-IF($G216="HAYIR",odk_kaliteCeza,0))))</f>
        <v/>
      </c>
    </row>
    <row r="217">
      <c r="A217" s="15" t="n"/>
      <c r="B217" s="15" t="n"/>
      <c r="C217" s="15" t="n"/>
      <c r="D217" s="16" t="n"/>
      <c r="E217" s="17" t="n"/>
      <c r="F217" s="18" t="n"/>
      <c r="G217" s="15" t="n"/>
      <c r="H217" s="19">
        <f>IF($A217="","",SUMIF(tblGunluk[VarlikId],$A217,tblGunluk[DurusSure_dk]))</f>
        <v/>
      </c>
      <c r="I217" s="19">
        <f>IF($A217="","",IFERROR(AVERAGEIF(tblGunluk[VarlikId],$A217,tblGunluk[FormulOee_oran]),0))</f>
        <v/>
      </c>
      <c r="J217" s="19">
        <f>IF($A217="","",SUMIF(tblGunluk[VarlikId],$A217,tblGunluk[UretimAdet_adet]))</f>
        <v/>
      </c>
      <c r="K217" s="19">
        <f>IF($A217="","",MAX(0,MIN(100,odk_kaliteTaban-IF($I217&lt;odk_esikOee,odk_kaliteCeza,0)-COUNTIFS(tblGunluk[VarlikId],$A217,tblGunluk[AlarmBayrak],"ALARM")*odk_kaliteSapma-IF($G217="HAYIR",odk_kaliteCeza,0))))</f>
        <v/>
      </c>
    </row>
    <row r="218">
      <c r="A218" s="15" t="n"/>
      <c r="B218" s="15" t="n"/>
      <c r="C218" s="15" t="n"/>
      <c r="D218" s="16" t="n"/>
      <c r="E218" s="17" t="n"/>
      <c r="F218" s="18" t="n"/>
      <c r="G218" s="15" t="n"/>
      <c r="H218" s="19">
        <f>IF($A218="","",SUMIF(tblGunluk[VarlikId],$A218,tblGunluk[DurusSure_dk]))</f>
        <v/>
      </c>
      <c r="I218" s="19">
        <f>IF($A218="","",IFERROR(AVERAGEIF(tblGunluk[VarlikId],$A218,tblGunluk[FormulOee_oran]),0))</f>
        <v/>
      </c>
      <c r="J218" s="19">
        <f>IF($A218="","",SUMIF(tblGunluk[VarlikId],$A218,tblGunluk[UretimAdet_adet]))</f>
        <v/>
      </c>
      <c r="K218" s="19">
        <f>IF($A218="","",MAX(0,MIN(100,odk_kaliteTaban-IF($I218&lt;odk_esikOee,odk_kaliteCeza,0)-COUNTIFS(tblGunluk[VarlikId],$A218,tblGunluk[AlarmBayrak],"ALARM")*odk_kaliteSapma-IF($G218="HAYIR",odk_kaliteCeza,0))))</f>
        <v/>
      </c>
    </row>
    <row r="219">
      <c r="A219" s="15" t="n"/>
      <c r="B219" s="15" t="n"/>
      <c r="C219" s="15" t="n"/>
      <c r="D219" s="16" t="n"/>
      <c r="E219" s="17" t="n"/>
      <c r="F219" s="18" t="n"/>
      <c r="G219" s="15" t="n"/>
      <c r="H219" s="19">
        <f>IF($A219="","",SUMIF(tblGunluk[VarlikId],$A219,tblGunluk[DurusSure_dk]))</f>
        <v/>
      </c>
      <c r="I219" s="19">
        <f>IF($A219="","",IFERROR(AVERAGEIF(tblGunluk[VarlikId],$A219,tblGunluk[FormulOee_oran]),0))</f>
        <v/>
      </c>
      <c r="J219" s="19">
        <f>IF($A219="","",SUMIF(tblGunluk[VarlikId],$A219,tblGunluk[UretimAdet_adet]))</f>
        <v/>
      </c>
      <c r="K219" s="19">
        <f>IF($A219="","",MAX(0,MIN(100,odk_kaliteTaban-IF($I219&lt;odk_esikOee,odk_kaliteCeza,0)-COUNTIFS(tblGunluk[VarlikId],$A219,tblGunluk[AlarmBayrak],"ALARM")*odk_kaliteSapma-IF($G219="HAYIR",odk_kaliteCeza,0))))</f>
        <v/>
      </c>
    </row>
    <row r="220">
      <c r="A220" s="15" t="n"/>
      <c r="B220" s="15" t="n"/>
      <c r="C220" s="15" t="n"/>
      <c r="D220" s="16" t="n"/>
      <c r="E220" s="17" t="n"/>
      <c r="F220" s="18" t="n"/>
      <c r="G220" s="15" t="n"/>
      <c r="H220" s="19">
        <f>IF($A220="","",SUMIF(tblGunluk[VarlikId],$A220,tblGunluk[DurusSure_dk]))</f>
        <v/>
      </c>
      <c r="I220" s="19">
        <f>IF($A220="","",IFERROR(AVERAGEIF(tblGunluk[VarlikId],$A220,tblGunluk[FormulOee_oran]),0))</f>
        <v/>
      </c>
      <c r="J220" s="19">
        <f>IF($A220="","",SUMIF(tblGunluk[VarlikId],$A220,tblGunluk[UretimAdet_adet]))</f>
        <v/>
      </c>
      <c r="K220" s="19">
        <f>IF($A220="","",MAX(0,MIN(100,odk_kaliteTaban-IF($I220&lt;odk_esikOee,odk_kaliteCeza,0)-COUNTIFS(tblGunluk[VarlikId],$A220,tblGunluk[AlarmBayrak],"ALARM")*odk_kaliteSapma-IF($G220="HAYIR",odk_kaliteCeza,0))))</f>
        <v/>
      </c>
    </row>
    <row r="221">
      <c r="A221" s="15" t="n"/>
      <c r="B221" s="15" t="n"/>
      <c r="C221" s="15" t="n"/>
      <c r="D221" s="16" t="n"/>
      <c r="E221" s="17" t="n"/>
      <c r="F221" s="18" t="n"/>
      <c r="G221" s="15" t="n"/>
      <c r="H221" s="19">
        <f>IF($A221="","",SUMIF(tblGunluk[VarlikId],$A221,tblGunluk[DurusSure_dk]))</f>
        <v/>
      </c>
      <c r="I221" s="19">
        <f>IF($A221="","",IFERROR(AVERAGEIF(tblGunluk[VarlikId],$A221,tblGunluk[FormulOee_oran]),0))</f>
        <v/>
      </c>
      <c r="J221" s="19">
        <f>IF($A221="","",SUMIF(tblGunluk[VarlikId],$A221,tblGunluk[UretimAdet_adet]))</f>
        <v/>
      </c>
      <c r="K221" s="19">
        <f>IF($A221="","",MAX(0,MIN(100,odk_kaliteTaban-IF($I221&lt;odk_esikOee,odk_kaliteCeza,0)-COUNTIFS(tblGunluk[VarlikId],$A221,tblGunluk[AlarmBayrak],"ALARM")*odk_kaliteSapma-IF($G221="HAYIR",odk_kaliteCeza,0))))</f>
        <v/>
      </c>
    </row>
    <row r="222">
      <c r="A222" s="15" t="n"/>
      <c r="B222" s="15" t="n"/>
      <c r="C222" s="15" t="n"/>
      <c r="D222" s="16" t="n"/>
      <c r="E222" s="17" t="n"/>
      <c r="F222" s="18" t="n"/>
      <c r="G222" s="15" t="n"/>
      <c r="H222" s="19">
        <f>IF($A222="","",SUMIF(tblGunluk[VarlikId],$A222,tblGunluk[DurusSure_dk]))</f>
        <v/>
      </c>
      <c r="I222" s="19">
        <f>IF($A222="","",IFERROR(AVERAGEIF(tblGunluk[VarlikId],$A222,tblGunluk[FormulOee_oran]),0))</f>
        <v/>
      </c>
      <c r="J222" s="19">
        <f>IF($A222="","",SUMIF(tblGunluk[VarlikId],$A222,tblGunluk[UretimAdet_adet]))</f>
        <v/>
      </c>
      <c r="K222" s="19">
        <f>IF($A222="","",MAX(0,MIN(100,odk_kaliteTaban-IF($I222&lt;odk_esikOee,odk_kaliteCeza,0)-COUNTIFS(tblGunluk[VarlikId],$A222,tblGunluk[AlarmBayrak],"ALARM")*odk_kaliteSapma-IF($G222="HAYIR",odk_kaliteCeza,0))))</f>
        <v/>
      </c>
    </row>
    <row r="223">
      <c r="A223" s="15" t="n"/>
      <c r="B223" s="15" t="n"/>
      <c r="C223" s="15" t="n"/>
      <c r="D223" s="16" t="n"/>
      <c r="E223" s="17" t="n"/>
      <c r="F223" s="18" t="n"/>
      <c r="G223" s="15" t="n"/>
      <c r="H223" s="19">
        <f>IF($A223="","",SUMIF(tblGunluk[VarlikId],$A223,tblGunluk[DurusSure_dk]))</f>
        <v/>
      </c>
      <c r="I223" s="19">
        <f>IF($A223="","",IFERROR(AVERAGEIF(tblGunluk[VarlikId],$A223,tblGunluk[FormulOee_oran]),0))</f>
        <v/>
      </c>
      <c r="J223" s="19">
        <f>IF($A223="","",SUMIF(tblGunluk[VarlikId],$A223,tblGunluk[UretimAdet_adet]))</f>
        <v/>
      </c>
      <c r="K223" s="19">
        <f>IF($A223="","",MAX(0,MIN(100,odk_kaliteTaban-IF($I223&lt;odk_esikOee,odk_kaliteCeza,0)-COUNTIFS(tblGunluk[VarlikId],$A223,tblGunluk[AlarmBayrak],"ALARM")*odk_kaliteSapma-IF($G223="HAYIR",odk_kaliteCeza,0))))</f>
        <v/>
      </c>
    </row>
    <row r="224">
      <c r="A224" s="15" t="n"/>
      <c r="B224" s="15" t="n"/>
      <c r="C224" s="15" t="n"/>
      <c r="D224" s="16" t="n"/>
      <c r="E224" s="17" t="n"/>
      <c r="F224" s="18" t="n"/>
      <c r="G224" s="15" t="n"/>
      <c r="H224" s="19">
        <f>IF($A224="","",SUMIF(tblGunluk[VarlikId],$A224,tblGunluk[DurusSure_dk]))</f>
        <v/>
      </c>
      <c r="I224" s="19">
        <f>IF($A224="","",IFERROR(AVERAGEIF(tblGunluk[VarlikId],$A224,tblGunluk[FormulOee_oran]),0))</f>
        <v/>
      </c>
      <c r="J224" s="19">
        <f>IF($A224="","",SUMIF(tblGunluk[VarlikId],$A224,tblGunluk[UretimAdet_adet]))</f>
        <v/>
      </c>
      <c r="K224" s="19">
        <f>IF($A224="","",MAX(0,MIN(100,odk_kaliteTaban-IF($I224&lt;odk_esikOee,odk_kaliteCeza,0)-COUNTIFS(tblGunluk[VarlikId],$A224,tblGunluk[AlarmBayrak],"ALARM")*odk_kaliteSapma-IF($G224="HAYIR",odk_kaliteCeza,0))))</f>
        <v/>
      </c>
    </row>
    <row r="225">
      <c r="A225" s="15" t="n"/>
      <c r="B225" s="15" t="n"/>
      <c r="C225" s="15" t="n"/>
      <c r="D225" s="16" t="n"/>
      <c r="E225" s="17" t="n"/>
      <c r="F225" s="18" t="n"/>
      <c r="G225" s="15" t="n"/>
      <c r="H225" s="19">
        <f>IF($A225="","",SUMIF(tblGunluk[VarlikId],$A225,tblGunluk[DurusSure_dk]))</f>
        <v/>
      </c>
      <c r="I225" s="19">
        <f>IF($A225="","",IFERROR(AVERAGEIF(tblGunluk[VarlikId],$A225,tblGunluk[FormulOee_oran]),0))</f>
        <v/>
      </c>
      <c r="J225" s="19">
        <f>IF($A225="","",SUMIF(tblGunluk[VarlikId],$A225,tblGunluk[UretimAdet_adet]))</f>
        <v/>
      </c>
      <c r="K225" s="19">
        <f>IF($A225="","",MAX(0,MIN(100,odk_kaliteTaban-IF($I225&lt;odk_esikOee,odk_kaliteCeza,0)-COUNTIFS(tblGunluk[VarlikId],$A225,tblGunluk[AlarmBayrak],"ALARM")*odk_kaliteSapma-IF($G225="HAYIR",odk_kaliteCeza,0))))</f>
        <v/>
      </c>
    </row>
    <row r="226">
      <c r="A226" s="15" t="n"/>
      <c r="B226" s="15" t="n"/>
      <c r="C226" s="15" t="n"/>
      <c r="D226" s="16" t="n"/>
      <c r="E226" s="17" t="n"/>
      <c r="F226" s="18" t="n"/>
      <c r="G226" s="15" t="n"/>
      <c r="H226" s="19">
        <f>IF($A226="","",SUMIF(tblGunluk[VarlikId],$A226,tblGunluk[DurusSure_dk]))</f>
        <v/>
      </c>
      <c r="I226" s="19">
        <f>IF($A226="","",IFERROR(AVERAGEIF(tblGunluk[VarlikId],$A226,tblGunluk[FormulOee_oran]),0))</f>
        <v/>
      </c>
      <c r="J226" s="19">
        <f>IF($A226="","",SUMIF(tblGunluk[VarlikId],$A226,tblGunluk[UretimAdet_adet]))</f>
        <v/>
      </c>
      <c r="K226" s="19">
        <f>IF($A226="","",MAX(0,MIN(100,odk_kaliteTaban-IF($I226&lt;odk_esikOee,odk_kaliteCeza,0)-COUNTIFS(tblGunluk[VarlikId],$A226,tblGunluk[AlarmBayrak],"ALARM")*odk_kaliteSapma-IF($G226="HAYIR",odk_kaliteCeza,0))))</f>
        <v/>
      </c>
    </row>
    <row r="227">
      <c r="A227" s="15" t="n"/>
      <c r="B227" s="15" t="n"/>
      <c r="C227" s="15" t="n"/>
      <c r="D227" s="16" t="n"/>
      <c r="E227" s="17" t="n"/>
      <c r="F227" s="18" t="n"/>
      <c r="G227" s="15" t="n"/>
      <c r="H227" s="19">
        <f>IF($A227="","",SUMIF(tblGunluk[VarlikId],$A227,tblGunluk[DurusSure_dk]))</f>
        <v/>
      </c>
      <c r="I227" s="19">
        <f>IF($A227="","",IFERROR(AVERAGEIF(tblGunluk[VarlikId],$A227,tblGunluk[FormulOee_oran]),0))</f>
        <v/>
      </c>
      <c r="J227" s="19">
        <f>IF($A227="","",SUMIF(tblGunluk[VarlikId],$A227,tblGunluk[UretimAdet_adet]))</f>
        <v/>
      </c>
      <c r="K227" s="19">
        <f>IF($A227="","",MAX(0,MIN(100,odk_kaliteTaban-IF($I227&lt;odk_esikOee,odk_kaliteCeza,0)-COUNTIFS(tblGunluk[VarlikId],$A227,tblGunluk[AlarmBayrak],"ALARM")*odk_kaliteSapma-IF($G227="HAYIR",odk_kaliteCeza,0))))</f>
        <v/>
      </c>
    </row>
    <row r="228">
      <c r="A228" s="15" t="n"/>
      <c r="B228" s="15" t="n"/>
      <c r="C228" s="15" t="n"/>
      <c r="D228" s="16" t="n"/>
      <c r="E228" s="17" t="n"/>
      <c r="F228" s="18" t="n"/>
      <c r="G228" s="15" t="n"/>
      <c r="H228" s="19">
        <f>IF($A228="","",SUMIF(tblGunluk[VarlikId],$A228,tblGunluk[DurusSure_dk]))</f>
        <v/>
      </c>
      <c r="I228" s="19">
        <f>IF($A228="","",IFERROR(AVERAGEIF(tblGunluk[VarlikId],$A228,tblGunluk[FormulOee_oran]),0))</f>
        <v/>
      </c>
      <c r="J228" s="19">
        <f>IF($A228="","",SUMIF(tblGunluk[VarlikId],$A228,tblGunluk[UretimAdet_adet]))</f>
        <v/>
      </c>
      <c r="K228" s="19">
        <f>IF($A228="","",MAX(0,MIN(100,odk_kaliteTaban-IF($I228&lt;odk_esikOee,odk_kaliteCeza,0)-COUNTIFS(tblGunluk[VarlikId],$A228,tblGunluk[AlarmBayrak],"ALARM")*odk_kaliteSapma-IF($G228="HAYIR",odk_kaliteCeza,0))))</f>
        <v/>
      </c>
    </row>
    <row r="229">
      <c r="A229" s="15" t="n"/>
      <c r="B229" s="15" t="n"/>
      <c r="C229" s="15" t="n"/>
      <c r="D229" s="16" t="n"/>
      <c r="E229" s="17" t="n"/>
      <c r="F229" s="18" t="n"/>
      <c r="G229" s="15" t="n"/>
      <c r="H229" s="19">
        <f>IF($A229="","",SUMIF(tblGunluk[VarlikId],$A229,tblGunluk[DurusSure_dk]))</f>
        <v/>
      </c>
      <c r="I229" s="19">
        <f>IF($A229="","",IFERROR(AVERAGEIF(tblGunluk[VarlikId],$A229,tblGunluk[FormulOee_oran]),0))</f>
        <v/>
      </c>
      <c r="J229" s="19">
        <f>IF($A229="","",SUMIF(tblGunluk[VarlikId],$A229,tblGunluk[UretimAdet_adet]))</f>
        <v/>
      </c>
      <c r="K229" s="19">
        <f>IF($A229="","",MAX(0,MIN(100,odk_kaliteTaban-IF($I229&lt;odk_esikOee,odk_kaliteCeza,0)-COUNTIFS(tblGunluk[VarlikId],$A229,tblGunluk[AlarmBayrak],"ALARM")*odk_kaliteSapma-IF($G229="HAYIR",odk_kaliteCeza,0))))</f>
        <v/>
      </c>
    </row>
    <row r="230">
      <c r="A230" s="15" t="n"/>
      <c r="B230" s="15" t="n"/>
      <c r="C230" s="15" t="n"/>
      <c r="D230" s="16" t="n"/>
      <c r="E230" s="17" t="n"/>
      <c r="F230" s="18" t="n"/>
      <c r="G230" s="15" t="n"/>
      <c r="H230" s="19">
        <f>IF($A230="","",SUMIF(tblGunluk[VarlikId],$A230,tblGunluk[DurusSure_dk]))</f>
        <v/>
      </c>
      <c r="I230" s="19">
        <f>IF($A230="","",IFERROR(AVERAGEIF(tblGunluk[VarlikId],$A230,tblGunluk[FormulOee_oran]),0))</f>
        <v/>
      </c>
      <c r="J230" s="19">
        <f>IF($A230="","",SUMIF(tblGunluk[VarlikId],$A230,tblGunluk[UretimAdet_adet]))</f>
        <v/>
      </c>
      <c r="K230" s="19">
        <f>IF($A230="","",MAX(0,MIN(100,odk_kaliteTaban-IF($I230&lt;odk_esikOee,odk_kaliteCeza,0)-COUNTIFS(tblGunluk[VarlikId],$A230,tblGunluk[AlarmBayrak],"ALARM")*odk_kaliteSapma-IF($G230="HAYIR",odk_kaliteCeza,0))))</f>
        <v/>
      </c>
    </row>
    <row r="231">
      <c r="A231" s="15" t="n"/>
      <c r="B231" s="15" t="n"/>
      <c r="C231" s="15" t="n"/>
      <c r="D231" s="16" t="n"/>
      <c r="E231" s="17" t="n"/>
      <c r="F231" s="18" t="n"/>
      <c r="G231" s="15" t="n"/>
      <c r="H231" s="19">
        <f>IF($A231="","",SUMIF(tblGunluk[VarlikId],$A231,tblGunluk[DurusSure_dk]))</f>
        <v/>
      </c>
      <c r="I231" s="19">
        <f>IF($A231="","",IFERROR(AVERAGEIF(tblGunluk[VarlikId],$A231,tblGunluk[FormulOee_oran]),0))</f>
        <v/>
      </c>
      <c r="J231" s="19">
        <f>IF($A231="","",SUMIF(tblGunluk[VarlikId],$A231,tblGunluk[UretimAdet_adet]))</f>
        <v/>
      </c>
      <c r="K231" s="19">
        <f>IF($A231="","",MAX(0,MIN(100,odk_kaliteTaban-IF($I231&lt;odk_esikOee,odk_kaliteCeza,0)-COUNTIFS(tblGunluk[VarlikId],$A231,tblGunluk[AlarmBayrak],"ALARM")*odk_kaliteSapma-IF($G231="HAYIR",odk_kaliteCeza,0))))</f>
        <v/>
      </c>
    </row>
    <row r="232">
      <c r="A232" s="15" t="n"/>
      <c r="B232" s="15" t="n"/>
      <c r="C232" s="15" t="n"/>
      <c r="D232" s="16" t="n"/>
      <c r="E232" s="17" t="n"/>
      <c r="F232" s="18" t="n"/>
      <c r="G232" s="15" t="n"/>
      <c r="H232" s="19">
        <f>IF($A232="","",SUMIF(tblGunluk[VarlikId],$A232,tblGunluk[DurusSure_dk]))</f>
        <v/>
      </c>
      <c r="I232" s="19">
        <f>IF($A232="","",IFERROR(AVERAGEIF(tblGunluk[VarlikId],$A232,tblGunluk[FormulOee_oran]),0))</f>
        <v/>
      </c>
      <c r="J232" s="19">
        <f>IF($A232="","",SUMIF(tblGunluk[VarlikId],$A232,tblGunluk[UretimAdet_adet]))</f>
        <v/>
      </c>
      <c r="K232" s="19">
        <f>IF($A232="","",MAX(0,MIN(100,odk_kaliteTaban-IF($I232&lt;odk_esikOee,odk_kaliteCeza,0)-COUNTIFS(tblGunluk[VarlikId],$A232,tblGunluk[AlarmBayrak],"ALARM")*odk_kaliteSapma-IF($G232="HAYIR",odk_kaliteCeza,0))))</f>
        <v/>
      </c>
    </row>
    <row r="233">
      <c r="A233" s="15" t="n"/>
      <c r="B233" s="15" t="n"/>
      <c r="C233" s="15" t="n"/>
      <c r="D233" s="16" t="n"/>
      <c r="E233" s="17" t="n"/>
      <c r="F233" s="18" t="n"/>
      <c r="G233" s="15" t="n"/>
      <c r="H233" s="19">
        <f>IF($A233="","",SUMIF(tblGunluk[VarlikId],$A233,tblGunluk[DurusSure_dk]))</f>
        <v/>
      </c>
      <c r="I233" s="19">
        <f>IF($A233="","",IFERROR(AVERAGEIF(tblGunluk[VarlikId],$A233,tblGunluk[FormulOee_oran]),0))</f>
        <v/>
      </c>
      <c r="J233" s="19">
        <f>IF($A233="","",SUMIF(tblGunluk[VarlikId],$A233,tblGunluk[UretimAdet_adet]))</f>
        <v/>
      </c>
      <c r="K233" s="19">
        <f>IF($A233="","",MAX(0,MIN(100,odk_kaliteTaban-IF($I233&lt;odk_esikOee,odk_kaliteCeza,0)-COUNTIFS(tblGunluk[VarlikId],$A233,tblGunluk[AlarmBayrak],"ALARM")*odk_kaliteSapma-IF($G233="HAYIR",odk_kaliteCeza,0))))</f>
        <v/>
      </c>
    </row>
    <row r="234">
      <c r="A234" s="15" t="n"/>
      <c r="B234" s="15" t="n"/>
      <c r="C234" s="15" t="n"/>
      <c r="D234" s="16" t="n"/>
      <c r="E234" s="17" t="n"/>
      <c r="F234" s="18" t="n"/>
      <c r="G234" s="15" t="n"/>
      <c r="H234" s="19">
        <f>IF($A234="","",SUMIF(tblGunluk[VarlikId],$A234,tblGunluk[DurusSure_dk]))</f>
        <v/>
      </c>
      <c r="I234" s="19">
        <f>IF($A234="","",IFERROR(AVERAGEIF(tblGunluk[VarlikId],$A234,tblGunluk[FormulOee_oran]),0))</f>
        <v/>
      </c>
      <c r="J234" s="19">
        <f>IF($A234="","",SUMIF(tblGunluk[VarlikId],$A234,tblGunluk[UretimAdet_adet]))</f>
        <v/>
      </c>
      <c r="K234" s="19">
        <f>IF($A234="","",MAX(0,MIN(100,odk_kaliteTaban-IF($I234&lt;odk_esikOee,odk_kaliteCeza,0)-COUNTIFS(tblGunluk[VarlikId],$A234,tblGunluk[AlarmBayrak],"ALARM")*odk_kaliteSapma-IF($G234="HAYIR",odk_kaliteCeza,0))))</f>
        <v/>
      </c>
    </row>
    <row r="235">
      <c r="A235" s="15" t="n"/>
      <c r="B235" s="15" t="n"/>
      <c r="C235" s="15" t="n"/>
      <c r="D235" s="16" t="n"/>
      <c r="E235" s="17" t="n"/>
      <c r="F235" s="18" t="n"/>
      <c r="G235" s="15" t="n"/>
      <c r="H235" s="19">
        <f>IF($A235="","",SUMIF(tblGunluk[VarlikId],$A235,tblGunluk[DurusSure_dk]))</f>
        <v/>
      </c>
      <c r="I235" s="19">
        <f>IF($A235="","",IFERROR(AVERAGEIF(tblGunluk[VarlikId],$A235,tblGunluk[FormulOee_oran]),0))</f>
        <v/>
      </c>
      <c r="J235" s="19">
        <f>IF($A235="","",SUMIF(tblGunluk[VarlikId],$A235,tblGunluk[UretimAdet_adet]))</f>
        <v/>
      </c>
      <c r="K235" s="19">
        <f>IF($A235="","",MAX(0,MIN(100,odk_kaliteTaban-IF($I235&lt;odk_esikOee,odk_kaliteCeza,0)-COUNTIFS(tblGunluk[VarlikId],$A235,tblGunluk[AlarmBayrak],"ALARM")*odk_kaliteSapma-IF($G235="HAYIR",odk_kaliteCeza,0))))</f>
        <v/>
      </c>
    </row>
    <row r="236">
      <c r="A236" s="15" t="n"/>
      <c r="B236" s="15" t="n"/>
      <c r="C236" s="15" t="n"/>
      <c r="D236" s="16" t="n"/>
      <c r="E236" s="17" t="n"/>
      <c r="F236" s="18" t="n"/>
      <c r="G236" s="15" t="n"/>
      <c r="H236" s="19">
        <f>IF($A236="","",SUMIF(tblGunluk[VarlikId],$A236,tblGunluk[DurusSure_dk]))</f>
        <v/>
      </c>
      <c r="I236" s="19">
        <f>IF($A236="","",IFERROR(AVERAGEIF(tblGunluk[VarlikId],$A236,tblGunluk[FormulOee_oran]),0))</f>
        <v/>
      </c>
      <c r="J236" s="19">
        <f>IF($A236="","",SUMIF(tblGunluk[VarlikId],$A236,tblGunluk[UretimAdet_adet]))</f>
        <v/>
      </c>
      <c r="K236" s="19">
        <f>IF($A236="","",MAX(0,MIN(100,odk_kaliteTaban-IF($I236&lt;odk_esikOee,odk_kaliteCeza,0)-COUNTIFS(tblGunluk[VarlikId],$A236,tblGunluk[AlarmBayrak],"ALARM")*odk_kaliteSapma-IF($G236="HAYIR",odk_kaliteCeza,0))))</f>
        <v/>
      </c>
    </row>
    <row r="237">
      <c r="A237" s="15" t="n"/>
      <c r="B237" s="15" t="n"/>
      <c r="C237" s="15" t="n"/>
      <c r="D237" s="16" t="n"/>
      <c r="E237" s="17" t="n"/>
      <c r="F237" s="18" t="n"/>
      <c r="G237" s="15" t="n"/>
      <c r="H237" s="19">
        <f>IF($A237="","",SUMIF(tblGunluk[VarlikId],$A237,tblGunluk[DurusSure_dk]))</f>
        <v/>
      </c>
      <c r="I237" s="19">
        <f>IF($A237="","",IFERROR(AVERAGEIF(tblGunluk[VarlikId],$A237,tblGunluk[FormulOee_oran]),0))</f>
        <v/>
      </c>
      <c r="J237" s="19">
        <f>IF($A237="","",SUMIF(tblGunluk[VarlikId],$A237,tblGunluk[UretimAdet_adet]))</f>
        <v/>
      </c>
      <c r="K237" s="19">
        <f>IF($A237="","",MAX(0,MIN(100,odk_kaliteTaban-IF($I237&lt;odk_esikOee,odk_kaliteCeza,0)-COUNTIFS(tblGunluk[VarlikId],$A237,tblGunluk[AlarmBayrak],"ALARM")*odk_kaliteSapma-IF($G237="HAYIR",odk_kaliteCeza,0))))</f>
        <v/>
      </c>
    </row>
    <row r="238">
      <c r="A238" s="15" t="n"/>
      <c r="B238" s="15" t="n"/>
      <c r="C238" s="15" t="n"/>
      <c r="D238" s="16" t="n"/>
      <c r="E238" s="17" t="n"/>
      <c r="F238" s="18" t="n"/>
      <c r="G238" s="15" t="n"/>
      <c r="H238" s="19">
        <f>IF($A238="","",SUMIF(tblGunluk[VarlikId],$A238,tblGunluk[DurusSure_dk]))</f>
        <v/>
      </c>
      <c r="I238" s="19">
        <f>IF($A238="","",IFERROR(AVERAGEIF(tblGunluk[VarlikId],$A238,tblGunluk[FormulOee_oran]),0))</f>
        <v/>
      </c>
      <c r="J238" s="19">
        <f>IF($A238="","",SUMIF(tblGunluk[VarlikId],$A238,tblGunluk[UretimAdet_adet]))</f>
        <v/>
      </c>
      <c r="K238" s="19">
        <f>IF($A238="","",MAX(0,MIN(100,odk_kaliteTaban-IF($I238&lt;odk_esikOee,odk_kaliteCeza,0)-COUNTIFS(tblGunluk[VarlikId],$A238,tblGunluk[AlarmBayrak],"ALARM")*odk_kaliteSapma-IF($G238="HAYIR",odk_kaliteCeza,0))))</f>
        <v/>
      </c>
    </row>
    <row r="239">
      <c r="A239" s="15" t="n"/>
      <c r="B239" s="15" t="n"/>
      <c r="C239" s="15" t="n"/>
      <c r="D239" s="16" t="n"/>
      <c r="E239" s="17" t="n"/>
      <c r="F239" s="18" t="n"/>
      <c r="G239" s="15" t="n"/>
      <c r="H239" s="19">
        <f>IF($A239="","",SUMIF(tblGunluk[VarlikId],$A239,tblGunluk[DurusSure_dk]))</f>
        <v/>
      </c>
      <c r="I239" s="19">
        <f>IF($A239="","",IFERROR(AVERAGEIF(tblGunluk[VarlikId],$A239,tblGunluk[FormulOee_oran]),0))</f>
        <v/>
      </c>
      <c r="J239" s="19">
        <f>IF($A239="","",SUMIF(tblGunluk[VarlikId],$A239,tblGunluk[UretimAdet_adet]))</f>
        <v/>
      </c>
      <c r="K239" s="19">
        <f>IF($A239="","",MAX(0,MIN(100,odk_kaliteTaban-IF($I239&lt;odk_esikOee,odk_kaliteCeza,0)-COUNTIFS(tblGunluk[VarlikId],$A239,tblGunluk[AlarmBayrak],"ALARM")*odk_kaliteSapma-IF($G239="HAYIR",odk_kaliteCeza,0))))</f>
        <v/>
      </c>
    </row>
    <row r="240">
      <c r="A240" s="15" t="n"/>
      <c r="B240" s="15" t="n"/>
      <c r="C240" s="15" t="n"/>
      <c r="D240" s="16" t="n"/>
      <c r="E240" s="17" t="n"/>
      <c r="F240" s="18" t="n"/>
      <c r="G240" s="15" t="n"/>
      <c r="H240" s="19">
        <f>IF($A240="","",SUMIF(tblGunluk[VarlikId],$A240,tblGunluk[DurusSure_dk]))</f>
        <v/>
      </c>
      <c r="I240" s="19">
        <f>IF($A240="","",IFERROR(AVERAGEIF(tblGunluk[VarlikId],$A240,tblGunluk[FormulOee_oran]),0))</f>
        <v/>
      </c>
      <c r="J240" s="19">
        <f>IF($A240="","",SUMIF(tblGunluk[VarlikId],$A240,tblGunluk[UretimAdet_adet]))</f>
        <v/>
      </c>
      <c r="K240" s="19">
        <f>IF($A240="","",MAX(0,MIN(100,odk_kaliteTaban-IF($I240&lt;odk_esikOee,odk_kaliteCeza,0)-COUNTIFS(tblGunluk[VarlikId],$A240,tblGunluk[AlarmBayrak],"ALARM")*odk_kaliteSapma-IF($G240="HAYIR",odk_kaliteCeza,0))))</f>
        <v/>
      </c>
    </row>
    <row r="241">
      <c r="A241" s="15" t="n"/>
      <c r="B241" s="15" t="n"/>
      <c r="C241" s="15" t="n"/>
      <c r="D241" s="16" t="n"/>
      <c r="E241" s="17" t="n"/>
      <c r="F241" s="18" t="n"/>
      <c r="G241" s="15" t="n"/>
      <c r="H241" s="19">
        <f>IF($A241="","",SUMIF(tblGunluk[VarlikId],$A241,tblGunluk[DurusSure_dk]))</f>
        <v/>
      </c>
      <c r="I241" s="19">
        <f>IF($A241="","",IFERROR(AVERAGEIF(tblGunluk[VarlikId],$A241,tblGunluk[FormulOee_oran]),0))</f>
        <v/>
      </c>
      <c r="J241" s="19">
        <f>IF($A241="","",SUMIF(tblGunluk[VarlikId],$A241,tblGunluk[UretimAdet_adet]))</f>
        <v/>
      </c>
      <c r="K241" s="19">
        <f>IF($A241="","",MAX(0,MIN(100,odk_kaliteTaban-IF($I241&lt;odk_esikOee,odk_kaliteCeza,0)-COUNTIFS(tblGunluk[VarlikId],$A241,tblGunluk[AlarmBayrak],"ALARM")*odk_kaliteSapma-IF($G241="HAYIR",odk_kaliteCeza,0))))</f>
        <v/>
      </c>
    </row>
    <row r="242">
      <c r="A242" s="15" t="n"/>
      <c r="B242" s="15" t="n"/>
      <c r="C242" s="15" t="n"/>
      <c r="D242" s="16" t="n"/>
      <c r="E242" s="17" t="n"/>
      <c r="F242" s="18" t="n"/>
      <c r="G242" s="15" t="n"/>
      <c r="H242" s="19">
        <f>IF($A242="","",SUMIF(tblGunluk[VarlikId],$A242,tblGunluk[DurusSure_dk]))</f>
        <v/>
      </c>
      <c r="I242" s="19">
        <f>IF($A242="","",IFERROR(AVERAGEIF(tblGunluk[VarlikId],$A242,tblGunluk[FormulOee_oran]),0))</f>
        <v/>
      </c>
      <c r="J242" s="19">
        <f>IF($A242="","",SUMIF(tblGunluk[VarlikId],$A242,tblGunluk[UretimAdet_adet]))</f>
        <v/>
      </c>
      <c r="K242" s="19">
        <f>IF($A242="","",MAX(0,MIN(100,odk_kaliteTaban-IF($I242&lt;odk_esikOee,odk_kaliteCeza,0)-COUNTIFS(tblGunluk[VarlikId],$A242,tblGunluk[AlarmBayrak],"ALARM")*odk_kaliteSapma-IF($G242="HAYIR",odk_kaliteCeza,0))))</f>
        <v/>
      </c>
    </row>
    <row r="243">
      <c r="A243" s="15" t="n"/>
      <c r="B243" s="15" t="n"/>
      <c r="C243" s="15" t="n"/>
      <c r="D243" s="16" t="n"/>
      <c r="E243" s="17" t="n"/>
      <c r="F243" s="18" t="n"/>
      <c r="G243" s="15" t="n"/>
      <c r="H243" s="19">
        <f>IF($A243="","",SUMIF(tblGunluk[VarlikId],$A243,tblGunluk[DurusSure_dk]))</f>
        <v/>
      </c>
      <c r="I243" s="19">
        <f>IF($A243="","",IFERROR(AVERAGEIF(tblGunluk[VarlikId],$A243,tblGunluk[FormulOee_oran]),0))</f>
        <v/>
      </c>
      <c r="J243" s="19">
        <f>IF($A243="","",SUMIF(tblGunluk[VarlikId],$A243,tblGunluk[UretimAdet_adet]))</f>
        <v/>
      </c>
      <c r="K243" s="19">
        <f>IF($A243="","",MAX(0,MIN(100,odk_kaliteTaban-IF($I243&lt;odk_esikOee,odk_kaliteCeza,0)-COUNTIFS(tblGunluk[VarlikId],$A243,tblGunluk[AlarmBayrak],"ALARM")*odk_kaliteSapma-IF($G243="HAYIR",odk_kaliteCeza,0))))</f>
        <v/>
      </c>
    </row>
    <row r="244">
      <c r="A244" s="15" t="n"/>
      <c r="B244" s="15" t="n"/>
      <c r="C244" s="15" t="n"/>
      <c r="D244" s="16" t="n"/>
      <c r="E244" s="17" t="n"/>
      <c r="F244" s="18" t="n"/>
      <c r="G244" s="15" t="n"/>
      <c r="H244" s="19">
        <f>IF($A244="","",SUMIF(tblGunluk[VarlikId],$A244,tblGunluk[DurusSure_dk]))</f>
        <v/>
      </c>
      <c r="I244" s="19">
        <f>IF($A244="","",IFERROR(AVERAGEIF(tblGunluk[VarlikId],$A244,tblGunluk[FormulOee_oran]),0))</f>
        <v/>
      </c>
      <c r="J244" s="19">
        <f>IF($A244="","",SUMIF(tblGunluk[VarlikId],$A244,tblGunluk[UretimAdet_adet]))</f>
        <v/>
      </c>
      <c r="K244" s="19">
        <f>IF($A244="","",MAX(0,MIN(100,odk_kaliteTaban-IF($I244&lt;odk_esikOee,odk_kaliteCeza,0)-COUNTIFS(tblGunluk[VarlikId],$A244,tblGunluk[AlarmBayrak],"ALARM")*odk_kaliteSapma-IF($G244="HAYIR",odk_kaliteCeza,0))))</f>
        <v/>
      </c>
    </row>
    <row r="245">
      <c r="A245" s="15" t="n"/>
      <c r="B245" s="15" t="n"/>
      <c r="C245" s="15" t="n"/>
      <c r="D245" s="16" t="n"/>
      <c r="E245" s="17" t="n"/>
      <c r="F245" s="18" t="n"/>
      <c r="G245" s="15" t="n"/>
      <c r="H245" s="19">
        <f>IF($A245="","",SUMIF(tblGunluk[VarlikId],$A245,tblGunluk[DurusSure_dk]))</f>
        <v/>
      </c>
      <c r="I245" s="19">
        <f>IF($A245="","",IFERROR(AVERAGEIF(tblGunluk[VarlikId],$A245,tblGunluk[FormulOee_oran]),0))</f>
        <v/>
      </c>
      <c r="J245" s="19">
        <f>IF($A245="","",SUMIF(tblGunluk[VarlikId],$A245,tblGunluk[UretimAdet_adet]))</f>
        <v/>
      </c>
      <c r="K245" s="19">
        <f>IF($A245="","",MAX(0,MIN(100,odk_kaliteTaban-IF($I245&lt;odk_esikOee,odk_kaliteCeza,0)-COUNTIFS(tblGunluk[VarlikId],$A245,tblGunluk[AlarmBayrak],"ALARM")*odk_kaliteSapma-IF($G245="HAYIR",odk_kaliteCeza,0))))</f>
        <v/>
      </c>
    </row>
    <row r="246">
      <c r="A246" s="15" t="n"/>
      <c r="B246" s="15" t="n"/>
      <c r="C246" s="15" t="n"/>
      <c r="D246" s="16" t="n"/>
      <c r="E246" s="17" t="n"/>
      <c r="F246" s="18" t="n"/>
      <c r="G246" s="15" t="n"/>
      <c r="H246" s="19">
        <f>IF($A246="","",SUMIF(tblGunluk[VarlikId],$A246,tblGunluk[DurusSure_dk]))</f>
        <v/>
      </c>
      <c r="I246" s="19">
        <f>IF($A246="","",IFERROR(AVERAGEIF(tblGunluk[VarlikId],$A246,tblGunluk[FormulOee_oran]),0))</f>
        <v/>
      </c>
      <c r="J246" s="19">
        <f>IF($A246="","",SUMIF(tblGunluk[VarlikId],$A246,tblGunluk[UretimAdet_adet]))</f>
        <v/>
      </c>
      <c r="K246" s="19">
        <f>IF($A246="","",MAX(0,MIN(100,odk_kaliteTaban-IF($I246&lt;odk_esikOee,odk_kaliteCeza,0)-COUNTIFS(tblGunluk[VarlikId],$A246,tblGunluk[AlarmBayrak],"ALARM")*odk_kaliteSapma-IF($G246="HAYIR",odk_kaliteCeza,0))))</f>
        <v/>
      </c>
    </row>
    <row r="247">
      <c r="A247" s="15" t="n"/>
      <c r="B247" s="15" t="n"/>
      <c r="C247" s="15" t="n"/>
      <c r="D247" s="16" t="n"/>
      <c r="E247" s="17" t="n"/>
      <c r="F247" s="18" t="n"/>
      <c r="G247" s="15" t="n"/>
      <c r="H247" s="19">
        <f>IF($A247="","",SUMIF(tblGunluk[VarlikId],$A247,tblGunluk[DurusSure_dk]))</f>
        <v/>
      </c>
      <c r="I247" s="19">
        <f>IF($A247="","",IFERROR(AVERAGEIF(tblGunluk[VarlikId],$A247,tblGunluk[FormulOee_oran]),0))</f>
        <v/>
      </c>
      <c r="J247" s="19">
        <f>IF($A247="","",SUMIF(tblGunluk[VarlikId],$A247,tblGunluk[UretimAdet_adet]))</f>
        <v/>
      </c>
      <c r="K247" s="19">
        <f>IF($A247="","",MAX(0,MIN(100,odk_kaliteTaban-IF($I247&lt;odk_esikOee,odk_kaliteCeza,0)-COUNTIFS(tblGunluk[VarlikId],$A247,tblGunluk[AlarmBayrak],"ALARM")*odk_kaliteSapma-IF($G247="HAYIR",odk_kaliteCeza,0))))</f>
        <v/>
      </c>
    </row>
    <row r="248">
      <c r="A248" s="15" t="n"/>
      <c r="B248" s="15" t="n"/>
      <c r="C248" s="15" t="n"/>
      <c r="D248" s="16" t="n"/>
      <c r="E248" s="17" t="n"/>
      <c r="F248" s="18" t="n"/>
      <c r="G248" s="15" t="n"/>
      <c r="H248" s="19">
        <f>IF($A248="","",SUMIF(tblGunluk[VarlikId],$A248,tblGunluk[DurusSure_dk]))</f>
        <v/>
      </c>
      <c r="I248" s="19">
        <f>IF($A248="","",IFERROR(AVERAGEIF(tblGunluk[VarlikId],$A248,tblGunluk[FormulOee_oran]),0))</f>
        <v/>
      </c>
      <c r="J248" s="19">
        <f>IF($A248="","",SUMIF(tblGunluk[VarlikId],$A248,tblGunluk[UretimAdet_adet]))</f>
        <v/>
      </c>
      <c r="K248" s="19">
        <f>IF($A248="","",MAX(0,MIN(100,odk_kaliteTaban-IF($I248&lt;odk_esikOee,odk_kaliteCeza,0)-COUNTIFS(tblGunluk[VarlikId],$A248,tblGunluk[AlarmBayrak],"ALARM")*odk_kaliteSapma-IF($G248="HAYIR",odk_kaliteCeza,0))))</f>
        <v/>
      </c>
    </row>
    <row r="249">
      <c r="A249" s="15" t="n"/>
      <c r="B249" s="15" t="n"/>
      <c r="C249" s="15" t="n"/>
      <c r="D249" s="16" t="n"/>
      <c r="E249" s="17" t="n"/>
      <c r="F249" s="18" t="n"/>
      <c r="G249" s="15" t="n"/>
      <c r="H249" s="19">
        <f>IF($A249="","",SUMIF(tblGunluk[VarlikId],$A249,tblGunluk[DurusSure_dk]))</f>
        <v/>
      </c>
      <c r="I249" s="19">
        <f>IF($A249="","",IFERROR(AVERAGEIF(tblGunluk[VarlikId],$A249,tblGunluk[FormulOee_oran]),0))</f>
        <v/>
      </c>
      <c r="J249" s="19">
        <f>IF($A249="","",SUMIF(tblGunluk[VarlikId],$A249,tblGunluk[UretimAdet_adet]))</f>
        <v/>
      </c>
      <c r="K249" s="19">
        <f>IF($A249="","",MAX(0,MIN(100,odk_kaliteTaban-IF($I249&lt;odk_esikOee,odk_kaliteCeza,0)-COUNTIFS(tblGunluk[VarlikId],$A249,tblGunluk[AlarmBayrak],"ALARM")*odk_kaliteSapma-IF($G249="HAYIR",odk_kaliteCeza,0))))</f>
        <v/>
      </c>
    </row>
    <row r="250">
      <c r="A250" s="15" t="n"/>
      <c r="B250" s="15" t="n"/>
      <c r="C250" s="15" t="n"/>
      <c r="D250" s="16" t="n"/>
      <c r="E250" s="17" t="n"/>
      <c r="F250" s="18" t="n"/>
      <c r="G250" s="15" t="n"/>
      <c r="H250" s="19">
        <f>IF($A250="","",SUMIF(tblGunluk[VarlikId],$A250,tblGunluk[DurusSure_dk]))</f>
        <v/>
      </c>
      <c r="I250" s="19">
        <f>IF($A250="","",IFERROR(AVERAGEIF(tblGunluk[VarlikId],$A250,tblGunluk[FormulOee_oran]),0))</f>
        <v/>
      </c>
      <c r="J250" s="19">
        <f>IF($A250="","",SUMIF(tblGunluk[VarlikId],$A250,tblGunluk[UretimAdet_adet]))</f>
        <v/>
      </c>
      <c r="K250" s="19">
        <f>IF($A250="","",MAX(0,MIN(100,odk_kaliteTaban-IF($I250&lt;odk_esikOee,odk_kaliteCeza,0)-COUNTIFS(tblGunluk[VarlikId],$A250,tblGunluk[AlarmBayrak],"ALARM")*odk_kaliteSapma-IF($G250="HAYIR",odk_kaliteCeza,0))))</f>
        <v/>
      </c>
    </row>
    <row r="251">
      <c r="A251" s="15" t="n"/>
      <c r="B251" s="15" t="n"/>
      <c r="C251" s="15" t="n"/>
      <c r="D251" s="16" t="n"/>
      <c r="E251" s="17" t="n"/>
      <c r="F251" s="18" t="n"/>
      <c r="G251" s="15" t="n"/>
      <c r="H251" s="19">
        <f>IF($A251="","",SUMIF(tblGunluk[VarlikId],$A251,tblGunluk[DurusSure_dk]))</f>
        <v/>
      </c>
      <c r="I251" s="19">
        <f>IF($A251="","",IFERROR(AVERAGEIF(tblGunluk[VarlikId],$A251,tblGunluk[FormulOee_oran]),0))</f>
        <v/>
      </c>
      <c r="J251" s="19">
        <f>IF($A251="","",SUMIF(tblGunluk[VarlikId],$A251,tblGunluk[UretimAdet_adet]))</f>
        <v/>
      </c>
      <c r="K251" s="19">
        <f>IF($A251="","",MAX(0,MIN(100,odk_kaliteTaban-IF($I251&lt;odk_esikOee,odk_kaliteCeza,0)-COUNTIFS(tblGunluk[VarlikId],$A251,tblGunluk[AlarmBayrak],"ALARM")*odk_kaliteSapma-IF($G251="HAYIR",odk_kaliteCeza,0))))</f>
        <v/>
      </c>
    </row>
    <row r="252">
      <c r="A252" s="15" t="n"/>
      <c r="B252" s="15" t="n"/>
      <c r="C252" s="15" t="n"/>
      <c r="D252" s="16" t="n"/>
      <c r="E252" s="17" t="n"/>
      <c r="F252" s="18" t="n"/>
      <c r="G252" s="15" t="n"/>
      <c r="H252" s="19">
        <f>IF($A252="","",SUMIF(tblGunluk[VarlikId],$A252,tblGunluk[DurusSure_dk]))</f>
        <v/>
      </c>
      <c r="I252" s="19">
        <f>IF($A252="","",IFERROR(AVERAGEIF(tblGunluk[VarlikId],$A252,tblGunluk[FormulOee_oran]),0))</f>
        <v/>
      </c>
      <c r="J252" s="19">
        <f>IF($A252="","",SUMIF(tblGunluk[VarlikId],$A252,tblGunluk[UretimAdet_adet]))</f>
        <v/>
      </c>
      <c r="K252" s="19">
        <f>IF($A252="","",MAX(0,MIN(100,odk_kaliteTaban-IF($I252&lt;odk_esikOee,odk_kaliteCeza,0)-COUNTIFS(tblGunluk[VarlikId],$A252,tblGunluk[AlarmBayrak],"ALARM")*odk_kaliteSapma-IF($G252="HAYIR",odk_kaliteCeza,0))))</f>
        <v/>
      </c>
    </row>
    <row r="253">
      <c r="A253" s="15" t="n"/>
      <c r="B253" s="15" t="n"/>
      <c r="C253" s="15" t="n"/>
      <c r="D253" s="16" t="n"/>
      <c r="E253" s="17" t="n"/>
      <c r="F253" s="18" t="n"/>
      <c r="G253" s="15" t="n"/>
      <c r="H253" s="19">
        <f>IF($A253="","",SUMIF(tblGunluk[VarlikId],$A253,tblGunluk[DurusSure_dk]))</f>
        <v/>
      </c>
      <c r="I253" s="19">
        <f>IF($A253="","",IFERROR(AVERAGEIF(tblGunluk[VarlikId],$A253,tblGunluk[FormulOee_oran]),0))</f>
        <v/>
      </c>
      <c r="J253" s="19">
        <f>IF($A253="","",SUMIF(tblGunluk[VarlikId],$A253,tblGunluk[UretimAdet_adet]))</f>
        <v/>
      </c>
      <c r="K253" s="19">
        <f>IF($A253="","",MAX(0,MIN(100,odk_kaliteTaban-IF($I253&lt;odk_esikOee,odk_kaliteCeza,0)-COUNTIFS(tblGunluk[VarlikId],$A253,tblGunluk[AlarmBayrak],"ALARM")*odk_kaliteSapma-IF($G253="HAYIR",odk_kaliteCeza,0))))</f>
        <v/>
      </c>
    </row>
    <row r="254">
      <c r="A254" s="15" t="n"/>
      <c r="B254" s="15" t="n"/>
      <c r="C254" s="15" t="n"/>
      <c r="D254" s="16" t="n"/>
      <c r="E254" s="17" t="n"/>
      <c r="F254" s="18" t="n"/>
      <c r="G254" s="15" t="n"/>
      <c r="H254" s="19">
        <f>IF($A254="","",SUMIF(tblGunluk[VarlikId],$A254,tblGunluk[DurusSure_dk]))</f>
        <v/>
      </c>
      <c r="I254" s="19">
        <f>IF($A254="","",IFERROR(AVERAGEIF(tblGunluk[VarlikId],$A254,tblGunluk[FormulOee_oran]),0))</f>
        <v/>
      </c>
      <c r="J254" s="19">
        <f>IF($A254="","",SUMIF(tblGunluk[VarlikId],$A254,tblGunluk[UretimAdet_adet]))</f>
        <v/>
      </c>
      <c r="K254" s="19">
        <f>IF($A254="","",MAX(0,MIN(100,odk_kaliteTaban-IF($I254&lt;odk_esikOee,odk_kaliteCeza,0)-COUNTIFS(tblGunluk[VarlikId],$A254,tblGunluk[AlarmBayrak],"ALARM")*odk_kaliteSapma-IF($G254="HAYIR",odk_kaliteCeza,0))))</f>
        <v/>
      </c>
    </row>
    <row r="255">
      <c r="A255" s="15" t="n"/>
      <c r="B255" s="15" t="n"/>
      <c r="C255" s="15" t="n"/>
      <c r="D255" s="16" t="n"/>
      <c r="E255" s="17" t="n"/>
      <c r="F255" s="18" t="n"/>
      <c r="G255" s="15" t="n"/>
      <c r="H255" s="19">
        <f>IF($A255="","",SUMIF(tblGunluk[VarlikId],$A255,tblGunluk[DurusSure_dk]))</f>
        <v/>
      </c>
      <c r="I255" s="19">
        <f>IF($A255="","",IFERROR(AVERAGEIF(tblGunluk[VarlikId],$A255,tblGunluk[FormulOee_oran]),0))</f>
        <v/>
      </c>
      <c r="J255" s="19">
        <f>IF($A255="","",SUMIF(tblGunluk[VarlikId],$A255,tblGunluk[UretimAdet_adet]))</f>
        <v/>
      </c>
      <c r="K255" s="19">
        <f>IF($A255="","",MAX(0,MIN(100,odk_kaliteTaban-IF($I255&lt;odk_esikOee,odk_kaliteCeza,0)-COUNTIFS(tblGunluk[VarlikId],$A255,tblGunluk[AlarmBayrak],"ALARM")*odk_kaliteSapma-IF($G255="HAYIR",odk_kaliteCeza,0))))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K1"/>
    <mergeCell ref="A3:K3"/>
  </mergeCells>
  <conditionalFormatting sqref="G6:G255">
    <cfRule type="cellIs" priority="1" operator="equal" dxfId="0">
      <formula>"HAYIR"</formula>
    </cfRule>
  </conditionalFormatting>
  <conditionalFormatting sqref="K6:K255">
    <cfRule type="cellIs" priority="2" operator="lessThan" dxfId="1">
      <formula>odk_esikSaglik</formula>
    </cfRule>
  </conditionalFormatting>
  <conditionalFormatting sqref="I6:I255">
    <cfRule type="cellIs" priority="3" operator="lessThan" dxfId="0">
      <formula>odk_esikOee</formula>
    </cfRule>
  </conditionalFormatting>
  <dataValidations count="7">
    <dataValidation sqref="A6:A255" showDropDown="0" showInputMessage="1" showErrorMessage="1" allowBlank="1" errorTitle="Kimlik" error="En az 1 karakter" promptTitle="Varlık Kimliği" prompt="MAK-##### girin" type="textLength" errorStyle="stop" operator="greaterThan">
      <formula1>1</formula1>
      <formula2>40</formula2>
    </dataValidation>
    <dataValidation sqref="B6:B255" showDropDown="0" showInputMessage="1" showErrorMessage="1" allowBlank="1" errorTitle="Makine Ad" error="Geçersiz" promptTitle="Makine Ad" prompt="Makine Ad girin" type="textLength" errorStyle="stop" operator="greaterThanOrEqual">
      <formula1>0</formula1>
      <formula2>80</formula2>
    </dataValidation>
    <dataValidation sqref="C6:C255" showDropDown="0" showInputMessage="1" showErrorMessage="1" allowBlank="1" errorTitle="Hat" error="Geçersiz" promptTitle="Hat" prompt="Hat girin" type="textLength" errorStyle="stop" operator="greaterThanOrEqual">
      <formula1>0</formula1>
      <formula2>80</formula2>
    </dataValidation>
    <dataValidation sqref="D6:D255" showDropDown="0" showInputMessage="1" showErrorMessage="1" allowBlank="1" errorTitle="İdeal Çevrim [sn]" error="0 veya üzeri" promptTitle="İdeal Çevrim [sn]" prompt="İdeal Çevrim [sn] ≥ 0" type="decimal" errorStyle="stop" operator="greaterThanOrEqual">
      <formula1>0</formula1>
    </dataValidation>
    <dataValidation sqref="E6:E255" showDropDown="0" showInputMessage="1" showErrorMessage="1" allowBlank="1" errorTitle="Vardiya [dk]" error="0 veya üzeri" promptTitle="Vardiya [dk]" prompt="Vardiya [dk] ≥ 0" type="decimal" errorStyle="stop" operator="greaterThanOrEqual">
      <formula1>0</formula1>
    </dataValidation>
    <dataValidation sqref="F6:F255" showDropDown="0" showInputMessage="1" showErrorMessage="1" allowBlank="1" errorTitle="Hedef OEE" error="0 veya üzeri" promptTitle="Hedef OEE" prompt="Hedef OEE ≥ 0" type="decimal" errorStyle="stop" operator="greaterThanOrEqual">
      <formula1>0</formula1>
    </dataValidation>
    <dataValidation sqref="G6:G255" showDropDown="0" showInputMessage="1" showErrorMessage="1" allowBlank="1" errorTitle="Liste" error="Listeden seçin" promptTitle="Aktif" prompt="EVET veya HAYIR" type="list" errorStyle="stop">
      <formula1>ListeEvetHayir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1A365D"/>
    <outlinePr summaryBelow="1" summaryRight="1"/>
    <pageSetUpPr/>
  </sheetPr>
  <dimension ref="A1:AC2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.5" customWidth="1" min="1" max="1"/>
    <col width="13.5" customWidth="1" min="2" max="2"/>
    <col width="23.5" customWidth="1" min="3" max="3"/>
    <col width="15.5" customWidth="1" min="4" max="4"/>
    <col width="16.5" customWidth="1" min="5" max="5"/>
    <col width="19.5" customWidth="1" min="6" max="6"/>
    <col width="17.5" customWidth="1" min="7" max="7"/>
    <col width="16.5" customWidth="1" min="8" max="8"/>
    <col width="24.5" customWidth="1" min="9" max="9"/>
    <col width="20.5" customWidth="1" min="10" max="10"/>
    <col width="32.5" customWidth="1" min="11" max="11"/>
    <col width="25.5" customWidth="1" min="12" max="12"/>
    <col width="25.5" customWidth="1" min="13" max="13"/>
    <col width="21.5" customWidth="1" min="14" max="14"/>
    <col width="18.5" customWidth="1" min="15" max="15"/>
    <col width="23.5" customWidth="1" min="16" max="16"/>
    <col width="19.5" customWidth="1" min="17" max="17"/>
    <col width="15.5" customWidth="1" min="18" max="18"/>
    <col width="19.5" customWidth="1" min="19" max="19"/>
    <col width="15.5" customWidth="1" min="20" max="20"/>
    <col width="13" customWidth="1" min="21" max="21"/>
  </cols>
  <sheetData>
    <row r="1" ht="32" customHeight="1">
      <c r="A1" s="33" t="inlineStr">
        <is>
          <t>GUNLUK GIRIS — OEE &amp; Duruş Kök-Neden Komutası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  <c r="O1" s="34" t="n"/>
      <c r="P1" s="34" t="n"/>
      <c r="Q1" s="34" t="n"/>
      <c r="R1" s="34" t="n"/>
      <c r="S1" s="34" t="n"/>
      <c r="T1" s="34" t="n"/>
    </row>
    <row r="2"/>
    <row r="3" ht="22" customHeight="1">
      <c r="A3" s="36" t="inlineStr">
        <is>
          <t>GÜNLÜK saha girişi — satır başına en fazla 6 manuel alan (S02)</t>
        </is>
      </c>
    </row>
    <row r="4"/>
    <row r="5" ht="30" customHeight="1">
      <c r="A5" s="14" t="inlineStr">
        <is>
          <t>SatirId</t>
        </is>
      </c>
      <c r="B5" s="14" t="inlineStr">
        <is>
          <t>VarlikId</t>
        </is>
      </c>
      <c r="C5" s="14" t="inlineStr">
        <is>
          <t>Tarih</t>
        </is>
      </c>
      <c r="D5" s="14" t="inlineStr">
        <is>
          <t>PlanSure_dk</t>
        </is>
      </c>
      <c r="E5" s="14" t="inlineStr">
        <is>
          <t>DurusSure_dk</t>
        </is>
      </c>
      <c r="F5" s="14" t="inlineStr">
        <is>
          <t>UretimAdet_adet</t>
        </is>
      </c>
      <c r="G5" s="14" t="inlineStr">
        <is>
          <t>FireAdet_adet</t>
        </is>
      </c>
      <c r="H5" s="14" t="inlineStr">
        <is>
          <t>KokNedenKodu</t>
        </is>
      </c>
      <c r="I5" s="14" t="inlineStr">
        <is>
          <t>FormulIdealCevrim_sn</t>
        </is>
      </c>
      <c r="J5" s="14" t="inlineStr">
        <is>
          <t>FormulCalisma_dk</t>
        </is>
      </c>
      <c r="K5" s="14" t="inlineStr">
        <is>
          <t>FormulKullanilabilirlik_oran</t>
        </is>
      </c>
      <c r="L5" s="14" t="inlineStr">
        <is>
          <t>FormulTeorikAdet_adet</t>
        </is>
      </c>
      <c r="M5" s="14" t="inlineStr">
        <is>
          <t>FormulPerformans_oran</t>
        </is>
      </c>
      <c r="N5" s="14" t="inlineStr">
        <is>
          <t>FormulKalite_oran</t>
        </is>
      </c>
      <c r="O5" s="14" t="inlineStr">
        <is>
          <t>FormulOee_oran</t>
        </is>
      </c>
      <c r="P5" s="14" t="inlineStr">
        <is>
          <t>FormulDurusPay_oran</t>
        </is>
      </c>
      <c r="Q5" s="14" t="inlineStr">
        <is>
          <t>SaglikSkor_puan</t>
        </is>
      </c>
      <c r="R5" s="14" t="inlineStr">
        <is>
          <t>AlarmBayrak</t>
        </is>
      </c>
      <c r="S5" s="14" t="inlineStr">
        <is>
          <t>FormulKayitDolu</t>
        </is>
      </c>
      <c r="T5" s="14" t="inlineStr">
        <is>
          <t>FormulYetim</t>
        </is>
      </c>
    </row>
    <row r="6">
      <c r="A6" s="15" t="inlineStr">
        <is>
          <t>ODK-00001</t>
        </is>
      </c>
      <c r="B6" s="15" t="inlineStr">
        <is>
          <t>MAK-00001</t>
        </is>
      </c>
      <c r="C6" s="37" t="n">
        <v>46242</v>
      </c>
      <c r="D6" s="17" t="n">
        <v>480</v>
      </c>
      <c r="E6" s="17" t="n">
        <v>48</v>
      </c>
      <c r="F6" s="17" t="n">
        <v>1814</v>
      </c>
      <c r="G6" s="17" t="n">
        <v>45</v>
      </c>
      <c r="H6" s="15" t="inlineStr">
        <is>
          <t>AYAR</t>
        </is>
      </c>
      <c r="I6" s="19">
        <f>IF($A6="","",IFERROR(SUMIF(tblVarliklar[VarlikId],$B6,tblVarliklar[IdealCevrim_sn]),odk_varsayilanCevrim))</f>
        <v/>
      </c>
      <c r="J6" s="19">
        <f>IF($A6="","",IFERROR(MAX(0,$D6-$E6),0))</f>
        <v/>
      </c>
      <c r="K6" s="19">
        <f>IF($A6="","",IFERROR($J6/$D6,0))</f>
        <v/>
      </c>
      <c r="L6" s="19">
        <f>IF($A6="","",IFERROR($J6*odk_dakikaSn/$I6,0))</f>
        <v/>
      </c>
      <c r="M6" s="19">
        <f>IF($A6="","",IFERROR($F6/$L6,0))</f>
        <v/>
      </c>
      <c r="N6" s="19">
        <f>IF($A6="","",IFERROR(($F6-$G6)/$F6,0))</f>
        <v/>
      </c>
      <c r="O6" s="19">
        <f>IF($A6="","",IFERROR(N($K6)*N($M6)*N($N6),0))</f>
        <v/>
      </c>
      <c r="P6" s="19">
        <f>IF($A6="","",IFERROR($E6/$D6,0))</f>
        <v/>
      </c>
      <c r="Q6" s="19">
        <f>IF($A6="","",IFERROR(MAX(0,MIN(100,odk_kaliteTaban-IF(N($O6)&lt;odk_esikOee,odk_kaliteCeza,0)-IF($E6&gt;odk_esikDurusDk,odk_kaliteSapma,0)-IF($T6="YETIM",odk_kaliteCeza,0))),0))</f>
        <v/>
      </c>
      <c r="R6" s="19">
        <f>IF($A6="","",IF(OR(N($O6)&lt;odk_esikOee,$E6&gt;odk_esikDurusDk,N($Q6)&lt;odk_esikSaglik),"ALARM","UYGUN"))</f>
        <v/>
      </c>
      <c r="S6" s="19">
        <f>IF($A6="","",1)</f>
        <v/>
      </c>
      <c r="T6" s="19">
        <f>IF($A6="","",IF(OR($B6="",COUNTIF(tblVarliklar[VarlikId],$B6)=0),"YETIM","TAMAM"))</f>
        <v/>
      </c>
    </row>
    <row r="7">
      <c r="A7" s="15" t="inlineStr">
        <is>
          <t>ODK-00002</t>
        </is>
      </c>
      <c r="B7" s="15" t="inlineStr">
        <is>
          <t>MAK-00002</t>
        </is>
      </c>
      <c r="C7" s="37" t="n">
        <v>46239</v>
      </c>
      <c r="D7" s="17" t="n">
        <v>480</v>
      </c>
      <c r="E7" s="17" t="n">
        <v>56</v>
      </c>
      <c r="F7" s="17" t="n">
        <v>486</v>
      </c>
      <c r="G7" s="17" t="n">
        <v>15</v>
      </c>
      <c r="H7" s="15" t="inlineStr">
        <is>
          <t>MALZEME</t>
        </is>
      </c>
      <c r="I7" s="19">
        <f>IF($A7="","",IFERROR(SUMIF(tblVarliklar[VarlikId],$B7,tblVarliklar[IdealCevrim_sn]),odk_varsayilanCevrim))</f>
        <v/>
      </c>
      <c r="J7" s="19">
        <f>IF($A7="","",IFERROR(MAX(0,$D7-$E7),0))</f>
        <v/>
      </c>
      <c r="K7" s="19">
        <f>IF($A7="","",IFERROR($J7/$D7,0))</f>
        <v/>
      </c>
      <c r="L7" s="19">
        <f>IF($A7="","",IFERROR($J7*odk_dakikaSn/$I7,0))</f>
        <v/>
      </c>
      <c r="M7" s="19">
        <f>IF($A7="","",IFERROR($F7/$L7,0))</f>
        <v/>
      </c>
      <c r="N7" s="19">
        <f>IF($A7="","",IFERROR(($F7-$G7)/$F7,0))</f>
        <v/>
      </c>
      <c r="O7" s="19">
        <f>IF($A7="","",IFERROR(N($K7)*N($M7)*N($N7),0))</f>
        <v/>
      </c>
      <c r="P7" s="19">
        <f>IF($A7="","",IFERROR($E7/$D7,0))</f>
        <v/>
      </c>
      <c r="Q7" s="19">
        <f>IF($A7="","",IFERROR(MAX(0,MIN(100,odk_kaliteTaban-IF(N($O7)&lt;odk_esikOee,odk_kaliteCeza,0)-IF($E7&gt;odk_esikDurusDk,odk_kaliteSapma,0)-IF($T7="YETIM",odk_kaliteCeza,0))),0))</f>
        <v/>
      </c>
      <c r="R7" s="19">
        <f>IF($A7="","",IF(OR(N($O7)&lt;odk_esikOee,$E7&gt;odk_esikDurusDk,N($Q7)&lt;odk_esikSaglik),"ALARM","UYGUN"))</f>
        <v/>
      </c>
      <c r="S7" s="19">
        <f>IF($A7="","",1)</f>
        <v/>
      </c>
      <c r="T7" s="19">
        <f>IF($A7="","",IF(OR($B7="",COUNTIF(tblVarliklar[VarlikId],$B7)=0),"YETIM","TAMAM"))</f>
        <v/>
      </c>
    </row>
    <row r="8">
      <c r="A8" s="15" t="inlineStr">
        <is>
          <t>ODK-00003</t>
        </is>
      </c>
      <c r="B8" s="15" t="inlineStr">
        <is>
          <t>MAK-00003</t>
        </is>
      </c>
      <c r="C8" s="37" t="n">
        <v>46236</v>
      </c>
      <c r="D8" s="17" t="n">
        <v>480</v>
      </c>
      <c r="E8" s="17" t="n">
        <v>64</v>
      </c>
      <c r="F8" s="17" t="n">
        <v>1221</v>
      </c>
      <c r="G8" s="17" t="n">
        <v>43</v>
      </c>
      <c r="H8" s="15" t="inlineStr">
        <is>
          <t>OPERATOR</t>
        </is>
      </c>
      <c r="I8" s="19">
        <f>IF($A8="","",IFERROR(SUMIF(tblVarliklar[VarlikId],$B8,tblVarliklar[IdealCevrim_sn]),odk_varsayilanCevrim))</f>
        <v/>
      </c>
      <c r="J8" s="19">
        <f>IF($A8="","",IFERROR(MAX(0,$D8-$E8),0))</f>
        <v/>
      </c>
      <c r="K8" s="19">
        <f>IF($A8="","",IFERROR($J8/$D8,0))</f>
        <v/>
      </c>
      <c r="L8" s="19">
        <f>IF($A8="","",IFERROR($J8*odk_dakikaSn/$I8,0))</f>
        <v/>
      </c>
      <c r="M8" s="19">
        <f>IF($A8="","",IFERROR($F8/$L8,0))</f>
        <v/>
      </c>
      <c r="N8" s="19">
        <f>IF($A8="","",IFERROR(($F8-$G8)/$F8,0))</f>
        <v/>
      </c>
      <c r="O8" s="19">
        <f>IF($A8="","",IFERROR(N($K8)*N($M8)*N($N8),0))</f>
        <v/>
      </c>
      <c r="P8" s="19">
        <f>IF($A8="","",IFERROR($E8/$D8,0))</f>
        <v/>
      </c>
      <c r="Q8" s="19">
        <f>IF($A8="","",IFERROR(MAX(0,MIN(100,odk_kaliteTaban-IF(N($O8)&lt;odk_esikOee,odk_kaliteCeza,0)-IF($E8&gt;odk_esikDurusDk,odk_kaliteSapma,0)-IF($T8="YETIM",odk_kaliteCeza,0))),0))</f>
        <v/>
      </c>
      <c r="R8" s="19">
        <f>IF($A8="","",IF(OR(N($O8)&lt;odk_esikOee,$E8&gt;odk_esikDurusDk,N($Q8)&lt;odk_esikSaglik),"ALARM","UYGUN"))</f>
        <v/>
      </c>
      <c r="S8" s="19">
        <f>IF($A8="","",1)</f>
        <v/>
      </c>
      <c r="T8" s="19">
        <f>IF($A8="","",IF(OR($B8="",COUNTIF(tblVarliklar[VarlikId],$B8)=0),"YETIM","TAMAM"))</f>
        <v/>
      </c>
    </row>
    <row r="9">
      <c r="A9" s="15" t="inlineStr">
        <is>
          <t>ODK-00004</t>
        </is>
      </c>
      <c r="B9" s="15" t="inlineStr">
        <is>
          <t>MAK-00004</t>
        </is>
      </c>
      <c r="C9" s="37" t="n">
        <v>46233</v>
      </c>
      <c r="D9" s="17" t="n">
        <v>480</v>
      </c>
      <c r="E9" s="17" t="n">
        <v>72</v>
      </c>
      <c r="F9" s="17" t="n">
        <v>734</v>
      </c>
      <c r="G9" s="17" t="n">
        <v>15</v>
      </c>
      <c r="H9" s="15" t="inlineStr">
        <is>
          <t>KALIP</t>
        </is>
      </c>
      <c r="I9" s="19">
        <f>IF($A9="","",IFERROR(SUMIF(tblVarliklar[VarlikId],$B9,tblVarliklar[IdealCevrim_sn]),odk_varsayilanCevrim))</f>
        <v/>
      </c>
      <c r="J9" s="19">
        <f>IF($A9="","",IFERROR(MAX(0,$D9-$E9),0))</f>
        <v/>
      </c>
      <c r="K9" s="19">
        <f>IF($A9="","",IFERROR($J9/$D9,0))</f>
        <v/>
      </c>
      <c r="L9" s="19">
        <f>IF($A9="","",IFERROR($J9*odk_dakikaSn/$I9,0))</f>
        <v/>
      </c>
      <c r="M9" s="19">
        <f>IF($A9="","",IFERROR($F9/$L9,0))</f>
        <v/>
      </c>
      <c r="N9" s="19">
        <f>IF($A9="","",IFERROR(($F9-$G9)/$F9,0))</f>
        <v/>
      </c>
      <c r="O9" s="19">
        <f>IF($A9="","",IFERROR(N($K9)*N($M9)*N($N9),0))</f>
        <v/>
      </c>
      <c r="P9" s="19">
        <f>IF($A9="","",IFERROR($E9/$D9,0))</f>
        <v/>
      </c>
      <c r="Q9" s="19">
        <f>IF($A9="","",IFERROR(MAX(0,MIN(100,odk_kaliteTaban-IF(N($O9)&lt;odk_esikOee,odk_kaliteCeza,0)-IF($E9&gt;odk_esikDurusDk,odk_kaliteSapma,0)-IF($T9="YETIM",odk_kaliteCeza,0))),0))</f>
        <v/>
      </c>
      <c r="R9" s="19">
        <f>IF($A9="","",IF(OR(N($O9)&lt;odk_esikOee,$E9&gt;odk_esikDurusDk,N($Q9)&lt;odk_esikSaglik),"ALARM","UYGUN"))</f>
        <v/>
      </c>
      <c r="S9" s="19">
        <f>IF($A9="","",1)</f>
        <v/>
      </c>
      <c r="T9" s="19">
        <f>IF($A9="","",IF(OR($B9="",COUNTIF(tblVarliklar[VarlikId],$B9)=0),"YETIM","TAMAM"))</f>
        <v/>
      </c>
    </row>
    <row r="10">
      <c r="A10" s="15" t="inlineStr">
        <is>
          <t>ODK-00005</t>
        </is>
      </c>
      <c r="B10" s="15" t="inlineStr">
        <is>
          <t>MAK-00005</t>
        </is>
      </c>
      <c r="C10" s="37" t="n">
        <v>46230</v>
      </c>
      <c r="D10" s="17" t="n">
        <v>480</v>
      </c>
      <c r="E10" s="17" t="n">
        <v>80</v>
      </c>
      <c r="F10" s="17" t="n">
        <v>895</v>
      </c>
      <c r="G10" s="17" t="n">
        <v>22</v>
      </c>
      <c r="H10" s="15" t="inlineStr">
        <is>
          <t>BEKLEME</t>
        </is>
      </c>
      <c r="I10" s="19">
        <f>IF($A10="","",IFERROR(SUMIF(tblVarliklar[VarlikId],$B10,tblVarliklar[IdealCevrim_sn]),odk_varsayilanCevrim))</f>
        <v/>
      </c>
      <c r="J10" s="19">
        <f>IF($A10="","",IFERROR(MAX(0,$D10-$E10),0))</f>
        <v/>
      </c>
      <c r="K10" s="19">
        <f>IF($A10="","",IFERROR($J10/$D10,0))</f>
        <v/>
      </c>
      <c r="L10" s="19">
        <f>IF($A10="","",IFERROR($J10*odk_dakikaSn/$I10,0))</f>
        <v/>
      </c>
      <c r="M10" s="19">
        <f>IF($A10="","",IFERROR($F10/$L10,0))</f>
        <v/>
      </c>
      <c r="N10" s="19">
        <f>IF($A10="","",IFERROR(($F10-$G10)/$F10,0))</f>
        <v/>
      </c>
      <c r="O10" s="19">
        <f>IF($A10="","",IFERROR(N($K10)*N($M10)*N($N10),0))</f>
        <v/>
      </c>
      <c r="P10" s="19">
        <f>IF($A10="","",IFERROR($E10/$D10,0))</f>
        <v/>
      </c>
      <c r="Q10" s="19">
        <f>IF($A10="","",IFERROR(MAX(0,MIN(100,odk_kaliteTaban-IF(N($O10)&lt;odk_esikOee,odk_kaliteCeza,0)-IF($E10&gt;odk_esikDurusDk,odk_kaliteSapma,0)-IF($T10="YETIM",odk_kaliteCeza,0))),0))</f>
        <v/>
      </c>
      <c r="R10" s="19">
        <f>IF($A10="","",IF(OR(N($O10)&lt;odk_esikOee,$E10&gt;odk_esikDurusDk,N($Q10)&lt;odk_esikSaglik),"ALARM","UYGUN"))</f>
        <v/>
      </c>
      <c r="S10" s="19">
        <f>IF($A10="","",1)</f>
        <v/>
      </c>
      <c r="T10" s="19">
        <f>IF($A10="","",IF(OR($B10="",COUNTIF(tblVarliklar[VarlikId],$B10)=0),"YETIM","TAMAM"))</f>
        <v/>
      </c>
    </row>
    <row r="11">
      <c r="A11" s="15" t="inlineStr">
        <is>
          <t>ODK-00006</t>
        </is>
      </c>
      <c r="B11" s="15" t="inlineStr">
        <is>
          <t>MAK-00006</t>
        </is>
      </c>
      <c r="C11" s="37" t="n">
        <v>46227</v>
      </c>
      <c r="D11" s="17" t="n">
        <v>480</v>
      </c>
      <c r="E11" s="17" t="n">
        <v>88</v>
      </c>
      <c r="F11" s="17" t="n">
        <v>2470</v>
      </c>
      <c r="G11" s="17" t="n">
        <v>74</v>
      </c>
      <c r="H11" s="15" t="inlineStr">
        <is>
          <t>DIGER</t>
        </is>
      </c>
      <c r="I11" s="19">
        <f>IF($A11="","",IFERROR(SUMIF(tblVarliklar[VarlikId],$B11,tblVarliklar[IdealCevrim_sn]),odk_varsayilanCevrim))</f>
        <v/>
      </c>
      <c r="J11" s="19">
        <f>IF($A11="","",IFERROR(MAX(0,$D11-$E11),0))</f>
        <v/>
      </c>
      <c r="K11" s="19">
        <f>IF($A11="","",IFERROR($J11/$D11,0))</f>
        <v/>
      </c>
      <c r="L11" s="19">
        <f>IF($A11="","",IFERROR($J11*odk_dakikaSn/$I11,0))</f>
        <v/>
      </c>
      <c r="M11" s="19">
        <f>IF($A11="","",IFERROR($F11/$L11,0))</f>
        <v/>
      </c>
      <c r="N11" s="19">
        <f>IF($A11="","",IFERROR(($F11-$G11)/$F11,0))</f>
        <v/>
      </c>
      <c r="O11" s="19">
        <f>IF($A11="","",IFERROR(N($K11)*N($M11)*N($N11),0))</f>
        <v/>
      </c>
      <c r="P11" s="19">
        <f>IF($A11="","",IFERROR($E11/$D11,0))</f>
        <v/>
      </c>
      <c r="Q11" s="19">
        <f>IF($A11="","",IFERROR(MAX(0,MIN(100,odk_kaliteTaban-IF(N($O11)&lt;odk_esikOee,odk_kaliteCeza,0)-IF($E11&gt;odk_esikDurusDk,odk_kaliteSapma,0)-IF($T11="YETIM",odk_kaliteCeza,0))),0))</f>
        <v/>
      </c>
      <c r="R11" s="19">
        <f>IF($A11="","",IF(OR(N($O11)&lt;odk_esikOee,$E11&gt;odk_esikDurusDk,N($Q11)&lt;odk_esikSaglik),"ALARM","UYGUN"))</f>
        <v/>
      </c>
      <c r="S11" s="19">
        <f>IF($A11="","",1)</f>
        <v/>
      </c>
      <c r="T11" s="19">
        <f>IF($A11="","",IF(OR($B11="",COUNTIF(tblVarliklar[VarlikId],$B11)=0),"YETIM","TAMAM"))</f>
        <v/>
      </c>
    </row>
    <row r="12">
      <c r="A12" s="15" t="inlineStr">
        <is>
          <t>ODK-00007</t>
        </is>
      </c>
      <c r="B12" s="15" t="inlineStr">
        <is>
          <t>MAK-00007</t>
        </is>
      </c>
      <c r="C12" s="37" t="n">
        <v>46224</v>
      </c>
      <c r="D12" s="17" t="n">
        <v>480</v>
      </c>
      <c r="E12" s="17" t="n">
        <v>40</v>
      </c>
      <c r="F12" s="17" t="n">
        <v>648</v>
      </c>
      <c r="G12" s="17" t="n">
        <v>23</v>
      </c>
      <c r="H12" s="15" t="inlineStr">
        <is>
          <t>ARIZA</t>
        </is>
      </c>
      <c r="I12" s="19">
        <f>IF($A12="","",IFERROR(SUMIF(tblVarliklar[VarlikId],$B12,tblVarliklar[IdealCevrim_sn]),odk_varsayilanCevrim))</f>
        <v/>
      </c>
      <c r="J12" s="19">
        <f>IF($A12="","",IFERROR(MAX(0,$D12-$E12),0))</f>
        <v/>
      </c>
      <c r="K12" s="19">
        <f>IF($A12="","",IFERROR($J12/$D12,0))</f>
        <v/>
      </c>
      <c r="L12" s="19">
        <f>IF($A12="","",IFERROR($J12*odk_dakikaSn/$I12,0))</f>
        <v/>
      </c>
      <c r="M12" s="19">
        <f>IF($A12="","",IFERROR($F12/$L12,0))</f>
        <v/>
      </c>
      <c r="N12" s="19">
        <f>IF($A12="","",IFERROR(($F12-$G12)/$F12,0))</f>
        <v/>
      </c>
      <c r="O12" s="19">
        <f>IF($A12="","",IFERROR(N($K12)*N($M12)*N($N12),0))</f>
        <v/>
      </c>
      <c r="P12" s="19">
        <f>IF($A12="","",IFERROR($E12/$D12,0))</f>
        <v/>
      </c>
      <c r="Q12" s="19">
        <f>IF($A12="","",IFERROR(MAX(0,MIN(100,odk_kaliteTaban-IF(N($O12)&lt;odk_esikOee,odk_kaliteCeza,0)-IF($E12&gt;odk_esikDurusDk,odk_kaliteSapma,0)-IF($T12="YETIM",odk_kaliteCeza,0))),0))</f>
        <v/>
      </c>
      <c r="R12" s="19">
        <f>IF($A12="","",IF(OR(N($O12)&lt;odk_esikOee,$E12&gt;odk_esikDurusDk,N($Q12)&lt;odk_esikSaglik),"ALARM","UYGUN"))</f>
        <v/>
      </c>
      <c r="S12" s="19">
        <f>IF($A12="","",1)</f>
        <v/>
      </c>
      <c r="T12" s="19">
        <f>IF($A12="","",IF(OR($B12="",COUNTIF(tblVarliklar[VarlikId],$B12)=0),"YETIM","TAMAM"))</f>
        <v/>
      </c>
    </row>
    <row r="13">
      <c r="A13" s="15" t="inlineStr">
        <is>
          <t>ODK-00008</t>
        </is>
      </c>
      <c r="B13" s="15" t="inlineStr">
        <is>
          <t>MAK-00008</t>
        </is>
      </c>
      <c r="C13" s="37" t="n">
        <v>46221</v>
      </c>
      <c r="D13" s="17" t="n">
        <v>480</v>
      </c>
      <c r="E13" s="17" t="n">
        <v>48</v>
      </c>
      <c r="F13" s="17" t="n">
        <v>1521</v>
      </c>
      <c r="G13" s="17" t="n">
        <v>30</v>
      </c>
      <c r="H13" s="15" t="inlineStr">
        <is>
          <t>AYAR</t>
        </is>
      </c>
      <c r="I13" s="19">
        <f>IF($A13="","",IFERROR(SUMIF(tblVarliklar[VarlikId],$B13,tblVarliklar[IdealCevrim_sn]),odk_varsayilanCevrim))</f>
        <v/>
      </c>
      <c r="J13" s="19">
        <f>IF($A13="","",IFERROR(MAX(0,$D13-$E13),0))</f>
        <v/>
      </c>
      <c r="K13" s="19">
        <f>IF($A13="","",IFERROR($J13/$D13,0))</f>
        <v/>
      </c>
      <c r="L13" s="19">
        <f>IF($A13="","",IFERROR($J13*odk_dakikaSn/$I13,0))</f>
        <v/>
      </c>
      <c r="M13" s="19">
        <f>IF($A13="","",IFERROR($F13/$L13,0))</f>
        <v/>
      </c>
      <c r="N13" s="19">
        <f>IF($A13="","",IFERROR(($F13-$G13)/$F13,0))</f>
        <v/>
      </c>
      <c r="O13" s="19">
        <f>IF($A13="","",IFERROR(N($K13)*N($M13)*N($N13),0))</f>
        <v/>
      </c>
      <c r="P13" s="19">
        <f>IF($A13="","",IFERROR($E13/$D13,0))</f>
        <v/>
      </c>
      <c r="Q13" s="19">
        <f>IF($A13="","",IFERROR(MAX(0,MIN(100,odk_kaliteTaban-IF(N($O13)&lt;odk_esikOee,odk_kaliteCeza,0)-IF($E13&gt;odk_esikDurusDk,odk_kaliteSapma,0)-IF($T13="YETIM",odk_kaliteCeza,0))),0))</f>
        <v/>
      </c>
      <c r="R13" s="19">
        <f>IF($A13="","",IF(OR(N($O13)&lt;odk_esikOee,$E13&gt;odk_esikDurusDk,N($Q13)&lt;odk_esikSaglik),"ALARM","UYGUN"))</f>
        <v/>
      </c>
      <c r="S13" s="19">
        <f>IF($A13="","",1)</f>
        <v/>
      </c>
      <c r="T13" s="19">
        <f>IF($A13="","",IF(OR($B13="",COUNTIF(tblVarliklar[VarlikId],$B13)=0),"YETIM","TAMAM"))</f>
        <v/>
      </c>
    </row>
    <row r="14">
      <c r="A14" s="15" t="inlineStr">
        <is>
          <t>ODK-00009</t>
        </is>
      </c>
      <c r="B14" s="15" t="inlineStr">
        <is>
          <t>MAK-00001</t>
        </is>
      </c>
      <c r="C14" s="37" t="n">
        <v>46218</v>
      </c>
      <c r="D14" s="17" t="n">
        <v>480</v>
      </c>
      <c r="E14" s="17" t="n">
        <v>56</v>
      </c>
      <c r="F14" s="17" t="n">
        <v>1908</v>
      </c>
      <c r="G14" s="17" t="n">
        <v>48</v>
      </c>
      <c r="H14" s="15" t="inlineStr">
        <is>
          <t>MALZEME</t>
        </is>
      </c>
      <c r="I14" s="19">
        <f>IF($A14="","",IFERROR(SUMIF(tblVarliklar[VarlikId],$B14,tblVarliklar[IdealCevrim_sn]),odk_varsayilanCevrim))</f>
        <v/>
      </c>
      <c r="J14" s="19">
        <f>IF($A14="","",IFERROR(MAX(0,$D14-$E14),0))</f>
        <v/>
      </c>
      <c r="K14" s="19">
        <f>IF($A14="","",IFERROR($J14/$D14,0))</f>
        <v/>
      </c>
      <c r="L14" s="19">
        <f>IF($A14="","",IFERROR($J14*odk_dakikaSn/$I14,0))</f>
        <v/>
      </c>
      <c r="M14" s="19">
        <f>IF($A14="","",IFERROR($F14/$L14,0))</f>
        <v/>
      </c>
      <c r="N14" s="19">
        <f>IF($A14="","",IFERROR(($F14-$G14)/$F14,0))</f>
        <v/>
      </c>
      <c r="O14" s="19">
        <f>IF($A14="","",IFERROR(N($K14)*N($M14)*N($N14),0))</f>
        <v/>
      </c>
      <c r="P14" s="19">
        <f>IF($A14="","",IFERROR($E14/$D14,0))</f>
        <v/>
      </c>
      <c r="Q14" s="19">
        <f>IF($A14="","",IFERROR(MAX(0,MIN(100,odk_kaliteTaban-IF(N($O14)&lt;odk_esikOee,odk_kaliteCeza,0)-IF($E14&gt;odk_esikDurusDk,odk_kaliteSapma,0)-IF($T14="YETIM",odk_kaliteCeza,0))),0))</f>
        <v/>
      </c>
      <c r="R14" s="19">
        <f>IF($A14="","",IF(OR(N($O14)&lt;odk_esikOee,$E14&gt;odk_esikDurusDk,N($Q14)&lt;odk_esikSaglik),"ALARM","UYGUN"))</f>
        <v/>
      </c>
      <c r="S14" s="19">
        <f>IF($A14="","",1)</f>
        <v/>
      </c>
      <c r="T14" s="19">
        <f>IF($A14="","",IF(OR($B14="",COUNTIF(tblVarliklar[VarlikId],$B14)=0),"YETIM","TAMAM"))</f>
        <v/>
      </c>
    </row>
    <row r="15">
      <c r="A15" s="15" t="inlineStr">
        <is>
          <t>ODK-00010</t>
        </is>
      </c>
      <c r="B15" s="15" t="inlineStr">
        <is>
          <t>MAK-00002</t>
        </is>
      </c>
      <c r="C15" s="37" t="n">
        <v>46215</v>
      </c>
      <c r="D15" s="17" t="n">
        <v>480</v>
      </c>
      <c r="E15" s="17" t="n">
        <v>64</v>
      </c>
      <c r="F15" s="17" t="n">
        <v>455</v>
      </c>
      <c r="G15" s="17" t="n">
        <v>14</v>
      </c>
      <c r="H15" s="15" t="inlineStr">
        <is>
          <t>OPERATOR</t>
        </is>
      </c>
      <c r="I15" s="19">
        <f>IF($A15="","",IFERROR(SUMIF(tblVarliklar[VarlikId],$B15,tblVarliklar[IdealCevrim_sn]),odk_varsayilanCevrim))</f>
        <v/>
      </c>
      <c r="J15" s="19">
        <f>IF($A15="","",IFERROR(MAX(0,$D15-$E15),0))</f>
        <v/>
      </c>
      <c r="K15" s="19">
        <f>IF($A15="","",IFERROR($J15/$D15,0))</f>
        <v/>
      </c>
      <c r="L15" s="19">
        <f>IF($A15="","",IFERROR($J15*odk_dakikaSn/$I15,0))</f>
        <v/>
      </c>
      <c r="M15" s="19">
        <f>IF($A15="","",IFERROR($F15/$L15,0))</f>
        <v/>
      </c>
      <c r="N15" s="19">
        <f>IF($A15="","",IFERROR(($F15-$G15)/$F15,0))</f>
        <v/>
      </c>
      <c r="O15" s="19">
        <f>IF($A15="","",IFERROR(N($K15)*N($M15)*N($N15),0))</f>
        <v/>
      </c>
      <c r="P15" s="19">
        <f>IF($A15="","",IFERROR($E15/$D15,0))</f>
        <v/>
      </c>
      <c r="Q15" s="19">
        <f>IF($A15="","",IFERROR(MAX(0,MIN(100,odk_kaliteTaban-IF(N($O15)&lt;odk_esikOee,odk_kaliteCeza,0)-IF($E15&gt;odk_esikDurusDk,odk_kaliteSapma,0)-IF($T15="YETIM",odk_kaliteCeza,0))),0))</f>
        <v/>
      </c>
      <c r="R15" s="19">
        <f>IF($A15="","",IF(OR(N($O15)&lt;odk_esikOee,$E15&gt;odk_esikDurusDk,N($Q15)&lt;odk_esikSaglik),"ALARM","UYGUN"))</f>
        <v/>
      </c>
      <c r="S15" s="19">
        <f>IF($A15="","",1)</f>
        <v/>
      </c>
      <c r="T15" s="19">
        <f>IF($A15="","",IF(OR($B15="",COUNTIF(tblVarliklar[VarlikId],$B15)=0),"YETIM","TAMAM"))</f>
        <v/>
      </c>
    </row>
    <row r="16">
      <c r="A16" s="15" t="inlineStr">
        <is>
          <t>ODK-00011</t>
        </is>
      </c>
      <c r="B16" s="15" t="inlineStr">
        <is>
          <t>MAK-00003</t>
        </is>
      </c>
      <c r="C16" s="37" t="n">
        <v>46212</v>
      </c>
      <c r="D16" s="17" t="n">
        <v>480</v>
      </c>
      <c r="E16" s="17" t="n">
        <v>72</v>
      </c>
      <c r="F16" s="17" t="n">
        <v>1142</v>
      </c>
      <c r="G16" s="17" t="n">
        <v>40</v>
      </c>
      <c r="H16" s="15" t="inlineStr">
        <is>
          <t>KALIP</t>
        </is>
      </c>
      <c r="I16" s="19">
        <f>IF($A16="","",IFERROR(SUMIF(tblVarliklar[VarlikId],$B16,tblVarliklar[IdealCevrim_sn]),odk_varsayilanCevrim))</f>
        <v/>
      </c>
      <c r="J16" s="19">
        <f>IF($A16="","",IFERROR(MAX(0,$D16-$E16),0))</f>
        <v/>
      </c>
      <c r="K16" s="19">
        <f>IF($A16="","",IFERROR($J16/$D16,0))</f>
        <v/>
      </c>
      <c r="L16" s="19">
        <f>IF($A16="","",IFERROR($J16*odk_dakikaSn/$I16,0))</f>
        <v/>
      </c>
      <c r="M16" s="19">
        <f>IF($A16="","",IFERROR($F16/$L16,0))</f>
        <v/>
      </c>
      <c r="N16" s="19">
        <f>IF($A16="","",IFERROR(($F16-$G16)/$F16,0))</f>
        <v/>
      </c>
      <c r="O16" s="19">
        <f>IF($A16="","",IFERROR(N($K16)*N($M16)*N($N16),0))</f>
        <v/>
      </c>
      <c r="P16" s="19">
        <f>IF($A16="","",IFERROR($E16/$D16,0))</f>
        <v/>
      </c>
      <c r="Q16" s="19">
        <f>IF($A16="","",IFERROR(MAX(0,MIN(100,odk_kaliteTaban-IF(N($O16)&lt;odk_esikOee,odk_kaliteCeza,0)-IF($E16&gt;odk_esikDurusDk,odk_kaliteSapma,0)-IF($T16="YETIM",odk_kaliteCeza,0))),0))</f>
        <v/>
      </c>
      <c r="R16" s="19">
        <f>IF($A16="","",IF(OR(N($O16)&lt;odk_esikOee,$E16&gt;odk_esikDurusDk,N($Q16)&lt;odk_esikSaglik),"ALARM","UYGUN"))</f>
        <v/>
      </c>
      <c r="S16" s="19">
        <f>IF($A16="","",1)</f>
        <v/>
      </c>
      <c r="T16" s="19">
        <f>IF($A16="","",IF(OR($B16="",COUNTIF(tblVarliklar[VarlikId],$B16)=0),"YETIM","TAMAM"))</f>
        <v/>
      </c>
    </row>
    <row r="17">
      <c r="A17" s="15" t="inlineStr">
        <is>
          <t>ODK-00012</t>
        </is>
      </c>
      <c r="B17" s="15" t="inlineStr">
        <is>
          <t>MAK-00004</t>
        </is>
      </c>
      <c r="C17" s="37" t="n">
        <v>46209</v>
      </c>
      <c r="D17" s="17" t="n">
        <v>480</v>
      </c>
      <c r="E17" s="17" t="n">
        <v>180</v>
      </c>
      <c r="F17" s="17" t="n">
        <v>330</v>
      </c>
      <c r="G17" s="17" t="n">
        <v>26</v>
      </c>
      <c r="H17" s="15" t="inlineStr">
        <is>
          <t>BEKLEME</t>
        </is>
      </c>
      <c r="I17" s="19">
        <f>IF($A17="","",IFERROR(SUMIF(tblVarliklar[VarlikId],$B17,tblVarliklar[IdealCevrim_sn]),odk_varsayilanCevrim))</f>
        <v/>
      </c>
      <c r="J17" s="19">
        <f>IF($A17="","",IFERROR(MAX(0,$D17-$E17),0))</f>
        <v/>
      </c>
      <c r="K17" s="19">
        <f>IF($A17="","",IFERROR($J17/$D17,0))</f>
        <v/>
      </c>
      <c r="L17" s="19">
        <f>IF($A17="","",IFERROR($J17*odk_dakikaSn/$I17,0))</f>
        <v/>
      </c>
      <c r="M17" s="19">
        <f>IF($A17="","",IFERROR($F17/$L17,0))</f>
        <v/>
      </c>
      <c r="N17" s="19">
        <f>IF($A17="","",IFERROR(($F17-$G17)/$F17,0))</f>
        <v/>
      </c>
      <c r="O17" s="19">
        <f>IF($A17="","",IFERROR(N($K17)*N($M17)*N($N17),0))</f>
        <v/>
      </c>
      <c r="P17" s="19">
        <f>IF($A17="","",IFERROR($E17/$D17,0))</f>
        <v/>
      </c>
      <c r="Q17" s="19">
        <f>IF($A17="","",IFERROR(MAX(0,MIN(100,odk_kaliteTaban-IF(N($O17)&lt;odk_esikOee,odk_kaliteCeza,0)-IF($E17&gt;odk_esikDurusDk,odk_kaliteSapma,0)-IF($T17="YETIM",odk_kaliteCeza,0))),0))</f>
        <v/>
      </c>
      <c r="R17" s="19">
        <f>IF($A17="","",IF(OR(N($O17)&lt;odk_esikOee,$E17&gt;odk_esikDurusDk,N($Q17)&lt;odk_esikSaglik),"ALARM","UYGUN"))</f>
        <v/>
      </c>
      <c r="S17" s="19">
        <f>IF($A17="","",1)</f>
        <v/>
      </c>
      <c r="T17" s="19">
        <f>IF($A17="","",IF(OR($B17="",COUNTIF(tblVarliklar[VarlikId],$B17)=0),"YETIM","TAMAM"))</f>
        <v/>
      </c>
    </row>
    <row r="18">
      <c r="A18" s="15" t="inlineStr">
        <is>
          <t>ODK-00013</t>
        </is>
      </c>
      <c r="B18" s="15" t="inlineStr">
        <is>
          <t>MAK-00005</t>
        </is>
      </c>
      <c r="C18" s="37" t="n">
        <v>46206</v>
      </c>
      <c r="D18" s="17" t="n">
        <v>480</v>
      </c>
      <c r="E18" s="17" t="n">
        <v>88</v>
      </c>
      <c r="F18" s="17" t="n">
        <v>941</v>
      </c>
      <c r="G18" s="17" t="n">
        <v>24</v>
      </c>
      <c r="H18" s="15" t="inlineStr">
        <is>
          <t>DIGER</t>
        </is>
      </c>
      <c r="I18" s="19">
        <f>IF($A18="","",IFERROR(SUMIF(tblVarliklar[VarlikId],$B18,tblVarliklar[IdealCevrim_sn]),odk_varsayilanCevrim))</f>
        <v/>
      </c>
      <c r="J18" s="19">
        <f>IF($A18="","",IFERROR(MAX(0,$D18-$E18),0))</f>
        <v/>
      </c>
      <c r="K18" s="19">
        <f>IF($A18="","",IFERROR($J18/$D18,0))</f>
        <v/>
      </c>
      <c r="L18" s="19">
        <f>IF($A18="","",IFERROR($J18*odk_dakikaSn/$I18,0))</f>
        <v/>
      </c>
      <c r="M18" s="19">
        <f>IF($A18="","",IFERROR($F18/$L18,0))</f>
        <v/>
      </c>
      <c r="N18" s="19">
        <f>IF($A18="","",IFERROR(($F18-$G18)/$F18,0))</f>
        <v/>
      </c>
      <c r="O18" s="19">
        <f>IF($A18="","",IFERROR(N($K18)*N($M18)*N($N18),0))</f>
        <v/>
      </c>
      <c r="P18" s="19">
        <f>IF($A18="","",IFERROR($E18/$D18,0))</f>
        <v/>
      </c>
      <c r="Q18" s="19">
        <f>IF($A18="","",IFERROR(MAX(0,MIN(100,odk_kaliteTaban-IF(N($O18)&lt;odk_esikOee,odk_kaliteCeza,0)-IF($E18&gt;odk_esikDurusDk,odk_kaliteSapma,0)-IF($T18="YETIM",odk_kaliteCeza,0))),0))</f>
        <v/>
      </c>
      <c r="R18" s="19">
        <f>IF($A18="","",IF(OR(N($O18)&lt;odk_esikOee,$E18&gt;odk_esikDurusDk,N($Q18)&lt;odk_esikSaglik),"ALARM","UYGUN"))</f>
        <v/>
      </c>
      <c r="S18" s="19">
        <f>IF($A18="","",1)</f>
        <v/>
      </c>
      <c r="T18" s="19">
        <f>IF($A18="","",IF(OR($B18="",COUNTIF(tblVarliklar[VarlikId],$B18)=0),"YETIM","TAMAM"))</f>
        <v/>
      </c>
    </row>
    <row r="19">
      <c r="A19" s="15" t="inlineStr">
        <is>
          <t>ODK-00014</t>
        </is>
      </c>
      <c r="B19" s="15" t="inlineStr">
        <is>
          <t>MAK-00006</t>
        </is>
      </c>
      <c r="C19" s="37" t="n">
        <v>46203</v>
      </c>
      <c r="D19" s="17" t="n">
        <v>480</v>
      </c>
      <c r="E19" s="17" t="n">
        <v>40</v>
      </c>
      <c r="F19" s="17" t="n">
        <v>2970</v>
      </c>
      <c r="G19" s="17" t="n">
        <v>89</v>
      </c>
      <c r="H19" s="15" t="inlineStr">
        <is>
          <t>ARIZA</t>
        </is>
      </c>
      <c r="I19" s="19">
        <f>IF($A19="","",IFERROR(SUMIF(tblVarliklar[VarlikId],$B19,tblVarliklar[IdealCevrim_sn]),odk_varsayilanCevrim))</f>
        <v/>
      </c>
      <c r="J19" s="19">
        <f>IF($A19="","",IFERROR(MAX(0,$D19-$E19),0))</f>
        <v/>
      </c>
      <c r="K19" s="19">
        <f>IF($A19="","",IFERROR($J19/$D19,0))</f>
        <v/>
      </c>
      <c r="L19" s="19">
        <f>IF($A19="","",IFERROR($J19*odk_dakikaSn/$I19,0))</f>
        <v/>
      </c>
      <c r="M19" s="19">
        <f>IF($A19="","",IFERROR($F19/$L19,0))</f>
        <v/>
      </c>
      <c r="N19" s="19">
        <f>IF($A19="","",IFERROR(($F19-$G19)/$F19,0))</f>
        <v/>
      </c>
      <c r="O19" s="19">
        <f>IF($A19="","",IFERROR(N($K19)*N($M19)*N($N19),0))</f>
        <v/>
      </c>
      <c r="P19" s="19">
        <f>IF($A19="","",IFERROR($E19/$D19,0))</f>
        <v/>
      </c>
      <c r="Q19" s="19">
        <f>IF($A19="","",IFERROR(MAX(0,MIN(100,odk_kaliteTaban-IF(N($O19)&lt;odk_esikOee,odk_kaliteCeza,0)-IF($E19&gt;odk_esikDurusDk,odk_kaliteSapma,0)-IF($T19="YETIM",odk_kaliteCeza,0))),0))</f>
        <v/>
      </c>
      <c r="R19" s="19">
        <f>IF($A19="","",IF(OR(N($O19)&lt;odk_esikOee,$E19&gt;odk_esikDurusDk,N($Q19)&lt;odk_esikSaglik),"ALARM","UYGUN"))</f>
        <v/>
      </c>
      <c r="S19" s="19">
        <f>IF($A19="","",1)</f>
        <v/>
      </c>
      <c r="T19" s="19">
        <f>IF($A19="","",IF(OR($B19="",COUNTIF(tblVarliklar[VarlikId],$B19)=0),"YETIM","TAMAM"))</f>
        <v/>
      </c>
    </row>
    <row r="20">
      <c r="A20" s="15" t="inlineStr">
        <is>
          <t>ODK-00015</t>
        </is>
      </c>
      <c r="B20" s="15" t="inlineStr">
        <is>
          <t>MAK-00007</t>
        </is>
      </c>
      <c r="C20" s="37" t="n">
        <v>46200</v>
      </c>
      <c r="D20" s="17" t="n">
        <v>480</v>
      </c>
      <c r="E20" s="17" t="n">
        <v>48</v>
      </c>
      <c r="F20" s="17" t="n">
        <v>608</v>
      </c>
      <c r="G20" s="17" t="n">
        <v>21</v>
      </c>
      <c r="H20" s="15" t="inlineStr">
        <is>
          <t>AYAR</t>
        </is>
      </c>
      <c r="I20" s="19">
        <f>IF($A20="","",IFERROR(SUMIF(tblVarliklar[VarlikId],$B20,tblVarliklar[IdealCevrim_sn]),odk_varsayilanCevrim))</f>
        <v/>
      </c>
      <c r="J20" s="19">
        <f>IF($A20="","",IFERROR(MAX(0,$D20-$E20),0))</f>
        <v/>
      </c>
      <c r="K20" s="19">
        <f>IF($A20="","",IFERROR($J20/$D20,0))</f>
        <v/>
      </c>
      <c r="L20" s="19">
        <f>IF($A20="","",IFERROR($J20*odk_dakikaSn/$I20,0))</f>
        <v/>
      </c>
      <c r="M20" s="19">
        <f>IF($A20="","",IFERROR($F20/$L20,0))</f>
        <v/>
      </c>
      <c r="N20" s="19">
        <f>IF($A20="","",IFERROR(($F20-$G20)/$F20,0))</f>
        <v/>
      </c>
      <c r="O20" s="19">
        <f>IF($A20="","",IFERROR(N($K20)*N($M20)*N($N20),0))</f>
        <v/>
      </c>
      <c r="P20" s="19">
        <f>IF($A20="","",IFERROR($E20/$D20,0))</f>
        <v/>
      </c>
      <c r="Q20" s="19">
        <f>IF($A20="","",IFERROR(MAX(0,MIN(100,odk_kaliteTaban-IF(N($O20)&lt;odk_esikOee,odk_kaliteCeza,0)-IF($E20&gt;odk_esikDurusDk,odk_kaliteSapma,0)-IF($T20="YETIM",odk_kaliteCeza,0))),0))</f>
        <v/>
      </c>
      <c r="R20" s="19">
        <f>IF($A20="","",IF(OR(N($O20)&lt;odk_esikOee,$E20&gt;odk_esikDurusDk,N($Q20)&lt;odk_esikSaglik),"ALARM","UYGUN"))</f>
        <v/>
      </c>
      <c r="S20" s="19">
        <f>IF($A20="","",1)</f>
        <v/>
      </c>
      <c r="T20" s="19">
        <f>IF($A20="","",IF(OR($B20="",COUNTIF(tblVarliklar[VarlikId],$B20)=0),"YETIM","TAMAM"))</f>
        <v/>
      </c>
    </row>
    <row r="21">
      <c r="A21" s="15" t="inlineStr">
        <is>
          <t>ODK-00016</t>
        </is>
      </c>
      <c r="B21" s="15" t="inlineStr">
        <is>
          <t>MAK-00008</t>
        </is>
      </c>
      <c r="C21" s="37" t="n">
        <v>46197</v>
      </c>
      <c r="D21" s="17" t="n">
        <v>480</v>
      </c>
      <c r="E21" s="17" t="n">
        <v>56</v>
      </c>
      <c r="F21" s="17" t="n">
        <v>1425</v>
      </c>
      <c r="G21" s="17" t="n">
        <v>28</v>
      </c>
      <c r="H21" s="15" t="inlineStr">
        <is>
          <t>MALZEME</t>
        </is>
      </c>
      <c r="I21" s="19">
        <f>IF($A21="","",IFERROR(SUMIF(tblVarliklar[VarlikId],$B21,tblVarliklar[IdealCevrim_sn]),odk_varsayilanCevrim))</f>
        <v/>
      </c>
      <c r="J21" s="19">
        <f>IF($A21="","",IFERROR(MAX(0,$D21-$E21),0))</f>
        <v/>
      </c>
      <c r="K21" s="19">
        <f>IF($A21="","",IFERROR($J21/$D21,0))</f>
        <v/>
      </c>
      <c r="L21" s="19">
        <f>IF($A21="","",IFERROR($J21*odk_dakikaSn/$I21,0))</f>
        <v/>
      </c>
      <c r="M21" s="19">
        <f>IF($A21="","",IFERROR($F21/$L21,0))</f>
        <v/>
      </c>
      <c r="N21" s="19">
        <f>IF($A21="","",IFERROR(($F21-$G21)/$F21,0))</f>
        <v/>
      </c>
      <c r="O21" s="19">
        <f>IF($A21="","",IFERROR(N($K21)*N($M21)*N($N21),0))</f>
        <v/>
      </c>
      <c r="P21" s="19">
        <f>IF($A21="","",IFERROR($E21/$D21,0))</f>
        <v/>
      </c>
      <c r="Q21" s="19">
        <f>IF($A21="","",IFERROR(MAX(0,MIN(100,odk_kaliteTaban-IF(N($O21)&lt;odk_esikOee,odk_kaliteCeza,0)-IF($E21&gt;odk_esikDurusDk,odk_kaliteSapma,0)-IF($T21="YETIM",odk_kaliteCeza,0))),0))</f>
        <v/>
      </c>
      <c r="R21" s="19">
        <f>IF($A21="","",IF(OR(N($O21)&lt;odk_esikOee,$E21&gt;odk_esikDurusDk,N($Q21)&lt;odk_esikSaglik),"ALARM","UYGUN"))</f>
        <v/>
      </c>
      <c r="S21" s="19">
        <f>IF($A21="","",1)</f>
        <v/>
      </c>
      <c r="T21" s="19">
        <f>IF($A21="","",IF(OR($B21="",COUNTIF(tblVarliklar[VarlikId],$B21)=0),"YETIM","TAMAM"))</f>
        <v/>
      </c>
    </row>
    <row r="22">
      <c r="A22" s="15" t="inlineStr">
        <is>
          <t>ODK-00017</t>
        </is>
      </c>
      <c r="B22" s="15" t="inlineStr">
        <is>
          <t>MAK-00001</t>
        </is>
      </c>
      <c r="C22" s="37" t="n">
        <v>46194</v>
      </c>
      <c r="D22" s="17" t="n">
        <v>480</v>
      </c>
      <c r="E22" s="17" t="n">
        <v>64</v>
      </c>
      <c r="F22" s="17" t="n">
        <v>1789</v>
      </c>
      <c r="G22" s="17" t="n">
        <v>45</v>
      </c>
      <c r="H22" s="15" t="inlineStr">
        <is>
          <t>OPERATOR</t>
        </is>
      </c>
      <c r="I22" s="19">
        <f>IF($A22="","",IFERROR(SUMIF(tblVarliklar[VarlikId],$B22,tblVarliklar[IdealCevrim_sn]),odk_varsayilanCevrim))</f>
        <v/>
      </c>
      <c r="J22" s="19">
        <f>IF($A22="","",IFERROR(MAX(0,$D22-$E22),0))</f>
        <v/>
      </c>
      <c r="K22" s="19">
        <f>IF($A22="","",IFERROR($J22/$D22,0))</f>
        <v/>
      </c>
      <c r="L22" s="19">
        <f>IF($A22="","",IFERROR($J22*odk_dakikaSn/$I22,0))</f>
        <v/>
      </c>
      <c r="M22" s="19">
        <f>IF($A22="","",IFERROR($F22/$L22,0))</f>
        <v/>
      </c>
      <c r="N22" s="19">
        <f>IF($A22="","",IFERROR(($F22-$G22)/$F22,0))</f>
        <v/>
      </c>
      <c r="O22" s="19">
        <f>IF($A22="","",IFERROR(N($K22)*N($M22)*N($N22),0))</f>
        <v/>
      </c>
      <c r="P22" s="19">
        <f>IF($A22="","",IFERROR($E22/$D22,0))</f>
        <v/>
      </c>
      <c r="Q22" s="19">
        <f>IF($A22="","",IFERROR(MAX(0,MIN(100,odk_kaliteTaban-IF(N($O22)&lt;odk_esikOee,odk_kaliteCeza,0)-IF($E22&gt;odk_esikDurusDk,odk_kaliteSapma,0)-IF($T22="YETIM",odk_kaliteCeza,0))),0))</f>
        <v/>
      </c>
      <c r="R22" s="19">
        <f>IF($A22="","",IF(OR(N($O22)&lt;odk_esikOee,$E22&gt;odk_esikDurusDk,N($Q22)&lt;odk_esikSaglik),"ALARM","UYGUN"))</f>
        <v/>
      </c>
      <c r="S22" s="19">
        <f>IF($A22="","",1)</f>
        <v/>
      </c>
      <c r="T22" s="19">
        <f>IF($A22="","",IF(OR($B22="",COUNTIF(tblVarliklar[VarlikId],$B22)=0),"YETIM","TAMAM"))</f>
        <v/>
      </c>
    </row>
    <row r="23">
      <c r="A23" s="15" t="inlineStr">
        <is>
          <t>ODK-00018</t>
        </is>
      </c>
      <c r="B23" s="15" t="inlineStr">
        <is>
          <t>MAK-00002</t>
        </is>
      </c>
      <c r="C23" s="37" t="n">
        <v>46191</v>
      </c>
      <c r="D23" s="17" t="n">
        <v>480</v>
      </c>
      <c r="E23" s="17" t="n">
        <v>72</v>
      </c>
      <c r="F23" s="17" t="n">
        <v>479</v>
      </c>
      <c r="G23" s="17" t="n">
        <v>14</v>
      </c>
      <c r="H23" s="15" t="inlineStr">
        <is>
          <t>KALIP</t>
        </is>
      </c>
      <c r="I23" s="19">
        <f>IF($A23="","",IFERROR(SUMIF(tblVarliklar[VarlikId],$B23,tblVarliklar[IdealCevrim_sn]),odk_varsayilanCevrim))</f>
        <v/>
      </c>
      <c r="J23" s="19">
        <f>IF($A23="","",IFERROR(MAX(0,$D23-$E23),0))</f>
        <v/>
      </c>
      <c r="K23" s="19">
        <f>IF($A23="","",IFERROR($J23/$D23,0))</f>
        <v/>
      </c>
      <c r="L23" s="19">
        <f>IF($A23="","",IFERROR($J23*odk_dakikaSn/$I23,0))</f>
        <v/>
      </c>
      <c r="M23" s="19">
        <f>IF($A23="","",IFERROR($F23/$L23,0))</f>
        <v/>
      </c>
      <c r="N23" s="19">
        <f>IF($A23="","",IFERROR(($F23-$G23)/$F23,0))</f>
        <v/>
      </c>
      <c r="O23" s="19">
        <f>IF($A23="","",IFERROR(N($K23)*N($M23)*N($N23),0))</f>
        <v/>
      </c>
      <c r="P23" s="19">
        <f>IF($A23="","",IFERROR($E23/$D23,0))</f>
        <v/>
      </c>
      <c r="Q23" s="19">
        <f>IF($A23="","",IFERROR(MAX(0,MIN(100,odk_kaliteTaban-IF(N($O23)&lt;odk_esikOee,odk_kaliteCeza,0)-IF($E23&gt;odk_esikDurusDk,odk_kaliteSapma,0)-IF($T23="YETIM",odk_kaliteCeza,0))),0))</f>
        <v/>
      </c>
      <c r="R23" s="19">
        <f>IF($A23="","",IF(OR(N($O23)&lt;odk_esikOee,$E23&gt;odk_esikDurusDk,N($Q23)&lt;odk_esikSaglik),"ALARM","UYGUN"))</f>
        <v/>
      </c>
      <c r="S23" s="19">
        <f>IF($A23="","",1)</f>
        <v/>
      </c>
      <c r="T23" s="19">
        <f>IF($A23="","",IF(OR($B23="",COUNTIF(tblVarliklar[VarlikId],$B23)=0),"YETIM","TAMAM"))</f>
        <v/>
      </c>
    </row>
    <row r="24">
      <c r="A24" s="15" t="inlineStr">
        <is>
          <t>ODK-00019</t>
        </is>
      </c>
      <c r="B24" s="15" t="inlineStr">
        <is>
          <t>MAK-00003</t>
        </is>
      </c>
      <c r="C24" s="37" t="n">
        <v>46188</v>
      </c>
      <c r="D24" s="17" t="n">
        <v>480</v>
      </c>
      <c r="E24" s="17" t="n">
        <v>80</v>
      </c>
      <c r="F24" s="17" t="n">
        <v>1200</v>
      </c>
      <c r="G24" s="17" t="n">
        <v>42</v>
      </c>
      <c r="H24" s="15" t="inlineStr">
        <is>
          <t>BEKLEME</t>
        </is>
      </c>
      <c r="I24" s="19">
        <f>IF($A24="","",IFERROR(SUMIF(tblVarliklar[VarlikId],$B24,tblVarliklar[IdealCevrim_sn]),odk_varsayilanCevrim))</f>
        <v/>
      </c>
      <c r="J24" s="19">
        <f>IF($A24="","",IFERROR(MAX(0,$D24-$E24),0))</f>
        <v/>
      </c>
      <c r="K24" s="19">
        <f>IF($A24="","",IFERROR($J24/$D24,0))</f>
        <v/>
      </c>
      <c r="L24" s="19">
        <f>IF($A24="","",IFERROR($J24*odk_dakikaSn/$I24,0))</f>
        <v/>
      </c>
      <c r="M24" s="19">
        <f>IF($A24="","",IFERROR($F24/$L24,0))</f>
        <v/>
      </c>
      <c r="N24" s="19">
        <f>IF($A24="","",IFERROR(($F24-$G24)/$F24,0))</f>
        <v/>
      </c>
      <c r="O24" s="19">
        <f>IF($A24="","",IFERROR(N($K24)*N($M24)*N($N24),0))</f>
        <v/>
      </c>
      <c r="P24" s="19">
        <f>IF($A24="","",IFERROR($E24/$D24,0))</f>
        <v/>
      </c>
      <c r="Q24" s="19">
        <f>IF($A24="","",IFERROR(MAX(0,MIN(100,odk_kaliteTaban-IF(N($O24)&lt;odk_esikOee,odk_kaliteCeza,0)-IF($E24&gt;odk_esikDurusDk,odk_kaliteSapma,0)-IF($T24="YETIM",odk_kaliteCeza,0))),0))</f>
        <v/>
      </c>
      <c r="R24" s="19">
        <f>IF($A24="","",IF(OR(N($O24)&lt;odk_esikOee,$E24&gt;odk_esikDurusDk,N($Q24)&lt;odk_esikSaglik),"ALARM","UYGUN"))</f>
        <v/>
      </c>
      <c r="S24" s="19">
        <f>IF($A24="","",1)</f>
        <v/>
      </c>
      <c r="T24" s="19">
        <f>IF($A24="","",IF(OR($B24="",COUNTIF(tblVarliklar[VarlikId],$B24)=0),"YETIM","TAMAM"))</f>
        <v/>
      </c>
    </row>
    <row r="25">
      <c r="A25" s="15" t="inlineStr">
        <is>
          <t>ODK-00020</t>
        </is>
      </c>
      <c r="B25" s="15" t="inlineStr">
        <is>
          <t>MAK-00004</t>
        </is>
      </c>
      <c r="C25" s="37" t="n">
        <v>46185</v>
      </c>
      <c r="D25" s="17" t="n">
        <v>480</v>
      </c>
      <c r="E25" s="17" t="n">
        <v>88</v>
      </c>
      <c r="F25" s="17" t="n">
        <v>643</v>
      </c>
      <c r="G25" s="17" t="n">
        <v>13</v>
      </c>
      <c r="H25" s="15" t="inlineStr">
        <is>
          <t>DIGER</t>
        </is>
      </c>
      <c r="I25" s="19">
        <f>IF($A25="","",IFERROR(SUMIF(tblVarliklar[VarlikId],$B25,tblVarliklar[IdealCevrim_sn]),odk_varsayilanCevrim))</f>
        <v/>
      </c>
      <c r="J25" s="19">
        <f>IF($A25="","",IFERROR(MAX(0,$D25-$E25),0))</f>
        <v/>
      </c>
      <c r="K25" s="19">
        <f>IF($A25="","",IFERROR($J25/$D25,0))</f>
        <v/>
      </c>
      <c r="L25" s="19">
        <f>IF($A25="","",IFERROR($J25*odk_dakikaSn/$I25,0))</f>
        <v/>
      </c>
      <c r="M25" s="19">
        <f>IF($A25="","",IFERROR($F25/$L25,0))</f>
        <v/>
      </c>
      <c r="N25" s="19">
        <f>IF($A25="","",IFERROR(($F25-$G25)/$F25,0))</f>
        <v/>
      </c>
      <c r="O25" s="19">
        <f>IF($A25="","",IFERROR(N($K25)*N($M25)*N($N25),0))</f>
        <v/>
      </c>
      <c r="P25" s="19">
        <f>IF($A25="","",IFERROR($E25/$D25,0))</f>
        <v/>
      </c>
      <c r="Q25" s="19">
        <f>IF($A25="","",IFERROR(MAX(0,MIN(100,odk_kaliteTaban-IF(N($O25)&lt;odk_esikOee,odk_kaliteCeza,0)-IF($E25&gt;odk_esikDurusDk,odk_kaliteSapma,0)-IF($T25="YETIM",odk_kaliteCeza,0))),0))</f>
        <v/>
      </c>
      <c r="R25" s="19">
        <f>IF($A25="","",IF(OR(N($O25)&lt;odk_esikOee,$E25&gt;odk_esikDurusDk,N($Q25)&lt;odk_esikSaglik),"ALARM","UYGUN"))</f>
        <v/>
      </c>
      <c r="S25" s="19">
        <f>IF($A25="","",1)</f>
        <v/>
      </c>
      <c r="T25" s="19">
        <f>IF($A25="","",IF(OR($B25="",COUNTIF(tblVarliklar[VarlikId],$B25)=0),"YETIM","TAMAM"))</f>
        <v/>
      </c>
    </row>
    <row r="26">
      <c r="A26" s="15" t="inlineStr">
        <is>
          <t>ODK-00021</t>
        </is>
      </c>
      <c r="B26" s="15" t="inlineStr">
        <is>
          <t>MAK-00005</t>
        </is>
      </c>
      <c r="C26" s="37" t="n">
        <v>46182</v>
      </c>
      <c r="D26" s="17" t="n">
        <v>480</v>
      </c>
      <c r="E26" s="17" t="n">
        <v>40</v>
      </c>
      <c r="F26" s="17" t="n">
        <v>1008</v>
      </c>
      <c r="G26" s="17" t="n">
        <v>25</v>
      </c>
      <c r="H26" s="15" t="inlineStr">
        <is>
          <t>ARIZA</t>
        </is>
      </c>
      <c r="I26" s="19">
        <f>IF($A26="","",IFERROR(SUMIF(tblVarliklar[VarlikId],$B26,tblVarliklar[IdealCevrim_sn]),odk_varsayilanCevrim))</f>
        <v/>
      </c>
      <c r="J26" s="19">
        <f>IF($A26="","",IFERROR(MAX(0,$D26-$E26),0))</f>
        <v/>
      </c>
      <c r="K26" s="19">
        <f>IF($A26="","",IFERROR($J26/$D26,0))</f>
        <v/>
      </c>
      <c r="L26" s="19">
        <f>IF($A26="","",IFERROR($J26*odk_dakikaSn/$I26,0))</f>
        <v/>
      </c>
      <c r="M26" s="19">
        <f>IF($A26="","",IFERROR($F26/$L26,0))</f>
        <v/>
      </c>
      <c r="N26" s="19">
        <f>IF($A26="","",IFERROR(($F26-$G26)/$F26,0))</f>
        <v/>
      </c>
      <c r="O26" s="19">
        <f>IF($A26="","",IFERROR(N($K26)*N($M26)*N($N26),0))</f>
        <v/>
      </c>
      <c r="P26" s="19">
        <f>IF($A26="","",IFERROR($E26/$D26,0))</f>
        <v/>
      </c>
      <c r="Q26" s="19">
        <f>IF($A26="","",IFERROR(MAX(0,MIN(100,odk_kaliteTaban-IF(N($O26)&lt;odk_esikOee,odk_kaliteCeza,0)-IF($E26&gt;odk_esikDurusDk,odk_kaliteSapma,0)-IF($T26="YETIM",odk_kaliteCeza,0))),0))</f>
        <v/>
      </c>
      <c r="R26" s="19">
        <f>IF($A26="","",IF(OR(N($O26)&lt;odk_esikOee,$E26&gt;odk_esikDurusDk,N($Q26)&lt;odk_esikSaglik),"ALARM","UYGUN"))</f>
        <v/>
      </c>
      <c r="S26" s="19">
        <f>IF($A26="","",1)</f>
        <v/>
      </c>
      <c r="T26" s="19">
        <f>IF($A26="","",IF(OR($B26="",COUNTIF(tblVarliklar[VarlikId],$B26)=0),"YETIM","TAMAM"))</f>
        <v/>
      </c>
    </row>
    <row r="27">
      <c r="A27" s="15" t="inlineStr">
        <is>
          <t>ODK-00022</t>
        </is>
      </c>
      <c r="B27" s="15" t="inlineStr">
        <is>
          <t>MAK-00006</t>
        </is>
      </c>
      <c r="C27" s="37" t="n">
        <v>46179</v>
      </c>
      <c r="D27" s="17" t="n">
        <v>480</v>
      </c>
      <c r="E27" s="17" t="n">
        <v>48</v>
      </c>
      <c r="F27" s="17" t="n">
        <v>2786</v>
      </c>
      <c r="G27" s="17" t="n">
        <v>84</v>
      </c>
      <c r="H27" s="15" t="inlineStr">
        <is>
          <t>AYAR</t>
        </is>
      </c>
      <c r="I27" s="19">
        <f>IF($A27="","",IFERROR(SUMIF(tblVarliklar[VarlikId],$B27,tblVarliklar[IdealCevrim_sn]),odk_varsayilanCevrim))</f>
        <v/>
      </c>
      <c r="J27" s="19">
        <f>IF($A27="","",IFERROR(MAX(0,$D27-$E27),0))</f>
        <v/>
      </c>
      <c r="K27" s="19">
        <f>IF($A27="","",IFERROR($J27/$D27,0))</f>
        <v/>
      </c>
      <c r="L27" s="19">
        <f>IF($A27="","",IFERROR($J27*odk_dakikaSn/$I27,0))</f>
        <v/>
      </c>
      <c r="M27" s="19">
        <f>IF($A27="","",IFERROR($F27/$L27,0))</f>
        <v/>
      </c>
      <c r="N27" s="19">
        <f>IF($A27="","",IFERROR(($F27-$G27)/$F27,0))</f>
        <v/>
      </c>
      <c r="O27" s="19">
        <f>IF($A27="","",IFERROR(N($K27)*N($M27)*N($N27),0))</f>
        <v/>
      </c>
      <c r="P27" s="19">
        <f>IF($A27="","",IFERROR($E27/$D27,0))</f>
        <v/>
      </c>
      <c r="Q27" s="19">
        <f>IF($A27="","",IFERROR(MAX(0,MIN(100,odk_kaliteTaban-IF(N($O27)&lt;odk_esikOee,odk_kaliteCeza,0)-IF($E27&gt;odk_esikDurusDk,odk_kaliteSapma,0)-IF($T27="YETIM",odk_kaliteCeza,0))),0))</f>
        <v/>
      </c>
      <c r="R27" s="19">
        <f>IF($A27="","",IF(OR(N($O27)&lt;odk_esikOee,$E27&gt;odk_esikDurusDk,N($Q27)&lt;odk_esikSaglik),"ALARM","UYGUN"))</f>
        <v/>
      </c>
      <c r="S27" s="19">
        <f>IF($A27="","",1)</f>
        <v/>
      </c>
      <c r="T27" s="19">
        <f>IF($A27="","",IF(OR($B27="",COUNTIF(tblVarliklar[VarlikId],$B27)=0),"YETIM","TAMAM"))</f>
        <v/>
      </c>
    </row>
    <row r="28">
      <c r="A28" s="15" t="inlineStr">
        <is>
          <t>ODK-00023</t>
        </is>
      </c>
      <c r="B28" s="15" t="inlineStr">
        <is>
          <t>MAK-00007</t>
        </is>
      </c>
      <c r="C28" s="37" t="n">
        <v>46176</v>
      </c>
      <c r="D28" s="17" t="n">
        <v>480</v>
      </c>
      <c r="E28" s="17" t="n">
        <v>56</v>
      </c>
      <c r="F28" s="17" t="n">
        <v>640</v>
      </c>
      <c r="G28" s="17" t="n">
        <v>22</v>
      </c>
      <c r="H28" s="15" t="inlineStr">
        <is>
          <t>MALZEME</t>
        </is>
      </c>
      <c r="I28" s="19">
        <f>IF($A28="","",IFERROR(SUMIF(tblVarliklar[VarlikId],$B28,tblVarliklar[IdealCevrim_sn]),odk_varsayilanCevrim))</f>
        <v/>
      </c>
      <c r="J28" s="19">
        <f>IF($A28="","",IFERROR(MAX(0,$D28-$E28),0))</f>
        <v/>
      </c>
      <c r="K28" s="19">
        <f>IF($A28="","",IFERROR($J28/$D28,0))</f>
        <v/>
      </c>
      <c r="L28" s="19">
        <f>IF($A28="","",IFERROR($J28*odk_dakikaSn/$I28,0))</f>
        <v/>
      </c>
      <c r="M28" s="19">
        <f>IF($A28="","",IFERROR($F28/$L28,0))</f>
        <v/>
      </c>
      <c r="N28" s="19">
        <f>IF($A28="","",IFERROR(($F28-$G28)/$F28,0))</f>
        <v/>
      </c>
      <c r="O28" s="19">
        <f>IF($A28="","",IFERROR(N($K28)*N($M28)*N($N28),0))</f>
        <v/>
      </c>
      <c r="P28" s="19">
        <f>IF($A28="","",IFERROR($E28/$D28,0))</f>
        <v/>
      </c>
      <c r="Q28" s="19">
        <f>IF($A28="","",IFERROR(MAX(0,MIN(100,odk_kaliteTaban-IF(N($O28)&lt;odk_esikOee,odk_kaliteCeza,0)-IF($E28&gt;odk_esikDurusDk,odk_kaliteSapma,0)-IF($T28="YETIM",odk_kaliteCeza,0))),0))</f>
        <v/>
      </c>
      <c r="R28" s="19">
        <f>IF($A28="","",IF(OR(N($O28)&lt;odk_esikOee,$E28&gt;odk_esikDurusDk,N($Q28)&lt;odk_esikSaglik),"ALARM","UYGUN"))</f>
        <v/>
      </c>
      <c r="S28" s="19">
        <f>IF($A28="","",1)</f>
        <v/>
      </c>
      <c r="T28" s="19">
        <f>IF($A28="","",IF(OR($B28="",COUNTIF(tblVarliklar[VarlikId],$B28)=0),"YETIM","TAMAM"))</f>
        <v/>
      </c>
    </row>
    <row r="29">
      <c r="A29" s="15" t="inlineStr">
        <is>
          <t>ODK-00024</t>
        </is>
      </c>
      <c r="B29" s="15" t="inlineStr">
        <is>
          <t>MAK-00008</t>
        </is>
      </c>
      <c r="C29" s="37" t="n">
        <v>46173</v>
      </c>
      <c r="D29" s="17" t="n">
        <v>480</v>
      </c>
      <c r="E29" s="17" t="n">
        <v>180</v>
      </c>
      <c r="F29" s="17" t="n">
        <v>660</v>
      </c>
      <c r="G29" s="17" t="n">
        <v>53</v>
      </c>
      <c r="H29" s="15" t="inlineStr">
        <is>
          <t>OPERATOR</t>
        </is>
      </c>
      <c r="I29" s="19">
        <f>IF($A29="","",IFERROR(SUMIF(tblVarliklar[VarlikId],$B29,tblVarliklar[IdealCevrim_sn]),odk_varsayilanCevrim))</f>
        <v/>
      </c>
      <c r="J29" s="19">
        <f>IF($A29="","",IFERROR(MAX(0,$D29-$E29),0))</f>
        <v/>
      </c>
      <c r="K29" s="19">
        <f>IF($A29="","",IFERROR($J29/$D29,0))</f>
        <v/>
      </c>
      <c r="L29" s="19">
        <f>IF($A29="","",IFERROR($J29*odk_dakikaSn/$I29,0))</f>
        <v/>
      </c>
      <c r="M29" s="19">
        <f>IF($A29="","",IFERROR($F29/$L29,0))</f>
        <v/>
      </c>
      <c r="N29" s="19">
        <f>IF($A29="","",IFERROR(($F29-$G29)/$F29,0))</f>
        <v/>
      </c>
      <c r="O29" s="19">
        <f>IF($A29="","",IFERROR(N($K29)*N($M29)*N($N29),0))</f>
        <v/>
      </c>
      <c r="P29" s="19">
        <f>IF($A29="","",IFERROR($E29/$D29,0))</f>
        <v/>
      </c>
      <c r="Q29" s="19">
        <f>IF($A29="","",IFERROR(MAX(0,MIN(100,odk_kaliteTaban-IF(N($O29)&lt;odk_esikOee,odk_kaliteCeza,0)-IF($E29&gt;odk_esikDurusDk,odk_kaliteSapma,0)-IF($T29="YETIM",odk_kaliteCeza,0))),0))</f>
        <v/>
      </c>
      <c r="R29" s="19">
        <f>IF($A29="","",IF(OR(N($O29)&lt;odk_esikOee,$E29&gt;odk_esikDurusDk,N($Q29)&lt;odk_esikSaglik),"ALARM","UYGUN"))</f>
        <v/>
      </c>
      <c r="S29" s="19">
        <f>IF($A29="","",1)</f>
        <v/>
      </c>
      <c r="T29" s="19">
        <f>IF($A29="","",IF(OR($B29="",COUNTIF(tblVarliklar[VarlikId],$B29)=0),"YETIM","TAMAM"))</f>
        <v/>
      </c>
    </row>
    <row r="30">
      <c r="A30" s="15" t="inlineStr">
        <is>
          <t>ODK-00025</t>
        </is>
      </c>
      <c r="B30" s="15" t="inlineStr">
        <is>
          <t>MAK-00001</t>
        </is>
      </c>
      <c r="C30" s="37" t="n">
        <v>46170</v>
      </c>
      <c r="D30" s="17" t="n">
        <v>480</v>
      </c>
      <c r="E30" s="17" t="n">
        <v>72</v>
      </c>
      <c r="F30" s="17" t="n">
        <v>1673</v>
      </c>
      <c r="G30" s="17" t="n">
        <v>42</v>
      </c>
      <c r="H30" s="15" t="inlineStr">
        <is>
          <t>KALIP</t>
        </is>
      </c>
      <c r="I30" s="19">
        <f>IF($A30="","",IFERROR(SUMIF(tblVarliklar[VarlikId],$B30,tblVarliklar[IdealCevrim_sn]),odk_varsayilanCevrim))</f>
        <v/>
      </c>
      <c r="J30" s="19">
        <f>IF($A30="","",IFERROR(MAX(0,$D30-$E30),0))</f>
        <v/>
      </c>
      <c r="K30" s="19">
        <f>IF($A30="","",IFERROR($J30/$D30,0))</f>
        <v/>
      </c>
      <c r="L30" s="19">
        <f>IF($A30="","",IFERROR($J30*odk_dakikaSn/$I30,0))</f>
        <v/>
      </c>
      <c r="M30" s="19">
        <f>IF($A30="","",IFERROR($F30/$L30,0))</f>
        <v/>
      </c>
      <c r="N30" s="19">
        <f>IF($A30="","",IFERROR(($F30-$G30)/$F30,0))</f>
        <v/>
      </c>
      <c r="O30" s="19">
        <f>IF($A30="","",IFERROR(N($K30)*N($M30)*N($N30),0))</f>
        <v/>
      </c>
      <c r="P30" s="19">
        <f>IF($A30="","",IFERROR($E30/$D30,0))</f>
        <v/>
      </c>
      <c r="Q30" s="19">
        <f>IF($A30="","",IFERROR(MAX(0,MIN(100,odk_kaliteTaban-IF(N($O30)&lt;odk_esikOee,odk_kaliteCeza,0)-IF($E30&gt;odk_esikDurusDk,odk_kaliteSapma,0)-IF($T30="YETIM",odk_kaliteCeza,0))),0))</f>
        <v/>
      </c>
      <c r="R30" s="19">
        <f>IF($A30="","",IF(OR(N($O30)&lt;odk_esikOee,$E30&gt;odk_esikDurusDk,N($Q30)&lt;odk_esikSaglik),"ALARM","UYGUN"))</f>
        <v/>
      </c>
      <c r="S30" s="19">
        <f>IF($A30="","",1)</f>
        <v/>
      </c>
      <c r="T30" s="19">
        <f>IF($A30="","",IF(OR($B30="",COUNTIF(tblVarliklar[VarlikId],$B30)=0),"YETIM","TAMAM"))</f>
        <v/>
      </c>
    </row>
    <row r="31">
      <c r="A31" s="15" t="inlineStr">
        <is>
          <t>ODK-00026</t>
        </is>
      </c>
      <c r="B31" s="15" t="inlineStr">
        <is>
          <t>MAK-00002</t>
        </is>
      </c>
      <c r="C31" s="37" t="n">
        <v>46167</v>
      </c>
      <c r="D31" s="17" t="n">
        <v>480</v>
      </c>
      <c r="E31" s="17" t="n">
        <v>80</v>
      </c>
      <c r="F31" s="17" t="n">
        <v>448</v>
      </c>
      <c r="G31" s="17" t="n">
        <v>13</v>
      </c>
      <c r="H31" s="15" t="inlineStr">
        <is>
          <t>BEKLEME</t>
        </is>
      </c>
      <c r="I31" s="19">
        <f>IF($A31="","",IFERROR(SUMIF(tblVarliklar[VarlikId],$B31,tblVarliklar[IdealCevrim_sn]),odk_varsayilanCevrim))</f>
        <v/>
      </c>
      <c r="J31" s="19">
        <f>IF($A31="","",IFERROR(MAX(0,$D31-$E31),0))</f>
        <v/>
      </c>
      <c r="K31" s="19">
        <f>IF($A31="","",IFERROR($J31/$D31,0))</f>
        <v/>
      </c>
      <c r="L31" s="19">
        <f>IF($A31="","",IFERROR($J31*odk_dakikaSn/$I31,0))</f>
        <v/>
      </c>
      <c r="M31" s="19">
        <f>IF($A31="","",IFERROR($F31/$L31,0))</f>
        <v/>
      </c>
      <c r="N31" s="19">
        <f>IF($A31="","",IFERROR(($F31-$G31)/$F31,0))</f>
        <v/>
      </c>
      <c r="O31" s="19">
        <f>IF($A31="","",IFERROR(N($K31)*N($M31)*N($N31),0))</f>
        <v/>
      </c>
      <c r="P31" s="19">
        <f>IF($A31="","",IFERROR($E31/$D31,0))</f>
        <v/>
      </c>
      <c r="Q31" s="19">
        <f>IF($A31="","",IFERROR(MAX(0,MIN(100,odk_kaliteTaban-IF(N($O31)&lt;odk_esikOee,odk_kaliteCeza,0)-IF($E31&gt;odk_esikDurusDk,odk_kaliteSapma,0)-IF($T31="YETIM",odk_kaliteCeza,0))),0))</f>
        <v/>
      </c>
      <c r="R31" s="19">
        <f>IF($A31="","",IF(OR(N($O31)&lt;odk_esikOee,$E31&gt;odk_esikDurusDk,N($Q31)&lt;odk_esikSaglik),"ALARM","UYGUN"))</f>
        <v/>
      </c>
      <c r="S31" s="19">
        <f>IF($A31="","",1)</f>
        <v/>
      </c>
      <c r="T31" s="19">
        <f>IF($A31="","",IF(OR($B31="",COUNTIF(tblVarliklar[VarlikId],$B31)=0),"YETIM","TAMAM"))</f>
        <v/>
      </c>
    </row>
    <row r="32">
      <c r="A32" s="15" t="inlineStr">
        <is>
          <t>ODK-00027</t>
        </is>
      </c>
      <c r="B32" s="15" t="inlineStr">
        <is>
          <t>MAK-00003</t>
        </is>
      </c>
      <c r="C32" s="37" t="n">
        <v>46164</v>
      </c>
      <c r="D32" s="17" t="n">
        <v>480</v>
      </c>
      <c r="E32" s="17" t="n">
        <v>88</v>
      </c>
      <c r="F32" s="17" t="n">
        <v>1124</v>
      </c>
      <c r="G32" s="17" t="n">
        <v>39</v>
      </c>
      <c r="H32" s="15" t="inlineStr">
        <is>
          <t>DIGER</t>
        </is>
      </c>
      <c r="I32" s="19">
        <f>IF($A32="","",IFERROR(SUMIF(tblVarliklar[VarlikId],$B32,tblVarliklar[IdealCevrim_sn]),odk_varsayilanCevrim))</f>
        <v/>
      </c>
      <c r="J32" s="19">
        <f>IF($A32="","",IFERROR(MAX(0,$D32-$E32),0))</f>
        <v/>
      </c>
      <c r="K32" s="19">
        <f>IF($A32="","",IFERROR($J32/$D32,0))</f>
        <v/>
      </c>
      <c r="L32" s="19">
        <f>IF($A32="","",IFERROR($J32*odk_dakikaSn/$I32,0))</f>
        <v/>
      </c>
      <c r="M32" s="19">
        <f>IF($A32="","",IFERROR($F32/$L32,0))</f>
        <v/>
      </c>
      <c r="N32" s="19">
        <f>IF($A32="","",IFERROR(($F32-$G32)/$F32,0))</f>
        <v/>
      </c>
      <c r="O32" s="19">
        <f>IF($A32="","",IFERROR(N($K32)*N($M32)*N($N32),0))</f>
        <v/>
      </c>
      <c r="P32" s="19">
        <f>IF($A32="","",IFERROR($E32/$D32,0))</f>
        <v/>
      </c>
      <c r="Q32" s="19">
        <f>IF($A32="","",IFERROR(MAX(0,MIN(100,odk_kaliteTaban-IF(N($O32)&lt;odk_esikOee,odk_kaliteCeza,0)-IF($E32&gt;odk_esikDurusDk,odk_kaliteSapma,0)-IF($T32="YETIM",odk_kaliteCeza,0))),0))</f>
        <v/>
      </c>
      <c r="R32" s="19">
        <f>IF($A32="","",IF(OR(N($O32)&lt;odk_esikOee,$E32&gt;odk_esikDurusDk,N($Q32)&lt;odk_esikSaglik),"ALARM","UYGUN"))</f>
        <v/>
      </c>
      <c r="S32" s="19">
        <f>IF($A32="","",1)</f>
        <v/>
      </c>
      <c r="T32" s="19">
        <f>IF($A32="","",IF(OR($B32="",COUNTIF(tblVarliklar[VarlikId],$B32)=0),"YETIM","TAMAM"))</f>
        <v/>
      </c>
    </row>
    <row r="33">
      <c r="A33" s="15" t="inlineStr">
        <is>
          <t>ODK-00028</t>
        </is>
      </c>
      <c r="B33" s="15" t="inlineStr">
        <is>
          <t>MAK-00004</t>
        </is>
      </c>
      <c r="C33" s="37" t="n">
        <v>46161</v>
      </c>
      <c r="D33" s="17" t="n">
        <v>480</v>
      </c>
      <c r="E33" s="17" t="n">
        <v>40</v>
      </c>
      <c r="F33" s="17" t="n">
        <v>774</v>
      </c>
      <c r="G33" s="17" t="n">
        <v>15</v>
      </c>
      <c r="H33" s="15" t="inlineStr">
        <is>
          <t>ARIZA</t>
        </is>
      </c>
      <c r="I33" s="19">
        <f>IF($A33="","",IFERROR(SUMIF(tblVarliklar[VarlikId],$B33,tblVarliklar[IdealCevrim_sn]),odk_varsayilanCevrim))</f>
        <v/>
      </c>
      <c r="J33" s="19">
        <f>IF($A33="","",IFERROR(MAX(0,$D33-$E33),0))</f>
        <v/>
      </c>
      <c r="K33" s="19">
        <f>IF($A33="","",IFERROR($J33/$D33,0))</f>
        <v/>
      </c>
      <c r="L33" s="19">
        <f>IF($A33="","",IFERROR($J33*odk_dakikaSn/$I33,0))</f>
        <v/>
      </c>
      <c r="M33" s="19">
        <f>IF($A33="","",IFERROR($F33/$L33,0))</f>
        <v/>
      </c>
      <c r="N33" s="19">
        <f>IF($A33="","",IFERROR(($F33-$G33)/$F33,0))</f>
        <v/>
      </c>
      <c r="O33" s="19">
        <f>IF($A33="","",IFERROR(N($K33)*N($M33)*N($N33),0))</f>
        <v/>
      </c>
      <c r="P33" s="19">
        <f>IF($A33="","",IFERROR($E33/$D33,0))</f>
        <v/>
      </c>
      <c r="Q33" s="19">
        <f>IF($A33="","",IFERROR(MAX(0,MIN(100,odk_kaliteTaban-IF(N($O33)&lt;odk_esikOee,odk_kaliteCeza,0)-IF($E33&gt;odk_esikDurusDk,odk_kaliteSapma,0)-IF($T33="YETIM",odk_kaliteCeza,0))),0))</f>
        <v/>
      </c>
      <c r="R33" s="19">
        <f>IF($A33="","",IF(OR(N($O33)&lt;odk_esikOee,$E33&gt;odk_esikDurusDk,N($Q33)&lt;odk_esikSaglik),"ALARM","UYGUN"))</f>
        <v/>
      </c>
      <c r="S33" s="19">
        <f>IF($A33="","",1)</f>
        <v/>
      </c>
      <c r="T33" s="19">
        <f>IF($A33="","",IF(OR($B33="",COUNTIF(tblVarliklar[VarlikId],$B33)=0),"YETIM","TAMAM"))</f>
        <v/>
      </c>
    </row>
    <row r="34">
      <c r="A34" s="15" t="inlineStr">
        <is>
          <t>ODK-00029</t>
        </is>
      </c>
      <c r="B34" s="15" t="inlineStr">
        <is>
          <t>MAK-00005</t>
        </is>
      </c>
      <c r="C34" s="37" t="n">
        <v>46158</v>
      </c>
      <c r="D34" s="17" t="n">
        <v>480</v>
      </c>
      <c r="E34" s="17" t="n">
        <v>48</v>
      </c>
      <c r="F34" s="17" t="n">
        <v>1060</v>
      </c>
      <c r="G34" s="17" t="n">
        <v>26</v>
      </c>
      <c r="H34" s="15" t="inlineStr">
        <is>
          <t>AYAR</t>
        </is>
      </c>
      <c r="I34" s="19">
        <f>IF($A34="","",IFERROR(SUMIF(tblVarliklar[VarlikId],$B34,tblVarliklar[IdealCevrim_sn]),odk_varsayilanCevrim))</f>
        <v/>
      </c>
      <c r="J34" s="19">
        <f>IF($A34="","",IFERROR(MAX(0,$D34-$E34),0))</f>
        <v/>
      </c>
      <c r="K34" s="19">
        <f>IF($A34="","",IFERROR($J34/$D34,0))</f>
        <v/>
      </c>
      <c r="L34" s="19">
        <f>IF($A34="","",IFERROR($J34*odk_dakikaSn/$I34,0))</f>
        <v/>
      </c>
      <c r="M34" s="19">
        <f>IF($A34="","",IFERROR($F34/$L34,0))</f>
        <v/>
      </c>
      <c r="N34" s="19">
        <f>IF($A34="","",IFERROR(($F34-$G34)/$F34,0))</f>
        <v/>
      </c>
      <c r="O34" s="19">
        <f>IF($A34="","",IFERROR(N($K34)*N($M34)*N($N34),0))</f>
        <v/>
      </c>
      <c r="P34" s="19">
        <f>IF($A34="","",IFERROR($E34/$D34,0))</f>
        <v/>
      </c>
      <c r="Q34" s="19">
        <f>IF($A34="","",IFERROR(MAX(0,MIN(100,odk_kaliteTaban-IF(N($O34)&lt;odk_esikOee,odk_kaliteCeza,0)-IF($E34&gt;odk_esikDurusDk,odk_kaliteSapma,0)-IF($T34="YETIM",odk_kaliteCeza,0))),0))</f>
        <v/>
      </c>
      <c r="R34" s="19">
        <f>IF($A34="","",IF(OR(N($O34)&lt;odk_esikOee,$E34&gt;odk_esikDurusDk,N($Q34)&lt;odk_esikSaglik),"ALARM","UYGUN"))</f>
        <v/>
      </c>
      <c r="S34" s="19">
        <f>IF($A34="","",1)</f>
        <v/>
      </c>
      <c r="T34" s="19">
        <f>IF($A34="","",IF(OR($B34="",COUNTIF(tblVarliklar[VarlikId],$B34)=0),"YETIM","TAMAM"))</f>
        <v/>
      </c>
    </row>
    <row r="35">
      <c r="A35" s="15" t="inlineStr">
        <is>
          <t>ODK-00030</t>
        </is>
      </c>
      <c r="B35" s="15" t="inlineStr"/>
      <c r="C35" s="37" t="n">
        <v>46155</v>
      </c>
      <c r="D35" s="17" t="n">
        <v>480</v>
      </c>
      <c r="E35" s="17" t="n">
        <v>56</v>
      </c>
      <c r="F35" s="17" t="n">
        <v>2608</v>
      </c>
      <c r="G35" s="17" t="n">
        <v>78</v>
      </c>
      <c r="H35" s="15" t="inlineStr">
        <is>
          <t>MALZEME</t>
        </is>
      </c>
      <c r="I35" s="19">
        <f>IF($A35="","",IFERROR(SUMIF(tblVarliklar[VarlikId],$B35,tblVarliklar[IdealCevrim_sn]),odk_varsayilanCevrim))</f>
        <v/>
      </c>
      <c r="J35" s="19">
        <f>IF($A35="","",IFERROR(MAX(0,$D35-$E35),0))</f>
        <v/>
      </c>
      <c r="K35" s="19">
        <f>IF($A35="","",IFERROR($J35/$D35,0))</f>
        <v/>
      </c>
      <c r="L35" s="19">
        <f>IF($A35="","",IFERROR($J35*odk_dakikaSn/$I35,0))</f>
        <v/>
      </c>
      <c r="M35" s="19">
        <f>IF($A35="","",IFERROR($F35/$L35,0))</f>
        <v/>
      </c>
      <c r="N35" s="19">
        <f>IF($A35="","",IFERROR(($F35-$G35)/$F35,0))</f>
        <v/>
      </c>
      <c r="O35" s="19">
        <f>IF($A35="","",IFERROR(N($K35)*N($M35)*N($N35),0))</f>
        <v/>
      </c>
      <c r="P35" s="19">
        <f>IF($A35="","",IFERROR($E35/$D35,0))</f>
        <v/>
      </c>
      <c r="Q35" s="19">
        <f>IF($A35="","",IFERROR(MAX(0,MIN(100,odk_kaliteTaban-IF(N($O35)&lt;odk_esikOee,odk_kaliteCeza,0)-IF($E35&gt;odk_esikDurusDk,odk_kaliteSapma,0)-IF($T35="YETIM",odk_kaliteCeza,0))),0))</f>
        <v/>
      </c>
      <c r="R35" s="19">
        <f>IF($A35="","",IF(OR(N($O35)&lt;odk_esikOee,$E35&gt;odk_esikDurusDk,N($Q35)&lt;odk_esikSaglik),"ALARM","UYGUN"))</f>
        <v/>
      </c>
      <c r="S35" s="19">
        <f>IF($A35="","",1)</f>
        <v/>
      </c>
      <c r="T35" s="19">
        <f>IF($A35="","",IF(OR($B35="",COUNTIF(tblVarliklar[VarlikId],$B35)=0),"YETIM","TAMAM"))</f>
        <v/>
      </c>
    </row>
    <row r="36">
      <c r="A36" s="15" t="inlineStr">
        <is>
          <t>ODK-00031</t>
        </is>
      </c>
      <c r="B36" s="15" t="inlineStr">
        <is>
          <t>MAK-00007</t>
        </is>
      </c>
      <c r="C36" s="37" t="n">
        <v>46152</v>
      </c>
      <c r="D36" s="17" t="n">
        <v>480</v>
      </c>
      <c r="E36" s="17" t="n">
        <v>64</v>
      </c>
      <c r="F36" s="17" t="n">
        <v>599</v>
      </c>
      <c r="G36" s="17" t="n">
        <v>21</v>
      </c>
      <c r="H36" s="15" t="inlineStr">
        <is>
          <t>OPERATOR</t>
        </is>
      </c>
      <c r="I36" s="19">
        <f>IF($A36="","",IFERROR(SUMIF(tblVarliklar[VarlikId],$B36,tblVarliklar[IdealCevrim_sn]),odk_varsayilanCevrim))</f>
        <v/>
      </c>
      <c r="J36" s="19">
        <f>IF($A36="","",IFERROR(MAX(0,$D36-$E36),0))</f>
        <v/>
      </c>
      <c r="K36" s="19">
        <f>IF($A36="","",IFERROR($J36/$D36,0))</f>
        <v/>
      </c>
      <c r="L36" s="19">
        <f>IF($A36="","",IFERROR($J36*odk_dakikaSn/$I36,0))</f>
        <v/>
      </c>
      <c r="M36" s="19">
        <f>IF($A36="","",IFERROR($F36/$L36,0))</f>
        <v/>
      </c>
      <c r="N36" s="19">
        <f>IF($A36="","",IFERROR(($F36-$G36)/$F36,0))</f>
        <v/>
      </c>
      <c r="O36" s="19">
        <f>IF($A36="","",IFERROR(N($K36)*N($M36)*N($N36),0))</f>
        <v/>
      </c>
      <c r="P36" s="19">
        <f>IF($A36="","",IFERROR($E36/$D36,0))</f>
        <v/>
      </c>
      <c r="Q36" s="19">
        <f>IF($A36="","",IFERROR(MAX(0,MIN(100,odk_kaliteTaban-IF(N($O36)&lt;odk_esikOee,odk_kaliteCeza,0)-IF($E36&gt;odk_esikDurusDk,odk_kaliteSapma,0)-IF($T36="YETIM",odk_kaliteCeza,0))),0))</f>
        <v/>
      </c>
      <c r="R36" s="19">
        <f>IF($A36="","",IF(OR(N($O36)&lt;odk_esikOee,$E36&gt;odk_esikDurusDk,N($Q36)&lt;odk_esikSaglik),"ALARM","UYGUN"))</f>
        <v/>
      </c>
      <c r="S36" s="19">
        <f>IF($A36="","",1)</f>
        <v/>
      </c>
      <c r="T36" s="19">
        <f>IF($A36="","",IF(OR($B36="",COUNTIF(tblVarliklar[VarlikId],$B36)=0),"YETIM","TAMAM"))</f>
        <v/>
      </c>
    </row>
    <row r="37">
      <c r="A37" s="15" t="inlineStr">
        <is>
          <t>ODK-00032</t>
        </is>
      </c>
      <c r="B37" s="15" t="inlineStr">
        <is>
          <t>MAK-00008</t>
        </is>
      </c>
      <c r="C37" s="37" t="n">
        <v>46149</v>
      </c>
      <c r="D37" s="17" t="n">
        <v>480</v>
      </c>
      <c r="E37" s="17" t="n">
        <v>72</v>
      </c>
      <c r="F37" s="17" t="n">
        <v>1404</v>
      </c>
      <c r="G37" s="17" t="n">
        <v>28</v>
      </c>
      <c r="H37" s="15" t="inlineStr">
        <is>
          <t>KALIP</t>
        </is>
      </c>
      <c r="I37" s="19">
        <f>IF($A37="","",IFERROR(SUMIF(tblVarliklar[VarlikId],$B37,tblVarliklar[IdealCevrim_sn]),odk_varsayilanCevrim))</f>
        <v/>
      </c>
      <c r="J37" s="19">
        <f>IF($A37="","",IFERROR(MAX(0,$D37-$E37),0))</f>
        <v/>
      </c>
      <c r="K37" s="19">
        <f>IF($A37="","",IFERROR($J37/$D37,0))</f>
        <v/>
      </c>
      <c r="L37" s="19">
        <f>IF($A37="","",IFERROR($J37*odk_dakikaSn/$I37,0))</f>
        <v/>
      </c>
      <c r="M37" s="19">
        <f>IF($A37="","",IFERROR($F37/$L37,0))</f>
        <v/>
      </c>
      <c r="N37" s="19">
        <f>IF($A37="","",IFERROR(($F37-$G37)/$F37,0))</f>
        <v/>
      </c>
      <c r="O37" s="19">
        <f>IF($A37="","",IFERROR(N($K37)*N($M37)*N($N37),0))</f>
        <v/>
      </c>
      <c r="P37" s="19">
        <f>IF($A37="","",IFERROR($E37/$D37,0))</f>
        <v/>
      </c>
      <c r="Q37" s="19">
        <f>IF($A37="","",IFERROR(MAX(0,MIN(100,odk_kaliteTaban-IF(N($O37)&lt;odk_esikOee,odk_kaliteCeza,0)-IF($E37&gt;odk_esikDurusDk,odk_kaliteSapma,0)-IF($T37="YETIM",odk_kaliteCeza,0))),0))</f>
        <v/>
      </c>
      <c r="R37" s="19">
        <f>IF($A37="","",IF(OR(N($O37)&lt;odk_esikOee,$E37&gt;odk_esikDurusDk,N($Q37)&lt;odk_esikSaglik),"ALARM","UYGUN"))</f>
        <v/>
      </c>
      <c r="S37" s="19">
        <f>IF($A37="","",1)</f>
        <v/>
      </c>
      <c r="T37" s="19">
        <f>IF($A37="","",IF(OR($B37="",COUNTIF(tblVarliklar[VarlikId],$B37)=0),"YETIM","TAMAM"))</f>
        <v/>
      </c>
    </row>
    <row r="38">
      <c r="A38" s="15" t="inlineStr">
        <is>
          <t>ODK-00033</t>
        </is>
      </c>
      <c r="B38" s="15" t="inlineStr">
        <is>
          <t>MAK-99999</t>
        </is>
      </c>
      <c r="C38" s="37" t="n">
        <v>46146</v>
      </c>
      <c r="D38" s="17" t="n">
        <v>480</v>
      </c>
      <c r="E38" s="17" t="n">
        <v>80</v>
      </c>
      <c r="F38" s="17" t="n">
        <v>1760</v>
      </c>
      <c r="G38" s="17" t="n">
        <v>44</v>
      </c>
      <c r="H38" s="15" t="inlineStr">
        <is>
          <t>BEKLEME</t>
        </is>
      </c>
      <c r="I38" s="19">
        <f>IF($A38="","",IFERROR(SUMIF(tblVarliklar[VarlikId],$B38,tblVarliklar[IdealCevrim_sn]),odk_varsayilanCevrim))</f>
        <v/>
      </c>
      <c r="J38" s="19">
        <f>IF($A38="","",IFERROR(MAX(0,$D38-$E38),0))</f>
        <v/>
      </c>
      <c r="K38" s="19">
        <f>IF($A38="","",IFERROR($J38/$D38,0))</f>
        <v/>
      </c>
      <c r="L38" s="19">
        <f>IF($A38="","",IFERROR($J38*odk_dakikaSn/$I38,0))</f>
        <v/>
      </c>
      <c r="M38" s="19">
        <f>IF($A38="","",IFERROR($F38/$L38,0))</f>
        <v/>
      </c>
      <c r="N38" s="19">
        <f>IF($A38="","",IFERROR(($F38-$G38)/$F38,0))</f>
        <v/>
      </c>
      <c r="O38" s="19">
        <f>IF($A38="","",IFERROR(N($K38)*N($M38)*N($N38),0))</f>
        <v/>
      </c>
      <c r="P38" s="19">
        <f>IF($A38="","",IFERROR($E38/$D38,0))</f>
        <v/>
      </c>
      <c r="Q38" s="19">
        <f>IF($A38="","",IFERROR(MAX(0,MIN(100,odk_kaliteTaban-IF(N($O38)&lt;odk_esikOee,odk_kaliteCeza,0)-IF($E38&gt;odk_esikDurusDk,odk_kaliteSapma,0)-IF($T38="YETIM",odk_kaliteCeza,0))),0))</f>
        <v/>
      </c>
      <c r="R38" s="19">
        <f>IF($A38="","",IF(OR(N($O38)&lt;odk_esikOee,$E38&gt;odk_esikDurusDk,N($Q38)&lt;odk_esikSaglik),"ALARM","UYGUN"))</f>
        <v/>
      </c>
      <c r="S38" s="19">
        <f>IF($A38="","",1)</f>
        <v/>
      </c>
      <c r="T38" s="19">
        <f>IF($A38="","",IF(OR($B38="",COUNTIF(tblVarliklar[VarlikId],$B38)=0),"YETIM","TAMAM"))</f>
        <v/>
      </c>
    </row>
    <row r="39">
      <c r="A39" s="15" t="inlineStr">
        <is>
          <t>ODK-00034</t>
        </is>
      </c>
      <c r="B39" s="15" t="inlineStr">
        <is>
          <t>MAK-00002</t>
        </is>
      </c>
      <c r="C39" s="37" t="n">
        <v>46143</v>
      </c>
      <c r="D39" s="17" t="n">
        <v>480</v>
      </c>
      <c r="E39" s="17" t="n">
        <v>88</v>
      </c>
      <c r="F39" s="17" t="n">
        <v>471</v>
      </c>
      <c r="G39" s="17" t="n">
        <v>14</v>
      </c>
      <c r="H39" s="15" t="inlineStr">
        <is>
          <t>DIGER</t>
        </is>
      </c>
      <c r="I39" s="19">
        <f>IF($A39="","",IFERROR(SUMIF(tblVarliklar[VarlikId],$B39,tblVarliklar[IdealCevrim_sn]),odk_varsayilanCevrim))</f>
        <v/>
      </c>
      <c r="J39" s="19">
        <f>IF($A39="","",IFERROR(MAX(0,$D39-$E39),0))</f>
        <v/>
      </c>
      <c r="K39" s="19">
        <f>IF($A39="","",IFERROR($J39/$D39,0))</f>
        <v/>
      </c>
      <c r="L39" s="19">
        <f>IF($A39="","",IFERROR($J39*odk_dakikaSn/$I39,0))</f>
        <v/>
      </c>
      <c r="M39" s="19">
        <f>IF($A39="","",IFERROR($F39/$L39,0))</f>
        <v/>
      </c>
      <c r="N39" s="19">
        <f>IF($A39="","",IFERROR(($F39-$G39)/$F39,0))</f>
        <v/>
      </c>
      <c r="O39" s="19">
        <f>IF($A39="","",IFERROR(N($K39)*N($M39)*N($N39),0))</f>
        <v/>
      </c>
      <c r="P39" s="19">
        <f>IF($A39="","",IFERROR($E39/$D39,0))</f>
        <v/>
      </c>
      <c r="Q39" s="19">
        <f>IF($A39="","",IFERROR(MAX(0,MIN(100,odk_kaliteTaban-IF(N($O39)&lt;odk_esikOee,odk_kaliteCeza,0)-IF($E39&gt;odk_esikDurusDk,odk_kaliteSapma,0)-IF($T39="YETIM",odk_kaliteCeza,0))),0))</f>
        <v/>
      </c>
      <c r="R39" s="19">
        <f>IF($A39="","",IF(OR(N($O39)&lt;odk_esikOee,$E39&gt;odk_esikDurusDk,N($Q39)&lt;odk_esikSaglik),"ALARM","UYGUN"))</f>
        <v/>
      </c>
      <c r="S39" s="19">
        <f>IF($A39="","",1)</f>
        <v/>
      </c>
      <c r="T39" s="19">
        <f>IF($A39="","",IF(OR($B39="",COUNTIF(tblVarliklar[VarlikId],$B39)=0),"YETIM","TAMAM"))</f>
        <v/>
      </c>
    </row>
    <row r="40">
      <c r="A40" s="15" t="inlineStr">
        <is>
          <t>ODK-00035</t>
        </is>
      </c>
      <c r="B40" s="15" t="inlineStr">
        <is>
          <t>MAK-00003</t>
        </is>
      </c>
      <c r="C40" s="37" t="n">
        <v>46140</v>
      </c>
      <c r="D40" s="17" t="n">
        <v>480</v>
      </c>
      <c r="E40" s="17" t="n">
        <v>40</v>
      </c>
      <c r="F40" s="17" t="n">
        <v>1203</v>
      </c>
      <c r="G40" s="17" t="n">
        <v>42</v>
      </c>
      <c r="H40" s="15" t="inlineStr">
        <is>
          <t>ARIZA</t>
        </is>
      </c>
      <c r="I40" s="19">
        <f>IF($A40="","",IFERROR(SUMIF(tblVarliklar[VarlikId],$B40,tblVarliklar[IdealCevrim_sn]),odk_varsayilanCevrim))</f>
        <v/>
      </c>
      <c r="J40" s="19">
        <f>IF($A40="","",IFERROR(MAX(0,$D40-$E40),0))</f>
        <v/>
      </c>
      <c r="K40" s="19">
        <f>IF($A40="","",IFERROR($J40/$D40,0))</f>
        <v/>
      </c>
      <c r="L40" s="19">
        <f>IF($A40="","",IFERROR($J40*odk_dakikaSn/$I40,0))</f>
        <v/>
      </c>
      <c r="M40" s="19">
        <f>IF($A40="","",IFERROR($F40/$L40,0))</f>
        <v/>
      </c>
      <c r="N40" s="19">
        <f>IF($A40="","",IFERROR(($F40-$G40)/$F40,0))</f>
        <v/>
      </c>
      <c r="O40" s="19">
        <f>IF($A40="","",IFERROR(N($K40)*N($M40)*N($N40),0))</f>
        <v/>
      </c>
      <c r="P40" s="19">
        <f>IF($A40="","",IFERROR($E40/$D40,0))</f>
        <v/>
      </c>
      <c r="Q40" s="19">
        <f>IF($A40="","",IFERROR(MAX(0,MIN(100,odk_kaliteTaban-IF(N($O40)&lt;odk_esikOee,odk_kaliteCeza,0)-IF($E40&gt;odk_esikDurusDk,odk_kaliteSapma,0)-IF($T40="YETIM",odk_kaliteCeza,0))),0))</f>
        <v/>
      </c>
      <c r="R40" s="19">
        <f>IF($A40="","",IF(OR(N($O40)&lt;odk_esikOee,$E40&gt;odk_esikDurusDk,N($Q40)&lt;odk_esikSaglik),"ALARM","UYGUN"))</f>
        <v/>
      </c>
      <c r="S40" s="19">
        <f>IF($A40="","",1)</f>
        <v/>
      </c>
      <c r="T40" s="19">
        <f>IF($A40="","",IF(OR($B40="",COUNTIF(tblVarliklar[VarlikId],$B40)=0),"YETIM","TAMAM"))</f>
        <v/>
      </c>
    </row>
    <row r="41">
      <c r="A41" s="15" t="inlineStr">
        <is>
          <t>ODK-00036</t>
        </is>
      </c>
      <c r="B41" s="15" t="inlineStr">
        <is>
          <t>MAK-00004</t>
        </is>
      </c>
      <c r="C41" s="37" t="n">
        <v>46137</v>
      </c>
      <c r="D41" s="17" t="n">
        <v>480</v>
      </c>
      <c r="E41" s="17" t="n">
        <v>48</v>
      </c>
      <c r="F41" s="17" t="n">
        <v>726</v>
      </c>
      <c r="G41" s="17" t="n">
        <v>15</v>
      </c>
      <c r="H41" s="15" t="inlineStr">
        <is>
          <t>AYAR</t>
        </is>
      </c>
      <c r="I41" s="19">
        <f>IF($A41="","",IFERROR(SUMIF(tblVarliklar[VarlikId],$B41,tblVarliklar[IdealCevrim_sn]),odk_varsayilanCevrim))</f>
        <v/>
      </c>
      <c r="J41" s="19">
        <f>IF($A41="","",IFERROR(MAX(0,$D41-$E41),0))</f>
        <v/>
      </c>
      <c r="K41" s="19">
        <f>IF($A41="","",IFERROR($J41/$D41,0))</f>
        <v/>
      </c>
      <c r="L41" s="19">
        <f>IF($A41="","",IFERROR($J41*odk_dakikaSn/$I41,0))</f>
        <v/>
      </c>
      <c r="M41" s="19">
        <f>IF($A41="","",IFERROR($F41/$L41,0))</f>
        <v/>
      </c>
      <c r="N41" s="19">
        <f>IF($A41="","",IFERROR(($F41-$G41)/$F41,0))</f>
        <v/>
      </c>
      <c r="O41" s="19">
        <f>IF($A41="","",IFERROR(N($K41)*N($M41)*N($N41),0))</f>
        <v/>
      </c>
      <c r="P41" s="19">
        <f>IF($A41="","",IFERROR($E41/$D41,0))</f>
        <v/>
      </c>
      <c r="Q41" s="19">
        <f>IF($A41="","",IFERROR(MAX(0,MIN(100,odk_kaliteTaban-IF(N($O41)&lt;odk_esikOee,odk_kaliteCeza,0)-IF($E41&gt;odk_esikDurusDk,odk_kaliteSapma,0)-IF($T41="YETIM",odk_kaliteCeza,0))),0))</f>
        <v/>
      </c>
      <c r="R41" s="19">
        <f>IF($A41="","",IF(OR(N($O41)&lt;odk_esikOee,$E41&gt;odk_esikDurusDk,N($Q41)&lt;odk_esikSaglik),"ALARM","UYGUN"))</f>
        <v/>
      </c>
      <c r="S41" s="19">
        <f>IF($A41="","",1)</f>
        <v/>
      </c>
      <c r="T41" s="19">
        <f>IF($A41="","",IF(OR($B41="",COUNTIF(tblVarliklar[VarlikId],$B41)=0),"YETIM","TAMAM"))</f>
        <v/>
      </c>
    </row>
    <row r="42">
      <c r="A42" s="15" t="n"/>
      <c r="B42" s="15" t="n"/>
      <c r="C42" s="37" t="n"/>
      <c r="D42" s="17" t="n"/>
      <c r="E42" s="17" t="n"/>
      <c r="F42" s="17" t="n"/>
      <c r="G42" s="17" t="n"/>
      <c r="H42" s="15" t="n"/>
      <c r="I42" s="19">
        <f>IF($A42="","",IFERROR(SUMIF(tblVarliklar[VarlikId],$B42,tblVarliklar[IdealCevrim_sn]),odk_varsayilanCevrim))</f>
        <v/>
      </c>
      <c r="J42" s="19">
        <f>IF($A42="","",IFERROR(MAX(0,$D42-$E42),0))</f>
        <v/>
      </c>
      <c r="K42" s="19">
        <f>IF($A42="","",IFERROR($J42/$D42,0))</f>
        <v/>
      </c>
      <c r="L42" s="19">
        <f>IF($A42="","",IFERROR($J42*odk_dakikaSn/$I42,0))</f>
        <v/>
      </c>
      <c r="M42" s="19">
        <f>IF($A42="","",IFERROR($F42/$L42,0))</f>
        <v/>
      </c>
      <c r="N42" s="19">
        <f>IF($A42="","",IFERROR(($F42-$G42)/$F42,0))</f>
        <v/>
      </c>
      <c r="O42" s="19">
        <f>IF($A42="","",IFERROR(N($K42)*N($M42)*N($N42),0))</f>
        <v/>
      </c>
      <c r="P42" s="19">
        <f>IF($A42="","",IFERROR($E42/$D42,0))</f>
        <v/>
      </c>
      <c r="Q42" s="19">
        <f>IF($A42="","",IFERROR(MAX(0,MIN(100,odk_kaliteTaban-IF(N($O42)&lt;odk_esikOee,odk_kaliteCeza,0)-IF($E42&gt;odk_esikDurusDk,odk_kaliteSapma,0)-IF($T42="YETIM",odk_kaliteCeza,0))),0))</f>
        <v/>
      </c>
      <c r="R42" s="19">
        <f>IF($A42="","",IF(OR(N($O42)&lt;odk_esikOee,$E42&gt;odk_esikDurusDk,N($Q42)&lt;odk_esikSaglik),"ALARM","UYGUN"))</f>
        <v/>
      </c>
      <c r="S42" s="19">
        <f>IF($A42="","",1)</f>
        <v/>
      </c>
      <c r="T42" s="19">
        <f>IF($A42="","",IF(OR($B42="",COUNTIF(tblVarliklar[VarlikId],$B42)=0),"YETIM","TAMAM"))</f>
        <v/>
      </c>
    </row>
    <row r="43">
      <c r="A43" s="15" t="n"/>
      <c r="B43" s="15" t="n"/>
      <c r="C43" s="37" t="n"/>
      <c r="D43" s="17" t="n"/>
      <c r="E43" s="17" t="n"/>
      <c r="F43" s="17" t="n"/>
      <c r="G43" s="17" t="n"/>
      <c r="H43" s="15" t="n"/>
      <c r="I43" s="19">
        <f>IF($A43="","",IFERROR(SUMIF(tblVarliklar[VarlikId],$B43,tblVarliklar[IdealCevrim_sn]),odk_varsayilanCevrim))</f>
        <v/>
      </c>
      <c r="J43" s="19">
        <f>IF($A43="","",IFERROR(MAX(0,$D43-$E43),0))</f>
        <v/>
      </c>
      <c r="K43" s="19">
        <f>IF($A43="","",IFERROR($J43/$D43,0))</f>
        <v/>
      </c>
      <c r="L43" s="19">
        <f>IF($A43="","",IFERROR($J43*odk_dakikaSn/$I43,0))</f>
        <v/>
      </c>
      <c r="M43" s="19">
        <f>IF($A43="","",IFERROR($F43/$L43,0))</f>
        <v/>
      </c>
      <c r="N43" s="19">
        <f>IF($A43="","",IFERROR(($F43-$G43)/$F43,0))</f>
        <v/>
      </c>
      <c r="O43" s="19">
        <f>IF($A43="","",IFERROR(N($K43)*N($M43)*N($N43),0))</f>
        <v/>
      </c>
      <c r="P43" s="19">
        <f>IF($A43="","",IFERROR($E43/$D43,0))</f>
        <v/>
      </c>
      <c r="Q43" s="19">
        <f>IF($A43="","",IFERROR(MAX(0,MIN(100,odk_kaliteTaban-IF(N($O43)&lt;odk_esikOee,odk_kaliteCeza,0)-IF($E43&gt;odk_esikDurusDk,odk_kaliteSapma,0)-IF($T43="YETIM",odk_kaliteCeza,0))),0))</f>
        <v/>
      </c>
      <c r="R43" s="19">
        <f>IF($A43="","",IF(OR(N($O43)&lt;odk_esikOee,$E43&gt;odk_esikDurusDk,N($Q43)&lt;odk_esikSaglik),"ALARM","UYGUN"))</f>
        <v/>
      </c>
      <c r="S43" s="19">
        <f>IF($A43="","",1)</f>
        <v/>
      </c>
      <c r="T43" s="19">
        <f>IF($A43="","",IF(OR($B43="",COUNTIF(tblVarliklar[VarlikId],$B43)=0),"YETIM","TAMAM"))</f>
        <v/>
      </c>
    </row>
    <row r="44">
      <c r="A44" s="15" t="n"/>
      <c r="B44" s="15" t="n"/>
      <c r="C44" s="37" t="n"/>
      <c r="D44" s="17" t="n"/>
      <c r="E44" s="17" t="n"/>
      <c r="F44" s="17" t="n"/>
      <c r="G44" s="17" t="n"/>
      <c r="H44" s="15" t="n"/>
      <c r="I44" s="19">
        <f>IF($A44="","",IFERROR(SUMIF(tblVarliklar[VarlikId],$B44,tblVarliklar[IdealCevrim_sn]),odk_varsayilanCevrim))</f>
        <v/>
      </c>
      <c r="J44" s="19">
        <f>IF($A44="","",IFERROR(MAX(0,$D44-$E44),0))</f>
        <v/>
      </c>
      <c r="K44" s="19">
        <f>IF($A44="","",IFERROR($J44/$D44,0))</f>
        <v/>
      </c>
      <c r="L44" s="19">
        <f>IF($A44="","",IFERROR($J44*odk_dakikaSn/$I44,0))</f>
        <v/>
      </c>
      <c r="M44" s="19">
        <f>IF($A44="","",IFERROR($F44/$L44,0))</f>
        <v/>
      </c>
      <c r="N44" s="19">
        <f>IF($A44="","",IFERROR(($F44-$G44)/$F44,0))</f>
        <v/>
      </c>
      <c r="O44" s="19">
        <f>IF($A44="","",IFERROR(N($K44)*N($M44)*N($N44),0))</f>
        <v/>
      </c>
      <c r="P44" s="19">
        <f>IF($A44="","",IFERROR($E44/$D44,0))</f>
        <v/>
      </c>
      <c r="Q44" s="19">
        <f>IF($A44="","",IFERROR(MAX(0,MIN(100,odk_kaliteTaban-IF(N($O44)&lt;odk_esikOee,odk_kaliteCeza,0)-IF($E44&gt;odk_esikDurusDk,odk_kaliteSapma,0)-IF($T44="YETIM",odk_kaliteCeza,0))),0))</f>
        <v/>
      </c>
      <c r="R44" s="19">
        <f>IF($A44="","",IF(OR(N($O44)&lt;odk_esikOee,$E44&gt;odk_esikDurusDk,N($Q44)&lt;odk_esikSaglik),"ALARM","UYGUN"))</f>
        <v/>
      </c>
      <c r="S44" s="19">
        <f>IF($A44="","",1)</f>
        <v/>
      </c>
      <c r="T44" s="19">
        <f>IF($A44="","",IF(OR($B44="",COUNTIF(tblVarliklar[VarlikId],$B44)=0),"YETIM","TAMAM"))</f>
        <v/>
      </c>
    </row>
    <row r="45">
      <c r="A45" s="15" t="n"/>
      <c r="B45" s="15" t="n"/>
      <c r="C45" s="37" t="n"/>
      <c r="D45" s="17" t="n"/>
      <c r="E45" s="17" t="n"/>
      <c r="F45" s="17" t="n"/>
      <c r="G45" s="17" t="n"/>
      <c r="H45" s="15" t="n"/>
      <c r="I45" s="19">
        <f>IF($A45="","",IFERROR(SUMIF(tblVarliklar[VarlikId],$B45,tblVarliklar[IdealCevrim_sn]),odk_varsayilanCevrim))</f>
        <v/>
      </c>
      <c r="J45" s="19">
        <f>IF($A45="","",IFERROR(MAX(0,$D45-$E45),0))</f>
        <v/>
      </c>
      <c r="K45" s="19">
        <f>IF($A45="","",IFERROR($J45/$D45,0))</f>
        <v/>
      </c>
      <c r="L45" s="19">
        <f>IF($A45="","",IFERROR($J45*odk_dakikaSn/$I45,0))</f>
        <v/>
      </c>
      <c r="M45" s="19">
        <f>IF($A45="","",IFERROR($F45/$L45,0))</f>
        <v/>
      </c>
      <c r="N45" s="19">
        <f>IF($A45="","",IFERROR(($F45-$G45)/$F45,0))</f>
        <v/>
      </c>
      <c r="O45" s="19">
        <f>IF($A45="","",IFERROR(N($K45)*N($M45)*N($N45),0))</f>
        <v/>
      </c>
      <c r="P45" s="19">
        <f>IF($A45="","",IFERROR($E45/$D45,0))</f>
        <v/>
      </c>
      <c r="Q45" s="19">
        <f>IF($A45="","",IFERROR(MAX(0,MIN(100,odk_kaliteTaban-IF(N($O45)&lt;odk_esikOee,odk_kaliteCeza,0)-IF($E45&gt;odk_esikDurusDk,odk_kaliteSapma,0)-IF($T45="YETIM",odk_kaliteCeza,0))),0))</f>
        <v/>
      </c>
      <c r="R45" s="19">
        <f>IF($A45="","",IF(OR(N($O45)&lt;odk_esikOee,$E45&gt;odk_esikDurusDk,N($Q45)&lt;odk_esikSaglik),"ALARM","UYGUN"))</f>
        <v/>
      </c>
      <c r="S45" s="19">
        <f>IF($A45="","",1)</f>
        <v/>
      </c>
      <c r="T45" s="19">
        <f>IF($A45="","",IF(OR($B45="",COUNTIF(tblVarliklar[VarlikId],$B45)=0),"YETIM","TAMAM"))</f>
        <v/>
      </c>
    </row>
    <row r="46">
      <c r="A46" s="15" t="n"/>
      <c r="B46" s="15" t="n"/>
      <c r="C46" s="37" t="n"/>
      <c r="D46" s="17" t="n"/>
      <c r="E46" s="17" t="n"/>
      <c r="F46" s="17" t="n"/>
      <c r="G46" s="17" t="n"/>
      <c r="H46" s="15" t="n"/>
      <c r="I46" s="19">
        <f>IF($A46="","",IFERROR(SUMIF(tblVarliklar[VarlikId],$B46,tblVarliklar[IdealCevrim_sn]),odk_varsayilanCevrim))</f>
        <v/>
      </c>
      <c r="J46" s="19">
        <f>IF($A46="","",IFERROR(MAX(0,$D46-$E46),0))</f>
        <v/>
      </c>
      <c r="K46" s="19">
        <f>IF($A46="","",IFERROR($J46/$D46,0))</f>
        <v/>
      </c>
      <c r="L46" s="19">
        <f>IF($A46="","",IFERROR($J46*odk_dakikaSn/$I46,0))</f>
        <v/>
      </c>
      <c r="M46" s="19">
        <f>IF($A46="","",IFERROR($F46/$L46,0))</f>
        <v/>
      </c>
      <c r="N46" s="19">
        <f>IF($A46="","",IFERROR(($F46-$G46)/$F46,0))</f>
        <v/>
      </c>
      <c r="O46" s="19">
        <f>IF($A46="","",IFERROR(N($K46)*N($M46)*N($N46),0))</f>
        <v/>
      </c>
      <c r="P46" s="19">
        <f>IF($A46="","",IFERROR($E46/$D46,0))</f>
        <v/>
      </c>
      <c r="Q46" s="19">
        <f>IF($A46="","",IFERROR(MAX(0,MIN(100,odk_kaliteTaban-IF(N($O46)&lt;odk_esikOee,odk_kaliteCeza,0)-IF($E46&gt;odk_esikDurusDk,odk_kaliteSapma,0)-IF($T46="YETIM",odk_kaliteCeza,0))),0))</f>
        <v/>
      </c>
      <c r="R46" s="19">
        <f>IF($A46="","",IF(OR(N($O46)&lt;odk_esikOee,$E46&gt;odk_esikDurusDk,N($Q46)&lt;odk_esikSaglik),"ALARM","UYGUN"))</f>
        <v/>
      </c>
      <c r="S46" s="19">
        <f>IF($A46="","",1)</f>
        <v/>
      </c>
      <c r="T46" s="19">
        <f>IF($A46="","",IF(OR($B46="",COUNTIF(tblVarliklar[VarlikId],$B46)=0),"YETIM","TAMAM"))</f>
        <v/>
      </c>
    </row>
    <row r="47">
      <c r="A47" s="15" t="n"/>
      <c r="B47" s="15" t="n"/>
      <c r="C47" s="37" t="n"/>
      <c r="D47" s="17" t="n"/>
      <c r="E47" s="17" t="n"/>
      <c r="F47" s="17" t="n"/>
      <c r="G47" s="17" t="n"/>
      <c r="H47" s="15" t="n"/>
      <c r="I47" s="19">
        <f>IF($A47="","",IFERROR(SUMIF(tblVarliklar[VarlikId],$B47,tblVarliklar[IdealCevrim_sn]),odk_varsayilanCevrim))</f>
        <v/>
      </c>
      <c r="J47" s="19">
        <f>IF($A47="","",IFERROR(MAX(0,$D47-$E47),0))</f>
        <v/>
      </c>
      <c r="K47" s="19">
        <f>IF($A47="","",IFERROR($J47/$D47,0))</f>
        <v/>
      </c>
      <c r="L47" s="19">
        <f>IF($A47="","",IFERROR($J47*odk_dakikaSn/$I47,0))</f>
        <v/>
      </c>
      <c r="M47" s="19">
        <f>IF($A47="","",IFERROR($F47/$L47,0))</f>
        <v/>
      </c>
      <c r="N47" s="19">
        <f>IF($A47="","",IFERROR(($F47-$G47)/$F47,0))</f>
        <v/>
      </c>
      <c r="O47" s="19">
        <f>IF($A47="","",IFERROR(N($K47)*N($M47)*N($N47),0))</f>
        <v/>
      </c>
      <c r="P47" s="19">
        <f>IF($A47="","",IFERROR($E47/$D47,0))</f>
        <v/>
      </c>
      <c r="Q47" s="19">
        <f>IF($A47="","",IFERROR(MAX(0,MIN(100,odk_kaliteTaban-IF(N($O47)&lt;odk_esikOee,odk_kaliteCeza,0)-IF($E47&gt;odk_esikDurusDk,odk_kaliteSapma,0)-IF($T47="YETIM",odk_kaliteCeza,0))),0))</f>
        <v/>
      </c>
      <c r="R47" s="19">
        <f>IF($A47="","",IF(OR(N($O47)&lt;odk_esikOee,$E47&gt;odk_esikDurusDk,N($Q47)&lt;odk_esikSaglik),"ALARM","UYGUN"))</f>
        <v/>
      </c>
      <c r="S47" s="19">
        <f>IF($A47="","",1)</f>
        <v/>
      </c>
      <c r="T47" s="19">
        <f>IF($A47="","",IF(OR($B47="",COUNTIF(tblVarliklar[VarlikId],$B47)=0),"YETIM","TAMAM"))</f>
        <v/>
      </c>
    </row>
    <row r="48">
      <c r="A48" s="15" t="n"/>
      <c r="B48" s="15" t="n"/>
      <c r="C48" s="37" t="n"/>
      <c r="D48" s="17" t="n"/>
      <c r="E48" s="17" t="n"/>
      <c r="F48" s="17" t="n"/>
      <c r="G48" s="17" t="n"/>
      <c r="H48" s="15" t="n"/>
      <c r="I48" s="19">
        <f>IF($A48="","",IFERROR(SUMIF(tblVarliklar[VarlikId],$B48,tblVarliklar[IdealCevrim_sn]),odk_varsayilanCevrim))</f>
        <v/>
      </c>
      <c r="J48" s="19">
        <f>IF($A48="","",IFERROR(MAX(0,$D48-$E48),0))</f>
        <v/>
      </c>
      <c r="K48" s="19">
        <f>IF($A48="","",IFERROR($J48/$D48,0))</f>
        <v/>
      </c>
      <c r="L48" s="19">
        <f>IF($A48="","",IFERROR($J48*odk_dakikaSn/$I48,0))</f>
        <v/>
      </c>
      <c r="M48" s="19">
        <f>IF($A48="","",IFERROR($F48/$L48,0))</f>
        <v/>
      </c>
      <c r="N48" s="19">
        <f>IF($A48="","",IFERROR(($F48-$G48)/$F48,0))</f>
        <v/>
      </c>
      <c r="O48" s="19">
        <f>IF($A48="","",IFERROR(N($K48)*N($M48)*N($N48),0))</f>
        <v/>
      </c>
      <c r="P48" s="19">
        <f>IF($A48="","",IFERROR($E48/$D48,0))</f>
        <v/>
      </c>
      <c r="Q48" s="19">
        <f>IF($A48="","",IFERROR(MAX(0,MIN(100,odk_kaliteTaban-IF(N($O48)&lt;odk_esikOee,odk_kaliteCeza,0)-IF($E48&gt;odk_esikDurusDk,odk_kaliteSapma,0)-IF($T48="YETIM",odk_kaliteCeza,0))),0))</f>
        <v/>
      </c>
      <c r="R48" s="19">
        <f>IF($A48="","",IF(OR(N($O48)&lt;odk_esikOee,$E48&gt;odk_esikDurusDk,N($Q48)&lt;odk_esikSaglik),"ALARM","UYGUN"))</f>
        <v/>
      </c>
      <c r="S48" s="19">
        <f>IF($A48="","",1)</f>
        <v/>
      </c>
      <c r="T48" s="19">
        <f>IF($A48="","",IF(OR($B48="",COUNTIF(tblVarliklar[VarlikId],$B48)=0),"YETIM","TAMAM"))</f>
        <v/>
      </c>
    </row>
    <row r="49">
      <c r="A49" s="15" t="n"/>
      <c r="B49" s="15" t="n"/>
      <c r="C49" s="37" t="n"/>
      <c r="D49" s="17" t="n"/>
      <c r="E49" s="17" t="n"/>
      <c r="F49" s="17" t="n"/>
      <c r="G49" s="17" t="n"/>
      <c r="H49" s="15" t="n"/>
      <c r="I49" s="19">
        <f>IF($A49="","",IFERROR(SUMIF(tblVarliklar[VarlikId],$B49,tblVarliklar[IdealCevrim_sn]),odk_varsayilanCevrim))</f>
        <v/>
      </c>
      <c r="J49" s="19">
        <f>IF($A49="","",IFERROR(MAX(0,$D49-$E49),0))</f>
        <v/>
      </c>
      <c r="K49" s="19">
        <f>IF($A49="","",IFERROR($J49/$D49,0))</f>
        <v/>
      </c>
      <c r="L49" s="19">
        <f>IF($A49="","",IFERROR($J49*odk_dakikaSn/$I49,0))</f>
        <v/>
      </c>
      <c r="M49" s="19">
        <f>IF($A49="","",IFERROR($F49/$L49,0))</f>
        <v/>
      </c>
      <c r="N49" s="19">
        <f>IF($A49="","",IFERROR(($F49-$G49)/$F49,0))</f>
        <v/>
      </c>
      <c r="O49" s="19">
        <f>IF($A49="","",IFERROR(N($K49)*N($M49)*N($N49),0))</f>
        <v/>
      </c>
      <c r="P49" s="19">
        <f>IF($A49="","",IFERROR($E49/$D49,0))</f>
        <v/>
      </c>
      <c r="Q49" s="19">
        <f>IF($A49="","",IFERROR(MAX(0,MIN(100,odk_kaliteTaban-IF(N($O49)&lt;odk_esikOee,odk_kaliteCeza,0)-IF($E49&gt;odk_esikDurusDk,odk_kaliteSapma,0)-IF($T49="YETIM",odk_kaliteCeza,0))),0))</f>
        <v/>
      </c>
      <c r="R49" s="19">
        <f>IF($A49="","",IF(OR(N($O49)&lt;odk_esikOee,$E49&gt;odk_esikDurusDk,N($Q49)&lt;odk_esikSaglik),"ALARM","UYGUN"))</f>
        <v/>
      </c>
      <c r="S49" s="19">
        <f>IF($A49="","",1)</f>
        <v/>
      </c>
      <c r="T49" s="19">
        <f>IF($A49="","",IF(OR($B49="",COUNTIF(tblVarliklar[VarlikId],$B49)=0),"YETIM","TAMAM"))</f>
        <v/>
      </c>
    </row>
    <row r="50">
      <c r="A50" s="15" t="n"/>
      <c r="B50" s="15" t="n"/>
      <c r="C50" s="37" t="n"/>
      <c r="D50" s="17" t="n"/>
      <c r="E50" s="17" t="n"/>
      <c r="F50" s="17" t="n"/>
      <c r="G50" s="17" t="n"/>
      <c r="H50" s="15" t="n"/>
      <c r="I50" s="19">
        <f>IF($A50="","",IFERROR(SUMIF(tblVarliklar[VarlikId],$B50,tblVarliklar[IdealCevrim_sn]),odk_varsayilanCevrim))</f>
        <v/>
      </c>
      <c r="J50" s="19">
        <f>IF($A50="","",IFERROR(MAX(0,$D50-$E50),0))</f>
        <v/>
      </c>
      <c r="K50" s="19">
        <f>IF($A50="","",IFERROR($J50/$D50,0))</f>
        <v/>
      </c>
      <c r="L50" s="19">
        <f>IF($A50="","",IFERROR($J50*odk_dakikaSn/$I50,0))</f>
        <v/>
      </c>
      <c r="M50" s="19">
        <f>IF($A50="","",IFERROR($F50/$L50,0))</f>
        <v/>
      </c>
      <c r="N50" s="19">
        <f>IF($A50="","",IFERROR(($F50-$G50)/$F50,0))</f>
        <v/>
      </c>
      <c r="O50" s="19">
        <f>IF($A50="","",IFERROR(N($K50)*N($M50)*N($N50),0))</f>
        <v/>
      </c>
      <c r="P50" s="19">
        <f>IF($A50="","",IFERROR($E50/$D50,0))</f>
        <v/>
      </c>
      <c r="Q50" s="19">
        <f>IF($A50="","",IFERROR(MAX(0,MIN(100,odk_kaliteTaban-IF(N($O50)&lt;odk_esikOee,odk_kaliteCeza,0)-IF($E50&gt;odk_esikDurusDk,odk_kaliteSapma,0)-IF($T50="YETIM",odk_kaliteCeza,0))),0))</f>
        <v/>
      </c>
      <c r="R50" s="19">
        <f>IF($A50="","",IF(OR(N($O50)&lt;odk_esikOee,$E50&gt;odk_esikDurusDk,N($Q50)&lt;odk_esikSaglik),"ALARM","UYGUN"))</f>
        <v/>
      </c>
      <c r="S50" s="19">
        <f>IF($A50="","",1)</f>
        <v/>
      </c>
      <c r="T50" s="19">
        <f>IF($A50="","",IF(OR($B50="",COUNTIF(tblVarliklar[VarlikId],$B50)=0),"YETIM","TAMAM"))</f>
        <v/>
      </c>
    </row>
    <row r="51">
      <c r="A51" s="15" t="n"/>
      <c r="B51" s="15" t="n"/>
      <c r="C51" s="37" t="n"/>
      <c r="D51" s="17" t="n"/>
      <c r="E51" s="17" t="n"/>
      <c r="F51" s="17" t="n"/>
      <c r="G51" s="17" t="n"/>
      <c r="H51" s="15" t="n"/>
      <c r="I51" s="19">
        <f>IF($A51="","",IFERROR(SUMIF(tblVarliklar[VarlikId],$B51,tblVarliklar[IdealCevrim_sn]),odk_varsayilanCevrim))</f>
        <v/>
      </c>
      <c r="J51" s="19">
        <f>IF($A51="","",IFERROR(MAX(0,$D51-$E51),0))</f>
        <v/>
      </c>
      <c r="K51" s="19">
        <f>IF($A51="","",IFERROR($J51/$D51,0))</f>
        <v/>
      </c>
      <c r="L51" s="19">
        <f>IF($A51="","",IFERROR($J51*odk_dakikaSn/$I51,0))</f>
        <v/>
      </c>
      <c r="M51" s="19">
        <f>IF($A51="","",IFERROR($F51/$L51,0))</f>
        <v/>
      </c>
      <c r="N51" s="19">
        <f>IF($A51="","",IFERROR(($F51-$G51)/$F51,0))</f>
        <v/>
      </c>
      <c r="O51" s="19">
        <f>IF($A51="","",IFERROR(N($K51)*N($M51)*N($N51),0))</f>
        <v/>
      </c>
      <c r="P51" s="19">
        <f>IF($A51="","",IFERROR($E51/$D51,0))</f>
        <v/>
      </c>
      <c r="Q51" s="19">
        <f>IF($A51="","",IFERROR(MAX(0,MIN(100,odk_kaliteTaban-IF(N($O51)&lt;odk_esikOee,odk_kaliteCeza,0)-IF($E51&gt;odk_esikDurusDk,odk_kaliteSapma,0)-IF($T51="YETIM",odk_kaliteCeza,0))),0))</f>
        <v/>
      </c>
      <c r="R51" s="19">
        <f>IF($A51="","",IF(OR(N($O51)&lt;odk_esikOee,$E51&gt;odk_esikDurusDk,N($Q51)&lt;odk_esikSaglik),"ALARM","UYGUN"))</f>
        <v/>
      </c>
      <c r="S51" s="19">
        <f>IF($A51="","",1)</f>
        <v/>
      </c>
      <c r="T51" s="19">
        <f>IF($A51="","",IF(OR($B51="",COUNTIF(tblVarliklar[VarlikId],$B51)=0),"YETIM","TAMAM"))</f>
        <v/>
      </c>
    </row>
    <row r="52">
      <c r="A52" s="15" t="n"/>
      <c r="B52" s="15" t="n"/>
      <c r="C52" s="37" t="n"/>
      <c r="D52" s="17" t="n"/>
      <c r="E52" s="17" t="n"/>
      <c r="F52" s="17" t="n"/>
      <c r="G52" s="17" t="n"/>
      <c r="H52" s="15" t="n"/>
      <c r="I52" s="19">
        <f>IF($A52="","",IFERROR(SUMIF(tblVarliklar[VarlikId],$B52,tblVarliklar[IdealCevrim_sn]),odk_varsayilanCevrim))</f>
        <v/>
      </c>
      <c r="J52" s="19">
        <f>IF($A52="","",IFERROR(MAX(0,$D52-$E52),0))</f>
        <v/>
      </c>
      <c r="K52" s="19">
        <f>IF($A52="","",IFERROR($J52/$D52,0))</f>
        <v/>
      </c>
      <c r="L52" s="19">
        <f>IF($A52="","",IFERROR($J52*odk_dakikaSn/$I52,0))</f>
        <v/>
      </c>
      <c r="M52" s="19">
        <f>IF($A52="","",IFERROR($F52/$L52,0))</f>
        <v/>
      </c>
      <c r="N52" s="19">
        <f>IF($A52="","",IFERROR(($F52-$G52)/$F52,0))</f>
        <v/>
      </c>
      <c r="O52" s="19">
        <f>IF($A52="","",IFERROR(N($K52)*N($M52)*N($N52),0))</f>
        <v/>
      </c>
      <c r="P52" s="19">
        <f>IF($A52="","",IFERROR($E52/$D52,0))</f>
        <v/>
      </c>
      <c r="Q52" s="19">
        <f>IF($A52="","",IFERROR(MAX(0,MIN(100,odk_kaliteTaban-IF(N($O52)&lt;odk_esikOee,odk_kaliteCeza,0)-IF($E52&gt;odk_esikDurusDk,odk_kaliteSapma,0)-IF($T52="YETIM",odk_kaliteCeza,0))),0))</f>
        <v/>
      </c>
      <c r="R52" s="19">
        <f>IF($A52="","",IF(OR(N($O52)&lt;odk_esikOee,$E52&gt;odk_esikDurusDk,N($Q52)&lt;odk_esikSaglik),"ALARM","UYGUN"))</f>
        <v/>
      </c>
      <c r="S52" s="19">
        <f>IF($A52="","",1)</f>
        <v/>
      </c>
      <c r="T52" s="19">
        <f>IF($A52="","",IF(OR($B52="",COUNTIF(tblVarliklar[VarlikId],$B52)=0),"YETIM","TAMAM"))</f>
        <v/>
      </c>
    </row>
    <row r="53">
      <c r="A53" s="15" t="n"/>
      <c r="B53" s="15" t="n"/>
      <c r="C53" s="37" t="n"/>
      <c r="D53" s="17" t="n"/>
      <c r="E53" s="17" t="n"/>
      <c r="F53" s="17" t="n"/>
      <c r="G53" s="17" t="n"/>
      <c r="H53" s="15" t="n"/>
      <c r="I53" s="19">
        <f>IF($A53="","",IFERROR(SUMIF(tblVarliklar[VarlikId],$B53,tblVarliklar[IdealCevrim_sn]),odk_varsayilanCevrim))</f>
        <v/>
      </c>
      <c r="J53" s="19">
        <f>IF($A53="","",IFERROR(MAX(0,$D53-$E53),0))</f>
        <v/>
      </c>
      <c r="K53" s="19">
        <f>IF($A53="","",IFERROR($J53/$D53,0))</f>
        <v/>
      </c>
      <c r="L53" s="19">
        <f>IF($A53="","",IFERROR($J53*odk_dakikaSn/$I53,0))</f>
        <v/>
      </c>
      <c r="M53" s="19">
        <f>IF($A53="","",IFERROR($F53/$L53,0))</f>
        <v/>
      </c>
      <c r="N53" s="19">
        <f>IF($A53="","",IFERROR(($F53-$G53)/$F53,0))</f>
        <v/>
      </c>
      <c r="O53" s="19">
        <f>IF($A53="","",IFERROR(N($K53)*N($M53)*N($N53),0))</f>
        <v/>
      </c>
      <c r="P53" s="19">
        <f>IF($A53="","",IFERROR($E53/$D53,0))</f>
        <v/>
      </c>
      <c r="Q53" s="19">
        <f>IF($A53="","",IFERROR(MAX(0,MIN(100,odk_kaliteTaban-IF(N($O53)&lt;odk_esikOee,odk_kaliteCeza,0)-IF($E53&gt;odk_esikDurusDk,odk_kaliteSapma,0)-IF($T53="YETIM",odk_kaliteCeza,0))),0))</f>
        <v/>
      </c>
      <c r="R53" s="19">
        <f>IF($A53="","",IF(OR(N($O53)&lt;odk_esikOee,$E53&gt;odk_esikDurusDk,N($Q53)&lt;odk_esikSaglik),"ALARM","UYGUN"))</f>
        <v/>
      </c>
      <c r="S53" s="19">
        <f>IF($A53="","",1)</f>
        <v/>
      </c>
      <c r="T53" s="19">
        <f>IF($A53="","",IF(OR($B53="",COUNTIF(tblVarliklar[VarlikId],$B53)=0),"YETIM","TAMAM"))</f>
        <v/>
      </c>
    </row>
    <row r="54">
      <c r="A54" s="15" t="n"/>
      <c r="B54" s="15" t="n"/>
      <c r="C54" s="37" t="n"/>
      <c r="D54" s="17" t="n"/>
      <c r="E54" s="17" t="n"/>
      <c r="F54" s="17" t="n"/>
      <c r="G54" s="17" t="n"/>
      <c r="H54" s="15" t="n"/>
      <c r="I54" s="19">
        <f>IF($A54="","",IFERROR(SUMIF(tblVarliklar[VarlikId],$B54,tblVarliklar[IdealCevrim_sn]),odk_varsayilanCevrim))</f>
        <v/>
      </c>
      <c r="J54" s="19">
        <f>IF($A54="","",IFERROR(MAX(0,$D54-$E54),0))</f>
        <v/>
      </c>
      <c r="K54" s="19">
        <f>IF($A54="","",IFERROR($J54/$D54,0))</f>
        <v/>
      </c>
      <c r="L54" s="19">
        <f>IF($A54="","",IFERROR($J54*odk_dakikaSn/$I54,0))</f>
        <v/>
      </c>
      <c r="M54" s="19">
        <f>IF($A54="","",IFERROR($F54/$L54,0))</f>
        <v/>
      </c>
      <c r="N54" s="19">
        <f>IF($A54="","",IFERROR(($F54-$G54)/$F54,0))</f>
        <v/>
      </c>
      <c r="O54" s="19">
        <f>IF($A54="","",IFERROR(N($K54)*N($M54)*N($N54),0))</f>
        <v/>
      </c>
      <c r="P54" s="19">
        <f>IF($A54="","",IFERROR($E54/$D54,0))</f>
        <v/>
      </c>
      <c r="Q54" s="19">
        <f>IF($A54="","",IFERROR(MAX(0,MIN(100,odk_kaliteTaban-IF(N($O54)&lt;odk_esikOee,odk_kaliteCeza,0)-IF($E54&gt;odk_esikDurusDk,odk_kaliteSapma,0)-IF($T54="YETIM",odk_kaliteCeza,0))),0))</f>
        <v/>
      </c>
      <c r="R54" s="19">
        <f>IF($A54="","",IF(OR(N($O54)&lt;odk_esikOee,$E54&gt;odk_esikDurusDk,N($Q54)&lt;odk_esikSaglik),"ALARM","UYGUN"))</f>
        <v/>
      </c>
      <c r="S54" s="19">
        <f>IF($A54="","",1)</f>
        <v/>
      </c>
      <c r="T54" s="19">
        <f>IF($A54="","",IF(OR($B54="",COUNTIF(tblVarliklar[VarlikId],$B54)=0),"YETIM","TAMAM"))</f>
        <v/>
      </c>
    </row>
    <row r="55">
      <c r="A55" s="15" t="n"/>
      <c r="B55" s="15" t="n"/>
      <c r="C55" s="37" t="n"/>
      <c r="D55" s="17" t="n"/>
      <c r="E55" s="17" t="n"/>
      <c r="F55" s="17" t="n"/>
      <c r="G55" s="17" t="n"/>
      <c r="H55" s="15" t="n"/>
      <c r="I55" s="19">
        <f>IF($A55="","",IFERROR(SUMIF(tblVarliklar[VarlikId],$B55,tblVarliklar[IdealCevrim_sn]),odk_varsayilanCevrim))</f>
        <v/>
      </c>
      <c r="J55" s="19">
        <f>IF($A55="","",IFERROR(MAX(0,$D55-$E55),0))</f>
        <v/>
      </c>
      <c r="K55" s="19">
        <f>IF($A55="","",IFERROR($J55/$D55,0))</f>
        <v/>
      </c>
      <c r="L55" s="19">
        <f>IF($A55="","",IFERROR($J55*odk_dakikaSn/$I55,0))</f>
        <v/>
      </c>
      <c r="M55" s="19">
        <f>IF($A55="","",IFERROR($F55/$L55,0))</f>
        <v/>
      </c>
      <c r="N55" s="19">
        <f>IF($A55="","",IFERROR(($F55-$G55)/$F55,0))</f>
        <v/>
      </c>
      <c r="O55" s="19">
        <f>IF($A55="","",IFERROR(N($K55)*N($M55)*N($N55),0))</f>
        <v/>
      </c>
      <c r="P55" s="19">
        <f>IF($A55="","",IFERROR($E55/$D55,0))</f>
        <v/>
      </c>
      <c r="Q55" s="19">
        <f>IF($A55="","",IFERROR(MAX(0,MIN(100,odk_kaliteTaban-IF(N($O55)&lt;odk_esikOee,odk_kaliteCeza,0)-IF($E55&gt;odk_esikDurusDk,odk_kaliteSapma,0)-IF($T55="YETIM",odk_kaliteCeza,0))),0))</f>
        <v/>
      </c>
      <c r="R55" s="19">
        <f>IF($A55="","",IF(OR(N($O55)&lt;odk_esikOee,$E55&gt;odk_esikDurusDk,N($Q55)&lt;odk_esikSaglik),"ALARM","UYGUN"))</f>
        <v/>
      </c>
      <c r="S55" s="19">
        <f>IF($A55="","",1)</f>
        <v/>
      </c>
      <c r="T55" s="19">
        <f>IF($A55="","",IF(OR($B55="",COUNTIF(tblVarliklar[VarlikId],$B55)=0),"YETIM","TAMAM"))</f>
        <v/>
      </c>
    </row>
    <row r="56">
      <c r="A56" s="15" t="n"/>
      <c r="B56" s="15" t="n"/>
      <c r="C56" s="37" t="n"/>
      <c r="D56" s="17" t="n"/>
      <c r="E56" s="17" t="n"/>
      <c r="F56" s="17" t="n"/>
      <c r="G56" s="17" t="n"/>
      <c r="H56" s="15" t="n"/>
      <c r="I56" s="19">
        <f>IF($A56="","",IFERROR(SUMIF(tblVarliklar[VarlikId],$B56,tblVarliklar[IdealCevrim_sn]),odk_varsayilanCevrim))</f>
        <v/>
      </c>
      <c r="J56" s="19">
        <f>IF($A56="","",IFERROR(MAX(0,$D56-$E56),0))</f>
        <v/>
      </c>
      <c r="K56" s="19">
        <f>IF($A56="","",IFERROR($J56/$D56,0))</f>
        <v/>
      </c>
      <c r="L56" s="19">
        <f>IF($A56="","",IFERROR($J56*odk_dakikaSn/$I56,0))</f>
        <v/>
      </c>
      <c r="M56" s="19">
        <f>IF($A56="","",IFERROR($F56/$L56,0))</f>
        <v/>
      </c>
      <c r="N56" s="19">
        <f>IF($A56="","",IFERROR(($F56-$G56)/$F56,0))</f>
        <v/>
      </c>
      <c r="O56" s="19">
        <f>IF($A56="","",IFERROR(N($K56)*N($M56)*N($N56),0))</f>
        <v/>
      </c>
      <c r="P56" s="19">
        <f>IF($A56="","",IFERROR($E56/$D56,0))</f>
        <v/>
      </c>
      <c r="Q56" s="19">
        <f>IF($A56="","",IFERROR(MAX(0,MIN(100,odk_kaliteTaban-IF(N($O56)&lt;odk_esikOee,odk_kaliteCeza,0)-IF($E56&gt;odk_esikDurusDk,odk_kaliteSapma,0)-IF($T56="YETIM",odk_kaliteCeza,0))),0))</f>
        <v/>
      </c>
      <c r="R56" s="19">
        <f>IF($A56="","",IF(OR(N($O56)&lt;odk_esikOee,$E56&gt;odk_esikDurusDk,N($Q56)&lt;odk_esikSaglik),"ALARM","UYGUN"))</f>
        <v/>
      </c>
      <c r="S56" s="19">
        <f>IF($A56="","",1)</f>
        <v/>
      </c>
      <c r="T56" s="19">
        <f>IF($A56="","",IF(OR($B56="",COUNTIF(tblVarliklar[VarlikId],$B56)=0),"YETIM","TAMAM"))</f>
        <v/>
      </c>
    </row>
    <row r="57">
      <c r="A57" s="15" t="n"/>
      <c r="B57" s="15" t="n"/>
      <c r="C57" s="37" t="n"/>
      <c r="D57" s="17" t="n"/>
      <c r="E57" s="17" t="n"/>
      <c r="F57" s="17" t="n"/>
      <c r="G57" s="17" t="n"/>
      <c r="H57" s="15" t="n"/>
      <c r="I57" s="19">
        <f>IF($A57="","",IFERROR(SUMIF(tblVarliklar[VarlikId],$B57,tblVarliklar[IdealCevrim_sn]),odk_varsayilanCevrim))</f>
        <v/>
      </c>
      <c r="J57" s="19">
        <f>IF($A57="","",IFERROR(MAX(0,$D57-$E57),0))</f>
        <v/>
      </c>
      <c r="K57" s="19">
        <f>IF($A57="","",IFERROR($J57/$D57,0))</f>
        <v/>
      </c>
      <c r="L57" s="19">
        <f>IF($A57="","",IFERROR($J57*odk_dakikaSn/$I57,0))</f>
        <v/>
      </c>
      <c r="M57" s="19">
        <f>IF($A57="","",IFERROR($F57/$L57,0))</f>
        <v/>
      </c>
      <c r="N57" s="19">
        <f>IF($A57="","",IFERROR(($F57-$G57)/$F57,0))</f>
        <v/>
      </c>
      <c r="O57" s="19">
        <f>IF($A57="","",IFERROR(N($K57)*N($M57)*N($N57),0))</f>
        <v/>
      </c>
      <c r="P57" s="19">
        <f>IF($A57="","",IFERROR($E57/$D57,0))</f>
        <v/>
      </c>
      <c r="Q57" s="19">
        <f>IF($A57="","",IFERROR(MAX(0,MIN(100,odk_kaliteTaban-IF(N($O57)&lt;odk_esikOee,odk_kaliteCeza,0)-IF($E57&gt;odk_esikDurusDk,odk_kaliteSapma,0)-IF($T57="YETIM",odk_kaliteCeza,0))),0))</f>
        <v/>
      </c>
      <c r="R57" s="19">
        <f>IF($A57="","",IF(OR(N($O57)&lt;odk_esikOee,$E57&gt;odk_esikDurusDk,N($Q57)&lt;odk_esikSaglik),"ALARM","UYGUN"))</f>
        <v/>
      </c>
      <c r="S57" s="19">
        <f>IF($A57="","",1)</f>
        <v/>
      </c>
      <c r="T57" s="19">
        <f>IF($A57="","",IF(OR($B57="",COUNTIF(tblVarliklar[VarlikId],$B57)=0),"YETIM","TAMAM"))</f>
        <v/>
      </c>
    </row>
    <row r="58">
      <c r="A58" s="15" t="n"/>
      <c r="B58" s="15" t="n"/>
      <c r="C58" s="37" t="n"/>
      <c r="D58" s="17" t="n"/>
      <c r="E58" s="17" t="n"/>
      <c r="F58" s="17" t="n"/>
      <c r="G58" s="17" t="n"/>
      <c r="H58" s="15" t="n"/>
      <c r="I58" s="19">
        <f>IF($A58="","",IFERROR(SUMIF(tblVarliklar[VarlikId],$B58,tblVarliklar[IdealCevrim_sn]),odk_varsayilanCevrim))</f>
        <v/>
      </c>
      <c r="J58" s="19">
        <f>IF($A58="","",IFERROR(MAX(0,$D58-$E58),0))</f>
        <v/>
      </c>
      <c r="K58" s="19">
        <f>IF($A58="","",IFERROR($J58/$D58,0))</f>
        <v/>
      </c>
      <c r="L58" s="19">
        <f>IF($A58="","",IFERROR($J58*odk_dakikaSn/$I58,0))</f>
        <v/>
      </c>
      <c r="M58" s="19">
        <f>IF($A58="","",IFERROR($F58/$L58,0))</f>
        <v/>
      </c>
      <c r="N58" s="19">
        <f>IF($A58="","",IFERROR(($F58-$G58)/$F58,0))</f>
        <v/>
      </c>
      <c r="O58" s="19">
        <f>IF($A58="","",IFERROR(N($K58)*N($M58)*N($N58),0))</f>
        <v/>
      </c>
      <c r="P58" s="19">
        <f>IF($A58="","",IFERROR($E58/$D58,0))</f>
        <v/>
      </c>
      <c r="Q58" s="19">
        <f>IF($A58="","",IFERROR(MAX(0,MIN(100,odk_kaliteTaban-IF(N($O58)&lt;odk_esikOee,odk_kaliteCeza,0)-IF($E58&gt;odk_esikDurusDk,odk_kaliteSapma,0)-IF($T58="YETIM",odk_kaliteCeza,0))),0))</f>
        <v/>
      </c>
      <c r="R58" s="19">
        <f>IF($A58="","",IF(OR(N($O58)&lt;odk_esikOee,$E58&gt;odk_esikDurusDk,N($Q58)&lt;odk_esikSaglik),"ALARM","UYGUN"))</f>
        <v/>
      </c>
      <c r="S58" s="19">
        <f>IF($A58="","",1)</f>
        <v/>
      </c>
      <c r="T58" s="19">
        <f>IF($A58="","",IF(OR($B58="",COUNTIF(tblVarliklar[VarlikId],$B58)=0),"YETIM","TAMAM"))</f>
        <v/>
      </c>
    </row>
    <row r="59">
      <c r="A59" s="15" t="n"/>
      <c r="B59" s="15" t="n"/>
      <c r="C59" s="37" t="n"/>
      <c r="D59" s="17" t="n"/>
      <c r="E59" s="17" t="n"/>
      <c r="F59" s="17" t="n"/>
      <c r="G59" s="17" t="n"/>
      <c r="H59" s="15" t="n"/>
      <c r="I59" s="19">
        <f>IF($A59="","",IFERROR(SUMIF(tblVarliklar[VarlikId],$B59,tblVarliklar[IdealCevrim_sn]),odk_varsayilanCevrim))</f>
        <v/>
      </c>
      <c r="J59" s="19">
        <f>IF($A59="","",IFERROR(MAX(0,$D59-$E59),0))</f>
        <v/>
      </c>
      <c r="K59" s="19">
        <f>IF($A59="","",IFERROR($J59/$D59,0))</f>
        <v/>
      </c>
      <c r="L59" s="19">
        <f>IF($A59="","",IFERROR($J59*odk_dakikaSn/$I59,0))</f>
        <v/>
      </c>
      <c r="M59" s="19">
        <f>IF($A59="","",IFERROR($F59/$L59,0))</f>
        <v/>
      </c>
      <c r="N59" s="19">
        <f>IF($A59="","",IFERROR(($F59-$G59)/$F59,0))</f>
        <v/>
      </c>
      <c r="O59" s="19">
        <f>IF($A59="","",IFERROR(N($K59)*N($M59)*N($N59),0))</f>
        <v/>
      </c>
      <c r="P59" s="19">
        <f>IF($A59="","",IFERROR($E59/$D59,0))</f>
        <v/>
      </c>
      <c r="Q59" s="19">
        <f>IF($A59="","",IFERROR(MAX(0,MIN(100,odk_kaliteTaban-IF(N($O59)&lt;odk_esikOee,odk_kaliteCeza,0)-IF($E59&gt;odk_esikDurusDk,odk_kaliteSapma,0)-IF($T59="YETIM",odk_kaliteCeza,0))),0))</f>
        <v/>
      </c>
      <c r="R59" s="19">
        <f>IF($A59="","",IF(OR(N($O59)&lt;odk_esikOee,$E59&gt;odk_esikDurusDk,N($Q59)&lt;odk_esikSaglik),"ALARM","UYGUN"))</f>
        <v/>
      </c>
      <c r="S59" s="19">
        <f>IF($A59="","",1)</f>
        <v/>
      </c>
      <c r="T59" s="19">
        <f>IF($A59="","",IF(OR($B59="",COUNTIF(tblVarliklar[VarlikId],$B59)=0),"YETIM","TAMAM"))</f>
        <v/>
      </c>
    </row>
    <row r="60">
      <c r="A60" s="15" t="n"/>
      <c r="B60" s="15" t="n"/>
      <c r="C60" s="37" t="n"/>
      <c r="D60" s="17" t="n"/>
      <c r="E60" s="17" t="n"/>
      <c r="F60" s="17" t="n"/>
      <c r="G60" s="17" t="n"/>
      <c r="H60" s="15" t="n"/>
      <c r="I60" s="19">
        <f>IF($A60="","",IFERROR(SUMIF(tblVarliklar[VarlikId],$B60,tblVarliklar[IdealCevrim_sn]),odk_varsayilanCevrim))</f>
        <v/>
      </c>
      <c r="J60" s="19">
        <f>IF($A60="","",IFERROR(MAX(0,$D60-$E60),0))</f>
        <v/>
      </c>
      <c r="K60" s="19">
        <f>IF($A60="","",IFERROR($J60/$D60,0))</f>
        <v/>
      </c>
      <c r="L60" s="19">
        <f>IF($A60="","",IFERROR($J60*odk_dakikaSn/$I60,0))</f>
        <v/>
      </c>
      <c r="M60" s="19">
        <f>IF($A60="","",IFERROR($F60/$L60,0))</f>
        <v/>
      </c>
      <c r="N60" s="19">
        <f>IF($A60="","",IFERROR(($F60-$G60)/$F60,0))</f>
        <v/>
      </c>
      <c r="O60" s="19">
        <f>IF($A60="","",IFERROR(N($K60)*N($M60)*N($N60),0))</f>
        <v/>
      </c>
      <c r="P60" s="19">
        <f>IF($A60="","",IFERROR($E60/$D60,0))</f>
        <v/>
      </c>
      <c r="Q60" s="19">
        <f>IF($A60="","",IFERROR(MAX(0,MIN(100,odk_kaliteTaban-IF(N($O60)&lt;odk_esikOee,odk_kaliteCeza,0)-IF($E60&gt;odk_esikDurusDk,odk_kaliteSapma,0)-IF($T60="YETIM",odk_kaliteCeza,0))),0))</f>
        <v/>
      </c>
      <c r="R60" s="19">
        <f>IF($A60="","",IF(OR(N($O60)&lt;odk_esikOee,$E60&gt;odk_esikDurusDk,N($Q60)&lt;odk_esikSaglik),"ALARM","UYGUN"))</f>
        <v/>
      </c>
      <c r="S60" s="19">
        <f>IF($A60="","",1)</f>
        <v/>
      </c>
      <c r="T60" s="19">
        <f>IF($A60="","",IF(OR($B60="",COUNTIF(tblVarliklar[VarlikId],$B60)=0),"YETIM","TAMAM"))</f>
        <v/>
      </c>
    </row>
    <row r="61">
      <c r="A61" s="15" t="n"/>
      <c r="B61" s="15" t="n"/>
      <c r="C61" s="37" t="n"/>
      <c r="D61" s="17" t="n"/>
      <c r="E61" s="17" t="n"/>
      <c r="F61" s="17" t="n"/>
      <c r="G61" s="17" t="n"/>
      <c r="H61" s="15" t="n"/>
      <c r="I61" s="19">
        <f>IF($A61="","",IFERROR(SUMIF(tblVarliklar[VarlikId],$B61,tblVarliklar[IdealCevrim_sn]),odk_varsayilanCevrim))</f>
        <v/>
      </c>
      <c r="J61" s="19">
        <f>IF($A61="","",IFERROR(MAX(0,$D61-$E61),0))</f>
        <v/>
      </c>
      <c r="K61" s="19">
        <f>IF($A61="","",IFERROR($J61/$D61,0))</f>
        <v/>
      </c>
      <c r="L61" s="19">
        <f>IF($A61="","",IFERROR($J61*odk_dakikaSn/$I61,0))</f>
        <v/>
      </c>
      <c r="M61" s="19">
        <f>IF($A61="","",IFERROR($F61/$L61,0))</f>
        <v/>
      </c>
      <c r="N61" s="19">
        <f>IF($A61="","",IFERROR(($F61-$G61)/$F61,0))</f>
        <v/>
      </c>
      <c r="O61" s="19">
        <f>IF($A61="","",IFERROR(N($K61)*N($M61)*N($N61),0))</f>
        <v/>
      </c>
      <c r="P61" s="19">
        <f>IF($A61="","",IFERROR($E61/$D61,0))</f>
        <v/>
      </c>
      <c r="Q61" s="19">
        <f>IF($A61="","",IFERROR(MAX(0,MIN(100,odk_kaliteTaban-IF(N($O61)&lt;odk_esikOee,odk_kaliteCeza,0)-IF($E61&gt;odk_esikDurusDk,odk_kaliteSapma,0)-IF($T61="YETIM",odk_kaliteCeza,0))),0))</f>
        <v/>
      </c>
      <c r="R61" s="19">
        <f>IF($A61="","",IF(OR(N($O61)&lt;odk_esikOee,$E61&gt;odk_esikDurusDk,N($Q61)&lt;odk_esikSaglik),"ALARM","UYGUN"))</f>
        <v/>
      </c>
      <c r="S61" s="19">
        <f>IF($A61="","",1)</f>
        <v/>
      </c>
      <c r="T61" s="19">
        <f>IF($A61="","",IF(OR($B61="",COUNTIF(tblVarliklar[VarlikId],$B61)=0),"YETIM","TAMAM"))</f>
        <v/>
      </c>
    </row>
    <row r="62">
      <c r="A62" s="15" t="n"/>
      <c r="B62" s="15" t="n"/>
      <c r="C62" s="37" t="n"/>
      <c r="D62" s="17" t="n"/>
      <c r="E62" s="17" t="n"/>
      <c r="F62" s="17" t="n"/>
      <c r="G62" s="17" t="n"/>
      <c r="H62" s="15" t="n"/>
      <c r="I62" s="19">
        <f>IF($A62="","",IFERROR(SUMIF(tblVarliklar[VarlikId],$B62,tblVarliklar[IdealCevrim_sn]),odk_varsayilanCevrim))</f>
        <v/>
      </c>
      <c r="J62" s="19">
        <f>IF($A62="","",IFERROR(MAX(0,$D62-$E62),0))</f>
        <v/>
      </c>
      <c r="K62" s="19">
        <f>IF($A62="","",IFERROR($J62/$D62,0))</f>
        <v/>
      </c>
      <c r="L62" s="19">
        <f>IF($A62="","",IFERROR($J62*odk_dakikaSn/$I62,0))</f>
        <v/>
      </c>
      <c r="M62" s="19">
        <f>IF($A62="","",IFERROR($F62/$L62,0))</f>
        <v/>
      </c>
      <c r="N62" s="19">
        <f>IF($A62="","",IFERROR(($F62-$G62)/$F62,0))</f>
        <v/>
      </c>
      <c r="O62" s="19">
        <f>IF($A62="","",IFERROR(N($K62)*N($M62)*N($N62),0))</f>
        <v/>
      </c>
      <c r="P62" s="19">
        <f>IF($A62="","",IFERROR($E62/$D62,0))</f>
        <v/>
      </c>
      <c r="Q62" s="19">
        <f>IF($A62="","",IFERROR(MAX(0,MIN(100,odk_kaliteTaban-IF(N($O62)&lt;odk_esikOee,odk_kaliteCeza,0)-IF($E62&gt;odk_esikDurusDk,odk_kaliteSapma,0)-IF($T62="YETIM",odk_kaliteCeza,0))),0))</f>
        <v/>
      </c>
      <c r="R62" s="19">
        <f>IF($A62="","",IF(OR(N($O62)&lt;odk_esikOee,$E62&gt;odk_esikDurusDk,N($Q62)&lt;odk_esikSaglik),"ALARM","UYGUN"))</f>
        <v/>
      </c>
      <c r="S62" s="19">
        <f>IF($A62="","",1)</f>
        <v/>
      </c>
      <c r="T62" s="19">
        <f>IF($A62="","",IF(OR($B62="",COUNTIF(tblVarliklar[VarlikId],$B62)=0),"YETIM","TAMAM"))</f>
        <v/>
      </c>
    </row>
    <row r="63">
      <c r="A63" s="15" t="n"/>
      <c r="B63" s="15" t="n"/>
      <c r="C63" s="37" t="n"/>
      <c r="D63" s="17" t="n"/>
      <c r="E63" s="17" t="n"/>
      <c r="F63" s="17" t="n"/>
      <c r="G63" s="17" t="n"/>
      <c r="H63" s="15" t="n"/>
      <c r="I63" s="19">
        <f>IF($A63="","",IFERROR(SUMIF(tblVarliklar[VarlikId],$B63,tblVarliklar[IdealCevrim_sn]),odk_varsayilanCevrim))</f>
        <v/>
      </c>
      <c r="J63" s="19">
        <f>IF($A63="","",IFERROR(MAX(0,$D63-$E63),0))</f>
        <v/>
      </c>
      <c r="K63" s="19">
        <f>IF($A63="","",IFERROR($J63/$D63,0))</f>
        <v/>
      </c>
      <c r="L63" s="19">
        <f>IF($A63="","",IFERROR($J63*odk_dakikaSn/$I63,0))</f>
        <v/>
      </c>
      <c r="M63" s="19">
        <f>IF($A63="","",IFERROR($F63/$L63,0))</f>
        <v/>
      </c>
      <c r="N63" s="19">
        <f>IF($A63="","",IFERROR(($F63-$G63)/$F63,0))</f>
        <v/>
      </c>
      <c r="O63" s="19">
        <f>IF($A63="","",IFERROR(N($K63)*N($M63)*N($N63),0))</f>
        <v/>
      </c>
      <c r="P63" s="19">
        <f>IF($A63="","",IFERROR($E63/$D63,0))</f>
        <v/>
      </c>
      <c r="Q63" s="19">
        <f>IF($A63="","",IFERROR(MAX(0,MIN(100,odk_kaliteTaban-IF(N($O63)&lt;odk_esikOee,odk_kaliteCeza,0)-IF($E63&gt;odk_esikDurusDk,odk_kaliteSapma,0)-IF($T63="YETIM",odk_kaliteCeza,0))),0))</f>
        <v/>
      </c>
      <c r="R63" s="19">
        <f>IF($A63="","",IF(OR(N($O63)&lt;odk_esikOee,$E63&gt;odk_esikDurusDk,N($Q63)&lt;odk_esikSaglik),"ALARM","UYGUN"))</f>
        <v/>
      </c>
      <c r="S63" s="19">
        <f>IF($A63="","",1)</f>
        <v/>
      </c>
      <c r="T63" s="19">
        <f>IF($A63="","",IF(OR($B63="",COUNTIF(tblVarliklar[VarlikId],$B63)=0),"YETIM","TAMAM"))</f>
        <v/>
      </c>
    </row>
    <row r="64">
      <c r="A64" s="15" t="n"/>
      <c r="B64" s="15" t="n"/>
      <c r="C64" s="37" t="n"/>
      <c r="D64" s="17" t="n"/>
      <c r="E64" s="17" t="n"/>
      <c r="F64" s="17" t="n"/>
      <c r="G64" s="17" t="n"/>
      <c r="H64" s="15" t="n"/>
      <c r="I64" s="19">
        <f>IF($A64="","",IFERROR(SUMIF(tblVarliklar[VarlikId],$B64,tblVarliklar[IdealCevrim_sn]),odk_varsayilanCevrim))</f>
        <v/>
      </c>
      <c r="J64" s="19">
        <f>IF($A64="","",IFERROR(MAX(0,$D64-$E64),0))</f>
        <v/>
      </c>
      <c r="K64" s="19">
        <f>IF($A64="","",IFERROR($J64/$D64,0))</f>
        <v/>
      </c>
      <c r="L64" s="19">
        <f>IF($A64="","",IFERROR($J64*odk_dakikaSn/$I64,0))</f>
        <v/>
      </c>
      <c r="M64" s="19">
        <f>IF($A64="","",IFERROR($F64/$L64,0))</f>
        <v/>
      </c>
      <c r="N64" s="19">
        <f>IF($A64="","",IFERROR(($F64-$G64)/$F64,0))</f>
        <v/>
      </c>
      <c r="O64" s="19">
        <f>IF($A64="","",IFERROR(N($K64)*N($M64)*N($N64),0))</f>
        <v/>
      </c>
      <c r="P64" s="19">
        <f>IF($A64="","",IFERROR($E64/$D64,0))</f>
        <v/>
      </c>
      <c r="Q64" s="19">
        <f>IF($A64="","",IFERROR(MAX(0,MIN(100,odk_kaliteTaban-IF(N($O64)&lt;odk_esikOee,odk_kaliteCeza,0)-IF($E64&gt;odk_esikDurusDk,odk_kaliteSapma,0)-IF($T64="YETIM",odk_kaliteCeza,0))),0))</f>
        <v/>
      </c>
      <c r="R64" s="19">
        <f>IF($A64="","",IF(OR(N($O64)&lt;odk_esikOee,$E64&gt;odk_esikDurusDk,N($Q64)&lt;odk_esikSaglik),"ALARM","UYGUN"))</f>
        <v/>
      </c>
      <c r="S64" s="19">
        <f>IF($A64="","",1)</f>
        <v/>
      </c>
      <c r="T64" s="19">
        <f>IF($A64="","",IF(OR($B64="",COUNTIF(tblVarliklar[VarlikId],$B64)=0),"YETIM","TAMAM"))</f>
        <v/>
      </c>
    </row>
    <row r="65">
      <c r="A65" s="15" t="n"/>
      <c r="B65" s="15" t="n"/>
      <c r="C65" s="37" t="n"/>
      <c r="D65" s="17" t="n"/>
      <c r="E65" s="17" t="n"/>
      <c r="F65" s="17" t="n"/>
      <c r="G65" s="17" t="n"/>
      <c r="H65" s="15" t="n"/>
      <c r="I65" s="19">
        <f>IF($A65="","",IFERROR(SUMIF(tblVarliklar[VarlikId],$B65,tblVarliklar[IdealCevrim_sn]),odk_varsayilanCevrim))</f>
        <v/>
      </c>
      <c r="J65" s="19">
        <f>IF($A65="","",IFERROR(MAX(0,$D65-$E65),0))</f>
        <v/>
      </c>
      <c r="K65" s="19">
        <f>IF($A65="","",IFERROR($J65/$D65,0))</f>
        <v/>
      </c>
      <c r="L65" s="19">
        <f>IF($A65="","",IFERROR($J65*odk_dakikaSn/$I65,0))</f>
        <v/>
      </c>
      <c r="M65" s="19">
        <f>IF($A65="","",IFERROR($F65/$L65,0))</f>
        <v/>
      </c>
      <c r="N65" s="19">
        <f>IF($A65="","",IFERROR(($F65-$G65)/$F65,0))</f>
        <v/>
      </c>
      <c r="O65" s="19">
        <f>IF($A65="","",IFERROR(N($K65)*N($M65)*N($N65),0))</f>
        <v/>
      </c>
      <c r="P65" s="19">
        <f>IF($A65="","",IFERROR($E65/$D65,0))</f>
        <v/>
      </c>
      <c r="Q65" s="19">
        <f>IF($A65="","",IFERROR(MAX(0,MIN(100,odk_kaliteTaban-IF(N($O65)&lt;odk_esikOee,odk_kaliteCeza,0)-IF($E65&gt;odk_esikDurusDk,odk_kaliteSapma,0)-IF($T65="YETIM",odk_kaliteCeza,0))),0))</f>
        <v/>
      </c>
      <c r="R65" s="19">
        <f>IF($A65="","",IF(OR(N($O65)&lt;odk_esikOee,$E65&gt;odk_esikDurusDk,N($Q65)&lt;odk_esikSaglik),"ALARM","UYGUN"))</f>
        <v/>
      </c>
      <c r="S65" s="19">
        <f>IF($A65="","",1)</f>
        <v/>
      </c>
      <c r="T65" s="19">
        <f>IF($A65="","",IF(OR($B65="",COUNTIF(tblVarliklar[VarlikId],$B65)=0),"YETIM","TAMAM"))</f>
        <v/>
      </c>
    </row>
    <row r="66">
      <c r="A66" s="15" t="n"/>
      <c r="B66" s="15" t="n"/>
      <c r="C66" s="37" t="n"/>
      <c r="D66" s="17" t="n"/>
      <c r="E66" s="17" t="n"/>
      <c r="F66" s="17" t="n"/>
      <c r="G66" s="17" t="n"/>
      <c r="H66" s="15" t="n"/>
      <c r="I66" s="19">
        <f>IF($A66="","",IFERROR(SUMIF(tblVarliklar[VarlikId],$B66,tblVarliklar[IdealCevrim_sn]),odk_varsayilanCevrim))</f>
        <v/>
      </c>
      <c r="J66" s="19">
        <f>IF($A66="","",IFERROR(MAX(0,$D66-$E66),0))</f>
        <v/>
      </c>
      <c r="K66" s="19">
        <f>IF($A66="","",IFERROR($J66/$D66,0))</f>
        <v/>
      </c>
      <c r="L66" s="19">
        <f>IF($A66="","",IFERROR($J66*odk_dakikaSn/$I66,0))</f>
        <v/>
      </c>
      <c r="M66" s="19">
        <f>IF($A66="","",IFERROR($F66/$L66,0))</f>
        <v/>
      </c>
      <c r="N66" s="19">
        <f>IF($A66="","",IFERROR(($F66-$G66)/$F66,0))</f>
        <v/>
      </c>
      <c r="O66" s="19">
        <f>IF($A66="","",IFERROR(N($K66)*N($M66)*N($N66),0))</f>
        <v/>
      </c>
      <c r="P66" s="19">
        <f>IF($A66="","",IFERROR($E66/$D66,0))</f>
        <v/>
      </c>
      <c r="Q66" s="19">
        <f>IF($A66="","",IFERROR(MAX(0,MIN(100,odk_kaliteTaban-IF(N($O66)&lt;odk_esikOee,odk_kaliteCeza,0)-IF($E66&gt;odk_esikDurusDk,odk_kaliteSapma,0)-IF($T66="YETIM",odk_kaliteCeza,0))),0))</f>
        <v/>
      </c>
      <c r="R66" s="19">
        <f>IF($A66="","",IF(OR(N($O66)&lt;odk_esikOee,$E66&gt;odk_esikDurusDk,N($Q66)&lt;odk_esikSaglik),"ALARM","UYGUN"))</f>
        <v/>
      </c>
      <c r="S66" s="19">
        <f>IF($A66="","",1)</f>
        <v/>
      </c>
      <c r="T66" s="19">
        <f>IF($A66="","",IF(OR($B66="",COUNTIF(tblVarliklar[VarlikId],$B66)=0),"YETIM","TAMAM"))</f>
        <v/>
      </c>
    </row>
    <row r="67">
      <c r="A67" s="15" t="n"/>
      <c r="B67" s="15" t="n"/>
      <c r="C67" s="37" t="n"/>
      <c r="D67" s="17" t="n"/>
      <c r="E67" s="17" t="n"/>
      <c r="F67" s="17" t="n"/>
      <c r="G67" s="17" t="n"/>
      <c r="H67" s="15" t="n"/>
      <c r="I67" s="19">
        <f>IF($A67="","",IFERROR(SUMIF(tblVarliklar[VarlikId],$B67,tblVarliklar[IdealCevrim_sn]),odk_varsayilanCevrim))</f>
        <v/>
      </c>
      <c r="J67" s="19">
        <f>IF($A67="","",IFERROR(MAX(0,$D67-$E67),0))</f>
        <v/>
      </c>
      <c r="K67" s="19">
        <f>IF($A67="","",IFERROR($J67/$D67,0))</f>
        <v/>
      </c>
      <c r="L67" s="19">
        <f>IF($A67="","",IFERROR($J67*odk_dakikaSn/$I67,0))</f>
        <v/>
      </c>
      <c r="M67" s="19">
        <f>IF($A67="","",IFERROR($F67/$L67,0))</f>
        <v/>
      </c>
      <c r="N67" s="19">
        <f>IF($A67="","",IFERROR(($F67-$G67)/$F67,0))</f>
        <v/>
      </c>
      <c r="O67" s="19">
        <f>IF($A67="","",IFERROR(N($K67)*N($M67)*N($N67),0))</f>
        <v/>
      </c>
      <c r="P67" s="19">
        <f>IF($A67="","",IFERROR($E67/$D67,0))</f>
        <v/>
      </c>
      <c r="Q67" s="19">
        <f>IF($A67="","",IFERROR(MAX(0,MIN(100,odk_kaliteTaban-IF(N($O67)&lt;odk_esikOee,odk_kaliteCeza,0)-IF($E67&gt;odk_esikDurusDk,odk_kaliteSapma,0)-IF($T67="YETIM",odk_kaliteCeza,0))),0))</f>
        <v/>
      </c>
      <c r="R67" s="19">
        <f>IF($A67="","",IF(OR(N($O67)&lt;odk_esikOee,$E67&gt;odk_esikDurusDk,N($Q67)&lt;odk_esikSaglik),"ALARM","UYGUN"))</f>
        <v/>
      </c>
      <c r="S67" s="19">
        <f>IF($A67="","",1)</f>
        <v/>
      </c>
      <c r="T67" s="19">
        <f>IF($A67="","",IF(OR($B67="",COUNTIF(tblVarliklar[VarlikId],$B67)=0),"YETIM","TAMAM"))</f>
        <v/>
      </c>
    </row>
    <row r="68">
      <c r="A68" s="15" t="n"/>
      <c r="B68" s="15" t="n"/>
      <c r="C68" s="37" t="n"/>
      <c r="D68" s="17" t="n"/>
      <c r="E68" s="17" t="n"/>
      <c r="F68" s="17" t="n"/>
      <c r="G68" s="17" t="n"/>
      <c r="H68" s="15" t="n"/>
      <c r="I68" s="19">
        <f>IF($A68="","",IFERROR(SUMIF(tblVarliklar[VarlikId],$B68,tblVarliklar[IdealCevrim_sn]),odk_varsayilanCevrim))</f>
        <v/>
      </c>
      <c r="J68" s="19">
        <f>IF($A68="","",IFERROR(MAX(0,$D68-$E68),0))</f>
        <v/>
      </c>
      <c r="K68" s="19">
        <f>IF($A68="","",IFERROR($J68/$D68,0))</f>
        <v/>
      </c>
      <c r="L68" s="19">
        <f>IF($A68="","",IFERROR($J68*odk_dakikaSn/$I68,0))</f>
        <v/>
      </c>
      <c r="M68" s="19">
        <f>IF($A68="","",IFERROR($F68/$L68,0))</f>
        <v/>
      </c>
      <c r="N68" s="19">
        <f>IF($A68="","",IFERROR(($F68-$G68)/$F68,0))</f>
        <v/>
      </c>
      <c r="O68" s="19">
        <f>IF($A68="","",IFERROR(N($K68)*N($M68)*N($N68),0))</f>
        <v/>
      </c>
      <c r="P68" s="19">
        <f>IF($A68="","",IFERROR($E68/$D68,0))</f>
        <v/>
      </c>
      <c r="Q68" s="19">
        <f>IF($A68="","",IFERROR(MAX(0,MIN(100,odk_kaliteTaban-IF(N($O68)&lt;odk_esikOee,odk_kaliteCeza,0)-IF($E68&gt;odk_esikDurusDk,odk_kaliteSapma,0)-IF($T68="YETIM",odk_kaliteCeza,0))),0))</f>
        <v/>
      </c>
      <c r="R68" s="19">
        <f>IF($A68="","",IF(OR(N($O68)&lt;odk_esikOee,$E68&gt;odk_esikDurusDk,N($Q68)&lt;odk_esikSaglik),"ALARM","UYGUN"))</f>
        <v/>
      </c>
      <c r="S68" s="19">
        <f>IF($A68="","",1)</f>
        <v/>
      </c>
      <c r="T68" s="19">
        <f>IF($A68="","",IF(OR($B68="",COUNTIF(tblVarliklar[VarlikId],$B68)=0),"YETIM","TAMAM"))</f>
        <v/>
      </c>
    </row>
    <row r="69">
      <c r="A69" s="15" t="n"/>
      <c r="B69" s="15" t="n"/>
      <c r="C69" s="37" t="n"/>
      <c r="D69" s="17" t="n"/>
      <c r="E69" s="17" t="n"/>
      <c r="F69" s="17" t="n"/>
      <c r="G69" s="17" t="n"/>
      <c r="H69" s="15" t="n"/>
      <c r="I69" s="19">
        <f>IF($A69="","",IFERROR(SUMIF(tblVarliklar[VarlikId],$B69,tblVarliklar[IdealCevrim_sn]),odk_varsayilanCevrim))</f>
        <v/>
      </c>
      <c r="J69" s="19">
        <f>IF($A69="","",IFERROR(MAX(0,$D69-$E69),0))</f>
        <v/>
      </c>
      <c r="K69" s="19">
        <f>IF($A69="","",IFERROR($J69/$D69,0))</f>
        <v/>
      </c>
      <c r="L69" s="19">
        <f>IF($A69="","",IFERROR($J69*odk_dakikaSn/$I69,0))</f>
        <v/>
      </c>
      <c r="M69" s="19">
        <f>IF($A69="","",IFERROR($F69/$L69,0))</f>
        <v/>
      </c>
      <c r="N69" s="19">
        <f>IF($A69="","",IFERROR(($F69-$G69)/$F69,0))</f>
        <v/>
      </c>
      <c r="O69" s="19">
        <f>IF($A69="","",IFERROR(N($K69)*N($M69)*N($N69),0))</f>
        <v/>
      </c>
      <c r="P69" s="19">
        <f>IF($A69="","",IFERROR($E69/$D69,0))</f>
        <v/>
      </c>
      <c r="Q69" s="19">
        <f>IF($A69="","",IFERROR(MAX(0,MIN(100,odk_kaliteTaban-IF(N($O69)&lt;odk_esikOee,odk_kaliteCeza,0)-IF($E69&gt;odk_esikDurusDk,odk_kaliteSapma,0)-IF($T69="YETIM",odk_kaliteCeza,0))),0))</f>
        <v/>
      </c>
      <c r="R69" s="19">
        <f>IF($A69="","",IF(OR(N($O69)&lt;odk_esikOee,$E69&gt;odk_esikDurusDk,N($Q69)&lt;odk_esikSaglik),"ALARM","UYGUN"))</f>
        <v/>
      </c>
      <c r="S69" s="19">
        <f>IF($A69="","",1)</f>
        <v/>
      </c>
      <c r="T69" s="19">
        <f>IF($A69="","",IF(OR($B69="",COUNTIF(tblVarliklar[VarlikId],$B69)=0),"YETIM","TAMAM"))</f>
        <v/>
      </c>
    </row>
    <row r="70">
      <c r="A70" s="15" t="n"/>
      <c r="B70" s="15" t="n"/>
      <c r="C70" s="37" t="n"/>
      <c r="D70" s="17" t="n"/>
      <c r="E70" s="17" t="n"/>
      <c r="F70" s="17" t="n"/>
      <c r="G70" s="17" t="n"/>
      <c r="H70" s="15" t="n"/>
      <c r="I70" s="19">
        <f>IF($A70="","",IFERROR(SUMIF(tblVarliklar[VarlikId],$B70,tblVarliklar[IdealCevrim_sn]),odk_varsayilanCevrim))</f>
        <v/>
      </c>
      <c r="J70" s="19">
        <f>IF($A70="","",IFERROR(MAX(0,$D70-$E70),0))</f>
        <v/>
      </c>
      <c r="K70" s="19">
        <f>IF($A70="","",IFERROR($J70/$D70,0))</f>
        <v/>
      </c>
      <c r="L70" s="19">
        <f>IF($A70="","",IFERROR($J70*odk_dakikaSn/$I70,0))</f>
        <v/>
      </c>
      <c r="M70" s="19">
        <f>IF($A70="","",IFERROR($F70/$L70,0))</f>
        <v/>
      </c>
      <c r="N70" s="19">
        <f>IF($A70="","",IFERROR(($F70-$G70)/$F70,0))</f>
        <v/>
      </c>
      <c r="O70" s="19">
        <f>IF($A70="","",IFERROR(N($K70)*N($M70)*N($N70),0))</f>
        <v/>
      </c>
      <c r="P70" s="19">
        <f>IF($A70="","",IFERROR($E70/$D70,0))</f>
        <v/>
      </c>
      <c r="Q70" s="19">
        <f>IF($A70="","",IFERROR(MAX(0,MIN(100,odk_kaliteTaban-IF(N($O70)&lt;odk_esikOee,odk_kaliteCeza,0)-IF($E70&gt;odk_esikDurusDk,odk_kaliteSapma,0)-IF($T70="YETIM",odk_kaliteCeza,0))),0))</f>
        <v/>
      </c>
      <c r="R70" s="19">
        <f>IF($A70="","",IF(OR(N($O70)&lt;odk_esikOee,$E70&gt;odk_esikDurusDk,N($Q70)&lt;odk_esikSaglik),"ALARM","UYGUN"))</f>
        <v/>
      </c>
      <c r="S70" s="19">
        <f>IF($A70="","",1)</f>
        <v/>
      </c>
      <c r="T70" s="19">
        <f>IF($A70="","",IF(OR($B70="",COUNTIF(tblVarliklar[VarlikId],$B70)=0),"YETIM","TAMAM"))</f>
        <v/>
      </c>
    </row>
    <row r="71">
      <c r="A71" s="15" t="n"/>
      <c r="B71" s="15" t="n"/>
      <c r="C71" s="37" t="n"/>
      <c r="D71" s="17" t="n"/>
      <c r="E71" s="17" t="n"/>
      <c r="F71" s="17" t="n"/>
      <c r="G71" s="17" t="n"/>
      <c r="H71" s="15" t="n"/>
      <c r="I71" s="19">
        <f>IF($A71="","",IFERROR(SUMIF(tblVarliklar[VarlikId],$B71,tblVarliklar[IdealCevrim_sn]),odk_varsayilanCevrim))</f>
        <v/>
      </c>
      <c r="J71" s="19">
        <f>IF($A71="","",IFERROR(MAX(0,$D71-$E71),0))</f>
        <v/>
      </c>
      <c r="K71" s="19">
        <f>IF($A71="","",IFERROR($J71/$D71,0))</f>
        <v/>
      </c>
      <c r="L71" s="19">
        <f>IF($A71="","",IFERROR($J71*odk_dakikaSn/$I71,0))</f>
        <v/>
      </c>
      <c r="M71" s="19">
        <f>IF($A71="","",IFERROR($F71/$L71,0))</f>
        <v/>
      </c>
      <c r="N71" s="19">
        <f>IF($A71="","",IFERROR(($F71-$G71)/$F71,0))</f>
        <v/>
      </c>
      <c r="O71" s="19">
        <f>IF($A71="","",IFERROR(N($K71)*N($M71)*N($N71),0))</f>
        <v/>
      </c>
      <c r="P71" s="19">
        <f>IF($A71="","",IFERROR($E71/$D71,0))</f>
        <v/>
      </c>
      <c r="Q71" s="19">
        <f>IF($A71="","",IFERROR(MAX(0,MIN(100,odk_kaliteTaban-IF(N($O71)&lt;odk_esikOee,odk_kaliteCeza,0)-IF($E71&gt;odk_esikDurusDk,odk_kaliteSapma,0)-IF($T71="YETIM",odk_kaliteCeza,0))),0))</f>
        <v/>
      </c>
      <c r="R71" s="19">
        <f>IF($A71="","",IF(OR(N($O71)&lt;odk_esikOee,$E71&gt;odk_esikDurusDk,N($Q71)&lt;odk_esikSaglik),"ALARM","UYGUN"))</f>
        <v/>
      </c>
      <c r="S71" s="19">
        <f>IF($A71="","",1)</f>
        <v/>
      </c>
      <c r="T71" s="19">
        <f>IF($A71="","",IF(OR($B71="",COUNTIF(tblVarliklar[VarlikId],$B71)=0),"YETIM","TAMAM"))</f>
        <v/>
      </c>
    </row>
    <row r="72">
      <c r="A72" s="15" t="n"/>
      <c r="B72" s="15" t="n"/>
      <c r="C72" s="37" t="n"/>
      <c r="D72" s="17" t="n"/>
      <c r="E72" s="17" t="n"/>
      <c r="F72" s="17" t="n"/>
      <c r="G72" s="17" t="n"/>
      <c r="H72" s="15" t="n"/>
      <c r="I72" s="19">
        <f>IF($A72="","",IFERROR(SUMIF(tblVarliklar[VarlikId],$B72,tblVarliklar[IdealCevrim_sn]),odk_varsayilanCevrim))</f>
        <v/>
      </c>
      <c r="J72" s="19">
        <f>IF($A72="","",IFERROR(MAX(0,$D72-$E72),0))</f>
        <v/>
      </c>
      <c r="K72" s="19">
        <f>IF($A72="","",IFERROR($J72/$D72,0))</f>
        <v/>
      </c>
      <c r="L72" s="19">
        <f>IF($A72="","",IFERROR($J72*odk_dakikaSn/$I72,0))</f>
        <v/>
      </c>
      <c r="M72" s="19">
        <f>IF($A72="","",IFERROR($F72/$L72,0))</f>
        <v/>
      </c>
      <c r="N72" s="19">
        <f>IF($A72="","",IFERROR(($F72-$G72)/$F72,0))</f>
        <v/>
      </c>
      <c r="O72" s="19">
        <f>IF($A72="","",IFERROR(N($K72)*N($M72)*N($N72),0))</f>
        <v/>
      </c>
      <c r="P72" s="19">
        <f>IF($A72="","",IFERROR($E72/$D72,0))</f>
        <v/>
      </c>
      <c r="Q72" s="19">
        <f>IF($A72="","",IFERROR(MAX(0,MIN(100,odk_kaliteTaban-IF(N($O72)&lt;odk_esikOee,odk_kaliteCeza,0)-IF($E72&gt;odk_esikDurusDk,odk_kaliteSapma,0)-IF($T72="YETIM",odk_kaliteCeza,0))),0))</f>
        <v/>
      </c>
      <c r="R72" s="19">
        <f>IF($A72="","",IF(OR(N($O72)&lt;odk_esikOee,$E72&gt;odk_esikDurusDk,N($Q72)&lt;odk_esikSaglik),"ALARM","UYGUN"))</f>
        <v/>
      </c>
      <c r="S72" s="19">
        <f>IF($A72="","",1)</f>
        <v/>
      </c>
      <c r="T72" s="19">
        <f>IF($A72="","",IF(OR($B72="",COUNTIF(tblVarliklar[VarlikId],$B72)=0),"YETIM","TAMAM"))</f>
        <v/>
      </c>
    </row>
    <row r="73">
      <c r="A73" s="15" t="n"/>
      <c r="B73" s="15" t="n"/>
      <c r="C73" s="37" t="n"/>
      <c r="D73" s="17" t="n"/>
      <c r="E73" s="17" t="n"/>
      <c r="F73" s="17" t="n"/>
      <c r="G73" s="17" t="n"/>
      <c r="H73" s="15" t="n"/>
      <c r="I73" s="19">
        <f>IF($A73="","",IFERROR(SUMIF(tblVarliklar[VarlikId],$B73,tblVarliklar[IdealCevrim_sn]),odk_varsayilanCevrim))</f>
        <v/>
      </c>
      <c r="J73" s="19">
        <f>IF($A73="","",IFERROR(MAX(0,$D73-$E73),0))</f>
        <v/>
      </c>
      <c r="K73" s="19">
        <f>IF($A73="","",IFERROR($J73/$D73,0))</f>
        <v/>
      </c>
      <c r="L73" s="19">
        <f>IF($A73="","",IFERROR($J73*odk_dakikaSn/$I73,0))</f>
        <v/>
      </c>
      <c r="M73" s="19">
        <f>IF($A73="","",IFERROR($F73/$L73,0))</f>
        <v/>
      </c>
      <c r="N73" s="19">
        <f>IF($A73="","",IFERROR(($F73-$G73)/$F73,0))</f>
        <v/>
      </c>
      <c r="O73" s="19">
        <f>IF($A73="","",IFERROR(N($K73)*N($M73)*N($N73),0))</f>
        <v/>
      </c>
      <c r="P73" s="19">
        <f>IF($A73="","",IFERROR($E73/$D73,0))</f>
        <v/>
      </c>
      <c r="Q73" s="19">
        <f>IF($A73="","",IFERROR(MAX(0,MIN(100,odk_kaliteTaban-IF(N($O73)&lt;odk_esikOee,odk_kaliteCeza,0)-IF($E73&gt;odk_esikDurusDk,odk_kaliteSapma,0)-IF($T73="YETIM",odk_kaliteCeza,0))),0))</f>
        <v/>
      </c>
      <c r="R73" s="19">
        <f>IF($A73="","",IF(OR(N($O73)&lt;odk_esikOee,$E73&gt;odk_esikDurusDk,N($Q73)&lt;odk_esikSaglik),"ALARM","UYGUN"))</f>
        <v/>
      </c>
      <c r="S73" s="19">
        <f>IF($A73="","",1)</f>
        <v/>
      </c>
      <c r="T73" s="19">
        <f>IF($A73="","",IF(OR($B73="",COUNTIF(tblVarliklar[VarlikId],$B73)=0),"YETIM","TAMAM"))</f>
        <v/>
      </c>
    </row>
    <row r="74">
      <c r="A74" s="15" t="n"/>
      <c r="B74" s="15" t="n"/>
      <c r="C74" s="37" t="n"/>
      <c r="D74" s="17" t="n"/>
      <c r="E74" s="17" t="n"/>
      <c r="F74" s="17" t="n"/>
      <c r="G74" s="17" t="n"/>
      <c r="H74" s="15" t="n"/>
      <c r="I74" s="19">
        <f>IF($A74="","",IFERROR(SUMIF(tblVarliklar[VarlikId],$B74,tblVarliklar[IdealCevrim_sn]),odk_varsayilanCevrim))</f>
        <v/>
      </c>
      <c r="J74" s="19">
        <f>IF($A74="","",IFERROR(MAX(0,$D74-$E74),0))</f>
        <v/>
      </c>
      <c r="K74" s="19">
        <f>IF($A74="","",IFERROR($J74/$D74,0))</f>
        <v/>
      </c>
      <c r="L74" s="19">
        <f>IF($A74="","",IFERROR($J74*odk_dakikaSn/$I74,0))</f>
        <v/>
      </c>
      <c r="M74" s="19">
        <f>IF($A74="","",IFERROR($F74/$L74,0))</f>
        <v/>
      </c>
      <c r="N74" s="19">
        <f>IF($A74="","",IFERROR(($F74-$G74)/$F74,0))</f>
        <v/>
      </c>
      <c r="O74" s="19">
        <f>IF($A74="","",IFERROR(N($K74)*N($M74)*N($N74),0))</f>
        <v/>
      </c>
      <c r="P74" s="19">
        <f>IF($A74="","",IFERROR($E74/$D74,0))</f>
        <v/>
      </c>
      <c r="Q74" s="19">
        <f>IF($A74="","",IFERROR(MAX(0,MIN(100,odk_kaliteTaban-IF(N($O74)&lt;odk_esikOee,odk_kaliteCeza,0)-IF($E74&gt;odk_esikDurusDk,odk_kaliteSapma,0)-IF($T74="YETIM",odk_kaliteCeza,0))),0))</f>
        <v/>
      </c>
      <c r="R74" s="19">
        <f>IF($A74="","",IF(OR(N($O74)&lt;odk_esikOee,$E74&gt;odk_esikDurusDk,N($Q74)&lt;odk_esikSaglik),"ALARM","UYGUN"))</f>
        <v/>
      </c>
      <c r="S74" s="19">
        <f>IF($A74="","",1)</f>
        <v/>
      </c>
      <c r="T74" s="19">
        <f>IF($A74="","",IF(OR($B74="",COUNTIF(tblVarliklar[VarlikId],$B74)=0),"YETIM","TAMAM"))</f>
        <v/>
      </c>
    </row>
    <row r="75">
      <c r="A75" s="15" t="n"/>
      <c r="B75" s="15" t="n"/>
      <c r="C75" s="37" t="n"/>
      <c r="D75" s="17" t="n"/>
      <c r="E75" s="17" t="n"/>
      <c r="F75" s="17" t="n"/>
      <c r="G75" s="17" t="n"/>
      <c r="H75" s="15" t="n"/>
      <c r="I75" s="19">
        <f>IF($A75="","",IFERROR(SUMIF(tblVarliklar[VarlikId],$B75,tblVarliklar[IdealCevrim_sn]),odk_varsayilanCevrim))</f>
        <v/>
      </c>
      <c r="J75" s="19">
        <f>IF($A75="","",IFERROR(MAX(0,$D75-$E75),0))</f>
        <v/>
      </c>
      <c r="K75" s="19">
        <f>IF($A75="","",IFERROR($J75/$D75,0))</f>
        <v/>
      </c>
      <c r="L75" s="19">
        <f>IF($A75="","",IFERROR($J75*odk_dakikaSn/$I75,0))</f>
        <v/>
      </c>
      <c r="M75" s="19">
        <f>IF($A75="","",IFERROR($F75/$L75,0))</f>
        <v/>
      </c>
      <c r="N75" s="19">
        <f>IF($A75="","",IFERROR(($F75-$G75)/$F75,0))</f>
        <v/>
      </c>
      <c r="O75" s="19">
        <f>IF($A75="","",IFERROR(N($K75)*N($M75)*N($N75),0))</f>
        <v/>
      </c>
      <c r="P75" s="19">
        <f>IF($A75="","",IFERROR($E75/$D75,0))</f>
        <v/>
      </c>
      <c r="Q75" s="19">
        <f>IF($A75="","",IFERROR(MAX(0,MIN(100,odk_kaliteTaban-IF(N($O75)&lt;odk_esikOee,odk_kaliteCeza,0)-IF($E75&gt;odk_esikDurusDk,odk_kaliteSapma,0)-IF($T75="YETIM",odk_kaliteCeza,0))),0))</f>
        <v/>
      </c>
      <c r="R75" s="19">
        <f>IF($A75="","",IF(OR(N($O75)&lt;odk_esikOee,$E75&gt;odk_esikDurusDk,N($Q75)&lt;odk_esikSaglik),"ALARM","UYGUN"))</f>
        <v/>
      </c>
      <c r="S75" s="19">
        <f>IF($A75="","",1)</f>
        <v/>
      </c>
      <c r="T75" s="19">
        <f>IF($A75="","",IF(OR($B75="",COUNTIF(tblVarliklar[VarlikId],$B75)=0),"YETIM","TAMAM"))</f>
        <v/>
      </c>
    </row>
    <row r="76">
      <c r="A76" s="15" t="n"/>
      <c r="B76" s="15" t="n"/>
      <c r="C76" s="37" t="n"/>
      <c r="D76" s="17" t="n"/>
      <c r="E76" s="17" t="n"/>
      <c r="F76" s="17" t="n"/>
      <c r="G76" s="17" t="n"/>
      <c r="H76" s="15" t="n"/>
      <c r="I76" s="19">
        <f>IF($A76="","",IFERROR(SUMIF(tblVarliklar[VarlikId],$B76,tblVarliklar[IdealCevrim_sn]),odk_varsayilanCevrim))</f>
        <v/>
      </c>
      <c r="J76" s="19">
        <f>IF($A76="","",IFERROR(MAX(0,$D76-$E76),0))</f>
        <v/>
      </c>
      <c r="K76" s="19">
        <f>IF($A76="","",IFERROR($J76/$D76,0))</f>
        <v/>
      </c>
      <c r="L76" s="19">
        <f>IF($A76="","",IFERROR($J76*odk_dakikaSn/$I76,0))</f>
        <v/>
      </c>
      <c r="M76" s="19">
        <f>IF($A76="","",IFERROR($F76/$L76,0))</f>
        <v/>
      </c>
      <c r="N76" s="19">
        <f>IF($A76="","",IFERROR(($F76-$G76)/$F76,0))</f>
        <v/>
      </c>
      <c r="O76" s="19">
        <f>IF($A76="","",IFERROR(N($K76)*N($M76)*N($N76),0))</f>
        <v/>
      </c>
      <c r="P76" s="19">
        <f>IF($A76="","",IFERROR($E76/$D76,0))</f>
        <v/>
      </c>
      <c r="Q76" s="19">
        <f>IF($A76="","",IFERROR(MAX(0,MIN(100,odk_kaliteTaban-IF(N($O76)&lt;odk_esikOee,odk_kaliteCeza,0)-IF($E76&gt;odk_esikDurusDk,odk_kaliteSapma,0)-IF($T76="YETIM",odk_kaliteCeza,0))),0))</f>
        <v/>
      </c>
      <c r="R76" s="19">
        <f>IF($A76="","",IF(OR(N($O76)&lt;odk_esikOee,$E76&gt;odk_esikDurusDk,N($Q76)&lt;odk_esikSaglik),"ALARM","UYGUN"))</f>
        <v/>
      </c>
      <c r="S76" s="19">
        <f>IF($A76="","",1)</f>
        <v/>
      </c>
      <c r="T76" s="19">
        <f>IF($A76="","",IF(OR($B76="",COUNTIF(tblVarliklar[VarlikId],$B76)=0),"YETIM","TAMAM"))</f>
        <v/>
      </c>
    </row>
    <row r="77">
      <c r="A77" s="15" t="n"/>
      <c r="B77" s="15" t="n"/>
      <c r="C77" s="37" t="n"/>
      <c r="D77" s="17" t="n"/>
      <c r="E77" s="17" t="n"/>
      <c r="F77" s="17" t="n"/>
      <c r="G77" s="17" t="n"/>
      <c r="H77" s="15" t="n"/>
      <c r="I77" s="19">
        <f>IF($A77="","",IFERROR(SUMIF(tblVarliklar[VarlikId],$B77,tblVarliklar[IdealCevrim_sn]),odk_varsayilanCevrim))</f>
        <v/>
      </c>
      <c r="J77" s="19">
        <f>IF($A77="","",IFERROR(MAX(0,$D77-$E77),0))</f>
        <v/>
      </c>
      <c r="K77" s="19">
        <f>IF($A77="","",IFERROR($J77/$D77,0))</f>
        <v/>
      </c>
      <c r="L77" s="19">
        <f>IF($A77="","",IFERROR($J77*odk_dakikaSn/$I77,0))</f>
        <v/>
      </c>
      <c r="M77" s="19">
        <f>IF($A77="","",IFERROR($F77/$L77,0))</f>
        <v/>
      </c>
      <c r="N77" s="19">
        <f>IF($A77="","",IFERROR(($F77-$G77)/$F77,0))</f>
        <v/>
      </c>
      <c r="O77" s="19">
        <f>IF($A77="","",IFERROR(N($K77)*N($M77)*N($N77),0))</f>
        <v/>
      </c>
      <c r="P77" s="19">
        <f>IF($A77="","",IFERROR($E77/$D77,0))</f>
        <v/>
      </c>
      <c r="Q77" s="19">
        <f>IF($A77="","",IFERROR(MAX(0,MIN(100,odk_kaliteTaban-IF(N($O77)&lt;odk_esikOee,odk_kaliteCeza,0)-IF($E77&gt;odk_esikDurusDk,odk_kaliteSapma,0)-IF($T77="YETIM",odk_kaliteCeza,0))),0))</f>
        <v/>
      </c>
      <c r="R77" s="19">
        <f>IF($A77="","",IF(OR(N($O77)&lt;odk_esikOee,$E77&gt;odk_esikDurusDk,N($Q77)&lt;odk_esikSaglik),"ALARM","UYGUN"))</f>
        <v/>
      </c>
      <c r="S77" s="19">
        <f>IF($A77="","",1)</f>
        <v/>
      </c>
      <c r="T77" s="19">
        <f>IF($A77="","",IF(OR($B77="",COUNTIF(tblVarliklar[VarlikId],$B77)=0),"YETIM","TAMAM"))</f>
        <v/>
      </c>
    </row>
    <row r="78">
      <c r="A78" s="15" t="n"/>
      <c r="B78" s="15" t="n"/>
      <c r="C78" s="37" t="n"/>
      <c r="D78" s="17" t="n"/>
      <c r="E78" s="17" t="n"/>
      <c r="F78" s="17" t="n"/>
      <c r="G78" s="17" t="n"/>
      <c r="H78" s="15" t="n"/>
      <c r="I78" s="19">
        <f>IF($A78="","",IFERROR(SUMIF(tblVarliklar[VarlikId],$B78,tblVarliklar[IdealCevrim_sn]),odk_varsayilanCevrim))</f>
        <v/>
      </c>
      <c r="J78" s="19">
        <f>IF($A78="","",IFERROR(MAX(0,$D78-$E78),0))</f>
        <v/>
      </c>
      <c r="K78" s="19">
        <f>IF($A78="","",IFERROR($J78/$D78,0))</f>
        <v/>
      </c>
      <c r="L78" s="19">
        <f>IF($A78="","",IFERROR($J78*odk_dakikaSn/$I78,0))</f>
        <v/>
      </c>
      <c r="M78" s="19">
        <f>IF($A78="","",IFERROR($F78/$L78,0))</f>
        <v/>
      </c>
      <c r="N78" s="19">
        <f>IF($A78="","",IFERROR(($F78-$G78)/$F78,0))</f>
        <v/>
      </c>
      <c r="O78" s="19">
        <f>IF($A78="","",IFERROR(N($K78)*N($M78)*N($N78),0))</f>
        <v/>
      </c>
      <c r="P78" s="19">
        <f>IF($A78="","",IFERROR($E78/$D78,0))</f>
        <v/>
      </c>
      <c r="Q78" s="19">
        <f>IF($A78="","",IFERROR(MAX(0,MIN(100,odk_kaliteTaban-IF(N($O78)&lt;odk_esikOee,odk_kaliteCeza,0)-IF($E78&gt;odk_esikDurusDk,odk_kaliteSapma,0)-IF($T78="YETIM",odk_kaliteCeza,0))),0))</f>
        <v/>
      </c>
      <c r="R78" s="19">
        <f>IF($A78="","",IF(OR(N($O78)&lt;odk_esikOee,$E78&gt;odk_esikDurusDk,N($Q78)&lt;odk_esikSaglik),"ALARM","UYGUN"))</f>
        <v/>
      </c>
      <c r="S78" s="19">
        <f>IF($A78="","",1)</f>
        <v/>
      </c>
      <c r="T78" s="19">
        <f>IF($A78="","",IF(OR($B78="",COUNTIF(tblVarliklar[VarlikId],$B78)=0),"YETIM","TAMAM"))</f>
        <v/>
      </c>
    </row>
    <row r="79">
      <c r="A79" s="15" t="n"/>
      <c r="B79" s="15" t="n"/>
      <c r="C79" s="37" t="n"/>
      <c r="D79" s="17" t="n"/>
      <c r="E79" s="17" t="n"/>
      <c r="F79" s="17" t="n"/>
      <c r="G79" s="17" t="n"/>
      <c r="H79" s="15" t="n"/>
      <c r="I79" s="19">
        <f>IF($A79="","",IFERROR(SUMIF(tblVarliklar[VarlikId],$B79,tblVarliklar[IdealCevrim_sn]),odk_varsayilanCevrim))</f>
        <v/>
      </c>
      <c r="J79" s="19">
        <f>IF($A79="","",IFERROR(MAX(0,$D79-$E79),0))</f>
        <v/>
      </c>
      <c r="K79" s="19">
        <f>IF($A79="","",IFERROR($J79/$D79,0))</f>
        <v/>
      </c>
      <c r="L79" s="19">
        <f>IF($A79="","",IFERROR($J79*odk_dakikaSn/$I79,0))</f>
        <v/>
      </c>
      <c r="M79" s="19">
        <f>IF($A79="","",IFERROR($F79/$L79,0))</f>
        <v/>
      </c>
      <c r="N79" s="19">
        <f>IF($A79="","",IFERROR(($F79-$G79)/$F79,0))</f>
        <v/>
      </c>
      <c r="O79" s="19">
        <f>IF($A79="","",IFERROR(N($K79)*N($M79)*N($N79),0))</f>
        <v/>
      </c>
      <c r="P79" s="19">
        <f>IF($A79="","",IFERROR($E79/$D79,0))</f>
        <v/>
      </c>
      <c r="Q79" s="19">
        <f>IF($A79="","",IFERROR(MAX(0,MIN(100,odk_kaliteTaban-IF(N($O79)&lt;odk_esikOee,odk_kaliteCeza,0)-IF($E79&gt;odk_esikDurusDk,odk_kaliteSapma,0)-IF($T79="YETIM",odk_kaliteCeza,0))),0))</f>
        <v/>
      </c>
      <c r="R79" s="19">
        <f>IF($A79="","",IF(OR(N($O79)&lt;odk_esikOee,$E79&gt;odk_esikDurusDk,N($Q79)&lt;odk_esikSaglik),"ALARM","UYGUN"))</f>
        <v/>
      </c>
      <c r="S79" s="19">
        <f>IF($A79="","",1)</f>
        <v/>
      </c>
      <c r="T79" s="19">
        <f>IF($A79="","",IF(OR($B79="",COUNTIF(tblVarliklar[VarlikId],$B79)=0),"YETIM","TAMAM"))</f>
        <v/>
      </c>
    </row>
    <row r="80">
      <c r="A80" s="15" t="n"/>
      <c r="B80" s="15" t="n"/>
      <c r="C80" s="37" t="n"/>
      <c r="D80" s="17" t="n"/>
      <c r="E80" s="17" t="n"/>
      <c r="F80" s="17" t="n"/>
      <c r="G80" s="17" t="n"/>
      <c r="H80" s="15" t="n"/>
      <c r="I80" s="19">
        <f>IF($A80="","",IFERROR(SUMIF(tblVarliklar[VarlikId],$B80,tblVarliklar[IdealCevrim_sn]),odk_varsayilanCevrim))</f>
        <v/>
      </c>
      <c r="J80" s="19">
        <f>IF($A80="","",IFERROR(MAX(0,$D80-$E80),0))</f>
        <v/>
      </c>
      <c r="K80" s="19">
        <f>IF($A80="","",IFERROR($J80/$D80,0))</f>
        <v/>
      </c>
      <c r="L80" s="19">
        <f>IF($A80="","",IFERROR($J80*odk_dakikaSn/$I80,0))</f>
        <v/>
      </c>
      <c r="M80" s="19">
        <f>IF($A80="","",IFERROR($F80/$L80,0))</f>
        <v/>
      </c>
      <c r="N80" s="19">
        <f>IF($A80="","",IFERROR(($F80-$G80)/$F80,0))</f>
        <v/>
      </c>
      <c r="O80" s="19">
        <f>IF($A80="","",IFERROR(N($K80)*N($M80)*N($N80),0))</f>
        <v/>
      </c>
      <c r="P80" s="19">
        <f>IF($A80="","",IFERROR($E80/$D80,0))</f>
        <v/>
      </c>
      <c r="Q80" s="19">
        <f>IF($A80="","",IFERROR(MAX(0,MIN(100,odk_kaliteTaban-IF(N($O80)&lt;odk_esikOee,odk_kaliteCeza,0)-IF($E80&gt;odk_esikDurusDk,odk_kaliteSapma,0)-IF($T80="YETIM",odk_kaliteCeza,0))),0))</f>
        <v/>
      </c>
      <c r="R80" s="19">
        <f>IF($A80="","",IF(OR(N($O80)&lt;odk_esikOee,$E80&gt;odk_esikDurusDk,N($Q80)&lt;odk_esikSaglik),"ALARM","UYGUN"))</f>
        <v/>
      </c>
      <c r="S80" s="19">
        <f>IF($A80="","",1)</f>
        <v/>
      </c>
      <c r="T80" s="19">
        <f>IF($A80="","",IF(OR($B80="",COUNTIF(tblVarliklar[VarlikId],$B80)=0),"YETIM","TAMAM"))</f>
        <v/>
      </c>
    </row>
    <row r="81">
      <c r="A81" s="15" t="n"/>
      <c r="B81" s="15" t="n"/>
      <c r="C81" s="37" t="n"/>
      <c r="D81" s="17" t="n"/>
      <c r="E81" s="17" t="n"/>
      <c r="F81" s="17" t="n"/>
      <c r="G81" s="17" t="n"/>
      <c r="H81" s="15" t="n"/>
      <c r="I81" s="19">
        <f>IF($A81="","",IFERROR(SUMIF(tblVarliklar[VarlikId],$B81,tblVarliklar[IdealCevrim_sn]),odk_varsayilanCevrim))</f>
        <v/>
      </c>
      <c r="J81" s="19">
        <f>IF($A81="","",IFERROR(MAX(0,$D81-$E81),0))</f>
        <v/>
      </c>
      <c r="K81" s="19">
        <f>IF($A81="","",IFERROR($J81/$D81,0))</f>
        <v/>
      </c>
      <c r="L81" s="19">
        <f>IF($A81="","",IFERROR($J81*odk_dakikaSn/$I81,0))</f>
        <v/>
      </c>
      <c r="M81" s="19">
        <f>IF($A81="","",IFERROR($F81/$L81,0))</f>
        <v/>
      </c>
      <c r="N81" s="19">
        <f>IF($A81="","",IFERROR(($F81-$G81)/$F81,0))</f>
        <v/>
      </c>
      <c r="O81" s="19">
        <f>IF($A81="","",IFERROR(N($K81)*N($M81)*N($N81),0))</f>
        <v/>
      </c>
      <c r="P81" s="19">
        <f>IF($A81="","",IFERROR($E81/$D81,0))</f>
        <v/>
      </c>
      <c r="Q81" s="19">
        <f>IF($A81="","",IFERROR(MAX(0,MIN(100,odk_kaliteTaban-IF(N($O81)&lt;odk_esikOee,odk_kaliteCeza,0)-IF($E81&gt;odk_esikDurusDk,odk_kaliteSapma,0)-IF($T81="YETIM",odk_kaliteCeza,0))),0))</f>
        <v/>
      </c>
      <c r="R81" s="19">
        <f>IF($A81="","",IF(OR(N($O81)&lt;odk_esikOee,$E81&gt;odk_esikDurusDk,N($Q81)&lt;odk_esikSaglik),"ALARM","UYGUN"))</f>
        <v/>
      </c>
      <c r="S81" s="19">
        <f>IF($A81="","",1)</f>
        <v/>
      </c>
      <c r="T81" s="19">
        <f>IF($A81="","",IF(OR($B81="",COUNTIF(tblVarliklar[VarlikId],$B81)=0),"YETIM","TAMAM"))</f>
        <v/>
      </c>
    </row>
    <row r="82">
      <c r="A82" s="15" t="n"/>
      <c r="B82" s="15" t="n"/>
      <c r="C82" s="37" t="n"/>
      <c r="D82" s="17" t="n"/>
      <c r="E82" s="17" t="n"/>
      <c r="F82" s="17" t="n"/>
      <c r="G82" s="17" t="n"/>
      <c r="H82" s="15" t="n"/>
      <c r="I82" s="19">
        <f>IF($A82="","",IFERROR(SUMIF(tblVarliklar[VarlikId],$B82,tblVarliklar[IdealCevrim_sn]),odk_varsayilanCevrim))</f>
        <v/>
      </c>
      <c r="J82" s="19">
        <f>IF($A82="","",IFERROR(MAX(0,$D82-$E82),0))</f>
        <v/>
      </c>
      <c r="K82" s="19">
        <f>IF($A82="","",IFERROR($J82/$D82,0))</f>
        <v/>
      </c>
      <c r="L82" s="19">
        <f>IF($A82="","",IFERROR($J82*odk_dakikaSn/$I82,0))</f>
        <v/>
      </c>
      <c r="M82" s="19">
        <f>IF($A82="","",IFERROR($F82/$L82,0))</f>
        <v/>
      </c>
      <c r="N82" s="19">
        <f>IF($A82="","",IFERROR(($F82-$G82)/$F82,0))</f>
        <v/>
      </c>
      <c r="O82" s="19">
        <f>IF($A82="","",IFERROR(N($K82)*N($M82)*N($N82),0))</f>
        <v/>
      </c>
      <c r="P82" s="19">
        <f>IF($A82="","",IFERROR($E82/$D82,0))</f>
        <v/>
      </c>
      <c r="Q82" s="19">
        <f>IF($A82="","",IFERROR(MAX(0,MIN(100,odk_kaliteTaban-IF(N($O82)&lt;odk_esikOee,odk_kaliteCeza,0)-IF($E82&gt;odk_esikDurusDk,odk_kaliteSapma,0)-IF($T82="YETIM",odk_kaliteCeza,0))),0))</f>
        <v/>
      </c>
      <c r="R82" s="19">
        <f>IF($A82="","",IF(OR(N($O82)&lt;odk_esikOee,$E82&gt;odk_esikDurusDk,N($Q82)&lt;odk_esikSaglik),"ALARM","UYGUN"))</f>
        <v/>
      </c>
      <c r="S82" s="19">
        <f>IF($A82="","",1)</f>
        <v/>
      </c>
      <c r="T82" s="19">
        <f>IF($A82="","",IF(OR($B82="",COUNTIF(tblVarliklar[VarlikId],$B82)=0),"YETIM","TAMAM"))</f>
        <v/>
      </c>
    </row>
    <row r="83">
      <c r="A83" s="15" t="n"/>
      <c r="B83" s="15" t="n"/>
      <c r="C83" s="37" t="n"/>
      <c r="D83" s="17" t="n"/>
      <c r="E83" s="17" t="n"/>
      <c r="F83" s="17" t="n"/>
      <c r="G83" s="17" t="n"/>
      <c r="H83" s="15" t="n"/>
      <c r="I83" s="19">
        <f>IF($A83="","",IFERROR(SUMIF(tblVarliklar[VarlikId],$B83,tblVarliklar[IdealCevrim_sn]),odk_varsayilanCevrim))</f>
        <v/>
      </c>
      <c r="J83" s="19">
        <f>IF($A83="","",IFERROR(MAX(0,$D83-$E83),0))</f>
        <v/>
      </c>
      <c r="K83" s="19">
        <f>IF($A83="","",IFERROR($J83/$D83,0))</f>
        <v/>
      </c>
      <c r="L83" s="19">
        <f>IF($A83="","",IFERROR($J83*odk_dakikaSn/$I83,0))</f>
        <v/>
      </c>
      <c r="M83" s="19">
        <f>IF($A83="","",IFERROR($F83/$L83,0))</f>
        <v/>
      </c>
      <c r="N83" s="19">
        <f>IF($A83="","",IFERROR(($F83-$G83)/$F83,0))</f>
        <v/>
      </c>
      <c r="O83" s="19">
        <f>IF($A83="","",IFERROR(N($K83)*N($M83)*N($N83),0))</f>
        <v/>
      </c>
      <c r="P83" s="19">
        <f>IF($A83="","",IFERROR($E83/$D83,0))</f>
        <v/>
      </c>
      <c r="Q83" s="19">
        <f>IF($A83="","",IFERROR(MAX(0,MIN(100,odk_kaliteTaban-IF(N($O83)&lt;odk_esikOee,odk_kaliteCeza,0)-IF($E83&gt;odk_esikDurusDk,odk_kaliteSapma,0)-IF($T83="YETIM",odk_kaliteCeza,0))),0))</f>
        <v/>
      </c>
      <c r="R83" s="19">
        <f>IF($A83="","",IF(OR(N($O83)&lt;odk_esikOee,$E83&gt;odk_esikDurusDk,N($Q83)&lt;odk_esikSaglik),"ALARM","UYGUN"))</f>
        <v/>
      </c>
      <c r="S83" s="19">
        <f>IF($A83="","",1)</f>
        <v/>
      </c>
      <c r="T83" s="19">
        <f>IF($A83="","",IF(OR($B83="",COUNTIF(tblVarliklar[VarlikId],$B83)=0),"YETIM","TAMAM"))</f>
        <v/>
      </c>
    </row>
    <row r="84">
      <c r="A84" s="15" t="n"/>
      <c r="B84" s="15" t="n"/>
      <c r="C84" s="37" t="n"/>
      <c r="D84" s="17" t="n"/>
      <c r="E84" s="17" t="n"/>
      <c r="F84" s="17" t="n"/>
      <c r="G84" s="17" t="n"/>
      <c r="H84" s="15" t="n"/>
      <c r="I84" s="19">
        <f>IF($A84="","",IFERROR(SUMIF(tblVarliklar[VarlikId],$B84,tblVarliklar[IdealCevrim_sn]),odk_varsayilanCevrim))</f>
        <v/>
      </c>
      <c r="J84" s="19">
        <f>IF($A84="","",IFERROR(MAX(0,$D84-$E84),0))</f>
        <v/>
      </c>
      <c r="K84" s="19">
        <f>IF($A84="","",IFERROR($J84/$D84,0))</f>
        <v/>
      </c>
      <c r="L84" s="19">
        <f>IF($A84="","",IFERROR($J84*odk_dakikaSn/$I84,0))</f>
        <v/>
      </c>
      <c r="M84" s="19">
        <f>IF($A84="","",IFERROR($F84/$L84,0))</f>
        <v/>
      </c>
      <c r="N84" s="19">
        <f>IF($A84="","",IFERROR(($F84-$G84)/$F84,0))</f>
        <v/>
      </c>
      <c r="O84" s="19">
        <f>IF($A84="","",IFERROR(N($K84)*N($M84)*N($N84),0))</f>
        <v/>
      </c>
      <c r="P84" s="19">
        <f>IF($A84="","",IFERROR($E84/$D84,0))</f>
        <v/>
      </c>
      <c r="Q84" s="19">
        <f>IF($A84="","",IFERROR(MAX(0,MIN(100,odk_kaliteTaban-IF(N($O84)&lt;odk_esikOee,odk_kaliteCeza,0)-IF($E84&gt;odk_esikDurusDk,odk_kaliteSapma,0)-IF($T84="YETIM",odk_kaliteCeza,0))),0))</f>
        <v/>
      </c>
      <c r="R84" s="19">
        <f>IF($A84="","",IF(OR(N($O84)&lt;odk_esikOee,$E84&gt;odk_esikDurusDk,N($Q84)&lt;odk_esikSaglik),"ALARM","UYGUN"))</f>
        <v/>
      </c>
      <c r="S84" s="19">
        <f>IF($A84="","",1)</f>
        <v/>
      </c>
      <c r="T84" s="19">
        <f>IF($A84="","",IF(OR($B84="",COUNTIF(tblVarliklar[VarlikId],$B84)=0),"YETIM","TAMAM"))</f>
        <v/>
      </c>
    </row>
    <row r="85">
      <c r="A85" s="15" t="n"/>
      <c r="B85" s="15" t="n"/>
      <c r="C85" s="37" t="n"/>
      <c r="D85" s="17" t="n"/>
      <c r="E85" s="17" t="n"/>
      <c r="F85" s="17" t="n"/>
      <c r="G85" s="17" t="n"/>
      <c r="H85" s="15" t="n"/>
      <c r="I85" s="19">
        <f>IF($A85="","",IFERROR(SUMIF(tblVarliklar[VarlikId],$B85,tblVarliklar[IdealCevrim_sn]),odk_varsayilanCevrim))</f>
        <v/>
      </c>
      <c r="J85" s="19">
        <f>IF($A85="","",IFERROR(MAX(0,$D85-$E85),0))</f>
        <v/>
      </c>
      <c r="K85" s="19">
        <f>IF($A85="","",IFERROR($J85/$D85,0))</f>
        <v/>
      </c>
      <c r="L85" s="19">
        <f>IF($A85="","",IFERROR($J85*odk_dakikaSn/$I85,0))</f>
        <v/>
      </c>
      <c r="M85" s="19">
        <f>IF($A85="","",IFERROR($F85/$L85,0))</f>
        <v/>
      </c>
      <c r="N85" s="19">
        <f>IF($A85="","",IFERROR(($F85-$G85)/$F85,0))</f>
        <v/>
      </c>
      <c r="O85" s="19">
        <f>IF($A85="","",IFERROR(N($K85)*N($M85)*N($N85),0))</f>
        <v/>
      </c>
      <c r="P85" s="19">
        <f>IF($A85="","",IFERROR($E85/$D85,0))</f>
        <v/>
      </c>
      <c r="Q85" s="19">
        <f>IF($A85="","",IFERROR(MAX(0,MIN(100,odk_kaliteTaban-IF(N($O85)&lt;odk_esikOee,odk_kaliteCeza,0)-IF($E85&gt;odk_esikDurusDk,odk_kaliteSapma,0)-IF($T85="YETIM",odk_kaliteCeza,0))),0))</f>
        <v/>
      </c>
      <c r="R85" s="19">
        <f>IF($A85="","",IF(OR(N($O85)&lt;odk_esikOee,$E85&gt;odk_esikDurusDk,N($Q85)&lt;odk_esikSaglik),"ALARM","UYGUN"))</f>
        <v/>
      </c>
      <c r="S85" s="19">
        <f>IF($A85="","",1)</f>
        <v/>
      </c>
      <c r="T85" s="19">
        <f>IF($A85="","",IF(OR($B85="",COUNTIF(tblVarliklar[VarlikId],$B85)=0),"YETIM","TAMAM"))</f>
        <v/>
      </c>
    </row>
    <row r="86">
      <c r="A86" s="15" t="n"/>
      <c r="B86" s="15" t="n"/>
      <c r="C86" s="37" t="n"/>
      <c r="D86" s="17" t="n"/>
      <c r="E86" s="17" t="n"/>
      <c r="F86" s="17" t="n"/>
      <c r="G86" s="17" t="n"/>
      <c r="H86" s="15" t="n"/>
      <c r="I86" s="19">
        <f>IF($A86="","",IFERROR(SUMIF(tblVarliklar[VarlikId],$B86,tblVarliklar[IdealCevrim_sn]),odk_varsayilanCevrim))</f>
        <v/>
      </c>
      <c r="J86" s="19">
        <f>IF($A86="","",IFERROR(MAX(0,$D86-$E86),0))</f>
        <v/>
      </c>
      <c r="K86" s="19">
        <f>IF($A86="","",IFERROR($J86/$D86,0))</f>
        <v/>
      </c>
      <c r="L86" s="19">
        <f>IF($A86="","",IFERROR($J86*odk_dakikaSn/$I86,0))</f>
        <v/>
      </c>
      <c r="M86" s="19">
        <f>IF($A86="","",IFERROR($F86/$L86,0))</f>
        <v/>
      </c>
      <c r="N86" s="19">
        <f>IF($A86="","",IFERROR(($F86-$G86)/$F86,0))</f>
        <v/>
      </c>
      <c r="O86" s="19">
        <f>IF($A86="","",IFERROR(N($K86)*N($M86)*N($N86),0))</f>
        <v/>
      </c>
      <c r="P86" s="19">
        <f>IF($A86="","",IFERROR($E86/$D86,0))</f>
        <v/>
      </c>
      <c r="Q86" s="19">
        <f>IF($A86="","",IFERROR(MAX(0,MIN(100,odk_kaliteTaban-IF(N($O86)&lt;odk_esikOee,odk_kaliteCeza,0)-IF($E86&gt;odk_esikDurusDk,odk_kaliteSapma,0)-IF($T86="YETIM",odk_kaliteCeza,0))),0))</f>
        <v/>
      </c>
      <c r="R86" s="19">
        <f>IF($A86="","",IF(OR(N($O86)&lt;odk_esikOee,$E86&gt;odk_esikDurusDk,N($Q86)&lt;odk_esikSaglik),"ALARM","UYGUN"))</f>
        <v/>
      </c>
      <c r="S86" s="19">
        <f>IF($A86="","",1)</f>
        <v/>
      </c>
      <c r="T86" s="19">
        <f>IF($A86="","",IF(OR($B86="",COUNTIF(tblVarliklar[VarlikId],$B86)=0),"YETIM","TAMAM"))</f>
        <v/>
      </c>
    </row>
    <row r="87">
      <c r="A87" s="15" t="n"/>
      <c r="B87" s="15" t="n"/>
      <c r="C87" s="37" t="n"/>
      <c r="D87" s="17" t="n"/>
      <c r="E87" s="17" t="n"/>
      <c r="F87" s="17" t="n"/>
      <c r="G87" s="17" t="n"/>
      <c r="H87" s="15" t="n"/>
      <c r="I87" s="19">
        <f>IF($A87="","",IFERROR(SUMIF(tblVarliklar[VarlikId],$B87,tblVarliklar[IdealCevrim_sn]),odk_varsayilanCevrim))</f>
        <v/>
      </c>
      <c r="J87" s="19">
        <f>IF($A87="","",IFERROR(MAX(0,$D87-$E87),0))</f>
        <v/>
      </c>
      <c r="K87" s="19">
        <f>IF($A87="","",IFERROR($J87/$D87,0))</f>
        <v/>
      </c>
      <c r="L87" s="19">
        <f>IF($A87="","",IFERROR($J87*odk_dakikaSn/$I87,0))</f>
        <v/>
      </c>
      <c r="M87" s="19">
        <f>IF($A87="","",IFERROR($F87/$L87,0))</f>
        <v/>
      </c>
      <c r="N87" s="19">
        <f>IF($A87="","",IFERROR(($F87-$G87)/$F87,0))</f>
        <v/>
      </c>
      <c r="O87" s="19">
        <f>IF($A87="","",IFERROR(N($K87)*N($M87)*N($N87),0))</f>
        <v/>
      </c>
      <c r="P87" s="19">
        <f>IF($A87="","",IFERROR($E87/$D87,0))</f>
        <v/>
      </c>
      <c r="Q87" s="19">
        <f>IF($A87="","",IFERROR(MAX(0,MIN(100,odk_kaliteTaban-IF(N($O87)&lt;odk_esikOee,odk_kaliteCeza,0)-IF($E87&gt;odk_esikDurusDk,odk_kaliteSapma,0)-IF($T87="YETIM",odk_kaliteCeza,0))),0))</f>
        <v/>
      </c>
      <c r="R87" s="19">
        <f>IF($A87="","",IF(OR(N($O87)&lt;odk_esikOee,$E87&gt;odk_esikDurusDk,N($Q87)&lt;odk_esikSaglik),"ALARM","UYGUN"))</f>
        <v/>
      </c>
      <c r="S87" s="19">
        <f>IF($A87="","",1)</f>
        <v/>
      </c>
      <c r="T87" s="19">
        <f>IF($A87="","",IF(OR($B87="",COUNTIF(tblVarliklar[VarlikId],$B87)=0),"YETIM","TAMAM"))</f>
        <v/>
      </c>
    </row>
    <row r="88">
      <c r="A88" s="15" t="n"/>
      <c r="B88" s="15" t="n"/>
      <c r="C88" s="37" t="n"/>
      <c r="D88" s="17" t="n"/>
      <c r="E88" s="17" t="n"/>
      <c r="F88" s="17" t="n"/>
      <c r="G88" s="17" t="n"/>
      <c r="H88" s="15" t="n"/>
      <c r="I88" s="19">
        <f>IF($A88="","",IFERROR(SUMIF(tblVarliklar[VarlikId],$B88,tblVarliklar[IdealCevrim_sn]),odk_varsayilanCevrim))</f>
        <v/>
      </c>
      <c r="J88" s="19">
        <f>IF($A88="","",IFERROR(MAX(0,$D88-$E88),0))</f>
        <v/>
      </c>
      <c r="K88" s="19">
        <f>IF($A88="","",IFERROR($J88/$D88,0))</f>
        <v/>
      </c>
      <c r="L88" s="19">
        <f>IF($A88="","",IFERROR($J88*odk_dakikaSn/$I88,0))</f>
        <v/>
      </c>
      <c r="M88" s="19">
        <f>IF($A88="","",IFERROR($F88/$L88,0))</f>
        <v/>
      </c>
      <c r="N88" s="19">
        <f>IF($A88="","",IFERROR(($F88-$G88)/$F88,0))</f>
        <v/>
      </c>
      <c r="O88" s="19">
        <f>IF($A88="","",IFERROR(N($K88)*N($M88)*N($N88),0))</f>
        <v/>
      </c>
      <c r="P88" s="19">
        <f>IF($A88="","",IFERROR($E88/$D88,0))</f>
        <v/>
      </c>
      <c r="Q88" s="19">
        <f>IF($A88="","",IFERROR(MAX(0,MIN(100,odk_kaliteTaban-IF(N($O88)&lt;odk_esikOee,odk_kaliteCeza,0)-IF($E88&gt;odk_esikDurusDk,odk_kaliteSapma,0)-IF($T88="YETIM",odk_kaliteCeza,0))),0))</f>
        <v/>
      </c>
      <c r="R88" s="19">
        <f>IF($A88="","",IF(OR(N($O88)&lt;odk_esikOee,$E88&gt;odk_esikDurusDk,N($Q88)&lt;odk_esikSaglik),"ALARM","UYGUN"))</f>
        <v/>
      </c>
      <c r="S88" s="19">
        <f>IF($A88="","",1)</f>
        <v/>
      </c>
      <c r="T88" s="19">
        <f>IF($A88="","",IF(OR($B88="",COUNTIF(tblVarliklar[VarlikId],$B88)=0),"YETIM","TAMAM"))</f>
        <v/>
      </c>
    </row>
    <row r="89">
      <c r="A89" s="15" t="n"/>
      <c r="B89" s="15" t="n"/>
      <c r="C89" s="37" t="n"/>
      <c r="D89" s="17" t="n"/>
      <c r="E89" s="17" t="n"/>
      <c r="F89" s="17" t="n"/>
      <c r="G89" s="17" t="n"/>
      <c r="H89" s="15" t="n"/>
      <c r="I89" s="19">
        <f>IF($A89="","",IFERROR(SUMIF(tblVarliklar[VarlikId],$B89,tblVarliklar[IdealCevrim_sn]),odk_varsayilanCevrim))</f>
        <v/>
      </c>
      <c r="J89" s="19">
        <f>IF($A89="","",IFERROR(MAX(0,$D89-$E89),0))</f>
        <v/>
      </c>
      <c r="K89" s="19">
        <f>IF($A89="","",IFERROR($J89/$D89,0))</f>
        <v/>
      </c>
      <c r="L89" s="19">
        <f>IF($A89="","",IFERROR($J89*odk_dakikaSn/$I89,0))</f>
        <v/>
      </c>
      <c r="M89" s="19">
        <f>IF($A89="","",IFERROR($F89/$L89,0))</f>
        <v/>
      </c>
      <c r="N89" s="19">
        <f>IF($A89="","",IFERROR(($F89-$G89)/$F89,0))</f>
        <v/>
      </c>
      <c r="O89" s="19">
        <f>IF($A89="","",IFERROR(N($K89)*N($M89)*N($N89),0))</f>
        <v/>
      </c>
      <c r="P89" s="19">
        <f>IF($A89="","",IFERROR($E89/$D89,0))</f>
        <v/>
      </c>
      <c r="Q89" s="19">
        <f>IF($A89="","",IFERROR(MAX(0,MIN(100,odk_kaliteTaban-IF(N($O89)&lt;odk_esikOee,odk_kaliteCeza,0)-IF($E89&gt;odk_esikDurusDk,odk_kaliteSapma,0)-IF($T89="YETIM",odk_kaliteCeza,0))),0))</f>
        <v/>
      </c>
      <c r="R89" s="19">
        <f>IF($A89="","",IF(OR(N($O89)&lt;odk_esikOee,$E89&gt;odk_esikDurusDk,N($Q89)&lt;odk_esikSaglik),"ALARM","UYGUN"))</f>
        <v/>
      </c>
      <c r="S89" s="19">
        <f>IF($A89="","",1)</f>
        <v/>
      </c>
      <c r="T89" s="19">
        <f>IF($A89="","",IF(OR($B89="",COUNTIF(tblVarliklar[VarlikId],$B89)=0),"YETIM","TAMAM"))</f>
        <v/>
      </c>
    </row>
    <row r="90">
      <c r="A90" s="15" t="n"/>
      <c r="B90" s="15" t="n"/>
      <c r="C90" s="37" t="n"/>
      <c r="D90" s="17" t="n"/>
      <c r="E90" s="17" t="n"/>
      <c r="F90" s="17" t="n"/>
      <c r="G90" s="17" t="n"/>
      <c r="H90" s="15" t="n"/>
      <c r="I90" s="19">
        <f>IF($A90="","",IFERROR(SUMIF(tblVarliklar[VarlikId],$B90,tblVarliklar[IdealCevrim_sn]),odk_varsayilanCevrim))</f>
        <v/>
      </c>
      <c r="J90" s="19">
        <f>IF($A90="","",IFERROR(MAX(0,$D90-$E90),0))</f>
        <v/>
      </c>
      <c r="K90" s="19">
        <f>IF($A90="","",IFERROR($J90/$D90,0))</f>
        <v/>
      </c>
      <c r="L90" s="19">
        <f>IF($A90="","",IFERROR($J90*odk_dakikaSn/$I90,0))</f>
        <v/>
      </c>
      <c r="M90" s="19">
        <f>IF($A90="","",IFERROR($F90/$L90,0))</f>
        <v/>
      </c>
      <c r="N90" s="19">
        <f>IF($A90="","",IFERROR(($F90-$G90)/$F90,0))</f>
        <v/>
      </c>
      <c r="O90" s="19">
        <f>IF($A90="","",IFERROR(N($K90)*N($M90)*N($N90),0))</f>
        <v/>
      </c>
      <c r="P90" s="19">
        <f>IF($A90="","",IFERROR($E90/$D90,0))</f>
        <v/>
      </c>
      <c r="Q90" s="19">
        <f>IF($A90="","",IFERROR(MAX(0,MIN(100,odk_kaliteTaban-IF(N($O90)&lt;odk_esikOee,odk_kaliteCeza,0)-IF($E90&gt;odk_esikDurusDk,odk_kaliteSapma,0)-IF($T90="YETIM",odk_kaliteCeza,0))),0))</f>
        <v/>
      </c>
      <c r="R90" s="19">
        <f>IF($A90="","",IF(OR(N($O90)&lt;odk_esikOee,$E90&gt;odk_esikDurusDk,N($Q90)&lt;odk_esikSaglik),"ALARM","UYGUN"))</f>
        <v/>
      </c>
      <c r="S90" s="19">
        <f>IF($A90="","",1)</f>
        <v/>
      </c>
      <c r="T90" s="19">
        <f>IF($A90="","",IF(OR($B90="",COUNTIF(tblVarliklar[VarlikId],$B90)=0),"YETIM","TAMAM"))</f>
        <v/>
      </c>
    </row>
    <row r="91">
      <c r="A91" s="15" t="n"/>
      <c r="B91" s="15" t="n"/>
      <c r="C91" s="37" t="n"/>
      <c r="D91" s="17" t="n"/>
      <c r="E91" s="17" t="n"/>
      <c r="F91" s="17" t="n"/>
      <c r="G91" s="17" t="n"/>
      <c r="H91" s="15" t="n"/>
      <c r="I91" s="19">
        <f>IF($A91="","",IFERROR(SUMIF(tblVarliklar[VarlikId],$B91,tblVarliklar[IdealCevrim_sn]),odk_varsayilanCevrim))</f>
        <v/>
      </c>
      <c r="J91" s="19">
        <f>IF($A91="","",IFERROR(MAX(0,$D91-$E91),0))</f>
        <v/>
      </c>
      <c r="K91" s="19">
        <f>IF($A91="","",IFERROR($J91/$D91,0))</f>
        <v/>
      </c>
      <c r="L91" s="19">
        <f>IF($A91="","",IFERROR($J91*odk_dakikaSn/$I91,0))</f>
        <v/>
      </c>
      <c r="M91" s="19">
        <f>IF($A91="","",IFERROR($F91/$L91,0))</f>
        <v/>
      </c>
      <c r="N91" s="19">
        <f>IF($A91="","",IFERROR(($F91-$G91)/$F91,0))</f>
        <v/>
      </c>
      <c r="O91" s="19">
        <f>IF($A91="","",IFERROR(N($K91)*N($M91)*N($N91),0))</f>
        <v/>
      </c>
      <c r="P91" s="19">
        <f>IF($A91="","",IFERROR($E91/$D91,0))</f>
        <v/>
      </c>
      <c r="Q91" s="19">
        <f>IF($A91="","",IFERROR(MAX(0,MIN(100,odk_kaliteTaban-IF(N($O91)&lt;odk_esikOee,odk_kaliteCeza,0)-IF($E91&gt;odk_esikDurusDk,odk_kaliteSapma,0)-IF($T91="YETIM",odk_kaliteCeza,0))),0))</f>
        <v/>
      </c>
      <c r="R91" s="19">
        <f>IF($A91="","",IF(OR(N($O91)&lt;odk_esikOee,$E91&gt;odk_esikDurusDk,N($Q91)&lt;odk_esikSaglik),"ALARM","UYGUN"))</f>
        <v/>
      </c>
      <c r="S91" s="19">
        <f>IF($A91="","",1)</f>
        <v/>
      </c>
      <c r="T91" s="19">
        <f>IF($A91="","",IF(OR($B91="",COUNTIF(tblVarliklar[VarlikId],$B91)=0),"YETIM","TAMAM"))</f>
        <v/>
      </c>
    </row>
    <row r="92">
      <c r="A92" s="15" t="n"/>
      <c r="B92" s="15" t="n"/>
      <c r="C92" s="37" t="n"/>
      <c r="D92" s="17" t="n"/>
      <c r="E92" s="17" t="n"/>
      <c r="F92" s="17" t="n"/>
      <c r="G92" s="17" t="n"/>
      <c r="H92" s="15" t="n"/>
      <c r="I92" s="19">
        <f>IF($A92="","",IFERROR(SUMIF(tblVarliklar[VarlikId],$B92,tblVarliklar[IdealCevrim_sn]),odk_varsayilanCevrim))</f>
        <v/>
      </c>
      <c r="J92" s="19">
        <f>IF($A92="","",IFERROR(MAX(0,$D92-$E92),0))</f>
        <v/>
      </c>
      <c r="K92" s="19">
        <f>IF($A92="","",IFERROR($J92/$D92,0))</f>
        <v/>
      </c>
      <c r="L92" s="19">
        <f>IF($A92="","",IFERROR($J92*odk_dakikaSn/$I92,0))</f>
        <v/>
      </c>
      <c r="M92" s="19">
        <f>IF($A92="","",IFERROR($F92/$L92,0))</f>
        <v/>
      </c>
      <c r="N92" s="19">
        <f>IF($A92="","",IFERROR(($F92-$G92)/$F92,0))</f>
        <v/>
      </c>
      <c r="O92" s="19">
        <f>IF($A92="","",IFERROR(N($K92)*N($M92)*N($N92),0))</f>
        <v/>
      </c>
      <c r="P92" s="19">
        <f>IF($A92="","",IFERROR($E92/$D92,0))</f>
        <v/>
      </c>
      <c r="Q92" s="19">
        <f>IF($A92="","",IFERROR(MAX(0,MIN(100,odk_kaliteTaban-IF(N($O92)&lt;odk_esikOee,odk_kaliteCeza,0)-IF($E92&gt;odk_esikDurusDk,odk_kaliteSapma,0)-IF($T92="YETIM",odk_kaliteCeza,0))),0))</f>
        <v/>
      </c>
      <c r="R92" s="19">
        <f>IF($A92="","",IF(OR(N($O92)&lt;odk_esikOee,$E92&gt;odk_esikDurusDk,N($Q92)&lt;odk_esikSaglik),"ALARM","UYGUN"))</f>
        <v/>
      </c>
      <c r="S92" s="19">
        <f>IF($A92="","",1)</f>
        <v/>
      </c>
      <c r="T92" s="19">
        <f>IF($A92="","",IF(OR($B92="",COUNTIF(tblVarliklar[VarlikId],$B92)=0),"YETIM","TAMAM"))</f>
        <v/>
      </c>
    </row>
    <row r="93">
      <c r="A93" s="15" t="n"/>
      <c r="B93" s="15" t="n"/>
      <c r="C93" s="37" t="n"/>
      <c r="D93" s="17" t="n"/>
      <c r="E93" s="17" t="n"/>
      <c r="F93" s="17" t="n"/>
      <c r="G93" s="17" t="n"/>
      <c r="H93" s="15" t="n"/>
      <c r="I93" s="19">
        <f>IF($A93="","",IFERROR(SUMIF(tblVarliklar[VarlikId],$B93,tblVarliklar[IdealCevrim_sn]),odk_varsayilanCevrim))</f>
        <v/>
      </c>
      <c r="J93" s="19">
        <f>IF($A93="","",IFERROR(MAX(0,$D93-$E93),0))</f>
        <v/>
      </c>
      <c r="K93" s="19">
        <f>IF($A93="","",IFERROR($J93/$D93,0))</f>
        <v/>
      </c>
      <c r="L93" s="19">
        <f>IF($A93="","",IFERROR($J93*odk_dakikaSn/$I93,0))</f>
        <v/>
      </c>
      <c r="M93" s="19">
        <f>IF($A93="","",IFERROR($F93/$L93,0))</f>
        <v/>
      </c>
      <c r="N93" s="19">
        <f>IF($A93="","",IFERROR(($F93-$G93)/$F93,0))</f>
        <v/>
      </c>
      <c r="O93" s="19">
        <f>IF($A93="","",IFERROR(N($K93)*N($M93)*N($N93),0))</f>
        <v/>
      </c>
      <c r="P93" s="19">
        <f>IF($A93="","",IFERROR($E93/$D93,0))</f>
        <v/>
      </c>
      <c r="Q93" s="19">
        <f>IF($A93="","",IFERROR(MAX(0,MIN(100,odk_kaliteTaban-IF(N($O93)&lt;odk_esikOee,odk_kaliteCeza,0)-IF($E93&gt;odk_esikDurusDk,odk_kaliteSapma,0)-IF($T93="YETIM",odk_kaliteCeza,0))),0))</f>
        <v/>
      </c>
      <c r="R93" s="19">
        <f>IF($A93="","",IF(OR(N($O93)&lt;odk_esikOee,$E93&gt;odk_esikDurusDk,N($Q93)&lt;odk_esikSaglik),"ALARM","UYGUN"))</f>
        <v/>
      </c>
      <c r="S93" s="19">
        <f>IF($A93="","",1)</f>
        <v/>
      </c>
      <c r="T93" s="19">
        <f>IF($A93="","",IF(OR($B93="",COUNTIF(tblVarliklar[VarlikId],$B93)=0),"YETIM","TAMAM"))</f>
        <v/>
      </c>
    </row>
    <row r="94">
      <c r="A94" s="15" t="n"/>
      <c r="B94" s="15" t="n"/>
      <c r="C94" s="37" t="n"/>
      <c r="D94" s="17" t="n"/>
      <c r="E94" s="17" t="n"/>
      <c r="F94" s="17" t="n"/>
      <c r="G94" s="17" t="n"/>
      <c r="H94" s="15" t="n"/>
      <c r="I94" s="19">
        <f>IF($A94="","",IFERROR(SUMIF(tblVarliklar[VarlikId],$B94,tblVarliklar[IdealCevrim_sn]),odk_varsayilanCevrim))</f>
        <v/>
      </c>
      <c r="J94" s="19">
        <f>IF($A94="","",IFERROR(MAX(0,$D94-$E94),0))</f>
        <v/>
      </c>
      <c r="K94" s="19">
        <f>IF($A94="","",IFERROR($J94/$D94,0))</f>
        <v/>
      </c>
      <c r="L94" s="19">
        <f>IF($A94="","",IFERROR($J94*odk_dakikaSn/$I94,0))</f>
        <v/>
      </c>
      <c r="M94" s="19">
        <f>IF($A94="","",IFERROR($F94/$L94,0))</f>
        <v/>
      </c>
      <c r="N94" s="19">
        <f>IF($A94="","",IFERROR(($F94-$G94)/$F94,0))</f>
        <v/>
      </c>
      <c r="O94" s="19">
        <f>IF($A94="","",IFERROR(N($K94)*N($M94)*N($N94),0))</f>
        <v/>
      </c>
      <c r="P94" s="19">
        <f>IF($A94="","",IFERROR($E94/$D94,0))</f>
        <v/>
      </c>
      <c r="Q94" s="19">
        <f>IF($A94="","",IFERROR(MAX(0,MIN(100,odk_kaliteTaban-IF(N($O94)&lt;odk_esikOee,odk_kaliteCeza,0)-IF($E94&gt;odk_esikDurusDk,odk_kaliteSapma,0)-IF($T94="YETIM",odk_kaliteCeza,0))),0))</f>
        <v/>
      </c>
      <c r="R94" s="19">
        <f>IF($A94="","",IF(OR(N($O94)&lt;odk_esikOee,$E94&gt;odk_esikDurusDk,N($Q94)&lt;odk_esikSaglik),"ALARM","UYGUN"))</f>
        <v/>
      </c>
      <c r="S94" s="19">
        <f>IF($A94="","",1)</f>
        <v/>
      </c>
      <c r="T94" s="19">
        <f>IF($A94="","",IF(OR($B94="",COUNTIF(tblVarliklar[VarlikId],$B94)=0),"YETIM","TAMAM"))</f>
        <v/>
      </c>
    </row>
    <row r="95">
      <c r="A95" s="15" t="n"/>
      <c r="B95" s="15" t="n"/>
      <c r="C95" s="37" t="n"/>
      <c r="D95" s="17" t="n"/>
      <c r="E95" s="17" t="n"/>
      <c r="F95" s="17" t="n"/>
      <c r="G95" s="17" t="n"/>
      <c r="H95" s="15" t="n"/>
      <c r="I95" s="19">
        <f>IF($A95="","",IFERROR(SUMIF(tblVarliklar[VarlikId],$B95,tblVarliklar[IdealCevrim_sn]),odk_varsayilanCevrim))</f>
        <v/>
      </c>
      <c r="J95" s="19">
        <f>IF($A95="","",IFERROR(MAX(0,$D95-$E95),0))</f>
        <v/>
      </c>
      <c r="K95" s="19">
        <f>IF($A95="","",IFERROR($J95/$D95,0))</f>
        <v/>
      </c>
      <c r="L95" s="19">
        <f>IF($A95="","",IFERROR($J95*odk_dakikaSn/$I95,0))</f>
        <v/>
      </c>
      <c r="M95" s="19">
        <f>IF($A95="","",IFERROR($F95/$L95,0))</f>
        <v/>
      </c>
      <c r="N95" s="19">
        <f>IF($A95="","",IFERROR(($F95-$G95)/$F95,0))</f>
        <v/>
      </c>
      <c r="O95" s="19">
        <f>IF($A95="","",IFERROR(N($K95)*N($M95)*N($N95),0))</f>
        <v/>
      </c>
      <c r="P95" s="19">
        <f>IF($A95="","",IFERROR($E95/$D95,0))</f>
        <v/>
      </c>
      <c r="Q95" s="19">
        <f>IF($A95="","",IFERROR(MAX(0,MIN(100,odk_kaliteTaban-IF(N($O95)&lt;odk_esikOee,odk_kaliteCeza,0)-IF($E95&gt;odk_esikDurusDk,odk_kaliteSapma,0)-IF($T95="YETIM",odk_kaliteCeza,0))),0))</f>
        <v/>
      </c>
      <c r="R95" s="19">
        <f>IF($A95="","",IF(OR(N($O95)&lt;odk_esikOee,$E95&gt;odk_esikDurusDk,N($Q95)&lt;odk_esikSaglik),"ALARM","UYGUN"))</f>
        <v/>
      </c>
      <c r="S95" s="19">
        <f>IF($A95="","",1)</f>
        <v/>
      </c>
      <c r="T95" s="19">
        <f>IF($A95="","",IF(OR($B95="",COUNTIF(tblVarliklar[VarlikId],$B95)=0),"YETIM","TAMAM"))</f>
        <v/>
      </c>
    </row>
    <row r="96">
      <c r="A96" s="15" t="n"/>
      <c r="B96" s="15" t="n"/>
      <c r="C96" s="37" t="n"/>
      <c r="D96" s="17" t="n"/>
      <c r="E96" s="17" t="n"/>
      <c r="F96" s="17" t="n"/>
      <c r="G96" s="17" t="n"/>
      <c r="H96" s="15" t="n"/>
      <c r="I96" s="19">
        <f>IF($A96="","",IFERROR(SUMIF(tblVarliklar[VarlikId],$B96,tblVarliklar[IdealCevrim_sn]),odk_varsayilanCevrim))</f>
        <v/>
      </c>
      <c r="J96" s="19">
        <f>IF($A96="","",IFERROR(MAX(0,$D96-$E96),0))</f>
        <v/>
      </c>
      <c r="K96" s="19">
        <f>IF($A96="","",IFERROR($J96/$D96,0))</f>
        <v/>
      </c>
      <c r="L96" s="19">
        <f>IF($A96="","",IFERROR($J96*odk_dakikaSn/$I96,0))</f>
        <v/>
      </c>
      <c r="M96" s="19">
        <f>IF($A96="","",IFERROR($F96/$L96,0))</f>
        <v/>
      </c>
      <c r="N96" s="19">
        <f>IF($A96="","",IFERROR(($F96-$G96)/$F96,0))</f>
        <v/>
      </c>
      <c r="O96" s="19">
        <f>IF($A96="","",IFERROR(N($K96)*N($M96)*N($N96),0))</f>
        <v/>
      </c>
      <c r="P96" s="19">
        <f>IF($A96="","",IFERROR($E96/$D96,0))</f>
        <v/>
      </c>
      <c r="Q96" s="19">
        <f>IF($A96="","",IFERROR(MAX(0,MIN(100,odk_kaliteTaban-IF(N($O96)&lt;odk_esikOee,odk_kaliteCeza,0)-IF($E96&gt;odk_esikDurusDk,odk_kaliteSapma,0)-IF($T96="YETIM",odk_kaliteCeza,0))),0))</f>
        <v/>
      </c>
      <c r="R96" s="19">
        <f>IF($A96="","",IF(OR(N($O96)&lt;odk_esikOee,$E96&gt;odk_esikDurusDk,N($Q96)&lt;odk_esikSaglik),"ALARM","UYGUN"))</f>
        <v/>
      </c>
      <c r="S96" s="19">
        <f>IF($A96="","",1)</f>
        <v/>
      </c>
      <c r="T96" s="19">
        <f>IF($A96="","",IF(OR($B96="",COUNTIF(tblVarliklar[VarlikId],$B96)=0),"YETIM","TAMAM"))</f>
        <v/>
      </c>
    </row>
    <row r="97">
      <c r="A97" s="15" t="n"/>
      <c r="B97" s="15" t="n"/>
      <c r="C97" s="37" t="n"/>
      <c r="D97" s="17" t="n"/>
      <c r="E97" s="17" t="n"/>
      <c r="F97" s="17" t="n"/>
      <c r="G97" s="17" t="n"/>
      <c r="H97" s="15" t="n"/>
      <c r="I97" s="19">
        <f>IF($A97="","",IFERROR(SUMIF(tblVarliklar[VarlikId],$B97,tblVarliklar[IdealCevrim_sn]),odk_varsayilanCevrim))</f>
        <v/>
      </c>
      <c r="J97" s="19">
        <f>IF($A97="","",IFERROR(MAX(0,$D97-$E97),0))</f>
        <v/>
      </c>
      <c r="K97" s="19">
        <f>IF($A97="","",IFERROR($J97/$D97,0))</f>
        <v/>
      </c>
      <c r="L97" s="19">
        <f>IF($A97="","",IFERROR($J97*odk_dakikaSn/$I97,0))</f>
        <v/>
      </c>
      <c r="M97" s="19">
        <f>IF($A97="","",IFERROR($F97/$L97,0))</f>
        <v/>
      </c>
      <c r="N97" s="19">
        <f>IF($A97="","",IFERROR(($F97-$G97)/$F97,0))</f>
        <v/>
      </c>
      <c r="O97" s="19">
        <f>IF($A97="","",IFERROR(N($K97)*N($M97)*N($N97),0))</f>
        <v/>
      </c>
      <c r="P97" s="19">
        <f>IF($A97="","",IFERROR($E97/$D97,0))</f>
        <v/>
      </c>
      <c r="Q97" s="19">
        <f>IF($A97="","",IFERROR(MAX(0,MIN(100,odk_kaliteTaban-IF(N($O97)&lt;odk_esikOee,odk_kaliteCeza,0)-IF($E97&gt;odk_esikDurusDk,odk_kaliteSapma,0)-IF($T97="YETIM",odk_kaliteCeza,0))),0))</f>
        <v/>
      </c>
      <c r="R97" s="19">
        <f>IF($A97="","",IF(OR(N($O97)&lt;odk_esikOee,$E97&gt;odk_esikDurusDk,N($Q97)&lt;odk_esikSaglik),"ALARM","UYGUN"))</f>
        <v/>
      </c>
      <c r="S97" s="19">
        <f>IF($A97="","",1)</f>
        <v/>
      </c>
      <c r="T97" s="19">
        <f>IF($A97="","",IF(OR($B97="",COUNTIF(tblVarliklar[VarlikId],$B97)=0),"YETIM","TAMAM"))</f>
        <v/>
      </c>
    </row>
    <row r="98">
      <c r="A98" s="15" t="n"/>
      <c r="B98" s="15" t="n"/>
      <c r="C98" s="37" t="n"/>
      <c r="D98" s="17" t="n"/>
      <c r="E98" s="17" t="n"/>
      <c r="F98" s="17" t="n"/>
      <c r="G98" s="17" t="n"/>
      <c r="H98" s="15" t="n"/>
      <c r="I98" s="19">
        <f>IF($A98="","",IFERROR(SUMIF(tblVarliklar[VarlikId],$B98,tblVarliklar[IdealCevrim_sn]),odk_varsayilanCevrim))</f>
        <v/>
      </c>
      <c r="J98" s="19">
        <f>IF($A98="","",IFERROR(MAX(0,$D98-$E98),0))</f>
        <v/>
      </c>
      <c r="K98" s="19">
        <f>IF($A98="","",IFERROR($J98/$D98,0))</f>
        <v/>
      </c>
      <c r="L98" s="19">
        <f>IF($A98="","",IFERROR($J98*odk_dakikaSn/$I98,0))</f>
        <v/>
      </c>
      <c r="M98" s="19">
        <f>IF($A98="","",IFERROR($F98/$L98,0))</f>
        <v/>
      </c>
      <c r="N98" s="19">
        <f>IF($A98="","",IFERROR(($F98-$G98)/$F98,0))</f>
        <v/>
      </c>
      <c r="O98" s="19">
        <f>IF($A98="","",IFERROR(N($K98)*N($M98)*N($N98),0))</f>
        <v/>
      </c>
      <c r="P98" s="19">
        <f>IF($A98="","",IFERROR($E98/$D98,0))</f>
        <v/>
      </c>
      <c r="Q98" s="19">
        <f>IF($A98="","",IFERROR(MAX(0,MIN(100,odk_kaliteTaban-IF(N($O98)&lt;odk_esikOee,odk_kaliteCeza,0)-IF($E98&gt;odk_esikDurusDk,odk_kaliteSapma,0)-IF($T98="YETIM",odk_kaliteCeza,0))),0))</f>
        <v/>
      </c>
      <c r="R98" s="19">
        <f>IF($A98="","",IF(OR(N($O98)&lt;odk_esikOee,$E98&gt;odk_esikDurusDk,N($Q98)&lt;odk_esikSaglik),"ALARM","UYGUN"))</f>
        <v/>
      </c>
      <c r="S98" s="19">
        <f>IF($A98="","",1)</f>
        <v/>
      </c>
      <c r="T98" s="19">
        <f>IF($A98="","",IF(OR($B98="",COUNTIF(tblVarliklar[VarlikId],$B98)=0),"YETIM","TAMAM"))</f>
        <v/>
      </c>
    </row>
    <row r="99">
      <c r="A99" s="15" t="n"/>
      <c r="B99" s="15" t="n"/>
      <c r="C99" s="37" t="n"/>
      <c r="D99" s="17" t="n"/>
      <c r="E99" s="17" t="n"/>
      <c r="F99" s="17" t="n"/>
      <c r="G99" s="17" t="n"/>
      <c r="H99" s="15" t="n"/>
      <c r="I99" s="19">
        <f>IF($A99="","",IFERROR(SUMIF(tblVarliklar[VarlikId],$B99,tblVarliklar[IdealCevrim_sn]),odk_varsayilanCevrim))</f>
        <v/>
      </c>
      <c r="J99" s="19">
        <f>IF($A99="","",IFERROR(MAX(0,$D99-$E99),0))</f>
        <v/>
      </c>
      <c r="K99" s="19">
        <f>IF($A99="","",IFERROR($J99/$D99,0))</f>
        <v/>
      </c>
      <c r="L99" s="19">
        <f>IF($A99="","",IFERROR($J99*odk_dakikaSn/$I99,0))</f>
        <v/>
      </c>
      <c r="M99" s="19">
        <f>IF($A99="","",IFERROR($F99/$L99,0))</f>
        <v/>
      </c>
      <c r="N99" s="19">
        <f>IF($A99="","",IFERROR(($F99-$G99)/$F99,0))</f>
        <v/>
      </c>
      <c r="O99" s="19">
        <f>IF($A99="","",IFERROR(N($K99)*N($M99)*N($N99),0))</f>
        <v/>
      </c>
      <c r="P99" s="19">
        <f>IF($A99="","",IFERROR($E99/$D99,0))</f>
        <v/>
      </c>
      <c r="Q99" s="19">
        <f>IF($A99="","",IFERROR(MAX(0,MIN(100,odk_kaliteTaban-IF(N($O99)&lt;odk_esikOee,odk_kaliteCeza,0)-IF($E99&gt;odk_esikDurusDk,odk_kaliteSapma,0)-IF($T99="YETIM",odk_kaliteCeza,0))),0))</f>
        <v/>
      </c>
      <c r="R99" s="19">
        <f>IF($A99="","",IF(OR(N($O99)&lt;odk_esikOee,$E99&gt;odk_esikDurusDk,N($Q99)&lt;odk_esikSaglik),"ALARM","UYGUN"))</f>
        <v/>
      </c>
      <c r="S99" s="19">
        <f>IF($A99="","",1)</f>
        <v/>
      </c>
      <c r="T99" s="19">
        <f>IF($A99="","",IF(OR($B99="",COUNTIF(tblVarliklar[VarlikId],$B99)=0),"YETIM","TAMAM"))</f>
        <v/>
      </c>
    </row>
    <row r="100">
      <c r="A100" s="15" t="n"/>
      <c r="B100" s="15" t="n"/>
      <c r="C100" s="37" t="n"/>
      <c r="D100" s="17" t="n"/>
      <c r="E100" s="17" t="n"/>
      <c r="F100" s="17" t="n"/>
      <c r="G100" s="17" t="n"/>
      <c r="H100" s="15" t="n"/>
      <c r="I100" s="19">
        <f>IF($A100="","",IFERROR(SUMIF(tblVarliklar[VarlikId],$B100,tblVarliklar[IdealCevrim_sn]),odk_varsayilanCevrim))</f>
        <v/>
      </c>
      <c r="J100" s="19">
        <f>IF($A100="","",IFERROR(MAX(0,$D100-$E100),0))</f>
        <v/>
      </c>
      <c r="K100" s="19">
        <f>IF($A100="","",IFERROR($J100/$D100,0))</f>
        <v/>
      </c>
      <c r="L100" s="19">
        <f>IF($A100="","",IFERROR($J100*odk_dakikaSn/$I100,0))</f>
        <v/>
      </c>
      <c r="M100" s="19">
        <f>IF($A100="","",IFERROR($F100/$L100,0))</f>
        <v/>
      </c>
      <c r="N100" s="19">
        <f>IF($A100="","",IFERROR(($F100-$G100)/$F100,0))</f>
        <v/>
      </c>
      <c r="O100" s="19">
        <f>IF($A100="","",IFERROR(N($K100)*N($M100)*N($N100),0))</f>
        <v/>
      </c>
      <c r="P100" s="19">
        <f>IF($A100="","",IFERROR($E100/$D100,0))</f>
        <v/>
      </c>
      <c r="Q100" s="19">
        <f>IF($A100="","",IFERROR(MAX(0,MIN(100,odk_kaliteTaban-IF(N($O100)&lt;odk_esikOee,odk_kaliteCeza,0)-IF($E100&gt;odk_esikDurusDk,odk_kaliteSapma,0)-IF($T100="YETIM",odk_kaliteCeza,0))),0))</f>
        <v/>
      </c>
      <c r="R100" s="19">
        <f>IF($A100="","",IF(OR(N($O100)&lt;odk_esikOee,$E100&gt;odk_esikDurusDk,N($Q100)&lt;odk_esikSaglik),"ALARM","UYGUN"))</f>
        <v/>
      </c>
      <c r="S100" s="19">
        <f>IF($A100="","",1)</f>
        <v/>
      </c>
      <c r="T100" s="19">
        <f>IF($A100="","",IF(OR($B100="",COUNTIF(tblVarliklar[VarlikId],$B100)=0),"YETIM","TAMAM"))</f>
        <v/>
      </c>
    </row>
    <row r="101">
      <c r="A101" s="15" t="n"/>
      <c r="B101" s="15" t="n"/>
      <c r="C101" s="37" t="n"/>
      <c r="D101" s="17" t="n"/>
      <c r="E101" s="17" t="n"/>
      <c r="F101" s="17" t="n"/>
      <c r="G101" s="17" t="n"/>
      <c r="H101" s="15" t="n"/>
      <c r="I101" s="19">
        <f>IF($A101="","",IFERROR(SUMIF(tblVarliklar[VarlikId],$B101,tblVarliklar[IdealCevrim_sn]),odk_varsayilanCevrim))</f>
        <v/>
      </c>
      <c r="J101" s="19">
        <f>IF($A101="","",IFERROR(MAX(0,$D101-$E101),0))</f>
        <v/>
      </c>
      <c r="K101" s="19">
        <f>IF($A101="","",IFERROR($J101/$D101,0))</f>
        <v/>
      </c>
      <c r="L101" s="19">
        <f>IF($A101="","",IFERROR($J101*odk_dakikaSn/$I101,0))</f>
        <v/>
      </c>
      <c r="M101" s="19">
        <f>IF($A101="","",IFERROR($F101/$L101,0))</f>
        <v/>
      </c>
      <c r="N101" s="19">
        <f>IF($A101="","",IFERROR(($F101-$G101)/$F101,0))</f>
        <v/>
      </c>
      <c r="O101" s="19">
        <f>IF($A101="","",IFERROR(N($K101)*N($M101)*N($N101),0))</f>
        <v/>
      </c>
      <c r="P101" s="19">
        <f>IF($A101="","",IFERROR($E101/$D101,0))</f>
        <v/>
      </c>
      <c r="Q101" s="19">
        <f>IF($A101="","",IFERROR(MAX(0,MIN(100,odk_kaliteTaban-IF(N($O101)&lt;odk_esikOee,odk_kaliteCeza,0)-IF($E101&gt;odk_esikDurusDk,odk_kaliteSapma,0)-IF($T101="YETIM",odk_kaliteCeza,0))),0))</f>
        <v/>
      </c>
      <c r="R101" s="19">
        <f>IF($A101="","",IF(OR(N($O101)&lt;odk_esikOee,$E101&gt;odk_esikDurusDk,N($Q101)&lt;odk_esikSaglik),"ALARM","UYGUN"))</f>
        <v/>
      </c>
      <c r="S101" s="19">
        <f>IF($A101="","",1)</f>
        <v/>
      </c>
      <c r="T101" s="19">
        <f>IF($A101="","",IF(OR($B101="",COUNTIF(tblVarliklar[VarlikId],$B101)=0),"YETIM","TAMAM"))</f>
        <v/>
      </c>
    </row>
    <row r="102">
      <c r="A102" s="15" t="n"/>
      <c r="B102" s="15" t="n"/>
      <c r="C102" s="37" t="n"/>
      <c r="D102" s="17" t="n"/>
      <c r="E102" s="17" t="n"/>
      <c r="F102" s="17" t="n"/>
      <c r="G102" s="17" t="n"/>
      <c r="H102" s="15" t="n"/>
      <c r="I102" s="19">
        <f>IF($A102="","",IFERROR(SUMIF(tblVarliklar[VarlikId],$B102,tblVarliklar[IdealCevrim_sn]),odk_varsayilanCevrim))</f>
        <v/>
      </c>
      <c r="J102" s="19">
        <f>IF($A102="","",IFERROR(MAX(0,$D102-$E102),0))</f>
        <v/>
      </c>
      <c r="K102" s="19">
        <f>IF($A102="","",IFERROR($J102/$D102,0))</f>
        <v/>
      </c>
      <c r="L102" s="19">
        <f>IF($A102="","",IFERROR($J102*odk_dakikaSn/$I102,0))</f>
        <v/>
      </c>
      <c r="M102" s="19">
        <f>IF($A102="","",IFERROR($F102/$L102,0))</f>
        <v/>
      </c>
      <c r="N102" s="19">
        <f>IF($A102="","",IFERROR(($F102-$G102)/$F102,0))</f>
        <v/>
      </c>
      <c r="O102" s="19">
        <f>IF($A102="","",IFERROR(N($K102)*N($M102)*N($N102),0))</f>
        <v/>
      </c>
      <c r="P102" s="19">
        <f>IF($A102="","",IFERROR($E102/$D102,0))</f>
        <v/>
      </c>
      <c r="Q102" s="19">
        <f>IF($A102="","",IFERROR(MAX(0,MIN(100,odk_kaliteTaban-IF(N($O102)&lt;odk_esikOee,odk_kaliteCeza,0)-IF($E102&gt;odk_esikDurusDk,odk_kaliteSapma,0)-IF($T102="YETIM",odk_kaliteCeza,0))),0))</f>
        <v/>
      </c>
      <c r="R102" s="19">
        <f>IF($A102="","",IF(OR(N($O102)&lt;odk_esikOee,$E102&gt;odk_esikDurusDk,N($Q102)&lt;odk_esikSaglik),"ALARM","UYGUN"))</f>
        <v/>
      </c>
      <c r="S102" s="19">
        <f>IF($A102="","",1)</f>
        <v/>
      </c>
      <c r="T102" s="19">
        <f>IF($A102="","",IF(OR($B102="",COUNTIF(tblVarliklar[VarlikId],$B102)=0),"YETIM","TAMAM"))</f>
        <v/>
      </c>
    </row>
    <row r="103">
      <c r="A103" s="15" t="n"/>
      <c r="B103" s="15" t="n"/>
      <c r="C103" s="37" t="n"/>
      <c r="D103" s="17" t="n"/>
      <c r="E103" s="17" t="n"/>
      <c r="F103" s="17" t="n"/>
      <c r="G103" s="17" t="n"/>
      <c r="H103" s="15" t="n"/>
      <c r="I103" s="19">
        <f>IF($A103="","",IFERROR(SUMIF(tblVarliklar[VarlikId],$B103,tblVarliklar[IdealCevrim_sn]),odk_varsayilanCevrim))</f>
        <v/>
      </c>
      <c r="J103" s="19">
        <f>IF($A103="","",IFERROR(MAX(0,$D103-$E103),0))</f>
        <v/>
      </c>
      <c r="K103" s="19">
        <f>IF($A103="","",IFERROR($J103/$D103,0))</f>
        <v/>
      </c>
      <c r="L103" s="19">
        <f>IF($A103="","",IFERROR($J103*odk_dakikaSn/$I103,0))</f>
        <v/>
      </c>
      <c r="M103" s="19">
        <f>IF($A103="","",IFERROR($F103/$L103,0))</f>
        <v/>
      </c>
      <c r="N103" s="19">
        <f>IF($A103="","",IFERROR(($F103-$G103)/$F103,0))</f>
        <v/>
      </c>
      <c r="O103" s="19">
        <f>IF($A103="","",IFERROR(N($K103)*N($M103)*N($N103),0))</f>
        <v/>
      </c>
      <c r="P103" s="19">
        <f>IF($A103="","",IFERROR($E103/$D103,0))</f>
        <v/>
      </c>
      <c r="Q103" s="19">
        <f>IF($A103="","",IFERROR(MAX(0,MIN(100,odk_kaliteTaban-IF(N($O103)&lt;odk_esikOee,odk_kaliteCeza,0)-IF($E103&gt;odk_esikDurusDk,odk_kaliteSapma,0)-IF($T103="YETIM",odk_kaliteCeza,0))),0))</f>
        <v/>
      </c>
      <c r="R103" s="19">
        <f>IF($A103="","",IF(OR(N($O103)&lt;odk_esikOee,$E103&gt;odk_esikDurusDk,N($Q103)&lt;odk_esikSaglik),"ALARM","UYGUN"))</f>
        <v/>
      </c>
      <c r="S103" s="19">
        <f>IF($A103="","",1)</f>
        <v/>
      </c>
      <c r="T103" s="19">
        <f>IF($A103="","",IF(OR($B103="",COUNTIF(tblVarliklar[VarlikId],$B103)=0),"YETIM","TAMAM"))</f>
        <v/>
      </c>
    </row>
    <row r="104">
      <c r="A104" s="15" t="n"/>
      <c r="B104" s="15" t="n"/>
      <c r="C104" s="37" t="n"/>
      <c r="D104" s="17" t="n"/>
      <c r="E104" s="17" t="n"/>
      <c r="F104" s="17" t="n"/>
      <c r="G104" s="17" t="n"/>
      <c r="H104" s="15" t="n"/>
      <c r="I104" s="19">
        <f>IF($A104="","",IFERROR(SUMIF(tblVarliklar[VarlikId],$B104,tblVarliklar[IdealCevrim_sn]),odk_varsayilanCevrim))</f>
        <v/>
      </c>
      <c r="J104" s="19">
        <f>IF($A104="","",IFERROR(MAX(0,$D104-$E104),0))</f>
        <v/>
      </c>
      <c r="K104" s="19">
        <f>IF($A104="","",IFERROR($J104/$D104,0))</f>
        <v/>
      </c>
      <c r="L104" s="19">
        <f>IF($A104="","",IFERROR($J104*odk_dakikaSn/$I104,0))</f>
        <v/>
      </c>
      <c r="M104" s="19">
        <f>IF($A104="","",IFERROR($F104/$L104,0))</f>
        <v/>
      </c>
      <c r="N104" s="19">
        <f>IF($A104="","",IFERROR(($F104-$G104)/$F104,0))</f>
        <v/>
      </c>
      <c r="O104" s="19">
        <f>IF($A104="","",IFERROR(N($K104)*N($M104)*N($N104),0))</f>
        <v/>
      </c>
      <c r="P104" s="19">
        <f>IF($A104="","",IFERROR($E104/$D104,0))</f>
        <v/>
      </c>
      <c r="Q104" s="19">
        <f>IF($A104="","",IFERROR(MAX(0,MIN(100,odk_kaliteTaban-IF(N($O104)&lt;odk_esikOee,odk_kaliteCeza,0)-IF($E104&gt;odk_esikDurusDk,odk_kaliteSapma,0)-IF($T104="YETIM",odk_kaliteCeza,0))),0))</f>
        <v/>
      </c>
      <c r="R104" s="19">
        <f>IF($A104="","",IF(OR(N($O104)&lt;odk_esikOee,$E104&gt;odk_esikDurusDk,N($Q104)&lt;odk_esikSaglik),"ALARM","UYGUN"))</f>
        <v/>
      </c>
      <c r="S104" s="19">
        <f>IF($A104="","",1)</f>
        <v/>
      </c>
      <c r="T104" s="19">
        <f>IF($A104="","",IF(OR($B104="",COUNTIF(tblVarliklar[VarlikId],$B104)=0),"YETIM","TAMAM"))</f>
        <v/>
      </c>
    </row>
    <row r="105">
      <c r="A105" s="15" t="n"/>
      <c r="B105" s="15" t="n"/>
      <c r="C105" s="37" t="n"/>
      <c r="D105" s="17" t="n"/>
      <c r="E105" s="17" t="n"/>
      <c r="F105" s="17" t="n"/>
      <c r="G105" s="17" t="n"/>
      <c r="H105" s="15" t="n"/>
      <c r="I105" s="19">
        <f>IF($A105="","",IFERROR(SUMIF(tblVarliklar[VarlikId],$B105,tblVarliklar[IdealCevrim_sn]),odk_varsayilanCevrim))</f>
        <v/>
      </c>
      <c r="J105" s="19">
        <f>IF($A105="","",IFERROR(MAX(0,$D105-$E105),0))</f>
        <v/>
      </c>
      <c r="K105" s="19">
        <f>IF($A105="","",IFERROR($J105/$D105,0))</f>
        <v/>
      </c>
      <c r="L105" s="19">
        <f>IF($A105="","",IFERROR($J105*odk_dakikaSn/$I105,0))</f>
        <v/>
      </c>
      <c r="M105" s="19">
        <f>IF($A105="","",IFERROR($F105/$L105,0))</f>
        <v/>
      </c>
      <c r="N105" s="19">
        <f>IF($A105="","",IFERROR(($F105-$G105)/$F105,0))</f>
        <v/>
      </c>
      <c r="O105" s="19">
        <f>IF($A105="","",IFERROR(N($K105)*N($M105)*N($N105),0))</f>
        <v/>
      </c>
      <c r="P105" s="19">
        <f>IF($A105="","",IFERROR($E105/$D105,0))</f>
        <v/>
      </c>
      <c r="Q105" s="19">
        <f>IF($A105="","",IFERROR(MAX(0,MIN(100,odk_kaliteTaban-IF(N($O105)&lt;odk_esikOee,odk_kaliteCeza,0)-IF($E105&gt;odk_esikDurusDk,odk_kaliteSapma,0)-IF($T105="YETIM",odk_kaliteCeza,0))),0))</f>
        <v/>
      </c>
      <c r="R105" s="19">
        <f>IF($A105="","",IF(OR(N($O105)&lt;odk_esikOee,$E105&gt;odk_esikDurusDk,N($Q105)&lt;odk_esikSaglik),"ALARM","UYGUN"))</f>
        <v/>
      </c>
      <c r="S105" s="19">
        <f>IF($A105="","",1)</f>
        <v/>
      </c>
      <c r="T105" s="19">
        <f>IF($A105="","",IF(OR($B105="",COUNTIF(tblVarliklar[VarlikId],$B105)=0),"YETIM","TAMAM"))</f>
        <v/>
      </c>
    </row>
    <row r="106">
      <c r="A106" s="15" t="n"/>
      <c r="B106" s="15" t="n"/>
      <c r="C106" s="37" t="n"/>
      <c r="D106" s="17" t="n"/>
      <c r="E106" s="17" t="n"/>
      <c r="F106" s="17" t="n"/>
      <c r="G106" s="17" t="n"/>
      <c r="H106" s="15" t="n"/>
      <c r="I106" s="19">
        <f>IF($A106="","",IFERROR(SUMIF(tblVarliklar[VarlikId],$B106,tblVarliklar[IdealCevrim_sn]),odk_varsayilanCevrim))</f>
        <v/>
      </c>
      <c r="J106" s="19">
        <f>IF($A106="","",IFERROR(MAX(0,$D106-$E106),0))</f>
        <v/>
      </c>
      <c r="K106" s="19">
        <f>IF($A106="","",IFERROR($J106/$D106,0))</f>
        <v/>
      </c>
      <c r="L106" s="19">
        <f>IF($A106="","",IFERROR($J106*odk_dakikaSn/$I106,0))</f>
        <v/>
      </c>
      <c r="M106" s="19">
        <f>IF($A106="","",IFERROR($F106/$L106,0))</f>
        <v/>
      </c>
      <c r="N106" s="19">
        <f>IF($A106="","",IFERROR(($F106-$G106)/$F106,0))</f>
        <v/>
      </c>
      <c r="O106" s="19">
        <f>IF($A106="","",IFERROR(N($K106)*N($M106)*N($N106),0))</f>
        <v/>
      </c>
      <c r="P106" s="19">
        <f>IF($A106="","",IFERROR($E106/$D106,0))</f>
        <v/>
      </c>
      <c r="Q106" s="19">
        <f>IF($A106="","",IFERROR(MAX(0,MIN(100,odk_kaliteTaban-IF(N($O106)&lt;odk_esikOee,odk_kaliteCeza,0)-IF($E106&gt;odk_esikDurusDk,odk_kaliteSapma,0)-IF($T106="YETIM",odk_kaliteCeza,0))),0))</f>
        <v/>
      </c>
      <c r="R106" s="19">
        <f>IF($A106="","",IF(OR(N($O106)&lt;odk_esikOee,$E106&gt;odk_esikDurusDk,N($Q106)&lt;odk_esikSaglik),"ALARM","UYGUN"))</f>
        <v/>
      </c>
      <c r="S106" s="19">
        <f>IF($A106="","",1)</f>
        <v/>
      </c>
      <c r="T106" s="19">
        <f>IF($A106="","",IF(OR($B106="",COUNTIF(tblVarliklar[VarlikId],$B106)=0),"YETIM","TAMAM"))</f>
        <v/>
      </c>
    </row>
    <row r="107">
      <c r="A107" s="15" t="n"/>
      <c r="B107" s="15" t="n"/>
      <c r="C107" s="37" t="n"/>
      <c r="D107" s="17" t="n"/>
      <c r="E107" s="17" t="n"/>
      <c r="F107" s="17" t="n"/>
      <c r="G107" s="17" t="n"/>
      <c r="H107" s="15" t="n"/>
      <c r="I107" s="19">
        <f>IF($A107="","",IFERROR(SUMIF(tblVarliklar[VarlikId],$B107,tblVarliklar[IdealCevrim_sn]),odk_varsayilanCevrim))</f>
        <v/>
      </c>
      <c r="J107" s="19">
        <f>IF($A107="","",IFERROR(MAX(0,$D107-$E107),0))</f>
        <v/>
      </c>
      <c r="K107" s="19">
        <f>IF($A107="","",IFERROR($J107/$D107,0))</f>
        <v/>
      </c>
      <c r="L107" s="19">
        <f>IF($A107="","",IFERROR($J107*odk_dakikaSn/$I107,0))</f>
        <v/>
      </c>
      <c r="M107" s="19">
        <f>IF($A107="","",IFERROR($F107/$L107,0))</f>
        <v/>
      </c>
      <c r="N107" s="19">
        <f>IF($A107="","",IFERROR(($F107-$G107)/$F107,0))</f>
        <v/>
      </c>
      <c r="O107" s="19">
        <f>IF($A107="","",IFERROR(N($K107)*N($M107)*N($N107),0))</f>
        <v/>
      </c>
      <c r="P107" s="19">
        <f>IF($A107="","",IFERROR($E107/$D107,0))</f>
        <v/>
      </c>
      <c r="Q107" s="19">
        <f>IF($A107="","",IFERROR(MAX(0,MIN(100,odk_kaliteTaban-IF(N($O107)&lt;odk_esikOee,odk_kaliteCeza,0)-IF($E107&gt;odk_esikDurusDk,odk_kaliteSapma,0)-IF($T107="YETIM",odk_kaliteCeza,0))),0))</f>
        <v/>
      </c>
      <c r="R107" s="19">
        <f>IF($A107="","",IF(OR(N($O107)&lt;odk_esikOee,$E107&gt;odk_esikDurusDk,N($Q107)&lt;odk_esikSaglik),"ALARM","UYGUN"))</f>
        <v/>
      </c>
      <c r="S107" s="19">
        <f>IF($A107="","",1)</f>
        <v/>
      </c>
      <c r="T107" s="19">
        <f>IF($A107="","",IF(OR($B107="",COUNTIF(tblVarliklar[VarlikId],$B107)=0),"YETIM","TAMAM"))</f>
        <v/>
      </c>
    </row>
    <row r="108">
      <c r="A108" s="15" t="n"/>
      <c r="B108" s="15" t="n"/>
      <c r="C108" s="37" t="n"/>
      <c r="D108" s="17" t="n"/>
      <c r="E108" s="17" t="n"/>
      <c r="F108" s="17" t="n"/>
      <c r="G108" s="17" t="n"/>
      <c r="H108" s="15" t="n"/>
      <c r="I108" s="19">
        <f>IF($A108="","",IFERROR(SUMIF(tblVarliklar[VarlikId],$B108,tblVarliklar[IdealCevrim_sn]),odk_varsayilanCevrim))</f>
        <v/>
      </c>
      <c r="J108" s="19">
        <f>IF($A108="","",IFERROR(MAX(0,$D108-$E108),0))</f>
        <v/>
      </c>
      <c r="K108" s="19">
        <f>IF($A108="","",IFERROR($J108/$D108,0))</f>
        <v/>
      </c>
      <c r="L108" s="19">
        <f>IF($A108="","",IFERROR($J108*odk_dakikaSn/$I108,0))</f>
        <v/>
      </c>
      <c r="M108" s="19">
        <f>IF($A108="","",IFERROR($F108/$L108,0))</f>
        <v/>
      </c>
      <c r="N108" s="19">
        <f>IF($A108="","",IFERROR(($F108-$G108)/$F108,0))</f>
        <v/>
      </c>
      <c r="O108" s="19">
        <f>IF($A108="","",IFERROR(N($K108)*N($M108)*N($N108),0))</f>
        <v/>
      </c>
      <c r="P108" s="19">
        <f>IF($A108="","",IFERROR($E108/$D108,0))</f>
        <v/>
      </c>
      <c r="Q108" s="19">
        <f>IF($A108="","",IFERROR(MAX(0,MIN(100,odk_kaliteTaban-IF(N($O108)&lt;odk_esikOee,odk_kaliteCeza,0)-IF($E108&gt;odk_esikDurusDk,odk_kaliteSapma,0)-IF($T108="YETIM",odk_kaliteCeza,0))),0))</f>
        <v/>
      </c>
      <c r="R108" s="19">
        <f>IF($A108="","",IF(OR(N($O108)&lt;odk_esikOee,$E108&gt;odk_esikDurusDk,N($Q108)&lt;odk_esikSaglik),"ALARM","UYGUN"))</f>
        <v/>
      </c>
      <c r="S108" s="19">
        <f>IF($A108="","",1)</f>
        <v/>
      </c>
      <c r="T108" s="19">
        <f>IF($A108="","",IF(OR($B108="",COUNTIF(tblVarliklar[VarlikId],$B108)=0),"YETIM","TAMAM"))</f>
        <v/>
      </c>
    </row>
    <row r="109">
      <c r="A109" s="15" t="n"/>
      <c r="B109" s="15" t="n"/>
      <c r="C109" s="37" t="n"/>
      <c r="D109" s="17" t="n"/>
      <c r="E109" s="17" t="n"/>
      <c r="F109" s="17" t="n"/>
      <c r="G109" s="17" t="n"/>
      <c r="H109" s="15" t="n"/>
      <c r="I109" s="19">
        <f>IF($A109="","",IFERROR(SUMIF(tblVarliklar[VarlikId],$B109,tblVarliklar[IdealCevrim_sn]),odk_varsayilanCevrim))</f>
        <v/>
      </c>
      <c r="J109" s="19">
        <f>IF($A109="","",IFERROR(MAX(0,$D109-$E109),0))</f>
        <v/>
      </c>
      <c r="K109" s="19">
        <f>IF($A109="","",IFERROR($J109/$D109,0))</f>
        <v/>
      </c>
      <c r="L109" s="19">
        <f>IF($A109="","",IFERROR($J109*odk_dakikaSn/$I109,0))</f>
        <v/>
      </c>
      <c r="M109" s="19">
        <f>IF($A109="","",IFERROR($F109/$L109,0))</f>
        <v/>
      </c>
      <c r="N109" s="19">
        <f>IF($A109="","",IFERROR(($F109-$G109)/$F109,0))</f>
        <v/>
      </c>
      <c r="O109" s="19">
        <f>IF($A109="","",IFERROR(N($K109)*N($M109)*N($N109),0))</f>
        <v/>
      </c>
      <c r="P109" s="19">
        <f>IF($A109="","",IFERROR($E109/$D109,0))</f>
        <v/>
      </c>
      <c r="Q109" s="19">
        <f>IF($A109="","",IFERROR(MAX(0,MIN(100,odk_kaliteTaban-IF(N($O109)&lt;odk_esikOee,odk_kaliteCeza,0)-IF($E109&gt;odk_esikDurusDk,odk_kaliteSapma,0)-IF($T109="YETIM",odk_kaliteCeza,0))),0))</f>
        <v/>
      </c>
      <c r="R109" s="19">
        <f>IF($A109="","",IF(OR(N($O109)&lt;odk_esikOee,$E109&gt;odk_esikDurusDk,N($Q109)&lt;odk_esikSaglik),"ALARM","UYGUN"))</f>
        <v/>
      </c>
      <c r="S109" s="19">
        <f>IF($A109="","",1)</f>
        <v/>
      </c>
      <c r="T109" s="19">
        <f>IF($A109="","",IF(OR($B109="",COUNTIF(tblVarliklar[VarlikId],$B109)=0),"YETIM","TAMAM"))</f>
        <v/>
      </c>
    </row>
    <row r="110">
      <c r="A110" s="15" t="n"/>
      <c r="B110" s="15" t="n"/>
      <c r="C110" s="37" t="n"/>
      <c r="D110" s="17" t="n"/>
      <c r="E110" s="17" t="n"/>
      <c r="F110" s="17" t="n"/>
      <c r="G110" s="17" t="n"/>
      <c r="H110" s="15" t="n"/>
      <c r="I110" s="19">
        <f>IF($A110="","",IFERROR(SUMIF(tblVarliklar[VarlikId],$B110,tblVarliklar[IdealCevrim_sn]),odk_varsayilanCevrim))</f>
        <v/>
      </c>
      <c r="J110" s="19">
        <f>IF($A110="","",IFERROR(MAX(0,$D110-$E110),0))</f>
        <v/>
      </c>
      <c r="K110" s="19">
        <f>IF($A110="","",IFERROR($J110/$D110,0))</f>
        <v/>
      </c>
      <c r="L110" s="19">
        <f>IF($A110="","",IFERROR($J110*odk_dakikaSn/$I110,0))</f>
        <v/>
      </c>
      <c r="M110" s="19">
        <f>IF($A110="","",IFERROR($F110/$L110,0))</f>
        <v/>
      </c>
      <c r="N110" s="19">
        <f>IF($A110="","",IFERROR(($F110-$G110)/$F110,0))</f>
        <v/>
      </c>
      <c r="O110" s="19">
        <f>IF($A110="","",IFERROR(N($K110)*N($M110)*N($N110),0))</f>
        <v/>
      </c>
      <c r="P110" s="19">
        <f>IF($A110="","",IFERROR($E110/$D110,0))</f>
        <v/>
      </c>
      <c r="Q110" s="19">
        <f>IF($A110="","",IFERROR(MAX(0,MIN(100,odk_kaliteTaban-IF(N($O110)&lt;odk_esikOee,odk_kaliteCeza,0)-IF($E110&gt;odk_esikDurusDk,odk_kaliteSapma,0)-IF($T110="YETIM",odk_kaliteCeza,0))),0))</f>
        <v/>
      </c>
      <c r="R110" s="19">
        <f>IF($A110="","",IF(OR(N($O110)&lt;odk_esikOee,$E110&gt;odk_esikDurusDk,N($Q110)&lt;odk_esikSaglik),"ALARM","UYGUN"))</f>
        <v/>
      </c>
      <c r="S110" s="19">
        <f>IF($A110="","",1)</f>
        <v/>
      </c>
      <c r="T110" s="19">
        <f>IF($A110="","",IF(OR($B110="",COUNTIF(tblVarliklar[VarlikId],$B110)=0),"YETIM","TAMAM"))</f>
        <v/>
      </c>
    </row>
    <row r="111">
      <c r="A111" s="15" t="n"/>
      <c r="B111" s="15" t="n"/>
      <c r="C111" s="37" t="n"/>
      <c r="D111" s="17" t="n"/>
      <c r="E111" s="17" t="n"/>
      <c r="F111" s="17" t="n"/>
      <c r="G111" s="17" t="n"/>
      <c r="H111" s="15" t="n"/>
      <c r="I111" s="19">
        <f>IF($A111="","",IFERROR(SUMIF(tblVarliklar[VarlikId],$B111,tblVarliklar[IdealCevrim_sn]),odk_varsayilanCevrim))</f>
        <v/>
      </c>
      <c r="J111" s="19">
        <f>IF($A111="","",IFERROR(MAX(0,$D111-$E111),0))</f>
        <v/>
      </c>
      <c r="K111" s="19">
        <f>IF($A111="","",IFERROR($J111/$D111,0))</f>
        <v/>
      </c>
      <c r="L111" s="19">
        <f>IF($A111="","",IFERROR($J111*odk_dakikaSn/$I111,0))</f>
        <v/>
      </c>
      <c r="M111" s="19">
        <f>IF($A111="","",IFERROR($F111/$L111,0))</f>
        <v/>
      </c>
      <c r="N111" s="19">
        <f>IF($A111="","",IFERROR(($F111-$G111)/$F111,0))</f>
        <v/>
      </c>
      <c r="O111" s="19">
        <f>IF($A111="","",IFERROR(N($K111)*N($M111)*N($N111),0))</f>
        <v/>
      </c>
      <c r="P111" s="19">
        <f>IF($A111="","",IFERROR($E111/$D111,0))</f>
        <v/>
      </c>
      <c r="Q111" s="19">
        <f>IF($A111="","",IFERROR(MAX(0,MIN(100,odk_kaliteTaban-IF(N($O111)&lt;odk_esikOee,odk_kaliteCeza,0)-IF($E111&gt;odk_esikDurusDk,odk_kaliteSapma,0)-IF($T111="YETIM",odk_kaliteCeza,0))),0))</f>
        <v/>
      </c>
      <c r="R111" s="19">
        <f>IF($A111="","",IF(OR(N($O111)&lt;odk_esikOee,$E111&gt;odk_esikDurusDk,N($Q111)&lt;odk_esikSaglik),"ALARM","UYGUN"))</f>
        <v/>
      </c>
      <c r="S111" s="19">
        <f>IF($A111="","",1)</f>
        <v/>
      </c>
      <c r="T111" s="19">
        <f>IF($A111="","",IF(OR($B111="",COUNTIF(tblVarliklar[VarlikId],$B111)=0),"YETIM","TAMAM"))</f>
        <v/>
      </c>
    </row>
    <row r="112">
      <c r="A112" s="15" t="n"/>
      <c r="B112" s="15" t="n"/>
      <c r="C112" s="37" t="n"/>
      <c r="D112" s="17" t="n"/>
      <c r="E112" s="17" t="n"/>
      <c r="F112" s="17" t="n"/>
      <c r="G112" s="17" t="n"/>
      <c r="H112" s="15" t="n"/>
      <c r="I112" s="19">
        <f>IF($A112="","",IFERROR(SUMIF(tblVarliklar[VarlikId],$B112,tblVarliklar[IdealCevrim_sn]),odk_varsayilanCevrim))</f>
        <v/>
      </c>
      <c r="J112" s="19">
        <f>IF($A112="","",IFERROR(MAX(0,$D112-$E112),0))</f>
        <v/>
      </c>
      <c r="K112" s="19">
        <f>IF($A112="","",IFERROR($J112/$D112,0))</f>
        <v/>
      </c>
      <c r="L112" s="19">
        <f>IF($A112="","",IFERROR($J112*odk_dakikaSn/$I112,0))</f>
        <v/>
      </c>
      <c r="M112" s="19">
        <f>IF($A112="","",IFERROR($F112/$L112,0))</f>
        <v/>
      </c>
      <c r="N112" s="19">
        <f>IF($A112="","",IFERROR(($F112-$G112)/$F112,0))</f>
        <v/>
      </c>
      <c r="O112" s="19">
        <f>IF($A112="","",IFERROR(N($K112)*N($M112)*N($N112),0))</f>
        <v/>
      </c>
      <c r="P112" s="19">
        <f>IF($A112="","",IFERROR($E112/$D112,0))</f>
        <v/>
      </c>
      <c r="Q112" s="19">
        <f>IF($A112="","",IFERROR(MAX(0,MIN(100,odk_kaliteTaban-IF(N($O112)&lt;odk_esikOee,odk_kaliteCeza,0)-IF($E112&gt;odk_esikDurusDk,odk_kaliteSapma,0)-IF($T112="YETIM",odk_kaliteCeza,0))),0))</f>
        <v/>
      </c>
      <c r="R112" s="19">
        <f>IF($A112="","",IF(OR(N($O112)&lt;odk_esikOee,$E112&gt;odk_esikDurusDk,N($Q112)&lt;odk_esikSaglik),"ALARM","UYGUN"))</f>
        <v/>
      </c>
      <c r="S112" s="19">
        <f>IF($A112="","",1)</f>
        <v/>
      </c>
      <c r="T112" s="19">
        <f>IF($A112="","",IF(OR($B112="",COUNTIF(tblVarliklar[VarlikId],$B112)=0),"YETIM","TAMAM"))</f>
        <v/>
      </c>
    </row>
    <row r="113">
      <c r="A113" s="15" t="n"/>
      <c r="B113" s="15" t="n"/>
      <c r="C113" s="37" t="n"/>
      <c r="D113" s="17" t="n"/>
      <c r="E113" s="17" t="n"/>
      <c r="F113" s="17" t="n"/>
      <c r="G113" s="17" t="n"/>
      <c r="H113" s="15" t="n"/>
      <c r="I113" s="19">
        <f>IF($A113="","",IFERROR(SUMIF(tblVarliklar[VarlikId],$B113,tblVarliklar[IdealCevrim_sn]),odk_varsayilanCevrim))</f>
        <v/>
      </c>
      <c r="J113" s="19">
        <f>IF($A113="","",IFERROR(MAX(0,$D113-$E113),0))</f>
        <v/>
      </c>
      <c r="K113" s="19">
        <f>IF($A113="","",IFERROR($J113/$D113,0))</f>
        <v/>
      </c>
      <c r="L113" s="19">
        <f>IF($A113="","",IFERROR($J113*odk_dakikaSn/$I113,0))</f>
        <v/>
      </c>
      <c r="M113" s="19">
        <f>IF($A113="","",IFERROR($F113/$L113,0))</f>
        <v/>
      </c>
      <c r="N113" s="19">
        <f>IF($A113="","",IFERROR(($F113-$G113)/$F113,0))</f>
        <v/>
      </c>
      <c r="O113" s="19">
        <f>IF($A113="","",IFERROR(N($K113)*N($M113)*N($N113),0))</f>
        <v/>
      </c>
      <c r="P113" s="19">
        <f>IF($A113="","",IFERROR($E113/$D113,0))</f>
        <v/>
      </c>
      <c r="Q113" s="19">
        <f>IF($A113="","",IFERROR(MAX(0,MIN(100,odk_kaliteTaban-IF(N($O113)&lt;odk_esikOee,odk_kaliteCeza,0)-IF($E113&gt;odk_esikDurusDk,odk_kaliteSapma,0)-IF($T113="YETIM",odk_kaliteCeza,0))),0))</f>
        <v/>
      </c>
      <c r="R113" s="19">
        <f>IF($A113="","",IF(OR(N($O113)&lt;odk_esikOee,$E113&gt;odk_esikDurusDk,N($Q113)&lt;odk_esikSaglik),"ALARM","UYGUN"))</f>
        <v/>
      </c>
      <c r="S113" s="19">
        <f>IF($A113="","",1)</f>
        <v/>
      </c>
      <c r="T113" s="19">
        <f>IF($A113="","",IF(OR($B113="",COUNTIF(tblVarliklar[VarlikId],$B113)=0),"YETIM","TAMAM"))</f>
        <v/>
      </c>
    </row>
    <row r="114">
      <c r="A114" s="15" t="n"/>
      <c r="B114" s="15" t="n"/>
      <c r="C114" s="37" t="n"/>
      <c r="D114" s="17" t="n"/>
      <c r="E114" s="17" t="n"/>
      <c r="F114" s="17" t="n"/>
      <c r="G114" s="17" t="n"/>
      <c r="H114" s="15" t="n"/>
      <c r="I114" s="19">
        <f>IF($A114="","",IFERROR(SUMIF(tblVarliklar[VarlikId],$B114,tblVarliklar[IdealCevrim_sn]),odk_varsayilanCevrim))</f>
        <v/>
      </c>
      <c r="J114" s="19">
        <f>IF($A114="","",IFERROR(MAX(0,$D114-$E114),0))</f>
        <v/>
      </c>
      <c r="K114" s="19">
        <f>IF($A114="","",IFERROR($J114/$D114,0))</f>
        <v/>
      </c>
      <c r="L114" s="19">
        <f>IF($A114="","",IFERROR($J114*odk_dakikaSn/$I114,0))</f>
        <v/>
      </c>
      <c r="M114" s="19">
        <f>IF($A114="","",IFERROR($F114/$L114,0))</f>
        <v/>
      </c>
      <c r="N114" s="19">
        <f>IF($A114="","",IFERROR(($F114-$G114)/$F114,0))</f>
        <v/>
      </c>
      <c r="O114" s="19">
        <f>IF($A114="","",IFERROR(N($K114)*N($M114)*N($N114),0))</f>
        <v/>
      </c>
      <c r="P114" s="19">
        <f>IF($A114="","",IFERROR($E114/$D114,0))</f>
        <v/>
      </c>
      <c r="Q114" s="19">
        <f>IF($A114="","",IFERROR(MAX(0,MIN(100,odk_kaliteTaban-IF(N($O114)&lt;odk_esikOee,odk_kaliteCeza,0)-IF($E114&gt;odk_esikDurusDk,odk_kaliteSapma,0)-IF($T114="YETIM",odk_kaliteCeza,0))),0))</f>
        <v/>
      </c>
      <c r="R114" s="19">
        <f>IF($A114="","",IF(OR(N($O114)&lt;odk_esikOee,$E114&gt;odk_esikDurusDk,N($Q114)&lt;odk_esikSaglik),"ALARM","UYGUN"))</f>
        <v/>
      </c>
      <c r="S114" s="19">
        <f>IF($A114="","",1)</f>
        <v/>
      </c>
      <c r="T114" s="19">
        <f>IF($A114="","",IF(OR($B114="",COUNTIF(tblVarliklar[VarlikId],$B114)=0),"YETIM","TAMAM"))</f>
        <v/>
      </c>
    </row>
    <row r="115">
      <c r="A115" s="15" t="n"/>
      <c r="B115" s="15" t="n"/>
      <c r="C115" s="37" t="n"/>
      <c r="D115" s="17" t="n"/>
      <c r="E115" s="17" t="n"/>
      <c r="F115" s="17" t="n"/>
      <c r="G115" s="17" t="n"/>
      <c r="H115" s="15" t="n"/>
      <c r="I115" s="19">
        <f>IF($A115="","",IFERROR(SUMIF(tblVarliklar[VarlikId],$B115,tblVarliklar[IdealCevrim_sn]),odk_varsayilanCevrim))</f>
        <v/>
      </c>
      <c r="J115" s="19">
        <f>IF($A115="","",IFERROR(MAX(0,$D115-$E115),0))</f>
        <v/>
      </c>
      <c r="K115" s="19">
        <f>IF($A115="","",IFERROR($J115/$D115,0))</f>
        <v/>
      </c>
      <c r="L115" s="19">
        <f>IF($A115="","",IFERROR($J115*odk_dakikaSn/$I115,0))</f>
        <v/>
      </c>
      <c r="M115" s="19">
        <f>IF($A115="","",IFERROR($F115/$L115,0))</f>
        <v/>
      </c>
      <c r="N115" s="19">
        <f>IF($A115="","",IFERROR(($F115-$G115)/$F115,0))</f>
        <v/>
      </c>
      <c r="O115" s="19">
        <f>IF($A115="","",IFERROR(N($K115)*N($M115)*N($N115),0))</f>
        <v/>
      </c>
      <c r="P115" s="19">
        <f>IF($A115="","",IFERROR($E115/$D115,0))</f>
        <v/>
      </c>
      <c r="Q115" s="19">
        <f>IF($A115="","",IFERROR(MAX(0,MIN(100,odk_kaliteTaban-IF(N($O115)&lt;odk_esikOee,odk_kaliteCeza,0)-IF($E115&gt;odk_esikDurusDk,odk_kaliteSapma,0)-IF($T115="YETIM",odk_kaliteCeza,0))),0))</f>
        <v/>
      </c>
      <c r="R115" s="19">
        <f>IF($A115="","",IF(OR(N($O115)&lt;odk_esikOee,$E115&gt;odk_esikDurusDk,N($Q115)&lt;odk_esikSaglik),"ALARM","UYGUN"))</f>
        <v/>
      </c>
      <c r="S115" s="19">
        <f>IF($A115="","",1)</f>
        <v/>
      </c>
      <c r="T115" s="19">
        <f>IF($A115="","",IF(OR($B115="",COUNTIF(tblVarliklar[VarlikId],$B115)=0),"YETIM","TAMAM"))</f>
        <v/>
      </c>
    </row>
    <row r="116">
      <c r="A116" s="15" t="n"/>
      <c r="B116" s="15" t="n"/>
      <c r="C116" s="37" t="n"/>
      <c r="D116" s="17" t="n"/>
      <c r="E116" s="17" t="n"/>
      <c r="F116" s="17" t="n"/>
      <c r="G116" s="17" t="n"/>
      <c r="H116" s="15" t="n"/>
      <c r="I116" s="19">
        <f>IF($A116="","",IFERROR(SUMIF(tblVarliklar[VarlikId],$B116,tblVarliklar[IdealCevrim_sn]),odk_varsayilanCevrim))</f>
        <v/>
      </c>
      <c r="J116" s="19">
        <f>IF($A116="","",IFERROR(MAX(0,$D116-$E116),0))</f>
        <v/>
      </c>
      <c r="K116" s="19">
        <f>IF($A116="","",IFERROR($J116/$D116,0))</f>
        <v/>
      </c>
      <c r="L116" s="19">
        <f>IF($A116="","",IFERROR($J116*odk_dakikaSn/$I116,0))</f>
        <v/>
      </c>
      <c r="M116" s="19">
        <f>IF($A116="","",IFERROR($F116/$L116,0))</f>
        <v/>
      </c>
      <c r="N116" s="19">
        <f>IF($A116="","",IFERROR(($F116-$G116)/$F116,0))</f>
        <v/>
      </c>
      <c r="O116" s="19">
        <f>IF($A116="","",IFERROR(N($K116)*N($M116)*N($N116),0))</f>
        <v/>
      </c>
      <c r="P116" s="19">
        <f>IF($A116="","",IFERROR($E116/$D116,0))</f>
        <v/>
      </c>
      <c r="Q116" s="19">
        <f>IF($A116="","",IFERROR(MAX(0,MIN(100,odk_kaliteTaban-IF(N($O116)&lt;odk_esikOee,odk_kaliteCeza,0)-IF($E116&gt;odk_esikDurusDk,odk_kaliteSapma,0)-IF($T116="YETIM",odk_kaliteCeza,0))),0))</f>
        <v/>
      </c>
      <c r="R116" s="19">
        <f>IF($A116="","",IF(OR(N($O116)&lt;odk_esikOee,$E116&gt;odk_esikDurusDk,N($Q116)&lt;odk_esikSaglik),"ALARM","UYGUN"))</f>
        <v/>
      </c>
      <c r="S116" s="19">
        <f>IF($A116="","",1)</f>
        <v/>
      </c>
      <c r="T116" s="19">
        <f>IF($A116="","",IF(OR($B116="",COUNTIF(tblVarliklar[VarlikId],$B116)=0),"YETIM","TAMAM"))</f>
        <v/>
      </c>
    </row>
    <row r="117">
      <c r="A117" s="15" t="n"/>
      <c r="B117" s="15" t="n"/>
      <c r="C117" s="37" t="n"/>
      <c r="D117" s="17" t="n"/>
      <c r="E117" s="17" t="n"/>
      <c r="F117" s="17" t="n"/>
      <c r="G117" s="17" t="n"/>
      <c r="H117" s="15" t="n"/>
      <c r="I117" s="19">
        <f>IF($A117="","",IFERROR(SUMIF(tblVarliklar[VarlikId],$B117,tblVarliklar[IdealCevrim_sn]),odk_varsayilanCevrim))</f>
        <v/>
      </c>
      <c r="J117" s="19">
        <f>IF($A117="","",IFERROR(MAX(0,$D117-$E117),0))</f>
        <v/>
      </c>
      <c r="K117" s="19">
        <f>IF($A117="","",IFERROR($J117/$D117,0))</f>
        <v/>
      </c>
      <c r="L117" s="19">
        <f>IF($A117="","",IFERROR($J117*odk_dakikaSn/$I117,0))</f>
        <v/>
      </c>
      <c r="M117" s="19">
        <f>IF($A117="","",IFERROR($F117/$L117,0))</f>
        <v/>
      </c>
      <c r="N117" s="19">
        <f>IF($A117="","",IFERROR(($F117-$G117)/$F117,0))</f>
        <v/>
      </c>
      <c r="O117" s="19">
        <f>IF($A117="","",IFERROR(N($K117)*N($M117)*N($N117),0))</f>
        <v/>
      </c>
      <c r="P117" s="19">
        <f>IF($A117="","",IFERROR($E117/$D117,0))</f>
        <v/>
      </c>
      <c r="Q117" s="19">
        <f>IF($A117="","",IFERROR(MAX(0,MIN(100,odk_kaliteTaban-IF(N($O117)&lt;odk_esikOee,odk_kaliteCeza,0)-IF($E117&gt;odk_esikDurusDk,odk_kaliteSapma,0)-IF($T117="YETIM",odk_kaliteCeza,0))),0))</f>
        <v/>
      </c>
      <c r="R117" s="19">
        <f>IF($A117="","",IF(OR(N($O117)&lt;odk_esikOee,$E117&gt;odk_esikDurusDk,N($Q117)&lt;odk_esikSaglik),"ALARM","UYGUN"))</f>
        <v/>
      </c>
      <c r="S117" s="19">
        <f>IF($A117="","",1)</f>
        <v/>
      </c>
      <c r="T117" s="19">
        <f>IF($A117="","",IF(OR($B117="",COUNTIF(tblVarliklar[VarlikId],$B117)=0),"YETIM","TAMAM"))</f>
        <v/>
      </c>
    </row>
    <row r="118">
      <c r="A118" s="15" t="n"/>
      <c r="B118" s="15" t="n"/>
      <c r="C118" s="37" t="n"/>
      <c r="D118" s="17" t="n"/>
      <c r="E118" s="17" t="n"/>
      <c r="F118" s="17" t="n"/>
      <c r="G118" s="17" t="n"/>
      <c r="H118" s="15" t="n"/>
      <c r="I118" s="19">
        <f>IF($A118="","",IFERROR(SUMIF(tblVarliklar[VarlikId],$B118,tblVarliklar[IdealCevrim_sn]),odk_varsayilanCevrim))</f>
        <v/>
      </c>
      <c r="J118" s="19">
        <f>IF($A118="","",IFERROR(MAX(0,$D118-$E118),0))</f>
        <v/>
      </c>
      <c r="K118" s="19">
        <f>IF($A118="","",IFERROR($J118/$D118,0))</f>
        <v/>
      </c>
      <c r="L118" s="19">
        <f>IF($A118="","",IFERROR($J118*odk_dakikaSn/$I118,0))</f>
        <v/>
      </c>
      <c r="M118" s="19">
        <f>IF($A118="","",IFERROR($F118/$L118,0))</f>
        <v/>
      </c>
      <c r="N118" s="19">
        <f>IF($A118="","",IFERROR(($F118-$G118)/$F118,0))</f>
        <v/>
      </c>
      <c r="O118" s="19">
        <f>IF($A118="","",IFERROR(N($K118)*N($M118)*N($N118),0))</f>
        <v/>
      </c>
      <c r="P118" s="19">
        <f>IF($A118="","",IFERROR($E118/$D118,0))</f>
        <v/>
      </c>
      <c r="Q118" s="19">
        <f>IF($A118="","",IFERROR(MAX(0,MIN(100,odk_kaliteTaban-IF(N($O118)&lt;odk_esikOee,odk_kaliteCeza,0)-IF($E118&gt;odk_esikDurusDk,odk_kaliteSapma,0)-IF($T118="YETIM",odk_kaliteCeza,0))),0))</f>
        <v/>
      </c>
      <c r="R118" s="19">
        <f>IF($A118="","",IF(OR(N($O118)&lt;odk_esikOee,$E118&gt;odk_esikDurusDk,N($Q118)&lt;odk_esikSaglik),"ALARM","UYGUN"))</f>
        <v/>
      </c>
      <c r="S118" s="19">
        <f>IF($A118="","",1)</f>
        <v/>
      </c>
      <c r="T118" s="19">
        <f>IF($A118="","",IF(OR($B118="",COUNTIF(tblVarliklar[VarlikId],$B118)=0),"YETIM","TAMAM"))</f>
        <v/>
      </c>
    </row>
    <row r="119">
      <c r="A119" s="15" t="n"/>
      <c r="B119" s="15" t="n"/>
      <c r="C119" s="37" t="n"/>
      <c r="D119" s="17" t="n"/>
      <c r="E119" s="17" t="n"/>
      <c r="F119" s="17" t="n"/>
      <c r="G119" s="17" t="n"/>
      <c r="H119" s="15" t="n"/>
      <c r="I119" s="19">
        <f>IF($A119="","",IFERROR(SUMIF(tblVarliklar[VarlikId],$B119,tblVarliklar[IdealCevrim_sn]),odk_varsayilanCevrim))</f>
        <v/>
      </c>
      <c r="J119" s="19">
        <f>IF($A119="","",IFERROR(MAX(0,$D119-$E119),0))</f>
        <v/>
      </c>
      <c r="K119" s="19">
        <f>IF($A119="","",IFERROR($J119/$D119,0))</f>
        <v/>
      </c>
      <c r="L119" s="19">
        <f>IF($A119="","",IFERROR($J119*odk_dakikaSn/$I119,0))</f>
        <v/>
      </c>
      <c r="M119" s="19">
        <f>IF($A119="","",IFERROR($F119/$L119,0))</f>
        <v/>
      </c>
      <c r="N119" s="19">
        <f>IF($A119="","",IFERROR(($F119-$G119)/$F119,0))</f>
        <v/>
      </c>
      <c r="O119" s="19">
        <f>IF($A119="","",IFERROR(N($K119)*N($M119)*N($N119),0))</f>
        <v/>
      </c>
      <c r="P119" s="19">
        <f>IF($A119="","",IFERROR($E119/$D119,0))</f>
        <v/>
      </c>
      <c r="Q119" s="19">
        <f>IF($A119="","",IFERROR(MAX(0,MIN(100,odk_kaliteTaban-IF(N($O119)&lt;odk_esikOee,odk_kaliteCeza,0)-IF($E119&gt;odk_esikDurusDk,odk_kaliteSapma,0)-IF($T119="YETIM",odk_kaliteCeza,0))),0))</f>
        <v/>
      </c>
      <c r="R119" s="19">
        <f>IF($A119="","",IF(OR(N($O119)&lt;odk_esikOee,$E119&gt;odk_esikDurusDk,N($Q119)&lt;odk_esikSaglik),"ALARM","UYGUN"))</f>
        <v/>
      </c>
      <c r="S119" s="19">
        <f>IF($A119="","",1)</f>
        <v/>
      </c>
      <c r="T119" s="19">
        <f>IF($A119="","",IF(OR($B119="",COUNTIF(tblVarliklar[VarlikId],$B119)=0),"YETIM","TAMAM"))</f>
        <v/>
      </c>
    </row>
    <row r="120">
      <c r="A120" s="15" t="n"/>
      <c r="B120" s="15" t="n"/>
      <c r="C120" s="37" t="n"/>
      <c r="D120" s="17" t="n"/>
      <c r="E120" s="17" t="n"/>
      <c r="F120" s="17" t="n"/>
      <c r="G120" s="17" t="n"/>
      <c r="H120" s="15" t="n"/>
      <c r="I120" s="19">
        <f>IF($A120="","",IFERROR(SUMIF(tblVarliklar[VarlikId],$B120,tblVarliklar[IdealCevrim_sn]),odk_varsayilanCevrim))</f>
        <v/>
      </c>
      <c r="J120" s="19">
        <f>IF($A120="","",IFERROR(MAX(0,$D120-$E120),0))</f>
        <v/>
      </c>
      <c r="K120" s="19">
        <f>IF($A120="","",IFERROR($J120/$D120,0))</f>
        <v/>
      </c>
      <c r="L120" s="19">
        <f>IF($A120="","",IFERROR($J120*odk_dakikaSn/$I120,0))</f>
        <v/>
      </c>
      <c r="M120" s="19">
        <f>IF($A120="","",IFERROR($F120/$L120,0))</f>
        <v/>
      </c>
      <c r="N120" s="19">
        <f>IF($A120="","",IFERROR(($F120-$G120)/$F120,0))</f>
        <v/>
      </c>
      <c r="O120" s="19">
        <f>IF($A120="","",IFERROR(N($K120)*N($M120)*N($N120),0))</f>
        <v/>
      </c>
      <c r="P120" s="19">
        <f>IF($A120="","",IFERROR($E120/$D120,0))</f>
        <v/>
      </c>
      <c r="Q120" s="19">
        <f>IF($A120="","",IFERROR(MAX(0,MIN(100,odk_kaliteTaban-IF(N($O120)&lt;odk_esikOee,odk_kaliteCeza,0)-IF($E120&gt;odk_esikDurusDk,odk_kaliteSapma,0)-IF($T120="YETIM",odk_kaliteCeza,0))),0))</f>
        <v/>
      </c>
      <c r="R120" s="19">
        <f>IF($A120="","",IF(OR(N($O120)&lt;odk_esikOee,$E120&gt;odk_esikDurusDk,N($Q120)&lt;odk_esikSaglik),"ALARM","UYGUN"))</f>
        <v/>
      </c>
      <c r="S120" s="19">
        <f>IF($A120="","",1)</f>
        <v/>
      </c>
      <c r="T120" s="19">
        <f>IF($A120="","",IF(OR($B120="",COUNTIF(tblVarliklar[VarlikId],$B120)=0),"YETIM","TAMAM"))</f>
        <v/>
      </c>
    </row>
    <row r="121">
      <c r="A121" s="15" t="n"/>
      <c r="B121" s="15" t="n"/>
      <c r="C121" s="37" t="n"/>
      <c r="D121" s="17" t="n"/>
      <c r="E121" s="17" t="n"/>
      <c r="F121" s="17" t="n"/>
      <c r="G121" s="17" t="n"/>
      <c r="H121" s="15" t="n"/>
      <c r="I121" s="19">
        <f>IF($A121="","",IFERROR(SUMIF(tblVarliklar[VarlikId],$B121,tblVarliklar[IdealCevrim_sn]),odk_varsayilanCevrim))</f>
        <v/>
      </c>
      <c r="J121" s="19">
        <f>IF($A121="","",IFERROR(MAX(0,$D121-$E121),0))</f>
        <v/>
      </c>
      <c r="K121" s="19">
        <f>IF($A121="","",IFERROR($J121/$D121,0))</f>
        <v/>
      </c>
      <c r="L121" s="19">
        <f>IF($A121="","",IFERROR($J121*odk_dakikaSn/$I121,0))</f>
        <v/>
      </c>
      <c r="M121" s="19">
        <f>IF($A121="","",IFERROR($F121/$L121,0))</f>
        <v/>
      </c>
      <c r="N121" s="19">
        <f>IF($A121="","",IFERROR(($F121-$G121)/$F121,0))</f>
        <v/>
      </c>
      <c r="O121" s="19">
        <f>IF($A121="","",IFERROR(N($K121)*N($M121)*N($N121),0))</f>
        <v/>
      </c>
      <c r="P121" s="19">
        <f>IF($A121="","",IFERROR($E121/$D121,0))</f>
        <v/>
      </c>
      <c r="Q121" s="19">
        <f>IF($A121="","",IFERROR(MAX(0,MIN(100,odk_kaliteTaban-IF(N($O121)&lt;odk_esikOee,odk_kaliteCeza,0)-IF($E121&gt;odk_esikDurusDk,odk_kaliteSapma,0)-IF($T121="YETIM",odk_kaliteCeza,0))),0))</f>
        <v/>
      </c>
      <c r="R121" s="19">
        <f>IF($A121="","",IF(OR(N($O121)&lt;odk_esikOee,$E121&gt;odk_esikDurusDk,N($Q121)&lt;odk_esikSaglik),"ALARM","UYGUN"))</f>
        <v/>
      </c>
      <c r="S121" s="19">
        <f>IF($A121="","",1)</f>
        <v/>
      </c>
      <c r="T121" s="19">
        <f>IF($A121="","",IF(OR($B121="",COUNTIF(tblVarliklar[VarlikId],$B121)=0),"YETIM","TAMAM"))</f>
        <v/>
      </c>
    </row>
    <row r="122">
      <c r="A122" s="15" t="n"/>
      <c r="B122" s="15" t="n"/>
      <c r="C122" s="37" t="n"/>
      <c r="D122" s="17" t="n"/>
      <c r="E122" s="17" t="n"/>
      <c r="F122" s="17" t="n"/>
      <c r="G122" s="17" t="n"/>
      <c r="H122" s="15" t="n"/>
      <c r="I122" s="19">
        <f>IF($A122="","",IFERROR(SUMIF(tblVarliklar[VarlikId],$B122,tblVarliklar[IdealCevrim_sn]),odk_varsayilanCevrim))</f>
        <v/>
      </c>
      <c r="J122" s="19">
        <f>IF($A122="","",IFERROR(MAX(0,$D122-$E122),0))</f>
        <v/>
      </c>
      <c r="K122" s="19">
        <f>IF($A122="","",IFERROR($J122/$D122,0))</f>
        <v/>
      </c>
      <c r="L122" s="19">
        <f>IF($A122="","",IFERROR($J122*odk_dakikaSn/$I122,0))</f>
        <v/>
      </c>
      <c r="M122" s="19">
        <f>IF($A122="","",IFERROR($F122/$L122,0))</f>
        <v/>
      </c>
      <c r="N122" s="19">
        <f>IF($A122="","",IFERROR(($F122-$G122)/$F122,0))</f>
        <v/>
      </c>
      <c r="O122" s="19">
        <f>IF($A122="","",IFERROR(N($K122)*N($M122)*N($N122),0))</f>
        <v/>
      </c>
      <c r="P122" s="19">
        <f>IF($A122="","",IFERROR($E122/$D122,0))</f>
        <v/>
      </c>
      <c r="Q122" s="19">
        <f>IF($A122="","",IFERROR(MAX(0,MIN(100,odk_kaliteTaban-IF(N($O122)&lt;odk_esikOee,odk_kaliteCeza,0)-IF($E122&gt;odk_esikDurusDk,odk_kaliteSapma,0)-IF($T122="YETIM",odk_kaliteCeza,0))),0))</f>
        <v/>
      </c>
      <c r="R122" s="19">
        <f>IF($A122="","",IF(OR(N($O122)&lt;odk_esikOee,$E122&gt;odk_esikDurusDk,N($Q122)&lt;odk_esikSaglik),"ALARM","UYGUN"))</f>
        <v/>
      </c>
      <c r="S122" s="19">
        <f>IF($A122="","",1)</f>
        <v/>
      </c>
      <c r="T122" s="19">
        <f>IF($A122="","",IF(OR($B122="",COUNTIF(tblVarliklar[VarlikId],$B122)=0),"YETIM","TAMAM"))</f>
        <v/>
      </c>
    </row>
    <row r="123">
      <c r="A123" s="15" t="n"/>
      <c r="B123" s="15" t="n"/>
      <c r="C123" s="37" t="n"/>
      <c r="D123" s="17" t="n"/>
      <c r="E123" s="17" t="n"/>
      <c r="F123" s="17" t="n"/>
      <c r="G123" s="17" t="n"/>
      <c r="H123" s="15" t="n"/>
      <c r="I123" s="19">
        <f>IF($A123="","",IFERROR(SUMIF(tblVarliklar[VarlikId],$B123,tblVarliklar[IdealCevrim_sn]),odk_varsayilanCevrim))</f>
        <v/>
      </c>
      <c r="J123" s="19">
        <f>IF($A123="","",IFERROR(MAX(0,$D123-$E123),0))</f>
        <v/>
      </c>
      <c r="K123" s="19">
        <f>IF($A123="","",IFERROR($J123/$D123,0))</f>
        <v/>
      </c>
      <c r="L123" s="19">
        <f>IF($A123="","",IFERROR($J123*odk_dakikaSn/$I123,0))</f>
        <v/>
      </c>
      <c r="M123" s="19">
        <f>IF($A123="","",IFERROR($F123/$L123,0))</f>
        <v/>
      </c>
      <c r="N123" s="19">
        <f>IF($A123="","",IFERROR(($F123-$G123)/$F123,0))</f>
        <v/>
      </c>
      <c r="O123" s="19">
        <f>IF($A123="","",IFERROR(N($K123)*N($M123)*N($N123),0))</f>
        <v/>
      </c>
      <c r="P123" s="19">
        <f>IF($A123="","",IFERROR($E123/$D123,0))</f>
        <v/>
      </c>
      <c r="Q123" s="19">
        <f>IF($A123="","",IFERROR(MAX(0,MIN(100,odk_kaliteTaban-IF(N($O123)&lt;odk_esikOee,odk_kaliteCeza,0)-IF($E123&gt;odk_esikDurusDk,odk_kaliteSapma,0)-IF($T123="YETIM",odk_kaliteCeza,0))),0))</f>
        <v/>
      </c>
      <c r="R123" s="19">
        <f>IF($A123="","",IF(OR(N($O123)&lt;odk_esikOee,$E123&gt;odk_esikDurusDk,N($Q123)&lt;odk_esikSaglik),"ALARM","UYGUN"))</f>
        <v/>
      </c>
      <c r="S123" s="19">
        <f>IF($A123="","",1)</f>
        <v/>
      </c>
      <c r="T123" s="19">
        <f>IF($A123="","",IF(OR($B123="",COUNTIF(tblVarliklar[VarlikId],$B123)=0),"YETIM","TAMAM"))</f>
        <v/>
      </c>
    </row>
    <row r="124">
      <c r="A124" s="15" t="n"/>
      <c r="B124" s="15" t="n"/>
      <c r="C124" s="37" t="n"/>
      <c r="D124" s="17" t="n"/>
      <c r="E124" s="17" t="n"/>
      <c r="F124" s="17" t="n"/>
      <c r="G124" s="17" t="n"/>
      <c r="H124" s="15" t="n"/>
      <c r="I124" s="19">
        <f>IF($A124="","",IFERROR(SUMIF(tblVarliklar[VarlikId],$B124,tblVarliklar[IdealCevrim_sn]),odk_varsayilanCevrim))</f>
        <v/>
      </c>
      <c r="J124" s="19">
        <f>IF($A124="","",IFERROR(MAX(0,$D124-$E124),0))</f>
        <v/>
      </c>
      <c r="K124" s="19">
        <f>IF($A124="","",IFERROR($J124/$D124,0))</f>
        <v/>
      </c>
      <c r="L124" s="19">
        <f>IF($A124="","",IFERROR($J124*odk_dakikaSn/$I124,0))</f>
        <v/>
      </c>
      <c r="M124" s="19">
        <f>IF($A124="","",IFERROR($F124/$L124,0))</f>
        <v/>
      </c>
      <c r="N124" s="19">
        <f>IF($A124="","",IFERROR(($F124-$G124)/$F124,0))</f>
        <v/>
      </c>
      <c r="O124" s="19">
        <f>IF($A124="","",IFERROR(N($K124)*N($M124)*N($N124),0))</f>
        <v/>
      </c>
      <c r="P124" s="19">
        <f>IF($A124="","",IFERROR($E124/$D124,0))</f>
        <v/>
      </c>
      <c r="Q124" s="19">
        <f>IF($A124="","",IFERROR(MAX(0,MIN(100,odk_kaliteTaban-IF(N($O124)&lt;odk_esikOee,odk_kaliteCeza,0)-IF($E124&gt;odk_esikDurusDk,odk_kaliteSapma,0)-IF($T124="YETIM",odk_kaliteCeza,0))),0))</f>
        <v/>
      </c>
      <c r="R124" s="19">
        <f>IF($A124="","",IF(OR(N($O124)&lt;odk_esikOee,$E124&gt;odk_esikDurusDk,N($Q124)&lt;odk_esikSaglik),"ALARM","UYGUN"))</f>
        <v/>
      </c>
      <c r="S124" s="19">
        <f>IF($A124="","",1)</f>
        <v/>
      </c>
      <c r="T124" s="19">
        <f>IF($A124="","",IF(OR($B124="",COUNTIF(tblVarliklar[VarlikId],$B124)=0),"YETIM","TAMAM"))</f>
        <v/>
      </c>
    </row>
    <row r="125">
      <c r="A125" s="15" t="n"/>
      <c r="B125" s="15" t="n"/>
      <c r="C125" s="37" t="n"/>
      <c r="D125" s="17" t="n"/>
      <c r="E125" s="17" t="n"/>
      <c r="F125" s="17" t="n"/>
      <c r="G125" s="17" t="n"/>
      <c r="H125" s="15" t="n"/>
      <c r="I125" s="19">
        <f>IF($A125="","",IFERROR(SUMIF(tblVarliklar[VarlikId],$B125,tblVarliklar[IdealCevrim_sn]),odk_varsayilanCevrim))</f>
        <v/>
      </c>
      <c r="J125" s="19">
        <f>IF($A125="","",IFERROR(MAX(0,$D125-$E125),0))</f>
        <v/>
      </c>
      <c r="K125" s="19">
        <f>IF($A125="","",IFERROR($J125/$D125,0))</f>
        <v/>
      </c>
      <c r="L125" s="19">
        <f>IF($A125="","",IFERROR($J125*odk_dakikaSn/$I125,0))</f>
        <v/>
      </c>
      <c r="M125" s="19">
        <f>IF($A125="","",IFERROR($F125/$L125,0))</f>
        <v/>
      </c>
      <c r="N125" s="19">
        <f>IF($A125="","",IFERROR(($F125-$G125)/$F125,0))</f>
        <v/>
      </c>
      <c r="O125" s="19">
        <f>IF($A125="","",IFERROR(N($K125)*N($M125)*N($N125),0))</f>
        <v/>
      </c>
      <c r="P125" s="19">
        <f>IF($A125="","",IFERROR($E125/$D125,0))</f>
        <v/>
      </c>
      <c r="Q125" s="19">
        <f>IF($A125="","",IFERROR(MAX(0,MIN(100,odk_kaliteTaban-IF(N($O125)&lt;odk_esikOee,odk_kaliteCeza,0)-IF($E125&gt;odk_esikDurusDk,odk_kaliteSapma,0)-IF($T125="YETIM",odk_kaliteCeza,0))),0))</f>
        <v/>
      </c>
      <c r="R125" s="19">
        <f>IF($A125="","",IF(OR(N($O125)&lt;odk_esikOee,$E125&gt;odk_esikDurusDk,N($Q125)&lt;odk_esikSaglik),"ALARM","UYGUN"))</f>
        <v/>
      </c>
      <c r="S125" s="19">
        <f>IF($A125="","",1)</f>
        <v/>
      </c>
      <c r="T125" s="19">
        <f>IF($A125="","",IF(OR($B125="",COUNTIF(tblVarliklar[VarlikId],$B125)=0),"YETIM","TAMAM"))</f>
        <v/>
      </c>
    </row>
    <row r="126">
      <c r="A126" s="15" t="n"/>
      <c r="B126" s="15" t="n"/>
      <c r="C126" s="37" t="n"/>
      <c r="D126" s="17" t="n"/>
      <c r="E126" s="17" t="n"/>
      <c r="F126" s="17" t="n"/>
      <c r="G126" s="17" t="n"/>
      <c r="H126" s="15" t="n"/>
      <c r="I126" s="19">
        <f>IF($A126="","",IFERROR(SUMIF(tblVarliklar[VarlikId],$B126,tblVarliklar[IdealCevrim_sn]),odk_varsayilanCevrim))</f>
        <v/>
      </c>
      <c r="J126" s="19">
        <f>IF($A126="","",IFERROR(MAX(0,$D126-$E126),0))</f>
        <v/>
      </c>
      <c r="K126" s="19">
        <f>IF($A126="","",IFERROR($J126/$D126,0))</f>
        <v/>
      </c>
      <c r="L126" s="19">
        <f>IF($A126="","",IFERROR($J126*odk_dakikaSn/$I126,0))</f>
        <v/>
      </c>
      <c r="M126" s="19">
        <f>IF($A126="","",IFERROR($F126/$L126,0))</f>
        <v/>
      </c>
      <c r="N126" s="19">
        <f>IF($A126="","",IFERROR(($F126-$G126)/$F126,0))</f>
        <v/>
      </c>
      <c r="O126" s="19">
        <f>IF($A126="","",IFERROR(N($K126)*N($M126)*N($N126),0))</f>
        <v/>
      </c>
      <c r="P126" s="19">
        <f>IF($A126="","",IFERROR($E126/$D126,0))</f>
        <v/>
      </c>
      <c r="Q126" s="19">
        <f>IF($A126="","",IFERROR(MAX(0,MIN(100,odk_kaliteTaban-IF(N($O126)&lt;odk_esikOee,odk_kaliteCeza,0)-IF($E126&gt;odk_esikDurusDk,odk_kaliteSapma,0)-IF($T126="YETIM",odk_kaliteCeza,0))),0))</f>
        <v/>
      </c>
      <c r="R126" s="19">
        <f>IF($A126="","",IF(OR(N($O126)&lt;odk_esikOee,$E126&gt;odk_esikDurusDk,N($Q126)&lt;odk_esikSaglik),"ALARM","UYGUN"))</f>
        <v/>
      </c>
      <c r="S126" s="19">
        <f>IF($A126="","",1)</f>
        <v/>
      </c>
      <c r="T126" s="19">
        <f>IF($A126="","",IF(OR($B126="",COUNTIF(tblVarliklar[VarlikId],$B126)=0),"YETIM","TAMAM"))</f>
        <v/>
      </c>
    </row>
    <row r="127">
      <c r="A127" s="15" t="n"/>
      <c r="B127" s="15" t="n"/>
      <c r="C127" s="37" t="n"/>
      <c r="D127" s="17" t="n"/>
      <c r="E127" s="17" t="n"/>
      <c r="F127" s="17" t="n"/>
      <c r="G127" s="17" t="n"/>
      <c r="H127" s="15" t="n"/>
      <c r="I127" s="19">
        <f>IF($A127="","",IFERROR(SUMIF(tblVarliklar[VarlikId],$B127,tblVarliklar[IdealCevrim_sn]),odk_varsayilanCevrim))</f>
        <v/>
      </c>
      <c r="J127" s="19">
        <f>IF($A127="","",IFERROR(MAX(0,$D127-$E127),0))</f>
        <v/>
      </c>
      <c r="K127" s="19">
        <f>IF($A127="","",IFERROR($J127/$D127,0))</f>
        <v/>
      </c>
      <c r="L127" s="19">
        <f>IF($A127="","",IFERROR($J127*odk_dakikaSn/$I127,0))</f>
        <v/>
      </c>
      <c r="M127" s="19">
        <f>IF($A127="","",IFERROR($F127/$L127,0))</f>
        <v/>
      </c>
      <c r="N127" s="19">
        <f>IF($A127="","",IFERROR(($F127-$G127)/$F127,0))</f>
        <v/>
      </c>
      <c r="O127" s="19">
        <f>IF($A127="","",IFERROR(N($K127)*N($M127)*N($N127),0))</f>
        <v/>
      </c>
      <c r="P127" s="19">
        <f>IF($A127="","",IFERROR($E127/$D127,0))</f>
        <v/>
      </c>
      <c r="Q127" s="19">
        <f>IF($A127="","",IFERROR(MAX(0,MIN(100,odk_kaliteTaban-IF(N($O127)&lt;odk_esikOee,odk_kaliteCeza,0)-IF($E127&gt;odk_esikDurusDk,odk_kaliteSapma,0)-IF($T127="YETIM",odk_kaliteCeza,0))),0))</f>
        <v/>
      </c>
      <c r="R127" s="19">
        <f>IF($A127="","",IF(OR(N($O127)&lt;odk_esikOee,$E127&gt;odk_esikDurusDk,N($Q127)&lt;odk_esikSaglik),"ALARM","UYGUN"))</f>
        <v/>
      </c>
      <c r="S127" s="19">
        <f>IF($A127="","",1)</f>
        <v/>
      </c>
      <c r="T127" s="19">
        <f>IF($A127="","",IF(OR($B127="",COUNTIF(tblVarliklar[VarlikId],$B127)=0),"YETIM","TAMAM"))</f>
        <v/>
      </c>
    </row>
    <row r="128">
      <c r="A128" s="15" t="n"/>
      <c r="B128" s="15" t="n"/>
      <c r="C128" s="37" t="n"/>
      <c r="D128" s="17" t="n"/>
      <c r="E128" s="17" t="n"/>
      <c r="F128" s="17" t="n"/>
      <c r="G128" s="17" t="n"/>
      <c r="H128" s="15" t="n"/>
      <c r="I128" s="19">
        <f>IF($A128="","",IFERROR(SUMIF(tblVarliklar[VarlikId],$B128,tblVarliklar[IdealCevrim_sn]),odk_varsayilanCevrim))</f>
        <v/>
      </c>
      <c r="J128" s="19">
        <f>IF($A128="","",IFERROR(MAX(0,$D128-$E128),0))</f>
        <v/>
      </c>
      <c r="K128" s="19">
        <f>IF($A128="","",IFERROR($J128/$D128,0))</f>
        <v/>
      </c>
      <c r="L128" s="19">
        <f>IF($A128="","",IFERROR($J128*odk_dakikaSn/$I128,0))</f>
        <v/>
      </c>
      <c r="M128" s="19">
        <f>IF($A128="","",IFERROR($F128/$L128,0))</f>
        <v/>
      </c>
      <c r="N128" s="19">
        <f>IF($A128="","",IFERROR(($F128-$G128)/$F128,0))</f>
        <v/>
      </c>
      <c r="O128" s="19">
        <f>IF($A128="","",IFERROR(N($K128)*N($M128)*N($N128),0))</f>
        <v/>
      </c>
      <c r="P128" s="19">
        <f>IF($A128="","",IFERROR($E128/$D128,0))</f>
        <v/>
      </c>
      <c r="Q128" s="19">
        <f>IF($A128="","",IFERROR(MAX(0,MIN(100,odk_kaliteTaban-IF(N($O128)&lt;odk_esikOee,odk_kaliteCeza,0)-IF($E128&gt;odk_esikDurusDk,odk_kaliteSapma,0)-IF($T128="YETIM",odk_kaliteCeza,0))),0))</f>
        <v/>
      </c>
      <c r="R128" s="19">
        <f>IF($A128="","",IF(OR(N($O128)&lt;odk_esikOee,$E128&gt;odk_esikDurusDk,N($Q128)&lt;odk_esikSaglik),"ALARM","UYGUN"))</f>
        <v/>
      </c>
      <c r="S128" s="19">
        <f>IF($A128="","",1)</f>
        <v/>
      </c>
      <c r="T128" s="19">
        <f>IF($A128="","",IF(OR($B128="",COUNTIF(tblVarliklar[VarlikId],$B128)=0),"YETIM","TAMAM"))</f>
        <v/>
      </c>
    </row>
    <row r="129">
      <c r="A129" s="15" t="n"/>
      <c r="B129" s="15" t="n"/>
      <c r="C129" s="37" t="n"/>
      <c r="D129" s="17" t="n"/>
      <c r="E129" s="17" t="n"/>
      <c r="F129" s="17" t="n"/>
      <c r="G129" s="17" t="n"/>
      <c r="H129" s="15" t="n"/>
      <c r="I129" s="19">
        <f>IF($A129="","",IFERROR(SUMIF(tblVarliklar[VarlikId],$B129,tblVarliklar[IdealCevrim_sn]),odk_varsayilanCevrim))</f>
        <v/>
      </c>
      <c r="J129" s="19">
        <f>IF($A129="","",IFERROR(MAX(0,$D129-$E129),0))</f>
        <v/>
      </c>
      <c r="K129" s="19">
        <f>IF($A129="","",IFERROR($J129/$D129,0))</f>
        <v/>
      </c>
      <c r="L129" s="19">
        <f>IF($A129="","",IFERROR($J129*odk_dakikaSn/$I129,0))</f>
        <v/>
      </c>
      <c r="M129" s="19">
        <f>IF($A129="","",IFERROR($F129/$L129,0))</f>
        <v/>
      </c>
      <c r="N129" s="19">
        <f>IF($A129="","",IFERROR(($F129-$G129)/$F129,0))</f>
        <v/>
      </c>
      <c r="O129" s="19">
        <f>IF($A129="","",IFERROR(N($K129)*N($M129)*N($N129),0))</f>
        <v/>
      </c>
      <c r="P129" s="19">
        <f>IF($A129="","",IFERROR($E129/$D129,0))</f>
        <v/>
      </c>
      <c r="Q129" s="19">
        <f>IF($A129="","",IFERROR(MAX(0,MIN(100,odk_kaliteTaban-IF(N($O129)&lt;odk_esikOee,odk_kaliteCeza,0)-IF($E129&gt;odk_esikDurusDk,odk_kaliteSapma,0)-IF($T129="YETIM",odk_kaliteCeza,0))),0))</f>
        <v/>
      </c>
      <c r="R129" s="19">
        <f>IF($A129="","",IF(OR(N($O129)&lt;odk_esikOee,$E129&gt;odk_esikDurusDk,N($Q129)&lt;odk_esikSaglik),"ALARM","UYGUN"))</f>
        <v/>
      </c>
      <c r="S129" s="19">
        <f>IF($A129="","",1)</f>
        <v/>
      </c>
      <c r="T129" s="19">
        <f>IF($A129="","",IF(OR($B129="",COUNTIF(tblVarliklar[VarlikId],$B129)=0),"YETIM","TAMAM"))</f>
        <v/>
      </c>
    </row>
    <row r="130">
      <c r="A130" s="15" t="n"/>
      <c r="B130" s="15" t="n"/>
      <c r="C130" s="37" t="n"/>
      <c r="D130" s="17" t="n"/>
      <c r="E130" s="17" t="n"/>
      <c r="F130" s="17" t="n"/>
      <c r="G130" s="17" t="n"/>
      <c r="H130" s="15" t="n"/>
      <c r="I130" s="19">
        <f>IF($A130="","",IFERROR(SUMIF(tblVarliklar[VarlikId],$B130,tblVarliklar[IdealCevrim_sn]),odk_varsayilanCevrim))</f>
        <v/>
      </c>
      <c r="J130" s="19">
        <f>IF($A130="","",IFERROR(MAX(0,$D130-$E130),0))</f>
        <v/>
      </c>
      <c r="K130" s="19">
        <f>IF($A130="","",IFERROR($J130/$D130,0))</f>
        <v/>
      </c>
      <c r="L130" s="19">
        <f>IF($A130="","",IFERROR($J130*odk_dakikaSn/$I130,0))</f>
        <v/>
      </c>
      <c r="M130" s="19">
        <f>IF($A130="","",IFERROR($F130/$L130,0))</f>
        <v/>
      </c>
      <c r="N130" s="19">
        <f>IF($A130="","",IFERROR(($F130-$G130)/$F130,0))</f>
        <v/>
      </c>
      <c r="O130" s="19">
        <f>IF($A130="","",IFERROR(N($K130)*N($M130)*N($N130),0))</f>
        <v/>
      </c>
      <c r="P130" s="19">
        <f>IF($A130="","",IFERROR($E130/$D130,0))</f>
        <v/>
      </c>
      <c r="Q130" s="19">
        <f>IF($A130="","",IFERROR(MAX(0,MIN(100,odk_kaliteTaban-IF(N($O130)&lt;odk_esikOee,odk_kaliteCeza,0)-IF($E130&gt;odk_esikDurusDk,odk_kaliteSapma,0)-IF($T130="YETIM",odk_kaliteCeza,0))),0))</f>
        <v/>
      </c>
      <c r="R130" s="19">
        <f>IF($A130="","",IF(OR(N($O130)&lt;odk_esikOee,$E130&gt;odk_esikDurusDk,N($Q130)&lt;odk_esikSaglik),"ALARM","UYGUN"))</f>
        <v/>
      </c>
      <c r="S130" s="19">
        <f>IF($A130="","",1)</f>
        <v/>
      </c>
      <c r="T130" s="19">
        <f>IF($A130="","",IF(OR($B130="",COUNTIF(tblVarliklar[VarlikId],$B130)=0),"YETIM","TAMAM"))</f>
        <v/>
      </c>
    </row>
    <row r="131">
      <c r="A131" s="15" t="n"/>
      <c r="B131" s="15" t="n"/>
      <c r="C131" s="37" t="n"/>
      <c r="D131" s="17" t="n"/>
      <c r="E131" s="17" t="n"/>
      <c r="F131" s="17" t="n"/>
      <c r="G131" s="17" t="n"/>
      <c r="H131" s="15" t="n"/>
      <c r="I131" s="19">
        <f>IF($A131="","",IFERROR(SUMIF(tblVarliklar[VarlikId],$B131,tblVarliklar[IdealCevrim_sn]),odk_varsayilanCevrim))</f>
        <v/>
      </c>
      <c r="J131" s="19">
        <f>IF($A131="","",IFERROR(MAX(0,$D131-$E131),0))</f>
        <v/>
      </c>
      <c r="K131" s="19">
        <f>IF($A131="","",IFERROR($J131/$D131,0))</f>
        <v/>
      </c>
      <c r="L131" s="19">
        <f>IF($A131="","",IFERROR($J131*odk_dakikaSn/$I131,0))</f>
        <v/>
      </c>
      <c r="M131" s="19">
        <f>IF($A131="","",IFERROR($F131/$L131,0))</f>
        <v/>
      </c>
      <c r="N131" s="19">
        <f>IF($A131="","",IFERROR(($F131-$G131)/$F131,0))</f>
        <v/>
      </c>
      <c r="O131" s="19">
        <f>IF($A131="","",IFERROR(N($K131)*N($M131)*N($N131),0))</f>
        <v/>
      </c>
      <c r="P131" s="19">
        <f>IF($A131="","",IFERROR($E131/$D131,0))</f>
        <v/>
      </c>
      <c r="Q131" s="19">
        <f>IF($A131="","",IFERROR(MAX(0,MIN(100,odk_kaliteTaban-IF(N($O131)&lt;odk_esikOee,odk_kaliteCeza,0)-IF($E131&gt;odk_esikDurusDk,odk_kaliteSapma,0)-IF($T131="YETIM",odk_kaliteCeza,0))),0))</f>
        <v/>
      </c>
      <c r="R131" s="19">
        <f>IF($A131="","",IF(OR(N($O131)&lt;odk_esikOee,$E131&gt;odk_esikDurusDk,N($Q131)&lt;odk_esikSaglik),"ALARM","UYGUN"))</f>
        <v/>
      </c>
      <c r="S131" s="19">
        <f>IF($A131="","",1)</f>
        <v/>
      </c>
      <c r="T131" s="19">
        <f>IF($A131="","",IF(OR($B131="",COUNTIF(tblVarliklar[VarlikId],$B131)=0),"YETIM","TAMAM"))</f>
        <v/>
      </c>
    </row>
    <row r="132">
      <c r="A132" s="15" t="n"/>
      <c r="B132" s="15" t="n"/>
      <c r="C132" s="37" t="n"/>
      <c r="D132" s="17" t="n"/>
      <c r="E132" s="17" t="n"/>
      <c r="F132" s="17" t="n"/>
      <c r="G132" s="17" t="n"/>
      <c r="H132" s="15" t="n"/>
      <c r="I132" s="19">
        <f>IF($A132="","",IFERROR(SUMIF(tblVarliklar[VarlikId],$B132,tblVarliklar[IdealCevrim_sn]),odk_varsayilanCevrim))</f>
        <v/>
      </c>
      <c r="J132" s="19">
        <f>IF($A132="","",IFERROR(MAX(0,$D132-$E132),0))</f>
        <v/>
      </c>
      <c r="K132" s="19">
        <f>IF($A132="","",IFERROR($J132/$D132,0))</f>
        <v/>
      </c>
      <c r="L132" s="19">
        <f>IF($A132="","",IFERROR($J132*odk_dakikaSn/$I132,0))</f>
        <v/>
      </c>
      <c r="M132" s="19">
        <f>IF($A132="","",IFERROR($F132/$L132,0))</f>
        <v/>
      </c>
      <c r="N132" s="19">
        <f>IF($A132="","",IFERROR(($F132-$G132)/$F132,0))</f>
        <v/>
      </c>
      <c r="O132" s="19">
        <f>IF($A132="","",IFERROR(N($K132)*N($M132)*N($N132),0))</f>
        <v/>
      </c>
      <c r="P132" s="19">
        <f>IF($A132="","",IFERROR($E132/$D132,0))</f>
        <v/>
      </c>
      <c r="Q132" s="19">
        <f>IF($A132="","",IFERROR(MAX(0,MIN(100,odk_kaliteTaban-IF(N($O132)&lt;odk_esikOee,odk_kaliteCeza,0)-IF($E132&gt;odk_esikDurusDk,odk_kaliteSapma,0)-IF($T132="YETIM",odk_kaliteCeza,0))),0))</f>
        <v/>
      </c>
      <c r="R132" s="19">
        <f>IF($A132="","",IF(OR(N($O132)&lt;odk_esikOee,$E132&gt;odk_esikDurusDk,N($Q132)&lt;odk_esikSaglik),"ALARM","UYGUN"))</f>
        <v/>
      </c>
      <c r="S132" s="19">
        <f>IF($A132="","",1)</f>
        <v/>
      </c>
      <c r="T132" s="19">
        <f>IF($A132="","",IF(OR($B132="",COUNTIF(tblVarliklar[VarlikId],$B132)=0),"YETIM","TAMAM"))</f>
        <v/>
      </c>
    </row>
    <row r="133">
      <c r="A133" s="15" t="n"/>
      <c r="B133" s="15" t="n"/>
      <c r="C133" s="37" t="n"/>
      <c r="D133" s="17" t="n"/>
      <c r="E133" s="17" t="n"/>
      <c r="F133" s="17" t="n"/>
      <c r="G133" s="17" t="n"/>
      <c r="H133" s="15" t="n"/>
      <c r="I133" s="19">
        <f>IF($A133="","",IFERROR(SUMIF(tblVarliklar[VarlikId],$B133,tblVarliklar[IdealCevrim_sn]),odk_varsayilanCevrim))</f>
        <v/>
      </c>
      <c r="J133" s="19">
        <f>IF($A133="","",IFERROR(MAX(0,$D133-$E133),0))</f>
        <v/>
      </c>
      <c r="K133" s="19">
        <f>IF($A133="","",IFERROR($J133/$D133,0))</f>
        <v/>
      </c>
      <c r="L133" s="19">
        <f>IF($A133="","",IFERROR($J133*odk_dakikaSn/$I133,0))</f>
        <v/>
      </c>
      <c r="M133" s="19">
        <f>IF($A133="","",IFERROR($F133/$L133,0))</f>
        <v/>
      </c>
      <c r="N133" s="19">
        <f>IF($A133="","",IFERROR(($F133-$G133)/$F133,0))</f>
        <v/>
      </c>
      <c r="O133" s="19">
        <f>IF($A133="","",IFERROR(N($K133)*N($M133)*N($N133),0))</f>
        <v/>
      </c>
      <c r="P133" s="19">
        <f>IF($A133="","",IFERROR($E133/$D133,0))</f>
        <v/>
      </c>
      <c r="Q133" s="19">
        <f>IF($A133="","",IFERROR(MAX(0,MIN(100,odk_kaliteTaban-IF(N($O133)&lt;odk_esikOee,odk_kaliteCeza,0)-IF($E133&gt;odk_esikDurusDk,odk_kaliteSapma,0)-IF($T133="YETIM",odk_kaliteCeza,0))),0))</f>
        <v/>
      </c>
      <c r="R133" s="19">
        <f>IF($A133="","",IF(OR(N($O133)&lt;odk_esikOee,$E133&gt;odk_esikDurusDk,N($Q133)&lt;odk_esikSaglik),"ALARM","UYGUN"))</f>
        <v/>
      </c>
      <c r="S133" s="19">
        <f>IF($A133="","",1)</f>
        <v/>
      </c>
      <c r="T133" s="19">
        <f>IF($A133="","",IF(OR($B133="",COUNTIF(tblVarliklar[VarlikId],$B133)=0),"YETIM","TAMAM"))</f>
        <v/>
      </c>
    </row>
    <row r="134">
      <c r="A134" s="15" t="n"/>
      <c r="B134" s="15" t="n"/>
      <c r="C134" s="37" t="n"/>
      <c r="D134" s="17" t="n"/>
      <c r="E134" s="17" t="n"/>
      <c r="F134" s="17" t="n"/>
      <c r="G134" s="17" t="n"/>
      <c r="H134" s="15" t="n"/>
      <c r="I134" s="19">
        <f>IF($A134="","",IFERROR(SUMIF(tblVarliklar[VarlikId],$B134,tblVarliklar[IdealCevrim_sn]),odk_varsayilanCevrim))</f>
        <v/>
      </c>
      <c r="J134" s="19">
        <f>IF($A134="","",IFERROR(MAX(0,$D134-$E134),0))</f>
        <v/>
      </c>
      <c r="K134" s="19">
        <f>IF($A134="","",IFERROR($J134/$D134,0))</f>
        <v/>
      </c>
      <c r="L134" s="19">
        <f>IF($A134="","",IFERROR($J134*odk_dakikaSn/$I134,0))</f>
        <v/>
      </c>
      <c r="M134" s="19">
        <f>IF($A134="","",IFERROR($F134/$L134,0))</f>
        <v/>
      </c>
      <c r="N134" s="19">
        <f>IF($A134="","",IFERROR(($F134-$G134)/$F134,0))</f>
        <v/>
      </c>
      <c r="O134" s="19">
        <f>IF($A134="","",IFERROR(N($K134)*N($M134)*N($N134),0))</f>
        <v/>
      </c>
      <c r="P134" s="19">
        <f>IF($A134="","",IFERROR($E134/$D134,0))</f>
        <v/>
      </c>
      <c r="Q134" s="19">
        <f>IF($A134="","",IFERROR(MAX(0,MIN(100,odk_kaliteTaban-IF(N($O134)&lt;odk_esikOee,odk_kaliteCeza,0)-IF($E134&gt;odk_esikDurusDk,odk_kaliteSapma,0)-IF($T134="YETIM",odk_kaliteCeza,0))),0))</f>
        <v/>
      </c>
      <c r="R134" s="19">
        <f>IF($A134="","",IF(OR(N($O134)&lt;odk_esikOee,$E134&gt;odk_esikDurusDk,N($Q134)&lt;odk_esikSaglik),"ALARM","UYGUN"))</f>
        <v/>
      </c>
      <c r="S134" s="19">
        <f>IF($A134="","",1)</f>
        <v/>
      </c>
      <c r="T134" s="19">
        <f>IF($A134="","",IF(OR($B134="",COUNTIF(tblVarliklar[VarlikId],$B134)=0),"YETIM","TAMAM"))</f>
        <v/>
      </c>
    </row>
    <row r="135">
      <c r="A135" s="15" t="n"/>
      <c r="B135" s="15" t="n"/>
      <c r="C135" s="37" t="n"/>
      <c r="D135" s="17" t="n"/>
      <c r="E135" s="17" t="n"/>
      <c r="F135" s="17" t="n"/>
      <c r="G135" s="17" t="n"/>
      <c r="H135" s="15" t="n"/>
      <c r="I135" s="19">
        <f>IF($A135="","",IFERROR(SUMIF(tblVarliklar[VarlikId],$B135,tblVarliklar[IdealCevrim_sn]),odk_varsayilanCevrim))</f>
        <v/>
      </c>
      <c r="J135" s="19">
        <f>IF($A135="","",IFERROR(MAX(0,$D135-$E135),0))</f>
        <v/>
      </c>
      <c r="K135" s="19">
        <f>IF($A135="","",IFERROR($J135/$D135,0))</f>
        <v/>
      </c>
      <c r="L135" s="19">
        <f>IF($A135="","",IFERROR($J135*odk_dakikaSn/$I135,0))</f>
        <v/>
      </c>
      <c r="M135" s="19">
        <f>IF($A135="","",IFERROR($F135/$L135,0))</f>
        <v/>
      </c>
      <c r="N135" s="19">
        <f>IF($A135="","",IFERROR(($F135-$G135)/$F135,0))</f>
        <v/>
      </c>
      <c r="O135" s="19">
        <f>IF($A135="","",IFERROR(N($K135)*N($M135)*N($N135),0))</f>
        <v/>
      </c>
      <c r="P135" s="19">
        <f>IF($A135="","",IFERROR($E135/$D135,0))</f>
        <v/>
      </c>
      <c r="Q135" s="19">
        <f>IF($A135="","",IFERROR(MAX(0,MIN(100,odk_kaliteTaban-IF(N($O135)&lt;odk_esikOee,odk_kaliteCeza,0)-IF($E135&gt;odk_esikDurusDk,odk_kaliteSapma,0)-IF($T135="YETIM",odk_kaliteCeza,0))),0))</f>
        <v/>
      </c>
      <c r="R135" s="19">
        <f>IF($A135="","",IF(OR(N($O135)&lt;odk_esikOee,$E135&gt;odk_esikDurusDk,N($Q135)&lt;odk_esikSaglik),"ALARM","UYGUN"))</f>
        <v/>
      </c>
      <c r="S135" s="19">
        <f>IF($A135="","",1)</f>
        <v/>
      </c>
      <c r="T135" s="19">
        <f>IF($A135="","",IF(OR($B135="",COUNTIF(tblVarliklar[VarlikId],$B135)=0),"YETIM","TAMAM"))</f>
        <v/>
      </c>
    </row>
    <row r="136">
      <c r="A136" s="15" t="n"/>
      <c r="B136" s="15" t="n"/>
      <c r="C136" s="37" t="n"/>
      <c r="D136" s="17" t="n"/>
      <c r="E136" s="17" t="n"/>
      <c r="F136" s="17" t="n"/>
      <c r="G136" s="17" t="n"/>
      <c r="H136" s="15" t="n"/>
      <c r="I136" s="19">
        <f>IF($A136="","",IFERROR(SUMIF(tblVarliklar[VarlikId],$B136,tblVarliklar[IdealCevrim_sn]),odk_varsayilanCevrim))</f>
        <v/>
      </c>
      <c r="J136" s="19">
        <f>IF($A136="","",IFERROR(MAX(0,$D136-$E136),0))</f>
        <v/>
      </c>
      <c r="K136" s="19">
        <f>IF($A136="","",IFERROR($J136/$D136,0))</f>
        <v/>
      </c>
      <c r="L136" s="19">
        <f>IF($A136="","",IFERROR($J136*odk_dakikaSn/$I136,0))</f>
        <v/>
      </c>
      <c r="M136" s="19">
        <f>IF($A136="","",IFERROR($F136/$L136,0))</f>
        <v/>
      </c>
      <c r="N136" s="19">
        <f>IF($A136="","",IFERROR(($F136-$G136)/$F136,0))</f>
        <v/>
      </c>
      <c r="O136" s="19">
        <f>IF($A136="","",IFERROR(N($K136)*N($M136)*N($N136),0))</f>
        <v/>
      </c>
      <c r="P136" s="19">
        <f>IF($A136="","",IFERROR($E136/$D136,0))</f>
        <v/>
      </c>
      <c r="Q136" s="19">
        <f>IF($A136="","",IFERROR(MAX(0,MIN(100,odk_kaliteTaban-IF(N($O136)&lt;odk_esikOee,odk_kaliteCeza,0)-IF($E136&gt;odk_esikDurusDk,odk_kaliteSapma,0)-IF($T136="YETIM",odk_kaliteCeza,0))),0))</f>
        <v/>
      </c>
      <c r="R136" s="19">
        <f>IF($A136="","",IF(OR(N($O136)&lt;odk_esikOee,$E136&gt;odk_esikDurusDk,N($Q136)&lt;odk_esikSaglik),"ALARM","UYGUN"))</f>
        <v/>
      </c>
      <c r="S136" s="19">
        <f>IF($A136="","",1)</f>
        <v/>
      </c>
      <c r="T136" s="19">
        <f>IF($A136="","",IF(OR($B136="",COUNTIF(tblVarliklar[VarlikId],$B136)=0),"YETIM","TAMAM"))</f>
        <v/>
      </c>
    </row>
    <row r="137">
      <c r="A137" s="15" t="n"/>
      <c r="B137" s="15" t="n"/>
      <c r="C137" s="37" t="n"/>
      <c r="D137" s="17" t="n"/>
      <c r="E137" s="17" t="n"/>
      <c r="F137" s="17" t="n"/>
      <c r="G137" s="17" t="n"/>
      <c r="H137" s="15" t="n"/>
      <c r="I137" s="19">
        <f>IF($A137="","",IFERROR(SUMIF(tblVarliklar[VarlikId],$B137,tblVarliklar[IdealCevrim_sn]),odk_varsayilanCevrim))</f>
        <v/>
      </c>
      <c r="J137" s="19">
        <f>IF($A137="","",IFERROR(MAX(0,$D137-$E137),0))</f>
        <v/>
      </c>
      <c r="K137" s="19">
        <f>IF($A137="","",IFERROR($J137/$D137,0))</f>
        <v/>
      </c>
      <c r="L137" s="19">
        <f>IF($A137="","",IFERROR($J137*odk_dakikaSn/$I137,0))</f>
        <v/>
      </c>
      <c r="M137" s="19">
        <f>IF($A137="","",IFERROR($F137/$L137,0))</f>
        <v/>
      </c>
      <c r="N137" s="19">
        <f>IF($A137="","",IFERROR(($F137-$G137)/$F137,0))</f>
        <v/>
      </c>
      <c r="O137" s="19">
        <f>IF($A137="","",IFERROR(N($K137)*N($M137)*N($N137),0))</f>
        <v/>
      </c>
      <c r="P137" s="19">
        <f>IF($A137="","",IFERROR($E137/$D137,0))</f>
        <v/>
      </c>
      <c r="Q137" s="19">
        <f>IF($A137="","",IFERROR(MAX(0,MIN(100,odk_kaliteTaban-IF(N($O137)&lt;odk_esikOee,odk_kaliteCeza,0)-IF($E137&gt;odk_esikDurusDk,odk_kaliteSapma,0)-IF($T137="YETIM",odk_kaliteCeza,0))),0))</f>
        <v/>
      </c>
      <c r="R137" s="19">
        <f>IF($A137="","",IF(OR(N($O137)&lt;odk_esikOee,$E137&gt;odk_esikDurusDk,N($Q137)&lt;odk_esikSaglik),"ALARM","UYGUN"))</f>
        <v/>
      </c>
      <c r="S137" s="19">
        <f>IF($A137="","",1)</f>
        <v/>
      </c>
      <c r="T137" s="19">
        <f>IF($A137="","",IF(OR($B137="",COUNTIF(tblVarliklar[VarlikId],$B137)=0),"YETIM","TAMAM"))</f>
        <v/>
      </c>
    </row>
    <row r="138">
      <c r="A138" s="15" t="n"/>
      <c r="B138" s="15" t="n"/>
      <c r="C138" s="37" t="n"/>
      <c r="D138" s="17" t="n"/>
      <c r="E138" s="17" t="n"/>
      <c r="F138" s="17" t="n"/>
      <c r="G138" s="17" t="n"/>
      <c r="H138" s="15" t="n"/>
      <c r="I138" s="19">
        <f>IF($A138="","",IFERROR(SUMIF(tblVarliklar[VarlikId],$B138,tblVarliklar[IdealCevrim_sn]),odk_varsayilanCevrim))</f>
        <v/>
      </c>
      <c r="J138" s="19">
        <f>IF($A138="","",IFERROR(MAX(0,$D138-$E138),0))</f>
        <v/>
      </c>
      <c r="K138" s="19">
        <f>IF($A138="","",IFERROR($J138/$D138,0))</f>
        <v/>
      </c>
      <c r="L138" s="19">
        <f>IF($A138="","",IFERROR($J138*odk_dakikaSn/$I138,0))</f>
        <v/>
      </c>
      <c r="M138" s="19">
        <f>IF($A138="","",IFERROR($F138/$L138,0))</f>
        <v/>
      </c>
      <c r="N138" s="19">
        <f>IF($A138="","",IFERROR(($F138-$G138)/$F138,0))</f>
        <v/>
      </c>
      <c r="O138" s="19">
        <f>IF($A138="","",IFERROR(N($K138)*N($M138)*N($N138),0))</f>
        <v/>
      </c>
      <c r="P138" s="19">
        <f>IF($A138="","",IFERROR($E138/$D138,0))</f>
        <v/>
      </c>
      <c r="Q138" s="19">
        <f>IF($A138="","",IFERROR(MAX(0,MIN(100,odk_kaliteTaban-IF(N($O138)&lt;odk_esikOee,odk_kaliteCeza,0)-IF($E138&gt;odk_esikDurusDk,odk_kaliteSapma,0)-IF($T138="YETIM",odk_kaliteCeza,0))),0))</f>
        <v/>
      </c>
      <c r="R138" s="19">
        <f>IF($A138="","",IF(OR(N($O138)&lt;odk_esikOee,$E138&gt;odk_esikDurusDk,N($Q138)&lt;odk_esikSaglik),"ALARM","UYGUN"))</f>
        <v/>
      </c>
      <c r="S138" s="19">
        <f>IF($A138="","",1)</f>
        <v/>
      </c>
      <c r="T138" s="19">
        <f>IF($A138="","",IF(OR($B138="",COUNTIF(tblVarliklar[VarlikId],$B138)=0),"YETIM","TAMAM"))</f>
        <v/>
      </c>
    </row>
    <row r="139">
      <c r="A139" s="15" t="n"/>
      <c r="B139" s="15" t="n"/>
      <c r="C139" s="37" t="n"/>
      <c r="D139" s="17" t="n"/>
      <c r="E139" s="17" t="n"/>
      <c r="F139" s="17" t="n"/>
      <c r="G139" s="17" t="n"/>
      <c r="H139" s="15" t="n"/>
      <c r="I139" s="19">
        <f>IF($A139="","",IFERROR(SUMIF(tblVarliklar[VarlikId],$B139,tblVarliklar[IdealCevrim_sn]),odk_varsayilanCevrim))</f>
        <v/>
      </c>
      <c r="J139" s="19">
        <f>IF($A139="","",IFERROR(MAX(0,$D139-$E139),0))</f>
        <v/>
      </c>
      <c r="K139" s="19">
        <f>IF($A139="","",IFERROR($J139/$D139,0))</f>
        <v/>
      </c>
      <c r="L139" s="19">
        <f>IF($A139="","",IFERROR($J139*odk_dakikaSn/$I139,0))</f>
        <v/>
      </c>
      <c r="M139" s="19">
        <f>IF($A139="","",IFERROR($F139/$L139,0))</f>
        <v/>
      </c>
      <c r="N139" s="19">
        <f>IF($A139="","",IFERROR(($F139-$G139)/$F139,0))</f>
        <v/>
      </c>
      <c r="O139" s="19">
        <f>IF($A139="","",IFERROR(N($K139)*N($M139)*N($N139),0))</f>
        <v/>
      </c>
      <c r="P139" s="19">
        <f>IF($A139="","",IFERROR($E139/$D139,0))</f>
        <v/>
      </c>
      <c r="Q139" s="19">
        <f>IF($A139="","",IFERROR(MAX(0,MIN(100,odk_kaliteTaban-IF(N($O139)&lt;odk_esikOee,odk_kaliteCeza,0)-IF($E139&gt;odk_esikDurusDk,odk_kaliteSapma,0)-IF($T139="YETIM",odk_kaliteCeza,0))),0))</f>
        <v/>
      </c>
      <c r="R139" s="19">
        <f>IF($A139="","",IF(OR(N($O139)&lt;odk_esikOee,$E139&gt;odk_esikDurusDk,N($Q139)&lt;odk_esikSaglik),"ALARM","UYGUN"))</f>
        <v/>
      </c>
      <c r="S139" s="19">
        <f>IF($A139="","",1)</f>
        <v/>
      </c>
      <c r="T139" s="19">
        <f>IF($A139="","",IF(OR($B139="",COUNTIF(tblVarliklar[VarlikId],$B139)=0),"YETIM","TAMAM"))</f>
        <v/>
      </c>
    </row>
    <row r="140">
      <c r="A140" s="15" t="n"/>
      <c r="B140" s="15" t="n"/>
      <c r="C140" s="37" t="n"/>
      <c r="D140" s="17" t="n"/>
      <c r="E140" s="17" t="n"/>
      <c r="F140" s="17" t="n"/>
      <c r="G140" s="17" t="n"/>
      <c r="H140" s="15" t="n"/>
      <c r="I140" s="19">
        <f>IF($A140="","",IFERROR(SUMIF(tblVarliklar[VarlikId],$B140,tblVarliklar[IdealCevrim_sn]),odk_varsayilanCevrim))</f>
        <v/>
      </c>
      <c r="J140" s="19">
        <f>IF($A140="","",IFERROR(MAX(0,$D140-$E140),0))</f>
        <v/>
      </c>
      <c r="K140" s="19">
        <f>IF($A140="","",IFERROR($J140/$D140,0))</f>
        <v/>
      </c>
      <c r="L140" s="19">
        <f>IF($A140="","",IFERROR($J140*odk_dakikaSn/$I140,0))</f>
        <v/>
      </c>
      <c r="M140" s="19">
        <f>IF($A140="","",IFERROR($F140/$L140,0))</f>
        <v/>
      </c>
      <c r="N140" s="19">
        <f>IF($A140="","",IFERROR(($F140-$G140)/$F140,0))</f>
        <v/>
      </c>
      <c r="O140" s="19">
        <f>IF($A140="","",IFERROR(N($K140)*N($M140)*N($N140),0))</f>
        <v/>
      </c>
      <c r="P140" s="19">
        <f>IF($A140="","",IFERROR($E140/$D140,0))</f>
        <v/>
      </c>
      <c r="Q140" s="19">
        <f>IF($A140="","",IFERROR(MAX(0,MIN(100,odk_kaliteTaban-IF(N($O140)&lt;odk_esikOee,odk_kaliteCeza,0)-IF($E140&gt;odk_esikDurusDk,odk_kaliteSapma,0)-IF($T140="YETIM",odk_kaliteCeza,0))),0))</f>
        <v/>
      </c>
      <c r="R140" s="19">
        <f>IF($A140="","",IF(OR(N($O140)&lt;odk_esikOee,$E140&gt;odk_esikDurusDk,N($Q140)&lt;odk_esikSaglik),"ALARM","UYGUN"))</f>
        <v/>
      </c>
      <c r="S140" s="19">
        <f>IF($A140="","",1)</f>
        <v/>
      </c>
      <c r="T140" s="19">
        <f>IF($A140="","",IF(OR($B140="",COUNTIF(tblVarliklar[VarlikId],$B140)=0),"YETIM","TAMAM"))</f>
        <v/>
      </c>
    </row>
    <row r="141">
      <c r="A141" s="15" t="n"/>
      <c r="B141" s="15" t="n"/>
      <c r="C141" s="37" t="n"/>
      <c r="D141" s="17" t="n"/>
      <c r="E141" s="17" t="n"/>
      <c r="F141" s="17" t="n"/>
      <c r="G141" s="17" t="n"/>
      <c r="H141" s="15" t="n"/>
      <c r="I141" s="19">
        <f>IF($A141="","",IFERROR(SUMIF(tblVarliklar[VarlikId],$B141,tblVarliklar[IdealCevrim_sn]),odk_varsayilanCevrim))</f>
        <v/>
      </c>
      <c r="J141" s="19">
        <f>IF($A141="","",IFERROR(MAX(0,$D141-$E141),0))</f>
        <v/>
      </c>
      <c r="K141" s="19">
        <f>IF($A141="","",IFERROR($J141/$D141,0))</f>
        <v/>
      </c>
      <c r="L141" s="19">
        <f>IF($A141="","",IFERROR($J141*odk_dakikaSn/$I141,0))</f>
        <v/>
      </c>
      <c r="M141" s="19">
        <f>IF($A141="","",IFERROR($F141/$L141,0))</f>
        <v/>
      </c>
      <c r="N141" s="19">
        <f>IF($A141="","",IFERROR(($F141-$G141)/$F141,0))</f>
        <v/>
      </c>
      <c r="O141" s="19">
        <f>IF($A141="","",IFERROR(N($K141)*N($M141)*N($N141),0))</f>
        <v/>
      </c>
      <c r="P141" s="19">
        <f>IF($A141="","",IFERROR($E141/$D141,0))</f>
        <v/>
      </c>
      <c r="Q141" s="19">
        <f>IF($A141="","",IFERROR(MAX(0,MIN(100,odk_kaliteTaban-IF(N($O141)&lt;odk_esikOee,odk_kaliteCeza,0)-IF($E141&gt;odk_esikDurusDk,odk_kaliteSapma,0)-IF($T141="YETIM",odk_kaliteCeza,0))),0))</f>
        <v/>
      </c>
      <c r="R141" s="19">
        <f>IF($A141="","",IF(OR(N($O141)&lt;odk_esikOee,$E141&gt;odk_esikDurusDk,N($Q141)&lt;odk_esikSaglik),"ALARM","UYGUN"))</f>
        <v/>
      </c>
      <c r="S141" s="19">
        <f>IF($A141="","",1)</f>
        <v/>
      </c>
      <c r="T141" s="19">
        <f>IF($A141="","",IF(OR($B141="",COUNTIF(tblVarliklar[VarlikId],$B141)=0),"YETIM","TAMAM"))</f>
        <v/>
      </c>
    </row>
    <row r="142">
      <c r="A142" s="15" t="n"/>
      <c r="B142" s="15" t="n"/>
      <c r="C142" s="37" t="n"/>
      <c r="D142" s="17" t="n"/>
      <c r="E142" s="17" t="n"/>
      <c r="F142" s="17" t="n"/>
      <c r="G142" s="17" t="n"/>
      <c r="H142" s="15" t="n"/>
      <c r="I142" s="19">
        <f>IF($A142="","",IFERROR(SUMIF(tblVarliklar[VarlikId],$B142,tblVarliklar[IdealCevrim_sn]),odk_varsayilanCevrim))</f>
        <v/>
      </c>
      <c r="J142" s="19">
        <f>IF($A142="","",IFERROR(MAX(0,$D142-$E142),0))</f>
        <v/>
      </c>
      <c r="K142" s="19">
        <f>IF($A142="","",IFERROR($J142/$D142,0))</f>
        <v/>
      </c>
      <c r="L142" s="19">
        <f>IF($A142="","",IFERROR($J142*odk_dakikaSn/$I142,0))</f>
        <v/>
      </c>
      <c r="M142" s="19">
        <f>IF($A142="","",IFERROR($F142/$L142,0))</f>
        <v/>
      </c>
      <c r="N142" s="19">
        <f>IF($A142="","",IFERROR(($F142-$G142)/$F142,0))</f>
        <v/>
      </c>
      <c r="O142" s="19">
        <f>IF($A142="","",IFERROR(N($K142)*N($M142)*N($N142),0))</f>
        <v/>
      </c>
      <c r="P142" s="19">
        <f>IF($A142="","",IFERROR($E142/$D142,0))</f>
        <v/>
      </c>
      <c r="Q142" s="19">
        <f>IF($A142="","",IFERROR(MAX(0,MIN(100,odk_kaliteTaban-IF(N($O142)&lt;odk_esikOee,odk_kaliteCeza,0)-IF($E142&gt;odk_esikDurusDk,odk_kaliteSapma,0)-IF($T142="YETIM",odk_kaliteCeza,0))),0))</f>
        <v/>
      </c>
      <c r="R142" s="19">
        <f>IF($A142="","",IF(OR(N($O142)&lt;odk_esikOee,$E142&gt;odk_esikDurusDk,N($Q142)&lt;odk_esikSaglik),"ALARM","UYGUN"))</f>
        <v/>
      </c>
      <c r="S142" s="19">
        <f>IF($A142="","",1)</f>
        <v/>
      </c>
      <c r="T142" s="19">
        <f>IF($A142="","",IF(OR($B142="",COUNTIF(tblVarliklar[VarlikId],$B142)=0),"YETIM","TAMAM"))</f>
        <v/>
      </c>
    </row>
    <row r="143">
      <c r="A143" s="15" t="n"/>
      <c r="B143" s="15" t="n"/>
      <c r="C143" s="37" t="n"/>
      <c r="D143" s="17" t="n"/>
      <c r="E143" s="17" t="n"/>
      <c r="F143" s="17" t="n"/>
      <c r="G143" s="17" t="n"/>
      <c r="H143" s="15" t="n"/>
      <c r="I143" s="19">
        <f>IF($A143="","",IFERROR(SUMIF(tblVarliklar[VarlikId],$B143,tblVarliklar[IdealCevrim_sn]),odk_varsayilanCevrim))</f>
        <v/>
      </c>
      <c r="J143" s="19">
        <f>IF($A143="","",IFERROR(MAX(0,$D143-$E143),0))</f>
        <v/>
      </c>
      <c r="K143" s="19">
        <f>IF($A143="","",IFERROR($J143/$D143,0))</f>
        <v/>
      </c>
      <c r="L143" s="19">
        <f>IF($A143="","",IFERROR($J143*odk_dakikaSn/$I143,0))</f>
        <v/>
      </c>
      <c r="M143" s="19">
        <f>IF($A143="","",IFERROR($F143/$L143,0))</f>
        <v/>
      </c>
      <c r="N143" s="19">
        <f>IF($A143="","",IFERROR(($F143-$G143)/$F143,0))</f>
        <v/>
      </c>
      <c r="O143" s="19">
        <f>IF($A143="","",IFERROR(N($K143)*N($M143)*N($N143),0))</f>
        <v/>
      </c>
      <c r="P143" s="19">
        <f>IF($A143="","",IFERROR($E143/$D143,0))</f>
        <v/>
      </c>
      <c r="Q143" s="19">
        <f>IF($A143="","",IFERROR(MAX(0,MIN(100,odk_kaliteTaban-IF(N($O143)&lt;odk_esikOee,odk_kaliteCeza,0)-IF($E143&gt;odk_esikDurusDk,odk_kaliteSapma,0)-IF($T143="YETIM",odk_kaliteCeza,0))),0))</f>
        <v/>
      </c>
      <c r="R143" s="19">
        <f>IF($A143="","",IF(OR(N($O143)&lt;odk_esikOee,$E143&gt;odk_esikDurusDk,N($Q143)&lt;odk_esikSaglik),"ALARM","UYGUN"))</f>
        <v/>
      </c>
      <c r="S143" s="19">
        <f>IF($A143="","",1)</f>
        <v/>
      </c>
      <c r="T143" s="19">
        <f>IF($A143="","",IF(OR($B143="",COUNTIF(tblVarliklar[VarlikId],$B143)=0),"YETIM","TAMAM"))</f>
        <v/>
      </c>
    </row>
    <row r="144">
      <c r="A144" s="15" t="n"/>
      <c r="B144" s="15" t="n"/>
      <c r="C144" s="37" t="n"/>
      <c r="D144" s="17" t="n"/>
      <c r="E144" s="17" t="n"/>
      <c r="F144" s="17" t="n"/>
      <c r="G144" s="17" t="n"/>
      <c r="H144" s="15" t="n"/>
      <c r="I144" s="19">
        <f>IF($A144="","",IFERROR(SUMIF(tblVarliklar[VarlikId],$B144,tblVarliklar[IdealCevrim_sn]),odk_varsayilanCevrim))</f>
        <v/>
      </c>
      <c r="J144" s="19">
        <f>IF($A144="","",IFERROR(MAX(0,$D144-$E144),0))</f>
        <v/>
      </c>
      <c r="K144" s="19">
        <f>IF($A144="","",IFERROR($J144/$D144,0))</f>
        <v/>
      </c>
      <c r="L144" s="19">
        <f>IF($A144="","",IFERROR($J144*odk_dakikaSn/$I144,0))</f>
        <v/>
      </c>
      <c r="M144" s="19">
        <f>IF($A144="","",IFERROR($F144/$L144,0))</f>
        <v/>
      </c>
      <c r="N144" s="19">
        <f>IF($A144="","",IFERROR(($F144-$G144)/$F144,0))</f>
        <v/>
      </c>
      <c r="O144" s="19">
        <f>IF($A144="","",IFERROR(N($K144)*N($M144)*N($N144),0))</f>
        <v/>
      </c>
      <c r="P144" s="19">
        <f>IF($A144="","",IFERROR($E144/$D144,0))</f>
        <v/>
      </c>
      <c r="Q144" s="19">
        <f>IF($A144="","",IFERROR(MAX(0,MIN(100,odk_kaliteTaban-IF(N($O144)&lt;odk_esikOee,odk_kaliteCeza,0)-IF($E144&gt;odk_esikDurusDk,odk_kaliteSapma,0)-IF($T144="YETIM",odk_kaliteCeza,0))),0))</f>
        <v/>
      </c>
      <c r="R144" s="19">
        <f>IF($A144="","",IF(OR(N($O144)&lt;odk_esikOee,$E144&gt;odk_esikDurusDk,N($Q144)&lt;odk_esikSaglik),"ALARM","UYGUN"))</f>
        <v/>
      </c>
      <c r="S144" s="19">
        <f>IF($A144="","",1)</f>
        <v/>
      </c>
      <c r="T144" s="19">
        <f>IF($A144="","",IF(OR($B144="",COUNTIF(tblVarliklar[VarlikId],$B144)=0),"YETIM","TAMAM"))</f>
        <v/>
      </c>
    </row>
    <row r="145">
      <c r="A145" s="15" t="n"/>
      <c r="B145" s="15" t="n"/>
      <c r="C145" s="37" t="n"/>
      <c r="D145" s="17" t="n"/>
      <c r="E145" s="17" t="n"/>
      <c r="F145" s="17" t="n"/>
      <c r="G145" s="17" t="n"/>
      <c r="H145" s="15" t="n"/>
      <c r="I145" s="19">
        <f>IF($A145="","",IFERROR(SUMIF(tblVarliklar[VarlikId],$B145,tblVarliklar[IdealCevrim_sn]),odk_varsayilanCevrim))</f>
        <v/>
      </c>
      <c r="J145" s="19">
        <f>IF($A145="","",IFERROR(MAX(0,$D145-$E145),0))</f>
        <v/>
      </c>
      <c r="K145" s="19">
        <f>IF($A145="","",IFERROR($J145/$D145,0))</f>
        <v/>
      </c>
      <c r="L145" s="19">
        <f>IF($A145="","",IFERROR($J145*odk_dakikaSn/$I145,0))</f>
        <v/>
      </c>
      <c r="M145" s="19">
        <f>IF($A145="","",IFERROR($F145/$L145,0))</f>
        <v/>
      </c>
      <c r="N145" s="19">
        <f>IF($A145="","",IFERROR(($F145-$G145)/$F145,0))</f>
        <v/>
      </c>
      <c r="O145" s="19">
        <f>IF($A145="","",IFERROR(N($K145)*N($M145)*N($N145),0))</f>
        <v/>
      </c>
      <c r="P145" s="19">
        <f>IF($A145="","",IFERROR($E145/$D145,0))</f>
        <v/>
      </c>
      <c r="Q145" s="19">
        <f>IF($A145="","",IFERROR(MAX(0,MIN(100,odk_kaliteTaban-IF(N($O145)&lt;odk_esikOee,odk_kaliteCeza,0)-IF($E145&gt;odk_esikDurusDk,odk_kaliteSapma,0)-IF($T145="YETIM",odk_kaliteCeza,0))),0))</f>
        <v/>
      </c>
      <c r="R145" s="19">
        <f>IF($A145="","",IF(OR(N($O145)&lt;odk_esikOee,$E145&gt;odk_esikDurusDk,N($Q145)&lt;odk_esikSaglik),"ALARM","UYGUN"))</f>
        <v/>
      </c>
      <c r="S145" s="19">
        <f>IF($A145="","",1)</f>
        <v/>
      </c>
      <c r="T145" s="19">
        <f>IF($A145="","",IF(OR($B145="",COUNTIF(tblVarliklar[VarlikId],$B145)=0),"YETIM","TAMAM"))</f>
        <v/>
      </c>
    </row>
    <row r="146">
      <c r="A146" s="15" t="n"/>
      <c r="B146" s="15" t="n"/>
      <c r="C146" s="37" t="n"/>
      <c r="D146" s="17" t="n"/>
      <c r="E146" s="17" t="n"/>
      <c r="F146" s="17" t="n"/>
      <c r="G146" s="17" t="n"/>
      <c r="H146" s="15" t="n"/>
      <c r="I146" s="19">
        <f>IF($A146="","",IFERROR(SUMIF(tblVarliklar[VarlikId],$B146,tblVarliklar[IdealCevrim_sn]),odk_varsayilanCevrim))</f>
        <v/>
      </c>
      <c r="J146" s="19">
        <f>IF($A146="","",IFERROR(MAX(0,$D146-$E146),0))</f>
        <v/>
      </c>
      <c r="K146" s="19">
        <f>IF($A146="","",IFERROR($J146/$D146,0))</f>
        <v/>
      </c>
      <c r="L146" s="19">
        <f>IF($A146="","",IFERROR($J146*odk_dakikaSn/$I146,0))</f>
        <v/>
      </c>
      <c r="M146" s="19">
        <f>IF($A146="","",IFERROR($F146/$L146,0))</f>
        <v/>
      </c>
      <c r="N146" s="19">
        <f>IF($A146="","",IFERROR(($F146-$G146)/$F146,0))</f>
        <v/>
      </c>
      <c r="O146" s="19">
        <f>IF($A146="","",IFERROR(N($K146)*N($M146)*N($N146),0))</f>
        <v/>
      </c>
      <c r="P146" s="19">
        <f>IF($A146="","",IFERROR($E146/$D146,0))</f>
        <v/>
      </c>
      <c r="Q146" s="19">
        <f>IF($A146="","",IFERROR(MAX(0,MIN(100,odk_kaliteTaban-IF(N($O146)&lt;odk_esikOee,odk_kaliteCeza,0)-IF($E146&gt;odk_esikDurusDk,odk_kaliteSapma,0)-IF($T146="YETIM",odk_kaliteCeza,0))),0))</f>
        <v/>
      </c>
      <c r="R146" s="19">
        <f>IF($A146="","",IF(OR(N($O146)&lt;odk_esikOee,$E146&gt;odk_esikDurusDk,N($Q146)&lt;odk_esikSaglik),"ALARM","UYGUN"))</f>
        <v/>
      </c>
      <c r="S146" s="19">
        <f>IF($A146="","",1)</f>
        <v/>
      </c>
      <c r="T146" s="19">
        <f>IF($A146="","",IF(OR($B146="",COUNTIF(tblVarliklar[VarlikId],$B146)=0),"YETIM","TAMAM"))</f>
        <v/>
      </c>
    </row>
    <row r="147">
      <c r="A147" s="15" t="n"/>
      <c r="B147" s="15" t="n"/>
      <c r="C147" s="37" t="n"/>
      <c r="D147" s="17" t="n"/>
      <c r="E147" s="17" t="n"/>
      <c r="F147" s="17" t="n"/>
      <c r="G147" s="17" t="n"/>
      <c r="H147" s="15" t="n"/>
      <c r="I147" s="19">
        <f>IF($A147="","",IFERROR(SUMIF(tblVarliklar[VarlikId],$B147,tblVarliklar[IdealCevrim_sn]),odk_varsayilanCevrim))</f>
        <v/>
      </c>
      <c r="J147" s="19">
        <f>IF($A147="","",IFERROR(MAX(0,$D147-$E147),0))</f>
        <v/>
      </c>
      <c r="K147" s="19">
        <f>IF($A147="","",IFERROR($J147/$D147,0))</f>
        <v/>
      </c>
      <c r="L147" s="19">
        <f>IF($A147="","",IFERROR($J147*odk_dakikaSn/$I147,0))</f>
        <v/>
      </c>
      <c r="M147" s="19">
        <f>IF($A147="","",IFERROR($F147/$L147,0))</f>
        <v/>
      </c>
      <c r="N147" s="19">
        <f>IF($A147="","",IFERROR(($F147-$G147)/$F147,0))</f>
        <v/>
      </c>
      <c r="O147" s="19">
        <f>IF($A147="","",IFERROR(N($K147)*N($M147)*N($N147),0))</f>
        <v/>
      </c>
      <c r="P147" s="19">
        <f>IF($A147="","",IFERROR($E147/$D147,0))</f>
        <v/>
      </c>
      <c r="Q147" s="19">
        <f>IF($A147="","",IFERROR(MAX(0,MIN(100,odk_kaliteTaban-IF(N($O147)&lt;odk_esikOee,odk_kaliteCeza,0)-IF($E147&gt;odk_esikDurusDk,odk_kaliteSapma,0)-IF($T147="YETIM",odk_kaliteCeza,0))),0))</f>
        <v/>
      </c>
      <c r="R147" s="19">
        <f>IF($A147="","",IF(OR(N($O147)&lt;odk_esikOee,$E147&gt;odk_esikDurusDk,N($Q147)&lt;odk_esikSaglik),"ALARM","UYGUN"))</f>
        <v/>
      </c>
      <c r="S147" s="19">
        <f>IF($A147="","",1)</f>
        <v/>
      </c>
      <c r="T147" s="19">
        <f>IF($A147="","",IF(OR($B147="",COUNTIF(tblVarliklar[VarlikId],$B147)=0),"YETIM","TAMAM"))</f>
        <v/>
      </c>
    </row>
    <row r="148">
      <c r="A148" s="15" t="n"/>
      <c r="B148" s="15" t="n"/>
      <c r="C148" s="37" t="n"/>
      <c r="D148" s="17" t="n"/>
      <c r="E148" s="17" t="n"/>
      <c r="F148" s="17" t="n"/>
      <c r="G148" s="17" t="n"/>
      <c r="H148" s="15" t="n"/>
      <c r="I148" s="19">
        <f>IF($A148="","",IFERROR(SUMIF(tblVarliklar[VarlikId],$B148,tblVarliklar[IdealCevrim_sn]),odk_varsayilanCevrim))</f>
        <v/>
      </c>
      <c r="J148" s="19">
        <f>IF($A148="","",IFERROR(MAX(0,$D148-$E148),0))</f>
        <v/>
      </c>
      <c r="K148" s="19">
        <f>IF($A148="","",IFERROR($J148/$D148,0))</f>
        <v/>
      </c>
      <c r="L148" s="19">
        <f>IF($A148="","",IFERROR($J148*odk_dakikaSn/$I148,0))</f>
        <v/>
      </c>
      <c r="M148" s="19">
        <f>IF($A148="","",IFERROR($F148/$L148,0))</f>
        <v/>
      </c>
      <c r="N148" s="19">
        <f>IF($A148="","",IFERROR(($F148-$G148)/$F148,0))</f>
        <v/>
      </c>
      <c r="O148" s="19">
        <f>IF($A148="","",IFERROR(N($K148)*N($M148)*N($N148),0))</f>
        <v/>
      </c>
      <c r="P148" s="19">
        <f>IF($A148="","",IFERROR($E148/$D148,0))</f>
        <v/>
      </c>
      <c r="Q148" s="19">
        <f>IF($A148="","",IFERROR(MAX(0,MIN(100,odk_kaliteTaban-IF(N($O148)&lt;odk_esikOee,odk_kaliteCeza,0)-IF($E148&gt;odk_esikDurusDk,odk_kaliteSapma,0)-IF($T148="YETIM",odk_kaliteCeza,0))),0))</f>
        <v/>
      </c>
      <c r="R148" s="19">
        <f>IF($A148="","",IF(OR(N($O148)&lt;odk_esikOee,$E148&gt;odk_esikDurusDk,N($Q148)&lt;odk_esikSaglik),"ALARM","UYGUN"))</f>
        <v/>
      </c>
      <c r="S148" s="19">
        <f>IF($A148="","",1)</f>
        <v/>
      </c>
      <c r="T148" s="19">
        <f>IF($A148="","",IF(OR($B148="",COUNTIF(tblVarliklar[VarlikId],$B148)=0),"YETIM","TAMAM"))</f>
        <v/>
      </c>
    </row>
    <row r="149">
      <c r="A149" s="15" t="n"/>
      <c r="B149" s="15" t="n"/>
      <c r="C149" s="37" t="n"/>
      <c r="D149" s="17" t="n"/>
      <c r="E149" s="17" t="n"/>
      <c r="F149" s="17" t="n"/>
      <c r="G149" s="17" t="n"/>
      <c r="H149" s="15" t="n"/>
      <c r="I149" s="19">
        <f>IF($A149="","",IFERROR(SUMIF(tblVarliklar[VarlikId],$B149,tblVarliklar[IdealCevrim_sn]),odk_varsayilanCevrim))</f>
        <v/>
      </c>
      <c r="J149" s="19">
        <f>IF($A149="","",IFERROR(MAX(0,$D149-$E149),0))</f>
        <v/>
      </c>
      <c r="K149" s="19">
        <f>IF($A149="","",IFERROR($J149/$D149,0))</f>
        <v/>
      </c>
      <c r="L149" s="19">
        <f>IF($A149="","",IFERROR($J149*odk_dakikaSn/$I149,0))</f>
        <v/>
      </c>
      <c r="M149" s="19">
        <f>IF($A149="","",IFERROR($F149/$L149,0))</f>
        <v/>
      </c>
      <c r="N149" s="19">
        <f>IF($A149="","",IFERROR(($F149-$G149)/$F149,0))</f>
        <v/>
      </c>
      <c r="O149" s="19">
        <f>IF($A149="","",IFERROR(N($K149)*N($M149)*N($N149),0))</f>
        <v/>
      </c>
      <c r="P149" s="19">
        <f>IF($A149="","",IFERROR($E149/$D149,0))</f>
        <v/>
      </c>
      <c r="Q149" s="19">
        <f>IF($A149="","",IFERROR(MAX(0,MIN(100,odk_kaliteTaban-IF(N($O149)&lt;odk_esikOee,odk_kaliteCeza,0)-IF($E149&gt;odk_esikDurusDk,odk_kaliteSapma,0)-IF($T149="YETIM",odk_kaliteCeza,0))),0))</f>
        <v/>
      </c>
      <c r="R149" s="19">
        <f>IF($A149="","",IF(OR(N($O149)&lt;odk_esikOee,$E149&gt;odk_esikDurusDk,N($Q149)&lt;odk_esikSaglik),"ALARM","UYGUN"))</f>
        <v/>
      </c>
      <c r="S149" s="19">
        <f>IF($A149="","",1)</f>
        <v/>
      </c>
      <c r="T149" s="19">
        <f>IF($A149="","",IF(OR($B149="",COUNTIF(tblVarliklar[VarlikId],$B149)=0),"YETIM","TAMAM"))</f>
        <v/>
      </c>
    </row>
    <row r="150">
      <c r="A150" s="15" t="n"/>
      <c r="B150" s="15" t="n"/>
      <c r="C150" s="37" t="n"/>
      <c r="D150" s="17" t="n"/>
      <c r="E150" s="17" t="n"/>
      <c r="F150" s="17" t="n"/>
      <c r="G150" s="17" t="n"/>
      <c r="H150" s="15" t="n"/>
      <c r="I150" s="19">
        <f>IF($A150="","",IFERROR(SUMIF(tblVarliklar[VarlikId],$B150,tblVarliklar[IdealCevrim_sn]),odk_varsayilanCevrim))</f>
        <v/>
      </c>
      <c r="J150" s="19">
        <f>IF($A150="","",IFERROR(MAX(0,$D150-$E150),0))</f>
        <v/>
      </c>
      <c r="K150" s="19">
        <f>IF($A150="","",IFERROR($J150/$D150,0))</f>
        <v/>
      </c>
      <c r="L150" s="19">
        <f>IF($A150="","",IFERROR($J150*odk_dakikaSn/$I150,0))</f>
        <v/>
      </c>
      <c r="M150" s="19">
        <f>IF($A150="","",IFERROR($F150/$L150,0))</f>
        <v/>
      </c>
      <c r="N150" s="19">
        <f>IF($A150="","",IFERROR(($F150-$G150)/$F150,0))</f>
        <v/>
      </c>
      <c r="O150" s="19">
        <f>IF($A150="","",IFERROR(N($K150)*N($M150)*N($N150),0))</f>
        <v/>
      </c>
      <c r="P150" s="19">
        <f>IF($A150="","",IFERROR($E150/$D150,0))</f>
        <v/>
      </c>
      <c r="Q150" s="19">
        <f>IF($A150="","",IFERROR(MAX(0,MIN(100,odk_kaliteTaban-IF(N($O150)&lt;odk_esikOee,odk_kaliteCeza,0)-IF($E150&gt;odk_esikDurusDk,odk_kaliteSapma,0)-IF($T150="YETIM",odk_kaliteCeza,0))),0))</f>
        <v/>
      </c>
      <c r="R150" s="19">
        <f>IF($A150="","",IF(OR(N($O150)&lt;odk_esikOee,$E150&gt;odk_esikDurusDk,N($Q150)&lt;odk_esikSaglik),"ALARM","UYGUN"))</f>
        <v/>
      </c>
      <c r="S150" s="19">
        <f>IF($A150="","",1)</f>
        <v/>
      </c>
      <c r="T150" s="19">
        <f>IF($A150="","",IF(OR($B150="",COUNTIF(tblVarliklar[VarlikId],$B150)=0),"YETIM","TAMAM"))</f>
        <v/>
      </c>
    </row>
    <row r="151">
      <c r="A151" s="15" t="n"/>
      <c r="B151" s="15" t="n"/>
      <c r="C151" s="37" t="n"/>
      <c r="D151" s="17" t="n"/>
      <c r="E151" s="17" t="n"/>
      <c r="F151" s="17" t="n"/>
      <c r="G151" s="17" t="n"/>
      <c r="H151" s="15" t="n"/>
      <c r="I151" s="19">
        <f>IF($A151="","",IFERROR(SUMIF(tblVarliklar[VarlikId],$B151,tblVarliklar[IdealCevrim_sn]),odk_varsayilanCevrim))</f>
        <v/>
      </c>
      <c r="J151" s="19">
        <f>IF($A151="","",IFERROR(MAX(0,$D151-$E151),0))</f>
        <v/>
      </c>
      <c r="K151" s="19">
        <f>IF($A151="","",IFERROR($J151/$D151,0))</f>
        <v/>
      </c>
      <c r="L151" s="19">
        <f>IF($A151="","",IFERROR($J151*odk_dakikaSn/$I151,0))</f>
        <v/>
      </c>
      <c r="M151" s="19">
        <f>IF($A151="","",IFERROR($F151/$L151,0))</f>
        <v/>
      </c>
      <c r="N151" s="19">
        <f>IF($A151="","",IFERROR(($F151-$G151)/$F151,0))</f>
        <v/>
      </c>
      <c r="O151" s="19">
        <f>IF($A151="","",IFERROR(N($K151)*N($M151)*N($N151),0))</f>
        <v/>
      </c>
      <c r="P151" s="19">
        <f>IF($A151="","",IFERROR($E151/$D151,0))</f>
        <v/>
      </c>
      <c r="Q151" s="19">
        <f>IF($A151="","",IFERROR(MAX(0,MIN(100,odk_kaliteTaban-IF(N($O151)&lt;odk_esikOee,odk_kaliteCeza,0)-IF($E151&gt;odk_esikDurusDk,odk_kaliteSapma,0)-IF($T151="YETIM",odk_kaliteCeza,0))),0))</f>
        <v/>
      </c>
      <c r="R151" s="19">
        <f>IF($A151="","",IF(OR(N($O151)&lt;odk_esikOee,$E151&gt;odk_esikDurusDk,N($Q151)&lt;odk_esikSaglik),"ALARM","UYGUN"))</f>
        <v/>
      </c>
      <c r="S151" s="19">
        <f>IF($A151="","",1)</f>
        <v/>
      </c>
      <c r="T151" s="19">
        <f>IF($A151="","",IF(OR($B151="",COUNTIF(tblVarliklar[VarlikId],$B151)=0),"YETIM","TAMAM"))</f>
        <v/>
      </c>
    </row>
    <row r="152">
      <c r="A152" s="15" t="n"/>
      <c r="B152" s="15" t="n"/>
      <c r="C152" s="37" t="n"/>
      <c r="D152" s="17" t="n"/>
      <c r="E152" s="17" t="n"/>
      <c r="F152" s="17" t="n"/>
      <c r="G152" s="17" t="n"/>
      <c r="H152" s="15" t="n"/>
      <c r="I152" s="19">
        <f>IF($A152="","",IFERROR(SUMIF(tblVarliklar[VarlikId],$B152,tblVarliklar[IdealCevrim_sn]),odk_varsayilanCevrim))</f>
        <v/>
      </c>
      <c r="J152" s="19">
        <f>IF($A152="","",IFERROR(MAX(0,$D152-$E152),0))</f>
        <v/>
      </c>
      <c r="K152" s="19">
        <f>IF($A152="","",IFERROR($J152/$D152,0))</f>
        <v/>
      </c>
      <c r="L152" s="19">
        <f>IF($A152="","",IFERROR($J152*odk_dakikaSn/$I152,0))</f>
        <v/>
      </c>
      <c r="M152" s="19">
        <f>IF($A152="","",IFERROR($F152/$L152,0))</f>
        <v/>
      </c>
      <c r="N152" s="19">
        <f>IF($A152="","",IFERROR(($F152-$G152)/$F152,0))</f>
        <v/>
      </c>
      <c r="O152" s="19">
        <f>IF($A152="","",IFERROR(N($K152)*N($M152)*N($N152),0))</f>
        <v/>
      </c>
      <c r="P152" s="19">
        <f>IF($A152="","",IFERROR($E152/$D152,0))</f>
        <v/>
      </c>
      <c r="Q152" s="19">
        <f>IF($A152="","",IFERROR(MAX(0,MIN(100,odk_kaliteTaban-IF(N($O152)&lt;odk_esikOee,odk_kaliteCeza,0)-IF($E152&gt;odk_esikDurusDk,odk_kaliteSapma,0)-IF($T152="YETIM",odk_kaliteCeza,0))),0))</f>
        <v/>
      </c>
      <c r="R152" s="19">
        <f>IF($A152="","",IF(OR(N($O152)&lt;odk_esikOee,$E152&gt;odk_esikDurusDk,N($Q152)&lt;odk_esikSaglik),"ALARM","UYGUN"))</f>
        <v/>
      </c>
      <c r="S152" s="19">
        <f>IF($A152="","",1)</f>
        <v/>
      </c>
      <c r="T152" s="19">
        <f>IF($A152="","",IF(OR($B152="",COUNTIF(tblVarliklar[VarlikId],$B152)=0),"YETIM","TAMAM"))</f>
        <v/>
      </c>
    </row>
    <row r="153">
      <c r="A153" s="15" t="n"/>
      <c r="B153" s="15" t="n"/>
      <c r="C153" s="37" t="n"/>
      <c r="D153" s="17" t="n"/>
      <c r="E153" s="17" t="n"/>
      <c r="F153" s="17" t="n"/>
      <c r="G153" s="17" t="n"/>
      <c r="H153" s="15" t="n"/>
      <c r="I153" s="19">
        <f>IF($A153="","",IFERROR(SUMIF(tblVarliklar[VarlikId],$B153,tblVarliklar[IdealCevrim_sn]),odk_varsayilanCevrim))</f>
        <v/>
      </c>
      <c r="J153" s="19">
        <f>IF($A153="","",IFERROR(MAX(0,$D153-$E153),0))</f>
        <v/>
      </c>
      <c r="K153" s="19">
        <f>IF($A153="","",IFERROR($J153/$D153,0))</f>
        <v/>
      </c>
      <c r="L153" s="19">
        <f>IF($A153="","",IFERROR($J153*odk_dakikaSn/$I153,0))</f>
        <v/>
      </c>
      <c r="M153" s="19">
        <f>IF($A153="","",IFERROR($F153/$L153,0))</f>
        <v/>
      </c>
      <c r="N153" s="19">
        <f>IF($A153="","",IFERROR(($F153-$G153)/$F153,0))</f>
        <v/>
      </c>
      <c r="O153" s="19">
        <f>IF($A153="","",IFERROR(N($K153)*N($M153)*N($N153),0))</f>
        <v/>
      </c>
      <c r="P153" s="19">
        <f>IF($A153="","",IFERROR($E153/$D153,0))</f>
        <v/>
      </c>
      <c r="Q153" s="19">
        <f>IF($A153="","",IFERROR(MAX(0,MIN(100,odk_kaliteTaban-IF(N($O153)&lt;odk_esikOee,odk_kaliteCeza,0)-IF($E153&gt;odk_esikDurusDk,odk_kaliteSapma,0)-IF($T153="YETIM",odk_kaliteCeza,0))),0))</f>
        <v/>
      </c>
      <c r="R153" s="19">
        <f>IF($A153="","",IF(OR(N($O153)&lt;odk_esikOee,$E153&gt;odk_esikDurusDk,N($Q153)&lt;odk_esikSaglik),"ALARM","UYGUN"))</f>
        <v/>
      </c>
      <c r="S153" s="19">
        <f>IF($A153="","",1)</f>
        <v/>
      </c>
      <c r="T153" s="19">
        <f>IF($A153="","",IF(OR($B153="",COUNTIF(tblVarliklar[VarlikId],$B153)=0),"YETIM","TAMAM"))</f>
        <v/>
      </c>
    </row>
    <row r="154">
      <c r="A154" s="15" t="n"/>
      <c r="B154" s="15" t="n"/>
      <c r="C154" s="37" t="n"/>
      <c r="D154" s="17" t="n"/>
      <c r="E154" s="17" t="n"/>
      <c r="F154" s="17" t="n"/>
      <c r="G154" s="17" t="n"/>
      <c r="H154" s="15" t="n"/>
      <c r="I154" s="19">
        <f>IF($A154="","",IFERROR(SUMIF(tblVarliklar[VarlikId],$B154,tblVarliklar[IdealCevrim_sn]),odk_varsayilanCevrim))</f>
        <v/>
      </c>
      <c r="J154" s="19">
        <f>IF($A154="","",IFERROR(MAX(0,$D154-$E154),0))</f>
        <v/>
      </c>
      <c r="K154" s="19">
        <f>IF($A154="","",IFERROR($J154/$D154,0))</f>
        <v/>
      </c>
      <c r="L154" s="19">
        <f>IF($A154="","",IFERROR($J154*odk_dakikaSn/$I154,0))</f>
        <v/>
      </c>
      <c r="M154" s="19">
        <f>IF($A154="","",IFERROR($F154/$L154,0))</f>
        <v/>
      </c>
      <c r="N154" s="19">
        <f>IF($A154="","",IFERROR(($F154-$G154)/$F154,0))</f>
        <v/>
      </c>
      <c r="O154" s="19">
        <f>IF($A154="","",IFERROR(N($K154)*N($M154)*N($N154),0))</f>
        <v/>
      </c>
      <c r="P154" s="19">
        <f>IF($A154="","",IFERROR($E154/$D154,0))</f>
        <v/>
      </c>
      <c r="Q154" s="19">
        <f>IF($A154="","",IFERROR(MAX(0,MIN(100,odk_kaliteTaban-IF(N($O154)&lt;odk_esikOee,odk_kaliteCeza,0)-IF($E154&gt;odk_esikDurusDk,odk_kaliteSapma,0)-IF($T154="YETIM",odk_kaliteCeza,0))),0))</f>
        <v/>
      </c>
      <c r="R154" s="19">
        <f>IF($A154="","",IF(OR(N($O154)&lt;odk_esikOee,$E154&gt;odk_esikDurusDk,N($Q154)&lt;odk_esikSaglik),"ALARM","UYGUN"))</f>
        <v/>
      </c>
      <c r="S154" s="19">
        <f>IF($A154="","",1)</f>
        <v/>
      </c>
      <c r="T154" s="19">
        <f>IF($A154="","",IF(OR($B154="",COUNTIF(tblVarliklar[VarlikId],$B154)=0),"YETIM","TAMAM"))</f>
        <v/>
      </c>
    </row>
    <row r="155">
      <c r="A155" s="15" t="n"/>
      <c r="B155" s="15" t="n"/>
      <c r="C155" s="37" t="n"/>
      <c r="D155" s="17" t="n"/>
      <c r="E155" s="17" t="n"/>
      <c r="F155" s="17" t="n"/>
      <c r="G155" s="17" t="n"/>
      <c r="H155" s="15" t="n"/>
      <c r="I155" s="19">
        <f>IF($A155="","",IFERROR(SUMIF(tblVarliklar[VarlikId],$B155,tblVarliklar[IdealCevrim_sn]),odk_varsayilanCevrim))</f>
        <v/>
      </c>
      <c r="J155" s="19">
        <f>IF($A155="","",IFERROR(MAX(0,$D155-$E155),0))</f>
        <v/>
      </c>
      <c r="K155" s="19">
        <f>IF($A155="","",IFERROR($J155/$D155,0))</f>
        <v/>
      </c>
      <c r="L155" s="19">
        <f>IF($A155="","",IFERROR($J155*odk_dakikaSn/$I155,0))</f>
        <v/>
      </c>
      <c r="M155" s="19">
        <f>IF($A155="","",IFERROR($F155/$L155,0))</f>
        <v/>
      </c>
      <c r="N155" s="19">
        <f>IF($A155="","",IFERROR(($F155-$G155)/$F155,0))</f>
        <v/>
      </c>
      <c r="O155" s="19">
        <f>IF($A155="","",IFERROR(N($K155)*N($M155)*N($N155),0))</f>
        <v/>
      </c>
      <c r="P155" s="19">
        <f>IF($A155="","",IFERROR($E155/$D155,0))</f>
        <v/>
      </c>
      <c r="Q155" s="19">
        <f>IF($A155="","",IFERROR(MAX(0,MIN(100,odk_kaliteTaban-IF(N($O155)&lt;odk_esikOee,odk_kaliteCeza,0)-IF($E155&gt;odk_esikDurusDk,odk_kaliteSapma,0)-IF($T155="YETIM",odk_kaliteCeza,0))),0))</f>
        <v/>
      </c>
      <c r="R155" s="19">
        <f>IF($A155="","",IF(OR(N($O155)&lt;odk_esikOee,$E155&gt;odk_esikDurusDk,N($Q155)&lt;odk_esikSaglik),"ALARM","UYGUN"))</f>
        <v/>
      </c>
      <c r="S155" s="19">
        <f>IF($A155="","",1)</f>
        <v/>
      </c>
      <c r="T155" s="19">
        <f>IF($A155="","",IF(OR($B155="",COUNTIF(tblVarliklar[VarlikId],$B155)=0),"YETIM","TAMAM"))</f>
        <v/>
      </c>
    </row>
    <row r="156">
      <c r="A156" s="15" t="n"/>
      <c r="B156" s="15" t="n"/>
      <c r="C156" s="37" t="n"/>
      <c r="D156" s="17" t="n"/>
      <c r="E156" s="17" t="n"/>
      <c r="F156" s="17" t="n"/>
      <c r="G156" s="17" t="n"/>
      <c r="H156" s="15" t="n"/>
      <c r="I156" s="19">
        <f>IF($A156="","",IFERROR(SUMIF(tblVarliklar[VarlikId],$B156,tblVarliklar[IdealCevrim_sn]),odk_varsayilanCevrim))</f>
        <v/>
      </c>
      <c r="J156" s="19">
        <f>IF($A156="","",IFERROR(MAX(0,$D156-$E156),0))</f>
        <v/>
      </c>
      <c r="K156" s="19">
        <f>IF($A156="","",IFERROR($J156/$D156,0))</f>
        <v/>
      </c>
      <c r="L156" s="19">
        <f>IF($A156="","",IFERROR($J156*odk_dakikaSn/$I156,0))</f>
        <v/>
      </c>
      <c r="M156" s="19">
        <f>IF($A156="","",IFERROR($F156/$L156,0))</f>
        <v/>
      </c>
      <c r="N156" s="19">
        <f>IF($A156="","",IFERROR(($F156-$G156)/$F156,0))</f>
        <v/>
      </c>
      <c r="O156" s="19">
        <f>IF($A156="","",IFERROR(N($K156)*N($M156)*N($N156),0))</f>
        <v/>
      </c>
      <c r="P156" s="19">
        <f>IF($A156="","",IFERROR($E156/$D156,0))</f>
        <v/>
      </c>
      <c r="Q156" s="19">
        <f>IF($A156="","",IFERROR(MAX(0,MIN(100,odk_kaliteTaban-IF(N($O156)&lt;odk_esikOee,odk_kaliteCeza,0)-IF($E156&gt;odk_esikDurusDk,odk_kaliteSapma,0)-IF($T156="YETIM",odk_kaliteCeza,0))),0))</f>
        <v/>
      </c>
      <c r="R156" s="19">
        <f>IF($A156="","",IF(OR(N($O156)&lt;odk_esikOee,$E156&gt;odk_esikDurusDk,N($Q156)&lt;odk_esikSaglik),"ALARM","UYGUN"))</f>
        <v/>
      </c>
      <c r="S156" s="19">
        <f>IF($A156="","",1)</f>
        <v/>
      </c>
      <c r="T156" s="19">
        <f>IF($A156="","",IF(OR($B156="",COUNTIF(tblVarliklar[VarlikId],$B156)=0),"YETIM","TAMAM"))</f>
        <v/>
      </c>
    </row>
    <row r="157">
      <c r="A157" s="15" t="n"/>
      <c r="B157" s="15" t="n"/>
      <c r="C157" s="37" t="n"/>
      <c r="D157" s="17" t="n"/>
      <c r="E157" s="17" t="n"/>
      <c r="F157" s="17" t="n"/>
      <c r="G157" s="17" t="n"/>
      <c r="H157" s="15" t="n"/>
      <c r="I157" s="19">
        <f>IF($A157="","",IFERROR(SUMIF(tblVarliklar[VarlikId],$B157,tblVarliklar[IdealCevrim_sn]),odk_varsayilanCevrim))</f>
        <v/>
      </c>
      <c r="J157" s="19">
        <f>IF($A157="","",IFERROR(MAX(0,$D157-$E157),0))</f>
        <v/>
      </c>
      <c r="K157" s="19">
        <f>IF($A157="","",IFERROR($J157/$D157,0))</f>
        <v/>
      </c>
      <c r="L157" s="19">
        <f>IF($A157="","",IFERROR($J157*odk_dakikaSn/$I157,0))</f>
        <v/>
      </c>
      <c r="M157" s="19">
        <f>IF($A157="","",IFERROR($F157/$L157,0))</f>
        <v/>
      </c>
      <c r="N157" s="19">
        <f>IF($A157="","",IFERROR(($F157-$G157)/$F157,0))</f>
        <v/>
      </c>
      <c r="O157" s="19">
        <f>IF($A157="","",IFERROR(N($K157)*N($M157)*N($N157),0))</f>
        <v/>
      </c>
      <c r="P157" s="19">
        <f>IF($A157="","",IFERROR($E157/$D157,0))</f>
        <v/>
      </c>
      <c r="Q157" s="19">
        <f>IF($A157="","",IFERROR(MAX(0,MIN(100,odk_kaliteTaban-IF(N($O157)&lt;odk_esikOee,odk_kaliteCeza,0)-IF($E157&gt;odk_esikDurusDk,odk_kaliteSapma,0)-IF($T157="YETIM",odk_kaliteCeza,0))),0))</f>
        <v/>
      </c>
      <c r="R157" s="19">
        <f>IF($A157="","",IF(OR(N($O157)&lt;odk_esikOee,$E157&gt;odk_esikDurusDk,N($Q157)&lt;odk_esikSaglik),"ALARM","UYGUN"))</f>
        <v/>
      </c>
      <c r="S157" s="19">
        <f>IF($A157="","",1)</f>
        <v/>
      </c>
      <c r="T157" s="19">
        <f>IF($A157="","",IF(OR($B157="",COUNTIF(tblVarliklar[VarlikId],$B157)=0),"YETIM","TAMAM"))</f>
        <v/>
      </c>
    </row>
    <row r="158">
      <c r="A158" s="15" t="n"/>
      <c r="B158" s="15" t="n"/>
      <c r="C158" s="37" t="n"/>
      <c r="D158" s="17" t="n"/>
      <c r="E158" s="17" t="n"/>
      <c r="F158" s="17" t="n"/>
      <c r="G158" s="17" t="n"/>
      <c r="H158" s="15" t="n"/>
      <c r="I158" s="19">
        <f>IF($A158="","",IFERROR(SUMIF(tblVarliklar[VarlikId],$B158,tblVarliklar[IdealCevrim_sn]),odk_varsayilanCevrim))</f>
        <v/>
      </c>
      <c r="J158" s="19">
        <f>IF($A158="","",IFERROR(MAX(0,$D158-$E158),0))</f>
        <v/>
      </c>
      <c r="K158" s="19">
        <f>IF($A158="","",IFERROR($J158/$D158,0))</f>
        <v/>
      </c>
      <c r="L158" s="19">
        <f>IF($A158="","",IFERROR($J158*odk_dakikaSn/$I158,0))</f>
        <v/>
      </c>
      <c r="M158" s="19">
        <f>IF($A158="","",IFERROR($F158/$L158,0))</f>
        <v/>
      </c>
      <c r="N158" s="19">
        <f>IF($A158="","",IFERROR(($F158-$G158)/$F158,0))</f>
        <v/>
      </c>
      <c r="O158" s="19">
        <f>IF($A158="","",IFERROR(N($K158)*N($M158)*N($N158),0))</f>
        <v/>
      </c>
      <c r="P158" s="19">
        <f>IF($A158="","",IFERROR($E158/$D158,0))</f>
        <v/>
      </c>
      <c r="Q158" s="19">
        <f>IF($A158="","",IFERROR(MAX(0,MIN(100,odk_kaliteTaban-IF(N($O158)&lt;odk_esikOee,odk_kaliteCeza,0)-IF($E158&gt;odk_esikDurusDk,odk_kaliteSapma,0)-IF($T158="YETIM",odk_kaliteCeza,0))),0))</f>
        <v/>
      </c>
      <c r="R158" s="19">
        <f>IF($A158="","",IF(OR(N($O158)&lt;odk_esikOee,$E158&gt;odk_esikDurusDk,N($Q158)&lt;odk_esikSaglik),"ALARM","UYGUN"))</f>
        <v/>
      </c>
      <c r="S158" s="19">
        <f>IF($A158="","",1)</f>
        <v/>
      </c>
      <c r="T158" s="19">
        <f>IF($A158="","",IF(OR($B158="",COUNTIF(tblVarliklar[VarlikId],$B158)=0),"YETIM","TAMAM"))</f>
        <v/>
      </c>
    </row>
    <row r="159">
      <c r="A159" s="15" t="n"/>
      <c r="B159" s="15" t="n"/>
      <c r="C159" s="37" t="n"/>
      <c r="D159" s="17" t="n"/>
      <c r="E159" s="17" t="n"/>
      <c r="F159" s="17" t="n"/>
      <c r="G159" s="17" t="n"/>
      <c r="H159" s="15" t="n"/>
      <c r="I159" s="19">
        <f>IF($A159="","",IFERROR(SUMIF(tblVarliklar[VarlikId],$B159,tblVarliklar[IdealCevrim_sn]),odk_varsayilanCevrim))</f>
        <v/>
      </c>
      <c r="J159" s="19">
        <f>IF($A159="","",IFERROR(MAX(0,$D159-$E159),0))</f>
        <v/>
      </c>
      <c r="K159" s="19">
        <f>IF($A159="","",IFERROR($J159/$D159,0))</f>
        <v/>
      </c>
      <c r="L159" s="19">
        <f>IF($A159="","",IFERROR($J159*odk_dakikaSn/$I159,0))</f>
        <v/>
      </c>
      <c r="M159" s="19">
        <f>IF($A159="","",IFERROR($F159/$L159,0))</f>
        <v/>
      </c>
      <c r="N159" s="19">
        <f>IF($A159="","",IFERROR(($F159-$G159)/$F159,0))</f>
        <v/>
      </c>
      <c r="O159" s="19">
        <f>IF($A159="","",IFERROR(N($K159)*N($M159)*N($N159),0))</f>
        <v/>
      </c>
      <c r="P159" s="19">
        <f>IF($A159="","",IFERROR($E159/$D159,0))</f>
        <v/>
      </c>
      <c r="Q159" s="19">
        <f>IF($A159="","",IFERROR(MAX(0,MIN(100,odk_kaliteTaban-IF(N($O159)&lt;odk_esikOee,odk_kaliteCeza,0)-IF($E159&gt;odk_esikDurusDk,odk_kaliteSapma,0)-IF($T159="YETIM",odk_kaliteCeza,0))),0))</f>
        <v/>
      </c>
      <c r="R159" s="19">
        <f>IF($A159="","",IF(OR(N($O159)&lt;odk_esikOee,$E159&gt;odk_esikDurusDk,N($Q159)&lt;odk_esikSaglik),"ALARM","UYGUN"))</f>
        <v/>
      </c>
      <c r="S159" s="19">
        <f>IF($A159="","",1)</f>
        <v/>
      </c>
      <c r="T159" s="19">
        <f>IF($A159="","",IF(OR($B159="",COUNTIF(tblVarliklar[VarlikId],$B159)=0),"YETIM","TAMAM"))</f>
        <v/>
      </c>
    </row>
    <row r="160">
      <c r="A160" s="15" t="n"/>
      <c r="B160" s="15" t="n"/>
      <c r="C160" s="37" t="n"/>
      <c r="D160" s="17" t="n"/>
      <c r="E160" s="17" t="n"/>
      <c r="F160" s="17" t="n"/>
      <c r="G160" s="17" t="n"/>
      <c r="H160" s="15" t="n"/>
      <c r="I160" s="19">
        <f>IF($A160="","",IFERROR(SUMIF(tblVarliklar[VarlikId],$B160,tblVarliklar[IdealCevrim_sn]),odk_varsayilanCevrim))</f>
        <v/>
      </c>
      <c r="J160" s="19">
        <f>IF($A160="","",IFERROR(MAX(0,$D160-$E160),0))</f>
        <v/>
      </c>
      <c r="K160" s="19">
        <f>IF($A160="","",IFERROR($J160/$D160,0))</f>
        <v/>
      </c>
      <c r="L160" s="19">
        <f>IF($A160="","",IFERROR($J160*odk_dakikaSn/$I160,0))</f>
        <v/>
      </c>
      <c r="M160" s="19">
        <f>IF($A160="","",IFERROR($F160/$L160,0))</f>
        <v/>
      </c>
      <c r="N160" s="19">
        <f>IF($A160="","",IFERROR(($F160-$G160)/$F160,0))</f>
        <v/>
      </c>
      <c r="O160" s="19">
        <f>IF($A160="","",IFERROR(N($K160)*N($M160)*N($N160),0))</f>
        <v/>
      </c>
      <c r="P160" s="19">
        <f>IF($A160="","",IFERROR($E160/$D160,0))</f>
        <v/>
      </c>
      <c r="Q160" s="19">
        <f>IF($A160="","",IFERROR(MAX(0,MIN(100,odk_kaliteTaban-IF(N($O160)&lt;odk_esikOee,odk_kaliteCeza,0)-IF($E160&gt;odk_esikDurusDk,odk_kaliteSapma,0)-IF($T160="YETIM",odk_kaliteCeza,0))),0))</f>
        <v/>
      </c>
      <c r="R160" s="19">
        <f>IF($A160="","",IF(OR(N($O160)&lt;odk_esikOee,$E160&gt;odk_esikDurusDk,N($Q160)&lt;odk_esikSaglik),"ALARM","UYGUN"))</f>
        <v/>
      </c>
      <c r="S160" s="19">
        <f>IF($A160="","",1)</f>
        <v/>
      </c>
      <c r="T160" s="19">
        <f>IF($A160="","",IF(OR($B160="",COUNTIF(tblVarliklar[VarlikId],$B160)=0),"YETIM","TAMAM"))</f>
        <v/>
      </c>
    </row>
    <row r="161">
      <c r="A161" s="15" t="n"/>
      <c r="B161" s="15" t="n"/>
      <c r="C161" s="37" t="n"/>
      <c r="D161" s="17" t="n"/>
      <c r="E161" s="17" t="n"/>
      <c r="F161" s="17" t="n"/>
      <c r="G161" s="17" t="n"/>
      <c r="H161" s="15" t="n"/>
      <c r="I161" s="19">
        <f>IF($A161="","",IFERROR(SUMIF(tblVarliklar[VarlikId],$B161,tblVarliklar[IdealCevrim_sn]),odk_varsayilanCevrim))</f>
        <v/>
      </c>
      <c r="J161" s="19">
        <f>IF($A161="","",IFERROR(MAX(0,$D161-$E161),0))</f>
        <v/>
      </c>
      <c r="K161" s="19">
        <f>IF($A161="","",IFERROR($J161/$D161,0))</f>
        <v/>
      </c>
      <c r="L161" s="19">
        <f>IF($A161="","",IFERROR($J161*odk_dakikaSn/$I161,0))</f>
        <v/>
      </c>
      <c r="M161" s="19">
        <f>IF($A161="","",IFERROR($F161/$L161,0))</f>
        <v/>
      </c>
      <c r="N161" s="19">
        <f>IF($A161="","",IFERROR(($F161-$G161)/$F161,0))</f>
        <v/>
      </c>
      <c r="O161" s="19">
        <f>IF($A161="","",IFERROR(N($K161)*N($M161)*N($N161),0))</f>
        <v/>
      </c>
      <c r="P161" s="19">
        <f>IF($A161="","",IFERROR($E161/$D161,0))</f>
        <v/>
      </c>
      <c r="Q161" s="19">
        <f>IF($A161="","",IFERROR(MAX(0,MIN(100,odk_kaliteTaban-IF(N($O161)&lt;odk_esikOee,odk_kaliteCeza,0)-IF($E161&gt;odk_esikDurusDk,odk_kaliteSapma,0)-IF($T161="YETIM",odk_kaliteCeza,0))),0))</f>
        <v/>
      </c>
      <c r="R161" s="19">
        <f>IF($A161="","",IF(OR(N($O161)&lt;odk_esikOee,$E161&gt;odk_esikDurusDk,N($Q161)&lt;odk_esikSaglik),"ALARM","UYGUN"))</f>
        <v/>
      </c>
      <c r="S161" s="19">
        <f>IF($A161="","",1)</f>
        <v/>
      </c>
      <c r="T161" s="19">
        <f>IF($A161="","",IF(OR($B161="",COUNTIF(tblVarliklar[VarlikId],$B161)=0),"YETIM","TAMAM"))</f>
        <v/>
      </c>
    </row>
    <row r="162">
      <c r="A162" s="15" t="n"/>
      <c r="B162" s="15" t="n"/>
      <c r="C162" s="37" t="n"/>
      <c r="D162" s="17" t="n"/>
      <c r="E162" s="17" t="n"/>
      <c r="F162" s="17" t="n"/>
      <c r="G162" s="17" t="n"/>
      <c r="H162" s="15" t="n"/>
      <c r="I162" s="19">
        <f>IF($A162="","",IFERROR(SUMIF(tblVarliklar[VarlikId],$B162,tblVarliklar[IdealCevrim_sn]),odk_varsayilanCevrim))</f>
        <v/>
      </c>
      <c r="J162" s="19">
        <f>IF($A162="","",IFERROR(MAX(0,$D162-$E162),0))</f>
        <v/>
      </c>
      <c r="K162" s="19">
        <f>IF($A162="","",IFERROR($J162/$D162,0))</f>
        <v/>
      </c>
      <c r="L162" s="19">
        <f>IF($A162="","",IFERROR($J162*odk_dakikaSn/$I162,0))</f>
        <v/>
      </c>
      <c r="M162" s="19">
        <f>IF($A162="","",IFERROR($F162/$L162,0))</f>
        <v/>
      </c>
      <c r="N162" s="19">
        <f>IF($A162="","",IFERROR(($F162-$G162)/$F162,0))</f>
        <v/>
      </c>
      <c r="O162" s="19">
        <f>IF($A162="","",IFERROR(N($K162)*N($M162)*N($N162),0))</f>
        <v/>
      </c>
      <c r="P162" s="19">
        <f>IF($A162="","",IFERROR($E162/$D162,0))</f>
        <v/>
      </c>
      <c r="Q162" s="19">
        <f>IF($A162="","",IFERROR(MAX(0,MIN(100,odk_kaliteTaban-IF(N($O162)&lt;odk_esikOee,odk_kaliteCeza,0)-IF($E162&gt;odk_esikDurusDk,odk_kaliteSapma,0)-IF($T162="YETIM",odk_kaliteCeza,0))),0))</f>
        <v/>
      </c>
      <c r="R162" s="19">
        <f>IF($A162="","",IF(OR(N($O162)&lt;odk_esikOee,$E162&gt;odk_esikDurusDk,N($Q162)&lt;odk_esikSaglik),"ALARM","UYGUN"))</f>
        <v/>
      </c>
      <c r="S162" s="19">
        <f>IF($A162="","",1)</f>
        <v/>
      </c>
      <c r="T162" s="19">
        <f>IF($A162="","",IF(OR($B162="",COUNTIF(tblVarliklar[VarlikId],$B162)=0),"YETIM","TAMAM"))</f>
        <v/>
      </c>
    </row>
    <row r="163">
      <c r="A163" s="15" t="n"/>
      <c r="B163" s="15" t="n"/>
      <c r="C163" s="37" t="n"/>
      <c r="D163" s="17" t="n"/>
      <c r="E163" s="17" t="n"/>
      <c r="F163" s="17" t="n"/>
      <c r="G163" s="17" t="n"/>
      <c r="H163" s="15" t="n"/>
      <c r="I163" s="19">
        <f>IF($A163="","",IFERROR(SUMIF(tblVarliklar[VarlikId],$B163,tblVarliklar[IdealCevrim_sn]),odk_varsayilanCevrim))</f>
        <v/>
      </c>
      <c r="J163" s="19">
        <f>IF($A163="","",IFERROR(MAX(0,$D163-$E163),0))</f>
        <v/>
      </c>
      <c r="K163" s="19">
        <f>IF($A163="","",IFERROR($J163/$D163,0))</f>
        <v/>
      </c>
      <c r="L163" s="19">
        <f>IF($A163="","",IFERROR($J163*odk_dakikaSn/$I163,0))</f>
        <v/>
      </c>
      <c r="M163" s="19">
        <f>IF($A163="","",IFERROR($F163/$L163,0))</f>
        <v/>
      </c>
      <c r="N163" s="19">
        <f>IF($A163="","",IFERROR(($F163-$G163)/$F163,0))</f>
        <v/>
      </c>
      <c r="O163" s="19">
        <f>IF($A163="","",IFERROR(N($K163)*N($M163)*N($N163),0))</f>
        <v/>
      </c>
      <c r="P163" s="19">
        <f>IF($A163="","",IFERROR($E163/$D163,0))</f>
        <v/>
      </c>
      <c r="Q163" s="19">
        <f>IF($A163="","",IFERROR(MAX(0,MIN(100,odk_kaliteTaban-IF(N($O163)&lt;odk_esikOee,odk_kaliteCeza,0)-IF($E163&gt;odk_esikDurusDk,odk_kaliteSapma,0)-IF($T163="YETIM",odk_kaliteCeza,0))),0))</f>
        <v/>
      </c>
      <c r="R163" s="19">
        <f>IF($A163="","",IF(OR(N($O163)&lt;odk_esikOee,$E163&gt;odk_esikDurusDk,N($Q163)&lt;odk_esikSaglik),"ALARM","UYGUN"))</f>
        <v/>
      </c>
      <c r="S163" s="19">
        <f>IF($A163="","",1)</f>
        <v/>
      </c>
      <c r="T163" s="19">
        <f>IF($A163="","",IF(OR($B163="",COUNTIF(tblVarliklar[VarlikId],$B163)=0),"YETIM","TAMAM"))</f>
        <v/>
      </c>
    </row>
    <row r="164">
      <c r="A164" s="15" t="n"/>
      <c r="B164" s="15" t="n"/>
      <c r="C164" s="37" t="n"/>
      <c r="D164" s="17" t="n"/>
      <c r="E164" s="17" t="n"/>
      <c r="F164" s="17" t="n"/>
      <c r="G164" s="17" t="n"/>
      <c r="H164" s="15" t="n"/>
      <c r="I164" s="19">
        <f>IF($A164="","",IFERROR(SUMIF(tblVarliklar[VarlikId],$B164,tblVarliklar[IdealCevrim_sn]),odk_varsayilanCevrim))</f>
        <v/>
      </c>
      <c r="J164" s="19">
        <f>IF($A164="","",IFERROR(MAX(0,$D164-$E164),0))</f>
        <v/>
      </c>
      <c r="K164" s="19">
        <f>IF($A164="","",IFERROR($J164/$D164,0))</f>
        <v/>
      </c>
      <c r="L164" s="19">
        <f>IF($A164="","",IFERROR($J164*odk_dakikaSn/$I164,0))</f>
        <v/>
      </c>
      <c r="M164" s="19">
        <f>IF($A164="","",IFERROR($F164/$L164,0))</f>
        <v/>
      </c>
      <c r="N164" s="19">
        <f>IF($A164="","",IFERROR(($F164-$G164)/$F164,0))</f>
        <v/>
      </c>
      <c r="O164" s="19">
        <f>IF($A164="","",IFERROR(N($K164)*N($M164)*N($N164),0))</f>
        <v/>
      </c>
      <c r="P164" s="19">
        <f>IF($A164="","",IFERROR($E164/$D164,0))</f>
        <v/>
      </c>
      <c r="Q164" s="19">
        <f>IF($A164="","",IFERROR(MAX(0,MIN(100,odk_kaliteTaban-IF(N($O164)&lt;odk_esikOee,odk_kaliteCeza,0)-IF($E164&gt;odk_esikDurusDk,odk_kaliteSapma,0)-IF($T164="YETIM",odk_kaliteCeza,0))),0))</f>
        <v/>
      </c>
      <c r="R164" s="19">
        <f>IF($A164="","",IF(OR(N($O164)&lt;odk_esikOee,$E164&gt;odk_esikDurusDk,N($Q164)&lt;odk_esikSaglik),"ALARM","UYGUN"))</f>
        <v/>
      </c>
      <c r="S164" s="19">
        <f>IF($A164="","",1)</f>
        <v/>
      </c>
      <c r="T164" s="19">
        <f>IF($A164="","",IF(OR($B164="",COUNTIF(tblVarliklar[VarlikId],$B164)=0),"YETIM","TAMAM"))</f>
        <v/>
      </c>
    </row>
    <row r="165">
      <c r="A165" s="15" t="n"/>
      <c r="B165" s="15" t="n"/>
      <c r="C165" s="37" t="n"/>
      <c r="D165" s="17" t="n"/>
      <c r="E165" s="17" t="n"/>
      <c r="F165" s="17" t="n"/>
      <c r="G165" s="17" t="n"/>
      <c r="H165" s="15" t="n"/>
      <c r="I165" s="19">
        <f>IF($A165="","",IFERROR(SUMIF(tblVarliklar[VarlikId],$B165,tblVarliklar[IdealCevrim_sn]),odk_varsayilanCevrim))</f>
        <v/>
      </c>
      <c r="J165" s="19">
        <f>IF($A165="","",IFERROR(MAX(0,$D165-$E165),0))</f>
        <v/>
      </c>
      <c r="K165" s="19">
        <f>IF($A165="","",IFERROR($J165/$D165,0))</f>
        <v/>
      </c>
      <c r="L165" s="19">
        <f>IF($A165="","",IFERROR($J165*odk_dakikaSn/$I165,0))</f>
        <v/>
      </c>
      <c r="M165" s="19">
        <f>IF($A165="","",IFERROR($F165/$L165,0))</f>
        <v/>
      </c>
      <c r="N165" s="19">
        <f>IF($A165="","",IFERROR(($F165-$G165)/$F165,0))</f>
        <v/>
      </c>
      <c r="O165" s="19">
        <f>IF($A165="","",IFERROR(N($K165)*N($M165)*N($N165),0))</f>
        <v/>
      </c>
      <c r="P165" s="19">
        <f>IF($A165="","",IFERROR($E165/$D165,0))</f>
        <v/>
      </c>
      <c r="Q165" s="19">
        <f>IF($A165="","",IFERROR(MAX(0,MIN(100,odk_kaliteTaban-IF(N($O165)&lt;odk_esikOee,odk_kaliteCeza,0)-IF($E165&gt;odk_esikDurusDk,odk_kaliteSapma,0)-IF($T165="YETIM",odk_kaliteCeza,0))),0))</f>
        <v/>
      </c>
      <c r="R165" s="19">
        <f>IF($A165="","",IF(OR(N($O165)&lt;odk_esikOee,$E165&gt;odk_esikDurusDk,N($Q165)&lt;odk_esikSaglik),"ALARM","UYGUN"))</f>
        <v/>
      </c>
      <c r="S165" s="19">
        <f>IF($A165="","",1)</f>
        <v/>
      </c>
      <c r="T165" s="19">
        <f>IF($A165="","",IF(OR($B165="",COUNTIF(tblVarliklar[VarlikId],$B165)=0),"YETIM","TAMAM"))</f>
        <v/>
      </c>
    </row>
    <row r="166">
      <c r="A166" s="15" t="n"/>
      <c r="B166" s="15" t="n"/>
      <c r="C166" s="37" t="n"/>
      <c r="D166" s="17" t="n"/>
      <c r="E166" s="17" t="n"/>
      <c r="F166" s="17" t="n"/>
      <c r="G166" s="17" t="n"/>
      <c r="H166" s="15" t="n"/>
      <c r="I166" s="19">
        <f>IF($A166="","",IFERROR(SUMIF(tblVarliklar[VarlikId],$B166,tblVarliklar[IdealCevrim_sn]),odk_varsayilanCevrim))</f>
        <v/>
      </c>
      <c r="J166" s="19">
        <f>IF($A166="","",IFERROR(MAX(0,$D166-$E166),0))</f>
        <v/>
      </c>
      <c r="K166" s="19">
        <f>IF($A166="","",IFERROR($J166/$D166,0))</f>
        <v/>
      </c>
      <c r="L166" s="19">
        <f>IF($A166="","",IFERROR($J166*odk_dakikaSn/$I166,0))</f>
        <v/>
      </c>
      <c r="M166" s="19">
        <f>IF($A166="","",IFERROR($F166/$L166,0))</f>
        <v/>
      </c>
      <c r="N166" s="19">
        <f>IF($A166="","",IFERROR(($F166-$G166)/$F166,0))</f>
        <v/>
      </c>
      <c r="O166" s="19">
        <f>IF($A166="","",IFERROR(N($K166)*N($M166)*N($N166),0))</f>
        <v/>
      </c>
      <c r="P166" s="19">
        <f>IF($A166="","",IFERROR($E166/$D166,0))</f>
        <v/>
      </c>
      <c r="Q166" s="19">
        <f>IF($A166="","",IFERROR(MAX(0,MIN(100,odk_kaliteTaban-IF(N($O166)&lt;odk_esikOee,odk_kaliteCeza,0)-IF($E166&gt;odk_esikDurusDk,odk_kaliteSapma,0)-IF($T166="YETIM",odk_kaliteCeza,0))),0))</f>
        <v/>
      </c>
      <c r="R166" s="19">
        <f>IF($A166="","",IF(OR(N($O166)&lt;odk_esikOee,$E166&gt;odk_esikDurusDk,N($Q166)&lt;odk_esikSaglik),"ALARM","UYGUN"))</f>
        <v/>
      </c>
      <c r="S166" s="19">
        <f>IF($A166="","",1)</f>
        <v/>
      </c>
      <c r="T166" s="19">
        <f>IF($A166="","",IF(OR($B166="",COUNTIF(tblVarliklar[VarlikId],$B166)=0),"YETIM","TAMAM"))</f>
        <v/>
      </c>
    </row>
    <row r="167">
      <c r="A167" s="15" t="n"/>
      <c r="B167" s="15" t="n"/>
      <c r="C167" s="37" t="n"/>
      <c r="D167" s="17" t="n"/>
      <c r="E167" s="17" t="n"/>
      <c r="F167" s="17" t="n"/>
      <c r="G167" s="17" t="n"/>
      <c r="H167" s="15" t="n"/>
      <c r="I167" s="19">
        <f>IF($A167="","",IFERROR(SUMIF(tblVarliklar[VarlikId],$B167,tblVarliklar[IdealCevrim_sn]),odk_varsayilanCevrim))</f>
        <v/>
      </c>
      <c r="J167" s="19">
        <f>IF($A167="","",IFERROR(MAX(0,$D167-$E167),0))</f>
        <v/>
      </c>
      <c r="K167" s="19">
        <f>IF($A167="","",IFERROR($J167/$D167,0))</f>
        <v/>
      </c>
      <c r="L167" s="19">
        <f>IF($A167="","",IFERROR($J167*odk_dakikaSn/$I167,0))</f>
        <v/>
      </c>
      <c r="M167" s="19">
        <f>IF($A167="","",IFERROR($F167/$L167,0))</f>
        <v/>
      </c>
      <c r="N167" s="19">
        <f>IF($A167="","",IFERROR(($F167-$G167)/$F167,0))</f>
        <v/>
      </c>
      <c r="O167" s="19">
        <f>IF($A167="","",IFERROR(N($K167)*N($M167)*N($N167),0))</f>
        <v/>
      </c>
      <c r="P167" s="19">
        <f>IF($A167="","",IFERROR($E167/$D167,0))</f>
        <v/>
      </c>
      <c r="Q167" s="19">
        <f>IF($A167="","",IFERROR(MAX(0,MIN(100,odk_kaliteTaban-IF(N($O167)&lt;odk_esikOee,odk_kaliteCeza,0)-IF($E167&gt;odk_esikDurusDk,odk_kaliteSapma,0)-IF($T167="YETIM",odk_kaliteCeza,0))),0))</f>
        <v/>
      </c>
      <c r="R167" s="19">
        <f>IF($A167="","",IF(OR(N($O167)&lt;odk_esikOee,$E167&gt;odk_esikDurusDk,N($Q167)&lt;odk_esikSaglik),"ALARM","UYGUN"))</f>
        <v/>
      </c>
      <c r="S167" s="19">
        <f>IF($A167="","",1)</f>
        <v/>
      </c>
      <c r="T167" s="19">
        <f>IF($A167="","",IF(OR($B167="",COUNTIF(tblVarliklar[VarlikId],$B167)=0),"YETIM","TAMAM"))</f>
        <v/>
      </c>
    </row>
    <row r="168">
      <c r="A168" s="15" t="n"/>
      <c r="B168" s="15" t="n"/>
      <c r="C168" s="37" t="n"/>
      <c r="D168" s="17" t="n"/>
      <c r="E168" s="17" t="n"/>
      <c r="F168" s="17" t="n"/>
      <c r="G168" s="17" t="n"/>
      <c r="H168" s="15" t="n"/>
      <c r="I168" s="19">
        <f>IF($A168="","",IFERROR(SUMIF(tblVarliklar[VarlikId],$B168,tblVarliklar[IdealCevrim_sn]),odk_varsayilanCevrim))</f>
        <v/>
      </c>
      <c r="J168" s="19">
        <f>IF($A168="","",IFERROR(MAX(0,$D168-$E168),0))</f>
        <v/>
      </c>
      <c r="K168" s="19">
        <f>IF($A168="","",IFERROR($J168/$D168,0))</f>
        <v/>
      </c>
      <c r="L168" s="19">
        <f>IF($A168="","",IFERROR($J168*odk_dakikaSn/$I168,0))</f>
        <v/>
      </c>
      <c r="M168" s="19">
        <f>IF($A168="","",IFERROR($F168/$L168,0))</f>
        <v/>
      </c>
      <c r="N168" s="19">
        <f>IF($A168="","",IFERROR(($F168-$G168)/$F168,0))</f>
        <v/>
      </c>
      <c r="O168" s="19">
        <f>IF($A168="","",IFERROR(N($K168)*N($M168)*N($N168),0))</f>
        <v/>
      </c>
      <c r="P168" s="19">
        <f>IF($A168="","",IFERROR($E168/$D168,0))</f>
        <v/>
      </c>
      <c r="Q168" s="19">
        <f>IF($A168="","",IFERROR(MAX(0,MIN(100,odk_kaliteTaban-IF(N($O168)&lt;odk_esikOee,odk_kaliteCeza,0)-IF($E168&gt;odk_esikDurusDk,odk_kaliteSapma,0)-IF($T168="YETIM",odk_kaliteCeza,0))),0))</f>
        <v/>
      </c>
      <c r="R168" s="19">
        <f>IF($A168="","",IF(OR(N($O168)&lt;odk_esikOee,$E168&gt;odk_esikDurusDk,N($Q168)&lt;odk_esikSaglik),"ALARM","UYGUN"))</f>
        <v/>
      </c>
      <c r="S168" s="19">
        <f>IF($A168="","",1)</f>
        <v/>
      </c>
      <c r="T168" s="19">
        <f>IF($A168="","",IF(OR($B168="",COUNTIF(tblVarliklar[VarlikId],$B168)=0),"YETIM","TAMAM"))</f>
        <v/>
      </c>
    </row>
    <row r="169">
      <c r="A169" s="15" t="n"/>
      <c r="B169" s="15" t="n"/>
      <c r="C169" s="37" t="n"/>
      <c r="D169" s="17" t="n"/>
      <c r="E169" s="17" t="n"/>
      <c r="F169" s="17" t="n"/>
      <c r="G169" s="17" t="n"/>
      <c r="H169" s="15" t="n"/>
      <c r="I169" s="19">
        <f>IF($A169="","",IFERROR(SUMIF(tblVarliklar[VarlikId],$B169,tblVarliklar[IdealCevrim_sn]),odk_varsayilanCevrim))</f>
        <v/>
      </c>
      <c r="J169" s="19">
        <f>IF($A169="","",IFERROR(MAX(0,$D169-$E169),0))</f>
        <v/>
      </c>
      <c r="K169" s="19">
        <f>IF($A169="","",IFERROR($J169/$D169,0))</f>
        <v/>
      </c>
      <c r="L169" s="19">
        <f>IF($A169="","",IFERROR($J169*odk_dakikaSn/$I169,0))</f>
        <v/>
      </c>
      <c r="M169" s="19">
        <f>IF($A169="","",IFERROR($F169/$L169,0))</f>
        <v/>
      </c>
      <c r="N169" s="19">
        <f>IF($A169="","",IFERROR(($F169-$G169)/$F169,0))</f>
        <v/>
      </c>
      <c r="O169" s="19">
        <f>IF($A169="","",IFERROR(N($K169)*N($M169)*N($N169),0))</f>
        <v/>
      </c>
      <c r="P169" s="19">
        <f>IF($A169="","",IFERROR($E169/$D169,0))</f>
        <v/>
      </c>
      <c r="Q169" s="19">
        <f>IF($A169="","",IFERROR(MAX(0,MIN(100,odk_kaliteTaban-IF(N($O169)&lt;odk_esikOee,odk_kaliteCeza,0)-IF($E169&gt;odk_esikDurusDk,odk_kaliteSapma,0)-IF($T169="YETIM",odk_kaliteCeza,0))),0))</f>
        <v/>
      </c>
      <c r="R169" s="19">
        <f>IF($A169="","",IF(OR(N($O169)&lt;odk_esikOee,$E169&gt;odk_esikDurusDk,N($Q169)&lt;odk_esikSaglik),"ALARM","UYGUN"))</f>
        <v/>
      </c>
      <c r="S169" s="19">
        <f>IF($A169="","",1)</f>
        <v/>
      </c>
      <c r="T169" s="19">
        <f>IF($A169="","",IF(OR($B169="",COUNTIF(tblVarliklar[VarlikId],$B169)=0),"YETIM","TAMAM"))</f>
        <v/>
      </c>
    </row>
    <row r="170">
      <c r="A170" s="15" t="n"/>
      <c r="B170" s="15" t="n"/>
      <c r="C170" s="37" t="n"/>
      <c r="D170" s="17" t="n"/>
      <c r="E170" s="17" t="n"/>
      <c r="F170" s="17" t="n"/>
      <c r="G170" s="17" t="n"/>
      <c r="H170" s="15" t="n"/>
      <c r="I170" s="19">
        <f>IF($A170="","",IFERROR(SUMIF(tblVarliklar[VarlikId],$B170,tblVarliklar[IdealCevrim_sn]),odk_varsayilanCevrim))</f>
        <v/>
      </c>
      <c r="J170" s="19">
        <f>IF($A170="","",IFERROR(MAX(0,$D170-$E170),0))</f>
        <v/>
      </c>
      <c r="K170" s="19">
        <f>IF($A170="","",IFERROR($J170/$D170,0))</f>
        <v/>
      </c>
      <c r="L170" s="19">
        <f>IF($A170="","",IFERROR($J170*odk_dakikaSn/$I170,0))</f>
        <v/>
      </c>
      <c r="M170" s="19">
        <f>IF($A170="","",IFERROR($F170/$L170,0))</f>
        <v/>
      </c>
      <c r="N170" s="19">
        <f>IF($A170="","",IFERROR(($F170-$G170)/$F170,0))</f>
        <v/>
      </c>
      <c r="O170" s="19">
        <f>IF($A170="","",IFERROR(N($K170)*N($M170)*N($N170),0))</f>
        <v/>
      </c>
      <c r="P170" s="19">
        <f>IF($A170="","",IFERROR($E170/$D170,0))</f>
        <v/>
      </c>
      <c r="Q170" s="19">
        <f>IF($A170="","",IFERROR(MAX(0,MIN(100,odk_kaliteTaban-IF(N($O170)&lt;odk_esikOee,odk_kaliteCeza,0)-IF($E170&gt;odk_esikDurusDk,odk_kaliteSapma,0)-IF($T170="YETIM",odk_kaliteCeza,0))),0))</f>
        <v/>
      </c>
      <c r="R170" s="19">
        <f>IF($A170="","",IF(OR(N($O170)&lt;odk_esikOee,$E170&gt;odk_esikDurusDk,N($Q170)&lt;odk_esikSaglik),"ALARM","UYGUN"))</f>
        <v/>
      </c>
      <c r="S170" s="19">
        <f>IF($A170="","",1)</f>
        <v/>
      </c>
      <c r="T170" s="19">
        <f>IF($A170="","",IF(OR($B170="",COUNTIF(tblVarliklar[VarlikId],$B170)=0),"YETIM","TAMAM"))</f>
        <v/>
      </c>
    </row>
    <row r="171">
      <c r="A171" s="15" t="n"/>
      <c r="B171" s="15" t="n"/>
      <c r="C171" s="37" t="n"/>
      <c r="D171" s="17" t="n"/>
      <c r="E171" s="17" t="n"/>
      <c r="F171" s="17" t="n"/>
      <c r="G171" s="17" t="n"/>
      <c r="H171" s="15" t="n"/>
      <c r="I171" s="19">
        <f>IF($A171="","",IFERROR(SUMIF(tblVarliklar[VarlikId],$B171,tblVarliklar[IdealCevrim_sn]),odk_varsayilanCevrim))</f>
        <v/>
      </c>
      <c r="J171" s="19">
        <f>IF($A171="","",IFERROR(MAX(0,$D171-$E171),0))</f>
        <v/>
      </c>
      <c r="K171" s="19">
        <f>IF($A171="","",IFERROR($J171/$D171,0))</f>
        <v/>
      </c>
      <c r="L171" s="19">
        <f>IF($A171="","",IFERROR($J171*odk_dakikaSn/$I171,0))</f>
        <v/>
      </c>
      <c r="M171" s="19">
        <f>IF($A171="","",IFERROR($F171/$L171,0))</f>
        <v/>
      </c>
      <c r="N171" s="19">
        <f>IF($A171="","",IFERROR(($F171-$G171)/$F171,0))</f>
        <v/>
      </c>
      <c r="O171" s="19">
        <f>IF($A171="","",IFERROR(N($K171)*N($M171)*N($N171),0))</f>
        <v/>
      </c>
      <c r="P171" s="19">
        <f>IF($A171="","",IFERROR($E171/$D171,0))</f>
        <v/>
      </c>
      <c r="Q171" s="19">
        <f>IF($A171="","",IFERROR(MAX(0,MIN(100,odk_kaliteTaban-IF(N($O171)&lt;odk_esikOee,odk_kaliteCeza,0)-IF($E171&gt;odk_esikDurusDk,odk_kaliteSapma,0)-IF($T171="YETIM",odk_kaliteCeza,0))),0))</f>
        <v/>
      </c>
      <c r="R171" s="19">
        <f>IF($A171="","",IF(OR(N($O171)&lt;odk_esikOee,$E171&gt;odk_esikDurusDk,N($Q171)&lt;odk_esikSaglik),"ALARM","UYGUN"))</f>
        <v/>
      </c>
      <c r="S171" s="19">
        <f>IF($A171="","",1)</f>
        <v/>
      </c>
      <c r="T171" s="19">
        <f>IF($A171="","",IF(OR($B171="",COUNTIF(tblVarliklar[VarlikId],$B171)=0),"YETIM","TAMAM"))</f>
        <v/>
      </c>
    </row>
    <row r="172">
      <c r="A172" s="15" t="n"/>
      <c r="B172" s="15" t="n"/>
      <c r="C172" s="37" t="n"/>
      <c r="D172" s="17" t="n"/>
      <c r="E172" s="17" t="n"/>
      <c r="F172" s="17" t="n"/>
      <c r="G172" s="17" t="n"/>
      <c r="H172" s="15" t="n"/>
      <c r="I172" s="19">
        <f>IF($A172="","",IFERROR(SUMIF(tblVarliklar[VarlikId],$B172,tblVarliklar[IdealCevrim_sn]),odk_varsayilanCevrim))</f>
        <v/>
      </c>
      <c r="J172" s="19">
        <f>IF($A172="","",IFERROR(MAX(0,$D172-$E172),0))</f>
        <v/>
      </c>
      <c r="K172" s="19">
        <f>IF($A172="","",IFERROR($J172/$D172,0))</f>
        <v/>
      </c>
      <c r="L172" s="19">
        <f>IF($A172="","",IFERROR($J172*odk_dakikaSn/$I172,0))</f>
        <v/>
      </c>
      <c r="M172" s="19">
        <f>IF($A172="","",IFERROR($F172/$L172,0))</f>
        <v/>
      </c>
      <c r="N172" s="19">
        <f>IF($A172="","",IFERROR(($F172-$G172)/$F172,0))</f>
        <v/>
      </c>
      <c r="O172" s="19">
        <f>IF($A172="","",IFERROR(N($K172)*N($M172)*N($N172),0))</f>
        <v/>
      </c>
      <c r="P172" s="19">
        <f>IF($A172="","",IFERROR($E172/$D172,0))</f>
        <v/>
      </c>
      <c r="Q172" s="19">
        <f>IF($A172="","",IFERROR(MAX(0,MIN(100,odk_kaliteTaban-IF(N($O172)&lt;odk_esikOee,odk_kaliteCeza,0)-IF($E172&gt;odk_esikDurusDk,odk_kaliteSapma,0)-IF($T172="YETIM",odk_kaliteCeza,0))),0))</f>
        <v/>
      </c>
      <c r="R172" s="19">
        <f>IF($A172="","",IF(OR(N($O172)&lt;odk_esikOee,$E172&gt;odk_esikDurusDk,N($Q172)&lt;odk_esikSaglik),"ALARM","UYGUN"))</f>
        <v/>
      </c>
      <c r="S172" s="19">
        <f>IF($A172="","",1)</f>
        <v/>
      </c>
      <c r="T172" s="19">
        <f>IF($A172="","",IF(OR($B172="",COUNTIF(tblVarliklar[VarlikId],$B172)=0),"YETIM","TAMAM"))</f>
        <v/>
      </c>
    </row>
    <row r="173">
      <c r="A173" s="15" t="n"/>
      <c r="B173" s="15" t="n"/>
      <c r="C173" s="37" t="n"/>
      <c r="D173" s="17" t="n"/>
      <c r="E173" s="17" t="n"/>
      <c r="F173" s="17" t="n"/>
      <c r="G173" s="17" t="n"/>
      <c r="H173" s="15" t="n"/>
      <c r="I173" s="19">
        <f>IF($A173="","",IFERROR(SUMIF(tblVarliklar[VarlikId],$B173,tblVarliklar[IdealCevrim_sn]),odk_varsayilanCevrim))</f>
        <v/>
      </c>
      <c r="J173" s="19">
        <f>IF($A173="","",IFERROR(MAX(0,$D173-$E173),0))</f>
        <v/>
      </c>
      <c r="K173" s="19">
        <f>IF($A173="","",IFERROR($J173/$D173,0))</f>
        <v/>
      </c>
      <c r="L173" s="19">
        <f>IF($A173="","",IFERROR($J173*odk_dakikaSn/$I173,0))</f>
        <v/>
      </c>
      <c r="M173" s="19">
        <f>IF($A173="","",IFERROR($F173/$L173,0))</f>
        <v/>
      </c>
      <c r="N173" s="19">
        <f>IF($A173="","",IFERROR(($F173-$G173)/$F173,0))</f>
        <v/>
      </c>
      <c r="O173" s="19">
        <f>IF($A173="","",IFERROR(N($K173)*N($M173)*N($N173),0))</f>
        <v/>
      </c>
      <c r="P173" s="19">
        <f>IF($A173="","",IFERROR($E173/$D173,0))</f>
        <v/>
      </c>
      <c r="Q173" s="19">
        <f>IF($A173="","",IFERROR(MAX(0,MIN(100,odk_kaliteTaban-IF(N($O173)&lt;odk_esikOee,odk_kaliteCeza,0)-IF($E173&gt;odk_esikDurusDk,odk_kaliteSapma,0)-IF($T173="YETIM",odk_kaliteCeza,0))),0))</f>
        <v/>
      </c>
      <c r="R173" s="19">
        <f>IF($A173="","",IF(OR(N($O173)&lt;odk_esikOee,$E173&gt;odk_esikDurusDk,N($Q173)&lt;odk_esikSaglik),"ALARM","UYGUN"))</f>
        <v/>
      </c>
      <c r="S173" s="19">
        <f>IF($A173="","",1)</f>
        <v/>
      </c>
      <c r="T173" s="19">
        <f>IF($A173="","",IF(OR($B173="",COUNTIF(tblVarliklar[VarlikId],$B173)=0),"YETIM","TAMAM"))</f>
        <v/>
      </c>
    </row>
    <row r="174">
      <c r="A174" s="15" t="n"/>
      <c r="B174" s="15" t="n"/>
      <c r="C174" s="37" t="n"/>
      <c r="D174" s="17" t="n"/>
      <c r="E174" s="17" t="n"/>
      <c r="F174" s="17" t="n"/>
      <c r="G174" s="17" t="n"/>
      <c r="H174" s="15" t="n"/>
      <c r="I174" s="19">
        <f>IF($A174="","",IFERROR(SUMIF(tblVarliklar[VarlikId],$B174,tblVarliklar[IdealCevrim_sn]),odk_varsayilanCevrim))</f>
        <v/>
      </c>
      <c r="J174" s="19">
        <f>IF($A174="","",IFERROR(MAX(0,$D174-$E174),0))</f>
        <v/>
      </c>
      <c r="K174" s="19">
        <f>IF($A174="","",IFERROR($J174/$D174,0))</f>
        <v/>
      </c>
      <c r="L174" s="19">
        <f>IF($A174="","",IFERROR($J174*odk_dakikaSn/$I174,0))</f>
        <v/>
      </c>
      <c r="M174" s="19">
        <f>IF($A174="","",IFERROR($F174/$L174,0))</f>
        <v/>
      </c>
      <c r="N174" s="19">
        <f>IF($A174="","",IFERROR(($F174-$G174)/$F174,0))</f>
        <v/>
      </c>
      <c r="O174" s="19">
        <f>IF($A174="","",IFERROR(N($K174)*N($M174)*N($N174),0))</f>
        <v/>
      </c>
      <c r="P174" s="19">
        <f>IF($A174="","",IFERROR($E174/$D174,0))</f>
        <v/>
      </c>
      <c r="Q174" s="19">
        <f>IF($A174="","",IFERROR(MAX(0,MIN(100,odk_kaliteTaban-IF(N($O174)&lt;odk_esikOee,odk_kaliteCeza,0)-IF($E174&gt;odk_esikDurusDk,odk_kaliteSapma,0)-IF($T174="YETIM",odk_kaliteCeza,0))),0))</f>
        <v/>
      </c>
      <c r="R174" s="19">
        <f>IF($A174="","",IF(OR(N($O174)&lt;odk_esikOee,$E174&gt;odk_esikDurusDk,N($Q174)&lt;odk_esikSaglik),"ALARM","UYGUN"))</f>
        <v/>
      </c>
      <c r="S174" s="19">
        <f>IF($A174="","",1)</f>
        <v/>
      </c>
      <c r="T174" s="19">
        <f>IF($A174="","",IF(OR($B174="",COUNTIF(tblVarliklar[VarlikId],$B174)=0),"YETIM","TAMAM"))</f>
        <v/>
      </c>
    </row>
    <row r="175">
      <c r="A175" s="15" t="n"/>
      <c r="B175" s="15" t="n"/>
      <c r="C175" s="37" t="n"/>
      <c r="D175" s="17" t="n"/>
      <c r="E175" s="17" t="n"/>
      <c r="F175" s="17" t="n"/>
      <c r="G175" s="17" t="n"/>
      <c r="H175" s="15" t="n"/>
      <c r="I175" s="19">
        <f>IF($A175="","",IFERROR(SUMIF(tblVarliklar[VarlikId],$B175,tblVarliklar[IdealCevrim_sn]),odk_varsayilanCevrim))</f>
        <v/>
      </c>
      <c r="J175" s="19">
        <f>IF($A175="","",IFERROR(MAX(0,$D175-$E175),0))</f>
        <v/>
      </c>
      <c r="K175" s="19">
        <f>IF($A175="","",IFERROR($J175/$D175,0))</f>
        <v/>
      </c>
      <c r="L175" s="19">
        <f>IF($A175="","",IFERROR($J175*odk_dakikaSn/$I175,0))</f>
        <v/>
      </c>
      <c r="M175" s="19">
        <f>IF($A175="","",IFERROR($F175/$L175,0))</f>
        <v/>
      </c>
      <c r="N175" s="19">
        <f>IF($A175="","",IFERROR(($F175-$G175)/$F175,0))</f>
        <v/>
      </c>
      <c r="O175" s="19">
        <f>IF($A175="","",IFERROR(N($K175)*N($M175)*N($N175),0))</f>
        <v/>
      </c>
      <c r="P175" s="19">
        <f>IF($A175="","",IFERROR($E175/$D175,0))</f>
        <v/>
      </c>
      <c r="Q175" s="19">
        <f>IF($A175="","",IFERROR(MAX(0,MIN(100,odk_kaliteTaban-IF(N($O175)&lt;odk_esikOee,odk_kaliteCeza,0)-IF($E175&gt;odk_esikDurusDk,odk_kaliteSapma,0)-IF($T175="YETIM",odk_kaliteCeza,0))),0))</f>
        <v/>
      </c>
      <c r="R175" s="19">
        <f>IF($A175="","",IF(OR(N($O175)&lt;odk_esikOee,$E175&gt;odk_esikDurusDk,N($Q175)&lt;odk_esikSaglik),"ALARM","UYGUN"))</f>
        <v/>
      </c>
      <c r="S175" s="19">
        <f>IF($A175="","",1)</f>
        <v/>
      </c>
      <c r="T175" s="19">
        <f>IF($A175="","",IF(OR($B175="",COUNTIF(tblVarliklar[VarlikId],$B175)=0),"YETIM","TAMAM"))</f>
        <v/>
      </c>
    </row>
    <row r="176">
      <c r="A176" s="15" t="n"/>
      <c r="B176" s="15" t="n"/>
      <c r="C176" s="37" t="n"/>
      <c r="D176" s="17" t="n"/>
      <c r="E176" s="17" t="n"/>
      <c r="F176" s="17" t="n"/>
      <c r="G176" s="17" t="n"/>
      <c r="H176" s="15" t="n"/>
      <c r="I176" s="19">
        <f>IF($A176="","",IFERROR(SUMIF(tblVarliklar[VarlikId],$B176,tblVarliklar[IdealCevrim_sn]),odk_varsayilanCevrim))</f>
        <v/>
      </c>
      <c r="J176" s="19">
        <f>IF($A176="","",IFERROR(MAX(0,$D176-$E176),0))</f>
        <v/>
      </c>
      <c r="K176" s="19">
        <f>IF($A176="","",IFERROR($J176/$D176,0))</f>
        <v/>
      </c>
      <c r="L176" s="19">
        <f>IF($A176="","",IFERROR($J176*odk_dakikaSn/$I176,0))</f>
        <v/>
      </c>
      <c r="M176" s="19">
        <f>IF($A176="","",IFERROR($F176/$L176,0))</f>
        <v/>
      </c>
      <c r="N176" s="19">
        <f>IF($A176="","",IFERROR(($F176-$G176)/$F176,0))</f>
        <v/>
      </c>
      <c r="O176" s="19">
        <f>IF($A176="","",IFERROR(N($K176)*N($M176)*N($N176),0))</f>
        <v/>
      </c>
      <c r="P176" s="19">
        <f>IF($A176="","",IFERROR($E176/$D176,0))</f>
        <v/>
      </c>
      <c r="Q176" s="19">
        <f>IF($A176="","",IFERROR(MAX(0,MIN(100,odk_kaliteTaban-IF(N($O176)&lt;odk_esikOee,odk_kaliteCeza,0)-IF($E176&gt;odk_esikDurusDk,odk_kaliteSapma,0)-IF($T176="YETIM",odk_kaliteCeza,0))),0))</f>
        <v/>
      </c>
      <c r="R176" s="19">
        <f>IF($A176="","",IF(OR(N($O176)&lt;odk_esikOee,$E176&gt;odk_esikDurusDk,N($Q176)&lt;odk_esikSaglik),"ALARM","UYGUN"))</f>
        <v/>
      </c>
      <c r="S176" s="19">
        <f>IF($A176="","",1)</f>
        <v/>
      </c>
      <c r="T176" s="19">
        <f>IF($A176="","",IF(OR($B176="",COUNTIF(tblVarliklar[VarlikId],$B176)=0),"YETIM","TAMAM"))</f>
        <v/>
      </c>
    </row>
    <row r="177">
      <c r="A177" s="15" t="n"/>
      <c r="B177" s="15" t="n"/>
      <c r="C177" s="37" t="n"/>
      <c r="D177" s="17" t="n"/>
      <c r="E177" s="17" t="n"/>
      <c r="F177" s="17" t="n"/>
      <c r="G177" s="17" t="n"/>
      <c r="H177" s="15" t="n"/>
      <c r="I177" s="19">
        <f>IF($A177="","",IFERROR(SUMIF(tblVarliklar[VarlikId],$B177,tblVarliklar[IdealCevrim_sn]),odk_varsayilanCevrim))</f>
        <v/>
      </c>
      <c r="J177" s="19">
        <f>IF($A177="","",IFERROR(MAX(0,$D177-$E177),0))</f>
        <v/>
      </c>
      <c r="K177" s="19">
        <f>IF($A177="","",IFERROR($J177/$D177,0))</f>
        <v/>
      </c>
      <c r="L177" s="19">
        <f>IF($A177="","",IFERROR($J177*odk_dakikaSn/$I177,0))</f>
        <v/>
      </c>
      <c r="M177" s="19">
        <f>IF($A177="","",IFERROR($F177/$L177,0))</f>
        <v/>
      </c>
      <c r="N177" s="19">
        <f>IF($A177="","",IFERROR(($F177-$G177)/$F177,0))</f>
        <v/>
      </c>
      <c r="O177" s="19">
        <f>IF($A177="","",IFERROR(N($K177)*N($M177)*N($N177),0))</f>
        <v/>
      </c>
      <c r="P177" s="19">
        <f>IF($A177="","",IFERROR($E177/$D177,0))</f>
        <v/>
      </c>
      <c r="Q177" s="19">
        <f>IF($A177="","",IFERROR(MAX(0,MIN(100,odk_kaliteTaban-IF(N($O177)&lt;odk_esikOee,odk_kaliteCeza,0)-IF($E177&gt;odk_esikDurusDk,odk_kaliteSapma,0)-IF($T177="YETIM",odk_kaliteCeza,0))),0))</f>
        <v/>
      </c>
      <c r="R177" s="19">
        <f>IF($A177="","",IF(OR(N($O177)&lt;odk_esikOee,$E177&gt;odk_esikDurusDk,N($Q177)&lt;odk_esikSaglik),"ALARM","UYGUN"))</f>
        <v/>
      </c>
      <c r="S177" s="19">
        <f>IF($A177="","",1)</f>
        <v/>
      </c>
      <c r="T177" s="19">
        <f>IF($A177="","",IF(OR($B177="",COUNTIF(tblVarliklar[VarlikId],$B177)=0),"YETIM","TAMAM"))</f>
        <v/>
      </c>
    </row>
    <row r="178">
      <c r="A178" s="15" t="n"/>
      <c r="B178" s="15" t="n"/>
      <c r="C178" s="37" t="n"/>
      <c r="D178" s="17" t="n"/>
      <c r="E178" s="17" t="n"/>
      <c r="F178" s="17" t="n"/>
      <c r="G178" s="17" t="n"/>
      <c r="H178" s="15" t="n"/>
      <c r="I178" s="19">
        <f>IF($A178="","",IFERROR(SUMIF(tblVarliklar[VarlikId],$B178,tblVarliklar[IdealCevrim_sn]),odk_varsayilanCevrim))</f>
        <v/>
      </c>
      <c r="J178" s="19">
        <f>IF($A178="","",IFERROR(MAX(0,$D178-$E178),0))</f>
        <v/>
      </c>
      <c r="K178" s="19">
        <f>IF($A178="","",IFERROR($J178/$D178,0))</f>
        <v/>
      </c>
      <c r="L178" s="19">
        <f>IF($A178="","",IFERROR($J178*odk_dakikaSn/$I178,0))</f>
        <v/>
      </c>
      <c r="M178" s="19">
        <f>IF($A178="","",IFERROR($F178/$L178,0))</f>
        <v/>
      </c>
      <c r="N178" s="19">
        <f>IF($A178="","",IFERROR(($F178-$G178)/$F178,0))</f>
        <v/>
      </c>
      <c r="O178" s="19">
        <f>IF($A178="","",IFERROR(N($K178)*N($M178)*N($N178),0))</f>
        <v/>
      </c>
      <c r="P178" s="19">
        <f>IF($A178="","",IFERROR($E178/$D178,0))</f>
        <v/>
      </c>
      <c r="Q178" s="19">
        <f>IF($A178="","",IFERROR(MAX(0,MIN(100,odk_kaliteTaban-IF(N($O178)&lt;odk_esikOee,odk_kaliteCeza,0)-IF($E178&gt;odk_esikDurusDk,odk_kaliteSapma,0)-IF($T178="YETIM",odk_kaliteCeza,0))),0))</f>
        <v/>
      </c>
      <c r="R178" s="19">
        <f>IF($A178="","",IF(OR(N($O178)&lt;odk_esikOee,$E178&gt;odk_esikDurusDk,N($Q178)&lt;odk_esikSaglik),"ALARM","UYGUN"))</f>
        <v/>
      </c>
      <c r="S178" s="19">
        <f>IF($A178="","",1)</f>
        <v/>
      </c>
      <c r="T178" s="19">
        <f>IF($A178="","",IF(OR($B178="",COUNTIF(tblVarliklar[VarlikId],$B178)=0),"YETIM","TAMAM"))</f>
        <v/>
      </c>
    </row>
    <row r="179">
      <c r="A179" s="15" t="n"/>
      <c r="B179" s="15" t="n"/>
      <c r="C179" s="37" t="n"/>
      <c r="D179" s="17" t="n"/>
      <c r="E179" s="17" t="n"/>
      <c r="F179" s="17" t="n"/>
      <c r="G179" s="17" t="n"/>
      <c r="H179" s="15" t="n"/>
      <c r="I179" s="19">
        <f>IF($A179="","",IFERROR(SUMIF(tblVarliklar[VarlikId],$B179,tblVarliklar[IdealCevrim_sn]),odk_varsayilanCevrim))</f>
        <v/>
      </c>
      <c r="J179" s="19">
        <f>IF($A179="","",IFERROR(MAX(0,$D179-$E179),0))</f>
        <v/>
      </c>
      <c r="K179" s="19">
        <f>IF($A179="","",IFERROR($J179/$D179,0))</f>
        <v/>
      </c>
      <c r="L179" s="19">
        <f>IF($A179="","",IFERROR($J179*odk_dakikaSn/$I179,0))</f>
        <v/>
      </c>
      <c r="M179" s="19">
        <f>IF($A179="","",IFERROR($F179/$L179,0))</f>
        <v/>
      </c>
      <c r="N179" s="19">
        <f>IF($A179="","",IFERROR(($F179-$G179)/$F179,0))</f>
        <v/>
      </c>
      <c r="O179" s="19">
        <f>IF($A179="","",IFERROR(N($K179)*N($M179)*N($N179),0))</f>
        <v/>
      </c>
      <c r="P179" s="19">
        <f>IF($A179="","",IFERROR($E179/$D179,0))</f>
        <v/>
      </c>
      <c r="Q179" s="19">
        <f>IF($A179="","",IFERROR(MAX(0,MIN(100,odk_kaliteTaban-IF(N($O179)&lt;odk_esikOee,odk_kaliteCeza,0)-IF($E179&gt;odk_esikDurusDk,odk_kaliteSapma,0)-IF($T179="YETIM",odk_kaliteCeza,0))),0))</f>
        <v/>
      </c>
      <c r="R179" s="19">
        <f>IF($A179="","",IF(OR(N($O179)&lt;odk_esikOee,$E179&gt;odk_esikDurusDk,N($Q179)&lt;odk_esikSaglik),"ALARM","UYGUN"))</f>
        <v/>
      </c>
      <c r="S179" s="19">
        <f>IF($A179="","",1)</f>
        <v/>
      </c>
      <c r="T179" s="19">
        <f>IF($A179="","",IF(OR($B179="",COUNTIF(tblVarliklar[VarlikId],$B179)=0),"YETIM","TAMAM"))</f>
        <v/>
      </c>
    </row>
    <row r="180">
      <c r="A180" s="15" t="n"/>
      <c r="B180" s="15" t="n"/>
      <c r="C180" s="37" t="n"/>
      <c r="D180" s="17" t="n"/>
      <c r="E180" s="17" t="n"/>
      <c r="F180" s="17" t="n"/>
      <c r="G180" s="17" t="n"/>
      <c r="H180" s="15" t="n"/>
      <c r="I180" s="19">
        <f>IF($A180="","",IFERROR(SUMIF(tblVarliklar[VarlikId],$B180,tblVarliklar[IdealCevrim_sn]),odk_varsayilanCevrim))</f>
        <v/>
      </c>
      <c r="J180" s="19">
        <f>IF($A180="","",IFERROR(MAX(0,$D180-$E180),0))</f>
        <v/>
      </c>
      <c r="K180" s="19">
        <f>IF($A180="","",IFERROR($J180/$D180,0))</f>
        <v/>
      </c>
      <c r="L180" s="19">
        <f>IF($A180="","",IFERROR($J180*odk_dakikaSn/$I180,0))</f>
        <v/>
      </c>
      <c r="M180" s="19">
        <f>IF($A180="","",IFERROR($F180/$L180,0))</f>
        <v/>
      </c>
      <c r="N180" s="19">
        <f>IF($A180="","",IFERROR(($F180-$G180)/$F180,0))</f>
        <v/>
      </c>
      <c r="O180" s="19">
        <f>IF($A180="","",IFERROR(N($K180)*N($M180)*N($N180),0))</f>
        <v/>
      </c>
      <c r="P180" s="19">
        <f>IF($A180="","",IFERROR($E180/$D180,0))</f>
        <v/>
      </c>
      <c r="Q180" s="19">
        <f>IF($A180="","",IFERROR(MAX(0,MIN(100,odk_kaliteTaban-IF(N($O180)&lt;odk_esikOee,odk_kaliteCeza,0)-IF($E180&gt;odk_esikDurusDk,odk_kaliteSapma,0)-IF($T180="YETIM",odk_kaliteCeza,0))),0))</f>
        <v/>
      </c>
      <c r="R180" s="19">
        <f>IF($A180="","",IF(OR(N($O180)&lt;odk_esikOee,$E180&gt;odk_esikDurusDk,N($Q180)&lt;odk_esikSaglik),"ALARM","UYGUN"))</f>
        <v/>
      </c>
      <c r="S180" s="19">
        <f>IF($A180="","",1)</f>
        <v/>
      </c>
      <c r="T180" s="19">
        <f>IF($A180="","",IF(OR($B180="",COUNTIF(tblVarliklar[VarlikId],$B180)=0),"YETIM","TAMAM"))</f>
        <v/>
      </c>
    </row>
    <row r="181">
      <c r="A181" s="15" t="n"/>
      <c r="B181" s="15" t="n"/>
      <c r="C181" s="37" t="n"/>
      <c r="D181" s="17" t="n"/>
      <c r="E181" s="17" t="n"/>
      <c r="F181" s="17" t="n"/>
      <c r="G181" s="17" t="n"/>
      <c r="H181" s="15" t="n"/>
      <c r="I181" s="19">
        <f>IF($A181="","",IFERROR(SUMIF(tblVarliklar[VarlikId],$B181,tblVarliklar[IdealCevrim_sn]),odk_varsayilanCevrim))</f>
        <v/>
      </c>
      <c r="J181" s="19">
        <f>IF($A181="","",IFERROR(MAX(0,$D181-$E181),0))</f>
        <v/>
      </c>
      <c r="K181" s="19">
        <f>IF($A181="","",IFERROR($J181/$D181,0))</f>
        <v/>
      </c>
      <c r="L181" s="19">
        <f>IF($A181="","",IFERROR($J181*odk_dakikaSn/$I181,0))</f>
        <v/>
      </c>
      <c r="M181" s="19">
        <f>IF($A181="","",IFERROR($F181/$L181,0))</f>
        <v/>
      </c>
      <c r="N181" s="19">
        <f>IF($A181="","",IFERROR(($F181-$G181)/$F181,0))</f>
        <v/>
      </c>
      <c r="O181" s="19">
        <f>IF($A181="","",IFERROR(N($K181)*N($M181)*N($N181),0))</f>
        <v/>
      </c>
      <c r="P181" s="19">
        <f>IF($A181="","",IFERROR($E181/$D181,0))</f>
        <v/>
      </c>
      <c r="Q181" s="19">
        <f>IF($A181="","",IFERROR(MAX(0,MIN(100,odk_kaliteTaban-IF(N($O181)&lt;odk_esikOee,odk_kaliteCeza,0)-IF($E181&gt;odk_esikDurusDk,odk_kaliteSapma,0)-IF($T181="YETIM",odk_kaliteCeza,0))),0))</f>
        <v/>
      </c>
      <c r="R181" s="19">
        <f>IF($A181="","",IF(OR(N($O181)&lt;odk_esikOee,$E181&gt;odk_esikDurusDk,N($Q181)&lt;odk_esikSaglik),"ALARM","UYGUN"))</f>
        <v/>
      </c>
      <c r="S181" s="19">
        <f>IF($A181="","",1)</f>
        <v/>
      </c>
      <c r="T181" s="19">
        <f>IF($A181="","",IF(OR($B181="",COUNTIF(tblVarliklar[VarlikId],$B181)=0),"YETIM","TAMAM"))</f>
        <v/>
      </c>
    </row>
    <row r="182">
      <c r="A182" s="15" t="n"/>
      <c r="B182" s="15" t="n"/>
      <c r="C182" s="37" t="n"/>
      <c r="D182" s="17" t="n"/>
      <c r="E182" s="17" t="n"/>
      <c r="F182" s="17" t="n"/>
      <c r="G182" s="17" t="n"/>
      <c r="H182" s="15" t="n"/>
      <c r="I182" s="19">
        <f>IF($A182="","",IFERROR(SUMIF(tblVarliklar[VarlikId],$B182,tblVarliklar[IdealCevrim_sn]),odk_varsayilanCevrim))</f>
        <v/>
      </c>
      <c r="J182" s="19">
        <f>IF($A182="","",IFERROR(MAX(0,$D182-$E182),0))</f>
        <v/>
      </c>
      <c r="K182" s="19">
        <f>IF($A182="","",IFERROR($J182/$D182,0))</f>
        <v/>
      </c>
      <c r="L182" s="19">
        <f>IF($A182="","",IFERROR($J182*odk_dakikaSn/$I182,0))</f>
        <v/>
      </c>
      <c r="M182" s="19">
        <f>IF($A182="","",IFERROR($F182/$L182,0))</f>
        <v/>
      </c>
      <c r="N182" s="19">
        <f>IF($A182="","",IFERROR(($F182-$G182)/$F182,0))</f>
        <v/>
      </c>
      <c r="O182" s="19">
        <f>IF($A182="","",IFERROR(N($K182)*N($M182)*N($N182),0))</f>
        <v/>
      </c>
      <c r="P182" s="19">
        <f>IF($A182="","",IFERROR($E182/$D182,0))</f>
        <v/>
      </c>
      <c r="Q182" s="19">
        <f>IF($A182="","",IFERROR(MAX(0,MIN(100,odk_kaliteTaban-IF(N($O182)&lt;odk_esikOee,odk_kaliteCeza,0)-IF($E182&gt;odk_esikDurusDk,odk_kaliteSapma,0)-IF($T182="YETIM",odk_kaliteCeza,0))),0))</f>
        <v/>
      </c>
      <c r="R182" s="19">
        <f>IF($A182="","",IF(OR(N($O182)&lt;odk_esikOee,$E182&gt;odk_esikDurusDk,N($Q182)&lt;odk_esikSaglik),"ALARM","UYGUN"))</f>
        <v/>
      </c>
      <c r="S182" s="19">
        <f>IF($A182="","",1)</f>
        <v/>
      </c>
      <c r="T182" s="19">
        <f>IF($A182="","",IF(OR($B182="",COUNTIF(tblVarliklar[VarlikId],$B182)=0),"YETIM","TAMAM"))</f>
        <v/>
      </c>
    </row>
    <row r="183">
      <c r="A183" s="15" t="n"/>
      <c r="B183" s="15" t="n"/>
      <c r="C183" s="37" t="n"/>
      <c r="D183" s="17" t="n"/>
      <c r="E183" s="17" t="n"/>
      <c r="F183" s="17" t="n"/>
      <c r="G183" s="17" t="n"/>
      <c r="H183" s="15" t="n"/>
      <c r="I183" s="19">
        <f>IF($A183="","",IFERROR(SUMIF(tblVarliklar[VarlikId],$B183,tblVarliklar[IdealCevrim_sn]),odk_varsayilanCevrim))</f>
        <v/>
      </c>
      <c r="J183" s="19">
        <f>IF($A183="","",IFERROR(MAX(0,$D183-$E183),0))</f>
        <v/>
      </c>
      <c r="K183" s="19">
        <f>IF($A183="","",IFERROR($J183/$D183,0))</f>
        <v/>
      </c>
      <c r="L183" s="19">
        <f>IF($A183="","",IFERROR($J183*odk_dakikaSn/$I183,0))</f>
        <v/>
      </c>
      <c r="M183" s="19">
        <f>IF($A183="","",IFERROR($F183/$L183,0))</f>
        <v/>
      </c>
      <c r="N183" s="19">
        <f>IF($A183="","",IFERROR(($F183-$G183)/$F183,0))</f>
        <v/>
      </c>
      <c r="O183" s="19">
        <f>IF($A183="","",IFERROR(N($K183)*N($M183)*N($N183),0))</f>
        <v/>
      </c>
      <c r="P183" s="19">
        <f>IF($A183="","",IFERROR($E183/$D183,0))</f>
        <v/>
      </c>
      <c r="Q183" s="19">
        <f>IF($A183="","",IFERROR(MAX(0,MIN(100,odk_kaliteTaban-IF(N($O183)&lt;odk_esikOee,odk_kaliteCeza,0)-IF($E183&gt;odk_esikDurusDk,odk_kaliteSapma,0)-IF($T183="YETIM",odk_kaliteCeza,0))),0))</f>
        <v/>
      </c>
      <c r="R183" s="19">
        <f>IF($A183="","",IF(OR(N($O183)&lt;odk_esikOee,$E183&gt;odk_esikDurusDk,N($Q183)&lt;odk_esikSaglik),"ALARM","UYGUN"))</f>
        <v/>
      </c>
      <c r="S183" s="19">
        <f>IF($A183="","",1)</f>
        <v/>
      </c>
      <c r="T183" s="19">
        <f>IF($A183="","",IF(OR($B183="",COUNTIF(tblVarliklar[VarlikId],$B183)=0),"YETIM","TAMAM"))</f>
        <v/>
      </c>
    </row>
    <row r="184">
      <c r="A184" s="15" t="n"/>
      <c r="B184" s="15" t="n"/>
      <c r="C184" s="37" t="n"/>
      <c r="D184" s="17" t="n"/>
      <c r="E184" s="17" t="n"/>
      <c r="F184" s="17" t="n"/>
      <c r="G184" s="17" t="n"/>
      <c r="H184" s="15" t="n"/>
      <c r="I184" s="19">
        <f>IF($A184="","",IFERROR(SUMIF(tblVarliklar[VarlikId],$B184,tblVarliklar[IdealCevrim_sn]),odk_varsayilanCevrim))</f>
        <v/>
      </c>
      <c r="J184" s="19">
        <f>IF($A184="","",IFERROR(MAX(0,$D184-$E184),0))</f>
        <v/>
      </c>
      <c r="K184" s="19">
        <f>IF($A184="","",IFERROR($J184/$D184,0))</f>
        <v/>
      </c>
      <c r="L184" s="19">
        <f>IF($A184="","",IFERROR($J184*odk_dakikaSn/$I184,0))</f>
        <v/>
      </c>
      <c r="M184" s="19">
        <f>IF($A184="","",IFERROR($F184/$L184,0))</f>
        <v/>
      </c>
      <c r="N184" s="19">
        <f>IF($A184="","",IFERROR(($F184-$G184)/$F184,0))</f>
        <v/>
      </c>
      <c r="O184" s="19">
        <f>IF($A184="","",IFERROR(N($K184)*N($M184)*N($N184),0))</f>
        <v/>
      </c>
      <c r="P184" s="19">
        <f>IF($A184="","",IFERROR($E184/$D184,0))</f>
        <v/>
      </c>
      <c r="Q184" s="19">
        <f>IF($A184="","",IFERROR(MAX(0,MIN(100,odk_kaliteTaban-IF(N($O184)&lt;odk_esikOee,odk_kaliteCeza,0)-IF($E184&gt;odk_esikDurusDk,odk_kaliteSapma,0)-IF($T184="YETIM",odk_kaliteCeza,0))),0))</f>
        <v/>
      </c>
      <c r="R184" s="19">
        <f>IF($A184="","",IF(OR(N($O184)&lt;odk_esikOee,$E184&gt;odk_esikDurusDk,N($Q184)&lt;odk_esikSaglik),"ALARM","UYGUN"))</f>
        <v/>
      </c>
      <c r="S184" s="19">
        <f>IF($A184="","",1)</f>
        <v/>
      </c>
      <c r="T184" s="19">
        <f>IF($A184="","",IF(OR($B184="",COUNTIF(tblVarliklar[VarlikId],$B184)=0),"YETIM","TAMAM"))</f>
        <v/>
      </c>
    </row>
    <row r="185">
      <c r="A185" s="15" t="n"/>
      <c r="B185" s="15" t="n"/>
      <c r="C185" s="37" t="n"/>
      <c r="D185" s="17" t="n"/>
      <c r="E185" s="17" t="n"/>
      <c r="F185" s="17" t="n"/>
      <c r="G185" s="17" t="n"/>
      <c r="H185" s="15" t="n"/>
      <c r="I185" s="19">
        <f>IF($A185="","",IFERROR(SUMIF(tblVarliklar[VarlikId],$B185,tblVarliklar[IdealCevrim_sn]),odk_varsayilanCevrim))</f>
        <v/>
      </c>
      <c r="J185" s="19">
        <f>IF($A185="","",IFERROR(MAX(0,$D185-$E185),0))</f>
        <v/>
      </c>
      <c r="K185" s="19">
        <f>IF($A185="","",IFERROR($J185/$D185,0))</f>
        <v/>
      </c>
      <c r="L185" s="19">
        <f>IF($A185="","",IFERROR($J185*odk_dakikaSn/$I185,0))</f>
        <v/>
      </c>
      <c r="M185" s="19">
        <f>IF($A185="","",IFERROR($F185/$L185,0))</f>
        <v/>
      </c>
      <c r="N185" s="19">
        <f>IF($A185="","",IFERROR(($F185-$G185)/$F185,0))</f>
        <v/>
      </c>
      <c r="O185" s="19">
        <f>IF($A185="","",IFERROR(N($K185)*N($M185)*N($N185),0))</f>
        <v/>
      </c>
      <c r="P185" s="19">
        <f>IF($A185="","",IFERROR($E185/$D185,0))</f>
        <v/>
      </c>
      <c r="Q185" s="19">
        <f>IF($A185="","",IFERROR(MAX(0,MIN(100,odk_kaliteTaban-IF(N($O185)&lt;odk_esikOee,odk_kaliteCeza,0)-IF($E185&gt;odk_esikDurusDk,odk_kaliteSapma,0)-IF($T185="YETIM",odk_kaliteCeza,0))),0))</f>
        <v/>
      </c>
      <c r="R185" s="19">
        <f>IF($A185="","",IF(OR(N($O185)&lt;odk_esikOee,$E185&gt;odk_esikDurusDk,N($Q185)&lt;odk_esikSaglik),"ALARM","UYGUN"))</f>
        <v/>
      </c>
      <c r="S185" s="19">
        <f>IF($A185="","",1)</f>
        <v/>
      </c>
      <c r="T185" s="19">
        <f>IF($A185="","",IF(OR($B185="",COUNTIF(tblVarliklar[VarlikId],$B185)=0),"YETIM","TAMAM"))</f>
        <v/>
      </c>
    </row>
    <row r="186">
      <c r="A186" s="15" t="n"/>
      <c r="B186" s="15" t="n"/>
      <c r="C186" s="37" t="n"/>
      <c r="D186" s="17" t="n"/>
      <c r="E186" s="17" t="n"/>
      <c r="F186" s="17" t="n"/>
      <c r="G186" s="17" t="n"/>
      <c r="H186" s="15" t="n"/>
      <c r="I186" s="19">
        <f>IF($A186="","",IFERROR(SUMIF(tblVarliklar[VarlikId],$B186,tblVarliklar[IdealCevrim_sn]),odk_varsayilanCevrim))</f>
        <v/>
      </c>
      <c r="J186" s="19">
        <f>IF($A186="","",IFERROR(MAX(0,$D186-$E186),0))</f>
        <v/>
      </c>
      <c r="K186" s="19">
        <f>IF($A186="","",IFERROR($J186/$D186,0))</f>
        <v/>
      </c>
      <c r="L186" s="19">
        <f>IF($A186="","",IFERROR($J186*odk_dakikaSn/$I186,0))</f>
        <v/>
      </c>
      <c r="M186" s="19">
        <f>IF($A186="","",IFERROR($F186/$L186,0))</f>
        <v/>
      </c>
      <c r="N186" s="19">
        <f>IF($A186="","",IFERROR(($F186-$G186)/$F186,0))</f>
        <v/>
      </c>
      <c r="O186" s="19">
        <f>IF($A186="","",IFERROR(N($K186)*N($M186)*N($N186),0))</f>
        <v/>
      </c>
      <c r="P186" s="19">
        <f>IF($A186="","",IFERROR($E186/$D186,0))</f>
        <v/>
      </c>
      <c r="Q186" s="19">
        <f>IF($A186="","",IFERROR(MAX(0,MIN(100,odk_kaliteTaban-IF(N($O186)&lt;odk_esikOee,odk_kaliteCeza,0)-IF($E186&gt;odk_esikDurusDk,odk_kaliteSapma,0)-IF($T186="YETIM",odk_kaliteCeza,0))),0))</f>
        <v/>
      </c>
      <c r="R186" s="19">
        <f>IF($A186="","",IF(OR(N($O186)&lt;odk_esikOee,$E186&gt;odk_esikDurusDk,N($Q186)&lt;odk_esikSaglik),"ALARM","UYGUN"))</f>
        <v/>
      </c>
      <c r="S186" s="19">
        <f>IF($A186="","",1)</f>
        <v/>
      </c>
      <c r="T186" s="19">
        <f>IF($A186="","",IF(OR($B186="",COUNTIF(tblVarliklar[VarlikId],$B186)=0),"YETIM","TAMAM"))</f>
        <v/>
      </c>
    </row>
    <row r="187">
      <c r="A187" s="15" t="n"/>
      <c r="B187" s="15" t="n"/>
      <c r="C187" s="37" t="n"/>
      <c r="D187" s="17" t="n"/>
      <c r="E187" s="17" t="n"/>
      <c r="F187" s="17" t="n"/>
      <c r="G187" s="17" t="n"/>
      <c r="H187" s="15" t="n"/>
      <c r="I187" s="19">
        <f>IF($A187="","",IFERROR(SUMIF(tblVarliklar[VarlikId],$B187,tblVarliklar[IdealCevrim_sn]),odk_varsayilanCevrim))</f>
        <v/>
      </c>
      <c r="J187" s="19">
        <f>IF($A187="","",IFERROR(MAX(0,$D187-$E187),0))</f>
        <v/>
      </c>
      <c r="K187" s="19">
        <f>IF($A187="","",IFERROR($J187/$D187,0))</f>
        <v/>
      </c>
      <c r="L187" s="19">
        <f>IF($A187="","",IFERROR($J187*odk_dakikaSn/$I187,0))</f>
        <v/>
      </c>
      <c r="M187" s="19">
        <f>IF($A187="","",IFERROR($F187/$L187,0))</f>
        <v/>
      </c>
      <c r="N187" s="19">
        <f>IF($A187="","",IFERROR(($F187-$G187)/$F187,0))</f>
        <v/>
      </c>
      <c r="O187" s="19">
        <f>IF($A187="","",IFERROR(N($K187)*N($M187)*N($N187),0))</f>
        <v/>
      </c>
      <c r="P187" s="19">
        <f>IF($A187="","",IFERROR($E187/$D187,0))</f>
        <v/>
      </c>
      <c r="Q187" s="19">
        <f>IF($A187="","",IFERROR(MAX(0,MIN(100,odk_kaliteTaban-IF(N($O187)&lt;odk_esikOee,odk_kaliteCeza,0)-IF($E187&gt;odk_esikDurusDk,odk_kaliteSapma,0)-IF($T187="YETIM",odk_kaliteCeza,0))),0))</f>
        <v/>
      </c>
      <c r="R187" s="19">
        <f>IF($A187="","",IF(OR(N($O187)&lt;odk_esikOee,$E187&gt;odk_esikDurusDk,N($Q187)&lt;odk_esikSaglik),"ALARM","UYGUN"))</f>
        <v/>
      </c>
      <c r="S187" s="19">
        <f>IF($A187="","",1)</f>
        <v/>
      </c>
      <c r="T187" s="19">
        <f>IF($A187="","",IF(OR($B187="",COUNTIF(tblVarliklar[VarlikId],$B187)=0),"YETIM","TAMAM"))</f>
        <v/>
      </c>
    </row>
    <row r="188">
      <c r="A188" s="15" t="n"/>
      <c r="B188" s="15" t="n"/>
      <c r="C188" s="37" t="n"/>
      <c r="D188" s="17" t="n"/>
      <c r="E188" s="17" t="n"/>
      <c r="F188" s="17" t="n"/>
      <c r="G188" s="17" t="n"/>
      <c r="H188" s="15" t="n"/>
      <c r="I188" s="19">
        <f>IF($A188="","",IFERROR(SUMIF(tblVarliklar[VarlikId],$B188,tblVarliklar[IdealCevrim_sn]),odk_varsayilanCevrim))</f>
        <v/>
      </c>
      <c r="J188" s="19">
        <f>IF($A188="","",IFERROR(MAX(0,$D188-$E188),0))</f>
        <v/>
      </c>
      <c r="K188" s="19">
        <f>IF($A188="","",IFERROR($J188/$D188,0))</f>
        <v/>
      </c>
      <c r="L188" s="19">
        <f>IF($A188="","",IFERROR($J188*odk_dakikaSn/$I188,0))</f>
        <v/>
      </c>
      <c r="M188" s="19">
        <f>IF($A188="","",IFERROR($F188/$L188,0))</f>
        <v/>
      </c>
      <c r="N188" s="19">
        <f>IF($A188="","",IFERROR(($F188-$G188)/$F188,0))</f>
        <v/>
      </c>
      <c r="O188" s="19">
        <f>IF($A188="","",IFERROR(N($K188)*N($M188)*N($N188),0))</f>
        <v/>
      </c>
      <c r="P188" s="19">
        <f>IF($A188="","",IFERROR($E188/$D188,0))</f>
        <v/>
      </c>
      <c r="Q188" s="19">
        <f>IF($A188="","",IFERROR(MAX(0,MIN(100,odk_kaliteTaban-IF(N($O188)&lt;odk_esikOee,odk_kaliteCeza,0)-IF($E188&gt;odk_esikDurusDk,odk_kaliteSapma,0)-IF($T188="YETIM",odk_kaliteCeza,0))),0))</f>
        <v/>
      </c>
      <c r="R188" s="19">
        <f>IF($A188="","",IF(OR(N($O188)&lt;odk_esikOee,$E188&gt;odk_esikDurusDk,N($Q188)&lt;odk_esikSaglik),"ALARM","UYGUN"))</f>
        <v/>
      </c>
      <c r="S188" s="19">
        <f>IF($A188="","",1)</f>
        <v/>
      </c>
      <c r="T188" s="19">
        <f>IF($A188="","",IF(OR($B188="",COUNTIF(tblVarliklar[VarlikId],$B188)=0),"YETIM","TAMAM"))</f>
        <v/>
      </c>
    </row>
    <row r="189">
      <c r="A189" s="15" t="n"/>
      <c r="B189" s="15" t="n"/>
      <c r="C189" s="37" t="n"/>
      <c r="D189" s="17" t="n"/>
      <c r="E189" s="17" t="n"/>
      <c r="F189" s="17" t="n"/>
      <c r="G189" s="17" t="n"/>
      <c r="H189" s="15" t="n"/>
      <c r="I189" s="19">
        <f>IF($A189="","",IFERROR(SUMIF(tblVarliklar[VarlikId],$B189,tblVarliklar[IdealCevrim_sn]),odk_varsayilanCevrim))</f>
        <v/>
      </c>
      <c r="J189" s="19">
        <f>IF($A189="","",IFERROR(MAX(0,$D189-$E189),0))</f>
        <v/>
      </c>
      <c r="K189" s="19">
        <f>IF($A189="","",IFERROR($J189/$D189,0))</f>
        <v/>
      </c>
      <c r="L189" s="19">
        <f>IF($A189="","",IFERROR($J189*odk_dakikaSn/$I189,0))</f>
        <v/>
      </c>
      <c r="M189" s="19">
        <f>IF($A189="","",IFERROR($F189/$L189,0))</f>
        <v/>
      </c>
      <c r="N189" s="19">
        <f>IF($A189="","",IFERROR(($F189-$G189)/$F189,0))</f>
        <v/>
      </c>
      <c r="O189" s="19">
        <f>IF($A189="","",IFERROR(N($K189)*N($M189)*N($N189),0))</f>
        <v/>
      </c>
      <c r="P189" s="19">
        <f>IF($A189="","",IFERROR($E189/$D189,0))</f>
        <v/>
      </c>
      <c r="Q189" s="19">
        <f>IF($A189="","",IFERROR(MAX(0,MIN(100,odk_kaliteTaban-IF(N($O189)&lt;odk_esikOee,odk_kaliteCeza,0)-IF($E189&gt;odk_esikDurusDk,odk_kaliteSapma,0)-IF($T189="YETIM",odk_kaliteCeza,0))),0))</f>
        <v/>
      </c>
      <c r="R189" s="19">
        <f>IF($A189="","",IF(OR(N($O189)&lt;odk_esikOee,$E189&gt;odk_esikDurusDk,N($Q189)&lt;odk_esikSaglik),"ALARM","UYGUN"))</f>
        <v/>
      </c>
      <c r="S189" s="19">
        <f>IF($A189="","",1)</f>
        <v/>
      </c>
      <c r="T189" s="19">
        <f>IF($A189="","",IF(OR($B189="",COUNTIF(tblVarliklar[VarlikId],$B189)=0),"YETIM","TAMAM"))</f>
        <v/>
      </c>
    </row>
    <row r="190">
      <c r="A190" s="15" t="n"/>
      <c r="B190" s="15" t="n"/>
      <c r="C190" s="37" t="n"/>
      <c r="D190" s="17" t="n"/>
      <c r="E190" s="17" t="n"/>
      <c r="F190" s="17" t="n"/>
      <c r="G190" s="17" t="n"/>
      <c r="H190" s="15" t="n"/>
      <c r="I190" s="19">
        <f>IF($A190="","",IFERROR(SUMIF(tblVarliklar[VarlikId],$B190,tblVarliklar[IdealCevrim_sn]),odk_varsayilanCevrim))</f>
        <v/>
      </c>
      <c r="J190" s="19">
        <f>IF($A190="","",IFERROR(MAX(0,$D190-$E190),0))</f>
        <v/>
      </c>
      <c r="K190" s="19">
        <f>IF($A190="","",IFERROR($J190/$D190,0))</f>
        <v/>
      </c>
      <c r="L190" s="19">
        <f>IF($A190="","",IFERROR($J190*odk_dakikaSn/$I190,0))</f>
        <v/>
      </c>
      <c r="M190" s="19">
        <f>IF($A190="","",IFERROR($F190/$L190,0))</f>
        <v/>
      </c>
      <c r="N190" s="19">
        <f>IF($A190="","",IFERROR(($F190-$G190)/$F190,0))</f>
        <v/>
      </c>
      <c r="O190" s="19">
        <f>IF($A190="","",IFERROR(N($K190)*N($M190)*N($N190),0))</f>
        <v/>
      </c>
      <c r="P190" s="19">
        <f>IF($A190="","",IFERROR($E190/$D190,0))</f>
        <v/>
      </c>
      <c r="Q190" s="19">
        <f>IF($A190="","",IFERROR(MAX(0,MIN(100,odk_kaliteTaban-IF(N($O190)&lt;odk_esikOee,odk_kaliteCeza,0)-IF($E190&gt;odk_esikDurusDk,odk_kaliteSapma,0)-IF($T190="YETIM",odk_kaliteCeza,0))),0))</f>
        <v/>
      </c>
      <c r="R190" s="19">
        <f>IF($A190="","",IF(OR(N($O190)&lt;odk_esikOee,$E190&gt;odk_esikDurusDk,N($Q190)&lt;odk_esikSaglik),"ALARM","UYGUN"))</f>
        <v/>
      </c>
      <c r="S190" s="19">
        <f>IF($A190="","",1)</f>
        <v/>
      </c>
      <c r="T190" s="19">
        <f>IF($A190="","",IF(OR($B190="",COUNTIF(tblVarliklar[VarlikId],$B190)=0),"YETIM","TAMAM"))</f>
        <v/>
      </c>
    </row>
    <row r="191">
      <c r="A191" s="15" t="n"/>
      <c r="B191" s="15" t="n"/>
      <c r="C191" s="37" t="n"/>
      <c r="D191" s="17" t="n"/>
      <c r="E191" s="17" t="n"/>
      <c r="F191" s="17" t="n"/>
      <c r="G191" s="17" t="n"/>
      <c r="H191" s="15" t="n"/>
      <c r="I191" s="19">
        <f>IF($A191="","",IFERROR(SUMIF(tblVarliklar[VarlikId],$B191,tblVarliklar[IdealCevrim_sn]),odk_varsayilanCevrim))</f>
        <v/>
      </c>
      <c r="J191" s="19">
        <f>IF($A191="","",IFERROR(MAX(0,$D191-$E191),0))</f>
        <v/>
      </c>
      <c r="K191" s="19">
        <f>IF($A191="","",IFERROR($J191/$D191,0))</f>
        <v/>
      </c>
      <c r="L191" s="19">
        <f>IF($A191="","",IFERROR($J191*odk_dakikaSn/$I191,0))</f>
        <v/>
      </c>
      <c r="M191" s="19">
        <f>IF($A191="","",IFERROR($F191/$L191,0))</f>
        <v/>
      </c>
      <c r="N191" s="19">
        <f>IF($A191="","",IFERROR(($F191-$G191)/$F191,0))</f>
        <v/>
      </c>
      <c r="O191" s="19">
        <f>IF($A191="","",IFERROR(N($K191)*N($M191)*N($N191),0))</f>
        <v/>
      </c>
      <c r="P191" s="19">
        <f>IF($A191="","",IFERROR($E191/$D191,0))</f>
        <v/>
      </c>
      <c r="Q191" s="19">
        <f>IF($A191="","",IFERROR(MAX(0,MIN(100,odk_kaliteTaban-IF(N($O191)&lt;odk_esikOee,odk_kaliteCeza,0)-IF($E191&gt;odk_esikDurusDk,odk_kaliteSapma,0)-IF($T191="YETIM",odk_kaliteCeza,0))),0))</f>
        <v/>
      </c>
      <c r="R191" s="19">
        <f>IF($A191="","",IF(OR(N($O191)&lt;odk_esikOee,$E191&gt;odk_esikDurusDk,N($Q191)&lt;odk_esikSaglik),"ALARM","UYGUN"))</f>
        <v/>
      </c>
      <c r="S191" s="19">
        <f>IF($A191="","",1)</f>
        <v/>
      </c>
      <c r="T191" s="19">
        <f>IF($A191="","",IF(OR($B191="",COUNTIF(tblVarliklar[VarlikId],$B191)=0),"YETIM","TAMAM"))</f>
        <v/>
      </c>
    </row>
    <row r="192">
      <c r="A192" s="15" t="n"/>
      <c r="B192" s="15" t="n"/>
      <c r="C192" s="37" t="n"/>
      <c r="D192" s="17" t="n"/>
      <c r="E192" s="17" t="n"/>
      <c r="F192" s="17" t="n"/>
      <c r="G192" s="17" t="n"/>
      <c r="H192" s="15" t="n"/>
      <c r="I192" s="19">
        <f>IF($A192="","",IFERROR(SUMIF(tblVarliklar[VarlikId],$B192,tblVarliklar[IdealCevrim_sn]),odk_varsayilanCevrim))</f>
        <v/>
      </c>
      <c r="J192" s="19">
        <f>IF($A192="","",IFERROR(MAX(0,$D192-$E192),0))</f>
        <v/>
      </c>
      <c r="K192" s="19">
        <f>IF($A192="","",IFERROR($J192/$D192,0))</f>
        <v/>
      </c>
      <c r="L192" s="19">
        <f>IF($A192="","",IFERROR($J192*odk_dakikaSn/$I192,0))</f>
        <v/>
      </c>
      <c r="M192" s="19">
        <f>IF($A192="","",IFERROR($F192/$L192,0))</f>
        <v/>
      </c>
      <c r="N192" s="19">
        <f>IF($A192="","",IFERROR(($F192-$G192)/$F192,0))</f>
        <v/>
      </c>
      <c r="O192" s="19">
        <f>IF($A192="","",IFERROR(N($K192)*N($M192)*N($N192),0))</f>
        <v/>
      </c>
      <c r="P192" s="19">
        <f>IF($A192="","",IFERROR($E192/$D192,0))</f>
        <v/>
      </c>
      <c r="Q192" s="19">
        <f>IF($A192="","",IFERROR(MAX(0,MIN(100,odk_kaliteTaban-IF(N($O192)&lt;odk_esikOee,odk_kaliteCeza,0)-IF($E192&gt;odk_esikDurusDk,odk_kaliteSapma,0)-IF($T192="YETIM",odk_kaliteCeza,0))),0))</f>
        <v/>
      </c>
      <c r="R192" s="19">
        <f>IF($A192="","",IF(OR(N($O192)&lt;odk_esikOee,$E192&gt;odk_esikDurusDk,N($Q192)&lt;odk_esikSaglik),"ALARM","UYGUN"))</f>
        <v/>
      </c>
      <c r="S192" s="19">
        <f>IF($A192="","",1)</f>
        <v/>
      </c>
      <c r="T192" s="19">
        <f>IF($A192="","",IF(OR($B192="",COUNTIF(tblVarliklar[VarlikId],$B192)=0),"YETIM","TAMAM"))</f>
        <v/>
      </c>
    </row>
    <row r="193">
      <c r="A193" s="15" t="n"/>
      <c r="B193" s="15" t="n"/>
      <c r="C193" s="37" t="n"/>
      <c r="D193" s="17" t="n"/>
      <c r="E193" s="17" t="n"/>
      <c r="F193" s="17" t="n"/>
      <c r="G193" s="17" t="n"/>
      <c r="H193" s="15" t="n"/>
      <c r="I193" s="19">
        <f>IF($A193="","",IFERROR(SUMIF(tblVarliklar[VarlikId],$B193,tblVarliklar[IdealCevrim_sn]),odk_varsayilanCevrim))</f>
        <v/>
      </c>
      <c r="J193" s="19">
        <f>IF($A193="","",IFERROR(MAX(0,$D193-$E193),0))</f>
        <v/>
      </c>
      <c r="K193" s="19">
        <f>IF($A193="","",IFERROR($J193/$D193,0))</f>
        <v/>
      </c>
      <c r="L193" s="19">
        <f>IF($A193="","",IFERROR($J193*odk_dakikaSn/$I193,0))</f>
        <v/>
      </c>
      <c r="M193" s="19">
        <f>IF($A193="","",IFERROR($F193/$L193,0))</f>
        <v/>
      </c>
      <c r="N193" s="19">
        <f>IF($A193="","",IFERROR(($F193-$G193)/$F193,0))</f>
        <v/>
      </c>
      <c r="O193" s="19">
        <f>IF($A193="","",IFERROR(N($K193)*N($M193)*N($N193),0))</f>
        <v/>
      </c>
      <c r="P193" s="19">
        <f>IF($A193="","",IFERROR($E193/$D193,0))</f>
        <v/>
      </c>
      <c r="Q193" s="19">
        <f>IF($A193="","",IFERROR(MAX(0,MIN(100,odk_kaliteTaban-IF(N($O193)&lt;odk_esikOee,odk_kaliteCeza,0)-IF($E193&gt;odk_esikDurusDk,odk_kaliteSapma,0)-IF($T193="YETIM",odk_kaliteCeza,0))),0))</f>
        <v/>
      </c>
      <c r="R193" s="19">
        <f>IF($A193="","",IF(OR(N($O193)&lt;odk_esikOee,$E193&gt;odk_esikDurusDk,N($Q193)&lt;odk_esikSaglik),"ALARM","UYGUN"))</f>
        <v/>
      </c>
      <c r="S193" s="19">
        <f>IF($A193="","",1)</f>
        <v/>
      </c>
      <c r="T193" s="19">
        <f>IF($A193="","",IF(OR($B193="",COUNTIF(tblVarliklar[VarlikId],$B193)=0),"YETIM","TAMAM"))</f>
        <v/>
      </c>
    </row>
    <row r="194">
      <c r="A194" s="15" t="n"/>
      <c r="B194" s="15" t="n"/>
      <c r="C194" s="37" t="n"/>
      <c r="D194" s="17" t="n"/>
      <c r="E194" s="17" t="n"/>
      <c r="F194" s="17" t="n"/>
      <c r="G194" s="17" t="n"/>
      <c r="H194" s="15" t="n"/>
      <c r="I194" s="19">
        <f>IF($A194="","",IFERROR(SUMIF(tblVarliklar[VarlikId],$B194,tblVarliklar[IdealCevrim_sn]),odk_varsayilanCevrim))</f>
        <v/>
      </c>
      <c r="J194" s="19">
        <f>IF($A194="","",IFERROR(MAX(0,$D194-$E194),0))</f>
        <v/>
      </c>
      <c r="K194" s="19">
        <f>IF($A194="","",IFERROR($J194/$D194,0))</f>
        <v/>
      </c>
      <c r="L194" s="19">
        <f>IF($A194="","",IFERROR($J194*odk_dakikaSn/$I194,0))</f>
        <v/>
      </c>
      <c r="M194" s="19">
        <f>IF($A194="","",IFERROR($F194/$L194,0))</f>
        <v/>
      </c>
      <c r="N194" s="19">
        <f>IF($A194="","",IFERROR(($F194-$G194)/$F194,0))</f>
        <v/>
      </c>
      <c r="O194" s="19">
        <f>IF($A194="","",IFERROR(N($K194)*N($M194)*N($N194),0))</f>
        <v/>
      </c>
      <c r="P194" s="19">
        <f>IF($A194="","",IFERROR($E194/$D194,0))</f>
        <v/>
      </c>
      <c r="Q194" s="19">
        <f>IF($A194="","",IFERROR(MAX(0,MIN(100,odk_kaliteTaban-IF(N($O194)&lt;odk_esikOee,odk_kaliteCeza,0)-IF($E194&gt;odk_esikDurusDk,odk_kaliteSapma,0)-IF($T194="YETIM",odk_kaliteCeza,0))),0))</f>
        <v/>
      </c>
      <c r="R194" s="19">
        <f>IF($A194="","",IF(OR(N($O194)&lt;odk_esikOee,$E194&gt;odk_esikDurusDk,N($Q194)&lt;odk_esikSaglik),"ALARM","UYGUN"))</f>
        <v/>
      </c>
      <c r="S194" s="19">
        <f>IF($A194="","",1)</f>
        <v/>
      </c>
      <c r="T194" s="19">
        <f>IF($A194="","",IF(OR($B194="",COUNTIF(tblVarliklar[VarlikId],$B194)=0),"YETIM","TAMAM"))</f>
        <v/>
      </c>
    </row>
    <row r="195">
      <c r="A195" s="15" t="n"/>
      <c r="B195" s="15" t="n"/>
      <c r="C195" s="37" t="n"/>
      <c r="D195" s="17" t="n"/>
      <c r="E195" s="17" t="n"/>
      <c r="F195" s="17" t="n"/>
      <c r="G195" s="17" t="n"/>
      <c r="H195" s="15" t="n"/>
      <c r="I195" s="19">
        <f>IF($A195="","",IFERROR(SUMIF(tblVarliklar[VarlikId],$B195,tblVarliklar[IdealCevrim_sn]),odk_varsayilanCevrim))</f>
        <v/>
      </c>
      <c r="J195" s="19">
        <f>IF($A195="","",IFERROR(MAX(0,$D195-$E195),0))</f>
        <v/>
      </c>
      <c r="K195" s="19">
        <f>IF($A195="","",IFERROR($J195/$D195,0))</f>
        <v/>
      </c>
      <c r="L195" s="19">
        <f>IF($A195="","",IFERROR($J195*odk_dakikaSn/$I195,0))</f>
        <v/>
      </c>
      <c r="M195" s="19">
        <f>IF($A195="","",IFERROR($F195/$L195,0))</f>
        <v/>
      </c>
      <c r="N195" s="19">
        <f>IF($A195="","",IFERROR(($F195-$G195)/$F195,0))</f>
        <v/>
      </c>
      <c r="O195" s="19">
        <f>IF($A195="","",IFERROR(N($K195)*N($M195)*N($N195),0))</f>
        <v/>
      </c>
      <c r="P195" s="19">
        <f>IF($A195="","",IFERROR($E195/$D195,0))</f>
        <v/>
      </c>
      <c r="Q195" s="19">
        <f>IF($A195="","",IFERROR(MAX(0,MIN(100,odk_kaliteTaban-IF(N($O195)&lt;odk_esikOee,odk_kaliteCeza,0)-IF($E195&gt;odk_esikDurusDk,odk_kaliteSapma,0)-IF($T195="YETIM",odk_kaliteCeza,0))),0))</f>
        <v/>
      </c>
      <c r="R195" s="19">
        <f>IF($A195="","",IF(OR(N($O195)&lt;odk_esikOee,$E195&gt;odk_esikDurusDk,N($Q195)&lt;odk_esikSaglik),"ALARM","UYGUN"))</f>
        <v/>
      </c>
      <c r="S195" s="19">
        <f>IF($A195="","",1)</f>
        <v/>
      </c>
      <c r="T195" s="19">
        <f>IF($A195="","",IF(OR($B195="",COUNTIF(tblVarliklar[VarlikId],$B195)=0),"YETIM","TAMAM"))</f>
        <v/>
      </c>
    </row>
    <row r="196">
      <c r="A196" s="15" t="n"/>
      <c r="B196" s="15" t="n"/>
      <c r="C196" s="37" t="n"/>
      <c r="D196" s="17" t="n"/>
      <c r="E196" s="17" t="n"/>
      <c r="F196" s="17" t="n"/>
      <c r="G196" s="17" t="n"/>
      <c r="H196" s="15" t="n"/>
      <c r="I196" s="19">
        <f>IF($A196="","",IFERROR(SUMIF(tblVarliklar[VarlikId],$B196,tblVarliklar[IdealCevrim_sn]),odk_varsayilanCevrim))</f>
        <v/>
      </c>
      <c r="J196" s="19">
        <f>IF($A196="","",IFERROR(MAX(0,$D196-$E196),0))</f>
        <v/>
      </c>
      <c r="K196" s="19">
        <f>IF($A196="","",IFERROR($J196/$D196,0))</f>
        <v/>
      </c>
      <c r="L196" s="19">
        <f>IF($A196="","",IFERROR($J196*odk_dakikaSn/$I196,0))</f>
        <v/>
      </c>
      <c r="M196" s="19">
        <f>IF($A196="","",IFERROR($F196/$L196,0))</f>
        <v/>
      </c>
      <c r="N196" s="19">
        <f>IF($A196="","",IFERROR(($F196-$G196)/$F196,0))</f>
        <v/>
      </c>
      <c r="O196" s="19">
        <f>IF($A196="","",IFERROR(N($K196)*N($M196)*N($N196),0))</f>
        <v/>
      </c>
      <c r="P196" s="19">
        <f>IF($A196="","",IFERROR($E196/$D196,0))</f>
        <v/>
      </c>
      <c r="Q196" s="19">
        <f>IF($A196="","",IFERROR(MAX(0,MIN(100,odk_kaliteTaban-IF(N($O196)&lt;odk_esikOee,odk_kaliteCeza,0)-IF($E196&gt;odk_esikDurusDk,odk_kaliteSapma,0)-IF($T196="YETIM",odk_kaliteCeza,0))),0))</f>
        <v/>
      </c>
      <c r="R196" s="19">
        <f>IF($A196="","",IF(OR(N($O196)&lt;odk_esikOee,$E196&gt;odk_esikDurusDk,N($Q196)&lt;odk_esikSaglik),"ALARM","UYGUN"))</f>
        <v/>
      </c>
      <c r="S196" s="19">
        <f>IF($A196="","",1)</f>
        <v/>
      </c>
      <c r="T196" s="19">
        <f>IF($A196="","",IF(OR($B196="",COUNTIF(tblVarliklar[VarlikId],$B196)=0),"YETIM","TAMAM"))</f>
        <v/>
      </c>
    </row>
    <row r="197">
      <c r="A197" s="15" t="n"/>
      <c r="B197" s="15" t="n"/>
      <c r="C197" s="37" t="n"/>
      <c r="D197" s="17" t="n"/>
      <c r="E197" s="17" t="n"/>
      <c r="F197" s="17" t="n"/>
      <c r="G197" s="17" t="n"/>
      <c r="H197" s="15" t="n"/>
      <c r="I197" s="19">
        <f>IF($A197="","",IFERROR(SUMIF(tblVarliklar[VarlikId],$B197,tblVarliklar[IdealCevrim_sn]),odk_varsayilanCevrim))</f>
        <v/>
      </c>
      <c r="J197" s="19">
        <f>IF($A197="","",IFERROR(MAX(0,$D197-$E197),0))</f>
        <v/>
      </c>
      <c r="K197" s="19">
        <f>IF($A197="","",IFERROR($J197/$D197,0))</f>
        <v/>
      </c>
      <c r="L197" s="19">
        <f>IF($A197="","",IFERROR($J197*odk_dakikaSn/$I197,0))</f>
        <v/>
      </c>
      <c r="M197" s="19">
        <f>IF($A197="","",IFERROR($F197/$L197,0))</f>
        <v/>
      </c>
      <c r="N197" s="19">
        <f>IF($A197="","",IFERROR(($F197-$G197)/$F197,0))</f>
        <v/>
      </c>
      <c r="O197" s="19">
        <f>IF($A197="","",IFERROR(N($K197)*N($M197)*N($N197),0))</f>
        <v/>
      </c>
      <c r="P197" s="19">
        <f>IF($A197="","",IFERROR($E197/$D197,0))</f>
        <v/>
      </c>
      <c r="Q197" s="19">
        <f>IF($A197="","",IFERROR(MAX(0,MIN(100,odk_kaliteTaban-IF(N($O197)&lt;odk_esikOee,odk_kaliteCeza,0)-IF($E197&gt;odk_esikDurusDk,odk_kaliteSapma,0)-IF($T197="YETIM",odk_kaliteCeza,0))),0))</f>
        <v/>
      </c>
      <c r="R197" s="19">
        <f>IF($A197="","",IF(OR(N($O197)&lt;odk_esikOee,$E197&gt;odk_esikDurusDk,N($Q197)&lt;odk_esikSaglik),"ALARM","UYGUN"))</f>
        <v/>
      </c>
      <c r="S197" s="19">
        <f>IF($A197="","",1)</f>
        <v/>
      </c>
      <c r="T197" s="19">
        <f>IF($A197="","",IF(OR($B197="",COUNTIF(tblVarliklar[VarlikId],$B197)=0),"YETIM","TAMAM"))</f>
        <v/>
      </c>
    </row>
    <row r="198">
      <c r="A198" s="15" t="n"/>
      <c r="B198" s="15" t="n"/>
      <c r="C198" s="37" t="n"/>
      <c r="D198" s="17" t="n"/>
      <c r="E198" s="17" t="n"/>
      <c r="F198" s="17" t="n"/>
      <c r="G198" s="17" t="n"/>
      <c r="H198" s="15" t="n"/>
      <c r="I198" s="19">
        <f>IF($A198="","",IFERROR(SUMIF(tblVarliklar[VarlikId],$B198,tblVarliklar[IdealCevrim_sn]),odk_varsayilanCevrim))</f>
        <v/>
      </c>
      <c r="J198" s="19">
        <f>IF($A198="","",IFERROR(MAX(0,$D198-$E198),0))</f>
        <v/>
      </c>
      <c r="K198" s="19">
        <f>IF($A198="","",IFERROR($J198/$D198,0))</f>
        <v/>
      </c>
      <c r="L198" s="19">
        <f>IF($A198="","",IFERROR($J198*odk_dakikaSn/$I198,0))</f>
        <v/>
      </c>
      <c r="M198" s="19">
        <f>IF($A198="","",IFERROR($F198/$L198,0))</f>
        <v/>
      </c>
      <c r="N198" s="19">
        <f>IF($A198="","",IFERROR(($F198-$G198)/$F198,0))</f>
        <v/>
      </c>
      <c r="O198" s="19">
        <f>IF($A198="","",IFERROR(N($K198)*N($M198)*N($N198),0))</f>
        <v/>
      </c>
      <c r="P198" s="19">
        <f>IF($A198="","",IFERROR($E198/$D198,0))</f>
        <v/>
      </c>
      <c r="Q198" s="19">
        <f>IF($A198="","",IFERROR(MAX(0,MIN(100,odk_kaliteTaban-IF(N($O198)&lt;odk_esikOee,odk_kaliteCeza,0)-IF($E198&gt;odk_esikDurusDk,odk_kaliteSapma,0)-IF($T198="YETIM",odk_kaliteCeza,0))),0))</f>
        <v/>
      </c>
      <c r="R198" s="19">
        <f>IF($A198="","",IF(OR(N($O198)&lt;odk_esikOee,$E198&gt;odk_esikDurusDk,N($Q198)&lt;odk_esikSaglik),"ALARM","UYGUN"))</f>
        <v/>
      </c>
      <c r="S198" s="19">
        <f>IF($A198="","",1)</f>
        <v/>
      </c>
      <c r="T198" s="19">
        <f>IF($A198="","",IF(OR($B198="",COUNTIF(tblVarliklar[VarlikId],$B198)=0),"YETIM","TAMAM"))</f>
        <v/>
      </c>
    </row>
    <row r="199">
      <c r="A199" s="15" t="n"/>
      <c r="B199" s="15" t="n"/>
      <c r="C199" s="37" t="n"/>
      <c r="D199" s="17" t="n"/>
      <c r="E199" s="17" t="n"/>
      <c r="F199" s="17" t="n"/>
      <c r="G199" s="17" t="n"/>
      <c r="H199" s="15" t="n"/>
      <c r="I199" s="19">
        <f>IF($A199="","",IFERROR(SUMIF(tblVarliklar[VarlikId],$B199,tblVarliklar[IdealCevrim_sn]),odk_varsayilanCevrim))</f>
        <v/>
      </c>
      <c r="J199" s="19">
        <f>IF($A199="","",IFERROR(MAX(0,$D199-$E199),0))</f>
        <v/>
      </c>
      <c r="K199" s="19">
        <f>IF($A199="","",IFERROR($J199/$D199,0))</f>
        <v/>
      </c>
      <c r="L199" s="19">
        <f>IF($A199="","",IFERROR($J199*odk_dakikaSn/$I199,0))</f>
        <v/>
      </c>
      <c r="M199" s="19">
        <f>IF($A199="","",IFERROR($F199/$L199,0))</f>
        <v/>
      </c>
      <c r="N199" s="19">
        <f>IF($A199="","",IFERROR(($F199-$G199)/$F199,0))</f>
        <v/>
      </c>
      <c r="O199" s="19">
        <f>IF($A199="","",IFERROR(N($K199)*N($M199)*N($N199),0))</f>
        <v/>
      </c>
      <c r="P199" s="19">
        <f>IF($A199="","",IFERROR($E199/$D199,0))</f>
        <v/>
      </c>
      <c r="Q199" s="19">
        <f>IF($A199="","",IFERROR(MAX(0,MIN(100,odk_kaliteTaban-IF(N($O199)&lt;odk_esikOee,odk_kaliteCeza,0)-IF($E199&gt;odk_esikDurusDk,odk_kaliteSapma,0)-IF($T199="YETIM",odk_kaliteCeza,0))),0))</f>
        <v/>
      </c>
      <c r="R199" s="19">
        <f>IF($A199="","",IF(OR(N($O199)&lt;odk_esikOee,$E199&gt;odk_esikDurusDk,N($Q199)&lt;odk_esikSaglik),"ALARM","UYGUN"))</f>
        <v/>
      </c>
      <c r="S199" s="19">
        <f>IF($A199="","",1)</f>
        <v/>
      </c>
      <c r="T199" s="19">
        <f>IF($A199="","",IF(OR($B199="",COUNTIF(tblVarliklar[VarlikId],$B199)=0),"YETIM","TAMAM"))</f>
        <v/>
      </c>
    </row>
    <row r="200">
      <c r="A200" s="15" t="n"/>
      <c r="B200" s="15" t="n"/>
      <c r="C200" s="37" t="n"/>
      <c r="D200" s="17" t="n"/>
      <c r="E200" s="17" t="n"/>
      <c r="F200" s="17" t="n"/>
      <c r="G200" s="17" t="n"/>
      <c r="H200" s="15" t="n"/>
      <c r="I200" s="19">
        <f>IF($A200="","",IFERROR(SUMIF(tblVarliklar[VarlikId],$B200,tblVarliklar[IdealCevrim_sn]),odk_varsayilanCevrim))</f>
        <v/>
      </c>
      <c r="J200" s="19">
        <f>IF($A200="","",IFERROR(MAX(0,$D200-$E200),0))</f>
        <v/>
      </c>
      <c r="K200" s="19">
        <f>IF($A200="","",IFERROR($J200/$D200,0))</f>
        <v/>
      </c>
      <c r="L200" s="19">
        <f>IF($A200="","",IFERROR($J200*odk_dakikaSn/$I200,0))</f>
        <v/>
      </c>
      <c r="M200" s="19">
        <f>IF($A200="","",IFERROR($F200/$L200,0))</f>
        <v/>
      </c>
      <c r="N200" s="19">
        <f>IF($A200="","",IFERROR(($F200-$G200)/$F200,0))</f>
        <v/>
      </c>
      <c r="O200" s="19">
        <f>IF($A200="","",IFERROR(N($K200)*N($M200)*N($N200),0))</f>
        <v/>
      </c>
      <c r="P200" s="19">
        <f>IF($A200="","",IFERROR($E200/$D200,0))</f>
        <v/>
      </c>
      <c r="Q200" s="19">
        <f>IF($A200="","",IFERROR(MAX(0,MIN(100,odk_kaliteTaban-IF(N($O200)&lt;odk_esikOee,odk_kaliteCeza,0)-IF($E200&gt;odk_esikDurusDk,odk_kaliteSapma,0)-IF($T200="YETIM",odk_kaliteCeza,0))),0))</f>
        <v/>
      </c>
      <c r="R200" s="19">
        <f>IF($A200="","",IF(OR(N($O200)&lt;odk_esikOee,$E200&gt;odk_esikDurusDk,N($Q200)&lt;odk_esikSaglik),"ALARM","UYGUN"))</f>
        <v/>
      </c>
      <c r="S200" s="19">
        <f>IF($A200="","",1)</f>
        <v/>
      </c>
      <c r="T200" s="19">
        <f>IF($A200="","",IF(OR($B200="",COUNTIF(tblVarliklar[VarlikId],$B200)=0),"YETIM","TAMAM"))</f>
        <v/>
      </c>
    </row>
    <row r="201">
      <c r="A201" s="15" t="n"/>
      <c r="B201" s="15" t="n"/>
      <c r="C201" s="37" t="n"/>
      <c r="D201" s="17" t="n"/>
      <c r="E201" s="17" t="n"/>
      <c r="F201" s="17" t="n"/>
      <c r="G201" s="17" t="n"/>
      <c r="H201" s="15" t="n"/>
      <c r="I201" s="19">
        <f>IF($A201="","",IFERROR(SUMIF(tblVarliklar[VarlikId],$B201,tblVarliklar[IdealCevrim_sn]),odk_varsayilanCevrim))</f>
        <v/>
      </c>
      <c r="J201" s="19">
        <f>IF($A201="","",IFERROR(MAX(0,$D201-$E201),0))</f>
        <v/>
      </c>
      <c r="K201" s="19">
        <f>IF($A201="","",IFERROR($J201/$D201,0))</f>
        <v/>
      </c>
      <c r="L201" s="19">
        <f>IF($A201="","",IFERROR($J201*odk_dakikaSn/$I201,0))</f>
        <v/>
      </c>
      <c r="M201" s="19">
        <f>IF($A201="","",IFERROR($F201/$L201,0))</f>
        <v/>
      </c>
      <c r="N201" s="19">
        <f>IF($A201="","",IFERROR(($F201-$G201)/$F201,0))</f>
        <v/>
      </c>
      <c r="O201" s="19">
        <f>IF($A201="","",IFERROR(N($K201)*N($M201)*N($N201),0))</f>
        <v/>
      </c>
      <c r="P201" s="19">
        <f>IF($A201="","",IFERROR($E201/$D201,0))</f>
        <v/>
      </c>
      <c r="Q201" s="19">
        <f>IF($A201="","",IFERROR(MAX(0,MIN(100,odk_kaliteTaban-IF(N($O201)&lt;odk_esikOee,odk_kaliteCeza,0)-IF($E201&gt;odk_esikDurusDk,odk_kaliteSapma,0)-IF($T201="YETIM",odk_kaliteCeza,0))),0))</f>
        <v/>
      </c>
      <c r="R201" s="19">
        <f>IF($A201="","",IF(OR(N($O201)&lt;odk_esikOee,$E201&gt;odk_esikDurusDk,N($Q201)&lt;odk_esikSaglik),"ALARM","UYGUN"))</f>
        <v/>
      </c>
      <c r="S201" s="19">
        <f>IF($A201="","",1)</f>
        <v/>
      </c>
      <c r="T201" s="19">
        <f>IF($A201="","",IF(OR($B201="",COUNTIF(tblVarliklar[VarlikId],$B201)=0),"YETIM","TAMAM"))</f>
        <v/>
      </c>
    </row>
    <row r="202">
      <c r="A202" s="15" t="n"/>
      <c r="B202" s="15" t="n"/>
      <c r="C202" s="37" t="n"/>
      <c r="D202" s="17" t="n"/>
      <c r="E202" s="17" t="n"/>
      <c r="F202" s="17" t="n"/>
      <c r="G202" s="17" t="n"/>
      <c r="H202" s="15" t="n"/>
      <c r="I202" s="19">
        <f>IF($A202="","",IFERROR(SUMIF(tblVarliklar[VarlikId],$B202,tblVarliklar[IdealCevrim_sn]),odk_varsayilanCevrim))</f>
        <v/>
      </c>
      <c r="J202" s="19">
        <f>IF($A202="","",IFERROR(MAX(0,$D202-$E202),0))</f>
        <v/>
      </c>
      <c r="K202" s="19">
        <f>IF($A202="","",IFERROR($J202/$D202,0))</f>
        <v/>
      </c>
      <c r="L202" s="19">
        <f>IF($A202="","",IFERROR($J202*odk_dakikaSn/$I202,0))</f>
        <v/>
      </c>
      <c r="M202" s="19">
        <f>IF($A202="","",IFERROR($F202/$L202,0))</f>
        <v/>
      </c>
      <c r="N202" s="19">
        <f>IF($A202="","",IFERROR(($F202-$G202)/$F202,0))</f>
        <v/>
      </c>
      <c r="O202" s="19">
        <f>IF($A202="","",IFERROR(N($K202)*N($M202)*N($N202),0))</f>
        <v/>
      </c>
      <c r="P202" s="19">
        <f>IF($A202="","",IFERROR($E202/$D202,0))</f>
        <v/>
      </c>
      <c r="Q202" s="19">
        <f>IF($A202="","",IFERROR(MAX(0,MIN(100,odk_kaliteTaban-IF(N($O202)&lt;odk_esikOee,odk_kaliteCeza,0)-IF($E202&gt;odk_esikDurusDk,odk_kaliteSapma,0)-IF($T202="YETIM",odk_kaliteCeza,0))),0))</f>
        <v/>
      </c>
      <c r="R202" s="19">
        <f>IF($A202="","",IF(OR(N($O202)&lt;odk_esikOee,$E202&gt;odk_esikDurusDk,N($Q202)&lt;odk_esikSaglik),"ALARM","UYGUN"))</f>
        <v/>
      </c>
      <c r="S202" s="19">
        <f>IF($A202="","",1)</f>
        <v/>
      </c>
      <c r="T202" s="19">
        <f>IF($A202="","",IF(OR($B202="",COUNTIF(tblVarliklar[VarlikId],$B202)=0),"YETIM","TAMAM"))</f>
        <v/>
      </c>
    </row>
    <row r="203">
      <c r="A203" s="15" t="n"/>
      <c r="B203" s="15" t="n"/>
      <c r="C203" s="37" t="n"/>
      <c r="D203" s="17" t="n"/>
      <c r="E203" s="17" t="n"/>
      <c r="F203" s="17" t="n"/>
      <c r="G203" s="17" t="n"/>
      <c r="H203" s="15" t="n"/>
      <c r="I203" s="19">
        <f>IF($A203="","",IFERROR(SUMIF(tblVarliklar[VarlikId],$B203,tblVarliklar[IdealCevrim_sn]),odk_varsayilanCevrim))</f>
        <v/>
      </c>
      <c r="J203" s="19">
        <f>IF($A203="","",IFERROR(MAX(0,$D203-$E203),0))</f>
        <v/>
      </c>
      <c r="K203" s="19">
        <f>IF($A203="","",IFERROR($J203/$D203,0))</f>
        <v/>
      </c>
      <c r="L203" s="19">
        <f>IF($A203="","",IFERROR($J203*odk_dakikaSn/$I203,0))</f>
        <v/>
      </c>
      <c r="M203" s="19">
        <f>IF($A203="","",IFERROR($F203/$L203,0))</f>
        <v/>
      </c>
      <c r="N203" s="19">
        <f>IF($A203="","",IFERROR(($F203-$G203)/$F203,0))</f>
        <v/>
      </c>
      <c r="O203" s="19">
        <f>IF($A203="","",IFERROR(N($K203)*N($M203)*N($N203),0))</f>
        <v/>
      </c>
      <c r="P203" s="19">
        <f>IF($A203="","",IFERROR($E203/$D203,0))</f>
        <v/>
      </c>
      <c r="Q203" s="19">
        <f>IF($A203="","",IFERROR(MAX(0,MIN(100,odk_kaliteTaban-IF(N($O203)&lt;odk_esikOee,odk_kaliteCeza,0)-IF($E203&gt;odk_esikDurusDk,odk_kaliteSapma,0)-IF($T203="YETIM",odk_kaliteCeza,0))),0))</f>
        <v/>
      </c>
      <c r="R203" s="19">
        <f>IF($A203="","",IF(OR(N($O203)&lt;odk_esikOee,$E203&gt;odk_esikDurusDk,N($Q203)&lt;odk_esikSaglik),"ALARM","UYGUN"))</f>
        <v/>
      </c>
      <c r="S203" s="19">
        <f>IF($A203="","",1)</f>
        <v/>
      </c>
      <c r="T203" s="19">
        <f>IF($A203="","",IF(OR($B203="",COUNTIF(tblVarliklar[VarlikId],$B203)=0),"YETIM","TAMAM"))</f>
        <v/>
      </c>
    </row>
    <row r="204">
      <c r="A204" s="15" t="n"/>
      <c r="B204" s="15" t="n"/>
      <c r="C204" s="37" t="n"/>
      <c r="D204" s="17" t="n"/>
      <c r="E204" s="17" t="n"/>
      <c r="F204" s="17" t="n"/>
      <c r="G204" s="17" t="n"/>
      <c r="H204" s="15" t="n"/>
      <c r="I204" s="19">
        <f>IF($A204="","",IFERROR(SUMIF(tblVarliklar[VarlikId],$B204,tblVarliklar[IdealCevrim_sn]),odk_varsayilanCevrim))</f>
        <v/>
      </c>
      <c r="J204" s="19">
        <f>IF($A204="","",IFERROR(MAX(0,$D204-$E204),0))</f>
        <v/>
      </c>
      <c r="K204" s="19">
        <f>IF($A204="","",IFERROR($J204/$D204,0))</f>
        <v/>
      </c>
      <c r="L204" s="19">
        <f>IF($A204="","",IFERROR($J204*odk_dakikaSn/$I204,0))</f>
        <v/>
      </c>
      <c r="M204" s="19">
        <f>IF($A204="","",IFERROR($F204/$L204,0))</f>
        <v/>
      </c>
      <c r="N204" s="19">
        <f>IF($A204="","",IFERROR(($F204-$G204)/$F204,0))</f>
        <v/>
      </c>
      <c r="O204" s="19">
        <f>IF($A204="","",IFERROR(N($K204)*N($M204)*N($N204),0))</f>
        <v/>
      </c>
      <c r="P204" s="19">
        <f>IF($A204="","",IFERROR($E204/$D204,0))</f>
        <v/>
      </c>
      <c r="Q204" s="19">
        <f>IF($A204="","",IFERROR(MAX(0,MIN(100,odk_kaliteTaban-IF(N($O204)&lt;odk_esikOee,odk_kaliteCeza,0)-IF($E204&gt;odk_esikDurusDk,odk_kaliteSapma,0)-IF($T204="YETIM",odk_kaliteCeza,0))),0))</f>
        <v/>
      </c>
      <c r="R204" s="19">
        <f>IF($A204="","",IF(OR(N($O204)&lt;odk_esikOee,$E204&gt;odk_esikDurusDk,N($Q204)&lt;odk_esikSaglik),"ALARM","UYGUN"))</f>
        <v/>
      </c>
      <c r="S204" s="19">
        <f>IF($A204="","",1)</f>
        <v/>
      </c>
      <c r="T204" s="19">
        <f>IF($A204="","",IF(OR($B204="",COUNTIF(tblVarliklar[VarlikId],$B204)=0),"YETIM","TAMAM"))</f>
        <v/>
      </c>
    </row>
    <row r="205">
      <c r="A205" s="15" t="n"/>
      <c r="B205" s="15" t="n"/>
      <c r="C205" s="37" t="n"/>
      <c r="D205" s="17" t="n"/>
      <c r="E205" s="17" t="n"/>
      <c r="F205" s="17" t="n"/>
      <c r="G205" s="17" t="n"/>
      <c r="H205" s="15" t="n"/>
      <c r="I205" s="19">
        <f>IF($A205="","",IFERROR(SUMIF(tblVarliklar[VarlikId],$B205,tblVarliklar[IdealCevrim_sn]),odk_varsayilanCevrim))</f>
        <v/>
      </c>
      <c r="J205" s="19">
        <f>IF($A205="","",IFERROR(MAX(0,$D205-$E205),0))</f>
        <v/>
      </c>
      <c r="K205" s="19">
        <f>IF($A205="","",IFERROR($J205/$D205,0))</f>
        <v/>
      </c>
      <c r="L205" s="19">
        <f>IF($A205="","",IFERROR($J205*odk_dakikaSn/$I205,0))</f>
        <v/>
      </c>
      <c r="M205" s="19">
        <f>IF($A205="","",IFERROR($F205/$L205,0))</f>
        <v/>
      </c>
      <c r="N205" s="19">
        <f>IF($A205="","",IFERROR(($F205-$G205)/$F205,0))</f>
        <v/>
      </c>
      <c r="O205" s="19">
        <f>IF($A205="","",IFERROR(N($K205)*N($M205)*N($N205),0))</f>
        <v/>
      </c>
      <c r="P205" s="19">
        <f>IF($A205="","",IFERROR($E205/$D205,0))</f>
        <v/>
      </c>
      <c r="Q205" s="19">
        <f>IF($A205="","",IFERROR(MAX(0,MIN(100,odk_kaliteTaban-IF(N($O205)&lt;odk_esikOee,odk_kaliteCeza,0)-IF($E205&gt;odk_esikDurusDk,odk_kaliteSapma,0)-IF($T205="YETIM",odk_kaliteCeza,0))),0))</f>
        <v/>
      </c>
      <c r="R205" s="19">
        <f>IF($A205="","",IF(OR(N($O205)&lt;odk_esikOee,$E205&gt;odk_esikDurusDk,N($Q205)&lt;odk_esikSaglik),"ALARM","UYGUN"))</f>
        <v/>
      </c>
      <c r="S205" s="19">
        <f>IF($A205="","",1)</f>
        <v/>
      </c>
      <c r="T205" s="19">
        <f>IF($A205="","",IF(OR($B205="",COUNTIF(tblVarliklar[VarlikId],$B205)=0),"YETIM","TAMAM"))</f>
        <v/>
      </c>
    </row>
    <row r="206">
      <c r="A206" s="15" t="n"/>
      <c r="B206" s="15" t="n"/>
      <c r="C206" s="37" t="n"/>
      <c r="D206" s="17" t="n"/>
      <c r="E206" s="17" t="n"/>
      <c r="F206" s="17" t="n"/>
      <c r="G206" s="17" t="n"/>
      <c r="H206" s="15" t="n"/>
      <c r="I206" s="19">
        <f>IF($A206="","",IFERROR(SUMIF(tblVarliklar[VarlikId],$B206,tblVarliklar[IdealCevrim_sn]),odk_varsayilanCevrim))</f>
        <v/>
      </c>
      <c r="J206" s="19">
        <f>IF($A206="","",IFERROR(MAX(0,$D206-$E206),0))</f>
        <v/>
      </c>
      <c r="K206" s="19">
        <f>IF($A206="","",IFERROR($J206/$D206,0))</f>
        <v/>
      </c>
      <c r="L206" s="19">
        <f>IF($A206="","",IFERROR($J206*odk_dakikaSn/$I206,0))</f>
        <v/>
      </c>
      <c r="M206" s="19">
        <f>IF($A206="","",IFERROR($F206/$L206,0))</f>
        <v/>
      </c>
      <c r="N206" s="19">
        <f>IF($A206="","",IFERROR(($F206-$G206)/$F206,0))</f>
        <v/>
      </c>
      <c r="O206" s="19">
        <f>IF($A206="","",IFERROR(N($K206)*N($M206)*N($N206),0))</f>
        <v/>
      </c>
      <c r="P206" s="19">
        <f>IF($A206="","",IFERROR($E206/$D206,0))</f>
        <v/>
      </c>
      <c r="Q206" s="19">
        <f>IF($A206="","",IFERROR(MAX(0,MIN(100,odk_kaliteTaban-IF(N($O206)&lt;odk_esikOee,odk_kaliteCeza,0)-IF($E206&gt;odk_esikDurusDk,odk_kaliteSapma,0)-IF($T206="YETIM",odk_kaliteCeza,0))),0))</f>
        <v/>
      </c>
      <c r="R206" s="19">
        <f>IF($A206="","",IF(OR(N($O206)&lt;odk_esikOee,$E206&gt;odk_esikDurusDk,N($Q206)&lt;odk_esikSaglik),"ALARM","UYGUN"))</f>
        <v/>
      </c>
      <c r="S206" s="19">
        <f>IF($A206="","",1)</f>
        <v/>
      </c>
      <c r="T206" s="19">
        <f>IF($A206="","",IF(OR($B206="",COUNTIF(tblVarliklar[VarlikId],$B206)=0),"YETIM","TAMAM"))</f>
        <v/>
      </c>
    </row>
    <row r="207">
      <c r="A207" s="15" t="n"/>
      <c r="B207" s="15" t="n"/>
      <c r="C207" s="37" t="n"/>
      <c r="D207" s="17" t="n"/>
      <c r="E207" s="17" t="n"/>
      <c r="F207" s="17" t="n"/>
      <c r="G207" s="17" t="n"/>
      <c r="H207" s="15" t="n"/>
      <c r="I207" s="19">
        <f>IF($A207="","",IFERROR(SUMIF(tblVarliklar[VarlikId],$B207,tblVarliklar[IdealCevrim_sn]),odk_varsayilanCevrim))</f>
        <v/>
      </c>
      <c r="J207" s="19">
        <f>IF($A207="","",IFERROR(MAX(0,$D207-$E207),0))</f>
        <v/>
      </c>
      <c r="K207" s="19">
        <f>IF($A207="","",IFERROR($J207/$D207,0))</f>
        <v/>
      </c>
      <c r="L207" s="19">
        <f>IF($A207="","",IFERROR($J207*odk_dakikaSn/$I207,0))</f>
        <v/>
      </c>
      <c r="M207" s="19">
        <f>IF($A207="","",IFERROR($F207/$L207,0))</f>
        <v/>
      </c>
      <c r="N207" s="19">
        <f>IF($A207="","",IFERROR(($F207-$G207)/$F207,0))</f>
        <v/>
      </c>
      <c r="O207" s="19">
        <f>IF($A207="","",IFERROR(N($K207)*N($M207)*N($N207),0))</f>
        <v/>
      </c>
      <c r="P207" s="19">
        <f>IF($A207="","",IFERROR($E207/$D207,0))</f>
        <v/>
      </c>
      <c r="Q207" s="19">
        <f>IF($A207="","",IFERROR(MAX(0,MIN(100,odk_kaliteTaban-IF(N($O207)&lt;odk_esikOee,odk_kaliteCeza,0)-IF($E207&gt;odk_esikDurusDk,odk_kaliteSapma,0)-IF($T207="YETIM",odk_kaliteCeza,0))),0))</f>
        <v/>
      </c>
      <c r="R207" s="19">
        <f>IF($A207="","",IF(OR(N($O207)&lt;odk_esikOee,$E207&gt;odk_esikDurusDk,N($Q207)&lt;odk_esikSaglik),"ALARM","UYGUN"))</f>
        <v/>
      </c>
      <c r="S207" s="19">
        <f>IF($A207="","",1)</f>
        <v/>
      </c>
      <c r="T207" s="19">
        <f>IF($A207="","",IF(OR($B207="",COUNTIF(tblVarliklar[VarlikId],$B207)=0),"YETIM","TAMAM"))</f>
        <v/>
      </c>
    </row>
    <row r="208">
      <c r="A208" s="15" t="n"/>
      <c r="B208" s="15" t="n"/>
      <c r="C208" s="37" t="n"/>
      <c r="D208" s="17" t="n"/>
      <c r="E208" s="17" t="n"/>
      <c r="F208" s="17" t="n"/>
      <c r="G208" s="17" t="n"/>
      <c r="H208" s="15" t="n"/>
      <c r="I208" s="19">
        <f>IF($A208="","",IFERROR(SUMIF(tblVarliklar[VarlikId],$B208,tblVarliklar[IdealCevrim_sn]),odk_varsayilanCevrim))</f>
        <v/>
      </c>
      <c r="J208" s="19">
        <f>IF($A208="","",IFERROR(MAX(0,$D208-$E208),0))</f>
        <v/>
      </c>
      <c r="K208" s="19">
        <f>IF($A208="","",IFERROR($J208/$D208,0))</f>
        <v/>
      </c>
      <c r="L208" s="19">
        <f>IF($A208="","",IFERROR($J208*odk_dakikaSn/$I208,0))</f>
        <v/>
      </c>
      <c r="M208" s="19">
        <f>IF($A208="","",IFERROR($F208/$L208,0))</f>
        <v/>
      </c>
      <c r="N208" s="19">
        <f>IF($A208="","",IFERROR(($F208-$G208)/$F208,0))</f>
        <v/>
      </c>
      <c r="O208" s="19">
        <f>IF($A208="","",IFERROR(N($K208)*N($M208)*N($N208),0))</f>
        <v/>
      </c>
      <c r="P208" s="19">
        <f>IF($A208="","",IFERROR($E208/$D208,0))</f>
        <v/>
      </c>
      <c r="Q208" s="19">
        <f>IF($A208="","",IFERROR(MAX(0,MIN(100,odk_kaliteTaban-IF(N($O208)&lt;odk_esikOee,odk_kaliteCeza,0)-IF($E208&gt;odk_esikDurusDk,odk_kaliteSapma,0)-IF($T208="YETIM",odk_kaliteCeza,0))),0))</f>
        <v/>
      </c>
      <c r="R208" s="19">
        <f>IF($A208="","",IF(OR(N($O208)&lt;odk_esikOee,$E208&gt;odk_esikDurusDk,N($Q208)&lt;odk_esikSaglik),"ALARM","UYGUN"))</f>
        <v/>
      </c>
      <c r="S208" s="19">
        <f>IF($A208="","",1)</f>
        <v/>
      </c>
      <c r="T208" s="19">
        <f>IF($A208="","",IF(OR($B208="",COUNTIF(tblVarliklar[VarlikId],$B208)=0),"YETIM","TAMAM"))</f>
        <v/>
      </c>
    </row>
    <row r="209">
      <c r="A209" s="15" t="n"/>
      <c r="B209" s="15" t="n"/>
      <c r="C209" s="37" t="n"/>
      <c r="D209" s="17" t="n"/>
      <c r="E209" s="17" t="n"/>
      <c r="F209" s="17" t="n"/>
      <c r="G209" s="17" t="n"/>
      <c r="H209" s="15" t="n"/>
      <c r="I209" s="19">
        <f>IF($A209="","",IFERROR(SUMIF(tblVarliklar[VarlikId],$B209,tblVarliklar[IdealCevrim_sn]),odk_varsayilanCevrim))</f>
        <v/>
      </c>
      <c r="J209" s="19">
        <f>IF($A209="","",IFERROR(MAX(0,$D209-$E209),0))</f>
        <v/>
      </c>
      <c r="K209" s="19">
        <f>IF($A209="","",IFERROR($J209/$D209,0))</f>
        <v/>
      </c>
      <c r="L209" s="19">
        <f>IF($A209="","",IFERROR($J209*odk_dakikaSn/$I209,0))</f>
        <v/>
      </c>
      <c r="M209" s="19">
        <f>IF($A209="","",IFERROR($F209/$L209,0))</f>
        <v/>
      </c>
      <c r="N209" s="19">
        <f>IF($A209="","",IFERROR(($F209-$G209)/$F209,0))</f>
        <v/>
      </c>
      <c r="O209" s="19">
        <f>IF($A209="","",IFERROR(N($K209)*N($M209)*N($N209),0))</f>
        <v/>
      </c>
      <c r="P209" s="19">
        <f>IF($A209="","",IFERROR($E209/$D209,0))</f>
        <v/>
      </c>
      <c r="Q209" s="19">
        <f>IF($A209="","",IFERROR(MAX(0,MIN(100,odk_kaliteTaban-IF(N($O209)&lt;odk_esikOee,odk_kaliteCeza,0)-IF($E209&gt;odk_esikDurusDk,odk_kaliteSapma,0)-IF($T209="YETIM",odk_kaliteCeza,0))),0))</f>
        <v/>
      </c>
      <c r="R209" s="19">
        <f>IF($A209="","",IF(OR(N($O209)&lt;odk_esikOee,$E209&gt;odk_esikDurusDk,N($Q209)&lt;odk_esikSaglik),"ALARM","UYGUN"))</f>
        <v/>
      </c>
      <c r="S209" s="19">
        <f>IF($A209="","",1)</f>
        <v/>
      </c>
      <c r="T209" s="19">
        <f>IF($A209="","",IF(OR($B209="",COUNTIF(tblVarliklar[VarlikId],$B209)=0),"YETIM","TAMAM"))</f>
        <v/>
      </c>
    </row>
    <row r="210">
      <c r="A210" s="15" t="n"/>
      <c r="B210" s="15" t="n"/>
      <c r="C210" s="37" t="n"/>
      <c r="D210" s="17" t="n"/>
      <c r="E210" s="17" t="n"/>
      <c r="F210" s="17" t="n"/>
      <c r="G210" s="17" t="n"/>
      <c r="H210" s="15" t="n"/>
      <c r="I210" s="19">
        <f>IF($A210="","",IFERROR(SUMIF(tblVarliklar[VarlikId],$B210,tblVarliklar[IdealCevrim_sn]),odk_varsayilanCevrim))</f>
        <v/>
      </c>
      <c r="J210" s="19">
        <f>IF($A210="","",IFERROR(MAX(0,$D210-$E210),0))</f>
        <v/>
      </c>
      <c r="K210" s="19">
        <f>IF($A210="","",IFERROR($J210/$D210,0))</f>
        <v/>
      </c>
      <c r="L210" s="19">
        <f>IF($A210="","",IFERROR($J210*odk_dakikaSn/$I210,0))</f>
        <v/>
      </c>
      <c r="M210" s="19">
        <f>IF($A210="","",IFERROR($F210/$L210,0))</f>
        <v/>
      </c>
      <c r="N210" s="19">
        <f>IF($A210="","",IFERROR(($F210-$G210)/$F210,0))</f>
        <v/>
      </c>
      <c r="O210" s="19">
        <f>IF($A210="","",IFERROR(N($K210)*N($M210)*N($N210),0))</f>
        <v/>
      </c>
      <c r="P210" s="19">
        <f>IF($A210="","",IFERROR($E210/$D210,0))</f>
        <v/>
      </c>
      <c r="Q210" s="19">
        <f>IF($A210="","",IFERROR(MAX(0,MIN(100,odk_kaliteTaban-IF(N($O210)&lt;odk_esikOee,odk_kaliteCeza,0)-IF($E210&gt;odk_esikDurusDk,odk_kaliteSapma,0)-IF($T210="YETIM",odk_kaliteCeza,0))),0))</f>
        <v/>
      </c>
      <c r="R210" s="19">
        <f>IF($A210="","",IF(OR(N($O210)&lt;odk_esikOee,$E210&gt;odk_esikDurusDk,N($Q210)&lt;odk_esikSaglik),"ALARM","UYGUN"))</f>
        <v/>
      </c>
      <c r="S210" s="19">
        <f>IF($A210="","",1)</f>
        <v/>
      </c>
      <c r="T210" s="19">
        <f>IF($A210="","",IF(OR($B210="",COUNTIF(tblVarliklar[VarlikId],$B210)=0),"YETIM","TAMAM"))</f>
        <v/>
      </c>
    </row>
    <row r="211">
      <c r="A211" s="15" t="n"/>
      <c r="B211" s="15" t="n"/>
      <c r="C211" s="37" t="n"/>
      <c r="D211" s="17" t="n"/>
      <c r="E211" s="17" t="n"/>
      <c r="F211" s="17" t="n"/>
      <c r="G211" s="17" t="n"/>
      <c r="H211" s="15" t="n"/>
      <c r="I211" s="19">
        <f>IF($A211="","",IFERROR(SUMIF(tblVarliklar[VarlikId],$B211,tblVarliklar[IdealCevrim_sn]),odk_varsayilanCevrim))</f>
        <v/>
      </c>
      <c r="J211" s="19">
        <f>IF($A211="","",IFERROR(MAX(0,$D211-$E211),0))</f>
        <v/>
      </c>
      <c r="K211" s="19">
        <f>IF($A211="","",IFERROR($J211/$D211,0))</f>
        <v/>
      </c>
      <c r="L211" s="19">
        <f>IF($A211="","",IFERROR($J211*odk_dakikaSn/$I211,0))</f>
        <v/>
      </c>
      <c r="M211" s="19">
        <f>IF($A211="","",IFERROR($F211/$L211,0))</f>
        <v/>
      </c>
      <c r="N211" s="19">
        <f>IF($A211="","",IFERROR(($F211-$G211)/$F211,0))</f>
        <v/>
      </c>
      <c r="O211" s="19">
        <f>IF($A211="","",IFERROR(N($K211)*N($M211)*N($N211),0))</f>
        <v/>
      </c>
      <c r="P211" s="19">
        <f>IF($A211="","",IFERROR($E211/$D211,0))</f>
        <v/>
      </c>
      <c r="Q211" s="19">
        <f>IF($A211="","",IFERROR(MAX(0,MIN(100,odk_kaliteTaban-IF(N($O211)&lt;odk_esikOee,odk_kaliteCeza,0)-IF($E211&gt;odk_esikDurusDk,odk_kaliteSapma,0)-IF($T211="YETIM",odk_kaliteCeza,0))),0))</f>
        <v/>
      </c>
      <c r="R211" s="19">
        <f>IF($A211="","",IF(OR(N($O211)&lt;odk_esikOee,$E211&gt;odk_esikDurusDk,N($Q211)&lt;odk_esikSaglik),"ALARM","UYGUN"))</f>
        <v/>
      </c>
      <c r="S211" s="19">
        <f>IF($A211="","",1)</f>
        <v/>
      </c>
      <c r="T211" s="19">
        <f>IF($A211="","",IF(OR($B211="",COUNTIF(tblVarliklar[VarlikId],$B211)=0),"YETIM","TAMAM"))</f>
        <v/>
      </c>
    </row>
    <row r="212">
      <c r="A212" s="15" t="n"/>
      <c r="B212" s="15" t="n"/>
      <c r="C212" s="37" t="n"/>
      <c r="D212" s="17" t="n"/>
      <c r="E212" s="17" t="n"/>
      <c r="F212" s="17" t="n"/>
      <c r="G212" s="17" t="n"/>
      <c r="H212" s="15" t="n"/>
      <c r="I212" s="19">
        <f>IF($A212="","",IFERROR(SUMIF(tblVarliklar[VarlikId],$B212,tblVarliklar[IdealCevrim_sn]),odk_varsayilanCevrim))</f>
        <v/>
      </c>
      <c r="J212" s="19">
        <f>IF($A212="","",IFERROR(MAX(0,$D212-$E212),0))</f>
        <v/>
      </c>
      <c r="K212" s="19">
        <f>IF($A212="","",IFERROR($J212/$D212,0))</f>
        <v/>
      </c>
      <c r="L212" s="19">
        <f>IF($A212="","",IFERROR($J212*odk_dakikaSn/$I212,0))</f>
        <v/>
      </c>
      <c r="M212" s="19">
        <f>IF($A212="","",IFERROR($F212/$L212,0))</f>
        <v/>
      </c>
      <c r="N212" s="19">
        <f>IF($A212="","",IFERROR(($F212-$G212)/$F212,0))</f>
        <v/>
      </c>
      <c r="O212" s="19">
        <f>IF($A212="","",IFERROR(N($K212)*N($M212)*N($N212),0))</f>
        <v/>
      </c>
      <c r="P212" s="19">
        <f>IF($A212="","",IFERROR($E212/$D212,0))</f>
        <v/>
      </c>
      <c r="Q212" s="19">
        <f>IF($A212="","",IFERROR(MAX(0,MIN(100,odk_kaliteTaban-IF(N($O212)&lt;odk_esikOee,odk_kaliteCeza,0)-IF($E212&gt;odk_esikDurusDk,odk_kaliteSapma,0)-IF($T212="YETIM",odk_kaliteCeza,0))),0))</f>
        <v/>
      </c>
      <c r="R212" s="19">
        <f>IF($A212="","",IF(OR(N($O212)&lt;odk_esikOee,$E212&gt;odk_esikDurusDk,N($Q212)&lt;odk_esikSaglik),"ALARM","UYGUN"))</f>
        <v/>
      </c>
      <c r="S212" s="19">
        <f>IF($A212="","",1)</f>
        <v/>
      </c>
      <c r="T212" s="19">
        <f>IF($A212="","",IF(OR($B212="",COUNTIF(tblVarliklar[VarlikId],$B212)=0),"YETIM","TAMAM"))</f>
        <v/>
      </c>
    </row>
    <row r="213">
      <c r="A213" s="15" t="n"/>
      <c r="B213" s="15" t="n"/>
      <c r="C213" s="37" t="n"/>
      <c r="D213" s="17" t="n"/>
      <c r="E213" s="17" t="n"/>
      <c r="F213" s="17" t="n"/>
      <c r="G213" s="17" t="n"/>
      <c r="H213" s="15" t="n"/>
      <c r="I213" s="19">
        <f>IF($A213="","",IFERROR(SUMIF(tblVarliklar[VarlikId],$B213,tblVarliklar[IdealCevrim_sn]),odk_varsayilanCevrim))</f>
        <v/>
      </c>
      <c r="J213" s="19">
        <f>IF($A213="","",IFERROR(MAX(0,$D213-$E213),0))</f>
        <v/>
      </c>
      <c r="K213" s="19">
        <f>IF($A213="","",IFERROR($J213/$D213,0))</f>
        <v/>
      </c>
      <c r="L213" s="19">
        <f>IF($A213="","",IFERROR($J213*odk_dakikaSn/$I213,0))</f>
        <v/>
      </c>
      <c r="M213" s="19">
        <f>IF($A213="","",IFERROR($F213/$L213,0))</f>
        <v/>
      </c>
      <c r="N213" s="19">
        <f>IF($A213="","",IFERROR(($F213-$G213)/$F213,0))</f>
        <v/>
      </c>
      <c r="O213" s="19">
        <f>IF($A213="","",IFERROR(N($K213)*N($M213)*N($N213),0))</f>
        <v/>
      </c>
      <c r="P213" s="19">
        <f>IF($A213="","",IFERROR($E213/$D213,0))</f>
        <v/>
      </c>
      <c r="Q213" s="19">
        <f>IF($A213="","",IFERROR(MAX(0,MIN(100,odk_kaliteTaban-IF(N($O213)&lt;odk_esikOee,odk_kaliteCeza,0)-IF($E213&gt;odk_esikDurusDk,odk_kaliteSapma,0)-IF($T213="YETIM",odk_kaliteCeza,0))),0))</f>
        <v/>
      </c>
      <c r="R213" s="19">
        <f>IF($A213="","",IF(OR(N($O213)&lt;odk_esikOee,$E213&gt;odk_esikDurusDk,N($Q213)&lt;odk_esikSaglik),"ALARM","UYGUN"))</f>
        <v/>
      </c>
      <c r="S213" s="19">
        <f>IF($A213="","",1)</f>
        <v/>
      </c>
      <c r="T213" s="19">
        <f>IF($A213="","",IF(OR($B213="",COUNTIF(tblVarliklar[VarlikId],$B213)=0),"YETIM","TAMAM"))</f>
        <v/>
      </c>
    </row>
    <row r="214">
      <c r="A214" s="15" t="n"/>
      <c r="B214" s="15" t="n"/>
      <c r="C214" s="37" t="n"/>
      <c r="D214" s="17" t="n"/>
      <c r="E214" s="17" t="n"/>
      <c r="F214" s="17" t="n"/>
      <c r="G214" s="17" t="n"/>
      <c r="H214" s="15" t="n"/>
      <c r="I214" s="19">
        <f>IF($A214="","",IFERROR(SUMIF(tblVarliklar[VarlikId],$B214,tblVarliklar[IdealCevrim_sn]),odk_varsayilanCevrim))</f>
        <v/>
      </c>
      <c r="J214" s="19">
        <f>IF($A214="","",IFERROR(MAX(0,$D214-$E214),0))</f>
        <v/>
      </c>
      <c r="K214" s="19">
        <f>IF($A214="","",IFERROR($J214/$D214,0))</f>
        <v/>
      </c>
      <c r="L214" s="19">
        <f>IF($A214="","",IFERROR($J214*odk_dakikaSn/$I214,0))</f>
        <v/>
      </c>
      <c r="M214" s="19">
        <f>IF($A214="","",IFERROR($F214/$L214,0))</f>
        <v/>
      </c>
      <c r="N214" s="19">
        <f>IF($A214="","",IFERROR(($F214-$G214)/$F214,0))</f>
        <v/>
      </c>
      <c r="O214" s="19">
        <f>IF($A214="","",IFERROR(N($K214)*N($M214)*N($N214),0))</f>
        <v/>
      </c>
      <c r="P214" s="19">
        <f>IF($A214="","",IFERROR($E214/$D214,0))</f>
        <v/>
      </c>
      <c r="Q214" s="19">
        <f>IF($A214="","",IFERROR(MAX(0,MIN(100,odk_kaliteTaban-IF(N($O214)&lt;odk_esikOee,odk_kaliteCeza,0)-IF($E214&gt;odk_esikDurusDk,odk_kaliteSapma,0)-IF($T214="YETIM",odk_kaliteCeza,0))),0))</f>
        <v/>
      </c>
      <c r="R214" s="19">
        <f>IF($A214="","",IF(OR(N($O214)&lt;odk_esikOee,$E214&gt;odk_esikDurusDk,N($Q214)&lt;odk_esikSaglik),"ALARM","UYGUN"))</f>
        <v/>
      </c>
      <c r="S214" s="19">
        <f>IF($A214="","",1)</f>
        <v/>
      </c>
      <c r="T214" s="19">
        <f>IF($A214="","",IF(OR($B214="",COUNTIF(tblVarliklar[VarlikId],$B214)=0),"YETIM","TAMAM"))</f>
        <v/>
      </c>
    </row>
    <row r="215">
      <c r="A215" s="15" t="n"/>
      <c r="B215" s="15" t="n"/>
      <c r="C215" s="37" t="n"/>
      <c r="D215" s="17" t="n"/>
      <c r="E215" s="17" t="n"/>
      <c r="F215" s="17" t="n"/>
      <c r="G215" s="17" t="n"/>
      <c r="H215" s="15" t="n"/>
      <c r="I215" s="19">
        <f>IF($A215="","",IFERROR(SUMIF(tblVarliklar[VarlikId],$B215,tblVarliklar[IdealCevrim_sn]),odk_varsayilanCevrim))</f>
        <v/>
      </c>
      <c r="J215" s="19">
        <f>IF($A215="","",IFERROR(MAX(0,$D215-$E215),0))</f>
        <v/>
      </c>
      <c r="K215" s="19">
        <f>IF($A215="","",IFERROR($J215/$D215,0))</f>
        <v/>
      </c>
      <c r="L215" s="19">
        <f>IF($A215="","",IFERROR($J215*odk_dakikaSn/$I215,0))</f>
        <v/>
      </c>
      <c r="M215" s="19">
        <f>IF($A215="","",IFERROR($F215/$L215,0))</f>
        <v/>
      </c>
      <c r="N215" s="19">
        <f>IF($A215="","",IFERROR(($F215-$G215)/$F215,0))</f>
        <v/>
      </c>
      <c r="O215" s="19">
        <f>IF($A215="","",IFERROR(N($K215)*N($M215)*N($N215),0))</f>
        <v/>
      </c>
      <c r="P215" s="19">
        <f>IF($A215="","",IFERROR($E215/$D215,0))</f>
        <v/>
      </c>
      <c r="Q215" s="19">
        <f>IF($A215="","",IFERROR(MAX(0,MIN(100,odk_kaliteTaban-IF(N($O215)&lt;odk_esikOee,odk_kaliteCeza,0)-IF($E215&gt;odk_esikDurusDk,odk_kaliteSapma,0)-IF($T215="YETIM",odk_kaliteCeza,0))),0))</f>
        <v/>
      </c>
      <c r="R215" s="19">
        <f>IF($A215="","",IF(OR(N($O215)&lt;odk_esikOee,$E215&gt;odk_esikDurusDk,N($Q215)&lt;odk_esikSaglik),"ALARM","UYGUN"))</f>
        <v/>
      </c>
      <c r="S215" s="19">
        <f>IF($A215="","",1)</f>
        <v/>
      </c>
      <c r="T215" s="19">
        <f>IF($A215="","",IF(OR($B215="",COUNTIF(tblVarliklar[VarlikId],$B215)=0),"YETIM","TAMAM"))</f>
        <v/>
      </c>
    </row>
    <row r="216">
      <c r="A216" s="15" t="n"/>
      <c r="B216" s="15" t="n"/>
      <c r="C216" s="37" t="n"/>
      <c r="D216" s="17" t="n"/>
      <c r="E216" s="17" t="n"/>
      <c r="F216" s="17" t="n"/>
      <c r="G216" s="17" t="n"/>
      <c r="H216" s="15" t="n"/>
      <c r="I216" s="19">
        <f>IF($A216="","",IFERROR(SUMIF(tblVarliklar[VarlikId],$B216,tblVarliklar[IdealCevrim_sn]),odk_varsayilanCevrim))</f>
        <v/>
      </c>
      <c r="J216" s="19">
        <f>IF($A216="","",IFERROR(MAX(0,$D216-$E216),0))</f>
        <v/>
      </c>
      <c r="K216" s="19">
        <f>IF($A216="","",IFERROR($J216/$D216,0))</f>
        <v/>
      </c>
      <c r="L216" s="19">
        <f>IF($A216="","",IFERROR($J216*odk_dakikaSn/$I216,0))</f>
        <v/>
      </c>
      <c r="M216" s="19">
        <f>IF($A216="","",IFERROR($F216/$L216,0))</f>
        <v/>
      </c>
      <c r="N216" s="19">
        <f>IF($A216="","",IFERROR(($F216-$G216)/$F216,0))</f>
        <v/>
      </c>
      <c r="O216" s="19">
        <f>IF($A216="","",IFERROR(N($K216)*N($M216)*N($N216),0))</f>
        <v/>
      </c>
      <c r="P216" s="19">
        <f>IF($A216="","",IFERROR($E216/$D216,0))</f>
        <v/>
      </c>
      <c r="Q216" s="19">
        <f>IF($A216="","",IFERROR(MAX(0,MIN(100,odk_kaliteTaban-IF(N($O216)&lt;odk_esikOee,odk_kaliteCeza,0)-IF($E216&gt;odk_esikDurusDk,odk_kaliteSapma,0)-IF($T216="YETIM",odk_kaliteCeza,0))),0))</f>
        <v/>
      </c>
      <c r="R216" s="19">
        <f>IF($A216="","",IF(OR(N($O216)&lt;odk_esikOee,$E216&gt;odk_esikDurusDk,N($Q216)&lt;odk_esikSaglik),"ALARM","UYGUN"))</f>
        <v/>
      </c>
      <c r="S216" s="19">
        <f>IF($A216="","",1)</f>
        <v/>
      </c>
      <c r="T216" s="19">
        <f>IF($A216="","",IF(OR($B216="",COUNTIF(tblVarliklar[VarlikId],$B216)=0),"YETIM","TAMAM"))</f>
        <v/>
      </c>
    </row>
    <row r="217">
      <c r="A217" s="15" t="n"/>
      <c r="B217" s="15" t="n"/>
      <c r="C217" s="37" t="n"/>
      <c r="D217" s="17" t="n"/>
      <c r="E217" s="17" t="n"/>
      <c r="F217" s="17" t="n"/>
      <c r="G217" s="17" t="n"/>
      <c r="H217" s="15" t="n"/>
      <c r="I217" s="19">
        <f>IF($A217="","",IFERROR(SUMIF(tblVarliklar[VarlikId],$B217,tblVarliklar[IdealCevrim_sn]),odk_varsayilanCevrim))</f>
        <v/>
      </c>
      <c r="J217" s="19">
        <f>IF($A217="","",IFERROR(MAX(0,$D217-$E217),0))</f>
        <v/>
      </c>
      <c r="K217" s="19">
        <f>IF($A217="","",IFERROR($J217/$D217,0))</f>
        <v/>
      </c>
      <c r="L217" s="19">
        <f>IF($A217="","",IFERROR($J217*odk_dakikaSn/$I217,0))</f>
        <v/>
      </c>
      <c r="M217" s="19">
        <f>IF($A217="","",IFERROR($F217/$L217,0))</f>
        <v/>
      </c>
      <c r="N217" s="19">
        <f>IF($A217="","",IFERROR(($F217-$G217)/$F217,0))</f>
        <v/>
      </c>
      <c r="O217" s="19">
        <f>IF($A217="","",IFERROR(N($K217)*N($M217)*N($N217),0))</f>
        <v/>
      </c>
      <c r="P217" s="19">
        <f>IF($A217="","",IFERROR($E217/$D217,0))</f>
        <v/>
      </c>
      <c r="Q217" s="19">
        <f>IF($A217="","",IFERROR(MAX(0,MIN(100,odk_kaliteTaban-IF(N($O217)&lt;odk_esikOee,odk_kaliteCeza,0)-IF($E217&gt;odk_esikDurusDk,odk_kaliteSapma,0)-IF($T217="YETIM",odk_kaliteCeza,0))),0))</f>
        <v/>
      </c>
      <c r="R217" s="19">
        <f>IF($A217="","",IF(OR(N($O217)&lt;odk_esikOee,$E217&gt;odk_esikDurusDk,N($Q217)&lt;odk_esikSaglik),"ALARM","UYGUN"))</f>
        <v/>
      </c>
      <c r="S217" s="19">
        <f>IF($A217="","",1)</f>
        <v/>
      </c>
      <c r="T217" s="19">
        <f>IF($A217="","",IF(OR($B217="",COUNTIF(tblVarliklar[VarlikId],$B217)=0),"YETIM","TAMAM"))</f>
        <v/>
      </c>
    </row>
    <row r="218">
      <c r="A218" s="15" t="n"/>
      <c r="B218" s="15" t="n"/>
      <c r="C218" s="37" t="n"/>
      <c r="D218" s="17" t="n"/>
      <c r="E218" s="17" t="n"/>
      <c r="F218" s="17" t="n"/>
      <c r="G218" s="17" t="n"/>
      <c r="H218" s="15" t="n"/>
      <c r="I218" s="19">
        <f>IF($A218="","",IFERROR(SUMIF(tblVarliklar[VarlikId],$B218,tblVarliklar[IdealCevrim_sn]),odk_varsayilanCevrim))</f>
        <v/>
      </c>
      <c r="J218" s="19">
        <f>IF($A218="","",IFERROR(MAX(0,$D218-$E218),0))</f>
        <v/>
      </c>
      <c r="K218" s="19">
        <f>IF($A218="","",IFERROR($J218/$D218,0))</f>
        <v/>
      </c>
      <c r="L218" s="19">
        <f>IF($A218="","",IFERROR($J218*odk_dakikaSn/$I218,0))</f>
        <v/>
      </c>
      <c r="M218" s="19">
        <f>IF($A218="","",IFERROR($F218/$L218,0))</f>
        <v/>
      </c>
      <c r="N218" s="19">
        <f>IF($A218="","",IFERROR(($F218-$G218)/$F218,0))</f>
        <v/>
      </c>
      <c r="O218" s="19">
        <f>IF($A218="","",IFERROR(N($K218)*N($M218)*N($N218),0))</f>
        <v/>
      </c>
      <c r="P218" s="19">
        <f>IF($A218="","",IFERROR($E218/$D218,0))</f>
        <v/>
      </c>
      <c r="Q218" s="19">
        <f>IF($A218="","",IFERROR(MAX(0,MIN(100,odk_kaliteTaban-IF(N($O218)&lt;odk_esikOee,odk_kaliteCeza,0)-IF($E218&gt;odk_esikDurusDk,odk_kaliteSapma,0)-IF($T218="YETIM",odk_kaliteCeza,0))),0))</f>
        <v/>
      </c>
      <c r="R218" s="19">
        <f>IF($A218="","",IF(OR(N($O218)&lt;odk_esikOee,$E218&gt;odk_esikDurusDk,N($Q218)&lt;odk_esikSaglik),"ALARM","UYGUN"))</f>
        <v/>
      </c>
      <c r="S218" s="19">
        <f>IF($A218="","",1)</f>
        <v/>
      </c>
      <c r="T218" s="19">
        <f>IF($A218="","",IF(OR($B218="",COUNTIF(tblVarliklar[VarlikId],$B218)=0),"YETIM","TAMAM"))</f>
        <v/>
      </c>
    </row>
    <row r="219">
      <c r="A219" s="15" t="n"/>
      <c r="B219" s="15" t="n"/>
      <c r="C219" s="37" t="n"/>
      <c r="D219" s="17" t="n"/>
      <c r="E219" s="17" t="n"/>
      <c r="F219" s="17" t="n"/>
      <c r="G219" s="17" t="n"/>
      <c r="H219" s="15" t="n"/>
      <c r="I219" s="19">
        <f>IF($A219="","",IFERROR(SUMIF(tblVarliklar[VarlikId],$B219,tblVarliklar[IdealCevrim_sn]),odk_varsayilanCevrim))</f>
        <v/>
      </c>
      <c r="J219" s="19">
        <f>IF($A219="","",IFERROR(MAX(0,$D219-$E219),0))</f>
        <v/>
      </c>
      <c r="K219" s="19">
        <f>IF($A219="","",IFERROR($J219/$D219,0))</f>
        <v/>
      </c>
      <c r="L219" s="19">
        <f>IF($A219="","",IFERROR($J219*odk_dakikaSn/$I219,0))</f>
        <v/>
      </c>
      <c r="M219" s="19">
        <f>IF($A219="","",IFERROR($F219/$L219,0))</f>
        <v/>
      </c>
      <c r="N219" s="19">
        <f>IF($A219="","",IFERROR(($F219-$G219)/$F219,0))</f>
        <v/>
      </c>
      <c r="O219" s="19">
        <f>IF($A219="","",IFERROR(N($K219)*N($M219)*N($N219),0))</f>
        <v/>
      </c>
      <c r="P219" s="19">
        <f>IF($A219="","",IFERROR($E219/$D219,0))</f>
        <v/>
      </c>
      <c r="Q219" s="19">
        <f>IF($A219="","",IFERROR(MAX(0,MIN(100,odk_kaliteTaban-IF(N($O219)&lt;odk_esikOee,odk_kaliteCeza,0)-IF($E219&gt;odk_esikDurusDk,odk_kaliteSapma,0)-IF($T219="YETIM",odk_kaliteCeza,0))),0))</f>
        <v/>
      </c>
      <c r="R219" s="19">
        <f>IF($A219="","",IF(OR(N($O219)&lt;odk_esikOee,$E219&gt;odk_esikDurusDk,N($Q219)&lt;odk_esikSaglik),"ALARM","UYGUN"))</f>
        <v/>
      </c>
      <c r="S219" s="19">
        <f>IF($A219="","",1)</f>
        <v/>
      </c>
      <c r="T219" s="19">
        <f>IF($A219="","",IF(OR($B219="",COUNTIF(tblVarliklar[VarlikId],$B219)=0),"YETIM","TAMAM"))</f>
        <v/>
      </c>
    </row>
    <row r="220">
      <c r="A220" s="15" t="n"/>
      <c r="B220" s="15" t="n"/>
      <c r="C220" s="37" t="n"/>
      <c r="D220" s="17" t="n"/>
      <c r="E220" s="17" t="n"/>
      <c r="F220" s="17" t="n"/>
      <c r="G220" s="17" t="n"/>
      <c r="H220" s="15" t="n"/>
      <c r="I220" s="19">
        <f>IF($A220="","",IFERROR(SUMIF(tblVarliklar[VarlikId],$B220,tblVarliklar[IdealCevrim_sn]),odk_varsayilanCevrim))</f>
        <v/>
      </c>
      <c r="J220" s="19">
        <f>IF($A220="","",IFERROR(MAX(0,$D220-$E220),0))</f>
        <v/>
      </c>
      <c r="K220" s="19">
        <f>IF($A220="","",IFERROR($J220/$D220,0))</f>
        <v/>
      </c>
      <c r="L220" s="19">
        <f>IF($A220="","",IFERROR($J220*odk_dakikaSn/$I220,0))</f>
        <v/>
      </c>
      <c r="M220" s="19">
        <f>IF($A220="","",IFERROR($F220/$L220,0))</f>
        <v/>
      </c>
      <c r="N220" s="19">
        <f>IF($A220="","",IFERROR(($F220-$G220)/$F220,0))</f>
        <v/>
      </c>
      <c r="O220" s="19">
        <f>IF($A220="","",IFERROR(N($K220)*N($M220)*N($N220),0))</f>
        <v/>
      </c>
      <c r="P220" s="19">
        <f>IF($A220="","",IFERROR($E220/$D220,0))</f>
        <v/>
      </c>
      <c r="Q220" s="19">
        <f>IF($A220="","",IFERROR(MAX(0,MIN(100,odk_kaliteTaban-IF(N($O220)&lt;odk_esikOee,odk_kaliteCeza,0)-IF($E220&gt;odk_esikDurusDk,odk_kaliteSapma,0)-IF($T220="YETIM",odk_kaliteCeza,0))),0))</f>
        <v/>
      </c>
      <c r="R220" s="19">
        <f>IF($A220="","",IF(OR(N($O220)&lt;odk_esikOee,$E220&gt;odk_esikDurusDk,N($Q220)&lt;odk_esikSaglik),"ALARM","UYGUN"))</f>
        <v/>
      </c>
      <c r="S220" s="19">
        <f>IF($A220="","",1)</f>
        <v/>
      </c>
      <c r="T220" s="19">
        <f>IF($A220="","",IF(OR($B220="",COUNTIF(tblVarliklar[VarlikId],$B220)=0),"YETIM","TAMAM"))</f>
        <v/>
      </c>
    </row>
    <row r="221">
      <c r="A221" s="15" t="n"/>
      <c r="B221" s="15" t="n"/>
      <c r="C221" s="37" t="n"/>
      <c r="D221" s="17" t="n"/>
      <c r="E221" s="17" t="n"/>
      <c r="F221" s="17" t="n"/>
      <c r="G221" s="17" t="n"/>
      <c r="H221" s="15" t="n"/>
      <c r="I221" s="19">
        <f>IF($A221="","",IFERROR(SUMIF(tblVarliklar[VarlikId],$B221,tblVarliklar[IdealCevrim_sn]),odk_varsayilanCevrim))</f>
        <v/>
      </c>
      <c r="J221" s="19">
        <f>IF($A221="","",IFERROR(MAX(0,$D221-$E221),0))</f>
        <v/>
      </c>
      <c r="K221" s="19">
        <f>IF($A221="","",IFERROR($J221/$D221,0))</f>
        <v/>
      </c>
      <c r="L221" s="19">
        <f>IF($A221="","",IFERROR($J221*odk_dakikaSn/$I221,0))</f>
        <v/>
      </c>
      <c r="M221" s="19">
        <f>IF($A221="","",IFERROR($F221/$L221,0))</f>
        <v/>
      </c>
      <c r="N221" s="19">
        <f>IF($A221="","",IFERROR(($F221-$G221)/$F221,0))</f>
        <v/>
      </c>
      <c r="O221" s="19">
        <f>IF($A221="","",IFERROR(N($K221)*N($M221)*N($N221),0))</f>
        <v/>
      </c>
      <c r="P221" s="19">
        <f>IF($A221="","",IFERROR($E221/$D221,0))</f>
        <v/>
      </c>
      <c r="Q221" s="19">
        <f>IF($A221="","",IFERROR(MAX(0,MIN(100,odk_kaliteTaban-IF(N($O221)&lt;odk_esikOee,odk_kaliteCeza,0)-IF($E221&gt;odk_esikDurusDk,odk_kaliteSapma,0)-IF($T221="YETIM",odk_kaliteCeza,0))),0))</f>
        <v/>
      </c>
      <c r="R221" s="19">
        <f>IF($A221="","",IF(OR(N($O221)&lt;odk_esikOee,$E221&gt;odk_esikDurusDk,N($Q221)&lt;odk_esikSaglik),"ALARM","UYGUN"))</f>
        <v/>
      </c>
      <c r="S221" s="19">
        <f>IF($A221="","",1)</f>
        <v/>
      </c>
      <c r="T221" s="19">
        <f>IF($A221="","",IF(OR($B221="",COUNTIF(tblVarliklar[VarlikId],$B221)=0),"YETIM","TAMAM"))</f>
        <v/>
      </c>
    </row>
    <row r="222">
      <c r="A222" s="15" t="n"/>
      <c r="B222" s="15" t="n"/>
      <c r="C222" s="37" t="n"/>
      <c r="D222" s="17" t="n"/>
      <c r="E222" s="17" t="n"/>
      <c r="F222" s="17" t="n"/>
      <c r="G222" s="17" t="n"/>
      <c r="H222" s="15" t="n"/>
      <c r="I222" s="19">
        <f>IF($A222="","",IFERROR(SUMIF(tblVarliklar[VarlikId],$B222,tblVarliklar[IdealCevrim_sn]),odk_varsayilanCevrim))</f>
        <v/>
      </c>
      <c r="J222" s="19">
        <f>IF($A222="","",IFERROR(MAX(0,$D222-$E222),0))</f>
        <v/>
      </c>
      <c r="K222" s="19">
        <f>IF($A222="","",IFERROR($J222/$D222,0))</f>
        <v/>
      </c>
      <c r="L222" s="19">
        <f>IF($A222="","",IFERROR($J222*odk_dakikaSn/$I222,0))</f>
        <v/>
      </c>
      <c r="M222" s="19">
        <f>IF($A222="","",IFERROR($F222/$L222,0))</f>
        <v/>
      </c>
      <c r="N222" s="19">
        <f>IF($A222="","",IFERROR(($F222-$G222)/$F222,0))</f>
        <v/>
      </c>
      <c r="O222" s="19">
        <f>IF($A222="","",IFERROR(N($K222)*N($M222)*N($N222),0))</f>
        <v/>
      </c>
      <c r="P222" s="19">
        <f>IF($A222="","",IFERROR($E222/$D222,0))</f>
        <v/>
      </c>
      <c r="Q222" s="19">
        <f>IF($A222="","",IFERROR(MAX(0,MIN(100,odk_kaliteTaban-IF(N($O222)&lt;odk_esikOee,odk_kaliteCeza,0)-IF($E222&gt;odk_esikDurusDk,odk_kaliteSapma,0)-IF($T222="YETIM",odk_kaliteCeza,0))),0))</f>
        <v/>
      </c>
      <c r="R222" s="19">
        <f>IF($A222="","",IF(OR(N($O222)&lt;odk_esikOee,$E222&gt;odk_esikDurusDk,N($Q222)&lt;odk_esikSaglik),"ALARM","UYGUN"))</f>
        <v/>
      </c>
      <c r="S222" s="19">
        <f>IF($A222="","",1)</f>
        <v/>
      </c>
      <c r="T222" s="19">
        <f>IF($A222="","",IF(OR($B222="",COUNTIF(tblVarliklar[VarlikId],$B222)=0),"YETIM","TAMAM"))</f>
        <v/>
      </c>
    </row>
    <row r="223">
      <c r="A223" s="15" t="n"/>
      <c r="B223" s="15" t="n"/>
      <c r="C223" s="37" t="n"/>
      <c r="D223" s="17" t="n"/>
      <c r="E223" s="17" t="n"/>
      <c r="F223" s="17" t="n"/>
      <c r="G223" s="17" t="n"/>
      <c r="H223" s="15" t="n"/>
      <c r="I223" s="19">
        <f>IF($A223="","",IFERROR(SUMIF(tblVarliklar[VarlikId],$B223,tblVarliklar[IdealCevrim_sn]),odk_varsayilanCevrim))</f>
        <v/>
      </c>
      <c r="J223" s="19">
        <f>IF($A223="","",IFERROR(MAX(0,$D223-$E223),0))</f>
        <v/>
      </c>
      <c r="K223" s="19">
        <f>IF($A223="","",IFERROR($J223/$D223,0))</f>
        <v/>
      </c>
      <c r="L223" s="19">
        <f>IF($A223="","",IFERROR($J223*odk_dakikaSn/$I223,0))</f>
        <v/>
      </c>
      <c r="M223" s="19">
        <f>IF($A223="","",IFERROR($F223/$L223,0))</f>
        <v/>
      </c>
      <c r="N223" s="19">
        <f>IF($A223="","",IFERROR(($F223-$G223)/$F223,0))</f>
        <v/>
      </c>
      <c r="O223" s="19">
        <f>IF($A223="","",IFERROR(N($K223)*N($M223)*N($N223),0))</f>
        <v/>
      </c>
      <c r="P223" s="19">
        <f>IF($A223="","",IFERROR($E223/$D223,0))</f>
        <v/>
      </c>
      <c r="Q223" s="19">
        <f>IF($A223="","",IFERROR(MAX(0,MIN(100,odk_kaliteTaban-IF(N($O223)&lt;odk_esikOee,odk_kaliteCeza,0)-IF($E223&gt;odk_esikDurusDk,odk_kaliteSapma,0)-IF($T223="YETIM",odk_kaliteCeza,0))),0))</f>
        <v/>
      </c>
      <c r="R223" s="19">
        <f>IF($A223="","",IF(OR(N($O223)&lt;odk_esikOee,$E223&gt;odk_esikDurusDk,N($Q223)&lt;odk_esikSaglik),"ALARM","UYGUN"))</f>
        <v/>
      </c>
      <c r="S223" s="19">
        <f>IF($A223="","",1)</f>
        <v/>
      </c>
      <c r="T223" s="19">
        <f>IF($A223="","",IF(OR($B223="",COUNTIF(tblVarliklar[VarlikId],$B223)=0),"YETIM","TAMAM"))</f>
        <v/>
      </c>
    </row>
    <row r="224">
      <c r="A224" s="15" t="n"/>
      <c r="B224" s="15" t="n"/>
      <c r="C224" s="37" t="n"/>
      <c r="D224" s="17" t="n"/>
      <c r="E224" s="17" t="n"/>
      <c r="F224" s="17" t="n"/>
      <c r="G224" s="17" t="n"/>
      <c r="H224" s="15" t="n"/>
      <c r="I224" s="19">
        <f>IF($A224="","",IFERROR(SUMIF(tblVarliklar[VarlikId],$B224,tblVarliklar[IdealCevrim_sn]),odk_varsayilanCevrim))</f>
        <v/>
      </c>
      <c r="J224" s="19">
        <f>IF($A224="","",IFERROR(MAX(0,$D224-$E224),0))</f>
        <v/>
      </c>
      <c r="K224" s="19">
        <f>IF($A224="","",IFERROR($J224/$D224,0))</f>
        <v/>
      </c>
      <c r="L224" s="19">
        <f>IF($A224="","",IFERROR($J224*odk_dakikaSn/$I224,0))</f>
        <v/>
      </c>
      <c r="M224" s="19">
        <f>IF($A224="","",IFERROR($F224/$L224,0))</f>
        <v/>
      </c>
      <c r="N224" s="19">
        <f>IF($A224="","",IFERROR(($F224-$G224)/$F224,0))</f>
        <v/>
      </c>
      <c r="O224" s="19">
        <f>IF($A224="","",IFERROR(N($K224)*N($M224)*N($N224),0))</f>
        <v/>
      </c>
      <c r="P224" s="19">
        <f>IF($A224="","",IFERROR($E224/$D224,0))</f>
        <v/>
      </c>
      <c r="Q224" s="19">
        <f>IF($A224="","",IFERROR(MAX(0,MIN(100,odk_kaliteTaban-IF(N($O224)&lt;odk_esikOee,odk_kaliteCeza,0)-IF($E224&gt;odk_esikDurusDk,odk_kaliteSapma,0)-IF($T224="YETIM",odk_kaliteCeza,0))),0))</f>
        <v/>
      </c>
      <c r="R224" s="19">
        <f>IF($A224="","",IF(OR(N($O224)&lt;odk_esikOee,$E224&gt;odk_esikDurusDk,N($Q224)&lt;odk_esikSaglik),"ALARM","UYGUN"))</f>
        <v/>
      </c>
      <c r="S224" s="19">
        <f>IF($A224="","",1)</f>
        <v/>
      </c>
      <c r="T224" s="19">
        <f>IF($A224="","",IF(OR($B224="",COUNTIF(tblVarliklar[VarlikId],$B224)=0),"YETIM","TAMAM"))</f>
        <v/>
      </c>
    </row>
    <row r="225">
      <c r="A225" s="15" t="n"/>
      <c r="B225" s="15" t="n"/>
      <c r="C225" s="37" t="n"/>
      <c r="D225" s="17" t="n"/>
      <c r="E225" s="17" t="n"/>
      <c r="F225" s="17" t="n"/>
      <c r="G225" s="17" t="n"/>
      <c r="H225" s="15" t="n"/>
      <c r="I225" s="19">
        <f>IF($A225="","",IFERROR(SUMIF(tblVarliklar[VarlikId],$B225,tblVarliklar[IdealCevrim_sn]),odk_varsayilanCevrim))</f>
        <v/>
      </c>
      <c r="J225" s="19">
        <f>IF($A225="","",IFERROR(MAX(0,$D225-$E225),0))</f>
        <v/>
      </c>
      <c r="K225" s="19">
        <f>IF($A225="","",IFERROR($J225/$D225,0))</f>
        <v/>
      </c>
      <c r="L225" s="19">
        <f>IF($A225="","",IFERROR($J225*odk_dakikaSn/$I225,0))</f>
        <v/>
      </c>
      <c r="M225" s="19">
        <f>IF($A225="","",IFERROR($F225/$L225,0))</f>
        <v/>
      </c>
      <c r="N225" s="19">
        <f>IF($A225="","",IFERROR(($F225-$G225)/$F225,0))</f>
        <v/>
      </c>
      <c r="O225" s="19">
        <f>IF($A225="","",IFERROR(N($K225)*N($M225)*N($N225),0))</f>
        <v/>
      </c>
      <c r="P225" s="19">
        <f>IF($A225="","",IFERROR($E225/$D225,0))</f>
        <v/>
      </c>
      <c r="Q225" s="19">
        <f>IF($A225="","",IFERROR(MAX(0,MIN(100,odk_kaliteTaban-IF(N($O225)&lt;odk_esikOee,odk_kaliteCeza,0)-IF($E225&gt;odk_esikDurusDk,odk_kaliteSapma,0)-IF($T225="YETIM",odk_kaliteCeza,0))),0))</f>
        <v/>
      </c>
      <c r="R225" s="19">
        <f>IF($A225="","",IF(OR(N($O225)&lt;odk_esikOee,$E225&gt;odk_esikDurusDk,N($Q225)&lt;odk_esikSaglik),"ALARM","UYGUN"))</f>
        <v/>
      </c>
      <c r="S225" s="19">
        <f>IF($A225="","",1)</f>
        <v/>
      </c>
      <c r="T225" s="19">
        <f>IF($A225="","",IF(OR($B225="",COUNTIF(tblVarliklar[VarlikId],$B225)=0),"YETIM","TAMAM"))</f>
        <v/>
      </c>
    </row>
    <row r="226">
      <c r="A226" s="15" t="n"/>
      <c r="B226" s="15" t="n"/>
      <c r="C226" s="37" t="n"/>
      <c r="D226" s="17" t="n"/>
      <c r="E226" s="17" t="n"/>
      <c r="F226" s="17" t="n"/>
      <c r="G226" s="17" t="n"/>
      <c r="H226" s="15" t="n"/>
      <c r="I226" s="19">
        <f>IF($A226="","",IFERROR(SUMIF(tblVarliklar[VarlikId],$B226,tblVarliklar[IdealCevrim_sn]),odk_varsayilanCevrim))</f>
        <v/>
      </c>
      <c r="J226" s="19">
        <f>IF($A226="","",IFERROR(MAX(0,$D226-$E226),0))</f>
        <v/>
      </c>
      <c r="K226" s="19">
        <f>IF($A226="","",IFERROR($J226/$D226,0))</f>
        <v/>
      </c>
      <c r="L226" s="19">
        <f>IF($A226="","",IFERROR($J226*odk_dakikaSn/$I226,0))</f>
        <v/>
      </c>
      <c r="M226" s="19">
        <f>IF($A226="","",IFERROR($F226/$L226,0))</f>
        <v/>
      </c>
      <c r="N226" s="19">
        <f>IF($A226="","",IFERROR(($F226-$G226)/$F226,0))</f>
        <v/>
      </c>
      <c r="O226" s="19">
        <f>IF($A226="","",IFERROR(N($K226)*N($M226)*N($N226),0))</f>
        <v/>
      </c>
      <c r="P226" s="19">
        <f>IF($A226="","",IFERROR($E226/$D226,0))</f>
        <v/>
      </c>
      <c r="Q226" s="19">
        <f>IF($A226="","",IFERROR(MAX(0,MIN(100,odk_kaliteTaban-IF(N($O226)&lt;odk_esikOee,odk_kaliteCeza,0)-IF($E226&gt;odk_esikDurusDk,odk_kaliteSapma,0)-IF($T226="YETIM",odk_kaliteCeza,0))),0))</f>
        <v/>
      </c>
      <c r="R226" s="19">
        <f>IF($A226="","",IF(OR(N($O226)&lt;odk_esikOee,$E226&gt;odk_esikDurusDk,N($Q226)&lt;odk_esikSaglik),"ALARM","UYGUN"))</f>
        <v/>
      </c>
      <c r="S226" s="19">
        <f>IF($A226="","",1)</f>
        <v/>
      </c>
      <c r="T226" s="19">
        <f>IF($A226="","",IF(OR($B226="",COUNTIF(tblVarliklar[VarlikId],$B226)=0),"YETIM","TAMAM"))</f>
        <v/>
      </c>
    </row>
    <row r="227">
      <c r="A227" s="15" t="n"/>
      <c r="B227" s="15" t="n"/>
      <c r="C227" s="37" t="n"/>
      <c r="D227" s="17" t="n"/>
      <c r="E227" s="17" t="n"/>
      <c r="F227" s="17" t="n"/>
      <c r="G227" s="17" t="n"/>
      <c r="H227" s="15" t="n"/>
      <c r="I227" s="19">
        <f>IF($A227="","",IFERROR(SUMIF(tblVarliklar[VarlikId],$B227,tblVarliklar[IdealCevrim_sn]),odk_varsayilanCevrim))</f>
        <v/>
      </c>
      <c r="J227" s="19">
        <f>IF($A227="","",IFERROR(MAX(0,$D227-$E227),0))</f>
        <v/>
      </c>
      <c r="K227" s="19">
        <f>IF($A227="","",IFERROR($J227/$D227,0))</f>
        <v/>
      </c>
      <c r="L227" s="19">
        <f>IF($A227="","",IFERROR($J227*odk_dakikaSn/$I227,0))</f>
        <v/>
      </c>
      <c r="M227" s="19">
        <f>IF($A227="","",IFERROR($F227/$L227,0))</f>
        <v/>
      </c>
      <c r="N227" s="19">
        <f>IF($A227="","",IFERROR(($F227-$G227)/$F227,0))</f>
        <v/>
      </c>
      <c r="O227" s="19">
        <f>IF($A227="","",IFERROR(N($K227)*N($M227)*N($N227),0))</f>
        <v/>
      </c>
      <c r="P227" s="19">
        <f>IF($A227="","",IFERROR($E227/$D227,0))</f>
        <v/>
      </c>
      <c r="Q227" s="19">
        <f>IF($A227="","",IFERROR(MAX(0,MIN(100,odk_kaliteTaban-IF(N($O227)&lt;odk_esikOee,odk_kaliteCeza,0)-IF($E227&gt;odk_esikDurusDk,odk_kaliteSapma,0)-IF($T227="YETIM",odk_kaliteCeza,0))),0))</f>
        <v/>
      </c>
      <c r="R227" s="19">
        <f>IF($A227="","",IF(OR(N($O227)&lt;odk_esikOee,$E227&gt;odk_esikDurusDk,N($Q227)&lt;odk_esikSaglik),"ALARM","UYGUN"))</f>
        <v/>
      </c>
      <c r="S227" s="19">
        <f>IF($A227="","",1)</f>
        <v/>
      </c>
      <c r="T227" s="19">
        <f>IF($A227="","",IF(OR($B227="",COUNTIF(tblVarliklar[VarlikId],$B227)=0),"YETIM","TAMAM"))</f>
        <v/>
      </c>
    </row>
    <row r="228">
      <c r="A228" s="15" t="n"/>
      <c r="B228" s="15" t="n"/>
      <c r="C228" s="37" t="n"/>
      <c r="D228" s="17" t="n"/>
      <c r="E228" s="17" t="n"/>
      <c r="F228" s="17" t="n"/>
      <c r="G228" s="17" t="n"/>
      <c r="H228" s="15" t="n"/>
      <c r="I228" s="19">
        <f>IF($A228="","",IFERROR(SUMIF(tblVarliklar[VarlikId],$B228,tblVarliklar[IdealCevrim_sn]),odk_varsayilanCevrim))</f>
        <v/>
      </c>
      <c r="J228" s="19">
        <f>IF($A228="","",IFERROR(MAX(0,$D228-$E228),0))</f>
        <v/>
      </c>
      <c r="K228" s="19">
        <f>IF($A228="","",IFERROR($J228/$D228,0))</f>
        <v/>
      </c>
      <c r="L228" s="19">
        <f>IF($A228="","",IFERROR($J228*odk_dakikaSn/$I228,0))</f>
        <v/>
      </c>
      <c r="M228" s="19">
        <f>IF($A228="","",IFERROR($F228/$L228,0))</f>
        <v/>
      </c>
      <c r="N228" s="19">
        <f>IF($A228="","",IFERROR(($F228-$G228)/$F228,0))</f>
        <v/>
      </c>
      <c r="O228" s="19">
        <f>IF($A228="","",IFERROR(N($K228)*N($M228)*N($N228),0))</f>
        <v/>
      </c>
      <c r="P228" s="19">
        <f>IF($A228="","",IFERROR($E228/$D228,0))</f>
        <v/>
      </c>
      <c r="Q228" s="19">
        <f>IF($A228="","",IFERROR(MAX(0,MIN(100,odk_kaliteTaban-IF(N($O228)&lt;odk_esikOee,odk_kaliteCeza,0)-IF($E228&gt;odk_esikDurusDk,odk_kaliteSapma,0)-IF($T228="YETIM",odk_kaliteCeza,0))),0))</f>
        <v/>
      </c>
      <c r="R228" s="19">
        <f>IF($A228="","",IF(OR(N($O228)&lt;odk_esikOee,$E228&gt;odk_esikDurusDk,N($Q228)&lt;odk_esikSaglik),"ALARM","UYGUN"))</f>
        <v/>
      </c>
      <c r="S228" s="19">
        <f>IF($A228="","",1)</f>
        <v/>
      </c>
      <c r="T228" s="19">
        <f>IF($A228="","",IF(OR($B228="",COUNTIF(tblVarliklar[VarlikId],$B228)=0),"YETIM","TAMAM"))</f>
        <v/>
      </c>
    </row>
    <row r="229">
      <c r="A229" s="15" t="n"/>
      <c r="B229" s="15" t="n"/>
      <c r="C229" s="37" t="n"/>
      <c r="D229" s="17" t="n"/>
      <c r="E229" s="17" t="n"/>
      <c r="F229" s="17" t="n"/>
      <c r="G229" s="17" t="n"/>
      <c r="H229" s="15" t="n"/>
      <c r="I229" s="19">
        <f>IF($A229="","",IFERROR(SUMIF(tblVarliklar[VarlikId],$B229,tblVarliklar[IdealCevrim_sn]),odk_varsayilanCevrim))</f>
        <v/>
      </c>
      <c r="J229" s="19">
        <f>IF($A229="","",IFERROR(MAX(0,$D229-$E229),0))</f>
        <v/>
      </c>
      <c r="K229" s="19">
        <f>IF($A229="","",IFERROR($J229/$D229,0))</f>
        <v/>
      </c>
      <c r="L229" s="19">
        <f>IF($A229="","",IFERROR($J229*odk_dakikaSn/$I229,0))</f>
        <v/>
      </c>
      <c r="M229" s="19">
        <f>IF($A229="","",IFERROR($F229/$L229,0))</f>
        <v/>
      </c>
      <c r="N229" s="19">
        <f>IF($A229="","",IFERROR(($F229-$G229)/$F229,0))</f>
        <v/>
      </c>
      <c r="O229" s="19">
        <f>IF($A229="","",IFERROR(N($K229)*N($M229)*N($N229),0))</f>
        <v/>
      </c>
      <c r="P229" s="19">
        <f>IF($A229="","",IFERROR($E229/$D229,0))</f>
        <v/>
      </c>
      <c r="Q229" s="19">
        <f>IF($A229="","",IFERROR(MAX(0,MIN(100,odk_kaliteTaban-IF(N($O229)&lt;odk_esikOee,odk_kaliteCeza,0)-IF($E229&gt;odk_esikDurusDk,odk_kaliteSapma,0)-IF($T229="YETIM",odk_kaliteCeza,0))),0))</f>
        <v/>
      </c>
      <c r="R229" s="19">
        <f>IF($A229="","",IF(OR(N($O229)&lt;odk_esikOee,$E229&gt;odk_esikDurusDk,N($Q229)&lt;odk_esikSaglik),"ALARM","UYGUN"))</f>
        <v/>
      </c>
      <c r="S229" s="19">
        <f>IF($A229="","",1)</f>
        <v/>
      </c>
      <c r="T229" s="19">
        <f>IF($A229="","",IF(OR($B229="",COUNTIF(tblVarliklar[VarlikId],$B229)=0),"YETIM","TAMAM"))</f>
        <v/>
      </c>
    </row>
    <row r="230">
      <c r="A230" s="15" t="n"/>
      <c r="B230" s="15" t="n"/>
      <c r="C230" s="37" t="n"/>
      <c r="D230" s="17" t="n"/>
      <c r="E230" s="17" t="n"/>
      <c r="F230" s="17" t="n"/>
      <c r="G230" s="17" t="n"/>
      <c r="H230" s="15" t="n"/>
      <c r="I230" s="19">
        <f>IF($A230="","",IFERROR(SUMIF(tblVarliklar[VarlikId],$B230,tblVarliklar[IdealCevrim_sn]),odk_varsayilanCevrim))</f>
        <v/>
      </c>
      <c r="J230" s="19">
        <f>IF($A230="","",IFERROR(MAX(0,$D230-$E230),0))</f>
        <v/>
      </c>
      <c r="K230" s="19">
        <f>IF($A230="","",IFERROR($J230/$D230,0))</f>
        <v/>
      </c>
      <c r="L230" s="19">
        <f>IF($A230="","",IFERROR($J230*odk_dakikaSn/$I230,0))</f>
        <v/>
      </c>
      <c r="M230" s="19">
        <f>IF($A230="","",IFERROR($F230/$L230,0))</f>
        <v/>
      </c>
      <c r="N230" s="19">
        <f>IF($A230="","",IFERROR(($F230-$G230)/$F230,0))</f>
        <v/>
      </c>
      <c r="O230" s="19">
        <f>IF($A230="","",IFERROR(N($K230)*N($M230)*N($N230),0))</f>
        <v/>
      </c>
      <c r="P230" s="19">
        <f>IF($A230="","",IFERROR($E230/$D230,0))</f>
        <v/>
      </c>
      <c r="Q230" s="19">
        <f>IF($A230="","",IFERROR(MAX(0,MIN(100,odk_kaliteTaban-IF(N($O230)&lt;odk_esikOee,odk_kaliteCeza,0)-IF($E230&gt;odk_esikDurusDk,odk_kaliteSapma,0)-IF($T230="YETIM",odk_kaliteCeza,0))),0))</f>
        <v/>
      </c>
      <c r="R230" s="19">
        <f>IF($A230="","",IF(OR(N($O230)&lt;odk_esikOee,$E230&gt;odk_esikDurusDk,N($Q230)&lt;odk_esikSaglik),"ALARM","UYGUN"))</f>
        <v/>
      </c>
      <c r="S230" s="19">
        <f>IF($A230="","",1)</f>
        <v/>
      </c>
      <c r="T230" s="19">
        <f>IF($A230="","",IF(OR($B230="",COUNTIF(tblVarliklar[VarlikId],$B230)=0),"YETIM","TAMAM"))</f>
        <v/>
      </c>
    </row>
    <row r="231">
      <c r="A231" s="15" t="n"/>
      <c r="B231" s="15" t="n"/>
      <c r="C231" s="37" t="n"/>
      <c r="D231" s="17" t="n"/>
      <c r="E231" s="17" t="n"/>
      <c r="F231" s="17" t="n"/>
      <c r="G231" s="17" t="n"/>
      <c r="H231" s="15" t="n"/>
      <c r="I231" s="19">
        <f>IF($A231="","",IFERROR(SUMIF(tblVarliklar[VarlikId],$B231,tblVarliklar[IdealCevrim_sn]),odk_varsayilanCevrim))</f>
        <v/>
      </c>
      <c r="J231" s="19">
        <f>IF($A231="","",IFERROR(MAX(0,$D231-$E231),0))</f>
        <v/>
      </c>
      <c r="K231" s="19">
        <f>IF($A231="","",IFERROR($J231/$D231,0))</f>
        <v/>
      </c>
      <c r="L231" s="19">
        <f>IF($A231="","",IFERROR($J231*odk_dakikaSn/$I231,0))</f>
        <v/>
      </c>
      <c r="M231" s="19">
        <f>IF($A231="","",IFERROR($F231/$L231,0))</f>
        <v/>
      </c>
      <c r="N231" s="19">
        <f>IF($A231="","",IFERROR(($F231-$G231)/$F231,0))</f>
        <v/>
      </c>
      <c r="O231" s="19">
        <f>IF($A231="","",IFERROR(N($K231)*N($M231)*N($N231),0))</f>
        <v/>
      </c>
      <c r="P231" s="19">
        <f>IF($A231="","",IFERROR($E231/$D231,0))</f>
        <v/>
      </c>
      <c r="Q231" s="19">
        <f>IF($A231="","",IFERROR(MAX(0,MIN(100,odk_kaliteTaban-IF(N($O231)&lt;odk_esikOee,odk_kaliteCeza,0)-IF($E231&gt;odk_esikDurusDk,odk_kaliteSapma,0)-IF($T231="YETIM",odk_kaliteCeza,0))),0))</f>
        <v/>
      </c>
      <c r="R231" s="19">
        <f>IF($A231="","",IF(OR(N($O231)&lt;odk_esikOee,$E231&gt;odk_esikDurusDk,N($Q231)&lt;odk_esikSaglik),"ALARM","UYGUN"))</f>
        <v/>
      </c>
      <c r="S231" s="19">
        <f>IF($A231="","",1)</f>
        <v/>
      </c>
      <c r="T231" s="19">
        <f>IF($A231="","",IF(OR($B231="",COUNTIF(tblVarliklar[VarlikId],$B231)=0),"YETIM","TAMAM"))</f>
        <v/>
      </c>
    </row>
    <row r="232">
      <c r="A232" s="15" t="n"/>
      <c r="B232" s="15" t="n"/>
      <c r="C232" s="37" t="n"/>
      <c r="D232" s="17" t="n"/>
      <c r="E232" s="17" t="n"/>
      <c r="F232" s="17" t="n"/>
      <c r="G232" s="17" t="n"/>
      <c r="H232" s="15" t="n"/>
      <c r="I232" s="19">
        <f>IF($A232="","",IFERROR(SUMIF(tblVarliklar[VarlikId],$B232,tblVarliklar[IdealCevrim_sn]),odk_varsayilanCevrim))</f>
        <v/>
      </c>
      <c r="J232" s="19">
        <f>IF($A232="","",IFERROR(MAX(0,$D232-$E232),0))</f>
        <v/>
      </c>
      <c r="K232" s="19">
        <f>IF($A232="","",IFERROR($J232/$D232,0))</f>
        <v/>
      </c>
      <c r="L232" s="19">
        <f>IF($A232="","",IFERROR($J232*odk_dakikaSn/$I232,0))</f>
        <v/>
      </c>
      <c r="M232" s="19">
        <f>IF($A232="","",IFERROR($F232/$L232,0))</f>
        <v/>
      </c>
      <c r="N232" s="19">
        <f>IF($A232="","",IFERROR(($F232-$G232)/$F232,0))</f>
        <v/>
      </c>
      <c r="O232" s="19">
        <f>IF($A232="","",IFERROR(N($K232)*N($M232)*N($N232),0))</f>
        <v/>
      </c>
      <c r="P232" s="19">
        <f>IF($A232="","",IFERROR($E232/$D232,0))</f>
        <v/>
      </c>
      <c r="Q232" s="19">
        <f>IF($A232="","",IFERROR(MAX(0,MIN(100,odk_kaliteTaban-IF(N($O232)&lt;odk_esikOee,odk_kaliteCeza,0)-IF($E232&gt;odk_esikDurusDk,odk_kaliteSapma,0)-IF($T232="YETIM",odk_kaliteCeza,0))),0))</f>
        <v/>
      </c>
      <c r="R232" s="19">
        <f>IF($A232="","",IF(OR(N($O232)&lt;odk_esikOee,$E232&gt;odk_esikDurusDk,N($Q232)&lt;odk_esikSaglik),"ALARM","UYGUN"))</f>
        <v/>
      </c>
      <c r="S232" s="19">
        <f>IF($A232="","",1)</f>
        <v/>
      </c>
      <c r="T232" s="19">
        <f>IF($A232="","",IF(OR($B232="",COUNTIF(tblVarliklar[VarlikId],$B232)=0),"YETIM","TAMAM"))</f>
        <v/>
      </c>
    </row>
    <row r="233">
      <c r="A233" s="15" t="n"/>
      <c r="B233" s="15" t="n"/>
      <c r="C233" s="37" t="n"/>
      <c r="D233" s="17" t="n"/>
      <c r="E233" s="17" t="n"/>
      <c r="F233" s="17" t="n"/>
      <c r="G233" s="17" t="n"/>
      <c r="H233" s="15" t="n"/>
      <c r="I233" s="19">
        <f>IF($A233="","",IFERROR(SUMIF(tblVarliklar[VarlikId],$B233,tblVarliklar[IdealCevrim_sn]),odk_varsayilanCevrim))</f>
        <v/>
      </c>
      <c r="J233" s="19">
        <f>IF($A233="","",IFERROR(MAX(0,$D233-$E233),0))</f>
        <v/>
      </c>
      <c r="K233" s="19">
        <f>IF($A233="","",IFERROR($J233/$D233,0))</f>
        <v/>
      </c>
      <c r="L233" s="19">
        <f>IF($A233="","",IFERROR($J233*odk_dakikaSn/$I233,0))</f>
        <v/>
      </c>
      <c r="M233" s="19">
        <f>IF($A233="","",IFERROR($F233/$L233,0))</f>
        <v/>
      </c>
      <c r="N233" s="19">
        <f>IF($A233="","",IFERROR(($F233-$G233)/$F233,0))</f>
        <v/>
      </c>
      <c r="O233" s="19">
        <f>IF($A233="","",IFERROR(N($K233)*N($M233)*N($N233),0))</f>
        <v/>
      </c>
      <c r="P233" s="19">
        <f>IF($A233="","",IFERROR($E233/$D233,0))</f>
        <v/>
      </c>
      <c r="Q233" s="19">
        <f>IF($A233="","",IFERROR(MAX(0,MIN(100,odk_kaliteTaban-IF(N($O233)&lt;odk_esikOee,odk_kaliteCeza,0)-IF($E233&gt;odk_esikDurusDk,odk_kaliteSapma,0)-IF($T233="YETIM",odk_kaliteCeza,0))),0))</f>
        <v/>
      </c>
      <c r="R233" s="19">
        <f>IF($A233="","",IF(OR(N($O233)&lt;odk_esikOee,$E233&gt;odk_esikDurusDk,N($Q233)&lt;odk_esikSaglik),"ALARM","UYGUN"))</f>
        <v/>
      </c>
      <c r="S233" s="19">
        <f>IF($A233="","",1)</f>
        <v/>
      </c>
      <c r="T233" s="19">
        <f>IF($A233="","",IF(OR($B233="",COUNTIF(tblVarliklar[VarlikId],$B233)=0),"YETIM","TAMAM"))</f>
        <v/>
      </c>
    </row>
    <row r="234">
      <c r="A234" s="15" t="n"/>
      <c r="B234" s="15" t="n"/>
      <c r="C234" s="37" t="n"/>
      <c r="D234" s="17" t="n"/>
      <c r="E234" s="17" t="n"/>
      <c r="F234" s="17" t="n"/>
      <c r="G234" s="17" t="n"/>
      <c r="H234" s="15" t="n"/>
      <c r="I234" s="19">
        <f>IF($A234="","",IFERROR(SUMIF(tblVarliklar[VarlikId],$B234,tblVarliklar[IdealCevrim_sn]),odk_varsayilanCevrim))</f>
        <v/>
      </c>
      <c r="J234" s="19">
        <f>IF($A234="","",IFERROR(MAX(0,$D234-$E234),0))</f>
        <v/>
      </c>
      <c r="K234" s="19">
        <f>IF($A234="","",IFERROR($J234/$D234,0))</f>
        <v/>
      </c>
      <c r="L234" s="19">
        <f>IF($A234="","",IFERROR($J234*odk_dakikaSn/$I234,0))</f>
        <v/>
      </c>
      <c r="M234" s="19">
        <f>IF($A234="","",IFERROR($F234/$L234,0))</f>
        <v/>
      </c>
      <c r="N234" s="19">
        <f>IF($A234="","",IFERROR(($F234-$G234)/$F234,0))</f>
        <v/>
      </c>
      <c r="O234" s="19">
        <f>IF($A234="","",IFERROR(N($K234)*N($M234)*N($N234),0))</f>
        <v/>
      </c>
      <c r="P234" s="19">
        <f>IF($A234="","",IFERROR($E234/$D234,0))</f>
        <v/>
      </c>
      <c r="Q234" s="19">
        <f>IF($A234="","",IFERROR(MAX(0,MIN(100,odk_kaliteTaban-IF(N($O234)&lt;odk_esikOee,odk_kaliteCeza,0)-IF($E234&gt;odk_esikDurusDk,odk_kaliteSapma,0)-IF($T234="YETIM",odk_kaliteCeza,0))),0))</f>
        <v/>
      </c>
      <c r="R234" s="19">
        <f>IF($A234="","",IF(OR(N($O234)&lt;odk_esikOee,$E234&gt;odk_esikDurusDk,N($Q234)&lt;odk_esikSaglik),"ALARM","UYGUN"))</f>
        <v/>
      </c>
      <c r="S234" s="19">
        <f>IF($A234="","",1)</f>
        <v/>
      </c>
      <c r="T234" s="19">
        <f>IF($A234="","",IF(OR($B234="",COUNTIF(tblVarliklar[VarlikId],$B234)=0),"YETIM","TAMAM"))</f>
        <v/>
      </c>
    </row>
    <row r="235">
      <c r="A235" s="15" t="n"/>
      <c r="B235" s="15" t="n"/>
      <c r="C235" s="37" t="n"/>
      <c r="D235" s="17" t="n"/>
      <c r="E235" s="17" t="n"/>
      <c r="F235" s="17" t="n"/>
      <c r="G235" s="17" t="n"/>
      <c r="H235" s="15" t="n"/>
      <c r="I235" s="19">
        <f>IF($A235="","",IFERROR(SUMIF(tblVarliklar[VarlikId],$B235,tblVarliklar[IdealCevrim_sn]),odk_varsayilanCevrim))</f>
        <v/>
      </c>
      <c r="J235" s="19">
        <f>IF($A235="","",IFERROR(MAX(0,$D235-$E235),0))</f>
        <v/>
      </c>
      <c r="K235" s="19">
        <f>IF($A235="","",IFERROR($J235/$D235,0))</f>
        <v/>
      </c>
      <c r="L235" s="19">
        <f>IF($A235="","",IFERROR($J235*odk_dakikaSn/$I235,0))</f>
        <v/>
      </c>
      <c r="M235" s="19">
        <f>IF($A235="","",IFERROR($F235/$L235,0))</f>
        <v/>
      </c>
      <c r="N235" s="19">
        <f>IF($A235="","",IFERROR(($F235-$G235)/$F235,0))</f>
        <v/>
      </c>
      <c r="O235" s="19">
        <f>IF($A235="","",IFERROR(N($K235)*N($M235)*N($N235),0))</f>
        <v/>
      </c>
      <c r="P235" s="19">
        <f>IF($A235="","",IFERROR($E235/$D235,0))</f>
        <v/>
      </c>
      <c r="Q235" s="19">
        <f>IF($A235="","",IFERROR(MAX(0,MIN(100,odk_kaliteTaban-IF(N($O235)&lt;odk_esikOee,odk_kaliteCeza,0)-IF($E235&gt;odk_esikDurusDk,odk_kaliteSapma,0)-IF($T235="YETIM",odk_kaliteCeza,0))),0))</f>
        <v/>
      </c>
      <c r="R235" s="19">
        <f>IF($A235="","",IF(OR(N($O235)&lt;odk_esikOee,$E235&gt;odk_esikDurusDk,N($Q235)&lt;odk_esikSaglik),"ALARM","UYGUN"))</f>
        <v/>
      </c>
      <c r="S235" s="19">
        <f>IF($A235="","",1)</f>
        <v/>
      </c>
      <c r="T235" s="19">
        <f>IF($A235="","",IF(OR($B235="",COUNTIF(tblVarliklar[VarlikId],$B235)=0),"YETIM","TAMAM"))</f>
        <v/>
      </c>
    </row>
    <row r="236">
      <c r="A236" s="15" t="n"/>
      <c r="B236" s="15" t="n"/>
      <c r="C236" s="37" t="n"/>
      <c r="D236" s="17" t="n"/>
      <c r="E236" s="17" t="n"/>
      <c r="F236" s="17" t="n"/>
      <c r="G236" s="17" t="n"/>
      <c r="H236" s="15" t="n"/>
      <c r="I236" s="19">
        <f>IF($A236="","",IFERROR(SUMIF(tblVarliklar[VarlikId],$B236,tblVarliklar[IdealCevrim_sn]),odk_varsayilanCevrim))</f>
        <v/>
      </c>
      <c r="J236" s="19">
        <f>IF($A236="","",IFERROR(MAX(0,$D236-$E236),0))</f>
        <v/>
      </c>
      <c r="K236" s="19">
        <f>IF($A236="","",IFERROR($J236/$D236,0))</f>
        <v/>
      </c>
      <c r="L236" s="19">
        <f>IF($A236="","",IFERROR($J236*odk_dakikaSn/$I236,0))</f>
        <v/>
      </c>
      <c r="M236" s="19">
        <f>IF($A236="","",IFERROR($F236/$L236,0))</f>
        <v/>
      </c>
      <c r="N236" s="19">
        <f>IF($A236="","",IFERROR(($F236-$G236)/$F236,0))</f>
        <v/>
      </c>
      <c r="O236" s="19">
        <f>IF($A236="","",IFERROR(N($K236)*N($M236)*N($N236),0))</f>
        <v/>
      </c>
      <c r="P236" s="19">
        <f>IF($A236="","",IFERROR($E236/$D236,0))</f>
        <v/>
      </c>
      <c r="Q236" s="19">
        <f>IF($A236="","",IFERROR(MAX(0,MIN(100,odk_kaliteTaban-IF(N($O236)&lt;odk_esikOee,odk_kaliteCeza,0)-IF($E236&gt;odk_esikDurusDk,odk_kaliteSapma,0)-IF($T236="YETIM",odk_kaliteCeza,0))),0))</f>
        <v/>
      </c>
      <c r="R236" s="19">
        <f>IF($A236="","",IF(OR(N($O236)&lt;odk_esikOee,$E236&gt;odk_esikDurusDk,N($Q236)&lt;odk_esikSaglik),"ALARM","UYGUN"))</f>
        <v/>
      </c>
      <c r="S236" s="19">
        <f>IF($A236="","",1)</f>
        <v/>
      </c>
      <c r="T236" s="19">
        <f>IF($A236="","",IF(OR($B236="",COUNTIF(tblVarliklar[VarlikId],$B236)=0),"YETIM","TAMAM"))</f>
        <v/>
      </c>
    </row>
    <row r="237">
      <c r="A237" s="15" t="n"/>
      <c r="B237" s="15" t="n"/>
      <c r="C237" s="37" t="n"/>
      <c r="D237" s="17" t="n"/>
      <c r="E237" s="17" t="n"/>
      <c r="F237" s="17" t="n"/>
      <c r="G237" s="17" t="n"/>
      <c r="H237" s="15" t="n"/>
      <c r="I237" s="19">
        <f>IF($A237="","",IFERROR(SUMIF(tblVarliklar[VarlikId],$B237,tblVarliklar[IdealCevrim_sn]),odk_varsayilanCevrim))</f>
        <v/>
      </c>
      <c r="J237" s="19">
        <f>IF($A237="","",IFERROR(MAX(0,$D237-$E237),0))</f>
        <v/>
      </c>
      <c r="K237" s="19">
        <f>IF($A237="","",IFERROR($J237/$D237,0))</f>
        <v/>
      </c>
      <c r="L237" s="19">
        <f>IF($A237="","",IFERROR($J237*odk_dakikaSn/$I237,0))</f>
        <v/>
      </c>
      <c r="M237" s="19">
        <f>IF($A237="","",IFERROR($F237/$L237,0))</f>
        <v/>
      </c>
      <c r="N237" s="19">
        <f>IF($A237="","",IFERROR(($F237-$G237)/$F237,0))</f>
        <v/>
      </c>
      <c r="O237" s="19">
        <f>IF($A237="","",IFERROR(N($K237)*N($M237)*N($N237),0))</f>
        <v/>
      </c>
      <c r="P237" s="19">
        <f>IF($A237="","",IFERROR($E237/$D237,0))</f>
        <v/>
      </c>
      <c r="Q237" s="19">
        <f>IF($A237="","",IFERROR(MAX(0,MIN(100,odk_kaliteTaban-IF(N($O237)&lt;odk_esikOee,odk_kaliteCeza,0)-IF($E237&gt;odk_esikDurusDk,odk_kaliteSapma,0)-IF($T237="YETIM",odk_kaliteCeza,0))),0))</f>
        <v/>
      </c>
      <c r="R237" s="19">
        <f>IF($A237="","",IF(OR(N($O237)&lt;odk_esikOee,$E237&gt;odk_esikDurusDk,N($Q237)&lt;odk_esikSaglik),"ALARM","UYGUN"))</f>
        <v/>
      </c>
      <c r="S237" s="19">
        <f>IF($A237="","",1)</f>
        <v/>
      </c>
      <c r="T237" s="19">
        <f>IF($A237="","",IF(OR($B237="",COUNTIF(tblVarliklar[VarlikId],$B237)=0),"YETIM","TAMAM"))</f>
        <v/>
      </c>
    </row>
    <row r="238">
      <c r="A238" s="15" t="n"/>
      <c r="B238" s="15" t="n"/>
      <c r="C238" s="37" t="n"/>
      <c r="D238" s="17" t="n"/>
      <c r="E238" s="17" t="n"/>
      <c r="F238" s="17" t="n"/>
      <c r="G238" s="17" t="n"/>
      <c r="H238" s="15" t="n"/>
      <c r="I238" s="19">
        <f>IF($A238="","",IFERROR(SUMIF(tblVarliklar[VarlikId],$B238,tblVarliklar[IdealCevrim_sn]),odk_varsayilanCevrim))</f>
        <v/>
      </c>
      <c r="J238" s="19">
        <f>IF($A238="","",IFERROR(MAX(0,$D238-$E238),0))</f>
        <v/>
      </c>
      <c r="K238" s="19">
        <f>IF($A238="","",IFERROR($J238/$D238,0))</f>
        <v/>
      </c>
      <c r="L238" s="19">
        <f>IF($A238="","",IFERROR($J238*odk_dakikaSn/$I238,0))</f>
        <v/>
      </c>
      <c r="M238" s="19">
        <f>IF($A238="","",IFERROR($F238/$L238,0))</f>
        <v/>
      </c>
      <c r="N238" s="19">
        <f>IF($A238="","",IFERROR(($F238-$G238)/$F238,0))</f>
        <v/>
      </c>
      <c r="O238" s="19">
        <f>IF($A238="","",IFERROR(N($K238)*N($M238)*N($N238),0))</f>
        <v/>
      </c>
      <c r="P238" s="19">
        <f>IF($A238="","",IFERROR($E238/$D238,0))</f>
        <v/>
      </c>
      <c r="Q238" s="19">
        <f>IF($A238="","",IFERROR(MAX(0,MIN(100,odk_kaliteTaban-IF(N($O238)&lt;odk_esikOee,odk_kaliteCeza,0)-IF($E238&gt;odk_esikDurusDk,odk_kaliteSapma,0)-IF($T238="YETIM",odk_kaliteCeza,0))),0))</f>
        <v/>
      </c>
      <c r="R238" s="19">
        <f>IF($A238="","",IF(OR(N($O238)&lt;odk_esikOee,$E238&gt;odk_esikDurusDk,N($Q238)&lt;odk_esikSaglik),"ALARM","UYGUN"))</f>
        <v/>
      </c>
      <c r="S238" s="19">
        <f>IF($A238="","",1)</f>
        <v/>
      </c>
      <c r="T238" s="19">
        <f>IF($A238="","",IF(OR($B238="",COUNTIF(tblVarliklar[VarlikId],$B238)=0),"YETIM","TAMAM"))</f>
        <v/>
      </c>
    </row>
    <row r="239">
      <c r="A239" s="15" t="n"/>
      <c r="B239" s="15" t="n"/>
      <c r="C239" s="37" t="n"/>
      <c r="D239" s="17" t="n"/>
      <c r="E239" s="17" t="n"/>
      <c r="F239" s="17" t="n"/>
      <c r="G239" s="17" t="n"/>
      <c r="H239" s="15" t="n"/>
      <c r="I239" s="19">
        <f>IF($A239="","",IFERROR(SUMIF(tblVarliklar[VarlikId],$B239,tblVarliklar[IdealCevrim_sn]),odk_varsayilanCevrim))</f>
        <v/>
      </c>
      <c r="J239" s="19">
        <f>IF($A239="","",IFERROR(MAX(0,$D239-$E239),0))</f>
        <v/>
      </c>
      <c r="K239" s="19">
        <f>IF($A239="","",IFERROR($J239/$D239,0))</f>
        <v/>
      </c>
      <c r="L239" s="19">
        <f>IF($A239="","",IFERROR($J239*odk_dakikaSn/$I239,0))</f>
        <v/>
      </c>
      <c r="M239" s="19">
        <f>IF($A239="","",IFERROR($F239/$L239,0))</f>
        <v/>
      </c>
      <c r="N239" s="19">
        <f>IF($A239="","",IFERROR(($F239-$G239)/$F239,0))</f>
        <v/>
      </c>
      <c r="O239" s="19">
        <f>IF($A239="","",IFERROR(N($K239)*N($M239)*N($N239),0))</f>
        <v/>
      </c>
      <c r="P239" s="19">
        <f>IF($A239="","",IFERROR($E239/$D239,0))</f>
        <v/>
      </c>
      <c r="Q239" s="19">
        <f>IF($A239="","",IFERROR(MAX(0,MIN(100,odk_kaliteTaban-IF(N($O239)&lt;odk_esikOee,odk_kaliteCeza,0)-IF($E239&gt;odk_esikDurusDk,odk_kaliteSapma,0)-IF($T239="YETIM",odk_kaliteCeza,0))),0))</f>
        <v/>
      </c>
      <c r="R239" s="19">
        <f>IF($A239="","",IF(OR(N($O239)&lt;odk_esikOee,$E239&gt;odk_esikDurusDk,N($Q239)&lt;odk_esikSaglik),"ALARM","UYGUN"))</f>
        <v/>
      </c>
      <c r="S239" s="19">
        <f>IF($A239="","",1)</f>
        <v/>
      </c>
      <c r="T239" s="19">
        <f>IF($A239="","",IF(OR($B239="",COUNTIF(tblVarliklar[VarlikId],$B239)=0),"YETIM","TAMAM"))</f>
        <v/>
      </c>
    </row>
    <row r="240">
      <c r="A240" s="15" t="n"/>
      <c r="B240" s="15" t="n"/>
      <c r="C240" s="37" t="n"/>
      <c r="D240" s="17" t="n"/>
      <c r="E240" s="17" t="n"/>
      <c r="F240" s="17" t="n"/>
      <c r="G240" s="17" t="n"/>
      <c r="H240" s="15" t="n"/>
      <c r="I240" s="19">
        <f>IF($A240="","",IFERROR(SUMIF(tblVarliklar[VarlikId],$B240,tblVarliklar[IdealCevrim_sn]),odk_varsayilanCevrim))</f>
        <v/>
      </c>
      <c r="J240" s="19">
        <f>IF($A240="","",IFERROR(MAX(0,$D240-$E240),0))</f>
        <v/>
      </c>
      <c r="K240" s="19">
        <f>IF($A240="","",IFERROR($J240/$D240,0))</f>
        <v/>
      </c>
      <c r="L240" s="19">
        <f>IF($A240="","",IFERROR($J240*odk_dakikaSn/$I240,0))</f>
        <v/>
      </c>
      <c r="M240" s="19">
        <f>IF($A240="","",IFERROR($F240/$L240,0))</f>
        <v/>
      </c>
      <c r="N240" s="19">
        <f>IF($A240="","",IFERROR(($F240-$G240)/$F240,0))</f>
        <v/>
      </c>
      <c r="O240" s="19">
        <f>IF($A240="","",IFERROR(N($K240)*N($M240)*N($N240),0))</f>
        <v/>
      </c>
      <c r="P240" s="19">
        <f>IF($A240="","",IFERROR($E240/$D240,0))</f>
        <v/>
      </c>
      <c r="Q240" s="19">
        <f>IF($A240="","",IFERROR(MAX(0,MIN(100,odk_kaliteTaban-IF(N($O240)&lt;odk_esikOee,odk_kaliteCeza,0)-IF($E240&gt;odk_esikDurusDk,odk_kaliteSapma,0)-IF($T240="YETIM",odk_kaliteCeza,0))),0))</f>
        <v/>
      </c>
      <c r="R240" s="19">
        <f>IF($A240="","",IF(OR(N($O240)&lt;odk_esikOee,$E240&gt;odk_esikDurusDk,N($Q240)&lt;odk_esikSaglik),"ALARM","UYGUN"))</f>
        <v/>
      </c>
      <c r="S240" s="19">
        <f>IF($A240="","",1)</f>
        <v/>
      </c>
      <c r="T240" s="19">
        <f>IF($A240="","",IF(OR($B240="",COUNTIF(tblVarliklar[VarlikId],$B240)=0),"YETIM","TAMAM"))</f>
        <v/>
      </c>
    </row>
    <row r="241">
      <c r="A241" s="15" t="n"/>
      <c r="B241" s="15" t="n"/>
      <c r="C241" s="37" t="n"/>
      <c r="D241" s="17" t="n"/>
      <c r="E241" s="17" t="n"/>
      <c r="F241" s="17" t="n"/>
      <c r="G241" s="17" t="n"/>
      <c r="H241" s="15" t="n"/>
      <c r="I241" s="19">
        <f>IF($A241="","",IFERROR(SUMIF(tblVarliklar[VarlikId],$B241,tblVarliklar[IdealCevrim_sn]),odk_varsayilanCevrim))</f>
        <v/>
      </c>
      <c r="J241" s="19">
        <f>IF($A241="","",IFERROR(MAX(0,$D241-$E241),0))</f>
        <v/>
      </c>
      <c r="K241" s="19">
        <f>IF($A241="","",IFERROR($J241/$D241,0))</f>
        <v/>
      </c>
      <c r="L241" s="19">
        <f>IF($A241="","",IFERROR($J241*odk_dakikaSn/$I241,0))</f>
        <v/>
      </c>
      <c r="M241" s="19">
        <f>IF($A241="","",IFERROR($F241/$L241,0))</f>
        <v/>
      </c>
      <c r="N241" s="19">
        <f>IF($A241="","",IFERROR(($F241-$G241)/$F241,0))</f>
        <v/>
      </c>
      <c r="O241" s="19">
        <f>IF($A241="","",IFERROR(N($K241)*N($M241)*N($N241),0))</f>
        <v/>
      </c>
      <c r="P241" s="19">
        <f>IF($A241="","",IFERROR($E241/$D241,0))</f>
        <v/>
      </c>
      <c r="Q241" s="19">
        <f>IF($A241="","",IFERROR(MAX(0,MIN(100,odk_kaliteTaban-IF(N($O241)&lt;odk_esikOee,odk_kaliteCeza,0)-IF($E241&gt;odk_esikDurusDk,odk_kaliteSapma,0)-IF($T241="YETIM",odk_kaliteCeza,0))),0))</f>
        <v/>
      </c>
      <c r="R241" s="19">
        <f>IF($A241="","",IF(OR(N($O241)&lt;odk_esikOee,$E241&gt;odk_esikDurusDk,N($Q241)&lt;odk_esikSaglik),"ALARM","UYGUN"))</f>
        <v/>
      </c>
      <c r="S241" s="19">
        <f>IF($A241="","",1)</f>
        <v/>
      </c>
      <c r="T241" s="19">
        <f>IF($A241="","",IF(OR($B241="",COUNTIF(tblVarliklar[VarlikId],$B241)=0),"YETIM","TAMAM"))</f>
        <v/>
      </c>
    </row>
    <row r="242">
      <c r="A242" s="15" t="n"/>
      <c r="B242" s="15" t="n"/>
      <c r="C242" s="37" t="n"/>
      <c r="D242" s="17" t="n"/>
      <c r="E242" s="17" t="n"/>
      <c r="F242" s="17" t="n"/>
      <c r="G242" s="17" t="n"/>
      <c r="H242" s="15" t="n"/>
      <c r="I242" s="19">
        <f>IF($A242="","",IFERROR(SUMIF(tblVarliklar[VarlikId],$B242,tblVarliklar[IdealCevrim_sn]),odk_varsayilanCevrim))</f>
        <v/>
      </c>
      <c r="J242" s="19">
        <f>IF($A242="","",IFERROR(MAX(0,$D242-$E242),0))</f>
        <v/>
      </c>
      <c r="K242" s="19">
        <f>IF($A242="","",IFERROR($J242/$D242,0))</f>
        <v/>
      </c>
      <c r="L242" s="19">
        <f>IF($A242="","",IFERROR($J242*odk_dakikaSn/$I242,0))</f>
        <v/>
      </c>
      <c r="M242" s="19">
        <f>IF($A242="","",IFERROR($F242/$L242,0))</f>
        <v/>
      </c>
      <c r="N242" s="19">
        <f>IF($A242="","",IFERROR(($F242-$G242)/$F242,0))</f>
        <v/>
      </c>
      <c r="O242" s="19">
        <f>IF($A242="","",IFERROR(N($K242)*N($M242)*N($N242),0))</f>
        <v/>
      </c>
      <c r="P242" s="19">
        <f>IF($A242="","",IFERROR($E242/$D242,0))</f>
        <v/>
      </c>
      <c r="Q242" s="19">
        <f>IF($A242="","",IFERROR(MAX(0,MIN(100,odk_kaliteTaban-IF(N($O242)&lt;odk_esikOee,odk_kaliteCeza,0)-IF($E242&gt;odk_esikDurusDk,odk_kaliteSapma,0)-IF($T242="YETIM",odk_kaliteCeza,0))),0))</f>
        <v/>
      </c>
      <c r="R242" s="19">
        <f>IF($A242="","",IF(OR(N($O242)&lt;odk_esikOee,$E242&gt;odk_esikDurusDk,N($Q242)&lt;odk_esikSaglik),"ALARM","UYGUN"))</f>
        <v/>
      </c>
      <c r="S242" s="19">
        <f>IF($A242="","",1)</f>
        <v/>
      </c>
      <c r="T242" s="19">
        <f>IF($A242="","",IF(OR($B242="",COUNTIF(tblVarliklar[VarlikId],$B242)=0),"YETIM","TAMAM"))</f>
        <v/>
      </c>
    </row>
    <row r="243">
      <c r="A243" s="15" t="n"/>
      <c r="B243" s="15" t="n"/>
      <c r="C243" s="37" t="n"/>
      <c r="D243" s="17" t="n"/>
      <c r="E243" s="17" t="n"/>
      <c r="F243" s="17" t="n"/>
      <c r="G243" s="17" t="n"/>
      <c r="H243" s="15" t="n"/>
      <c r="I243" s="19">
        <f>IF($A243="","",IFERROR(SUMIF(tblVarliklar[VarlikId],$B243,tblVarliklar[IdealCevrim_sn]),odk_varsayilanCevrim))</f>
        <v/>
      </c>
      <c r="J243" s="19">
        <f>IF($A243="","",IFERROR(MAX(0,$D243-$E243),0))</f>
        <v/>
      </c>
      <c r="K243" s="19">
        <f>IF($A243="","",IFERROR($J243/$D243,0))</f>
        <v/>
      </c>
      <c r="L243" s="19">
        <f>IF($A243="","",IFERROR($J243*odk_dakikaSn/$I243,0))</f>
        <v/>
      </c>
      <c r="M243" s="19">
        <f>IF($A243="","",IFERROR($F243/$L243,0))</f>
        <v/>
      </c>
      <c r="N243" s="19">
        <f>IF($A243="","",IFERROR(($F243-$G243)/$F243,0))</f>
        <v/>
      </c>
      <c r="O243" s="19">
        <f>IF($A243="","",IFERROR(N($K243)*N($M243)*N($N243),0))</f>
        <v/>
      </c>
      <c r="P243" s="19">
        <f>IF($A243="","",IFERROR($E243/$D243,0))</f>
        <v/>
      </c>
      <c r="Q243" s="19">
        <f>IF($A243="","",IFERROR(MAX(0,MIN(100,odk_kaliteTaban-IF(N($O243)&lt;odk_esikOee,odk_kaliteCeza,0)-IF($E243&gt;odk_esikDurusDk,odk_kaliteSapma,0)-IF($T243="YETIM",odk_kaliteCeza,0))),0))</f>
        <v/>
      </c>
      <c r="R243" s="19">
        <f>IF($A243="","",IF(OR(N($O243)&lt;odk_esikOee,$E243&gt;odk_esikDurusDk,N($Q243)&lt;odk_esikSaglik),"ALARM","UYGUN"))</f>
        <v/>
      </c>
      <c r="S243" s="19">
        <f>IF($A243="","",1)</f>
        <v/>
      </c>
      <c r="T243" s="19">
        <f>IF($A243="","",IF(OR($B243="",COUNTIF(tblVarliklar[VarlikId],$B243)=0),"YETIM","TAMAM"))</f>
        <v/>
      </c>
    </row>
    <row r="244">
      <c r="A244" s="15" t="n"/>
      <c r="B244" s="15" t="n"/>
      <c r="C244" s="37" t="n"/>
      <c r="D244" s="17" t="n"/>
      <c r="E244" s="17" t="n"/>
      <c r="F244" s="17" t="n"/>
      <c r="G244" s="17" t="n"/>
      <c r="H244" s="15" t="n"/>
      <c r="I244" s="19">
        <f>IF($A244="","",IFERROR(SUMIF(tblVarliklar[VarlikId],$B244,tblVarliklar[IdealCevrim_sn]),odk_varsayilanCevrim))</f>
        <v/>
      </c>
      <c r="J244" s="19">
        <f>IF($A244="","",IFERROR(MAX(0,$D244-$E244),0))</f>
        <v/>
      </c>
      <c r="K244" s="19">
        <f>IF($A244="","",IFERROR($J244/$D244,0))</f>
        <v/>
      </c>
      <c r="L244" s="19">
        <f>IF($A244="","",IFERROR($J244*odk_dakikaSn/$I244,0))</f>
        <v/>
      </c>
      <c r="M244" s="19">
        <f>IF($A244="","",IFERROR($F244/$L244,0))</f>
        <v/>
      </c>
      <c r="N244" s="19">
        <f>IF($A244="","",IFERROR(($F244-$G244)/$F244,0))</f>
        <v/>
      </c>
      <c r="O244" s="19">
        <f>IF($A244="","",IFERROR(N($K244)*N($M244)*N($N244),0))</f>
        <v/>
      </c>
      <c r="P244" s="19">
        <f>IF($A244="","",IFERROR($E244/$D244,0))</f>
        <v/>
      </c>
      <c r="Q244" s="19">
        <f>IF($A244="","",IFERROR(MAX(0,MIN(100,odk_kaliteTaban-IF(N($O244)&lt;odk_esikOee,odk_kaliteCeza,0)-IF($E244&gt;odk_esikDurusDk,odk_kaliteSapma,0)-IF($T244="YETIM",odk_kaliteCeza,0))),0))</f>
        <v/>
      </c>
      <c r="R244" s="19">
        <f>IF($A244="","",IF(OR(N($O244)&lt;odk_esikOee,$E244&gt;odk_esikDurusDk,N($Q244)&lt;odk_esikSaglik),"ALARM","UYGUN"))</f>
        <v/>
      </c>
      <c r="S244" s="19">
        <f>IF($A244="","",1)</f>
        <v/>
      </c>
      <c r="T244" s="19">
        <f>IF($A244="","",IF(OR($B244="",COUNTIF(tblVarliklar[VarlikId],$B244)=0),"YETIM","TAMAM"))</f>
        <v/>
      </c>
    </row>
    <row r="245">
      <c r="A245" s="15" t="n"/>
      <c r="B245" s="15" t="n"/>
      <c r="C245" s="37" t="n"/>
      <c r="D245" s="17" t="n"/>
      <c r="E245" s="17" t="n"/>
      <c r="F245" s="17" t="n"/>
      <c r="G245" s="17" t="n"/>
      <c r="H245" s="15" t="n"/>
      <c r="I245" s="19">
        <f>IF($A245="","",IFERROR(SUMIF(tblVarliklar[VarlikId],$B245,tblVarliklar[IdealCevrim_sn]),odk_varsayilanCevrim))</f>
        <v/>
      </c>
      <c r="J245" s="19">
        <f>IF($A245="","",IFERROR(MAX(0,$D245-$E245),0))</f>
        <v/>
      </c>
      <c r="K245" s="19">
        <f>IF($A245="","",IFERROR($J245/$D245,0))</f>
        <v/>
      </c>
      <c r="L245" s="19">
        <f>IF($A245="","",IFERROR($J245*odk_dakikaSn/$I245,0))</f>
        <v/>
      </c>
      <c r="M245" s="19">
        <f>IF($A245="","",IFERROR($F245/$L245,0))</f>
        <v/>
      </c>
      <c r="N245" s="19">
        <f>IF($A245="","",IFERROR(($F245-$G245)/$F245,0))</f>
        <v/>
      </c>
      <c r="O245" s="19">
        <f>IF($A245="","",IFERROR(N($K245)*N($M245)*N($N245),0))</f>
        <v/>
      </c>
      <c r="P245" s="19">
        <f>IF($A245="","",IFERROR($E245/$D245,0))</f>
        <v/>
      </c>
      <c r="Q245" s="19">
        <f>IF($A245="","",IFERROR(MAX(0,MIN(100,odk_kaliteTaban-IF(N($O245)&lt;odk_esikOee,odk_kaliteCeza,0)-IF($E245&gt;odk_esikDurusDk,odk_kaliteSapma,0)-IF($T245="YETIM",odk_kaliteCeza,0))),0))</f>
        <v/>
      </c>
      <c r="R245" s="19">
        <f>IF($A245="","",IF(OR(N($O245)&lt;odk_esikOee,$E245&gt;odk_esikDurusDk,N($Q245)&lt;odk_esikSaglik),"ALARM","UYGUN"))</f>
        <v/>
      </c>
      <c r="S245" s="19">
        <f>IF($A245="","",1)</f>
        <v/>
      </c>
      <c r="T245" s="19">
        <f>IF($A245="","",IF(OR($B245="",COUNTIF(tblVarliklar[VarlikId],$B245)=0),"YETIM","TAMAM"))</f>
        <v/>
      </c>
    </row>
    <row r="246">
      <c r="A246" s="15" t="n"/>
      <c r="B246" s="15" t="n"/>
      <c r="C246" s="37" t="n"/>
      <c r="D246" s="17" t="n"/>
      <c r="E246" s="17" t="n"/>
      <c r="F246" s="17" t="n"/>
      <c r="G246" s="17" t="n"/>
      <c r="H246" s="15" t="n"/>
      <c r="I246" s="19">
        <f>IF($A246="","",IFERROR(SUMIF(tblVarliklar[VarlikId],$B246,tblVarliklar[IdealCevrim_sn]),odk_varsayilanCevrim))</f>
        <v/>
      </c>
      <c r="J246" s="19">
        <f>IF($A246="","",IFERROR(MAX(0,$D246-$E246),0))</f>
        <v/>
      </c>
      <c r="K246" s="19">
        <f>IF($A246="","",IFERROR($J246/$D246,0))</f>
        <v/>
      </c>
      <c r="L246" s="19">
        <f>IF($A246="","",IFERROR($J246*odk_dakikaSn/$I246,0))</f>
        <v/>
      </c>
      <c r="M246" s="19">
        <f>IF($A246="","",IFERROR($F246/$L246,0))</f>
        <v/>
      </c>
      <c r="N246" s="19">
        <f>IF($A246="","",IFERROR(($F246-$G246)/$F246,0))</f>
        <v/>
      </c>
      <c r="O246" s="19">
        <f>IF($A246="","",IFERROR(N($K246)*N($M246)*N($N246),0))</f>
        <v/>
      </c>
      <c r="P246" s="19">
        <f>IF($A246="","",IFERROR($E246/$D246,0))</f>
        <v/>
      </c>
      <c r="Q246" s="19">
        <f>IF($A246="","",IFERROR(MAX(0,MIN(100,odk_kaliteTaban-IF(N($O246)&lt;odk_esikOee,odk_kaliteCeza,0)-IF($E246&gt;odk_esikDurusDk,odk_kaliteSapma,0)-IF($T246="YETIM",odk_kaliteCeza,0))),0))</f>
        <v/>
      </c>
      <c r="R246" s="19">
        <f>IF($A246="","",IF(OR(N($O246)&lt;odk_esikOee,$E246&gt;odk_esikDurusDk,N($Q246)&lt;odk_esikSaglik),"ALARM","UYGUN"))</f>
        <v/>
      </c>
      <c r="S246" s="19">
        <f>IF($A246="","",1)</f>
        <v/>
      </c>
      <c r="T246" s="19">
        <f>IF($A246="","",IF(OR($B246="",COUNTIF(tblVarliklar[VarlikId],$B246)=0),"YETIM","TAMAM"))</f>
        <v/>
      </c>
    </row>
    <row r="247">
      <c r="A247" s="15" t="n"/>
      <c r="B247" s="15" t="n"/>
      <c r="C247" s="37" t="n"/>
      <c r="D247" s="17" t="n"/>
      <c r="E247" s="17" t="n"/>
      <c r="F247" s="17" t="n"/>
      <c r="G247" s="17" t="n"/>
      <c r="H247" s="15" t="n"/>
      <c r="I247" s="19">
        <f>IF($A247="","",IFERROR(SUMIF(tblVarliklar[VarlikId],$B247,tblVarliklar[IdealCevrim_sn]),odk_varsayilanCevrim))</f>
        <v/>
      </c>
      <c r="J247" s="19">
        <f>IF($A247="","",IFERROR(MAX(0,$D247-$E247),0))</f>
        <v/>
      </c>
      <c r="K247" s="19">
        <f>IF($A247="","",IFERROR($J247/$D247,0))</f>
        <v/>
      </c>
      <c r="L247" s="19">
        <f>IF($A247="","",IFERROR($J247*odk_dakikaSn/$I247,0))</f>
        <v/>
      </c>
      <c r="M247" s="19">
        <f>IF($A247="","",IFERROR($F247/$L247,0))</f>
        <v/>
      </c>
      <c r="N247" s="19">
        <f>IF($A247="","",IFERROR(($F247-$G247)/$F247,0))</f>
        <v/>
      </c>
      <c r="O247" s="19">
        <f>IF($A247="","",IFERROR(N($K247)*N($M247)*N($N247),0))</f>
        <v/>
      </c>
      <c r="P247" s="19">
        <f>IF($A247="","",IFERROR($E247/$D247,0))</f>
        <v/>
      </c>
      <c r="Q247" s="19">
        <f>IF($A247="","",IFERROR(MAX(0,MIN(100,odk_kaliteTaban-IF(N($O247)&lt;odk_esikOee,odk_kaliteCeza,0)-IF($E247&gt;odk_esikDurusDk,odk_kaliteSapma,0)-IF($T247="YETIM",odk_kaliteCeza,0))),0))</f>
        <v/>
      </c>
      <c r="R247" s="19">
        <f>IF($A247="","",IF(OR(N($O247)&lt;odk_esikOee,$E247&gt;odk_esikDurusDk,N($Q247)&lt;odk_esikSaglik),"ALARM","UYGUN"))</f>
        <v/>
      </c>
      <c r="S247" s="19">
        <f>IF($A247="","",1)</f>
        <v/>
      </c>
      <c r="T247" s="19">
        <f>IF($A247="","",IF(OR($B247="",COUNTIF(tblVarliklar[VarlikId],$B247)=0),"YETIM","TAMAM"))</f>
        <v/>
      </c>
    </row>
    <row r="248">
      <c r="A248" s="15" t="n"/>
      <c r="B248" s="15" t="n"/>
      <c r="C248" s="37" t="n"/>
      <c r="D248" s="17" t="n"/>
      <c r="E248" s="17" t="n"/>
      <c r="F248" s="17" t="n"/>
      <c r="G248" s="17" t="n"/>
      <c r="H248" s="15" t="n"/>
      <c r="I248" s="19">
        <f>IF($A248="","",IFERROR(SUMIF(tblVarliklar[VarlikId],$B248,tblVarliklar[IdealCevrim_sn]),odk_varsayilanCevrim))</f>
        <v/>
      </c>
      <c r="J248" s="19">
        <f>IF($A248="","",IFERROR(MAX(0,$D248-$E248),0))</f>
        <v/>
      </c>
      <c r="K248" s="19">
        <f>IF($A248="","",IFERROR($J248/$D248,0))</f>
        <v/>
      </c>
      <c r="L248" s="19">
        <f>IF($A248="","",IFERROR($J248*odk_dakikaSn/$I248,0))</f>
        <v/>
      </c>
      <c r="M248" s="19">
        <f>IF($A248="","",IFERROR($F248/$L248,0))</f>
        <v/>
      </c>
      <c r="N248" s="19">
        <f>IF($A248="","",IFERROR(($F248-$G248)/$F248,0))</f>
        <v/>
      </c>
      <c r="O248" s="19">
        <f>IF($A248="","",IFERROR(N($K248)*N($M248)*N($N248),0))</f>
        <v/>
      </c>
      <c r="P248" s="19">
        <f>IF($A248="","",IFERROR($E248/$D248,0))</f>
        <v/>
      </c>
      <c r="Q248" s="19">
        <f>IF($A248="","",IFERROR(MAX(0,MIN(100,odk_kaliteTaban-IF(N($O248)&lt;odk_esikOee,odk_kaliteCeza,0)-IF($E248&gt;odk_esikDurusDk,odk_kaliteSapma,0)-IF($T248="YETIM",odk_kaliteCeza,0))),0))</f>
        <v/>
      </c>
      <c r="R248" s="19">
        <f>IF($A248="","",IF(OR(N($O248)&lt;odk_esikOee,$E248&gt;odk_esikDurusDk,N($Q248)&lt;odk_esikSaglik),"ALARM","UYGUN"))</f>
        <v/>
      </c>
      <c r="S248" s="19">
        <f>IF($A248="","",1)</f>
        <v/>
      </c>
      <c r="T248" s="19">
        <f>IF($A248="","",IF(OR($B248="",COUNTIF(tblVarliklar[VarlikId],$B248)=0),"YETIM","TAMAM"))</f>
        <v/>
      </c>
    </row>
    <row r="249">
      <c r="A249" s="15" t="n"/>
      <c r="B249" s="15" t="n"/>
      <c r="C249" s="37" t="n"/>
      <c r="D249" s="17" t="n"/>
      <c r="E249" s="17" t="n"/>
      <c r="F249" s="17" t="n"/>
      <c r="G249" s="17" t="n"/>
      <c r="H249" s="15" t="n"/>
      <c r="I249" s="19">
        <f>IF($A249="","",IFERROR(SUMIF(tblVarliklar[VarlikId],$B249,tblVarliklar[IdealCevrim_sn]),odk_varsayilanCevrim))</f>
        <v/>
      </c>
      <c r="J249" s="19">
        <f>IF($A249="","",IFERROR(MAX(0,$D249-$E249),0))</f>
        <v/>
      </c>
      <c r="K249" s="19">
        <f>IF($A249="","",IFERROR($J249/$D249,0))</f>
        <v/>
      </c>
      <c r="L249" s="19">
        <f>IF($A249="","",IFERROR($J249*odk_dakikaSn/$I249,0))</f>
        <v/>
      </c>
      <c r="M249" s="19">
        <f>IF($A249="","",IFERROR($F249/$L249,0))</f>
        <v/>
      </c>
      <c r="N249" s="19">
        <f>IF($A249="","",IFERROR(($F249-$G249)/$F249,0))</f>
        <v/>
      </c>
      <c r="O249" s="19">
        <f>IF($A249="","",IFERROR(N($K249)*N($M249)*N($N249),0))</f>
        <v/>
      </c>
      <c r="P249" s="19">
        <f>IF($A249="","",IFERROR($E249/$D249,0))</f>
        <v/>
      </c>
      <c r="Q249" s="19">
        <f>IF($A249="","",IFERROR(MAX(0,MIN(100,odk_kaliteTaban-IF(N($O249)&lt;odk_esikOee,odk_kaliteCeza,0)-IF($E249&gt;odk_esikDurusDk,odk_kaliteSapma,0)-IF($T249="YETIM",odk_kaliteCeza,0))),0))</f>
        <v/>
      </c>
      <c r="R249" s="19">
        <f>IF($A249="","",IF(OR(N($O249)&lt;odk_esikOee,$E249&gt;odk_esikDurusDk,N($Q249)&lt;odk_esikSaglik),"ALARM","UYGUN"))</f>
        <v/>
      </c>
      <c r="S249" s="19">
        <f>IF($A249="","",1)</f>
        <v/>
      </c>
      <c r="T249" s="19">
        <f>IF($A249="","",IF(OR($B249="",COUNTIF(tblVarliklar[VarlikId],$B249)=0),"YETIM","TAMAM"))</f>
        <v/>
      </c>
    </row>
    <row r="250">
      <c r="A250" s="15" t="n"/>
      <c r="B250" s="15" t="n"/>
      <c r="C250" s="37" t="n"/>
      <c r="D250" s="17" t="n"/>
      <c r="E250" s="17" t="n"/>
      <c r="F250" s="17" t="n"/>
      <c r="G250" s="17" t="n"/>
      <c r="H250" s="15" t="n"/>
      <c r="I250" s="19">
        <f>IF($A250="","",IFERROR(SUMIF(tblVarliklar[VarlikId],$B250,tblVarliklar[IdealCevrim_sn]),odk_varsayilanCevrim))</f>
        <v/>
      </c>
      <c r="J250" s="19">
        <f>IF($A250="","",IFERROR(MAX(0,$D250-$E250),0))</f>
        <v/>
      </c>
      <c r="K250" s="19">
        <f>IF($A250="","",IFERROR($J250/$D250,0))</f>
        <v/>
      </c>
      <c r="L250" s="19">
        <f>IF($A250="","",IFERROR($J250*odk_dakikaSn/$I250,0))</f>
        <v/>
      </c>
      <c r="M250" s="19">
        <f>IF($A250="","",IFERROR($F250/$L250,0))</f>
        <v/>
      </c>
      <c r="N250" s="19">
        <f>IF($A250="","",IFERROR(($F250-$G250)/$F250,0))</f>
        <v/>
      </c>
      <c r="O250" s="19">
        <f>IF($A250="","",IFERROR(N($K250)*N($M250)*N($N250),0))</f>
        <v/>
      </c>
      <c r="P250" s="19">
        <f>IF($A250="","",IFERROR($E250/$D250,0))</f>
        <v/>
      </c>
      <c r="Q250" s="19">
        <f>IF($A250="","",IFERROR(MAX(0,MIN(100,odk_kaliteTaban-IF(N($O250)&lt;odk_esikOee,odk_kaliteCeza,0)-IF($E250&gt;odk_esikDurusDk,odk_kaliteSapma,0)-IF($T250="YETIM",odk_kaliteCeza,0))),0))</f>
        <v/>
      </c>
      <c r="R250" s="19">
        <f>IF($A250="","",IF(OR(N($O250)&lt;odk_esikOee,$E250&gt;odk_esikDurusDk,N($Q250)&lt;odk_esikSaglik),"ALARM","UYGUN"))</f>
        <v/>
      </c>
      <c r="S250" s="19">
        <f>IF($A250="","",1)</f>
        <v/>
      </c>
      <c r="T250" s="19">
        <f>IF($A250="","",IF(OR($B250="",COUNTIF(tblVarliklar[VarlikId],$B250)=0),"YETIM","TAMAM"))</f>
        <v/>
      </c>
    </row>
    <row r="251">
      <c r="A251" s="15" t="n"/>
      <c r="B251" s="15" t="n"/>
      <c r="C251" s="37" t="n"/>
      <c r="D251" s="17" t="n"/>
      <c r="E251" s="17" t="n"/>
      <c r="F251" s="17" t="n"/>
      <c r="G251" s="17" t="n"/>
      <c r="H251" s="15" t="n"/>
      <c r="I251" s="19">
        <f>IF($A251="","",IFERROR(SUMIF(tblVarliklar[VarlikId],$B251,tblVarliklar[IdealCevrim_sn]),odk_varsayilanCevrim))</f>
        <v/>
      </c>
      <c r="J251" s="19">
        <f>IF($A251="","",IFERROR(MAX(0,$D251-$E251),0))</f>
        <v/>
      </c>
      <c r="K251" s="19">
        <f>IF($A251="","",IFERROR($J251/$D251,0))</f>
        <v/>
      </c>
      <c r="L251" s="19">
        <f>IF($A251="","",IFERROR($J251*odk_dakikaSn/$I251,0))</f>
        <v/>
      </c>
      <c r="M251" s="19">
        <f>IF($A251="","",IFERROR($F251/$L251,0))</f>
        <v/>
      </c>
      <c r="N251" s="19">
        <f>IF($A251="","",IFERROR(($F251-$G251)/$F251,0))</f>
        <v/>
      </c>
      <c r="O251" s="19">
        <f>IF($A251="","",IFERROR(N($K251)*N($M251)*N($N251),0))</f>
        <v/>
      </c>
      <c r="P251" s="19">
        <f>IF($A251="","",IFERROR($E251/$D251,0))</f>
        <v/>
      </c>
      <c r="Q251" s="19">
        <f>IF($A251="","",IFERROR(MAX(0,MIN(100,odk_kaliteTaban-IF(N($O251)&lt;odk_esikOee,odk_kaliteCeza,0)-IF($E251&gt;odk_esikDurusDk,odk_kaliteSapma,0)-IF($T251="YETIM",odk_kaliteCeza,0))),0))</f>
        <v/>
      </c>
      <c r="R251" s="19">
        <f>IF($A251="","",IF(OR(N($O251)&lt;odk_esikOee,$E251&gt;odk_esikDurusDk,N($Q251)&lt;odk_esikSaglik),"ALARM","UYGUN"))</f>
        <v/>
      </c>
      <c r="S251" s="19">
        <f>IF($A251="","",1)</f>
        <v/>
      </c>
      <c r="T251" s="19">
        <f>IF($A251="","",IF(OR($B251="",COUNTIF(tblVarliklar[VarlikId],$B251)=0),"YETIM","TAMAM"))</f>
        <v/>
      </c>
    </row>
    <row r="252">
      <c r="A252" s="15" t="n"/>
      <c r="B252" s="15" t="n"/>
      <c r="C252" s="37" t="n"/>
      <c r="D252" s="17" t="n"/>
      <c r="E252" s="17" t="n"/>
      <c r="F252" s="17" t="n"/>
      <c r="G252" s="17" t="n"/>
      <c r="H252" s="15" t="n"/>
      <c r="I252" s="19">
        <f>IF($A252="","",IFERROR(SUMIF(tblVarliklar[VarlikId],$B252,tblVarliklar[IdealCevrim_sn]),odk_varsayilanCevrim))</f>
        <v/>
      </c>
      <c r="J252" s="19">
        <f>IF($A252="","",IFERROR(MAX(0,$D252-$E252),0))</f>
        <v/>
      </c>
      <c r="K252" s="19">
        <f>IF($A252="","",IFERROR($J252/$D252,0))</f>
        <v/>
      </c>
      <c r="L252" s="19">
        <f>IF($A252="","",IFERROR($J252*odk_dakikaSn/$I252,0))</f>
        <v/>
      </c>
      <c r="M252" s="19">
        <f>IF($A252="","",IFERROR($F252/$L252,0))</f>
        <v/>
      </c>
      <c r="N252" s="19">
        <f>IF($A252="","",IFERROR(($F252-$G252)/$F252,0))</f>
        <v/>
      </c>
      <c r="O252" s="19">
        <f>IF($A252="","",IFERROR(N($K252)*N($M252)*N($N252),0))</f>
        <v/>
      </c>
      <c r="P252" s="19">
        <f>IF($A252="","",IFERROR($E252/$D252,0))</f>
        <v/>
      </c>
      <c r="Q252" s="19">
        <f>IF($A252="","",IFERROR(MAX(0,MIN(100,odk_kaliteTaban-IF(N($O252)&lt;odk_esikOee,odk_kaliteCeza,0)-IF($E252&gt;odk_esikDurusDk,odk_kaliteSapma,0)-IF($T252="YETIM",odk_kaliteCeza,0))),0))</f>
        <v/>
      </c>
      <c r="R252" s="19">
        <f>IF($A252="","",IF(OR(N($O252)&lt;odk_esikOee,$E252&gt;odk_esikDurusDk,N($Q252)&lt;odk_esikSaglik),"ALARM","UYGUN"))</f>
        <v/>
      </c>
      <c r="S252" s="19">
        <f>IF($A252="","",1)</f>
        <v/>
      </c>
      <c r="T252" s="19">
        <f>IF($A252="","",IF(OR($B252="",COUNTIF(tblVarliklar[VarlikId],$B252)=0),"YETIM","TAMAM"))</f>
        <v/>
      </c>
    </row>
    <row r="253">
      <c r="A253" s="15" t="n"/>
      <c r="B253" s="15" t="n"/>
      <c r="C253" s="37" t="n"/>
      <c r="D253" s="17" t="n"/>
      <c r="E253" s="17" t="n"/>
      <c r="F253" s="17" t="n"/>
      <c r="G253" s="17" t="n"/>
      <c r="H253" s="15" t="n"/>
      <c r="I253" s="19">
        <f>IF($A253="","",IFERROR(SUMIF(tblVarliklar[VarlikId],$B253,tblVarliklar[IdealCevrim_sn]),odk_varsayilanCevrim))</f>
        <v/>
      </c>
      <c r="J253" s="19">
        <f>IF($A253="","",IFERROR(MAX(0,$D253-$E253),0))</f>
        <v/>
      </c>
      <c r="K253" s="19">
        <f>IF($A253="","",IFERROR($J253/$D253,0))</f>
        <v/>
      </c>
      <c r="L253" s="19">
        <f>IF($A253="","",IFERROR($J253*odk_dakikaSn/$I253,0))</f>
        <v/>
      </c>
      <c r="M253" s="19">
        <f>IF($A253="","",IFERROR($F253/$L253,0))</f>
        <v/>
      </c>
      <c r="N253" s="19">
        <f>IF($A253="","",IFERROR(($F253-$G253)/$F253,0))</f>
        <v/>
      </c>
      <c r="O253" s="19">
        <f>IF($A253="","",IFERROR(N($K253)*N($M253)*N($N253),0))</f>
        <v/>
      </c>
      <c r="P253" s="19">
        <f>IF($A253="","",IFERROR($E253/$D253,0))</f>
        <v/>
      </c>
      <c r="Q253" s="19">
        <f>IF($A253="","",IFERROR(MAX(0,MIN(100,odk_kaliteTaban-IF(N($O253)&lt;odk_esikOee,odk_kaliteCeza,0)-IF($E253&gt;odk_esikDurusDk,odk_kaliteSapma,0)-IF($T253="YETIM",odk_kaliteCeza,0))),0))</f>
        <v/>
      </c>
      <c r="R253" s="19">
        <f>IF($A253="","",IF(OR(N($O253)&lt;odk_esikOee,$E253&gt;odk_esikDurusDk,N($Q253)&lt;odk_esikSaglik),"ALARM","UYGUN"))</f>
        <v/>
      </c>
      <c r="S253" s="19">
        <f>IF($A253="","",1)</f>
        <v/>
      </c>
      <c r="T253" s="19">
        <f>IF($A253="","",IF(OR($B253="",COUNTIF(tblVarliklar[VarlikId],$B253)=0),"YETIM","TAMAM"))</f>
        <v/>
      </c>
    </row>
    <row r="254">
      <c r="A254" s="15" t="n"/>
      <c r="B254" s="15" t="n"/>
      <c r="C254" s="37" t="n"/>
      <c r="D254" s="17" t="n"/>
      <c r="E254" s="17" t="n"/>
      <c r="F254" s="17" t="n"/>
      <c r="G254" s="17" t="n"/>
      <c r="H254" s="15" t="n"/>
      <c r="I254" s="19">
        <f>IF($A254="","",IFERROR(SUMIF(tblVarliklar[VarlikId],$B254,tblVarliklar[IdealCevrim_sn]),odk_varsayilanCevrim))</f>
        <v/>
      </c>
      <c r="J254" s="19">
        <f>IF($A254="","",IFERROR(MAX(0,$D254-$E254),0))</f>
        <v/>
      </c>
      <c r="K254" s="19">
        <f>IF($A254="","",IFERROR($J254/$D254,0))</f>
        <v/>
      </c>
      <c r="L254" s="19">
        <f>IF($A254="","",IFERROR($J254*odk_dakikaSn/$I254,0))</f>
        <v/>
      </c>
      <c r="M254" s="19">
        <f>IF($A254="","",IFERROR($F254/$L254,0))</f>
        <v/>
      </c>
      <c r="N254" s="19">
        <f>IF($A254="","",IFERROR(($F254-$G254)/$F254,0))</f>
        <v/>
      </c>
      <c r="O254" s="19">
        <f>IF($A254="","",IFERROR(N($K254)*N($M254)*N($N254),0))</f>
        <v/>
      </c>
      <c r="P254" s="19">
        <f>IF($A254="","",IFERROR($E254/$D254,0))</f>
        <v/>
      </c>
      <c r="Q254" s="19">
        <f>IF($A254="","",IFERROR(MAX(0,MIN(100,odk_kaliteTaban-IF(N($O254)&lt;odk_esikOee,odk_kaliteCeza,0)-IF($E254&gt;odk_esikDurusDk,odk_kaliteSapma,0)-IF($T254="YETIM",odk_kaliteCeza,0))),0))</f>
        <v/>
      </c>
      <c r="R254" s="19">
        <f>IF($A254="","",IF(OR(N($O254)&lt;odk_esikOee,$E254&gt;odk_esikDurusDk,N($Q254)&lt;odk_esikSaglik),"ALARM","UYGUN"))</f>
        <v/>
      </c>
      <c r="S254" s="19">
        <f>IF($A254="","",1)</f>
        <v/>
      </c>
      <c r="T254" s="19">
        <f>IF($A254="","",IF(OR($B254="",COUNTIF(tblVarliklar[VarlikId],$B254)=0),"YETIM","TAMAM"))</f>
        <v/>
      </c>
    </row>
    <row r="255">
      <c r="A255" s="15" t="n"/>
      <c r="B255" s="15" t="n"/>
      <c r="C255" s="37" t="n"/>
      <c r="D255" s="17" t="n"/>
      <c r="E255" s="17" t="n"/>
      <c r="F255" s="17" t="n"/>
      <c r="G255" s="17" t="n"/>
      <c r="H255" s="15" t="n"/>
      <c r="I255" s="19">
        <f>IF($A255="","",IFERROR(SUMIF(tblVarliklar[VarlikId],$B255,tblVarliklar[IdealCevrim_sn]),odk_varsayilanCevrim))</f>
        <v/>
      </c>
      <c r="J255" s="19">
        <f>IF($A255="","",IFERROR(MAX(0,$D255-$E255),0))</f>
        <v/>
      </c>
      <c r="K255" s="19">
        <f>IF($A255="","",IFERROR($J255/$D255,0))</f>
        <v/>
      </c>
      <c r="L255" s="19">
        <f>IF($A255="","",IFERROR($J255*odk_dakikaSn/$I255,0))</f>
        <v/>
      </c>
      <c r="M255" s="19">
        <f>IF($A255="","",IFERROR($F255/$L255,0))</f>
        <v/>
      </c>
      <c r="N255" s="19">
        <f>IF($A255="","",IFERROR(($F255-$G255)/$F255,0))</f>
        <v/>
      </c>
      <c r="O255" s="19">
        <f>IF($A255="","",IFERROR(N($K255)*N($M255)*N($N255),0))</f>
        <v/>
      </c>
      <c r="P255" s="19">
        <f>IF($A255="","",IFERROR($E255/$D255,0))</f>
        <v/>
      </c>
      <c r="Q255" s="19">
        <f>IF($A255="","",IFERROR(MAX(0,MIN(100,odk_kaliteTaban-IF(N($O255)&lt;odk_esikOee,odk_kaliteCeza,0)-IF($E255&gt;odk_esikDurusDk,odk_kaliteSapma,0)-IF($T255="YETIM",odk_kaliteCeza,0))),0))</f>
        <v/>
      </c>
      <c r="R255" s="19">
        <f>IF($A255="","",IF(OR(N($O255)&lt;odk_esikOee,$E255&gt;odk_esikDurusDk,N($Q255)&lt;odk_esikSaglik),"ALARM","UYGUN"))</f>
        <v/>
      </c>
      <c r="S255" s="19">
        <f>IF($A255="","",1)</f>
        <v/>
      </c>
      <c r="T255" s="19">
        <f>IF($A255="","",IF(OR($B255="",COUNTIF(tblVarliklar[VarlikId],$B255)=0),"YETIM","TAMAM"))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T1"/>
    <mergeCell ref="A3:T3"/>
  </mergeCells>
  <conditionalFormatting sqref="R6:R255">
    <cfRule type="cellIs" priority="1" operator="equal" dxfId="1">
      <formula>"ALARM"</formula>
    </cfRule>
  </conditionalFormatting>
  <conditionalFormatting sqref="T6:T255">
    <cfRule type="cellIs" priority="2" operator="equal" dxfId="0">
      <formula>"YETIM"</formula>
    </cfRule>
  </conditionalFormatting>
  <conditionalFormatting sqref="O6:O255">
    <cfRule type="cellIs" priority="3" operator="lessThan" dxfId="0">
      <formula>odk_esikOee</formula>
    </cfRule>
  </conditionalFormatting>
  <conditionalFormatting sqref="Q6:Q255">
    <cfRule type="cellIs" priority="4" operator="lessThan" dxfId="2">
      <formula>odk_esikSaglik</formula>
    </cfRule>
  </conditionalFormatting>
  <dataValidations count="8">
    <dataValidation sqref="A6:A255" showDropDown="0" showInputMessage="1" showErrorMessage="1" allowBlank="1" errorTitle="Kimlik" error="En az 1 karakter" promptTitle="Günlük Kimlik" prompt="ODK-##### girin" type="textLength" errorStyle="stop" operator="greaterThan">
      <formula1>1</formula1>
      <formula2>40</formula2>
    </dataValidation>
    <dataValidation sqref="B6:B255" showDropDown="0" showInputMessage="1" showErrorMessage="1" allowBlank="1" errorTitle="Varlık" error="Geçersiz" promptTitle="Varlık" prompt="MAK kimliği girin" type="textLength" errorStyle="stop" operator="greaterThanOrEqual">
      <formula1>0</formula1>
      <formula2>40</formula2>
    </dataValidation>
    <dataValidation sqref="C6:C255" showDropDown="0" showInputMessage="1" showErrorMessage="1" allowBlank="1" errorTitle="Tarih" error="Geçerli tarih" promptTitle="Tarih" prompt="GG.AA.YYYY" type="date" errorStyle="stop" operator="greaterThan">
      <formula1>1</formula1>
    </dataValidation>
    <dataValidation sqref="D6:D255" showDropDown="0" showInputMessage="1" showErrorMessage="1" allowBlank="1" errorTitle="Plan [dk]" error="0 veya üzeri" promptTitle="Plan [dk]" prompt="Plan [dk] ≥ 0" type="decimal" errorStyle="stop" operator="greaterThanOrEqual">
      <formula1>0</formula1>
    </dataValidation>
    <dataValidation sqref="E6:E255" showDropDown="0" showInputMessage="1" showErrorMessage="1" allowBlank="1" errorTitle="Duruş [dk]" error="0 veya üzeri" promptTitle="Duruş [dk]" prompt="Duruş [dk] ≥ 0" type="decimal" errorStyle="stop" operator="greaterThanOrEqual">
      <formula1>0</formula1>
    </dataValidation>
    <dataValidation sqref="F6:F255" showDropDown="0" showInputMessage="1" showErrorMessage="1" allowBlank="1" errorTitle="Üretim [adet]" error="0 veya üzeri" promptTitle="Üretim [adet]" prompt="Üretim [adet] ≥ 0" type="decimal" errorStyle="stop" operator="greaterThanOrEqual">
      <formula1>0</formula1>
    </dataValidation>
    <dataValidation sqref="G6:G255" showDropDown="0" showInputMessage="1" showErrorMessage="1" allowBlank="1" errorTitle="Fire [adet]" error="0 veya üzeri" promptTitle="Fire [adet]" prompt="Fire [adet] ≥ 0" type="decimal" errorStyle="stop" operator="greaterThanOrEqual">
      <formula1>0</formula1>
    </dataValidation>
    <dataValidation sqref="H6:H255" showDropDown="0" showInputMessage="1" showErrorMessage="1" allowBlank="1" errorTitle="Liste" error="Listeden seçin" promptTitle="Kök Neden" prompt="Listeden seçin" type="list" errorStyle="stop">
      <formula1>ListeKokNeden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1A365D"/>
    <outlinePr summaryBelow="1" summaryRight="1"/>
    <pageSetUpPr/>
  </sheetPr>
  <dimension ref="A1:AC26"/>
  <sheetViews>
    <sheetView showGridLines="0" workbookViewId="0">
      <selection activeCell="A1" sqref="A1"/>
    </sheetView>
  </sheetViews>
  <sheetFormatPr baseColWidth="8" defaultRowHeight="15"/>
  <cols>
    <col width="24.5" customWidth="1" min="1" max="1"/>
    <col width="15.5" customWidth="1" min="2" max="2"/>
    <col width="14" customWidth="1" min="3" max="3"/>
    <col width="15.5" customWidth="1" min="4" max="4"/>
    <col width="12" customWidth="1" min="5" max="5"/>
    <col width="19.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33" t="inlineStr">
        <is>
          <t>DONEM ANALIZ — OEE &amp; Duruş Kök-Neden Komutası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</row>
    <row r="2"/>
    <row r="3" ht="22" customHeight="1">
      <c r="A3" s="36" t="inlineStr">
        <is>
          <t>12 aylık sezonsallık — OEE ve duruş zinciri (S03)</t>
        </is>
      </c>
    </row>
    <row r="4"/>
    <row r="5">
      <c r="A5" s="21" t="inlineStr">
        <is>
          <t>Ay</t>
        </is>
      </c>
      <c r="B5" s="21" t="inlineStr">
        <is>
          <t>Ay_Anahtari</t>
        </is>
      </c>
      <c r="C5" s="21" t="inlineStr">
        <is>
          <t>Durus dk</t>
        </is>
      </c>
      <c r="D5" s="21" t="inlineStr">
        <is>
          <t>Uretim adet</t>
        </is>
      </c>
      <c r="E5" s="21" t="inlineStr">
        <is>
          <t>OEE Ort</t>
        </is>
      </c>
      <c r="F5" s="21" t="inlineStr">
        <is>
          <t>Sezonsal Etiket</t>
        </is>
      </c>
    </row>
    <row r="6">
      <c r="A6" s="7" t="inlineStr">
        <is>
          <t>Ocak</t>
        </is>
      </c>
      <c r="B6" s="7" t="inlineStr">
        <is>
          <t>Ay_1</t>
        </is>
      </c>
      <c r="C6" s="22" t="n">
        <v>9200</v>
      </c>
      <c r="D6" s="22" t="n">
        <v>42000</v>
      </c>
      <c r="E6" s="23" t="n">
        <v>0.62</v>
      </c>
      <c r="F6" s="7" t="inlineStr">
        <is>
          <t>12_AY_SEZONSAL</t>
        </is>
      </c>
    </row>
    <row r="7">
      <c r="A7" s="7" t="inlineStr">
        <is>
          <t>Subat</t>
        </is>
      </c>
      <c r="B7" s="7" t="inlineStr">
        <is>
          <t>Ay_2</t>
        </is>
      </c>
      <c r="C7" s="22" t="n">
        <v>8800</v>
      </c>
      <c r="D7" s="22" t="n">
        <v>45000</v>
      </c>
      <c r="E7" s="23" t="n">
        <v>0.65</v>
      </c>
      <c r="F7" s="7" t="inlineStr">
        <is>
          <t>12_AY_SEZONSAL</t>
        </is>
      </c>
    </row>
    <row r="8">
      <c r="A8" s="7" t="inlineStr">
        <is>
          <t>Mart</t>
        </is>
      </c>
      <c r="B8" s="7" t="inlineStr">
        <is>
          <t>Ay_3</t>
        </is>
      </c>
      <c r="C8" s="22" t="n">
        <v>7600</v>
      </c>
      <c r="D8" s="22" t="n">
        <v>51000</v>
      </c>
      <c r="E8" s="23" t="n">
        <v>0.7</v>
      </c>
      <c r="F8" s="7" t="inlineStr">
        <is>
          <t>12_AY_SEZONSAL</t>
        </is>
      </c>
    </row>
    <row r="9">
      <c r="A9" s="7" t="inlineStr">
        <is>
          <t>Nisan</t>
        </is>
      </c>
      <c r="B9" s="7" t="inlineStr">
        <is>
          <t>Ay_4</t>
        </is>
      </c>
      <c r="C9" s="22" t="n">
        <v>7200</v>
      </c>
      <c r="D9" s="22" t="n">
        <v>54000</v>
      </c>
      <c r="E9" s="23" t="n">
        <v>0.72</v>
      </c>
      <c r="F9" s="7" t="inlineStr">
        <is>
          <t>12_AY_SEZONSAL</t>
        </is>
      </c>
    </row>
    <row r="10">
      <c r="A10" s="7" t="inlineStr">
        <is>
          <t>Mayis</t>
        </is>
      </c>
      <c r="B10" s="7" t="inlineStr">
        <is>
          <t>Ay_5</t>
        </is>
      </c>
      <c r="C10" s="22" t="n">
        <v>6800</v>
      </c>
      <c r="D10" s="22" t="n">
        <v>58000</v>
      </c>
      <c r="E10" s="23" t="n">
        <v>0.75</v>
      </c>
      <c r="F10" s="7" t="inlineStr">
        <is>
          <t>12_AY_SEZONSAL</t>
        </is>
      </c>
    </row>
    <row r="11">
      <c r="A11" s="7" t="inlineStr">
        <is>
          <t>Haziran</t>
        </is>
      </c>
      <c r="B11" s="7" t="inlineStr">
        <is>
          <t>Ay_6</t>
        </is>
      </c>
      <c r="C11" s="22" t="n">
        <v>6400</v>
      </c>
      <c r="D11" s="22" t="n">
        <v>60000</v>
      </c>
      <c r="E11" s="23" t="n">
        <v>0.78</v>
      </c>
      <c r="F11" s="7" t="inlineStr">
        <is>
          <t>12_AY_SEZONSAL</t>
        </is>
      </c>
    </row>
    <row r="12">
      <c r="A12" s="7" t="inlineStr">
        <is>
          <t>Temmuz</t>
        </is>
      </c>
      <c r="B12" s="7" t="inlineStr">
        <is>
          <t>Ay_7</t>
        </is>
      </c>
      <c r="C12" s="22" t="n">
        <v>7000</v>
      </c>
      <c r="D12" s="22" t="n">
        <v>57000</v>
      </c>
      <c r="E12" s="23" t="n">
        <v>0.74</v>
      </c>
      <c r="F12" s="7" t="inlineStr">
        <is>
          <t>12_AY_SEZONSAL</t>
        </is>
      </c>
    </row>
    <row r="13">
      <c r="A13" s="7" t="inlineStr">
        <is>
          <t>Agustos</t>
        </is>
      </c>
      <c r="B13" s="7" t="inlineStr">
        <is>
          <t>Ay_8</t>
        </is>
      </c>
      <c r="C13" s="22" t="n">
        <v>7400</v>
      </c>
      <c r="D13" s="22" t="n">
        <v>55000</v>
      </c>
      <c r="E13" s="23" t="n">
        <v>0.72</v>
      </c>
      <c r="F13" s="7" t="inlineStr">
        <is>
          <t>12_AY_SEZONSAL</t>
        </is>
      </c>
    </row>
    <row r="14">
      <c r="A14" s="7" t="inlineStr">
        <is>
          <t>Eylul</t>
        </is>
      </c>
      <c r="B14" s="7" t="inlineStr">
        <is>
          <t>Ay_9</t>
        </is>
      </c>
      <c r="C14" s="22" t="n">
        <v>7800</v>
      </c>
      <c r="D14" s="22" t="n">
        <v>52000</v>
      </c>
      <c r="E14" s="23" t="n">
        <v>0.7</v>
      </c>
      <c r="F14" s="7" t="inlineStr">
        <is>
          <t>12_AY_SEZONSAL</t>
        </is>
      </c>
    </row>
    <row r="15">
      <c r="A15" s="7" t="inlineStr">
        <is>
          <t>Ekim</t>
        </is>
      </c>
      <c r="B15" s="7" t="inlineStr">
        <is>
          <t>Ay_10</t>
        </is>
      </c>
      <c r="C15" s="22" t="n">
        <v>8200</v>
      </c>
      <c r="D15" s="22" t="n">
        <v>48000</v>
      </c>
      <c r="E15" s="23" t="n">
        <v>0.67</v>
      </c>
      <c r="F15" s="7" t="inlineStr">
        <is>
          <t>12_AY_SEZONSAL</t>
        </is>
      </c>
    </row>
    <row r="16">
      <c r="A16" s="7" t="inlineStr">
        <is>
          <t>Kasim</t>
        </is>
      </c>
      <c r="B16" s="7" t="inlineStr">
        <is>
          <t>Ay_11</t>
        </is>
      </c>
      <c r="C16" s="22" t="n">
        <v>8600</v>
      </c>
      <c r="D16" s="22" t="n">
        <v>44000</v>
      </c>
      <c r="E16" s="23" t="n">
        <v>0.64</v>
      </c>
      <c r="F16" s="7" t="inlineStr">
        <is>
          <t>12_AY_SEZONSAL</t>
        </is>
      </c>
    </row>
    <row r="17">
      <c r="A17" s="7" t="inlineStr">
        <is>
          <t>Aralik</t>
        </is>
      </c>
      <c r="B17" s="7" t="inlineStr">
        <is>
          <t>Ay_12</t>
        </is>
      </c>
      <c r="C17" s="22" t="n">
        <v>9000</v>
      </c>
      <c r="D17" s="22" t="n">
        <v>41000</v>
      </c>
      <c r="E17" s="23" t="n">
        <v>0.61</v>
      </c>
      <c r="F17" s="7" t="inlineStr">
        <is>
          <t>12_AY_SEZONSAL</t>
        </is>
      </c>
    </row>
    <row r="18"/>
    <row r="19"/>
    <row r="20">
      <c r="A20" s="24" t="inlineStr">
        <is>
          <t>Sezonsal Trend Özeti</t>
        </is>
      </c>
      <c r="B20" s="8">
        <f>odk_sezonsalTrend</f>
        <v/>
      </c>
    </row>
    <row r="21"/>
    <row r="22">
      <c r="A22" s="13" t="inlineStr">
        <is>
          <t>12 Ay Toplam Duruş</t>
        </is>
      </c>
      <c r="B22" s="22">
        <f>SUM(C6:C17)</f>
        <v/>
      </c>
    </row>
    <row r="23">
      <c r="A23" s="13" t="inlineStr">
        <is>
          <t>12 Ay Toplam Üretim</t>
        </is>
      </c>
      <c r="B23" s="22">
        <f>SUM(D6:D17)</f>
        <v/>
      </c>
    </row>
    <row r="24">
      <c r="A24" s="13" t="inlineStr">
        <is>
          <t>12 Ay Ort OEE</t>
        </is>
      </c>
      <c r="B24" s="23">
        <f>AVERAGE(E6:E17)</f>
        <v/>
      </c>
    </row>
    <row r="25">
      <c r="A25" s="13" t="inlineStr">
        <is>
          <t>Canlı dönem duruş</t>
        </is>
      </c>
      <c r="B25" s="22">
        <f>odk_toplamDurus</f>
        <v/>
      </c>
    </row>
    <row r="26">
      <c r="A26" s="13" t="inlineStr">
        <is>
          <t>Canlı dönem OEE</t>
        </is>
      </c>
      <c r="B26" s="23">
        <f>odk_oeeOrani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A3:I3"/>
    <mergeCell ref="B20:F20"/>
  </mergeCells>
  <conditionalFormatting sqref="C6">
    <cfRule type="cellIs" priority="1" operator="greaterThan" dxfId="3">
      <formula>0</formula>
    </cfRule>
  </conditionalFormatting>
  <conditionalFormatting sqref="E6">
    <cfRule type="cellIs" priority="2" operator="lessThan" dxfId="0">
      <formula>odk_esikOee</formula>
    </cfRule>
  </conditionalFormatting>
  <conditionalFormatting sqref="C7">
    <cfRule type="cellIs" priority="3" operator="greaterThan" dxfId="3">
      <formula>0</formula>
    </cfRule>
  </conditionalFormatting>
  <conditionalFormatting sqref="E7">
    <cfRule type="cellIs" priority="4" operator="lessThan" dxfId="0">
      <formula>odk_esikOee</formula>
    </cfRule>
  </conditionalFormatting>
  <conditionalFormatting sqref="C8">
    <cfRule type="cellIs" priority="5" operator="greaterThan" dxfId="3">
      <formula>0</formula>
    </cfRule>
  </conditionalFormatting>
  <conditionalFormatting sqref="E8">
    <cfRule type="cellIs" priority="6" operator="lessThan" dxfId="0">
      <formula>odk_esikOee</formula>
    </cfRule>
  </conditionalFormatting>
  <conditionalFormatting sqref="C9">
    <cfRule type="cellIs" priority="7" operator="greaterThan" dxfId="3">
      <formula>0</formula>
    </cfRule>
  </conditionalFormatting>
  <conditionalFormatting sqref="E9">
    <cfRule type="cellIs" priority="8" operator="lessThan" dxfId="0">
      <formula>odk_esikOee</formula>
    </cfRule>
  </conditionalFormatting>
  <conditionalFormatting sqref="C10">
    <cfRule type="cellIs" priority="9" operator="greaterThan" dxfId="3">
      <formula>0</formula>
    </cfRule>
  </conditionalFormatting>
  <conditionalFormatting sqref="E10">
    <cfRule type="cellIs" priority="10" operator="lessThan" dxfId="0">
      <formula>odk_esikOee</formula>
    </cfRule>
  </conditionalFormatting>
  <conditionalFormatting sqref="C11">
    <cfRule type="cellIs" priority="11" operator="greaterThan" dxfId="3">
      <formula>0</formula>
    </cfRule>
  </conditionalFormatting>
  <conditionalFormatting sqref="E11">
    <cfRule type="cellIs" priority="12" operator="lessThan" dxfId="0">
      <formula>odk_esikOee</formula>
    </cfRule>
  </conditionalFormatting>
  <conditionalFormatting sqref="C12">
    <cfRule type="cellIs" priority="13" operator="greaterThan" dxfId="3">
      <formula>0</formula>
    </cfRule>
  </conditionalFormatting>
  <conditionalFormatting sqref="E12">
    <cfRule type="cellIs" priority="14" operator="lessThan" dxfId="0">
      <formula>odk_esikOee</formula>
    </cfRule>
  </conditionalFormatting>
  <conditionalFormatting sqref="C13">
    <cfRule type="cellIs" priority="15" operator="greaterThan" dxfId="3">
      <formula>0</formula>
    </cfRule>
  </conditionalFormatting>
  <conditionalFormatting sqref="E13">
    <cfRule type="cellIs" priority="16" operator="lessThan" dxfId="0">
      <formula>odk_esikOee</formula>
    </cfRule>
  </conditionalFormatting>
  <conditionalFormatting sqref="C14">
    <cfRule type="cellIs" priority="17" operator="greaterThan" dxfId="3">
      <formula>0</formula>
    </cfRule>
  </conditionalFormatting>
  <conditionalFormatting sqref="E14">
    <cfRule type="cellIs" priority="18" operator="lessThan" dxfId="0">
      <formula>odk_esikOee</formula>
    </cfRule>
  </conditionalFormatting>
  <conditionalFormatting sqref="C15">
    <cfRule type="cellIs" priority="19" operator="greaterThan" dxfId="3">
      <formula>0</formula>
    </cfRule>
  </conditionalFormatting>
  <conditionalFormatting sqref="E15">
    <cfRule type="cellIs" priority="20" operator="lessThan" dxfId="0">
      <formula>odk_esikOee</formula>
    </cfRule>
  </conditionalFormatting>
  <conditionalFormatting sqref="C16">
    <cfRule type="cellIs" priority="21" operator="greaterThan" dxfId="3">
      <formula>0</formula>
    </cfRule>
  </conditionalFormatting>
  <conditionalFormatting sqref="E16">
    <cfRule type="cellIs" priority="22" operator="lessThan" dxfId="0">
      <formula>odk_esikOee</formula>
    </cfRule>
  </conditionalFormatting>
  <conditionalFormatting sqref="C17">
    <cfRule type="cellIs" priority="23" operator="greaterThan" dxfId="3">
      <formula>0</formula>
    </cfRule>
  </conditionalFormatting>
  <conditionalFormatting sqref="E17">
    <cfRule type="cellIs" priority="24" operator="lessThan" dxfId="0">
      <formula>odk_esikOee</formula>
    </cfRule>
  </conditionalFormatting>
  <dataValidations count="12">
    <dataValidation sqref="A6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  <dataValidation sqref="A7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  <dataValidation sqref="A8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  <dataValidation sqref="A9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  <dataValidation sqref="A10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  <dataValidation sqref="A11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  <dataValidation sqref="A12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  <dataValidation sqref="A13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  <dataValidation sqref="A14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  <dataValidation sqref="A15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  <dataValidation sqref="A16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  <dataValidation sqref="A17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1A365D"/>
    <outlinePr summaryBelow="1" summaryRight="1"/>
    <pageSetUpPr/>
  </sheetPr>
  <dimension ref="A1:AC56"/>
  <sheetViews>
    <sheetView showGridLines="0" workbookViewId="0">
      <selection activeCell="A1" sqref="A1"/>
    </sheetView>
  </sheetViews>
  <sheetFormatPr baseColWidth="8" defaultRowHeight="15"/>
  <cols>
    <col width="8.5" customWidth="1" min="1" max="1"/>
    <col width="32" customWidth="1" min="2" max="2"/>
    <col width="2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33" t="inlineStr">
        <is>
          <t>HESAP — OEE &amp; Duruş Kök-Neden Komutası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</row>
    <row r="2"/>
    <row r="3" ht="22" customHeight="1">
      <c r="A3" s="36" t="inlineStr">
        <is>
          <t>Hesap motoru — ≥40 adım; sabitler AYARLAR'dan</t>
        </is>
      </c>
    </row>
    <row r="4"/>
    <row r="5">
      <c r="A5" s="21" t="inlineStr">
        <is>
          <t>Adım</t>
        </is>
      </c>
      <c r="B5" s="21" t="inlineStr">
        <is>
          <t>Açıklama</t>
        </is>
      </c>
      <c r="C5" s="21" t="inlineStr">
        <is>
          <t>Değer</t>
        </is>
      </c>
    </row>
    <row r="6">
      <c r="A6" s="7" t="inlineStr">
        <is>
          <t>H01</t>
        </is>
      </c>
      <c r="B6" s="7" t="inlineStr">
        <is>
          <t>Toplam günlük kayıt</t>
        </is>
      </c>
      <c r="C6" s="22">
        <f>COUNTA(tblGunluk[SatirId])</f>
        <v/>
      </c>
    </row>
    <row r="7">
      <c r="A7" s="7" t="inlineStr">
        <is>
          <t>H02</t>
        </is>
      </c>
      <c r="B7" s="7" t="inlineStr">
        <is>
          <t>Dolu kayıt</t>
        </is>
      </c>
      <c r="C7" s="22">
        <f>SUM(tblGunluk[FormulKayitDolu])</f>
        <v/>
      </c>
    </row>
    <row r="8">
      <c r="A8" s="7" t="inlineStr">
        <is>
          <t>H03</t>
        </is>
      </c>
      <c r="B8" s="7" t="inlineStr">
        <is>
          <t>Toplam plan dk</t>
        </is>
      </c>
      <c r="C8" s="22">
        <f>SUM(tblGunluk[PlanSure_dk])</f>
        <v/>
      </c>
    </row>
    <row r="9">
      <c r="A9" s="7" t="inlineStr">
        <is>
          <t>H04</t>
        </is>
      </c>
      <c r="B9" s="7" t="inlineStr">
        <is>
          <t>Toplam duruş dk</t>
        </is>
      </c>
      <c r="C9" s="22">
        <f>SUM(tblGunluk[DurusSure_dk])</f>
        <v/>
      </c>
    </row>
    <row r="10">
      <c r="A10" s="7" t="inlineStr">
        <is>
          <t>H05</t>
        </is>
      </c>
      <c r="B10" s="7" t="inlineStr">
        <is>
          <t>Toplam üretim adet</t>
        </is>
      </c>
      <c r="C10" s="22">
        <f>SUM(tblGunluk[UretimAdet_adet])</f>
        <v/>
      </c>
    </row>
    <row r="11">
      <c r="A11" s="7" t="inlineStr">
        <is>
          <t>H06</t>
        </is>
      </c>
      <c r="B11" s="7" t="inlineStr">
        <is>
          <t>Toplam fire adet</t>
        </is>
      </c>
      <c r="C11" s="22">
        <f>SUM(tblGunluk[FireAdet_adet])</f>
        <v/>
      </c>
    </row>
    <row r="12">
      <c r="A12" s="7" t="inlineStr">
        <is>
          <t>H07</t>
        </is>
      </c>
      <c r="B12" s="7" t="inlineStr">
        <is>
          <t>Toplam çalışma dk</t>
        </is>
      </c>
      <c r="C12" s="22">
        <f>SUM(tblGunluk[FormulCalisma_dk])</f>
        <v/>
      </c>
    </row>
    <row r="13">
      <c r="A13" s="7" t="inlineStr">
        <is>
          <t>H08</t>
        </is>
      </c>
      <c r="B13" s="7" t="inlineStr">
        <is>
          <t>Kullanılabilirlik</t>
        </is>
      </c>
      <c r="C13" s="23">
        <f>IFERROR(C12/MAX(C8,1),0)</f>
        <v/>
      </c>
    </row>
    <row r="14">
      <c r="A14" s="7" t="inlineStr">
        <is>
          <t>H09</t>
        </is>
      </c>
      <c r="B14" s="7" t="inlineStr">
        <is>
          <t>Toplam teorik adet</t>
        </is>
      </c>
      <c r="C14" s="22">
        <f>SUM(tblGunluk[FormulTeorikAdet_adet])</f>
        <v/>
      </c>
    </row>
    <row r="15">
      <c r="A15" s="7" t="inlineStr">
        <is>
          <t>H10</t>
        </is>
      </c>
      <c r="B15" s="7" t="inlineStr">
        <is>
          <t>Performans</t>
        </is>
      </c>
      <c r="C15" s="23">
        <f>IFERROR(C10/MAX(C14,1),0)</f>
        <v/>
      </c>
    </row>
    <row r="16">
      <c r="A16" s="7" t="inlineStr">
        <is>
          <t>H11</t>
        </is>
      </c>
      <c r="B16" s="7" t="inlineStr">
        <is>
          <t>Kalite oranı</t>
        </is>
      </c>
      <c r="C16" s="23">
        <f>IFERROR((C10-C11)/MAX(C10,1),0)</f>
        <v/>
      </c>
    </row>
    <row r="17">
      <c r="A17" s="7" t="inlineStr">
        <is>
          <t>H12</t>
        </is>
      </c>
      <c r="B17" s="7" t="inlineStr">
        <is>
          <t>OEE oranı</t>
        </is>
      </c>
      <c r="C17" s="23">
        <f>IFERROR(C13*C15*C16,0)</f>
        <v/>
      </c>
    </row>
    <row r="18">
      <c r="A18" s="7" t="inlineStr">
        <is>
          <t>H13</t>
        </is>
      </c>
      <c r="B18" s="7" t="inlineStr">
        <is>
          <t>Duruş payı</t>
        </is>
      </c>
      <c r="C18" s="23">
        <f>IFERROR(C9/MAX(C8,1),0)</f>
        <v/>
      </c>
    </row>
    <row r="19">
      <c r="A19" s="7" t="inlineStr">
        <is>
          <t>H14</t>
        </is>
      </c>
      <c r="B19" s="7" t="inlineStr">
        <is>
          <t>Aktif makine adet</t>
        </is>
      </c>
      <c r="C19" s="22">
        <f>COUNTIF(tblVarliklar[Aktif],"EVET")</f>
        <v/>
      </c>
    </row>
    <row r="20">
      <c r="A20" s="7" t="inlineStr">
        <is>
          <t>H15</t>
        </is>
      </c>
      <c r="B20" s="7" t="inlineStr">
        <is>
          <t>Toplam makine kart</t>
        </is>
      </c>
      <c r="C20" s="22">
        <f>COUNTA(tblVarliklar[VarlikId])</f>
        <v/>
      </c>
    </row>
    <row r="21">
      <c r="A21" s="7" t="inlineStr">
        <is>
          <t>H16</t>
        </is>
      </c>
      <c r="B21" s="7" t="inlineStr">
        <is>
          <t>Alarm adet</t>
        </is>
      </c>
      <c r="C21" s="22">
        <f>COUNTIF(tblGunluk[AlarmBayrak],"ALARM")</f>
        <v/>
      </c>
    </row>
    <row r="22">
      <c r="A22" s="7" t="inlineStr">
        <is>
          <t>H17</t>
        </is>
      </c>
      <c r="B22" s="7" t="inlineStr">
        <is>
          <t>Yetim kayıt</t>
        </is>
      </c>
      <c r="C22" s="22">
        <f>COUNTIF(tblGunluk[FormulYetim],"YETIM")</f>
        <v/>
      </c>
    </row>
    <row r="23">
      <c r="A23" s="7" t="inlineStr">
        <is>
          <t>H18</t>
        </is>
      </c>
      <c r="B23" s="7" t="inlineStr">
        <is>
          <t>Ortalama sağlık skor</t>
        </is>
      </c>
      <c r="C23" s="22">
        <f>IFERROR(AVERAGEIF(tblGunluk[SaglikSkor_puan],"&gt;0"),0)</f>
        <v/>
      </c>
    </row>
    <row r="24">
      <c r="A24" s="7" t="inlineStr">
        <is>
          <t>H19</t>
        </is>
      </c>
      <c r="B24" s="7" t="inlineStr">
        <is>
          <t>Min sağlık skor</t>
        </is>
      </c>
      <c r="C24" s="22">
        <f>IFERROR(MIN(tblGunluk[SaglikSkor_puan]),0)</f>
        <v/>
      </c>
    </row>
    <row r="25">
      <c r="A25" s="7" t="inlineStr">
        <is>
          <t>H20</t>
        </is>
      </c>
      <c r="B25" s="7" t="inlineStr">
        <is>
          <t>OEE eşik altı adet</t>
        </is>
      </c>
      <c r="C25" s="23">
        <f>COUNTIFS(tblGunluk[FormulOee_oran],"&lt;"&amp;odk_esikOee,tblGunluk[FormulKayitDolu],"&gt;0")</f>
        <v/>
      </c>
    </row>
    <row r="26">
      <c r="A26" s="7" t="inlineStr">
        <is>
          <t>H21</t>
        </is>
      </c>
      <c r="B26" s="7" t="inlineStr">
        <is>
          <t>Duruş eşik aşımı</t>
        </is>
      </c>
      <c r="C26" s="22">
        <f>COUNTIFS(tblGunluk[DurusSure_dk],"&gt;"&amp;odk_esikDurusDk,tblGunluk[FormulKayitDolu],"&gt;0")</f>
        <v/>
      </c>
    </row>
    <row r="27">
      <c r="A27" s="7" t="inlineStr">
        <is>
          <t>H22</t>
        </is>
      </c>
      <c r="B27" s="7" t="inlineStr">
        <is>
          <t>Düşük sağlık adet</t>
        </is>
      </c>
      <c r="C27" s="22">
        <f>COUNTIFS(tblGunluk[SaglikSkor_puan],"&lt;"&amp;odk_esikSaglik,tblGunluk[FormulKayitDolu],"&gt;0")</f>
        <v/>
      </c>
    </row>
    <row r="28">
      <c r="A28" s="7" t="inlineStr">
        <is>
          <t>H23</t>
        </is>
      </c>
      <c r="B28" s="7" t="inlineStr">
        <is>
          <t>Günlük OEE ort</t>
        </is>
      </c>
      <c r="C28" s="23">
        <f>IFERROR(AVERAGEIF(tblGunluk[FormulOee_oran],"&gt;0"),0)</f>
        <v/>
      </c>
    </row>
    <row r="29">
      <c r="A29" s="7" t="inlineStr">
        <is>
          <t>H24</t>
        </is>
      </c>
      <c r="B29" s="7" t="inlineStr">
        <is>
          <t>Aylık duruş proxy</t>
        </is>
      </c>
      <c r="C29" s="22">
        <f>C9*odk_aylikCarpan</f>
        <v/>
      </c>
    </row>
    <row r="30">
      <c r="A30" s="7" t="inlineStr">
        <is>
          <t>H25</t>
        </is>
      </c>
      <c r="B30" s="7" t="inlineStr">
        <is>
          <t>OEE sapma</t>
        </is>
      </c>
      <c r="C30" s="23">
        <f>IFERROR(ABS(C17-odk_esikOee),0)</f>
        <v/>
      </c>
    </row>
    <row r="31">
      <c r="A31" s="7" t="inlineStr">
        <is>
          <t>H26</t>
        </is>
      </c>
      <c r="B31" s="7" t="inlineStr">
        <is>
          <t>ARIZA kök pay</t>
        </is>
      </c>
      <c r="C31" s="23">
        <f>IFERROR(COUNTIF(tblGunluk[KokNedenKodu],"ARIZA")/MAX(C7,1),0)</f>
        <v/>
      </c>
    </row>
    <row r="32">
      <c r="A32" s="7" t="inlineStr">
        <is>
          <t>H27</t>
        </is>
      </c>
      <c r="B32" s="7" t="inlineStr">
        <is>
          <t>AYAR kök pay</t>
        </is>
      </c>
      <c r="C32" s="23">
        <f>IFERROR(COUNTIF(tblGunluk[KokNedenKodu],"AYAR")/MAX(C7,1),0)</f>
        <v/>
      </c>
    </row>
    <row r="33">
      <c r="A33" s="7" t="inlineStr">
        <is>
          <t>H28</t>
        </is>
      </c>
      <c r="B33" s="7" t="inlineStr">
        <is>
          <t>MALZEME kök pay</t>
        </is>
      </c>
      <c r="C33" s="23">
        <f>IFERROR(COUNTIF(tblGunluk[KokNedenKodu],"MALZEME")/MAX(C7,1),0)</f>
        <v/>
      </c>
    </row>
    <row r="34">
      <c r="A34" s="7" t="inlineStr">
        <is>
          <t>H29</t>
        </is>
      </c>
      <c r="B34" s="7" t="inlineStr">
        <is>
          <t>OPERATOR kök pay</t>
        </is>
      </c>
      <c r="C34" s="23">
        <f>IFERROR(COUNTIF(tblGunluk[KokNedenKodu],"OPERATOR")/MAX(C7,1),0)</f>
        <v/>
      </c>
    </row>
    <row r="35">
      <c r="A35" s="7" t="inlineStr">
        <is>
          <t>H30</t>
        </is>
      </c>
      <c r="B35" s="7" t="inlineStr">
        <is>
          <t>Temkinli senaryo</t>
        </is>
      </c>
      <c r="C35" s="23">
        <f>C17*odk_senaryoTemkinli</f>
        <v/>
      </c>
    </row>
    <row r="36">
      <c r="A36" s="7" t="inlineStr">
        <is>
          <t>H31</t>
        </is>
      </c>
      <c r="B36" s="7" t="inlineStr">
        <is>
          <t>Baz senaryo</t>
        </is>
      </c>
      <c r="C36" s="23">
        <f>C17*odk_senaryoBaz</f>
        <v/>
      </c>
    </row>
    <row r="37">
      <c r="A37" s="7" t="inlineStr">
        <is>
          <t>H32</t>
        </is>
      </c>
      <c r="B37" s="7" t="inlineStr">
        <is>
          <t>İyimser senaryo</t>
        </is>
      </c>
      <c r="C37" s="23">
        <f>C17*odk_senaryoIyimser</f>
        <v/>
      </c>
    </row>
    <row r="38">
      <c r="A38" s="7" t="inlineStr">
        <is>
          <t>H33</t>
        </is>
      </c>
      <c r="B38" s="7" t="inlineStr">
        <is>
          <t>Senaryo farkı</t>
        </is>
      </c>
      <c r="C38" s="23">
        <f>C37-C35</f>
        <v/>
      </c>
    </row>
    <row r="39">
      <c r="A39" s="7" t="inlineStr">
        <is>
          <t>H34</t>
        </is>
      </c>
      <c r="B39" s="7" t="inlineStr">
        <is>
          <t>Tornado duruş etki</t>
        </is>
      </c>
      <c r="C39" s="22">
        <f>C9*odk_tornadoOran</f>
        <v/>
      </c>
    </row>
    <row r="40">
      <c r="A40" s="7" t="inlineStr">
        <is>
          <t>H35</t>
        </is>
      </c>
      <c r="B40" s="7" t="inlineStr">
        <is>
          <t>Tornado fire etki</t>
        </is>
      </c>
      <c r="C40" s="22">
        <f>C11*odk_tornadoOran</f>
        <v/>
      </c>
    </row>
    <row r="41">
      <c r="A41" s="7" t="inlineStr">
        <is>
          <t>H36</t>
        </is>
      </c>
      <c r="B41" s="7" t="inlineStr">
        <is>
          <t>Tornado OEE etki</t>
        </is>
      </c>
      <c r="C41" s="23">
        <f>C17*odk_tornadoOran</f>
        <v/>
      </c>
    </row>
    <row r="42">
      <c r="A42" s="7" t="inlineStr">
        <is>
          <t>H37</t>
        </is>
      </c>
      <c r="B42" s="7" t="inlineStr">
        <is>
          <t>Tornado zirve</t>
        </is>
      </c>
      <c r="C42" s="22">
        <f>MAX(C39,C40,C41)</f>
        <v/>
      </c>
    </row>
    <row r="43">
      <c r="A43" s="7" t="inlineStr">
        <is>
          <t>H38</t>
        </is>
      </c>
      <c r="B43" s="7" t="inlineStr">
        <is>
          <t>HHI proxy</t>
        </is>
      </c>
      <c r="C43" s="22">
        <f>IFERROR(C31^2+C32^2+C33^2+C34^2,0)</f>
        <v/>
      </c>
    </row>
    <row r="44">
      <c r="A44" s="7" t="inlineStr">
        <is>
          <t>H39</t>
        </is>
      </c>
      <c r="B44" s="7" t="inlineStr">
        <is>
          <t>Kalite skor</t>
        </is>
      </c>
      <c r="C44" s="22">
        <f>MAX(0,odk_kaliteTaban-C25*odk_kaliteCeza-C26*odk_kaliteSapma-C27*odk_kaliteSapma)</f>
        <v/>
      </c>
    </row>
    <row r="45">
      <c r="A45" s="7" t="inlineStr">
        <is>
          <t>H40</t>
        </is>
      </c>
      <c r="B45" s="7" t="inlineStr">
        <is>
          <t>Tahmin aralık</t>
        </is>
      </c>
      <c r="C45" s="22">
        <f>C36*odk_tahminCarpan</f>
        <v/>
      </c>
    </row>
    <row r="46">
      <c r="A46" s="7" t="inlineStr">
        <is>
          <t>H41</t>
        </is>
      </c>
      <c r="B46" s="7" t="inlineStr">
        <is>
          <t>P90 OEE</t>
        </is>
      </c>
      <c r="C46" s="23">
        <f>IFERROR(PERCENTILE(tblGunluk[FormulOee_oran],odk_percentileOran),C17*odk_yuzdelikOran)</f>
        <v/>
      </c>
    </row>
    <row r="47">
      <c r="A47" s="7" t="inlineStr">
        <is>
          <t>H42</t>
        </is>
      </c>
      <c r="B47" s="7" t="inlineStr">
        <is>
          <t>Senaryo motor metin</t>
        </is>
      </c>
      <c r="C47" s="7">
        <f>_xlfn.TEXTJOIN("|",TRUE,"T",TEXT(C35,"0.0%"),"B",TEXT(C36,"0.0%"),"I",TEXT(C37,"0.0%"))</f>
        <v/>
      </c>
    </row>
    <row r="48">
      <c r="A48" s="7" t="inlineStr">
        <is>
          <t>H43</t>
        </is>
      </c>
      <c r="B48" s="7" t="inlineStr">
        <is>
          <t>Sezonsal 12 ay duruş</t>
        </is>
      </c>
      <c r="C48" s="22">
        <f>DONEM_ANALIZ!B22</f>
        <v/>
      </c>
    </row>
    <row r="49">
      <c r="A49" s="7" t="inlineStr">
        <is>
          <t>H44</t>
        </is>
      </c>
      <c r="B49" s="7" t="inlineStr">
        <is>
          <t>Sezonsal 12 ay OEE</t>
        </is>
      </c>
      <c r="C49" s="23">
        <f>DONEM_ANALIZ!B24</f>
        <v/>
      </c>
    </row>
    <row r="50">
      <c r="A50" s="7" t="inlineStr">
        <is>
          <t>H45</t>
        </is>
      </c>
      <c r="B50" s="7" t="inlineStr">
        <is>
          <t>Kritik sinyal</t>
        </is>
      </c>
      <c r="C50" s="22">
        <f>IF(OR(C25&gt;0,C27&gt;0,C23&lt;odk_esikSaglik),1,0)</f>
        <v/>
      </c>
    </row>
    <row r="51">
      <c r="A51" s="7" t="inlineStr">
        <is>
          <t>H46</t>
        </is>
      </c>
      <c r="B51" s="7" t="inlineStr">
        <is>
          <t>Karar kodu ham</t>
        </is>
      </c>
      <c r="C51" s="22">
        <f>IF(C7=0,0,IF(C50=1,3,IF(OR(C25&gt;0,C17&lt;odk_esikOee),2,1)))</f>
        <v/>
      </c>
    </row>
    <row r="52">
      <c r="A52" s="7" t="inlineStr">
        <is>
          <t>H47</t>
        </is>
      </c>
      <c r="B52" s="7" t="inlineStr">
        <is>
          <t>OEE çıpa</t>
        </is>
      </c>
      <c r="C52" s="23">
        <f>C17</f>
        <v/>
      </c>
    </row>
    <row r="53">
      <c r="A53" s="7" t="inlineStr">
        <is>
          <t>H48</t>
        </is>
      </c>
      <c r="B53" s="7" t="inlineStr">
        <is>
          <t>Alarm listesi özet adet</t>
        </is>
      </c>
      <c r="C53" s="7">
        <f>C21</f>
        <v/>
      </c>
    </row>
    <row r="54">
      <c r="A54" s="7" t="inlineStr">
        <is>
          <t>H49</t>
        </is>
      </c>
      <c r="B54" s="7" t="inlineStr">
        <is>
          <t>Varlık sağlık ort</t>
        </is>
      </c>
      <c r="C54" s="22">
        <f>IFERROR(AVERAGEIF(tblVarliklar[SaglikSkor],"&gt;0"),0)</f>
        <v/>
      </c>
    </row>
    <row r="55">
      <c r="A55" s="7" t="inlineStr">
        <is>
          <t>H50</t>
        </is>
      </c>
      <c r="B55" s="7" t="inlineStr">
        <is>
          <t>Tahmin FORECAST</t>
        </is>
      </c>
      <c r="C55" s="22">
        <f>IFERROR(FORECAST(C7+1,tblGunluk[FormulOee_oran],tblGunluk[FormulKayitDolu]),C45)</f>
        <v/>
      </c>
    </row>
    <row r="56">
      <c r="A56" s="7" t="inlineStr">
        <is>
          <t>H51</t>
        </is>
      </c>
      <c r="B56" s="7" t="inlineStr">
        <is>
          <t>Kök neden kırılım özet</t>
        </is>
      </c>
      <c r="C56" s="7">
        <f>_xlfn.TEXTJOIN("|",TRUE,"A",TEXT(C31,"0%"),"Y",TEXT(C32,"0%"),"M",TEXT(C33,"0%"),"O",TEXT(C34,"0%"))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conditionalFormatting sqref="C6">
    <cfRule type="cellIs" priority="1" operator="greaterThan" dxfId="3">
      <formula>0</formula>
    </cfRule>
    <cfRule type="cellIs" priority="2" operator="lessThan" dxfId="2">
      <formula>0</formula>
    </cfRule>
  </conditionalFormatting>
  <conditionalFormatting sqref="C7">
    <cfRule type="cellIs" priority="3" operator="greaterThan" dxfId="3">
      <formula>0</formula>
    </cfRule>
    <cfRule type="cellIs" priority="4" operator="lessThan" dxfId="2">
      <formula>0</formula>
    </cfRule>
  </conditionalFormatting>
  <conditionalFormatting sqref="C8">
    <cfRule type="cellIs" priority="5" operator="greaterThan" dxfId="3">
      <formula>0</formula>
    </cfRule>
    <cfRule type="cellIs" priority="6" operator="lessThan" dxfId="2">
      <formula>0</formula>
    </cfRule>
  </conditionalFormatting>
  <conditionalFormatting sqref="C9">
    <cfRule type="cellIs" priority="7" operator="greaterThan" dxfId="3">
      <formula>0</formula>
    </cfRule>
    <cfRule type="cellIs" priority="8" operator="lessThan" dxfId="2">
      <formula>0</formula>
    </cfRule>
  </conditionalFormatting>
  <conditionalFormatting sqref="C10">
    <cfRule type="cellIs" priority="9" operator="greaterThan" dxfId="3">
      <formula>0</formula>
    </cfRule>
    <cfRule type="cellIs" priority="10" operator="lessThan" dxfId="2">
      <formula>0</formula>
    </cfRule>
  </conditionalFormatting>
  <conditionalFormatting sqref="C11">
    <cfRule type="cellIs" priority="11" operator="greaterThan" dxfId="3">
      <formula>0</formula>
    </cfRule>
    <cfRule type="cellIs" priority="12" operator="lessThan" dxfId="2">
      <formula>0</formula>
    </cfRule>
  </conditionalFormatting>
  <conditionalFormatting sqref="C12">
    <cfRule type="cellIs" priority="13" operator="greaterThan" dxfId="3">
      <formula>0</formula>
    </cfRule>
    <cfRule type="cellIs" priority="14" operator="lessThan" dxfId="2">
      <formula>0</formula>
    </cfRule>
  </conditionalFormatting>
  <conditionalFormatting sqref="C13">
    <cfRule type="cellIs" priority="15" operator="greaterThan" dxfId="3">
      <formula>0</formula>
    </cfRule>
    <cfRule type="cellIs" priority="16" operator="lessThan" dxfId="2">
      <formula>0</formula>
    </cfRule>
  </conditionalFormatting>
  <conditionalFormatting sqref="C14">
    <cfRule type="cellIs" priority="17" operator="greaterThan" dxfId="3">
      <formula>0</formula>
    </cfRule>
    <cfRule type="cellIs" priority="18" operator="lessThan" dxfId="2">
      <formula>0</formula>
    </cfRule>
  </conditionalFormatting>
  <conditionalFormatting sqref="C15">
    <cfRule type="cellIs" priority="19" operator="greaterThan" dxfId="3">
      <formula>0</formula>
    </cfRule>
    <cfRule type="cellIs" priority="20" operator="lessThan" dxfId="2">
      <formula>0</formula>
    </cfRule>
  </conditionalFormatting>
  <conditionalFormatting sqref="C16">
    <cfRule type="cellIs" priority="21" operator="greaterThan" dxfId="3">
      <formula>0</formula>
    </cfRule>
    <cfRule type="cellIs" priority="22" operator="lessThan" dxfId="2">
      <formula>0</formula>
    </cfRule>
  </conditionalFormatting>
  <conditionalFormatting sqref="C17">
    <cfRule type="cellIs" priority="23" operator="greaterThan" dxfId="3">
      <formula>0</formula>
    </cfRule>
    <cfRule type="cellIs" priority="24" operator="lessThan" dxfId="2">
      <formula>0</formula>
    </cfRule>
  </conditionalFormatting>
  <conditionalFormatting sqref="C18">
    <cfRule type="cellIs" priority="25" operator="greaterThan" dxfId="3">
      <formula>0</formula>
    </cfRule>
    <cfRule type="cellIs" priority="26" operator="lessThan" dxfId="2">
      <formula>0</formula>
    </cfRule>
  </conditionalFormatting>
  <conditionalFormatting sqref="C19">
    <cfRule type="cellIs" priority="27" operator="greaterThan" dxfId="3">
      <formula>0</formula>
    </cfRule>
    <cfRule type="cellIs" priority="28" operator="lessThan" dxfId="2">
      <formula>0</formula>
    </cfRule>
  </conditionalFormatting>
  <conditionalFormatting sqref="C20">
    <cfRule type="cellIs" priority="29" operator="greaterThan" dxfId="3">
      <formula>0</formula>
    </cfRule>
    <cfRule type="cellIs" priority="30" operator="lessThan" dxfId="2">
      <formula>0</formula>
    </cfRule>
  </conditionalFormatting>
  <conditionalFormatting sqref="C21">
    <cfRule type="cellIs" priority="31" operator="greaterThan" dxfId="3">
      <formula>0</formula>
    </cfRule>
    <cfRule type="cellIs" priority="32" operator="lessThan" dxfId="2">
      <formula>0</formula>
    </cfRule>
  </conditionalFormatting>
  <conditionalFormatting sqref="C22">
    <cfRule type="cellIs" priority="33" operator="greaterThan" dxfId="3">
      <formula>0</formula>
    </cfRule>
    <cfRule type="cellIs" priority="34" operator="lessThan" dxfId="2">
      <formula>0</formula>
    </cfRule>
  </conditionalFormatting>
  <conditionalFormatting sqref="C23">
    <cfRule type="cellIs" priority="35" operator="greaterThan" dxfId="3">
      <formula>0</formula>
    </cfRule>
    <cfRule type="cellIs" priority="36" operator="lessThan" dxfId="2">
      <formula>0</formula>
    </cfRule>
  </conditionalFormatting>
  <conditionalFormatting sqref="C24">
    <cfRule type="cellIs" priority="37" operator="greaterThan" dxfId="3">
      <formula>0</formula>
    </cfRule>
    <cfRule type="cellIs" priority="38" operator="lessThan" dxfId="2">
      <formula>0</formula>
    </cfRule>
  </conditionalFormatting>
  <conditionalFormatting sqref="C25">
    <cfRule type="cellIs" priority="39" operator="greaterThan" dxfId="3">
      <formula>0</formula>
    </cfRule>
    <cfRule type="cellIs" priority="40" operator="lessThan" dxfId="2">
      <formula>0</formula>
    </cfRule>
  </conditionalFormatting>
  <conditionalFormatting sqref="C26">
    <cfRule type="cellIs" priority="41" operator="greaterThan" dxfId="3">
      <formula>0</formula>
    </cfRule>
    <cfRule type="cellIs" priority="42" operator="lessThan" dxfId="2">
      <formula>0</formula>
    </cfRule>
  </conditionalFormatting>
  <conditionalFormatting sqref="C27">
    <cfRule type="cellIs" priority="43" operator="greaterThan" dxfId="3">
      <formula>0</formula>
    </cfRule>
    <cfRule type="cellIs" priority="44" operator="lessThan" dxfId="2">
      <formula>0</formula>
    </cfRule>
  </conditionalFormatting>
  <conditionalFormatting sqref="C28">
    <cfRule type="cellIs" priority="45" operator="greaterThan" dxfId="3">
      <formula>0</formula>
    </cfRule>
    <cfRule type="cellIs" priority="46" operator="lessThan" dxfId="2">
      <formula>0</formula>
    </cfRule>
  </conditionalFormatting>
  <conditionalFormatting sqref="C29">
    <cfRule type="cellIs" priority="47" operator="greaterThan" dxfId="3">
      <formula>0</formula>
    </cfRule>
    <cfRule type="cellIs" priority="48" operator="lessThan" dxfId="2">
      <formula>0</formula>
    </cfRule>
  </conditionalFormatting>
  <conditionalFormatting sqref="C30">
    <cfRule type="cellIs" priority="49" operator="greaterThan" dxfId="3">
      <formula>0</formula>
    </cfRule>
    <cfRule type="cellIs" priority="50" operator="lessThan" dxfId="2">
      <formula>0</formula>
    </cfRule>
  </conditionalFormatting>
  <conditionalFormatting sqref="C31">
    <cfRule type="cellIs" priority="51" operator="greaterThan" dxfId="3">
      <formula>0</formula>
    </cfRule>
    <cfRule type="cellIs" priority="52" operator="lessThan" dxfId="2">
      <formula>0</formula>
    </cfRule>
  </conditionalFormatting>
  <conditionalFormatting sqref="C32">
    <cfRule type="cellIs" priority="53" operator="greaterThan" dxfId="3">
      <formula>0</formula>
    </cfRule>
    <cfRule type="cellIs" priority="54" operator="lessThan" dxfId="2">
      <formula>0</formula>
    </cfRule>
  </conditionalFormatting>
  <conditionalFormatting sqref="C33">
    <cfRule type="cellIs" priority="55" operator="greaterThan" dxfId="3">
      <formula>0</formula>
    </cfRule>
    <cfRule type="cellIs" priority="56" operator="lessThan" dxfId="2">
      <formula>0</formula>
    </cfRule>
  </conditionalFormatting>
  <conditionalFormatting sqref="C34">
    <cfRule type="cellIs" priority="57" operator="greaterThan" dxfId="3">
      <formula>0</formula>
    </cfRule>
    <cfRule type="cellIs" priority="58" operator="lessThan" dxfId="2">
      <formula>0</formula>
    </cfRule>
  </conditionalFormatting>
  <conditionalFormatting sqref="C35">
    <cfRule type="cellIs" priority="59" operator="greaterThan" dxfId="3">
      <formula>0</formula>
    </cfRule>
    <cfRule type="cellIs" priority="60" operator="lessThan" dxfId="2">
      <formula>0</formula>
    </cfRule>
  </conditionalFormatting>
  <conditionalFormatting sqref="C36">
    <cfRule type="cellIs" priority="61" operator="greaterThan" dxfId="3">
      <formula>0</formula>
    </cfRule>
    <cfRule type="cellIs" priority="62" operator="lessThan" dxfId="2">
      <formula>0</formula>
    </cfRule>
  </conditionalFormatting>
  <conditionalFormatting sqref="C37">
    <cfRule type="cellIs" priority="63" operator="greaterThan" dxfId="3">
      <formula>0</formula>
    </cfRule>
    <cfRule type="cellIs" priority="64" operator="lessThan" dxfId="2">
      <formula>0</formula>
    </cfRule>
  </conditionalFormatting>
  <conditionalFormatting sqref="C38">
    <cfRule type="cellIs" priority="65" operator="greaterThan" dxfId="3">
      <formula>0</formula>
    </cfRule>
    <cfRule type="cellIs" priority="66" operator="lessThan" dxfId="2">
      <formula>0</formula>
    </cfRule>
  </conditionalFormatting>
  <conditionalFormatting sqref="C39">
    <cfRule type="cellIs" priority="67" operator="greaterThan" dxfId="3">
      <formula>0</formula>
    </cfRule>
    <cfRule type="cellIs" priority="68" operator="lessThan" dxfId="2">
      <formula>0</formula>
    </cfRule>
  </conditionalFormatting>
  <conditionalFormatting sqref="C40">
    <cfRule type="cellIs" priority="69" operator="greaterThan" dxfId="3">
      <formula>0</formula>
    </cfRule>
    <cfRule type="cellIs" priority="70" operator="lessThan" dxfId="2">
      <formula>0</formula>
    </cfRule>
  </conditionalFormatting>
  <conditionalFormatting sqref="C41">
    <cfRule type="cellIs" priority="71" operator="greaterThan" dxfId="3">
      <formula>0</formula>
    </cfRule>
    <cfRule type="cellIs" priority="72" operator="lessThan" dxfId="2">
      <formula>0</formula>
    </cfRule>
  </conditionalFormatting>
  <conditionalFormatting sqref="C42">
    <cfRule type="cellIs" priority="73" operator="greaterThan" dxfId="3">
      <formula>0</formula>
    </cfRule>
    <cfRule type="cellIs" priority="74" operator="lessThan" dxfId="2">
      <formula>0</formula>
    </cfRule>
  </conditionalFormatting>
  <conditionalFormatting sqref="C43">
    <cfRule type="cellIs" priority="75" operator="greaterThan" dxfId="3">
      <formula>0</formula>
    </cfRule>
    <cfRule type="cellIs" priority="76" operator="lessThan" dxfId="2">
      <formula>0</formula>
    </cfRule>
  </conditionalFormatting>
  <conditionalFormatting sqref="C44">
    <cfRule type="cellIs" priority="77" operator="greaterThan" dxfId="3">
      <formula>0</formula>
    </cfRule>
    <cfRule type="cellIs" priority="78" operator="lessThan" dxfId="2">
      <formula>0</formula>
    </cfRule>
  </conditionalFormatting>
  <conditionalFormatting sqref="C45">
    <cfRule type="cellIs" priority="79" operator="greaterThan" dxfId="3">
      <formula>0</formula>
    </cfRule>
    <cfRule type="cellIs" priority="80" operator="lessThan" dxfId="2">
      <formula>0</formula>
    </cfRule>
  </conditionalFormatting>
  <conditionalFormatting sqref="C46">
    <cfRule type="cellIs" priority="81" operator="greaterThan" dxfId="3">
      <formula>0</formula>
    </cfRule>
    <cfRule type="cellIs" priority="82" operator="lessThan" dxfId="2">
      <formula>0</formula>
    </cfRule>
  </conditionalFormatting>
  <conditionalFormatting sqref="C47">
    <cfRule type="cellIs" priority="83" operator="greaterThan" dxfId="3">
      <formula>0</formula>
    </cfRule>
    <cfRule type="cellIs" priority="84" operator="lessThan" dxfId="2">
      <formula>0</formula>
    </cfRule>
  </conditionalFormatting>
  <conditionalFormatting sqref="C48">
    <cfRule type="cellIs" priority="85" operator="greaterThan" dxfId="3">
      <formula>0</formula>
    </cfRule>
    <cfRule type="cellIs" priority="86" operator="lessThan" dxfId="2">
      <formula>0</formula>
    </cfRule>
  </conditionalFormatting>
  <conditionalFormatting sqref="C49">
    <cfRule type="cellIs" priority="87" operator="greaterThan" dxfId="3">
      <formula>0</formula>
    </cfRule>
    <cfRule type="cellIs" priority="88" operator="lessThan" dxfId="2">
      <formula>0</formula>
    </cfRule>
  </conditionalFormatting>
  <conditionalFormatting sqref="C50">
    <cfRule type="cellIs" priority="89" operator="greaterThan" dxfId="3">
      <formula>0</formula>
    </cfRule>
    <cfRule type="cellIs" priority="90" operator="lessThan" dxfId="2">
      <formula>0</formula>
    </cfRule>
  </conditionalFormatting>
  <conditionalFormatting sqref="C51">
    <cfRule type="cellIs" priority="91" operator="greaterThan" dxfId="3">
      <formula>0</formula>
    </cfRule>
    <cfRule type="cellIs" priority="92" operator="lessThan" dxfId="2">
      <formula>0</formula>
    </cfRule>
  </conditionalFormatting>
  <conditionalFormatting sqref="C52">
    <cfRule type="cellIs" priority="93" operator="greaterThan" dxfId="3">
      <formula>0</formula>
    </cfRule>
    <cfRule type="cellIs" priority="94" operator="lessThan" dxfId="2">
      <formula>0</formula>
    </cfRule>
  </conditionalFormatting>
  <conditionalFormatting sqref="C53">
    <cfRule type="cellIs" priority="95" operator="greaterThan" dxfId="3">
      <formula>0</formula>
    </cfRule>
    <cfRule type="cellIs" priority="96" operator="lessThan" dxfId="2">
      <formula>0</formula>
    </cfRule>
  </conditionalFormatting>
  <conditionalFormatting sqref="C54">
    <cfRule type="cellIs" priority="97" operator="greaterThan" dxfId="3">
      <formula>0</formula>
    </cfRule>
    <cfRule type="cellIs" priority="98" operator="lessThan" dxfId="2">
      <formula>0</formula>
    </cfRule>
  </conditionalFormatting>
  <conditionalFormatting sqref="C55">
    <cfRule type="cellIs" priority="99" operator="greaterThan" dxfId="3">
      <formula>0</formula>
    </cfRule>
    <cfRule type="cellIs" priority="100" operator="lessThan" dxfId="2">
      <formula>0</formula>
    </cfRule>
  </conditionalFormatting>
  <conditionalFormatting sqref="C56">
    <cfRule type="cellIs" priority="101" operator="greaterThan" dxfId="3">
      <formula>0</formula>
    </cfRule>
    <cfRule type="cellIs" priority="102" operator="lessThan" dxfId="2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A365D"/>
    <outlinePr summaryBelow="1" summaryRight="1"/>
    <pageSetUpPr fitToPage="1"/>
  </sheetPr>
  <dimension ref="A1:AC30"/>
  <sheetViews>
    <sheetView showGridLines="0" workbookViewId="0">
      <selection activeCell="A1" sqref="A1"/>
    </sheetView>
  </sheetViews>
  <sheetFormatPr baseColWidth="8" defaultRowHeight="15"/>
  <cols>
    <col width="22.5" customWidth="1" min="1" max="1"/>
    <col width="18.5" customWidth="1" min="2" max="2"/>
    <col width="13" customWidth="1" min="3" max="3"/>
    <col width="12" customWidth="1" min="4" max="4"/>
    <col width="40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33" t="inlineStr">
        <is>
          <t>PANO — OEE &amp; Duruş Kök-Neden Komutası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</row>
    <row r="2"/>
    <row r="3" ht="22" customHeight="1">
      <c r="A3" s="36" t="inlineStr">
        <is>
          <t>Karar panosu — OEE, duruş, kök neden, sezonsal trend</t>
        </is>
      </c>
    </row>
    <row r="4"/>
    <row r="5">
      <c r="A5" s="25" t="inlineStr">
        <is>
          <t>KARAR</t>
        </is>
      </c>
      <c r="B5" s="26">
        <f>odk_kararKapi</f>
        <v/>
      </c>
    </row>
    <row r="6">
      <c r="A6" s="21" t="inlineStr">
        <is>
          <t>Gösterge</t>
        </is>
      </c>
      <c r="B6" s="21" t="inlineStr">
        <is>
          <t>Değer</t>
        </is>
      </c>
    </row>
    <row r="7">
      <c r="A7" s="7" t="inlineStr">
        <is>
          <t>Dolu Kayıt</t>
        </is>
      </c>
      <c r="B7" s="27">
        <f>odk_doluKayit</f>
        <v/>
      </c>
      <c r="D7" s="24" t="inlineStr">
        <is>
          <t>Gerekçe</t>
        </is>
      </c>
      <c r="E7" s="8">
        <f>odk_kararGerekce</f>
        <v/>
      </c>
    </row>
    <row r="8">
      <c r="A8" s="7" t="inlineStr">
        <is>
          <t>Toplam Duruş dk</t>
        </is>
      </c>
      <c r="B8" s="27">
        <f>odk_toplamDurus</f>
        <v/>
      </c>
    </row>
    <row r="9">
      <c r="A9" s="7" t="inlineStr">
        <is>
          <t>Toplam Üretim adet</t>
        </is>
      </c>
      <c r="B9" s="27">
        <f>odk_toplamUretim</f>
        <v/>
      </c>
    </row>
    <row r="10">
      <c r="A10" s="7" t="inlineStr">
        <is>
          <t>OEE Oranı</t>
        </is>
      </c>
      <c r="B10" s="28">
        <f>odk_oeeOrani</f>
        <v/>
      </c>
      <c r="D10" s="13" t="inlineStr">
        <is>
          <t>Öneri 1</t>
        </is>
      </c>
      <c r="E10" s="8">
        <f>_xlfn.TEXTJOIN(" ",TRUE,"OEE",TEXT(odk_oeeOrani,"0.0%"),"— eşik",TEXT(odk_esikOee,"0.0%"))</f>
        <v/>
      </c>
    </row>
    <row r="11">
      <c r="A11" s="7" t="inlineStr">
        <is>
          <t>Kullanılabilirlik</t>
        </is>
      </c>
      <c r="B11" s="28">
        <f>odk_kullanilabilirlik</f>
        <v/>
      </c>
      <c r="D11" s="13" t="inlineStr">
        <is>
          <t>Öneri 2</t>
        </is>
      </c>
      <c r="E11" s="8">
        <f>_xlfn.TEXTJOIN(" ",TRUE,"Alarm",odk_alarmAdet,"adet — sağlık",TEXT(odk_saglikSkor,"0"))</f>
        <v/>
      </c>
    </row>
    <row r="12">
      <c r="A12" s="7" t="inlineStr">
        <is>
          <t>Performans</t>
        </is>
      </c>
      <c r="B12" s="28">
        <f>odk_performans</f>
        <v/>
      </c>
      <c r="D12" s="13" t="inlineStr">
        <is>
          <t>Öneri 3</t>
        </is>
      </c>
      <c r="E12" s="8">
        <f>_xlfn.TEXTJOIN(" ",TRUE,"Duruş",TEXT(odk_toplamDurus,"0"),"dk — kök",odk_kokNedenKirilim)</f>
        <v/>
      </c>
    </row>
    <row r="13">
      <c r="A13" s="7" t="inlineStr">
        <is>
          <t>Kalite Oranı</t>
        </is>
      </c>
      <c r="B13" s="28">
        <f>odk_kaliteOrani</f>
        <v/>
      </c>
    </row>
    <row r="14">
      <c r="A14" s="7" t="inlineStr">
        <is>
          <t>Günlük OEE Ort</t>
        </is>
      </c>
      <c r="B14" s="28">
        <f>odk_gunlukOeeOrt</f>
        <v/>
      </c>
    </row>
    <row r="15">
      <c r="A15" s="7" t="inlineStr">
        <is>
          <t>Sağlık Skor Ort</t>
        </is>
      </c>
      <c r="B15" s="27">
        <f>odk_saglikSkor</f>
        <v/>
      </c>
    </row>
    <row r="16">
      <c r="A16" s="7" t="inlineStr">
        <is>
          <t>Alarm Adet</t>
        </is>
      </c>
      <c r="B16" s="27">
        <f>odk_alarmAdet</f>
        <v/>
      </c>
    </row>
    <row r="17">
      <c r="A17" s="7" t="inlineStr">
        <is>
          <t>Yetim Kayıt</t>
        </is>
      </c>
      <c r="B17" s="27">
        <f>odk_yetimAdet</f>
        <v/>
      </c>
    </row>
    <row r="18">
      <c r="A18" s="7" t="inlineStr">
        <is>
          <t>Kalite Skor</t>
        </is>
      </c>
      <c r="B18" s="27">
        <f>odk_kaliteSkor</f>
        <v/>
      </c>
    </row>
    <row r="19">
      <c r="A19" s="7" t="inlineStr">
        <is>
          <t>Tornado Zirve</t>
        </is>
      </c>
      <c r="B19" s="27">
        <f>odk_tornadoZirve</f>
        <v/>
      </c>
    </row>
    <row r="20">
      <c r="A20" s="7" t="inlineStr">
        <is>
          <t>Kök Neden Kırılım</t>
        </is>
      </c>
      <c r="B20" s="13">
        <f>odk_kokNedenKirilim</f>
        <v/>
      </c>
    </row>
    <row r="21"/>
    <row r="22">
      <c r="A22" s="7" t="inlineStr">
        <is>
          <t>KokNeden</t>
        </is>
      </c>
      <c r="B22" s="7" t="inlineStr">
        <is>
          <t>Adet</t>
        </is>
      </c>
      <c r="D22" s="7" t="inlineStr">
        <is>
          <t>Senaryo</t>
        </is>
      </c>
      <c r="E22" s="7" t="inlineStr">
        <is>
          <t>OEE</t>
        </is>
      </c>
      <c r="G22" s="7" t="inlineStr">
        <is>
          <t>Hafta</t>
        </is>
      </c>
      <c r="H22" s="7" t="inlineStr">
        <is>
          <t>Durus</t>
        </is>
      </c>
      <c r="J22" s="7" t="inlineStr">
        <is>
          <t>Ay</t>
        </is>
      </c>
      <c r="K22" s="7" t="inlineStr">
        <is>
          <t>OEE</t>
        </is>
      </c>
    </row>
    <row r="23">
      <c r="A23" s="7" t="inlineStr">
        <is>
          <t>ARIZA</t>
        </is>
      </c>
      <c r="B23" s="22" t="n">
        <v>9</v>
      </c>
      <c r="D23" s="7" t="inlineStr">
        <is>
          <t>Temkinli</t>
        </is>
      </c>
      <c r="E23" s="23" t="n">
        <v>0.58</v>
      </c>
      <c r="G23" s="7" t="inlineStr">
        <is>
          <t>H1</t>
        </is>
      </c>
      <c r="H23" s="22" t="n">
        <v>135</v>
      </c>
      <c r="J23" s="7" t="inlineStr">
        <is>
          <t>Haziran</t>
        </is>
      </c>
      <c r="K23" s="23" t="n">
        <v>0.62</v>
      </c>
    </row>
    <row r="24">
      <c r="A24" s="7" t="inlineStr">
        <is>
          <t>AYAR</t>
        </is>
      </c>
      <c r="B24" s="22" t="n">
        <v>7</v>
      </c>
      <c r="D24" s="7" t="inlineStr">
        <is>
          <t>Baz</t>
        </is>
      </c>
      <c r="E24" s="23" t="n">
        <v>0.68</v>
      </c>
      <c r="G24" s="7" t="inlineStr">
        <is>
          <t>H2</t>
        </is>
      </c>
      <c r="H24" s="22" t="n">
        <v>150</v>
      </c>
      <c r="J24" s="7" t="inlineStr">
        <is>
          <t>Temmuz</t>
        </is>
      </c>
      <c r="K24" s="23" t="n">
        <v>0.68</v>
      </c>
    </row>
    <row r="25">
      <c r="A25" s="7" t="inlineStr">
        <is>
          <t>MALZEME</t>
        </is>
      </c>
      <c r="B25" s="22" t="n">
        <v>6</v>
      </c>
      <c r="D25" s="7" t="inlineStr">
        <is>
          <t>İyimser</t>
        </is>
      </c>
      <c r="E25" s="23" t="n">
        <v>0.78</v>
      </c>
      <c r="G25" s="7" t="inlineStr">
        <is>
          <t>H3</t>
        </is>
      </c>
      <c r="H25" s="22" t="n">
        <v>165</v>
      </c>
      <c r="J25" s="7" t="inlineStr">
        <is>
          <t>Agustos</t>
        </is>
      </c>
      <c r="K25" s="23" t="n">
        <v>0.72</v>
      </c>
    </row>
    <row r="26">
      <c r="A26" s="7" t="inlineStr">
        <is>
          <t>OPERATOR</t>
        </is>
      </c>
      <c r="B26" s="22" t="n">
        <v>5</v>
      </c>
      <c r="G26" s="7" t="inlineStr">
        <is>
          <t>H4</t>
        </is>
      </c>
      <c r="H26" s="22" t="n">
        <v>180</v>
      </c>
      <c r="J26" s="7" t="inlineStr">
        <is>
          <t>Eylul</t>
        </is>
      </c>
      <c r="K26" s="23" t="n">
        <v>0.76</v>
      </c>
    </row>
    <row r="27">
      <c r="G27" s="7" t="inlineStr">
        <is>
          <t>H5</t>
        </is>
      </c>
      <c r="H27" s="22" t="n">
        <v>195</v>
      </c>
    </row>
    <row r="28">
      <c r="G28" s="7" t="inlineStr">
        <is>
          <t>H6</t>
        </is>
      </c>
      <c r="H28" s="22" t="n">
        <v>210</v>
      </c>
    </row>
    <row r="29">
      <c r="G29" s="7" t="inlineStr">
        <is>
          <t>H7</t>
        </is>
      </c>
      <c r="H29" s="22" t="n">
        <v>225</v>
      </c>
    </row>
    <row r="30">
      <c r="G30" s="7" t="inlineStr">
        <is>
          <t>H8</t>
        </is>
      </c>
      <c r="H30" s="22" t="n">
        <v>240</v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A3:I3"/>
    <mergeCell ref="E7:H8"/>
  </mergeCells>
  <conditionalFormatting sqref="B5">
    <cfRule type="cellIs" priority="1" operator="equal" dxfId="4">
      <formula>"UYGUN"</formula>
    </cfRule>
    <cfRule type="cellIs" priority="2" operator="equal" dxfId="0">
      <formula>"DİKKAT"</formula>
    </cfRule>
    <cfRule type="cellIs" priority="3" operator="equal" dxfId="1">
      <formula>"KRİTİK"</formula>
    </cfRule>
    <cfRule type="cellIs" priority="4" operator="equal" dxfId="1">
      <formula>"VERİ YOK"</formula>
    </cfRule>
  </conditionalFormatting>
  <conditionalFormatting sqref="B7">
    <cfRule type="cellIs" priority="5" operator="greaterThan" dxfId="3">
      <formula>0</formula>
    </cfRule>
  </conditionalFormatting>
  <conditionalFormatting sqref="B8">
    <cfRule type="cellIs" priority="6" operator="greaterThan" dxfId="3">
      <formula>0</formula>
    </cfRule>
  </conditionalFormatting>
  <conditionalFormatting sqref="B9">
    <cfRule type="cellIs" priority="7" operator="greaterThan" dxfId="3">
      <formula>0</formula>
    </cfRule>
  </conditionalFormatting>
  <conditionalFormatting sqref="B10">
    <cfRule type="cellIs" priority="8" operator="greaterThan" dxfId="3">
      <formula>0</formula>
    </cfRule>
  </conditionalFormatting>
  <conditionalFormatting sqref="B11">
    <cfRule type="cellIs" priority="9" operator="greaterThan" dxfId="3">
      <formula>0</formula>
    </cfRule>
  </conditionalFormatting>
  <conditionalFormatting sqref="B12">
    <cfRule type="cellIs" priority="10" operator="greaterThan" dxfId="3">
      <formula>0</formula>
    </cfRule>
  </conditionalFormatting>
  <conditionalFormatting sqref="B13">
    <cfRule type="cellIs" priority="11" operator="greaterThan" dxfId="3">
      <formula>0</formula>
    </cfRule>
  </conditionalFormatting>
  <conditionalFormatting sqref="B14">
    <cfRule type="cellIs" priority="12" operator="greaterThan" dxfId="3">
      <formula>0</formula>
    </cfRule>
  </conditionalFormatting>
  <conditionalFormatting sqref="B15">
    <cfRule type="cellIs" priority="13" operator="greaterThan" dxfId="3">
      <formula>0</formula>
    </cfRule>
  </conditionalFormatting>
  <conditionalFormatting sqref="B16">
    <cfRule type="cellIs" priority="14" operator="greaterThan" dxfId="3">
      <formula>0</formula>
    </cfRule>
  </conditionalFormatting>
  <conditionalFormatting sqref="B17">
    <cfRule type="cellIs" priority="15" operator="greaterThan" dxfId="3">
      <formula>0</formula>
    </cfRule>
  </conditionalFormatting>
  <conditionalFormatting sqref="B18">
    <cfRule type="cellIs" priority="16" operator="greaterThan" dxfId="3">
      <formula>0</formula>
    </cfRule>
  </conditionalFormatting>
  <conditionalFormatting sqref="B19">
    <cfRule type="cellIs" priority="17" operator="greaterThan" dxfId="3">
      <formula>0</formula>
    </cfRule>
  </conditionalFormatting>
  <conditionalFormatting sqref="B20">
    <cfRule type="cellIs" priority="18" operator="greaterThan" dxfId="3">
      <formula>0</formula>
    </cfRule>
  </conditionalFormatting>
  <pageMargins left="0.4" right="0.4" top="0.5" bottom="0.5" header="0.5" footer="0.5"/>
  <pageSetup orientation="landscape" paperSize="9" fitToHeight="1" fitToWidth="1"/>
  <headerFooter>
    <oddHeader/>
    <oddFooter>&amp;LOEE &amp; Duruş Kök-Neden Komutası | Pano | 1.0.0&amp;CExcelArşiv&amp;RSayfa &amp;P / &amp;N</oddFooter>
    <evenHeader/>
    <evenFooter>&amp;LOEE &amp; Duruş Kök-Neden Komutası | Pano | 1.0.0&amp;CExcelArşiv&amp;RSayfa &amp;P / &amp;N</evenFooter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1A365D"/>
    <outlinePr summaryBelow="1" summaryRight="1"/>
    <pageSetUpPr/>
  </sheetPr>
  <dimension ref="A1:AC18"/>
  <sheetViews>
    <sheetView showGridLines="0" workbookViewId="0">
      <selection activeCell="A1" sqref="A1"/>
    </sheetView>
  </sheetViews>
  <sheetFormatPr baseColWidth="8" defaultRowHeight="15"/>
  <cols>
    <col width="22.5" customWidth="1" min="1" max="1"/>
    <col width="12" customWidth="1" min="2" max="2"/>
    <col width="12" customWidth="1" min="3" max="3"/>
    <col width="16.5" customWidth="1" min="4" max="4"/>
    <col width="12" customWidth="1" min="5" max="5"/>
    <col width="15.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33" t="inlineStr">
        <is>
          <t>ALARMLAR — OEE &amp; Duruş Kök-Neden Komutası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</row>
    <row r="2"/>
    <row r="3" ht="22" customHeight="1">
      <c r="A3" s="36" t="inlineStr">
        <is>
          <t>Alarm listesi — varlık + eşik + süre (S05)</t>
        </is>
      </c>
    </row>
    <row r="4"/>
    <row r="5">
      <c r="A5" s="21" t="inlineStr">
        <is>
          <t>Varlık</t>
        </is>
      </c>
      <c r="B5" s="21" t="inlineStr">
        <is>
          <t>Alarm</t>
        </is>
      </c>
      <c r="C5" s="21" t="inlineStr">
        <is>
          <t>Eşik</t>
        </is>
      </c>
      <c r="D5" s="21" t="inlineStr">
        <is>
          <t>Süre / Tarih</t>
        </is>
      </c>
      <c r="E5" s="21" t="inlineStr">
        <is>
          <t>OEE Ort</t>
        </is>
      </c>
      <c r="F5" s="21" t="inlineStr">
        <is>
          <t>Sağlık Skor</t>
        </is>
      </c>
    </row>
    <row r="6">
      <c r="A6" s="7" t="inlineStr">
        <is>
          <t>MAK-00001</t>
        </is>
      </c>
      <c r="B6" s="7">
        <f>IF(OR(COUNTIFS(tblGunluk[VarlikId],A6,tblGunluk[AlarmBayrak],"ALARM")&gt;0,IFERROR(SUMIF(tblVarliklar[VarlikId],A6,tblVarliklar[SaglikSkor]),100)&lt;odk_esikSaglik),"ALARM","YOK")</f>
        <v/>
      </c>
      <c r="C6" s="23">
        <f>IFERROR(ABS(E6-odk_esikOee),0)</f>
        <v/>
      </c>
      <c r="D6" s="38">
        <f>raporTarihi</f>
        <v/>
      </c>
      <c r="E6" s="23">
        <f>IFERROR(SUMIF(tblVarliklar[VarlikId],A6,tblVarliklar[OrtOee]),0)</f>
        <v/>
      </c>
      <c r="F6" s="22">
        <f>IFERROR(SUMIF(tblVarliklar[VarlikId],A6,tblVarliklar[SaglikSkor]),0)</f>
        <v/>
      </c>
    </row>
    <row r="7">
      <c r="A7" s="7" t="inlineStr">
        <is>
          <t>MAK-00002</t>
        </is>
      </c>
      <c r="B7" s="7">
        <f>IF(OR(COUNTIFS(tblGunluk[VarlikId],A7,tblGunluk[AlarmBayrak],"ALARM")&gt;0,IFERROR(SUMIF(tblVarliklar[VarlikId],A7,tblVarliklar[SaglikSkor]),100)&lt;odk_esikSaglik),"ALARM","YOK")</f>
        <v/>
      </c>
      <c r="C7" s="23">
        <f>IFERROR(ABS(E7-odk_esikOee),0)</f>
        <v/>
      </c>
      <c r="D7" s="38">
        <f>raporTarihi</f>
        <v/>
      </c>
      <c r="E7" s="23">
        <f>IFERROR(SUMIF(tblVarliklar[VarlikId],A7,tblVarliklar[OrtOee]),0)</f>
        <v/>
      </c>
      <c r="F7" s="22">
        <f>IFERROR(SUMIF(tblVarliklar[VarlikId],A7,tblVarliklar[SaglikSkor]),0)</f>
        <v/>
      </c>
    </row>
    <row r="8">
      <c r="A8" s="7" t="inlineStr">
        <is>
          <t>MAK-00003</t>
        </is>
      </c>
      <c r="B8" s="7">
        <f>IF(OR(COUNTIFS(tblGunluk[VarlikId],A8,tblGunluk[AlarmBayrak],"ALARM")&gt;0,IFERROR(SUMIF(tblVarliklar[VarlikId],A8,tblVarliklar[SaglikSkor]),100)&lt;odk_esikSaglik),"ALARM","YOK")</f>
        <v/>
      </c>
      <c r="C8" s="23">
        <f>IFERROR(ABS(E8-odk_esikOee),0)</f>
        <v/>
      </c>
      <c r="D8" s="38">
        <f>raporTarihi</f>
        <v/>
      </c>
      <c r="E8" s="23">
        <f>IFERROR(SUMIF(tblVarliklar[VarlikId],A8,tblVarliklar[OrtOee]),0)</f>
        <v/>
      </c>
      <c r="F8" s="22">
        <f>IFERROR(SUMIF(tblVarliklar[VarlikId],A8,tblVarliklar[SaglikSkor]),0)</f>
        <v/>
      </c>
    </row>
    <row r="9">
      <c r="A9" s="7" t="inlineStr">
        <is>
          <t>MAK-00004</t>
        </is>
      </c>
      <c r="B9" s="7">
        <f>IF(OR(COUNTIFS(tblGunluk[VarlikId],A9,tblGunluk[AlarmBayrak],"ALARM")&gt;0,IFERROR(SUMIF(tblVarliklar[VarlikId],A9,tblVarliklar[SaglikSkor]),100)&lt;odk_esikSaglik),"ALARM","YOK")</f>
        <v/>
      </c>
      <c r="C9" s="23">
        <f>IFERROR(ABS(E9-odk_esikOee),0)</f>
        <v/>
      </c>
      <c r="D9" s="38">
        <f>raporTarihi</f>
        <v/>
      </c>
      <c r="E9" s="23">
        <f>IFERROR(SUMIF(tblVarliklar[VarlikId],A9,tblVarliklar[OrtOee]),0)</f>
        <v/>
      </c>
      <c r="F9" s="22">
        <f>IFERROR(SUMIF(tblVarliklar[VarlikId],A9,tblVarliklar[SaglikSkor]),0)</f>
        <v/>
      </c>
    </row>
    <row r="10">
      <c r="A10" s="7" t="inlineStr">
        <is>
          <t>MAK-00005</t>
        </is>
      </c>
      <c r="B10" s="7">
        <f>IF(OR(COUNTIFS(tblGunluk[VarlikId],A10,tblGunluk[AlarmBayrak],"ALARM")&gt;0,IFERROR(SUMIF(tblVarliklar[VarlikId],A10,tblVarliklar[SaglikSkor]),100)&lt;odk_esikSaglik),"ALARM","YOK")</f>
        <v/>
      </c>
      <c r="C10" s="23">
        <f>IFERROR(ABS(E10-odk_esikOee),0)</f>
        <v/>
      </c>
      <c r="D10" s="38">
        <f>raporTarihi</f>
        <v/>
      </c>
      <c r="E10" s="23">
        <f>IFERROR(SUMIF(tblVarliklar[VarlikId],A10,tblVarliklar[OrtOee]),0)</f>
        <v/>
      </c>
      <c r="F10" s="22">
        <f>IFERROR(SUMIF(tblVarliklar[VarlikId],A10,tblVarliklar[SaglikSkor]),0)</f>
        <v/>
      </c>
    </row>
    <row r="11">
      <c r="A11" s="7" t="inlineStr">
        <is>
          <t>MAK-00006</t>
        </is>
      </c>
      <c r="B11" s="7">
        <f>IF(OR(COUNTIFS(tblGunluk[VarlikId],A11,tblGunluk[AlarmBayrak],"ALARM")&gt;0,IFERROR(SUMIF(tblVarliklar[VarlikId],A11,tblVarliklar[SaglikSkor]),100)&lt;odk_esikSaglik),"ALARM","YOK")</f>
        <v/>
      </c>
      <c r="C11" s="23">
        <f>IFERROR(ABS(E11-odk_esikOee),0)</f>
        <v/>
      </c>
      <c r="D11" s="38">
        <f>raporTarihi</f>
        <v/>
      </c>
      <c r="E11" s="23">
        <f>IFERROR(SUMIF(tblVarliklar[VarlikId],A11,tblVarliklar[OrtOee]),0)</f>
        <v/>
      </c>
      <c r="F11" s="22">
        <f>IFERROR(SUMIF(tblVarliklar[VarlikId],A11,tblVarliklar[SaglikSkor]),0)</f>
        <v/>
      </c>
    </row>
    <row r="12">
      <c r="A12" s="7" t="inlineStr">
        <is>
          <t>MAK-00007</t>
        </is>
      </c>
      <c r="B12" s="7">
        <f>IF(OR(COUNTIFS(tblGunluk[VarlikId],A12,tblGunluk[AlarmBayrak],"ALARM")&gt;0,IFERROR(SUMIF(tblVarliklar[VarlikId],A12,tblVarliklar[SaglikSkor]),100)&lt;odk_esikSaglik),"ALARM","YOK")</f>
        <v/>
      </c>
      <c r="C12" s="23">
        <f>IFERROR(ABS(E12-odk_esikOee),0)</f>
        <v/>
      </c>
      <c r="D12" s="38">
        <f>raporTarihi</f>
        <v/>
      </c>
      <c r="E12" s="23">
        <f>IFERROR(SUMIF(tblVarliklar[VarlikId],A12,tblVarliklar[OrtOee]),0)</f>
        <v/>
      </c>
      <c r="F12" s="22">
        <f>IFERROR(SUMIF(tblVarliklar[VarlikId],A12,tblVarliklar[SaglikSkor]),0)</f>
        <v/>
      </c>
    </row>
    <row r="13">
      <c r="A13" s="7" t="inlineStr">
        <is>
          <t>MAK-00008</t>
        </is>
      </c>
      <c r="B13" s="7">
        <f>IF(OR(COUNTIFS(tblGunluk[VarlikId],A13,tblGunluk[AlarmBayrak],"ALARM")&gt;0,IFERROR(SUMIF(tblVarliklar[VarlikId],A13,tblVarliklar[SaglikSkor]),100)&lt;odk_esikSaglik),"ALARM","YOK")</f>
        <v/>
      </c>
      <c r="C13" s="23">
        <f>IFERROR(ABS(E13-odk_esikOee),0)</f>
        <v/>
      </c>
      <c r="D13" s="38">
        <f>raporTarihi</f>
        <v/>
      </c>
      <c r="E13" s="23">
        <f>IFERROR(SUMIF(tblVarliklar[VarlikId],A13,tblVarliklar[OrtOee]),0)</f>
        <v/>
      </c>
      <c r="F13" s="22">
        <f>IFERROR(SUMIF(tblVarliklar[VarlikId],A13,tblVarliklar[SaglikSkor]),0)</f>
        <v/>
      </c>
    </row>
    <row r="14"/>
    <row r="15"/>
    <row r="16">
      <c r="A16" s="13" t="inlineStr">
        <is>
          <t>Alarm Özeti</t>
        </is>
      </c>
      <c r="B16" s="8">
        <f>odk_alarmListesi</f>
        <v/>
      </c>
    </row>
    <row r="17"/>
    <row r="18">
      <c r="A18" s="13" t="inlineStr">
        <is>
          <t>Toplam Alarm Satır</t>
        </is>
      </c>
      <c r="B18" s="22">
        <f>COUNTIF(B6:B13,"ALARM")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A3:I3"/>
    <mergeCell ref="B16:F16"/>
  </mergeCells>
  <conditionalFormatting sqref="B6:B13">
    <cfRule type="cellIs" priority="1" operator="equal" dxfId="1">
      <formula>"ALARM"</formula>
    </cfRule>
    <cfRule type="cellIs" priority="2" operator="equal" dxfId="4">
      <formula>"YOK"</formula>
    </cfRule>
  </conditionalFormatting>
  <conditionalFormatting sqref="E6">
    <cfRule type="cellIs" priority="3" operator="lessThan" dxfId="0">
      <formula>odk_esikOee</formula>
    </cfRule>
  </conditionalFormatting>
  <conditionalFormatting sqref="F6">
    <cfRule type="cellIs" priority="4" operator="lessThan" dxfId="2">
      <formula>odk_esikSaglik</formula>
    </cfRule>
  </conditionalFormatting>
  <conditionalFormatting sqref="E7">
    <cfRule type="cellIs" priority="5" operator="lessThan" dxfId="0">
      <formula>odk_esikOee</formula>
    </cfRule>
  </conditionalFormatting>
  <conditionalFormatting sqref="F7">
    <cfRule type="cellIs" priority="6" operator="lessThan" dxfId="2">
      <formula>odk_esikSaglik</formula>
    </cfRule>
  </conditionalFormatting>
  <conditionalFormatting sqref="E8">
    <cfRule type="cellIs" priority="7" operator="lessThan" dxfId="0">
      <formula>odk_esikOee</formula>
    </cfRule>
  </conditionalFormatting>
  <conditionalFormatting sqref="F8">
    <cfRule type="cellIs" priority="8" operator="lessThan" dxfId="2">
      <formula>odk_esikSaglik</formula>
    </cfRule>
  </conditionalFormatting>
  <conditionalFormatting sqref="E9">
    <cfRule type="cellIs" priority="9" operator="lessThan" dxfId="0">
      <formula>odk_esikOee</formula>
    </cfRule>
  </conditionalFormatting>
  <conditionalFormatting sqref="F9">
    <cfRule type="cellIs" priority="10" operator="lessThan" dxfId="2">
      <formula>odk_esikSaglik</formula>
    </cfRule>
  </conditionalFormatting>
  <conditionalFormatting sqref="E10">
    <cfRule type="cellIs" priority="11" operator="lessThan" dxfId="0">
      <formula>odk_esikOee</formula>
    </cfRule>
  </conditionalFormatting>
  <conditionalFormatting sqref="F10">
    <cfRule type="cellIs" priority="12" operator="lessThan" dxfId="2">
      <formula>odk_esikSaglik</formula>
    </cfRule>
  </conditionalFormatting>
  <conditionalFormatting sqref="E11">
    <cfRule type="cellIs" priority="13" operator="lessThan" dxfId="0">
      <formula>odk_esikOee</formula>
    </cfRule>
  </conditionalFormatting>
  <conditionalFormatting sqref="F11">
    <cfRule type="cellIs" priority="14" operator="lessThan" dxfId="2">
      <formula>odk_esikSaglik</formula>
    </cfRule>
  </conditionalFormatting>
  <conditionalFormatting sqref="E12">
    <cfRule type="cellIs" priority="15" operator="lessThan" dxfId="0">
      <formula>odk_esikOee</formula>
    </cfRule>
  </conditionalFormatting>
  <conditionalFormatting sqref="F12">
    <cfRule type="cellIs" priority="16" operator="lessThan" dxfId="2">
      <formula>odk_esikSaglik</formula>
    </cfRule>
  </conditionalFormatting>
  <conditionalFormatting sqref="E13">
    <cfRule type="cellIs" priority="17" operator="lessThan" dxfId="0">
      <formula>odk_esikOee</formula>
    </cfRule>
  </conditionalFormatting>
  <conditionalFormatting sqref="F13">
    <cfRule type="cellIs" priority="18" operator="lessThan" dxfId="2">
      <formula>odk_esikSaglik</formula>
    </cfRule>
  </conditionalFormatting>
  <dataValidations count="8">
    <dataValidation sqref="A6" showDropDown="0" showInputMessage="1" showErrorMessage="1" allowBlank="1" errorTitle="Varlık" error="Boş olamaz" promptTitle="Varlık" prompt="Varlık kimliği" type="textLength" errorStyle="stop" operator="greaterThan">
      <formula1>1</formula1>
      <formula2>40</formula2>
    </dataValidation>
    <dataValidation sqref="A7" showDropDown="0" showInputMessage="1" showErrorMessage="1" allowBlank="1" errorTitle="Varlık" error="Boş olamaz" promptTitle="Varlık" prompt="Varlık kimliği" type="textLength" errorStyle="stop" operator="greaterThan">
      <formula1>1</formula1>
      <formula2>40</formula2>
    </dataValidation>
    <dataValidation sqref="A8" showDropDown="0" showInputMessage="1" showErrorMessage="1" allowBlank="1" errorTitle="Varlık" error="Boş olamaz" promptTitle="Varlık" prompt="Varlık kimliği" type="textLength" errorStyle="stop" operator="greaterThan">
      <formula1>1</formula1>
      <formula2>40</formula2>
    </dataValidation>
    <dataValidation sqref="A9" showDropDown="0" showInputMessage="1" showErrorMessage="1" allowBlank="1" errorTitle="Varlık" error="Boş olamaz" promptTitle="Varlık" prompt="Varlık kimliği" type="textLength" errorStyle="stop" operator="greaterThan">
      <formula1>1</formula1>
      <formula2>40</formula2>
    </dataValidation>
    <dataValidation sqref="A10" showDropDown="0" showInputMessage="1" showErrorMessage="1" allowBlank="1" errorTitle="Varlık" error="Boş olamaz" promptTitle="Varlık" prompt="Varlık kimliği" type="textLength" errorStyle="stop" operator="greaterThan">
      <formula1>1</formula1>
      <formula2>40</formula2>
    </dataValidation>
    <dataValidation sqref="A11" showDropDown="0" showInputMessage="1" showErrorMessage="1" allowBlank="1" errorTitle="Varlık" error="Boş olamaz" promptTitle="Varlık" prompt="Varlık kimliği" type="textLength" errorStyle="stop" operator="greaterThan">
      <formula1>1</formula1>
      <formula2>40</formula2>
    </dataValidation>
    <dataValidation sqref="A12" showDropDown="0" showInputMessage="1" showErrorMessage="1" allowBlank="1" errorTitle="Varlık" error="Boş olamaz" promptTitle="Varlık" prompt="Varlık kimliği" type="textLength" errorStyle="stop" operator="greaterThan">
      <formula1>1</formula1>
      <formula2>40</formula2>
    </dataValidation>
    <dataValidation sqref="A13" showDropDown="0" showInputMessage="1" showErrorMessage="1" allowBlank="1" errorTitle="Varlık" error="Boş olamaz" promptTitle="Varlık" prompt="Varlık kimliği" type="textLength" errorStyle="stop" operator="greaterThan">
      <formula1>1</formula1>
      <formula2>40</formula2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A365D"/>
    <outlinePr summaryBelow="1" summaryRight="1"/>
    <pageSetUpPr fitToPage="1"/>
  </sheetPr>
  <dimension ref="A1:AC33"/>
  <sheetViews>
    <sheetView showGridLines="0" workbookViewId="0">
      <selection activeCell="A1" sqref="A1"/>
    </sheetView>
  </sheetViews>
  <sheetFormatPr baseColWidth="8" defaultRowHeight="15"/>
  <cols>
    <col width="197.5" customWidth="1" min="1" max="1"/>
    <col width="34.5" customWidth="1" min="2" max="2"/>
    <col width="1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33" t="inlineStr">
        <is>
          <t>RAPOR — OEE &amp; Duruş Kök-Neden Komutası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</row>
    <row r="2"/>
    <row r="3" ht="22" customHeight="1">
      <c r="A3" s="36" t="inlineStr">
        <is>
          <t>Dönemsel yönetim raporu — yazdırılabilir kanıt</t>
        </is>
      </c>
    </row>
    <row r="4"/>
    <row r="5">
      <c r="A5" s="13" t="inlineStr">
        <is>
          <t>Ürün</t>
        </is>
      </c>
      <c r="B5" s="7" t="inlineStr">
        <is>
          <t>OEE &amp; Duruş Kök-Neden Komutası</t>
        </is>
      </c>
    </row>
    <row r="6">
      <c r="A6" s="13" t="inlineStr">
        <is>
          <t>Sürüm</t>
        </is>
      </c>
      <c r="B6" s="7" t="inlineStr">
        <is>
          <t>1.0.0</t>
        </is>
      </c>
    </row>
    <row r="7">
      <c r="A7" s="13" t="inlineStr">
        <is>
          <t>Rapor Tarihi</t>
        </is>
      </c>
      <c r="B7" s="38">
        <f>raporTarihi</f>
        <v/>
      </c>
    </row>
    <row r="8">
      <c r="A8" s="13" t="inlineStr">
        <is>
          <t>Firma</t>
        </is>
      </c>
      <c r="B8" s="7">
        <f>odk_firmaUnvan</f>
        <v/>
      </c>
    </row>
    <row r="9"/>
    <row r="10">
      <c r="A10" s="30" t="inlineStr">
        <is>
          <t>KARAR</t>
        </is>
      </c>
      <c r="B10" s="31">
        <f>odk_kararKapi</f>
        <v/>
      </c>
    </row>
    <row r="11">
      <c r="A11" s="7" t="inlineStr">
        <is>
          <t>OEE Oranı</t>
        </is>
      </c>
      <c r="B11" s="23">
        <f>odk_oeeOrani</f>
        <v/>
      </c>
    </row>
    <row r="12">
      <c r="A12" s="7" t="inlineStr">
        <is>
          <t>Toplam Duruş dk</t>
        </is>
      </c>
      <c r="B12" s="22">
        <f>odk_toplamDurus</f>
        <v/>
      </c>
    </row>
    <row r="13">
      <c r="A13" s="7" t="inlineStr">
        <is>
          <t>Toplam Üretim adet</t>
        </is>
      </c>
      <c r="B13" s="22">
        <f>odk_toplamUretim</f>
        <v/>
      </c>
    </row>
    <row r="14">
      <c r="A14" s="7" t="inlineStr">
        <is>
          <t>Sağlık Skor</t>
        </is>
      </c>
      <c r="B14" s="22">
        <f>odk_saglikSkor</f>
        <v/>
      </c>
    </row>
    <row r="15">
      <c r="A15" s="7" t="inlineStr">
        <is>
          <t>Alarm Adet</t>
        </is>
      </c>
      <c r="B15" s="22">
        <f>odk_alarmAdet</f>
        <v/>
      </c>
    </row>
    <row r="16"/>
    <row r="17">
      <c r="A17" s="21" t="inlineStr">
        <is>
          <t>Kalem</t>
        </is>
      </c>
      <c r="B17" s="21" t="inlineStr">
        <is>
          <t>Değer</t>
        </is>
      </c>
    </row>
    <row r="18">
      <c r="A18" s="7" t="inlineStr">
        <is>
          <t>Kullanılabilirlik</t>
        </is>
      </c>
      <c r="B18" s="23">
        <f>odk_kullanilabilirlik</f>
        <v/>
      </c>
    </row>
    <row r="19">
      <c r="A19" s="7" t="inlineStr">
        <is>
          <t>Performans</t>
        </is>
      </c>
      <c r="B19" s="23">
        <f>odk_performans</f>
        <v/>
      </c>
    </row>
    <row r="20">
      <c r="A20" s="7" t="inlineStr">
        <is>
          <t>Kalite oranı</t>
        </is>
      </c>
      <c r="B20" s="23">
        <f>odk_kaliteOrani</f>
        <v/>
      </c>
    </row>
    <row r="21">
      <c r="A21" s="7" t="inlineStr">
        <is>
          <t>Günlük OEE ort</t>
        </is>
      </c>
      <c r="B21" s="23">
        <f>odk_gunlukOeeOrt</f>
        <v/>
      </c>
    </row>
    <row r="22">
      <c r="A22" s="7" t="inlineStr">
        <is>
          <t>Kalite skor</t>
        </is>
      </c>
      <c r="B22" s="22">
        <f>odk_kaliteSkor</f>
        <v/>
      </c>
    </row>
    <row r="23">
      <c r="A23" s="7" t="inlineStr">
        <is>
          <t>Kök neden kırılım</t>
        </is>
      </c>
      <c r="B23" s="7">
        <f>odk_kokNedenKirilim</f>
        <v/>
      </c>
    </row>
    <row r="24"/>
    <row r="25"/>
    <row r="26">
      <c r="A26" s="24" t="inlineStr">
        <is>
          <t>Varsayımlar</t>
        </is>
      </c>
    </row>
    <row r="27">
      <c r="A27" s="8" t="inlineStr">
        <is>
          <t>OEE = kullanılabilirlik × performans × kalite. Eşikler AYARLAR'dan gelir. Karar destek çıktısıdır; sertifikasyon veya kalite tavsiyesi değildir. Duruş kök-neden kodları saha sınıflandırmasıdır.</t>
        </is>
      </c>
    </row>
    <row r="28"/>
    <row r="29"/>
    <row r="30">
      <c r="A30" s="7" t="inlineStr">
        <is>
          <t>İmza — Üretim Müdürü / OEE Sahibi</t>
        </is>
      </c>
      <c r="C30" s="7" t="inlineStr">
        <is>
          <t>________________</t>
        </is>
      </c>
    </row>
    <row r="31">
      <c r="A31" s="7" t="inlineStr">
        <is>
          <t>İmza — Kalite Müdürü / Fabrika Yöneticisi</t>
        </is>
      </c>
      <c r="C31" s="7" t="inlineStr">
        <is>
          <t>________________</t>
        </is>
      </c>
    </row>
    <row r="32"/>
    <row r="33">
      <c r="A33" s="9" t="inlineStr">
        <is>
          <t>SHA notu: sevk paketinde SHA-256 yer alır | 1.0.0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A27:F28"/>
    <mergeCell ref="A3:I3"/>
  </mergeCells>
  <conditionalFormatting sqref="B10">
    <cfRule type="cellIs" priority="1" operator="equal" dxfId="4">
      <formula>"UYGUN"</formula>
    </cfRule>
    <cfRule type="cellIs" priority="2" operator="equal" dxfId="0">
      <formula>"DİKKAT"</formula>
    </cfRule>
    <cfRule type="cellIs" priority="3" operator="equal" dxfId="1">
      <formula>"KRİTİK"</formula>
    </cfRule>
    <cfRule type="cellIs" priority="4" operator="equal" dxfId="1">
      <formula>"VERİ YOK"</formula>
    </cfRule>
  </conditionalFormatting>
  <conditionalFormatting sqref="B11">
    <cfRule type="cellIs" priority="5" operator="greaterThan" dxfId="3">
      <formula>0</formula>
    </cfRule>
  </conditionalFormatting>
  <conditionalFormatting sqref="B12">
    <cfRule type="cellIs" priority="6" operator="greaterThan" dxfId="3">
      <formula>0</formula>
    </cfRule>
  </conditionalFormatting>
  <conditionalFormatting sqref="B13">
    <cfRule type="cellIs" priority="7" operator="greaterThan" dxfId="3">
      <formula>0</formula>
    </cfRule>
  </conditionalFormatting>
  <conditionalFormatting sqref="B14">
    <cfRule type="cellIs" priority="8" operator="greaterThan" dxfId="3">
      <formula>0</formula>
    </cfRule>
  </conditionalFormatting>
  <conditionalFormatting sqref="B15">
    <cfRule type="cellIs" priority="9" operator="greaterThan" dxfId="3">
      <formula>0</formula>
    </cfRule>
  </conditionalFormatting>
  <conditionalFormatting sqref="B16">
    <cfRule type="cellIs" priority="10" operator="greaterThan" dxfId="3">
      <formula>0</formula>
    </cfRule>
  </conditionalFormatting>
  <conditionalFormatting sqref="B17">
    <cfRule type="cellIs" priority="11" operator="greaterThan" dxfId="3">
      <formula>0</formula>
    </cfRule>
  </conditionalFormatting>
  <conditionalFormatting sqref="B18">
    <cfRule type="cellIs" priority="12" operator="greaterThan" dxfId="3">
      <formula>0</formula>
    </cfRule>
  </conditionalFormatting>
  <conditionalFormatting sqref="B19">
    <cfRule type="cellIs" priority="13" operator="greaterThan" dxfId="3">
      <formula>0</formula>
    </cfRule>
  </conditionalFormatting>
  <conditionalFormatting sqref="B20">
    <cfRule type="cellIs" priority="14" operator="greaterThan" dxfId="3">
      <formula>0</formula>
    </cfRule>
  </conditionalFormatting>
  <conditionalFormatting sqref="B21">
    <cfRule type="cellIs" priority="15" operator="greaterThan" dxfId="3">
      <formula>0</formula>
    </cfRule>
  </conditionalFormatting>
  <conditionalFormatting sqref="B22">
    <cfRule type="cellIs" priority="16" operator="greaterThan" dxfId="3">
      <formula>0</formula>
    </cfRule>
  </conditionalFormatting>
  <conditionalFormatting sqref="B23">
    <cfRule type="cellIs" priority="17" operator="greaterThan" dxfId="3">
      <formula>0</formula>
    </cfRule>
  </conditionalFormatting>
  <conditionalFormatting sqref="B24">
    <cfRule type="cellIs" priority="18" operator="greaterThan" dxfId="3">
      <formula>0</formula>
    </cfRule>
  </conditionalFormatting>
  <dataValidations count="1">
    <dataValidation sqref="B8" showDropDown="0" showInputMessage="1" showErrorMessage="1" allowBlank="1" errorTitle="Firma" error="Geçersiz" promptTitle="Firma" prompt="Firma unvanı (AYARLAR'dan)" type="textLength" errorStyle="stop" operator="greaterThanOrEqual">
      <formula1>0</formula1>
      <formula2>80</formula2>
    </dataValidation>
  </dataValidations>
  <pageMargins left="0.4" right="0.4" top="0.5" bottom="0.5" header="0.5" footer="0.5"/>
  <pageSetup orientation="landscape" paperSize="9" fitToHeight="1" fitToWidth="1"/>
  <headerFooter>
    <oddHeader/>
    <oddFooter>&amp;LOEE &amp; Duruş Kök-Neden Komutası | Rapor | 1.0.0&amp;CExcelArşiv&amp;RSayfa &amp;P / &amp;N</oddFooter>
    <evenHeader/>
    <evenFooter>&amp;LOEE &amp; Duruş Kök-Neden Komutası | Rapor | 1.0.0&amp;CExcelArşiv&amp;RSayfa &amp;P / &amp;N</evenFooter>
    <firstHeader/>
    <firstFooter/>
  </headerFooter>
</worksheet>
</file>

<file path=xl/worksheets/sheet9.xml><?xml version="1.0" encoding="utf-8"?>
<worksheet xmlns="http://schemas.openxmlformats.org/spreadsheetml/2006/main">
  <sheetPr>
    <tabColor rgb="001A365D"/>
    <outlinePr summaryBelow="1" summaryRight="1"/>
    <pageSetUpPr/>
  </sheetPr>
  <dimension ref="A1:AC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33" t="inlineStr">
        <is>
          <t>KONTROLLER — OEE &amp; Duruş Kök-Neden Komutası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</row>
    <row r="2"/>
    <row r="3" ht="22" customHeight="1">
      <c r="A3" s="36" t="inlineStr">
        <is>
          <t>Canlı sağlık kontrolleri — formülle</t>
        </is>
      </c>
    </row>
    <row r="4"/>
    <row r="5">
      <c r="A5" s="21" t="inlineStr">
        <is>
          <t>Kontrol</t>
        </is>
      </c>
      <c r="B5" s="21" t="inlineStr">
        <is>
          <t>Sonuç</t>
        </is>
      </c>
      <c r="C5" s="21" t="inlineStr">
        <is>
          <t>Değer</t>
        </is>
      </c>
    </row>
    <row r="6">
      <c r="A6" s="7" t="inlineStr">
        <is>
          <t>Dolu kayıt &gt; 0</t>
        </is>
      </c>
      <c r="B6" s="7">
        <f>IF(odk_doluKayit&gt;0,"GEÇTİ","KALDI")</f>
        <v/>
      </c>
      <c r="C6" s="7">
        <f>odk_doluKayit</f>
        <v/>
      </c>
    </row>
    <row r="7">
      <c r="A7" s="7" t="inlineStr">
        <is>
          <t>Yetim kayıt = 0</t>
        </is>
      </c>
      <c r="B7" s="7">
        <f>IF(odk_yetimAdet=0,"GEÇTİ","UYARI")</f>
        <v/>
      </c>
      <c r="C7" s="7">
        <f>odk_yetimAdet</f>
        <v/>
      </c>
    </row>
    <row r="8">
      <c r="A8" s="7" t="inlineStr">
        <is>
          <t>OEE hesaplı</t>
        </is>
      </c>
      <c r="B8" s="7">
        <f>IF(odk_oeeOrani&gt;=0,"GEÇTİ","KALDI")</f>
        <v/>
      </c>
      <c r="C8" s="7">
        <f>odk_oeeOrani</f>
        <v/>
      </c>
    </row>
    <row r="9">
      <c r="A9" s="7" t="inlineStr">
        <is>
          <t>Sağlık skor formül</t>
        </is>
      </c>
      <c r="B9" s="7">
        <f>IF(odk_saglikSkor&gt;=0,"GEÇTİ","KALDI")</f>
        <v/>
      </c>
      <c r="C9" s="7">
        <f>odk_saglikSkor</f>
        <v/>
      </c>
    </row>
    <row r="10">
      <c r="A10" s="7" t="inlineStr">
        <is>
          <t>Alarm listesi</t>
        </is>
      </c>
      <c r="B10" s="7">
        <f>IF(odk_alarmAdet&gt;=0,"GEÇTİ","KALDI")</f>
        <v/>
      </c>
      <c r="C10" s="7">
        <f>odk_alarmAdet</f>
        <v/>
      </c>
    </row>
    <row r="11">
      <c r="A11" s="7" t="inlineStr">
        <is>
          <t>Karar dolu</t>
        </is>
      </c>
      <c r="B11" s="7">
        <f>IF(odk_kararKapi&lt;&gt;"","GEÇTİ","KALDI")</f>
        <v/>
      </c>
      <c r="C11" s="7">
        <f>odk_kararKapi</f>
        <v/>
      </c>
    </row>
    <row r="12">
      <c r="A12" s="7" t="inlineStr">
        <is>
          <t>12 ay sezonsal</t>
        </is>
      </c>
      <c r="B12" s="7">
        <f>IF(DONEM_ANALIZ!B22&gt;=0,"GEÇTİ","KALDI")</f>
        <v/>
      </c>
      <c r="C12" s="7">
        <f>DONEM_ANALIZ!B22</f>
        <v/>
      </c>
    </row>
    <row r="13">
      <c r="A13" s="7" t="inlineStr">
        <is>
          <t>Kalite skor</t>
        </is>
      </c>
      <c r="B13" s="7">
        <f>IF(odk_kaliteSkor&gt;=0,"GEÇTİ","KALDI")</f>
        <v/>
      </c>
      <c r="C13" s="7">
        <f>odk_kaliteSkor</f>
        <v/>
      </c>
    </row>
    <row r="14">
      <c r="A14" s="7" t="inlineStr">
        <is>
          <t>Tornado</t>
        </is>
      </c>
      <c r="B14" s="7">
        <f>IF(odk_tornadoZirve&gt;=0,"GEÇTİ","KALDI")</f>
        <v/>
      </c>
      <c r="C14" s="7">
        <f>odk_tornadoZirve</f>
        <v/>
      </c>
    </row>
    <row r="15">
      <c r="A15" s="7" t="inlineStr">
        <is>
          <t>P90</t>
        </is>
      </c>
      <c r="B15" s="7">
        <f>IF(odk_yuzdelikP90&gt;=0,"GEÇTİ","KALDI")</f>
        <v/>
      </c>
      <c r="C15" s="7">
        <f>odk_yuzdelikP90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conditionalFormatting sqref="B6:B15">
    <cfRule type="cellIs" priority="1" operator="equal" dxfId="4">
      <formula>"GEÇTİ"</formula>
    </cfRule>
    <cfRule type="cellIs" priority="2" operator="equal" dxfId="1">
      <formula>"KALDI"</formula>
    </cfRule>
    <cfRule type="cellIs" priority="3" operator="equal" dxfId="0">
      <formula>"UYARI"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A365D"/>
    <outlinePr summaryBelow="1" summaryRight="1"/>
    <pageSetUpPr/>
  </sheetPr>
  <dimension ref="A1:AC2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3.5" customWidth="1" min="3" max="3"/>
    <col width="15.5" customWidth="1" min="4" max="4"/>
    <col width="16.5" customWidth="1" min="5" max="5"/>
    <col width="19.5" customWidth="1" min="6" max="6"/>
    <col width="17.5" customWidth="1" min="7" max="7"/>
    <col width="16.5" customWidth="1" min="8" max="8"/>
    <col width="13" customWidth="1" min="9" max="9"/>
  </cols>
  <sheetData>
    <row r="1" ht="32" customHeight="1">
      <c r="A1" s="33" t="inlineStr">
        <is>
          <t>ORNEK VERI — OEE &amp; Duruş Kök-Neden Komutası</t>
        </is>
      </c>
      <c r="B1" s="34" t="n"/>
      <c r="C1" s="34" t="n"/>
      <c r="D1" s="34" t="n"/>
      <c r="E1" s="34" t="n"/>
      <c r="F1" s="34" t="n"/>
      <c r="G1" s="34" t="n"/>
      <c r="H1" s="34" t="n"/>
    </row>
    <row r="2"/>
    <row r="3" ht="22" customHeight="1">
      <c r="A3" s="36" t="inlineStr">
        <is>
          <t>Örnek günlük satırlar — kopyalanabilir referans</t>
        </is>
      </c>
    </row>
    <row r="4"/>
    <row r="5" ht="30" customHeight="1">
      <c r="A5" s="14" t="inlineStr">
        <is>
          <t>SatirId</t>
        </is>
      </c>
      <c r="B5" s="14" t="inlineStr">
        <is>
          <t>VarlikId</t>
        </is>
      </c>
      <c r="C5" s="14" t="inlineStr">
        <is>
          <t>Tarih</t>
        </is>
      </c>
      <c r="D5" s="14" t="inlineStr">
        <is>
          <t>PlanSure_dk</t>
        </is>
      </c>
      <c r="E5" s="14" t="inlineStr">
        <is>
          <t>DurusSure_dk</t>
        </is>
      </c>
      <c r="F5" s="14" t="inlineStr">
        <is>
          <t>UretimAdet_adet</t>
        </is>
      </c>
      <c r="G5" s="14" t="inlineStr">
        <is>
          <t>FireAdet_adet</t>
        </is>
      </c>
      <c r="H5" s="14" t="inlineStr">
        <is>
          <t>KokNedenKodu</t>
        </is>
      </c>
    </row>
    <row r="6">
      <c r="A6" s="7" t="inlineStr">
        <is>
          <t>ODK-00001</t>
        </is>
      </c>
      <c r="B6" s="7" t="inlineStr">
        <is>
          <t>MAK-00001</t>
        </is>
      </c>
      <c r="C6" s="38" t="n">
        <v>46242</v>
      </c>
      <c r="D6" s="22" t="n">
        <v>480</v>
      </c>
      <c r="E6" s="22" t="n">
        <v>48</v>
      </c>
      <c r="F6" s="22" t="n">
        <v>1814</v>
      </c>
      <c r="G6" s="22" t="n">
        <v>45</v>
      </c>
      <c r="H6" s="7" t="inlineStr">
        <is>
          <t>AYAR</t>
        </is>
      </c>
    </row>
    <row r="7">
      <c r="A7" s="7" t="inlineStr">
        <is>
          <t>ODK-00002</t>
        </is>
      </c>
      <c r="B7" s="7" t="inlineStr">
        <is>
          <t>MAK-00002</t>
        </is>
      </c>
      <c r="C7" s="38" t="n">
        <v>46239</v>
      </c>
      <c r="D7" s="22" t="n">
        <v>480</v>
      </c>
      <c r="E7" s="22" t="n">
        <v>56</v>
      </c>
      <c r="F7" s="22" t="n">
        <v>486</v>
      </c>
      <c r="G7" s="22" t="n">
        <v>15</v>
      </c>
      <c r="H7" s="7" t="inlineStr">
        <is>
          <t>MALZEME</t>
        </is>
      </c>
    </row>
    <row r="8">
      <c r="A8" s="7" t="inlineStr">
        <is>
          <t>ODK-00003</t>
        </is>
      </c>
      <c r="B8" s="7" t="inlineStr">
        <is>
          <t>MAK-00003</t>
        </is>
      </c>
      <c r="C8" s="38" t="n">
        <v>46236</v>
      </c>
      <c r="D8" s="22" t="n">
        <v>480</v>
      </c>
      <c r="E8" s="22" t="n">
        <v>64</v>
      </c>
      <c r="F8" s="22" t="n">
        <v>1221</v>
      </c>
      <c r="G8" s="22" t="n">
        <v>43</v>
      </c>
      <c r="H8" s="7" t="inlineStr">
        <is>
          <t>OPERATOR</t>
        </is>
      </c>
    </row>
    <row r="9">
      <c r="A9" s="7" t="inlineStr">
        <is>
          <t>ODK-00004</t>
        </is>
      </c>
      <c r="B9" s="7" t="inlineStr">
        <is>
          <t>MAK-00004</t>
        </is>
      </c>
      <c r="C9" s="38" t="n">
        <v>46233</v>
      </c>
      <c r="D9" s="22" t="n">
        <v>480</v>
      </c>
      <c r="E9" s="22" t="n">
        <v>72</v>
      </c>
      <c r="F9" s="22" t="n">
        <v>734</v>
      </c>
      <c r="G9" s="22" t="n">
        <v>15</v>
      </c>
      <c r="H9" s="7" t="inlineStr">
        <is>
          <t>KALIP</t>
        </is>
      </c>
    </row>
    <row r="10">
      <c r="A10" s="7" t="inlineStr">
        <is>
          <t>ODK-00005</t>
        </is>
      </c>
      <c r="B10" s="7" t="inlineStr">
        <is>
          <t>MAK-00005</t>
        </is>
      </c>
      <c r="C10" s="38" t="n">
        <v>46230</v>
      </c>
      <c r="D10" s="22" t="n">
        <v>480</v>
      </c>
      <c r="E10" s="22" t="n">
        <v>80</v>
      </c>
      <c r="F10" s="22" t="n">
        <v>895</v>
      </c>
      <c r="G10" s="22" t="n">
        <v>22</v>
      </c>
      <c r="H10" s="7" t="inlineStr">
        <is>
          <t>BEKLEME</t>
        </is>
      </c>
    </row>
    <row r="11">
      <c r="A11" s="7" t="inlineStr">
        <is>
          <t>ODK-00006</t>
        </is>
      </c>
      <c r="B11" s="7" t="inlineStr">
        <is>
          <t>MAK-00006</t>
        </is>
      </c>
      <c r="C11" s="38" t="n">
        <v>46227</v>
      </c>
      <c r="D11" s="22" t="n">
        <v>480</v>
      </c>
      <c r="E11" s="22" t="n">
        <v>88</v>
      </c>
      <c r="F11" s="22" t="n">
        <v>2470</v>
      </c>
      <c r="G11" s="22" t="n">
        <v>74</v>
      </c>
      <c r="H11" s="7" t="inlineStr">
        <is>
          <t>DIGER</t>
        </is>
      </c>
    </row>
    <row r="12">
      <c r="A12" s="7" t="inlineStr">
        <is>
          <t>ODK-00007</t>
        </is>
      </c>
      <c r="B12" s="7" t="inlineStr">
        <is>
          <t>MAK-00007</t>
        </is>
      </c>
      <c r="C12" s="38" t="n">
        <v>46224</v>
      </c>
      <c r="D12" s="22" t="n">
        <v>480</v>
      </c>
      <c r="E12" s="22" t="n">
        <v>40</v>
      </c>
      <c r="F12" s="22" t="n">
        <v>648</v>
      </c>
      <c r="G12" s="22" t="n">
        <v>23</v>
      </c>
      <c r="H12" s="7" t="inlineStr">
        <is>
          <t>ARIZA</t>
        </is>
      </c>
    </row>
    <row r="13">
      <c r="A13" s="7" t="inlineStr">
        <is>
          <t>ODK-00008</t>
        </is>
      </c>
      <c r="B13" s="7" t="inlineStr">
        <is>
          <t>MAK-00008</t>
        </is>
      </c>
      <c r="C13" s="38" t="n">
        <v>46221</v>
      </c>
      <c r="D13" s="22" t="n">
        <v>480</v>
      </c>
      <c r="E13" s="22" t="n">
        <v>48</v>
      </c>
      <c r="F13" s="22" t="n">
        <v>1521</v>
      </c>
      <c r="G13" s="22" t="n">
        <v>30</v>
      </c>
      <c r="H13" s="7" t="inlineStr">
        <is>
          <t>AYAR</t>
        </is>
      </c>
    </row>
    <row r="14">
      <c r="A14" s="7" t="inlineStr">
        <is>
          <t>ODK-00009</t>
        </is>
      </c>
      <c r="B14" s="7" t="inlineStr">
        <is>
          <t>MAK-00001</t>
        </is>
      </c>
      <c r="C14" s="38" t="n">
        <v>46218</v>
      </c>
      <c r="D14" s="22" t="n">
        <v>480</v>
      </c>
      <c r="E14" s="22" t="n">
        <v>56</v>
      </c>
      <c r="F14" s="22" t="n">
        <v>1908</v>
      </c>
      <c r="G14" s="22" t="n">
        <v>48</v>
      </c>
      <c r="H14" s="7" t="inlineStr">
        <is>
          <t>MALZEME</t>
        </is>
      </c>
    </row>
    <row r="15">
      <c r="A15" s="7" t="inlineStr">
        <is>
          <t>ODK-00010</t>
        </is>
      </c>
      <c r="B15" s="7" t="inlineStr">
        <is>
          <t>MAK-00002</t>
        </is>
      </c>
      <c r="C15" s="38" t="n">
        <v>46215</v>
      </c>
      <c r="D15" s="22" t="n">
        <v>480</v>
      </c>
      <c r="E15" s="22" t="n">
        <v>64</v>
      </c>
      <c r="F15" s="22" t="n">
        <v>455</v>
      </c>
      <c r="G15" s="22" t="n">
        <v>14</v>
      </c>
      <c r="H15" s="7" t="inlineStr">
        <is>
          <t>OPERATOR</t>
        </is>
      </c>
    </row>
    <row r="16">
      <c r="A16" s="7" t="inlineStr">
        <is>
          <t>ODK-00011</t>
        </is>
      </c>
      <c r="B16" s="7" t="inlineStr">
        <is>
          <t>MAK-00003</t>
        </is>
      </c>
      <c r="C16" s="38" t="n">
        <v>46212</v>
      </c>
      <c r="D16" s="22" t="n">
        <v>480</v>
      </c>
      <c r="E16" s="22" t="n">
        <v>72</v>
      </c>
      <c r="F16" s="22" t="n">
        <v>1142</v>
      </c>
      <c r="G16" s="22" t="n">
        <v>40</v>
      </c>
      <c r="H16" s="7" t="inlineStr">
        <is>
          <t>KALIP</t>
        </is>
      </c>
    </row>
    <row r="17">
      <c r="A17" s="7" t="inlineStr">
        <is>
          <t>ODK-00012</t>
        </is>
      </c>
      <c r="B17" s="7" t="inlineStr">
        <is>
          <t>MAK-00004</t>
        </is>
      </c>
      <c r="C17" s="38" t="n">
        <v>46209</v>
      </c>
      <c r="D17" s="22" t="n">
        <v>480</v>
      </c>
      <c r="E17" s="22" t="n">
        <v>180</v>
      </c>
      <c r="F17" s="22" t="n">
        <v>330</v>
      </c>
      <c r="G17" s="22" t="n">
        <v>26</v>
      </c>
      <c r="H17" s="7" t="inlineStr">
        <is>
          <t>BEKLEME</t>
        </is>
      </c>
    </row>
    <row r="18">
      <c r="A18" s="7" t="inlineStr">
        <is>
          <t>ODK-00013</t>
        </is>
      </c>
      <c r="B18" s="7" t="inlineStr">
        <is>
          <t>MAK-00005</t>
        </is>
      </c>
      <c r="C18" s="38" t="n">
        <v>46206</v>
      </c>
      <c r="D18" s="22" t="n">
        <v>480</v>
      </c>
      <c r="E18" s="22" t="n">
        <v>88</v>
      </c>
      <c r="F18" s="22" t="n">
        <v>941</v>
      </c>
      <c r="G18" s="22" t="n">
        <v>24</v>
      </c>
      <c r="H18" s="7" t="inlineStr">
        <is>
          <t>DIGER</t>
        </is>
      </c>
    </row>
    <row r="19">
      <c r="A19" s="7" t="inlineStr">
        <is>
          <t>ODK-00014</t>
        </is>
      </c>
      <c r="B19" s="7" t="inlineStr">
        <is>
          <t>MAK-00006</t>
        </is>
      </c>
      <c r="C19" s="38" t="n">
        <v>46203</v>
      </c>
      <c r="D19" s="22" t="n">
        <v>480</v>
      </c>
      <c r="E19" s="22" t="n">
        <v>40</v>
      </c>
      <c r="F19" s="22" t="n">
        <v>2970</v>
      </c>
      <c r="G19" s="22" t="n">
        <v>89</v>
      </c>
      <c r="H19" s="7" t="inlineStr">
        <is>
          <t>ARIZA</t>
        </is>
      </c>
    </row>
    <row r="20">
      <c r="A20" s="7" t="inlineStr">
        <is>
          <t>ODK-00015</t>
        </is>
      </c>
      <c r="B20" s="7" t="inlineStr">
        <is>
          <t>MAK-00007</t>
        </is>
      </c>
      <c r="C20" s="38" t="n">
        <v>46200</v>
      </c>
      <c r="D20" s="22" t="n">
        <v>480</v>
      </c>
      <c r="E20" s="22" t="n">
        <v>48</v>
      </c>
      <c r="F20" s="22" t="n">
        <v>608</v>
      </c>
      <c r="G20" s="22" t="n">
        <v>21</v>
      </c>
      <c r="H20" s="7" t="inlineStr">
        <is>
          <t>AYAR</t>
        </is>
      </c>
    </row>
    <row r="21">
      <c r="A21" s="7" t="inlineStr">
        <is>
          <t>ODK-00016</t>
        </is>
      </c>
      <c r="B21" s="7" t="inlineStr">
        <is>
          <t>MAK-00008</t>
        </is>
      </c>
      <c r="C21" s="38" t="n">
        <v>46197</v>
      </c>
      <c r="D21" s="22" t="n">
        <v>480</v>
      </c>
      <c r="E21" s="22" t="n">
        <v>56</v>
      </c>
      <c r="F21" s="22" t="n">
        <v>1425</v>
      </c>
      <c r="G21" s="22" t="n">
        <v>28</v>
      </c>
      <c r="H21" s="7" t="inlineStr">
        <is>
          <t>MALZEME</t>
        </is>
      </c>
    </row>
    <row r="22">
      <c r="A22" s="7" t="inlineStr">
        <is>
          <t>ODK-00017</t>
        </is>
      </c>
      <c r="B22" s="7" t="inlineStr">
        <is>
          <t>MAK-00001</t>
        </is>
      </c>
      <c r="C22" s="38" t="n">
        <v>46194</v>
      </c>
      <c r="D22" s="22" t="n">
        <v>480</v>
      </c>
      <c r="E22" s="22" t="n">
        <v>64</v>
      </c>
      <c r="F22" s="22" t="n">
        <v>1789</v>
      </c>
      <c r="G22" s="22" t="n">
        <v>45</v>
      </c>
      <c r="H22" s="7" t="inlineStr">
        <is>
          <t>OPERATOR</t>
        </is>
      </c>
    </row>
    <row r="23">
      <c r="A23" s="7" t="inlineStr">
        <is>
          <t>ODK-00018</t>
        </is>
      </c>
      <c r="B23" s="7" t="inlineStr">
        <is>
          <t>MAK-00002</t>
        </is>
      </c>
      <c r="C23" s="38" t="n">
        <v>46191</v>
      </c>
      <c r="D23" s="22" t="n">
        <v>480</v>
      </c>
      <c r="E23" s="22" t="n">
        <v>72</v>
      </c>
      <c r="F23" s="22" t="n">
        <v>479</v>
      </c>
      <c r="G23" s="22" t="n">
        <v>14</v>
      </c>
      <c r="H23" s="7" t="inlineStr">
        <is>
          <t>KALIP</t>
        </is>
      </c>
    </row>
    <row r="24">
      <c r="A24" s="7" t="inlineStr">
        <is>
          <t>ODK-00019</t>
        </is>
      </c>
      <c r="B24" s="7" t="inlineStr">
        <is>
          <t>MAK-00003</t>
        </is>
      </c>
      <c r="C24" s="38" t="n">
        <v>46188</v>
      </c>
      <c r="D24" s="22" t="n">
        <v>480</v>
      </c>
      <c r="E24" s="22" t="n">
        <v>80</v>
      </c>
      <c r="F24" s="22" t="n">
        <v>1200</v>
      </c>
      <c r="G24" s="22" t="n">
        <v>42</v>
      </c>
      <c r="H24" s="7" t="inlineStr">
        <is>
          <t>BEKLEME</t>
        </is>
      </c>
    </row>
    <row r="25">
      <c r="A25" s="7" t="inlineStr">
        <is>
          <t>ODK-00020</t>
        </is>
      </c>
      <c r="B25" s="7" t="inlineStr">
        <is>
          <t>MAK-00004</t>
        </is>
      </c>
      <c r="C25" s="38" t="n">
        <v>46185</v>
      </c>
      <c r="D25" s="22" t="n">
        <v>480</v>
      </c>
      <c r="E25" s="22" t="n">
        <v>88</v>
      </c>
      <c r="F25" s="22" t="n">
        <v>643</v>
      </c>
      <c r="G25" s="22" t="n">
        <v>13</v>
      </c>
      <c r="H25" s="7" t="inlineStr">
        <is>
          <t>DIGER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H3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A365D"/>
    <outlinePr summaryBelow="1" summaryRight="1"/>
    <pageSetUpPr/>
  </sheetPr>
  <dimension ref="A1:AC1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3" customWidth="1" min="4" max="4"/>
    <col width="14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32" customHeight="1">
      <c r="A1" s="33" t="inlineStr">
        <is>
          <t>LISTELER — OEE &amp; Duruş Kök-Neden Komutası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</row>
    <row r="2"/>
    <row r="3">
      <c r="A3" s="24" t="inlineStr">
        <is>
          <t>Evet / Hayır</t>
        </is>
      </c>
      <c r="C3" s="13" t="inlineStr">
        <is>
          <t>Kök Neden</t>
        </is>
      </c>
      <c r="E3" s="13" t="inlineStr">
        <is>
          <t>Hat Tipi</t>
        </is>
      </c>
    </row>
    <row r="4"/>
    <row r="5"/>
    <row r="6">
      <c r="A6" s="21" t="inlineStr">
        <is>
          <t>Secim</t>
        </is>
      </c>
      <c r="C6" s="21" t="inlineStr">
        <is>
          <t>Kod</t>
        </is>
      </c>
      <c r="E6" s="21" t="inlineStr">
        <is>
          <t>Hat</t>
        </is>
      </c>
    </row>
    <row r="7">
      <c r="A7" s="15" t="inlineStr">
        <is>
          <t>EVET</t>
        </is>
      </c>
      <c r="C7" s="15" t="inlineStr">
        <is>
          <t>ARIZA</t>
        </is>
      </c>
      <c r="E7" s="15" t="inlineStr">
        <is>
          <t>HAT-A</t>
        </is>
      </c>
    </row>
    <row r="8">
      <c r="A8" s="15" t="inlineStr">
        <is>
          <t>HAYIR</t>
        </is>
      </c>
      <c r="C8" s="15" t="inlineStr">
        <is>
          <t>AYAR</t>
        </is>
      </c>
      <c r="E8" s="15" t="inlineStr">
        <is>
          <t>HAT-B</t>
        </is>
      </c>
    </row>
    <row r="9">
      <c r="C9" s="15" t="inlineStr">
        <is>
          <t>MALZEME</t>
        </is>
      </c>
      <c r="E9" s="15" t="inlineStr">
        <is>
          <t>HAT-C</t>
        </is>
      </c>
    </row>
    <row r="10">
      <c r="C10" s="15" t="inlineStr">
        <is>
          <t>OPERATOR</t>
        </is>
      </c>
    </row>
    <row r="11">
      <c r="C11" s="15" t="inlineStr">
        <is>
          <t>KALIP</t>
        </is>
      </c>
    </row>
    <row r="12">
      <c r="C12" s="15" t="inlineStr">
        <is>
          <t>BEKLEME</t>
        </is>
      </c>
    </row>
    <row r="13">
      <c r="C13" s="15" t="inlineStr">
        <is>
          <t>DIGER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J1"/>
  </mergeCell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tabColor rgb="001A365D"/>
    <outlinePr summaryBelow="1" summaryRight="1"/>
    <pageSetUpPr/>
  </sheetPr>
  <dimension ref="A1:AC69"/>
  <sheetViews>
    <sheetView showGridLines="0" workbookViewId="0">
      <selection activeCell="A1" sqref="A1"/>
    </sheetView>
  </sheetViews>
  <sheetFormatPr baseColWidth="8" defaultRowHeight="15"/>
  <cols>
    <col width="24.5" customWidth="1" min="1" max="1"/>
    <col width="33.5" customWidth="1" min="2" max="2"/>
    <col width="10" customWidth="1" min="3" max="3"/>
    <col width="30.5" customWidth="1" min="4" max="4"/>
    <col width="19.5" customWidth="1" min="5" max="5"/>
    <col width="30.5" customWidth="1" min="6" max="6"/>
    <col width="13" customWidth="1" min="7" max="7"/>
    <col width="26" customWidth="1" min="8" max="8"/>
    <col width="55" customWidth="1" min="9" max="9"/>
    <col width="13" customWidth="1" min="10" max="10"/>
  </cols>
  <sheetData>
    <row r="1" ht="32" customHeight="1">
      <c r="A1" s="33" t="inlineStr">
        <is>
          <t>AYARLAR — OEE &amp; Duruş Kök-Neden Komutası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</row>
    <row r="2"/>
    <row r="3" ht="22" customHeight="1">
      <c r="A3" s="36" t="inlineStr">
        <is>
          <t>Tek kaynak parametreler + alarm eşikleri (S05)</t>
        </is>
      </c>
    </row>
    <row r="4"/>
    <row r="5" ht="30" customHeight="1">
      <c r="A5" s="14" t="inlineStr">
        <is>
          <t>anahtar</t>
        </is>
      </c>
      <c r="B5" s="14" t="inlineStr">
        <is>
          <t>deger</t>
        </is>
      </c>
      <c r="C5" s="14" t="inlineStr">
        <is>
          <t>birim</t>
        </is>
      </c>
      <c r="D5" s="14" t="inlineStr">
        <is>
          <t>kaynak</t>
        </is>
      </c>
      <c r="E5" s="14" t="inlineStr">
        <is>
          <t>yururluk_tarihi</t>
        </is>
      </c>
      <c r="F5" s="14" t="inlineStr">
        <is>
          <t>aciklama</t>
        </is>
      </c>
    </row>
    <row r="6">
      <c r="A6" s="7" t="inlineStr">
        <is>
          <t>raporTarihi</t>
        </is>
      </c>
      <c r="B6" s="37" t="n">
        <v>46245</v>
      </c>
      <c r="C6" s="7" t="inlineStr">
        <is>
          <t>tarih</t>
        </is>
      </c>
      <c r="D6" s="7" t="inlineStr">
        <is>
          <t>Kullanıcı / dönem kapanışı</t>
        </is>
      </c>
      <c r="E6" s="7" t="inlineStr">
        <is>
          <t>01.01.2026</t>
        </is>
      </c>
      <c r="F6" s="8" t="inlineStr">
        <is>
          <t>Rapor tarihi (TODAY yok)</t>
        </is>
      </c>
    </row>
    <row r="7">
      <c r="A7" s="7" t="inlineStr">
        <is>
          <t>odk_varsayilanCevrim</t>
        </is>
      </c>
      <c r="B7" s="16" t="n">
        <v>20</v>
      </c>
      <c r="C7" s="7" t="inlineStr">
        <is>
          <t>sn</t>
        </is>
      </c>
      <c r="D7" s="7" t="inlineStr">
        <is>
          <t>Makine kartı / iş etüdü</t>
        </is>
      </c>
      <c r="E7" s="7" t="inlineStr">
        <is>
          <t>01.01.2026</t>
        </is>
      </c>
      <c r="F7" s="8" t="inlineStr">
        <is>
          <t>Varsayılan ideal çevrim sn</t>
        </is>
      </c>
    </row>
    <row r="8">
      <c r="A8" s="7" t="inlineStr">
        <is>
          <t>odk_esikOee</t>
        </is>
      </c>
      <c r="B8" s="18" t="n">
        <v>0.65</v>
      </c>
      <c r="C8" s="7" t="inlineStr">
        <is>
          <t>oran</t>
        </is>
      </c>
      <c r="D8" s="7" t="inlineStr">
        <is>
          <t>Alarm eşiği — OEE</t>
        </is>
      </c>
      <c r="E8" s="7" t="inlineStr">
        <is>
          <t>01.01.2026</t>
        </is>
      </c>
      <c r="F8" s="8" t="inlineStr">
        <is>
          <t>OEE alt alarm eşiği</t>
        </is>
      </c>
    </row>
    <row r="9">
      <c r="A9" s="7" t="inlineStr">
        <is>
          <t>odk_esikDurusDk</t>
        </is>
      </c>
      <c r="B9" s="16" t="n">
        <v>120</v>
      </c>
      <c r="C9" s="7" t="inlineStr">
        <is>
          <t>dk</t>
        </is>
      </c>
      <c r="D9" s="7" t="inlineStr">
        <is>
          <t>Alarm eşiği — duruş</t>
        </is>
      </c>
      <c r="E9" s="7" t="inlineStr">
        <is>
          <t>01.01.2026</t>
        </is>
      </c>
      <c r="F9" s="8" t="inlineStr">
        <is>
          <t>Günlük duruş alarm eşiği</t>
        </is>
      </c>
    </row>
    <row r="10">
      <c r="A10" s="7" t="inlineStr">
        <is>
          <t>odk_esikSaglik</t>
        </is>
      </c>
      <c r="B10" s="17" t="n">
        <v>60</v>
      </c>
      <c r="C10" s="7" t="inlineStr">
        <is>
          <t>puan</t>
        </is>
      </c>
      <c r="D10" s="7" t="inlineStr">
        <is>
          <t>Alarm eşiği — sağlık skor</t>
        </is>
      </c>
      <c r="E10" s="7" t="inlineStr">
        <is>
          <t>01.01.2026</t>
        </is>
      </c>
      <c r="F10" s="8" t="inlineStr">
        <is>
          <t>Sağlık skor alt eşiği</t>
        </is>
      </c>
    </row>
    <row r="11">
      <c r="A11" s="7" t="inlineStr">
        <is>
          <t>odk_aylikCarpan</t>
        </is>
      </c>
      <c r="B11" s="18" t="n">
        <v>1</v>
      </c>
      <c r="C11" s="7" t="inlineStr">
        <is>
          <t>oran</t>
        </is>
      </c>
      <c r="D11" s="7" t="inlineStr">
        <is>
          <t>Aylık proxy</t>
        </is>
      </c>
      <c r="E11" s="7" t="inlineStr">
        <is>
          <t>01.01.2026</t>
        </is>
      </c>
      <c r="F11" s="8" t="inlineStr">
        <is>
          <t>Aylık duruş çarpan</t>
        </is>
      </c>
    </row>
    <row r="12">
      <c r="A12" s="7" t="inlineStr">
        <is>
          <t>odk_senaryoTemkinli</t>
        </is>
      </c>
      <c r="B12" s="18" t="n">
        <v>0.9</v>
      </c>
      <c r="C12" s="7" t="inlineStr">
        <is>
          <t>oran</t>
        </is>
      </c>
      <c r="D12" s="7" t="inlineStr">
        <is>
          <t>Senaryo motoru</t>
        </is>
      </c>
      <c r="E12" s="7" t="inlineStr">
        <is>
          <t>01.01.2026</t>
        </is>
      </c>
      <c r="F12" s="8" t="inlineStr">
        <is>
          <t>Temkinli çarpan</t>
        </is>
      </c>
    </row>
    <row r="13">
      <c r="A13" s="7" t="inlineStr">
        <is>
          <t>odk_senaryoBaz</t>
        </is>
      </c>
      <c r="B13" s="18" t="n">
        <v>1</v>
      </c>
      <c r="C13" s="7" t="inlineStr">
        <is>
          <t>oran</t>
        </is>
      </c>
      <c r="D13" s="7" t="inlineStr">
        <is>
          <t>Senaryo motoru</t>
        </is>
      </c>
      <c r="E13" s="7" t="inlineStr">
        <is>
          <t>01.01.2026</t>
        </is>
      </c>
      <c r="F13" s="8" t="inlineStr">
        <is>
          <t>Baz çarpan</t>
        </is>
      </c>
    </row>
    <row r="14">
      <c r="A14" s="7" t="inlineStr">
        <is>
          <t>odk_senaryoIyimser</t>
        </is>
      </c>
      <c r="B14" s="18" t="n">
        <v>1.1</v>
      </c>
      <c r="C14" s="7" t="inlineStr">
        <is>
          <t>oran</t>
        </is>
      </c>
      <c r="D14" s="7" t="inlineStr">
        <is>
          <t>Senaryo motoru</t>
        </is>
      </c>
      <c r="E14" s="7" t="inlineStr">
        <is>
          <t>01.01.2026</t>
        </is>
      </c>
      <c r="F14" s="8" t="inlineStr">
        <is>
          <t>İyimser çarpan</t>
        </is>
      </c>
    </row>
    <row r="15">
      <c r="A15" s="7" t="inlineStr">
        <is>
          <t>odk_tornadoOran</t>
        </is>
      </c>
      <c r="B15" s="18" t="n">
        <v>0.08</v>
      </c>
      <c r="C15" s="7" t="inlineStr">
        <is>
          <t>oran</t>
        </is>
      </c>
      <c r="D15" s="7" t="inlineStr">
        <is>
          <t>Duyarlılık</t>
        </is>
      </c>
      <c r="E15" s="7" t="inlineStr">
        <is>
          <t>01.01.2026</t>
        </is>
      </c>
      <c r="F15" s="8" t="inlineStr">
        <is>
          <t>Tornado etki oranı</t>
        </is>
      </c>
    </row>
    <row r="16">
      <c r="A16" s="7" t="inlineStr">
        <is>
          <t>odk_yuzdelikOran</t>
        </is>
      </c>
      <c r="B16" s="18" t="n">
        <v>1.15</v>
      </c>
      <c r="C16" s="7" t="inlineStr">
        <is>
          <t>oran</t>
        </is>
      </c>
      <c r="D16" s="7" t="inlineStr">
        <is>
          <t>İstatistik kuralı</t>
        </is>
      </c>
      <c r="E16" s="7" t="inlineStr">
        <is>
          <t>01.01.2026</t>
        </is>
      </c>
      <c r="F16" s="8" t="inlineStr">
        <is>
          <t>P90 çarpan proxy</t>
        </is>
      </c>
    </row>
    <row r="17">
      <c r="A17" s="7" t="inlineStr">
        <is>
          <t>odk_percentileOran</t>
        </is>
      </c>
      <c r="B17" s="18" t="n">
        <v>0.9</v>
      </c>
      <c r="C17" s="7" t="inlineStr">
        <is>
          <t>oran</t>
        </is>
      </c>
      <c r="D17" s="7" t="inlineStr">
        <is>
          <t>PERCENTILE oranı</t>
        </is>
      </c>
      <c r="E17" s="7" t="inlineStr">
        <is>
          <t>01.01.2026</t>
        </is>
      </c>
      <c r="F17" s="8" t="inlineStr">
        <is>
          <t>Yüzdelik dilim</t>
        </is>
      </c>
    </row>
    <row r="18">
      <c r="A18" s="7" t="inlineStr">
        <is>
          <t>odk_tahminCarpan</t>
        </is>
      </c>
      <c r="B18" s="18" t="n">
        <v>1.05</v>
      </c>
      <c r="C18" s="7" t="inlineStr">
        <is>
          <t>oran</t>
        </is>
      </c>
      <c r="D18" s="7" t="inlineStr">
        <is>
          <t>Tahmin modeli</t>
        </is>
      </c>
      <c r="E18" s="7" t="inlineStr">
        <is>
          <t>01.01.2026</t>
        </is>
      </c>
      <c r="F18" s="8" t="inlineStr">
        <is>
          <t>Tahmin aralık çarpan</t>
        </is>
      </c>
    </row>
    <row r="19">
      <c r="A19" s="7" t="inlineStr">
        <is>
          <t>odk_olcekHedef</t>
        </is>
      </c>
      <c r="B19" s="17" t="n">
        <v>20000</v>
      </c>
      <c r="C19" s="7" t="inlineStr">
        <is>
          <t>satir</t>
        </is>
      </c>
      <c r="D19" s="7" t="inlineStr">
        <is>
          <t>Manda A5 Ö1</t>
        </is>
      </c>
      <c r="E19" s="7" t="inlineStr">
        <is>
          <t>01.01.2026</t>
        </is>
      </c>
      <c r="F19" s="8" t="inlineStr">
        <is>
          <t>Ölçek sözleşmesi</t>
        </is>
      </c>
    </row>
    <row r="20">
      <c r="A20" s="7" t="inlineStr">
        <is>
          <t>odk_kaliteTaban</t>
        </is>
      </c>
      <c r="B20" s="17" t="n">
        <v>100</v>
      </c>
      <c r="C20" s="7" t="inlineStr">
        <is>
          <t>puan</t>
        </is>
      </c>
      <c r="D20" s="7" t="inlineStr">
        <is>
          <t>Kalite / sağlık modeli</t>
        </is>
      </c>
      <c r="E20" s="7" t="inlineStr">
        <is>
          <t>01.01.2026</t>
        </is>
      </c>
      <c r="F20" s="8" t="inlineStr">
        <is>
          <t>Taban puan</t>
        </is>
      </c>
    </row>
    <row r="21">
      <c r="A21" s="7" t="inlineStr">
        <is>
          <t>odk_kaliteCeza</t>
        </is>
      </c>
      <c r="B21" s="17" t="n">
        <v>12</v>
      </c>
      <c r="C21" s="7" t="inlineStr">
        <is>
          <t>puan</t>
        </is>
      </c>
      <c r="D21" s="7" t="inlineStr">
        <is>
          <t>Kalite / sağlık modeli</t>
        </is>
      </c>
      <c r="E21" s="7" t="inlineStr">
        <is>
          <t>01.01.2026</t>
        </is>
      </c>
      <c r="F21" s="8" t="inlineStr">
        <is>
          <t>Eşik aşım cezası</t>
        </is>
      </c>
    </row>
    <row r="22">
      <c r="A22" s="7" t="inlineStr">
        <is>
          <t>odk_kaliteSapma</t>
        </is>
      </c>
      <c r="B22" s="17" t="n">
        <v>3</v>
      </c>
      <c r="C22" s="7" t="inlineStr">
        <is>
          <t>puan</t>
        </is>
      </c>
      <c r="D22" s="7" t="inlineStr">
        <is>
          <t>Kalite / sağlık modeli</t>
        </is>
      </c>
      <c r="E22" s="7" t="inlineStr">
        <is>
          <t>01.01.2026</t>
        </is>
      </c>
      <c r="F22" s="8" t="inlineStr">
        <is>
          <t>Sapma / alarm cezası</t>
        </is>
      </c>
    </row>
    <row r="23">
      <c r="A23" s="7" t="inlineStr">
        <is>
          <t>odk_dosyaSurumu</t>
        </is>
      </c>
      <c r="B23" s="15" t="inlineStr">
        <is>
          <t>1.0.0</t>
        </is>
      </c>
      <c r="C23" s="7" t="inlineStr">
        <is>
          <t>metin</t>
        </is>
      </c>
      <c r="D23" s="7" t="inlineStr">
        <is>
          <t>Sürüm yönetimi</t>
        </is>
      </c>
      <c r="E23" s="7" t="inlineStr">
        <is>
          <t>01.01.2026</t>
        </is>
      </c>
      <c r="F23" s="8" t="inlineStr">
        <is>
          <t>Ürün sürümü</t>
        </is>
      </c>
    </row>
    <row r="24">
      <c r="A24" s="7" t="inlineStr">
        <is>
          <t>odk_firmaUnvan</t>
        </is>
      </c>
      <c r="B24" s="15" t="inlineStr">
        <is>
          <t>Örnek Üretim A.Ş.</t>
        </is>
      </c>
      <c r="C24" s="7" t="inlineStr">
        <is>
          <t>metin</t>
        </is>
      </c>
      <c r="D24" s="7" t="inlineStr">
        <is>
          <t>Kullanıcı girişi</t>
        </is>
      </c>
      <c r="E24" s="7" t="inlineStr">
        <is>
          <t>01.01.2026</t>
        </is>
      </c>
      <c r="F24" s="8" t="inlineStr">
        <is>
          <t>Firma unvanı</t>
        </is>
      </c>
    </row>
    <row r="25">
      <c r="A25" s="7" t="inlineStr">
        <is>
          <t>odk_alarmEsikMetin</t>
        </is>
      </c>
      <c r="B25" s="15" t="inlineStr">
        <is>
          <t>OEE / duruş / sağlık eşikleri</t>
        </is>
      </c>
      <c r="C25" s="7" t="inlineStr">
        <is>
          <t>metin</t>
        </is>
      </c>
      <c r="D25" s="7" t="inlineStr">
        <is>
          <t>S05 alarm</t>
        </is>
      </c>
      <c r="E25" s="7" t="inlineStr">
        <is>
          <t>01.01.2026</t>
        </is>
      </c>
      <c r="F25" s="8" t="inlineStr">
        <is>
          <t>Alarm eşiği tanımı</t>
        </is>
      </c>
    </row>
    <row r="26">
      <c r="A26" s="7" t="inlineStr">
        <is>
          <t>odk_dakikaSn</t>
        </is>
      </c>
      <c r="B26" s="17" t="n">
        <v>60</v>
      </c>
      <c r="C26" s="7" t="inlineStr">
        <is>
          <t>sn/dk</t>
        </is>
      </c>
      <c r="D26" s="7" t="inlineStr">
        <is>
          <t>Birim dönüşüm</t>
        </is>
      </c>
      <c r="E26" s="7" t="inlineStr">
        <is>
          <t>01.01.2026</t>
        </is>
      </c>
      <c r="F26" s="8" t="inlineStr">
        <is>
          <t>Dakika → saniye çarpanı</t>
        </is>
      </c>
    </row>
    <row r="27">
      <c r="A27" s="7" t="inlineStr">
        <is>
          <t>odk_oeeReferans</t>
        </is>
      </c>
      <c r="B27" s="18" t="n">
        <v>0.75</v>
      </c>
      <c r="C27" s="7" t="inlineStr">
        <is>
          <t>oran</t>
        </is>
      </c>
      <c r="D27" s="7" t="inlineStr">
        <is>
          <t>Hedef OEE referans</t>
        </is>
      </c>
      <c r="E27" s="7" t="inlineStr">
        <is>
          <t>01.01.2026</t>
        </is>
      </c>
      <c r="F27" s="8" t="inlineStr">
        <is>
          <t>Referans OEE hedefi</t>
        </is>
      </c>
    </row>
    <row r="28">
      <c r="A28" s="7" t="inlineStr">
        <is>
          <t>odk_durusMaliyetTlDk</t>
        </is>
      </c>
      <c r="B28" s="39" t="n">
        <v>18.5</v>
      </c>
      <c r="C28" s="7" t="inlineStr">
        <is>
          <t>TL/dk</t>
        </is>
      </c>
      <c r="D28" s="7" t="inlineStr">
        <is>
          <t>İç maliyet modeli</t>
        </is>
      </c>
      <c r="E28" s="7" t="inlineStr">
        <is>
          <t>01.01.2026</t>
        </is>
      </c>
      <c r="F28" s="8" t="inlineStr">
        <is>
          <t>Duruş dakikası maliyeti</t>
        </is>
      </c>
    </row>
    <row r="29"/>
    <row r="30">
      <c r="H30" s="24" t="inlineStr">
        <is>
          <t>Motor Çıktıları</t>
        </is>
      </c>
    </row>
    <row r="31">
      <c r="H31" s="21" t="inlineStr">
        <is>
          <t>anahtar</t>
        </is>
      </c>
      <c r="I31" s="21" t="inlineStr">
        <is>
          <t>deger</t>
        </is>
      </c>
    </row>
    <row r="32">
      <c r="H32" s="7" t="inlineStr">
        <is>
          <t>odk_doluKayit</t>
        </is>
      </c>
      <c r="I32" s="8">
        <f>HESAP!C7</f>
        <v/>
      </c>
    </row>
    <row r="33">
      <c r="H33" s="7" t="inlineStr">
        <is>
          <t>odk_toplamDurus</t>
        </is>
      </c>
      <c r="I33" s="8">
        <f>HESAP!C9</f>
        <v/>
      </c>
    </row>
    <row r="34">
      <c r="H34" s="7" t="inlineStr">
        <is>
          <t>odk_toplamUretim</t>
        </is>
      </c>
      <c r="I34" s="8">
        <f>HESAP!C10</f>
        <v/>
      </c>
    </row>
    <row r="35">
      <c r="H35" s="7" t="inlineStr">
        <is>
          <t>odk_oeeOrani</t>
        </is>
      </c>
      <c r="I35" s="8">
        <f>HESAP!C17</f>
        <v/>
      </c>
    </row>
    <row r="36">
      <c r="H36" s="7" t="inlineStr">
        <is>
          <t>odk_kullanilabilirlik</t>
        </is>
      </c>
      <c r="I36" s="8">
        <f>HESAP!C13</f>
        <v/>
      </c>
    </row>
    <row r="37">
      <c r="H37" s="7" t="inlineStr">
        <is>
          <t>odk_performans</t>
        </is>
      </c>
      <c r="I37" s="8">
        <f>HESAP!C15</f>
        <v/>
      </c>
    </row>
    <row r="38">
      <c r="H38" s="7" t="inlineStr">
        <is>
          <t>odk_kaliteOrani</t>
        </is>
      </c>
      <c r="I38" s="8">
        <f>HESAP!C16</f>
        <v/>
      </c>
    </row>
    <row r="39">
      <c r="H39" s="7" t="inlineStr">
        <is>
          <t>odk_gunlukOeeOrt</t>
        </is>
      </c>
      <c r="I39" s="8">
        <f>HESAP!C28</f>
        <v/>
      </c>
    </row>
    <row r="40">
      <c r="H40" s="7" t="inlineStr">
        <is>
          <t>odk_aylikDurusTrend</t>
        </is>
      </c>
      <c r="I40" s="8">
        <f>HESAP!C29</f>
        <v/>
      </c>
    </row>
    <row r="41">
      <c r="H41" s="7" t="inlineStr">
        <is>
          <t>odk_saglikSkor</t>
        </is>
      </c>
      <c r="I41" s="8">
        <f>HESAP!C23</f>
        <v/>
      </c>
    </row>
    <row r="42">
      <c r="H42" s="7" t="inlineStr">
        <is>
          <t>odk_alarmAdet</t>
        </is>
      </c>
      <c r="I42" s="8">
        <f>HESAP!C21</f>
        <v/>
      </c>
    </row>
    <row r="43">
      <c r="H43" s="7" t="inlineStr">
        <is>
          <t>odk_yetimAdet</t>
        </is>
      </c>
      <c r="I43" s="8">
        <f>HESAP!C22</f>
        <v/>
      </c>
    </row>
    <row r="44">
      <c r="H44" s="7" t="inlineStr">
        <is>
          <t>odk_oeeSapma</t>
        </is>
      </c>
      <c r="I44" s="8">
        <f>HESAP!C30</f>
        <v/>
      </c>
    </row>
    <row r="45">
      <c r="H45" s="7" t="inlineStr">
        <is>
          <t>odk_tornadoZirve</t>
        </is>
      </c>
      <c r="I45" s="8">
        <f>HESAP!C42</f>
        <v/>
      </c>
    </row>
    <row r="46">
      <c r="H46" s="7" t="inlineStr">
        <is>
          <t>odk_senaryoKarsilastirma</t>
        </is>
      </c>
      <c r="I46" s="8">
        <f>HESAP!C38</f>
        <v/>
      </c>
    </row>
    <row r="47">
      <c r="H47" s="7" t="inlineStr">
        <is>
          <t>odk_hhi</t>
        </is>
      </c>
      <c r="I47" s="8">
        <f>HESAP!C43</f>
        <v/>
      </c>
    </row>
    <row r="48">
      <c r="H48" s="7" t="inlineStr">
        <is>
          <t>odk_kaliteSkor</t>
        </is>
      </c>
      <c r="I48" s="8">
        <f>HESAP!C44</f>
        <v/>
      </c>
    </row>
    <row r="49">
      <c r="H49" s="7" t="inlineStr">
        <is>
          <t>odk_senaryoMotor</t>
        </is>
      </c>
      <c r="I49" s="8">
        <f>HESAP!C47</f>
        <v/>
      </c>
    </row>
    <row r="50">
      <c r="H50" s="7" t="inlineStr">
        <is>
          <t>odk_tahminAralik</t>
        </is>
      </c>
      <c r="I50" s="8">
        <f>HESAP!C45</f>
        <v/>
      </c>
    </row>
    <row r="51">
      <c r="H51" s="7" t="inlineStr">
        <is>
          <t>odk_yuzdelikP90</t>
        </is>
      </c>
      <c r="I51" s="8">
        <f>HESAP!C46</f>
        <v/>
      </c>
    </row>
    <row r="52">
      <c r="H52" s="7" t="inlineStr">
        <is>
          <t>odk_kokNedenKirilim</t>
        </is>
      </c>
      <c r="I52" s="8">
        <f>HESAP!C56</f>
        <v/>
      </c>
    </row>
    <row r="53">
      <c r="H53" s="7" t="inlineStr">
        <is>
          <t>odk_sezonsalTrend</t>
        </is>
      </c>
      <c r="I53" s="8">
        <f>_xlfn.TEXTJOIN(" | ",TRUE,"12_AY",TEXT(HESAP!C48,"0"),"dk",TEXT(HESAP!C49,"0.0%"),"OEE sezonsal")</f>
        <v/>
      </c>
    </row>
    <row r="54">
      <c r="H54" s="7" t="inlineStr">
        <is>
          <t>odk_alarmListesi</t>
        </is>
      </c>
      <c r="I54" s="8">
        <f>_xlfn.TEXTJOIN(" | ",TRUE,"Alarm",HESAP!C21,"Yetim",HESAP!C22,"OeeAlt",HESAP!C25,"DurusAsim",HESAP!C26)</f>
        <v/>
      </c>
    </row>
    <row r="55">
      <c r="H55" s="7" t="inlineStr">
        <is>
          <t>odk_kararKapi</t>
        </is>
      </c>
      <c r="I55" s="8">
        <f>IF(HESAP!C7=0,"VERİ YOK",IF(OR(HESAP!C9&lt;0,HESAP!C10&lt;0),"KRİTİK",IF(HESAP!C50=1,"KRİTİK",IF(OR(HESAP!C25&gt;0,HESAP!C17&lt;odk_esikOee),"DİKKAT","UYGUN"))))</f>
        <v/>
      </c>
    </row>
    <row r="56">
      <c r="H56" s="7" t="inlineStr">
        <is>
          <t>odk_kararGerekce</t>
        </is>
      </c>
      <c r="I56" s="8">
        <f>_xlfn.TEXTJOIN(" ",TRUE,"Karar",odk_kararKapi,"| OEE",TEXT(odk_oeeOrani,"0.0%"),"| sağlık",TEXT(odk_saglikSkor,"0"),"| alarm",odk_alarmAdet)</f>
        <v/>
      </c>
    </row>
    <row r="57">
      <c r="H57" s="7" t="inlineStr">
        <is>
          <t>odk_sonrakiKimlik</t>
        </is>
      </c>
      <c r="I57" s="8">
        <f>"MAK-"&amp;TEXT(COUNTA(tblVarliklar[VarlikId])+1,"00000")</f>
        <v/>
      </c>
    </row>
    <row r="58"/>
    <row r="59">
      <c r="H59" s="24" t="inlineStr">
        <is>
          <t>Yorumlar</t>
        </is>
      </c>
    </row>
    <row r="60">
      <c r="H60" s="7" t="inlineStr">
        <is>
          <t>odk_yorumGunluk</t>
        </is>
      </c>
      <c r="I60" s="8">
        <f>_xlfn.TEXTJOIN(" ",TRUE,"Günlük OEE ort",TEXT(odk_gunlukOeeOrt,"0.0%"))</f>
        <v/>
      </c>
    </row>
    <row r="61">
      <c r="H61" s="7" t="inlineStr">
        <is>
          <t>odk_yorumAylik</t>
        </is>
      </c>
      <c r="I61" s="8">
        <f>_xlfn.TEXTJOIN(" ",TRUE,"Aylık duruş proxy",TEXT(odk_aylikDurusTrend,"0"),"dk")</f>
        <v/>
      </c>
    </row>
    <row r="62">
      <c r="H62" s="7" t="inlineStr">
        <is>
          <t>odk_yorumSapma</t>
        </is>
      </c>
      <c r="I62" s="8">
        <f>_xlfn.TEXTJOIN(" ",TRUE,"OEE sapma",TEXT(odk_oeeSapma,"0.0%"))</f>
        <v/>
      </c>
    </row>
    <row r="63">
      <c r="H63" s="7" t="inlineStr">
        <is>
          <t>odk_yorumTornado</t>
        </is>
      </c>
      <c r="I63" s="8">
        <f>_xlfn.TEXTJOIN(" ",TRUE,"Tornado zirve",TEXT(odk_tornadoZirve,"0"))</f>
        <v/>
      </c>
    </row>
    <row r="64">
      <c r="H64" s="7" t="inlineStr">
        <is>
          <t>odk_yorumSenaryo</t>
        </is>
      </c>
      <c r="I64" s="8">
        <f>_xlfn.TEXTJOIN(" ",TRUE,"Senaryo farkı",TEXT(odk_senaryoKarsilastirma,"0.0%"))</f>
        <v/>
      </c>
    </row>
    <row r="65">
      <c r="H65" s="7" t="inlineStr">
        <is>
          <t>odk_yorumHhi</t>
        </is>
      </c>
      <c r="I65" s="8">
        <f>_xlfn.TEXTJOIN(" ",TRUE,"Yoğunlaşma HHI",TEXT(odk_hhi,"0.0%"))</f>
        <v/>
      </c>
    </row>
    <row r="66">
      <c r="H66" s="7" t="inlineStr">
        <is>
          <t>odk_yorumKalite</t>
        </is>
      </c>
      <c r="I66" s="8">
        <f>_xlfn.TEXTJOIN(" ",TRUE,"Kalite skoru",odk_kaliteSkor)</f>
        <v/>
      </c>
    </row>
    <row r="67">
      <c r="H67" s="7" t="inlineStr">
        <is>
          <t>odk_yorumSenMotor</t>
        </is>
      </c>
      <c r="I67" s="8">
        <f>_xlfn.TEXTJOIN(" ",TRUE,"Senaryo motoru",odk_senaryoMotor)</f>
        <v/>
      </c>
    </row>
    <row r="68">
      <c r="H68" s="7" t="inlineStr">
        <is>
          <t>odk_yorumTahmin</t>
        </is>
      </c>
      <c r="I68" s="8">
        <f>_xlfn.TEXTJOIN(" ",TRUE,"Tahmin aralık",TEXT(odk_tahminAralik,"0.0%"))</f>
        <v/>
      </c>
    </row>
    <row r="69">
      <c r="H69" s="7" t="inlineStr">
        <is>
          <t>odk_yorumP90</t>
        </is>
      </c>
      <c r="I69" s="8">
        <f>_xlfn.TEXTJOIN(" ",TRUE,"P90 OEE",TEXT(odk_yuzdelikP90,"0.0%"))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dataValidations count="69">
    <dataValidation sqref="D6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6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6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7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7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7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8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8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8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9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9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9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10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10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10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11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11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11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12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12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12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13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13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13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14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14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14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15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15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15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16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16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16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17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17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17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18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18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18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19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19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19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20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20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20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21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21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21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22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22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22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23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23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23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24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24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24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25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25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25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26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26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26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27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27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27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28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28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28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tabColor rgb="001A365D"/>
    <outlinePr summaryBelow="1" summaryRight="1"/>
    <pageSetUpPr/>
  </sheetPr>
  <dimension ref="A1:AC13"/>
  <sheetViews>
    <sheetView showGridLines="0" workbookViewId="0">
      <selection activeCell="A1" sqref="A1"/>
    </sheetView>
  </sheetViews>
  <sheetFormatPr baseColWidth="8" defaultRowHeight="15"/>
  <cols>
    <col width="106.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33" t="inlineStr">
        <is>
          <t>KILAVUZ — OEE &amp; Duruş Kök-Neden Komutası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</row>
    <row r="2"/>
    <row r="3" ht="22" customHeight="1">
      <c r="A3" s="40" t="inlineStr">
        <is>
          <t>Kullanım Kılavuzu</t>
        </is>
      </c>
    </row>
    <row r="4"/>
    <row r="5">
      <c r="A5" s="8" t="inlineStr">
        <is>
          <t>1. VARLIKLAR sayfasına makine kartı ekleyin; sonraki kimliği kullanın.</t>
        </is>
      </c>
    </row>
    <row r="6">
      <c r="A6" s="8" t="inlineStr">
        <is>
          <t>2. GUNLUK_GIRIS: varlık, tarih, plan dk, duruş dk, üretim adet, fire adet, kök neden (≤6 manuel alan).</t>
        </is>
      </c>
    </row>
    <row r="7">
      <c r="A7" s="8" t="inlineStr">
        <is>
          <t>3. OEE = kullanılabilirlik × performans × kalite formülüyle hesaplanır.</t>
        </is>
      </c>
    </row>
    <row r="8">
      <c r="A8" s="8" t="inlineStr">
        <is>
          <t>4. DONEM_ANALIZ 12 aylık sezonsal OEE-duruş zincirini gösterir.</t>
        </is>
      </c>
    </row>
    <row r="9">
      <c r="A9" s="8" t="inlineStr">
        <is>
          <t>5. ALARMLAR sayfasında varlık + eşik + tarih listesi; eşikler AYARLAR'dadır.</t>
        </is>
      </c>
    </row>
    <row r="10">
      <c r="A10" s="8" t="inlineStr">
        <is>
          <t>6. raporTarihi AYARLAR'dadır; TODAY kullanılmaz.</t>
        </is>
      </c>
    </row>
    <row r="11">
      <c r="A11" s="8" t="inlineStr">
        <is>
          <t>7. Koruma şifresi: 1234 — formül hücreleri kilitli, sarı hücreler açıktır.</t>
        </is>
      </c>
    </row>
    <row r="12">
      <c r="A12" s="8" t="inlineStr">
        <is>
          <t>8. RAPOR sayfasını PDF olarak yazdırabilirsiniz.</t>
        </is>
      </c>
    </row>
    <row r="13">
      <c r="A13" s="8" t="inlineStr">
        <is>
          <t>9. Sürüm 1.0.0 | Kod ODK-PRO | Lisans: Tek kullanıcı | ExcelArşiv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1">
    <mergeCell ref="A5:J5"/>
    <mergeCell ref="A8:J8"/>
    <mergeCell ref="A6:J6"/>
    <mergeCell ref="A9:J9"/>
    <mergeCell ref="A1:I1"/>
    <mergeCell ref="A12:J12"/>
    <mergeCell ref="A7:J7"/>
    <mergeCell ref="A3:I3"/>
    <mergeCell ref="A10:J10"/>
    <mergeCell ref="A13:J13"/>
    <mergeCell ref="A11:J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2026-08-11T19:38:15Z</dcterms:created>
  <dcterms:modified xmlns:dcterms="http://purl.org/dc/terms/" xmlns:xsi="http://www.w3.org/2001/XMLSchema-instance" xsi:type="dcterms:W3CDTF">2026-09-25T20:44:35Z</dcterms:modified>
</cp:coreProperties>
</file>