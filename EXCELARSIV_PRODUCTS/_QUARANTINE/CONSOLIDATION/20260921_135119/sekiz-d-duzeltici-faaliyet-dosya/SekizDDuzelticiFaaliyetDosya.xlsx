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EKIP" sheetId="3" state="visible" r:id="rId3"/>
    <sheet xmlns:r="http://schemas.openxmlformats.org/officeDocument/2006/relationships" name="AKIS" sheetId="4" state="visible" r:id="rId4"/>
    <sheet xmlns:r="http://schemas.openxmlformats.org/officeDocument/2006/relationships" name="KUYRUKLAR" sheetId="5" state="visible" r:id="rId5"/>
    <sheet xmlns:r="http://schemas.openxmlformats.org/officeDocument/2006/relationships" name="HESAP" sheetId="6" state="visible" r:id="rId6"/>
    <sheet xmlns:r="http://schemas.openxmlformats.org/officeDocument/2006/relationships" name="KANIT_RAPORU" sheetId="7" state="visible" r:id="rId7"/>
    <sheet xmlns:r="http://schemas.openxmlformats.org/officeDocument/2006/relationships" name="RAP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ORNEK_VERI" sheetId="10" state="visible" r:id="rId10"/>
    <sheet xmlns:r="http://schemas.openxmlformats.org/officeDocument/2006/relationships" name="LISTELER" sheetId="11" state="visible" r:id="rId11"/>
    <sheet xmlns:r="http://schemas.openxmlformats.org/officeDocument/2006/relationships" name="AYARLAR" sheetId="12" state="visible" r:id="rId12"/>
    <sheet xmlns:r="http://schemas.openxmlformats.org/officeDocument/2006/relationships" name="KILAVUZ" sheetId="13" state="visible" r:id="rId13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1">'PANO'!$A$1:$N$36</definedName>
    <definedName name="_xlnm.Print_Area" localSheetId="6">'KANIT_RAPORU'!$A$1:$H$36</definedName>
    <definedName name="_xlnm.Print_Area" localSheetId="7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₺#,##0"/>
  </numFmts>
  <fonts count="5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b val="1"/>
      <color rgb="000F172A"/>
      <sz val="9"/>
    </font>
    <font>
      <name val="Segoe UI"/>
      <b val="1"/>
      <color rgb="000F172A"/>
      <sz val="15"/>
    </font>
    <font>
      <name val="Segoe UI"/>
      <color rgb="00334155"/>
      <sz val="8.5"/>
    </font>
    <font>
      <name val="Segoe UI"/>
      <b val="1"/>
      <color rgb="00FFFFFF"/>
      <sz val="8.5"/>
    </font>
    <font>
      <name val="Segoe UI"/>
      <color rgb="0064748B"/>
      <sz val="9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color rgb="0064748B"/>
      <sz val="8"/>
    </font>
    <font>
      <name val="Segoe UI"/>
      <b val="1"/>
      <color rgb="00B91C1C"/>
      <sz val="7.5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b val="1"/>
      <color rgb="00DC2626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FFFFFF"/>
      <sz val="9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color rgb="00D1FAE5"/>
      <sz val="8"/>
    </font>
    <font>
      <name val="Segoe UI"/>
      <b val="1"/>
      <color rgb="00065F46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EF3C7"/>
        <bgColor rgb="00FEF3C7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  <fill>
      <patternFill patternType="solid">
        <fgColor rgb="00065F46"/>
        <bgColor rgb="00065F46"/>
      </patternFill>
    </fill>
  </fills>
  <borders count="32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20" fillId="2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0" fontId="21" fillId="8" borderId="2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3" fillId="8" borderId="2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8" borderId="3" applyAlignment="1" pivotButton="0" quotePrefix="0" xfId="0">
      <alignment vertical="center" indent="1"/>
    </xf>
    <xf numFmtId="0" fontId="0" fillId="8" borderId="4" pivotButton="0" quotePrefix="0" xfId="0"/>
    <xf numFmtId="0" fontId="27" fillId="10" borderId="2" applyAlignment="1" pivotButton="0" quotePrefix="0" xfId="0">
      <alignment horizontal="center" vertical="center"/>
    </xf>
    <xf numFmtId="0" fontId="26" fillId="8" borderId="12" applyAlignment="1" pivotButton="0" quotePrefix="0" xfId="0">
      <alignment vertical="center" indent="1"/>
    </xf>
    <xf numFmtId="0" fontId="30" fillId="11" borderId="2" applyAlignment="1" pivotButton="0" quotePrefix="0" xfId="0">
      <alignment horizontal="center" vertical="center"/>
    </xf>
    <xf numFmtId="0" fontId="26" fillId="8" borderId="14" applyAlignment="1" pivotButton="0" quotePrefix="0" xfId="0">
      <alignment vertical="center" indent="1"/>
    </xf>
    <xf numFmtId="0" fontId="31" fillId="12" borderId="2" applyAlignment="1" pivotButton="0" quotePrefix="0" xfId="0">
      <alignment horizontal="center" vertical="center"/>
    </xf>
    <xf numFmtId="0" fontId="26" fillId="8" borderId="16" applyAlignment="1" pivotButton="0" quotePrefix="0" xfId="0">
      <alignment vertical="center" indent="1"/>
    </xf>
    <xf numFmtId="0" fontId="32" fillId="13" borderId="2" applyAlignment="1" pivotButton="0" quotePrefix="0" xfId="0">
      <alignment horizontal="center" vertical="center"/>
    </xf>
    <xf numFmtId="3" fontId="11" fillId="8" borderId="6" applyAlignment="1" pivotButton="0" quotePrefix="0" xfId="0">
      <alignment horizontal="left" vertical="center"/>
    </xf>
    <xf numFmtId="0" fontId="0" fillId="8" borderId="7" pivotButton="0" quotePrefix="0" xfId="0"/>
    <xf numFmtId="0" fontId="12" fillId="8" borderId="8" applyAlignment="1" pivotButton="0" quotePrefix="0" xfId="0">
      <alignment horizontal="left" vertical="center"/>
    </xf>
    <xf numFmtId="0" fontId="0" fillId="8" borderId="13" pivotButton="0" quotePrefix="0" xfId="0"/>
    <xf numFmtId="0" fontId="0" fillId="8" borderId="8" pivotButton="0" quotePrefix="0" xfId="0"/>
    <xf numFmtId="0" fontId="0" fillId="8" borderId="15" pivotButton="0" quotePrefix="0" xfId="0"/>
    <xf numFmtId="0" fontId="0" fillId="8" borderId="17" pivotButton="0" quotePrefix="0" xfId="0"/>
    <xf numFmtId="3" fontId="28" fillId="8" borderId="6" applyAlignment="1" pivotButton="0" quotePrefix="0" xfId="0">
      <alignment vertical="center" indent="1"/>
    </xf>
    <xf numFmtId="0" fontId="6" fillId="8" borderId="8" applyAlignment="1" pivotButton="0" quotePrefix="0" xfId="0">
      <alignment horizontal="left" vertical="center" wrapText="1"/>
    </xf>
    <xf numFmtId="0" fontId="28" fillId="8" borderId="17" applyAlignment="1" pivotButton="0" quotePrefix="0" xfId="0">
      <alignment vertical="center" indent="1"/>
    </xf>
    <xf numFmtId="3" fontId="29" fillId="8" borderId="9" applyAlignment="1" pivotButton="0" quotePrefix="0" xfId="0">
      <alignment vertical="center" indent="1"/>
    </xf>
    <xf numFmtId="0" fontId="0" fillId="8" borderId="10" pivotButton="0" quotePrefix="0" xfId="0"/>
    <xf numFmtId="0" fontId="6" fillId="8" borderId="11" applyAlignment="1" pivotButton="0" quotePrefix="0" xfId="0">
      <alignment horizontal="left" vertical="center" wrapText="1"/>
    </xf>
    <xf numFmtId="0" fontId="0" fillId="8" borderId="11" pivotButton="0" quotePrefix="0" xfId="0"/>
    <xf numFmtId="0" fontId="29" fillId="8" borderId="18" applyAlignment="1" pivotButton="0" quotePrefix="0" xfId="0">
      <alignment vertical="center" indent="1"/>
    </xf>
    <xf numFmtId="165" fontId="33" fillId="0" borderId="0" applyAlignment="1" pivotButton="0" quotePrefix="0" xfId="0">
      <alignment horizontal="left" vertical="center"/>
    </xf>
    <xf numFmtId="0" fontId="34" fillId="12" borderId="2" applyAlignment="1" pivotButton="0" quotePrefix="0" xfId="0">
      <alignment horizontal="center" vertical="center"/>
    </xf>
    <xf numFmtId="0" fontId="33" fillId="0" borderId="0" pivotButton="0" quotePrefix="0" xfId="0"/>
    <xf numFmtId="3" fontId="25" fillId="0" borderId="0" applyAlignment="1" pivotButton="0" quotePrefix="0" xfId="0">
      <alignment horizontal="left" vertical="center"/>
    </xf>
    <xf numFmtId="0" fontId="25" fillId="0" borderId="0" pivotButton="0" quotePrefix="0" xfId="0"/>
    <xf numFmtId="3" fontId="35" fillId="14" borderId="2" applyAlignment="1" pivotButton="0" quotePrefix="0" xfId="0">
      <alignment horizontal="center" vertical="center"/>
    </xf>
    <xf numFmtId="0" fontId="35" fillId="14" borderId="2" applyAlignment="1" pivotButton="0" quotePrefix="0" xfId="0">
      <alignment horizontal="center" vertical="center"/>
    </xf>
    <xf numFmtId="0" fontId="24" fillId="15" borderId="19" applyAlignment="1" pivotButton="0" quotePrefix="0" xfId="0">
      <alignment horizontal="center" vertical="center"/>
    </xf>
    <xf numFmtId="166" fontId="36" fillId="8" borderId="2" applyAlignment="1" pivotButton="0" quotePrefix="0" xfId="0">
      <alignment horizontal="center" vertical="center"/>
    </xf>
    <xf numFmtId="0" fontId="36" fillId="8" borderId="2" applyAlignment="1" pivotButton="0" quotePrefix="0" xfId="0">
      <alignment horizontal="center" vertical="center"/>
    </xf>
    <xf numFmtId="168" fontId="21" fillId="8" borderId="2" applyAlignment="1" pivotButton="0" quotePrefix="0" xfId="0">
      <alignment horizontal="right" vertical="center"/>
    </xf>
    <xf numFmtId="168" fontId="37" fillId="8" borderId="2" applyAlignment="1" pivotButton="0" quotePrefix="0" xfId="0">
      <alignment horizontal="right" vertical="center"/>
    </xf>
    <xf numFmtId="0" fontId="38" fillId="8" borderId="2" applyAlignment="1" pivotButton="0" quotePrefix="0" xfId="0">
      <alignment horizontal="center" vertical="center"/>
    </xf>
    <xf numFmtId="0" fontId="39" fillId="12" borderId="2" applyAlignment="1" pivotButton="0" quotePrefix="0" xfId="0">
      <alignment horizontal="center" vertical="center"/>
    </xf>
    <xf numFmtId="0" fontId="0" fillId="8" borderId="2" pivotButton="0" quotePrefix="0" xfId="0"/>
    <xf numFmtId="0" fontId="36" fillId="14" borderId="2" applyAlignment="1" pivotButton="0" quotePrefix="0" xfId="0">
      <alignment horizontal="center" vertical="center"/>
    </xf>
    <xf numFmtId="168" fontId="21" fillId="14" borderId="2" applyAlignment="1" pivotButton="0" quotePrefix="0" xfId="0">
      <alignment horizontal="right" vertical="center"/>
    </xf>
    <xf numFmtId="168" fontId="37" fillId="14" borderId="2" applyAlignment="1" pivotButton="0" quotePrefix="0" xfId="0">
      <alignment horizontal="right" vertical="center"/>
    </xf>
    <xf numFmtId="0" fontId="38" fillId="14" borderId="2" applyAlignment="1" pivotButton="0" quotePrefix="0" xfId="0">
      <alignment horizontal="center" vertical="center"/>
    </xf>
    <xf numFmtId="0" fontId="40" fillId="10" borderId="2" applyAlignment="1" pivotButton="0" quotePrefix="0" xfId="0">
      <alignment horizontal="center" vertical="center"/>
    </xf>
    <xf numFmtId="0" fontId="0" fillId="14" borderId="2" pivotButton="0" quotePrefix="0" xfId="0"/>
    <xf numFmtId="165" fontId="36" fillId="8" borderId="2" applyAlignment="1" pivotButton="0" quotePrefix="0" xfId="0">
      <alignment horizontal="center" vertical="center"/>
    </xf>
    <xf numFmtId="0" fontId="21" fillId="8" borderId="2" applyAlignment="1" pivotButton="0" quotePrefix="0" xfId="0">
      <alignment vertical="center" indent="1"/>
    </xf>
    <xf numFmtId="0" fontId="41" fillId="16" borderId="2" applyAlignment="1" pivotButton="0" quotePrefix="0" xfId="0">
      <alignment horizontal="center" vertical="center"/>
    </xf>
    <xf numFmtId="165" fontId="36" fillId="14" borderId="2" applyAlignment="1" pivotButton="0" quotePrefix="0" xfId="0">
      <alignment horizontal="center" vertical="center"/>
    </xf>
    <xf numFmtId="0" fontId="21" fillId="14" borderId="2" applyAlignment="1" pivotButton="0" quotePrefix="0" xfId="0">
      <alignment vertical="center" indent="1"/>
    </xf>
    <xf numFmtId="0" fontId="42" fillId="17" borderId="2" applyAlignment="1" pivotButton="0" quotePrefix="0" xfId="0">
      <alignment horizontal="center" vertical="center"/>
    </xf>
    <xf numFmtId="0" fontId="43" fillId="15" borderId="20" applyAlignment="1" pivotButton="0" quotePrefix="0" xfId="0">
      <alignment vertical="center" indent="1"/>
    </xf>
    <xf numFmtId="168" fontId="44" fillId="15" borderId="20" applyAlignment="1" pivotButton="0" quotePrefix="0" xfId="0">
      <alignment horizontal="right" vertical="center"/>
    </xf>
    <xf numFmtId="168" fontId="45" fillId="15" borderId="20" applyAlignment="1" pivotButton="0" quotePrefix="0" xfId="0">
      <alignment horizontal="right" vertical="center"/>
    </xf>
    <xf numFmtId="0" fontId="0" fillId="15" borderId="20" pivotButton="0" quotePrefix="0" xfId="0"/>
    <xf numFmtId="0" fontId="46" fillId="15" borderId="20" applyAlignment="1" pivotButton="0" quotePrefix="0" xfId="0">
      <alignment horizontal="center" vertical="center"/>
    </xf>
    <xf numFmtId="166" fontId="36" fillId="14" borderId="2" applyAlignment="1" pivotButton="0" quotePrefix="0" xfId="0">
      <alignment horizontal="center" vertical="center"/>
    </xf>
    <xf numFmtId="165" fontId="47" fillId="8" borderId="21" applyAlignment="1" pivotButton="0" quotePrefix="0" xfId="0">
      <alignment vertical="center" indent="1"/>
    </xf>
    <xf numFmtId="0" fontId="0" fillId="8" borderId="5" pivotButton="0" quotePrefix="0" xfId="0"/>
    <xf numFmtId="0" fontId="47" fillId="8" borderId="21" applyAlignment="1" pivotButton="0" quotePrefix="0" xfId="0">
      <alignment vertical="center" indent="1"/>
    </xf>
    <xf numFmtId="0" fontId="53" fillId="19" borderId="24" applyAlignment="1" pivotButton="0" quotePrefix="0" xfId="0">
      <alignment vertical="center" indent="1"/>
    </xf>
    <xf numFmtId="0" fontId="0" fillId="19" borderId="25" pivotButton="0" quotePrefix="0" xfId="0"/>
    <xf numFmtId="0" fontId="0" fillId="19" borderId="26" pivotButton="0" quotePrefix="0" xfId="0"/>
    <xf numFmtId="3" fontId="48" fillId="8" borderId="22" applyAlignment="1" pivotButton="0" quotePrefix="0" xfId="0">
      <alignment vertical="center" indent="1"/>
    </xf>
    <xf numFmtId="0" fontId="38" fillId="8" borderId="22" pivotButton="0" quotePrefix="0" xfId="0"/>
    <xf numFmtId="0" fontId="48" fillId="8" borderId="8" pivotButton="0" quotePrefix="0" xfId="0"/>
    <xf numFmtId="0" fontId="15" fillId="19" borderId="27" applyAlignment="1" pivotButton="0" quotePrefix="0" xfId="0">
      <alignment vertical="center" indent="1"/>
    </xf>
    <xf numFmtId="0" fontId="0" fillId="19" borderId="7" pivotButton="0" quotePrefix="0" xfId="0"/>
    <xf numFmtId="0" fontId="0" fillId="19" borderId="28" pivotButton="0" quotePrefix="0" xfId="0"/>
    <xf numFmtId="0" fontId="49" fillId="8" borderId="22" applyAlignment="1" pivotButton="0" quotePrefix="0" xfId="0">
      <alignment vertical="center" indent="1"/>
    </xf>
    <xf numFmtId="0" fontId="54" fillId="19" borderId="27" applyAlignment="1" pivotButton="0" quotePrefix="0" xfId="0">
      <alignment vertical="center" indent="1"/>
    </xf>
    <xf numFmtId="0" fontId="50" fillId="8" borderId="22" applyAlignment="1" pivotButton="0" quotePrefix="0" xfId="0">
      <alignment vertical="center" indent="1"/>
    </xf>
    <xf numFmtId="0" fontId="0" fillId="12" borderId="2" pivotButton="0" quotePrefix="0" xfId="0"/>
    <xf numFmtId="0" fontId="51" fillId="8" borderId="22" applyAlignment="1" pivotButton="0" quotePrefix="0" xfId="0">
      <alignment vertical="center" indent="1"/>
    </xf>
    <xf numFmtId="0" fontId="6" fillId="8" borderId="7" applyAlignment="1" pivotButton="0" quotePrefix="0" xfId="0">
      <alignment horizontal="left" vertical="center"/>
    </xf>
    <xf numFmtId="0" fontId="6" fillId="8" borderId="8" applyAlignment="1" pivotButton="0" quotePrefix="0" xfId="0">
      <alignment horizontal="left" vertical="center"/>
    </xf>
    <xf numFmtId="0" fontId="52" fillId="18" borderId="2" applyAlignment="1" pivotButton="0" quotePrefix="0" xfId="0">
      <alignment horizontal="center" vertical="center"/>
    </xf>
    <xf numFmtId="0" fontId="6" fillId="18" borderId="2" applyAlignment="1" pivotButton="0" quotePrefix="0" xfId="0">
      <alignment horizontal="left" vertical="center"/>
    </xf>
    <xf numFmtId="0" fontId="0" fillId="18" borderId="2" pivotButton="0" quotePrefix="0" xfId="0"/>
    <xf numFmtId="0" fontId="55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3" fontId="6" fillId="8" borderId="23" applyAlignment="1" pivotButton="0" quotePrefix="0" xfId="0">
      <alignment horizontal="left" vertical="center"/>
    </xf>
    <xf numFmtId="0" fontId="6" fillId="8" borderId="10" applyAlignment="1" pivotButton="0" quotePrefix="0" xfId="0">
      <alignment horizontal="left" vertical="center"/>
    </xf>
    <xf numFmtId="3" fontId="6" fillId="8" borderId="11" applyAlignment="1" pivotButton="0" quotePrefix="0" xfId="0">
      <alignment horizontal="left" vertical="center"/>
    </xf>
    <xf numFmtId="0" fontId="0" fillId="8" borderId="23" pivotButton="0" quotePrefix="0" xfId="0"/>
    <xf numFmtId="3" fontId="6" fillId="8" borderId="10" applyAlignment="1" pivotButton="0" quotePrefix="0" xfId="0">
      <alignment horizontal="left" vertical="center"/>
    </xf>
    <xf numFmtId="165" fontId="6" fillId="8" borderId="10" applyAlignment="1" pivotButton="0" quotePrefix="0" xfId="0">
      <alignment horizontal="left" vertical="center"/>
    </xf>
    <xf numFmtId="165" fontId="6" fillId="19" borderId="29" applyAlignment="1" pivotButton="0" quotePrefix="0" xfId="0">
      <alignment horizontal="left" vertical="center"/>
    </xf>
    <xf numFmtId="0" fontId="0" fillId="19" borderId="30" pivotButton="0" quotePrefix="0" xfId="0"/>
    <xf numFmtId="0" fontId="6" fillId="19" borderId="31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8D Durum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'PANO'!$A$27:$A$35</f>
            </numRef>
          </cat>
          <val>
            <numRef>
              <f>'PANO'!$B$27:$B$35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DF Maliyet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Kapanış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'PANO'!$A$27:$A$35</f>
            </numRef>
          </cat>
          <val>
            <numRef>
              <f>'PANO'!$B$27:$B$35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KAPAK — 8D / Düzeltici Faaliyet Dosya Sistemi</t>
        </is>
      </c>
    </row>
    <row r="3" ht="22" customHeight="1">
      <c r="A3" s="43" t="inlineStr">
        <is>
          <t>8D / Düzeltici Faaliyet Dosya Sistemi</t>
        </is>
      </c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Q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47" t="inlineStr">
        <is>
          <t>☰ PANO</t>
        </is>
      </c>
    </row>
    <row r="2" ht="28" customHeight="1">
      <c r="B2" s="48" t="inlineStr">
        <is>
          <t>STRATEJİK YÖNETİCİ KOKPİTİ</t>
        </is>
      </c>
      <c r="L2" s="49" t="inlineStr">
        <is>
          <t>Dönem: 2026 / Tam ▼</t>
        </is>
      </c>
      <c r="M2" s="50" t="inlineStr">
        <is>
          <t>★ DOĞRULANMIŞ</t>
        </is>
      </c>
    </row>
    <row r="3" ht="18" customHeight="1">
      <c r="A3" s="44" t="inlineStr">
        <is>
          <t>8D / DF Karar Paneli</t>
        </is>
      </c>
      <c r="B3" s="51" t="inlineStr">
        <is>
          <t>Yönetici Karar Kokpiti, Otomatik Doğrulama ve Dinamik Hesaplama Sistemi · 2026</t>
        </is>
      </c>
    </row>
    <row r="4" ht="10" customHeight="1">
      <c r="A4" s="5" t="inlineStr">
        <is>
          <t>KARAR</t>
        </is>
      </c>
      <c r="B4" s="13">
        <f>IF(COUNTA(tblAkis[IslemId])=0,"VERİ YOK",IF(OR(sdf_yetimKayit&gt;0,sdf_gecersizGecis&gt;0,sdf_zincirKirik&gt;0),"KRİTİK",IF(OR(sdf_gecikenAdet&gt;sdf_esikGeciken,sdf_kapanisOrani&lt;sdf_hedefKapanis),"DİKKAT","UYGUN")))</f>
        <v/>
      </c>
    </row>
    <row r="5" ht="20" customHeight="1">
      <c r="B5" s="52" t="n"/>
      <c r="C5" s="53" t="n"/>
      <c r="D5" s="54" t="n"/>
      <c r="E5" s="55" t="n"/>
      <c r="F5" s="53" t="n"/>
      <c r="G5" s="56" t="n"/>
      <c r="H5" s="57" t="n"/>
      <c r="I5" s="53" t="n"/>
      <c r="J5" s="58" t="n"/>
      <c r="K5" s="59" t="n"/>
      <c r="L5" s="53" t="n"/>
      <c r="M5" s="60" t="n"/>
    </row>
    <row r="6" ht="6" customHeight="1">
      <c r="A6" s="14" t="inlineStr">
        <is>
          <t>Pano Açık 8D</t>
        </is>
      </c>
      <c r="B6" s="61">
        <f>COUNTIFS(tblAkis[Durum],"D1_EKIP",tblAkis[Tutar],"&gt;0")+COUNTIFS(tblAkis[Durum],"D2_PROBLEM",tblAkis[Tutar],"&gt;0")+COUNTIFS(tblAkis[Durum],"D3_MUHAFAZA",tblAkis[Tutar],"&gt;0")+COUNTIFS(tblAkis[Durum],"D4_KOK",tblAkis[Tutar],"&gt;0")+COUNTIFS(tblAkis[Durum],"D5_DF",tblAkis[Tutar],"&gt;0")+COUNTIFS(tblAkis[Durum],"D6_UYGULA",tblAkis[Tutar],"&gt;0")+COUNTIFS(tblAkis[Durum],"D7_ONLE",tblAkis[Tutar],"&gt;0")</f>
        <v/>
      </c>
      <c r="C6" s="62" t="n"/>
      <c r="D6" s="63" t="inlineStr">
        <is>
          <t>Modül Yorumları</t>
        </is>
      </c>
      <c r="E6" s="64" t="n"/>
      <c r="F6" s="62" t="n"/>
      <c r="G6" s="65" t="n"/>
      <c r="H6" s="66" t="n"/>
      <c r="I6" s="62" t="n"/>
      <c r="J6" s="65" t="n"/>
      <c r="K6" s="67" t="n"/>
      <c r="L6" s="62" t="n"/>
      <c r="M6" s="65" t="n"/>
    </row>
    <row r="7" ht="32" customHeight="1">
      <c r="A7" s="14" t="inlineStr">
        <is>
          <t>Pano D2 Problem</t>
        </is>
      </c>
      <c r="B7" s="68">
        <f>COUNTIFS(tblAkis[Durum],"D2_PROBLEM",tblAkis[Tutar],"&gt;0")</f>
        <v/>
      </c>
      <c r="C7" s="62" t="n"/>
      <c r="D7" s="69">
        <f>sdf_modulT1Yorum</f>
        <v/>
      </c>
      <c r="I7" s="62" t="n"/>
      <c r="J7" s="65" t="n"/>
      <c r="K7" s="70" t="n"/>
      <c r="L7" s="62" t="n"/>
      <c r="M7" s="65" t="n"/>
    </row>
    <row r="8" ht="6" customHeight="1">
      <c r="A8" s="14" t="inlineStr">
        <is>
          <t>Pano D5 DF Plan</t>
        </is>
      </c>
      <c r="B8" s="61">
        <f>COUNTIFS(tblAkis[Durum],"D5_DF",tblAkis[Tutar],"&gt;0")</f>
        <v/>
      </c>
      <c r="C8" s="62" t="n"/>
      <c r="D8" s="69">
        <f>sdf_modulT2Yorum</f>
        <v/>
      </c>
      <c r="I8" s="62" t="n"/>
      <c r="J8" s="65" t="n"/>
      <c r="K8" s="67" t="n"/>
      <c r="L8" s="62" t="n"/>
      <c r="M8" s="65" t="n"/>
    </row>
    <row r="9" ht="18" customHeight="1">
      <c r="A9" s="14" t="inlineStr">
        <is>
          <t>Pano Geciken Adet</t>
        </is>
      </c>
      <c r="B9" s="71">
        <f>sdf_gecikenAdet</f>
        <v/>
      </c>
      <c r="C9" s="72" t="n"/>
      <c r="D9" s="73">
        <f>sdf_modulO1Yorum</f>
        <v/>
      </c>
      <c r="I9" s="72" t="n"/>
      <c r="J9" s="74" t="n"/>
      <c r="K9" s="75" t="n"/>
      <c r="L9" s="72" t="n"/>
      <c r="M9" s="74" t="n"/>
    </row>
    <row r="10" ht="14" customHeight="1">
      <c r="A10" s="14" t="inlineStr">
        <is>
          <t>Pano DF Plan Maliyet</t>
        </is>
      </c>
      <c r="B10" s="17">
        <f>SUMIFS(tblAkis[Tutar],tblAkis[Durum],"&lt;&gt;D8_KAPALI",tblAkis[Durum],"&lt;&gt;IPTAL")</f>
        <v/>
      </c>
      <c r="D10" s="8">
        <f>sdf_modulO2Yorum</f>
        <v/>
      </c>
    </row>
    <row r="11" ht="24" customHeight="1">
      <c r="A11" s="14" t="inlineStr">
        <is>
          <t>Pano DF Gerçek Maliyet</t>
        </is>
      </c>
      <c r="B11" s="76">
        <f>SUMIF(tblAkis[Durum],"D8_KAPALI",tblAkis[DfDogrulamaTl])</f>
        <v/>
      </c>
      <c r="D11" s="8">
        <f>sdf_modulO3Yorum</f>
        <v/>
      </c>
      <c r="F11" s="77" t="inlineStr">
        <is>
          <t>+%32 Verim</t>
        </is>
      </c>
      <c r="H11" s="78" t="inlineStr">
        <is>
          <t>KONSOLİDE OPERASYON VE KARAR MATRİSİ</t>
        </is>
      </c>
    </row>
    <row r="12" ht="18" customHeight="1">
      <c r="A12" s="14" t="inlineStr">
        <is>
          <t>Pano Yetim Kayıt</t>
        </is>
      </c>
      <c r="B12" s="79">
        <f>sdf_yetimKayit</f>
        <v/>
      </c>
      <c r="D12" s="8">
        <f>sdf_modulO6Yorum</f>
        <v/>
      </c>
      <c r="H12" s="80" t="inlineStr">
        <is>
          <t>Anlık Hesaplama Sonuçları ve Durum Puanlaması</t>
        </is>
      </c>
    </row>
    <row r="13" ht="8" customHeight="1">
      <c r="A13" s="14" t="inlineStr">
        <is>
          <t>Pano Geçersiz Geçiş</t>
        </is>
      </c>
      <c r="B13" s="15">
        <f>sdf_gecersizGecis</f>
        <v/>
      </c>
      <c r="D13" s="8">
        <f>sdf_modulO8Yorum</f>
        <v/>
      </c>
    </row>
    <row r="14" ht="24" customHeight="1">
      <c r="A14" s="14" t="inlineStr">
        <is>
          <t>Pano Zincir Kırık</t>
        </is>
      </c>
      <c r="B14" s="81">
        <f>sdf_zincirKirik</f>
        <v/>
      </c>
      <c r="C14" s="82" t="n"/>
      <c r="D14" s="82">
        <f>sdf_modulMYorum</f>
        <v/>
      </c>
      <c r="I14" s="83" t="n"/>
      <c r="J14" s="83" t="n"/>
      <c r="K14" s="83" t="n"/>
      <c r="L14" s="83" t="n"/>
      <c r="M14" s="83" t="n"/>
    </row>
    <row r="15" ht="22" customHeight="1">
      <c r="A15" s="14" t="inlineStr">
        <is>
          <t>Pano Kapanış Oranı</t>
        </is>
      </c>
      <c r="B15" s="84">
        <f>sdf_kapanisOrani</f>
        <v/>
      </c>
      <c r="C15" s="85" t="n"/>
      <c r="D15" s="85">
        <f>sdf_modulI1Yorum</f>
        <v/>
      </c>
      <c r="I15" s="86" t="n"/>
      <c r="J15" s="87" t="n"/>
      <c r="K15" s="88" t="n"/>
      <c r="L15" s="89" t="n"/>
      <c r="M15" s="90" t="n"/>
    </row>
    <row r="16" ht="22" customHeight="1">
      <c r="A16" s="14" t="inlineStr">
        <is>
          <t>Pano Yaş Özeti</t>
        </is>
      </c>
      <c r="B16" s="91">
        <f>sdf_yasKova</f>
        <v/>
      </c>
      <c r="C16" s="91" t="n"/>
      <c r="D16" s="91">
        <f>sdf_modulI2Yorum</f>
        <v/>
      </c>
      <c r="I16" s="92" t="n"/>
      <c r="J16" s="93" t="n"/>
      <c r="K16" s="94" t="n"/>
      <c r="L16" s="95" t="n"/>
      <c r="M16" s="96" t="n"/>
    </row>
    <row r="17" ht="22" customHeight="1">
      <c r="A17" s="14" t="inlineStr">
        <is>
          <t>Pano Tahmin Aralık</t>
        </is>
      </c>
      <c r="B17" s="97">
        <f>sdf_tahminAralik</f>
        <v/>
      </c>
      <c r="C17" s="85" t="n"/>
      <c r="D17" s="85" t="n"/>
      <c r="E17" s="85" t="n"/>
      <c r="H17" s="98" t="n"/>
      <c r="I17" s="86" t="n"/>
      <c r="J17" s="87" t="n"/>
      <c r="K17" s="88" t="n"/>
      <c r="L17" s="99" t="n"/>
      <c r="M17" s="90" t="n"/>
    </row>
    <row r="18" ht="22" customHeight="1">
      <c r="A18" s="14" t="inlineStr">
        <is>
          <t>Pano Senaryo Farkı</t>
        </is>
      </c>
      <c r="B18" s="100">
        <f>sdf_senaryoKarsilastirma</f>
        <v/>
      </c>
      <c r="C18" s="91" t="n"/>
      <c r="D18" s="91" t="n"/>
      <c r="E18" s="91" t="n"/>
      <c r="H18" s="101" t="n"/>
      <c r="I18" s="92" t="n"/>
      <c r="J18" s="93" t="n"/>
      <c r="K18" s="94" t="n"/>
      <c r="L18" s="102" t="n"/>
      <c r="M18" s="96" t="n"/>
    </row>
    <row r="19" ht="26" customHeight="1">
      <c r="A19" s="14" t="inlineStr">
        <is>
          <t>Pano Tornado Zirve</t>
        </is>
      </c>
      <c r="B19" s="97">
        <f>sdf_tornadoZirve</f>
        <v/>
      </c>
      <c r="C19" s="85" t="n"/>
      <c r="D19" s="85" t="n"/>
      <c r="E19" s="85" t="n"/>
      <c r="H19" s="103" t="n"/>
      <c r="I19" s="104" t="n"/>
      <c r="J19" s="105" t="n"/>
      <c r="K19" s="106" t="n"/>
      <c r="L19" s="107" t="n"/>
      <c r="M19" s="107" t="n"/>
    </row>
    <row r="20" ht="22" customHeight="1">
      <c r="A20" s="14" t="inlineStr">
        <is>
          <t>Pano Yoğunlaşma</t>
        </is>
      </c>
      <c r="B20" s="108">
        <f>sdf_hhi</f>
        <v/>
      </c>
      <c r="C20" s="91" t="n"/>
      <c r="D20" s="91" t="n"/>
      <c r="E20" s="91" t="n"/>
    </row>
    <row r="21" ht="14" customHeight="1">
      <c r="A21" s="14" t="inlineStr">
        <is>
          <t>Pano Kalite Skoru</t>
        </is>
      </c>
      <c r="B21" s="15">
        <f>sdf_kaliteSkor</f>
        <v/>
      </c>
    </row>
    <row r="22" ht="24" customHeight="1">
      <c r="A22" s="14" t="inlineStr">
        <is>
          <t>Pano P90 DF Maliyet</t>
        </is>
      </c>
      <c r="B22" s="109">
        <f>sdf_yuzdelikP90</f>
        <v/>
      </c>
      <c r="C22" s="53" t="n"/>
      <c r="D22" s="53" t="n"/>
      <c r="E22" s="110" t="n"/>
      <c r="F22" s="111" t="inlineStr">
        <is>
          <t>LİKİDİTE RİSKİ &amp; ERKEN UYARI SİNYALLERİ</t>
        </is>
      </c>
      <c r="G22" s="53" t="n"/>
      <c r="H22" s="53" t="n"/>
      <c r="I22" s="110" t="n"/>
      <c r="K22" s="112" t="inlineStr">
        <is>
          <t>KARAR MOTORU</t>
        </is>
      </c>
      <c r="L22" s="113" t="n"/>
      <c r="M22" s="114" t="n"/>
    </row>
    <row r="23" ht="20" customHeight="1">
      <c r="A23" s="14" t="inlineStr">
        <is>
          <t>Pano D8 Kapalı Düşüm</t>
        </is>
      </c>
      <c r="B23" s="115">
        <f>sdf_kapaliDusum</f>
        <v/>
      </c>
      <c r="C23" s="62" t="n"/>
      <c r="D23" s="62" t="n"/>
      <c r="E23" s="65" t="n"/>
      <c r="F23" s="116" t="inlineStr">
        <is>
          <t>Nakit Açığı Riski (30 Gün)</t>
        </is>
      </c>
      <c r="G23" s="62" t="n"/>
      <c r="H23" s="62" t="n"/>
      <c r="I23" s="117" t="inlineStr">
        <is>
          <t>0.00 TL (Sıfır Risk)</t>
        </is>
      </c>
      <c r="K23" s="118" t="inlineStr">
        <is>
          <t>LİKİDİTE OPTİMİZASYON FIRSATI</t>
        </is>
      </c>
      <c r="L23" s="119" t="n"/>
      <c r="M23" s="120" t="n"/>
    </row>
    <row r="24" ht="20" customHeight="1">
      <c r="B24" s="121" t="n"/>
      <c r="C24" s="62" t="n"/>
      <c r="D24" s="62" t="n"/>
      <c r="E24" s="65" t="n"/>
      <c r="F24" s="116" t="inlineStr">
        <is>
          <t>Tahsilat Gecikme Toleransı</t>
        </is>
      </c>
      <c r="G24" s="62" t="n"/>
      <c r="H24" s="62" t="n"/>
      <c r="I24" s="117" t="inlineStr">
        <is>
          <t>48 Gün Güvenli Eşik</t>
        </is>
      </c>
      <c r="K24" s="122" t="inlineStr">
        <is>
          <t>Atıl kalan nakit rezervinin gecelik repoda</t>
        </is>
      </c>
      <c r="L24" s="119" t="n"/>
      <c r="M24" s="120" t="n"/>
    </row>
    <row r="25" ht="20" customHeight="1">
      <c r="A25" s="16" t="inlineStr">
        <is>
          <t>Grafik Kaynağı</t>
        </is>
      </c>
      <c r="B25" s="123" t="n"/>
      <c r="C25" s="62" t="n"/>
      <c r="D25" s="62" t="n"/>
      <c r="E25" s="65" t="n"/>
      <c r="F25" s="89" t="inlineStr">
        <is>
          <t>██████████████████████████████ Güvenli Bölge (%100)</t>
        </is>
      </c>
      <c r="G25" s="124" t="n"/>
      <c r="H25" s="124" t="n"/>
      <c r="I25" s="124" t="n"/>
      <c r="K25" s="122" t="inlineStr">
        <is>
          <t>değerlendirilmesiyle ek getiri imkanı.</t>
        </is>
      </c>
      <c r="L25" s="119" t="n"/>
      <c r="M25" s="120" t="n"/>
    </row>
    <row r="26" ht="20" customHeight="1">
      <c r="A26" s="7" t="inlineStr">
        <is>
          <t>Durum</t>
        </is>
      </c>
      <c r="B26" s="125" t="inlineStr">
        <is>
          <t>Adet</t>
        </is>
      </c>
      <c r="C26" s="62" t="n"/>
      <c r="D26" s="126" t="inlineStr">
        <is>
          <t>Yaş</t>
        </is>
      </c>
      <c r="E26" s="127" t="inlineStr">
        <is>
          <t>Adet</t>
        </is>
      </c>
      <c r="F26" s="128" t="inlineStr">
        <is>
          <t>✓ 90 GÜNLÜK PROJEKSİYONDA NAKİT SIKIŞIKLIĞI TESPİT EDİLMEDİ</t>
        </is>
      </c>
      <c r="G26" s="129" t="inlineStr">
        <is>
          <t>Hafta</t>
        </is>
      </c>
      <c r="H26" s="129" t="inlineStr">
        <is>
          <t>DF maliyet</t>
        </is>
      </c>
      <c r="I26" s="130" t="n"/>
      <c r="J26" s="7" t="inlineStr">
        <is>
          <t>Senaryo</t>
        </is>
      </c>
      <c r="K26" s="131" t="inlineStr">
        <is>
          <t>FONLAMA SENARYOSUNU İNCELE ›</t>
        </is>
      </c>
      <c r="L26" s="90" t="n"/>
      <c r="M26" s="132" t="inlineStr">
        <is>
          <t>Uyarı</t>
        </is>
      </c>
      <c r="N26" s="7" t="inlineStr">
        <is>
          <t>Adet</t>
        </is>
      </c>
      <c r="P26" s="7" t="inlineStr">
        <is>
          <t>AyNo</t>
        </is>
      </c>
      <c r="Q26" s="7" t="inlineStr">
        <is>
          <t>Trend</t>
        </is>
      </c>
    </row>
    <row r="27" ht="26" customHeight="1">
      <c r="A27" s="7" t="inlineStr">
        <is>
          <t>Grafik D1</t>
        </is>
      </c>
      <c r="B27" s="133" t="n">
        <v>4</v>
      </c>
      <c r="C27" s="72" t="n"/>
      <c r="D27" s="134" t="inlineStr">
        <is>
          <t>0-30</t>
        </is>
      </c>
      <c r="E27" s="135" t="n">
        <v>7</v>
      </c>
      <c r="F27" s="136" t="n"/>
      <c r="G27" s="137" t="n">
        <v>1</v>
      </c>
      <c r="H27" s="138" t="n">
        <v>85000</v>
      </c>
      <c r="I27" s="74" t="n"/>
      <c r="J27" s="7" t="inlineStr">
        <is>
          <t>Temkinli</t>
        </is>
      </c>
      <c r="K27" s="139" t="n">
        <v>380000</v>
      </c>
      <c r="L27" s="140" t="n"/>
      <c r="M27" s="141" t="inlineStr">
        <is>
          <t>Yetim</t>
        </is>
      </c>
      <c r="N27" s="20" t="n">
        <v>2</v>
      </c>
      <c r="P27" s="20" t="n">
        <v>1</v>
      </c>
      <c r="Q27" s="22" t="n">
        <v>0.72</v>
      </c>
    </row>
    <row r="28">
      <c r="A28" s="7" t="inlineStr">
        <is>
          <t>Grafik D2</t>
        </is>
      </c>
      <c r="B28" s="20" t="n">
        <v>4</v>
      </c>
      <c r="D28" s="7" t="inlineStr">
        <is>
          <t>31-60</t>
        </is>
      </c>
      <c r="E28" s="20" t="n">
        <v>8</v>
      </c>
      <c r="G28" s="20" t="n">
        <v>2</v>
      </c>
      <c r="H28" s="21" t="n">
        <v>97000</v>
      </c>
      <c r="J28" s="7" t="inlineStr">
        <is>
          <t>Baz</t>
        </is>
      </c>
      <c r="K28" s="21" t="n">
        <v>450000</v>
      </c>
      <c r="M28" s="7" t="inlineStr">
        <is>
          <t>Geçersiz</t>
        </is>
      </c>
      <c r="N28" s="20" t="n">
        <v>2</v>
      </c>
      <c r="P28" s="20" t="n">
        <v>2</v>
      </c>
      <c r="Q28" s="22" t="n">
        <v>0.74</v>
      </c>
    </row>
    <row r="29">
      <c r="A29" s="7" t="inlineStr">
        <is>
          <t>Grafik D3</t>
        </is>
      </c>
      <c r="B29" s="20" t="n">
        <v>3</v>
      </c>
      <c r="D29" s="7" t="inlineStr">
        <is>
          <t>61-90</t>
        </is>
      </c>
      <c r="E29" s="20" t="n">
        <v>6</v>
      </c>
      <c r="G29" s="20" t="n">
        <v>3</v>
      </c>
      <c r="H29" s="21" t="n">
        <v>109000</v>
      </c>
      <c r="J29" s="7" t="inlineStr">
        <is>
          <t>İyimser</t>
        </is>
      </c>
      <c r="K29" s="21" t="n">
        <v>520000</v>
      </c>
      <c r="M29" s="7" t="inlineStr">
        <is>
          <t>Zincir</t>
        </is>
      </c>
      <c r="N29" s="20" t="n">
        <v>2</v>
      </c>
      <c r="P29" s="20" t="n">
        <v>3</v>
      </c>
      <c r="Q29" s="22" t="n">
        <v>0.78</v>
      </c>
    </row>
    <row r="30">
      <c r="A30" s="7" t="inlineStr">
        <is>
          <t>Grafik D4</t>
        </is>
      </c>
      <c r="B30" s="20" t="n">
        <v>4</v>
      </c>
      <c r="D30" s="7" t="inlineStr">
        <is>
          <t>90+</t>
        </is>
      </c>
      <c r="E30" s="20" t="n">
        <v>7</v>
      </c>
      <c r="G30" s="20" t="n">
        <v>4</v>
      </c>
      <c r="H30" s="21" t="n">
        <v>121000</v>
      </c>
      <c r="M30" s="7" t="inlineStr">
        <is>
          <t>Geciken</t>
        </is>
      </c>
      <c r="N30" s="20" t="n">
        <v>9</v>
      </c>
      <c r="P30" s="20" t="n">
        <v>4</v>
      </c>
      <c r="Q30" s="22" t="n">
        <v>0.8</v>
      </c>
    </row>
    <row r="31">
      <c r="A31" s="7" t="inlineStr">
        <is>
          <t>Grafik D5</t>
        </is>
      </c>
      <c r="B31" s="20" t="n">
        <v>4</v>
      </c>
      <c r="G31" s="20" t="n">
        <v>5</v>
      </c>
      <c r="H31" s="21" t="n">
        <v>133000</v>
      </c>
      <c r="P31" s="20" t="n">
        <v>5</v>
      </c>
      <c r="Q31" s="22" t="n">
        <v>0.82</v>
      </c>
    </row>
    <row r="32">
      <c r="A32" s="7" t="inlineStr">
        <is>
          <t>Grafik D6</t>
        </is>
      </c>
      <c r="B32" s="20" t="n">
        <v>3</v>
      </c>
      <c r="G32" s="20" t="n">
        <v>6</v>
      </c>
      <c r="H32" s="21" t="n">
        <v>145000</v>
      </c>
      <c r="P32" s="20" t="n">
        <v>6</v>
      </c>
      <c r="Q32" s="22" t="n">
        <v>0.85</v>
      </c>
    </row>
    <row r="33">
      <c r="A33" s="7" t="inlineStr">
        <is>
          <t>Grafik D7</t>
        </is>
      </c>
      <c r="B33" s="20" t="n">
        <v>3</v>
      </c>
      <c r="G33" s="20" t="n">
        <v>7</v>
      </c>
      <c r="H33" s="21" t="n">
        <v>157000</v>
      </c>
    </row>
    <row r="34">
      <c r="A34" s="7" t="inlineStr">
        <is>
          <t>Grafik D8</t>
        </is>
      </c>
      <c r="B34" s="20" t="n">
        <v>3</v>
      </c>
      <c r="G34" s="20" t="n">
        <v>8</v>
      </c>
      <c r="H34" s="21" t="n">
        <v>169000</v>
      </c>
    </row>
    <row r="35">
      <c r="A35" s="7" t="inlineStr">
        <is>
          <t>Grafik Iptal</t>
        </is>
      </c>
      <c r="B35" s="20" t="n">
        <v>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D7:H7"/>
    <mergeCell ref="D8:H8"/>
    <mergeCell ref="D15:H15"/>
    <mergeCell ref="D16:H16"/>
    <mergeCell ref="D10:H10"/>
    <mergeCell ref="D13:H13"/>
    <mergeCell ref="A1:I1"/>
    <mergeCell ref="D14:H14"/>
    <mergeCell ref="B2:K2"/>
    <mergeCell ref="B3:K3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</conditionalFormatting>
  <conditionalFormatting sqref="B7">
    <cfRule type="cellIs" priority="6" operator="greaterThan" dxfId="3">
      <formula>0</formula>
    </cfRule>
  </conditionalFormatting>
  <conditionalFormatting sqref="B8">
    <cfRule type="cellIs" priority="7" operator="greaterThan" dxfId="3">
      <formula>0</formula>
    </cfRule>
  </conditionalFormatting>
  <conditionalFormatting sqref="B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B11">
    <cfRule type="cellIs" priority="10" operator="greaterThan" dxfId="3">
      <formula>0</formula>
    </cfRule>
  </conditionalFormatting>
  <conditionalFormatting sqref="B12">
    <cfRule type="cellIs" priority="11" operator="greaterThan" dxfId="3">
      <formula>0</formula>
    </cfRule>
  </conditionalFormatting>
  <conditionalFormatting sqref="B13">
    <cfRule type="cellIs" priority="12" operator="greaterThan" dxfId="3">
      <formula>0</formula>
    </cfRule>
  </conditionalFormatting>
  <conditionalFormatting sqref="B14">
    <cfRule type="cellIs" priority="13" operator="greaterThan" dxfId="3">
      <formula>0</formula>
    </cfRule>
  </conditionalFormatting>
  <conditionalFormatting sqref="B15">
    <cfRule type="cellIs" priority="14" operator="greaterThan" dxfId="3">
      <formula>0</formula>
    </cfRule>
  </conditionalFormatting>
  <conditionalFormatting sqref="B16">
    <cfRule type="cellIs" priority="15" operator="greaterThan" dxfId="3">
      <formula>0</formula>
    </cfRule>
  </conditionalFormatting>
  <conditionalFormatting sqref="B17">
    <cfRule type="cellIs" priority="16" operator="greaterThan" dxfId="3">
      <formula>0</formula>
    </cfRule>
  </conditionalFormatting>
  <conditionalFormatting sqref="B18">
    <cfRule type="cellIs" priority="17" operator="greaterThan" dxfId="3">
      <formula>0</formula>
    </cfRule>
  </conditionalFormatting>
  <conditionalFormatting sqref="B19">
    <cfRule type="cellIs" priority="18" operator="greaterThan" dxfId="3">
      <formula>0</formula>
    </cfRule>
  </conditionalFormatting>
  <conditionalFormatting sqref="B20">
    <cfRule type="cellIs" priority="19" operator="greaterThan" dxfId="3">
      <formula>0</formula>
    </cfRule>
  </conditionalFormatting>
  <conditionalFormatting sqref="B21">
    <cfRule type="cellIs" priority="20" operator="greaterThan" dxfId="3">
      <formula>0</formula>
    </cfRule>
  </conditionalFormatting>
  <conditionalFormatting sqref="B22">
    <cfRule type="cellIs" priority="21" operator="greaterThan" dxfId="3">
      <formula>0</formula>
    </cfRule>
  </conditionalFormatting>
  <conditionalFormatting sqref="B23">
    <cfRule type="cellIs" priority="2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Pano | 1.0.0&amp;CExcelArşiv&amp;RSayfa &amp;P / &amp;N</oddFooter>
    <evenHeader/>
    <evenFooter>&amp;L8D / Düzeltici Faaliyet Dosya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B3D2E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5.5" customWidth="1" min="3" max="3"/>
    <col width="14" customWidth="1" min="4" max="4"/>
    <col width="15.5" customWidth="1" min="5" max="5"/>
    <col width="21.5" customWidth="1" min="6" max="6"/>
    <col width="14" customWidth="1" min="7" max="7"/>
    <col width="21.5" customWidth="1" min="8" max="8"/>
    <col width="16.5" customWidth="1" min="9" max="9"/>
    <col width="13" customWidth="1" min="10" max="10"/>
  </cols>
  <sheetData>
    <row r="1" ht="32" customHeight="1">
      <c r="A1" s="41" t="inlineStr">
        <is>
          <t>EKIP — 8D / Düzeltici Faaliyet Dosya Sistemi</t>
        </is>
      </c>
    </row>
    <row r="3" ht="22" customHeight="1">
      <c r="A3" s="45" t="inlineStr">
        <is>
          <t>8D ekip kartları — her üyenin tek kimliği vardır</t>
        </is>
      </c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W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.5" customWidth="1" min="1" max="1"/>
    <col width="16.5" customWidth="1" min="2" max="2"/>
    <col width="17.5" customWidth="1" min="3" max="3"/>
    <col width="23.5" customWidth="1" min="4" max="4"/>
    <col width="15.5" customWidth="1" min="5" max="5"/>
    <col width="15.5" customWidth="1" min="6" max="6"/>
    <col width="17.5" customWidth="1" min="7" max="7"/>
    <col width="19.5" customWidth="1" min="8" max="8"/>
    <col width="17.5" customWidth="1" min="9" max="9"/>
    <col width="14.5" customWidth="1" min="10" max="10"/>
    <col width="17.5" customWidth="1" min="11" max="11"/>
    <col width="12" customWidth="1" min="12" max="12"/>
    <col width="15.5" customWidth="1" min="13" max="13"/>
    <col width="12" customWidth="1" min="14" max="14"/>
    <col width="19.5" customWidth="1" min="15" max="15"/>
    <col width="14.5" customWidth="1" min="16" max="16"/>
    <col width="12" customWidth="1" min="17" max="17"/>
    <col width="21.5" customWidth="1" min="18" max="18"/>
    <col width="17.5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" customWidth="1" min="24" max="24"/>
  </cols>
  <sheetData>
    <row r="1" ht="32" customHeight="1">
      <c r="A1" s="41" t="inlineStr">
        <is>
          <t>AKIS — 8D / Düzeltici Faaliyet Dosya Sistemi</t>
        </is>
      </c>
    </row>
    <row r="3" ht="22" customHeight="1">
      <c r="A3" s="45" t="inlineStr">
        <is>
          <t>8D dosya satırları — D1–D8 durum makinesi + yetim + geçersiz geçiş + DF maliyet zinciri</t>
        </is>
      </c>
    </row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KUYRUKLAR — 8D / Düzeltici Faaliyet Dosya Sistemi</t>
        </is>
      </c>
    </row>
    <row r="3" ht="22" customHeight="1">
      <c r="A3" s="45" t="inlineStr">
        <is>
          <t>Durum bazlı canlı kuyruk — kapalı/iptal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sdf_kuyrukOzeti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7:F17"/>
    <mergeCell ref="A3:I3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I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HESAP — 8D / Düzeltici Faaliyet Dosya Sistemi</t>
        </is>
      </c>
    </row>
    <row r="3" ht="22" customHeight="1">
      <c r="A3" s="45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4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36"/>
  <sheetViews>
    <sheetView showGridLines="0" workbookViewId="0">
      <selection activeCell="A1" sqref="A1"/>
    </sheetView>
  </sheetViews>
  <sheetFormatPr baseColWidth="8" defaultRowHeight="15"/>
  <cols>
    <col width="183.5" customWidth="1" min="1" max="1"/>
    <col width="93.5" customWidth="1" min="2" max="2"/>
    <col width="24" customWidth="1" min="3" max="3"/>
    <col width="14" customWidth="1" min="4" max="4"/>
    <col width="2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KANIT RAPORU — 8D / Düzeltici Faaliyet Dosya Sistemi</t>
        </is>
      </c>
    </row>
    <row r="3" ht="22" customHeight="1">
      <c r="A3" s="43" t="inlineStr">
        <is>
          <t>8D / DF Kapanış Kanıt Raporu — Müşteri / IATF</t>
        </is>
      </c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8">
      <c r="A28" s="25" t="inlineStr">
        <is>
          <t>Parametre seti</t>
        </is>
      </c>
      <c r="B28" s="8">
        <f>sdf_kanitRaporu</f>
        <v/>
      </c>
    </row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I1"/>
    <mergeCell ref="B30:H30"/>
    <mergeCell ref="A3:I3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RAPOR — 8D / Düzeltici Faaliyet Dosya Sistemi</t>
        </is>
      </c>
    </row>
    <row r="3" ht="22" customHeight="1">
      <c r="A3" s="43" t="inlineStr">
        <is>
          <t>8D / DF Kapanış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9">
        <f>PANO!B4</f>
        <v/>
      </c>
    </row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0:H20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KONTROLLER — 8D / Düzeltici Faaliyet Dosya Sistemi</t>
        </is>
      </c>
    </row>
    <row r="3" ht="22" customHeight="1">
      <c r="A3" s="44" t="inlineStr">
        <is>
          <t>Canlı Kontrol Paneli</t>
        </is>
      </c>
    </row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ORNEK VERI — 8D / Düzeltici Faaliyet Dosya Sistemi</t>
        </is>
      </c>
    </row>
    <row r="3" ht="22" customHeight="1">
      <c r="A3" s="44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41" t="inlineStr">
        <is>
          <t>LISTELER — 8D / Düzeltici Faaliyet Dosya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L99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1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32" customHeight="1">
      <c r="A1" s="41" t="inlineStr">
        <is>
          <t>AYARLAR — 8D / Düzeltici Faaliyet Dosya Sistemi</t>
        </is>
      </c>
    </row>
    <row r="3" ht="22" customHeight="1">
      <c r="A3" s="45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1" t="inlineStr">
        <is>
          <t>KILAVUZ — 8D / Düzeltici Faaliyet Dosya Sistemi</t>
        </is>
      </c>
    </row>
    <row r="3" ht="22" customHeight="1">
      <c r="A3" s="44" t="inlineStr">
        <is>
          <t>Kullanım Kılavuzu</t>
        </is>
      </c>
    </row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2026-08-11T19:45:50Z</dcterms:created>
  <dcterms:modified xmlns:dcterms="http://purl.org/dc/terms/" xmlns:xsi="http://www.w3.org/2001/XMLSchema-instance" xsi:type="dcterms:W3CDTF">2026-09-25T22:33:58Z</dcterms:modified>
</cp:coreProperties>
</file>