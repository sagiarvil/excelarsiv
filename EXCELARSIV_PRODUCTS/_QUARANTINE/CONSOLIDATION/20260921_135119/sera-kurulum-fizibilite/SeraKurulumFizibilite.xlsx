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HIZLI_BASLANGIC" sheetId="2" state="visible" r:id="rId2"/>
    <sheet xmlns:r="http://schemas.openxmlformats.org/officeDocument/2006/relationships" name="GIRDI" sheetId="3" state="visible" r:id="rId3"/>
    <sheet xmlns:r="http://schemas.openxmlformats.org/officeDocument/2006/relationships" name="VARSAYIMLAR" sheetId="4" state="visible" r:id="rId4"/>
    <sheet xmlns:r="http://schemas.openxmlformats.org/officeDocument/2006/relationships" name="KURALLAR" sheetId="5" state="visible" r:id="rId5"/>
    <sheet xmlns:r="http://schemas.openxmlformats.org/officeDocument/2006/relationships" name="MOTOR" sheetId="6" state="visible" r:id="rId6"/>
    <sheet xmlns:r="http://schemas.openxmlformats.org/officeDocument/2006/relationships" name="FINANSMAN" sheetId="7" state="visible" r:id="rId7"/>
    <sheet xmlns:r="http://schemas.openxmlformats.org/officeDocument/2006/relationships" name="SENARYO" sheetId="8" state="visible" r:id="rId8"/>
    <sheet xmlns:r="http://schemas.openxmlformats.org/officeDocument/2006/relationships" name="PANO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VAKALAR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8">'PANO'!$A$1:$F$34</definedName>
    <definedName name="_xlnm.Print_Area" localSheetId="9">'KARAR'!$A$1:$F$28</definedName>
    <definedName name="_xlnm.Print_Area" localSheetId="11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5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B91C1C"/>
      <sz val="7.5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color rgb="00D1FAE5"/>
      <sz val="8"/>
    </font>
    <font>
      <name val="Segoe UI"/>
      <b val="1"/>
      <color rgb="00065F46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4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25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8" borderId="2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28" fillId="8" borderId="2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3" borderId="0" applyAlignment="1" pivotButton="0" quotePrefix="0" xfId="0">
      <alignment vertical="center"/>
    </xf>
    <xf numFmtId="0" fontId="31" fillId="8" borderId="3" applyAlignment="1" pivotButton="0" quotePrefix="0" xfId="0">
      <alignment vertical="center" indent="1"/>
    </xf>
    <xf numFmtId="0" fontId="0" fillId="8" borderId="4" pivotButton="0" quotePrefix="0" xfId="0"/>
    <xf numFmtId="0" fontId="32" fillId="10" borderId="2" applyAlignment="1" pivotButton="0" quotePrefix="0" xfId="0">
      <alignment horizontal="center" vertical="center"/>
    </xf>
    <xf numFmtId="0" fontId="31" fillId="8" borderId="12" applyAlignment="1" pivotButton="0" quotePrefix="0" xfId="0">
      <alignment vertical="center" indent="1"/>
    </xf>
    <xf numFmtId="0" fontId="35" fillId="11" borderId="2" applyAlignment="1" pivotButton="0" quotePrefix="0" xfId="0">
      <alignment horizontal="center" vertical="center"/>
    </xf>
    <xf numFmtId="0" fontId="31" fillId="8" borderId="15" applyAlignment="1" pivotButton="0" quotePrefix="0" xfId="0">
      <alignment vertical="center" indent="1"/>
    </xf>
    <xf numFmtId="0" fontId="36" fillId="12" borderId="2" applyAlignment="1" pivotButton="0" quotePrefix="0" xfId="0">
      <alignment horizontal="center" vertical="center"/>
    </xf>
    <xf numFmtId="0" fontId="31" fillId="8" borderId="18" applyAlignment="1" pivotButton="0" quotePrefix="0" xfId="0">
      <alignment vertical="center" indent="1"/>
    </xf>
    <xf numFmtId="0" fontId="37" fillId="13" borderId="2" applyAlignment="1" pivotButton="0" quotePrefix="0" xfId="0">
      <alignment horizontal="center" vertical="center"/>
    </xf>
    <xf numFmtId="0" fontId="19" fillId="8" borderId="6" applyAlignment="1" pivotButton="0" quotePrefix="0" xfId="0">
      <alignment horizontal="left" vertical="center"/>
    </xf>
    <xf numFmtId="0" fontId="0" fillId="8" borderId="7" pivotButton="0" quotePrefix="0" xfId="0"/>
    <xf numFmtId="0" fontId="0" fillId="8" borderId="8" pivotButton="0" quotePrefix="0" xfId="0"/>
    <xf numFmtId="0" fontId="0" fillId="8" borderId="13" pivotButton="0" quotePrefix="0" xfId="0"/>
    <xf numFmtId="0" fontId="0" fillId="8" borderId="16" pivotButton="0" quotePrefix="0" xfId="0"/>
    <xf numFmtId="0" fontId="0" fillId="8" borderId="19" pivotButton="0" quotePrefix="0" xfId="0"/>
    <xf numFmtId="0" fontId="33" fillId="8" borderId="6" applyAlignment="1" pivotButton="0" quotePrefix="0" xfId="0">
      <alignment vertical="center" indent="1"/>
    </xf>
    <xf numFmtId="0" fontId="33" fillId="8" borderId="19" applyAlignment="1" pivotButton="0" quotePrefix="0" xfId="0">
      <alignment vertical="center" indent="1"/>
    </xf>
    <xf numFmtId="0" fontId="0" fillId="8" borderId="6" pivotButton="0" quotePrefix="0" xfId="0"/>
    <xf numFmtId="0" fontId="34" fillId="8" borderId="9" applyAlignment="1" pivotButton="0" quotePrefix="0" xfId="0">
      <alignment vertical="center" indent="1"/>
    </xf>
    <xf numFmtId="0" fontId="0" fillId="8" borderId="10" pivotButton="0" quotePrefix="0" xfId="0"/>
    <xf numFmtId="0" fontId="0" fillId="8" borderId="11" pivotButton="0" quotePrefix="0" xfId="0"/>
    <xf numFmtId="0" fontId="34" fillId="8" borderId="14" applyAlignment="1" pivotButton="0" quotePrefix="0" xfId="0">
      <alignment vertical="center" indent="1"/>
    </xf>
    <xf numFmtId="0" fontId="34" fillId="8" borderId="17" applyAlignment="1" pivotButton="0" quotePrefix="0" xfId="0">
      <alignment vertical="center" indent="1"/>
    </xf>
    <xf numFmtId="0" fontId="34" fillId="8" borderId="20" applyAlignment="1" pivotButton="0" quotePrefix="0" xfId="0">
      <alignment vertical="center" indent="1"/>
    </xf>
    <xf numFmtId="0" fontId="38" fillId="0" borderId="0" applyAlignment="1" pivotButton="0" quotePrefix="0" xfId="0">
      <alignment horizontal="left" vertical="center"/>
    </xf>
    <xf numFmtId="0" fontId="39" fillId="12" borderId="2" applyAlignment="1" pivotButton="0" quotePrefix="0" xfId="0">
      <alignment horizontal="center" vertical="center"/>
    </xf>
    <xf numFmtId="0" fontId="38" fillId="0" borderId="0" pivotButton="0" quotePrefix="0" xfId="0"/>
    <xf numFmtId="0" fontId="30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40" fillId="14" borderId="2" applyAlignment="1" pivotButton="0" quotePrefix="0" xfId="0">
      <alignment horizontal="center" vertical="center"/>
    </xf>
    <xf numFmtId="0" fontId="29" fillId="15" borderId="21" applyAlignment="1" pivotButton="0" quotePrefix="0" xfId="0">
      <alignment horizontal="center" vertical="center"/>
    </xf>
    <xf numFmtId="0" fontId="41" fillId="8" borderId="2" applyAlignment="1" pivotButton="0" quotePrefix="0" xfId="0">
      <alignment horizontal="center" vertical="center"/>
    </xf>
    <xf numFmtId="0" fontId="42" fillId="8" borderId="2" applyAlignment="1" pivotButton="0" quotePrefix="0" xfId="0">
      <alignment horizontal="center" vertical="center"/>
    </xf>
    <xf numFmtId="0" fontId="43" fillId="12" borderId="2" applyAlignment="1" pivotButton="0" quotePrefix="0" xfId="0">
      <alignment horizontal="center" vertical="center"/>
    </xf>
    <xf numFmtId="0" fontId="0" fillId="8" borderId="2" pivotButton="0" quotePrefix="0" xfId="0"/>
    <xf numFmtId="0" fontId="41" fillId="14" borderId="2" applyAlignment="1" pivotButton="0" quotePrefix="0" xfId="0">
      <alignment horizontal="center" vertical="center"/>
    </xf>
    <xf numFmtId="164" fontId="41" fillId="14" borderId="2" applyAlignment="1" pivotButton="0" quotePrefix="0" xfId="0">
      <alignment horizontal="center" vertical="center"/>
    </xf>
    <xf numFmtId="0" fontId="42" fillId="14" borderId="2" applyAlignment="1" pivotButton="0" quotePrefix="0" xfId="0">
      <alignment horizontal="center" vertical="center"/>
    </xf>
    <xf numFmtId="0" fontId="44" fillId="10" borderId="2" applyAlignment="1" pivotButton="0" quotePrefix="0" xfId="0">
      <alignment horizontal="center" vertical="center"/>
    </xf>
    <xf numFmtId="0" fontId="0" fillId="14" borderId="2" pivotButton="0" quotePrefix="0" xfId="0"/>
    <xf numFmtId="3" fontId="41" fillId="8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165" fontId="41" fillId="14" borderId="2" applyAlignment="1" pivotButton="0" quotePrefix="0" xfId="0">
      <alignment horizontal="center" vertical="center"/>
    </xf>
    <xf numFmtId="0" fontId="46" fillId="17" borderId="2" applyAlignment="1" pivotButton="0" quotePrefix="0" xfId="0">
      <alignment horizontal="center" vertical="center"/>
    </xf>
    <xf numFmtId="165" fontId="41" fillId="8" borderId="2" applyAlignment="1" pivotButton="0" quotePrefix="0" xfId="0">
      <alignment horizontal="center" vertical="center"/>
    </xf>
    <xf numFmtId="0" fontId="0" fillId="15" borderId="22" pivotButton="0" quotePrefix="0" xfId="0"/>
    <xf numFmtId="0" fontId="47" fillId="15" borderId="22" applyAlignment="1" pivotButton="0" quotePrefix="0" xfId="0">
      <alignment horizontal="center" vertical="center"/>
    </xf>
    <xf numFmtId="0" fontId="48" fillId="8" borderId="23" applyAlignment="1" pivotButton="0" quotePrefix="0" xfId="0">
      <alignment vertical="center" indent="1"/>
    </xf>
    <xf numFmtId="0" fontId="0" fillId="8" borderId="5" pivotButton="0" quotePrefix="0" xfId="0"/>
    <xf numFmtId="0" fontId="54" fillId="19" borderId="26" applyAlignment="1" pivotButton="0" quotePrefix="0" xfId="0">
      <alignment vertical="center" indent="1"/>
    </xf>
    <xf numFmtId="0" fontId="0" fillId="19" borderId="27" pivotButton="0" quotePrefix="0" xfId="0"/>
    <xf numFmtId="0" fontId="0" fillId="19" borderId="28" pivotButton="0" quotePrefix="0" xfId="0"/>
    <xf numFmtId="0" fontId="49" fillId="8" borderId="24" applyAlignment="1" pivotButton="0" quotePrefix="0" xfId="0">
      <alignment vertical="center" indent="1"/>
    </xf>
    <xf numFmtId="0" fontId="42" fillId="8" borderId="24" pivotButton="0" quotePrefix="0" xfId="0"/>
    <xf numFmtId="0" fontId="49" fillId="8" borderId="8" pivotButton="0" quotePrefix="0" xfId="0"/>
    <xf numFmtId="0" fontId="9" fillId="19" borderId="29" applyAlignment="1" pivotButton="0" quotePrefix="0" xfId="0">
      <alignment vertical="center" indent="1"/>
    </xf>
    <xf numFmtId="0" fontId="0" fillId="19" borderId="7" pivotButton="0" quotePrefix="0" xfId="0"/>
    <xf numFmtId="0" fontId="0" fillId="19" borderId="30" pivotButton="0" quotePrefix="0" xfId="0"/>
    <xf numFmtId="0" fontId="50" fillId="8" borderId="24" applyAlignment="1" pivotButton="0" quotePrefix="0" xfId="0">
      <alignment vertical="center" indent="1"/>
    </xf>
    <xf numFmtId="0" fontId="13" fillId="8" borderId="7" applyAlignment="1" pivotButton="0" quotePrefix="0" xfId="0">
      <alignment horizontal="left" vertical="center"/>
    </xf>
    <xf numFmtId="0" fontId="16" fillId="8" borderId="8" applyAlignment="1" pivotButton="0" quotePrefix="0" xfId="0">
      <alignment horizontal="left" vertical="center"/>
    </xf>
    <xf numFmtId="0" fontId="55" fillId="19" borderId="29" applyAlignment="1" pivotButton="0" quotePrefix="0" xfId="0">
      <alignment vertical="center" indent="1"/>
    </xf>
    <xf numFmtId="165" fontId="51" fillId="8" borderId="24" applyAlignment="1" pivotButton="0" quotePrefix="0" xfId="0">
      <alignment vertical="center" indent="1"/>
    </xf>
    <xf numFmtId="165" fontId="3" fillId="8" borderId="8" applyAlignment="1" pivotButton="0" quotePrefix="0" xfId="0">
      <alignment horizontal="left" vertical="center"/>
    </xf>
    <xf numFmtId="0" fontId="0" fillId="12" borderId="2" pivotButton="0" quotePrefix="0" xfId="0"/>
    <xf numFmtId="165" fontId="52" fillId="8" borderId="24" applyAlignment="1" pivotButton="0" quotePrefix="0" xfId="0">
      <alignment vertical="center" indent="1"/>
    </xf>
    <xf numFmtId="0" fontId="53" fillId="18" borderId="2" applyAlignment="1" pivotButton="0" quotePrefix="0" xfId="0">
      <alignment horizontal="center" vertical="center"/>
    </xf>
    <xf numFmtId="0" fontId="0" fillId="18" borderId="2" pivotButton="0" quotePrefix="0" xfId="0"/>
    <xf numFmtId="0" fontId="56" fillId="8" borderId="2" applyAlignment="1" pivotButton="0" quotePrefix="0" xfId="0">
      <alignment horizontal="center" vertical="center"/>
    </xf>
    <xf numFmtId="165" fontId="3" fillId="8" borderId="25" applyAlignment="1" pivotButton="0" quotePrefix="0" xfId="0">
      <alignment horizontal="left" vertical="center"/>
    </xf>
    <xf numFmtId="0" fontId="13" fillId="8" borderId="10" applyAlignment="1" pivotButton="0" quotePrefix="0" xfId="0">
      <alignment horizontal="left" vertical="center"/>
    </xf>
    <xf numFmtId="165" fontId="3" fillId="8" borderId="11" applyAlignment="1" pivotButton="0" quotePrefix="0" xfId="0">
      <alignment horizontal="left" vertical="center"/>
    </xf>
    <xf numFmtId="0" fontId="0" fillId="8" borderId="25" pivotButton="0" quotePrefix="0" xfId="0"/>
    <xf numFmtId="0" fontId="0" fillId="19" borderId="31" pivotButton="0" quotePrefix="0" xfId="0"/>
    <xf numFmtId="0" fontId="0" fillId="19" borderId="32" pivotButton="0" quotePrefix="0" xfId="0"/>
    <xf numFmtId="0" fontId="0" fillId="19" borderId="33" pivotButton="0" quotePrefix="0" xfId="0"/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'PANO'!$A$25:$A$27</f>
            </numRef>
          </cat>
          <val>
            <numRef>
              <f>'PANO'!$B$25:$B$27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'PANO'!B29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'PANO'!$A$30:$A$32</f>
            </numRef>
          </cat>
          <val>
            <numRef>
              <f>'PANO'!$B$30:$B$32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28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KAPAK — Sera Kurulum &amp; Rekolte Fizibilitesi</t>
        </is>
      </c>
    </row>
    <row r="3" ht="22" customHeight="1">
      <c r="A3" s="7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3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GIRDI — Sera Kurulum &amp; Rekolte Fizibilitesi</t>
        </is>
      </c>
    </row>
    <row r="3" ht="22" customHeight="1">
      <c r="A3" s="74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" customWidth="1" min="4" max="4"/>
    <col width="33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71" t="inlineStr">
        <is>
          <t>VARSAYIMLAR — Sera Kurulum &amp; Rekolte Fizibilitesi</t>
        </is>
      </c>
    </row>
    <row r="3" ht="22" customHeight="1">
      <c r="A3" s="74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71" t="inlineStr">
        <is>
          <t>KURALLAR — Sera Kurulum &amp; Rekolte Fizibilitesi</t>
        </is>
      </c>
    </row>
    <row r="3" ht="22" customHeight="1">
      <c r="A3" s="74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I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MOTOR — Sera Kurulum &amp; Rekolte Fizibilitesi</t>
        </is>
      </c>
    </row>
    <row r="3" ht="22" customHeight="1">
      <c r="A3" s="74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AND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AND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FINANSMAN — Sera Kurulum &amp; Rekolte Fizibilitesi</t>
        </is>
      </c>
    </row>
    <row r="3" ht="22" customHeight="1">
      <c r="A3" s="74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SENARYO — Sera Kurulum &amp; Rekolte Fizibilitesi</t>
        </is>
      </c>
    </row>
    <row r="3" ht="22" customHeight="1">
      <c r="A3" s="74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  <col width="13" customWidth="1" min="15" max="15"/>
  </cols>
  <sheetData>
    <row r="1" ht="24" customHeight="1">
      <c r="A1" s="75" t="inlineStr">
        <is>
          <t>☰ PANO</t>
        </is>
      </c>
    </row>
    <row r="2" ht="28" customHeight="1">
      <c r="B2" s="76" t="inlineStr">
        <is>
          <t>STRATEJİK YÖNETİCİ KOKPİTİ</t>
        </is>
      </c>
      <c r="L2" s="77" t="inlineStr">
        <is>
          <t>Dönem: 2026 / Tam ▼</t>
        </is>
      </c>
      <c r="M2" s="78" t="inlineStr">
        <is>
          <t>★ DOĞRULANMIŞ</t>
        </is>
      </c>
    </row>
    <row r="3" ht="18" customHeight="1">
      <c r="A3" s="54" t="inlineStr">
        <is>
          <t>Karar panosu</t>
        </is>
      </c>
      <c r="B3" s="79" t="inlineStr">
        <is>
          <t>Yıllık gelir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Doluluk</t>
        </is>
      </c>
    </row>
    <row r="4" ht="10" customHeight="1">
      <c r="B4" s="55">
        <f>IFERROR(skf_yillikGelir,0)</f>
        <v/>
      </c>
      <c r="C4" s="55">
        <f>IFERROR(skf_capexToplam,0)</f>
        <v/>
      </c>
      <c r="D4" s="55">
        <f>IFERROR(skf_opexYillik,0)</f>
        <v/>
      </c>
      <c r="E4" s="56">
        <f>IFERROR(skf_netRekolte,0)</f>
        <v/>
      </c>
      <c r="F4" s="55">
        <f>IFERROR(MOTOR!G34,0)</f>
        <v/>
      </c>
      <c r="G4" s="55">
        <f>IFERROR(skf_npv,0)</f>
        <v/>
      </c>
      <c r="H4" s="57">
        <f>IFERROR(skf_irr,0)</f>
        <v/>
      </c>
      <c r="I4" s="56">
        <f>IFERROR(MOTOR!G35,0)</f>
        <v/>
      </c>
      <c r="J4" s="56">
        <f>IFERROR(MOTOR!G41,0)</f>
        <v/>
      </c>
      <c r="K4" s="56">
        <f>IFERROR(MOTOR!G42,0)</f>
        <v/>
      </c>
      <c r="L4" s="55">
        <f>IFERROR(MOTOR!G47,0)</f>
        <v/>
      </c>
      <c r="M4" s="55">
        <f>IFERROR(MOTOR!G47,0)</f>
        <v/>
      </c>
      <c r="N4" s="57">
        <f>IFERROR(GIRDI!B13,0)</f>
        <v/>
      </c>
    </row>
    <row r="5" ht="20" customHeight="1">
      <c r="B5" s="80" t="n"/>
      <c r="C5" s="81" t="n"/>
      <c r="D5" s="82" t="n"/>
      <c r="E5" s="83" t="n"/>
      <c r="F5" s="81" t="n"/>
      <c r="G5" s="84" t="n"/>
      <c r="H5" s="85" t="n"/>
      <c r="I5" s="81" t="n"/>
      <c r="J5" s="86" t="n"/>
      <c r="K5" s="87" t="n"/>
      <c r="L5" s="81" t="n"/>
      <c r="M5" s="88" t="n"/>
    </row>
    <row r="6" ht="6" customHeight="1">
      <c r="A6" s="5" t="inlineStr">
        <is>
          <t>Karar özeti</t>
        </is>
      </c>
      <c r="B6" s="89">
        <f>skf_kararMetni</f>
        <v/>
      </c>
      <c r="C6" s="90" t="n"/>
      <c r="D6" s="91" t="n"/>
      <c r="E6" s="92" t="n"/>
      <c r="F6" s="90" t="n"/>
      <c r="G6" s="91" t="n"/>
      <c r="H6" s="93" t="n"/>
      <c r="I6" s="90" t="n"/>
      <c r="J6" s="91" t="n"/>
      <c r="K6" s="94" t="n"/>
      <c r="L6" s="90" t="n"/>
      <c r="M6" s="91" t="n"/>
    </row>
    <row r="7" ht="32" customHeight="1">
      <c r="A7" s="10" t="inlineStr">
        <is>
          <t>Gerekçe</t>
        </is>
      </c>
      <c r="B7" s="95">
        <f>skf_kararGerekce</f>
        <v/>
      </c>
      <c r="I7" s="90" t="n"/>
      <c r="J7" s="91" t="n"/>
      <c r="K7" s="96" t="n"/>
      <c r="L7" s="90" t="n"/>
      <c r="M7" s="91" t="n"/>
    </row>
    <row r="8" ht="6" customHeight="1">
      <c r="B8" s="97" t="n"/>
      <c r="C8" s="90" t="n"/>
      <c r="D8" s="91" t="n"/>
      <c r="E8" s="92" t="n"/>
      <c r="F8" s="90" t="n"/>
      <c r="G8" s="91" t="n"/>
      <c r="H8" s="93" t="n"/>
      <c r="I8" s="90" t="n"/>
      <c r="J8" s="91" t="n"/>
      <c r="K8" s="94" t="n"/>
      <c r="L8" s="90" t="n"/>
      <c r="M8" s="91" t="n"/>
    </row>
    <row r="9" ht="18" customHeight="1">
      <c r="A9" s="5" t="inlineStr">
        <is>
          <t>Analitik modüller</t>
        </is>
      </c>
      <c r="B9" s="98" t="n"/>
      <c r="C9" s="99" t="n"/>
      <c r="D9" s="100" t="n"/>
      <c r="E9" s="101" t="n"/>
      <c r="F9" s="99" t="n"/>
      <c r="G9" s="100" t="n"/>
      <c r="H9" s="102" t="n"/>
      <c r="I9" s="99" t="n"/>
      <c r="J9" s="100" t="n"/>
      <c r="K9" s="103" t="n"/>
      <c r="L9" s="99" t="n"/>
      <c r="M9" s="100" t="n"/>
    </row>
    <row r="10" ht="14" customHeight="1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 ht="24" customHeight="1">
      <c r="A11" s="10" t="inlineStr">
        <is>
          <t>T1</t>
        </is>
      </c>
      <c r="B11" s="104" t="inlineStr">
        <is>
          <t>Yıllık sera geliri</t>
        </is>
      </c>
      <c r="C11" s="19">
        <f>IFERROR(skf_yillikGelir,0)</f>
        <v/>
      </c>
      <c r="D11" s="37">
        <f>_xlfn.TEXTJOIN(" ",TRUE,"Gelir ",TEXT(C11,"₺ #,##0")," — net kg ",TEXT(skf_netRekolte,"#,##0"))</f>
        <v/>
      </c>
      <c r="F11" s="105" t="inlineStr">
        <is>
          <t>+%32 Verim</t>
        </is>
      </c>
      <c r="H11" s="106" t="inlineStr">
        <is>
          <t>KONSOLİDE OPERASYON VE KARAR MATRİSİ</t>
        </is>
      </c>
    </row>
    <row r="12" ht="18" customHeight="1">
      <c r="A12" s="10" t="inlineStr">
        <is>
          <t>T2</t>
        </is>
      </c>
      <c r="B12" s="107" t="inlineStr">
        <is>
          <t>Net yıllık nakit</t>
        </is>
      </c>
      <c r="C12" s="19">
        <f>IFERROR(MOTOR!G34,0)</f>
        <v/>
      </c>
      <c r="D12" s="37">
        <f>_xlfn.TEXTJOIN(" ",TRUE,"Net nakit ",TEXT(C12,"₺ #,##0")," — OPEX ",TEXT(skf_opexYillik,"₺ #,##0"))</f>
        <v/>
      </c>
      <c r="H12" s="108" t="inlineStr">
        <is>
          <t>Anlık Hesaplama Sonuçları ve Durum Puanlaması</t>
        </is>
      </c>
    </row>
    <row r="13" ht="8" customHeight="1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 ht="24" customHeight="1">
      <c r="A14" s="10" t="inlineStr">
        <is>
          <t>O2</t>
        </is>
      </c>
      <c r="B14" s="109" t="inlineStr">
        <is>
          <t>Duyarlılık / tornado</t>
        </is>
      </c>
      <c r="C14" s="109">
        <f>IFERROR(skf_duyarlilikSira,"-")</f>
        <v/>
      </c>
      <c r="D14" s="109">
        <f>IFERROR(skf_yorumDuyarlilik,"-")</f>
        <v/>
      </c>
      <c r="K14" s="110" t="n"/>
      <c r="L14" s="110" t="n"/>
      <c r="M14" s="110" t="n"/>
    </row>
    <row r="15" ht="22" customHeight="1">
      <c r="A15" s="10" t="inlineStr">
        <is>
          <t>O3</t>
        </is>
      </c>
      <c r="B15" s="111" t="inlineStr">
        <is>
          <t>Senaryo motoru</t>
        </is>
      </c>
      <c r="C15" s="111">
        <f>IFERROR(skf_senaryoKarsilastirma,0)</f>
        <v/>
      </c>
      <c r="D15" s="111">
        <f>IFERROR(skf_yorumSenaryo,"-")</f>
        <v/>
      </c>
      <c r="K15" s="112" t="n"/>
      <c r="L15" s="113" t="n"/>
      <c r="M15" s="114" t="n"/>
    </row>
    <row r="16" ht="22" customHeight="1">
      <c r="A16" s="10" t="inlineStr">
        <is>
          <t>O6</t>
        </is>
      </c>
      <c r="B16" s="115" t="inlineStr">
        <is>
          <t>OPEX/gelir yoğunlaşması</t>
        </is>
      </c>
      <c r="C16" s="116">
        <f>IFERROR(IF(skf_yillikGelir=0,0,skf_opexYillik/skf_yillikGelir),0)</f>
        <v/>
      </c>
      <c r="D16" s="115">
        <f>_xlfn.TEXTJOIN(" ",TRUE,"OPEX/gelir ",TEXT(C16,"0.0%"))</f>
        <v/>
      </c>
      <c r="K16" s="117" t="n"/>
      <c r="L16" s="118" t="n"/>
      <c r="M16" s="119" t="n"/>
    </row>
    <row r="17" ht="22" customHeight="1">
      <c r="A17" s="10" t="inlineStr">
        <is>
          <t>O8</t>
        </is>
      </c>
      <c r="B17" s="111" t="inlineStr">
        <is>
          <t>Veri kalite skoru</t>
        </is>
      </c>
      <c r="C17" s="120">
        <f>IFERROR(MOTOR!G41,0)</f>
        <v/>
      </c>
      <c r="D17" s="111">
        <f>_xlfn.TEXTJOIN(" ",TRUE,"Giriş güven skoru ",TEXT(C17,"0"),"/100")</f>
        <v/>
      </c>
      <c r="K17" s="112" t="n"/>
      <c r="L17" s="121" t="n"/>
      <c r="M17" s="114" t="n"/>
    </row>
    <row r="18" ht="22" customHeight="1">
      <c r="A18" s="10" t="inlineStr">
        <is>
          <t>I1</t>
        </is>
      </c>
      <c r="B18" s="115" t="inlineStr">
        <is>
          <t>Tahmin + aralık</t>
        </is>
      </c>
      <c r="C18" s="122">
        <f>IFERROR(skf_tahminAralik,0)</f>
        <v/>
      </c>
      <c r="D18" s="115">
        <f>IFERROR(skf_yorumTahmin,"-")</f>
        <v/>
      </c>
      <c r="K18" s="117" t="n"/>
      <c r="L18" s="123" t="n"/>
      <c r="M18" s="119" t="n"/>
    </row>
    <row r="19" ht="26" customHeight="1">
      <c r="A19" s="10" t="inlineStr">
        <is>
          <t>I3</t>
        </is>
      </c>
      <c r="B19" s="111" t="inlineStr">
        <is>
          <t>IRR aralık bandı</t>
        </is>
      </c>
      <c r="C19" s="124">
        <f>IFERROR(ABS(MOTOR!G47-MOTOR!G48),0)</f>
        <v/>
      </c>
      <c r="D19" s="111">
        <f>_xlfn.TEXTJOIN(" ",TRUE,"İyimser−kötümser NPV fark ",TEXT(C19,"₺ #,##0"))</f>
        <v/>
      </c>
      <c r="K19" s="125" t="n"/>
      <c r="L19" s="126" t="n"/>
      <c r="M19" s="126" t="n"/>
    </row>
    <row r="20" ht="22" customHeight="1">
      <c r="A20" s="10" t="inlineStr">
        <is>
          <t>F_TOR</t>
        </is>
      </c>
      <c r="B20" s="115" t="inlineStr">
        <is>
          <t>Tornado ilk 5</t>
        </is>
      </c>
      <c r="C20" s="122">
        <f>IFERROR(MAX(SENARYO!B15:B19),0)</f>
        <v/>
      </c>
      <c r="D20" s="115">
        <f>_xlfn.TEXTJOIN(" ",TRUE,"En yüksek tornado etki ",TEXT(C20,"₺ #,##0"))</f>
        <v/>
      </c>
    </row>
    <row r="21" ht="14" customHeight="1"/>
    <row r="22" ht="24" customHeight="1">
      <c r="A22" s="10" t="inlineStr">
        <is>
          <t>CAPEX/OPEX özeti</t>
        </is>
      </c>
      <c r="B22" s="127">
        <f>IFERROR(skf_capexOpex,"-")</f>
        <v/>
      </c>
      <c r="I22" s="128" t="n"/>
      <c r="K22" s="129" t="inlineStr">
        <is>
          <t>KARAR MOTORU</t>
        </is>
      </c>
      <c r="L22" s="130" t="n"/>
      <c r="M22" s="131" t="n"/>
    </row>
    <row r="23" ht="20" customHeight="1">
      <c r="B23" s="132" t="n"/>
      <c r="C23" s="90" t="n"/>
      <c r="D23" s="90" t="n"/>
      <c r="E23" s="91" t="n"/>
      <c r="F23" s="133" t="inlineStr">
        <is>
          <t>Nakit Açığı Riski (30 Gün)</t>
        </is>
      </c>
      <c r="G23" s="90" t="n"/>
      <c r="H23" s="90" t="n"/>
      <c r="I23" s="134" t="inlineStr">
        <is>
          <t>0.00 TL (Sıfır Risk)</t>
        </is>
      </c>
      <c r="K23" s="135" t="inlineStr">
        <is>
          <t>LİKİDİTE OPTİMİZASYON FIRSATI</t>
        </is>
      </c>
      <c r="L23" s="136" t="n"/>
      <c r="M23" s="137" t="n"/>
    </row>
    <row r="24" ht="20" customHeight="1">
      <c r="A24" s="50" t="inlineStr">
        <is>
          <t>PanoDemo</t>
        </is>
      </c>
      <c r="B24" s="138" t="n"/>
      <c r="C24" s="90" t="n"/>
      <c r="D24" s="139" t="inlineStr">
        <is>
          <t>SenaryoDemo</t>
        </is>
      </c>
      <c r="E24" s="140" t="inlineStr">
        <is>
          <t>NpvDemo</t>
        </is>
      </c>
      <c r="F24" s="133" t="inlineStr">
        <is>
          <t>Tahsilat Gecikme Toleransı</t>
        </is>
      </c>
      <c r="G24" s="90" t="n"/>
      <c r="H24" s="90" t="n"/>
      <c r="I24" s="134" t="inlineStr">
        <is>
          <t>48 Gün Güvenli Eşik</t>
        </is>
      </c>
      <c r="K24" s="141" t="inlineStr">
        <is>
          <t>Atıl kalan nakit rezervinin gecelik repoda</t>
        </is>
      </c>
      <c r="L24" s="136" t="n"/>
      <c r="M24" s="137" t="n"/>
    </row>
    <row r="25" ht="20" customHeight="1">
      <c r="A25" s="51" t="inlineStr">
        <is>
          <t>Gelir</t>
        </is>
      </c>
      <c r="B25" s="142" t="n">
        <v>2898000</v>
      </c>
      <c r="C25" s="90" t="n"/>
      <c r="D25" s="139" t="inlineStr">
        <is>
          <t>İyimser</t>
        </is>
      </c>
      <c r="E25" s="143" t="n">
        <v>3200000</v>
      </c>
      <c r="F25" s="113" t="inlineStr">
        <is>
          <t>██████████████████████████████ Güvenli Bölge (%100)</t>
        </is>
      </c>
      <c r="G25" s="144" t="n"/>
      <c r="H25" s="144" t="n"/>
      <c r="I25" s="144" t="n"/>
      <c r="K25" s="141" t="inlineStr">
        <is>
          <t>değerlendirilmesiyle ek getiri imkanı.</t>
        </is>
      </c>
      <c r="L25" s="136" t="n"/>
      <c r="M25" s="137" t="n"/>
    </row>
    <row r="26" ht="20" customHeight="1">
      <c r="A26" s="51" t="inlineStr">
        <is>
          <t>CAPEX</t>
        </is>
      </c>
      <c r="B26" s="145" t="n">
        <v>4200000</v>
      </c>
      <c r="C26" s="90" t="n"/>
      <c r="D26" s="139" t="inlineStr">
        <is>
          <t>Baz</t>
        </is>
      </c>
      <c r="E26" s="143" t="n">
        <v>1850000</v>
      </c>
      <c r="F26" s="146" t="inlineStr">
        <is>
          <t>✓ 90 GÜNLÜK PROJEKSİYONDA NAKİT SIKIŞIKLIĞI TESPİT EDİLMEDİ</t>
        </is>
      </c>
      <c r="G26" s="147" t="n"/>
      <c r="H26" s="147" t="n"/>
      <c r="I26" s="147" t="n"/>
      <c r="K26" s="148" t="inlineStr">
        <is>
          <t>FONLAMA SENARYOSUNU İNCELE ›</t>
        </is>
      </c>
      <c r="L26" s="114" t="n"/>
      <c r="M26" s="114" t="n"/>
    </row>
    <row r="27" ht="26" customHeight="1">
      <c r="A27" s="51" t="inlineStr">
        <is>
          <t>NPV</t>
        </is>
      </c>
      <c r="B27" s="149" t="n">
        <v>1850000</v>
      </c>
      <c r="C27" s="99" t="n"/>
      <c r="D27" s="150" t="inlineStr">
        <is>
          <t>Kötümser</t>
        </is>
      </c>
      <c r="E27" s="151" t="n">
        <v>-420000</v>
      </c>
      <c r="F27" s="152" t="n"/>
      <c r="G27" s="99" t="n"/>
      <c r="H27" s="99" t="n"/>
      <c r="I27" s="100" t="n"/>
      <c r="K27" s="153" t="n"/>
      <c r="L27" s="154" t="n"/>
      <c r="M27" s="155" t="n"/>
    </row>
    <row r="29">
      <c r="A29" s="51" t="inlineStr">
        <is>
          <t>TornadoDemo</t>
        </is>
      </c>
      <c r="B29" s="50" t="inlineStr">
        <is>
          <t>EtkiDemo</t>
        </is>
      </c>
    </row>
    <row r="30">
      <c r="A30" s="51" t="inlineStr">
        <is>
          <t>Fiyat</t>
        </is>
      </c>
      <c r="B30" s="52" t="n">
        <v>280000</v>
      </c>
    </row>
    <row r="31">
      <c r="A31" s="51" t="inlineStr">
        <is>
          <t>Rekolte</t>
        </is>
      </c>
      <c r="B31" s="52" t="n">
        <v>310000</v>
      </c>
    </row>
    <row r="32">
      <c r="A32" s="51" t="inlineStr">
        <is>
          <t>CAPEX</t>
        </is>
      </c>
      <c r="B32" s="52" t="n">
        <v>210000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D14:J14"/>
    <mergeCell ref="B22:H22"/>
    <mergeCell ref="D18:J18"/>
    <mergeCell ref="D17:J17"/>
    <mergeCell ref="D20:J20"/>
    <mergeCell ref="D16:J16"/>
    <mergeCell ref="B7:H7"/>
    <mergeCell ref="B2:K2"/>
    <mergeCell ref="D15:J15"/>
    <mergeCell ref="D19:J19"/>
    <mergeCell ref="D13:J13"/>
    <mergeCell ref="B3:K3"/>
    <mergeCell ref="A1: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PANO&amp;CExcelArşiv&amp;RSayfa &amp;P / &amp;N</oddFooter>
    <evenHeader/>
    <evenFooter>&amp;LSera Kurulum &amp; Rekolte Fizibilitesi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KARAR — Sera Kurulum &amp; Rekolte Fizibilitesi</t>
        </is>
      </c>
    </row>
    <row r="3" ht="22" customHeight="1">
      <c r="A3" s="7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71" t="inlineStr">
        <is>
          <t>VAKALAR — Sera Kurulum &amp; Rekolte Fizibilitesi</t>
        </is>
      </c>
    </row>
    <row r="3" ht="22" customHeight="1">
      <c r="A3" s="74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KANIT RAPORU — Sera Kurulum &amp; Rekolte Fizibilitesi</t>
        </is>
      </c>
    </row>
    <row r="3" ht="22" customHeight="1">
      <c r="A3" s="7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19:H19"/>
    <mergeCell ref="B21:H21"/>
    <mergeCell ref="A3:I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KONTROLLER — Sera Kurulum &amp; Rekolte Fizibilitesi</t>
        </is>
      </c>
    </row>
    <row r="3" ht="22" customHeight="1">
      <c r="A3" s="74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7.5" customWidth="1" min="4" max="4"/>
    <col width="14" customWidth="1" min="5" max="5"/>
    <col width="15.5" customWidth="1" min="6" max="6"/>
    <col width="15.5" customWidth="1" min="7" max="7"/>
    <col width="16.5" customWidth="1" min="8" max="8"/>
    <col width="15.5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71" t="inlineStr">
        <is>
          <t>ORNEK VERI — Sera Kurulum &amp; Rekolte Fizibilitesi</t>
        </is>
      </c>
    </row>
    <row r="3" ht="22" customHeight="1">
      <c r="A3" s="74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LISTELER — Sera Kurulum &amp; Rekolte Fizibilitesi</t>
        </is>
      </c>
    </row>
    <row r="3" ht="22" customHeight="1">
      <c r="A3" s="74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J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71" t="inlineStr">
        <is>
          <t>AYARLAR — Sera Kurulum &amp; Rekolte Fizibilitesi</t>
        </is>
      </c>
    </row>
    <row r="3" ht="22" customHeight="1">
      <c r="A3" s="74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1:T11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2026-09-25T22:33:59Z</dcterms:modified>
</cp:coreProperties>
</file>