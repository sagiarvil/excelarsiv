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HIZLI_BASLANGIC" sheetId="2" state="visible" r:id="rId2"/>
    <sheet xmlns:r="http://schemas.openxmlformats.org/officeDocument/2006/relationships" name="GIRDI" sheetId="3" state="visible" r:id="rId3"/>
    <sheet xmlns:r="http://schemas.openxmlformats.org/officeDocument/2006/relationships" name="VARSAYIMLAR" sheetId="4" state="visible" r:id="rId4"/>
    <sheet xmlns:r="http://schemas.openxmlformats.org/officeDocument/2006/relationships" name="KURALLAR" sheetId="5" state="visible" r:id="rId5"/>
    <sheet xmlns:r="http://schemas.openxmlformats.org/officeDocument/2006/relationships" name="MOTOR" sheetId="6" state="visible" r:id="rId6"/>
    <sheet xmlns:r="http://schemas.openxmlformats.org/officeDocument/2006/relationships" name="FINANSMAN" sheetId="7" state="visible" r:id="rId7"/>
    <sheet xmlns:r="http://schemas.openxmlformats.org/officeDocument/2006/relationships" name="SENARYO" sheetId="8" state="visible" r:id="rId8"/>
    <sheet xmlns:r="http://schemas.openxmlformats.org/officeDocument/2006/relationships" name="PANO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VAKALAR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8">'PANO'!$A$1:$F$34</definedName>
    <definedName name="_xlnm.Print_Area" localSheetId="9">'KARAR'!$A$1:$F$28</definedName>
    <definedName name="_xlnm.Print_Area" localSheetId="11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25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'PANO'!$A$25:$A$27</f>
            </numRef>
          </cat>
          <val>
            <numRef>
              <f>'PANO'!$B$25:$B$27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'PANO'!B29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'PANO'!$A$30:$A$32</f>
            </numRef>
          </cat>
          <val>
            <numRef>
              <f>'PANO'!$B$30:$B$32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28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KAPAK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43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HIZLI BASLANGIC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GIRDI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3"/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8"/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" customWidth="1" min="4" max="4"/>
    <col width="33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71" t="inlineStr">
        <is>
          <t>VARSAYIMLAR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</row>
    <row r="2"/>
    <row r="3" ht="22" customHeight="1">
      <c r="A3" s="74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6"/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71" t="inlineStr">
        <is>
          <t>KURALLAR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2"/>
    <row r="13"/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MOTOR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FINANSMAN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Finansman senaryoları — OZ_KAYNAK ve KREDI</t>
        </is>
      </c>
    </row>
    <row r="4"/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8"/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SENARYO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Senaryo ve duyarlılık (tornado)</t>
        </is>
      </c>
    </row>
    <row r="4"/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9"/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2"/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0"/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3"/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5"/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50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2" customHeight="1">
      <c r="A1" s="71" t="inlineStr">
        <is>
          <t>PANO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</row>
    <row r="2"/>
    <row r="3">
      <c r="A3" s="54" t="inlineStr">
        <is>
          <t>Karar panosu</t>
        </is>
      </c>
      <c r="B3" s="11" t="inlineStr">
        <is>
          <t>Yıllık gelir</t>
        </is>
      </c>
      <c r="C3" s="11" t="inlineStr">
        <is>
          <t>CAPEX</t>
        </is>
      </c>
      <c r="D3" s="11" t="inlineStr">
        <is>
          <t>OPEX</t>
        </is>
      </c>
      <c r="E3" s="11" t="inlineStr">
        <is>
          <t>Net rekolte</t>
        </is>
      </c>
      <c r="F3" s="11" t="inlineStr">
        <is>
          <t>Net nakit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Geri ödeme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Doluluk</t>
        </is>
      </c>
    </row>
    <row r="4">
      <c r="B4" s="55">
        <f>IFERROR(skf_yillikGelir,0)</f>
        <v/>
      </c>
      <c r="C4" s="55">
        <f>IFERROR(skf_capexToplam,0)</f>
        <v/>
      </c>
      <c r="D4" s="55">
        <f>IFERROR(skf_opexYillik,0)</f>
        <v/>
      </c>
      <c r="E4" s="56">
        <f>IFERROR(skf_netRekolte,0)</f>
        <v/>
      </c>
      <c r="F4" s="55">
        <f>IFERROR(MOTOR!G34,0)</f>
        <v/>
      </c>
      <c r="G4" s="55">
        <f>IFERROR(skf_npv,0)</f>
        <v/>
      </c>
      <c r="H4" s="57">
        <f>IFERROR(skf_irr,0)</f>
        <v/>
      </c>
      <c r="I4" s="56">
        <f>IFERROR(MOTOR!G35,0)</f>
        <v/>
      </c>
      <c r="J4" s="56">
        <f>IFERROR(MOTOR!G41,0)</f>
        <v/>
      </c>
      <c r="K4" s="56">
        <f>IFERROR(MOTOR!G42,0)</f>
        <v/>
      </c>
      <c r="L4" s="55">
        <f>IFERROR(MOTOR!G47,0)</f>
        <v/>
      </c>
      <c r="M4" s="55">
        <f>IFERROR(MOTOR!G47,0)</f>
        <v/>
      </c>
      <c r="N4" s="57">
        <f>IFERROR(GIRDI!B13,0)</f>
        <v/>
      </c>
    </row>
    <row r="5"/>
    <row r="6">
      <c r="A6" s="5" t="inlineStr">
        <is>
          <t>Karar özeti</t>
        </is>
      </c>
      <c r="B6" s="58">
        <f>skf_kararMetni</f>
        <v/>
      </c>
    </row>
    <row r="7">
      <c r="A7" s="10" t="inlineStr">
        <is>
          <t>Gerekçe</t>
        </is>
      </c>
      <c r="B7" s="37">
        <f>skf_kararGerekce</f>
        <v/>
      </c>
    </row>
    <row r="8"/>
    <row r="9">
      <c r="A9" s="5" t="inlineStr">
        <is>
          <t>Analitik modüller</t>
        </is>
      </c>
    </row>
    <row r="10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>
      <c r="A11" s="10" t="inlineStr">
        <is>
          <t>T1</t>
        </is>
      </c>
      <c r="B11" s="7" t="inlineStr">
        <is>
          <t>Yıllık sera geliri</t>
        </is>
      </c>
      <c r="C11" s="19">
        <f>IFERROR(skf_yillikGelir,0)</f>
        <v/>
      </c>
      <c r="D11" s="37">
        <f>_xlfn.TEXTJOIN(" ",TRUE,"Gelir ",TEXT(C11,"₺ #,##0")," — net kg ",TEXT(skf_netRekolte,"#,##0"))</f>
        <v/>
      </c>
    </row>
    <row r="12">
      <c r="A12" s="10" t="inlineStr">
        <is>
          <t>T2</t>
        </is>
      </c>
      <c r="B12" s="7" t="inlineStr">
        <is>
          <t>Net yıllık nakit</t>
        </is>
      </c>
      <c r="C12" s="19">
        <f>IFERROR(MOTOR!G34,0)</f>
        <v/>
      </c>
      <c r="D12" s="37">
        <f>_xlfn.TEXTJOIN(" ",TRUE,"Net nakit ",TEXT(C12,"₺ #,##0")," — OPEX ",TEXT(skf_opexYillik,"₺ #,##0"))</f>
        <v/>
      </c>
    </row>
    <row r="13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>
      <c r="A14" s="10" t="inlineStr">
        <is>
          <t>O2</t>
        </is>
      </c>
      <c r="B14" s="7" t="inlineStr">
        <is>
          <t>Duyarlılık / tornado</t>
        </is>
      </c>
      <c r="C14" s="47">
        <f>IFERROR(skf_duyarlilikSira,"-")</f>
        <v/>
      </c>
      <c r="D14" s="37">
        <f>IFERROR(skf_yorumDuyarlilik,"-")</f>
        <v/>
      </c>
    </row>
    <row r="15">
      <c r="A15" s="10" t="inlineStr">
        <is>
          <t>O3</t>
        </is>
      </c>
      <c r="B15" s="7" t="inlineStr">
        <is>
          <t>Senaryo motoru</t>
        </is>
      </c>
      <c r="C15" s="47">
        <f>IFERROR(skf_senaryoKarsilastirma,0)</f>
        <v/>
      </c>
      <c r="D15" s="37">
        <f>IFERROR(skf_yorumSenaryo,"-")</f>
        <v/>
      </c>
    </row>
    <row r="16">
      <c r="A16" s="10" t="inlineStr">
        <is>
          <t>O6</t>
        </is>
      </c>
      <c r="B16" s="7" t="inlineStr">
        <is>
          <t>OPEX/gelir yoğunlaşması</t>
        </is>
      </c>
      <c r="C16" s="45">
        <f>IFERROR(IF(skf_yillikGelir=0,0,skf_opexYillik/skf_yillikGelir),0)</f>
        <v/>
      </c>
      <c r="D16" s="37">
        <f>_xlfn.TEXTJOIN(" ",TRUE,"OPEX/gelir ",TEXT(C16,"0.0%"))</f>
        <v/>
      </c>
    </row>
    <row r="17">
      <c r="A17" s="10" t="inlineStr">
        <is>
          <t>O8</t>
        </is>
      </c>
      <c r="B17" s="7" t="inlineStr">
        <is>
          <t>Veri kalite skoru</t>
        </is>
      </c>
      <c r="C17" s="20">
        <f>IFERROR(MOTOR!G41,0)</f>
        <v/>
      </c>
      <c r="D17" s="37">
        <f>_xlfn.TEXTJOIN(" ",TRUE,"Giriş güven skoru ",TEXT(C17,"0"),"/100")</f>
        <v/>
      </c>
    </row>
    <row r="18">
      <c r="A18" s="10" t="inlineStr">
        <is>
          <t>I1</t>
        </is>
      </c>
      <c r="B18" s="7" t="inlineStr">
        <is>
          <t>Tahmin + aralık</t>
        </is>
      </c>
      <c r="C18" s="19">
        <f>IFERROR(skf_tahminAralik,0)</f>
        <v/>
      </c>
      <c r="D18" s="37">
        <f>IFERROR(skf_yorumTahmin,"-")</f>
        <v/>
      </c>
    </row>
    <row r="19">
      <c r="A19" s="10" t="inlineStr">
        <is>
          <t>I3</t>
        </is>
      </c>
      <c r="B19" s="7" t="inlineStr">
        <is>
          <t>IRR aralık bandı</t>
        </is>
      </c>
      <c r="C19" s="19">
        <f>IFERROR(ABS(MOTOR!G47-MOTOR!G48),0)</f>
        <v/>
      </c>
      <c r="D19" s="37">
        <f>_xlfn.TEXTJOIN(" ",TRUE,"İyimser−kötümser NPV fark ",TEXT(C19,"₺ #,##0"))</f>
        <v/>
      </c>
    </row>
    <row r="20">
      <c r="A20" s="10" t="inlineStr">
        <is>
          <t>F_TOR</t>
        </is>
      </c>
      <c r="B20" s="7" t="inlineStr">
        <is>
          <t>Tornado ilk 5</t>
        </is>
      </c>
      <c r="C20" s="19">
        <f>IFERROR(MAX(SENARYO!B15:B19),0)</f>
        <v/>
      </c>
      <c r="D20" s="37">
        <f>_xlfn.TEXTJOIN(" ",TRUE,"En yüksek tornado etki ",TEXT(C20,"₺ #,##0"))</f>
        <v/>
      </c>
    </row>
    <row r="21"/>
    <row r="22">
      <c r="A22" s="10" t="inlineStr">
        <is>
          <t>CAPEX/OPEX özeti</t>
        </is>
      </c>
      <c r="B22" s="37">
        <f>IFERROR(skf_capexOpex,"-")</f>
        <v/>
      </c>
    </row>
    <row r="23"/>
    <row r="24">
      <c r="A24" s="50" t="inlineStr">
        <is>
          <t>PanoDemo</t>
        </is>
      </c>
      <c r="D24" s="51" t="inlineStr">
        <is>
          <t>SenaryoDemo</t>
        </is>
      </c>
      <c r="E24" s="50" t="inlineStr">
        <is>
          <t>NpvDemo</t>
        </is>
      </c>
    </row>
    <row r="25">
      <c r="A25" s="51" t="inlineStr">
        <is>
          <t>Gelir</t>
        </is>
      </c>
      <c r="B25" s="52" t="n">
        <v>2898000</v>
      </c>
      <c r="D25" s="51" t="inlineStr">
        <is>
          <t>İyimser</t>
        </is>
      </c>
      <c r="E25" s="52" t="n">
        <v>3200000</v>
      </c>
    </row>
    <row r="26">
      <c r="A26" s="51" t="inlineStr">
        <is>
          <t>CAPEX</t>
        </is>
      </c>
      <c r="B26" s="52" t="n">
        <v>4200000</v>
      </c>
      <c r="D26" s="51" t="inlineStr">
        <is>
          <t>Baz</t>
        </is>
      </c>
      <c r="E26" s="52" t="n">
        <v>1850000</v>
      </c>
    </row>
    <row r="27">
      <c r="A27" s="51" t="inlineStr">
        <is>
          <t>NPV</t>
        </is>
      </c>
      <c r="B27" s="52" t="n">
        <v>1850000</v>
      </c>
      <c r="D27" s="51" t="inlineStr">
        <is>
          <t>Kötümser</t>
        </is>
      </c>
      <c r="E27" s="52" t="n">
        <v>-420000</v>
      </c>
    </row>
    <row r="28"/>
    <row r="29">
      <c r="A29" s="51" t="inlineStr">
        <is>
          <t>TornadoDemo</t>
        </is>
      </c>
      <c r="B29" s="50" t="inlineStr">
        <is>
          <t>EtkiDemo</t>
        </is>
      </c>
    </row>
    <row r="30">
      <c r="A30" s="51" t="inlineStr">
        <is>
          <t>Fiyat</t>
        </is>
      </c>
      <c r="B30" s="52" t="n">
        <v>280000</v>
      </c>
    </row>
    <row r="31">
      <c r="A31" s="51" t="inlineStr">
        <is>
          <t>Rekolte</t>
        </is>
      </c>
      <c r="B31" s="52" t="n">
        <v>310000</v>
      </c>
    </row>
    <row r="32">
      <c r="A32" s="51" t="inlineStr">
        <is>
          <t>CAPEX</t>
        </is>
      </c>
      <c r="B32" s="52" t="n">
        <v>210000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D14:J14"/>
    <mergeCell ref="B22:H22"/>
    <mergeCell ref="D11:J11"/>
    <mergeCell ref="D18:J18"/>
    <mergeCell ref="D17:J17"/>
    <mergeCell ref="D12:J12"/>
    <mergeCell ref="D20:J20"/>
    <mergeCell ref="D16:J16"/>
    <mergeCell ref="B7:H7"/>
    <mergeCell ref="D15:J15"/>
    <mergeCell ref="D19:J19"/>
    <mergeCell ref="D13:J13"/>
    <mergeCell ref="A1: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PANO&amp;CExcelArşiv&amp;RSayfa &amp;P / &amp;N</oddFooter>
    <evenHeader/>
    <evenFooter>&amp;LSera Kurulum &amp; Rekolte Fizibilitesi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KARAR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Yatırım karar kapısı</t>
        </is>
      </c>
    </row>
    <row r="4"/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7"/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5"/>
    <row r="16">
      <c r="A16" s="4" t="inlineStr">
        <is>
          <t>Boş girişte karar daima VERİ YOK olur. Kötümser NPV negatifse YATIRIM YAPMA üretilir.</t>
        </is>
      </c>
    </row>
    <row r="17"/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6:H16"/>
    <mergeCell ref="A1:I1"/>
    <mergeCell ref="B6:H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71" t="inlineStr">
        <is>
          <t>VAKALAR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</row>
    <row r="2"/>
    <row r="3" ht="22" customHeight="1">
      <c r="A3" s="74" t="inlineStr">
        <is>
          <t>Altın vakalar — sera CAPEX / rekolte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0"/>
    <row r="11"/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KANIT RAPORU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Bankaya / yatırımcıya fizibilite kanıtı</t>
        </is>
      </c>
    </row>
    <row r="4"/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9"/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4"/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8"/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2"/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5"/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A1:I1"/>
    <mergeCell ref="A3:I3"/>
    <mergeCell ref="B19:H19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KONTROLLER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Dosya sağlık kontrolleri</t>
        </is>
      </c>
    </row>
    <row r="4"/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7.5" customWidth="1" min="4" max="4"/>
    <col width="14" customWidth="1" min="5" max="5"/>
    <col width="15.5" customWidth="1" min="6" max="6"/>
    <col width="15.5" customWidth="1" min="7" max="7"/>
    <col width="16.5" customWidth="1" min="8" max="8"/>
    <col width="15.5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71" t="inlineStr">
        <is>
          <t>ORNEK VERI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</row>
    <row r="2"/>
    <row r="3" ht="22" customHeight="1">
      <c r="A3" s="74" t="inlineStr">
        <is>
          <t>Örnek sera senaryoları</t>
        </is>
      </c>
    </row>
    <row r="4"/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LISTELER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 ht="22" customHeight="1">
      <c r="A3" s="74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71" t="inlineStr">
        <is>
          <t>AYARLAR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</row>
    <row r="2"/>
    <row r="3" ht="22" customHeight="1">
      <c r="A3" s="74" t="inlineStr">
        <is>
          <t>Parametreler (tek kaynak) — rekolte/fiyat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3"/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71" t="inlineStr">
        <is>
          <t>KILAVUZ — Sera Kurulum &amp; Rekolte Fizibilitesi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9"/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2"/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4"/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19"/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2026-09-25T20:44:35Z</dcterms:modified>
</cp:coreProperties>
</file>