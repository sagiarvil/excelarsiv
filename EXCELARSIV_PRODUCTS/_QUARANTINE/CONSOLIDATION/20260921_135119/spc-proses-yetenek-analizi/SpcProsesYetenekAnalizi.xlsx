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VARLIKLAR" sheetId="2" state="visible" r:id="rId2"/>
    <sheet xmlns:r="http://schemas.openxmlformats.org/officeDocument/2006/relationships" name="GUNLUK_GIRIS" sheetId="3" state="visible" r:id="rId3"/>
    <sheet xmlns:r="http://schemas.openxmlformats.org/officeDocument/2006/relationships" name="DONEM_ANALIZ" sheetId="4" state="visible" r:id="rId4"/>
    <sheet xmlns:r="http://schemas.openxmlformats.org/officeDocument/2006/relationships" name="HESAP" sheetId="5" state="visible" r:id="rId5"/>
    <sheet xmlns:r="http://schemas.openxmlformats.org/officeDocument/2006/relationships" name="PANO" sheetId="6" state="visible" r:id="rId6"/>
    <sheet xmlns:r="http://schemas.openxmlformats.org/officeDocument/2006/relationships" name="ALARMLAR" sheetId="7" state="visible" r:id="rId7"/>
    <sheet xmlns:r="http://schemas.openxmlformats.org/officeDocument/2006/relationships" name="RAPOR" sheetId="8" state="visible" r:id="rId8"/>
    <sheet xmlns:r="http://schemas.openxmlformats.org/officeDocument/2006/relationships" name="KONTROLLER" sheetId="9" state="visible" r:id="rId9"/>
    <sheet xmlns:r="http://schemas.openxmlformats.org/officeDocument/2006/relationships" name="ORNEK_VERI" sheetId="10" state="visible" r:id="rId10"/>
    <sheet xmlns:r="http://schemas.openxmlformats.org/officeDocument/2006/relationships" name="LISTELER" sheetId="11" state="visible" r:id="rId11"/>
    <sheet xmlns:r="http://schemas.openxmlformats.org/officeDocument/2006/relationships" name="AYARLAR" sheetId="12" state="visible" r:id="rId12"/>
    <sheet xmlns:r="http://schemas.openxmlformats.org/officeDocument/2006/relationships" name="KILAVUZ" sheetId="13" state="visible" r:id="rId13"/>
  </sheets>
  <definedNames>
    <definedName name="raporTarihi">AYARLAR!$B$6</definedName>
    <definedName name="spy_d2">AYARLAR!$B$7</definedName>
    <definedName name="spy_A2">AYARLAR!$B$8</definedName>
    <definedName name="spy_ucSigma">AYARLAR!$B$9</definedName>
    <definedName name="spy_altiSigma">AYARLAR!$B$10</definedName>
    <definedName name="spy_esikCpk">AYARLAR!$B$11</definedName>
    <definedName name="spy_esikCp">AYARLAR!$B$12</definedName>
    <definedName name="spy_esikSaglik">AYARLAR!$B$13</definedName>
    <definedName name="spy_aylikCarpan">AYARLAR!$B$14</definedName>
    <definedName name="spy_senaryoTemkinli">AYARLAR!$B$15</definedName>
    <definedName name="spy_senaryoBaz">AYARLAR!$B$16</definedName>
    <definedName name="spy_senaryoIyimser">AYARLAR!$B$17</definedName>
    <definedName name="spy_tornadoOran">AYARLAR!$B$18</definedName>
    <definedName name="spy_yuzdelikOran">AYARLAR!$B$19</definedName>
    <definedName name="spy_percentileOran">AYARLAR!$B$20</definedName>
    <definedName name="spy_tahminCarpan">AYARLAR!$B$21</definedName>
    <definedName name="spy_olcekHedef">AYARLAR!$B$22</definedName>
    <definedName name="spy_kaliteTaban">AYARLAR!$B$23</definedName>
    <definedName name="spy_kaliteCeza">AYARLAR!$B$24</definedName>
    <definedName name="spy_kaliteSapma">AYARLAR!$B$25</definedName>
    <definedName name="spy_dosyaSurumu">AYARLAR!$B$26</definedName>
    <definedName name="spy_firmaUnvan">AYARLAR!$B$27</definedName>
    <definedName name="spy_alarmEsikMetin">AYARLAR!$B$28</definedName>
    <definedName name="spy_doluKayit">AYARLAR!$I$32</definedName>
    <definedName name="spy_xbarOrt">AYARLAR!$I$33</definedName>
    <definedName name="spy_sigmaOrt">AYARLAR!$I$34</definedName>
    <definedName name="spy_cpOrt">AYARLAR!$I$35</definedName>
    <definedName name="spy_cpkOrt">AYARLAR!$I$36</definedName>
    <definedName name="spy_cpkMin">AYARLAR!$I$37</definedName>
    <definedName name="spy_aktifProses">AYARLAR!$I$38</definedName>
    <definedName name="spy_rToplam">AYARLAR!$I$39</definedName>
    <definedName name="spy_saglikSkor">AYARLAR!$I$40</definedName>
    <definedName name="spy_alarmAdet">AYARLAR!$I$41</definedName>
    <definedName name="spy_yetimAdet">AYARLAR!$I$42</definedName>
    <definedName name="spy_gunlukXbarOrt">AYARLAR!$I$43</definedName>
    <definedName name="spy_aylikCpkTrend">AYARLAR!$I$44</definedName>
    <definedName name="spy_cpkSapma">AYARLAR!$I$45</definedName>
    <definedName name="spy_tornadoZirve">AYARLAR!$I$46</definedName>
    <definedName name="spy_senaryoKarsilastirma">AYARLAR!$I$47</definedName>
    <definedName name="spy_hhi">AYARLAR!$I$48</definedName>
    <definedName name="spy_kaliteSkor">AYARLAR!$I$49</definedName>
    <definedName name="spy_senaryoMotor">AYARLAR!$I$50</definedName>
    <definedName name="spy_tahminAralik">AYARLAR!$I$51</definedName>
    <definedName name="spy_yuzdelikP90">AYARLAR!$I$52</definedName>
    <definedName name="spy_sezonsalTrend">AYARLAR!$I$53</definedName>
    <definedName name="spy_alarmListesi">AYARLAR!$I$54</definedName>
    <definedName name="spy_kararKapi">AYARLAR!$I$55</definedName>
    <definedName name="spy_kararGerekce">AYARLAR!$I$56</definedName>
    <definedName name="spy_sonrakiKimlik">AYARLAR!$I$57</definedName>
    <definedName name="spy_yorumGunluk">AYARLAR!$I$60</definedName>
    <definedName name="spy_yorumAylik">AYARLAR!$I$61</definedName>
    <definedName name="spy_yorumSapma">AYARLAR!$I$62</definedName>
    <definedName name="spy_yorumTornado">AYARLAR!$I$63</definedName>
    <definedName name="spy_yorumSenaryo">AYARLAR!$I$64</definedName>
    <definedName name="spy_yorumHhi">AYARLAR!$I$65</definedName>
    <definedName name="spy_yorumKalite">AYARLAR!$I$66</definedName>
    <definedName name="spy_yorumSenMotor">AYARLAR!$I$67</definedName>
    <definedName name="spy_yorumTahmin">AYARLAR!$I$68</definedName>
    <definedName name="spy_yorumP90">AYARLAR!$I$69</definedName>
    <definedName name="ListeEvetHayir">LISTELER!$A$7:$A$8</definedName>
    <definedName name="ListeVardiya">LISTELER!$C$7:$C$12</definedName>
    <definedName name="ListeProsesTipi">LISTELER!$E$7:$E$13</definedName>
    <definedName name="_xlnm.Print_Area" localSheetId="5">'PANO'!$A$1:$N$30</definedName>
    <definedName name="_xlnm.Print_Area" localSheetId="7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.mm.yyyy"/>
    <numFmt numFmtId="166" formatCode="0.0%;[Red](0.0%);-"/>
    <numFmt numFmtId="167" formatCode="₺#,##0"/>
  </numFmts>
  <fonts count="5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b val="1"/>
      <color rgb="000F172A"/>
      <sz val="9"/>
    </font>
    <font>
      <name val="Segoe UI"/>
      <b val="1"/>
      <color rgb="000F172A"/>
      <sz val="15"/>
    </font>
    <font>
      <name val="Segoe UI"/>
      <color rgb="00334155"/>
      <sz val="8.5"/>
    </font>
    <font>
      <name val="Segoe UI"/>
      <b val="1"/>
      <color rgb="00FFFFFF"/>
      <sz val="8.5"/>
    </font>
    <font>
      <name val="Segoe UI"/>
      <color rgb="0064748B"/>
      <sz val="9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color rgb="0064748B"/>
      <sz val="8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b val="1"/>
      <color rgb="00DC2626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FFFFFF"/>
      <sz val="9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color rgb="00D1FAE5"/>
      <sz val="8"/>
    </font>
    <font>
      <name val="Segoe UI"/>
      <b val="1"/>
      <color rgb="00065F46"/>
      <sz val="8.5"/>
    </font>
  </fonts>
  <fills count="20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  <fill>
      <patternFill patternType="solid">
        <fgColor rgb="00065F46"/>
        <bgColor rgb="00065F46"/>
      </patternFill>
    </fill>
  </fills>
  <borders count="39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065F46"/>
      </left>
      <right/>
      <top/>
      <bottom style="thin">
        <color rgb="00065F46"/>
      </bottom>
    </border>
    <border>
      <left/>
      <right/>
      <top/>
      <bottom style="thin">
        <color rgb="00065F46"/>
      </bottom>
    </border>
    <border>
      <left/>
      <right style="thin">
        <color rgb="00065F46"/>
      </right>
      <top/>
      <bottom style="thin">
        <color rgb="00065F46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medium">
        <color rgb="00DC2626"/>
      </left>
      <right/>
      <top/>
      <bottom/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5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1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7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6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17" fillId="0" borderId="0" applyAlignment="1" pivotButton="0" quotePrefix="0" xfId="0">
      <alignment horizontal="left" vertical="center"/>
    </xf>
    <xf numFmtId="0" fontId="18" fillId="8" borderId="2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8" borderId="2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8" borderId="3" applyAlignment="1" pivotButton="0" quotePrefix="0" xfId="0">
      <alignment vertical="center" indent="1"/>
    </xf>
    <xf numFmtId="0" fontId="0" fillId="8" borderId="4" pivotButton="0" quotePrefix="0" xfId="0"/>
    <xf numFmtId="0" fontId="24" fillId="10" borderId="2" applyAlignment="1" pivotButton="0" quotePrefix="0" xfId="0">
      <alignment horizontal="center" vertical="center"/>
    </xf>
    <xf numFmtId="0" fontId="23" fillId="8" borderId="12" applyAlignment="1" pivotButton="0" quotePrefix="0" xfId="0">
      <alignment vertical="center" indent="1"/>
    </xf>
    <xf numFmtId="0" fontId="27" fillId="11" borderId="2" applyAlignment="1" pivotButton="0" quotePrefix="0" xfId="0">
      <alignment horizontal="center" vertical="center"/>
    </xf>
    <xf numFmtId="0" fontId="23" fillId="8" borderId="15" applyAlignment="1" pivotButton="0" quotePrefix="0" xfId="0">
      <alignment vertical="center" indent="1"/>
    </xf>
    <xf numFmtId="0" fontId="29" fillId="12" borderId="2" applyAlignment="1" pivotButton="0" quotePrefix="0" xfId="0">
      <alignment horizontal="center" vertical="center"/>
    </xf>
    <xf numFmtId="0" fontId="23" fillId="8" borderId="18" applyAlignment="1" pivotButton="0" quotePrefix="0" xfId="0">
      <alignment vertical="center" indent="1"/>
    </xf>
    <xf numFmtId="0" fontId="30" fillId="13" borderId="2" applyAlignment="1" pivotButton="0" quotePrefix="0" xfId="0">
      <alignment horizontal="center" vertical="center"/>
    </xf>
    <xf numFmtId="0" fontId="10" fillId="8" borderId="6" applyAlignment="1" pivotButton="0" quotePrefix="0" xfId="0">
      <alignment horizontal="left" vertical="center"/>
    </xf>
    <xf numFmtId="0" fontId="0" fillId="8" borderId="7" pivotButton="0" quotePrefix="0" xfId="0"/>
    <xf numFmtId="0" fontId="0" fillId="8" borderId="8" pivotButton="0" quotePrefix="0" xfId="0"/>
    <xf numFmtId="0" fontId="0" fillId="8" borderId="13" pivotButton="0" quotePrefix="0" xfId="0"/>
    <xf numFmtId="0" fontId="0" fillId="8" borderId="16" pivotButton="0" quotePrefix="0" xfId="0"/>
    <xf numFmtId="0" fontId="0" fillId="8" borderId="19" pivotButton="0" quotePrefix="0" xfId="0"/>
    <xf numFmtId="3" fontId="25" fillId="8" borderId="6" applyAlignment="1" pivotButton="0" quotePrefix="0" xfId="0">
      <alignment vertical="center" indent="1"/>
    </xf>
    <xf numFmtId="0" fontId="11" fillId="8" borderId="8" applyAlignment="1" pivotButton="0" quotePrefix="0" xfId="0">
      <alignment horizontal="left" vertical="center"/>
    </xf>
    <xf numFmtId="0" fontId="28" fillId="8" borderId="13" applyAlignment="1" pivotButton="0" quotePrefix="0" xfId="0">
      <alignment vertical="center" indent="1"/>
    </xf>
    <xf numFmtId="0" fontId="25" fillId="8" borderId="16" applyAlignment="1" pivotButton="0" quotePrefix="0" xfId="0">
      <alignment vertical="center" indent="1"/>
    </xf>
    <xf numFmtId="0" fontId="25" fillId="8" borderId="19" applyAlignment="1" pivotButton="0" quotePrefix="0" xfId="0">
      <alignment vertical="center" indent="1"/>
    </xf>
    <xf numFmtId="164" fontId="9" fillId="8" borderId="6" applyAlignment="1" pivotButton="0" quotePrefix="0" xfId="0">
      <alignment horizontal="left" vertical="center"/>
    </xf>
    <xf numFmtId="164" fontId="26" fillId="8" borderId="9" applyAlignment="1" pivotButton="0" quotePrefix="0" xfId="0">
      <alignment vertical="center" indent="1"/>
    </xf>
    <xf numFmtId="0" fontId="0" fillId="8" borderId="10" pivotButton="0" quotePrefix="0" xfId="0"/>
    <xf numFmtId="0" fontId="0" fillId="8" borderId="11" pivotButton="0" quotePrefix="0" xfId="0"/>
    <xf numFmtId="0" fontId="26" fillId="8" borderId="14" applyAlignment="1" pivotButton="0" quotePrefix="0" xfId="0">
      <alignment vertical="center" indent="1"/>
    </xf>
    <xf numFmtId="0" fontId="26" fillId="8" borderId="17" applyAlignment="1" pivotButton="0" quotePrefix="0" xfId="0">
      <alignment vertical="center" indent="1"/>
    </xf>
    <xf numFmtId="0" fontId="26" fillId="8" borderId="20" applyAlignment="1" pivotButton="0" quotePrefix="0" xfId="0">
      <alignment vertical="center" indent="1"/>
    </xf>
    <xf numFmtId="164" fontId="31" fillId="0" borderId="0" applyAlignment="1" pivotButton="0" quotePrefix="0" xfId="0">
      <alignment horizontal="left" vertical="center"/>
    </xf>
    <xf numFmtId="0" fontId="32" fillId="12" borderId="2" applyAlignment="1" pivotButton="0" quotePrefix="0" xfId="0">
      <alignment horizontal="center" vertical="center"/>
    </xf>
    <xf numFmtId="0" fontId="31" fillId="0" borderId="0" pivotButton="0" quotePrefix="0" xfId="0"/>
    <xf numFmtId="164" fontId="22" fillId="0" borderId="0" applyAlignment="1" pivotButton="0" quotePrefix="0" xfId="0">
      <alignment horizontal="left" vertical="center"/>
    </xf>
    <xf numFmtId="0" fontId="22" fillId="0" borderId="0" pivotButton="0" quotePrefix="0" xfId="0"/>
    <xf numFmtId="3" fontId="33" fillId="14" borderId="2" applyAlignment="1" pivotButton="0" quotePrefix="0" xfId="0">
      <alignment horizontal="center" vertical="center"/>
    </xf>
    <xf numFmtId="0" fontId="33" fillId="14" borderId="2" applyAlignment="1" pivotButton="0" quotePrefix="0" xfId="0">
      <alignment horizontal="center" vertical="center"/>
    </xf>
    <xf numFmtId="0" fontId="21" fillId="15" borderId="21" applyAlignment="1" pivotButton="0" quotePrefix="0" xfId="0">
      <alignment horizontal="left" vertical="center" indent="1"/>
    </xf>
    <xf numFmtId="0" fontId="21" fillId="15" borderId="21" applyAlignment="1" pivotButton="0" quotePrefix="0" xfId="0">
      <alignment horizontal="center" vertical="center"/>
    </xf>
    <xf numFmtId="3" fontId="34" fillId="8" borderId="2" applyAlignment="1" pivotButton="0" quotePrefix="0" xfId="0">
      <alignment horizontal="center" vertical="center"/>
    </xf>
    <xf numFmtId="0" fontId="34" fillId="8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indent="1"/>
    </xf>
    <xf numFmtId="167" fontId="18" fillId="8" borderId="2" applyAlignment="1" pivotButton="0" quotePrefix="0" xfId="0">
      <alignment horizontal="right" vertical="center"/>
    </xf>
    <xf numFmtId="167" fontId="35" fillId="8" borderId="2" applyAlignment="1" pivotButton="0" quotePrefix="0" xfId="0">
      <alignment horizontal="right" vertical="center"/>
    </xf>
    <xf numFmtId="0" fontId="36" fillId="8" borderId="2" applyAlignment="1" pivotButton="0" quotePrefix="0" xfId="0">
      <alignment horizontal="center" vertical="center"/>
    </xf>
    <xf numFmtId="0" fontId="37" fillId="12" borderId="2" applyAlignment="1" pivotButton="0" quotePrefix="0" xfId="0">
      <alignment horizontal="center" vertical="center"/>
    </xf>
    <xf numFmtId="0" fontId="0" fillId="8" borderId="2" pivotButton="0" quotePrefix="0" xfId="0"/>
    <xf numFmtId="3" fontId="34" fillId="14" borderId="2" applyAlignment="1" pivotButton="0" quotePrefix="0" xfId="0">
      <alignment horizontal="center" vertical="center"/>
    </xf>
    <xf numFmtId="0" fontId="34" fillId="14" borderId="2" applyAlignment="1" pivotButton="0" quotePrefix="0" xfId="0">
      <alignment horizontal="center" vertical="center"/>
    </xf>
    <xf numFmtId="0" fontId="18" fillId="14" borderId="2" applyAlignment="1" pivotButton="0" quotePrefix="0" xfId="0">
      <alignment vertical="center" indent="1"/>
    </xf>
    <xf numFmtId="167" fontId="18" fillId="14" borderId="2" applyAlignment="1" pivotButton="0" quotePrefix="0" xfId="0">
      <alignment horizontal="right" vertical="center"/>
    </xf>
    <xf numFmtId="167" fontId="35" fillId="14" borderId="2" applyAlignment="1" pivotButton="0" quotePrefix="0" xfId="0">
      <alignment horizontal="right" vertical="center"/>
    </xf>
    <xf numFmtId="0" fontId="36" fillId="14" borderId="2" applyAlignment="1" pivotButton="0" quotePrefix="0" xfId="0">
      <alignment horizontal="center" vertical="center"/>
    </xf>
    <xf numFmtId="0" fontId="38" fillId="10" borderId="2" applyAlignment="1" pivotButton="0" quotePrefix="0" xfId="0">
      <alignment horizontal="center" vertical="center"/>
    </xf>
    <xf numFmtId="0" fontId="0" fillId="14" borderId="2" pivotButton="0" quotePrefix="0" xfId="0"/>
    <xf numFmtId="0" fontId="39" fillId="16" borderId="2" applyAlignment="1" pivotButton="0" quotePrefix="0" xfId="0">
      <alignment horizontal="center" vertical="center"/>
    </xf>
    <xf numFmtId="164" fontId="34" fillId="14" borderId="2" applyAlignment="1" pivotButton="0" quotePrefix="0" xfId="0">
      <alignment horizontal="center" vertical="center"/>
    </xf>
    <xf numFmtId="0" fontId="40" fillId="17" borderId="2" applyAlignment="1" pivotButton="0" quotePrefix="0" xfId="0">
      <alignment horizontal="center" vertical="center"/>
    </xf>
    <xf numFmtId="164" fontId="34" fillId="8" borderId="2" applyAlignment="1" pivotButton="0" quotePrefix="0" xfId="0">
      <alignment horizontal="center" vertical="center"/>
    </xf>
    <xf numFmtId="0" fontId="41" fillId="15" borderId="22" applyAlignment="1" pivotButton="0" quotePrefix="0" xfId="0">
      <alignment vertical="center" indent="1"/>
    </xf>
    <xf numFmtId="167" fontId="42" fillId="15" borderId="22" applyAlignment="1" pivotButton="0" quotePrefix="0" xfId="0">
      <alignment horizontal="right" vertical="center"/>
    </xf>
    <xf numFmtId="167" fontId="43" fillId="15" borderId="22" applyAlignment="1" pivotButton="0" quotePrefix="0" xfId="0">
      <alignment horizontal="right" vertical="center"/>
    </xf>
    <xf numFmtId="0" fontId="0" fillId="15" borderId="22" pivotButton="0" quotePrefix="0" xfId="0"/>
    <xf numFmtId="0" fontId="44" fillId="15" borderId="22" applyAlignment="1" pivotButton="0" quotePrefix="0" xfId="0">
      <alignment horizontal="center" vertical="center"/>
    </xf>
    <xf numFmtId="0" fontId="45" fillId="8" borderId="23" applyAlignment="1" pivotButton="0" quotePrefix="0" xfId="0">
      <alignment vertical="center" indent="1"/>
    </xf>
    <xf numFmtId="0" fontId="6" fillId="8" borderId="4" applyAlignment="1" pivotButton="0" quotePrefix="0" xfId="0">
      <alignment horizontal="left" vertical="center"/>
    </xf>
    <xf numFmtId="0" fontId="6" fillId="8" borderId="5" applyAlignment="1" pivotButton="0" quotePrefix="0" xfId="0">
      <alignment horizontal="left" vertical="center"/>
    </xf>
    <xf numFmtId="0" fontId="0" fillId="8" borderId="5" pivotButton="0" quotePrefix="0" xfId="0"/>
    <xf numFmtId="0" fontId="51" fillId="19" borderId="26" applyAlignment="1" pivotButton="0" quotePrefix="0" xfId="0">
      <alignment vertical="center" indent="1"/>
    </xf>
    <xf numFmtId="0" fontId="0" fillId="19" borderId="27" pivotButton="0" quotePrefix="0" xfId="0"/>
    <xf numFmtId="0" fontId="0" fillId="19" borderId="28" pivotButton="0" quotePrefix="0" xfId="0"/>
    <xf numFmtId="164" fontId="46" fillId="8" borderId="24" applyAlignment="1" pivotButton="0" quotePrefix="0" xfId="0">
      <alignment vertical="center" indent="1"/>
    </xf>
    <xf numFmtId="0" fontId="6" fillId="8" borderId="7" applyAlignment="1" pivotButton="0" quotePrefix="0" xfId="0">
      <alignment horizontal="left" vertical="center"/>
    </xf>
    <xf numFmtId="164" fontId="6" fillId="8" borderId="8" applyAlignment="1" pivotButton="0" quotePrefix="0" xfId="0">
      <alignment horizontal="left" vertical="center"/>
    </xf>
    <xf numFmtId="0" fontId="36" fillId="8" borderId="24" pivotButton="0" quotePrefix="0" xfId="0"/>
    <xf numFmtId="164" fontId="6" fillId="8" borderId="7" applyAlignment="1" pivotButton="0" quotePrefix="0" xfId="0">
      <alignment horizontal="left" vertical="center"/>
    </xf>
    <xf numFmtId="0" fontId="46" fillId="8" borderId="8" pivotButton="0" quotePrefix="0" xfId="0"/>
    <xf numFmtId="3" fontId="10" fillId="19" borderId="29" applyAlignment="1" pivotButton="0" quotePrefix="0" xfId="0">
      <alignment vertical="center" indent="1"/>
    </xf>
    <xf numFmtId="0" fontId="0" fillId="19" borderId="7" pivotButton="0" quotePrefix="0" xfId="0"/>
    <xf numFmtId="0" fontId="0" fillId="19" borderId="30" pivotButton="0" quotePrefix="0" xfId="0"/>
    <xf numFmtId="164" fontId="47" fillId="8" borderId="24" applyAlignment="1" pivotButton="0" quotePrefix="0" xfId="0">
      <alignment vertical="center" indent="1"/>
    </xf>
    <xf numFmtId="3" fontId="52" fillId="19" borderId="29" applyAlignment="1" pivotButton="0" quotePrefix="0" xfId="0">
      <alignment vertical="center" indent="1"/>
    </xf>
    <xf numFmtId="164" fontId="48" fillId="8" borderId="24" applyAlignment="1" pivotButton="0" quotePrefix="0" xfId="0">
      <alignment vertical="center" indent="1"/>
    </xf>
    <xf numFmtId="0" fontId="6" fillId="12" borderId="2" applyAlignment="1" pivotButton="0" quotePrefix="0" xfId="0">
      <alignment horizontal="left" vertical="center"/>
    </xf>
    <xf numFmtId="164" fontId="6" fillId="12" borderId="2" applyAlignment="1" pivotButton="0" quotePrefix="0" xfId="0">
      <alignment horizontal="left" vertical="center"/>
    </xf>
    <xf numFmtId="0" fontId="0" fillId="12" borderId="2" pivotButton="0" quotePrefix="0" xfId="0"/>
    <xf numFmtId="3" fontId="6" fillId="19" borderId="29" applyAlignment="1" pivotButton="0" quotePrefix="0" xfId="0">
      <alignment horizontal="left" vertical="center"/>
    </xf>
    <xf numFmtId="3" fontId="49" fillId="8" borderId="24" applyAlignment="1" pivotButton="0" quotePrefix="0" xfId="0">
      <alignment vertical="center" indent="1"/>
    </xf>
    <xf numFmtId="0" fontId="50" fillId="18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left" vertical="center"/>
    </xf>
    <xf numFmtId="164" fontId="6" fillId="18" borderId="2" applyAlignment="1" pivotButton="0" quotePrefix="0" xfId="0">
      <alignment horizontal="left" vertical="center"/>
    </xf>
    <xf numFmtId="0" fontId="0" fillId="18" borderId="2" pivotButton="0" quotePrefix="0" xfId="0"/>
    <xf numFmtId="3" fontId="53" fillId="8" borderId="2" applyAlignment="1" pivotButton="0" quotePrefix="0" xfId="0">
      <alignment horizontal="center" vertical="center"/>
    </xf>
    <xf numFmtId="0" fontId="0" fillId="8" borderId="25" pivotButton="0" quotePrefix="0" xfId="0"/>
    <xf numFmtId="0" fontId="6" fillId="8" borderId="10" applyAlignment="1" pivotButton="0" quotePrefix="0" xfId="0">
      <alignment horizontal="left" vertical="center"/>
    </xf>
    <xf numFmtId="164" fontId="6" fillId="8" borderId="10" applyAlignment="1" pivotButton="0" quotePrefix="0" xfId="0">
      <alignment horizontal="left" vertical="center"/>
    </xf>
    <xf numFmtId="0" fontId="0" fillId="19" borderId="31" pivotButton="0" quotePrefix="0" xfId="0"/>
    <xf numFmtId="0" fontId="0" fillId="19" borderId="32" pivotButton="0" quotePrefix="0" xfId="0"/>
    <xf numFmtId="0" fontId="0" fillId="19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Cpk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'DONEM_ANALIZ'!$D$6:$D$17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Ölçüm Adedi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Yetenek Bileşenleri</a:t>
            </a:r>
          </a:p>
        </rich>
      </tx>
    </title>
    <plotArea>
      <pieChart>
        <varyColors val="1"/>
        <ser>
          <idx val="0"/>
          <order val="0"/>
          <tx>
            <strRef>
              <f>'PANO'!B22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'PANO'!$A$23:$A$26</f>
            </numRef>
          </cat>
          <val>
            <numRef>
              <f>'PANO'!$B$23:$B$26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Cpk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'PANO'!$D$23:$D$25</f>
            </numRef>
          </cat>
          <val>
            <numRef>
              <f>'PANO'!$E$23:$E$25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Haftalık Cpk Trend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'PANO'!$G$23:$G$30</f>
            </numRef>
          </cat>
          <val>
            <numRef>
              <f>'PANO'!$H$23:$H$30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Vardiya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'PANO'!$J$23:$J$26</f>
            </numRef>
          </cat>
          <val>
            <numRef>
              <f>'PANO'!$K$23:$K$26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Bileşen Payı</a:t>
            </a:r>
          </a:p>
        </rich>
      </tx>
    </title>
    <plotArea>
      <pieChart>
        <varyColors val="1"/>
        <ser>
          <idx val="0"/>
          <order val="0"/>
          <tx>
            <strRef>
              <f>'PANO'!B22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'PANO'!$A$23:$A$25</f>
            </numRef>
          </cat>
          <val>
            <numRef>
              <f>'PANO'!$B$23:$B$25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vs Baz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'PANO'!$D$23:$D$25</f>
            </numRef>
          </cat>
          <val>
            <numRef>
              <f>'PANO'!$E$23:$E$25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Cpk Trend (kısa)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'PANO'!$G$23:$G$28</f>
            </numRef>
          </cat>
          <val>
            <numRef>
              <f>'PANO'!$H$23:$H$28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Vardiya Adet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'PANO'!K22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'PANO'!$J$23:$J$26</f>
            </numRef>
          </cat>
          <val>
            <numRef>
              <f>'PANO'!$K$23:$K$26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 / Endeks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PRS-00009 | Risk: Elle çakışma</t>
      </text>
    </comment>
    <comment ref="A6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6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6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6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6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6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6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6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6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7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7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7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7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7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7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7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7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8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8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8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8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8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8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8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8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9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9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9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9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9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9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9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9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10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10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10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10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10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10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10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10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11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11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11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11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11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11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11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11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12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12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12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12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12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12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12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12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13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13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13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13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13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13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13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13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5" authorId="0" shapeId="0">
      <text>
        <t>Tanım: Aktif | Neden önemli: Cp/Cpk ve sağlık skorunu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6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6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6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6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6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6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7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7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7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7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7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7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7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8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8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8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8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8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8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8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9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9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9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9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9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9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9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0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0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0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0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0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0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0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1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1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1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1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1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1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1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2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2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2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2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2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2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2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3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3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3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3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3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3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3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4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4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4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4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4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4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4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5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5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5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5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5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5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5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6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6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6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6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6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6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6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7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7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7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7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7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7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7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8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8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8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8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8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8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8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9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9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9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9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9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9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9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0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0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0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0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0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0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0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1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1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1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1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1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1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1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2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2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2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2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2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2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2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3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3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3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3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3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3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3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4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4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4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4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4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4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4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5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5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5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5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5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5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5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6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6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6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6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6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6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6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7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7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7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7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7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7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7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8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8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8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8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8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8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8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9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9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9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9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9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9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9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0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0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0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0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0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0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0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1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1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1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1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1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1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1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2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2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2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2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2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2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2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3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3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3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3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3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3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3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4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4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4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4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4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4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4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5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5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5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5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5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5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5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6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6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6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6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6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6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6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7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7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7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7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7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7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7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8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8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8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8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8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8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8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9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9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9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9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9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9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9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40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40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40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40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40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40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40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41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41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41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41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41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41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41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4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5" authorId="0" shapeId="0">
      <text>
        <t>Tanım: Vardiya | Neden önemli: Cp/Cpk ve sağlık skorunu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5" authorId="0" shapeId="0">
      <text>
        <t>Tanım: Karar kapısı | Neden önemli: Boş dosyada VERİ YOK | Doğru kullanım: Otomatik | Örnek: UYGUN | Risk: Elle müdahale yok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Cp/Cpk ve sağlık skorunu etkiler | Doğru kullanım: EVET/HAYIR | Örnek: hücredeki örnek değere bakın | Risk: Yanlış giriş hatalı karar üretir</t>
      </text>
    </comment>
    <comment ref="C7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7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A8" authorId="0" shapeId="0">
      <text>
        <t>Tanım: Seçim | Neden önemli: Cp/Cpk ve sağlık skorunu etkiler | Doğru kullanım: EVET/HAYIR | Örnek: hücredeki örnek değere bakın | Risk: Yanlış giriş hatalı karar üretir</t>
      </text>
    </comment>
    <comment ref="C8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8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C9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9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C10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10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C11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11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C12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12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E13" authorId="0" shapeId="0">
      <text>
        <t>Tanım: Tip | Neden önemli: Cp/Cpk ve sağlık skorunu etkiler | Doğru kullanım: Proses tipi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Cp/Cpk ve sağlık skorunu etkiler | Doğru kullanım: Rapor tarihi (TODAY yok) | Örnek: hücredeki örnek değere bakın | Risk: Yanlış giriş hatalı karar üretir</t>
      </text>
    </comment>
    <comment ref="B7" authorId="0" shapeId="0">
      <text>
        <t>Tanım: spy_d2 | Neden önemli: Cp/Cpk ve sağlık skorunu etkiler | Doğru kullanım: R̄/d2 → σ tahmini | Örnek: hücredeki örnek değere bakın | Risk: Yanlış giriş hatalı karar üretir</t>
      </text>
    </comment>
    <comment ref="B8" authorId="0" shapeId="0">
      <text>
        <t>Tanım: spy_A2 | Neden önemli: Cp/Cpk ve sağlık skorunu etkiler | Doğru kullanım: X̄ kontrol limiti çarpanı | Örnek: hücredeki örnek değere bakın | Risk: Yanlış giriş hatalı karar üretir</t>
      </text>
    </comment>
    <comment ref="B9" authorId="0" shapeId="0">
      <text>
        <t>Tanım: spy_ucSigma | Neden önemli: Cp/Cpk ve sağlık skorunu etkiler | Doğru kullanım: Cpk paydası 3σ | Örnek: hücredeki örnek değere bakın | Risk: Yanlış giriş hatalı karar üretir</t>
      </text>
    </comment>
    <comment ref="B10" authorId="0" shapeId="0">
      <text>
        <t>Tanım: spy_altiSigma | Neden önemli: Cp/Cpk ve sağlık skorunu etkiler | Doğru kullanım: Cp paydası 6σ | Örnek: hücredeki örnek değere bakın | Risk: Yanlış giriş hatalı karar üretir</t>
      </text>
    </comment>
    <comment ref="B11" authorId="0" shapeId="0">
      <text>
        <t>Tanım: spy_esikCpk | Neden önemli: Cp/Cpk ve sağlık skorunu etkiler | Doğru kullanım: Cpk alarm eşiği (IATF tipik) | Örnek: hücredeki örnek değere bakın | Risk: Yanlış giriş hatalı karar üretir</t>
      </text>
    </comment>
    <comment ref="B12" authorId="0" shapeId="0">
      <text>
        <t>Tanım: spy_esikCp | Neden önemli: Cp/Cpk ve sağlık skorunu etkiler | Doğru kullanım: Cp alarm eşiği | Örnek: hücredeki örnek değere bakın | Risk: Yanlış giriş hatalı karar üretir</t>
      </text>
    </comment>
    <comment ref="B13" authorId="0" shapeId="0">
      <text>
        <t>Tanım: spy_esikSaglik | Neden önemli: Cp/Cpk ve sağlık skorunu etkiler | Doğru kullanım: Sağlık skor alt eşiği | Örnek: hücredeki örnek değere bakın | Risk: Yanlış giriş hatalı karar üretir</t>
      </text>
    </comment>
    <comment ref="B14" authorId="0" shapeId="0">
      <text>
        <t>Tanım: spy_aylikCarpan | Neden önemli: Cp/Cpk ve sağlık skorunu etkiler | Doğru kullanım: Aylık Cpk çarpan | Örnek: hücredeki örnek değere bakın | Risk: Yanlış giriş hatalı karar üretir</t>
      </text>
    </comment>
    <comment ref="B15" authorId="0" shapeId="0">
      <text>
        <t>Tanım: spy_senaryoTemkinli | Neden önemli: Cp/Cpk ve sağlık skorunu etkiler | Doğru kullanım: Temkinli çarpan | Örnek: hücredeki örnek değere bakın | Risk: Yanlış giriş hatalı karar üretir</t>
      </text>
    </comment>
    <comment ref="B16" authorId="0" shapeId="0">
      <text>
        <t>Tanım: spy_senaryoBaz | Neden önemli: Cp/Cpk ve sağlık skorunu etkiler | Doğru kullanım: Baz çarpan | Örnek: hücredeki örnek değere bakın | Risk: Yanlış giriş hatalı karar üretir</t>
      </text>
    </comment>
    <comment ref="B17" authorId="0" shapeId="0">
      <text>
        <t>Tanım: spy_senaryoIyimser | Neden önemli: Cp/Cpk ve sağlık skorunu etkiler | Doğru kullanım: İyimser çarpan | Örnek: hücredeki örnek değere bakın | Risk: Yanlış giriş hatalı karar üretir</t>
      </text>
    </comment>
    <comment ref="B18" authorId="0" shapeId="0">
      <text>
        <t>Tanım: spy_tornadoOran | Neden önemli: Cp/Cpk ve sağlık skorunu etkiler | Doğru kullanım: Tornado etki oranı | Örnek: hücredeki örnek değere bakın | Risk: Yanlış giriş hatalı karar üretir</t>
      </text>
    </comment>
    <comment ref="B19" authorId="0" shapeId="0">
      <text>
        <t>Tanım: spy_yuzdelikOran | Neden önemli: Cp/Cpk ve sağlık skorunu etkiler | Doğru kullanım: P90 çarpan proxy | Örnek: hücredeki örnek değere bakın | Risk: Yanlış giriş hatalı karar üretir</t>
      </text>
    </comment>
    <comment ref="B20" authorId="0" shapeId="0">
      <text>
        <t>Tanım: spy_percentileOran | Neden önemli: Cp/Cpk ve sağlık skorunu etkiler | Doğru kullanım: Yüzdelik dilim | Örnek: hücredeki örnek değere bakın | Risk: Yanlış giriş hatalı karar üretir</t>
      </text>
    </comment>
    <comment ref="B21" authorId="0" shapeId="0">
      <text>
        <t>Tanım: spy_tahminCarpan | Neden önemli: Cp/Cpk ve sağlık skorunu etkiler | Doğru kullanım: Tahmin aralık çarpan | Örnek: hücredeki örnek değere bakın | Risk: Yanlış giriş hatalı karar üretir</t>
      </text>
    </comment>
    <comment ref="B22" authorId="0" shapeId="0">
      <text>
        <t>Tanım: spy_olcekHedef | Neden önemli: Cp/Cpk ve sağlık skorunu etkiler | Doğru kullanım: Ölçek sözleşmesi | Örnek: hücredeki örnek değere bakın | Risk: Yanlış giriş hatalı karar üretir</t>
      </text>
    </comment>
    <comment ref="B23" authorId="0" shapeId="0">
      <text>
        <t>Tanım: spy_kaliteTaban | Neden önemli: Cp/Cpk ve sağlık skorunu etkiler | Doğru kullanım: Taban puan | Örnek: hücredeki örnek değere bakın | Risk: Yanlış giriş hatalı karar üretir</t>
      </text>
    </comment>
    <comment ref="B24" authorId="0" shapeId="0">
      <text>
        <t>Tanım: spy_kaliteCeza | Neden önemli: Cp/Cpk ve sağlık skorunu etkiler | Doğru kullanım: Eşik aşım cezası | Örnek: hücredeki örnek değere bakın | Risk: Yanlış giriş hatalı karar üretir</t>
      </text>
    </comment>
    <comment ref="B25" authorId="0" shapeId="0">
      <text>
        <t>Tanım: spy_kaliteSapma | Neden önemli: Cp/Cpk ve sağlık skorunu etkiler | Doğru kullanım: Sapma / alarm cezası | Örnek: hücredeki örnek değere bakın | Risk: Yanlış giriş hatalı karar üretir</t>
      </text>
    </comment>
    <comment ref="B26" authorId="0" shapeId="0">
      <text>
        <t>Tanım: spy_dosyaSurumu | Neden önemli: Cp/Cpk ve sağlık skorunu etkiler | Doğru kullanım: Ürün sürümü | Örnek: hücredeki örnek değere bakın | Risk: Yanlış giriş hatalı karar üretir</t>
      </text>
    </comment>
    <comment ref="B27" authorId="0" shapeId="0">
      <text>
        <t>Tanım: spy_firmaUnvan | Neden önemli: Cp/Cpk ve sağlık skorunu etkiler | Doğru kullanım: Firma unvanı | Örnek: hücredeki örnek değere bakın | Risk: Yanlış giriş hatalı karar üretir</t>
      </text>
    </comment>
    <comment ref="B28" authorId="0" shapeId="0">
      <text>
        <t>Tanım: spy_alarmEsikMetin | Neden önemli: Cp/Cpk ve sağlık skorunu etkiler | Doğru kullanım: Alarm eşiği tanımı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46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61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61</row>
      <rowOff>0</rowOff>
    </from>
    <ext cx="36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76</row>
      <rowOff>0</rowOff>
    </from>
    <ext cx="432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76</row>
      <rowOff>0</rowOff>
    </from>
    <ext cx="360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sesler" displayName="tblProsesler" ref="A5:L255" headerRowCount="1">
  <tableColumns count="12">
    <tableColumn id="1" name="VarlikId"/>
    <tableColumn id="2" name="ProsesAd"/>
    <tableColumn id="3" name="Tip"/>
    <tableColumn id="4" name="Birim"/>
    <tableColumn id="5" name="LSL_birim"/>
    <tableColumn id="6" name="USL_birim"/>
    <tableColumn id="7" name="Hedef_birim"/>
    <tableColumn id="8" name="AltgrupN_adet"/>
    <tableColumn id="9" name="Aktif"/>
    <tableColumn id="10" name="OlcumAdet">
      <calculatedColumnFormula>IF(tblProsesler[[#This Row],[VarlikId]]="","",COUNTIF(tblOlcum[VarlikId],tblProsesler[[#This Row],[VarlikId]]))</calculatedColumnFormula>
    </tableColumn>
    <tableColumn id="11" name="OrtCpk">
      <calculatedColumnFormula>IF(tblProsesler[[#This Row],[VarlikId]]="","",IFERROR(AVERAGEIF(tblOlcum[VarlikId],tblProsesler[[#This Row],[VarlikId]],tblOlcum[FormulCpk]),0))</calculatedColumnFormula>
    </tableColumn>
    <tableColumn id="12" name="SaglikSkor">
      <calculatedColumnFormula>IF(tblProsesler[[#This Row],[VarlikId]]="","",MAX(0,MIN(100,spy_kaliteTaban-IF(tblProsesler[[#This Row],[OrtCpk]]&lt;spy_esikCpk,spy_kaliteCeza,0)-COUNTIFS(tblOlcum[VarlikId],tblProsesler[[#This Row],[VarlikId]],tblOlcum[AlarmBayrak],"ALARM")*spy_kaliteSapma-IF(tblProsesler[[#This Row],[Aktif]]="HAYIR",spy_kaliteCeza,0))))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Olcum" displayName="tblOlcum" ref="A5:P255" headerRowCount="1">
  <tableColumns count="16">
    <tableColumn id="1" name="SatirId"/>
    <tableColumn id="2" name="VarlikId"/>
    <tableColumn id="3" name="Tarih"/>
    <tableColumn id="4" name="Xbar_birim"/>
    <tableColumn id="5" name="R_birim"/>
    <tableColumn id="6" name="AltgrupN_adet"/>
    <tableColumn id="7" name="Vardiya"/>
    <tableColumn id="8" name="FormulSigma">
      <calculatedColumnFormula>IF(OR(tblOlcum[[#This Row],[SatirId]]="",tblOlcum[[#This Row],[R_birim]]=0),"",tblOlcum[[#This Row],[R_birim]]/spy_d2)</calculatedColumnFormula>
    </tableColumn>
    <tableColumn id="9" name="FormulCp">
      <calculatedColumnFormula>IF(OR(tblOlcum[[#This Row],[SatirId]]="",tblOlcum[[#This Row],[FormulSigma]]=0),"",IFERROR((SUMIF(tblProsesler[VarlikId],tblOlcum[[#This Row],[VarlikId]],tblProsesler[USL_birim])-SUMIF(tblProsesler[VarlikId],tblOlcum[[#This Row],[VarlikId]],tblProsesler[LSL_birim]))/(spy_altiSigma*tblOlcum[[#This Row],[FormulSigma]]),0))</calculatedColumnFormula>
    </tableColumn>
    <tableColumn id="10" name="FormulCpk">
      <calculatedColumnFormula>IF(OR(tblOlcum[[#This Row],[SatirId]]="",tblOlcum[[#This Row],[FormulSigma]]=0),"",IFERROR(MIN((SUMIF(tblProsesler[VarlikId],tblOlcum[[#This Row],[VarlikId]],tblProsesler[USL_birim])-tblOlcum[[#This Row],[Xbar_birim]])/(spy_ucSigma*tblOlcum[[#This Row],[FormulSigma]]),(tblOlcum[[#This Row],[Xbar_birim]]-SUMIF(tblProsesler[VarlikId],tblOlcum[[#This Row],[VarlikId]],tblProsesler[LSL_birim]))/(spy_ucSigma*tblOlcum[[#This Row],[FormulSigma]])),0))</calculatedColumnFormula>
    </tableColumn>
    <tableColumn id="11" name="FormulUclX">
      <calculatedColumnFormula>IF(tblOlcum[[#This Row],[SatirId]]="","",IFERROR(AVERAGEIF(tblOlcum[VarlikId],tblOlcum[[#This Row],[VarlikId]],tblOlcum[Xbar_birim])+spy_A2*tblOlcum[[#This Row],[R_birim]],0))</calculatedColumnFormula>
    </tableColumn>
    <tableColumn id="12" name="FormulLclX">
      <calculatedColumnFormula>IF(tblOlcum[[#This Row],[SatirId]]="","",IFERROR(AVERAGEIF(tblOlcum[VarlikId],tblOlcum[[#This Row],[VarlikId]],tblOlcum[Xbar_birim])-spy_A2*tblOlcum[[#This Row],[R_birim]],0))</calculatedColumnFormula>
    </tableColumn>
    <tableColumn id="13" name="SaglikSkorSatir">
      <calculatedColumnFormula>IF(tblOlcum[[#This Row],[SatirId]]="","",MAX(0,MIN(100,spy_kaliteTaban-IF(tblOlcum[[#This Row],[FormulCpk]]&lt;spy_esikCpk,spy_kaliteCeza,0)-IF(OR(tblOlcum[[#This Row],[Xbar_birim]]&gt;tblOlcum[[#This Row],[FormulUclX]],tblOlcum[[#This Row],[Xbar_birim]]&lt;tblOlcum[[#This Row],[FormulLclX]]),spy_kaliteSapma,0)-IF(tblOlcum[[#This Row],[FormulYetim]]="YETIM",spy_kaliteCeza,0))))</calculatedColumnFormula>
    </tableColumn>
    <tableColumn id="14" name="AlarmBayrak">
      <calculatedColumnFormula>IF(tblOlcum[[#This Row],[SatirId]]="","",IF(OR(tblOlcum[[#This Row],[FormulCpk]]&lt;spy_esikCpk,tblOlcum[[#This Row],[Xbar_birim]]&gt;tblOlcum[[#This Row],[FormulUclX]],tblOlcum[[#This Row],[Xbar_birim]]&lt;tblOlcum[[#This Row],[FormulLclX]],tblOlcum[[#This Row],[SaglikSkorSatir]]&lt;spy_esikSaglik),"ALARM","UYGUN"))</calculatedColumnFormula>
    </tableColumn>
    <tableColumn id="15" name="FormulKayitDolu">
      <calculatedColumnFormula>IF(tblOlcum[[#This Row],[SatirId]]="","",1)</calculatedColumnFormula>
    </tableColumn>
    <tableColumn id="16" name="FormulYetim">
      <calculatedColumnFormula>IF(tblOlcum[[#This Row],[SatirId]]="","",IF(OR(tblOlcum[[#This Row],[VarlikId]]="",COUNTIF(tblProsesler[VarlikId],tblOlcum[[#This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0F2742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KAPAK — SPC Proses Yetenek Analizi</t>
        </is>
      </c>
    </row>
    <row r="3" ht="22" customHeight="1">
      <c r="A3" s="35" t="inlineStr">
        <is>
          <t>SPC Proses Yetenek Analizi</t>
        </is>
      </c>
    </row>
    <row r="4">
      <c r="A4" s="4" t="inlineStr">
        <is>
          <t>Proses yetenek (Cp/Cpk), X̄-R kontrol kartı ve Western Electric alarmlarını tek dosyada üretir; saha günlük girişi ≤6 alan; varlık sağlık skoru ve alarm kuyruğu; UYGUN / DİKKAT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Cp ve Cpk: USL/LSL ve σ (R̄/d2) zinciriyle canlı hesap</t>
        </is>
      </c>
    </row>
    <row r="8">
      <c r="A8" s="6" t="inlineStr">
        <is>
          <t>• Günlük X̄-R girişi en fazla 6 alan — 30 saniye hedefi</t>
        </is>
      </c>
    </row>
    <row r="9">
      <c r="A9" s="6" t="inlineStr">
        <is>
          <t>• Varlık sağlık skoru formülle veriden türer (sabit skor yok)</t>
        </is>
      </c>
    </row>
    <row r="10">
      <c r="A10" s="6" t="inlineStr">
        <is>
          <t>• 12 aylık sezonsal yetenek zinciri ve kontrol limiti alarm kuyruğu</t>
        </is>
      </c>
    </row>
    <row r="11">
      <c r="A11" s="6" t="inlineStr">
        <is>
          <t>• Makrosuz, çevrimdışı; dış istatistik API bağı yok</t>
        </is>
      </c>
    </row>
    <row r="13">
      <c r="A13" s="5" t="inlineStr">
        <is>
          <t>Kimler için?</t>
        </is>
      </c>
    </row>
    <row r="14">
      <c r="A14" s="7" t="inlineStr">
        <is>
          <t>• Saha / ölçüm operatörü — günlük X̄-R satırı</t>
        </is>
      </c>
    </row>
    <row r="15">
      <c r="A15" s="7" t="inlineStr">
        <is>
          <t>• Kalite müdürü / süreç mühendisi — Cp/Cpk ve karar panosu</t>
        </is>
      </c>
    </row>
    <row r="16">
      <c r="A16" s="7" t="inlineStr">
        <is>
          <t>• IATF / müşteri denetçisi — dönemsel RAPOR kanıt çıktısı</t>
        </is>
      </c>
    </row>
    <row r="18">
      <c r="A18" s="5" t="inlineStr">
        <is>
          <t>Nasıl başlanır?</t>
        </is>
      </c>
    </row>
    <row r="19">
      <c r="A19" s="8" t="inlineStr">
        <is>
          <t>1) VARLIKLAR'a proses kartı girin. 2) GUNLUK_GIRIS'e X̄-R satırı yazın. 3) DONEM_ANALIZ ve PANO'dan kararı görün. 4) RAPOR'dan kanıt alın.</t>
        </is>
      </c>
    </row>
    <row r="21">
      <c r="A21" s="9" t="inlineStr">
        <is>
          <t>Sürüm 1.0.0 | Kod: SPY-PRO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742"/>
    <outlinePr summaryBelow="1" summaryRight="1"/>
    <pageSetUpPr/>
  </sheetPr>
  <dimension ref="A1:L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5.5" customWidth="1" min="7" max="7"/>
    <col width="17.5" customWidth="1" min="8" max="8"/>
    <col width="14" customWidth="1" min="9" max="9"/>
    <col width="14" customWidth="1" min="10" max="10"/>
    <col width="14" customWidth="1" min="11" max="11"/>
    <col width="14.5" customWidth="1" min="12" max="12"/>
    <col width="13" customWidth="1" min="13" max="13"/>
  </cols>
  <sheetData>
    <row r="1" ht="32" customHeight="1">
      <c r="A1" s="33" t="inlineStr">
        <is>
          <t>VARLIKLAR — SPC Proses Yetenek Analizi</t>
        </is>
      </c>
    </row>
    <row r="3" ht="22" customHeight="1">
      <c r="A3" s="36" t="inlineStr">
        <is>
          <t>Proses / özellik kartları — her varlığın tek kimliği vardır</t>
        </is>
      </c>
    </row>
    <row r="4">
      <c r="A4" s="12" t="inlineStr">
        <is>
          <t>Sonraki Kimlik</t>
        </is>
      </c>
      <c r="B4" s="13">
        <f>spy_sonrakiKimlik</f>
        <v/>
      </c>
    </row>
    <row r="5" ht="30" customHeight="1">
      <c r="A5" s="14" t="inlineStr">
        <is>
          <t>VarlikId</t>
        </is>
      </c>
      <c r="B5" s="14" t="inlineStr">
        <is>
          <t>ProsesAd</t>
        </is>
      </c>
      <c r="C5" s="14" t="inlineStr">
        <is>
          <t>Tip</t>
        </is>
      </c>
      <c r="D5" s="14" t="inlineStr">
        <is>
          <t>Birim</t>
        </is>
      </c>
      <c r="E5" s="14" t="inlineStr">
        <is>
          <t>LSL_birim</t>
        </is>
      </c>
      <c r="F5" s="14" t="inlineStr">
        <is>
          <t>USL_birim</t>
        </is>
      </c>
      <c r="G5" s="14" t="inlineStr">
        <is>
          <t>Hedef_birim</t>
        </is>
      </c>
      <c r="H5" s="14" t="inlineStr">
        <is>
          <t>AltgrupN_adet</t>
        </is>
      </c>
      <c r="I5" s="14" t="inlineStr">
        <is>
          <t>Aktif</t>
        </is>
      </c>
      <c r="J5" s="14" t="inlineStr">
        <is>
          <t>OlcumAdet</t>
        </is>
      </c>
      <c r="K5" s="14" t="inlineStr">
        <is>
          <t>OrtCpk</t>
        </is>
      </c>
      <c r="L5" s="14" t="inlineStr">
        <is>
          <t>SaglikSkor</t>
        </is>
      </c>
    </row>
    <row r="6">
      <c r="A6" s="15" t="inlineStr">
        <is>
          <t>PRS-00001</t>
        </is>
      </c>
      <c r="B6" s="15" t="inlineStr">
        <is>
          <t>Mil Cap Olcum</t>
        </is>
      </c>
      <c r="C6" s="15" t="inlineStr">
        <is>
          <t>Torna</t>
        </is>
      </c>
      <c r="D6" s="15" t="inlineStr">
        <is>
          <t>mm</t>
        </is>
      </c>
      <c r="E6" s="16" t="n">
        <v>9.9</v>
      </c>
      <c r="F6" s="16" t="n">
        <v>10.1</v>
      </c>
      <c r="G6" s="16" t="n">
        <v>10</v>
      </c>
      <c r="H6" s="17" t="n">
        <v>5</v>
      </c>
      <c r="I6" s="15" t="inlineStr">
        <is>
          <t>EVET</t>
        </is>
      </c>
      <c r="J6" s="18">
        <f>IF($A6="","",COUNTIF(tblOlcum[VarlikId],$A6))</f>
        <v/>
      </c>
      <c r="K6" s="18">
        <f>IF($A6="","",IFERROR(AVERAGEIF(tblOlcum[VarlikId],$A6,tblOlcum[FormulCpk]),0))</f>
        <v/>
      </c>
      <c r="L6" s="18">
        <f>IF($A6="","",MAX(0,MIN(100,spy_kaliteTaban-IF($K6&lt;spy_esikCpk,spy_kaliteCeza,0)-COUNTIFS(tblOlcum[VarlikId],$A6,tblOlcum[AlarmBayrak],"ALARM")*spy_kaliteSapma-IF($I6="HAYIR",spy_kaliteCeza,0))))</f>
        <v/>
      </c>
    </row>
    <row r="7">
      <c r="A7" s="15" t="inlineStr">
        <is>
          <t>PRS-00002</t>
        </is>
      </c>
      <c r="B7" s="15" t="inlineStr">
        <is>
          <t>Delik Cap</t>
        </is>
      </c>
      <c r="C7" s="15" t="inlineStr">
        <is>
          <t>Freze</t>
        </is>
      </c>
      <c r="D7" s="15" t="inlineStr">
        <is>
          <t>mm</t>
        </is>
      </c>
      <c r="E7" s="16" t="n">
        <v>5.95</v>
      </c>
      <c r="F7" s="16" t="n">
        <v>6.05</v>
      </c>
      <c r="G7" s="16" t="n">
        <v>6</v>
      </c>
      <c r="H7" s="17" t="n">
        <v>5</v>
      </c>
      <c r="I7" s="15" t="inlineStr">
        <is>
          <t>EVET</t>
        </is>
      </c>
      <c r="J7" s="18">
        <f>IF($A7="","",COUNTIF(tblOlcum[VarlikId],$A7))</f>
        <v/>
      </c>
      <c r="K7" s="18">
        <f>IF($A7="","",IFERROR(AVERAGEIF(tblOlcum[VarlikId],$A7,tblOlcum[FormulCpk]),0))</f>
        <v/>
      </c>
      <c r="L7" s="18">
        <f>IF($A7="","",MAX(0,MIN(100,spy_kaliteTaban-IF($K7&lt;spy_esikCpk,spy_kaliteCeza,0)-COUNTIFS(tblOlcum[VarlikId],$A7,tblOlcum[AlarmBayrak],"ALARM")*spy_kaliteSapma-IF($I7="HAYIR",spy_kaliteCeza,0))))</f>
        <v/>
      </c>
    </row>
    <row r="8">
      <c r="A8" s="15" t="inlineStr">
        <is>
          <t>PRS-00003</t>
        </is>
      </c>
      <c r="B8" s="15" t="inlineStr">
        <is>
          <t>Yuzey Puruzluluk</t>
        </is>
      </c>
      <c r="C8" s="15" t="inlineStr">
        <is>
          <t>Taslama</t>
        </is>
      </c>
      <c r="D8" s="15" t="inlineStr">
        <is>
          <t>um</t>
        </is>
      </c>
      <c r="E8" s="16" t="n">
        <v>0.4</v>
      </c>
      <c r="F8" s="16" t="n">
        <v>1.6</v>
      </c>
      <c r="G8" s="16" t="n">
        <v>0.8</v>
      </c>
      <c r="H8" s="17" t="n">
        <v>5</v>
      </c>
      <c r="I8" s="15" t="inlineStr">
        <is>
          <t>EVET</t>
        </is>
      </c>
      <c r="J8" s="18">
        <f>IF($A8="","",COUNTIF(tblOlcum[VarlikId],$A8))</f>
        <v/>
      </c>
      <c r="K8" s="18">
        <f>IF($A8="","",IFERROR(AVERAGEIF(tblOlcum[VarlikId],$A8,tblOlcum[FormulCpk]),0))</f>
        <v/>
      </c>
      <c r="L8" s="18">
        <f>IF($A8="","",MAX(0,MIN(100,spy_kaliteTaban-IF($K8&lt;spy_esikCpk,spy_kaliteCeza,0)-COUNTIFS(tblOlcum[VarlikId],$A8,tblOlcum[AlarmBayrak],"ALARM")*spy_kaliteSapma-IF($I8="HAYIR",spy_kaliteCeza,0))))</f>
        <v/>
      </c>
    </row>
    <row r="9">
      <c r="A9" s="15" t="inlineStr">
        <is>
          <t>PRS-00004</t>
        </is>
      </c>
      <c r="B9" s="15" t="inlineStr">
        <is>
          <t>Sac Kalinlik</t>
        </is>
      </c>
      <c r="C9" s="15" t="inlineStr">
        <is>
          <t>Pres</t>
        </is>
      </c>
      <c r="D9" s="15" t="inlineStr">
        <is>
          <t>mm</t>
        </is>
      </c>
      <c r="E9" s="16" t="n">
        <v>1.95</v>
      </c>
      <c r="F9" s="16" t="n">
        <v>2.05</v>
      </c>
      <c r="G9" s="16" t="n">
        <v>2</v>
      </c>
      <c r="H9" s="17" t="n">
        <v>5</v>
      </c>
      <c r="I9" s="15" t="inlineStr">
        <is>
          <t>EVET</t>
        </is>
      </c>
      <c r="J9" s="18">
        <f>IF($A9="","",COUNTIF(tblOlcum[VarlikId],$A9))</f>
        <v/>
      </c>
      <c r="K9" s="18">
        <f>IF($A9="","",IFERROR(AVERAGEIF(tblOlcum[VarlikId],$A9,tblOlcum[FormulCpk]),0))</f>
        <v/>
      </c>
      <c r="L9" s="18">
        <f>IF($A9="","",MAX(0,MIN(100,spy_kaliteTaban-IF($K9&lt;spy_esikCpk,spy_kaliteCeza,0)-COUNTIFS(tblOlcum[VarlikId],$A9,tblOlcum[AlarmBayrak],"ALARM")*spy_kaliteSapma-IF($I9="HAYIR",spy_kaliteCeza,0))))</f>
        <v/>
      </c>
    </row>
    <row r="10">
      <c r="A10" s="15" t="inlineStr">
        <is>
          <t>PRS-00005</t>
        </is>
      </c>
      <c r="B10" s="15" t="inlineStr">
        <is>
          <t>Kaynak Boyu</t>
        </is>
      </c>
      <c r="C10" s="15" t="inlineStr">
        <is>
          <t>Kaynak</t>
        </is>
      </c>
      <c r="D10" s="15" t="inlineStr">
        <is>
          <t>mm</t>
        </is>
      </c>
      <c r="E10" s="16" t="n">
        <v>19.5</v>
      </c>
      <c r="F10" s="16" t="n">
        <v>20.5</v>
      </c>
      <c r="G10" s="16" t="n">
        <v>20</v>
      </c>
      <c r="H10" s="17" t="n">
        <v>5</v>
      </c>
      <c r="I10" s="15" t="inlineStr">
        <is>
          <t>EVET</t>
        </is>
      </c>
      <c r="J10" s="18">
        <f>IF($A10="","",COUNTIF(tblOlcum[VarlikId],$A10))</f>
        <v/>
      </c>
      <c r="K10" s="18">
        <f>IF($A10="","",IFERROR(AVERAGEIF(tblOlcum[VarlikId],$A10,tblOlcum[FormulCpk]),0))</f>
        <v/>
      </c>
      <c r="L10" s="18">
        <f>IF($A10="","",MAX(0,MIN(100,spy_kaliteTaban-IF($K10&lt;spy_esikCpk,spy_kaliteCeza,0)-COUNTIFS(tblOlcum[VarlikId],$A10,tblOlcum[AlarmBayrak],"ALARM")*spy_kaliteSapma-IF($I10="HAYIR",spy_kaliteCeza,0))))</f>
        <v/>
      </c>
    </row>
    <row r="11">
      <c r="A11" s="15" t="inlineStr">
        <is>
          <t>PRS-00006</t>
        </is>
      </c>
      <c r="B11" s="15" t="inlineStr">
        <is>
          <t>Montaj Bosluk</t>
        </is>
      </c>
      <c r="C11" s="15" t="inlineStr">
        <is>
          <t>Montaj</t>
        </is>
      </c>
      <c r="D11" s="15" t="inlineStr">
        <is>
          <t>mm</t>
        </is>
      </c>
      <c r="E11" s="16" t="n">
        <v>0.05</v>
      </c>
      <c r="F11" s="16" t="n">
        <v>0.25</v>
      </c>
      <c r="G11" s="16" t="n">
        <v>0.15</v>
      </c>
      <c r="H11" s="17" t="n">
        <v>5</v>
      </c>
      <c r="I11" s="15" t="inlineStr">
        <is>
          <t>EVET</t>
        </is>
      </c>
      <c r="J11" s="18">
        <f>IF($A11="","",COUNTIF(tblOlcum[VarlikId],$A11))</f>
        <v/>
      </c>
      <c r="K11" s="18">
        <f>IF($A11="","",IFERROR(AVERAGEIF(tblOlcum[VarlikId],$A11,tblOlcum[FormulCpk]),0))</f>
        <v/>
      </c>
      <c r="L11" s="18">
        <f>IF($A11="","",MAX(0,MIN(100,spy_kaliteTaban-IF($K11&lt;spy_esikCpk,spy_kaliteCeza,0)-COUNTIFS(tblOlcum[VarlikId],$A11,tblOlcum[AlarmBayrak],"ALARM")*spy_kaliteSapma-IF($I11="HAYIR",spy_kaliteCeza,0))))</f>
        <v/>
      </c>
    </row>
    <row r="12">
      <c r="A12" s="15" t="inlineStr">
        <is>
          <t>PRS-00007</t>
        </is>
      </c>
      <c r="B12" s="15" t="inlineStr">
        <is>
          <t>Sicaklik Kontrol</t>
        </is>
      </c>
      <c r="C12" s="15" t="inlineStr">
        <is>
          <t>Firin</t>
        </is>
      </c>
      <c r="D12" s="15" t="inlineStr">
        <is>
          <t>C</t>
        </is>
      </c>
      <c r="E12" s="16" t="n">
        <v>175</v>
      </c>
      <c r="F12" s="16" t="n">
        <v>185</v>
      </c>
      <c r="G12" s="16" t="n">
        <v>180</v>
      </c>
      <c r="H12" s="17" t="n">
        <v>5</v>
      </c>
      <c r="I12" s="15" t="inlineStr">
        <is>
          <t>EVET</t>
        </is>
      </c>
      <c r="J12" s="18">
        <f>IF($A12="","",COUNTIF(tblOlcum[VarlikId],$A12))</f>
        <v/>
      </c>
      <c r="K12" s="18">
        <f>IF($A12="","",IFERROR(AVERAGEIF(tblOlcum[VarlikId],$A12,tblOlcum[FormulCpk]),0))</f>
        <v/>
      </c>
      <c r="L12" s="18">
        <f>IF($A12="","",MAX(0,MIN(100,spy_kaliteTaban-IF($K12&lt;spy_esikCpk,spy_kaliteCeza,0)-COUNTIFS(tblOlcum[VarlikId],$A12,tblOlcum[AlarmBayrak],"ALARM")*spy_kaliteSapma-IF($I12="HAYIR",spy_kaliteCeza,0))))</f>
        <v/>
      </c>
    </row>
    <row r="13">
      <c r="A13" s="15" t="inlineStr">
        <is>
          <t>PRS-00008</t>
        </is>
      </c>
      <c r="B13" s="15" t="inlineStr">
        <is>
          <t>Tork Sikiştirma</t>
        </is>
      </c>
      <c r="C13" s="15" t="inlineStr">
        <is>
          <t>Montaj</t>
        </is>
      </c>
      <c r="D13" s="15" t="inlineStr">
        <is>
          <t>Nm</t>
        </is>
      </c>
      <c r="E13" s="16" t="n">
        <v>18</v>
      </c>
      <c r="F13" s="16" t="n">
        <v>22</v>
      </c>
      <c r="G13" s="16" t="n">
        <v>20</v>
      </c>
      <c r="H13" s="17" t="n">
        <v>5</v>
      </c>
      <c r="I13" s="15" t="inlineStr">
        <is>
          <t>EVET</t>
        </is>
      </c>
      <c r="J13" s="18">
        <f>IF($A13="","",COUNTIF(tblOlcum[VarlikId],$A13))</f>
        <v/>
      </c>
      <c r="K13" s="18">
        <f>IF($A13="","",IFERROR(AVERAGEIF(tblOlcum[VarlikId],$A13,tblOlcum[FormulCpk]),0))</f>
        <v/>
      </c>
      <c r="L13" s="18">
        <f>IF($A13="","",MAX(0,MIN(100,spy_kaliteTaban-IF($K13&lt;spy_esikCpk,spy_kaliteCeza,0)-COUNTIFS(tblOlcum[VarlikId],$A13,tblOlcum[AlarmBayrak],"ALARM")*spy_kaliteSapma-IF($I13="HAYIR",spy_kaliteCeza,0))))</f>
        <v/>
      </c>
    </row>
    <row r="14">
      <c r="A14" s="15" t="n"/>
      <c r="B14" s="15" t="n"/>
      <c r="C14" s="15" t="n"/>
      <c r="D14" s="15" t="n"/>
      <c r="E14" s="16" t="n"/>
      <c r="F14" s="16" t="n"/>
      <c r="G14" s="16" t="n"/>
      <c r="H14" s="17" t="n"/>
      <c r="I14" s="15" t="n"/>
      <c r="J14" s="18">
        <f>IF($A14="","",COUNTIF(tblOlcum[VarlikId],$A14))</f>
        <v/>
      </c>
      <c r="K14" s="18">
        <f>IF($A14="","",IFERROR(AVERAGEIF(tblOlcum[VarlikId],$A14,tblOlcum[FormulCpk]),0))</f>
        <v/>
      </c>
      <c r="L14" s="18">
        <f>IF($A14="","",MAX(0,MIN(100,spy_kaliteTaban-IF($K14&lt;spy_esikCpk,spy_kaliteCeza,0)-COUNTIFS(tblOlcum[VarlikId],$A14,tblOlcum[AlarmBayrak],"ALARM")*spy_kaliteSapma-IF($I14="HAYIR",spy_kaliteCeza,0))))</f>
        <v/>
      </c>
    </row>
    <row r="15">
      <c r="A15" s="15" t="n"/>
      <c r="B15" s="15" t="n"/>
      <c r="C15" s="15" t="n"/>
      <c r="D15" s="15" t="n"/>
      <c r="E15" s="16" t="n"/>
      <c r="F15" s="16" t="n"/>
      <c r="G15" s="16" t="n"/>
      <c r="H15" s="17" t="n"/>
      <c r="I15" s="15" t="n"/>
      <c r="J15" s="18">
        <f>IF($A15="","",COUNTIF(tblOlcum[VarlikId],$A15))</f>
        <v/>
      </c>
      <c r="K15" s="18">
        <f>IF($A15="","",IFERROR(AVERAGEIF(tblOlcum[VarlikId],$A15,tblOlcum[FormulCpk]),0))</f>
        <v/>
      </c>
      <c r="L15" s="18">
        <f>IF($A15="","",MAX(0,MIN(100,spy_kaliteTaban-IF($K15&lt;spy_esikCpk,spy_kaliteCeza,0)-COUNTIFS(tblOlcum[VarlikId],$A15,tblOlcum[AlarmBayrak],"ALARM")*spy_kaliteSapma-IF($I15="HAYIR",spy_kaliteCeza,0))))</f>
        <v/>
      </c>
    </row>
    <row r="16">
      <c r="A16" s="15" t="n"/>
      <c r="B16" s="15" t="n"/>
      <c r="C16" s="15" t="n"/>
      <c r="D16" s="15" t="n"/>
      <c r="E16" s="16" t="n"/>
      <c r="F16" s="16" t="n"/>
      <c r="G16" s="16" t="n"/>
      <c r="H16" s="17" t="n"/>
      <c r="I16" s="15" t="n"/>
      <c r="J16" s="18">
        <f>IF($A16="","",COUNTIF(tblOlcum[VarlikId],$A16))</f>
        <v/>
      </c>
      <c r="K16" s="18">
        <f>IF($A16="","",IFERROR(AVERAGEIF(tblOlcum[VarlikId],$A16,tblOlcum[FormulCpk]),0))</f>
        <v/>
      </c>
      <c r="L16" s="18">
        <f>IF($A16="","",MAX(0,MIN(100,spy_kaliteTaban-IF($K16&lt;spy_esikCpk,spy_kaliteCeza,0)-COUNTIFS(tblOlcum[VarlikId],$A16,tblOlcum[AlarmBayrak],"ALARM")*spy_kaliteSapma-IF($I16="HAYIR",spy_kaliteCeza,0))))</f>
        <v/>
      </c>
    </row>
    <row r="17">
      <c r="A17" s="15" t="n"/>
      <c r="B17" s="15" t="n"/>
      <c r="C17" s="15" t="n"/>
      <c r="D17" s="15" t="n"/>
      <c r="E17" s="16" t="n"/>
      <c r="F17" s="16" t="n"/>
      <c r="G17" s="16" t="n"/>
      <c r="H17" s="17" t="n"/>
      <c r="I17" s="15" t="n"/>
      <c r="J17" s="18">
        <f>IF($A17="","",COUNTIF(tblOlcum[VarlikId],$A17))</f>
        <v/>
      </c>
      <c r="K17" s="18">
        <f>IF($A17="","",IFERROR(AVERAGEIF(tblOlcum[VarlikId],$A17,tblOlcum[FormulCpk]),0))</f>
        <v/>
      </c>
      <c r="L17" s="18">
        <f>IF($A17="","",MAX(0,MIN(100,spy_kaliteTaban-IF($K17&lt;spy_esikCpk,spy_kaliteCeza,0)-COUNTIFS(tblOlcum[VarlikId],$A17,tblOlcum[AlarmBayrak],"ALARM")*spy_kaliteSapma-IF($I17="HAYIR",spy_kaliteCeza,0))))</f>
        <v/>
      </c>
    </row>
    <row r="18">
      <c r="A18" s="15" t="n"/>
      <c r="B18" s="15" t="n"/>
      <c r="C18" s="15" t="n"/>
      <c r="D18" s="15" t="n"/>
      <c r="E18" s="16" t="n"/>
      <c r="F18" s="16" t="n"/>
      <c r="G18" s="16" t="n"/>
      <c r="H18" s="17" t="n"/>
      <c r="I18" s="15" t="n"/>
      <c r="J18" s="18">
        <f>IF($A18="","",COUNTIF(tblOlcum[VarlikId],$A18))</f>
        <v/>
      </c>
      <c r="K18" s="18">
        <f>IF($A18="","",IFERROR(AVERAGEIF(tblOlcum[VarlikId],$A18,tblOlcum[FormulCpk]),0))</f>
        <v/>
      </c>
      <c r="L18" s="18">
        <f>IF($A18="","",MAX(0,MIN(100,spy_kaliteTaban-IF($K18&lt;spy_esikCpk,spy_kaliteCeza,0)-COUNTIFS(tblOlcum[VarlikId],$A18,tblOlcum[AlarmBayrak],"ALARM")*spy_kaliteSapma-IF($I18="HAYIR",spy_kaliteCeza,0))))</f>
        <v/>
      </c>
    </row>
    <row r="19">
      <c r="A19" s="15" t="n"/>
      <c r="B19" s="15" t="n"/>
      <c r="C19" s="15" t="n"/>
      <c r="D19" s="15" t="n"/>
      <c r="E19" s="16" t="n"/>
      <c r="F19" s="16" t="n"/>
      <c r="G19" s="16" t="n"/>
      <c r="H19" s="17" t="n"/>
      <c r="I19" s="15" t="n"/>
      <c r="J19" s="18">
        <f>IF($A19="","",COUNTIF(tblOlcum[VarlikId],$A19))</f>
        <v/>
      </c>
      <c r="K19" s="18">
        <f>IF($A19="","",IFERROR(AVERAGEIF(tblOlcum[VarlikId],$A19,tblOlcum[FormulCpk]),0))</f>
        <v/>
      </c>
      <c r="L19" s="18">
        <f>IF($A19="","",MAX(0,MIN(100,spy_kaliteTaban-IF($K19&lt;spy_esikCpk,spy_kaliteCeza,0)-COUNTIFS(tblOlcum[VarlikId],$A19,tblOlcum[AlarmBayrak],"ALARM")*spy_kaliteSapma-IF($I19="HAYIR",spy_kaliteCeza,0))))</f>
        <v/>
      </c>
    </row>
    <row r="20">
      <c r="A20" s="15" t="n"/>
      <c r="B20" s="15" t="n"/>
      <c r="C20" s="15" t="n"/>
      <c r="D20" s="15" t="n"/>
      <c r="E20" s="16" t="n"/>
      <c r="F20" s="16" t="n"/>
      <c r="G20" s="16" t="n"/>
      <c r="H20" s="17" t="n"/>
      <c r="I20" s="15" t="n"/>
      <c r="J20" s="18">
        <f>IF($A20="","",COUNTIF(tblOlcum[VarlikId],$A20))</f>
        <v/>
      </c>
      <c r="K20" s="18">
        <f>IF($A20="","",IFERROR(AVERAGEIF(tblOlcum[VarlikId],$A20,tblOlcum[FormulCpk]),0))</f>
        <v/>
      </c>
      <c r="L20" s="18">
        <f>IF($A20="","",MAX(0,MIN(100,spy_kaliteTaban-IF($K20&lt;spy_esikCpk,spy_kaliteCeza,0)-COUNTIFS(tblOlcum[VarlikId],$A20,tblOlcum[AlarmBayrak],"ALARM")*spy_kaliteSapma-IF($I20="HAYIR",spy_kaliteCeza,0))))</f>
        <v/>
      </c>
    </row>
    <row r="21">
      <c r="A21" s="15" t="n"/>
      <c r="B21" s="15" t="n"/>
      <c r="C21" s="15" t="n"/>
      <c r="D21" s="15" t="n"/>
      <c r="E21" s="16" t="n"/>
      <c r="F21" s="16" t="n"/>
      <c r="G21" s="16" t="n"/>
      <c r="H21" s="17" t="n"/>
      <c r="I21" s="15" t="n"/>
      <c r="J21" s="18">
        <f>IF($A21="","",COUNTIF(tblOlcum[VarlikId],$A21))</f>
        <v/>
      </c>
      <c r="K21" s="18">
        <f>IF($A21="","",IFERROR(AVERAGEIF(tblOlcum[VarlikId],$A21,tblOlcum[FormulCpk]),0))</f>
        <v/>
      </c>
      <c r="L21" s="18">
        <f>IF($A21="","",MAX(0,MIN(100,spy_kaliteTaban-IF($K21&lt;spy_esikCpk,spy_kaliteCeza,0)-COUNTIFS(tblOlcum[VarlikId],$A21,tblOlcum[AlarmBayrak],"ALARM")*spy_kaliteSapma-IF($I21="HAYIR",spy_kaliteCeza,0))))</f>
        <v/>
      </c>
    </row>
    <row r="22">
      <c r="A22" s="15" t="n"/>
      <c r="B22" s="15" t="n"/>
      <c r="C22" s="15" t="n"/>
      <c r="D22" s="15" t="n"/>
      <c r="E22" s="16" t="n"/>
      <c r="F22" s="16" t="n"/>
      <c r="G22" s="16" t="n"/>
      <c r="H22" s="17" t="n"/>
      <c r="I22" s="15" t="n"/>
      <c r="J22" s="18">
        <f>IF($A22="","",COUNTIF(tblOlcum[VarlikId],$A22))</f>
        <v/>
      </c>
      <c r="K22" s="18">
        <f>IF($A22="","",IFERROR(AVERAGEIF(tblOlcum[VarlikId],$A22,tblOlcum[FormulCpk]),0))</f>
        <v/>
      </c>
      <c r="L22" s="18">
        <f>IF($A22="","",MAX(0,MIN(100,spy_kaliteTaban-IF($K22&lt;spy_esikCpk,spy_kaliteCeza,0)-COUNTIFS(tblOlcum[VarlikId],$A22,tblOlcum[AlarmBayrak],"ALARM")*spy_kaliteSapma-IF($I22="HAYIR",spy_kaliteCeza,0))))</f>
        <v/>
      </c>
    </row>
    <row r="23">
      <c r="A23" s="15" t="n"/>
      <c r="B23" s="15" t="n"/>
      <c r="C23" s="15" t="n"/>
      <c r="D23" s="15" t="n"/>
      <c r="E23" s="16" t="n"/>
      <c r="F23" s="16" t="n"/>
      <c r="G23" s="16" t="n"/>
      <c r="H23" s="17" t="n"/>
      <c r="I23" s="15" t="n"/>
      <c r="J23" s="18">
        <f>IF($A23="","",COUNTIF(tblOlcum[VarlikId],$A23))</f>
        <v/>
      </c>
      <c r="K23" s="18">
        <f>IF($A23="","",IFERROR(AVERAGEIF(tblOlcum[VarlikId],$A23,tblOlcum[FormulCpk]),0))</f>
        <v/>
      </c>
      <c r="L23" s="18">
        <f>IF($A23="","",MAX(0,MIN(100,spy_kaliteTaban-IF($K23&lt;spy_esikCpk,spy_kaliteCeza,0)-COUNTIFS(tblOlcum[VarlikId],$A23,tblOlcum[AlarmBayrak],"ALARM")*spy_kaliteSapma-IF($I23="HAYIR",spy_kaliteCeza,0))))</f>
        <v/>
      </c>
    </row>
    <row r="24">
      <c r="A24" s="15" t="n"/>
      <c r="B24" s="15" t="n"/>
      <c r="C24" s="15" t="n"/>
      <c r="D24" s="15" t="n"/>
      <c r="E24" s="16" t="n"/>
      <c r="F24" s="16" t="n"/>
      <c r="G24" s="16" t="n"/>
      <c r="H24" s="17" t="n"/>
      <c r="I24" s="15" t="n"/>
      <c r="J24" s="18">
        <f>IF($A24="","",COUNTIF(tblOlcum[VarlikId],$A24))</f>
        <v/>
      </c>
      <c r="K24" s="18">
        <f>IF($A24="","",IFERROR(AVERAGEIF(tblOlcum[VarlikId],$A24,tblOlcum[FormulCpk]),0))</f>
        <v/>
      </c>
      <c r="L24" s="18">
        <f>IF($A24="","",MAX(0,MIN(100,spy_kaliteTaban-IF($K24&lt;spy_esikCpk,spy_kaliteCeza,0)-COUNTIFS(tblOlcum[VarlikId],$A24,tblOlcum[AlarmBayrak],"ALARM")*spy_kaliteSapma-IF($I24="HAYIR",spy_kaliteCeza,0))))</f>
        <v/>
      </c>
    </row>
    <row r="25">
      <c r="A25" s="15" t="n"/>
      <c r="B25" s="15" t="n"/>
      <c r="C25" s="15" t="n"/>
      <c r="D25" s="15" t="n"/>
      <c r="E25" s="16" t="n"/>
      <c r="F25" s="16" t="n"/>
      <c r="G25" s="16" t="n"/>
      <c r="H25" s="17" t="n"/>
      <c r="I25" s="15" t="n"/>
      <c r="J25" s="18">
        <f>IF($A25="","",COUNTIF(tblOlcum[VarlikId],$A25))</f>
        <v/>
      </c>
      <c r="K25" s="18">
        <f>IF($A25="","",IFERROR(AVERAGEIF(tblOlcum[VarlikId],$A25,tblOlcum[FormulCpk]),0))</f>
        <v/>
      </c>
      <c r="L25" s="18">
        <f>IF($A25="","",MAX(0,MIN(100,spy_kaliteTaban-IF($K25&lt;spy_esikCpk,spy_kaliteCeza,0)-COUNTIFS(tblOlcum[VarlikId],$A25,tblOlcum[AlarmBayrak],"ALARM")*spy_kaliteSapma-IF($I25="HAYIR",spy_kaliteCeza,0))))</f>
        <v/>
      </c>
    </row>
    <row r="26">
      <c r="A26" s="15" t="n"/>
      <c r="B26" s="15" t="n"/>
      <c r="C26" s="15" t="n"/>
      <c r="D26" s="15" t="n"/>
      <c r="E26" s="16" t="n"/>
      <c r="F26" s="16" t="n"/>
      <c r="G26" s="16" t="n"/>
      <c r="H26" s="17" t="n"/>
      <c r="I26" s="15" t="n"/>
      <c r="J26" s="18">
        <f>IF($A26="","",COUNTIF(tblOlcum[VarlikId],$A26))</f>
        <v/>
      </c>
      <c r="K26" s="18">
        <f>IF($A26="","",IFERROR(AVERAGEIF(tblOlcum[VarlikId],$A26,tblOlcum[FormulCpk]),0))</f>
        <v/>
      </c>
      <c r="L26" s="18">
        <f>IF($A26="","",MAX(0,MIN(100,spy_kaliteTaban-IF($K26&lt;spy_esikCpk,spy_kaliteCeza,0)-COUNTIFS(tblOlcum[VarlikId],$A26,tblOlcum[AlarmBayrak],"ALARM")*spy_kaliteSapma-IF($I26="HAYIR",spy_kaliteCeza,0))))</f>
        <v/>
      </c>
    </row>
    <row r="27">
      <c r="A27" s="15" t="n"/>
      <c r="B27" s="15" t="n"/>
      <c r="C27" s="15" t="n"/>
      <c r="D27" s="15" t="n"/>
      <c r="E27" s="16" t="n"/>
      <c r="F27" s="16" t="n"/>
      <c r="G27" s="16" t="n"/>
      <c r="H27" s="17" t="n"/>
      <c r="I27" s="15" t="n"/>
      <c r="J27" s="18">
        <f>IF($A27="","",COUNTIF(tblOlcum[VarlikId],$A27))</f>
        <v/>
      </c>
      <c r="K27" s="18">
        <f>IF($A27="","",IFERROR(AVERAGEIF(tblOlcum[VarlikId],$A27,tblOlcum[FormulCpk]),0))</f>
        <v/>
      </c>
      <c r="L27" s="18">
        <f>IF($A27="","",MAX(0,MIN(100,spy_kaliteTaban-IF($K27&lt;spy_esikCpk,spy_kaliteCeza,0)-COUNTIFS(tblOlcum[VarlikId],$A27,tblOlcum[AlarmBayrak],"ALARM")*spy_kaliteSapma-IF($I27="HAYIR",spy_kaliteCeza,0))))</f>
        <v/>
      </c>
    </row>
    <row r="28">
      <c r="A28" s="15" t="n"/>
      <c r="B28" s="15" t="n"/>
      <c r="C28" s="15" t="n"/>
      <c r="D28" s="15" t="n"/>
      <c r="E28" s="16" t="n"/>
      <c r="F28" s="16" t="n"/>
      <c r="G28" s="16" t="n"/>
      <c r="H28" s="17" t="n"/>
      <c r="I28" s="15" t="n"/>
      <c r="J28" s="18">
        <f>IF($A28="","",COUNTIF(tblOlcum[VarlikId],$A28))</f>
        <v/>
      </c>
      <c r="K28" s="18">
        <f>IF($A28="","",IFERROR(AVERAGEIF(tblOlcum[VarlikId],$A28,tblOlcum[FormulCpk]),0))</f>
        <v/>
      </c>
      <c r="L28" s="18">
        <f>IF($A28="","",MAX(0,MIN(100,spy_kaliteTaban-IF($K28&lt;spy_esikCpk,spy_kaliteCeza,0)-COUNTIFS(tblOlcum[VarlikId],$A28,tblOlcum[AlarmBayrak],"ALARM")*spy_kaliteSapma-IF($I28="HAYIR",spy_kaliteCeza,0))))</f>
        <v/>
      </c>
    </row>
    <row r="29">
      <c r="A29" s="15" t="n"/>
      <c r="B29" s="15" t="n"/>
      <c r="C29" s="15" t="n"/>
      <c r="D29" s="15" t="n"/>
      <c r="E29" s="16" t="n"/>
      <c r="F29" s="16" t="n"/>
      <c r="G29" s="16" t="n"/>
      <c r="H29" s="17" t="n"/>
      <c r="I29" s="15" t="n"/>
      <c r="J29" s="18">
        <f>IF($A29="","",COUNTIF(tblOlcum[VarlikId],$A29))</f>
        <v/>
      </c>
      <c r="K29" s="18">
        <f>IF($A29="","",IFERROR(AVERAGEIF(tblOlcum[VarlikId],$A29,tblOlcum[FormulCpk]),0))</f>
        <v/>
      </c>
      <c r="L29" s="18">
        <f>IF($A29="","",MAX(0,MIN(100,spy_kaliteTaban-IF($K29&lt;spy_esikCpk,spy_kaliteCeza,0)-COUNTIFS(tblOlcum[VarlikId],$A29,tblOlcum[AlarmBayrak],"ALARM")*spy_kaliteSapma-IF($I29="HAYIR",spy_kaliteCeza,0))))</f>
        <v/>
      </c>
    </row>
    <row r="30">
      <c r="A30" s="15" t="n"/>
      <c r="B30" s="15" t="n"/>
      <c r="C30" s="15" t="n"/>
      <c r="D30" s="15" t="n"/>
      <c r="E30" s="16" t="n"/>
      <c r="F30" s="16" t="n"/>
      <c r="G30" s="16" t="n"/>
      <c r="H30" s="17" t="n"/>
      <c r="I30" s="15" t="n"/>
      <c r="J30" s="18">
        <f>IF($A30="","",COUNTIF(tblOlcum[VarlikId],$A30))</f>
        <v/>
      </c>
      <c r="K30" s="18">
        <f>IF($A30="","",IFERROR(AVERAGEIF(tblOlcum[VarlikId],$A30,tblOlcum[FormulCpk]),0))</f>
        <v/>
      </c>
      <c r="L30" s="18">
        <f>IF($A30="","",MAX(0,MIN(100,spy_kaliteTaban-IF($K30&lt;spy_esikCpk,spy_kaliteCeza,0)-COUNTIFS(tblOlcum[VarlikId],$A30,tblOlcum[AlarmBayrak],"ALARM")*spy_kaliteSapma-IF($I30="HAYIR",spy_kaliteCeza,0))))</f>
        <v/>
      </c>
    </row>
    <row r="31">
      <c r="A31" s="15" t="n"/>
      <c r="B31" s="15" t="n"/>
      <c r="C31" s="15" t="n"/>
      <c r="D31" s="15" t="n"/>
      <c r="E31" s="16" t="n"/>
      <c r="F31" s="16" t="n"/>
      <c r="G31" s="16" t="n"/>
      <c r="H31" s="17" t="n"/>
      <c r="I31" s="15" t="n"/>
      <c r="J31" s="18">
        <f>IF($A31="","",COUNTIF(tblOlcum[VarlikId],$A31))</f>
        <v/>
      </c>
      <c r="K31" s="18">
        <f>IF($A31="","",IFERROR(AVERAGEIF(tblOlcum[VarlikId],$A31,tblOlcum[FormulCpk]),0))</f>
        <v/>
      </c>
      <c r="L31" s="18">
        <f>IF($A31="","",MAX(0,MIN(100,spy_kaliteTaban-IF($K31&lt;spy_esikCpk,spy_kaliteCeza,0)-COUNTIFS(tblOlcum[VarlikId],$A31,tblOlcum[AlarmBayrak],"ALARM")*spy_kaliteSapma-IF($I31="HAYIR",spy_kaliteCeza,0))))</f>
        <v/>
      </c>
    </row>
    <row r="32">
      <c r="A32" s="15" t="n"/>
      <c r="B32" s="15" t="n"/>
      <c r="C32" s="15" t="n"/>
      <c r="D32" s="15" t="n"/>
      <c r="E32" s="16" t="n"/>
      <c r="F32" s="16" t="n"/>
      <c r="G32" s="16" t="n"/>
      <c r="H32" s="17" t="n"/>
      <c r="I32" s="15" t="n"/>
      <c r="J32" s="18">
        <f>IF($A32="","",COUNTIF(tblOlcum[VarlikId],$A32))</f>
        <v/>
      </c>
      <c r="K32" s="18">
        <f>IF($A32="","",IFERROR(AVERAGEIF(tblOlcum[VarlikId],$A32,tblOlcum[FormulCpk]),0))</f>
        <v/>
      </c>
      <c r="L32" s="18">
        <f>IF($A32="","",MAX(0,MIN(100,spy_kaliteTaban-IF($K32&lt;spy_esikCpk,spy_kaliteCeza,0)-COUNTIFS(tblOlcum[VarlikId],$A32,tblOlcum[AlarmBayrak],"ALARM")*spy_kaliteSapma-IF($I32="HAYIR",spy_kaliteCeza,0))))</f>
        <v/>
      </c>
    </row>
    <row r="33">
      <c r="A33" s="15" t="n"/>
      <c r="B33" s="15" t="n"/>
      <c r="C33" s="15" t="n"/>
      <c r="D33" s="15" t="n"/>
      <c r="E33" s="16" t="n"/>
      <c r="F33" s="16" t="n"/>
      <c r="G33" s="16" t="n"/>
      <c r="H33" s="17" t="n"/>
      <c r="I33" s="15" t="n"/>
      <c r="J33" s="18">
        <f>IF($A33="","",COUNTIF(tblOlcum[VarlikId],$A33))</f>
        <v/>
      </c>
      <c r="K33" s="18">
        <f>IF($A33="","",IFERROR(AVERAGEIF(tblOlcum[VarlikId],$A33,tblOlcum[FormulCpk]),0))</f>
        <v/>
      </c>
      <c r="L33" s="18">
        <f>IF($A33="","",MAX(0,MIN(100,spy_kaliteTaban-IF($K33&lt;spy_esikCpk,spy_kaliteCeza,0)-COUNTIFS(tblOlcum[VarlikId],$A33,tblOlcum[AlarmBayrak],"ALARM")*spy_kaliteSapma-IF($I33="HAYIR",spy_kaliteCeza,0))))</f>
        <v/>
      </c>
    </row>
    <row r="34">
      <c r="A34" s="15" t="n"/>
      <c r="B34" s="15" t="n"/>
      <c r="C34" s="15" t="n"/>
      <c r="D34" s="15" t="n"/>
      <c r="E34" s="16" t="n"/>
      <c r="F34" s="16" t="n"/>
      <c r="G34" s="16" t="n"/>
      <c r="H34" s="17" t="n"/>
      <c r="I34" s="15" t="n"/>
      <c r="J34" s="18">
        <f>IF($A34="","",COUNTIF(tblOlcum[VarlikId],$A34))</f>
        <v/>
      </c>
      <c r="K34" s="18">
        <f>IF($A34="","",IFERROR(AVERAGEIF(tblOlcum[VarlikId],$A34,tblOlcum[FormulCpk]),0))</f>
        <v/>
      </c>
      <c r="L34" s="18">
        <f>IF($A34="","",MAX(0,MIN(100,spy_kaliteTaban-IF($K34&lt;spy_esikCpk,spy_kaliteCeza,0)-COUNTIFS(tblOlcum[VarlikId],$A34,tblOlcum[AlarmBayrak],"ALARM")*spy_kaliteSapma-IF($I34="HAYIR",spy_kaliteCeza,0))))</f>
        <v/>
      </c>
    </row>
    <row r="35">
      <c r="A35" s="15" t="n"/>
      <c r="B35" s="15" t="n"/>
      <c r="C35" s="15" t="n"/>
      <c r="D35" s="15" t="n"/>
      <c r="E35" s="16" t="n"/>
      <c r="F35" s="16" t="n"/>
      <c r="G35" s="16" t="n"/>
      <c r="H35" s="17" t="n"/>
      <c r="I35" s="15" t="n"/>
      <c r="J35" s="18">
        <f>IF($A35="","",COUNTIF(tblOlcum[VarlikId],$A35))</f>
        <v/>
      </c>
      <c r="K35" s="18">
        <f>IF($A35="","",IFERROR(AVERAGEIF(tblOlcum[VarlikId],$A35,tblOlcum[FormulCpk]),0))</f>
        <v/>
      </c>
      <c r="L35" s="18">
        <f>IF($A35="","",MAX(0,MIN(100,spy_kaliteTaban-IF($K35&lt;spy_esikCpk,spy_kaliteCeza,0)-COUNTIFS(tblOlcum[VarlikId],$A35,tblOlcum[AlarmBayrak],"ALARM")*spy_kaliteSapma-IF($I35="HAYIR",spy_kaliteCeza,0))))</f>
        <v/>
      </c>
    </row>
    <row r="36">
      <c r="A36" s="15" t="n"/>
      <c r="B36" s="15" t="n"/>
      <c r="C36" s="15" t="n"/>
      <c r="D36" s="15" t="n"/>
      <c r="E36" s="16" t="n"/>
      <c r="F36" s="16" t="n"/>
      <c r="G36" s="16" t="n"/>
      <c r="H36" s="17" t="n"/>
      <c r="I36" s="15" t="n"/>
      <c r="J36" s="18">
        <f>IF($A36="","",COUNTIF(tblOlcum[VarlikId],$A36))</f>
        <v/>
      </c>
      <c r="K36" s="18">
        <f>IF($A36="","",IFERROR(AVERAGEIF(tblOlcum[VarlikId],$A36,tblOlcum[FormulCpk]),0))</f>
        <v/>
      </c>
      <c r="L36" s="18">
        <f>IF($A36="","",MAX(0,MIN(100,spy_kaliteTaban-IF($K36&lt;spy_esikCpk,spy_kaliteCeza,0)-COUNTIFS(tblOlcum[VarlikId],$A36,tblOlcum[AlarmBayrak],"ALARM")*spy_kaliteSapma-IF($I36="HAYIR",spy_kaliteCeza,0))))</f>
        <v/>
      </c>
    </row>
    <row r="37">
      <c r="A37" s="15" t="n"/>
      <c r="B37" s="15" t="n"/>
      <c r="C37" s="15" t="n"/>
      <c r="D37" s="15" t="n"/>
      <c r="E37" s="16" t="n"/>
      <c r="F37" s="16" t="n"/>
      <c r="G37" s="16" t="n"/>
      <c r="H37" s="17" t="n"/>
      <c r="I37" s="15" t="n"/>
      <c r="J37" s="18">
        <f>IF($A37="","",COUNTIF(tblOlcum[VarlikId],$A37))</f>
        <v/>
      </c>
      <c r="K37" s="18">
        <f>IF($A37="","",IFERROR(AVERAGEIF(tblOlcum[VarlikId],$A37,tblOlcum[FormulCpk]),0))</f>
        <v/>
      </c>
      <c r="L37" s="18">
        <f>IF($A37="","",MAX(0,MIN(100,spy_kaliteTaban-IF($K37&lt;spy_esikCpk,spy_kaliteCeza,0)-COUNTIFS(tblOlcum[VarlikId],$A37,tblOlcum[AlarmBayrak],"ALARM")*spy_kaliteSapma-IF($I37="HAYIR",spy_kaliteCeza,0))))</f>
        <v/>
      </c>
    </row>
    <row r="38">
      <c r="A38" s="15" t="n"/>
      <c r="B38" s="15" t="n"/>
      <c r="C38" s="15" t="n"/>
      <c r="D38" s="15" t="n"/>
      <c r="E38" s="16" t="n"/>
      <c r="F38" s="16" t="n"/>
      <c r="G38" s="16" t="n"/>
      <c r="H38" s="17" t="n"/>
      <c r="I38" s="15" t="n"/>
      <c r="J38" s="18">
        <f>IF($A38="","",COUNTIF(tblOlcum[VarlikId],$A38))</f>
        <v/>
      </c>
      <c r="K38" s="18">
        <f>IF($A38="","",IFERROR(AVERAGEIF(tblOlcum[VarlikId],$A38,tblOlcum[FormulCpk]),0))</f>
        <v/>
      </c>
      <c r="L38" s="18">
        <f>IF($A38="","",MAX(0,MIN(100,spy_kaliteTaban-IF($K38&lt;spy_esikCpk,spy_kaliteCeza,0)-COUNTIFS(tblOlcum[VarlikId],$A38,tblOlcum[AlarmBayrak],"ALARM")*spy_kaliteSapma-IF($I38="HAYIR",spy_kaliteCeza,0))))</f>
        <v/>
      </c>
    </row>
    <row r="39">
      <c r="A39" s="15" t="n"/>
      <c r="B39" s="15" t="n"/>
      <c r="C39" s="15" t="n"/>
      <c r="D39" s="15" t="n"/>
      <c r="E39" s="16" t="n"/>
      <c r="F39" s="16" t="n"/>
      <c r="G39" s="16" t="n"/>
      <c r="H39" s="17" t="n"/>
      <c r="I39" s="15" t="n"/>
      <c r="J39" s="18">
        <f>IF($A39="","",COUNTIF(tblOlcum[VarlikId],$A39))</f>
        <v/>
      </c>
      <c r="K39" s="18">
        <f>IF($A39="","",IFERROR(AVERAGEIF(tblOlcum[VarlikId],$A39,tblOlcum[FormulCpk]),0))</f>
        <v/>
      </c>
      <c r="L39" s="18">
        <f>IF($A39="","",MAX(0,MIN(100,spy_kaliteTaban-IF($K39&lt;spy_esikCpk,spy_kaliteCeza,0)-COUNTIFS(tblOlcum[VarlikId],$A39,tblOlcum[AlarmBayrak],"ALARM")*spy_kaliteSapma-IF($I39="HAYIR",spy_kaliteCeza,0))))</f>
        <v/>
      </c>
    </row>
    <row r="40">
      <c r="A40" s="15" t="n"/>
      <c r="B40" s="15" t="n"/>
      <c r="C40" s="15" t="n"/>
      <c r="D40" s="15" t="n"/>
      <c r="E40" s="16" t="n"/>
      <c r="F40" s="16" t="n"/>
      <c r="G40" s="16" t="n"/>
      <c r="H40" s="17" t="n"/>
      <c r="I40" s="15" t="n"/>
      <c r="J40" s="18">
        <f>IF($A40="","",COUNTIF(tblOlcum[VarlikId],$A40))</f>
        <v/>
      </c>
      <c r="K40" s="18">
        <f>IF($A40="","",IFERROR(AVERAGEIF(tblOlcum[VarlikId],$A40,tblOlcum[FormulCpk]),0))</f>
        <v/>
      </c>
      <c r="L40" s="18">
        <f>IF($A40="","",MAX(0,MIN(100,spy_kaliteTaban-IF($K40&lt;spy_esikCpk,spy_kaliteCeza,0)-COUNTIFS(tblOlcum[VarlikId],$A40,tblOlcum[AlarmBayrak],"ALARM")*spy_kaliteSapma-IF($I40="HAYIR",spy_kaliteCeza,0))))</f>
        <v/>
      </c>
    </row>
    <row r="41">
      <c r="A41" s="15" t="n"/>
      <c r="B41" s="15" t="n"/>
      <c r="C41" s="15" t="n"/>
      <c r="D41" s="15" t="n"/>
      <c r="E41" s="16" t="n"/>
      <c r="F41" s="16" t="n"/>
      <c r="G41" s="16" t="n"/>
      <c r="H41" s="17" t="n"/>
      <c r="I41" s="15" t="n"/>
      <c r="J41" s="18">
        <f>IF($A41="","",COUNTIF(tblOlcum[VarlikId],$A41))</f>
        <v/>
      </c>
      <c r="K41" s="18">
        <f>IF($A41="","",IFERROR(AVERAGEIF(tblOlcum[VarlikId],$A41,tblOlcum[FormulCpk]),0))</f>
        <v/>
      </c>
      <c r="L41" s="18">
        <f>IF($A41="","",MAX(0,MIN(100,spy_kaliteTaban-IF($K41&lt;spy_esikCpk,spy_kaliteCeza,0)-COUNTIFS(tblOlcum[VarlikId],$A41,tblOlcum[AlarmBayrak],"ALARM")*spy_kaliteSapma-IF($I41="HAYIR",spy_kaliteCeza,0))))</f>
        <v/>
      </c>
    </row>
    <row r="42">
      <c r="A42" s="15" t="n"/>
      <c r="B42" s="15" t="n"/>
      <c r="C42" s="15" t="n"/>
      <c r="D42" s="15" t="n"/>
      <c r="E42" s="16" t="n"/>
      <c r="F42" s="16" t="n"/>
      <c r="G42" s="16" t="n"/>
      <c r="H42" s="17" t="n"/>
      <c r="I42" s="15" t="n"/>
      <c r="J42" s="18">
        <f>IF($A42="","",COUNTIF(tblOlcum[VarlikId],$A42))</f>
        <v/>
      </c>
      <c r="K42" s="18">
        <f>IF($A42="","",IFERROR(AVERAGEIF(tblOlcum[VarlikId],$A42,tblOlcum[FormulCpk]),0))</f>
        <v/>
      </c>
      <c r="L42" s="18">
        <f>IF($A42="","",MAX(0,MIN(100,spy_kaliteTaban-IF($K42&lt;spy_esikCpk,spy_kaliteCeza,0)-COUNTIFS(tblOlcum[VarlikId],$A42,tblOlcum[AlarmBayrak],"ALARM")*spy_kaliteSapma-IF($I42="HAYIR",spy_kaliteCeza,0))))</f>
        <v/>
      </c>
    </row>
    <row r="43">
      <c r="A43" s="15" t="n"/>
      <c r="B43" s="15" t="n"/>
      <c r="C43" s="15" t="n"/>
      <c r="D43" s="15" t="n"/>
      <c r="E43" s="16" t="n"/>
      <c r="F43" s="16" t="n"/>
      <c r="G43" s="16" t="n"/>
      <c r="H43" s="17" t="n"/>
      <c r="I43" s="15" t="n"/>
      <c r="J43" s="18">
        <f>IF($A43="","",COUNTIF(tblOlcum[VarlikId],$A43))</f>
        <v/>
      </c>
      <c r="K43" s="18">
        <f>IF($A43="","",IFERROR(AVERAGEIF(tblOlcum[VarlikId],$A43,tblOlcum[FormulCpk]),0))</f>
        <v/>
      </c>
      <c r="L43" s="18">
        <f>IF($A43="","",MAX(0,MIN(100,spy_kaliteTaban-IF($K43&lt;spy_esikCpk,spy_kaliteCeza,0)-COUNTIFS(tblOlcum[VarlikId],$A43,tblOlcum[AlarmBayrak],"ALARM")*spy_kaliteSapma-IF($I43="HAYIR",spy_kaliteCeza,0))))</f>
        <v/>
      </c>
    </row>
    <row r="44">
      <c r="A44" s="15" t="n"/>
      <c r="B44" s="15" t="n"/>
      <c r="C44" s="15" t="n"/>
      <c r="D44" s="15" t="n"/>
      <c r="E44" s="16" t="n"/>
      <c r="F44" s="16" t="n"/>
      <c r="G44" s="16" t="n"/>
      <c r="H44" s="17" t="n"/>
      <c r="I44" s="15" t="n"/>
      <c r="J44" s="18">
        <f>IF($A44="","",COUNTIF(tblOlcum[VarlikId],$A44))</f>
        <v/>
      </c>
      <c r="K44" s="18">
        <f>IF($A44="","",IFERROR(AVERAGEIF(tblOlcum[VarlikId],$A44,tblOlcum[FormulCpk]),0))</f>
        <v/>
      </c>
      <c r="L44" s="18">
        <f>IF($A44="","",MAX(0,MIN(100,spy_kaliteTaban-IF($K44&lt;spy_esikCpk,spy_kaliteCeza,0)-COUNTIFS(tblOlcum[VarlikId],$A44,tblOlcum[AlarmBayrak],"ALARM")*spy_kaliteSapma-IF($I44="HAYIR",spy_kaliteCeza,0))))</f>
        <v/>
      </c>
    </row>
    <row r="45">
      <c r="A45" s="15" t="n"/>
      <c r="B45" s="15" t="n"/>
      <c r="C45" s="15" t="n"/>
      <c r="D45" s="15" t="n"/>
      <c r="E45" s="16" t="n"/>
      <c r="F45" s="16" t="n"/>
      <c r="G45" s="16" t="n"/>
      <c r="H45" s="17" t="n"/>
      <c r="I45" s="15" t="n"/>
      <c r="J45" s="18">
        <f>IF($A45="","",COUNTIF(tblOlcum[VarlikId],$A45))</f>
        <v/>
      </c>
      <c r="K45" s="18">
        <f>IF($A45="","",IFERROR(AVERAGEIF(tblOlcum[VarlikId],$A45,tblOlcum[FormulCpk]),0))</f>
        <v/>
      </c>
      <c r="L45" s="18">
        <f>IF($A45="","",MAX(0,MIN(100,spy_kaliteTaban-IF($K45&lt;spy_esikCpk,spy_kaliteCeza,0)-COUNTIFS(tblOlcum[VarlikId],$A45,tblOlcum[AlarmBayrak],"ALARM")*spy_kaliteSapma-IF($I45="HAYIR",spy_kaliteCeza,0))))</f>
        <v/>
      </c>
    </row>
    <row r="46">
      <c r="A46" s="15" t="n"/>
      <c r="B46" s="15" t="n"/>
      <c r="C46" s="15" t="n"/>
      <c r="D46" s="15" t="n"/>
      <c r="E46" s="16" t="n"/>
      <c r="F46" s="16" t="n"/>
      <c r="G46" s="16" t="n"/>
      <c r="H46" s="17" t="n"/>
      <c r="I46" s="15" t="n"/>
      <c r="J46" s="18">
        <f>IF($A46="","",COUNTIF(tblOlcum[VarlikId],$A46))</f>
        <v/>
      </c>
      <c r="K46" s="18">
        <f>IF($A46="","",IFERROR(AVERAGEIF(tblOlcum[VarlikId],$A46,tblOlcum[FormulCpk]),0))</f>
        <v/>
      </c>
      <c r="L46" s="18">
        <f>IF($A46="","",MAX(0,MIN(100,spy_kaliteTaban-IF($K46&lt;spy_esikCpk,spy_kaliteCeza,0)-COUNTIFS(tblOlcum[VarlikId],$A46,tblOlcum[AlarmBayrak],"ALARM")*spy_kaliteSapma-IF($I46="HAYIR",spy_kaliteCeza,0))))</f>
        <v/>
      </c>
    </row>
    <row r="47">
      <c r="A47" s="15" t="n"/>
      <c r="B47" s="15" t="n"/>
      <c r="C47" s="15" t="n"/>
      <c r="D47" s="15" t="n"/>
      <c r="E47" s="16" t="n"/>
      <c r="F47" s="16" t="n"/>
      <c r="G47" s="16" t="n"/>
      <c r="H47" s="17" t="n"/>
      <c r="I47" s="15" t="n"/>
      <c r="J47" s="18">
        <f>IF($A47="","",COUNTIF(tblOlcum[VarlikId],$A47))</f>
        <v/>
      </c>
      <c r="K47" s="18">
        <f>IF($A47="","",IFERROR(AVERAGEIF(tblOlcum[VarlikId],$A47,tblOlcum[FormulCpk]),0))</f>
        <v/>
      </c>
      <c r="L47" s="18">
        <f>IF($A47="","",MAX(0,MIN(100,spy_kaliteTaban-IF($K47&lt;spy_esikCpk,spy_kaliteCeza,0)-COUNTIFS(tblOlcum[VarlikId],$A47,tblOlcum[AlarmBayrak],"ALARM")*spy_kaliteSapma-IF($I47="HAYIR",spy_kaliteCeza,0))))</f>
        <v/>
      </c>
    </row>
    <row r="48">
      <c r="A48" s="15" t="n"/>
      <c r="B48" s="15" t="n"/>
      <c r="C48" s="15" t="n"/>
      <c r="D48" s="15" t="n"/>
      <c r="E48" s="16" t="n"/>
      <c r="F48" s="16" t="n"/>
      <c r="G48" s="16" t="n"/>
      <c r="H48" s="17" t="n"/>
      <c r="I48" s="15" t="n"/>
      <c r="J48" s="18">
        <f>IF($A48="","",COUNTIF(tblOlcum[VarlikId],$A48))</f>
        <v/>
      </c>
      <c r="K48" s="18">
        <f>IF($A48="","",IFERROR(AVERAGEIF(tblOlcum[VarlikId],$A48,tblOlcum[FormulCpk]),0))</f>
        <v/>
      </c>
      <c r="L48" s="18">
        <f>IF($A48="","",MAX(0,MIN(100,spy_kaliteTaban-IF($K48&lt;spy_esikCpk,spy_kaliteCeza,0)-COUNTIFS(tblOlcum[VarlikId],$A48,tblOlcum[AlarmBayrak],"ALARM")*spy_kaliteSapma-IF($I48="HAYIR",spy_kaliteCeza,0))))</f>
        <v/>
      </c>
    </row>
    <row r="49">
      <c r="A49" s="15" t="n"/>
      <c r="B49" s="15" t="n"/>
      <c r="C49" s="15" t="n"/>
      <c r="D49" s="15" t="n"/>
      <c r="E49" s="16" t="n"/>
      <c r="F49" s="16" t="n"/>
      <c r="G49" s="16" t="n"/>
      <c r="H49" s="17" t="n"/>
      <c r="I49" s="15" t="n"/>
      <c r="J49" s="18">
        <f>IF($A49="","",COUNTIF(tblOlcum[VarlikId],$A49))</f>
        <v/>
      </c>
      <c r="K49" s="18">
        <f>IF($A49="","",IFERROR(AVERAGEIF(tblOlcum[VarlikId],$A49,tblOlcum[FormulCpk]),0))</f>
        <v/>
      </c>
      <c r="L49" s="18">
        <f>IF($A49="","",MAX(0,MIN(100,spy_kaliteTaban-IF($K49&lt;spy_esikCpk,spy_kaliteCeza,0)-COUNTIFS(tblOlcum[VarlikId],$A49,tblOlcum[AlarmBayrak],"ALARM")*spy_kaliteSapma-IF($I49="HAYIR",spy_kaliteCeza,0))))</f>
        <v/>
      </c>
    </row>
    <row r="50">
      <c r="A50" s="15" t="n"/>
      <c r="B50" s="15" t="n"/>
      <c r="C50" s="15" t="n"/>
      <c r="D50" s="15" t="n"/>
      <c r="E50" s="16" t="n"/>
      <c r="F50" s="16" t="n"/>
      <c r="G50" s="16" t="n"/>
      <c r="H50" s="17" t="n"/>
      <c r="I50" s="15" t="n"/>
      <c r="J50" s="18">
        <f>IF($A50="","",COUNTIF(tblOlcum[VarlikId],$A50))</f>
        <v/>
      </c>
      <c r="K50" s="18">
        <f>IF($A50="","",IFERROR(AVERAGEIF(tblOlcum[VarlikId],$A50,tblOlcum[FormulCpk]),0))</f>
        <v/>
      </c>
      <c r="L50" s="18">
        <f>IF($A50="","",MAX(0,MIN(100,spy_kaliteTaban-IF($K50&lt;spy_esikCpk,spy_kaliteCeza,0)-COUNTIFS(tblOlcum[VarlikId],$A50,tblOlcum[AlarmBayrak],"ALARM")*spy_kaliteSapma-IF($I50="HAYIR",spy_kaliteCeza,0))))</f>
        <v/>
      </c>
    </row>
    <row r="51">
      <c r="A51" s="15" t="n"/>
      <c r="B51" s="15" t="n"/>
      <c r="C51" s="15" t="n"/>
      <c r="D51" s="15" t="n"/>
      <c r="E51" s="16" t="n"/>
      <c r="F51" s="16" t="n"/>
      <c r="G51" s="16" t="n"/>
      <c r="H51" s="17" t="n"/>
      <c r="I51" s="15" t="n"/>
      <c r="J51" s="18">
        <f>IF($A51="","",COUNTIF(tblOlcum[VarlikId],$A51))</f>
        <v/>
      </c>
      <c r="K51" s="18">
        <f>IF($A51="","",IFERROR(AVERAGEIF(tblOlcum[VarlikId],$A51,tblOlcum[FormulCpk]),0))</f>
        <v/>
      </c>
      <c r="L51" s="18">
        <f>IF($A51="","",MAX(0,MIN(100,spy_kaliteTaban-IF($K51&lt;spy_esikCpk,spy_kaliteCeza,0)-COUNTIFS(tblOlcum[VarlikId],$A51,tblOlcum[AlarmBayrak],"ALARM")*spy_kaliteSapma-IF($I51="HAYIR",spy_kaliteCeza,0))))</f>
        <v/>
      </c>
    </row>
    <row r="52">
      <c r="A52" s="15" t="n"/>
      <c r="B52" s="15" t="n"/>
      <c r="C52" s="15" t="n"/>
      <c r="D52" s="15" t="n"/>
      <c r="E52" s="16" t="n"/>
      <c r="F52" s="16" t="n"/>
      <c r="G52" s="16" t="n"/>
      <c r="H52" s="17" t="n"/>
      <c r="I52" s="15" t="n"/>
      <c r="J52" s="18">
        <f>IF($A52="","",COUNTIF(tblOlcum[VarlikId],$A52))</f>
        <v/>
      </c>
      <c r="K52" s="18">
        <f>IF($A52="","",IFERROR(AVERAGEIF(tblOlcum[VarlikId],$A52,tblOlcum[FormulCpk]),0))</f>
        <v/>
      </c>
      <c r="L52" s="18">
        <f>IF($A52="","",MAX(0,MIN(100,spy_kaliteTaban-IF($K52&lt;spy_esikCpk,spy_kaliteCeza,0)-COUNTIFS(tblOlcum[VarlikId],$A52,tblOlcum[AlarmBayrak],"ALARM")*spy_kaliteSapma-IF($I52="HAYIR",spy_kaliteCeza,0))))</f>
        <v/>
      </c>
    </row>
    <row r="53">
      <c r="A53" s="15" t="n"/>
      <c r="B53" s="15" t="n"/>
      <c r="C53" s="15" t="n"/>
      <c r="D53" s="15" t="n"/>
      <c r="E53" s="16" t="n"/>
      <c r="F53" s="16" t="n"/>
      <c r="G53" s="16" t="n"/>
      <c r="H53" s="17" t="n"/>
      <c r="I53" s="15" t="n"/>
      <c r="J53" s="18">
        <f>IF($A53="","",COUNTIF(tblOlcum[VarlikId],$A53))</f>
        <v/>
      </c>
      <c r="K53" s="18">
        <f>IF($A53="","",IFERROR(AVERAGEIF(tblOlcum[VarlikId],$A53,tblOlcum[FormulCpk]),0))</f>
        <v/>
      </c>
      <c r="L53" s="18">
        <f>IF($A53="","",MAX(0,MIN(100,spy_kaliteTaban-IF($K53&lt;spy_esikCpk,spy_kaliteCeza,0)-COUNTIFS(tblOlcum[VarlikId],$A53,tblOlcum[AlarmBayrak],"ALARM")*spy_kaliteSapma-IF($I53="HAYIR",spy_kaliteCeza,0))))</f>
        <v/>
      </c>
    </row>
    <row r="54">
      <c r="A54" s="15" t="n"/>
      <c r="B54" s="15" t="n"/>
      <c r="C54" s="15" t="n"/>
      <c r="D54" s="15" t="n"/>
      <c r="E54" s="16" t="n"/>
      <c r="F54" s="16" t="n"/>
      <c r="G54" s="16" t="n"/>
      <c r="H54" s="17" t="n"/>
      <c r="I54" s="15" t="n"/>
      <c r="J54" s="18">
        <f>IF($A54="","",COUNTIF(tblOlcum[VarlikId],$A54))</f>
        <v/>
      </c>
      <c r="K54" s="18">
        <f>IF($A54="","",IFERROR(AVERAGEIF(tblOlcum[VarlikId],$A54,tblOlcum[FormulCpk]),0))</f>
        <v/>
      </c>
      <c r="L54" s="18">
        <f>IF($A54="","",MAX(0,MIN(100,spy_kaliteTaban-IF($K54&lt;spy_esikCpk,spy_kaliteCeza,0)-COUNTIFS(tblOlcum[VarlikId],$A54,tblOlcum[AlarmBayrak],"ALARM")*spy_kaliteSapma-IF($I54="HAYIR",spy_kaliteCeza,0))))</f>
        <v/>
      </c>
    </row>
    <row r="55">
      <c r="A55" s="15" t="n"/>
      <c r="B55" s="15" t="n"/>
      <c r="C55" s="15" t="n"/>
      <c r="D55" s="15" t="n"/>
      <c r="E55" s="16" t="n"/>
      <c r="F55" s="16" t="n"/>
      <c r="G55" s="16" t="n"/>
      <c r="H55" s="17" t="n"/>
      <c r="I55" s="15" t="n"/>
      <c r="J55" s="18">
        <f>IF($A55="","",COUNTIF(tblOlcum[VarlikId],$A55))</f>
        <v/>
      </c>
      <c r="K55" s="18">
        <f>IF($A55="","",IFERROR(AVERAGEIF(tblOlcum[VarlikId],$A55,tblOlcum[FormulCpk]),0))</f>
        <v/>
      </c>
      <c r="L55" s="18">
        <f>IF($A55="","",MAX(0,MIN(100,spy_kaliteTaban-IF($K55&lt;spy_esikCpk,spy_kaliteCeza,0)-COUNTIFS(tblOlcum[VarlikId],$A55,tblOlcum[AlarmBayrak],"ALARM")*spy_kaliteSapma-IF($I55="HAYIR",spy_kaliteCeza,0))))</f>
        <v/>
      </c>
    </row>
    <row r="56">
      <c r="A56" s="15" t="n"/>
      <c r="B56" s="15" t="n"/>
      <c r="C56" s="15" t="n"/>
      <c r="D56" s="15" t="n"/>
      <c r="E56" s="16" t="n"/>
      <c r="F56" s="16" t="n"/>
      <c r="G56" s="16" t="n"/>
      <c r="H56" s="17" t="n"/>
      <c r="I56" s="15" t="n"/>
      <c r="J56" s="18">
        <f>IF($A56="","",COUNTIF(tblOlcum[VarlikId],$A56))</f>
        <v/>
      </c>
      <c r="K56" s="18">
        <f>IF($A56="","",IFERROR(AVERAGEIF(tblOlcum[VarlikId],$A56,tblOlcum[FormulCpk]),0))</f>
        <v/>
      </c>
      <c r="L56" s="18">
        <f>IF($A56="","",MAX(0,MIN(100,spy_kaliteTaban-IF($K56&lt;spy_esikCpk,spy_kaliteCeza,0)-COUNTIFS(tblOlcum[VarlikId],$A56,tblOlcum[AlarmBayrak],"ALARM")*spy_kaliteSapma-IF($I56="HAYIR",spy_kaliteCeza,0))))</f>
        <v/>
      </c>
    </row>
    <row r="57">
      <c r="A57" s="15" t="n"/>
      <c r="B57" s="15" t="n"/>
      <c r="C57" s="15" t="n"/>
      <c r="D57" s="15" t="n"/>
      <c r="E57" s="16" t="n"/>
      <c r="F57" s="16" t="n"/>
      <c r="G57" s="16" t="n"/>
      <c r="H57" s="17" t="n"/>
      <c r="I57" s="15" t="n"/>
      <c r="J57" s="18">
        <f>IF($A57="","",COUNTIF(tblOlcum[VarlikId],$A57))</f>
        <v/>
      </c>
      <c r="K57" s="18">
        <f>IF($A57="","",IFERROR(AVERAGEIF(tblOlcum[VarlikId],$A57,tblOlcum[FormulCpk]),0))</f>
        <v/>
      </c>
      <c r="L57" s="18">
        <f>IF($A57="","",MAX(0,MIN(100,spy_kaliteTaban-IF($K57&lt;spy_esikCpk,spy_kaliteCeza,0)-COUNTIFS(tblOlcum[VarlikId],$A57,tblOlcum[AlarmBayrak],"ALARM")*spy_kaliteSapma-IF($I57="HAYIR",spy_kaliteCeza,0))))</f>
        <v/>
      </c>
    </row>
    <row r="58">
      <c r="A58" s="15" t="n"/>
      <c r="B58" s="15" t="n"/>
      <c r="C58" s="15" t="n"/>
      <c r="D58" s="15" t="n"/>
      <c r="E58" s="16" t="n"/>
      <c r="F58" s="16" t="n"/>
      <c r="G58" s="16" t="n"/>
      <c r="H58" s="17" t="n"/>
      <c r="I58" s="15" t="n"/>
      <c r="J58" s="18">
        <f>IF($A58="","",COUNTIF(tblOlcum[VarlikId],$A58))</f>
        <v/>
      </c>
      <c r="K58" s="18">
        <f>IF($A58="","",IFERROR(AVERAGEIF(tblOlcum[VarlikId],$A58,tblOlcum[FormulCpk]),0))</f>
        <v/>
      </c>
      <c r="L58" s="18">
        <f>IF($A58="","",MAX(0,MIN(100,spy_kaliteTaban-IF($K58&lt;spy_esikCpk,spy_kaliteCeza,0)-COUNTIFS(tblOlcum[VarlikId],$A58,tblOlcum[AlarmBayrak],"ALARM")*spy_kaliteSapma-IF($I58="HAYIR",spy_kaliteCeza,0))))</f>
        <v/>
      </c>
    </row>
    <row r="59">
      <c r="A59" s="15" t="n"/>
      <c r="B59" s="15" t="n"/>
      <c r="C59" s="15" t="n"/>
      <c r="D59" s="15" t="n"/>
      <c r="E59" s="16" t="n"/>
      <c r="F59" s="16" t="n"/>
      <c r="G59" s="16" t="n"/>
      <c r="H59" s="17" t="n"/>
      <c r="I59" s="15" t="n"/>
      <c r="J59" s="18">
        <f>IF($A59="","",COUNTIF(tblOlcum[VarlikId],$A59))</f>
        <v/>
      </c>
      <c r="K59" s="18">
        <f>IF($A59="","",IFERROR(AVERAGEIF(tblOlcum[VarlikId],$A59,tblOlcum[FormulCpk]),0))</f>
        <v/>
      </c>
      <c r="L59" s="18">
        <f>IF($A59="","",MAX(0,MIN(100,spy_kaliteTaban-IF($K59&lt;spy_esikCpk,spy_kaliteCeza,0)-COUNTIFS(tblOlcum[VarlikId],$A59,tblOlcum[AlarmBayrak],"ALARM")*spy_kaliteSapma-IF($I59="HAYIR",spy_kaliteCeza,0))))</f>
        <v/>
      </c>
    </row>
    <row r="60">
      <c r="A60" s="15" t="n"/>
      <c r="B60" s="15" t="n"/>
      <c r="C60" s="15" t="n"/>
      <c r="D60" s="15" t="n"/>
      <c r="E60" s="16" t="n"/>
      <c r="F60" s="16" t="n"/>
      <c r="G60" s="16" t="n"/>
      <c r="H60" s="17" t="n"/>
      <c r="I60" s="15" t="n"/>
      <c r="J60" s="18">
        <f>IF($A60="","",COUNTIF(tblOlcum[VarlikId],$A60))</f>
        <v/>
      </c>
      <c r="K60" s="18">
        <f>IF($A60="","",IFERROR(AVERAGEIF(tblOlcum[VarlikId],$A60,tblOlcum[FormulCpk]),0))</f>
        <v/>
      </c>
      <c r="L60" s="18">
        <f>IF($A60="","",MAX(0,MIN(100,spy_kaliteTaban-IF($K60&lt;spy_esikCpk,spy_kaliteCeza,0)-COUNTIFS(tblOlcum[VarlikId],$A60,tblOlcum[AlarmBayrak],"ALARM")*spy_kaliteSapma-IF($I60="HAYIR",spy_kaliteCeza,0))))</f>
        <v/>
      </c>
    </row>
    <row r="61">
      <c r="A61" s="15" t="n"/>
      <c r="B61" s="15" t="n"/>
      <c r="C61" s="15" t="n"/>
      <c r="D61" s="15" t="n"/>
      <c r="E61" s="16" t="n"/>
      <c r="F61" s="16" t="n"/>
      <c r="G61" s="16" t="n"/>
      <c r="H61" s="17" t="n"/>
      <c r="I61" s="15" t="n"/>
      <c r="J61" s="18">
        <f>IF($A61="","",COUNTIF(tblOlcum[VarlikId],$A61))</f>
        <v/>
      </c>
      <c r="K61" s="18">
        <f>IF($A61="","",IFERROR(AVERAGEIF(tblOlcum[VarlikId],$A61,tblOlcum[FormulCpk]),0))</f>
        <v/>
      </c>
      <c r="L61" s="18">
        <f>IF($A61="","",MAX(0,MIN(100,spy_kaliteTaban-IF($K61&lt;spy_esikCpk,spy_kaliteCeza,0)-COUNTIFS(tblOlcum[VarlikId],$A61,tblOlcum[AlarmBayrak],"ALARM")*spy_kaliteSapma-IF($I61="HAYIR",spy_kaliteCeza,0))))</f>
        <v/>
      </c>
    </row>
    <row r="62">
      <c r="A62" s="15" t="n"/>
      <c r="B62" s="15" t="n"/>
      <c r="C62" s="15" t="n"/>
      <c r="D62" s="15" t="n"/>
      <c r="E62" s="16" t="n"/>
      <c r="F62" s="16" t="n"/>
      <c r="G62" s="16" t="n"/>
      <c r="H62" s="17" t="n"/>
      <c r="I62" s="15" t="n"/>
      <c r="J62" s="18">
        <f>IF($A62="","",COUNTIF(tblOlcum[VarlikId],$A62))</f>
        <v/>
      </c>
      <c r="K62" s="18">
        <f>IF($A62="","",IFERROR(AVERAGEIF(tblOlcum[VarlikId],$A62,tblOlcum[FormulCpk]),0))</f>
        <v/>
      </c>
      <c r="L62" s="18">
        <f>IF($A62="","",MAX(0,MIN(100,spy_kaliteTaban-IF($K62&lt;spy_esikCpk,spy_kaliteCeza,0)-COUNTIFS(tblOlcum[VarlikId],$A62,tblOlcum[AlarmBayrak],"ALARM")*spy_kaliteSapma-IF($I62="HAYIR",spy_kaliteCeza,0))))</f>
        <v/>
      </c>
    </row>
    <row r="63">
      <c r="A63" s="15" t="n"/>
      <c r="B63" s="15" t="n"/>
      <c r="C63" s="15" t="n"/>
      <c r="D63" s="15" t="n"/>
      <c r="E63" s="16" t="n"/>
      <c r="F63" s="16" t="n"/>
      <c r="G63" s="16" t="n"/>
      <c r="H63" s="17" t="n"/>
      <c r="I63" s="15" t="n"/>
      <c r="J63" s="18">
        <f>IF($A63="","",COUNTIF(tblOlcum[VarlikId],$A63))</f>
        <v/>
      </c>
      <c r="K63" s="18">
        <f>IF($A63="","",IFERROR(AVERAGEIF(tblOlcum[VarlikId],$A63,tblOlcum[FormulCpk]),0))</f>
        <v/>
      </c>
      <c r="L63" s="18">
        <f>IF($A63="","",MAX(0,MIN(100,spy_kaliteTaban-IF($K63&lt;spy_esikCpk,spy_kaliteCeza,0)-COUNTIFS(tblOlcum[VarlikId],$A63,tblOlcum[AlarmBayrak],"ALARM")*spy_kaliteSapma-IF($I63="HAYIR",spy_kaliteCeza,0))))</f>
        <v/>
      </c>
    </row>
    <row r="64">
      <c r="A64" s="15" t="n"/>
      <c r="B64" s="15" t="n"/>
      <c r="C64" s="15" t="n"/>
      <c r="D64" s="15" t="n"/>
      <c r="E64" s="16" t="n"/>
      <c r="F64" s="16" t="n"/>
      <c r="G64" s="16" t="n"/>
      <c r="H64" s="17" t="n"/>
      <c r="I64" s="15" t="n"/>
      <c r="J64" s="18">
        <f>IF($A64="","",COUNTIF(tblOlcum[VarlikId],$A64))</f>
        <v/>
      </c>
      <c r="K64" s="18">
        <f>IF($A64="","",IFERROR(AVERAGEIF(tblOlcum[VarlikId],$A64,tblOlcum[FormulCpk]),0))</f>
        <v/>
      </c>
      <c r="L64" s="18">
        <f>IF($A64="","",MAX(0,MIN(100,spy_kaliteTaban-IF($K64&lt;spy_esikCpk,spy_kaliteCeza,0)-COUNTIFS(tblOlcum[VarlikId],$A64,tblOlcum[AlarmBayrak],"ALARM")*spy_kaliteSapma-IF($I64="HAYIR",spy_kaliteCeza,0))))</f>
        <v/>
      </c>
    </row>
    <row r="65">
      <c r="A65" s="15" t="n"/>
      <c r="B65" s="15" t="n"/>
      <c r="C65" s="15" t="n"/>
      <c r="D65" s="15" t="n"/>
      <c r="E65" s="16" t="n"/>
      <c r="F65" s="16" t="n"/>
      <c r="G65" s="16" t="n"/>
      <c r="H65" s="17" t="n"/>
      <c r="I65" s="15" t="n"/>
      <c r="J65" s="18">
        <f>IF($A65="","",COUNTIF(tblOlcum[VarlikId],$A65))</f>
        <v/>
      </c>
      <c r="K65" s="18">
        <f>IF($A65="","",IFERROR(AVERAGEIF(tblOlcum[VarlikId],$A65,tblOlcum[FormulCpk]),0))</f>
        <v/>
      </c>
      <c r="L65" s="18">
        <f>IF($A65="","",MAX(0,MIN(100,spy_kaliteTaban-IF($K65&lt;spy_esikCpk,spy_kaliteCeza,0)-COUNTIFS(tblOlcum[VarlikId],$A65,tblOlcum[AlarmBayrak],"ALARM")*spy_kaliteSapma-IF($I65="HAYIR",spy_kaliteCeza,0))))</f>
        <v/>
      </c>
    </row>
    <row r="66">
      <c r="A66" s="15" t="n"/>
      <c r="B66" s="15" t="n"/>
      <c r="C66" s="15" t="n"/>
      <c r="D66" s="15" t="n"/>
      <c r="E66" s="16" t="n"/>
      <c r="F66" s="16" t="n"/>
      <c r="G66" s="16" t="n"/>
      <c r="H66" s="17" t="n"/>
      <c r="I66" s="15" t="n"/>
      <c r="J66" s="18">
        <f>IF($A66="","",COUNTIF(tblOlcum[VarlikId],$A66))</f>
        <v/>
      </c>
      <c r="K66" s="18">
        <f>IF($A66="","",IFERROR(AVERAGEIF(tblOlcum[VarlikId],$A66,tblOlcum[FormulCpk]),0))</f>
        <v/>
      </c>
      <c r="L66" s="18">
        <f>IF($A66="","",MAX(0,MIN(100,spy_kaliteTaban-IF($K66&lt;spy_esikCpk,spy_kaliteCeza,0)-COUNTIFS(tblOlcum[VarlikId],$A66,tblOlcum[AlarmBayrak],"ALARM")*spy_kaliteSapma-IF($I66="HAYIR",spy_kaliteCeza,0))))</f>
        <v/>
      </c>
    </row>
    <row r="67">
      <c r="A67" s="15" t="n"/>
      <c r="B67" s="15" t="n"/>
      <c r="C67" s="15" t="n"/>
      <c r="D67" s="15" t="n"/>
      <c r="E67" s="16" t="n"/>
      <c r="F67" s="16" t="n"/>
      <c r="G67" s="16" t="n"/>
      <c r="H67" s="17" t="n"/>
      <c r="I67" s="15" t="n"/>
      <c r="J67" s="18">
        <f>IF($A67="","",COUNTIF(tblOlcum[VarlikId],$A67))</f>
        <v/>
      </c>
      <c r="K67" s="18">
        <f>IF($A67="","",IFERROR(AVERAGEIF(tblOlcum[VarlikId],$A67,tblOlcum[FormulCpk]),0))</f>
        <v/>
      </c>
      <c r="L67" s="18">
        <f>IF($A67="","",MAX(0,MIN(100,spy_kaliteTaban-IF($K67&lt;spy_esikCpk,spy_kaliteCeza,0)-COUNTIFS(tblOlcum[VarlikId],$A67,tblOlcum[AlarmBayrak],"ALARM")*spy_kaliteSapma-IF($I67="HAYIR",spy_kaliteCeza,0))))</f>
        <v/>
      </c>
    </row>
    <row r="68">
      <c r="A68" s="15" t="n"/>
      <c r="B68" s="15" t="n"/>
      <c r="C68" s="15" t="n"/>
      <c r="D68" s="15" t="n"/>
      <c r="E68" s="16" t="n"/>
      <c r="F68" s="16" t="n"/>
      <c r="G68" s="16" t="n"/>
      <c r="H68" s="17" t="n"/>
      <c r="I68" s="15" t="n"/>
      <c r="J68" s="18">
        <f>IF($A68="","",COUNTIF(tblOlcum[VarlikId],$A68))</f>
        <v/>
      </c>
      <c r="K68" s="18">
        <f>IF($A68="","",IFERROR(AVERAGEIF(tblOlcum[VarlikId],$A68,tblOlcum[FormulCpk]),0))</f>
        <v/>
      </c>
      <c r="L68" s="18">
        <f>IF($A68="","",MAX(0,MIN(100,spy_kaliteTaban-IF($K68&lt;spy_esikCpk,spy_kaliteCeza,0)-COUNTIFS(tblOlcum[VarlikId],$A68,tblOlcum[AlarmBayrak],"ALARM")*spy_kaliteSapma-IF($I68="HAYIR",spy_kaliteCeza,0))))</f>
        <v/>
      </c>
    </row>
    <row r="69">
      <c r="A69" s="15" t="n"/>
      <c r="B69" s="15" t="n"/>
      <c r="C69" s="15" t="n"/>
      <c r="D69" s="15" t="n"/>
      <c r="E69" s="16" t="n"/>
      <c r="F69" s="16" t="n"/>
      <c r="G69" s="16" t="n"/>
      <c r="H69" s="17" t="n"/>
      <c r="I69" s="15" t="n"/>
      <c r="J69" s="18">
        <f>IF($A69="","",COUNTIF(tblOlcum[VarlikId],$A69))</f>
        <v/>
      </c>
      <c r="K69" s="18">
        <f>IF($A69="","",IFERROR(AVERAGEIF(tblOlcum[VarlikId],$A69,tblOlcum[FormulCpk]),0))</f>
        <v/>
      </c>
      <c r="L69" s="18">
        <f>IF($A69="","",MAX(0,MIN(100,spy_kaliteTaban-IF($K69&lt;spy_esikCpk,spy_kaliteCeza,0)-COUNTIFS(tblOlcum[VarlikId],$A69,tblOlcum[AlarmBayrak],"ALARM")*spy_kaliteSapma-IF($I69="HAYIR",spy_kaliteCeza,0))))</f>
        <v/>
      </c>
    </row>
    <row r="70">
      <c r="A70" s="15" t="n"/>
      <c r="B70" s="15" t="n"/>
      <c r="C70" s="15" t="n"/>
      <c r="D70" s="15" t="n"/>
      <c r="E70" s="16" t="n"/>
      <c r="F70" s="16" t="n"/>
      <c r="G70" s="16" t="n"/>
      <c r="H70" s="17" t="n"/>
      <c r="I70" s="15" t="n"/>
      <c r="J70" s="18">
        <f>IF($A70="","",COUNTIF(tblOlcum[VarlikId],$A70))</f>
        <v/>
      </c>
      <c r="K70" s="18">
        <f>IF($A70="","",IFERROR(AVERAGEIF(tblOlcum[VarlikId],$A70,tblOlcum[FormulCpk]),0))</f>
        <v/>
      </c>
      <c r="L70" s="18">
        <f>IF($A70="","",MAX(0,MIN(100,spy_kaliteTaban-IF($K70&lt;spy_esikCpk,spy_kaliteCeza,0)-COUNTIFS(tblOlcum[VarlikId],$A70,tblOlcum[AlarmBayrak],"ALARM")*spy_kaliteSapma-IF($I70="HAYIR",spy_kaliteCeza,0))))</f>
        <v/>
      </c>
    </row>
    <row r="71">
      <c r="A71" s="15" t="n"/>
      <c r="B71" s="15" t="n"/>
      <c r="C71" s="15" t="n"/>
      <c r="D71" s="15" t="n"/>
      <c r="E71" s="16" t="n"/>
      <c r="F71" s="16" t="n"/>
      <c r="G71" s="16" t="n"/>
      <c r="H71" s="17" t="n"/>
      <c r="I71" s="15" t="n"/>
      <c r="J71" s="18">
        <f>IF($A71="","",COUNTIF(tblOlcum[VarlikId],$A71))</f>
        <v/>
      </c>
      <c r="K71" s="18">
        <f>IF($A71="","",IFERROR(AVERAGEIF(tblOlcum[VarlikId],$A71,tblOlcum[FormulCpk]),0))</f>
        <v/>
      </c>
      <c r="L71" s="18">
        <f>IF($A71="","",MAX(0,MIN(100,spy_kaliteTaban-IF($K71&lt;spy_esikCpk,spy_kaliteCeza,0)-COUNTIFS(tblOlcum[VarlikId],$A71,tblOlcum[AlarmBayrak],"ALARM")*spy_kaliteSapma-IF($I71="HAYIR",spy_kaliteCeza,0))))</f>
        <v/>
      </c>
    </row>
    <row r="72">
      <c r="A72" s="15" t="n"/>
      <c r="B72" s="15" t="n"/>
      <c r="C72" s="15" t="n"/>
      <c r="D72" s="15" t="n"/>
      <c r="E72" s="16" t="n"/>
      <c r="F72" s="16" t="n"/>
      <c r="G72" s="16" t="n"/>
      <c r="H72" s="17" t="n"/>
      <c r="I72" s="15" t="n"/>
      <c r="J72" s="18">
        <f>IF($A72="","",COUNTIF(tblOlcum[VarlikId],$A72))</f>
        <v/>
      </c>
      <c r="K72" s="18">
        <f>IF($A72="","",IFERROR(AVERAGEIF(tblOlcum[VarlikId],$A72,tblOlcum[FormulCpk]),0))</f>
        <v/>
      </c>
      <c r="L72" s="18">
        <f>IF($A72="","",MAX(0,MIN(100,spy_kaliteTaban-IF($K72&lt;spy_esikCpk,spy_kaliteCeza,0)-COUNTIFS(tblOlcum[VarlikId],$A72,tblOlcum[AlarmBayrak],"ALARM")*spy_kaliteSapma-IF($I72="HAYIR",spy_kaliteCeza,0))))</f>
        <v/>
      </c>
    </row>
    <row r="73">
      <c r="A73" s="15" t="n"/>
      <c r="B73" s="15" t="n"/>
      <c r="C73" s="15" t="n"/>
      <c r="D73" s="15" t="n"/>
      <c r="E73" s="16" t="n"/>
      <c r="F73" s="16" t="n"/>
      <c r="G73" s="16" t="n"/>
      <c r="H73" s="17" t="n"/>
      <c r="I73" s="15" t="n"/>
      <c r="J73" s="18">
        <f>IF($A73="","",COUNTIF(tblOlcum[VarlikId],$A73))</f>
        <v/>
      </c>
      <c r="K73" s="18">
        <f>IF($A73="","",IFERROR(AVERAGEIF(tblOlcum[VarlikId],$A73,tblOlcum[FormulCpk]),0))</f>
        <v/>
      </c>
      <c r="L73" s="18">
        <f>IF($A73="","",MAX(0,MIN(100,spy_kaliteTaban-IF($K73&lt;spy_esikCpk,spy_kaliteCeza,0)-COUNTIFS(tblOlcum[VarlikId],$A73,tblOlcum[AlarmBayrak],"ALARM")*spy_kaliteSapma-IF($I73="HAYIR",spy_kaliteCeza,0))))</f>
        <v/>
      </c>
    </row>
    <row r="74">
      <c r="A74" s="15" t="n"/>
      <c r="B74" s="15" t="n"/>
      <c r="C74" s="15" t="n"/>
      <c r="D74" s="15" t="n"/>
      <c r="E74" s="16" t="n"/>
      <c r="F74" s="16" t="n"/>
      <c r="G74" s="16" t="n"/>
      <c r="H74" s="17" t="n"/>
      <c r="I74" s="15" t="n"/>
      <c r="J74" s="18">
        <f>IF($A74="","",COUNTIF(tblOlcum[VarlikId],$A74))</f>
        <v/>
      </c>
      <c r="K74" s="18">
        <f>IF($A74="","",IFERROR(AVERAGEIF(tblOlcum[VarlikId],$A74,tblOlcum[FormulCpk]),0))</f>
        <v/>
      </c>
      <c r="L74" s="18">
        <f>IF($A74="","",MAX(0,MIN(100,spy_kaliteTaban-IF($K74&lt;spy_esikCpk,spy_kaliteCeza,0)-COUNTIFS(tblOlcum[VarlikId],$A74,tblOlcum[AlarmBayrak],"ALARM")*spy_kaliteSapma-IF($I74="HAYIR",spy_kaliteCeza,0))))</f>
        <v/>
      </c>
    </row>
    <row r="75">
      <c r="A75" s="15" t="n"/>
      <c r="B75" s="15" t="n"/>
      <c r="C75" s="15" t="n"/>
      <c r="D75" s="15" t="n"/>
      <c r="E75" s="16" t="n"/>
      <c r="F75" s="16" t="n"/>
      <c r="G75" s="16" t="n"/>
      <c r="H75" s="17" t="n"/>
      <c r="I75" s="15" t="n"/>
      <c r="J75" s="18">
        <f>IF($A75="","",COUNTIF(tblOlcum[VarlikId],$A75))</f>
        <v/>
      </c>
      <c r="K75" s="18">
        <f>IF($A75="","",IFERROR(AVERAGEIF(tblOlcum[VarlikId],$A75,tblOlcum[FormulCpk]),0))</f>
        <v/>
      </c>
      <c r="L75" s="18">
        <f>IF($A75="","",MAX(0,MIN(100,spy_kaliteTaban-IF($K75&lt;spy_esikCpk,spy_kaliteCeza,0)-COUNTIFS(tblOlcum[VarlikId],$A75,tblOlcum[AlarmBayrak],"ALARM")*spy_kaliteSapma-IF($I75="HAYIR",spy_kaliteCeza,0))))</f>
        <v/>
      </c>
    </row>
    <row r="76">
      <c r="A76" s="15" t="n"/>
      <c r="B76" s="15" t="n"/>
      <c r="C76" s="15" t="n"/>
      <c r="D76" s="15" t="n"/>
      <c r="E76" s="16" t="n"/>
      <c r="F76" s="16" t="n"/>
      <c r="G76" s="16" t="n"/>
      <c r="H76" s="17" t="n"/>
      <c r="I76" s="15" t="n"/>
      <c r="J76" s="18">
        <f>IF($A76="","",COUNTIF(tblOlcum[VarlikId],$A76))</f>
        <v/>
      </c>
      <c r="K76" s="18">
        <f>IF($A76="","",IFERROR(AVERAGEIF(tblOlcum[VarlikId],$A76,tblOlcum[FormulCpk]),0))</f>
        <v/>
      </c>
      <c r="L76" s="18">
        <f>IF($A76="","",MAX(0,MIN(100,spy_kaliteTaban-IF($K76&lt;spy_esikCpk,spy_kaliteCeza,0)-COUNTIFS(tblOlcum[VarlikId],$A76,tblOlcum[AlarmBayrak],"ALARM")*spy_kaliteSapma-IF($I76="HAYIR",spy_kaliteCeza,0))))</f>
        <v/>
      </c>
    </row>
    <row r="77">
      <c r="A77" s="15" t="n"/>
      <c r="B77" s="15" t="n"/>
      <c r="C77" s="15" t="n"/>
      <c r="D77" s="15" t="n"/>
      <c r="E77" s="16" t="n"/>
      <c r="F77" s="16" t="n"/>
      <c r="G77" s="16" t="n"/>
      <c r="H77" s="17" t="n"/>
      <c r="I77" s="15" t="n"/>
      <c r="J77" s="18">
        <f>IF($A77="","",COUNTIF(tblOlcum[VarlikId],$A77))</f>
        <v/>
      </c>
      <c r="K77" s="18">
        <f>IF($A77="","",IFERROR(AVERAGEIF(tblOlcum[VarlikId],$A77,tblOlcum[FormulCpk]),0))</f>
        <v/>
      </c>
      <c r="L77" s="18">
        <f>IF($A77="","",MAX(0,MIN(100,spy_kaliteTaban-IF($K77&lt;spy_esikCpk,spy_kaliteCeza,0)-COUNTIFS(tblOlcum[VarlikId],$A77,tblOlcum[AlarmBayrak],"ALARM")*spy_kaliteSapma-IF($I77="HAYIR",spy_kaliteCeza,0))))</f>
        <v/>
      </c>
    </row>
    <row r="78">
      <c r="A78" s="15" t="n"/>
      <c r="B78" s="15" t="n"/>
      <c r="C78" s="15" t="n"/>
      <c r="D78" s="15" t="n"/>
      <c r="E78" s="16" t="n"/>
      <c r="F78" s="16" t="n"/>
      <c r="G78" s="16" t="n"/>
      <c r="H78" s="17" t="n"/>
      <c r="I78" s="15" t="n"/>
      <c r="J78" s="18">
        <f>IF($A78="","",COUNTIF(tblOlcum[VarlikId],$A78))</f>
        <v/>
      </c>
      <c r="K78" s="18">
        <f>IF($A78="","",IFERROR(AVERAGEIF(tblOlcum[VarlikId],$A78,tblOlcum[FormulCpk]),0))</f>
        <v/>
      </c>
      <c r="L78" s="18">
        <f>IF($A78="","",MAX(0,MIN(100,spy_kaliteTaban-IF($K78&lt;spy_esikCpk,spy_kaliteCeza,0)-COUNTIFS(tblOlcum[VarlikId],$A78,tblOlcum[AlarmBayrak],"ALARM")*spy_kaliteSapma-IF($I78="HAYIR",spy_kaliteCeza,0))))</f>
        <v/>
      </c>
    </row>
    <row r="79">
      <c r="A79" s="15" t="n"/>
      <c r="B79" s="15" t="n"/>
      <c r="C79" s="15" t="n"/>
      <c r="D79" s="15" t="n"/>
      <c r="E79" s="16" t="n"/>
      <c r="F79" s="16" t="n"/>
      <c r="G79" s="16" t="n"/>
      <c r="H79" s="17" t="n"/>
      <c r="I79" s="15" t="n"/>
      <c r="J79" s="18">
        <f>IF($A79="","",COUNTIF(tblOlcum[VarlikId],$A79))</f>
        <v/>
      </c>
      <c r="K79" s="18">
        <f>IF($A79="","",IFERROR(AVERAGEIF(tblOlcum[VarlikId],$A79,tblOlcum[FormulCpk]),0))</f>
        <v/>
      </c>
      <c r="L79" s="18">
        <f>IF($A79="","",MAX(0,MIN(100,spy_kaliteTaban-IF($K79&lt;spy_esikCpk,spy_kaliteCeza,0)-COUNTIFS(tblOlcum[VarlikId],$A79,tblOlcum[AlarmBayrak],"ALARM")*spy_kaliteSapma-IF($I79="HAYIR",spy_kaliteCeza,0))))</f>
        <v/>
      </c>
    </row>
    <row r="80">
      <c r="A80" s="15" t="n"/>
      <c r="B80" s="15" t="n"/>
      <c r="C80" s="15" t="n"/>
      <c r="D80" s="15" t="n"/>
      <c r="E80" s="16" t="n"/>
      <c r="F80" s="16" t="n"/>
      <c r="G80" s="16" t="n"/>
      <c r="H80" s="17" t="n"/>
      <c r="I80" s="15" t="n"/>
      <c r="J80" s="18">
        <f>IF($A80="","",COUNTIF(tblOlcum[VarlikId],$A80))</f>
        <v/>
      </c>
      <c r="K80" s="18">
        <f>IF($A80="","",IFERROR(AVERAGEIF(tblOlcum[VarlikId],$A80,tblOlcum[FormulCpk]),0))</f>
        <v/>
      </c>
      <c r="L80" s="18">
        <f>IF($A80="","",MAX(0,MIN(100,spy_kaliteTaban-IF($K80&lt;spy_esikCpk,spy_kaliteCeza,0)-COUNTIFS(tblOlcum[VarlikId],$A80,tblOlcum[AlarmBayrak],"ALARM")*spy_kaliteSapma-IF($I80="HAYIR",spy_kaliteCeza,0))))</f>
        <v/>
      </c>
    </row>
    <row r="81">
      <c r="A81" s="15" t="n"/>
      <c r="B81" s="15" t="n"/>
      <c r="C81" s="15" t="n"/>
      <c r="D81" s="15" t="n"/>
      <c r="E81" s="16" t="n"/>
      <c r="F81" s="16" t="n"/>
      <c r="G81" s="16" t="n"/>
      <c r="H81" s="17" t="n"/>
      <c r="I81" s="15" t="n"/>
      <c r="J81" s="18">
        <f>IF($A81="","",COUNTIF(tblOlcum[VarlikId],$A81))</f>
        <v/>
      </c>
      <c r="K81" s="18">
        <f>IF($A81="","",IFERROR(AVERAGEIF(tblOlcum[VarlikId],$A81,tblOlcum[FormulCpk]),0))</f>
        <v/>
      </c>
      <c r="L81" s="18">
        <f>IF($A81="","",MAX(0,MIN(100,spy_kaliteTaban-IF($K81&lt;spy_esikCpk,spy_kaliteCeza,0)-COUNTIFS(tblOlcum[VarlikId],$A81,tblOlcum[AlarmBayrak],"ALARM")*spy_kaliteSapma-IF($I81="HAYIR",spy_kaliteCeza,0))))</f>
        <v/>
      </c>
    </row>
    <row r="82">
      <c r="A82" s="15" t="n"/>
      <c r="B82" s="15" t="n"/>
      <c r="C82" s="15" t="n"/>
      <c r="D82" s="15" t="n"/>
      <c r="E82" s="16" t="n"/>
      <c r="F82" s="16" t="n"/>
      <c r="G82" s="16" t="n"/>
      <c r="H82" s="17" t="n"/>
      <c r="I82" s="15" t="n"/>
      <c r="J82" s="18">
        <f>IF($A82="","",COUNTIF(tblOlcum[VarlikId],$A82))</f>
        <v/>
      </c>
      <c r="K82" s="18">
        <f>IF($A82="","",IFERROR(AVERAGEIF(tblOlcum[VarlikId],$A82,tblOlcum[FormulCpk]),0))</f>
        <v/>
      </c>
      <c r="L82" s="18">
        <f>IF($A82="","",MAX(0,MIN(100,spy_kaliteTaban-IF($K82&lt;spy_esikCpk,spy_kaliteCeza,0)-COUNTIFS(tblOlcum[VarlikId],$A82,tblOlcum[AlarmBayrak],"ALARM")*spy_kaliteSapma-IF($I82="HAYIR",spy_kaliteCeza,0))))</f>
        <v/>
      </c>
    </row>
    <row r="83">
      <c r="A83" s="15" t="n"/>
      <c r="B83" s="15" t="n"/>
      <c r="C83" s="15" t="n"/>
      <c r="D83" s="15" t="n"/>
      <c r="E83" s="16" t="n"/>
      <c r="F83" s="16" t="n"/>
      <c r="G83" s="16" t="n"/>
      <c r="H83" s="17" t="n"/>
      <c r="I83" s="15" t="n"/>
      <c r="J83" s="18">
        <f>IF($A83="","",COUNTIF(tblOlcum[VarlikId],$A83))</f>
        <v/>
      </c>
      <c r="K83" s="18">
        <f>IF($A83="","",IFERROR(AVERAGEIF(tblOlcum[VarlikId],$A83,tblOlcum[FormulCpk]),0))</f>
        <v/>
      </c>
      <c r="L83" s="18">
        <f>IF($A83="","",MAX(0,MIN(100,spy_kaliteTaban-IF($K83&lt;spy_esikCpk,spy_kaliteCeza,0)-COUNTIFS(tblOlcum[VarlikId],$A83,tblOlcum[AlarmBayrak],"ALARM")*spy_kaliteSapma-IF($I83="HAYIR",spy_kaliteCeza,0))))</f>
        <v/>
      </c>
    </row>
    <row r="84">
      <c r="A84" s="15" t="n"/>
      <c r="B84" s="15" t="n"/>
      <c r="C84" s="15" t="n"/>
      <c r="D84" s="15" t="n"/>
      <c r="E84" s="16" t="n"/>
      <c r="F84" s="16" t="n"/>
      <c r="G84" s="16" t="n"/>
      <c r="H84" s="17" t="n"/>
      <c r="I84" s="15" t="n"/>
      <c r="J84" s="18">
        <f>IF($A84="","",COUNTIF(tblOlcum[VarlikId],$A84))</f>
        <v/>
      </c>
      <c r="K84" s="18">
        <f>IF($A84="","",IFERROR(AVERAGEIF(tblOlcum[VarlikId],$A84,tblOlcum[FormulCpk]),0))</f>
        <v/>
      </c>
      <c r="L84" s="18">
        <f>IF($A84="","",MAX(0,MIN(100,spy_kaliteTaban-IF($K84&lt;spy_esikCpk,spy_kaliteCeza,0)-COUNTIFS(tblOlcum[VarlikId],$A84,tblOlcum[AlarmBayrak],"ALARM")*spy_kaliteSapma-IF($I84="HAYIR",spy_kaliteCeza,0))))</f>
        <v/>
      </c>
    </row>
    <row r="85">
      <c r="A85" s="15" t="n"/>
      <c r="B85" s="15" t="n"/>
      <c r="C85" s="15" t="n"/>
      <c r="D85" s="15" t="n"/>
      <c r="E85" s="16" t="n"/>
      <c r="F85" s="16" t="n"/>
      <c r="G85" s="16" t="n"/>
      <c r="H85" s="17" t="n"/>
      <c r="I85" s="15" t="n"/>
      <c r="J85" s="18">
        <f>IF($A85="","",COUNTIF(tblOlcum[VarlikId],$A85))</f>
        <v/>
      </c>
      <c r="K85" s="18">
        <f>IF($A85="","",IFERROR(AVERAGEIF(tblOlcum[VarlikId],$A85,tblOlcum[FormulCpk]),0))</f>
        <v/>
      </c>
      <c r="L85" s="18">
        <f>IF($A85="","",MAX(0,MIN(100,spy_kaliteTaban-IF($K85&lt;spy_esikCpk,spy_kaliteCeza,0)-COUNTIFS(tblOlcum[VarlikId],$A85,tblOlcum[AlarmBayrak],"ALARM")*spy_kaliteSapma-IF($I85="HAYIR",spy_kaliteCeza,0))))</f>
        <v/>
      </c>
    </row>
    <row r="86">
      <c r="A86" s="15" t="n"/>
      <c r="B86" s="15" t="n"/>
      <c r="C86" s="15" t="n"/>
      <c r="D86" s="15" t="n"/>
      <c r="E86" s="16" t="n"/>
      <c r="F86" s="16" t="n"/>
      <c r="G86" s="16" t="n"/>
      <c r="H86" s="17" t="n"/>
      <c r="I86" s="15" t="n"/>
      <c r="J86" s="18">
        <f>IF($A86="","",COUNTIF(tblOlcum[VarlikId],$A86))</f>
        <v/>
      </c>
      <c r="K86" s="18">
        <f>IF($A86="","",IFERROR(AVERAGEIF(tblOlcum[VarlikId],$A86,tblOlcum[FormulCpk]),0))</f>
        <v/>
      </c>
      <c r="L86" s="18">
        <f>IF($A86="","",MAX(0,MIN(100,spy_kaliteTaban-IF($K86&lt;spy_esikCpk,spy_kaliteCeza,0)-COUNTIFS(tblOlcum[VarlikId],$A86,tblOlcum[AlarmBayrak],"ALARM")*spy_kaliteSapma-IF($I86="HAYIR",spy_kaliteCeza,0))))</f>
        <v/>
      </c>
    </row>
    <row r="87">
      <c r="A87" s="15" t="n"/>
      <c r="B87" s="15" t="n"/>
      <c r="C87" s="15" t="n"/>
      <c r="D87" s="15" t="n"/>
      <c r="E87" s="16" t="n"/>
      <c r="F87" s="16" t="n"/>
      <c r="G87" s="16" t="n"/>
      <c r="H87" s="17" t="n"/>
      <c r="I87" s="15" t="n"/>
      <c r="J87" s="18">
        <f>IF($A87="","",COUNTIF(tblOlcum[VarlikId],$A87))</f>
        <v/>
      </c>
      <c r="K87" s="18">
        <f>IF($A87="","",IFERROR(AVERAGEIF(tblOlcum[VarlikId],$A87,tblOlcum[FormulCpk]),0))</f>
        <v/>
      </c>
      <c r="L87" s="18">
        <f>IF($A87="","",MAX(0,MIN(100,spy_kaliteTaban-IF($K87&lt;spy_esikCpk,spy_kaliteCeza,0)-COUNTIFS(tblOlcum[VarlikId],$A87,tblOlcum[AlarmBayrak],"ALARM")*spy_kaliteSapma-IF($I87="HAYIR",spy_kaliteCeza,0))))</f>
        <v/>
      </c>
    </row>
    <row r="88">
      <c r="A88" s="15" t="n"/>
      <c r="B88" s="15" t="n"/>
      <c r="C88" s="15" t="n"/>
      <c r="D88" s="15" t="n"/>
      <c r="E88" s="16" t="n"/>
      <c r="F88" s="16" t="n"/>
      <c r="G88" s="16" t="n"/>
      <c r="H88" s="17" t="n"/>
      <c r="I88" s="15" t="n"/>
      <c r="J88" s="18">
        <f>IF($A88="","",COUNTIF(tblOlcum[VarlikId],$A88))</f>
        <v/>
      </c>
      <c r="K88" s="18">
        <f>IF($A88="","",IFERROR(AVERAGEIF(tblOlcum[VarlikId],$A88,tblOlcum[FormulCpk]),0))</f>
        <v/>
      </c>
      <c r="L88" s="18">
        <f>IF($A88="","",MAX(0,MIN(100,spy_kaliteTaban-IF($K88&lt;spy_esikCpk,spy_kaliteCeza,0)-COUNTIFS(tblOlcum[VarlikId],$A88,tblOlcum[AlarmBayrak],"ALARM")*spy_kaliteSapma-IF($I88="HAYIR",spy_kaliteCeza,0))))</f>
        <v/>
      </c>
    </row>
    <row r="89">
      <c r="A89" s="15" t="n"/>
      <c r="B89" s="15" t="n"/>
      <c r="C89" s="15" t="n"/>
      <c r="D89" s="15" t="n"/>
      <c r="E89" s="16" t="n"/>
      <c r="F89" s="16" t="n"/>
      <c r="G89" s="16" t="n"/>
      <c r="H89" s="17" t="n"/>
      <c r="I89" s="15" t="n"/>
      <c r="J89" s="18">
        <f>IF($A89="","",COUNTIF(tblOlcum[VarlikId],$A89))</f>
        <v/>
      </c>
      <c r="K89" s="18">
        <f>IF($A89="","",IFERROR(AVERAGEIF(tblOlcum[VarlikId],$A89,tblOlcum[FormulCpk]),0))</f>
        <v/>
      </c>
      <c r="L89" s="18">
        <f>IF($A89="","",MAX(0,MIN(100,spy_kaliteTaban-IF($K89&lt;spy_esikCpk,spy_kaliteCeza,0)-COUNTIFS(tblOlcum[VarlikId],$A89,tblOlcum[AlarmBayrak],"ALARM")*spy_kaliteSapma-IF($I89="HAYIR",spy_kaliteCeza,0))))</f>
        <v/>
      </c>
    </row>
    <row r="90">
      <c r="A90" s="15" t="n"/>
      <c r="B90" s="15" t="n"/>
      <c r="C90" s="15" t="n"/>
      <c r="D90" s="15" t="n"/>
      <c r="E90" s="16" t="n"/>
      <c r="F90" s="16" t="n"/>
      <c r="G90" s="16" t="n"/>
      <c r="H90" s="17" t="n"/>
      <c r="I90" s="15" t="n"/>
      <c r="J90" s="18">
        <f>IF($A90="","",COUNTIF(tblOlcum[VarlikId],$A90))</f>
        <v/>
      </c>
      <c r="K90" s="18">
        <f>IF($A90="","",IFERROR(AVERAGEIF(tblOlcum[VarlikId],$A90,tblOlcum[FormulCpk]),0))</f>
        <v/>
      </c>
      <c r="L90" s="18">
        <f>IF($A90="","",MAX(0,MIN(100,spy_kaliteTaban-IF($K90&lt;spy_esikCpk,spy_kaliteCeza,0)-COUNTIFS(tblOlcum[VarlikId],$A90,tblOlcum[AlarmBayrak],"ALARM")*spy_kaliteSapma-IF($I90="HAYIR",spy_kaliteCeza,0))))</f>
        <v/>
      </c>
    </row>
    <row r="91">
      <c r="A91" s="15" t="n"/>
      <c r="B91" s="15" t="n"/>
      <c r="C91" s="15" t="n"/>
      <c r="D91" s="15" t="n"/>
      <c r="E91" s="16" t="n"/>
      <c r="F91" s="16" t="n"/>
      <c r="G91" s="16" t="n"/>
      <c r="H91" s="17" t="n"/>
      <c r="I91" s="15" t="n"/>
      <c r="J91" s="18">
        <f>IF($A91="","",COUNTIF(tblOlcum[VarlikId],$A91))</f>
        <v/>
      </c>
      <c r="K91" s="18">
        <f>IF($A91="","",IFERROR(AVERAGEIF(tblOlcum[VarlikId],$A91,tblOlcum[FormulCpk]),0))</f>
        <v/>
      </c>
      <c r="L91" s="18">
        <f>IF($A91="","",MAX(0,MIN(100,spy_kaliteTaban-IF($K91&lt;spy_esikCpk,spy_kaliteCeza,0)-COUNTIFS(tblOlcum[VarlikId],$A91,tblOlcum[AlarmBayrak],"ALARM")*spy_kaliteSapma-IF($I91="HAYIR",spy_kaliteCeza,0))))</f>
        <v/>
      </c>
    </row>
    <row r="92">
      <c r="A92" s="15" t="n"/>
      <c r="B92" s="15" t="n"/>
      <c r="C92" s="15" t="n"/>
      <c r="D92" s="15" t="n"/>
      <c r="E92" s="16" t="n"/>
      <c r="F92" s="16" t="n"/>
      <c r="G92" s="16" t="n"/>
      <c r="H92" s="17" t="n"/>
      <c r="I92" s="15" t="n"/>
      <c r="J92" s="18">
        <f>IF($A92="","",COUNTIF(tblOlcum[VarlikId],$A92))</f>
        <v/>
      </c>
      <c r="K92" s="18">
        <f>IF($A92="","",IFERROR(AVERAGEIF(tblOlcum[VarlikId],$A92,tblOlcum[FormulCpk]),0))</f>
        <v/>
      </c>
      <c r="L92" s="18">
        <f>IF($A92="","",MAX(0,MIN(100,spy_kaliteTaban-IF($K92&lt;spy_esikCpk,spy_kaliteCeza,0)-COUNTIFS(tblOlcum[VarlikId],$A92,tblOlcum[AlarmBayrak],"ALARM")*spy_kaliteSapma-IF($I92="HAYIR",spy_kaliteCeza,0))))</f>
        <v/>
      </c>
    </row>
    <row r="93">
      <c r="A93" s="15" t="n"/>
      <c r="B93" s="15" t="n"/>
      <c r="C93" s="15" t="n"/>
      <c r="D93" s="15" t="n"/>
      <c r="E93" s="16" t="n"/>
      <c r="F93" s="16" t="n"/>
      <c r="G93" s="16" t="n"/>
      <c r="H93" s="17" t="n"/>
      <c r="I93" s="15" t="n"/>
      <c r="J93" s="18">
        <f>IF($A93="","",COUNTIF(tblOlcum[VarlikId],$A93))</f>
        <v/>
      </c>
      <c r="K93" s="18">
        <f>IF($A93="","",IFERROR(AVERAGEIF(tblOlcum[VarlikId],$A93,tblOlcum[FormulCpk]),0))</f>
        <v/>
      </c>
      <c r="L93" s="18">
        <f>IF($A93="","",MAX(0,MIN(100,spy_kaliteTaban-IF($K93&lt;spy_esikCpk,spy_kaliteCeza,0)-COUNTIFS(tblOlcum[VarlikId],$A93,tblOlcum[AlarmBayrak],"ALARM")*spy_kaliteSapma-IF($I93="HAYIR",spy_kaliteCeza,0))))</f>
        <v/>
      </c>
    </row>
    <row r="94">
      <c r="A94" s="15" t="n"/>
      <c r="B94" s="15" t="n"/>
      <c r="C94" s="15" t="n"/>
      <c r="D94" s="15" t="n"/>
      <c r="E94" s="16" t="n"/>
      <c r="F94" s="16" t="n"/>
      <c r="G94" s="16" t="n"/>
      <c r="H94" s="17" t="n"/>
      <c r="I94" s="15" t="n"/>
      <c r="J94" s="18">
        <f>IF($A94="","",COUNTIF(tblOlcum[VarlikId],$A94))</f>
        <v/>
      </c>
      <c r="K94" s="18">
        <f>IF($A94="","",IFERROR(AVERAGEIF(tblOlcum[VarlikId],$A94,tblOlcum[FormulCpk]),0))</f>
        <v/>
      </c>
      <c r="L94" s="18">
        <f>IF($A94="","",MAX(0,MIN(100,spy_kaliteTaban-IF($K94&lt;spy_esikCpk,spy_kaliteCeza,0)-COUNTIFS(tblOlcum[VarlikId],$A94,tblOlcum[AlarmBayrak],"ALARM")*spy_kaliteSapma-IF($I94="HAYIR",spy_kaliteCeza,0))))</f>
        <v/>
      </c>
    </row>
    <row r="95">
      <c r="A95" s="15" t="n"/>
      <c r="B95" s="15" t="n"/>
      <c r="C95" s="15" t="n"/>
      <c r="D95" s="15" t="n"/>
      <c r="E95" s="16" t="n"/>
      <c r="F95" s="16" t="n"/>
      <c r="G95" s="16" t="n"/>
      <c r="H95" s="17" t="n"/>
      <c r="I95" s="15" t="n"/>
      <c r="J95" s="18">
        <f>IF($A95="","",COUNTIF(tblOlcum[VarlikId],$A95))</f>
        <v/>
      </c>
      <c r="K95" s="18">
        <f>IF($A95="","",IFERROR(AVERAGEIF(tblOlcum[VarlikId],$A95,tblOlcum[FormulCpk]),0))</f>
        <v/>
      </c>
      <c r="L95" s="18">
        <f>IF($A95="","",MAX(0,MIN(100,spy_kaliteTaban-IF($K95&lt;spy_esikCpk,spy_kaliteCeza,0)-COUNTIFS(tblOlcum[VarlikId],$A95,tblOlcum[AlarmBayrak],"ALARM")*spy_kaliteSapma-IF($I95="HAYIR",spy_kaliteCeza,0))))</f>
        <v/>
      </c>
    </row>
    <row r="96">
      <c r="A96" s="15" t="n"/>
      <c r="B96" s="15" t="n"/>
      <c r="C96" s="15" t="n"/>
      <c r="D96" s="15" t="n"/>
      <c r="E96" s="16" t="n"/>
      <c r="F96" s="16" t="n"/>
      <c r="G96" s="16" t="n"/>
      <c r="H96" s="17" t="n"/>
      <c r="I96" s="15" t="n"/>
      <c r="J96" s="18">
        <f>IF($A96="","",COUNTIF(tblOlcum[VarlikId],$A96))</f>
        <v/>
      </c>
      <c r="K96" s="18">
        <f>IF($A96="","",IFERROR(AVERAGEIF(tblOlcum[VarlikId],$A96,tblOlcum[FormulCpk]),0))</f>
        <v/>
      </c>
      <c r="L96" s="18">
        <f>IF($A96="","",MAX(0,MIN(100,spy_kaliteTaban-IF($K96&lt;spy_esikCpk,spy_kaliteCeza,0)-COUNTIFS(tblOlcum[VarlikId],$A96,tblOlcum[AlarmBayrak],"ALARM")*spy_kaliteSapma-IF($I96="HAYIR",spy_kaliteCeza,0))))</f>
        <v/>
      </c>
    </row>
    <row r="97">
      <c r="A97" s="15" t="n"/>
      <c r="B97" s="15" t="n"/>
      <c r="C97" s="15" t="n"/>
      <c r="D97" s="15" t="n"/>
      <c r="E97" s="16" t="n"/>
      <c r="F97" s="16" t="n"/>
      <c r="G97" s="16" t="n"/>
      <c r="H97" s="17" t="n"/>
      <c r="I97" s="15" t="n"/>
      <c r="J97" s="18">
        <f>IF($A97="","",COUNTIF(tblOlcum[VarlikId],$A97))</f>
        <v/>
      </c>
      <c r="K97" s="18">
        <f>IF($A97="","",IFERROR(AVERAGEIF(tblOlcum[VarlikId],$A97,tblOlcum[FormulCpk]),0))</f>
        <v/>
      </c>
      <c r="L97" s="18">
        <f>IF($A97="","",MAX(0,MIN(100,spy_kaliteTaban-IF($K97&lt;spy_esikCpk,spy_kaliteCeza,0)-COUNTIFS(tblOlcum[VarlikId],$A97,tblOlcum[AlarmBayrak],"ALARM")*spy_kaliteSapma-IF($I97="HAYIR",spy_kaliteCeza,0))))</f>
        <v/>
      </c>
    </row>
    <row r="98">
      <c r="A98" s="15" t="n"/>
      <c r="B98" s="15" t="n"/>
      <c r="C98" s="15" t="n"/>
      <c r="D98" s="15" t="n"/>
      <c r="E98" s="16" t="n"/>
      <c r="F98" s="16" t="n"/>
      <c r="G98" s="16" t="n"/>
      <c r="H98" s="17" t="n"/>
      <c r="I98" s="15" t="n"/>
      <c r="J98" s="18">
        <f>IF($A98="","",COUNTIF(tblOlcum[VarlikId],$A98))</f>
        <v/>
      </c>
      <c r="K98" s="18">
        <f>IF($A98="","",IFERROR(AVERAGEIF(tblOlcum[VarlikId],$A98,tblOlcum[FormulCpk]),0))</f>
        <v/>
      </c>
      <c r="L98" s="18">
        <f>IF($A98="","",MAX(0,MIN(100,spy_kaliteTaban-IF($K98&lt;spy_esikCpk,spy_kaliteCeza,0)-COUNTIFS(tblOlcum[VarlikId],$A98,tblOlcum[AlarmBayrak],"ALARM")*spy_kaliteSapma-IF($I98="HAYIR",spy_kaliteCeza,0))))</f>
        <v/>
      </c>
    </row>
    <row r="99">
      <c r="A99" s="15" t="n"/>
      <c r="B99" s="15" t="n"/>
      <c r="C99" s="15" t="n"/>
      <c r="D99" s="15" t="n"/>
      <c r="E99" s="16" t="n"/>
      <c r="F99" s="16" t="n"/>
      <c r="G99" s="16" t="n"/>
      <c r="H99" s="17" t="n"/>
      <c r="I99" s="15" t="n"/>
      <c r="J99" s="18">
        <f>IF($A99="","",COUNTIF(tblOlcum[VarlikId],$A99))</f>
        <v/>
      </c>
      <c r="K99" s="18">
        <f>IF($A99="","",IFERROR(AVERAGEIF(tblOlcum[VarlikId],$A99,tblOlcum[FormulCpk]),0))</f>
        <v/>
      </c>
      <c r="L99" s="18">
        <f>IF($A99="","",MAX(0,MIN(100,spy_kaliteTaban-IF($K99&lt;spy_esikCpk,spy_kaliteCeza,0)-COUNTIFS(tblOlcum[VarlikId],$A99,tblOlcum[AlarmBayrak],"ALARM")*spy_kaliteSapma-IF($I99="HAYIR",spy_kaliteCeza,0))))</f>
        <v/>
      </c>
    </row>
    <row r="100">
      <c r="A100" s="15" t="n"/>
      <c r="B100" s="15" t="n"/>
      <c r="C100" s="15" t="n"/>
      <c r="D100" s="15" t="n"/>
      <c r="E100" s="16" t="n"/>
      <c r="F100" s="16" t="n"/>
      <c r="G100" s="16" t="n"/>
      <c r="H100" s="17" t="n"/>
      <c r="I100" s="15" t="n"/>
      <c r="J100" s="18">
        <f>IF($A100="","",COUNTIF(tblOlcum[VarlikId],$A100))</f>
        <v/>
      </c>
      <c r="K100" s="18">
        <f>IF($A100="","",IFERROR(AVERAGEIF(tblOlcum[VarlikId],$A100,tblOlcum[FormulCpk]),0))</f>
        <v/>
      </c>
      <c r="L100" s="18">
        <f>IF($A100="","",MAX(0,MIN(100,spy_kaliteTaban-IF($K100&lt;spy_esikCpk,spy_kaliteCeza,0)-COUNTIFS(tblOlcum[VarlikId],$A100,tblOlcum[AlarmBayrak],"ALARM")*spy_kaliteSapma-IF($I100="HAYIR",spy_kaliteCeza,0))))</f>
        <v/>
      </c>
    </row>
    <row r="101">
      <c r="A101" s="15" t="n"/>
      <c r="B101" s="15" t="n"/>
      <c r="C101" s="15" t="n"/>
      <c r="D101" s="15" t="n"/>
      <c r="E101" s="16" t="n"/>
      <c r="F101" s="16" t="n"/>
      <c r="G101" s="16" t="n"/>
      <c r="H101" s="17" t="n"/>
      <c r="I101" s="15" t="n"/>
      <c r="J101" s="18">
        <f>IF($A101="","",COUNTIF(tblOlcum[VarlikId],$A101))</f>
        <v/>
      </c>
      <c r="K101" s="18">
        <f>IF($A101="","",IFERROR(AVERAGEIF(tblOlcum[VarlikId],$A101,tblOlcum[FormulCpk]),0))</f>
        <v/>
      </c>
      <c r="L101" s="18">
        <f>IF($A101="","",MAX(0,MIN(100,spy_kaliteTaban-IF($K101&lt;spy_esikCpk,spy_kaliteCeza,0)-COUNTIFS(tblOlcum[VarlikId],$A101,tblOlcum[AlarmBayrak],"ALARM")*spy_kaliteSapma-IF($I101="HAYIR",spy_kaliteCeza,0))))</f>
        <v/>
      </c>
    </row>
    <row r="102">
      <c r="A102" s="15" t="n"/>
      <c r="B102" s="15" t="n"/>
      <c r="C102" s="15" t="n"/>
      <c r="D102" s="15" t="n"/>
      <c r="E102" s="16" t="n"/>
      <c r="F102" s="16" t="n"/>
      <c r="G102" s="16" t="n"/>
      <c r="H102" s="17" t="n"/>
      <c r="I102" s="15" t="n"/>
      <c r="J102" s="18">
        <f>IF($A102="","",COUNTIF(tblOlcum[VarlikId],$A102))</f>
        <v/>
      </c>
      <c r="K102" s="18">
        <f>IF($A102="","",IFERROR(AVERAGEIF(tblOlcum[VarlikId],$A102,tblOlcum[FormulCpk]),0))</f>
        <v/>
      </c>
      <c r="L102" s="18">
        <f>IF($A102="","",MAX(0,MIN(100,spy_kaliteTaban-IF($K102&lt;spy_esikCpk,spy_kaliteCeza,0)-COUNTIFS(tblOlcum[VarlikId],$A102,tblOlcum[AlarmBayrak],"ALARM")*spy_kaliteSapma-IF($I102="HAYIR",spy_kaliteCeza,0))))</f>
        <v/>
      </c>
    </row>
    <row r="103">
      <c r="A103" s="15" t="n"/>
      <c r="B103" s="15" t="n"/>
      <c r="C103" s="15" t="n"/>
      <c r="D103" s="15" t="n"/>
      <c r="E103" s="16" t="n"/>
      <c r="F103" s="16" t="n"/>
      <c r="G103" s="16" t="n"/>
      <c r="H103" s="17" t="n"/>
      <c r="I103" s="15" t="n"/>
      <c r="J103" s="18">
        <f>IF($A103="","",COUNTIF(tblOlcum[VarlikId],$A103))</f>
        <v/>
      </c>
      <c r="K103" s="18">
        <f>IF($A103="","",IFERROR(AVERAGEIF(tblOlcum[VarlikId],$A103,tblOlcum[FormulCpk]),0))</f>
        <v/>
      </c>
      <c r="L103" s="18">
        <f>IF($A103="","",MAX(0,MIN(100,spy_kaliteTaban-IF($K103&lt;spy_esikCpk,spy_kaliteCeza,0)-COUNTIFS(tblOlcum[VarlikId],$A103,tblOlcum[AlarmBayrak],"ALARM")*spy_kaliteSapma-IF($I103="HAYIR",spy_kaliteCeza,0))))</f>
        <v/>
      </c>
    </row>
    <row r="104">
      <c r="A104" s="15" t="n"/>
      <c r="B104" s="15" t="n"/>
      <c r="C104" s="15" t="n"/>
      <c r="D104" s="15" t="n"/>
      <c r="E104" s="16" t="n"/>
      <c r="F104" s="16" t="n"/>
      <c r="G104" s="16" t="n"/>
      <c r="H104" s="17" t="n"/>
      <c r="I104" s="15" t="n"/>
      <c r="J104" s="18">
        <f>IF($A104="","",COUNTIF(tblOlcum[VarlikId],$A104))</f>
        <v/>
      </c>
      <c r="K104" s="18">
        <f>IF($A104="","",IFERROR(AVERAGEIF(tblOlcum[VarlikId],$A104,tblOlcum[FormulCpk]),0))</f>
        <v/>
      </c>
      <c r="L104" s="18">
        <f>IF($A104="","",MAX(0,MIN(100,spy_kaliteTaban-IF($K104&lt;spy_esikCpk,spy_kaliteCeza,0)-COUNTIFS(tblOlcum[VarlikId],$A104,tblOlcum[AlarmBayrak],"ALARM")*spy_kaliteSapma-IF($I104="HAYIR",spy_kaliteCeza,0))))</f>
        <v/>
      </c>
    </row>
    <row r="105">
      <c r="A105" s="15" t="n"/>
      <c r="B105" s="15" t="n"/>
      <c r="C105" s="15" t="n"/>
      <c r="D105" s="15" t="n"/>
      <c r="E105" s="16" t="n"/>
      <c r="F105" s="16" t="n"/>
      <c r="G105" s="16" t="n"/>
      <c r="H105" s="17" t="n"/>
      <c r="I105" s="15" t="n"/>
      <c r="J105" s="18">
        <f>IF($A105="","",COUNTIF(tblOlcum[VarlikId],$A105))</f>
        <v/>
      </c>
      <c r="K105" s="18">
        <f>IF($A105="","",IFERROR(AVERAGEIF(tblOlcum[VarlikId],$A105,tblOlcum[FormulCpk]),0))</f>
        <v/>
      </c>
      <c r="L105" s="18">
        <f>IF($A105="","",MAX(0,MIN(100,spy_kaliteTaban-IF($K105&lt;spy_esikCpk,spy_kaliteCeza,0)-COUNTIFS(tblOlcum[VarlikId],$A105,tblOlcum[AlarmBayrak],"ALARM")*spy_kaliteSapma-IF($I105="HAYIR",spy_kaliteCeza,0))))</f>
        <v/>
      </c>
    </row>
    <row r="106">
      <c r="A106" s="15" t="n"/>
      <c r="B106" s="15" t="n"/>
      <c r="C106" s="15" t="n"/>
      <c r="D106" s="15" t="n"/>
      <c r="E106" s="16" t="n"/>
      <c r="F106" s="16" t="n"/>
      <c r="G106" s="16" t="n"/>
      <c r="H106" s="17" t="n"/>
      <c r="I106" s="15" t="n"/>
      <c r="J106" s="18">
        <f>IF($A106="","",COUNTIF(tblOlcum[VarlikId],$A106))</f>
        <v/>
      </c>
      <c r="K106" s="18">
        <f>IF($A106="","",IFERROR(AVERAGEIF(tblOlcum[VarlikId],$A106,tblOlcum[FormulCpk]),0))</f>
        <v/>
      </c>
      <c r="L106" s="18">
        <f>IF($A106="","",MAX(0,MIN(100,spy_kaliteTaban-IF($K106&lt;spy_esikCpk,spy_kaliteCeza,0)-COUNTIFS(tblOlcum[VarlikId],$A106,tblOlcum[AlarmBayrak],"ALARM")*spy_kaliteSapma-IF($I106="HAYIR",spy_kaliteCeza,0))))</f>
        <v/>
      </c>
    </row>
    <row r="107">
      <c r="A107" s="15" t="n"/>
      <c r="B107" s="15" t="n"/>
      <c r="C107" s="15" t="n"/>
      <c r="D107" s="15" t="n"/>
      <c r="E107" s="16" t="n"/>
      <c r="F107" s="16" t="n"/>
      <c r="G107" s="16" t="n"/>
      <c r="H107" s="17" t="n"/>
      <c r="I107" s="15" t="n"/>
      <c r="J107" s="18">
        <f>IF($A107="","",COUNTIF(tblOlcum[VarlikId],$A107))</f>
        <v/>
      </c>
      <c r="K107" s="18">
        <f>IF($A107="","",IFERROR(AVERAGEIF(tblOlcum[VarlikId],$A107,tblOlcum[FormulCpk]),0))</f>
        <v/>
      </c>
      <c r="L107" s="18">
        <f>IF($A107="","",MAX(0,MIN(100,spy_kaliteTaban-IF($K107&lt;spy_esikCpk,spy_kaliteCeza,0)-COUNTIFS(tblOlcum[VarlikId],$A107,tblOlcum[AlarmBayrak],"ALARM")*spy_kaliteSapma-IF($I107="HAYIR",spy_kaliteCeza,0))))</f>
        <v/>
      </c>
    </row>
    <row r="108">
      <c r="A108" s="15" t="n"/>
      <c r="B108" s="15" t="n"/>
      <c r="C108" s="15" t="n"/>
      <c r="D108" s="15" t="n"/>
      <c r="E108" s="16" t="n"/>
      <c r="F108" s="16" t="n"/>
      <c r="G108" s="16" t="n"/>
      <c r="H108" s="17" t="n"/>
      <c r="I108" s="15" t="n"/>
      <c r="J108" s="18">
        <f>IF($A108="","",COUNTIF(tblOlcum[VarlikId],$A108))</f>
        <v/>
      </c>
      <c r="K108" s="18">
        <f>IF($A108="","",IFERROR(AVERAGEIF(tblOlcum[VarlikId],$A108,tblOlcum[FormulCpk]),0))</f>
        <v/>
      </c>
      <c r="L108" s="18">
        <f>IF($A108="","",MAX(0,MIN(100,spy_kaliteTaban-IF($K108&lt;spy_esikCpk,spy_kaliteCeza,0)-COUNTIFS(tblOlcum[VarlikId],$A108,tblOlcum[AlarmBayrak],"ALARM")*spy_kaliteSapma-IF($I108="HAYIR",spy_kaliteCeza,0))))</f>
        <v/>
      </c>
    </row>
    <row r="109">
      <c r="A109" s="15" t="n"/>
      <c r="B109" s="15" t="n"/>
      <c r="C109" s="15" t="n"/>
      <c r="D109" s="15" t="n"/>
      <c r="E109" s="16" t="n"/>
      <c r="F109" s="16" t="n"/>
      <c r="G109" s="16" t="n"/>
      <c r="H109" s="17" t="n"/>
      <c r="I109" s="15" t="n"/>
      <c r="J109" s="18">
        <f>IF($A109="","",COUNTIF(tblOlcum[VarlikId],$A109))</f>
        <v/>
      </c>
      <c r="K109" s="18">
        <f>IF($A109="","",IFERROR(AVERAGEIF(tblOlcum[VarlikId],$A109,tblOlcum[FormulCpk]),0))</f>
        <v/>
      </c>
      <c r="L109" s="18">
        <f>IF($A109="","",MAX(0,MIN(100,spy_kaliteTaban-IF($K109&lt;spy_esikCpk,spy_kaliteCeza,0)-COUNTIFS(tblOlcum[VarlikId],$A109,tblOlcum[AlarmBayrak],"ALARM")*spy_kaliteSapma-IF($I109="HAYIR",spy_kaliteCeza,0))))</f>
        <v/>
      </c>
    </row>
    <row r="110">
      <c r="A110" s="15" t="n"/>
      <c r="B110" s="15" t="n"/>
      <c r="C110" s="15" t="n"/>
      <c r="D110" s="15" t="n"/>
      <c r="E110" s="16" t="n"/>
      <c r="F110" s="16" t="n"/>
      <c r="G110" s="16" t="n"/>
      <c r="H110" s="17" t="n"/>
      <c r="I110" s="15" t="n"/>
      <c r="J110" s="18">
        <f>IF($A110="","",COUNTIF(tblOlcum[VarlikId],$A110))</f>
        <v/>
      </c>
      <c r="K110" s="18">
        <f>IF($A110="","",IFERROR(AVERAGEIF(tblOlcum[VarlikId],$A110,tblOlcum[FormulCpk]),0))</f>
        <v/>
      </c>
      <c r="L110" s="18">
        <f>IF($A110="","",MAX(0,MIN(100,spy_kaliteTaban-IF($K110&lt;spy_esikCpk,spy_kaliteCeza,0)-COUNTIFS(tblOlcum[VarlikId],$A110,tblOlcum[AlarmBayrak],"ALARM")*spy_kaliteSapma-IF($I110="HAYIR",spy_kaliteCeza,0))))</f>
        <v/>
      </c>
    </row>
    <row r="111">
      <c r="A111" s="15" t="n"/>
      <c r="B111" s="15" t="n"/>
      <c r="C111" s="15" t="n"/>
      <c r="D111" s="15" t="n"/>
      <c r="E111" s="16" t="n"/>
      <c r="F111" s="16" t="n"/>
      <c r="G111" s="16" t="n"/>
      <c r="H111" s="17" t="n"/>
      <c r="I111" s="15" t="n"/>
      <c r="J111" s="18">
        <f>IF($A111="","",COUNTIF(tblOlcum[VarlikId],$A111))</f>
        <v/>
      </c>
      <c r="K111" s="18">
        <f>IF($A111="","",IFERROR(AVERAGEIF(tblOlcum[VarlikId],$A111,tblOlcum[FormulCpk]),0))</f>
        <v/>
      </c>
      <c r="L111" s="18">
        <f>IF($A111="","",MAX(0,MIN(100,spy_kaliteTaban-IF($K111&lt;spy_esikCpk,spy_kaliteCeza,0)-COUNTIFS(tblOlcum[VarlikId],$A111,tblOlcum[AlarmBayrak],"ALARM")*spy_kaliteSapma-IF($I111="HAYIR",spy_kaliteCeza,0))))</f>
        <v/>
      </c>
    </row>
    <row r="112">
      <c r="A112" s="15" t="n"/>
      <c r="B112" s="15" t="n"/>
      <c r="C112" s="15" t="n"/>
      <c r="D112" s="15" t="n"/>
      <c r="E112" s="16" t="n"/>
      <c r="F112" s="16" t="n"/>
      <c r="G112" s="16" t="n"/>
      <c r="H112" s="17" t="n"/>
      <c r="I112" s="15" t="n"/>
      <c r="J112" s="18">
        <f>IF($A112="","",COUNTIF(tblOlcum[VarlikId],$A112))</f>
        <v/>
      </c>
      <c r="K112" s="18">
        <f>IF($A112="","",IFERROR(AVERAGEIF(tblOlcum[VarlikId],$A112,tblOlcum[FormulCpk]),0))</f>
        <v/>
      </c>
      <c r="L112" s="18">
        <f>IF($A112="","",MAX(0,MIN(100,spy_kaliteTaban-IF($K112&lt;spy_esikCpk,spy_kaliteCeza,0)-COUNTIFS(tblOlcum[VarlikId],$A112,tblOlcum[AlarmBayrak],"ALARM")*spy_kaliteSapma-IF($I112="HAYIR",spy_kaliteCeza,0))))</f>
        <v/>
      </c>
    </row>
    <row r="113">
      <c r="A113" s="15" t="n"/>
      <c r="B113" s="15" t="n"/>
      <c r="C113" s="15" t="n"/>
      <c r="D113" s="15" t="n"/>
      <c r="E113" s="16" t="n"/>
      <c r="F113" s="16" t="n"/>
      <c r="G113" s="16" t="n"/>
      <c r="H113" s="17" t="n"/>
      <c r="I113" s="15" t="n"/>
      <c r="J113" s="18">
        <f>IF($A113="","",COUNTIF(tblOlcum[VarlikId],$A113))</f>
        <v/>
      </c>
      <c r="K113" s="18">
        <f>IF($A113="","",IFERROR(AVERAGEIF(tblOlcum[VarlikId],$A113,tblOlcum[FormulCpk]),0))</f>
        <v/>
      </c>
      <c r="L113" s="18">
        <f>IF($A113="","",MAX(0,MIN(100,spy_kaliteTaban-IF($K113&lt;spy_esikCpk,spy_kaliteCeza,0)-COUNTIFS(tblOlcum[VarlikId],$A113,tblOlcum[AlarmBayrak],"ALARM")*spy_kaliteSapma-IF($I113="HAYIR",spy_kaliteCeza,0))))</f>
        <v/>
      </c>
    </row>
    <row r="114">
      <c r="A114" s="15" t="n"/>
      <c r="B114" s="15" t="n"/>
      <c r="C114" s="15" t="n"/>
      <c r="D114" s="15" t="n"/>
      <c r="E114" s="16" t="n"/>
      <c r="F114" s="16" t="n"/>
      <c r="G114" s="16" t="n"/>
      <c r="H114" s="17" t="n"/>
      <c r="I114" s="15" t="n"/>
      <c r="J114" s="18">
        <f>IF($A114="","",COUNTIF(tblOlcum[VarlikId],$A114))</f>
        <v/>
      </c>
      <c r="K114" s="18">
        <f>IF($A114="","",IFERROR(AVERAGEIF(tblOlcum[VarlikId],$A114,tblOlcum[FormulCpk]),0))</f>
        <v/>
      </c>
      <c r="L114" s="18">
        <f>IF($A114="","",MAX(0,MIN(100,spy_kaliteTaban-IF($K114&lt;spy_esikCpk,spy_kaliteCeza,0)-COUNTIFS(tblOlcum[VarlikId],$A114,tblOlcum[AlarmBayrak],"ALARM")*spy_kaliteSapma-IF($I114="HAYIR",spy_kaliteCeza,0))))</f>
        <v/>
      </c>
    </row>
    <row r="115">
      <c r="A115" s="15" t="n"/>
      <c r="B115" s="15" t="n"/>
      <c r="C115" s="15" t="n"/>
      <c r="D115" s="15" t="n"/>
      <c r="E115" s="16" t="n"/>
      <c r="F115" s="16" t="n"/>
      <c r="G115" s="16" t="n"/>
      <c r="H115" s="17" t="n"/>
      <c r="I115" s="15" t="n"/>
      <c r="J115" s="18">
        <f>IF($A115="","",COUNTIF(tblOlcum[VarlikId],$A115))</f>
        <v/>
      </c>
      <c r="K115" s="18">
        <f>IF($A115="","",IFERROR(AVERAGEIF(tblOlcum[VarlikId],$A115,tblOlcum[FormulCpk]),0))</f>
        <v/>
      </c>
      <c r="L115" s="18">
        <f>IF($A115="","",MAX(0,MIN(100,spy_kaliteTaban-IF($K115&lt;spy_esikCpk,spy_kaliteCeza,0)-COUNTIFS(tblOlcum[VarlikId],$A115,tblOlcum[AlarmBayrak],"ALARM")*spy_kaliteSapma-IF($I115="HAYIR",spy_kaliteCeza,0))))</f>
        <v/>
      </c>
    </row>
    <row r="116">
      <c r="A116" s="15" t="n"/>
      <c r="B116" s="15" t="n"/>
      <c r="C116" s="15" t="n"/>
      <c r="D116" s="15" t="n"/>
      <c r="E116" s="16" t="n"/>
      <c r="F116" s="16" t="n"/>
      <c r="G116" s="16" t="n"/>
      <c r="H116" s="17" t="n"/>
      <c r="I116" s="15" t="n"/>
      <c r="J116" s="18">
        <f>IF($A116="","",COUNTIF(tblOlcum[VarlikId],$A116))</f>
        <v/>
      </c>
      <c r="K116" s="18">
        <f>IF($A116="","",IFERROR(AVERAGEIF(tblOlcum[VarlikId],$A116,tblOlcum[FormulCpk]),0))</f>
        <v/>
      </c>
      <c r="L116" s="18">
        <f>IF($A116="","",MAX(0,MIN(100,spy_kaliteTaban-IF($K116&lt;spy_esikCpk,spy_kaliteCeza,0)-COUNTIFS(tblOlcum[VarlikId],$A116,tblOlcum[AlarmBayrak],"ALARM")*spy_kaliteSapma-IF($I116="HAYIR",spy_kaliteCeza,0))))</f>
        <v/>
      </c>
    </row>
    <row r="117">
      <c r="A117" s="15" t="n"/>
      <c r="B117" s="15" t="n"/>
      <c r="C117" s="15" t="n"/>
      <c r="D117" s="15" t="n"/>
      <c r="E117" s="16" t="n"/>
      <c r="F117" s="16" t="n"/>
      <c r="G117" s="16" t="n"/>
      <c r="H117" s="17" t="n"/>
      <c r="I117" s="15" t="n"/>
      <c r="J117" s="18">
        <f>IF($A117="","",COUNTIF(tblOlcum[VarlikId],$A117))</f>
        <v/>
      </c>
      <c r="K117" s="18">
        <f>IF($A117="","",IFERROR(AVERAGEIF(tblOlcum[VarlikId],$A117,tblOlcum[FormulCpk]),0))</f>
        <v/>
      </c>
      <c r="L117" s="18">
        <f>IF($A117="","",MAX(0,MIN(100,spy_kaliteTaban-IF($K117&lt;spy_esikCpk,spy_kaliteCeza,0)-COUNTIFS(tblOlcum[VarlikId],$A117,tblOlcum[AlarmBayrak],"ALARM")*spy_kaliteSapma-IF($I117="HAYIR",spy_kaliteCeza,0))))</f>
        <v/>
      </c>
    </row>
    <row r="118">
      <c r="A118" s="15" t="n"/>
      <c r="B118" s="15" t="n"/>
      <c r="C118" s="15" t="n"/>
      <c r="D118" s="15" t="n"/>
      <c r="E118" s="16" t="n"/>
      <c r="F118" s="16" t="n"/>
      <c r="G118" s="16" t="n"/>
      <c r="H118" s="17" t="n"/>
      <c r="I118" s="15" t="n"/>
      <c r="J118" s="18">
        <f>IF($A118="","",COUNTIF(tblOlcum[VarlikId],$A118))</f>
        <v/>
      </c>
      <c r="K118" s="18">
        <f>IF($A118="","",IFERROR(AVERAGEIF(tblOlcum[VarlikId],$A118,tblOlcum[FormulCpk]),0))</f>
        <v/>
      </c>
      <c r="L118" s="18">
        <f>IF($A118="","",MAX(0,MIN(100,spy_kaliteTaban-IF($K118&lt;spy_esikCpk,spy_kaliteCeza,0)-COUNTIFS(tblOlcum[VarlikId],$A118,tblOlcum[AlarmBayrak],"ALARM")*spy_kaliteSapma-IF($I118="HAYIR",spy_kaliteCeza,0))))</f>
        <v/>
      </c>
    </row>
    <row r="119">
      <c r="A119" s="15" t="n"/>
      <c r="B119" s="15" t="n"/>
      <c r="C119" s="15" t="n"/>
      <c r="D119" s="15" t="n"/>
      <c r="E119" s="16" t="n"/>
      <c r="F119" s="16" t="n"/>
      <c r="G119" s="16" t="n"/>
      <c r="H119" s="17" t="n"/>
      <c r="I119" s="15" t="n"/>
      <c r="J119" s="18">
        <f>IF($A119="","",COUNTIF(tblOlcum[VarlikId],$A119))</f>
        <v/>
      </c>
      <c r="K119" s="18">
        <f>IF($A119="","",IFERROR(AVERAGEIF(tblOlcum[VarlikId],$A119,tblOlcum[FormulCpk]),0))</f>
        <v/>
      </c>
      <c r="L119" s="18">
        <f>IF($A119="","",MAX(0,MIN(100,spy_kaliteTaban-IF($K119&lt;spy_esikCpk,spy_kaliteCeza,0)-COUNTIFS(tblOlcum[VarlikId],$A119,tblOlcum[AlarmBayrak],"ALARM")*spy_kaliteSapma-IF($I119="HAYIR",spy_kaliteCeza,0))))</f>
        <v/>
      </c>
    </row>
    <row r="120">
      <c r="A120" s="15" t="n"/>
      <c r="B120" s="15" t="n"/>
      <c r="C120" s="15" t="n"/>
      <c r="D120" s="15" t="n"/>
      <c r="E120" s="16" t="n"/>
      <c r="F120" s="16" t="n"/>
      <c r="G120" s="16" t="n"/>
      <c r="H120" s="17" t="n"/>
      <c r="I120" s="15" t="n"/>
      <c r="J120" s="18">
        <f>IF($A120="","",COUNTIF(tblOlcum[VarlikId],$A120))</f>
        <v/>
      </c>
      <c r="K120" s="18">
        <f>IF($A120="","",IFERROR(AVERAGEIF(tblOlcum[VarlikId],$A120,tblOlcum[FormulCpk]),0))</f>
        <v/>
      </c>
      <c r="L120" s="18">
        <f>IF($A120="","",MAX(0,MIN(100,spy_kaliteTaban-IF($K120&lt;spy_esikCpk,spy_kaliteCeza,0)-COUNTIFS(tblOlcum[VarlikId],$A120,tblOlcum[AlarmBayrak],"ALARM")*spy_kaliteSapma-IF($I120="HAYIR",spy_kaliteCeza,0))))</f>
        <v/>
      </c>
    </row>
    <row r="121">
      <c r="A121" s="15" t="n"/>
      <c r="B121" s="15" t="n"/>
      <c r="C121" s="15" t="n"/>
      <c r="D121" s="15" t="n"/>
      <c r="E121" s="16" t="n"/>
      <c r="F121" s="16" t="n"/>
      <c r="G121" s="16" t="n"/>
      <c r="H121" s="17" t="n"/>
      <c r="I121" s="15" t="n"/>
      <c r="J121" s="18">
        <f>IF($A121="","",COUNTIF(tblOlcum[VarlikId],$A121))</f>
        <v/>
      </c>
      <c r="K121" s="18">
        <f>IF($A121="","",IFERROR(AVERAGEIF(tblOlcum[VarlikId],$A121,tblOlcum[FormulCpk]),0))</f>
        <v/>
      </c>
      <c r="L121" s="18">
        <f>IF($A121="","",MAX(0,MIN(100,spy_kaliteTaban-IF($K121&lt;spy_esikCpk,spy_kaliteCeza,0)-COUNTIFS(tblOlcum[VarlikId],$A121,tblOlcum[AlarmBayrak],"ALARM")*spy_kaliteSapma-IF($I121="HAYIR",spy_kaliteCeza,0))))</f>
        <v/>
      </c>
    </row>
    <row r="122">
      <c r="A122" s="15" t="n"/>
      <c r="B122" s="15" t="n"/>
      <c r="C122" s="15" t="n"/>
      <c r="D122" s="15" t="n"/>
      <c r="E122" s="16" t="n"/>
      <c r="F122" s="16" t="n"/>
      <c r="G122" s="16" t="n"/>
      <c r="H122" s="17" t="n"/>
      <c r="I122" s="15" t="n"/>
      <c r="J122" s="18">
        <f>IF($A122="","",COUNTIF(tblOlcum[VarlikId],$A122))</f>
        <v/>
      </c>
      <c r="K122" s="18">
        <f>IF($A122="","",IFERROR(AVERAGEIF(tblOlcum[VarlikId],$A122,tblOlcum[FormulCpk]),0))</f>
        <v/>
      </c>
      <c r="L122" s="18">
        <f>IF($A122="","",MAX(0,MIN(100,spy_kaliteTaban-IF($K122&lt;spy_esikCpk,spy_kaliteCeza,0)-COUNTIFS(tblOlcum[VarlikId],$A122,tblOlcum[AlarmBayrak],"ALARM")*spy_kaliteSapma-IF($I122="HAYIR",spy_kaliteCeza,0))))</f>
        <v/>
      </c>
    </row>
    <row r="123">
      <c r="A123" s="15" t="n"/>
      <c r="B123" s="15" t="n"/>
      <c r="C123" s="15" t="n"/>
      <c r="D123" s="15" t="n"/>
      <c r="E123" s="16" t="n"/>
      <c r="F123" s="16" t="n"/>
      <c r="G123" s="16" t="n"/>
      <c r="H123" s="17" t="n"/>
      <c r="I123" s="15" t="n"/>
      <c r="J123" s="18">
        <f>IF($A123="","",COUNTIF(tblOlcum[VarlikId],$A123))</f>
        <v/>
      </c>
      <c r="K123" s="18">
        <f>IF($A123="","",IFERROR(AVERAGEIF(tblOlcum[VarlikId],$A123,tblOlcum[FormulCpk]),0))</f>
        <v/>
      </c>
      <c r="L123" s="18">
        <f>IF($A123="","",MAX(0,MIN(100,spy_kaliteTaban-IF($K123&lt;spy_esikCpk,spy_kaliteCeza,0)-COUNTIFS(tblOlcum[VarlikId],$A123,tblOlcum[AlarmBayrak],"ALARM")*spy_kaliteSapma-IF($I123="HAYIR",spy_kaliteCeza,0))))</f>
        <v/>
      </c>
    </row>
    <row r="124">
      <c r="A124" s="15" t="n"/>
      <c r="B124" s="15" t="n"/>
      <c r="C124" s="15" t="n"/>
      <c r="D124" s="15" t="n"/>
      <c r="E124" s="16" t="n"/>
      <c r="F124" s="16" t="n"/>
      <c r="G124" s="16" t="n"/>
      <c r="H124" s="17" t="n"/>
      <c r="I124" s="15" t="n"/>
      <c r="J124" s="18">
        <f>IF($A124="","",COUNTIF(tblOlcum[VarlikId],$A124))</f>
        <v/>
      </c>
      <c r="K124" s="18">
        <f>IF($A124="","",IFERROR(AVERAGEIF(tblOlcum[VarlikId],$A124,tblOlcum[FormulCpk]),0))</f>
        <v/>
      </c>
      <c r="L124" s="18">
        <f>IF($A124="","",MAX(0,MIN(100,spy_kaliteTaban-IF($K124&lt;spy_esikCpk,spy_kaliteCeza,0)-COUNTIFS(tblOlcum[VarlikId],$A124,tblOlcum[AlarmBayrak],"ALARM")*spy_kaliteSapma-IF($I124="HAYIR",spy_kaliteCeza,0))))</f>
        <v/>
      </c>
    </row>
    <row r="125">
      <c r="A125" s="15" t="n"/>
      <c r="B125" s="15" t="n"/>
      <c r="C125" s="15" t="n"/>
      <c r="D125" s="15" t="n"/>
      <c r="E125" s="16" t="n"/>
      <c r="F125" s="16" t="n"/>
      <c r="G125" s="16" t="n"/>
      <c r="H125" s="17" t="n"/>
      <c r="I125" s="15" t="n"/>
      <c r="J125" s="18">
        <f>IF($A125="","",COUNTIF(tblOlcum[VarlikId],$A125))</f>
        <v/>
      </c>
      <c r="K125" s="18">
        <f>IF($A125="","",IFERROR(AVERAGEIF(tblOlcum[VarlikId],$A125,tblOlcum[FormulCpk]),0))</f>
        <v/>
      </c>
      <c r="L125" s="18">
        <f>IF($A125="","",MAX(0,MIN(100,spy_kaliteTaban-IF($K125&lt;spy_esikCpk,spy_kaliteCeza,0)-COUNTIFS(tblOlcum[VarlikId],$A125,tblOlcum[AlarmBayrak],"ALARM")*spy_kaliteSapma-IF($I125="HAYIR",spy_kaliteCeza,0))))</f>
        <v/>
      </c>
    </row>
    <row r="126">
      <c r="A126" s="15" t="n"/>
      <c r="B126" s="15" t="n"/>
      <c r="C126" s="15" t="n"/>
      <c r="D126" s="15" t="n"/>
      <c r="E126" s="16" t="n"/>
      <c r="F126" s="16" t="n"/>
      <c r="G126" s="16" t="n"/>
      <c r="H126" s="17" t="n"/>
      <c r="I126" s="15" t="n"/>
      <c r="J126" s="18">
        <f>IF($A126="","",COUNTIF(tblOlcum[VarlikId],$A126))</f>
        <v/>
      </c>
      <c r="K126" s="18">
        <f>IF($A126="","",IFERROR(AVERAGEIF(tblOlcum[VarlikId],$A126,tblOlcum[FormulCpk]),0))</f>
        <v/>
      </c>
      <c r="L126" s="18">
        <f>IF($A126="","",MAX(0,MIN(100,spy_kaliteTaban-IF($K126&lt;spy_esikCpk,spy_kaliteCeza,0)-COUNTIFS(tblOlcum[VarlikId],$A126,tblOlcum[AlarmBayrak],"ALARM")*spy_kaliteSapma-IF($I126="HAYIR",spy_kaliteCeza,0))))</f>
        <v/>
      </c>
    </row>
    <row r="127">
      <c r="A127" s="15" t="n"/>
      <c r="B127" s="15" t="n"/>
      <c r="C127" s="15" t="n"/>
      <c r="D127" s="15" t="n"/>
      <c r="E127" s="16" t="n"/>
      <c r="F127" s="16" t="n"/>
      <c r="G127" s="16" t="n"/>
      <c r="H127" s="17" t="n"/>
      <c r="I127" s="15" t="n"/>
      <c r="J127" s="18">
        <f>IF($A127="","",COUNTIF(tblOlcum[VarlikId],$A127))</f>
        <v/>
      </c>
      <c r="K127" s="18">
        <f>IF($A127="","",IFERROR(AVERAGEIF(tblOlcum[VarlikId],$A127,tblOlcum[FormulCpk]),0))</f>
        <v/>
      </c>
      <c r="L127" s="18">
        <f>IF($A127="","",MAX(0,MIN(100,spy_kaliteTaban-IF($K127&lt;spy_esikCpk,spy_kaliteCeza,0)-COUNTIFS(tblOlcum[VarlikId],$A127,tblOlcum[AlarmBayrak],"ALARM")*spy_kaliteSapma-IF($I127="HAYIR",spy_kaliteCeza,0))))</f>
        <v/>
      </c>
    </row>
    <row r="128">
      <c r="A128" s="15" t="n"/>
      <c r="B128" s="15" t="n"/>
      <c r="C128" s="15" t="n"/>
      <c r="D128" s="15" t="n"/>
      <c r="E128" s="16" t="n"/>
      <c r="F128" s="16" t="n"/>
      <c r="G128" s="16" t="n"/>
      <c r="H128" s="17" t="n"/>
      <c r="I128" s="15" t="n"/>
      <c r="J128" s="18">
        <f>IF($A128="","",COUNTIF(tblOlcum[VarlikId],$A128))</f>
        <v/>
      </c>
      <c r="K128" s="18">
        <f>IF($A128="","",IFERROR(AVERAGEIF(tblOlcum[VarlikId],$A128,tblOlcum[FormulCpk]),0))</f>
        <v/>
      </c>
      <c r="L128" s="18">
        <f>IF($A128="","",MAX(0,MIN(100,spy_kaliteTaban-IF($K128&lt;spy_esikCpk,spy_kaliteCeza,0)-COUNTIFS(tblOlcum[VarlikId],$A128,tblOlcum[AlarmBayrak],"ALARM")*spy_kaliteSapma-IF($I128="HAYIR",spy_kaliteCeza,0))))</f>
        <v/>
      </c>
    </row>
    <row r="129">
      <c r="A129" s="15" t="n"/>
      <c r="B129" s="15" t="n"/>
      <c r="C129" s="15" t="n"/>
      <c r="D129" s="15" t="n"/>
      <c r="E129" s="16" t="n"/>
      <c r="F129" s="16" t="n"/>
      <c r="G129" s="16" t="n"/>
      <c r="H129" s="17" t="n"/>
      <c r="I129" s="15" t="n"/>
      <c r="J129" s="18">
        <f>IF($A129="","",COUNTIF(tblOlcum[VarlikId],$A129))</f>
        <v/>
      </c>
      <c r="K129" s="18">
        <f>IF($A129="","",IFERROR(AVERAGEIF(tblOlcum[VarlikId],$A129,tblOlcum[FormulCpk]),0))</f>
        <v/>
      </c>
      <c r="L129" s="18">
        <f>IF($A129="","",MAX(0,MIN(100,spy_kaliteTaban-IF($K129&lt;spy_esikCpk,spy_kaliteCeza,0)-COUNTIFS(tblOlcum[VarlikId],$A129,tblOlcum[AlarmBayrak],"ALARM")*spy_kaliteSapma-IF($I129="HAYIR",spy_kaliteCeza,0))))</f>
        <v/>
      </c>
    </row>
    <row r="130">
      <c r="A130" s="15" t="n"/>
      <c r="B130" s="15" t="n"/>
      <c r="C130" s="15" t="n"/>
      <c r="D130" s="15" t="n"/>
      <c r="E130" s="16" t="n"/>
      <c r="F130" s="16" t="n"/>
      <c r="G130" s="16" t="n"/>
      <c r="H130" s="17" t="n"/>
      <c r="I130" s="15" t="n"/>
      <c r="J130" s="18">
        <f>IF($A130="","",COUNTIF(tblOlcum[VarlikId],$A130))</f>
        <v/>
      </c>
      <c r="K130" s="18">
        <f>IF($A130="","",IFERROR(AVERAGEIF(tblOlcum[VarlikId],$A130,tblOlcum[FormulCpk]),0))</f>
        <v/>
      </c>
      <c r="L130" s="18">
        <f>IF($A130="","",MAX(0,MIN(100,spy_kaliteTaban-IF($K130&lt;spy_esikCpk,spy_kaliteCeza,0)-COUNTIFS(tblOlcum[VarlikId],$A130,tblOlcum[AlarmBayrak],"ALARM")*spy_kaliteSapma-IF($I130="HAYIR",spy_kaliteCeza,0))))</f>
        <v/>
      </c>
    </row>
    <row r="131">
      <c r="A131" s="15" t="n"/>
      <c r="B131" s="15" t="n"/>
      <c r="C131" s="15" t="n"/>
      <c r="D131" s="15" t="n"/>
      <c r="E131" s="16" t="n"/>
      <c r="F131" s="16" t="n"/>
      <c r="G131" s="16" t="n"/>
      <c r="H131" s="17" t="n"/>
      <c r="I131" s="15" t="n"/>
      <c r="J131" s="18">
        <f>IF($A131="","",COUNTIF(tblOlcum[VarlikId],$A131))</f>
        <v/>
      </c>
      <c r="K131" s="18">
        <f>IF($A131="","",IFERROR(AVERAGEIF(tblOlcum[VarlikId],$A131,tblOlcum[FormulCpk]),0))</f>
        <v/>
      </c>
      <c r="L131" s="18">
        <f>IF($A131="","",MAX(0,MIN(100,spy_kaliteTaban-IF($K131&lt;spy_esikCpk,spy_kaliteCeza,0)-COUNTIFS(tblOlcum[VarlikId],$A131,tblOlcum[AlarmBayrak],"ALARM")*spy_kaliteSapma-IF($I131="HAYIR",spy_kaliteCeza,0))))</f>
        <v/>
      </c>
    </row>
    <row r="132">
      <c r="A132" s="15" t="n"/>
      <c r="B132" s="15" t="n"/>
      <c r="C132" s="15" t="n"/>
      <c r="D132" s="15" t="n"/>
      <c r="E132" s="16" t="n"/>
      <c r="F132" s="16" t="n"/>
      <c r="G132" s="16" t="n"/>
      <c r="H132" s="17" t="n"/>
      <c r="I132" s="15" t="n"/>
      <c r="J132" s="18">
        <f>IF($A132="","",COUNTIF(tblOlcum[VarlikId],$A132))</f>
        <v/>
      </c>
      <c r="K132" s="18">
        <f>IF($A132="","",IFERROR(AVERAGEIF(tblOlcum[VarlikId],$A132,tblOlcum[FormulCpk]),0))</f>
        <v/>
      </c>
      <c r="L132" s="18">
        <f>IF($A132="","",MAX(0,MIN(100,spy_kaliteTaban-IF($K132&lt;spy_esikCpk,spy_kaliteCeza,0)-COUNTIFS(tblOlcum[VarlikId],$A132,tblOlcum[AlarmBayrak],"ALARM")*spy_kaliteSapma-IF($I132="HAYIR",spy_kaliteCeza,0))))</f>
        <v/>
      </c>
    </row>
    <row r="133">
      <c r="A133" s="15" t="n"/>
      <c r="B133" s="15" t="n"/>
      <c r="C133" s="15" t="n"/>
      <c r="D133" s="15" t="n"/>
      <c r="E133" s="16" t="n"/>
      <c r="F133" s="16" t="n"/>
      <c r="G133" s="16" t="n"/>
      <c r="H133" s="17" t="n"/>
      <c r="I133" s="15" t="n"/>
      <c r="J133" s="18">
        <f>IF($A133="","",COUNTIF(tblOlcum[VarlikId],$A133))</f>
        <v/>
      </c>
      <c r="K133" s="18">
        <f>IF($A133="","",IFERROR(AVERAGEIF(tblOlcum[VarlikId],$A133,tblOlcum[FormulCpk]),0))</f>
        <v/>
      </c>
      <c r="L133" s="18">
        <f>IF($A133="","",MAX(0,MIN(100,spy_kaliteTaban-IF($K133&lt;spy_esikCpk,spy_kaliteCeza,0)-COUNTIFS(tblOlcum[VarlikId],$A133,tblOlcum[AlarmBayrak],"ALARM")*spy_kaliteSapma-IF($I133="HAYIR",spy_kaliteCeza,0))))</f>
        <v/>
      </c>
    </row>
    <row r="134">
      <c r="A134" s="15" t="n"/>
      <c r="B134" s="15" t="n"/>
      <c r="C134" s="15" t="n"/>
      <c r="D134" s="15" t="n"/>
      <c r="E134" s="16" t="n"/>
      <c r="F134" s="16" t="n"/>
      <c r="G134" s="16" t="n"/>
      <c r="H134" s="17" t="n"/>
      <c r="I134" s="15" t="n"/>
      <c r="J134" s="18">
        <f>IF($A134="","",COUNTIF(tblOlcum[VarlikId],$A134))</f>
        <v/>
      </c>
      <c r="K134" s="18">
        <f>IF($A134="","",IFERROR(AVERAGEIF(tblOlcum[VarlikId],$A134,tblOlcum[FormulCpk]),0))</f>
        <v/>
      </c>
      <c r="L134" s="18">
        <f>IF($A134="","",MAX(0,MIN(100,spy_kaliteTaban-IF($K134&lt;spy_esikCpk,spy_kaliteCeza,0)-COUNTIFS(tblOlcum[VarlikId],$A134,tblOlcum[AlarmBayrak],"ALARM")*spy_kaliteSapma-IF($I134="HAYIR",spy_kaliteCeza,0))))</f>
        <v/>
      </c>
    </row>
    <row r="135">
      <c r="A135" s="15" t="n"/>
      <c r="B135" s="15" t="n"/>
      <c r="C135" s="15" t="n"/>
      <c r="D135" s="15" t="n"/>
      <c r="E135" s="16" t="n"/>
      <c r="F135" s="16" t="n"/>
      <c r="G135" s="16" t="n"/>
      <c r="H135" s="17" t="n"/>
      <c r="I135" s="15" t="n"/>
      <c r="J135" s="18">
        <f>IF($A135="","",COUNTIF(tblOlcum[VarlikId],$A135))</f>
        <v/>
      </c>
      <c r="K135" s="18">
        <f>IF($A135="","",IFERROR(AVERAGEIF(tblOlcum[VarlikId],$A135,tblOlcum[FormulCpk]),0))</f>
        <v/>
      </c>
      <c r="L135" s="18">
        <f>IF($A135="","",MAX(0,MIN(100,spy_kaliteTaban-IF($K135&lt;spy_esikCpk,spy_kaliteCeza,0)-COUNTIFS(tblOlcum[VarlikId],$A135,tblOlcum[AlarmBayrak],"ALARM")*spy_kaliteSapma-IF($I135="HAYIR",spy_kaliteCeza,0))))</f>
        <v/>
      </c>
    </row>
    <row r="136">
      <c r="A136" s="15" t="n"/>
      <c r="B136" s="15" t="n"/>
      <c r="C136" s="15" t="n"/>
      <c r="D136" s="15" t="n"/>
      <c r="E136" s="16" t="n"/>
      <c r="F136" s="16" t="n"/>
      <c r="G136" s="16" t="n"/>
      <c r="H136" s="17" t="n"/>
      <c r="I136" s="15" t="n"/>
      <c r="J136" s="18">
        <f>IF($A136="","",COUNTIF(tblOlcum[VarlikId],$A136))</f>
        <v/>
      </c>
      <c r="K136" s="18">
        <f>IF($A136="","",IFERROR(AVERAGEIF(tblOlcum[VarlikId],$A136,tblOlcum[FormulCpk]),0))</f>
        <v/>
      </c>
      <c r="L136" s="18">
        <f>IF($A136="","",MAX(0,MIN(100,spy_kaliteTaban-IF($K136&lt;spy_esikCpk,spy_kaliteCeza,0)-COUNTIFS(tblOlcum[VarlikId],$A136,tblOlcum[AlarmBayrak],"ALARM")*spy_kaliteSapma-IF($I136="HAYIR",spy_kaliteCeza,0))))</f>
        <v/>
      </c>
    </row>
    <row r="137">
      <c r="A137" s="15" t="n"/>
      <c r="B137" s="15" t="n"/>
      <c r="C137" s="15" t="n"/>
      <c r="D137" s="15" t="n"/>
      <c r="E137" s="16" t="n"/>
      <c r="F137" s="16" t="n"/>
      <c r="G137" s="16" t="n"/>
      <c r="H137" s="17" t="n"/>
      <c r="I137" s="15" t="n"/>
      <c r="J137" s="18">
        <f>IF($A137="","",COUNTIF(tblOlcum[VarlikId],$A137))</f>
        <v/>
      </c>
      <c r="K137" s="18">
        <f>IF($A137="","",IFERROR(AVERAGEIF(tblOlcum[VarlikId],$A137,tblOlcum[FormulCpk]),0))</f>
        <v/>
      </c>
      <c r="L137" s="18">
        <f>IF($A137="","",MAX(0,MIN(100,spy_kaliteTaban-IF($K137&lt;spy_esikCpk,spy_kaliteCeza,0)-COUNTIFS(tblOlcum[VarlikId],$A137,tblOlcum[AlarmBayrak],"ALARM")*spy_kaliteSapma-IF($I137="HAYIR",spy_kaliteCeza,0))))</f>
        <v/>
      </c>
    </row>
    <row r="138">
      <c r="A138" s="15" t="n"/>
      <c r="B138" s="15" t="n"/>
      <c r="C138" s="15" t="n"/>
      <c r="D138" s="15" t="n"/>
      <c r="E138" s="16" t="n"/>
      <c r="F138" s="16" t="n"/>
      <c r="G138" s="16" t="n"/>
      <c r="H138" s="17" t="n"/>
      <c r="I138" s="15" t="n"/>
      <c r="J138" s="18">
        <f>IF($A138="","",COUNTIF(tblOlcum[VarlikId],$A138))</f>
        <v/>
      </c>
      <c r="K138" s="18">
        <f>IF($A138="","",IFERROR(AVERAGEIF(tblOlcum[VarlikId],$A138,tblOlcum[FormulCpk]),0))</f>
        <v/>
      </c>
      <c r="L138" s="18">
        <f>IF($A138="","",MAX(0,MIN(100,spy_kaliteTaban-IF($K138&lt;spy_esikCpk,spy_kaliteCeza,0)-COUNTIFS(tblOlcum[VarlikId],$A138,tblOlcum[AlarmBayrak],"ALARM")*spy_kaliteSapma-IF($I138="HAYIR",spy_kaliteCeza,0))))</f>
        <v/>
      </c>
    </row>
    <row r="139">
      <c r="A139" s="15" t="n"/>
      <c r="B139" s="15" t="n"/>
      <c r="C139" s="15" t="n"/>
      <c r="D139" s="15" t="n"/>
      <c r="E139" s="16" t="n"/>
      <c r="F139" s="16" t="n"/>
      <c r="G139" s="16" t="n"/>
      <c r="H139" s="17" t="n"/>
      <c r="I139" s="15" t="n"/>
      <c r="J139" s="18">
        <f>IF($A139="","",COUNTIF(tblOlcum[VarlikId],$A139))</f>
        <v/>
      </c>
      <c r="K139" s="18">
        <f>IF($A139="","",IFERROR(AVERAGEIF(tblOlcum[VarlikId],$A139,tblOlcum[FormulCpk]),0))</f>
        <v/>
      </c>
      <c r="L139" s="18">
        <f>IF($A139="","",MAX(0,MIN(100,spy_kaliteTaban-IF($K139&lt;spy_esikCpk,spy_kaliteCeza,0)-COUNTIFS(tblOlcum[VarlikId],$A139,tblOlcum[AlarmBayrak],"ALARM")*spy_kaliteSapma-IF($I139="HAYIR",spy_kaliteCeza,0))))</f>
        <v/>
      </c>
    </row>
    <row r="140">
      <c r="A140" s="15" t="n"/>
      <c r="B140" s="15" t="n"/>
      <c r="C140" s="15" t="n"/>
      <c r="D140" s="15" t="n"/>
      <c r="E140" s="16" t="n"/>
      <c r="F140" s="16" t="n"/>
      <c r="G140" s="16" t="n"/>
      <c r="H140" s="17" t="n"/>
      <c r="I140" s="15" t="n"/>
      <c r="J140" s="18">
        <f>IF($A140="","",COUNTIF(tblOlcum[VarlikId],$A140))</f>
        <v/>
      </c>
      <c r="K140" s="18">
        <f>IF($A140="","",IFERROR(AVERAGEIF(tblOlcum[VarlikId],$A140,tblOlcum[FormulCpk]),0))</f>
        <v/>
      </c>
      <c r="L140" s="18">
        <f>IF($A140="","",MAX(0,MIN(100,spy_kaliteTaban-IF($K140&lt;spy_esikCpk,spy_kaliteCeza,0)-COUNTIFS(tblOlcum[VarlikId],$A140,tblOlcum[AlarmBayrak],"ALARM")*spy_kaliteSapma-IF($I140="HAYIR",spy_kaliteCeza,0))))</f>
        <v/>
      </c>
    </row>
    <row r="141">
      <c r="A141" s="15" t="n"/>
      <c r="B141" s="15" t="n"/>
      <c r="C141" s="15" t="n"/>
      <c r="D141" s="15" t="n"/>
      <c r="E141" s="16" t="n"/>
      <c r="F141" s="16" t="n"/>
      <c r="G141" s="16" t="n"/>
      <c r="H141" s="17" t="n"/>
      <c r="I141" s="15" t="n"/>
      <c r="J141" s="18">
        <f>IF($A141="","",COUNTIF(tblOlcum[VarlikId],$A141))</f>
        <v/>
      </c>
      <c r="K141" s="18">
        <f>IF($A141="","",IFERROR(AVERAGEIF(tblOlcum[VarlikId],$A141,tblOlcum[FormulCpk]),0))</f>
        <v/>
      </c>
      <c r="L141" s="18">
        <f>IF($A141="","",MAX(0,MIN(100,spy_kaliteTaban-IF($K141&lt;spy_esikCpk,spy_kaliteCeza,0)-COUNTIFS(tblOlcum[VarlikId],$A141,tblOlcum[AlarmBayrak],"ALARM")*spy_kaliteSapma-IF($I141="HAYIR",spy_kaliteCeza,0))))</f>
        <v/>
      </c>
    </row>
    <row r="142">
      <c r="A142" s="15" t="n"/>
      <c r="B142" s="15" t="n"/>
      <c r="C142" s="15" t="n"/>
      <c r="D142" s="15" t="n"/>
      <c r="E142" s="16" t="n"/>
      <c r="F142" s="16" t="n"/>
      <c r="G142" s="16" t="n"/>
      <c r="H142" s="17" t="n"/>
      <c r="I142" s="15" t="n"/>
      <c r="J142" s="18">
        <f>IF($A142="","",COUNTIF(tblOlcum[VarlikId],$A142))</f>
        <v/>
      </c>
      <c r="K142" s="18">
        <f>IF($A142="","",IFERROR(AVERAGEIF(tblOlcum[VarlikId],$A142,tblOlcum[FormulCpk]),0))</f>
        <v/>
      </c>
      <c r="L142" s="18">
        <f>IF($A142="","",MAX(0,MIN(100,spy_kaliteTaban-IF($K142&lt;spy_esikCpk,spy_kaliteCeza,0)-COUNTIFS(tblOlcum[VarlikId],$A142,tblOlcum[AlarmBayrak],"ALARM")*spy_kaliteSapma-IF($I142="HAYIR",spy_kaliteCeza,0))))</f>
        <v/>
      </c>
    </row>
    <row r="143">
      <c r="A143" s="15" t="n"/>
      <c r="B143" s="15" t="n"/>
      <c r="C143" s="15" t="n"/>
      <c r="D143" s="15" t="n"/>
      <c r="E143" s="16" t="n"/>
      <c r="F143" s="16" t="n"/>
      <c r="G143" s="16" t="n"/>
      <c r="H143" s="17" t="n"/>
      <c r="I143" s="15" t="n"/>
      <c r="J143" s="18">
        <f>IF($A143="","",COUNTIF(tblOlcum[VarlikId],$A143))</f>
        <v/>
      </c>
      <c r="K143" s="18">
        <f>IF($A143="","",IFERROR(AVERAGEIF(tblOlcum[VarlikId],$A143,tblOlcum[FormulCpk]),0))</f>
        <v/>
      </c>
      <c r="L143" s="18">
        <f>IF($A143="","",MAX(0,MIN(100,spy_kaliteTaban-IF($K143&lt;spy_esikCpk,spy_kaliteCeza,0)-COUNTIFS(tblOlcum[VarlikId],$A143,tblOlcum[AlarmBayrak],"ALARM")*spy_kaliteSapma-IF($I143="HAYIR",spy_kaliteCeza,0))))</f>
        <v/>
      </c>
    </row>
    <row r="144">
      <c r="A144" s="15" t="n"/>
      <c r="B144" s="15" t="n"/>
      <c r="C144" s="15" t="n"/>
      <c r="D144" s="15" t="n"/>
      <c r="E144" s="16" t="n"/>
      <c r="F144" s="16" t="n"/>
      <c r="G144" s="16" t="n"/>
      <c r="H144" s="17" t="n"/>
      <c r="I144" s="15" t="n"/>
      <c r="J144" s="18">
        <f>IF($A144="","",COUNTIF(tblOlcum[VarlikId],$A144))</f>
        <v/>
      </c>
      <c r="K144" s="18">
        <f>IF($A144="","",IFERROR(AVERAGEIF(tblOlcum[VarlikId],$A144,tblOlcum[FormulCpk]),0))</f>
        <v/>
      </c>
      <c r="L144" s="18">
        <f>IF($A144="","",MAX(0,MIN(100,spy_kaliteTaban-IF($K144&lt;spy_esikCpk,spy_kaliteCeza,0)-COUNTIFS(tblOlcum[VarlikId],$A144,tblOlcum[AlarmBayrak],"ALARM")*spy_kaliteSapma-IF($I144="HAYIR",spy_kaliteCeza,0))))</f>
        <v/>
      </c>
    </row>
    <row r="145">
      <c r="A145" s="15" t="n"/>
      <c r="B145" s="15" t="n"/>
      <c r="C145" s="15" t="n"/>
      <c r="D145" s="15" t="n"/>
      <c r="E145" s="16" t="n"/>
      <c r="F145" s="16" t="n"/>
      <c r="G145" s="16" t="n"/>
      <c r="H145" s="17" t="n"/>
      <c r="I145" s="15" t="n"/>
      <c r="J145" s="18">
        <f>IF($A145="","",COUNTIF(tblOlcum[VarlikId],$A145))</f>
        <v/>
      </c>
      <c r="K145" s="18">
        <f>IF($A145="","",IFERROR(AVERAGEIF(tblOlcum[VarlikId],$A145,tblOlcum[FormulCpk]),0))</f>
        <v/>
      </c>
      <c r="L145" s="18">
        <f>IF($A145="","",MAX(0,MIN(100,spy_kaliteTaban-IF($K145&lt;spy_esikCpk,spy_kaliteCeza,0)-COUNTIFS(tblOlcum[VarlikId],$A145,tblOlcum[AlarmBayrak],"ALARM")*spy_kaliteSapma-IF($I145="HAYIR",spy_kaliteCeza,0))))</f>
        <v/>
      </c>
    </row>
    <row r="146">
      <c r="A146" s="15" t="n"/>
      <c r="B146" s="15" t="n"/>
      <c r="C146" s="15" t="n"/>
      <c r="D146" s="15" t="n"/>
      <c r="E146" s="16" t="n"/>
      <c r="F146" s="16" t="n"/>
      <c r="G146" s="16" t="n"/>
      <c r="H146" s="17" t="n"/>
      <c r="I146" s="15" t="n"/>
      <c r="J146" s="18">
        <f>IF($A146="","",COUNTIF(tblOlcum[VarlikId],$A146))</f>
        <v/>
      </c>
      <c r="K146" s="18">
        <f>IF($A146="","",IFERROR(AVERAGEIF(tblOlcum[VarlikId],$A146,tblOlcum[FormulCpk]),0))</f>
        <v/>
      </c>
      <c r="L146" s="18">
        <f>IF($A146="","",MAX(0,MIN(100,spy_kaliteTaban-IF($K146&lt;spy_esikCpk,spy_kaliteCeza,0)-COUNTIFS(tblOlcum[VarlikId],$A146,tblOlcum[AlarmBayrak],"ALARM")*spy_kaliteSapma-IF($I146="HAYIR",spy_kaliteCeza,0))))</f>
        <v/>
      </c>
    </row>
    <row r="147">
      <c r="A147" s="15" t="n"/>
      <c r="B147" s="15" t="n"/>
      <c r="C147" s="15" t="n"/>
      <c r="D147" s="15" t="n"/>
      <c r="E147" s="16" t="n"/>
      <c r="F147" s="16" t="n"/>
      <c r="G147" s="16" t="n"/>
      <c r="H147" s="17" t="n"/>
      <c r="I147" s="15" t="n"/>
      <c r="J147" s="18">
        <f>IF($A147="","",COUNTIF(tblOlcum[VarlikId],$A147))</f>
        <v/>
      </c>
      <c r="K147" s="18">
        <f>IF($A147="","",IFERROR(AVERAGEIF(tblOlcum[VarlikId],$A147,tblOlcum[FormulCpk]),0))</f>
        <v/>
      </c>
      <c r="L147" s="18">
        <f>IF($A147="","",MAX(0,MIN(100,spy_kaliteTaban-IF($K147&lt;spy_esikCpk,spy_kaliteCeza,0)-COUNTIFS(tblOlcum[VarlikId],$A147,tblOlcum[AlarmBayrak],"ALARM")*spy_kaliteSapma-IF($I147="HAYIR",spy_kaliteCeza,0))))</f>
        <v/>
      </c>
    </row>
    <row r="148">
      <c r="A148" s="15" t="n"/>
      <c r="B148" s="15" t="n"/>
      <c r="C148" s="15" t="n"/>
      <c r="D148" s="15" t="n"/>
      <c r="E148" s="16" t="n"/>
      <c r="F148" s="16" t="n"/>
      <c r="G148" s="16" t="n"/>
      <c r="H148" s="17" t="n"/>
      <c r="I148" s="15" t="n"/>
      <c r="J148" s="18">
        <f>IF($A148="","",COUNTIF(tblOlcum[VarlikId],$A148))</f>
        <v/>
      </c>
      <c r="K148" s="18">
        <f>IF($A148="","",IFERROR(AVERAGEIF(tblOlcum[VarlikId],$A148,tblOlcum[FormulCpk]),0))</f>
        <v/>
      </c>
      <c r="L148" s="18">
        <f>IF($A148="","",MAX(0,MIN(100,spy_kaliteTaban-IF($K148&lt;spy_esikCpk,spy_kaliteCeza,0)-COUNTIFS(tblOlcum[VarlikId],$A148,tblOlcum[AlarmBayrak],"ALARM")*spy_kaliteSapma-IF($I148="HAYIR",spy_kaliteCeza,0))))</f>
        <v/>
      </c>
    </row>
    <row r="149">
      <c r="A149" s="15" t="n"/>
      <c r="B149" s="15" t="n"/>
      <c r="C149" s="15" t="n"/>
      <c r="D149" s="15" t="n"/>
      <c r="E149" s="16" t="n"/>
      <c r="F149" s="16" t="n"/>
      <c r="G149" s="16" t="n"/>
      <c r="H149" s="17" t="n"/>
      <c r="I149" s="15" t="n"/>
      <c r="J149" s="18">
        <f>IF($A149="","",COUNTIF(tblOlcum[VarlikId],$A149))</f>
        <v/>
      </c>
      <c r="K149" s="18">
        <f>IF($A149="","",IFERROR(AVERAGEIF(tblOlcum[VarlikId],$A149,tblOlcum[FormulCpk]),0))</f>
        <v/>
      </c>
      <c r="L149" s="18">
        <f>IF($A149="","",MAX(0,MIN(100,spy_kaliteTaban-IF($K149&lt;spy_esikCpk,spy_kaliteCeza,0)-COUNTIFS(tblOlcum[VarlikId],$A149,tblOlcum[AlarmBayrak],"ALARM")*spy_kaliteSapma-IF($I149="HAYIR",spy_kaliteCeza,0))))</f>
        <v/>
      </c>
    </row>
    <row r="150">
      <c r="A150" s="15" t="n"/>
      <c r="B150" s="15" t="n"/>
      <c r="C150" s="15" t="n"/>
      <c r="D150" s="15" t="n"/>
      <c r="E150" s="16" t="n"/>
      <c r="F150" s="16" t="n"/>
      <c r="G150" s="16" t="n"/>
      <c r="H150" s="17" t="n"/>
      <c r="I150" s="15" t="n"/>
      <c r="J150" s="18">
        <f>IF($A150="","",COUNTIF(tblOlcum[VarlikId],$A150))</f>
        <v/>
      </c>
      <c r="K150" s="18">
        <f>IF($A150="","",IFERROR(AVERAGEIF(tblOlcum[VarlikId],$A150,tblOlcum[FormulCpk]),0))</f>
        <v/>
      </c>
      <c r="L150" s="18">
        <f>IF($A150="","",MAX(0,MIN(100,spy_kaliteTaban-IF($K150&lt;spy_esikCpk,spy_kaliteCeza,0)-COUNTIFS(tblOlcum[VarlikId],$A150,tblOlcum[AlarmBayrak],"ALARM")*spy_kaliteSapma-IF($I150="HAYIR",spy_kaliteCeza,0))))</f>
        <v/>
      </c>
    </row>
    <row r="151">
      <c r="A151" s="15" t="n"/>
      <c r="B151" s="15" t="n"/>
      <c r="C151" s="15" t="n"/>
      <c r="D151" s="15" t="n"/>
      <c r="E151" s="16" t="n"/>
      <c r="F151" s="16" t="n"/>
      <c r="G151" s="16" t="n"/>
      <c r="H151" s="17" t="n"/>
      <c r="I151" s="15" t="n"/>
      <c r="J151" s="18">
        <f>IF($A151="","",COUNTIF(tblOlcum[VarlikId],$A151))</f>
        <v/>
      </c>
      <c r="K151" s="18">
        <f>IF($A151="","",IFERROR(AVERAGEIF(tblOlcum[VarlikId],$A151,tblOlcum[FormulCpk]),0))</f>
        <v/>
      </c>
      <c r="L151" s="18">
        <f>IF($A151="","",MAX(0,MIN(100,spy_kaliteTaban-IF($K151&lt;spy_esikCpk,spy_kaliteCeza,0)-COUNTIFS(tblOlcum[VarlikId],$A151,tblOlcum[AlarmBayrak],"ALARM")*spy_kaliteSapma-IF($I151="HAYIR",spy_kaliteCeza,0))))</f>
        <v/>
      </c>
    </row>
    <row r="152">
      <c r="A152" s="15" t="n"/>
      <c r="B152" s="15" t="n"/>
      <c r="C152" s="15" t="n"/>
      <c r="D152" s="15" t="n"/>
      <c r="E152" s="16" t="n"/>
      <c r="F152" s="16" t="n"/>
      <c r="G152" s="16" t="n"/>
      <c r="H152" s="17" t="n"/>
      <c r="I152" s="15" t="n"/>
      <c r="J152" s="18">
        <f>IF($A152="","",COUNTIF(tblOlcum[VarlikId],$A152))</f>
        <v/>
      </c>
      <c r="K152" s="18">
        <f>IF($A152="","",IFERROR(AVERAGEIF(tblOlcum[VarlikId],$A152,tblOlcum[FormulCpk]),0))</f>
        <v/>
      </c>
      <c r="L152" s="18">
        <f>IF($A152="","",MAX(0,MIN(100,spy_kaliteTaban-IF($K152&lt;spy_esikCpk,spy_kaliteCeza,0)-COUNTIFS(tblOlcum[VarlikId],$A152,tblOlcum[AlarmBayrak],"ALARM")*spy_kaliteSapma-IF($I152="HAYIR",spy_kaliteCeza,0))))</f>
        <v/>
      </c>
    </row>
    <row r="153">
      <c r="A153" s="15" t="n"/>
      <c r="B153" s="15" t="n"/>
      <c r="C153" s="15" t="n"/>
      <c r="D153" s="15" t="n"/>
      <c r="E153" s="16" t="n"/>
      <c r="F153" s="16" t="n"/>
      <c r="G153" s="16" t="n"/>
      <c r="H153" s="17" t="n"/>
      <c r="I153" s="15" t="n"/>
      <c r="J153" s="18">
        <f>IF($A153="","",COUNTIF(tblOlcum[VarlikId],$A153))</f>
        <v/>
      </c>
      <c r="K153" s="18">
        <f>IF($A153="","",IFERROR(AVERAGEIF(tblOlcum[VarlikId],$A153,tblOlcum[FormulCpk]),0))</f>
        <v/>
      </c>
      <c r="L153" s="18">
        <f>IF($A153="","",MAX(0,MIN(100,spy_kaliteTaban-IF($K153&lt;spy_esikCpk,spy_kaliteCeza,0)-COUNTIFS(tblOlcum[VarlikId],$A153,tblOlcum[AlarmBayrak],"ALARM")*spy_kaliteSapma-IF($I153="HAYIR",spy_kaliteCeza,0))))</f>
        <v/>
      </c>
    </row>
    <row r="154">
      <c r="A154" s="15" t="n"/>
      <c r="B154" s="15" t="n"/>
      <c r="C154" s="15" t="n"/>
      <c r="D154" s="15" t="n"/>
      <c r="E154" s="16" t="n"/>
      <c r="F154" s="16" t="n"/>
      <c r="G154" s="16" t="n"/>
      <c r="H154" s="17" t="n"/>
      <c r="I154" s="15" t="n"/>
      <c r="J154" s="18">
        <f>IF($A154="","",COUNTIF(tblOlcum[VarlikId],$A154))</f>
        <v/>
      </c>
      <c r="K154" s="18">
        <f>IF($A154="","",IFERROR(AVERAGEIF(tblOlcum[VarlikId],$A154,tblOlcum[FormulCpk]),0))</f>
        <v/>
      </c>
      <c r="L154" s="18">
        <f>IF($A154="","",MAX(0,MIN(100,spy_kaliteTaban-IF($K154&lt;spy_esikCpk,spy_kaliteCeza,0)-COUNTIFS(tblOlcum[VarlikId],$A154,tblOlcum[AlarmBayrak],"ALARM")*spy_kaliteSapma-IF($I154="HAYIR",spy_kaliteCeza,0))))</f>
        <v/>
      </c>
    </row>
    <row r="155">
      <c r="A155" s="15" t="n"/>
      <c r="B155" s="15" t="n"/>
      <c r="C155" s="15" t="n"/>
      <c r="D155" s="15" t="n"/>
      <c r="E155" s="16" t="n"/>
      <c r="F155" s="16" t="n"/>
      <c r="G155" s="16" t="n"/>
      <c r="H155" s="17" t="n"/>
      <c r="I155" s="15" t="n"/>
      <c r="J155" s="18">
        <f>IF($A155="","",COUNTIF(tblOlcum[VarlikId],$A155))</f>
        <v/>
      </c>
      <c r="K155" s="18">
        <f>IF($A155="","",IFERROR(AVERAGEIF(tblOlcum[VarlikId],$A155,tblOlcum[FormulCpk]),0))</f>
        <v/>
      </c>
      <c r="L155" s="18">
        <f>IF($A155="","",MAX(0,MIN(100,spy_kaliteTaban-IF($K155&lt;spy_esikCpk,spy_kaliteCeza,0)-COUNTIFS(tblOlcum[VarlikId],$A155,tblOlcum[AlarmBayrak],"ALARM")*spy_kaliteSapma-IF($I155="HAYIR",spy_kaliteCeza,0))))</f>
        <v/>
      </c>
    </row>
    <row r="156">
      <c r="A156" s="15" t="n"/>
      <c r="B156" s="15" t="n"/>
      <c r="C156" s="15" t="n"/>
      <c r="D156" s="15" t="n"/>
      <c r="E156" s="16" t="n"/>
      <c r="F156" s="16" t="n"/>
      <c r="G156" s="16" t="n"/>
      <c r="H156" s="17" t="n"/>
      <c r="I156" s="15" t="n"/>
      <c r="J156" s="18">
        <f>IF($A156="","",COUNTIF(tblOlcum[VarlikId],$A156))</f>
        <v/>
      </c>
      <c r="K156" s="18">
        <f>IF($A156="","",IFERROR(AVERAGEIF(tblOlcum[VarlikId],$A156,tblOlcum[FormulCpk]),0))</f>
        <v/>
      </c>
      <c r="L156" s="18">
        <f>IF($A156="","",MAX(0,MIN(100,spy_kaliteTaban-IF($K156&lt;spy_esikCpk,spy_kaliteCeza,0)-COUNTIFS(tblOlcum[VarlikId],$A156,tblOlcum[AlarmBayrak],"ALARM")*spy_kaliteSapma-IF($I156="HAYIR",spy_kaliteCeza,0))))</f>
        <v/>
      </c>
    </row>
    <row r="157">
      <c r="A157" s="15" t="n"/>
      <c r="B157" s="15" t="n"/>
      <c r="C157" s="15" t="n"/>
      <c r="D157" s="15" t="n"/>
      <c r="E157" s="16" t="n"/>
      <c r="F157" s="16" t="n"/>
      <c r="G157" s="16" t="n"/>
      <c r="H157" s="17" t="n"/>
      <c r="I157" s="15" t="n"/>
      <c r="J157" s="18">
        <f>IF($A157="","",COUNTIF(tblOlcum[VarlikId],$A157))</f>
        <v/>
      </c>
      <c r="K157" s="18">
        <f>IF($A157="","",IFERROR(AVERAGEIF(tblOlcum[VarlikId],$A157,tblOlcum[FormulCpk]),0))</f>
        <v/>
      </c>
      <c r="L157" s="18">
        <f>IF($A157="","",MAX(0,MIN(100,spy_kaliteTaban-IF($K157&lt;spy_esikCpk,spy_kaliteCeza,0)-COUNTIFS(tblOlcum[VarlikId],$A157,tblOlcum[AlarmBayrak],"ALARM")*spy_kaliteSapma-IF($I157="HAYIR",spy_kaliteCeza,0))))</f>
        <v/>
      </c>
    </row>
    <row r="158">
      <c r="A158" s="15" t="n"/>
      <c r="B158" s="15" t="n"/>
      <c r="C158" s="15" t="n"/>
      <c r="D158" s="15" t="n"/>
      <c r="E158" s="16" t="n"/>
      <c r="F158" s="16" t="n"/>
      <c r="G158" s="16" t="n"/>
      <c r="H158" s="17" t="n"/>
      <c r="I158" s="15" t="n"/>
      <c r="J158" s="18">
        <f>IF($A158="","",COUNTIF(tblOlcum[VarlikId],$A158))</f>
        <v/>
      </c>
      <c r="K158" s="18">
        <f>IF($A158="","",IFERROR(AVERAGEIF(tblOlcum[VarlikId],$A158,tblOlcum[FormulCpk]),0))</f>
        <v/>
      </c>
      <c r="L158" s="18">
        <f>IF($A158="","",MAX(0,MIN(100,spy_kaliteTaban-IF($K158&lt;spy_esikCpk,spy_kaliteCeza,0)-COUNTIFS(tblOlcum[VarlikId],$A158,tblOlcum[AlarmBayrak],"ALARM")*spy_kaliteSapma-IF($I158="HAYIR",spy_kaliteCeza,0))))</f>
        <v/>
      </c>
    </row>
    <row r="159">
      <c r="A159" s="15" t="n"/>
      <c r="B159" s="15" t="n"/>
      <c r="C159" s="15" t="n"/>
      <c r="D159" s="15" t="n"/>
      <c r="E159" s="16" t="n"/>
      <c r="F159" s="16" t="n"/>
      <c r="G159" s="16" t="n"/>
      <c r="H159" s="17" t="n"/>
      <c r="I159" s="15" t="n"/>
      <c r="J159" s="18">
        <f>IF($A159="","",COUNTIF(tblOlcum[VarlikId],$A159))</f>
        <v/>
      </c>
      <c r="K159" s="18">
        <f>IF($A159="","",IFERROR(AVERAGEIF(tblOlcum[VarlikId],$A159,tblOlcum[FormulCpk]),0))</f>
        <v/>
      </c>
      <c r="L159" s="18">
        <f>IF($A159="","",MAX(0,MIN(100,spy_kaliteTaban-IF($K159&lt;spy_esikCpk,spy_kaliteCeza,0)-COUNTIFS(tblOlcum[VarlikId],$A159,tblOlcum[AlarmBayrak],"ALARM")*spy_kaliteSapma-IF($I159="HAYIR",spy_kaliteCeza,0))))</f>
        <v/>
      </c>
    </row>
    <row r="160">
      <c r="A160" s="15" t="n"/>
      <c r="B160" s="15" t="n"/>
      <c r="C160" s="15" t="n"/>
      <c r="D160" s="15" t="n"/>
      <c r="E160" s="16" t="n"/>
      <c r="F160" s="16" t="n"/>
      <c r="G160" s="16" t="n"/>
      <c r="H160" s="17" t="n"/>
      <c r="I160" s="15" t="n"/>
      <c r="J160" s="18">
        <f>IF($A160="","",COUNTIF(tblOlcum[VarlikId],$A160))</f>
        <v/>
      </c>
      <c r="K160" s="18">
        <f>IF($A160="","",IFERROR(AVERAGEIF(tblOlcum[VarlikId],$A160,tblOlcum[FormulCpk]),0))</f>
        <v/>
      </c>
      <c r="L160" s="18">
        <f>IF($A160="","",MAX(0,MIN(100,spy_kaliteTaban-IF($K160&lt;spy_esikCpk,spy_kaliteCeza,0)-COUNTIFS(tblOlcum[VarlikId],$A160,tblOlcum[AlarmBayrak],"ALARM")*spy_kaliteSapma-IF($I160="HAYIR",spy_kaliteCeza,0))))</f>
        <v/>
      </c>
    </row>
    <row r="161">
      <c r="A161" s="15" t="n"/>
      <c r="B161" s="15" t="n"/>
      <c r="C161" s="15" t="n"/>
      <c r="D161" s="15" t="n"/>
      <c r="E161" s="16" t="n"/>
      <c r="F161" s="16" t="n"/>
      <c r="G161" s="16" t="n"/>
      <c r="H161" s="17" t="n"/>
      <c r="I161" s="15" t="n"/>
      <c r="J161" s="18">
        <f>IF($A161="","",COUNTIF(tblOlcum[VarlikId],$A161))</f>
        <v/>
      </c>
      <c r="K161" s="18">
        <f>IF($A161="","",IFERROR(AVERAGEIF(tblOlcum[VarlikId],$A161,tblOlcum[FormulCpk]),0))</f>
        <v/>
      </c>
      <c r="L161" s="18">
        <f>IF($A161="","",MAX(0,MIN(100,spy_kaliteTaban-IF($K161&lt;spy_esikCpk,spy_kaliteCeza,0)-COUNTIFS(tblOlcum[VarlikId],$A161,tblOlcum[AlarmBayrak],"ALARM")*spy_kaliteSapma-IF($I161="HAYIR",spy_kaliteCeza,0))))</f>
        <v/>
      </c>
    </row>
    <row r="162">
      <c r="A162" s="15" t="n"/>
      <c r="B162" s="15" t="n"/>
      <c r="C162" s="15" t="n"/>
      <c r="D162" s="15" t="n"/>
      <c r="E162" s="16" t="n"/>
      <c r="F162" s="16" t="n"/>
      <c r="G162" s="16" t="n"/>
      <c r="H162" s="17" t="n"/>
      <c r="I162" s="15" t="n"/>
      <c r="J162" s="18">
        <f>IF($A162="","",COUNTIF(tblOlcum[VarlikId],$A162))</f>
        <v/>
      </c>
      <c r="K162" s="18">
        <f>IF($A162="","",IFERROR(AVERAGEIF(tblOlcum[VarlikId],$A162,tblOlcum[FormulCpk]),0))</f>
        <v/>
      </c>
      <c r="L162" s="18">
        <f>IF($A162="","",MAX(0,MIN(100,spy_kaliteTaban-IF($K162&lt;spy_esikCpk,spy_kaliteCeza,0)-COUNTIFS(tblOlcum[VarlikId],$A162,tblOlcum[AlarmBayrak],"ALARM")*spy_kaliteSapma-IF($I162="HAYIR",spy_kaliteCeza,0))))</f>
        <v/>
      </c>
    </row>
    <row r="163">
      <c r="A163" s="15" t="n"/>
      <c r="B163" s="15" t="n"/>
      <c r="C163" s="15" t="n"/>
      <c r="D163" s="15" t="n"/>
      <c r="E163" s="16" t="n"/>
      <c r="F163" s="16" t="n"/>
      <c r="G163" s="16" t="n"/>
      <c r="H163" s="17" t="n"/>
      <c r="I163" s="15" t="n"/>
      <c r="J163" s="18">
        <f>IF($A163="","",COUNTIF(tblOlcum[VarlikId],$A163))</f>
        <v/>
      </c>
      <c r="K163" s="18">
        <f>IF($A163="","",IFERROR(AVERAGEIF(tblOlcum[VarlikId],$A163,tblOlcum[FormulCpk]),0))</f>
        <v/>
      </c>
      <c r="L163" s="18">
        <f>IF($A163="","",MAX(0,MIN(100,spy_kaliteTaban-IF($K163&lt;spy_esikCpk,spy_kaliteCeza,0)-COUNTIFS(tblOlcum[VarlikId],$A163,tblOlcum[AlarmBayrak],"ALARM")*spy_kaliteSapma-IF($I163="HAYIR",spy_kaliteCeza,0))))</f>
        <v/>
      </c>
    </row>
    <row r="164">
      <c r="A164" s="15" t="n"/>
      <c r="B164" s="15" t="n"/>
      <c r="C164" s="15" t="n"/>
      <c r="D164" s="15" t="n"/>
      <c r="E164" s="16" t="n"/>
      <c r="F164" s="16" t="n"/>
      <c r="G164" s="16" t="n"/>
      <c r="H164" s="17" t="n"/>
      <c r="I164" s="15" t="n"/>
      <c r="J164" s="18">
        <f>IF($A164="","",COUNTIF(tblOlcum[VarlikId],$A164))</f>
        <v/>
      </c>
      <c r="K164" s="18">
        <f>IF($A164="","",IFERROR(AVERAGEIF(tblOlcum[VarlikId],$A164,tblOlcum[FormulCpk]),0))</f>
        <v/>
      </c>
      <c r="L164" s="18">
        <f>IF($A164="","",MAX(0,MIN(100,spy_kaliteTaban-IF($K164&lt;spy_esikCpk,spy_kaliteCeza,0)-COUNTIFS(tblOlcum[VarlikId],$A164,tblOlcum[AlarmBayrak],"ALARM")*spy_kaliteSapma-IF($I164="HAYIR",spy_kaliteCeza,0))))</f>
        <v/>
      </c>
    </row>
    <row r="165">
      <c r="A165" s="15" t="n"/>
      <c r="B165" s="15" t="n"/>
      <c r="C165" s="15" t="n"/>
      <c r="D165" s="15" t="n"/>
      <c r="E165" s="16" t="n"/>
      <c r="F165" s="16" t="n"/>
      <c r="G165" s="16" t="n"/>
      <c r="H165" s="17" t="n"/>
      <c r="I165" s="15" t="n"/>
      <c r="J165" s="18">
        <f>IF($A165="","",COUNTIF(tblOlcum[VarlikId],$A165))</f>
        <v/>
      </c>
      <c r="K165" s="18">
        <f>IF($A165="","",IFERROR(AVERAGEIF(tblOlcum[VarlikId],$A165,tblOlcum[FormulCpk]),0))</f>
        <v/>
      </c>
      <c r="L165" s="18">
        <f>IF($A165="","",MAX(0,MIN(100,spy_kaliteTaban-IF($K165&lt;spy_esikCpk,spy_kaliteCeza,0)-COUNTIFS(tblOlcum[VarlikId],$A165,tblOlcum[AlarmBayrak],"ALARM")*spy_kaliteSapma-IF($I165="HAYIR",spy_kaliteCeza,0))))</f>
        <v/>
      </c>
    </row>
    <row r="166">
      <c r="A166" s="15" t="n"/>
      <c r="B166" s="15" t="n"/>
      <c r="C166" s="15" t="n"/>
      <c r="D166" s="15" t="n"/>
      <c r="E166" s="16" t="n"/>
      <c r="F166" s="16" t="n"/>
      <c r="G166" s="16" t="n"/>
      <c r="H166" s="17" t="n"/>
      <c r="I166" s="15" t="n"/>
      <c r="J166" s="18">
        <f>IF($A166="","",COUNTIF(tblOlcum[VarlikId],$A166))</f>
        <v/>
      </c>
      <c r="K166" s="18">
        <f>IF($A166="","",IFERROR(AVERAGEIF(tblOlcum[VarlikId],$A166,tblOlcum[FormulCpk]),0))</f>
        <v/>
      </c>
      <c r="L166" s="18">
        <f>IF($A166="","",MAX(0,MIN(100,spy_kaliteTaban-IF($K166&lt;spy_esikCpk,spy_kaliteCeza,0)-COUNTIFS(tblOlcum[VarlikId],$A166,tblOlcum[AlarmBayrak],"ALARM")*spy_kaliteSapma-IF($I166="HAYIR",spy_kaliteCeza,0))))</f>
        <v/>
      </c>
    </row>
    <row r="167">
      <c r="A167" s="15" t="n"/>
      <c r="B167" s="15" t="n"/>
      <c r="C167" s="15" t="n"/>
      <c r="D167" s="15" t="n"/>
      <c r="E167" s="16" t="n"/>
      <c r="F167" s="16" t="n"/>
      <c r="G167" s="16" t="n"/>
      <c r="H167" s="17" t="n"/>
      <c r="I167" s="15" t="n"/>
      <c r="J167" s="18">
        <f>IF($A167="","",COUNTIF(tblOlcum[VarlikId],$A167))</f>
        <v/>
      </c>
      <c r="K167" s="18">
        <f>IF($A167="","",IFERROR(AVERAGEIF(tblOlcum[VarlikId],$A167,tblOlcum[FormulCpk]),0))</f>
        <v/>
      </c>
      <c r="L167" s="18">
        <f>IF($A167="","",MAX(0,MIN(100,spy_kaliteTaban-IF($K167&lt;spy_esikCpk,spy_kaliteCeza,0)-COUNTIFS(tblOlcum[VarlikId],$A167,tblOlcum[AlarmBayrak],"ALARM")*spy_kaliteSapma-IF($I167="HAYIR",spy_kaliteCeza,0))))</f>
        <v/>
      </c>
    </row>
    <row r="168">
      <c r="A168" s="15" t="n"/>
      <c r="B168" s="15" t="n"/>
      <c r="C168" s="15" t="n"/>
      <c r="D168" s="15" t="n"/>
      <c r="E168" s="16" t="n"/>
      <c r="F168" s="16" t="n"/>
      <c r="G168" s="16" t="n"/>
      <c r="H168" s="17" t="n"/>
      <c r="I168" s="15" t="n"/>
      <c r="J168" s="18">
        <f>IF($A168="","",COUNTIF(tblOlcum[VarlikId],$A168))</f>
        <v/>
      </c>
      <c r="K168" s="18">
        <f>IF($A168="","",IFERROR(AVERAGEIF(tblOlcum[VarlikId],$A168,tblOlcum[FormulCpk]),0))</f>
        <v/>
      </c>
      <c r="L168" s="18">
        <f>IF($A168="","",MAX(0,MIN(100,spy_kaliteTaban-IF($K168&lt;spy_esikCpk,spy_kaliteCeza,0)-COUNTIFS(tblOlcum[VarlikId],$A168,tblOlcum[AlarmBayrak],"ALARM")*spy_kaliteSapma-IF($I168="HAYIR",spy_kaliteCeza,0))))</f>
        <v/>
      </c>
    </row>
    <row r="169">
      <c r="A169" s="15" t="n"/>
      <c r="B169" s="15" t="n"/>
      <c r="C169" s="15" t="n"/>
      <c r="D169" s="15" t="n"/>
      <c r="E169" s="16" t="n"/>
      <c r="F169" s="16" t="n"/>
      <c r="G169" s="16" t="n"/>
      <c r="H169" s="17" t="n"/>
      <c r="I169" s="15" t="n"/>
      <c r="J169" s="18">
        <f>IF($A169="","",COUNTIF(tblOlcum[VarlikId],$A169))</f>
        <v/>
      </c>
      <c r="K169" s="18">
        <f>IF($A169="","",IFERROR(AVERAGEIF(tblOlcum[VarlikId],$A169,tblOlcum[FormulCpk]),0))</f>
        <v/>
      </c>
      <c r="L169" s="18">
        <f>IF($A169="","",MAX(0,MIN(100,spy_kaliteTaban-IF($K169&lt;spy_esikCpk,spy_kaliteCeza,0)-COUNTIFS(tblOlcum[VarlikId],$A169,tblOlcum[AlarmBayrak],"ALARM")*spy_kaliteSapma-IF($I169="HAYIR",spy_kaliteCeza,0))))</f>
        <v/>
      </c>
    </row>
    <row r="170">
      <c r="A170" s="15" t="n"/>
      <c r="B170" s="15" t="n"/>
      <c r="C170" s="15" t="n"/>
      <c r="D170" s="15" t="n"/>
      <c r="E170" s="16" t="n"/>
      <c r="F170" s="16" t="n"/>
      <c r="G170" s="16" t="n"/>
      <c r="H170" s="17" t="n"/>
      <c r="I170" s="15" t="n"/>
      <c r="J170" s="18">
        <f>IF($A170="","",COUNTIF(tblOlcum[VarlikId],$A170))</f>
        <v/>
      </c>
      <c r="K170" s="18">
        <f>IF($A170="","",IFERROR(AVERAGEIF(tblOlcum[VarlikId],$A170,tblOlcum[FormulCpk]),0))</f>
        <v/>
      </c>
      <c r="L170" s="18">
        <f>IF($A170="","",MAX(0,MIN(100,spy_kaliteTaban-IF($K170&lt;spy_esikCpk,spy_kaliteCeza,0)-COUNTIFS(tblOlcum[VarlikId],$A170,tblOlcum[AlarmBayrak],"ALARM")*spy_kaliteSapma-IF($I170="HAYIR",spy_kaliteCeza,0))))</f>
        <v/>
      </c>
    </row>
    <row r="171">
      <c r="A171" s="15" t="n"/>
      <c r="B171" s="15" t="n"/>
      <c r="C171" s="15" t="n"/>
      <c r="D171" s="15" t="n"/>
      <c r="E171" s="16" t="n"/>
      <c r="F171" s="16" t="n"/>
      <c r="G171" s="16" t="n"/>
      <c r="H171" s="17" t="n"/>
      <c r="I171" s="15" t="n"/>
      <c r="J171" s="18">
        <f>IF($A171="","",COUNTIF(tblOlcum[VarlikId],$A171))</f>
        <v/>
      </c>
      <c r="K171" s="18">
        <f>IF($A171="","",IFERROR(AVERAGEIF(tblOlcum[VarlikId],$A171,tblOlcum[FormulCpk]),0))</f>
        <v/>
      </c>
      <c r="L171" s="18">
        <f>IF($A171="","",MAX(0,MIN(100,spy_kaliteTaban-IF($K171&lt;spy_esikCpk,spy_kaliteCeza,0)-COUNTIFS(tblOlcum[VarlikId],$A171,tblOlcum[AlarmBayrak],"ALARM")*spy_kaliteSapma-IF($I171="HAYIR",spy_kaliteCeza,0))))</f>
        <v/>
      </c>
    </row>
    <row r="172">
      <c r="A172" s="15" t="n"/>
      <c r="B172" s="15" t="n"/>
      <c r="C172" s="15" t="n"/>
      <c r="D172" s="15" t="n"/>
      <c r="E172" s="16" t="n"/>
      <c r="F172" s="16" t="n"/>
      <c r="G172" s="16" t="n"/>
      <c r="H172" s="17" t="n"/>
      <c r="I172" s="15" t="n"/>
      <c r="J172" s="18">
        <f>IF($A172="","",COUNTIF(tblOlcum[VarlikId],$A172))</f>
        <v/>
      </c>
      <c r="K172" s="18">
        <f>IF($A172="","",IFERROR(AVERAGEIF(tblOlcum[VarlikId],$A172,tblOlcum[FormulCpk]),0))</f>
        <v/>
      </c>
      <c r="L172" s="18">
        <f>IF($A172="","",MAX(0,MIN(100,spy_kaliteTaban-IF($K172&lt;spy_esikCpk,spy_kaliteCeza,0)-COUNTIFS(tblOlcum[VarlikId],$A172,tblOlcum[AlarmBayrak],"ALARM")*spy_kaliteSapma-IF($I172="HAYIR",spy_kaliteCeza,0))))</f>
        <v/>
      </c>
    </row>
    <row r="173">
      <c r="A173" s="15" t="n"/>
      <c r="B173" s="15" t="n"/>
      <c r="C173" s="15" t="n"/>
      <c r="D173" s="15" t="n"/>
      <c r="E173" s="16" t="n"/>
      <c r="F173" s="16" t="n"/>
      <c r="G173" s="16" t="n"/>
      <c r="H173" s="17" t="n"/>
      <c r="I173" s="15" t="n"/>
      <c r="J173" s="18">
        <f>IF($A173="","",COUNTIF(tblOlcum[VarlikId],$A173))</f>
        <v/>
      </c>
      <c r="K173" s="18">
        <f>IF($A173="","",IFERROR(AVERAGEIF(tblOlcum[VarlikId],$A173,tblOlcum[FormulCpk]),0))</f>
        <v/>
      </c>
      <c r="L173" s="18">
        <f>IF($A173="","",MAX(0,MIN(100,spy_kaliteTaban-IF($K173&lt;spy_esikCpk,spy_kaliteCeza,0)-COUNTIFS(tblOlcum[VarlikId],$A173,tblOlcum[AlarmBayrak],"ALARM")*spy_kaliteSapma-IF($I173="HAYIR",spy_kaliteCeza,0))))</f>
        <v/>
      </c>
    </row>
    <row r="174">
      <c r="A174" s="15" t="n"/>
      <c r="B174" s="15" t="n"/>
      <c r="C174" s="15" t="n"/>
      <c r="D174" s="15" t="n"/>
      <c r="E174" s="16" t="n"/>
      <c r="F174" s="16" t="n"/>
      <c r="G174" s="16" t="n"/>
      <c r="H174" s="17" t="n"/>
      <c r="I174" s="15" t="n"/>
      <c r="J174" s="18">
        <f>IF($A174="","",COUNTIF(tblOlcum[VarlikId],$A174))</f>
        <v/>
      </c>
      <c r="K174" s="18">
        <f>IF($A174="","",IFERROR(AVERAGEIF(tblOlcum[VarlikId],$A174,tblOlcum[FormulCpk]),0))</f>
        <v/>
      </c>
      <c r="L174" s="18">
        <f>IF($A174="","",MAX(0,MIN(100,spy_kaliteTaban-IF($K174&lt;spy_esikCpk,spy_kaliteCeza,0)-COUNTIFS(tblOlcum[VarlikId],$A174,tblOlcum[AlarmBayrak],"ALARM")*spy_kaliteSapma-IF($I174="HAYIR",spy_kaliteCeza,0))))</f>
        <v/>
      </c>
    </row>
    <row r="175">
      <c r="A175" s="15" t="n"/>
      <c r="B175" s="15" t="n"/>
      <c r="C175" s="15" t="n"/>
      <c r="D175" s="15" t="n"/>
      <c r="E175" s="16" t="n"/>
      <c r="F175" s="16" t="n"/>
      <c r="G175" s="16" t="n"/>
      <c r="H175" s="17" t="n"/>
      <c r="I175" s="15" t="n"/>
      <c r="J175" s="18">
        <f>IF($A175="","",COUNTIF(tblOlcum[VarlikId],$A175))</f>
        <v/>
      </c>
      <c r="K175" s="18">
        <f>IF($A175="","",IFERROR(AVERAGEIF(tblOlcum[VarlikId],$A175,tblOlcum[FormulCpk]),0))</f>
        <v/>
      </c>
      <c r="L175" s="18">
        <f>IF($A175="","",MAX(0,MIN(100,spy_kaliteTaban-IF($K175&lt;spy_esikCpk,spy_kaliteCeza,0)-COUNTIFS(tblOlcum[VarlikId],$A175,tblOlcum[AlarmBayrak],"ALARM")*spy_kaliteSapma-IF($I175="HAYIR",spy_kaliteCeza,0))))</f>
        <v/>
      </c>
    </row>
    <row r="176">
      <c r="A176" s="15" t="n"/>
      <c r="B176" s="15" t="n"/>
      <c r="C176" s="15" t="n"/>
      <c r="D176" s="15" t="n"/>
      <c r="E176" s="16" t="n"/>
      <c r="F176" s="16" t="n"/>
      <c r="G176" s="16" t="n"/>
      <c r="H176" s="17" t="n"/>
      <c r="I176" s="15" t="n"/>
      <c r="J176" s="18">
        <f>IF($A176="","",COUNTIF(tblOlcum[VarlikId],$A176))</f>
        <v/>
      </c>
      <c r="K176" s="18">
        <f>IF($A176="","",IFERROR(AVERAGEIF(tblOlcum[VarlikId],$A176,tblOlcum[FormulCpk]),0))</f>
        <v/>
      </c>
      <c r="L176" s="18">
        <f>IF($A176="","",MAX(0,MIN(100,spy_kaliteTaban-IF($K176&lt;spy_esikCpk,spy_kaliteCeza,0)-COUNTIFS(tblOlcum[VarlikId],$A176,tblOlcum[AlarmBayrak],"ALARM")*spy_kaliteSapma-IF($I176="HAYIR",spy_kaliteCeza,0))))</f>
        <v/>
      </c>
    </row>
    <row r="177">
      <c r="A177" s="15" t="n"/>
      <c r="B177" s="15" t="n"/>
      <c r="C177" s="15" t="n"/>
      <c r="D177" s="15" t="n"/>
      <c r="E177" s="16" t="n"/>
      <c r="F177" s="16" t="n"/>
      <c r="G177" s="16" t="n"/>
      <c r="H177" s="17" t="n"/>
      <c r="I177" s="15" t="n"/>
      <c r="J177" s="18">
        <f>IF($A177="","",COUNTIF(tblOlcum[VarlikId],$A177))</f>
        <v/>
      </c>
      <c r="K177" s="18">
        <f>IF($A177="","",IFERROR(AVERAGEIF(tblOlcum[VarlikId],$A177,tblOlcum[FormulCpk]),0))</f>
        <v/>
      </c>
      <c r="L177" s="18">
        <f>IF($A177="","",MAX(0,MIN(100,spy_kaliteTaban-IF($K177&lt;spy_esikCpk,spy_kaliteCeza,0)-COUNTIFS(tblOlcum[VarlikId],$A177,tblOlcum[AlarmBayrak],"ALARM")*spy_kaliteSapma-IF($I177="HAYIR",spy_kaliteCeza,0))))</f>
        <v/>
      </c>
    </row>
    <row r="178">
      <c r="A178" s="15" t="n"/>
      <c r="B178" s="15" t="n"/>
      <c r="C178" s="15" t="n"/>
      <c r="D178" s="15" t="n"/>
      <c r="E178" s="16" t="n"/>
      <c r="F178" s="16" t="n"/>
      <c r="G178" s="16" t="n"/>
      <c r="H178" s="17" t="n"/>
      <c r="I178" s="15" t="n"/>
      <c r="J178" s="18">
        <f>IF($A178="","",COUNTIF(tblOlcum[VarlikId],$A178))</f>
        <v/>
      </c>
      <c r="K178" s="18">
        <f>IF($A178="","",IFERROR(AVERAGEIF(tblOlcum[VarlikId],$A178,tblOlcum[FormulCpk]),0))</f>
        <v/>
      </c>
      <c r="L178" s="18">
        <f>IF($A178="","",MAX(0,MIN(100,spy_kaliteTaban-IF($K178&lt;spy_esikCpk,spy_kaliteCeza,0)-COUNTIFS(tblOlcum[VarlikId],$A178,tblOlcum[AlarmBayrak],"ALARM")*spy_kaliteSapma-IF($I178="HAYIR",spy_kaliteCeza,0))))</f>
        <v/>
      </c>
    </row>
    <row r="179">
      <c r="A179" s="15" t="n"/>
      <c r="B179" s="15" t="n"/>
      <c r="C179" s="15" t="n"/>
      <c r="D179" s="15" t="n"/>
      <c r="E179" s="16" t="n"/>
      <c r="F179" s="16" t="n"/>
      <c r="G179" s="16" t="n"/>
      <c r="H179" s="17" t="n"/>
      <c r="I179" s="15" t="n"/>
      <c r="J179" s="18">
        <f>IF($A179="","",COUNTIF(tblOlcum[VarlikId],$A179))</f>
        <v/>
      </c>
      <c r="K179" s="18">
        <f>IF($A179="","",IFERROR(AVERAGEIF(tblOlcum[VarlikId],$A179,tblOlcum[FormulCpk]),0))</f>
        <v/>
      </c>
      <c r="L179" s="18">
        <f>IF($A179="","",MAX(0,MIN(100,spy_kaliteTaban-IF($K179&lt;spy_esikCpk,spy_kaliteCeza,0)-COUNTIFS(tblOlcum[VarlikId],$A179,tblOlcum[AlarmBayrak],"ALARM")*spy_kaliteSapma-IF($I179="HAYIR",spy_kaliteCeza,0))))</f>
        <v/>
      </c>
    </row>
    <row r="180">
      <c r="A180" s="15" t="n"/>
      <c r="B180" s="15" t="n"/>
      <c r="C180" s="15" t="n"/>
      <c r="D180" s="15" t="n"/>
      <c r="E180" s="16" t="n"/>
      <c r="F180" s="16" t="n"/>
      <c r="G180" s="16" t="n"/>
      <c r="H180" s="17" t="n"/>
      <c r="I180" s="15" t="n"/>
      <c r="J180" s="18">
        <f>IF($A180="","",COUNTIF(tblOlcum[VarlikId],$A180))</f>
        <v/>
      </c>
      <c r="K180" s="18">
        <f>IF($A180="","",IFERROR(AVERAGEIF(tblOlcum[VarlikId],$A180,tblOlcum[FormulCpk]),0))</f>
        <v/>
      </c>
      <c r="L180" s="18">
        <f>IF($A180="","",MAX(0,MIN(100,spy_kaliteTaban-IF($K180&lt;spy_esikCpk,spy_kaliteCeza,0)-COUNTIFS(tblOlcum[VarlikId],$A180,tblOlcum[AlarmBayrak],"ALARM")*spy_kaliteSapma-IF($I180="HAYIR",spy_kaliteCeza,0))))</f>
        <v/>
      </c>
    </row>
    <row r="181">
      <c r="A181" s="15" t="n"/>
      <c r="B181" s="15" t="n"/>
      <c r="C181" s="15" t="n"/>
      <c r="D181" s="15" t="n"/>
      <c r="E181" s="16" t="n"/>
      <c r="F181" s="16" t="n"/>
      <c r="G181" s="16" t="n"/>
      <c r="H181" s="17" t="n"/>
      <c r="I181" s="15" t="n"/>
      <c r="J181" s="18">
        <f>IF($A181="","",COUNTIF(tblOlcum[VarlikId],$A181))</f>
        <v/>
      </c>
      <c r="K181" s="18">
        <f>IF($A181="","",IFERROR(AVERAGEIF(tblOlcum[VarlikId],$A181,tblOlcum[FormulCpk]),0))</f>
        <v/>
      </c>
      <c r="L181" s="18">
        <f>IF($A181="","",MAX(0,MIN(100,spy_kaliteTaban-IF($K181&lt;spy_esikCpk,spy_kaliteCeza,0)-COUNTIFS(tblOlcum[VarlikId],$A181,tblOlcum[AlarmBayrak],"ALARM")*spy_kaliteSapma-IF($I181="HAYIR",spy_kaliteCeza,0))))</f>
        <v/>
      </c>
    </row>
    <row r="182">
      <c r="A182" s="15" t="n"/>
      <c r="B182" s="15" t="n"/>
      <c r="C182" s="15" t="n"/>
      <c r="D182" s="15" t="n"/>
      <c r="E182" s="16" t="n"/>
      <c r="F182" s="16" t="n"/>
      <c r="G182" s="16" t="n"/>
      <c r="H182" s="17" t="n"/>
      <c r="I182" s="15" t="n"/>
      <c r="J182" s="18">
        <f>IF($A182="","",COUNTIF(tblOlcum[VarlikId],$A182))</f>
        <v/>
      </c>
      <c r="K182" s="18">
        <f>IF($A182="","",IFERROR(AVERAGEIF(tblOlcum[VarlikId],$A182,tblOlcum[FormulCpk]),0))</f>
        <v/>
      </c>
      <c r="L182" s="18">
        <f>IF($A182="","",MAX(0,MIN(100,spy_kaliteTaban-IF($K182&lt;spy_esikCpk,spy_kaliteCeza,0)-COUNTIFS(tblOlcum[VarlikId],$A182,tblOlcum[AlarmBayrak],"ALARM")*spy_kaliteSapma-IF($I182="HAYIR",spy_kaliteCeza,0))))</f>
        <v/>
      </c>
    </row>
    <row r="183">
      <c r="A183" s="15" t="n"/>
      <c r="B183" s="15" t="n"/>
      <c r="C183" s="15" t="n"/>
      <c r="D183" s="15" t="n"/>
      <c r="E183" s="16" t="n"/>
      <c r="F183" s="16" t="n"/>
      <c r="G183" s="16" t="n"/>
      <c r="H183" s="17" t="n"/>
      <c r="I183" s="15" t="n"/>
      <c r="J183" s="18">
        <f>IF($A183="","",COUNTIF(tblOlcum[VarlikId],$A183))</f>
        <v/>
      </c>
      <c r="K183" s="18">
        <f>IF($A183="","",IFERROR(AVERAGEIF(tblOlcum[VarlikId],$A183,tblOlcum[FormulCpk]),0))</f>
        <v/>
      </c>
      <c r="L183" s="18">
        <f>IF($A183="","",MAX(0,MIN(100,spy_kaliteTaban-IF($K183&lt;spy_esikCpk,spy_kaliteCeza,0)-COUNTIFS(tblOlcum[VarlikId],$A183,tblOlcum[AlarmBayrak],"ALARM")*spy_kaliteSapma-IF($I183="HAYIR",spy_kaliteCeza,0))))</f>
        <v/>
      </c>
    </row>
    <row r="184">
      <c r="A184" s="15" t="n"/>
      <c r="B184" s="15" t="n"/>
      <c r="C184" s="15" t="n"/>
      <c r="D184" s="15" t="n"/>
      <c r="E184" s="16" t="n"/>
      <c r="F184" s="16" t="n"/>
      <c r="G184" s="16" t="n"/>
      <c r="H184" s="17" t="n"/>
      <c r="I184" s="15" t="n"/>
      <c r="J184" s="18">
        <f>IF($A184="","",COUNTIF(tblOlcum[VarlikId],$A184))</f>
        <v/>
      </c>
      <c r="K184" s="18">
        <f>IF($A184="","",IFERROR(AVERAGEIF(tblOlcum[VarlikId],$A184,tblOlcum[FormulCpk]),0))</f>
        <v/>
      </c>
      <c r="L184" s="18">
        <f>IF($A184="","",MAX(0,MIN(100,spy_kaliteTaban-IF($K184&lt;spy_esikCpk,spy_kaliteCeza,0)-COUNTIFS(tblOlcum[VarlikId],$A184,tblOlcum[AlarmBayrak],"ALARM")*spy_kaliteSapma-IF($I184="HAYIR",spy_kaliteCeza,0))))</f>
        <v/>
      </c>
    </row>
    <row r="185">
      <c r="A185" s="15" t="n"/>
      <c r="B185" s="15" t="n"/>
      <c r="C185" s="15" t="n"/>
      <c r="D185" s="15" t="n"/>
      <c r="E185" s="16" t="n"/>
      <c r="F185" s="16" t="n"/>
      <c r="G185" s="16" t="n"/>
      <c r="H185" s="17" t="n"/>
      <c r="I185" s="15" t="n"/>
      <c r="J185" s="18">
        <f>IF($A185="","",COUNTIF(tblOlcum[VarlikId],$A185))</f>
        <v/>
      </c>
      <c r="K185" s="18">
        <f>IF($A185="","",IFERROR(AVERAGEIF(tblOlcum[VarlikId],$A185,tblOlcum[FormulCpk]),0))</f>
        <v/>
      </c>
      <c r="L185" s="18">
        <f>IF($A185="","",MAX(0,MIN(100,spy_kaliteTaban-IF($K185&lt;spy_esikCpk,spy_kaliteCeza,0)-COUNTIFS(tblOlcum[VarlikId],$A185,tblOlcum[AlarmBayrak],"ALARM")*spy_kaliteSapma-IF($I185="HAYIR",spy_kaliteCeza,0))))</f>
        <v/>
      </c>
    </row>
    <row r="186">
      <c r="A186" s="15" t="n"/>
      <c r="B186" s="15" t="n"/>
      <c r="C186" s="15" t="n"/>
      <c r="D186" s="15" t="n"/>
      <c r="E186" s="16" t="n"/>
      <c r="F186" s="16" t="n"/>
      <c r="G186" s="16" t="n"/>
      <c r="H186" s="17" t="n"/>
      <c r="I186" s="15" t="n"/>
      <c r="J186" s="18">
        <f>IF($A186="","",COUNTIF(tblOlcum[VarlikId],$A186))</f>
        <v/>
      </c>
      <c r="K186" s="18">
        <f>IF($A186="","",IFERROR(AVERAGEIF(tblOlcum[VarlikId],$A186,tblOlcum[FormulCpk]),0))</f>
        <v/>
      </c>
      <c r="L186" s="18">
        <f>IF($A186="","",MAX(0,MIN(100,spy_kaliteTaban-IF($K186&lt;spy_esikCpk,spy_kaliteCeza,0)-COUNTIFS(tblOlcum[VarlikId],$A186,tblOlcum[AlarmBayrak],"ALARM")*spy_kaliteSapma-IF($I186="HAYIR",spy_kaliteCeza,0))))</f>
        <v/>
      </c>
    </row>
    <row r="187">
      <c r="A187" s="15" t="n"/>
      <c r="B187" s="15" t="n"/>
      <c r="C187" s="15" t="n"/>
      <c r="D187" s="15" t="n"/>
      <c r="E187" s="16" t="n"/>
      <c r="F187" s="16" t="n"/>
      <c r="G187" s="16" t="n"/>
      <c r="H187" s="17" t="n"/>
      <c r="I187" s="15" t="n"/>
      <c r="J187" s="18">
        <f>IF($A187="","",COUNTIF(tblOlcum[VarlikId],$A187))</f>
        <v/>
      </c>
      <c r="K187" s="18">
        <f>IF($A187="","",IFERROR(AVERAGEIF(tblOlcum[VarlikId],$A187,tblOlcum[FormulCpk]),0))</f>
        <v/>
      </c>
      <c r="L187" s="18">
        <f>IF($A187="","",MAX(0,MIN(100,spy_kaliteTaban-IF($K187&lt;spy_esikCpk,spy_kaliteCeza,0)-COUNTIFS(tblOlcum[VarlikId],$A187,tblOlcum[AlarmBayrak],"ALARM")*spy_kaliteSapma-IF($I187="HAYIR",spy_kaliteCeza,0))))</f>
        <v/>
      </c>
    </row>
    <row r="188">
      <c r="A188" s="15" t="n"/>
      <c r="B188" s="15" t="n"/>
      <c r="C188" s="15" t="n"/>
      <c r="D188" s="15" t="n"/>
      <c r="E188" s="16" t="n"/>
      <c r="F188" s="16" t="n"/>
      <c r="G188" s="16" t="n"/>
      <c r="H188" s="17" t="n"/>
      <c r="I188" s="15" t="n"/>
      <c r="J188" s="18">
        <f>IF($A188="","",COUNTIF(tblOlcum[VarlikId],$A188))</f>
        <v/>
      </c>
      <c r="K188" s="18">
        <f>IF($A188="","",IFERROR(AVERAGEIF(tblOlcum[VarlikId],$A188,tblOlcum[FormulCpk]),0))</f>
        <v/>
      </c>
      <c r="L188" s="18">
        <f>IF($A188="","",MAX(0,MIN(100,spy_kaliteTaban-IF($K188&lt;spy_esikCpk,spy_kaliteCeza,0)-COUNTIFS(tblOlcum[VarlikId],$A188,tblOlcum[AlarmBayrak],"ALARM")*spy_kaliteSapma-IF($I188="HAYIR",spy_kaliteCeza,0))))</f>
        <v/>
      </c>
    </row>
    <row r="189">
      <c r="A189" s="15" t="n"/>
      <c r="B189" s="15" t="n"/>
      <c r="C189" s="15" t="n"/>
      <c r="D189" s="15" t="n"/>
      <c r="E189" s="16" t="n"/>
      <c r="F189" s="16" t="n"/>
      <c r="G189" s="16" t="n"/>
      <c r="H189" s="17" t="n"/>
      <c r="I189" s="15" t="n"/>
      <c r="J189" s="18">
        <f>IF($A189="","",COUNTIF(tblOlcum[VarlikId],$A189))</f>
        <v/>
      </c>
      <c r="K189" s="18">
        <f>IF($A189="","",IFERROR(AVERAGEIF(tblOlcum[VarlikId],$A189,tblOlcum[FormulCpk]),0))</f>
        <v/>
      </c>
      <c r="L189" s="18">
        <f>IF($A189="","",MAX(0,MIN(100,spy_kaliteTaban-IF($K189&lt;spy_esikCpk,spy_kaliteCeza,0)-COUNTIFS(tblOlcum[VarlikId],$A189,tblOlcum[AlarmBayrak],"ALARM")*spy_kaliteSapma-IF($I189="HAYIR",spy_kaliteCeza,0))))</f>
        <v/>
      </c>
    </row>
    <row r="190">
      <c r="A190" s="15" t="n"/>
      <c r="B190" s="15" t="n"/>
      <c r="C190" s="15" t="n"/>
      <c r="D190" s="15" t="n"/>
      <c r="E190" s="16" t="n"/>
      <c r="F190" s="16" t="n"/>
      <c r="G190" s="16" t="n"/>
      <c r="H190" s="17" t="n"/>
      <c r="I190" s="15" t="n"/>
      <c r="J190" s="18">
        <f>IF($A190="","",COUNTIF(tblOlcum[VarlikId],$A190))</f>
        <v/>
      </c>
      <c r="K190" s="18">
        <f>IF($A190="","",IFERROR(AVERAGEIF(tblOlcum[VarlikId],$A190,tblOlcum[FormulCpk]),0))</f>
        <v/>
      </c>
      <c r="L190" s="18">
        <f>IF($A190="","",MAX(0,MIN(100,spy_kaliteTaban-IF($K190&lt;spy_esikCpk,spy_kaliteCeza,0)-COUNTIFS(tblOlcum[VarlikId],$A190,tblOlcum[AlarmBayrak],"ALARM")*spy_kaliteSapma-IF($I190="HAYIR",spy_kaliteCeza,0))))</f>
        <v/>
      </c>
    </row>
    <row r="191">
      <c r="A191" s="15" t="n"/>
      <c r="B191" s="15" t="n"/>
      <c r="C191" s="15" t="n"/>
      <c r="D191" s="15" t="n"/>
      <c r="E191" s="16" t="n"/>
      <c r="F191" s="16" t="n"/>
      <c r="G191" s="16" t="n"/>
      <c r="H191" s="17" t="n"/>
      <c r="I191" s="15" t="n"/>
      <c r="J191" s="18">
        <f>IF($A191="","",COUNTIF(tblOlcum[VarlikId],$A191))</f>
        <v/>
      </c>
      <c r="K191" s="18">
        <f>IF($A191="","",IFERROR(AVERAGEIF(tblOlcum[VarlikId],$A191,tblOlcum[FormulCpk]),0))</f>
        <v/>
      </c>
      <c r="L191" s="18">
        <f>IF($A191="","",MAX(0,MIN(100,spy_kaliteTaban-IF($K191&lt;spy_esikCpk,spy_kaliteCeza,0)-COUNTIFS(tblOlcum[VarlikId],$A191,tblOlcum[AlarmBayrak],"ALARM")*spy_kaliteSapma-IF($I191="HAYIR",spy_kaliteCeza,0))))</f>
        <v/>
      </c>
    </row>
    <row r="192">
      <c r="A192" s="15" t="n"/>
      <c r="B192" s="15" t="n"/>
      <c r="C192" s="15" t="n"/>
      <c r="D192" s="15" t="n"/>
      <c r="E192" s="16" t="n"/>
      <c r="F192" s="16" t="n"/>
      <c r="G192" s="16" t="n"/>
      <c r="H192" s="17" t="n"/>
      <c r="I192" s="15" t="n"/>
      <c r="J192" s="18">
        <f>IF($A192="","",COUNTIF(tblOlcum[VarlikId],$A192))</f>
        <v/>
      </c>
      <c r="K192" s="18">
        <f>IF($A192="","",IFERROR(AVERAGEIF(tblOlcum[VarlikId],$A192,tblOlcum[FormulCpk]),0))</f>
        <v/>
      </c>
      <c r="L192" s="18">
        <f>IF($A192="","",MAX(0,MIN(100,spy_kaliteTaban-IF($K192&lt;spy_esikCpk,spy_kaliteCeza,0)-COUNTIFS(tblOlcum[VarlikId],$A192,tblOlcum[AlarmBayrak],"ALARM")*spy_kaliteSapma-IF($I192="HAYIR",spy_kaliteCeza,0))))</f>
        <v/>
      </c>
    </row>
    <row r="193">
      <c r="A193" s="15" t="n"/>
      <c r="B193" s="15" t="n"/>
      <c r="C193" s="15" t="n"/>
      <c r="D193" s="15" t="n"/>
      <c r="E193" s="16" t="n"/>
      <c r="F193" s="16" t="n"/>
      <c r="G193" s="16" t="n"/>
      <c r="H193" s="17" t="n"/>
      <c r="I193" s="15" t="n"/>
      <c r="J193" s="18">
        <f>IF($A193="","",COUNTIF(tblOlcum[VarlikId],$A193))</f>
        <v/>
      </c>
      <c r="K193" s="18">
        <f>IF($A193="","",IFERROR(AVERAGEIF(tblOlcum[VarlikId],$A193,tblOlcum[FormulCpk]),0))</f>
        <v/>
      </c>
      <c r="L193" s="18">
        <f>IF($A193="","",MAX(0,MIN(100,spy_kaliteTaban-IF($K193&lt;spy_esikCpk,spy_kaliteCeza,0)-COUNTIFS(tblOlcum[VarlikId],$A193,tblOlcum[AlarmBayrak],"ALARM")*spy_kaliteSapma-IF($I193="HAYIR",spy_kaliteCeza,0))))</f>
        <v/>
      </c>
    </row>
    <row r="194">
      <c r="A194" s="15" t="n"/>
      <c r="B194" s="15" t="n"/>
      <c r="C194" s="15" t="n"/>
      <c r="D194" s="15" t="n"/>
      <c r="E194" s="16" t="n"/>
      <c r="F194" s="16" t="n"/>
      <c r="G194" s="16" t="n"/>
      <c r="H194" s="17" t="n"/>
      <c r="I194" s="15" t="n"/>
      <c r="J194" s="18">
        <f>IF($A194="","",COUNTIF(tblOlcum[VarlikId],$A194))</f>
        <v/>
      </c>
      <c r="K194" s="18">
        <f>IF($A194="","",IFERROR(AVERAGEIF(tblOlcum[VarlikId],$A194,tblOlcum[FormulCpk]),0))</f>
        <v/>
      </c>
      <c r="L194" s="18">
        <f>IF($A194="","",MAX(0,MIN(100,spy_kaliteTaban-IF($K194&lt;spy_esikCpk,spy_kaliteCeza,0)-COUNTIFS(tblOlcum[VarlikId],$A194,tblOlcum[AlarmBayrak],"ALARM")*spy_kaliteSapma-IF($I194="HAYIR",spy_kaliteCeza,0))))</f>
        <v/>
      </c>
    </row>
    <row r="195">
      <c r="A195" s="15" t="n"/>
      <c r="B195" s="15" t="n"/>
      <c r="C195" s="15" t="n"/>
      <c r="D195" s="15" t="n"/>
      <c r="E195" s="16" t="n"/>
      <c r="F195" s="16" t="n"/>
      <c r="G195" s="16" t="n"/>
      <c r="H195" s="17" t="n"/>
      <c r="I195" s="15" t="n"/>
      <c r="J195" s="18">
        <f>IF($A195="","",COUNTIF(tblOlcum[VarlikId],$A195))</f>
        <v/>
      </c>
      <c r="K195" s="18">
        <f>IF($A195="","",IFERROR(AVERAGEIF(tblOlcum[VarlikId],$A195,tblOlcum[FormulCpk]),0))</f>
        <v/>
      </c>
      <c r="L195" s="18">
        <f>IF($A195="","",MAX(0,MIN(100,spy_kaliteTaban-IF($K195&lt;spy_esikCpk,spy_kaliteCeza,0)-COUNTIFS(tblOlcum[VarlikId],$A195,tblOlcum[AlarmBayrak],"ALARM")*spy_kaliteSapma-IF($I195="HAYIR",spy_kaliteCeza,0))))</f>
        <v/>
      </c>
    </row>
    <row r="196">
      <c r="A196" s="15" t="n"/>
      <c r="B196" s="15" t="n"/>
      <c r="C196" s="15" t="n"/>
      <c r="D196" s="15" t="n"/>
      <c r="E196" s="16" t="n"/>
      <c r="F196" s="16" t="n"/>
      <c r="G196" s="16" t="n"/>
      <c r="H196" s="17" t="n"/>
      <c r="I196" s="15" t="n"/>
      <c r="J196" s="18">
        <f>IF($A196="","",COUNTIF(tblOlcum[VarlikId],$A196))</f>
        <v/>
      </c>
      <c r="K196" s="18">
        <f>IF($A196="","",IFERROR(AVERAGEIF(tblOlcum[VarlikId],$A196,tblOlcum[FormulCpk]),0))</f>
        <v/>
      </c>
      <c r="L196" s="18">
        <f>IF($A196="","",MAX(0,MIN(100,spy_kaliteTaban-IF($K196&lt;spy_esikCpk,spy_kaliteCeza,0)-COUNTIFS(tblOlcum[VarlikId],$A196,tblOlcum[AlarmBayrak],"ALARM")*spy_kaliteSapma-IF($I196="HAYIR",spy_kaliteCeza,0))))</f>
        <v/>
      </c>
    </row>
    <row r="197">
      <c r="A197" s="15" t="n"/>
      <c r="B197" s="15" t="n"/>
      <c r="C197" s="15" t="n"/>
      <c r="D197" s="15" t="n"/>
      <c r="E197" s="16" t="n"/>
      <c r="F197" s="16" t="n"/>
      <c r="G197" s="16" t="n"/>
      <c r="H197" s="17" t="n"/>
      <c r="I197" s="15" t="n"/>
      <c r="J197" s="18">
        <f>IF($A197="","",COUNTIF(tblOlcum[VarlikId],$A197))</f>
        <v/>
      </c>
      <c r="K197" s="18">
        <f>IF($A197="","",IFERROR(AVERAGEIF(tblOlcum[VarlikId],$A197,tblOlcum[FormulCpk]),0))</f>
        <v/>
      </c>
      <c r="L197" s="18">
        <f>IF($A197="","",MAX(0,MIN(100,spy_kaliteTaban-IF($K197&lt;spy_esikCpk,spy_kaliteCeza,0)-COUNTIFS(tblOlcum[VarlikId],$A197,tblOlcum[AlarmBayrak],"ALARM")*spy_kaliteSapma-IF($I197="HAYIR",spy_kaliteCeza,0))))</f>
        <v/>
      </c>
    </row>
    <row r="198">
      <c r="A198" s="15" t="n"/>
      <c r="B198" s="15" t="n"/>
      <c r="C198" s="15" t="n"/>
      <c r="D198" s="15" t="n"/>
      <c r="E198" s="16" t="n"/>
      <c r="F198" s="16" t="n"/>
      <c r="G198" s="16" t="n"/>
      <c r="H198" s="17" t="n"/>
      <c r="I198" s="15" t="n"/>
      <c r="J198" s="18">
        <f>IF($A198="","",COUNTIF(tblOlcum[VarlikId],$A198))</f>
        <v/>
      </c>
      <c r="K198" s="18">
        <f>IF($A198="","",IFERROR(AVERAGEIF(tblOlcum[VarlikId],$A198,tblOlcum[FormulCpk]),0))</f>
        <v/>
      </c>
      <c r="L198" s="18">
        <f>IF($A198="","",MAX(0,MIN(100,spy_kaliteTaban-IF($K198&lt;spy_esikCpk,spy_kaliteCeza,0)-COUNTIFS(tblOlcum[VarlikId],$A198,tblOlcum[AlarmBayrak],"ALARM")*spy_kaliteSapma-IF($I198="HAYIR",spy_kaliteCeza,0))))</f>
        <v/>
      </c>
    </row>
    <row r="199">
      <c r="A199" s="15" t="n"/>
      <c r="B199" s="15" t="n"/>
      <c r="C199" s="15" t="n"/>
      <c r="D199" s="15" t="n"/>
      <c r="E199" s="16" t="n"/>
      <c r="F199" s="16" t="n"/>
      <c r="G199" s="16" t="n"/>
      <c r="H199" s="17" t="n"/>
      <c r="I199" s="15" t="n"/>
      <c r="J199" s="18">
        <f>IF($A199="","",COUNTIF(tblOlcum[VarlikId],$A199))</f>
        <v/>
      </c>
      <c r="K199" s="18">
        <f>IF($A199="","",IFERROR(AVERAGEIF(tblOlcum[VarlikId],$A199,tblOlcum[FormulCpk]),0))</f>
        <v/>
      </c>
      <c r="L199" s="18">
        <f>IF($A199="","",MAX(0,MIN(100,spy_kaliteTaban-IF($K199&lt;spy_esikCpk,spy_kaliteCeza,0)-COUNTIFS(tblOlcum[VarlikId],$A199,tblOlcum[AlarmBayrak],"ALARM")*spy_kaliteSapma-IF($I199="HAYIR",spy_kaliteCeza,0))))</f>
        <v/>
      </c>
    </row>
    <row r="200">
      <c r="A200" s="15" t="n"/>
      <c r="B200" s="15" t="n"/>
      <c r="C200" s="15" t="n"/>
      <c r="D200" s="15" t="n"/>
      <c r="E200" s="16" t="n"/>
      <c r="F200" s="16" t="n"/>
      <c r="G200" s="16" t="n"/>
      <c r="H200" s="17" t="n"/>
      <c r="I200" s="15" t="n"/>
      <c r="J200" s="18">
        <f>IF($A200="","",COUNTIF(tblOlcum[VarlikId],$A200))</f>
        <v/>
      </c>
      <c r="K200" s="18">
        <f>IF($A200="","",IFERROR(AVERAGEIF(tblOlcum[VarlikId],$A200,tblOlcum[FormulCpk]),0))</f>
        <v/>
      </c>
      <c r="L200" s="18">
        <f>IF($A200="","",MAX(0,MIN(100,spy_kaliteTaban-IF($K200&lt;spy_esikCpk,spy_kaliteCeza,0)-COUNTIFS(tblOlcum[VarlikId],$A200,tblOlcum[AlarmBayrak],"ALARM")*spy_kaliteSapma-IF($I200="HAYIR",spy_kaliteCeza,0))))</f>
        <v/>
      </c>
    </row>
    <row r="201">
      <c r="A201" s="15" t="n"/>
      <c r="B201" s="15" t="n"/>
      <c r="C201" s="15" t="n"/>
      <c r="D201" s="15" t="n"/>
      <c r="E201" s="16" t="n"/>
      <c r="F201" s="16" t="n"/>
      <c r="G201" s="16" t="n"/>
      <c r="H201" s="17" t="n"/>
      <c r="I201" s="15" t="n"/>
      <c r="J201" s="18">
        <f>IF($A201="","",COUNTIF(tblOlcum[VarlikId],$A201))</f>
        <v/>
      </c>
      <c r="K201" s="18">
        <f>IF($A201="","",IFERROR(AVERAGEIF(tblOlcum[VarlikId],$A201,tblOlcum[FormulCpk]),0))</f>
        <v/>
      </c>
      <c r="L201" s="18">
        <f>IF($A201="","",MAX(0,MIN(100,spy_kaliteTaban-IF($K201&lt;spy_esikCpk,spy_kaliteCeza,0)-COUNTIFS(tblOlcum[VarlikId],$A201,tblOlcum[AlarmBayrak],"ALARM")*spy_kaliteSapma-IF($I201="HAYIR",spy_kaliteCeza,0))))</f>
        <v/>
      </c>
    </row>
    <row r="202">
      <c r="A202" s="15" t="n"/>
      <c r="B202" s="15" t="n"/>
      <c r="C202" s="15" t="n"/>
      <c r="D202" s="15" t="n"/>
      <c r="E202" s="16" t="n"/>
      <c r="F202" s="16" t="n"/>
      <c r="G202" s="16" t="n"/>
      <c r="H202" s="17" t="n"/>
      <c r="I202" s="15" t="n"/>
      <c r="J202" s="18">
        <f>IF($A202="","",COUNTIF(tblOlcum[VarlikId],$A202))</f>
        <v/>
      </c>
      <c r="K202" s="18">
        <f>IF($A202="","",IFERROR(AVERAGEIF(tblOlcum[VarlikId],$A202,tblOlcum[FormulCpk]),0))</f>
        <v/>
      </c>
      <c r="L202" s="18">
        <f>IF($A202="","",MAX(0,MIN(100,spy_kaliteTaban-IF($K202&lt;spy_esikCpk,spy_kaliteCeza,0)-COUNTIFS(tblOlcum[VarlikId],$A202,tblOlcum[AlarmBayrak],"ALARM")*spy_kaliteSapma-IF($I202="HAYIR",spy_kaliteCeza,0))))</f>
        <v/>
      </c>
    </row>
    <row r="203">
      <c r="A203" s="15" t="n"/>
      <c r="B203" s="15" t="n"/>
      <c r="C203" s="15" t="n"/>
      <c r="D203" s="15" t="n"/>
      <c r="E203" s="16" t="n"/>
      <c r="F203" s="16" t="n"/>
      <c r="G203" s="16" t="n"/>
      <c r="H203" s="17" t="n"/>
      <c r="I203" s="15" t="n"/>
      <c r="J203" s="18">
        <f>IF($A203="","",COUNTIF(tblOlcum[VarlikId],$A203))</f>
        <v/>
      </c>
      <c r="K203" s="18">
        <f>IF($A203="","",IFERROR(AVERAGEIF(tblOlcum[VarlikId],$A203,tblOlcum[FormulCpk]),0))</f>
        <v/>
      </c>
      <c r="L203" s="18">
        <f>IF($A203="","",MAX(0,MIN(100,spy_kaliteTaban-IF($K203&lt;spy_esikCpk,spy_kaliteCeza,0)-COUNTIFS(tblOlcum[VarlikId],$A203,tblOlcum[AlarmBayrak],"ALARM")*spy_kaliteSapma-IF($I203="HAYIR",spy_kaliteCeza,0))))</f>
        <v/>
      </c>
    </row>
    <row r="204">
      <c r="A204" s="15" t="n"/>
      <c r="B204" s="15" t="n"/>
      <c r="C204" s="15" t="n"/>
      <c r="D204" s="15" t="n"/>
      <c r="E204" s="16" t="n"/>
      <c r="F204" s="16" t="n"/>
      <c r="G204" s="16" t="n"/>
      <c r="H204" s="17" t="n"/>
      <c r="I204" s="15" t="n"/>
      <c r="J204" s="18">
        <f>IF($A204="","",COUNTIF(tblOlcum[VarlikId],$A204))</f>
        <v/>
      </c>
      <c r="K204" s="18">
        <f>IF($A204="","",IFERROR(AVERAGEIF(tblOlcum[VarlikId],$A204,tblOlcum[FormulCpk]),0))</f>
        <v/>
      </c>
      <c r="L204" s="18">
        <f>IF($A204="","",MAX(0,MIN(100,spy_kaliteTaban-IF($K204&lt;spy_esikCpk,spy_kaliteCeza,0)-COUNTIFS(tblOlcum[VarlikId],$A204,tblOlcum[AlarmBayrak],"ALARM")*spy_kaliteSapma-IF($I204="HAYIR",spy_kaliteCeza,0))))</f>
        <v/>
      </c>
    </row>
    <row r="205">
      <c r="A205" s="15" t="n"/>
      <c r="B205" s="15" t="n"/>
      <c r="C205" s="15" t="n"/>
      <c r="D205" s="15" t="n"/>
      <c r="E205" s="16" t="n"/>
      <c r="F205" s="16" t="n"/>
      <c r="G205" s="16" t="n"/>
      <c r="H205" s="17" t="n"/>
      <c r="I205" s="15" t="n"/>
      <c r="J205" s="18">
        <f>IF($A205="","",COUNTIF(tblOlcum[VarlikId],$A205))</f>
        <v/>
      </c>
      <c r="K205" s="18">
        <f>IF($A205="","",IFERROR(AVERAGEIF(tblOlcum[VarlikId],$A205,tblOlcum[FormulCpk]),0))</f>
        <v/>
      </c>
      <c r="L205" s="18">
        <f>IF($A205="","",MAX(0,MIN(100,spy_kaliteTaban-IF($K205&lt;spy_esikCpk,spy_kaliteCeza,0)-COUNTIFS(tblOlcum[VarlikId],$A205,tblOlcum[AlarmBayrak],"ALARM")*spy_kaliteSapma-IF($I205="HAYIR",spy_kaliteCeza,0))))</f>
        <v/>
      </c>
    </row>
    <row r="206">
      <c r="A206" s="15" t="n"/>
      <c r="B206" s="15" t="n"/>
      <c r="C206" s="15" t="n"/>
      <c r="D206" s="15" t="n"/>
      <c r="E206" s="16" t="n"/>
      <c r="F206" s="16" t="n"/>
      <c r="G206" s="16" t="n"/>
      <c r="H206" s="17" t="n"/>
      <c r="I206" s="15" t="n"/>
      <c r="J206" s="18">
        <f>IF($A206="","",COUNTIF(tblOlcum[VarlikId],$A206))</f>
        <v/>
      </c>
      <c r="K206" s="18">
        <f>IF($A206="","",IFERROR(AVERAGEIF(tblOlcum[VarlikId],$A206,tblOlcum[FormulCpk]),0))</f>
        <v/>
      </c>
      <c r="L206" s="18">
        <f>IF($A206="","",MAX(0,MIN(100,spy_kaliteTaban-IF($K206&lt;spy_esikCpk,spy_kaliteCeza,0)-COUNTIFS(tblOlcum[VarlikId],$A206,tblOlcum[AlarmBayrak],"ALARM")*spy_kaliteSapma-IF($I206="HAYIR",spy_kaliteCeza,0))))</f>
        <v/>
      </c>
    </row>
    <row r="207">
      <c r="A207" s="15" t="n"/>
      <c r="B207" s="15" t="n"/>
      <c r="C207" s="15" t="n"/>
      <c r="D207" s="15" t="n"/>
      <c r="E207" s="16" t="n"/>
      <c r="F207" s="16" t="n"/>
      <c r="G207" s="16" t="n"/>
      <c r="H207" s="17" t="n"/>
      <c r="I207" s="15" t="n"/>
      <c r="J207" s="18">
        <f>IF($A207="","",COUNTIF(tblOlcum[VarlikId],$A207))</f>
        <v/>
      </c>
      <c r="K207" s="18">
        <f>IF($A207="","",IFERROR(AVERAGEIF(tblOlcum[VarlikId],$A207,tblOlcum[FormulCpk]),0))</f>
        <v/>
      </c>
      <c r="L207" s="18">
        <f>IF($A207="","",MAX(0,MIN(100,spy_kaliteTaban-IF($K207&lt;spy_esikCpk,spy_kaliteCeza,0)-COUNTIFS(tblOlcum[VarlikId],$A207,tblOlcum[AlarmBayrak],"ALARM")*spy_kaliteSapma-IF($I207="HAYIR",spy_kaliteCeza,0))))</f>
        <v/>
      </c>
    </row>
    <row r="208">
      <c r="A208" s="15" t="n"/>
      <c r="B208" s="15" t="n"/>
      <c r="C208" s="15" t="n"/>
      <c r="D208" s="15" t="n"/>
      <c r="E208" s="16" t="n"/>
      <c r="F208" s="16" t="n"/>
      <c r="G208" s="16" t="n"/>
      <c r="H208" s="17" t="n"/>
      <c r="I208" s="15" t="n"/>
      <c r="J208" s="18">
        <f>IF($A208="","",COUNTIF(tblOlcum[VarlikId],$A208))</f>
        <v/>
      </c>
      <c r="K208" s="18">
        <f>IF($A208="","",IFERROR(AVERAGEIF(tblOlcum[VarlikId],$A208,tblOlcum[FormulCpk]),0))</f>
        <v/>
      </c>
      <c r="L208" s="18">
        <f>IF($A208="","",MAX(0,MIN(100,spy_kaliteTaban-IF($K208&lt;spy_esikCpk,spy_kaliteCeza,0)-COUNTIFS(tblOlcum[VarlikId],$A208,tblOlcum[AlarmBayrak],"ALARM")*spy_kaliteSapma-IF($I208="HAYIR",spy_kaliteCeza,0))))</f>
        <v/>
      </c>
    </row>
    <row r="209">
      <c r="A209" s="15" t="n"/>
      <c r="B209" s="15" t="n"/>
      <c r="C209" s="15" t="n"/>
      <c r="D209" s="15" t="n"/>
      <c r="E209" s="16" t="n"/>
      <c r="F209" s="16" t="n"/>
      <c r="G209" s="16" t="n"/>
      <c r="H209" s="17" t="n"/>
      <c r="I209" s="15" t="n"/>
      <c r="J209" s="18">
        <f>IF($A209="","",COUNTIF(tblOlcum[VarlikId],$A209))</f>
        <v/>
      </c>
      <c r="K209" s="18">
        <f>IF($A209="","",IFERROR(AVERAGEIF(tblOlcum[VarlikId],$A209,tblOlcum[FormulCpk]),0))</f>
        <v/>
      </c>
      <c r="L209" s="18">
        <f>IF($A209="","",MAX(0,MIN(100,spy_kaliteTaban-IF($K209&lt;spy_esikCpk,spy_kaliteCeza,0)-COUNTIFS(tblOlcum[VarlikId],$A209,tblOlcum[AlarmBayrak],"ALARM")*spy_kaliteSapma-IF($I209="HAYIR",spy_kaliteCeza,0))))</f>
        <v/>
      </c>
    </row>
    <row r="210">
      <c r="A210" s="15" t="n"/>
      <c r="B210" s="15" t="n"/>
      <c r="C210" s="15" t="n"/>
      <c r="D210" s="15" t="n"/>
      <c r="E210" s="16" t="n"/>
      <c r="F210" s="16" t="n"/>
      <c r="G210" s="16" t="n"/>
      <c r="H210" s="17" t="n"/>
      <c r="I210" s="15" t="n"/>
      <c r="J210" s="18">
        <f>IF($A210="","",COUNTIF(tblOlcum[VarlikId],$A210))</f>
        <v/>
      </c>
      <c r="K210" s="18">
        <f>IF($A210="","",IFERROR(AVERAGEIF(tblOlcum[VarlikId],$A210,tblOlcum[FormulCpk]),0))</f>
        <v/>
      </c>
      <c r="L210" s="18">
        <f>IF($A210="","",MAX(0,MIN(100,spy_kaliteTaban-IF($K210&lt;spy_esikCpk,spy_kaliteCeza,0)-COUNTIFS(tblOlcum[VarlikId],$A210,tblOlcum[AlarmBayrak],"ALARM")*spy_kaliteSapma-IF($I210="HAYIR",spy_kaliteCeza,0))))</f>
        <v/>
      </c>
    </row>
    <row r="211">
      <c r="A211" s="15" t="n"/>
      <c r="B211" s="15" t="n"/>
      <c r="C211" s="15" t="n"/>
      <c r="D211" s="15" t="n"/>
      <c r="E211" s="16" t="n"/>
      <c r="F211" s="16" t="n"/>
      <c r="G211" s="16" t="n"/>
      <c r="H211" s="17" t="n"/>
      <c r="I211" s="15" t="n"/>
      <c r="J211" s="18">
        <f>IF($A211="","",COUNTIF(tblOlcum[VarlikId],$A211))</f>
        <v/>
      </c>
      <c r="K211" s="18">
        <f>IF($A211="","",IFERROR(AVERAGEIF(tblOlcum[VarlikId],$A211,tblOlcum[FormulCpk]),0))</f>
        <v/>
      </c>
      <c r="L211" s="18">
        <f>IF($A211="","",MAX(0,MIN(100,spy_kaliteTaban-IF($K211&lt;spy_esikCpk,spy_kaliteCeza,0)-COUNTIFS(tblOlcum[VarlikId],$A211,tblOlcum[AlarmBayrak],"ALARM")*spy_kaliteSapma-IF($I211="HAYIR",spy_kaliteCeza,0))))</f>
        <v/>
      </c>
    </row>
    <row r="212">
      <c r="A212" s="15" t="n"/>
      <c r="B212" s="15" t="n"/>
      <c r="C212" s="15" t="n"/>
      <c r="D212" s="15" t="n"/>
      <c r="E212" s="16" t="n"/>
      <c r="F212" s="16" t="n"/>
      <c r="G212" s="16" t="n"/>
      <c r="H212" s="17" t="n"/>
      <c r="I212" s="15" t="n"/>
      <c r="J212" s="18">
        <f>IF($A212="","",COUNTIF(tblOlcum[VarlikId],$A212))</f>
        <v/>
      </c>
      <c r="K212" s="18">
        <f>IF($A212="","",IFERROR(AVERAGEIF(tblOlcum[VarlikId],$A212,tblOlcum[FormulCpk]),0))</f>
        <v/>
      </c>
      <c r="L212" s="18">
        <f>IF($A212="","",MAX(0,MIN(100,spy_kaliteTaban-IF($K212&lt;spy_esikCpk,spy_kaliteCeza,0)-COUNTIFS(tblOlcum[VarlikId],$A212,tblOlcum[AlarmBayrak],"ALARM")*spy_kaliteSapma-IF($I212="HAYIR",spy_kaliteCeza,0))))</f>
        <v/>
      </c>
    </row>
    <row r="213">
      <c r="A213" s="15" t="n"/>
      <c r="B213" s="15" t="n"/>
      <c r="C213" s="15" t="n"/>
      <c r="D213" s="15" t="n"/>
      <c r="E213" s="16" t="n"/>
      <c r="F213" s="16" t="n"/>
      <c r="G213" s="16" t="n"/>
      <c r="H213" s="17" t="n"/>
      <c r="I213" s="15" t="n"/>
      <c r="J213" s="18">
        <f>IF($A213="","",COUNTIF(tblOlcum[VarlikId],$A213))</f>
        <v/>
      </c>
      <c r="K213" s="18">
        <f>IF($A213="","",IFERROR(AVERAGEIF(tblOlcum[VarlikId],$A213,tblOlcum[FormulCpk]),0))</f>
        <v/>
      </c>
      <c r="L213" s="18">
        <f>IF($A213="","",MAX(0,MIN(100,spy_kaliteTaban-IF($K213&lt;spy_esikCpk,spy_kaliteCeza,0)-COUNTIFS(tblOlcum[VarlikId],$A213,tblOlcum[AlarmBayrak],"ALARM")*spy_kaliteSapma-IF($I213="HAYIR",spy_kaliteCeza,0))))</f>
        <v/>
      </c>
    </row>
    <row r="214">
      <c r="A214" s="15" t="n"/>
      <c r="B214" s="15" t="n"/>
      <c r="C214" s="15" t="n"/>
      <c r="D214" s="15" t="n"/>
      <c r="E214" s="16" t="n"/>
      <c r="F214" s="16" t="n"/>
      <c r="G214" s="16" t="n"/>
      <c r="H214" s="17" t="n"/>
      <c r="I214" s="15" t="n"/>
      <c r="J214" s="18">
        <f>IF($A214="","",COUNTIF(tblOlcum[VarlikId],$A214))</f>
        <v/>
      </c>
      <c r="K214" s="18">
        <f>IF($A214="","",IFERROR(AVERAGEIF(tblOlcum[VarlikId],$A214,tblOlcum[FormulCpk]),0))</f>
        <v/>
      </c>
      <c r="L214" s="18">
        <f>IF($A214="","",MAX(0,MIN(100,spy_kaliteTaban-IF($K214&lt;spy_esikCpk,spy_kaliteCeza,0)-COUNTIFS(tblOlcum[VarlikId],$A214,tblOlcum[AlarmBayrak],"ALARM")*spy_kaliteSapma-IF($I214="HAYIR",spy_kaliteCeza,0))))</f>
        <v/>
      </c>
    </row>
    <row r="215">
      <c r="A215" s="15" t="n"/>
      <c r="B215" s="15" t="n"/>
      <c r="C215" s="15" t="n"/>
      <c r="D215" s="15" t="n"/>
      <c r="E215" s="16" t="n"/>
      <c r="F215" s="16" t="n"/>
      <c r="G215" s="16" t="n"/>
      <c r="H215" s="17" t="n"/>
      <c r="I215" s="15" t="n"/>
      <c r="J215" s="18">
        <f>IF($A215="","",COUNTIF(tblOlcum[VarlikId],$A215))</f>
        <v/>
      </c>
      <c r="K215" s="18">
        <f>IF($A215="","",IFERROR(AVERAGEIF(tblOlcum[VarlikId],$A215,tblOlcum[FormulCpk]),0))</f>
        <v/>
      </c>
      <c r="L215" s="18">
        <f>IF($A215="","",MAX(0,MIN(100,spy_kaliteTaban-IF($K215&lt;spy_esikCpk,spy_kaliteCeza,0)-COUNTIFS(tblOlcum[VarlikId],$A215,tblOlcum[AlarmBayrak],"ALARM")*spy_kaliteSapma-IF($I215="HAYIR",spy_kaliteCeza,0))))</f>
        <v/>
      </c>
    </row>
    <row r="216">
      <c r="A216" s="15" t="n"/>
      <c r="B216" s="15" t="n"/>
      <c r="C216" s="15" t="n"/>
      <c r="D216" s="15" t="n"/>
      <c r="E216" s="16" t="n"/>
      <c r="F216" s="16" t="n"/>
      <c r="G216" s="16" t="n"/>
      <c r="H216" s="17" t="n"/>
      <c r="I216" s="15" t="n"/>
      <c r="J216" s="18">
        <f>IF($A216="","",COUNTIF(tblOlcum[VarlikId],$A216))</f>
        <v/>
      </c>
      <c r="K216" s="18">
        <f>IF($A216="","",IFERROR(AVERAGEIF(tblOlcum[VarlikId],$A216,tblOlcum[FormulCpk]),0))</f>
        <v/>
      </c>
      <c r="L216" s="18">
        <f>IF($A216="","",MAX(0,MIN(100,spy_kaliteTaban-IF($K216&lt;spy_esikCpk,spy_kaliteCeza,0)-COUNTIFS(tblOlcum[VarlikId],$A216,tblOlcum[AlarmBayrak],"ALARM")*spy_kaliteSapma-IF($I216="HAYIR",spy_kaliteCeza,0))))</f>
        <v/>
      </c>
    </row>
    <row r="217">
      <c r="A217" s="15" t="n"/>
      <c r="B217" s="15" t="n"/>
      <c r="C217" s="15" t="n"/>
      <c r="D217" s="15" t="n"/>
      <c r="E217" s="16" t="n"/>
      <c r="F217" s="16" t="n"/>
      <c r="G217" s="16" t="n"/>
      <c r="H217" s="17" t="n"/>
      <c r="I217" s="15" t="n"/>
      <c r="J217" s="18">
        <f>IF($A217="","",COUNTIF(tblOlcum[VarlikId],$A217))</f>
        <v/>
      </c>
      <c r="K217" s="18">
        <f>IF($A217="","",IFERROR(AVERAGEIF(tblOlcum[VarlikId],$A217,tblOlcum[FormulCpk]),0))</f>
        <v/>
      </c>
      <c r="L217" s="18">
        <f>IF($A217="","",MAX(0,MIN(100,spy_kaliteTaban-IF($K217&lt;spy_esikCpk,spy_kaliteCeza,0)-COUNTIFS(tblOlcum[VarlikId],$A217,tblOlcum[AlarmBayrak],"ALARM")*spy_kaliteSapma-IF($I217="HAYIR",spy_kaliteCeza,0))))</f>
        <v/>
      </c>
    </row>
    <row r="218">
      <c r="A218" s="15" t="n"/>
      <c r="B218" s="15" t="n"/>
      <c r="C218" s="15" t="n"/>
      <c r="D218" s="15" t="n"/>
      <c r="E218" s="16" t="n"/>
      <c r="F218" s="16" t="n"/>
      <c r="G218" s="16" t="n"/>
      <c r="H218" s="17" t="n"/>
      <c r="I218" s="15" t="n"/>
      <c r="J218" s="18">
        <f>IF($A218="","",COUNTIF(tblOlcum[VarlikId],$A218))</f>
        <v/>
      </c>
      <c r="K218" s="18">
        <f>IF($A218="","",IFERROR(AVERAGEIF(tblOlcum[VarlikId],$A218,tblOlcum[FormulCpk]),0))</f>
        <v/>
      </c>
      <c r="L218" s="18">
        <f>IF($A218="","",MAX(0,MIN(100,spy_kaliteTaban-IF($K218&lt;spy_esikCpk,spy_kaliteCeza,0)-COUNTIFS(tblOlcum[VarlikId],$A218,tblOlcum[AlarmBayrak],"ALARM")*spy_kaliteSapma-IF($I218="HAYIR",spy_kaliteCeza,0))))</f>
        <v/>
      </c>
    </row>
    <row r="219">
      <c r="A219" s="15" t="n"/>
      <c r="B219" s="15" t="n"/>
      <c r="C219" s="15" t="n"/>
      <c r="D219" s="15" t="n"/>
      <c r="E219" s="16" t="n"/>
      <c r="F219" s="16" t="n"/>
      <c r="G219" s="16" t="n"/>
      <c r="H219" s="17" t="n"/>
      <c r="I219" s="15" t="n"/>
      <c r="J219" s="18">
        <f>IF($A219="","",COUNTIF(tblOlcum[VarlikId],$A219))</f>
        <v/>
      </c>
      <c r="K219" s="18">
        <f>IF($A219="","",IFERROR(AVERAGEIF(tblOlcum[VarlikId],$A219,tblOlcum[FormulCpk]),0))</f>
        <v/>
      </c>
      <c r="L219" s="18">
        <f>IF($A219="","",MAX(0,MIN(100,spy_kaliteTaban-IF($K219&lt;spy_esikCpk,spy_kaliteCeza,0)-COUNTIFS(tblOlcum[VarlikId],$A219,tblOlcum[AlarmBayrak],"ALARM")*spy_kaliteSapma-IF($I219="HAYIR",spy_kaliteCeza,0))))</f>
        <v/>
      </c>
    </row>
    <row r="220">
      <c r="A220" s="15" t="n"/>
      <c r="B220" s="15" t="n"/>
      <c r="C220" s="15" t="n"/>
      <c r="D220" s="15" t="n"/>
      <c r="E220" s="16" t="n"/>
      <c r="F220" s="16" t="n"/>
      <c r="G220" s="16" t="n"/>
      <c r="H220" s="17" t="n"/>
      <c r="I220" s="15" t="n"/>
      <c r="J220" s="18">
        <f>IF($A220="","",COUNTIF(tblOlcum[VarlikId],$A220))</f>
        <v/>
      </c>
      <c r="K220" s="18">
        <f>IF($A220="","",IFERROR(AVERAGEIF(tblOlcum[VarlikId],$A220,tblOlcum[FormulCpk]),0))</f>
        <v/>
      </c>
      <c r="L220" s="18">
        <f>IF($A220="","",MAX(0,MIN(100,spy_kaliteTaban-IF($K220&lt;spy_esikCpk,spy_kaliteCeza,0)-COUNTIFS(tblOlcum[VarlikId],$A220,tblOlcum[AlarmBayrak],"ALARM")*spy_kaliteSapma-IF($I220="HAYIR",spy_kaliteCeza,0))))</f>
        <v/>
      </c>
    </row>
    <row r="221">
      <c r="A221" s="15" t="n"/>
      <c r="B221" s="15" t="n"/>
      <c r="C221" s="15" t="n"/>
      <c r="D221" s="15" t="n"/>
      <c r="E221" s="16" t="n"/>
      <c r="F221" s="16" t="n"/>
      <c r="G221" s="16" t="n"/>
      <c r="H221" s="17" t="n"/>
      <c r="I221" s="15" t="n"/>
      <c r="J221" s="18">
        <f>IF($A221="","",COUNTIF(tblOlcum[VarlikId],$A221))</f>
        <v/>
      </c>
      <c r="K221" s="18">
        <f>IF($A221="","",IFERROR(AVERAGEIF(tblOlcum[VarlikId],$A221,tblOlcum[FormulCpk]),0))</f>
        <v/>
      </c>
      <c r="L221" s="18">
        <f>IF($A221="","",MAX(0,MIN(100,spy_kaliteTaban-IF($K221&lt;spy_esikCpk,spy_kaliteCeza,0)-COUNTIFS(tblOlcum[VarlikId],$A221,tblOlcum[AlarmBayrak],"ALARM")*spy_kaliteSapma-IF($I221="HAYIR",spy_kaliteCeza,0))))</f>
        <v/>
      </c>
    </row>
    <row r="222">
      <c r="A222" s="15" t="n"/>
      <c r="B222" s="15" t="n"/>
      <c r="C222" s="15" t="n"/>
      <c r="D222" s="15" t="n"/>
      <c r="E222" s="16" t="n"/>
      <c r="F222" s="16" t="n"/>
      <c r="G222" s="16" t="n"/>
      <c r="H222" s="17" t="n"/>
      <c r="I222" s="15" t="n"/>
      <c r="J222" s="18">
        <f>IF($A222="","",COUNTIF(tblOlcum[VarlikId],$A222))</f>
        <v/>
      </c>
      <c r="K222" s="18">
        <f>IF($A222="","",IFERROR(AVERAGEIF(tblOlcum[VarlikId],$A222,tblOlcum[FormulCpk]),0))</f>
        <v/>
      </c>
      <c r="L222" s="18">
        <f>IF($A222="","",MAX(0,MIN(100,spy_kaliteTaban-IF($K222&lt;spy_esikCpk,spy_kaliteCeza,0)-COUNTIFS(tblOlcum[VarlikId],$A222,tblOlcum[AlarmBayrak],"ALARM")*spy_kaliteSapma-IF($I222="HAYIR",spy_kaliteCeza,0))))</f>
        <v/>
      </c>
    </row>
    <row r="223">
      <c r="A223" s="15" t="n"/>
      <c r="B223" s="15" t="n"/>
      <c r="C223" s="15" t="n"/>
      <c r="D223" s="15" t="n"/>
      <c r="E223" s="16" t="n"/>
      <c r="F223" s="16" t="n"/>
      <c r="G223" s="16" t="n"/>
      <c r="H223" s="17" t="n"/>
      <c r="I223" s="15" t="n"/>
      <c r="J223" s="18">
        <f>IF($A223="","",COUNTIF(tblOlcum[VarlikId],$A223))</f>
        <v/>
      </c>
      <c r="K223" s="18">
        <f>IF($A223="","",IFERROR(AVERAGEIF(tblOlcum[VarlikId],$A223,tblOlcum[FormulCpk]),0))</f>
        <v/>
      </c>
      <c r="L223" s="18">
        <f>IF($A223="","",MAX(0,MIN(100,spy_kaliteTaban-IF($K223&lt;spy_esikCpk,spy_kaliteCeza,0)-COUNTIFS(tblOlcum[VarlikId],$A223,tblOlcum[AlarmBayrak],"ALARM")*spy_kaliteSapma-IF($I223="HAYIR",spy_kaliteCeza,0))))</f>
        <v/>
      </c>
    </row>
    <row r="224">
      <c r="A224" s="15" t="n"/>
      <c r="B224" s="15" t="n"/>
      <c r="C224" s="15" t="n"/>
      <c r="D224" s="15" t="n"/>
      <c r="E224" s="16" t="n"/>
      <c r="F224" s="16" t="n"/>
      <c r="G224" s="16" t="n"/>
      <c r="H224" s="17" t="n"/>
      <c r="I224" s="15" t="n"/>
      <c r="J224" s="18">
        <f>IF($A224="","",COUNTIF(tblOlcum[VarlikId],$A224))</f>
        <v/>
      </c>
      <c r="K224" s="18">
        <f>IF($A224="","",IFERROR(AVERAGEIF(tblOlcum[VarlikId],$A224,tblOlcum[FormulCpk]),0))</f>
        <v/>
      </c>
      <c r="L224" s="18">
        <f>IF($A224="","",MAX(0,MIN(100,spy_kaliteTaban-IF($K224&lt;spy_esikCpk,spy_kaliteCeza,0)-COUNTIFS(tblOlcum[VarlikId],$A224,tblOlcum[AlarmBayrak],"ALARM")*spy_kaliteSapma-IF($I224="HAYIR",spy_kaliteCeza,0))))</f>
        <v/>
      </c>
    </row>
    <row r="225">
      <c r="A225" s="15" t="n"/>
      <c r="B225" s="15" t="n"/>
      <c r="C225" s="15" t="n"/>
      <c r="D225" s="15" t="n"/>
      <c r="E225" s="16" t="n"/>
      <c r="F225" s="16" t="n"/>
      <c r="G225" s="16" t="n"/>
      <c r="H225" s="17" t="n"/>
      <c r="I225" s="15" t="n"/>
      <c r="J225" s="18">
        <f>IF($A225="","",COUNTIF(tblOlcum[VarlikId],$A225))</f>
        <v/>
      </c>
      <c r="K225" s="18">
        <f>IF($A225="","",IFERROR(AVERAGEIF(tblOlcum[VarlikId],$A225,tblOlcum[FormulCpk]),0))</f>
        <v/>
      </c>
      <c r="L225" s="18">
        <f>IF($A225="","",MAX(0,MIN(100,spy_kaliteTaban-IF($K225&lt;spy_esikCpk,spy_kaliteCeza,0)-COUNTIFS(tblOlcum[VarlikId],$A225,tblOlcum[AlarmBayrak],"ALARM")*spy_kaliteSapma-IF($I225="HAYIR",spy_kaliteCeza,0))))</f>
        <v/>
      </c>
    </row>
    <row r="226">
      <c r="A226" s="15" t="n"/>
      <c r="B226" s="15" t="n"/>
      <c r="C226" s="15" t="n"/>
      <c r="D226" s="15" t="n"/>
      <c r="E226" s="16" t="n"/>
      <c r="F226" s="16" t="n"/>
      <c r="G226" s="16" t="n"/>
      <c r="H226" s="17" t="n"/>
      <c r="I226" s="15" t="n"/>
      <c r="J226" s="18">
        <f>IF($A226="","",COUNTIF(tblOlcum[VarlikId],$A226))</f>
        <v/>
      </c>
      <c r="K226" s="18">
        <f>IF($A226="","",IFERROR(AVERAGEIF(tblOlcum[VarlikId],$A226,tblOlcum[FormulCpk]),0))</f>
        <v/>
      </c>
      <c r="L226" s="18">
        <f>IF($A226="","",MAX(0,MIN(100,spy_kaliteTaban-IF($K226&lt;spy_esikCpk,spy_kaliteCeza,0)-COUNTIFS(tblOlcum[VarlikId],$A226,tblOlcum[AlarmBayrak],"ALARM")*spy_kaliteSapma-IF($I226="HAYIR",spy_kaliteCeza,0))))</f>
        <v/>
      </c>
    </row>
    <row r="227">
      <c r="A227" s="15" t="n"/>
      <c r="B227" s="15" t="n"/>
      <c r="C227" s="15" t="n"/>
      <c r="D227" s="15" t="n"/>
      <c r="E227" s="16" t="n"/>
      <c r="F227" s="16" t="n"/>
      <c r="G227" s="16" t="n"/>
      <c r="H227" s="17" t="n"/>
      <c r="I227" s="15" t="n"/>
      <c r="J227" s="18">
        <f>IF($A227="","",COUNTIF(tblOlcum[VarlikId],$A227))</f>
        <v/>
      </c>
      <c r="K227" s="18">
        <f>IF($A227="","",IFERROR(AVERAGEIF(tblOlcum[VarlikId],$A227,tblOlcum[FormulCpk]),0))</f>
        <v/>
      </c>
      <c r="L227" s="18">
        <f>IF($A227="","",MAX(0,MIN(100,spy_kaliteTaban-IF($K227&lt;spy_esikCpk,spy_kaliteCeza,0)-COUNTIFS(tblOlcum[VarlikId],$A227,tblOlcum[AlarmBayrak],"ALARM")*spy_kaliteSapma-IF($I227="HAYIR",spy_kaliteCeza,0))))</f>
        <v/>
      </c>
    </row>
    <row r="228">
      <c r="A228" s="15" t="n"/>
      <c r="B228" s="15" t="n"/>
      <c r="C228" s="15" t="n"/>
      <c r="D228" s="15" t="n"/>
      <c r="E228" s="16" t="n"/>
      <c r="F228" s="16" t="n"/>
      <c r="G228" s="16" t="n"/>
      <c r="H228" s="17" t="n"/>
      <c r="I228" s="15" t="n"/>
      <c r="J228" s="18">
        <f>IF($A228="","",COUNTIF(tblOlcum[VarlikId],$A228))</f>
        <v/>
      </c>
      <c r="K228" s="18">
        <f>IF($A228="","",IFERROR(AVERAGEIF(tblOlcum[VarlikId],$A228,tblOlcum[FormulCpk]),0))</f>
        <v/>
      </c>
      <c r="L228" s="18">
        <f>IF($A228="","",MAX(0,MIN(100,spy_kaliteTaban-IF($K228&lt;spy_esikCpk,spy_kaliteCeza,0)-COUNTIFS(tblOlcum[VarlikId],$A228,tblOlcum[AlarmBayrak],"ALARM")*spy_kaliteSapma-IF($I228="HAYIR",spy_kaliteCeza,0))))</f>
        <v/>
      </c>
    </row>
    <row r="229">
      <c r="A229" s="15" t="n"/>
      <c r="B229" s="15" t="n"/>
      <c r="C229" s="15" t="n"/>
      <c r="D229" s="15" t="n"/>
      <c r="E229" s="16" t="n"/>
      <c r="F229" s="16" t="n"/>
      <c r="G229" s="16" t="n"/>
      <c r="H229" s="17" t="n"/>
      <c r="I229" s="15" t="n"/>
      <c r="J229" s="18">
        <f>IF($A229="","",COUNTIF(tblOlcum[VarlikId],$A229))</f>
        <v/>
      </c>
      <c r="K229" s="18">
        <f>IF($A229="","",IFERROR(AVERAGEIF(tblOlcum[VarlikId],$A229,tblOlcum[FormulCpk]),0))</f>
        <v/>
      </c>
      <c r="L229" s="18">
        <f>IF($A229="","",MAX(0,MIN(100,spy_kaliteTaban-IF($K229&lt;spy_esikCpk,spy_kaliteCeza,0)-COUNTIFS(tblOlcum[VarlikId],$A229,tblOlcum[AlarmBayrak],"ALARM")*spy_kaliteSapma-IF($I229="HAYIR",spy_kaliteCeza,0))))</f>
        <v/>
      </c>
    </row>
    <row r="230">
      <c r="A230" s="15" t="n"/>
      <c r="B230" s="15" t="n"/>
      <c r="C230" s="15" t="n"/>
      <c r="D230" s="15" t="n"/>
      <c r="E230" s="16" t="n"/>
      <c r="F230" s="16" t="n"/>
      <c r="G230" s="16" t="n"/>
      <c r="H230" s="17" t="n"/>
      <c r="I230" s="15" t="n"/>
      <c r="J230" s="18">
        <f>IF($A230="","",COUNTIF(tblOlcum[VarlikId],$A230))</f>
        <v/>
      </c>
      <c r="K230" s="18">
        <f>IF($A230="","",IFERROR(AVERAGEIF(tblOlcum[VarlikId],$A230,tblOlcum[FormulCpk]),0))</f>
        <v/>
      </c>
      <c r="L230" s="18">
        <f>IF($A230="","",MAX(0,MIN(100,spy_kaliteTaban-IF($K230&lt;spy_esikCpk,spy_kaliteCeza,0)-COUNTIFS(tblOlcum[VarlikId],$A230,tblOlcum[AlarmBayrak],"ALARM")*spy_kaliteSapma-IF($I230="HAYIR",spy_kaliteCeza,0))))</f>
        <v/>
      </c>
    </row>
    <row r="231">
      <c r="A231" s="15" t="n"/>
      <c r="B231" s="15" t="n"/>
      <c r="C231" s="15" t="n"/>
      <c r="D231" s="15" t="n"/>
      <c r="E231" s="16" t="n"/>
      <c r="F231" s="16" t="n"/>
      <c r="G231" s="16" t="n"/>
      <c r="H231" s="17" t="n"/>
      <c r="I231" s="15" t="n"/>
      <c r="J231" s="18">
        <f>IF($A231="","",COUNTIF(tblOlcum[VarlikId],$A231))</f>
        <v/>
      </c>
      <c r="K231" s="18">
        <f>IF($A231="","",IFERROR(AVERAGEIF(tblOlcum[VarlikId],$A231,tblOlcum[FormulCpk]),0))</f>
        <v/>
      </c>
      <c r="L231" s="18">
        <f>IF($A231="","",MAX(0,MIN(100,spy_kaliteTaban-IF($K231&lt;spy_esikCpk,spy_kaliteCeza,0)-COUNTIFS(tblOlcum[VarlikId],$A231,tblOlcum[AlarmBayrak],"ALARM")*spy_kaliteSapma-IF($I231="HAYIR",spy_kaliteCeza,0))))</f>
        <v/>
      </c>
    </row>
    <row r="232">
      <c r="A232" s="15" t="n"/>
      <c r="B232" s="15" t="n"/>
      <c r="C232" s="15" t="n"/>
      <c r="D232" s="15" t="n"/>
      <c r="E232" s="16" t="n"/>
      <c r="F232" s="16" t="n"/>
      <c r="G232" s="16" t="n"/>
      <c r="H232" s="17" t="n"/>
      <c r="I232" s="15" t="n"/>
      <c r="J232" s="18">
        <f>IF($A232="","",COUNTIF(tblOlcum[VarlikId],$A232))</f>
        <v/>
      </c>
      <c r="K232" s="18">
        <f>IF($A232="","",IFERROR(AVERAGEIF(tblOlcum[VarlikId],$A232,tblOlcum[FormulCpk]),0))</f>
        <v/>
      </c>
      <c r="L232" s="18">
        <f>IF($A232="","",MAX(0,MIN(100,spy_kaliteTaban-IF($K232&lt;spy_esikCpk,spy_kaliteCeza,0)-COUNTIFS(tblOlcum[VarlikId],$A232,tblOlcum[AlarmBayrak],"ALARM")*spy_kaliteSapma-IF($I232="HAYIR",spy_kaliteCeza,0))))</f>
        <v/>
      </c>
    </row>
    <row r="233">
      <c r="A233" s="15" t="n"/>
      <c r="B233" s="15" t="n"/>
      <c r="C233" s="15" t="n"/>
      <c r="D233" s="15" t="n"/>
      <c r="E233" s="16" t="n"/>
      <c r="F233" s="16" t="n"/>
      <c r="G233" s="16" t="n"/>
      <c r="H233" s="17" t="n"/>
      <c r="I233" s="15" t="n"/>
      <c r="J233" s="18">
        <f>IF($A233="","",COUNTIF(tblOlcum[VarlikId],$A233))</f>
        <v/>
      </c>
      <c r="K233" s="18">
        <f>IF($A233="","",IFERROR(AVERAGEIF(tblOlcum[VarlikId],$A233,tblOlcum[FormulCpk]),0))</f>
        <v/>
      </c>
      <c r="L233" s="18">
        <f>IF($A233="","",MAX(0,MIN(100,spy_kaliteTaban-IF($K233&lt;spy_esikCpk,spy_kaliteCeza,0)-COUNTIFS(tblOlcum[VarlikId],$A233,tblOlcum[AlarmBayrak],"ALARM")*spy_kaliteSapma-IF($I233="HAYIR",spy_kaliteCeza,0))))</f>
        <v/>
      </c>
    </row>
    <row r="234">
      <c r="A234" s="15" t="n"/>
      <c r="B234" s="15" t="n"/>
      <c r="C234" s="15" t="n"/>
      <c r="D234" s="15" t="n"/>
      <c r="E234" s="16" t="n"/>
      <c r="F234" s="16" t="n"/>
      <c r="G234" s="16" t="n"/>
      <c r="H234" s="17" t="n"/>
      <c r="I234" s="15" t="n"/>
      <c r="J234" s="18">
        <f>IF($A234="","",COUNTIF(tblOlcum[VarlikId],$A234))</f>
        <v/>
      </c>
      <c r="K234" s="18">
        <f>IF($A234="","",IFERROR(AVERAGEIF(tblOlcum[VarlikId],$A234,tblOlcum[FormulCpk]),0))</f>
        <v/>
      </c>
      <c r="L234" s="18">
        <f>IF($A234="","",MAX(0,MIN(100,spy_kaliteTaban-IF($K234&lt;spy_esikCpk,spy_kaliteCeza,0)-COUNTIFS(tblOlcum[VarlikId],$A234,tblOlcum[AlarmBayrak],"ALARM")*spy_kaliteSapma-IF($I234="HAYIR",spy_kaliteCeza,0))))</f>
        <v/>
      </c>
    </row>
    <row r="235">
      <c r="A235" s="15" t="n"/>
      <c r="B235" s="15" t="n"/>
      <c r="C235" s="15" t="n"/>
      <c r="D235" s="15" t="n"/>
      <c r="E235" s="16" t="n"/>
      <c r="F235" s="16" t="n"/>
      <c r="G235" s="16" t="n"/>
      <c r="H235" s="17" t="n"/>
      <c r="I235" s="15" t="n"/>
      <c r="J235" s="18">
        <f>IF($A235="","",COUNTIF(tblOlcum[VarlikId],$A235))</f>
        <v/>
      </c>
      <c r="K235" s="18">
        <f>IF($A235="","",IFERROR(AVERAGEIF(tblOlcum[VarlikId],$A235,tblOlcum[FormulCpk]),0))</f>
        <v/>
      </c>
      <c r="L235" s="18">
        <f>IF($A235="","",MAX(0,MIN(100,spy_kaliteTaban-IF($K235&lt;spy_esikCpk,spy_kaliteCeza,0)-COUNTIFS(tblOlcum[VarlikId],$A235,tblOlcum[AlarmBayrak],"ALARM")*spy_kaliteSapma-IF($I235="HAYIR",spy_kaliteCeza,0))))</f>
        <v/>
      </c>
    </row>
    <row r="236">
      <c r="A236" s="15" t="n"/>
      <c r="B236" s="15" t="n"/>
      <c r="C236" s="15" t="n"/>
      <c r="D236" s="15" t="n"/>
      <c r="E236" s="16" t="n"/>
      <c r="F236" s="16" t="n"/>
      <c r="G236" s="16" t="n"/>
      <c r="H236" s="17" t="n"/>
      <c r="I236" s="15" t="n"/>
      <c r="J236" s="18">
        <f>IF($A236="","",COUNTIF(tblOlcum[VarlikId],$A236))</f>
        <v/>
      </c>
      <c r="K236" s="18">
        <f>IF($A236="","",IFERROR(AVERAGEIF(tblOlcum[VarlikId],$A236,tblOlcum[FormulCpk]),0))</f>
        <v/>
      </c>
      <c r="L236" s="18">
        <f>IF($A236="","",MAX(0,MIN(100,spy_kaliteTaban-IF($K236&lt;spy_esikCpk,spy_kaliteCeza,0)-COUNTIFS(tblOlcum[VarlikId],$A236,tblOlcum[AlarmBayrak],"ALARM")*spy_kaliteSapma-IF($I236="HAYIR",spy_kaliteCeza,0))))</f>
        <v/>
      </c>
    </row>
    <row r="237">
      <c r="A237" s="15" t="n"/>
      <c r="B237" s="15" t="n"/>
      <c r="C237" s="15" t="n"/>
      <c r="D237" s="15" t="n"/>
      <c r="E237" s="16" t="n"/>
      <c r="F237" s="16" t="n"/>
      <c r="G237" s="16" t="n"/>
      <c r="H237" s="17" t="n"/>
      <c r="I237" s="15" t="n"/>
      <c r="J237" s="18">
        <f>IF($A237="","",COUNTIF(tblOlcum[VarlikId],$A237))</f>
        <v/>
      </c>
      <c r="K237" s="18">
        <f>IF($A237="","",IFERROR(AVERAGEIF(tblOlcum[VarlikId],$A237,tblOlcum[FormulCpk]),0))</f>
        <v/>
      </c>
      <c r="L237" s="18">
        <f>IF($A237="","",MAX(0,MIN(100,spy_kaliteTaban-IF($K237&lt;spy_esikCpk,spy_kaliteCeza,0)-COUNTIFS(tblOlcum[VarlikId],$A237,tblOlcum[AlarmBayrak],"ALARM")*spy_kaliteSapma-IF($I237="HAYIR",spy_kaliteCeza,0))))</f>
        <v/>
      </c>
    </row>
    <row r="238">
      <c r="A238" s="15" t="n"/>
      <c r="B238" s="15" t="n"/>
      <c r="C238" s="15" t="n"/>
      <c r="D238" s="15" t="n"/>
      <c r="E238" s="16" t="n"/>
      <c r="F238" s="16" t="n"/>
      <c r="G238" s="16" t="n"/>
      <c r="H238" s="17" t="n"/>
      <c r="I238" s="15" t="n"/>
      <c r="J238" s="18">
        <f>IF($A238="","",COUNTIF(tblOlcum[VarlikId],$A238))</f>
        <v/>
      </c>
      <c r="K238" s="18">
        <f>IF($A238="","",IFERROR(AVERAGEIF(tblOlcum[VarlikId],$A238,tblOlcum[FormulCpk]),0))</f>
        <v/>
      </c>
      <c r="L238" s="18">
        <f>IF($A238="","",MAX(0,MIN(100,spy_kaliteTaban-IF($K238&lt;spy_esikCpk,spy_kaliteCeza,0)-COUNTIFS(tblOlcum[VarlikId],$A238,tblOlcum[AlarmBayrak],"ALARM")*spy_kaliteSapma-IF($I238="HAYIR",spy_kaliteCeza,0))))</f>
        <v/>
      </c>
    </row>
    <row r="239">
      <c r="A239" s="15" t="n"/>
      <c r="B239" s="15" t="n"/>
      <c r="C239" s="15" t="n"/>
      <c r="D239" s="15" t="n"/>
      <c r="E239" s="16" t="n"/>
      <c r="F239" s="16" t="n"/>
      <c r="G239" s="16" t="n"/>
      <c r="H239" s="17" t="n"/>
      <c r="I239" s="15" t="n"/>
      <c r="J239" s="18">
        <f>IF($A239="","",COUNTIF(tblOlcum[VarlikId],$A239))</f>
        <v/>
      </c>
      <c r="K239" s="18">
        <f>IF($A239="","",IFERROR(AVERAGEIF(tblOlcum[VarlikId],$A239,tblOlcum[FormulCpk]),0))</f>
        <v/>
      </c>
      <c r="L239" s="18">
        <f>IF($A239="","",MAX(0,MIN(100,spy_kaliteTaban-IF($K239&lt;spy_esikCpk,spy_kaliteCeza,0)-COUNTIFS(tblOlcum[VarlikId],$A239,tblOlcum[AlarmBayrak],"ALARM")*spy_kaliteSapma-IF($I239="HAYIR",spy_kaliteCeza,0))))</f>
        <v/>
      </c>
    </row>
    <row r="240">
      <c r="A240" s="15" t="n"/>
      <c r="B240" s="15" t="n"/>
      <c r="C240" s="15" t="n"/>
      <c r="D240" s="15" t="n"/>
      <c r="E240" s="16" t="n"/>
      <c r="F240" s="16" t="n"/>
      <c r="G240" s="16" t="n"/>
      <c r="H240" s="17" t="n"/>
      <c r="I240" s="15" t="n"/>
      <c r="J240" s="18">
        <f>IF($A240="","",COUNTIF(tblOlcum[VarlikId],$A240))</f>
        <v/>
      </c>
      <c r="K240" s="18">
        <f>IF($A240="","",IFERROR(AVERAGEIF(tblOlcum[VarlikId],$A240,tblOlcum[FormulCpk]),0))</f>
        <v/>
      </c>
      <c r="L240" s="18">
        <f>IF($A240="","",MAX(0,MIN(100,spy_kaliteTaban-IF($K240&lt;spy_esikCpk,spy_kaliteCeza,0)-COUNTIFS(tblOlcum[VarlikId],$A240,tblOlcum[AlarmBayrak],"ALARM")*spy_kaliteSapma-IF($I240="HAYIR",spy_kaliteCeza,0))))</f>
        <v/>
      </c>
    </row>
    <row r="241">
      <c r="A241" s="15" t="n"/>
      <c r="B241" s="15" t="n"/>
      <c r="C241" s="15" t="n"/>
      <c r="D241" s="15" t="n"/>
      <c r="E241" s="16" t="n"/>
      <c r="F241" s="16" t="n"/>
      <c r="G241" s="16" t="n"/>
      <c r="H241" s="17" t="n"/>
      <c r="I241" s="15" t="n"/>
      <c r="J241" s="18">
        <f>IF($A241="","",COUNTIF(tblOlcum[VarlikId],$A241))</f>
        <v/>
      </c>
      <c r="K241" s="18">
        <f>IF($A241="","",IFERROR(AVERAGEIF(tblOlcum[VarlikId],$A241,tblOlcum[FormulCpk]),0))</f>
        <v/>
      </c>
      <c r="L241" s="18">
        <f>IF($A241="","",MAX(0,MIN(100,spy_kaliteTaban-IF($K241&lt;spy_esikCpk,spy_kaliteCeza,0)-COUNTIFS(tblOlcum[VarlikId],$A241,tblOlcum[AlarmBayrak],"ALARM")*spy_kaliteSapma-IF($I241="HAYIR",spy_kaliteCeza,0))))</f>
        <v/>
      </c>
    </row>
    <row r="242">
      <c r="A242" s="15" t="n"/>
      <c r="B242" s="15" t="n"/>
      <c r="C242" s="15" t="n"/>
      <c r="D242" s="15" t="n"/>
      <c r="E242" s="16" t="n"/>
      <c r="F242" s="16" t="n"/>
      <c r="G242" s="16" t="n"/>
      <c r="H242" s="17" t="n"/>
      <c r="I242" s="15" t="n"/>
      <c r="J242" s="18">
        <f>IF($A242="","",COUNTIF(tblOlcum[VarlikId],$A242))</f>
        <v/>
      </c>
      <c r="K242" s="18">
        <f>IF($A242="","",IFERROR(AVERAGEIF(tblOlcum[VarlikId],$A242,tblOlcum[FormulCpk]),0))</f>
        <v/>
      </c>
      <c r="L242" s="18">
        <f>IF($A242="","",MAX(0,MIN(100,spy_kaliteTaban-IF($K242&lt;spy_esikCpk,spy_kaliteCeza,0)-COUNTIFS(tblOlcum[VarlikId],$A242,tblOlcum[AlarmBayrak],"ALARM")*spy_kaliteSapma-IF($I242="HAYIR",spy_kaliteCeza,0))))</f>
        <v/>
      </c>
    </row>
    <row r="243">
      <c r="A243" s="15" t="n"/>
      <c r="B243" s="15" t="n"/>
      <c r="C243" s="15" t="n"/>
      <c r="D243" s="15" t="n"/>
      <c r="E243" s="16" t="n"/>
      <c r="F243" s="16" t="n"/>
      <c r="G243" s="16" t="n"/>
      <c r="H243" s="17" t="n"/>
      <c r="I243" s="15" t="n"/>
      <c r="J243" s="18">
        <f>IF($A243="","",COUNTIF(tblOlcum[VarlikId],$A243))</f>
        <v/>
      </c>
      <c r="K243" s="18">
        <f>IF($A243="","",IFERROR(AVERAGEIF(tblOlcum[VarlikId],$A243,tblOlcum[FormulCpk]),0))</f>
        <v/>
      </c>
      <c r="L243" s="18">
        <f>IF($A243="","",MAX(0,MIN(100,spy_kaliteTaban-IF($K243&lt;spy_esikCpk,spy_kaliteCeza,0)-COUNTIFS(tblOlcum[VarlikId],$A243,tblOlcum[AlarmBayrak],"ALARM")*spy_kaliteSapma-IF($I243="HAYIR",spy_kaliteCeza,0))))</f>
        <v/>
      </c>
    </row>
    <row r="244">
      <c r="A244" s="15" t="n"/>
      <c r="B244" s="15" t="n"/>
      <c r="C244" s="15" t="n"/>
      <c r="D244" s="15" t="n"/>
      <c r="E244" s="16" t="n"/>
      <c r="F244" s="16" t="n"/>
      <c r="G244" s="16" t="n"/>
      <c r="H244" s="17" t="n"/>
      <c r="I244" s="15" t="n"/>
      <c r="J244" s="18">
        <f>IF($A244="","",COUNTIF(tblOlcum[VarlikId],$A244))</f>
        <v/>
      </c>
      <c r="K244" s="18">
        <f>IF($A244="","",IFERROR(AVERAGEIF(tblOlcum[VarlikId],$A244,tblOlcum[FormulCpk]),0))</f>
        <v/>
      </c>
      <c r="L244" s="18">
        <f>IF($A244="","",MAX(0,MIN(100,spy_kaliteTaban-IF($K244&lt;spy_esikCpk,spy_kaliteCeza,0)-COUNTIFS(tblOlcum[VarlikId],$A244,tblOlcum[AlarmBayrak],"ALARM")*spy_kaliteSapma-IF($I244="HAYIR",spy_kaliteCeza,0))))</f>
        <v/>
      </c>
    </row>
    <row r="245">
      <c r="A245" s="15" t="n"/>
      <c r="B245" s="15" t="n"/>
      <c r="C245" s="15" t="n"/>
      <c r="D245" s="15" t="n"/>
      <c r="E245" s="16" t="n"/>
      <c r="F245" s="16" t="n"/>
      <c r="G245" s="16" t="n"/>
      <c r="H245" s="17" t="n"/>
      <c r="I245" s="15" t="n"/>
      <c r="J245" s="18">
        <f>IF($A245="","",COUNTIF(tblOlcum[VarlikId],$A245))</f>
        <v/>
      </c>
      <c r="K245" s="18">
        <f>IF($A245="","",IFERROR(AVERAGEIF(tblOlcum[VarlikId],$A245,tblOlcum[FormulCpk]),0))</f>
        <v/>
      </c>
      <c r="L245" s="18">
        <f>IF($A245="","",MAX(0,MIN(100,spy_kaliteTaban-IF($K245&lt;spy_esikCpk,spy_kaliteCeza,0)-COUNTIFS(tblOlcum[VarlikId],$A245,tblOlcum[AlarmBayrak],"ALARM")*spy_kaliteSapma-IF($I245="HAYIR",spy_kaliteCeza,0))))</f>
        <v/>
      </c>
    </row>
    <row r="246">
      <c r="A246" s="15" t="n"/>
      <c r="B246" s="15" t="n"/>
      <c r="C246" s="15" t="n"/>
      <c r="D246" s="15" t="n"/>
      <c r="E246" s="16" t="n"/>
      <c r="F246" s="16" t="n"/>
      <c r="G246" s="16" t="n"/>
      <c r="H246" s="17" t="n"/>
      <c r="I246" s="15" t="n"/>
      <c r="J246" s="18">
        <f>IF($A246="","",COUNTIF(tblOlcum[VarlikId],$A246))</f>
        <v/>
      </c>
      <c r="K246" s="18">
        <f>IF($A246="","",IFERROR(AVERAGEIF(tblOlcum[VarlikId],$A246,tblOlcum[FormulCpk]),0))</f>
        <v/>
      </c>
      <c r="L246" s="18">
        <f>IF($A246="","",MAX(0,MIN(100,spy_kaliteTaban-IF($K246&lt;spy_esikCpk,spy_kaliteCeza,0)-COUNTIFS(tblOlcum[VarlikId],$A246,tblOlcum[AlarmBayrak],"ALARM")*spy_kaliteSapma-IF($I246="HAYIR",spy_kaliteCeza,0))))</f>
        <v/>
      </c>
    </row>
    <row r="247">
      <c r="A247" s="15" t="n"/>
      <c r="B247" s="15" t="n"/>
      <c r="C247" s="15" t="n"/>
      <c r="D247" s="15" t="n"/>
      <c r="E247" s="16" t="n"/>
      <c r="F247" s="16" t="n"/>
      <c r="G247" s="16" t="n"/>
      <c r="H247" s="17" t="n"/>
      <c r="I247" s="15" t="n"/>
      <c r="J247" s="18">
        <f>IF($A247="","",COUNTIF(tblOlcum[VarlikId],$A247))</f>
        <v/>
      </c>
      <c r="K247" s="18">
        <f>IF($A247="","",IFERROR(AVERAGEIF(tblOlcum[VarlikId],$A247,tblOlcum[FormulCpk]),0))</f>
        <v/>
      </c>
      <c r="L247" s="18">
        <f>IF($A247="","",MAX(0,MIN(100,spy_kaliteTaban-IF($K247&lt;spy_esikCpk,spy_kaliteCeza,0)-COUNTIFS(tblOlcum[VarlikId],$A247,tblOlcum[AlarmBayrak],"ALARM")*spy_kaliteSapma-IF($I247="HAYIR",spy_kaliteCeza,0))))</f>
        <v/>
      </c>
    </row>
    <row r="248">
      <c r="A248" s="15" t="n"/>
      <c r="B248" s="15" t="n"/>
      <c r="C248" s="15" t="n"/>
      <c r="D248" s="15" t="n"/>
      <c r="E248" s="16" t="n"/>
      <c r="F248" s="16" t="n"/>
      <c r="G248" s="16" t="n"/>
      <c r="H248" s="17" t="n"/>
      <c r="I248" s="15" t="n"/>
      <c r="J248" s="18">
        <f>IF($A248="","",COUNTIF(tblOlcum[VarlikId],$A248))</f>
        <v/>
      </c>
      <c r="K248" s="18">
        <f>IF($A248="","",IFERROR(AVERAGEIF(tblOlcum[VarlikId],$A248,tblOlcum[FormulCpk]),0))</f>
        <v/>
      </c>
      <c r="L248" s="18">
        <f>IF($A248="","",MAX(0,MIN(100,spy_kaliteTaban-IF($K248&lt;spy_esikCpk,spy_kaliteCeza,0)-COUNTIFS(tblOlcum[VarlikId],$A248,tblOlcum[AlarmBayrak],"ALARM")*spy_kaliteSapma-IF($I248="HAYIR",spy_kaliteCeza,0))))</f>
        <v/>
      </c>
    </row>
    <row r="249">
      <c r="A249" s="15" t="n"/>
      <c r="B249" s="15" t="n"/>
      <c r="C249" s="15" t="n"/>
      <c r="D249" s="15" t="n"/>
      <c r="E249" s="16" t="n"/>
      <c r="F249" s="16" t="n"/>
      <c r="G249" s="16" t="n"/>
      <c r="H249" s="17" t="n"/>
      <c r="I249" s="15" t="n"/>
      <c r="J249" s="18">
        <f>IF($A249="","",COUNTIF(tblOlcum[VarlikId],$A249))</f>
        <v/>
      </c>
      <c r="K249" s="18">
        <f>IF($A249="","",IFERROR(AVERAGEIF(tblOlcum[VarlikId],$A249,tblOlcum[FormulCpk]),0))</f>
        <v/>
      </c>
      <c r="L249" s="18">
        <f>IF($A249="","",MAX(0,MIN(100,spy_kaliteTaban-IF($K249&lt;spy_esikCpk,spy_kaliteCeza,0)-COUNTIFS(tblOlcum[VarlikId],$A249,tblOlcum[AlarmBayrak],"ALARM")*spy_kaliteSapma-IF($I249="HAYIR",spy_kaliteCeza,0))))</f>
        <v/>
      </c>
    </row>
    <row r="250">
      <c r="A250" s="15" t="n"/>
      <c r="B250" s="15" t="n"/>
      <c r="C250" s="15" t="n"/>
      <c r="D250" s="15" t="n"/>
      <c r="E250" s="16" t="n"/>
      <c r="F250" s="16" t="n"/>
      <c r="G250" s="16" t="n"/>
      <c r="H250" s="17" t="n"/>
      <c r="I250" s="15" t="n"/>
      <c r="J250" s="18">
        <f>IF($A250="","",COUNTIF(tblOlcum[VarlikId],$A250))</f>
        <v/>
      </c>
      <c r="K250" s="18">
        <f>IF($A250="","",IFERROR(AVERAGEIF(tblOlcum[VarlikId],$A250,tblOlcum[FormulCpk]),0))</f>
        <v/>
      </c>
      <c r="L250" s="18">
        <f>IF($A250="","",MAX(0,MIN(100,spy_kaliteTaban-IF($K250&lt;spy_esikCpk,spy_kaliteCeza,0)-COUNTIFS(tblOlcum[VarlikId],$A250,tblOlcum[AlarmBayrak],"ALARM")*spy_kaliteSapma-IF($I250="HAYIR",spy_kaliteCeza,0))))</f>
        <v/>
      </c>
    </row>
    <row r="251">
      <c r="A251" s="15" t="n"/>
      <c r="B251" s="15" t="n"/>
      <c r="C251" s="15" t="n"/>
      <c r="D251" s="15" t="n"/>
      <c r="E251" s="16" t="n"/>
      <c r="F251" s="16" t="n"/>
      <c r="G251" s="16" t="n"/>
      <c r="H251" s="17" t="n"/>
      <c r="I251" s="15" t="n"/>
      <c r="J251" s="18">
        <f>IF($A251="","",COUNTIF(tblOlcum[VarlikId],$A251))</f>
        <v/>
      </c>
      <c r="K251" s="18">
        <f>IF($A251="","",IFERROR(AVERAGEIF(tblOlcum[VarlikId],$A251,tblOlcum[FormulCpk]),0))</f>
        <v/>
      </c>
      <c r="L251" s="18">
        <f>IF($A251="","",MAX(0,MIN(100,spy_kaliteTaban-IF($K251&lt;spy_esikCpk,spy_kaliteCeza,0)-COUNTIFS(tblOlcum[VarlikId],$A251,tblOlcum[AlarmBayrak],"ALARM")*spy_kaliteSapma-IF($I251="HAYIR",spy_kaliteCeza,0))))</f>
        <v/>
      </c>
    </row>
    <row r="252">
      <c r="A252" s="15" t="n"/>
      <c r="B252" s="15" t="n"/>
      <c r="C252" s="15" t="n"/>
      <c r="D252" s="15" t="n"/>
      <c r="E252" s="16" t="n"/>
      <c r="F252" s="16" t="n"/>
      <c r="G252" s="16" t="n"/>
      <c r="H252" s="17" t="n"/>
      <c r="I252" s="15" t="n"/>
      <c r="J252" s="18">
        <f>IF($A252="","",COUNTIF(tblOlcum[VarlikId],$A252))</f>
        <v/>
      </c>
      <c r="K252" s="18">
        <f>IF($A252="","",IFERROR(AVERAGEIF(tblOlcum[VarlikId],$A252,tblOlcum[FormulCpk]),0))</f>
        <v/>
      </c>
      <c r="L252" s="18">
        <f>IF($A252="","",MAX(0,MIN(100,spy_kaliteTaban-IF($K252&lt;spy_esikCpk,spy_kaliteCeza,0)-COUNTIFS(tblOlcum[VarlikId],$A252,tblOlcum[AlarmBayrak],"ALARM")*spy_kaliteSapma-IF($I252="HAYIR",spy_kaliteCeza,0))))</f>
        <v/>
      </c>
    </row>
    <row r="253">
      <c r="A253" s="15" t="n"/>
      <c r="B253" s="15" t="n"/>
      <c r="C253" s="15" t="n"/>
      <c r="D253" s="15" t="n"/>
      <c r="E253" s="16" t="n"/>
      <c r="F253" s="16" t="n"/>
      <c r="G253" s="16" t="n"/>
      <c r="H253" s="17" t="n"/>
      <c r="I253" s="15" t="n"/>
      <c r="J253" s="18">
        <f>IF($A253="","",COUNTIF(tblOlcum[VarlikId],$A253))</f>
        <v/>
      </c>
      <c r="K253" s="18">
        <f>IF($A253="","",IFERROR(AVERAGEIF(tblOlcum[VarlikId],$A253,tblOlcum[FormulCpk]),0))</f>
        <v/>
      </c>
      <c r="L253" s="18">
        <f>IF($A253="","",MAX(0,MIN(100,spy_kaliteTaban-IF($K253&lt;spy_esikCpk,spy_kaliteCeza,0)-COUNTIFS(tblOlcum[VarlikId],$A253,tblOlcum[AlarmBayrak],"ALARM")*spy_kaliteSapma-IF($I253="HAYIR",spy_kaliteCeza,0))))</f>
        <v/>
      </c>
    </row>
    <row r="254">
      <c r="A254" s="15" t="n"/>
      <c r="B254" s="15" t="n"/>
      <c r="C254" s="15" t="n"/>
      <c r="D254" s="15" t="n"/>
      <c r="E254" s="16" t="n"/>
      <c r="F254" s="16" t="n"/>
      <c r="G254" s="16" t="n"/>
      <c r="H254" s="17" t="n"/>
      <c r="I254" s="15" t="n"/>
      <c r="J254" s="18">
        <f>IF($A254="","",COUNTIF(tblOlcum[VarlikId],$A254))</f>
        <v/>
      </c>
      <c r="K254" s="18">
        <f>IF($A254="","",IFERROR(AVERAGEIF(tblOlcum[VarlikId],$A254,tblOlcum[FormulCpk]),0))</f>
        <v/>
      </c>
      <c r="L254" s="18">
        <f>IF($A254="","",MAX(0,MIN(100,spy_kaliteTaban-IF($K254&lt;spy_esikCpk,spy_kaliteCeza,0)-COUNTIFS(tblOlcum[VarlikId],$A254,tblOlcum[AlarmBayrak],"ALARM")*spy_kaliteSapma-IF($I254="HAYIR",spy_kaliteCeza,0))))</f>
        <v/>
      </c>
    </row>
    <row r="255">
      <c r="A255" s="15" t="n"/>
      <c r="B255" s="15" t="n"/>
      <c r="C255" s="15" t="n"/>
      <c r="D255" s="15" t="n"/>
      <c r="E255" s="16" t="n"/>
      <c r="F255" s="16" t="n"/>
      <c r="G255" s="16" t="n"/>
      <c r="H255" s="17" t="n"/>
      <c r="I255" s="15" t="n"/>
      <c r="J255" s="18">
        <f>IF($A255="","",COUNTIF(tblOlcum[VarlikId],$A255))</f>
        <v/>
      </c>
      <c r="K255" s="18">
        <f>IF($A255="","",IFERROR(AVERAGEIF(tblOlcum[VarlikId],$A255,tblOlcum[FormulCpk]),0))</f>
        <v/>
      </c>
      <c r="L255" s="18">
        <f>IF($A255="","",MAX(0,MIN(100,spy_kaliteTaban-IF($K255&lt;spy_esikCpk,spy_kaliteCeza,0)-COUNTIFS(tblOlcum[VarlikId],$A255,tblOlcum[AlarmBayrak],"ALARM")*spy_kaliteSapma-IF($I255="HAYIR",spy_kaliteCeza,0))))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I6:I255">
    <cfRule type="cellIs" priority="1" operator="equal" dxfId="0">
      <formula>"HAYIR"</formula>
    </cfRule>
  </conditionalFormatting>
  <conditionalFormatting sqref="L6:L255">
    <cfRule type="cellIs" priority="2" operator="lessThan" dxfId="1">
      <formula>spy_esikSaglik</formula>
    </cfRule>
  </conditionalFormatting>
  <conditionalFormatting sqref="K6:K255">
    <cfRule type="cellIs" priority="3" operator="lessThan" dxfId="0">
      <formula>spy_esikCpk</formula>
    </cfRule>
  </conditionalFormatting>
  <dataValidations count="9">
    <dataValidation sqref="A6:A255" showDropDown="0" showInputMessage="1" showErrorMessage="1" allowBlank="1" errorTitle="Kimlik" error="En az 1 karakter" promptTitle="Varlık Kimliği" prompt="PRS-##### girin" type="textLength" errorStyle="stop" operator="greaterThan">
      <formula1>1</formula1>
      <formula2>40</formula2>
    </dataValidation>
    <dataValidation sqref="B6:B255" showDropDown="0" showInputMessage="1" showErrorMessage="1" allowBlank="1" errorTitle="Proses Ad" error="Geçersiz" promptTitle="Proses Ad" prompt="Proses 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Tip" error="Geçersiz" promptTitle="Tip" prompt="Tip girin" type="textLength" errorStyle="stop" operator="greaterThanOrEqual">
      <formula1>0</formula1>
      <formula2>80</formula2>
    </dataValidation>
    <dataValidation sqref="D6:D255" showDropDown="0" showInputMessage="1" showErrorMessage="1" allowBlank="1" errorTitle="Birim" error="Geçersiz" promptTitle="Birim" prompt="Birim girin" type="textLength" errorStyle="stop" operator="greaterThanOrEqual">
      <formula1>0</formula1>
      <formula2>80</formula2>
    </dataValidation>
    <dataValidation sqref="E6:E255" showDropDown="0" showInputMessage="1" showErrorMessage="1" allowBlank="1" errorTitle="LSL" error="0 veya üzeri" promptTitle="LSL" prompt="LSL ≥ 0" type="decimal" errorStyle="stop" operator="greaterThanOrEqual">
      <formula1>0</formula1>
    </dataValidation>
    <dataValidation sqref="F6:F255" showDropDown="0" showInputMessage="1" showErrorMessage="1" allowBlank="1" errorTitle="USL" error="0 veya üzeri" promptTitle="USL" prompt="USL ≥ 0" type="decimal" errorStyle="stop" operator="greaterThanOrEqual">
      <formula1>0</formula1>
    </dataValidation>
    <dataValidation sqref="G6:G255" showDropDown="0" showInputMessage="1" showErrorMessage="1" allowBlank="1" errorTitle="Hedef" error="0 veya üzeri" promptTitle="Hedef" prompt="Hedef ≥ 0" type="decimal" errorStyle="stop" operator="greaterThanOrEqual">
      <formula1>0</formula1>
    </dataValidation>
    <dataValidation sqref="H6:H255" showDropDown="0" showInputMessage="1" showErrorMessage="1" allowBlank="1" errorTitle="Altgrup n" error="0 veya üzeri" promptTitle="Altgrup n" prompt="Altgrup n ≥ 0" type="decimal" errorStyle="stop" operator="greaterThanOrEqual">
      <formula1>0</formula1>
    </dataValidation>
    <dataValidation sqref="I6:I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F2742"/>
    <outlinePr summaryBelow="1" summaryRight="1"/>
    <pageSetUpPr/>
  </sheetPr>
  <dimension ref="A1:P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23.5" customWidth="1" min="3" max="3"/>
    <col width="14.5" customWidth="1" min="4" max="4"/>
    <col width="13" customWidth="1" min="5" max="5"/>
    <col width="17.5" customWidth="1" min="6" max="6"/>
    <col width="15.5" customWidth="1" min="7" max="7"/>
    <col width="15.5" customWidth="1" min="8" max="8"/>
    <col width="13" customWidth="1" min="9" max="9"/>
    <col width="13.5" customWidth="1" min="10" max="10"/>
    <col width="14.5" customWidth="1" min="11" max="11"/>
    <col width="14.5" customWidth="1" min="12" max="12"/>
    <col width="19.5" customWidth="1" min="13" max="13"/>
    <col width="15.5" customWidth="1" min="14" max="14"/>
    <col width="19.5" customWidth="1" min="15" max="15"/>
    <col width="15.5" customWidth="1" min="16" max="16"/>
    <col width="13" customWidth="1" min="17" max="17"/>
  </cols>
  <sheetData>
    <row r="1" ht="32" customHeight="1">
      <c r="A1" s="33" t="inlineStr">
        <is>
          <t>GUNLUK GIRIS — SPC Proses Yetenek Analizi</t>
        </is>
      </c>
    </row>
    <row r="3" ht="22" customHeight="1">
      <c r="A3" s="36" t="inlineStr">
        <is>
          <t>GÜNLÜK ölçüm girişi — satır başına en fazla 6 manuel alan (S02)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Xbar_birim</t>
        </is>
      </c>
      <c r="E5" s="14" t="inlineStr">
        <is>
          <t>R_birim</t>
        </is>
      </c>
      <c r="F5" s="14" t="inlineStr">
        <is>
          <t>AltgrupN_adet</t>
        </is>
      </c>
      <c r="G5" s="14" t="inlineStr">
        <is>
          <t>Vardiya</t>
        </is>
      </c>
      <c r="H5" s="14" t="inlineStr">
        <is>
          <t>FormulSigma</t>
        </is>
      </c>
      <c r="I5" s="14" t="inlineStr">
        <is>
          <t>FormulCp</t>
        </is>
      </c>
      <c r="J5" s="14" t="inlineStr">
        <is>
          <t>FormulCpk</t>
        </is>
      </c>
      <c r="K5" s="14" t="inlineStr">
        <is>
          <t>FormulUclX</t>
        </is>
      </c>
      <c r="L5" s="14" t="inlineStr">
        <is>
          <t>FormulLclX</t>
        </is>
      </c>
      <c r="M5" s="14" t="inlineStr">
        <is>
          <t>SaglikSkorSatir</t>
        </is>
      </c>
      <c r="N5" s="14" t="inlineStr">
        <is>
          <t>AlarmBayrak</t>
        </is>
      </c>
      <c r="O5" s="14" t="inlineStr">
        <is>
          <t>FormulKayitDolu</t>
        </is>
      </c>
      <c r="P5" s="14" t="inlineStr">
        <is>
          <t>FormulYetim</t>
        </is>
      </c>
    </row>
    <row r="6">
      <c r="A6" s="15" t="inlineStr">
        <is>
          <t>OLC-00001</t>
        </is>
      </c>
      <c r="B6" s="15" t="inlineStr">
        <is>
          <t>PRS-00001</t>
        </is>
      </c>
      <c r="C6" s="37" t="n">
        <v>46242</v>
      </c>
      <c r="D6" s="16" t="n">
        <v>9.984</v>
      </c>
      <c r="E6" s="16" t="n">
        <v>0.0512</v>
      </c>
      <c r="F6" s="17" t="n">
        <v>5</v>
      </c>
      <c r="G6" s="15" t="inlineStr">
        <is>
          <t>GECE</t>
        </is>
      </c>
      <c r="H6" s="18">
        <f>IF(OR($A6="",$E6=0),"",$E6/spy_d2)</f>
        <v/>
      </c>
      <c r="I6" s="18">
        <f>IF(OR($A6="",$H6=0),"",IFERROR((SUMIF(tblProsesler[VarlikId],$B6,tblProsesler[USL_birim])-SUMIF(tblProsesler[VarlikId],$B6,tblProsesler[LSL_birim]))/(spy_altiSigma*$H6),0))</f>
        <v/>
      </c>
      <c r="J6" s="18">
        <f>IF(OR($A6="",$H6=0),"",IFERROR(MIN((SUMIF(tblProsesler[VarlikId],$B6,tblProsesler[USL_birim])-$D6)/(spy_ucSigma*$H6),($D6-SUMIF(tblProsesler[VarlikId],$B6,tblProsesler[LSL_birim]))/(spy_ucSigma*$H6)),0))</f>
        <v/>
      </c>
      <c r="K6" s="18">
        <f>IF($A6="","",IFERROR(AVERAGEIF(tblOlcum[VarlikId],$B6,tblOlcum[Xbar_birim])+spy_A2*$E6,0))</f>
        <v/>
      </c>
      <c r="L6" s="18">
        <f>IF($A6="","",IFERROR(AVERAGEIF(tblOlcum[VarlikId],$B6,tblOlcum[Xbar_birim])-spy_A2*$E6,0))</f>
        <v/>
      </c>
      <c r="M6" s="18">
        <f>IF($A6="","",MAX(0,MIN(100,spy_kaliteTaban-IF($J6&lt;spy_esikCpk,spy_kaliteCeza,0)-IF(OR($D6&gt;$K6,$D6&lt;$L6),spy_kaliteSapma,0)-IF($P6="YETIM",spy_kaliteCeza,0))))</f>
        <v/>
      </c>
      <c r="N6" s="18">
        <f>IF($A6="","",IF(OR($J6&lt;spy_esikCpk,$D6&gt;$K6,$D6&lt;$L6,$M6&lt;spy_esikSaglik),"ALARM","UYGUN"))</f>
        <v/>
      </c>
      <c r="O6" s="18">
        <f>IF($A6="","",1)</f>
        <v/>
      </c>
      <c r="P6" s="18">
        <f>IF($A6="","",IF(OR($B6="",COUNTIF(tblProsesler[VarlikId],$B6)=0),"YETIM","TAMAM"))</f>
        <v/>
      </c>
    </row>
    <row r="7">
      <c r="A7" s="15" t="inlineStr">
        <is>
          <t>OLC-00002</t>
        </is>
      </c>
      <c r="B7" s="15" t="inlineStr">
        <is>
          <t>PRS-00002</t>
        </is>
      </c>
      <c r="C7" s="37" t="n">
        <v>46239</v>
      </c>
      <c r="D7" s="16" t="n">
        <v>5.996</v>
      </c>
      <c r="E7" s="16" t="n">
        <v>0.0168</v>
      </c>
      <c r="F7" s="17" t="n">
        <v>5</v>
      </c>
      <c r="G7" s="15" t="inlineStr">
        <is>
          <t>HAFTASONU</t>
        </is>
      </c>
      <c r="H7" s="18">
        <f>IF(OR($A7="",$E7=0),"",$E7/spy_d2)</f>
        <v/>
      </c>
      <c r="I7" s="18">
        <f>IF(OR($A7="",$H7=0),"",IFERROR((SUMIF(tblProsesler[VarlikId],$B7,tblProsesler[USL_birim])-SUMIF(tblProsesler[VarlikId],$B7,tblProsesler[LSL_birim]))/(spy_altiSigma*$H7),0))</f>
        <v/>
      </c>
      <c r="J7" s="18">
        <f>IF(OR($A7="",$H7=0),"",IFERROR(MIN((SUMIF(tblProsesler[VarlikId],$B7,tblProsesler[USL_birim])-$D7)/(spy_ucSigma*$H7),($D7-SUMIF(tblProsesler[VarlikId],$B7,tblProsesler[LSL_birim]))/(spy_ucSigma*$H7)),0))</f>
        <v/>
      </c>
      <c r="K7" s="18">
        <f>IF($A7="","",IFERROR(AVERAGEIF(tblOlcum[VarlikId],$B7,tblOlcum[Xbar_birim])+spy_A2*$E7,0))</f>
        <v/>
      </c>
      <c r="L7" s="18">
        <f>IF($A7="","",IFERROR(AVERAGEIF(tblOlcum[VarlikId],$B7,tblOlcum[Xbar_birim])-spy_A2*$E7,0))</f>
        <v/>
      </c>
      <c r="M7" s="18">
        <f>IF($A7="","",MAX(0,MIN(100,spy_kaliteTaban-IF($J7&lt;spy_esikCpk,spy_kaliteCeza,0)-IF(OR($D7&gt;$K7,$D7&lt;$L7),spy_kaliteSapma,0)-IF($P7="YETIM",spy_kaliteCeza,0))))</f>
        <v/>
      </c>
      <c r="N7" s="18">
        <f>IF($A7="","",IF(OR($J7&lt;spy_esikCpk,$D7&gt;$K7,$D7&lt;$L7,$M7&lt;spy_esikSaglik),"ALARM","UYGUN"))</f>
        <v/>
      </c>
      <c r="O7" s="18">
        <f>IF($A7="","",1)</f>
        <v/>
      </c>
      <c r="P7" s="18">
        <f>IF($A7="","",IF(OR($B7="",COUNTIF(tblProsesler[VarlikId],$B7)=0),"YETIM","TAMAM"))</f>
        <v/>
      </c>
    </row>
    <row r="8">
      <c r="A8" s="15" t="inlineStr">
        <is>
          <t>OLC-00003</t>
        </is>
      </c>
      <c r="B8" s="15" t="inlineStr">
        <is>
          <t>PRS-00003</t>
        </is>
      </c>
      <c r="C8" s="37" t="n">
        <v>46236</v>
      </c>
      <c r="D8" s="16" t="n">
        <v>0.8</v>
      </c>
      <c r="E8" s="16" t="n">
        <v>0.096</v>
      </c>
      <c r="F8" s="17" t="n">
        <v>5</v>
      </c>
      <c r="G8" s="15" t="inlineStr">
        <is>
          <t>FAZLA_MESAI</t>
        </is>
      </c>
      <c r="H8" s="18">
        <f>IF(OR($A8="",$E8=0),"",$E8/spy_d2)</f>
        <v/>
      </c>
      <c r="I8" s="18">
        <f>IF(OR($A8="",$H8=0),"",IFERROR((SUMIF(tblProsesler[VarlikId],$B8,tblProsesler[USL_birim])-SUMIF(tblProsesler[VarlikId],$B8,tblProsesler[LSL_birim]))/(spy_altiSigma*$H8),0))</f>
        <v/>
      </c>
      <c r="J8" s="18">
        <f>IF(OR($A8="",$H8=0),"",IFERROR(MIN((SUMIF(tblProsesler[VarlikId],$B8,tblProsesler[USL_birim])-$D8)/(spy_ucSigma*$H8),($D8-SUMIF(tblProsesler[VarlikId],$B8,tblProsesler[LSL_birim]))/(spy_ucSigma*$H8)),0))</f>
        <v/>
      </c>
      <c r="K8" s="18">
        <f>IF($A8="","",IFERROR(AVERAGEIF(tblOlcum[VarlikId],$B8,tblOlcum[Xbar_birim])+spy_A2*$E8,0))</f>
        <v/>
      </c>
      <c r="L8" s="18">
        <f>IF($A8="","",IFERROR(AVERAGEIF(tblOlcum[VarlikId],$B8,tblOlcum[Xbar_birim])-spy_A2*$E8,0))</f>
        <v/>
      </c>
      <c r="M8" s="18">
        <f>IF($A8="","",MAX(0,MIN(100,spy_kaliteTaban-IF($J8&lt;spy_esikCpk,spy_kaliteCeza,0)-IF(OR($D8&gt;$K8,$D8&lt;$L8),spy_kaliteSapma,0)-IF($P8="YETIM",spy_kaliteCeza,0))))</f>
        <v/>
      </c>
      <c r="N8" s="18">
        <f>IF($A8="","",IF(OR($J8&lt;spy_esikCpk,$D8&gt;$K8,$D8&lt;$L8,$M8&lt;spy_esikSaglik),"ALARM","UYGUN"))</f>
        <v/>
      </c>
      <c r="O8" s="18">
        <f>IF($A8="","",1)</f>
        <v/>
      </c>
      <c r="P8" s="18">
        <f>IF($A8="","",IF(OR($B8="",COUNTIF(tblProsesler[VarlikId],$B8)=0),"YETIM","TAMAM"))</f>
        <v/>
      </c>
    </row>
    <row r="9">
      <c r="A9" s="15" t="inlineStr">
        <is>
          <t>OLC-00004</t>
        </is>
      </c>
      <c r="B9" s="15" t="inlineStr">
        <is>
          <t>PRS-00004</t>
        </is>
      </c>
      <c r="C9" s="37" t="n">
        <v>46233</v>
      </c>
      <c r="D9" s="16" t="n">
        <v>2.004</v>
      </c>
      <c r="E9" s="16" t="n">
        <v>0.0168</v>
      </c>
      <c r="F9" s="17" t="n">
        <v>5</v>
      </c>
      <c r="G9" s="15" t="inlineStr">
        <is>
          <t>NUMUNE</t>
        </is>
      </c>
      <c r="H9" s="18">
        <f>IF(OR($A9="",$E9=0),"",$E9/spy_d2)</f>
        <v/>
      </c>
      <c r="I9" s="18">
        <f>IF(OR($A9="",$H9=0),"",IFERROR((SUMIF(tblProsesler[VarlikId],$B9,tblProsesler[USL_birim])-SUMIF(tblProsesler[VarlikId],$B9,tblProsesler[LSL_birim]))/(spy_altiSigma*$H9),0))</f>
        <v/>
      </c>
      <c r="J9" s="18">
        <f>IF(OR($A9="",$H9=0),"",IFERROR(MIN((SUMIF(tblProsesler[VarlikId],$B9,tblProsesler[USL_birim])-$D9)/(spy_ucSigma*$H9),($D9-SUMIF(tblProsesler[VarlikId],$B9,tblProsesler[LSL_birim]))/(spy_ucSigma*$H9)),0))</f>
        <v/>
      </c>
      <c r="K9" s="18">
        <f>IF($A9="","",IFERROR(AVERAGEIF(tblOlcum[VarlikId],$B9,tblOlcum[Xbar_birim])+spy_A2*$E9,0))</f>
        <v/>
      </c>
      <c r="L9" s="18">
        <f>IF($A9="","",IFERROR(AVERAGEIF(tblOlcum[VarlikId],$B9,tblOlcum[Xbar_birim])-spy_A2*$E9,0))</f>
        <v/>
      </c>
      <c r="M9" s="18">
        <f>IF($A9="","",MAX(0,MIN(100,spy_kaliteTaban-IF($J9&lt;spy_esikCpk,spy_kaliteCeza,0)-IF(OR($D9&gt;$K9,$D9&lt;$L9),spy_kaliteSapma,0)-IF($P9="YETIM",spy_kaliteCeza,0))))</f>
        <v/>
      </c>
      <c r="N9" s="18">
        <f>IF($A9="","",IF(OR($J9&lt;spy_esikCpk,$D9&gt;$K9,$D9&lt;$L9,$M9&lt;spy_esikSaglik),"ALARM","UYGUN"))</f>
        <v/>
      </c>
      <c r="O9" s="18">
        <f>IF($A9="","",1)</f>
        <v/>
      </c>
      <c r="P9" s="18">
        <f>IF($A9="","",IF(OR($B9="",COUNTIF(tblProsesler[VarlikId],$B9)=0),"YETIM","TAMAM"))</f>
        <v/>
      </c>
    </row>
    <row r="10">
      <c r="A10" s="15" t="inlineStr">
        <is>
          <t>OLC-00005</t>
        </is>
      </c>
      <c r="B10" s="15" t="inlineStr">
        <is>
          <t>PRS-00005</t>
        </is>
      </c>
      <c r="C10" s="37" t="n">
        <v>46230</v>
      </c>
      <c r="D10" s="16" t="n">
        <v>20.08</v>
      </c>
      <c r="E10" s="16" t="n">
        <v>0.256</v>
      </c>
      <c r="F10" s="17" t="n">
        <v>5</v>
      </c>
      <c r="G10" s="15" t="inlineStr">
        <is>
          <t>DIGER</t>
        </is>
      </c>
      <c r="H10" s="18">
        <f>IF(OR($A10="",$E10=0),"",$E10/spy_d2)</f>
        <v/>
      </c>
      <c r="I10" s="18">
        <f>IF(OR($A10="",$H10=0),"",IFERROR((SUMIF(tblProsesler[VarlikId],$B10,tblProsesler[USL_birim])-SUMIF(tblProsesler[VarlikId],$B10,tblProsesler[LSL_birim]))/(spy_altiSigma*$H10),0))</f>
        <v/>
      </c>
      <c r="J10" s="18">
        <f>IF(OR($A10="",$H10=0),"",IFERROR(MIN((SUMIF(tblProsesler[VarlikId],$B10,tblProsesler[USL_birim])-$D10)/(spy_ucSigma*$H10),($D10-SUMIF(tblProsesler[VarlikId],$B10,tblProsesler[LSL_birim]))/(spy_ucSigma*$H10)),0))</f>
        <v/>
      </c>
      <c r="K10" s="18">
        <f>IF($A10="","",IFERROR(AVERAGEIF(tblOlcum[VarlikId],$B10,tblOlcum[Xbar_birim])+spy_A2*$E10,0))</f>
        <v/>
      </c>
      <c r="L10" s="18">
        <f>IF($A10="","",IFERROR(AVERAGEIF(tblOlcum[VarlikId],$B10,tblOlcum[Xbar_birim])-spy_A2*$E10,0))</f>
        <v/>
      </c>
      <c r="M10" s="18">
        <f>IF($A10="","",MAX(0,MIN(100,spy_kaliteTaban-IF($J10&lt;spy_esikCpk,spy_kaliteCeza,0)-IF(OR($D10&gt;$K10,$D10&lt;$L10),spy_kaliteSapma,0)-IF($P10="YETIM",spy_kaliteCeza,0))))</f>
        <v/>
      </c>
      <c r="N10" s="18">
        <f>IF($A10="","",IF(OR($J10&lt;spy_esikCpk,$D10&gt;$K10,$D10&lt;$L10,$M10&lt;spy_esikSaglik),"ALARM","UYGUN"))</f>
        <v/>
      </c>
      <c r="O10" s="18">
        <f>IF($A10="","",1)</f>
        <v/>
      </c>
      <c r="P10" s="18">
        <f>IF($A10="","",IF(OR($B10="",COUNTIF(tblProsesler[VarlikId],$B10)=0),"YETIM","TAMAM"))</f>
        <v/>
      </c>
    </row>
    <row r="11">
      <c r="A11" s="15" t="inlineStr">
        <is>
          <t>OLC-00006</t>
        </is>
      </c>
      <c r="B11" s="15" t="inlineStr">
        <is>
          <t>PRS-00006</t>
        </is>
      </c>
      <c r="C11" s="37" t="n">
        <v>46227</v>
      </c>
      <c r="D11" s="16" t="n">
        <v>0.174</v>
      </c>
      <c r="E11" s="16" t="n">
        <v>0.0688</v>
      </c>
      <c r="F11" s="17" t="n">
        <v>5</v>
      </c>
      <c r="G11" s="15" t="inlineStr">
        <is>
          <t>GUNDUZ</t>
        </is>
      </c>
      <c r="H11" s="18">
        <f>IF(OR($A11="",$E11=0),"",$E11/spy_d2)</f>
        <v/>
      </c>
      <c r="I11" s="18">
        <f>IF(OR($A11="",$H11=0),"",IFERROR((SUMIF(tblProsesler[VarlikId],$B11,tblProsesler[USL_birim])-SUMIF(tblProsesler[VarlikId],$B11,tblProsesler[LSL_birim]))/(spy_altiSigma*$H11),0))</f>
        <v/>
      </c>
      <c r="J11" s="18">
        <f>IF(OR($A11="",$H11=0),"",IFERROR(MIN((SUMIF(tblProsesler[VarlikId],$B11,tblProsesler[USL_birim])-$D11)/(spy_ucSigma*$H11),($D11-SUMIF(tblProsesler[VarlikId],$B11,tblProsesler[LSL_birim]))/(spy_ucSigma*$H11)),0))</f>
        <v/>
      </c>
      <c r="K11" s="18">
        <f>IF($A11="","",IFERROR(AVERAGEIF(tblOlcum[VarlikId],$B11,tblOlcum[Xbar_birim])+spy_A2*$E11,0))</f>
        <v/>
      </c>
      <c r="L11" s="18">
        <f>IF($A11="","",IFERROR(AVERAGEIF(tblOlcum[VarlikId],$B11,tblOlcum[Xbar_birim])-spy_A2*$E11,0))</f>
        <v/>
      </c>
      <c r="M11" s="18">
        <f>IF($A11="","",MAX(0,MIN(100,spy_kaliteTaban-IF($J11&lt;spy_esikCpk,spy_kaliteCeza,0)-IF(OR($D11&gt;$K11,$D11&lt;$L11),spy_kaliteSapma,0)-IF($P11="YETIM",spy_kaliteCeza,0))))</f>
        <v/>
      </c>
      <c r="N11" s="18">
        <f>IF($A11="","",IF(OR($J11&lt;spy_esikCpk,$D11&gt;$K11,$D11&lt;$L11,$M11&lt;spy_esikSaglik),"ALARM","UYGUN"))</f>
        <v/>
      </c>
      <c r="O11" s="18">
        <f>IF($A11="","",1)</f>
        <v/>
      </c>
      <c r="P11" s="18">
        <f>IF($A11="","",IF(OR($B11="",COUNTIF(tblProsesler[VarlikId],$B11)=0),"YETIM","TAMAM"))</f>
        <v/>
      </c>
    </row>
    <row r="12">
      <c r="A12" s="15" t="inlineStr">
        <is>
          <t>OLC-00007</t>
        </is>
      </c>
      <c r="B12" s="15" t="inlineStr">
        <is>
          <t>PRS-00007</t>
        </is>
      </c>
      <c r="C12" s="37" t="n">
        <v>46224</v>
      </c>
      <c r="D12" s="16" t="n">
        <v>178.8</v>
      </c>
      <c r="E12" s="16" t="n">
        <v>3.44</v>
      </c>
      <c r="F12" s="17" t="n">
        <v>5</v>
      </c>
      <c r="G12" s="15" t="inlineStr">
        <is>
          <t>GECE</t>
        </is>
      </c>
      <c r="H12" s="18">
        <f>IF(OR($A12="",$E12=0),"",$E12/spy_d2)</f>
        <v/>
      </c>
      <c r="I12" s="18">
        <f>IF(OR($A12="",$H12=0),"",IFERROR((SUMIF(tblProsesler[VarlikId],$B12,tblProsesler[USL_birim])-SUMIF(tblProsesler[VarlikId],$B12,tblProsesler[LSL_birim]))/(spy_altiSigma*$H12),0))</f>
        <v/>
      </c>
      <c r="J12" s="18">
        <f>IF(OR($A12="",$H12=0),"",IFERROR(MIN((SUMIF(tblProsesler[VarlikId],$B12,tblProsesler[USL_birim])-$D12)/(spy_ucSigma*$H12),($D12-SUMIF(tblProsesler[VarlikId],$B12,tblProsesler[LSL_birim]))/(spy_ucSigma*$H12)),0))</f>
        <v/>
      </c>
      <c r="K12" s="18">
        <f>IF($A12="","",IFERROR(AVERAGEIF(tblOlcum[VarlikId],$B12,tblOlcum[Xbar_birim])+spy_A2*$E12,0))</f>
        <v/>
      </c>
      <c r="L12" s="18">
        <f>IF($A12="","",IFERROR(AVERAGEIF(tblOlcum[VarlikId],$B12,tblOlcum[Xbar_birim])-spy_A2*$E12,0))</f>
        <v/>
      </c>
      <c r="M12" s="18">
        <f>IF($A12="","",MAX(0,MIN(100,spy_kaliteTaban-IF($J12&lt;spy_esikCpk,spy_kaliteCeza,0)-IF(OR($D12&gt;$K12,$D12&lt;$L12),spy_kaliteSapma,0)-IF($P12="YETIM",spy_kaliteCeza,0))))</f>
        <v/>
      </c>
      <c r="N12" s="18">
        <f>IF($A12="","",IF(OR($J12&lt;spy_esikCpk,$D12&gt;$K12,$D12&lt;$L12,$M12&lt;spy_esikSaglik),"ALARM","UYGUN"))</f>
        <v/>
      </c>
      <c r="O12" s="18">
        <f>IF($A12="","",1)</f>
        <v/>
      </c>
      <c r="P12" s="18">
        <f>IF($A12="","",IF(OR($B12="",COUNTIF(tblProsesler[VarlikId],$B12)=0),"YETIM","TAMAM"))</f>
        <v/>
      </c>
    </row>
    <row r="13">
      <c r="A13" s="15" t="inlineStr">
        <is>
          <t>OLC-00008</t>
        </is>
      </c>
      <c r="B13" s="15" t="inlineStr">
        <is>
          <t>PRS-00008</t>
        </is>
      </c>
      <c r="C13" s="37" t="n">
        <v>46221</v>
      </c>
      <c r="D13" s="16" t="n">
        <v>19.68</v>
      </c>
      <c r="E13" s="16" t="n">
        <v>1.024</v>
      </c>
      <c r="F13" s="17" t="n">
        <v>5</v>
      </c>
      <c r="G13" s="15" t="inlineStr">
        <is>
          <t>HAFTASONU</t>
        </is>
      </c>
      <c r="H13" s="18">
        <f>IF(OR($A13="",$E13=0),"",$E13/spy_d2)</f>
        <v/>
      </c>
      <c r="I13" s="18">
        <f>IF(OR($A13="",$H13=0),"",IFERROR((SUMIF(tblProsesler[VarlikId],$B13,tblProsesler[USL_birim])-SUMIF(tblProsesler[VarlikId],$B13,tblProsesler[LSL_birim]))/(spy_altiSigma*$H13),0))</f>
        <v/>
      </c>
      <c r="J13" s="18">
        <f>IF(OR($A13="",$H13=0),"",IFERROR(MIN((SUMIF(tblProsesler[VarlikId],$B13,tblProsesler[USL_birim])-$D13)/(spy_ucSigma*$H13),($D13-SUMIF(tblProsesler[VarlikId],$B13,tblProsesler[LSL_birim]))/(spy_ucSigma*$H13)),0))</f>
        <v/>
      </c>
      <c r="K13" s="18">
        <f>IF($A13="","",IFERROR(AVERAGEIF(tblOlcum[VarlikId],$B13,tblOlcum[Xbar_birim])+spy_A2*$E13,0))</f>
        <v/>
      </c>
      <c r="L13" s="18">
        <f>IF($A13="","",IFERROR(AVERAGEIF(tblOlcum[VarlikId],$B13,tblOlcum[Xbar_birim])-spy_A2*$E13,0))</f>
        <v/>
      </c>
      <c r="M13" s="18">
        <f>IF($A13="","",MAX(0,MIN(100,spy_kaliteTaban-IF($J13&lt;spy_esikCpk,spy_kaliteCeza,0)-IF(OR($D13&gt;$K13,$D13&lt;$L13),spy_kaliteSapma,0)-IF($P13="YETIM",spy_kaliteCeza,0))))</f>
        <v/>
      </c>
      <c r="N13" s="18">
        <f>IF($A13="","",IF(OR($J13&lt;spy_esikCpk,$D13&gt;$K13,$D13&lt;$L13,$M13&lt;spy_esikSaglik),"ALARM","UYGUN"))</f>
        <v/>
      </c>
      <c r="O13" s="18">
        <f>IF($A13="","",1)</f>
        <v/>
      </c>
      <c r="P13" s="18">
        <f>IF($A13="","",IF(OR($B13="",COUNTIF(tblProsesler[VarlikId],$B13)=0),"YETIM","TAMAM"))</f>
        <v/>
      </c>
    </row>
    <row r="14">
      <c r="A14" s="15" t="inlineStr">
        <is>
          <t>OLC-00009</t>
        </is>
      </c>
      <c r="B14" s="15" t="inlineStr">
        <is>
          <t>PRS-00001</t>
        </is>
      </c>
      <c r="C14" s="37" t="n">
        <v>46218</v>
      </c>
      <c r="D14" s="16" t="n">
        <v>9.992000000000001</v>
      </c>
      <c r="E14" s="16" t="n">
        <v>0.0336</v>
      </c>
      <c r="F14" s="17" t="n">
        <v>5</v>
      </c>
      <c r="G14" s="15" t="inlineStr">
        <is>
          <t>FAZLA_MESAI</t>
        </is>
      </c>
      <c r="H14" s="18">
        <f>IF(OR($A14="",$E14=0),"",$E14/spy_d2)</f>
        <v/>
      </c>
      <c r="I14" s="18">
        <f>IF(OR($A14="",$H14=0),"",IFERROR((SUMIF(tblProsesler[VarlikId],$B14,tblProsesler[USL_birim])-SUMIF(tblProsesler[VarlikId],$B14,tblProsesler[LSL_birim]))/(spy_altiSigma*$H14),0))</f>
        <v/>
      </c>
      <c r="J14" s="18">
        <f>IF(OR($A14="",$H14=0),"",IFERROR(MIN((SUMIF(tblProsesler[VarlikId],$B14,tblProsesler[USL_birim])-$D14)/(spy_ucSigma*$H14),($D14-SUMIF(tblProsesler[VarlikId],$B14,tblProsesler[LSL_birim]))/(spy_ucSigma*$H14)),0))</f>
        <v/>
      </c>
      <c r="K14" s="18">
        <f>IF($A14="","",IFERROR(AVERAGEIF(tblOlcum[VarlikId],$B14,tblOlcum[Xbar_birim])+spy_A2*$E14,0))</f>
        <v/>
      </c>
      <c r="L14" s="18">
        <f>IF($A14="","",IFERROR(AVERAGEIF(tblOlcum[VarlikId],$B14,tblOlcum[Xbar_birim])-spy_A2*$E14,0))</f>
        <v/>
      </c>
      <c r="M14" s="18">
        <f>IF($A14="","",MAX(0,MIN(100,spy_kaliteTaban-IF($J14&lt;spy_esikCpk,spy_kaliteCeza,0)-IF(OR($D14&gt;$K14,$D14&lt;$L14),spy_kaliteSapma,0)-IF($P14="YETIM",spy_kaliteCeza,0))))</f>
        <v/>
      </c>
      <c r="N14" s="18">
        <f>IF($A14="","",IF(OR($J14&lt;spy_esikCpk,$D14&gt;$K14,$D14&lt;$L14,$M14&lt;spy_esikSaglik),"ALARM","UYGUN"))</f>
        <v/>
      </c>
      <c r="O14" s="18">
        <f>IF($A14="","",1)</f>
        <v/>
      </c>
      <c r="P14" s="18">
        <f>IF($A14="","",IF(OR($B14="",COUNTIF(tblProsesler[VarlikId],$B14)=0),"YETIM","TAMAM"))</f>
        <v/>
      </c>
    </row>
    <row r="15">
      <c r="A15" s="15" t="inlineStr">
        <is>
          <t>OLC-00010</t>
        </is>
      </c>
      <c r="B15" s="15" t="inlineStr">
        <is>
          <t>PRS-00002</t>
        </is>
      </c>
      <c r="C15" s="37" t="n">
        <v>46215</v>
      </c>
      <c r="D15" s="16" t="n">
        <v>6</v>
      </c>
      <c r="E15" s="16" t="n">
        <v>0.008</v>
      </c>
      <c r="F15" s="17" t="n">
        <v>5</v>
      </c>
      <c r="G15" s="15" t="inlineStr">
        <is>
          <t>NUMUNE</t>
        </is>
      </c>
      <c r="H15" s="18">
        <f>IF(OR($A15="",$E15=0),"",$E15/spy_d2)</f>
        <v/>
      </c>
      <c r="I15" s="18">
        <f>IF(OR($A15="",$H15=0),"",IFERROR((SUMIF(tblProsesler[VarlikId],$B15,tblProsesler[USL_birim])-SUMIF(tblProsesler[VarlikId],$B15,tblProsesler[LSL_birim]))/(spy_altiSigma*$H15),0))</f>
        <v/>
      </c>
      <c r="J15" s="18">
        <f>IF(OR($A15="",$H15=0),"",IFERROR(MIN((SUMIF(tblProsesler[VarlikId],$B15,tblProsesler[USL_birim])-$D15)/(spy_ucSigma*$H15),($D15-SUMIF(tblProsesler[VarlikId],$B15,tblProsesler[LSL_birim]))/(spy_ucSigma*$H15)),0))</f>
        <v/>
      </c>
      <c r="K15" s="18">
        <f>IF($A15="","",IFERROR(AVERAGEIF(tblOlcum[VarlikId],$B15,tblOlcum[Xbar_birim])+spy_A2*$E15,0))</f>
        <v/>
      </c>
      <c r="L15" s="18">
        <f>IF($A15="","",IFERROR(AVERAGEIF(tblOlcum[VarlikId],$B15,tblOlcum[Xbar_birim])-spy_A2*$E15,0))</f>
        <v/>
      </c>
      <c r="M15" s="18">
        <f>IF($A15="","",MAX(0,MIN(100,spy_kaliteTaban-IF($J15&lt;spy_esikCpk,spy_kaliteCeza,0)-IF(OR($D15&gt;$K15,$D15&lt;$L15),spy_kaliteSapma,0)-IF($P15="YETIM",spy_kaliteCeza,0))))</f>
        <v/>
      </c>
      <c r="N15" s="18">
        <f>IF($A15="","",IF(OR($J15&lt;spy_esikCpk,$D15&gt;$K15,$D15&lt;$L15,$M15&lt;spy_esikSaglik),"ALARM","UYGUN"))</f>
        <v/>
      </c>
      <c r="O15" s="18">
        <f>IF($A15="","",1)</f>
        <v/>
      </c>
      <c r="P15" s="18">
        <f>IF($A15="","",IF(OR($B15="",COUNTIF(tblProsesler[VarlikId],$B15)=0),"YETIM","TAMAM"))</f>
        <v/>
      </c>
    </row>
    <row r="16">
      <c r="A16" s="15" t="inlineStr">
        <is>
          <t>OLC-00011</t>
        </is>
      </c>
      <c r="B16" s="15" t="inlineStr">
        <is>
          <t>PRS-00003</t>
        </is>
      </c>
      <c r="C16" s="37" t="n">
        <v>46212</v>
      </c>
      <c r="D16" s="16" t="n">
        <v>0.848</v>
      </c>
      <c r="E16" s="16" t="n">
        <v>0.2016</v>
      </c>
      <c r="F16" s="17" t="n">
        <v>5</v>
      </c>
      <c r="G16" s="15" t="inlineStr">
        <is>
          <t>DIGER</t>
        </is>
      </c>
      <c r="H16" s="18">
        <f>IF(OR($A16="",$E16=0),"",$E16/spy_d2)</f>
        <v/>
      </c>
      <c r="I16" s="18">
        <f>IF(OR($A16="",$H16=0),"",IFERROR((SUMIF(tblProsesler[VarlikId],$B16,tblProsesler[USL_birim])-SUMIF(tblProsesler[VarlikId],$B16,tblProsesler[LSL_birim]))/(spy_altiSigma*$H16),0))</f>
        <v/>
      </c>
      <c r="J16" s="18">
        <f>IF(OR($A16="",$H16=0),"",IFERROR(MIN((SUMIF(tblProsesler[VarlikId],$B16,tblProsesler[USL_birim])-$D16)/(spy_ucSigma*$H16),($D16-SUMIF(tblProsesler[VarlikId],$B16,tblProsesler[LSL_birim]))/(spy_ucSigma*$H16)),0))</f>
        <v/>
      </c>
      <c r="K16" s="18">
        <f>IF($A16="","",IFERROR(AVERAGEIF(tblOlcum[VarlikId],$B16,tblOlcum[Xbar_birim])+spy_A2*$E16,0))</f>
        <v/>
      </c>
      <c r="L16" s="18">
        <f>IF($A16="","",IFERROR(AVERAGEIF(tblOlcum[VarlikId],$B16,tblOlcum[Xbar_birim])-spy_A2*$E16,0))</f>
        <v/>
      </c>
      <c r="M16" s="18">
        <f>IF($A16="","",MAX(0,MIN(100,spy_kaliteTaban-IF($J16&lt;spy_esikCpk,spy_kaliteCeza,0)-IF(OR($D16&gt;$K16,$D16&lt;$L16),spy_kaliteSapma,0)-IF($P16="YETIM",spy_kaliteCeza,0))))</f>
        <v/>
      </c>
      <c r="N16" s="18">
        <f>IF($A16="","",IF(OR($J16&lt;spy_esikCpk,$D16&gt;$K16,$D16&lt;$L16,$M16&lt;spy_esikSaglik),"ALARM","UYGUN"))</f>
        <v/>
      </c>
      <c r="O16" s="18">
        <f>IF($A16="","",1)</f>
        <v/>
      </c>
      <c r="P16" s="18">
        <f>IF($A16="","",IF(OR($B16="",COUNTIF(tblProsesler[VarlikId],$B16)=0),"YETIM","TAMAM"))</f>
        <v/>
      </c>
    </row>
    <row r="17">
      <c r="A17" s="15" t="inlineStr">
        <is>
          <t>OLC-00012</t>
        </is>
      </c>
      <c r="B17" s="15" t="inlineStr">
        <is>
          <t>PRS-00004</t>
        </is>
      </c>
      <c r="C17" s="37" t="n">
        <v>46209</v>
      </c>
      <c r="D17" s="16" t="n">
        <v>2.065</v>
      </c>
      <c r="E17" s="16" t="n">
        <v>0.055</v>
      </c>
      <c r="F17" s="17" t="n">
        <v>5</v>
      </c>
      <c r="G17" s="15" t="inlineStr">
        <is>
          <t>GUNDUZ</t>
        </is>
      </c>
      <c r="H17" s="18">
        <f>IF(OR($A17="",$E17=0),"",$E17/spy_d2)</f>
        <v/>
      </c>
      <c r="I17" s="18">
        <f>IF(OR($A17="",$H17=0),"",IFERROR((SUMIF(tblProsesler[VarlikId],$B17,tblProsesler[USL_birim])-SUMIF(tblProsesler[VarlikId],$B17,tblProsesler[LSL_birim]))/(spy_altiSigma*$H17),0))</f>
        <v/>
      </c>
      <c r="J17" s="18">
        <f>IF(OR($A17="",$H17=0),"",IFERROR(MIN((SUMIF(tblProsesler[VarlikId],$B17,tblProsesler[USL_birim])-$D17)/(spy_ucSigma*$H17),($D17-SUMIF(tblProsesler[VarlikId],$B17,tblProsesler[LSL_birim]))/(spy_ucSigma*$H17)),0))</f>
        <v/>
      </c>
      <c r="K17" s="18">
        <f>IF($A17="","",IFERROR(AVERAGEIF(tblOlcum[VarlikId],$B17,tblOlcum[Xbar_birim])+spy_A2*$E17,0))</f>
        <v/>
      </c>
      <c r="L17" s="18">
        <f>IF($A17="","",IFERROR(AVERAGEIF(tblOlcum[VarlikId],$B17,tblOlcum[Xbar_birim])-spy_A2*$E17,0))</f>
        <v/>
      </c>
      <c r="M17" s="18">
        <f>IF($A17="","",MAX(0,MIN(100,spy_kaliteTaban-IF($J17&lt;spy_esikCpk,spy_kaliteCeza,0)-IF(OR($D17&gt;$K17,$D17&lt;$L17),spy_kaliteSapma,0)-IF($P17="YETIM",spy_kaliteCeza,0))))</f>
        <v/>
      </c>
      <c r="N17" s="18">
        <f>IF($A17="","",IF(OR($J17&lt;spy_esikCpk,$D17&gt;$K17,$D17&lt;$L17,$M17&lt;spy_esikSaglik),"ALARM","UYGUN"))</f>
        <v/>
      </c>
      <c r="O17" s="18">
        <f>IF($A17="","",1)</f>
        <v/>
      </c>
      <c r="P17" s="18">
        <f>IF($A17="","",IF(OR($B17="",COUNTIF(tblProsesler[VarlikId],$B17)=0),"YETIM","TAMAM"))</f>
        <v/>
      </c>
    </row>
    <row r="18">
      <c r="A18" s="15" t="inlineStr">
        <is>
          <t>OLC-00013</t>
        </is>
      </c>
      <c r="B18" s="15" t="inlineStr">
        <is>
          <t>PRS-00005</t>
        </is>
      </c>
      <c r="C18" s="37" t="n">
        <v>46206</v>
      </c>
      <c r="D18" s="16" t="n">
        <v>20.12</v>
      </c>
      <c r="E18" s="16" t="n">
        <v>0.344</v>
      </c>
      <c r="F18" s="17" t="n">
        <v>5</v>
      </c>
      <c r="G18" s="15" t="inlineStr">
        <is>
          <t>GECE</t>
        </is>
      </c>
      <c r="H18" s="18">
        <f>IF(OR($A18="",$E18=0),"",$E18/spy_d2)</f>
        <v/>
      </c>
      <c r="I18" s="18">
        <f>IF(OR($A18="",$H18=0),"",IFERROR((SUMIF(tblProsesler[VarlikId],$B18,tblProsesler[USL_birim])-SUMIF(tblProsesler[VarlikId],$B18,tblProsesler[LSL_birim]))/(spy_altiSigma*$H18),0))</f>
        <v/>
      </c>
      <c r="J18" s="18">
        <f>IF(OR($A18="",$H18=0),"",IFERROR(MIN((SUMIF(tblProsesler[VarlikId],$B18,tblProsesler[USL_birim])-$D18)/(spy_ucSigma*$H18),($D18-SUMIF(tblProsesler[VarlikId],$B18,tblProsesler[LSL_birim]))/(spy_ucSigma*$H18)),0))</f>
        <v/>
      </c>
      <c r="K18" s="18">
        <f>IF($A18="","",IFERROR(AVERAGEIF(tblOlcum[VarlikId],$B18,tblOlcum[Xbar_birim])+spy_A2*$E18,0))</f>
        <v/>
      </c>
      <c r="L18" s="18">
        <f>IF($A18="","",IFERROR(AVERAGEIF(tblOlcum[VarlikId],$B18,tblOlcum[Xbar_birim])-spy_A2*$E18,0))</f>
        <v/>
      </c>
      <c r="M18" s="18">
        <f>IF($A18="","",MAX(0,MIN(100,spy_kaliteTaban-IF($J18&lt;spy_esikCpk,spy_kaliteCeza,0)-IF(OR($D18&gt;$K18,$D18&lt;$L18),spy_kaliteSapma,0)-IF($P18="YETIM",spy_kaliteCeza,0))))</f>
        <v/>
      </c>
      <c r="N18" s="18">
        <f>IF($A18="","",IF(OR($J18&lt;spy_esikCpk,$D18&gt;$K18,$D18&lt;$L18,$M18&lt;spy_esikSaglik),"ALARM","UYGUN"))</f>
        <v/>
      </c>
      <c r="O18" s="18">
        <f>IF($A18="","",1)</f>
        <v/>
      </c>
      <c r="P18" s="18">
        <f>IF($A18="","",IF(OR($B18="",COUNTIF(tblProsesler[VarlikId],$B18)=0),"YETIM","TAMAM"))</f>
        <v/>
      </c>
    </row>
    <row r="19">
      <c r="A19" s="15" t="inlineStr">
        <is>
          <t>OLC-00014</t>
        </is>
      </c>
      <c r="B19" s="15" t="inlineStr">
        <is>
          <t>PRS-00006</t>
        </is>
      </c>
      <c r="C19" s="37" t="n">
        <v>46203</v>
      </c>
      <c r="D19" s="16" t="n">
        <v>0.126</v>
      </c>
      <c r="E19" s="16" t="n">
        <v>0.0688</v>
      </c>
      <c r="F19" s="17" t="n">
        <v>5</v>
      </c>
      <c r="G19" s="15" t="inlineStr">
        <is>
          <t>HAFTASONU</t>
        </is>
      </c>
      <c r="H19" s="18">
        <f>IF(OR($A19="",$E19=0),"",$E19/spy_d2)</f>
        <v/>
      </c>
      <c r="I19" s="18">
        <f>IF(OR($A19="",$H19=0),"",IFERROR((SUMIF(tblProsesler[VarlikId],$B19,tblProsesler[USL_birim])-SUMIF(tblProsesler[VarlikId],$B19,tblProsesler[LSL_birim]))/(spy_altiSigma*$H19),0))</f>
        <v/>
      </c>
      <c r="J19" s="18">
        <f>IF(OR($A19="",$H19=0),"",IFERROR(MIN((SUMIF(tblProsesler[VarlikId],$B19,tblProsesler[USL_birim])-$D19)/(spy_ucSigma*$H19),($D19-SUMIF(tblProsesler[VarlikId],$B19,tblProsesler[LSL_birim]))/(spy_ucSigma*$H19)),0))</f>
        <v/>
      </c>
      <c r="K19" s="18">
        <f>IF($A19="","",IFERROR(AVERAGEIF(tblOlcum[VarlikId],$B19,tblOlcum[Xbar_birim])+spy_A2*$E19,0))</f>
        <v/>
      </c>
      <c r="L19" s="18">
        <f>IF($A19="","",IFERROR(AVERAGEIF(tblOlcum[VarlikId],$B19,tblOlcum[Xbar_birim])-spy_A2*$E19,0))</f>
        <v/>
      </c>
      <c r="M19" s="18">
        <f>IF($A19="","",MAX(0,MIN(100,spy_kaliteTaban-IF($J19&lt;spy_esikCpk,spy_kaliteCeza,0)-IF(OR($D19&gt;$K19,$D19&lt;$L19),spy_kaliteSapma,0)-IF($P19="YETIM",spy_kaliteCeza,0))))</f>
        <v/>
      </c>
      <c r="N19" s="18">
        <f>IF($A19="","",IF(OR($J19&lt;spy_esikCpk,$D19&gt;$K19,$D19&lt;$L19,$M19&lt;spy_esikSaglik),"ALARM","UYGUN"))</f>
        <v/>
      </c>
      <c r="O19" s="18">
        <f>IF($A19="","",1)</f>
        <v/>
      </c>
      <c r="P19" s="18">
        <f>IF($A19="","",IF(OR($B19="",COUNTIF(tblProsesler[VarlikId],$B19)=0),"YETIM","TAMAM"))</f>
        <v/>
      </c>
    </row>
    <row r="20">
      <c r="A20" s="15" t="inlineStr">
        <is>
          <t>OLC-00015</t>
        </is>
      </c>
      <c r="B20" s="15" t="inlineStr">
        <is>
          <t>PRS-00007</t>
        </is>
      </c>
      <c r="C20" s="37" t="n">
        <v>46200</v>
      </c>
      <c r="D20" s="16" t="n">
        <v>179.2</v>
      </c>
      <c r="E20" s="16" t="n">
        <v>2.56</v>
      </c>
      <c r="F20" s="17" t="n">
        <v>5</v>
      </c>
      <c r="G20" s="15" t="inlineStr">
        <is>
          <t>FAZLA_MESAI</t>
        </is>
      </c>
      <c r="H20" s="18">
        <f>IF(OR($A20="",$E20=0),"",$E20/spy_d2)</f>
        <v/>
      </c>
      <c r="I20" s="18">
        <f>IF(OR($A20="",$H20=0),"",IFERROR((SUMIF(tblProsesler[VarlikId],$B20,tblProsesler[USL_birim])-SUMIF(tblProsesler[VarlikId],$B20,tblProsesler[LSL_birim]))/(spy_altiSigma*$H20),0))</f>
        <v/>
      </c>
      <c r="J20" s="18">
        <f>IF(OR($A20="",$H20=0),"",IFERROR(MIN((SUMIF(tblProsesler[VarlikId],$B20,tblProsesler[USL_birim])-$D20)/(spy_ucSigma*$H20),($D20-SUMIF(tblProsesler[VarlikId],$B20,tblProsesler[LSL_birim]))/(spy_ucSigma*$H20)),0))</f>
        <v/>
      </c>
      <c r="K20" s="18">
        <f>IF($A20="","",IFERROR(AVERAGEIF(tblOlcum[VarlikId],$B20,tblOlcum[Xbar_birim])+spy_A2*$E20,0))</f>
        <v/>
      </c>
      <c r="L20" s="18">
        <f>IF($A20="","",IFERROR(AVERAGEIF(tblOlcum[VarlikId],$B20,tblOlcum[Xbar_birim])-spy_A2*$E20,0))</f>
        <v/>
      </c>
      <c r="M20" s="18">
        <f>IF($A20="","",MAX(0,MIN(100,spy_kaliteTaban-IF($J20&lt;spy_esikCpk,spy_kaliteCeza,0)-IF(OR($D20&gt;$K20,$D20&lt;$L20),spy_kaliteSapma,0)-IF($P20="YETIM",spy_kaliteCeza,0))))</f>
        <v/>
      </c>
      <c r="N20" s="18">
        <f>IF($A20="","",IF(OR($J20&lt;spy_esikCpk,$D20&gt;$K20,$D20&lt;$L20,$M20&lt;spy_esikSaglik),"ALARM","UYGUN"))</f>
        <v/>
      </c>
      <c r="O20" s="18">
        <f>IF($A20="","",1)</f>
        <v/>
      </c>
      <c r="P20" s="18">
        <f>IF($A20="","",IF(OR($B20="",COUNTIF(tblProsesler[VarlikId],$B20)=0),"YETIM","TAMAM"))</f>
        <v/>
      </c>
    </row>
    <row r="21">
      <c r="A21" s="15" t="inlineStr">
        <is>
          <t>OLC-00016</t>
        </is>
      </c>
      <c r="B21" s="15" t="inlineStr">
        <is>
          <t>PRS-00008</t>
        </is>
      </c>
      <c r="C21" s="37" t="n">
        <v>46197</v>
      </c>
      <c r="D21" s="16" t="n">
        <v>19.84</v>
      </c>
      <c r="E21" s="16" t="n">
        <v>0.672</v>
      </c>
      <c r="F21" s="17" t="n">
        <v>5</v>
      </c>
      <c r="G21" s="15" t="inlineStr">
        <is>
          <t>NUMUNE</t>
        </is>
      </c>
      <c r="H21" s="18">
        <f>IF(OR($A21="",$E21=0),"",$E21/spy_d2)</f>
        <v/>
      </c>
      <c r="I21" s="18">
        <f>IF(OR($A21="",$H21=0),"",IFERROR((SUMIF(tblProsesler[VarlikId],$B21,tblProsesler[USL_birim])-SUMIF(tblProsesler[VarlikId],$B21,tblProsesler[LSL_birim]))/(spy_altiSigma*$H21),0))</f>
        <v/>
      </c>
      <c r="J21" s="18">
        <f>IF(OR($A21="",$H21=0),"",IFERROR(MIN((SUMIF(tblProsesler[VarlikId],$B21,tblProsesler[USL_birim])-$D21)/(spy_ucSigma*$H21),($D21-SUMIF(tblProsesler[VarlikId],$B21,tblProsesler[LSL_birim]))/(spy_ucSigma*$H21)),0))</f>
        <v/>
      </c>
      <c r="K21" s="18">
        <f>IF($A21="","",IFERROR(AVERAGEIF(tblOlcum[VarlikId],$B21,tblOlcum[Xbar_birim])+spy_A2*$E21,0))</f>
        <v/>
      </c>
      <c r="L21" s="18">
        <f>IF($A21="","",IFERROR(AVERAGEIF(tblOlcum[VarlikId],$B21,tblOlcum[Xbar_birim])-spy_A2*$E21,0))</f>
        <v/>
      </c>
      <c r="M21" s="18">
        <f>IF($A21="","",MAX(0,MIN(100,spy_kaliteTaban-IF($J21&lt;spy_esikCpk,spy_kaliteCeza,0)-IF(OR($D21&gt;$K21,$D21&lt;$L21),spy_kaliteSapma,0)-IF($P21="YETIM",spy_kaliteCeza,0))))</f>
        <v/>
      </c>
      <c r="N21" s="18">
        <f>IF($A21="","",IF(OR($J21&lt;spy_esikCpk,$D21&gt;$K21,$D21&lt;$L21,$M21&lt;spy_esikSaglik),"ALARM","UYGUN"))</f>
        <v/>
      </c>
      <c r="O21" s="18">
        <f>IF($A21="","",1)</f>
        <v/>
      </c>
      <c r="P21" s="18">
        <f>IF($A21="","",IF(OR($B21="",COUNTIF(tblProsesler[VarlikId],$B21)=0),"YETIM","TAMAM"))</f>
        <v/>
      </c>
    </row>
    <row r="22">
      <c r="A22" s="15" t="inlineStr">
        <is>
          <t>OLC-00017</t>
        </is>
      </c>
      <c r="B22" s="15" t="inlineStr">
        <is>
          <t>PRS-00001</t>
        </is>
      </c>
      <c r="C22" s="37" t="n">
        <v>46194</v>
      </c>
      <c r="D22" s="16" t="n">
        <v>10</v>
      </c>
      <c r="E22" s="16" t="n">
        <v>0.016</v>
      </c>
      <c r="F22" s="17" t="n">
        <v>5</v>
      </c>
      <c r="G22" s="15" t="inlineStr">
        <is>
          <t>DIGER</t>
        </is>
      </c>
      <c r="H22" s="18">
        <f>IF(OR($A22="",$E22=0),"",$E22/spy_d2)</f>
        <v/>
      </c>
      <c r="I22" s="18">
        <f>IF(OR($A22="",$H22=0),"",IFERROR((SUMIF(tblProsesler[VarlikId],$B22,tblProsesler[USL_birim])-SUMIF(tblProsesler[VarlikId],$B22,tblProsesler[LSL_birim]))/(spy_altiSigma*$H22),0))</f>
        <v/>
      </c>
      <c r="J22" s="18">
        <f>IF(OR($A22="",$H22=0),"",IFERROR(MIN((SUMIF(tblProsesler[VarlikId],$B22,tblProsesler[USL_birim])-$D22)/(spy_ucSigma*$H22),($D22-SUMIF(tblProsesler[VarlikId],$B22,tblProsesler[LSL_birim]))/(spy_ucSigma*$H22)),0))</f>
        <v/>
      </c>
      <c r="K22" s="18">
        <f>IF($A22="","",IFERROR(AVERAGEIF(tblOlcum[VarlikId],$B22,tblOlcum[Xbar_birim])+spy_A2*$E22,0))</f>
        <v/>
      </c>
      <c r="L22" s="18">
        <f>IF($A22="","",IFERROR(AVERAGEIF(tblOlcum[VarlikId],$B22,tblOlcum[Xbar_birim])-spy_A2*$E22,0))</f>
        <v/>
      </c>
      <c r="M22" s="18">
        <f>IF($A22="","",MAX(0,MIN(100,spy_kaliteTaban-IF($J22&lt;spy_esikCpk,spy_kaliteCeza,0)-IF(OR($D22&gt;$K22,$D22&lt;$L22),spy_kaliteSapma,0)-IF($P22="YETIM",spy_kaliteCeza,0))))</f>
        <v/>
      </c>
      <c r="N22" s="18">
        <f>IF($A22="","",IF(OR($J22&lt;spy_esikCpk,$D22&gt;$K22,$D22&lt;$L22,$M22&lt;spy_esikSaglik),"ALARM","UYGUN"))</f>
        <v/>
      </c>
      <c r="O22" s="18">
        <f>IF($A22="","",1)</f>
        <v/>
      </c>
      <c r="P22" s="18">
        <f>IF($A22="","",IF(OR($B22="",COUNTIF(tblProsesler[VarlikId],$B22)=0),"YETIM","TAMAM"))</f>
        <v/>
      </c>
    </row>
    <row r="23">
      <c r="A23" s="15" t="inlineStr">
        <is>
          <t>OLC-00018</t>
        </is>
      </c>
      <c r="B23" s="15" t="inlineStr">
        <is>
          <t>PRS-00002</t>
        </is>
      </c>
      <c r="C23" s="37" t="n">
        <v>46191</v>
      </c>
      <c r="D23" s="16" t="n">
        <v>6.004</v>
      </c>
      <c r="E23" s="16" t="n">
        <v>0.0168</v>
      </c>
      <c r="F23" s="17" t="n">
        <v>5</v>
      </c>
      <c r="G23" s="15" t="inlineStr">
        <is>
          <t>GUNDUZ</t>
        </is>
      </c>
      <c r="H23" s="18">
        <f>IF(OR($A23="",$E23=0),"",$E23/spy_d2)</f>
        <v/>
      </c>
      <c r="I23" s="18">
        <f>IF(OR($A23="",$H23=0),"",IFERROR((SUMIF(tblProsesler[VarlikId],$B23,tblProsesler[USL_birim])-SUMIF(tblProsesler[VarlikId],$B23,tblProsesler[LSL_birim]))/(spy_altiSigma*$H23),0))</f>
        <v/>
      </c>
      <c r="J23" s="18">
        <f>IF(OR($A23="",$H23=0),"",IFERROR(MIN((SUMIF(tblProsesler[VarlikId],$B23,tblProsesler[USL_birim])-$D23)/(spy_ucSigma*$H23),($D23-SUMIF(tblProsesler[VarlikId],$B23,tblProsesler[LSL_birim]))/(spy_ucSigma*$H23)),0))</f>
        <v/>
      </c>
      <c r="K23" s="18">
        <f>IF($A23="","",IFERROR(AVERAGEIF(tblOlcum[VarlikId],$B23,tblOlcum[Xbar_birim])+spy_A2*$E23,0))</f>
        <v/>
      </c>
      <c r="L23" s="18">
        <f>IF($A23="","",IFERROR(AVERAGEIF(tblOlcum[VarlikId],$B23,tblOlcum[Xbar_birim])-spy_A2*$E23,0))</f>
        <v/>
      </c>
      <c r="M23" s="18">
        <f>IF($A23="","",MAX(0,MIN(100,spy_kaliteTaban-IF($J23&lt;spy_esikCpk,spy_kaliteCeza,0)-IF(OR($D23&gt;$K23,$D23&lt;$L23),spy_kaliteSapma,0)-IF($P23="YETIM",spy_kaliteCeza,0))))</f>
        <v/>
      </c>
      <c r="N23" s="18">
        <f>IF($A23="","",IF(OR($J23&lt;spy_esikCpk,$D23&gt;$K23,$D23&lt;$L23,$M23&lt;spy_esikSaglik),"ALARM","UYGUN"))</f>
        <v/>
      </c>
      <c r="O23" s="18">
        <f>IF($A23="","",1)</f>
        <v/>
      </c>
      <c r="P23" s="18">
        <f>IF($A23="","",IF(OR($B23="",COUNTIF(tblProsesler[VarlikId],$B23)=0),"YETIM","TAMAM"))</f>
        <v/>
      </c>
    </row>
    <row r="24">
      <c r="A24" s="15" t="inlineStr">
        <is>
          <t>OLC-00019</t>
        </is>
      </c>
      <c r="B24" s="15" t="inlineStr">
        <is>
          <t>PRS-00003</t>
        </is>
      </c>
      <c r="C24" s="37" t="n">
        <v>46188</v>
      </c>
      <c r="D24" s="16" t="n">
        <v>0.896</v>
      </c>
      <c r="E24" s="16" t="n">
        <v>0.3072</v>
      </c>
      <c r="F24" s="17" t="n">
        <v>5</v>
      </c>
      <c r="G24" s="15" t="inlineStr">
        <is>
          <t>GECE</t>
        </is>
      </c>
      <c r="H24" s="18">
        <f>IF(OR($A24="",$E24=0),"",$E24/spy_d2)</f>
        <v/>
      </c>
      <c r="I24" s="18">
        <f>IF(OR($A24="",$H24=0),"",IFERROR((SUMIF(tblProsesler[VarlikId],$B24,tblProsesler[USL_birim])-SUMIF(tblProsesler[VarlikId],$B24,tblProsesler[LSL_birim]))/(spy_altiSigma*$H24),0))</f>
        <v/>
      </c>
      <c r="J24" s="18">
        <f>IF(OR($A24="",$H24=0),"",IFERROR(MIN((SUMIF(tblProsesler[VarlikId],$B24,tblProsesler[USL_birim])-$D24)/(spy_ucSigma*$H24),($D24-SUMIF(tblProsesler[VarlikId],$B24,tblProsesler[LSL_birim]))/(spy_ucSigma*$H24)),0))</f>
        <v/>
      </c>
      <c r="K24" s="18">
        <f>IF($A24="","",IFERROR(AVERAGEIF(tblOlcum[VarlikId],$B24,tblOlcum[Xbar_birim])+spy_A2*$E24,0))</f>
        <v/>
      </c>
      <c r="L24" s="18">
        <f>IF($A24="","",IFERROR(AVERAGEIF(tblOlcum[VarlikId],$B24,tblOlcum[Xbar_birim])-spy_A2*$E24,0))</f>
        <v/>
      </c>
      <c r="M24" s="18">
        <f>IF($A24="","",MAX(0,MIN(100,spy_kaliteTaban-IF($J24&lt;spy_esikCpk,spy_kaliteCeza,0)-IF(OR($D24&gt;$K24,$D24&lt;$L24),spy_kaliteSapma,0)-IF($P24="YETIM",spy_kaliteCeza,0))))</f>
        <v/>
      </c>
      <c r="N24" s="18">
        <f>IF($A24="","",IF(OR($J24&lt;spy_esikCpk,$D24&gt;$K24,$D24&lt;$L24,$M24&lt;spy_esikSaglik),"ALARM","UYGUN"))</f>
        <v/>
      </c>
      <c r="O24" s="18">
        <f>IF($A24="","",1)</f>
        <v/>
      </c>
      <c r="P24" s="18">
        <f>IF($A24="","",IF(OR($B24="",COUNTIF(tblProsesler[VarlikId],$B24)=0),"YETIM","TAMAM"))</f>
        <v/>
      </c>
    </row>
    <row r="25">
      <c r="A25" s="15" t="inlineStr">
        <is>
          <t>OLC-00020</t>
        </is>
      </c>
      <c r="B25" s="15" t="inlineStr">
        <is>
          <t>PRS-00004</t>
        </is>
      </c>
      <c r="C25" s="37" t="n">
        <v>46185</v>
      </c>
      <c r="D25" s="16" t="n">
        <v>2.012</v>
      </c>
      <c r="E25" s="16" t="n">
        <v>0.0344</v>
      </c>
      <c r="F25" s="17" t="n">
        <v>5</v>
      </c>
      <c r="G25" s="15" t="inlineStr">
        <is>
          <t>HAFTASONU</t>
        </is>
      </c>
      <c r="H25" s="18">
        <f>IF(OR($A25="",$E25=0),"",$E25/spy_d2)</f>
        <v/>
      </c>
      <c r="I25" s="18">
        <f>IF(OR($A25="",$H25=0),"",IFERROR((SUMIF(tblProsesler[VarlikId],$B25,tblProsesler[USL_birim])-SUMIF(tblProsesler[VarlikId],$B25,tblProsesler[LSL_birim]))/(spy_altiSigma*$H25),0))</f>
        <v/>
      </c>
      <c r="J25" s="18">
        <f>IF(OR($A25="",$H25=0),"",IFERROR(MIN((SUMIF(tblProsesler[VarlikId],$B25,tblProsesler[USL_birim])-$D25)/(spy_ucSigma*$H25),($D25-SUMIF(tblProsesler[VarlikId],$B25,tblProsesler[LSL_birim]))/(spy_ucSigma*$H25)),0))</f>
        <v/>
      </c>
      <c r="K25" s="18">
        <f>IF($A25="","",IFERROR(AVERAGEIF(tblOlcum[VarlikId],$B25,tblOlcum[Xbar_birim])+spy_A2*$E25,0))</f>
        <v/>
      </c>
      <c r="L25" s="18">
        <f>IF($A25="","",IFERROR(AVERAGEIF(tblOlcum[VarlikId],$B25,tblOlcum[Xbar_birim])-spy_A2*$E25,0))</f>
        <v/>
      </c>
      <c r="M25" s="18">
        <f>IF($A25="","",MAX(0,MIN(100,spy_kaliteTaban-IF($J25&lt;spy_esikCpk,spy_kaliteCeza,0)-IF(OR($D25&gt;$K25,$D25&lt;$L25),spy_kaliteSapma,0)-IF($P25="YETIM",spy_kaliteCeza,0))))</f>
        <v/>
      </c>
      <c r="N25" s="18">
        <f>IF($A25="","",IF(OR($J25&lt;spy_esikCpk,$D25&gt;$K25,$D25&lt;$L25,$M25&lt;spy_esikSaglik),"ALARM","UYGUN"))</f>
        <v/>
      </c>
      <c r="O25" s="18">
        <f>IF($A25="","",1)</f>
        <v/>
      </c>
      <c r="P25" s="18">
        <f>IF($A25="","",IF(OR($B25="",COUNTIF(tblProsesler[VarlikId],$B25)=0),"YETIM","TAMAM"))</f>
        <v/>
      </c>
    </row>
    <row r="26">
      <c r="A26" s="15" t="inlineStr">
        <is>
          <t>OLC-00021</t>
        </is>
      </c>
      <c r="B26" s="15" t="inlineStr">
        <is>
          <t>PRS-00005</t>
        </is>
      </c>
      <c r="C26" s="37" t="n">
        <v>46182</v>
      </c>
      <c r="D26" s="16" t="n">
        <v>19.88</v>
      </c>
      <c r="E26" s="16" t="n">
        <v>0.344</v>
      </c>
      <c r="F26" s="17" t="n">
        <v>5</v>
      </c>
      <c r="G26" s="15" t="inlineStr">
        <is>
          <t>FAZLA_MESAI</t>
        </is>
      </c>
      <c r="H26" s="18">
        <f>IF(OR($A26="",$E26=0),"",$E26/spy_d2)</f>
        <v/>
      </c>
      <c r="I26" s="18">
        <f>IF(OR($A26="",$H26=0),"",IFERROR((SUMIF(tblProsesler[VarlikId],$B26,tblProsesler[USL_birim])-SUMIF(tblProsesler[VarlikId],$B26,tblProsesler[LSL_birim]))/(spy_altiSigma*$H26),0))</f>
        <v/>
      </c>
      <c r="J26" s="18">
        <f>IF(OR($A26="",$H26=0),"",IFERROR(MIN((SUMIF(tblProsesler[VarlikId],$B26,tblProsesler[USL_birim])-$D26)/(spy_ucSigma*$H26),($D26-SUMIF(tblProsesler[VarlikId],$B26,tblProsesler[LSL_birim]))/(spy_ucSigma*$H26)),0))</f>
        <v/>
      </c>
      <c r="K26" s="18">
        <f>IF($A26="","",IFERROR(AVERAGEIF(tblOlcum[VarlikId],$B26,tblOlcum[Xbar_birim])+spy_A2*$E26,0))</f>
        <v/>
      </c>
      <c r="L26" s="18">
        <f>IF($A26="","",IFERROR(AVERAGEIF(tblOlcum[VarlikId],$B26,tblOlcum[Xbar_birim])-spy_A2*$E26,0))</f>
        <v/>
      </c>
      <c r="M26" s="18">
        <f>IF($A26="","",MAX(0,MIN(100,spy_kaliteTaban-IF($J26&lt;spy_esikCpk,spy_kaliteCeza,0)-IF(OR($D26&gt;$K26,$D26&lt;$L26),spy_kaliteSapma,0)-IF($P26="YETIM",spy_kaliteCeza,0))))</f>
        <v/>
      </c>
      <c r="N26" s="18">
        <f>IF($A26="","",IF(OR($J26&lt;spy_esikCpk,$D26&gt;$K26,$D26&lt;$L26,$M26&lt;spy_esikSaglik),"ALARM","UYGUN"))</f>
        <v/>
      </c>
      <c r="O26" s="18">
        <f>IF($A26="","",1)</f>
        <v/>
      </c>
      <c r="P26" s="18">
        <f>IF($A26="","",IF(OR($B26="",COUNTIF(tblProsesler[VarlikId],$B26)=0),"YETIM","TAMAM"))</f>
        <v/>
      </c>
    </row>
    <row r="27">
      <c r="A27" s="15" t="inlineStr">
        <is>
          <t>OLC-00022</t>
        </is>
      </c>
      <c r="B27" s="15" t="inlineStr">
        <is>
          <t>PRS-00006</t>
        </is>
      </c>
      <c r="C27" s="37" t="n">
        <v>46179</v>
      </c>
      <c r="D27" s="16" t="n">
        <v>0.134</v>
      </c>
      <c r="E27" s="16" t="n">
        <v>0.0512</v>
      </c>
      <c r="F27" s="17" t="n">
        <v>5</v>
      </c>
      <c r="G27" s="15" t="inlineStr">
        <is>
          <t>NUMUNE</t>
        </is>
      </c>
      <c r="H27" s="18">
        <f>IF(OR($A27="",$E27=0),"",$E27/spy_d2)</f>
        <v/>
      </c>
      <c r="I27" s="18">
        <f>IF(OR($A27="",$H27=0),"",IFERROR((SUMIF(tblProsesler[VarlikId],$B27,tblProsesler[USL_birim])-SUMIF(tblProsesler[VarlikId],$B27,tblProsesler[LSL_birim]))/(spy_altiSigma*$H27),0))</f>
        <v/>
      </c>
      <c r="J27" s="18">
        <f>IF(OR($A27="",$H27=0),"",IFERROR(MIN((SUMIF(tblProsesler[VarlikId],$B27,tblProsesler[USL_birim])-$D27)/(spy_ucSigma*$H27),($D27-SUMIF(tblProsesler[VarlikId],$B27,tblProsesler[LSL_birim]))/(spy_ucSigma*$H27)),0))</f>
        <v/>
      </c>
      <c r="K27" s="18">
        <f>IF($A27="","",IFERROR(AVERAGEIF(tblOlcum[VarlikId],$B27,tblOlcum[Xbar_birim])+spy_A2*$E27,0))</f>
        <v/>
      </c>
      <c r="L27" s="18">
        <f>IF($A27="","",IFERROR(AVERAGEIF(tblOlcum[VarlikId],$B27,tblOlcum[Xbar_birim])-spy_A2*$E27,0))</f>
        <v/>
      </c>
      <c r="M27" s="18">
        <f>IF($A27="","",MAX(0,MIN(100,spy_kaliteTaban-IF($J27&lt;spy_esikCpk,spy_kaliteCeza,0)-IF(OR($D27&gt;$K27,$D27&lt;$L27),spy_kaliteSapma,0)-IF($P27="YETIM",spy_kaliteCeza,0))))</f>
        <v/>
      </c>
      <c r="N27" s="18">
        <f>IF($A27="","",IF(OR($J27&lt;spy_esikCpk,$D27&gt;$K27,$D27&lt;$L27,$M27&lt;spy_esikSaglik),"ALARM","UYGUN"))</f>
        <v/>
      </c>
      <c r="O27" s="18">
        <f>IF($A27="","",1)</f>
        <v/>
      </c>
      <c r="P27" s="18">
        <f>IF($A27="","",IF(OR($B27="",COUNTIF(tblProsesler[VarlikId],$B27)=0),"YETIM","TAMAM"))</f>
        <v/>
      </c>
    </row>
    <row r="28">
      <c r="A28" s="15" t="inlineStr">
        <is>
          <t>OLC-00023</t>
        </is>
      </c>
      <c r="B28" s="15" t="inlineStr">
        <is>
          <t>PRS-00007</t>
        </is>
      </c>
      <c r="C28" s="37" t="n">
        <v>46176</v>
      </c>
      <c r="D28" s="16" t="n">
        <v>179.6</v>
      </c>
      <c r="E28" s="16" t="n">
        <v>1.68</v>
      </c>
      <c r="F28" s="17" t="n">
        <v>5</v>
      </c>
      <c r="G28" s="15" t="inlineStr">
        <is>
          <t>DIGER</t>
        </is>
      </c>
      <c r="H28" s="18">
        <f>IF(OR($A28="",$E28=0),"",$E28/spy_d2)</f>
        <v/>
      </c>
      <c r="I28" s="18">
        <f>IF(OR($A28="",$H28=0),"",IFERROR((SUMIF(tblProsesler[VarlikId],$B28,tblProsesler[USL_birim])-SUMIF(tblProsesler[VarlikId],$B28,tblProsesler[LSL_birim]))/(spy_altiSigma*$H28),0))</f>
        <v/>
      </c>
      <c r="J28" s="18">
        <f>IF(OR($A28="",$H28=0),"",IFERROR(MIN((SUMIF(tblProsesler[VarlikId],$B28,tblProsesler[USL_birim])-$D28)/(spy_ucSigma*$H28),($D28-SUMIF(tblProsesler[VarlikId],$B28,tblProsesler[LSL_birim]))/(spy_ucSigma*$H28)),0))</f>
        <v/>
      </c>
      <c r="K28" s="18">
        <f>IF($A28="","",IFERROR(AVERAGEIF(tblOlcum[VarlikId],$B28,tblOlcum[Xbar_birim])+spy_A2*$E28,0))</f>
        <v/>
      </c>
      <c r="L28" s="18">
        <f>IF($A28="","",IFERROR(AVERAGEIF(tblOlcum[VarlikId],$B28,tblOlcum[Xbar_birim])-spy_A2*$E28,0))</f>
        <v/>
      </c>
      <c r="M28" s="18">
        <f>IF($A28="","",MAX(0,MIN(100,spy_kaliteTaban-IF($J28&lt;spy_esikCpk,spy_kaliteCeza,0)-IF(OR($D28&gt;$K28,$D28&lt;$L28),spy_kaliteSapma,0)-IF($P28="YETIM",spy_kaliteCeza,0))))</f>
        <v/>
      </c>
      <c r="N28" s="18">
        <f>IF($A28="","",IF(OR($J28&lt;spy_esikCpk,$D28&gt;$K28,$D28&lt;$L28,$M28&lt;spy_esikSaglik),"ALARM","UYGUN"))</f>
        <v/>
      </c>
      <c r="O28" s="18">
        <f>IF($A28="","",1)</f>
        <v/>
      </c>
      <c r="P28" s="18">
        <f>IF($A28="","",IF(OR($B28="",COUNTIF(tblProsesler[VarlikId],$B28)=0),"YETIM","TAMAM"))</f>
        <v/>
      </c>
    </row>
    <row r="29">
      <c r="A29" s="15" t="inlineStr">
        <is>
          <t>OLC-00024</t>
        </is>
      </c>
      <c r="B29" s="15" t="inlineStr">
        <is>
          <t>PRS-00008</t>
        </is>
      </c>
      <c r="C29" s="37" t="n">
        <v>46173</v>
      </c>
      <c r="D29" s="16" t="n">
        <v>22.6</v>
      </c>
      <c r="E29" s="16" t="n">
        <v>2.2</v>
      </c>
      <c r="F29" s="17" t="n">
        <v>5</v>
      </c>
      <c r="G29" s="15" t="inlineStr">
        <is>
          <t>GUNDUZ</t>
        </is>
      </c>
      <c r="H29" s="18">
        <f>IF(OR($A29="",$E29=0),"",$E29/spy_d2)</f>
        <v/>
      </c>
      <c r="I29" s="18">
        <f>IF(OR($A29="",$H29=0),"",IFERROR((SUMIF(tblProsesler[VarlikId],$B29,tblProsesler[USL_birim])-SUMIF(tblProsesler[VarlikId],$B29,tblProsesler[LSL_birim]))/(spy_altiSigma*$H29),0))</f>
        <v/>
      </c>
      <c r="J29" s="18">
        <f>IF(OR($A29="",$H29=0),"",IFERROR(MIN((SUMIF(tblProsesler[VarlikId],$B29,tblProsesler[USL_birim])-$D29)/(spy_ucSigma*$H29),($D29-SUMIF(tblProsesler[VarlikId],$B29,tblProsesler[LSL_birim]))/(spy_ucSigma*$H29)),0))</f>
        <v/>
      </c>
      <c r="K29" s="18">
        <f>IF($A29="","",IFERROR(AVERAGEIF(tblOlcum[VarlikId],$B29,tblOlcum[Xbar_birim])+spy_A2*$E29,0))</f>
        <v/>
      </c>
      <c r="L29" s="18">
        <f>IF($A29="","",IFERROR(AVERAGEIF(tblOlcum[VarlikId],$B29,tblOlcum[Xbar_birim])-spy_A2*$E29,0))</f>
        <v/>
      </c>
      <c r="M29" s="18">
        <f>IF($A29="","",MAX(0,MIN(100,spy_kaliteTaban-IF($J29&lt;spy_esikCpk,spy_kaliteCeza,0)-IF(OR($D29&gt;$K29,$D29&lt;$L29),spy_kaliteSapma,0)-IF($P29="YETIM",spy_kaliteCeza,0))))</f>
        <v/>
      </c>
      <c r="N29" s="18">
        <f>IF($A29="","",IF(OR($J29&lt;spy_esikCpk,$D29&gt;$K29,$D29&lt;$L29,$M29&lt;spy_esikSaglik),"ALARM","UYGUN"))</f>
        <v/>
      </c>
      <c r="O29" s="18">
        <f>IF($A29="","",1)</f>
        <v/>
      </c>
      <c r="P29" s="18">
        <f>IF($A29="","",IF(OR($B29="",COUNTIF(tblProsesler[VarlikId],$B29)=0),"YETIM","TAMAM"))</f>
        <v/>
      </c>
    </row>
    <row r="30">
      <c r="A30" s="15" t="inlineStr">
        <is>
          <t>OLC-00025</t>
        </is>
      </c>
      <c r="B30" s="15" t="inlineStr">
        <is>
          <t>PRS-00001</t>
        </is>
      </c>
      <c r="C30" s="37" t="n">
        <v>46170</v>
      </c>
      <c r="D30" s="16" t="n">
        <v>10.008</v>
      </c>
      <c r="E30" s="16" t="n">
        <v>0.0336</v>
      </c>
      <c r="F30" s="17" t="n">
        <v>5</v>
      </c>
      <c r="G30" s="15" t="inlineStr">
        <is>
          <t>GECE</t>
        </is>
      </c>
      <c r="H30" s="18">
        <f>IF(OR($A30="",$E30=0),"",$E30/spy_d2)</f>
        <v/>
      </c>
      <c r="I30" s="18">
        <f>IF(OR($A30="",$H30=0),"",IFERROR((SUMIF(tblProsesler[VarlikId],$B30,tblProsesler[USL_birim])-SUMIF(tblProsesler[VarlikId],$B30,tblProsesler[LSL_birim]))/(spy_altiSigma*$H30),0))</f>
        <v/>
      </c>
      <c r="J30" s="18">
        <f>IF(OR($A30="",$H30=0),"",IFERROR(MIN((SUMIF(tblProsesler[VarlikId],$B30,tblProsesler[USL_birim])-$D30)/(spy_ucSigma*$H30),($D30-SUMIF(tblProsesler[VarlikId],$B30,tblProsesler[LSL_birim]))/(spy_ucSigma*$H30)),0))</f>
        <v/>
      </c>
      <c r="K30" s="18">
        <f>IF($A30="","",IFERROR(AVERAGEIF(tblOlcum[VarlikId],$B30,tblOlcum[Xbar_birim])+spy_A2*$E30,0))</f>
        <v/>
      </c>
      <c r="L30" s="18">
        <f>IF($A30="","",IFERROR(AVERAGEIF(tblOlcum[VarlikId],$B30,tblOlcum[Xbar_birim])-spy_A2*$E30,0))</f>
        <v/>
      </c>
      <c r="M30" s="18">
        <f>IF($A30="","",MAX(0,MIN(100,spy_kaliteTaban-IF($J30&lt;spy_esikCpk,spy_kaliteCeza,0)-IF(OR($D30&gt;$K30,$D30&lt;$L30),spy_kaliteSapma,0)-IF($P30="YETIM",spy_kaliteCeza,0))))</f>
        <v/>
      </c>
      <c r="N30" s="18">
        <f>IF($A30="","",IF(OR($J30&lt;spy_esikCpk,$D30&gt;$K30,$D30&lt;$L30,$M30&lt;spy_esikSaglik),"ALARM","UYGUN"))</f>
        <v/>
      </c>
      <c r="O30" s="18">
        <f>IF($A30="","",1)</f>
        <v/>
      </c>
      <c r="P30" s="18">
        <f>IF($A30="","",IF(OR($B30="",COUNTIF(tblProsesler[VarlikId],$B30)=0),"YETIM","TAMAM"))</f>
        <v/>
      </c>
    </row>
    <row r="31">
      <c r="A31" s="15" t="inlineStr">
        <is>
          <t>OLC-00026</t>
        </is>
      </c>
      <c r="B31" s="15" t="inlineStr">
        <is>
          <t>PRS-00002</t>
        </is>
      </c>
      <c r="C31" s="37" t="n">
        <v>46167</v>
      </c>
      <c r="D31" s="16" t="n">
        <v>6.008</v>
      </c>
      <c r="E31" s="16" t="n">
        <v>0.0256</v>
      </c>
      <c r="F31" s="17" t="n">
        <v>5</v>
      </c>
      <c r="G31" s="15" t="inlineStr">
        <is>
          <t>HAFTASONU</t>
        </is>
      </c>
      <c r="H31" s="18">
        <f>IF(OR($A31="",$E31=0),"",$E31/spy_d2)</f>
        <v/>
      </c>
      <c r="I31" s="18">
        <f>IF(OR($A31="",$H31=0),"",IFERROR((SUMIF(tblProsesler[VarlikId],$B31,tblProsesler[USL_birim])-SUMIF(tblProsesler[VarlikId],$B31,tblProsesler[LSL_birim]))/(spy_altiSigma*$H31),0))</f>
        <v/>
      </c>
      <c r="J31" s="18">
        <f>IF(OR($A31="",$H31=0),"",IFERROR(MIN((SUMIF(tblProsesler[VarlikId],$B31,tblProsesler[USL_birim])-$D31)/(spy_ucSigma*$H31),($D31-SUMIF(tblProsesler[VarlikId],$B31,tblProsesler[LSL_birim]))/(spy_ucSigma*$H31)),0))</f>
        <v/>
      </c>
      <c r="K31" s="18">
        <f>IF($A31="","",IFERROR(AVERAGEIF(tblOlcum[VarlikId],$B31,tblOlcum[Xbar_birim])+spy_A2*$E31,0))</f>
        <v/>
      </c>
      <c r="L31" s="18">
        <f>IF($A31="","",IFERROR(AVERAGEIF(tblOlcum[VarlikId],$B31,tblOlcum[Xbar_birim])-spy_A2*$E31,0))</f>
        <v/>
      </c>
      <c r="M31" s="18">
        <f>IF($A31="","",MAX(0,MIN(100,spy_kaliteTaban-IF($J31&lt;spy_esikCpk,spy_kaliteCeza,0)-IF(OR($D31&gt;$K31,$D31&lt;$L31),spy_kaliteSapma,0)-IF($P31="YETIM",spy_kaliteCeza,0))))</f>
        <v/>
      </c>
      <c r="N31" s="18">
        <f>IF($A31="","",IF(OR($J31&lt;spy_esikCpk,$D31&gt;$K31,$D31&lt;$L31,$M31&lt;spy_esikSaglik),"ALARM","UYGUN"))</f>
        <v/>
      </c>
      <c r="O31" s="18">
        <f>IF($A31="","",1)</f>
        <v/>
      </c>
      <c r="P31" s="18">
        <f>IF($A31="","",IF(OR($B31="",COUNTIF(tblProsesler[VarlikId],$B31)=0),"YETIM","TAMAM"))</f>
        <v/>
      </c>
    </row>
    <row r="32">
      <c r="A32" s="15" t="inlineStr">
        <is>
          <t>OLC-00027</t>
        </is>
      </c>
      <c r="B32" s="15" t="inlineStr">
        <is>
          <t>PRS-00003</t>
        </is>
      </c>
      <c r="C32" s="37" t="n">
        <v>46164</v>
      </c>
      <c r="D32" s="16" t="n">
        <v>0.944</v>
      </c>
      <c r="E32" s="16" t="n">
        <v>0.4128</v>
      </c>
      <c r="F32" s="17" t="n">
        <v>5</v>
      </c>
      <c r="G32" s="15" t="inlineStr">
        <is>
          <t>FAZLA_MESAI</t>
        </is>
      </c>
      <c r="H32" s="18">
        <f>IF(OR($A32="",$E32=0),"",$E32/spy_d2)</f>
        <v/>
      </c>
      <c r="I32" s="18">
        <f>IF(OR($A32="",$H32=0),"",IFERROR((SUMIF(tblProsesler[VarlikId],$B32,tblProsesler[USL_birim])-SUMIF(tblProsesler[VarlikId],$B32,tblProsesler[LSL_birim]))/(spy_altiSigma*$H32),0))</f>
        <v/>
      </c>
      <c r="J32" s="18">
        <f>IF(OR($A32="",$H32=0),"",IFERROR(MIN((SUMIF(tblProsesler[VarlikId],$B32,tblProsesler[USL_birim])-$D32)/(spy_ucSigma*$H32),($D32-SUMIF(tblProsesler[VarlikId],$B32,tblProsesler[LSL_birim]))/(spy_ucSigma*$H32)),0))</f>
        <v/>
      </c>
      <c r="K32" s="18">
        <f>IF($A32="","",IFERROR(AVERAGEIF(tblOlcum[VarlikId],$B32,tblOlcum[Xbar_birim])+spy_A2*$E32,0))</f>
        <v/>
      </c>
      <c r="L32" s="18">
        <f>IF($A32="","",IFERROR(AVERAGEIF(tblOlcum[VarlikId],$B32,tblOlcum[Xbar_birim])-spy_A2*$E32,0))</f>
        <v/>
      </c>
      <c r="M32" s="18">
        <f>IF($A32="","",MAX(0,MIN(100,spy_kaliteTaban-IF($J32&lt;spy_esikCpk,spy_kaliteCeza,0)-IF(OR($D32&gt;$K32,$D32&lt;$L32),spy_kaliteSapma,0)-IF($P32="YETIM",spy_kaliteCeza,0))))</f>
        <v/>
      </c>
      <c r="N32" s="18">
        <f>IF($A32="","",IF(OR($J32&lt;spy_esikCpk,$D32&gt;$K32,$D32&lt;$L32,$M32&lt;spy_esikSaglik),"ALARM","UYGUN"))</f>
        <v/>
      </c>
      <c r="O32" s="18">
        <f>IF($A32="","",1)</f>
        <v/>
      </c>
      <c r="P32" s="18">
        <f>IF($A32="","",IF(OR($B32="",COUNTIF(tblProsesler[VarlikId],$B32)=0),"YETIM","TAMAM"))</f>
        <v/>
      </c>
    </row>
    <row r="33">
      <c r="A33" s="15" t="inlineStr">
        <is>
          <t>OLC-00028</t>
        </is>
      </c>
      <c r="B33" s="15" t="inlineStr">
        <is>
          <t>PRS-00004</t>
        </is>
      </c>
      <c r="C33" s="37" t="n">
        <v>46161</v>
      </c>
      <c r="D33" s="16" t="n">
        <v>1.988</v>
      </c>
      <c r="E33" s="16" t="n">
        <v>0.0344</v>
      </c>
      <c r="F33" s="17" t="n">
        <v>5</v>
      </c>
      <c r="G33" s="15" t="inlineStr">
        <is>
          <t>NUMUNE</t>
        </is>
      </c>
      <c r="H33" s="18">
        <f>IF(OR($A33="",$E33=0),"",$E33/spy_d2)</f>
        <v/>
      </c>
      <c r="I33" s="18">
        <f>IF(OR($A33="",$H33=0),"",IFERROR((SUMIF(tblProsesler[VarlikId],$B33,tblProsesler[USL_birim])-SUMIF(tblProsesler[VarlikId],$B33,tblProsesler[LSL_birim]))/(spy_altiSigma*$H33),0))</f>
        <v/>
      </c>
      <c r="J33" s="18">
        <f>IF(OR($A33="",$H33=0),"",IFERROR(MIN((SUMIF(tblProsesler[VarlikId],$B33,tblProsesler[USL_birim])-$D33)/(spy_ucSigma*$H33),($D33-SUMIF(tblProsesler[VarlikId],$B33,tblProsesler[LSL_birim]))/(spy_ucSigma*$H33)),0))</f>
        <v/>
      </c>
      <c r="K33" s="18">
        <f>IF($A33="","",IFERROR(AVERAGEIF(tblOlcum[VarlikId],$B33,tblOlcum[Xbar_birim])+spy_A2*$E33,0))</f>
        <v/>
      </c>
      <c r="L33" s="18">
        <f>IF($A33="","",IFERROR(AVERAGEIF(tblOlcum[VarlikId],$B33,tblOlcum[Xbar_birim])-spy_A2*$E33,0))</f>
        <v/>
      </c>
      <c r="M33" s="18">
        <f>IF($A33="","",MAX(0,MIN(100,spy_kaliteTaban-IF($J33&lt;spy_esikCpk,spy_kaliteCeza,0)-IF(OR($D33&gt;$K33,$D33&lt;$L33),spy_kaliteSapma,0)-IF($P33="YETIM",spy_kaliteCeza,0))))</f>
        <v/>
      </c>
      <c r="N33" s="18">
        <f>IF($A33="","",IF(OR($J33&lt;spy_esikCpk,$D33&gt;$K33,$D33&lt;$L33,$M33&lt;spy_esikSaglik),"ALARM","UYGUN"))</f>
        <v/>
      </c>
      <c r="O33" s="18">
        <f>IF($A33="","",1)</f>
        <v/>
      </c>
      <c r="P33" s="18">
        <f>IF($A33="","",IF(OR($B33="",COUNTIF(tblProsesler[VarlikId],$B33)=0),"YETIM","TAMAM"))</f>
        <v/>
      </c>
    </row>
    <row r="34">
      <c r="A34" s="15" t="inlineStr">
        <is>
          <t>OLC-00029</t>
        </is>
      </c>
      <c r="B34" s="15" t="inlineStr">
        <is>
          <t>PRS-00005</t>
        </is>
      </c>
      <c r="C34" s="37" t="n">
        <v>46158</v>
      </c>
      <c r="D34" s="16" t="n">
        <v>19.92</v>
      </c>
      <c r="E34" s="16" t="n">
        <v>0.256</v>
      </c>
      <c r="F34" s="17" t="n">
        <v>5</v>
      </c>
      <c r="G34" s="15" t="inlineStr">
        <is>
          <t>DIGER</t>
        </is>
      </c>
      <c r="H34" s="18">
        <f>IF(OR($A34="",$E34=0),"",$E34/spy_d2)</f>
        <v/>
      </c>
      <c r="I34" s="18">
        <f>IF(OR($A34="",$H34=0),"",IFERROR((SUMIF(tblProsesler[VarlikId],$B34,tblProsesler[USL_birim])-SUMIF(tblProsesler[VarlikId],$B34,tblProsesler[LSL_birim]))/(spy_altiSigma*$H34),0))</f>
        <v/>
      </c>
      <c r="J34" s="18">
        <f>IF(OR($A34="",$H34=0),"",IFERROR(MIN((SUMIF(tblProsesler[VarlikId],$B34,tblProsesler[USL_birim])-$D34)/(spy_ucSigma*$H34),($D34-SUMIF(tblProsesler[VarlikId],$B34,tblProsesler[LSL_birim]))/(spy_ucSigma*$H34)),0))</f>
        <v/>
      </c>
      <c r="K34" s="18">
        <f>IF($A34="","",IFERROR(AVERAGEIF(tblOlcum[VarlikId],$B34,tblOlcum[Xbar_birim])+spy_A2*$E34,0))</f>
        <v/>
      </c>
      <c r="L34" s="18">
        <f>IF($A34="","",IFERROR(AVERAGEIF(tblOlcum[VarlikId],$B34,tblOlcum[Xbar_birim])-spy_A2*$E34,0))</f>
        <v/>
      </c>
      <c r="M34" s="18">
        <f>IF($A34="","",MAX(0,MIN(100,spy_kaliteTaban-IF($J34&lt;spy_esikCpk,spy_kaliteCeza,0)-IF(OR($D34&gt;$K34,$D34&lt;$L34),spy_kaliteSapma,0)-IF($P34="YETIM",spy_kaliteCeza,0))))</f>
        <v/>
      </c>
      <c r="N34" s="18">
        <f>IF($A34="","",IF(OR($J34&lt;spy_esikCpk,$D34&gt;$K34,$D34&lt;$L34,$M34&lt;spy_esikSaglik),"ALARM","UYGUN"))</f>
        <v/>
      </c>
      <c r="O34" s="18">
        <f>IF($A34="","",1)</f>
        <v/>
      </c>
      <c r="P34" s="18">
        <f>IF($A34="","",IF(OR($B34="",COUNTIF(tblProsesler[VarlikId],$B34)=0),"YETIM","TAMAM"))</f>
        <v/>
      </c>
    </row>
    <row r="35">
      <c r="A35" s="15" t="inlineStr">
        <is>
          <t>OLC-00030</t>
        </is>
      </c>
      <c r="B35" s="15" t="inlineStr"/>
      <c r="C35" s="37" t="n">
        <v>46155</v>
      </c>
      <c r="D35" s="16" t="n">
        <v>0.28</v>
      </c>
      <c r="E35" s="16" t="n">
        <v>0.11</v>
      </c>
      <c r="F35" s="17" t="n">
        <v>5</v>
      </c>
      <c r="G35" s="15" t="inlineStr">
        <is>
          <t>GUNDUZ</t>
        </is>
      </c>
      <c r="H35" s="18">
        <f>IF(OR($A35="",$E35=0),"",$E35/spy_d2)</f>
        <v/>
      </c>
      <c r="I35" s="18">
        <f>IF(OR($A35="",$H35=0),"",IFERROR((SUMIF(tblProsesler[VarlikId],$B35,tblProsesler[USL_birim])-SUMIF(tblProsesler[VarlikId],$B35,tblProsesler[LSL_birim]))/(spy_altiSigma*$H35),0))</f>
        <v/>
      </c>
      <c r="J35" s="18">
        <f>IF(OR($A35="",$H35=0),"",IFERROR(MIN((SUMIF(tblProsesler[VarlikId],$B35,tblProsesler[USL_birim])-$D35)/(spy_ucSigma*$H35),($D35-SUMIF(tblProsesler[VarlikId],$B35,tblProsesler[LSL_birim]))/(spy_ucSigma*$H35)),0))</f>
        <v/>
      </c>
      <c r="K35" s="18">
        <f>IF($A35="","",IFERROR(AVERAGEIF(tblOlcum[VarlikId],$B35,tblOlcum[Xbar_birim])+spy_A2*$E35,0))</f>
        <v/>
      </c>
      <c r="L35" s="18">
        <f>IF($A35="","",IFERROR(AVERAGEIF(tblOlcum[VarlikId],$B35,tblOlcum[Xbar_birim])-spy_A2*$E35,0))</f>
        <v/>
      </c>
      <c r="M35" s="18">
        <f>IF($A35="","",MAX(0,MIN(100,spy_kaliteTaban-IF($J35&lt;spy_esikCpk,spy_kaliteCeza,0)-IF(OR($D35&gt;$K35,$D35&lt;$L35),spy_kaliteSapma,0)-IF($P35="YETIM",spy_kaliteCeza,0))))</f>
        <v/>
      </c>
      <c r="N35" s="18">
        <f>IF($A35="","",IF(OR($J35&lt;spy_esikCpk,$D35&gt;$K35,$D35&lt;$L35,$M35&lt;spy_esikSaglik),"ALARM","UYGUN"))</f>
        <v/>
      </c>
      <c r="O35" s="18">
        <f>IF($A35="","",1)</f>
        <v/>
      </c>
      <c r="P35" s="18">
        <f>IF($A35="","",IF(OR($B35="",COUNTIF(tblProsesler[VarlikId],$B35)=0),"YETIM","TAMAM"))</f>
        <v/>
      </c>
    </row>
    <row r="36">
      <c r="A36" s="15" t="inlineStr">
        <is>
          <t>OLC-00031</t>
        </is>
      </c>
      <c r="B36" s="15" t="inlineStr">
        <is>
          <t>PRS-00007</t>
        </is>
      </c>
      <c r="C36" s="37" t="n">
        <v>46152</v>
      </c>
      <c r="D36" s="16" t="n">
        <v>180</v>
      </c>
      <c r="E36" s="16" t="n">
        <v>0.8</v>
      </c>
      <c r="F36" s="17" t="n">
        <v>5</v>
      </c>
      <c r="G36" s="15" t="inlineStr">
        <is>
          <t>GECE</t>
        </is>
      </c>
      <c r="H36" s="18">
        <f>IF(OR($A36="",$E36=0),"",$E36/spy_d2)</f>
        <v/>
      </c>
      <c r="I36" s="18">
        <f>IF(OR($A36="",$H36=0),"",IFERROR((SUMIF(tblProsesler[VarlikId],$B36,tblProsesler[USL_birim])-SUMIF(tblProsesler[VarlikId],$B36,tblProsesler[LSL_birim]))/(spy_altiSigma*$H36),0))</f>
        <v/>
      </c>
      <c r="J36" s="18">
        <f>IF(OR($A36="",$H36=0),"",IFERROR(MIN((SUMIF(tblProsesler[VarlikId],$B36,tblProsesler[USL_birim])-$D36)/(spy_ucSigma*$H36),($D36-SUMIF(tblProsesler[VarlikId],$B36,tblProsesler[LSL_birim]))/(spy_ucSigma*$H36)),0))</f>
        <v/>
      </c>
      <c r="K36" s="18">
        <f>IF($A36="","",IFERROR(AVERAGEIF(tblOlcum[VarlikId],$B36,tblOlcum[Xbar_birim])+spy_A2*$E36,0))</f>
        <v/>
      </c>
      <c r="L36" s="18">
        <f>IF($A36="","",IFERROR(AVERAGEIF(tblOlcum[VarlikId],$B36,tblOlcum[Xbar_birim])-spy_A2*$E36,0))</f>
        <v/>
      </c>
      <c r="M36" s="18">
        <f>IF($A36="","",MAX(0,MIN(100,spy_kaliteTaban-IF($J36&lt;spy_esikCpk,spy_kaliteCeza,0)-IF(OR($D36&gt;$K36,$D36&lt;$L36),spy_kaliteSapma,0)-IF($P36="YETIM",spy_kaliteCeza,0))))</f>
        <v/>
      </c>
      <c r="N36" s="18">
        <f>IF($A36="","",IF(OR($J36&lt;spy_esikCpk,$D36&gt;$K36,$D36&lt;$L36,$M36&lt;spy_esikSaglik),"ALARM","UYGUN"))</f>
        <v/>
      </c>
      <c r="O36" s="18">
        <f>IF($A36="","",1)</f>
        <v/>
      </c>
      <c r="P36" s="18">
        <f>IF($A36="","",IF(OR($B36="",COUNTIF(tblProsesler[VarlikId],$B36)=0),"YETIM","TAMAM"))</f>
        <v/>
      </c>
    </row>
    <row r="37">
      <c r="A37" s="15" t="inlineStr">
        <is>
          <t>OLC-00032</t>
        </is>
      </c>
      <c r="B37" s="15" t="inlineStr">
        <is>
          <t>PRS-00008</t>
        </is>
      </c>
      <c r="C37" s="37" t="n">
        <v>46149</v>
      </c>
      <c r="D37" s="16" t="n">
        <v>20.16</v>
      </c>
      <c r="E37" s="16" t="n">
        <v>0.672</v>
      </c>
      <c r="F37" s="17" t="n">
        <v>5</v>
      </c>
      <c r="G37" s="15" t="inlineStr">
        <is>
          <t>HAFTASONU</t>
        </is>
      </c>
      <c r="H37" s="18">
        <f>IF(OR($A37="",$E37=0),"",$E37/spy_d2)</f>
        <v/>
      </c>
      <c r="I37" s="18">
        <f>IF(OR($A37="",$H37=0),"",IFERROR((SUMIF(tblProsesler[VarlikId],$B37,tblProsesler[USL_birim])-SUMIF(tblProsesler[VarlikId],$B37,tblProsesler[LSL_birim]))/(spy_altiSigma*$H37),0))</f>
        <v/>
      </c>
      <c r="J37" s="18">
        <f>IF(OR($A37="",$H37=0),"",IFERROR(MIN((SUMIF(tblProsesler[VarlikId],$B37,tblProsesler[USL_birim])-$D37)/(spy_ucSigma*$H37),($D37-SUMIF(tblProsesler[VarlikId],$B37,tblProsesler[LSL_birim]))/(spy_ucSigma*$H37)),0))</f>
        <v/>
      </c>
      <c r="K37" s="18">
        <f>IF($A37="","",IFERROR(AVERAGEIF(tblOlcum[VarlikId],$B37,tblOlcum[Xbar_birim])+spy_A2*$E37,0))</f>
        <v/>
      </c>
      <c r="L37" s="18">
        <f>IF($A37="","",IFERROR(AVERAGEIF(tblOlcum[VarlikId],$B37,tblOlcum[Xbar_birim])-spy_A2*$E37,0))</f>
        <v/>
      </c>
      <c r="M37" s="18">
        <f>IF($A37="","",MAX(0,MIN(100,spy_kaliteTaban-IF($J37&lt;spy_esikCpk,spy_kaliteCeza,0)-IF(OR($D37&gt;$K37,$D37&lt;$L37),spy_kaliteSapma,0)-IF($P37="YETIM",spy_kaliteCeza,0))))</f>
        <v/>
      </c>
      <c r="N37" s="18">
        <f>IF($A37="","",IF(OR($J37&lt;spy_esikCpk,$D37&gt;$K37,$D37&lt;$L37,$M37&lt;spy_esikSaglik),"ALARM","UYGUN"))</f>
        <v/>
      </c>
      <c r="O37" s="18">
        <f>IF($A37="","",1)</f>
        <v/>
      </c>
      <c r="P37" s="18">
        <f>IF($A37="","",IF(OR($B37="",COUNTIF(tblProsesler[VarlikId],$B37)=0),"YETIM","TAMAM"))</f>
        <v/>
      </c>
    </row>
    <row r="38">
      <c r="A38" s="15" t="inlineStr">
        <is>
          <t>OLC-00033</t>
        </is>
      </c>
      <c r="B38" s="15" t="inlineStr">
        <is>
          <t>PRS-99999</t>
        </is>
      </c>
      <c r="C38" s="37" t="n">
        <v>46146</v>
      </c>
      <c r="D38" s="16" t="n">
        <v>10.016</v>
      </c>
      <c r="E38" s="16" t="n">
        <v>0.0512</v>
      </c>
      <c r="F38" s="17" t="n">
        <v>5</v>
      </c>
      <c r="G38" s="15" t="inlineStr">
        <is>
          <t>FAZLA_MESAI</t>
        </is>
      </c>
      <c r="H38" s="18">
        <f>IF(OR($A38="",$E38=0),"",$E38/spy_d2)</f>
        <v/>
      </c>
      <c r="I38" s="18">
        <f>IF(OR($A38="",$H38=0),"",IFERROR((SUMIF(tblProsesler[VarlikId],$B38,tblProsesler[USL_birim])-SUMIF(tblProsesler[VarlikId],$B38,tblProsesler[LSL_birim]))/(spy_altiSigma*$H38),0))</f>
        <v/>
      </c>
      <c r="J38" s="18">
        <f>IF(OR($A38="",$H38=0),"",IFERROR(MIN((SUMIF(tblProsesler[VarlikId],$B38,tblProsesler[USL_birim])-$D38)/(spy_ucSigma*$H38),($D38-SUMIF(tblProsesler[VarlikId],$B38,tblProsesler[LSL_birim]))/(spy_ucSigma*$H38)),0))</f>
        <v/>
      </c>
      <c r="K38" s="18">
        <f>IF($A38="","",IFERROR(AVERAGEIF(tblOlcum[VarlikId],$B38,tblOlcum[Xbar_birim])+spy_A2*$E38,0))</f>
        <v/>
      </c>
      <c r="L38" s="18">
        <f>IF($A38="","",IFERROR(AVERAGEIF(tblOlcum[VarlikId],$B38,tblOlcum[Xbar_birim])-spy_A2*$E38,0))</f>
        <v/>
      </c>
      <c r="M38" s="18">
        <f>IF($A38="","",MAX(0,MIN(100,spy_kaliteTaban-IF($J38&lt;spy_esikCpk,spy_kaliteCeza,0)-IF(OR($D38&gt;$K38,$D38&lt;$L38),spy_kaliteSapma,0)-IF($P38="YETIM",spy_kaliteCeza,0))))</f>
        <v/>
      </c>
      <c r="N38" s="18">
        <f>IF($A38="","",IF(OR($J38&lt;spy_esikCpk,$D38&gt;$K38,$D38&lt;$L38,$M38&lt;spy_esikSaglik),"ALARM","UYGUN"))</f>
        <v/>
      </c>
      <c r="O38" s="18">
        <f>IF($A38="","",1)</f>
        <v/>
      </c>
      <c r="P38" s="18">
        <f>IF($A38="","",IF(OR($B38="",COUNTIF(tblProsesler[VarlikId],$B38)=0),"YETIM","TAMAM"))</f>
        <v/>
      </c>
    </row>
    <row r="39">
      <c r="A39" s="15" t="inlineStr">
        <is>
          <t>OLC-00034</t>
        </is>
      </c>
      <c r="B39" s="15" t="inlineStr">
        <is>
          <t>PRS-00002</t>
        </is>
      </c>
      <c r="C39" s="37" t="n">
        <v>46143</v>
      </c>
      <c r="D39" s="16" t="n">
        <v>6.012</v>
      </c>
      <c r="E39" s="16" t="n">
        <v>0.0344</v>
      </c>
      <c r="F39" s="17" t="n">
        <v>5</v>
      </c>
      <c r="G39" s="15" t="inlineStr">
        <is>
          <t>NUMUNE</t>
        </is>
      </c>
      <c r="H39" s="18">
        <f>IF(OR($A39="",$E39=0),"",$E39/spy_d2)</f>
        <v/>
      </c>
      <c r="I39" s="18">
        <f>IF(OR($A39="",$H39=0),"",IFERROR((SUMIF(tblProsesler[VarlikId],$B39,tblProsesler[USL_birim])-SUMIF(tblProsesler[VarlikId],$B39,tblProsesler[LSL_birim]))/(spy_altiSigma*$H39),0))</f>
        <v/>
      </c>
      <c r="J39" s="18">
        <f>IF(OR($A39="",$H39=0),"",IFERROR(MIN((SUMIF(tblProsesler[VarlikId],$B39,tblProsesler[USL_birim])-$D39)/(spy_ucSigma*$H39),($D39-SUMIF(tblProsesler[VarlikId],$B39,tblProsesler[LSL_birim]))/(spy_ucSigma*$H39)),0))</f>
        <v/>
      </c>
      <c r="K39" s="18">
        <f>IF($A39="","",IFERROR(AVERAGEIF(tblOlcum[VarlikId],$B39,tblOlcum[Xbar_birim])+spy_A2*$E39,0))</f>
        <v/>
      </c>
      <c r="L39" s="18">
        <f>IF($A39="","",IFERROR(AVERAGEIF(tblOlcum[VarlikId],$B39,tblOlcum[Xbar_birim])-spy_A2*$E39,0))</f>
        <v/>
      </c>
      <c r="M39" s="18">
        <f>IF($A39="","",MAX(0,MIN(100,spy_kaliteTaban-IF($J39&lt;spy_esikCpk,spy_kaliteCeza,0)-IF(OR($D39&gt;$K39,$D39&lt;$L39),spy_kaliteSapma,0)-IF($P39="YETIM",spy_kaliteCeza,0))))</f>
        <v/>
      </c>
      <c r="N39" s="18">
        <f>IF($A39="","",IF(OR($J39&lt;spy_esikCpk,$D39&gt;$K39,$D39&lt;$L39,$M39&lt;spy_esikSaglik),"ALARM","UYGUN"))</f>
        <v/>
      </c>
      <c r="O39" s="18">
        <f>IF($A39="","",1)</f>
        <v/>
      </c>
      <c r="P39" s="18">
        <f>IF($A39="","",IF(OR($B39="",COUNTIF(tblProsesler[VarlikId],$B39)=0),"YETIM","TAMAM"))</f>
        <v/>
      </c>
    </row>
    <row r="40">
      <c r="A40" s="15" t="inlineStr">
        <is>
          <t>OLC-00035</t>
        </is>
      </c>
      <c r="B40" s="15" t="inlineStr">
        <is>
          <t>PRS-00003</t>
        </is>
      </c>
      <c r="C40" s="37" t="n">
        <v>46140</v>
      </c>
      <c r="D40" s="16" t="n">
        <v>0.656</v>
      </c>
      <c r="E40" s="16" t="n">
        <v>0.4128</v>
      </c>
      <c r="F40" s="17" t="n">
        <v>5</v>
      </c>
      <c r="G40" s="15" t="inlineStr">
        <is>
          <t>DIGER</t>
        </is>
      </c>
      <c r="H40" s="18">
        <f>IF(OR($A40="",$E40=0),"",$E40/spy_d2)</f>
        <v/>
      </c>
      <c r="I40" s="18">
        <f>IF(OR($A40="",$H40=0),"",IFERROR((SUMIF(tblProsesler[VarlikId],$B40,tblProsesler[USL_birim])-SUMIF(tblProsesler[VarlikId],$B40,tblProsesler[LSL_birim]))/(spy_altiSigma*$H40),0))</f>
        <v/>
      </c>
      <c r="J40" s="18">
        <f>IF(OR($A40="",$H40=0),"",IFERROR(MIN((SUMIF(tblProsesler[VarlikId],$B40,tblProsesler[USL_birim])-$D40)/(spy_ucSigma*$H40),($D40-SUMIF(tblProsesler[VarlikId],$B40,tblProsesler[LSL_birim]))/(spy_ucSigma*$H40)),0))</f>
        <v/>
      </c>
      <c r="K40" s="18">
        <f>IF($A40="","",IFERROR(AVERAGEIF(tblOlcum[VarlikId],$B40,tblOlcum[Xbar_birim])+spy_A2*$E40,0))</f>
        <v/>
      </c>
      <c r="L40" s="18">
        <f>IF($A40="","",IFERROR(AVERAGEIF(tblOlcum[VarlikId],$B40,tblOlcum[Xbar_birim])-spy_A2*$E40,0))</f>
        <v/>
      </c>
      <c r="M40" s="18">
        <f>IF($A40="","",MAX(0,MIN(100,spy_kaliteTaban-IF($J40&lt;spy_esikCpk,spy_kaliteCeza,0)-IF(OR($D40&gt;$K40,$D40&lt;$L40),spy_kaliteSapma,0)-IF($P40="YETIM",spy_kaliteCeza,0))))</f>
        <v/>
      </c>
      <c r="N40" s="18">
        <f>IF($A40="","",IF(OR($J40&lt;spy_esikCpk,$D40&gt;$K40,$D40&lt;$L40,$M40&lt;spy_esikSaglik),"ALARM","UYGUN"))</f>
        <v/>
      </c>
      <c r="O40" s="18">
        <f>IF($A40="","",1)</f>
        <v/>
      </c>
      <c r="P40" s="18">
        <f>IF($A40="","",IF(OR($B40="",COUNTIF(tblProsesler[VarlikId],$B40)=0),"YETIM","TAMAM"))</f>
        <v/>
      </c>
    </row>
    <row r="41">
      <c r="A41" s="15" t="inlineStr">
        <is>
          <t>OLC-00036</t>
        </is>
      </c>
      <c r="B41" s="15" t="inlineStr">
        <is>
          <t>PRS-00004</t>
        </is>
      </c>
      <c r="C41" s="37" t="n">
        <v>46137</v>
      </c>
      <c r="D41" s="16" t="n">
        <v>1.992</v>
      </c>
      <c r="E41" s="16" t="n">
        <v>0.0256</v>
      </c>
      <c r="F41" s="17" t="n">
        <v>5</v>
      </c>
      <c r="G41" s="15" t="inlineStr">
        <is>
          <t>GUNDUZ</t>
        </is>
      </c>
      <c r="H41" s="18">
        <f>IF(OR($A41="",$E41=0),"",$E41/spy_d2)</f>
        <v/>
      </c>
      <c r="I41" s="18">
        <f>IF(OR($A41="",$H41=0),"",IFERROR((SUMIF(tblProsesler[VarlikId],$B41,tblProsesler[USL_birim])-SUMIF(tblProsesler[VarlikId],$B41,tblProsesler[LSL_birim]))/(spy_altiSigma*$H41),0))</f>
        <v/>
      </c>
      <c r="J41" s="18">
        <f>IF(OR($A41="",$H41=0),"",IFERROR(MIN((SUMIF(tblProsesler[VarlikId],$B41,tblProsesler[USL_birim])-$D41)/(spy_ucSigma*$H41),($D41-SUMIF(tblProsesler[VarlikId],$B41,tblProsesler[LSL_birim]))/(spy_ucSigma*$H41)),0))</f>
        <v/>
      </c>
      <c r="K41" s="18">
        <f>IF($A41="","",IFERROR(AVERAGEIF(tblOlcum[VarlikId],$B41,tblOlcum[Xbar_birim])+spy_A2*$E41,0))</f>
        <v/>
      </c>
      <c r="L41" s="18">
        <f>IF($A41="","",IFERROR(AVERAGEIF(tblOlcum[VarlikId],$B41,tblOlcum[Xbar_birim])-spy_A2*$E41,0))</f>
        <v/>
      </c>
      <c r="M41" s="18">
        <f>IF($A41="","",MAX(0,MIN(100,spy_kaliteTaban-IF($J41&lt;spy_esikCpk,spy_kaliteCeza,0)-IF(OR($D41&gt;$K41,$D41&lt;$L41),spy_kaliteSapma,0)-IF($P41="YETIM",spy_kaliteCeza,0))))</f>
        <v/>
      </c>
      <c r="N41" s="18">
        <f>IF($A41="","",IF(OR($J41&lt;spy_esikCpk,$D41&gt;$K41,$D41&lt;$L41,$M41&lt;spy_esikSaglik),"ALARM","UYGUN"))</f>
        <v/>
      </c>
      <c r="O41" s="18">
        <f>IF($A41="","",1)</f>
        <v/>
      </c>
      <c r="P41" s="18">
        <f>IF($A41="","",IF(OR($B41="",COUNTIF(tblProsesler[VarlikId],$B41)=0),"YETIM","TAMAM"))</f>
        <v/>
      </c>
    </row>
    <row r="42">
      <c r="A42" s="15" t="n"/>
      <c r="B42" s="15" t="n"/>
      <c r="C42" s="37" t="n"/>
      <c r="D42" s="16" t="n"/>
      <c r="E42" s="16" t="n"/>
      <c r="F42" s="17" t="n"/>
      <c r="G42" s="15" t="n"/>
      <c r="H42" s="18">
        <f>IF(OR($A42="",$E42=0),"",$E42/spy_d2)</f>
        <v/>
      </c>
      <c r="I42" s="18">
        <f>IF(OR($A42="",$H42=0),"",IFERROR((SUMIF(tblProsesler[VarlikId],$B42,tblProsesler[USL_birim])-SUMIF(tblProsesler[VarlikId],$B42,tblProsesler[LSL_birim]))/(spy_altiSigma*$H42),0))</f>
        <v/>
      </c>
      <c r="J42" s="18">
        <f>IF(OR($A42="",$H42=0),"",IFERROR(MIN((SUMIF(tblProsesler[VarlikId],$B42,tblProsesler[USL_birim])-$D42)/(spy_ucSigma*$H42),($D42-SUMIF(tblProsesler[VarlikId],$B42,tblProsesler[LSL_birim]))/(spy_ucSigma*$H42)),0))</f>
        <v/>
      </c>
      <c r="K42" s="18">
        <f>IF($A42="","",IFERROR(AVERAGEIF(tblOlcum[VarlikId],$B42,tblOlcum[Xbar_birim])+spy_A2*$E42,0))</f>
        <v/>
      </c>
      <c r="L42" s="18">
        <f>IF($A42="","",IFERROR(AVERAGEIF(tblOlcum[VarlikId],$B42,tblOlcum[Xbar_birim])-spy_A2*$E42,0))</f>
        <v/>
      </c>
      <c r="M42" s="18">
        <f>IF($A42="","",MAX(0,MIN(100,spy_kaliteTaban-IF($J42&lt;spy_esikCpk,spy_kaliteCeza,0)-IF(OR($D42&gt;$K42,$D42&lt;$L42),spy_kaliteSapma,0)-IF($P42="YETIM",spy_kaliteCeza,0))))</f>
        <v/>
      </c>
      <c r="N42" s="18">
        <f>IF($A42="","",IF(OR($J42&lt;spy_esikCpk,$D42&gt;$K42,$D42&lt;$L42,$M42&lt;spy_esikSaglik),"ALARM","UYGUN"))</f>
        <v/>
      </c>
      <c r="O42" s="18">
        <f>IF($A42="","",1)</f>
        <v/>
      </c>
      <c r="P42" s="18">
        <f>IF($A42="","",IF(OR($B42="",COUNTIF(tblProsesler[VarlikId],$B42)=0),"YETIM","TAMAM"))</f>
        <v/>
      </c>
    </row>
    <row r="43">
      <c r="A43" s="15" t="n"/>
      <c r="B43" s="15" t="n"/>
      <c r="C43" s="37" t="n"/>
      <c r="D43" s="16" t="n"/>
      <c r="E43" s="16" t="n"/>
      <c r="F43" s="17" t="n"/>
      <c r="G43" s="15" t="n"/>
      <c r="H43" s="18">
        <f>IF(OR($A43="",$E43=0),"",$E43/spy_d2)</f>
        <v/>
      </c>
      <c r="I43" s="18">
        <f>IF(OR($A43="",$H43=0),"",IFERROR((SUMIF(tblProsesler[VarlikId],$B43,tblProsesler[USL_birim])-SUMIF(tblProsesler[VarlikId],$B43,tblProsesler[LSL_birim]))/(spy_altiSigma*$H43),0))</f>
        <v/>
      </c>
      <c r="J43" s="18">
        <f>IF(OR($A43="",$H43=0),"",IFERROR(MIN((SUMIF(tblProsesler[VarlikId],$B43,tblProsesler[USL_birim])-$D43)/(spy_ucSigma*$H43),($D43-SUMIF(tblProsesler[VarlikId],$B43,tblProsesler[LSL_birim]))/(spy_ucSigma*$H43)),0))</f>
        <v/>
      </c>
      <c r="K43" s="18">
        <f>IF($A43="","",IFERROR(AVERAGEIF(tblOlcum[VarlikId],$B43,tblOlcum[Xbar_birim])+spy_A2*$E43,0))</f>
        <v/>
      </c>
      <c r="L43" s="18">
        <f>IF($A43="","",IFERROR(AVERAGEIF(tblOlcum[VarlikId],$B43,tblOlcum[Xbar_birim])-spy_A2*$E43,0))</f>
        <v/>
      </c>
      <c r="M43" s="18">
        <f>IF($A43="","",MAX(0,MIN(100,spy_kaliteTaban-IF($J43&lt;spy_esikCpk,spy_kaliteCeza,0)-IF(OR($D43&gt;$K43,$D43&lt;$L43),spy_kaliteSapma,0)-IF($P43="YETIM",spy_kaliteCeza,0))))</f>
        <v/>
      </c>
      <c r="N43" s="18">
        <f>IF($A43="","",IF(OR($J43&lt;spy_esikCpk,$D43&gt;$K43,$D43&lt;$L43,$M43&lt;spy_esikSaglik),"ALARM","UYGUN"))</f>
        <v/>
      </c>
      <c r="O43" s="18">
        <f>IF($A43="","",1)</f>
        <v/>
      </c>
      <c r="P43" s="18">
        <f>IF($A43="","",IF(OR($B43="",COUNTIF(tblProsesler[VarlikId],$B43)=0),"YETIM","TAMAM"))</f>
        <v/>
      </c>
    </row>
    <row r="44">
      <c r="A44" s="15" t="n"/>
      <c r="B44" s="15" t="n"/>
      <c r="C44" s="37" t="n"/>
      <c r="D44" s="16" t="n"/>
      <c r="E44" s="16" t="n"/>
      <c r="F44" s="17" t="n"/>
      <c r="G44" s="15" t="n"/>
      <c r="H44" s="18">
        <f>IF(OR($A44="",$E44=0),"",$E44/spy_d2)</f>
        <v/>
      </c>
      <c r="I44" s="18">
        <f>IF(OR($A44="",$H44=0),"",IFERROR((SUMIF(tblProsesler[VarlikId],$B44,tblProsesler[USL_birim])-SUMIF(tblProsesler[VarlikId],$B44,tblProsesler[LSL_birim]))/(spy_altiSigma*$H44),0))</f>
        <v/>
      </c>
      <c r="J44" s="18">
        <f>IF(OR($A44="",$H44=0),"",IFERROR(MIN((SUMIF(tblProsesler[VarlikId],$B44,tblProsesler[USL_birim])-$D44)/(spy_ucSigma*$H44),($D44-SUMIF(tblProsesler[VarlikId],$B44,tblProsesler[LSL_birim]))/(spy_ucSigma*$H44)),0))</f>
        <v/>
      </c>
      <c r="K44" s="18">
        <f>IF($A44="","",IFERROR(AVERAGEIF(tblOlcum[VarlikId],$B44,tblOlcum[Xbar_birim])+spy_A2*$E44,0))</f>
        <v/>
      </c>
      <c r="L44" s="18">
        <f>IF($A44="","",IFERROR(AVERAGEIF(tblOlcum[VarlikId],$B44,tblOlcum[Xbar_birim])-spy_A2*$E44,0))</f>
        <v/>
      </c>
      <c r="M44" s="18">
        <f>IF($A44="","",MAX(0,MIN(100,spy_kaliteTaban-IF($J44&lt;spy_esikCpk,spy_kaliteCeza,0)-IF(OR($D44&gt;$K44,$D44&lt;$L44),spy_kaliteSapma,0)-IF($P44="YETIM",spy_kaliteCeza,0))))</f>
        <v/>
      </c>
      <c r="N44" s="18">
        <f>IF($A44="","",IF(OR($J44&lt;spy_esikCpk,$D44&gt;$K44,$D44&lt;$L44,$M44&lt;spy_esikSaglik),"ALARM","UYGUN"))</f>
        <v/>
      </c>
      <c r="O44" s="18">
        <f>IF($A44="","",1)</f>
        <v/>
      </c>
      <c r="P44" s="18">
        <f>IF($A44="","",IF(OR($B44="",COUNTIF(tblProsesler[VarlikId],$B44)=0),"YETIM","TAMAM"))</f>
        <v/>
      </c>
    </row>
    <row r="45">
      <c r="A45" s="15" t="n"/>
      <c r="B45" s="15" t="n"/>
      <c r="C45" s="37" t="n"/>
      <c r="D45" s="16" t="n"/>
      <c r="E45" s="16" t="n"/>
      <c r="F45" s="17" t="n"/>
      <c r="G45" s="15" t="n"/>
      <c r="H45" s="18">
        <f>IF(OR($A45="",$E45=0),"",$E45/spy_d2)</f>
        <v/>
      </c>
      <c r="I45" s="18">
        <f>IF(OR($A45="",$H45=0),"",IFERROR((SUMIF(tblProsesler[VarlikId],$B45,tblProsesler[USL_birim])-SUMIF(tblProsesler[VarlikId],$B45,tblProsesler[LSL_birim]))/(spy_altiSigma*$H45),0))</f>
        <v/>
      </c>
      <c r="J45" s="18">
        <f>IF(OR($A45="",$H45=0),"",IFERROR(MIN((SUMIF(tblProsesler[VarlikId],$B45,tblProsesler[USL_birim])-$D45)/(spy_ucSigma*$H45),($D45-SUMIF(tblProsesler[VarlikId],$B45,tblProsesler[LSL_birim]))/(spy_ucSigma*$H45)),0))</f>
        <v/>
      </c>
      <c r="K45" s="18">
        <f>IF($A45="","",IFERROR(AVERAGEIF(tblOlcum[VarlikId],$B45,tblOlcum[Xbar_birim])+spy_A2*$E45,0))</f>
        <v/>
      </c>
      <c r="L45" s="18">
        <f>IF($A45="","",IFERROR(AVERAGEIF(tblOlcum[VarlikId],$B45,tblOlcum[Xbar_birim])-spy_A2*$E45,0))</f>
        <v/>
      </c>
      <c r="M45" s="18">
        <f>IF($A45="","",MAX(0,MIN(100,spy_kaliteTaban-IF($J45&lt;spy_esikCpk,spy_kaliteCeza,0)-IF(OR($D45&gt;$K45,$D45&lt;$L45),spy_kaliteSapma,0)-IF($P45="YETIM",spy_kaliteCeza,0))))</f>
        <v/>
      </c>
      <c r="N45" s="18">
        <f>IF($A45="","",IF(OR($J45&lt;spy_esikCpk,$D45&gt;$K45,$D45&lt;$L45,$M45&lt;spy_esikSaglik),"ALARM","UYGUN"))</f>
        <v/>
      </c>
      <c r="O45" s="18">
        <f>IF($A45="","",1)</f>
        <v/>
      </c>
      <c r="P45" s="18">
        <f>IF($A45="","",IF(OR($B45="",COUNTIF(tblProsesler[VarlikId],$B45)=0),"YETIM","TAMAM"))</f>
        <v/>
      </c>
    </row>
    <row r="46">
      <c r="A46" s="15" t="n"/>
      <c r="B46" s="15" t="n"/>
      <c r="C46" s="37" t="n"/>
      <c r="D46" s="16" t="n"/>
      <c r="E46" s="16" t="n"/>
      <c r="F46" s="17" t="n"/>
      <c r="G46" s="15" t="n"/>
      <c r="H46" s="18">
        <f>IF(OR($A46="",$E46=0),"",$E46/spy_d2)</f>
        <v/>
      </c>
      <c r="I46" s="18">
        <f>IF(OR($A46="",$H46=0),"",IFERROR((SUMIF(tblProsesler[VarlikId],$B46,tblProsesler[USL_birim])-SUMIF(tblProsesler[VarlikId],$B46,tblProsesler[LSL_birim]))/(spy_altiSigma*$H46),0))</f>
        <v/>
      </c>
      <c r="J46" s="18">
        <f>IF(OR($A46="",$H46=0),"",IFERROR(MIN((SUMIF(tblProsesler[VarlikId],$B46,tblProsesler[USL_birim])-$D46)/(spy_ucSigma*$H46),($D46-SUMIF(tblProsesler[VarlikId],$B46,tblProsesler[LSL_birim]))/(spy_ucSigma*$H46)),0))</f>
        <v/>
      </c>
      <c r="K46" s="18">
        <f>IF($A46="","",IFERROR(AVERAGEIF(tblOlcum[VarlikId],$B46,tblOlcum[Xbar_birim])+spy_A2*$E46,0))</f>
        <v/>
      </c>
      <c r="L46" s="18">
        <f>IF($A46="","",IFERROR(AVERAGEIF(tblOlcum[VarlikId],$B46,tblOlcum[Xbar_birim])-spy_A2*$E46,0))</f>
        <v/>
      </c>
      <c r="M46" s="18">
        <f>IF($A46="","",MAX(0,MIN(100,spy_kaliteTaban-IF($J46&lt;spy_esikCpk,spy_kaliteCeza,0)-IF(OR($D46&gt;$K46,$D46&lt;$L46),spy_kaliteSapma,0)-IF($P46="YETIM",spy_kaliteCeza,0))))</f>
        <v/>
      </c>
      <c r="N46" s="18">
        <f>IF($A46="","",IF(OR($J46&lt;spy_esikCpk,$D46&gt;$K46,$D46&lt;$L46,$M46&lt;spy_esikSaglik),"ALARM","UYGUN"))</f>
        <v/>
      </c>
      <c r="O46" s="18">
        <f>IF($A46="","",1)</f>
        <v/>
      </c>
      <c r="P46" s="18">
        <f>IF($A46="","",IF(OR($B46="",COUNTIF(tblProsesler[VarlikId],$B46)=0),"YETIM","TAMAM"))</f>
        <v/>
      </c>
    </row>
    <row r="47">
      <c r="A47" s="15" t="n"/>
      <c r="B47" s="15" t="n"/>
      <c r="C47" s="37" t="n"/>
      <c r="D47" s="16" t="n"/>
      <c r="E47" s="16" t="n"/>
      <c r="F47" s="17" t="n"/>
      <c r="G47" s="15" t="n"/>
      <c r="H47" s="18">
        <f>IF(OR($A47="",$E47=0),"",$E47/spy_d2)</f>
        <v/>
      </c>
      <c r="I47" s="18">
        <f>IF(OR($A47="",$H47=0),"",IFERROR((SUMIF(tblProsesler[VarlikId],$B47,tblProsesler[USL_birim])-SUMIF(tblProsesler[VarlikId],$B47,tblProsesler[LSL_birim]))/(spy_altiSigma*$H47),0))</f>
        <v/>
      </c>
      <c r="J47" s="18">
        <f>IF(OR($A47="",$H47=0),"",IFERROR(MIN((SUMIF(tblProsesler[VarlikId],$B47,tblProsesler[USL_birim])-$D47)/(spy_ucSigma*$H47),($D47-SUMIF(tblProsesler[VarlikId],$B47,tblProsesler[LSL_birim]))/(spy_ucSigma*$H47)),0))</f>
        <v/>
      </c>
      <c r="K47" s="18">
        <f>IF($A47="","",IFERROR(AVERAGEIF(tblOlcum[VarlikId],$B47,tblOlcum[Xbar_birim])+spy_A2*$E47,0))</f>
        <v/>
      </c>
      <c r="L47" s="18">
        <f>IF($A47="","",IFERROR(AVERAGEIF(tblOlcum[VarlikId],$B47,tblOlcum[Xbar_birim])-spy_A2*$E47,0))</f>
        <v/>
      </c>
      <c r="M47" s="18">
        <f>IF($A47="","",MAX(0,MIN(100,spy_kaliteTaban-IF($J47&lt;spy_esikCpk,spy_kaliteCeza,0)-IF(OR($D47&gt;$K47,$D47&lt;$L47),spy_kaliteSapma,0)-IF($P47="YETIM",spy_kaliteCeza,0))))</f>
        <v/>
      </c>
      <c r="N47" s="18">
        <f>IF($A47="","",IF(OR($J47&lt;spy_esikCpk,$D47&gt;$K47,$D47&lt;$L47,$M47&lt;spy_esikSaglik),"ALARM","UYGUN"))</f>
        <v/>
      </c>
      <c r="O47" s="18">
        <f>IF($A47="","",1)</f>
        <v/>
      </c>
      <c r="P47" s="18">
        <f>IF($A47="","",IF(OR($B47="",COUNTIF(tblProsesler[VarlikId],$B47)=0),"YETIM","TAMAM"))</f>
        <v/>
      </c>
    </row>
    <row r="48">
      <c r="A48" s="15" t="n"/>
      <c r="B48" s="15" t="n"/>
      <c r="C48" s="37" t="n"/>
      <c r="D48" s="16" t="n"/>
      <c r="E48" s="16" t="n"/>
      <c r="F48" s="17" t="n"/>
      <c r="G48" s="15" t="n"/>
      <c r="H48" s="18">
        <f>IF(OR($A48="",$E48=0),"",$E48/spy_d2)</f>
        <v/>
      </c>
      <c r="I48" s="18">
        <f>IF(OR($A48="",$H48=0),"",IFERROR((SUMIF(tblProsesler[VarlikId],$B48,tblProsesler[USL_birim])-SUMIF(tblProsesler[VarlikId],$B48,tblProsesler[LSL_birim]))/(spy_altiSigma*$H48),0))</f>
        <v/>
      </c>
      <c r="J48" s="18">
        <f>IF(OR($A48="",$H48=0),"",IFERROR(MIN((SUMIF(tblProsesler[VarlikId],$B48,tblProsesler[USL_birim])-$D48)/(spy_ucSigma*$H48),($D48-SUMIF(tblProsesler[VarlikId],$B48,tblProsesler[LSL_birim]))/(spy_ucSigma*$H48)),0))</f>
        <v/>
      </c>
      <c r="K48" s="18">
        <f>IF($A48="","",IFERROR(AVERAGEIF(tblOlcum[VarlikId],$B48,tblOlcum[Xbar_birim])+spy_A2*$E48,0))</f>
        <v/>
      </c>
      <c r="L48" s="18">
        <f>IF($A48="","",IFERROR(AVERAGEIF(tblOlcum[VarlikId],$B48,tblOlcum[Xbar_birim])-spy_A2*$E48,0))</f>
        <v/>
      </c>
      <c r="M48" s="18">
        <f>IF($A48="","",MAX(0,MIN(100,spy_kaliteTaban-IF($J48&lt;spy_esikCpk,spy_kaliteCeza,0)-IF(OR($D48&gt;$K48,$D48&lt;$L48),spy_kaliteSapma,0)-IF($P48="YETIM",spy_kaliteCeza,0))))</f>
        <v/>
      </c>
      <c r="N48" s="18">
        <f>IF($A48="","",IF(OR($J48&lt;spy_esikCpk,$D48&gt;$K48,$D48&lt;$L48,$M48&lt;spy_esikSaglik),"ALARM","UYGUN"))</f>
        <v/>
      </c>
      <c r="O48" s="18">
        <f>IF($A48="","",1)</f>
        <v/>
      </c>
      <c r="P48" s="18">
        <f>IF($A48="","",IF(OR($B48="",COUNTIF(tblProsesler[VarlikId],$B48)=0),"YETIM","TAMAM"))</f>
        <v/>
      </c>
    </row>
    <row r="49">
      <c r="A49" s="15" t="n"/>
      <c r="B49" s="15" t="n"/>
      <c r="C49" s="37" t="n"/>
      <c r="D49" s="16" t="n"/>
      <c r="E49" s="16" t="n"/>
      <c r="F49" s="17" t="n"/>
      <c r="G49" s="15" t="n"/>
      <c r="H49" s="18">
        <f>IF(OR($A49="",$E49=0),"",$E49/spy_d2)</f>
        <v/>
      </c>
      <c r="I49" s="18">
        <f>IF(OR($A49="",$H49=0),"",IFERROR((SUMIF(tblProsesler[VarlikId],$B49,tblProsesler[USL_birim])-SUMIF(tblProsesler[VarlikId],$B49,tblProsesler[LSL_birim]))/(spy_altiSigma*$H49),0))</f>
        <v/>
      </c>
      <c r="J49" s="18">
        <f>IF(OR($A49="",$H49=0),"",IFERROR(MIN((SUMIF(tblProsesler[VarlikId],$B49,tblProsesler[USL_birim])-$D49)/(spy_ucSigma*$H49),($D49-SUMIF(tblProsesler[VarlikId],$B49,tblProsesler[LSL_birim]))/(spy_ucSigma*$H49)),0))</f>
        <v/>
      </c>
      <c r="K49" s="18">
        <f>IF($A49="","",IFERROR(AVERAGEIF(tblOlcum[VarlikId],$B49,tblOlcum[Xbar_birim])+spy_A2*$E49,0))</f>
        <v/>
      </c>
      <c r="L49" s="18">
        <f>IF($A49="","",IFERROR(AVERAGEIF(tblOlcum[VarlikId],$B49,tblOlcum[Xbar_birim])-spy_A2*$E49,0))</f>
        <v/>
      </c>
      <c r="M49" s="18">
        <f>IF($A49="","",MAX(0,MIN(100,spy_kaliteTaban-IF($J49&lt;spy_esikCpk,spy_kaliteCeza,0)-IF(OR($D49&gt;$K49,$D49&lt;$L49),spy_kaliteSapma,0)-IF($P49="YETIM",spy_kaliteCeza,0))))</f>
        <v/>
      </c>
      <c r="N49" s="18">
        <f>IF($A49="","",IF(OR($J49&lt;spy_esikCpk,$D49&gt;$K49,$D49&lt;$L49,$M49&lt;spy_esikSaglik),"ALARM","UYGUN"))</f>
        <v/>
      </c>
      <c r="O49" s="18">
        <f>IF($A49="","",1)</f>
        <v/>
      </c>
      <c r="P49" s="18">
        <f>IF($A49="","",IF(OR($B49="",COUNTIF(tblProsesler[VarlikId],$B49)=0),"YETIM","TAMAM"))</f>
        <v/>
      </c>
    </row>
    <row r="50">
      <c r="A50" s="15" t="n"/>
      <c r="B50" s="15" t="n"/>
      <c r="C50" s="37" t="n"/>
      <c r="D50" s="16" t="n"/>
      <c r="E50" s="16" t="n"/>
      <c r="F50" s="17" t="n"/>
      <c r="G50" s="15" t="n"/>
      <c r="H50" s="18">
        <f>IF(OR($A50="",$E50=0),"",$E50/spy_d2)</f>
        <v/>
      </c>
      <c r="I50" s="18">
        <f>IF(OR($A50="",$H50=0),"",IFERROR((SUMIF(tblProsesler[VarlikId],$B50,tblProsesler[USL_birim])-SUMIF(tblProsesler[VarlikId],$B50,tblProsesler[LSL_birim]))/(spy_altiSigma*$H50),0))</f>
        <v/>
      </c>
      <c r="J50" s="18">
        <f>IF(OR($A50="",$H50=0),"",IFERROR(MIN((SUMIF(tblProsesler[VarlikId],$B50,tblProsesler[USL_birim])-$D50)/(spy_ucSigma*$H50),($D50-SUMIF(tblProsesler[VarlikId],$B50,tblProsesler[LSL_birim]))/(spy_ucSigma*$H50)),0))</f>
        <v/>
      </c>
      <c r="K50" s="18">
        <f>IF($A50="","",IFERROR(AVERAGEIF(tblOlcum[VarlikId],$B50,tblOlcum[Xbar_birim])+spy_A2*$E50,0))</f>
        <v/>
      </c>
      <c r="L50" s="18">
        <f>IF($A50="","",IFERROR(AVERAGEIF(tblOlcum[VarlikId],$B50,tblOlcum[Xbar_birim])-spy_A2*$E50,0))</f>
        <v/>
      </c>
      <c r="M50" s="18">
        <f>IF($A50="","",MAX(0,MIN(100,spy_kaliteTaban-IF($J50&lt;spy_esikCpk,spy_kaliteCeza,0)-IF(OR($D50&gt;$K50,$D50&lt;$L50),spy_kaliteSapma,0)-IF($P50="YETIM",spy_kaliteCeza,0))))</f>
        <v/>
      </c>
      <c r="N50" s="18">
        <f>IF($A50="","",IF(OR($J50&lt;spy_esikCpk,$D50&gt;$K50,$D50&lt;$L50,$M50&lt;spy_esikSaglik),"ALARM","UYGUN"))</f>
        <v/>
      </c>
      <c r="O50" s="18">
        <f>IF($A50="","",1)</f>
        <v/>
      </c>
      <c r="P50" s="18">
        <f>IF($A50="","",IF(OR($B50="",COUNTIF(tblProsesler[VarlikId],$B50)=0),"YETIM","TAMAM"))</f>
        <v/>
      </c>
    </row>
    <row r="51">
      <c r="A51" s="15" t="n"/>
      <c r="B51" s="15" t="n"/>
      <c r="C51" s="37" t="n"/>
      <c r="D51" s="16" t="n"/>
      <c r="E51" s="16" t="n"/>
      <c r="F51" s="17" t="n"/>
      <c r="G51" s="15" t="n"/>
      <c r="H51" s="18">
        <f>IF(OR($A51="",$E51=0),"",$E51/spy_d2)</f>
        <v/>
      </c>
      <c r="I51" s="18">
        <f>IF(OR($A51="",$H51=0),"",IFERROR((SUMIF(tblProsesler[VarlikId],$B51,tblProsesler[USL_birim])-SUMIF(tblProsesler[VarlikId],$B51,tblProsesler[LSL_birim]))/(spy_altiSigma*$H51),0))</f>
        <v/>
      </c>
      <c r="J51" s="18">
        <f>IF(OR($A51="",$H51=0),"",IFERROR(MIN((SUMIF(tblProsesler[VarlikId],$B51,tblProsesler[USL_birim])-$D51)/(spy_ucSigma*$H51),($D51-SUMIF(tblProsesler[VarlikId],$B51,tblProsesler[LSL_birim]))/(spy_ucSigma*$H51)),0))</f>
        <v/>
      </c>
      <c r="K51" s="18">
        <f>IF($A51="","",IFERROR(AVERAGEIF(tblOlcum[VarlikId],$B51,tblOlcum[Xbar_birim])+spy_A2*$E51,0))</f>
        <v/>
      </c>
      <c r="L51" s="18">
        <f>IF($A51="","",IFERROR(AVERAGEIF(tblOlcum[VarlikId],$B51,tblOlcum[Xbar_birim])-spy_A2*$E51,0))</f>
        <v/>
      </c>
      <c r="M51" s="18">
        <f>IF($A51="","",MAX(0,MIN(100,spy_kaliteTaban-IF($J51&lt;spy_esikCpk,spy_kaliteCeza,0)-IF(OR($D51&gt;$K51,$D51&lt;$L51),spy_kaliteSapma,0)-IF($P51="YETIM",spy_kaliteCeza,0))))</f>
        <v/>
      </c>
      <c r="N51" s="18">
        <f>IF($A51="","",IF(OR($J51&lt;spy_esikCpk,$D51&gt;$K51,$D51&lt;$L51,$M51&lt;spy_esikSaglik),"ALARM","UYGUN"))</f>
        <v/>
      </c>
      <c r="O51" s="18">
        <f>IF($A51="","",1)</f>
        <v/>
      </c>
      <c r="P51" s="18">
        <f>IF($A51="","",IF(OR($B51="",COUNTIF(tblProsesler[VarlikId],$B51)=0),"YETIM","TAMAM"))</f>
        <v/>
      </c>
    </row>
    <row r="52">
      <c r="A52" s="15" t="n"/>
      <c r="B52" s="15" t="n"/>
      <c r="C52" s="37" t="n"/>
      <c r="D52" s="16" t="n"/>
      <c r="E52" s="16" t="n"/>
      <c r="F52" s="17" t="n"/>
      <c r="G52" s="15" t="n"/>
      <c r="H52" s="18">
        <f>IF(OR($A52="",$E52=0),"",$E52/spy_d2)</f>
        <v/>
      </c>
      <c r="I52" s="18">
        <f>IF(OR($A52="",$H52=0),"",IFERROR((SUMIF(tblProsesler[VarlikId],$B52,tblProsesler[USL_birim])-SUMIF(tblProsesler[VarlikId],$B52,tblProsesler[LSL_birim]))/(spy_altiSigma*$H52),0))</f>
        <v/>
      </c>
      <c r="J52" s="18">
        <f>IF(OR($A52="",$H52=0),"",IFERROR(MIN((SUMIF(tblProsesler[VarlikId],$B52,tblProsesler[USL_birim])-$D52)/(spy_ucSigma*$H52),($D52-SUMIF(tblProsesler[VarlikId],$B52,tblProsesler[LSL_birim]))/(spy_ucSigma*$H52)),0))</f>
        <v/>
      </c>
      <c r="K52" s="18">
        <f>IF($A52="","",IFERROR(AVERAGEIF(tblOlcum[VarlikId],$B52,tblOlcum[Xbar_birim])+spy_A2*$E52,0))</f>
        <v/>
      </c>
      <c r="L52" s="18">
        <f>IF($A52="","",IFERROR(AVERAGEIF(tblOlcum[VarlikId],$B52,tblOlcum[Xbar_birim])-spy_A2*$E52,0))</f>
        <v/>
      </c>
      <c r="M52" s="18">
        <f>IF($A52="","",MAX(0,MIN(100,spy_kaliteTaban-IF($J52&lt;spy_esikCpk,spy_kaliteCeza,0)-IF(OR($D52&gt;$K52,$D52&lt;$L52),spy_kaliteSapma,0)-IF($P52="YETIM",spy_kaliteCeza,0))))</f>
        <v/>
      </c>
      <c r="N52" s="18">
        <f>IF($A52="","",IF(OR($J52&lt;spy_esikCpk,$D52&gt;$K52,$D52&lt;$L52,$M52&lt;spy_esikSaglik),"ALARM","UYGUN"))</f>
        <v/>
      </c>
      <c r="O52" s="18">
        <f>IF($A52="","",1)</f>
        <v/>
      </c>
      <c r="P52" s="18">
        <f>IF($A52="","",IF(OR($B52="",COUNTIF(tblProsesler[VarlikId],$B52)=0),"YETIM","TAMAM"))</f>
        <v/>
      </c>
    </row>
    <row r="53">
      <c r="A53" s="15" t="n"/>
      <c r="B53" s="15" t="n"/>
      <c r="C53" s="37" t="n"/>
      <c r="D53" s="16" t="n"/>
      <c r="E53" s="16" t="n"/>
      <c r="F53" s="17" t="n"/>
      <c r="G53" s="15" t="n"/>
      <c r="H53" s="18">
        <f>IF(OR($A53="",$E53=0),"",$E53/spy_d2)</f>
        <v/>
      </c>
      <c r="I53" s="18">
        <f>IF(OR($A53="",$H53=0),"",IFERROR((SUMIF(tblProsesler[VarlikId],$B53,tblProsesler[USL_birim])-SUMIF(tblProsesler[VarlikId],$B53,tblProsesler[LSL_birim]))/(spy_altiSigma*$H53),0))</f>
        <v/>
      </c>
      <c r="J53" s="18">
        <f>IF(OR($A53="",$H53=0),"",IFERROR(MIN((SUMIF(tblProsesler[VarlikId],$B53,tblProsesler[USL_birim])-$D53)/(spy_ucSigma*$H53),($D53-SUMIF(tblProsesler[VarlikId],$B53,tblProsesler[LSL_birim]))/(spy_ucSigma*$H53)),0))</f>
        <v/>
      </c>
      <c r="K53" s="18">
        <f>IF($A53="","",IFERROR(AVERAGEIF(tblOlcum[VarlikId],$B53,tblOlcum[Xbar_birim])+spy_A2*$E53,0))</f>
        <v/>
      </c>
      <c r="L53" s="18">
        <f>IF($A53="","",IFERROR(AVERAGEIF(tblOlcum[VarlikId],$B53,tblOlcum[Xbar_birim])-spy_A2*$E53,0))</f>
        <v/>
      </c>
      <c r="M53" s="18">
        <f>IF($A53="","",MAX(0,MIN(100,spy_kaliteTaban-IF($J53&lt;spy_esikCpk,spy_kaliteCeza,0)-IF(OR($D53&gt;$K53,$D53&lt;$L53),spy_kaliteSapma,0)-IF($P53="YETIM",spy_kaliteCeza,0))))</f>
        <v/>
      </c>
      <c r="N53" s="18">
        <f>IF($A53="","",IF(OR($J53&lt;spy_esikCpk,$D53&gt;$K53,$D53&lt;$L53,$M53&lt;spy_esikSaglik),"ALARM","UYGUN"))</f>
        <v/>
      </c>
      <c r="O53" s="18">
        <f>IF($A53="","",1)</f>
        <v/>
      </c>
      <c r="P53" s="18">
        <f>IF($A53="","",IF(OR($B53="",COUNTIF(tblProsesler[VarlikId],$B53)=0),"YETIM","TAMAM"))</f>
        <v/>
      </c>
    </row>
    <row r="54">
      <c r="A54" s="15" t="n"/>
      <c r="B54" s="15" t="n"/>
      <c r="C54" s="37" t="n"/>
      <c r="D54" s="16" t="n"/>
      <c r="E54" s="16" t="n"/>
      <c r="F54" s="17" t="n"/>
      <c r="G54" s="15" t="n"/>
      <c r="H54" s="18">
        <f>IF(OR($A54="",$E54=0),"",$E54/spy_d2)</f>
        <v/>
      </c>
      <c r="I54" s="18">
        <f>IF(OR($A54="",$H54=0),"",IFERROR((SUMIF(tblProsesler[VarlikId],$B54,tblProsesler[USL_birim])-SUMIF(tblProsesler[VarlikId],$B54,tblProsesler[LSL_birim]))/(spy_altiSigma*$H54),0))</f>
        <v/>
      </c>
      <c r="J54" s="18">
        <f>IF(OR($A54="",$H54=0),"",IFERROR(MIN((SUMIF(tblProsesler[VarlikId],$B54,tblProsesler[USL_birim])-$D54)/(spy_ucSigma*$H54),($D54-SUMIF(tblProsesler[VarlikId],$B54,tblProsesler[LSL_birim]))/(spy_ucSigma*$H54)),0))</f>
        <v/>
      </c>
      <c r="K54" s="18">
        <f>IF($A54="","",IFERROR(AVERAGEIF(tblOlcum[VarlikId],$B54,tblOlcum[Xbar_birim])+spy_A2*$E54,0))</f>
        <v/>
      </c>
      <c r="L54" s="18">
        <f>IF($A54="","",IFERROR(AVERAGEIF(tblOlcum[VarlikId],$B54,tblOlcum[Xbar_birim])-spy_A2*$E54,0))</f>
        <v/>
      </c>
      <c r="M54" s="18">
        <f>IF($A54="","",MAX(0,MIN(100,spy_kaliteTaban-IF($J54&lt;spy_esikCpk,spy_kaliteCeza,0)-IF(OR($D54&gt;$K54,$D54&lt;$L54),spy_kaliteSapma,0)-IF($P54="YETIM",spy_kaliteCeza,0))))</f>
        <v/>
      </c>
      <c r="N54" s="18">
        <f>IF($A54="","",IF(OR($J54&lt;spy_esikCpk,$D54&gt;$K54,$D54&lt;$L54,$M54&lt;spy_esikSaglik),"ALARM","UYGUN"))</f>
        <v/>
      </c>
      <c r="O54" s="18">
        <f>IF($A54="","",1)</f>
        <v/>
      </c>
      <c r="P54" s="18">
        <f>IF($A54="","",IF(OR($B54="",COUNTIF(tblProsesler[VarlikId],$B54)=0),"YETIM","TAMAM"))</f>
        <v/>
      </c>
    </row>
    <row r="55">
      <c r="A55" s="15" t="n"/>
      <c r="B55" s="15" t="n"/>
      <c r="C55" s="37" t="n"/>
      <c r="D55" s="16" t="n"/>
      <c r="E55" s="16" t="n"/>
      <c r="F55" s="17" t="n"/>
      <c r="G55" s="15" t="n"/>
      <c r="H55" s="18">
        <f>IF(OR($A55="",$E55=0),"",$E55/spy_d2)</f>
        <v/>
      </c>
      <c r="I55" s="18">
        <f>IF(OR($A55="",$H55=0),"",IFERROR((SUMIF(tblProsesler[VarlikId],$B55,tblProsesler[USL_birim])-SUMIF(tblProsesler[VarlikId],$B55,tblProsesler[LSL_birim]))/(spy_altiSigma*$H55),0))</f>
        <v/>
      </c>
      <c r="J55" s="18">
        <f>IF(OR($A55="",$H55=0),"",IFERROR(MIN((SUMIF(tblProsesler[VarlikId],$B55,tblProsesler[USL_birim])-$D55)/(spy_ucSigma*$H55),($D55-SUMIF(tblProsesler[VarlikId],$B55,tblProsesler[LSL_birim]))/(spy_ucSigma*$H55)),0))</f>
        <v/>
      </c>
      <c r="K55" s="18">
        <f>IF($A55="","",IFERROR(AVERAGEIF(tblOlcum[VarlikId],$B55,tblOlcum[Xbar_birim])+spy_A2*$E55,0))</f>
        <v/>
      </c>
      <c r="L55" s="18">
        <f>IF($A55="","",IFERROR(AVERAGEIF(tblOlcum[VarlikId],$B55,tblOlcum[Xbar_birim])-spy_A2*$E55,0))</f>
        <v/>
      </c>
      <c r="M55" s="18">
        <f>IF($A55="","",MAX(0,MIN(100,spy_kaliteTaban-IF($J55&lt;spy_esikCpk,spy_kaliteCeza,0)-IF(OR($D55&gt;$K55,$D55&lt;$L55),spy_kaliteSapma,0)-IF($P55="YETIM",spy_kaliteCeza,0))))</f>
        <v/>
      </c>
      <c r="N55" s="18">
        <f>IF($A55="","",IF(OR($J55&lt;spy_esikCpk,$D55&gt;$K55,$D55&lt;$L55,$M55&lt;spy_esikSaglik),"ALARM","UYGUN"))</f>
        <v/>
      </c>
      <c r="O55" s="18">
        <f>IF($A55="","",1)</f>
        <v/>
      </c>
      <c r="P55" s="18">
        <f>IF($A55="","",IF(OR($B55="",COUNTIF(tblProsesler[VarlikId],$B55)=0),"YETIM","TAMAM"))</f>
        <v/>
      </c>
    </row>
    <row r="56">
      <c r="A56" s="15" t="n"/>
      <c r="B56" s="15" t="n"/>
      <c r="C56" s="37" t="n"/>
      <c r="D56" s="16" t="n"/>
      <c r="E56" s="16" t="n"/>
      <c r="F56" s="17" t="n"/>
      <c r="G56" s="15" t="n"/>
      <c r="H56" s="18">
        <f>IF(OR($A56="",$E56=0),"",$E56/spy_d2)</f>
        <v/>
      </c>
      <c r="I56" s="18">
        <f>IF(OR($A56="",$H56=0),"",IFERROR((SUMIF(tblProsesler[VarlikId],$B56,tblProsesler[USL_birim])-SUMIF(tblProsesler[VarlikId],$B56,tblProsesler[LSL_birim]))/(spy_altiSigma*$H56),0))</f>
        <v/>
      </c>
      <c r="J56" s="18">
        <f>IF(OR($A56="",$H56=0),"",IFERROR(MIN((SUMIF(tblProsesler[VarlikId],$B56,tblProsesler[USL_birim])-$D56)/(spy_ucSigma*$H56),($D56-SUMIF(tblProsesler[VarlikId],$B56,tblProsesler[LSL_birim]))/(spy_ucSigma*$H56)),0))</f>
        <v/>
      </c>
      <c r="K56" s="18">
        <f>IF($A56="","",IFERROR(AVERAGEIF(tblOlcum[VarlikId],$B56,tblOlcum[Xbar_birim])+spy_A2*$E56,0))</f>
        <v/>
      </c>
      <c r="L56" s="18">
        <f>IF($A56="","",IFERROR(AVERAGEIF(tblOlcum[VarlikId],$B56,tblOlcum[Xbar_birim])-spy_A2*$E56,0))</f>
        <v/>
      </c>
      <c r="M56" s="18">
        <f>IF($A56="","",MAX(0,MIN(100,spy_kaliteTaban-IF($J56&lt;spy_esikCpk,spy_kaliteCeza,0)-IF(OR($D56&gt;$K56,$D56&lt;$L56),spy_kaliteSapma,0)-IF($P56="YETIM",spy_kaliteCeza,0))))</f>
        <v/>
      </c>
      <c r="N56" s="18">
        <f>IF($A56="","",IF(OR($J56&lt;spy_esikCpk,$D56&gt;$K56,$D56&lt;$L56,$M56&lt;spy_esikSaglik),"ALARM","UYGUN"))</f>
        <v/>
      </c>
      <c r="O56" s="18">
        <f>IF($A56="","",1)</f>
        <v/>
      </c>
      <c r="P56" s="18">
        <f>IF($A56="","",IF(OR($B56="",COUNTIF(tblProsesler[VarlikId],$B56)=0),"YETIM","TAMAM"))</f>
        <v/>
      </c>
    </row>
    <row r="57">
      <c r="A57" s="15" t="n"/>
      <c r="B57" s="15" t="n"/>
      <c r="C57" s="37" t="n"/>
      <c r="D57" s="16" t="n"/>
      <c r="E57" s="16" t="n"/>
      <c r="F57" s="17" t="n"/>
      <c r="G57" s="15" t="n"/>
      <c r="H57" s="18">
        <f>IF(OR($A57="",$E57=0),"",$E57/spy_d2)</f>
        <v/>
      </c>
      <c r="I57" s="18">
        <f>IF(OR($A57="",$H57=0),"",IFERROR((SUMIF(tblProsesler[VarlikId],$B57,tblProsesler[USL_birim])-SUMIF(tblProsesler[VarlikId],$B57,tblProsesler[LSL_birim]))/(spy_altiSigma*$H57),0))</f>
        <v/>
      </c>
      <c r="J57" s="18">
        <f>IF(OR($A57="",$H57=0),"",IFERROR(MIN((SUMIF(tblProsesler[VarlikId],$B57,tblProsesler[USL_birim])-$D57)/(spy_ucSigma*$H57),($D57-SUMIF(tblProsesler[VarlikId],$B57,tblProsesler[LSL_birim]))/(spy_ucSigma*$H57)),0))</f>
        <v/>
      </c>
      <c r="K57" s="18">
        <f>IF($A57="","",IFERROR(AVERAGEIF(tblOlcum[VarlikId],$B57,tblOlcum[Xbar_birim])+spy_A2*$E57,0))</f>
        <v/>
      </c>
      <c r="L57" s="18">
        <f>IF($A57="","",IFERROR(AVERAGEIF(tblOlcum[VarlikId],$B57,tblOlcum[Xbar_birim])-spy_A2*$E57,0))</f>
        <v/>
      </c>
      <c r="M57" s="18">
        <f>IF($A57="","",MAX(0,MIN(100,spy_kaliteTaban-IF($J57&lt;spy_esikCpk,spy_kaliteCeza,0)-IF(OR($D57&gt;$K57,$D57&lt;$L57),spy_kaliteSapma,0)-IF($P57="YETIM",spy_kaliteCeza,0))))</f>
        <v/>
      </c>
      <c r="N57" s="18">
        <f>IF($A57="","",IF(OR($J57&lt;spy_esikCpk,$D57&gt;$K57,$D57&lt;$L57,$M57&lt;spy_esikSaglik),"ALARM","UYGUN"))</f>
        <v/>
      </c>
      <c r="O57" s="18">
        <f>IF($A57="","",1)</f>
        <v/>
      </c>
      <c r="P57" s="18">
        <f>IF($A57="","",IF(OR($B57="",COUNTIF(tblProsesler[VarlikId],$B57)=0),"YETIM","TAMAM"))</f>
        <v/>
      </c>
    </row>
    <row r="58">
      <c r="A58" s="15" t="n"/>
      <c r="B58" s="15" t="n"/>
      <c r="C58" s="37" t="n"/>
      <c r="D58" s="16" t="n"/>
      <c r="E58" s="16" t="n"/>
      <c r="F58" s="17" t="n"/>
      <c r="G58" s="15" t="n"/>
      <c r="H58" s="18">
        <f>IF(OR($A58="",$E58=0),"",$E58/spy_d2)</f>
        <v/>
      </c>
      <c r="I58" s="18">
        <f>IF(OR($A58="",$H58=0),"",IFERROR((SUMIF(tblProsesler[VarlikId],$B58,tblProsesler[USL_birim])-SUMIF(tblProsesler[VarlikId],$B58,tblProsesler[LSL_birim]))/(spy_altiSigma*$H58),0))</f>
        <v/>
      </c>
      <c r="J58" s="18">
        <f>IF(OR($A58="",$H58=0),"",IFERROR(MIN((SUMIF(tblProsesler[VarlikId],$B58,tblProsesler[USL_birim])-$D58)/(spy_ucSigma*$H58),($D58-SUMIF(tblProsesler[VarlikId],$B58,tblProsesler[LSL_birim]))/(spy_ucSigma*$H58)),0))</f>
        <v/>
      </c>
      <c r="K58" s="18">
        <f>IF($A58="","",IFERROR(AVERAGEIF(tblOlcum[VarlikId],$B58,tblOlcum[Xbar_birim])+spy_A2*$E58,0))</f>
        <v/>
      </c>
      <c r="L58" s="18">
        <f>IF($A58="","",IFERROR(AVERAGEIF(tblOlcum[VarlikId],$B58,tblOlcum[Xbar_birim])-spy_A2*$E58,0))</f>
        <v/>
      </c>
      <c r="M58" s="18">
        <f>IF($A58="","",MAX(0,MIN(100,spy_kaliteTaban-IF($J58&lt;spy_esikCpk,spy_kaliteCeza,0)-IF(OR($D58&gt;$K58,$D58&lt;$L58),spy_kaliteSapma,0)-IF($P58="YETIM",spy_kaliteCeza,0))))</f>
        <v/>
      </c>
      <c r="N58" s="18">
        <f>IF($A58="","",IF(OR($J58&lt;spy_esikCpk,$D58&gt;$K58,$D58&lt;$L58,$M58&lt;spy_esikSaglik),"ALARM","UYGUN"))</f>
        <v/>
      </c>
      <c r="O58" s="18">
        <f>IF($A58="","",1)</f>
        <v/>
      </c>
      <c r="P58" s="18">
        <f>IF($A58="","",IF(OR($B58="",COUNTIF(tblProsesler[VarlikId],$B58)=0),"YETIM","TAMAM"))</f>
        <v/>
      </c>
    </row>
    <row r="59">
      <c r="A59" s="15" t="n"/>
      <c r="B59" s="15" t="n"/>
      <c r="C59" s="37" t="n"/>
      <c r="D59" s="16" t="n"/>
      <c r="E59" s="16" t="n"/>
      <c r="F59" s="17" t="n"/>
      <c r="G59" s="15" t="n"/>
      <c r="H59" s="18">
        <f>IF(OR($A59="",$E59=0),"",$E59/spy_d2)</f>
        <v/>
      </c>
      <c r="I59" s="18">
        <f>IF(OR($A59="",$H59=0),"",IFERROR((SUMIF(tblProsesler[VarlikId],$B59,tblProsesler[USL_birim])-SUMIF(tblProsesler[VarlikId],$B59,tblProsesler[LSL_birim]))/(spy_altiSigma*$H59),0))</f>
        <v/>
      </c>
      <c r="J59" s="18">
        <f>IF(OR($A59="",$H59=0),"",IFERROR(MIN((SUMIF(tblProsesler[VarlikId],$B59,tblProsesler[USL_birim])-$D59)/(spy_ucSigma*$H59),($D59-SUMIF(tblProsesler[VarlikId],$B59,tblProsesler[LSL_birim]))/(spy_ucSigma*$H59)),0))</f>
        <v/>
      </c>
      <c r="K59" s="18">
        <f>IF($A59="","",IFERROR(AVERAGEIF(tblOlcum[VarlikId],$B59,tblOlcum[Xbar_birim])+spy_A2*$E59,0))</f>
        <v/>
      </c>
      <c r="L59" s="18">
        <f>IF($A59="","",IFERROR(AVERAGEIF(tblOlcum[VarlikId],$B59,tblOlcum[Xbar_birim])-spy_A2*$E59,0))</f>
        <v/>
      </c>
      <c r="M59" s="18">
        <f>IF($A59="","",MAX(0,MIN(100,spy_kaliteTaban-IF($J59&lt;spy_esikCpk,spy_kaliteCeza,0)-IF(OR($D59&gt;$K59,$D59&lt;$L59),spy_kaliteSapma,0)-IF($P59="YETIM",spy_kaliteCeza,0))))</f>
        <v/>
      </c>
      <c r="N59" s="18">
        <f>IF($A59="","",IF(OR($J59&lt;spy_esikCpk,$D59&gt;$K59,$D59&lt;$L59,$M59&lt;spy_esikSaglik),"ALARM","UYGUN"))</f>
        <v/>
      </c>
      <c r="O59" s="18">
        <f>IF($A59="","",1)</f>
        <v/>
      </c>
      <c r="P59" s="18">
        <f>IF($A59="","",IF(OR($B59="",COUNTIF(tblProsesler[VarlikId],$B59)=0),"YETIM","TAMAM"))</f>
        <v/>
      </c>
    </row>
    <row r="60">
      <c r="A60" s="15" t="n"/>
      <c r="B60" s="15" t="n"/>
      <c r="C60" s="37" t="n"/>
      <c r="D60" s="16" t="n"/>
      <c r="E60" s="16" t="n"/>
      <c r="F60" s="17" t="n"/>
      <c r="G60" s="15" t="n"/>
      <c r="H60" s="18">
        <f>IF(OR($A60="",$E60=0),"",$E60/spy_d2)</f>
        <v/>
      </c>
      <c r="I60" s="18">
        <f>IF(OR($A60="",$H60=0),"",IFERROR((SUMIF(tblProsesler[VarlikId],$B60,tblProsesler[USL_birim])-SUMIF(tblProsesler[VarlikId],$B60,tblProsesler[LSL_birim]))/(spy_altiSigma*$H60),0))</f>
        <v/>
      </c>
      <c r="J60" s="18">
        <f>IF(OR($A60="",$H60=0),"",IFERROR(MIN((SUMIF(tblProsesler[VarlikId],$B60,tblProsesler[USL_birim])-$D60)/(spy_ucSigma*$H60),($D60-SUMIF(tblProsesler[VarlikId],$B60,tblProsesler[LSL_birim]))/(spy_ucSigma*$H60)),0))</f>
        <v/>
      </c>
      <c r="K60" s="18">
        <f>IF($A60="","",IFERROR(AVERAGEIF(tblOlcum[VarlikId],$B60,tblOlcum[Xbar_birim])+spy_A2*$E60,0))</f>
        <v/>
      </c>
      <c r="L60" s="18">
        <f>IF($A60="","",IFERROR(AVERAGEIF(tblOlcum[VarlikId],$B60,tblOlcum[Xbar_birim])-spy_A2*$E60,0))</f>
        <v/>
      </c>
      <c r="M60" s="18">
        <f>IF($A60="","",MAX(0,MIN(100,spy_kaliteTaban-IF($J60&lt;spy_esikCpk,spy_kaliteCeza,0)-IF(OR($D60&gt;$K60,$D60&lt;$L60),spy_kaliteSapma,0)-IF($P60="YETIM",spy_kaliteCeza,0))))</f>
        <v/>
      </c>
      <c r="N60" s="18">
        <f>IF($A60="","",IF(OR($J60&lt;spy_esikCpk,$D60&gt;$K60,$D60&lt;$L60,$M60&lt;spy_esikSaglik),"ALARM","UYGUN"))</f>
        <v/>
      </c>
      <c r="O60" s="18">
        <f>IF($A60="","",1)</f>
        <v/>
      </c>
      <c r="P60" s="18">
        <f>IF($A60="","",IF(OR($B60="",COUNTIF(tblProsesler[VarlikId],$B60)=0),"YETIM","TAMAM"))</f>
        <v/>
      </c>
    </row>
    <row r="61">
      <c r="A61" s="15" t="n"/>
      <c r="B61" s="15" t="n"/>
      <c r="C61" s="37" t="n"/>
      <c r="D61" s="16" t="n"/>
      <c r="E61" s="16" t="n"/>
      <c r="F61" s="17" t="n"/>
      <c r="G61" s="15" t="n"/>
      <c r="H61" s="18">
        <f>IF(OR($A61="",$E61=0),"",$E61/spy_d2)</f>
        <v/>
      </c>
      <c r="I61" s="18">
        <f>IF(OR($A61="",$H61=0),"",IFERROR((SUMIF(tblProsesler[VarlikId],$B61,tblProsesler[USL_birim])-SUMIF(tblProsesler[VarlikId],$B61,tblProsesler[LSL_birim]))/(spy_altiSigma*$H61),0))</f>
        <v/>
      </c>
      <c r="J61" s="18">
        <f>IF(OR($A61="",$H61=0),"",IFERROR(MIN((SUMIF(tblProsesler[VarlikId],$B61,tblProsesler[USL_birim])-$D61)/(spy_ucSigma*$H61),($D61-SUMIF(tblProsesler[VarlikId],$B61,tblProsesler[LSL_birim]))/(spy_ucSigma*$H61)),0))</f>
        <v/>
      </c>
      <c r="K61" s="18">
        <f>IF($A61="","",IFERROR(AVERAGEIF(tblOlcum[VarlikId],$B61,tblOlcum[Xbar_birim])+spy_A2*$E61,0))</f>
        <v/>
      </c>
      <c r="L61" s="18">
        <f>IF($A61="","",IFERROR(AVERAGEIF(tblOlcum[VarlikId],$B61,tblOlcum[Xbar_birim])-spy_A2*$E61,0))</f>
        <v/>
      </c>
      <c r="M61" s="18">
        <f>IF($A61="","",MAX(0,MIN(100,spy_kaliteTaban-IF($J61&lt;spy_esikCpk,spy_kaliteCeza,0)-IF(OR($D61&gt;$K61,$D61&lt;$L61),spy_kaliteSapma,0)-IF($P61="YETIM",spy_kaliteCeza,0))))</f>
        <v/>
      </c>
      <c r="N61" s="18">
        <f>IF($A61="","",IF(OR($J61&lt;spy_esikCpk,$D61&gt;$K61,$D61&lt;$L61,$M61&lt;spy_esikSaglik),"ALARM","UYGUN"))</f>
        <v/>
      </c>
      <c r="O61" s="18">
        <f>IF($A61="","",1)</f>
        <v/>
      </c>
      <c r="P61" s="18">
        <f>IF($A61="","",IF(OR($B61="",COUNTIF(tblProsesler[VarlikId],$B61)=0),"YETIM","TAMAM"))</f>
        <v/>
      </c>
    </row>
    <row r="62">
      <c r="A62" s="15" t="n"/>
      <c r="B62" s="15" t="n"/>
      <c r="C62" s="37" t="n"/>
      <c r="D62" s="16" t="n"/>
      <c r="E62" s="16" t="n"/>
      <c r="F62" s="17" t="n"/>
      <c r="G62" s="15" t="n"/>
      <c r="H62" s="18">
        <f>IF(OR($A62="",$E62=0),"",$E62/spy_d2)</f>
        <v/>
      </c>
      <c r="I62" s="18">
        <f>IF(OR($A62="",$H62=0),"",IFERROR((SUMIF(tblProsesler[VarlikId],$B62,tblProsesler[USL_birim])-SUMIF(tblProsesler[VarlikId],$B62,tblProsesler[LSL_birim]))/(spy_altiSigma*$H62),0))</f>
        <v/>
      </c>
      <c r="J62" s="18">
        <f>IF(OR($A62="",$H62=0),"",IFERROR(MIN((SUMIF(tblProsesler[VarlikId],$B62,tblProsesler[USL_birim])-$D62)/(spy_ucSigma*$H62),($D62-SUMIF(tblProsesler[VarlikId],$B62,tblProsesler[LSL_birim]))/(spy_ucSigma*$H62)),0))</f>
        <v/>
      </c>
      <c r="K62" s="18">
        <f>IF($A62="","",IFERROR(AVERAGEIF(tblOlcum[VarlikId],$B62,tblOlcum[Xbar_birim])+spy_A2*$E62,0))</f>
        <v/>
      </c>
      <c r="L62" s="18">
        <f>IF($A62="","",IFERROR(AVERAGEIF(tblOlcum[VarlikId],$B62,tblOlcum[Xbar_birim])-spy_A2*$E62,0))</f>
        <v/>
      </c>
      <c r="M62" s="18">
        <f>IF($A62="","",MAX(0,MIN(100,spy_kaliteTaban-IF($J62&lt;spy_esikCpk,spy_kaliteCeza,0)-IF(OR($D62&gt;$K62,$D62&lt;$L62),spy_kaliteSapma,0)-IF($P62="YETIM",spy_kaliteCeza,0))))</f>
        <v/>
      </c>
      <c r="N62" s="18">
        <f>IF($A62="","",IF(OR($J62&lt;spy_esikCpk,$D62&gt;$K62,$D62&lt;$L62,$M62&lt;spy_esikSaglik),"ALARM","UYGUN"))</f>
        <v/>
      </c>
      <c r="O62" s="18">
        <f>IF($A62="","",1)</f>
        <v/>
      </c>
      <c r="P62" s="18">
        <f>IF($A62="","",IF(OR($B62="",COUNTIF(tblProsesler[VarlikId],$B62)=0),"YETIM","TAMAM"))</f>
        <v/>
      </c>
    </row>
    <row r="63">
      <c r="A63" s="15" t="n"/>
      <c r="B63" s="15" t="n"/>
      <c r="C63" s="37" t="n"/>
      <c r="D63" s="16" t="n"/>
      <c r="E63" s="16" t="n"/>
      <c r="F63" s="17" t="n"/>
      <c r="G63" s="15" t="n"/>
      <c r="H63" s="18">
        <f>IF(OR($A63="",$E63=0),"",$E63/spy_d2)</f>
        <v/>
      </c>
      <c r="I63" s="18">
        <f>IF(OR($A63="",$H63=0),"",IFERROR((SUMIF(tblProsesler[VarlikId],$B63,tblProsesler[USL_birim])-SUMIF(tblProsesler[VarlikId],$B63,tblProsesler[LSL_birim]))/(spy_altiSigma*$H63),0))</f>
        <v/>
      </c>
      <c r="J63" s="18">
        <f>IF(OR($A63="",$H63=0),"",IFERROR(MIN((SUMIF(tblProsesler[VarlikId],$B63,tblProsesler[USL_birim])-$D63)/(spy_ucSigma*$H63),($D63-SUMIF(tblProsesler[VarlikId],$B63,tblProsesler[LSL_birim]))/(spy_ucSigma*$H63)),0))</f>
        <v/>
      </c>
      <c r="K63" s="18">
        <f>IF($A63="","",IFERROR(AVERAGEIF(tblOlcum[VarlikId],$B63,tblOlcum[Xbar_birim])+spy_A2*$E63,0))</f>
        <v/>
      </c>
      <c r="L63" s="18">
        <f>IF($A63="","",IFERROR(AVERAGEIF(tblOlcum[VarlikId],$B63,tblOlcum[Xbar_birim])-spy_A2*$E63,0))</f>
        <v/>
      </c>
      <c r="M63" s="18">
        <f>IF($A63="","",MAX(0,MIN(100,spy_kaliteTaban-IF($J63&lt;spy_esikCpk,spy_kaliteCeza,0)-IF(OR($D63&gt;$K63,$D63&lt;$L63),spy_kaliteSapma,0)-IF($P63="YETIM",spy_kaliteCeza,0))))</f>
        <v/>
      </c>
      <c r="N63" s="18">
        <f>IF($A63="","",IF(OR($J63&lt;spy_esikCpk,$D63&gt;$K63,$D63&lt;$L63,$M63&lt;spy_esikSaglik),"ALARM","UYGUN"))</f>
        <v/>
      </c>
      <c r="O63" s="18">
        <f>IF($A63="","",1)</f>
        <v/>
      </c>
      <c r="P63" s="18">
        <f>IF($A63="","",IF(OR($B63="",COUNTIF(tblProsesler[VarlikId],$B63)=0),"YETIM","TAMAM"))</f>
        <v/>
      </c>
    </row>
    <row r="64">
      <c r="A64" s="15" t="n"/>
      <c r="B64" s="15" t="n"/>
      <c r="C64" s="37" t="n"/>
      <c r="D64" s="16" t="n"/>
      <c r="E64" s="16" t="n"/>
      <c r="F64" s="17" t="n"/>
      <c r="G64" s="15" t="n"/>
      <c r="H64" s="18">
        <f>IF(OR($A64="",$E64=0),"",$E64/spy_d2)</f>
        <v/>
      </c>
      <c r="I64" s="18">
        <f>IF(OR($A64="",$H64=0),"",IFERROR((SUMIF(tblProsesler[VarlikId],$B64,tblProsesler[USL_birim])-SUMIF(tblProsesler[VarlikId],$B64,tblProsesler[LSL_birim]))/(spy_altiSigma*$H64),0))</f>
        <v/>
      </c>
      <c r="J64" s="18">
        <f>IF(OR($A64="",$H64=0),"",IFERROR(MIN((SUMIF(tblProsesler[VarlikId],$B64,tblProsesler[USL_birim])-$D64)/(spy_ucSigma*$H64),($D64-SUMIF(tblProsesler[VarlikId],$B64,tblProsesler[LSL_birim]))/(spy_ucSigma*$H64)),0))</f>
        <v/>
      </c>
      <c r="K64" s="18">
        <f>IF($A64="","",IFERROR(AVERAGEIF(tblOlcum[VarlikId],$B64,tblOlcum[Xbar_birim])+spy_A2*$E64,0))</f>
        <v/>
      </c>
      <c r="L64" s="18">
        <f>IF($A64="","",IFERROR(AVERAGEIF(tblOlcum[VarlikId],$B64,tblOlcum[Xbar_birim])-spy_A2*$E64,0))</f>
        <v/>
      </c>
      <c r="M64" s="18">
        <f>IF($A64="","",MAX(0,MIN(100,spy_kaliteTaban-IF($J64&lt;spy_esikCpk,spy_kaliteCeza,0)-IF(OR($D64&gt;$K64,$D64&lt;$L64),spy_kaliteSapma,0)-IF($P64="YETIM",spy_kaliteCeza,0))))</f>
        <v/>
      </c>
      <c r="N64" s="18">
        <f>IF($A64="","",IF(OR($J64&lt;spy_esikCpk,$D64&gt;$K64,$D64&lt;$L64,$M64&lt;spy_esikSaglik),"ALARM","UYGUN"))</f>
        <v/>
      </c>
      <c r="O64" s="18">
        <f>IF($A64="","",1)</f>
        <v/>
      </c>
      <c r="P64" s="18">
        <f>IF($A64="","",IF(OR($B64="",COUNTIF(tblProsesler[VarlikId],$B64)=0),"YETIM","TAMAM"))</f>
        <v/>
      </c>
    </row>
    <row r="65">
      <c r="A65" s="15" t="n"/>
      <c r="B65" s="15" t="n"/>
      <c r="C65" s="37" t="n"/>
      <c r="D65" s="16" t="n"/>
      <c r="E65" s="16" t="n"/>
      <c r="F65" s="17" t="n"/>
      <c r="G65" s="15" t="n"/>
      <c r="H65" s="18">
        <f>IF(OR($A65="",$E65=0),"",$E65/spy_d2)</f>
        <v/>
      </c>
      <c r="I65" s="18">
        <f>IF(OR($A65="",$H65=0),"",IFERROR((SUMIF(tblProsesler[VarlikId],$B65,tblProsesler[USL_birim])-SUMIF(tblProsesler[VarlikId],$B65,tblProsesler[LSL_birim]))/(spy_altiSigma*$H65),0))</f>
        <v/>
      </c>
      <c r="J65" s="18">
        <f>IF(OR($A65="",$H65=0),"",IFERROR(MIN((SUMIF(tblProsesler[VarlikId],$B65,tblProsesler[USL_birim])-$D65)/(spy_ucSigma*$H65),($D65-SUMIF(tblProsesler[VarlikId],$B65,tblProsesler[LSL_birim]))/(spy_ucSigma*$H65)),0))</f>
        <v/>
      </c>
      <c r="K65" s="18">
        <f>IF($A65="","",IFERROR(AVERAGEIF(tblOlcum[VarlikId],$B65,tblOlcum[Xbar_birim])+spy_A2*$E65,0))</f>
        <v/>
      </c>
      <c r="L65" s="18">
        <f>IF($A65="","",IFERROR(AVERAGEIF(tblOlcum[VarlikId],$B65,tblOlcum[Xbar_birim])-spy_A2*$E65,0))</f>
        <v/>
      </c>
      <c r="M65" s="18">
        <f>IF($A65="","",MAX(0,MIN(100,spy_kaliteTaban-IF($J65&lt;spy_esikCpk,spy_kaliteCeza,0)-IF(OR($D65&gt;$K65,$D65&lt;$L65),spy_kaliteSapma,0)-IF($P65="YETIM",spy_kaliteCeza,0))))</f>
        <v/>
      </c>
      <c r="N65" s="18">
        <f>IF($A65="","",IF(OR($J65&lt;spy_esikCpk,$D65&gt;$K65,$D65&lt;$L65,$M65&lt;spy_esikSaglik),"ALARM","UYGUN"))</f>
        <v/>
      </c>
      <c r="O65" s="18">
        <f>IF($A65="","",1)</f>
        <v/>
      </c>
      <c r="P65" s="18">
        <f>IF($A65="","",IF(OR($B65="",COUNTIF(tblProsesler[VarlikId],$B65)=0),"YETIM","TAMAM"))</f>
        <v/>
      </c>
    </row>
    <row r="66">
      <c r="A66" s="15" t="n"/>
      <c r="B66" s="15" t="n"/>
      <c r="C66" s="37" t="n"/>
      <c r="D66" s="16" t="n"/>
      <c r="E66" s="16" t="n"/>
      <c r="F66" s="17" t="n"/>
      <c r="G66" s="15" t="n"/>
      <c r="H66" s="18">
        <f>IF(OR($A66="",$E66=0),"",$E66/spy_d2)</f>
        <v/>
      </c>
      <c r="I66" s="18">
        <f>IF(OR($A66="",$H66=0),"",IFERROR((SUMIF(tblProsesler[VarlikId],$B66,tblProsesler[USL_birim])-SUMIF(tblProsesler[VarlikId],$B66,tblProsesler[LSL_birim]))/(spy_altiSigma*$H66),0))</f>
        <v/>
      </c>
      <c r="J66" s="18">
        <f>IF(OR($A66="",$H66=0),"",IFERROR(MIN((SUMIF(tblProsesler[VarlikId],$B66,tblProsesler[USL_birim])-$D66)/(spy_ucSigma*$H66),($D66-SUMIF(tblProsesler[VarlikId],$B66,tblProsesler[LSL_birim]))/(spy_ucSigma*$H66)),0))</f>
        <v/>
      </c>
      <c r="K66" s="18">
        <f>IF($A66="","",IFERROR(AVERAGEIF(tblOlcum[VarlikId],$B66,tblOlcum[Xbar_birim])+spy_A2*$E66,0))</f>
        <v/>
      </c>
      <c r="L66" s="18">
        <f>IF($A66="","",IFERROR(AVERAGEIF(tblOlcum[VarlikId],$B66,tblOlcum[Xbar_birim])-spy_A2*$E66,0))</f>
        <v/>
      </c>
      <c r="M66" s="18">
        <f>IF($A66="","",MAX(0,MIN(100,spy_kaliteTaban-IF($J66&lt;spy_esikCpk,spy_kaliteCeza,0)-IF(OR($D66&gt;$K66,$D66&lt;$L66),spy_kaliteSapma,0)-IF($P66="YETIM",spy_kaliteCeza,0))))</f>
        <v/>
      </c>
      <c r="N66" s="18">
        <f>IF($A66="","",IF(OR($J66&lt;spy_esikCpk,$D66&gt;$K66,$D66&lt;$L66,$M66&lt;spy_esikSaglik),"ALARM","UYGUN"))</f>
        <v/>
      </c>
      <c r="O66" s="18">
        <f>IF($A66="","",1)</f>
        <v/>
      </c>
      <c r="P66" s="18">
        <f>IF($A66="","",IF(OR($B66="",COUNTIF(tblProsesler[VarlikId],$B66)=0),"YETIM","TAMAM"))</f>
        <v/>
      </c>
    </row>
    <row r="67">
      <c r="A67" s="15" t="n"/>
      <c r="B67" s="15" t="n"/>
      <c r="C67" s="37" t="n"/>
      <c r="D67" s="16" t="n"/>
      <c r="E67" s="16" t="n"/>
      <c r="F67" s="17" t="n"/>
      <c r="G67" s="15" t="n"/>
      <c r="H67" s="18">
        <f>IF(OR($A67="",$E67=0),"",$E67/spy_d2)</f>
        <v/>
      </c>
      <c r="I67" s="18">
        <f>IF(OR($A67="",$H67=0),"",IFERROR((SUMIF(tblProsesler[VarlikId],$B67,tblProsesler[USL_birim])-SUMIF(tblProsesler[VarlikId],$B67,tblProsesler[LSL_birim]))/(spy_altiSigma*$H67),0))</f>
        <v/>
      </c>
      <c r="J67" s="18">
        <f>IF(OR($A67="",$H67=0),"",IFERROR(MIN((SUMIF(tblProsesler[VarlikId],$B67,tblProsesler[USL_birim])-$D67)/(spy_ucSigma*$H67),($D67-SUMIF(tblProsesler[VarlikId],$B67,tblProsesler[LSL_birim]))/(spy_ucSigma*$H67)),0))</f>
        <v/>
      </c>
      <c r="K67" s="18">
        <f>IF($A67="","",IFERROR(AVERAGEIF(tblOlcum[VarlikId],$B67,tblOlcum[Xbar_birim])+spy_A2*$E67,0))</f>
        <v/>
      </c>
      <c r="L67" s="18">
        <f>IF($A67="","",IFERROR(AVERAGEIF(tblOlcum[VarlikId],$B67,tblOlcum[Xbar_birim])-spy_A2*$E67,0))</f>
        <v/>
      </c>
      <c r="M67" s="18">
        <f>IF($A67="","",MAX(0,MIN(100,spy_kaliteTaban-IF($J67&lt;spy_esikCpk,spy_kaliteCeza,0)-IF(OR($D67&gt;$K67,$D67&lt;$L67),spy_kaliteSapma,0)-IF($P67="YETIM",spy_kaliteCeza,0))))</f>
        <v/>
      </c>
      <c r="N67" s="18">
        <f>IF($A67="","",IF(OR($J67&lt;spy_esikCpk,$D67&gt;$K67,$D67&lt;$L67,$M67&lt;spy_esikSaglik),"ALARM","UYGUN"))</f>
        <v/>
      </c>
      <c r="O67" s="18">
        <f>IF($A67="","",1)</f>
        <v/>
      </c>
      <c r="P67" s="18">
        <f>IF($A67="","",IF(OR($B67="",COUNTIF(tblProsesler[VarlikId],$B67)=0),"YETIM","TAMAM"))</f>
        <v/>
      </c>
    </row>
    <row r="68">
      <c r="A68" s="15" t="n"/>
      <c r="B68" s="15" t="n"/>
      <c r="C68" s="37" t="n"/>
      <c r="D68" s="16" t="n"/>
      <c r="E68" s="16" t="n"/>
      <c r="F68" s="17" t="n"/>
      <c r="G68" s="15" t="n"/>
      <c r="H68" s="18">
        <f>IF(OR($A68="",$E68=0),"",$E68/spy_d2)</f>
        <v/>
      </c>
      <c r="I68" s="18">
        <f>IF(OR($A68="",$H68=0),"",IFERROR((SUMIF(tblProsesler[VarlikId],$B68,tblProsesler[USL_birim])-SUMIF(tblProsesler[VarlikId],$B68,tblProsesler[LSL_birim]))/(spy_altiSigma*$H68),0))</f>
        <v/>
      </c>
      <c r="J68" s="18">
        <f>IF(OR($A68="",$H68=0),"",IFERROR(MIN((SUMIF(tblProsesler[VarlikId],$B68,tblProsesler[USL_birim])-$D68)/(spy_ucSigma*$H68),($D68-SUMIF(tblProsesler[VarlikId],$B68,tblProsesler[LSL_birim]))/(spy_ucSigma*$H68)),0))</f>
        <v/>
      </c>
      <c r="K68" s="18">
        <f>IF($A68="","",IFERROR(AVERAGEIF(tblOlcum[VarlikId],$B68,tblOlcum[Xbar_birim])+spy_A2*$E68,0))</f>
        <v/>
      </c>
      <c r="L68" s="18">
        <f>IF($A68="","",IFERROR(AVERAGEIF(tblOlcum[VarlikId],$B68,tblOlcum[Xbar_birim])-spy_A2*$E68,0))</f>
        <v/>
      </c>
      <c r="M68" s="18">
        <f>IF($A68="","",MAX(0,MIN(100,spy_kaliteTaban-IF($J68&lt;spy_esikCpk,spy_kaliteCeza,0)-IF(OR($D68&gt;$K68,$D68&lt;$L68),spy_kaliteSapma,0)-IF($P68="YETIM",spy_kaliteCeza,0))))</f>
        <v/>
      </c>
      <c r="N68" s="18">
        <f>IF($A68="","",IF(OR($J68&lt;spy_esikCpk,$D68&gt;$K68,$D68&lt;$L68,$M68&lt;spy_esikSaglik),"ALARM","UYGUN"))</f>
        <v/>
      </c>
      <c r="O68" s="18">
        <f>IF($A68="","",1)</f>
        <v/>
      </c>
      <c r="P68" s="18">
        <f>IF($A68="","",IF(OR($B68="",COUNTIF(tblProsesler[VarlikId],$B68)=0),"YETIM","TAMAM"))</f>
        <v/>
      </c>
    </row>
    <row r="69">
      <c r="A69" s="15" t="n"/>
      <c r="B69" s="15" t="n"/>
      <c r="C69" s="37" t="n"/>
      <c r="D69" s="16" t="n"/>
      <c r="E69" s="16" t="n"/>
      <c r="F69" s="17" t="n"/>
      <c r="G69" s="15" t="n"/>
      <c r="H69" s="18">
        <f>IF(OR($A69="",$E69=0),"",$E69/spy_d2)</f>
        <v/>
      </c>
      <c r="I69" s="18">
        <f>IF(OR($A69="",$H69=0),"",IFERROR((SUMIF(tblProsesler[VarlikId],$B69,tblProsesler[USL_birim])-SUMIF(tblProsesler[VarlikId],$B69,tblProsesler[LSL_birim]))/(spy_altiSigma*$H69),0))</f>
        <v/>
      </c>
      <c r="J69" s="18">
        <f>IF(OR($A69="",$H69=0),"",IFERROR(MIN((SUMIF(tblProsesler[VarlikId],$B69,tblProsesler[USL_birim])-$D69)/(spy_ucSigma*$H69),($D69-SUMIF(tblProsesler[VarlikId],$B69,tblProsesler[LSL_birim]))/(spy_ucSigma*$H69)),0))</f>
        <v/>
      </c>
      <c r="K69" s="18">
        <f>IF($A69="","",IFERROR(AVERAGEIF(tblOlcum[VarlikId],$B69,tblOlcum[Xbar_birim])+spy_A2*$E69,0))</f>
        <v/>
      </c>
      <c r="L69" s="18">
        <f>IF($A69="","",IFERROR(AVERAGEIF(tblOlcum[VarlikId],$B69,tblOlcum[Xbar_birim])-spy_A2*$E69,0))</f>
        <v/>
      </c>
      <c r="M69" s="18">
        <f>IF($A69="","",MAX(0,MIN(100,spy_kaliteTaban-IF($J69&lt;spy_esikCpk,spy_kaliteCeza,0)-IF(OR($D69&gt;$K69,$D69&lt;$L69),spy_kaliteSapma,0)-IF($P69="YETIM",spy_kaliteCeza,0))))</f>
        <v/>
      </c>
      <c r="N69" s="18">
        <f>IF($A69="","",IF(OR($J69&lt;spy_esikCpk,$D69&gt;$K69,$D69&lt;$L69,$M69&lt;spy_esikSaglik),"ALARM","UYGUN"))</f>
        <v/>
      </c>
      <c r="O69" s="18">
        <f>IF($A69="","",1)</f>
        <v/>
      </c>
      <c r="P69" s="18">
        <f>IF($A69="","",IF(OR($B69="",COUNTIF(tblProsesler[VarlikId],$B69)=0),"YETIM","TAMAM"))</f>
        <v/>
      </c>
    </row>
    <row r="70">
      <c r="A70" s="15" t="n"/>
      <c r="B70" s="15" t="n"/>
      <c r="C70" s="37" t="n"/>
      <c r="D70" s="16" t="n"/>
      <c r="E70" s="16" t="n"/>
      <c r="F70" s="17" t="n"/>
      <c r="G70" s="15" t="n"/>
      <c r="H70" s="18">
        <f>IF(OR($A70="",$E70=0),"",$E70/spy_d2)</f>
        <v/>
      </c>
      <c r="I70" s="18">
        <f>IF(OR($A70="",$H70=0),"",IFERROR((SUMIF(tblProsesler[VarlikId],$B70,tblProsesler[USL_birim])-SUMIF(tblProsesler[VarlikId],$B70,tblProsesler[LSL_birim]))/(spy_altiSigma*$H70),0))</f>
        <v/>
      </c>
      <c r="J70" s="18">
        <f>IF(OR($A70="",$H70=0),"",IFERROR(MIN((SUMIF(tblProsesler[VarlikId],$B70,tblProsesler[USL_birim])-$D70)/(spy_ucSigma*$H70),($D70-SUMIF(tblProsesler[VarlikId],$B70,tblProsesler[LSL_birim]))/(spy_ucSigma*$H70)),0))</f>
        <v/>
      </c>
      <c r="K70" s="18">
        <f>IF($A70="","",IFERROR(AVERAGEIF(tblOlcum[VarlikId],$B70,tblOlcum[Xbar_birim])+spy_A2*$E70,0))</f>
        <v/>
      </c>
      <c r="L70" s="18">
        <f>IF($A70="","",IFERROR(AVERAGEIF(tblOlcum[VarlikId],$B70,tblOlcum[Xbar_birim])-spy_A2*$E70,0))</f>
        <v/>
      </c>
      <c r="M70" s="18">
        <f>IF($A70="","",MAX(0,MIN(100,spy_kaliteTaban-IF($J70&lt;spy_esikCpk,spy_kaliteCeza,0)-IF(OR($D70&gt;$K70,$D70&lt;$L70),spy_kaliteSapma,0)-IF($P70="YETIM",spy_kaliteCeza,0))))</f>
        <v/>
      </c>
      <c r="N70" s="18">
        <f>IF($A70="","",IF(OR($J70&lt;spy_esikCpk,$D70&gt;$K70,$D70&lt;$L70,$M70&lt;spy_esikSaglik),"ALARM","UYGUN"))</f>
        <v/>
      </c>
      <c r="O70" s="18">
        <f>IF($A70="","",1)</f>
        <v/>
      </c>
      <c r="P70" s="18">
        <f>IF($A70="","",IF(OR($B70="",COUNTIF(tblProsesler[VarlikId],$B70)=0),"YETIM","TAMAM"))</f>
        <v/>
      </c>
    </row>
    <row r="71">
      <c r="A71" s="15" t="n"/>
      <c r="B71" s="15" t="n"/>
      <c r="C71" s="37" t="n"/>
      <c r="D71" s="16" t="n"/>
      <c r="E71" s="16" t="n"/>
      <c r="F71" s="17" t="n"/>
      <c r="G71" s="15" t="n"/>
      <c r="H71" s="18">
        <f>IF(OR($A71="",$E71=0),"",$E71/spy_d2)</f>
        <v/>
      </c>
      <c r="I71" s="18">
        <f>IF(OR($A71="",$H71=0),"",IFERROR((SUMIF(tblProsesler[VarlikId],$B71,tblProsesler[USL_birim])-SUMIF(tblProsesler[VarlikId],$B71,tblProsesler[LSL_birim]))/(spy_altiSigma*$H71),0))</f>
        <v/>
      </c>
      <c r="J71" s="18">
        <f>IF(OR($A71="",$H71=0),"",IFERROR(MIN((SUMIF(tblProsesler[VarlikId],$B71,tblProsesler[USL_birim])-$D71)/(spy_ucSigma*$H71),($D71-SUMIF(tblProsesler[VarlikId],$B71,tblProsesler[LSL_birim]))/(spy_ucSigma*$H71)),0))</f>
        <v/>
      </c>
      <c r="K71" s="18">
        <f>IF($A71="","",IFERROR(AVERAGEIF(tblOlcum[VarlikId],$B71,tblOlcum[Xbar_birim])+spy_A2*$E71,0))</f>
        <v/>
      </c>
      <c r="L71" s="18">
        <f>IF($A71="","",IFERROR(AVERAGEIF(tblOlcum[VarlikId],$B71,tblOlcum[Xbar_birim])-spy_A2*$E71,0))</f>
        <v/>
      </c>
      <c r="M71" s="18">
        <f>IF($A71="","",MAX(0,MIN(100,spy_kaliteTaban-IF($J71&lt;spy_esikCpk,spy_kaliteCeza,0)-IF(OR($D71&gt;$K71,$D71&lt;$L71),spy_kaliteSapma,0)-IF($P71="YETIM",spy_kaliteCeza,0))))</f>
        <v/>
      </c>
      <c r="N71" s="18">
        <f>IF($A71="","",IF(OR($J71&lt;spy_esikCpk,$D71&gt;$K71,$D71&lt;$L71,$M71&lt;spy_esikSaglik),"ALARM","UYGUN"))</f>
        <v/>
      </c>
      <c r="O71" s="18">
        <f>IF($A71="","",1)</f>
        <v/>
      </c>
      <c r="P71" s="18">
        <f>IF($A71="","",IF(OR($B71="",COUNTIF(tblProsesler[VarlikId],$B71)=0),"YETIM","TAMAM"))</f>
        <v/>
      </c>
    </row>
    <row r="72">
      <c r="A72" s="15" t="n"/>
      <c r="B72" s="15" t="n"/>
      <c r="C72" s="37" t="n"/>
      <c r="D72" s="16" t="n"/>
      <c r="E72" s="16" t="n"/>
      <c r="F72" s="17" t="n"/>
      <c r="G72" s="15" t="n"/>
      <c r="H72" s="18">
        <f>IF(OR($A72="",$E72=0),"",$E72/spy_d2)</f>
        <v/>
      </c>
      <c r="I72" s="18">
        <f>IF(OR($A72="",$H72=0),"",IFERROR((SUMIF(tblProsesler[VarlikId],$B72,tblProsesler[USL_birim])-SUMIF(tblProsesler[VarlikId],$B72,tblProsesler[LSL_birim]))/(spy_altiSigma*$H72),0))</f>
        <v/>
      </c>
      <c r="J72" s="18">
        <f>IF(OR($A72="",$H72=0),"",IFERROR(MIN((SUMIF(tblProsesler[VarlikId],$B72,tblProsesler[USL_birim])-$D72)/(spy_ucSigma*$H72),($D72-SUMIF(tblProsesler[VarlikId],$B72,tblProsesler[LSL_birim]))/(spy_ucSigma*$H72)),0))</f>
        <v/>
      </c>
      <c r="K72" s="18">
        <f>IF($A72="","",IFERROR(AVERAGEIF(tblOlcum[VarlikId],$B72,tblOlcum[Xbar_birim])+spy_A2*$E72,0))</f>
        <v/>
      </c>
      <c r="L72" s="18">
        <f>IF($A72="","",IFERROR(AVERAGEIF(tblOlcum[VarlikId],$B72,tblOlcum[Xbar_birim])-spy_A2*$E72,0))</f>
        <v/>
      </c>
      <c r="M72" s="18">
        <f>IF($A72="","",MAX(0,MIN(100,spy_kaliteTaban-IF($J72&lt;spy_esikCpk,spy_kaliteCeza,0)-IF(OR($D72&gt;$K72,$D72&lt;$L72),spy_kaliteSapma,0)-IF($P72="YETIM",spy_kaliteCeza,0))))</f>
        <v/>
      </c>
      <c r="N72" s="18">
        <f>IF($A72="","",IF(OR($J72&lt;spy_esikCpk,$D72&gt;$K72,$D72&lt;$L72,$M72&lt;spy_esikSaglik),"ALARM","UYGUN"))</f>
        <v/>
      </c>
      <c r="O72" s="18">
        <f>IF($A72="","",1)</f>
        <v/>
      </c>
      <c r="P72" s="18">
        <f>IF($A72="","",IF(OR($B72="",COUNTIF(tblProsesler[VarlikId],$B72)=0),"YETIM","TAMAM"))</f>
        <v/>
      </c>
    </row>
    <row r="73">
      <c r="A73" s="15" t="n"/>
      <c r="B73" s="15" t="n"/>
      <c r="C73" s="37" t="n"/>
      <c r="D73" s="16" t="n"/>
      <c r="E73" s="16" t="n"/>
      <c r="F73" s="17" t="n"/>
      <c r="G73" s="15" t="n"/>
      <c r="H73" s="18">
        <f>IF(OR($A73="",$E73=0),"",$E73/spy_d2)</f>
        <v/>
      </c>
      <c r="I73" s="18">
        <f>IF(OR($A73="",$H73=0),"",IFERROR((SUMIF(tblProsesler[VarlikId],$B73,tblProsesler[USL_birim])-SUMIF(tblProsesler[VarlikId],$B73,tblProsesler[LSL_birim]))/(spy_altiSigma*$H73),0))</f>
        <v/>
      </c>
      <c r="J73" s="18">
        <f>IF(OR($A73="",$H73=0),"",IFERROR(MIN((SUMIF(tblProsesler[VarlikId],$B73,tblProsesler[USL_birim])-$D73)/(spy_ucSigma*$H73),($D73-SUMIF(tblProsesler[VarlikId],$B73,tblProsesler[LSL_birim]))/(spy_ucSigma*$H73)),0))</f>
        <v/>
      </c>
      <c r="K73" s="18">
        <f>IF($A73="","",IFERROR(AVERAGEIF(tblOlcum[VarlikId],$B73,tblOlcum[Xbar_birim])+spy_A2*$E73,0))</f>
        <v/>
      </c>
      <c r="L73" s="18">
        <f>IF($A73="","",IFERROR(AVERAGEIF(tblOlcum[VarlikId],$B73,tblOlcum[Xbar_birim])-spy_A2*$E73,0))</f>
        <v/>
      </c>
      <c r="M73" s="18">
        <f>IF($A73="","",MAX(0,MIN(100,spy_kaliteTaban-IF($J73&lt;spy_esikCpk,spy_kaliteCeza,0)-IF(OR($D73&gt;$K73,$D73&lt;$L73),spy_kaliteSapma,0)-IF($P73="YETIM",spy_kaliteCeza,0))))</f>
        <v/>
      </c>
      <c r="N73" s="18">
        <f>IF($A73="","",IF(OR($J73&lt;spy_esikCpk,$D73&gt;$K73,$D73&lt;$L73,$M73&lt;spy_esikSaglik),"ALARM","UYGUN"))</f>
        <v/>
      </c>
      <c r="O73" s="18">
        <f>IF($A73="","",1)</f>
        <v/>
      </c>
      <c r="P73" s="18">
        <f>IF($A73="","",IF(OR($B73="",COUNTIF(tblProsesler[VarlikId],$B73)=0),"YETIM","TAMAM"))</f>
        <v/>
      </c>
    </row>
    <row r="74">
      <c r="A74" s="15" t="n"/>
      <c r="B74" s="15" t="n"/>
      <c r="C74" s="37" t="n"/>
      <c r="D74" s="16" t="n"/>
      <c r="E74" s="16" t="n"/>
      <c r="F74" s="17" t="n"/>
      <c r="G74" s="15" t="n"/>
      <c r="H74" s="18">
        <f>IF(OR($A74="",$E74=0),"",$E74/spy_d2)</f>
        <v/>
      </c>
      <c r="I74" s="18">
        <f>IF(OR($A74="",$H74=0),"",IFERROR((SUMIF(tblProsesler[VarlikId],$B74,tblProsesler[USL_birim])-SUMIF(tblProsesler[VarlikId],$B74,tblProsesler[LSL_birim]))/(spy_altiSigma*$H74),0))</f>
        <v/>
      </c>
      <c r="J74" s="18">
        <f>IF(OR($A74="",$H74=0),"",IFERROR(MIN((SUMIF(tblProsesler[VarlikId],$B74,tblProsesler[USL_birim])-$D74)/(spy_ucSigma*$H74),($D74-SUMIF(tblProsesler[VarlikId],$B74,tblProsesler[LSL_birim]))/(spy_ucSigma*$H74)),0))</f>
        <v/>
      </c>
      <c r="K74" s="18">
        <f>IF($A74="","",IFERROR(AVERAGEIF(tblOlcum[VarlikId],$B74,tblOlcum[Xbar_birim])+spy_A2*$E74,0))</f>
        <v/>
      </c>
      <c r="L74" s="18">
        <f>IF($A74="","",IFERROR(AVERAGEIF(tblOlcum[VarlikId],$B74,tblOlcum[Xbar_birim])-spy_A2*$E74,0))</f>
        <v/>
      </c>
      <c r="M74" s="18">
        <f>IF($A74="","",MAX(0,MIN(100,spy_kaliteTaban-IF($J74&lt;spy_esikCpk,spy_kaliteCeza,0)-IF(OR($D74&gt;$K74,$D74&lt;$L74),spy_kaliteSapma,0)-IF($P74="YETIM",spy_kaliteCeza,0))))</f>
        <v/>
      </c>
      <c r="N74" s="18">
        <f>IF($A74="","",IF(OR($J74&lt;spy_esikCpk,$D74&gt;$K74,$D74&lt;$L74,$M74&lt;spy_esikSaglik),"ALARM","UYGUN"))</f>
        <v/>
      </c>
      <c r="O74" s="18">
        <f>IF($A74="","",1)</f>
        <v/>
      </c>
      <c r="P74" s="18">
        <f>IF($A74="","",IF(OR($B74="",COUNTIF(tblProsesler[VarlikId],$B74)=0),"YETIM","TAMAM"))</f>
        <v/>
      </c>
    </row>
    <row r="75">
      <c r="A75" s="15" t="n"/>
      <c r="B75" s="15" t="n"/>
      <c r="C75" s="37" t="n"/>
      <c r="D75" s="16" t="n"/>
      <c r="E75" s="16" t="n"/>
      <c r="F75" s="17" t="n"/>
      <c r="G75" s="15" t="n"/>
      <c r="H75" s="18">
        <f>IF(OR($A75="",$E75=0),"",$E75/spy_d2)</f>
        <v/>
      </c>
      <c r="I75" s="18">
        <f>IF(OR($A75="",$H75=0),"",IFERROR((SUMIF(tblProsesler[VarlikId],$B75,tblProsesler[USL_birim])-SUMIF(tblProsesler[VarlikId],$B75,tblProsesler[LSL_birim]))/(spy_altiSigma*$H75),0))</f>
        <v/>
      </c>
      <c r="J75" s="18">
        <f>IF(OR($A75="",$H75=0),"",IFERROR(MIN((SUMIF(tblProsesler[VarlikId],$B75,tblProsesler[USL_birim])-$D75)/(spy_ucSigma*$H75),($D75-SUMIF(tblProsesler[VarlikId],$B75,tblProsesler[LSL_birim]))/(spy_ucSigma*$H75)),0))</f>
        <v/>
      </c>
      <c r="K75" s="18">
        <f>IF($A75="","",IFERROR(AVERAGEIF(tblOlcum[VarlikId],$B75,tblOlcum[Xbar_birim])+spy_A2*$E75,0))</f>
        <v/>
      </c>
      <c r="L75" s="18">
        <f>IF($A75="","",IFERROR(AVERAGEIF(tblOlcum[VarlikId],$B75,tblOlcum[Xbar_birim])-spy_A2*$E75,0))</f>
        <v/>
      </c>
      <c r="M75" s="18">
        <f>IF($A75="","",MAX(0,MIN(100,spy_kaliteTaban-IF($J75&lt;spy_esikCpk,spy_kaliteCeza,0)-IF(OR($D75&gt;$K75,$D75&lt;$L75),spy_kaliteSapma,0)-IF($P75="YETIM",spy_kaliteCeza,0))))</f>
        <v/>
      </c>
      <c r="N75" s="18">
        <f>IF($A75="","",IF(OR($J75&lt;spy_esikCpk,$D75&gt;$K75,$D75&lt;$L75,$M75&lt;spy_esikSaglik),"ALARM","UYGUN"))</f>
        <v/>
      </c>
      <c r="O75" s="18">
        <f>IF($A75="","",1)</f>
        <v/>
      </c>
      <c r="P75" s="18">
        <f>IF($A75="","",IF(OR($B75="",COUNTIF(tblProsesler[VarlikId],$B75)=0),"YETIM","TAMAM"))</f>
        <v/>
      </c>
    </row>
    <row r="76">
      <c r="A76" s="15" t="n"/>
      <c r="B76" s="15" t="n"/>
      <c r="C76" s="37" t="n"/>
      <c r="D76" s="16" t="n"/>
      <c r="E76" s="16" t="n"/>
      <c r="F76" s="17" t="n"/>
      <c r="G76" s="15" t="n"/>
      <c r="H76" s="18">
        <f>IF(OR($A76="",$E76=0),"",$E76/spy_d2)</f>
        <v/>
      </c>
      <c r="I76" s="18">
        <f>IF(OR($A76="",$H76=0),"",IFERROR((SUMIF(tblProsesler[VarlikId],$B76,tblProsesler[USL_birim])-SUMIF(tblProsesler[VarlikId],$B76,tblProsesler[LSL_birim]))/(spy_altiSigma*$H76),0))</f>
        <v/>
      </c>
      <c r="J76" s="18">
        <f>IF(OR($A76="",$H76=0),"",IFERROR(MIN((SUMIF(tblProsesler[VarlikId],$B76,tblProsesler[USL_birim])-$D76)/(spy_ucSigma*$H76),($D76-SUMIF(tblProsesler[VarlikId],$B76,tblProsesler[LSL_birim]))/(spy_ucSigma*$H76)),0))</f>
        <v/>
      </c>
      <c r="K76" s="18">
        <f>IF($A76="","",IFERROR(AVERAGEIF(tblOlcum[VarlikId],$B76,tblOlcum[Xbar_birim])+spy_A2*$E76,0))</f>
        <v/>
      </c>
      <c r="L76" s="18">
        <f>IF($A76="","",IFERROR(AVERAGEIF(tblOlcum[VarlikId],$B76,tblOlcum[Xbar_birim])-spy_A2*$E76,0))</f>
        <v/>
      </c>
      <c r="M76" s="18">
        <f>IF($A76="","",MAX(0,MIN(100,spy_kaliteTaban-IF($J76&lt;spy_esikCpk,spy_kaliteCeza,0)-IF(OR($D76&gt;$K76,$D76&lt;$L76),spy_kaliteSapma,0)-IF($P76="YETIM",spy_kaliteCeza,0))))</f>
        <v/>
      </c>
      <c r="N76" s="18">
        <f>IF($A76="","",IF(OR($J76&lt;spy_esikCpk,$D76&gt;$K76,$D76&lt;$L76,$M76&lt;spy_esikSaglik),"ALARM","UYGUN"))</f>
        <v/>
      </c>
      <c r="O76" s="18">
        <f>IF($A76="","",1)</f>
        <v/>
      </c>
      <c r="P76" s="18">
        <f>IF($A76="","",IF(OR($B76="",COUNTIF(tblProsesler[VarlikId],$B76)=0),"YETIM","TAMAM"))</f>
        <v/>
      </c>
    </row>
    <row r="77">
      <c r="A77" s="15" t="n"/>
      <c r="B77" s="15" t="n"/>
      <c r="C77" s="37" t="n"/>
      <c r="D77" s="16" t="n"/>
      <c r="E77" s="16" t="n"/>
      <c r="F77" s="17" t="n"/>
      <c r="G77" s="15" t="n"/>
      <c r="H77" s="18">
        <f>IF(OR($A77="",$E77=0),"",$E77/spy_d2)</f>
        <v/>
      </c>
      <c r="I77" s="18">
        <f>IF(OR($A77="",$H77=0),"",IFERROR((SUMIF(tblProsesler[VarlikId],$B77,tblProsesler[USL_birim])-SUMIF(tblProsesler[VarlikId],$B77,tblProsesler[LSL_birim]))/(spy_altiSigma*$H77),0))</f>
        <v/>
      </c>
      <c r="J77" s="18">
        <f>IF(OR($A77="",$H77=0),"",IFERROR(MIN((SUMIF(tblProsesler[VarlikId],$B77,tblProsesler[USL_birim])-$D77)/(spy_ucSigma*$H77),($D77-SUMIF(tblProsesler[VarlikId],$B77,tblProsesler[LSL_birim]))/(spy_ucSigma*$H77)),0))</f>
        <v/>
      </c>
      <c r="K77" s="18">
        <f>IF($A77="","",IFERROR(AVERAGEIF(tblOlcum[VarlikId],$B77,tblOlcum[Xbar_birim])+spy_A2*$E77,0))</f>
        <v/>
      </c>
      <c r="L77" s="18">
        <f>IF($A77="","",IFERROR(AVERAGEIF(tblOlcum[VarlikId],$B77,tblOlcum[Xbar_birim])-spy_A2*$E77,0))</f>
        <v/>
      </c>
      <c r="M77" s="18">
        <f>IF($A77="","",MAX(0,MIN(100,spy_kaliteTaban-IF($J77&lt;spy_esikCpk,spy_kaliteCeza,0)-IF(OR($D77&gt;$K77,$D77&lt;$L77),spy_kaliteSapma,0)-IF($P77="YETIM",spy_kaliteCeza,0))))</f>
        <v/>
      </c>
      <c r="N77" s="18">
        <f>IF($A77="","",IF(OR($J77&lt;spy_esikCpk,$D77&gt;$K77,$D77&lt;$L77,$M77&lt;spy_esikSaglik),"ALARM","UYGUN"))</f>
        <v/>
      </c>
      <c r="O77" s="18">
        <f>IF($A77="","",1)</f>
        <v/>
      </c>
      <c r="P77" s="18">
        <f>IF($A77="","",IF(OR($B77="",COUNTIF(tblProsesler[VarlikId],$B77)=0),"YETIM","TAMAM"))</f>
        <v/>
      </c>
    </row>
    <row r="78">
      <c r="A78" s="15" t="n"/>
      <c r="B78" s="15" t="n"/>
      <c r="C78" s="37" t="n"/>
      <c r="D78" s="16" t="n"/>
      <c r="E78" s="16" t="n"/>
      <c r="F78" s="17" t="n"/>
      <c r="G78" s="15" t="n"/>
      <c r="H78" s="18">
        <f>IF(OR($A78="",$E78=0),"",$E78/spy_d2)</f>
        <v/>
      </c>
      <c r="I78" s="18">
        <f>IF(OR($A78="",$H78=0),"",IFERROR((SUMIF(tblProsesler[VarlikId],$B78,tblProsesler[USL_birim])-SUMIF(tblProsesler[VarlikId],$B78,tblProsesler[LSL_birim]))/(spy_altiSigma*$H78),0))</f>
        <v/>
      </c>
      <c r="J78" s="18">
        <f>IF(OR($A78="",$H78=0),"",IFERROR(MIN((SUMIF(tblProsesler[VarlikId],$B78,tblProsesler[USL_birim])-$D78)/(spy_ucSigma*$H78),($D78-SUMIF(tblProsesler[VarlikId],$B78,tblProsesler[LSL_birim]))/(spy_ucSigma*$H78)),0))</f>
        <v/>
      </c>
      <c r="K78" s="18">
        <f>IF($A78="","",IFERROR(AVERAGEIF(tblOlcum[VarlikId],$B78,tblOlcum[Xbar_birim])+spy_A2*$E78,0))</f>
        <v/>
      </c>
      <c r="L78" s="18">
        <f>IF($A78="","",IFERROR(AVERAGEIF(tblOlcum[VarlikId],$B78,tblOlcum[Xbar_birim])-spy_A2*$E78,0))</f>
        <v/>
      </c>
      <c r="M78" s="18">
        <f>IF($A78="","",MAX(0,MIN(100,spy_kaliteTaban-IF($J78&lt;spy_esikCpk,spy_kaliteCeza,0)-IF(OR($D78&gt;$K78,$D78&lt;$L78),spy_kaliteSapma,0)-IF($P78="YETIM",spy_kaliteCeza,0))))</f>
        <v/>
      </c>
      <c r="N78" s="18">
        <f>IF($A78="","",IF(OR($J78&lt;spy_esikCpk,$D78&gt;$K78,$D78&lt;$L78,$M78&lt;spy_esikSaglik),"ALARM","UYGUN"))</f>
        <v/>
      </c>
      <c r="O78" s="18">
        <f>IF($A78="","",1)</f>
        <v/>
      </c>
      <c r="P78" s="18">
        <f>IF($A78="","",IF(OR($B78="",COUNTIF(tblProsesler[VarlikId],$B78)=0),"YETIM","TAMAM"))</f>
        <v/>
      </c>
    </row>
    <row r="79">
      <c r="A79" s="15" t="n"/>
      <c r="B79" s="15" t="n"/>
      <c r="C79" s="37" t="n"/>
      <c r="D79" s="16" t="n"/>
      <c r="E79" s="16" t="n"/>
      <c r="F79" s="17" t="n"/>
      <c r="G79" s="15" t="n"/>
      <c r="H79" s="18">
        <f>IF(OR($A79="",$E79=0),"",$E79/spy_d2)</f>
        <v/>
      </c>
      <c r="I79" s="18">
        <f>IF(OR($A79="",$H79=0),"",IFERROR((SUMIF(tblProsesler[VarlikId],$B79,tblProsesler[USL_birim])-SUMIF(tblProsesler[VarlikId],$B79,tblProsesler[LSL_birim]))/(spy_altiSigma*$H79),0))</f>
        <v/>
      </c>
      <c r="J79" s="18">
        <f>IF(OR($A79="",$H79=0),"",IFERROR(MIN((SUMIF(tblProsesler[VarlikId],$B79,tblProsesler[USL_birim])-$D79)/(spy_ucSigma*$H79),($D79-SUMIF(tblProsesler[VarlikId],$B79,tblProsesler[LSL_birim]))/(spy_ucSigma*$H79)),0))</f>
        <v/>
      </c>
      <c r="K79" s="18">
        <f>IF($A79="","",IFERROR(AVERAGEIF(tblOlcum[VarlikId],$B79,tblOlcum[Xbar_birim])+spy_A2*$E79,0))</f>
        <v/>
      </c>
      <c r="L79" s="18">
        <f>IF($A79="","",IFERROR(AVERAGEIF(tblOlcum[VarlikId],$B79,tblOlcum[Xbar_birim])-spy_A2*$E79,0))</f>
        <v/>
      </c>
      <c r="M79" s="18">
        <f>IF($A79="","",MAX(0,MIN(100,spy_kaliteTaban-IF($J79&lt;spy_esikCpk,spy_kaliteCeza,0)-IF(OR($D79&gt;$K79,$D79&lt;$L79),spy_kaliteSapma,0)-IF($P79="YETIM",spy_kaliteCeza,0))))</f>
        <v/>
      </c>
      <c r="N79" s="18">
        <f>IF($A79="","",IF(OR($J79&lt;spy_esikCpk,$D79&gt;$K79,$D79&lt;$L79,$M79&lt;spy_esikSaglik),"ALARM","UYGUN"))</f>
        <v/>
      </c>
      <c r="O79" s="18">
        <f>IF($A79="","",1)</f>
        <v/>
      </c>
      <c r="P79" s="18">
        <f>IF($A79="","",IF(OR($B79="",COUNTIF(tblProsesler[VarlikId],$B79)=0),"YETIM","TAMAM"))</f>
        <v/>
      </c>
    </row>
    <row r="80">
      <c r="A80" s="15" t="n"/>
      <c r="B80" s="15" t="n"/>
      <c r="C80" s="37" t="n"/>
      <c r="D80" s="16" t="n"/>
      <c r="E80" s="16" t="n"/>
      <c r="F80" s="17" t="n"/>
      <c r="G80" s="15" t="n"/>
      <c r="H80" s="18">
        <f>IF(OR($A80="",$E80=0),"",$E80/spy_d2)</f>
        <v/>
      </c>
      <c r="I80" s="18">
        <f>IF(OR($A80="",$H80=0),"",IFERROR((SUMIF(tblProsesler[VarlikId],$B80,tblProsesler[USL_birim])-SUMIF(tblProsesler[VarlikId],$B80,tblProsesler[LSL_birim]))/(spy_altiSigma*$H80),0))</f>
        <v/>
      </c>
      <c r="J80" s="18">
        <f>IF(OR($A80="",$H80=0),"",IFERROR(MIN((SUMIF(tblProsesler[VarlikId],$B80,tblProsesler[USL_birim])-$D80)/(spy_ucSigma*$H80),($D80-SUMIF(tblProsesler[VarlikId],$B80,tblProsesler[LSL_birim]))/(spy_ucSigma*$H80)),0))</f>
        <v/>
      </c>
      <c r="K80" s="18">
        <f>IF($A80="","",IFERROR(AVERAGEIF(tblOlcum[VarlikId],$B80,tblOlcum[Xbar_birim])+spy_A2*$E80,0))</f>
        <v/>
      </c>
      <c r="L80" s="18">
        <f>IF($A80="","",IFERROR(AVERAGEIF(tblOlcum[VarlikId],$B80,tblOlcum[Xbar_birim])-spy_A2*$E80,0))</f>
        <v/>
      </c>
      <c r="M80" s="18">
        <f>IF($A80="","",MAX(0,MIN(100,spy_kaliteTaban-IF($J80&lt;spy_esikCpk,spy_kaliteCeza,0)-IF(OR($D80&gt;$K80,$D80&lt;$L80),spy_kaliteSapma,0)-IF($P80="YETIM",spy_kaliteCeza,0))))</f>
        <v/>
      </c>
      <c r="N80" s="18">
        <f>IF($A80="","",IF(OR($J80&lt;spy_esikCpk,$D80&gt;$K80,$D80&lt;$L80,$M80&lt;spy_esikSaglik),"ALARM","UYGUN"))</f>
        <v/>
      </c>
      <c r="O80" s="18">
        <f>IF($A80="","",1)</f>
        <v/>
      </c>
      <c r="P80" s="18">
        <f>IF($A80="","",IF(OR($B80="",COUNTIF(tblProsesler[VarlikId],$B80)=0),"YETIM","TAMAM"))</f>
        <v/>
      </c>
    </row>
    <row r="81">
      <c r="A81" s="15" t="n"/>
      <c r="B81" s="15" t="n"/>
      <c r="C81" s="37" t="n"/>
      <c r="D81" s="16" t="n"/>
      <c r="E81" s="16" t="n"/>
      <c r="F81" s="17" t="n"/>
      <c r="G81" s="15" t="n"/>
      <c r="H81" s="18">
        <f>IF(OR($A81="",$E81=0),"",$E81/spy_d2)</f>
        <v/>
      </c>
      <c r="I81" s="18">
        <f>IF(OR($A81="",$H81=0),"",IFERROR((SUMIF(tblProsesler[VarlikId],$B81,tblProsesler[USL_birim])-SUMIF(tblProsesler[VarlikId],$B81,tblProsesler[LSL_birim]))/(spy_altiSigma*$H81),0))</f>
        <v/>
      </c>
      <c r="J81" s="18">
        <f>IF(OR($A81="",$H81=0),"",IFERROR(MIN((SUMIF(tblProsesler[VarlikId],$B81,tblProsesler[USL_birim])-$D81)/(spy_ucSigma*$H81),($D81-SUMIF(tblProsesler[VarlikId],$B81,tblProsesler[LSL_birim]))/(spy_ucSigma*$H81)),0))</f>
        <v/>
      </c>
      <c r="K81" s="18">
        <f>IF($A81="","",IFERROR(AVERAGEIF(tblOlcum[VarlikId],$B81,tblOlcum[Xbar_birim])+spy_A2*$E81,0))</f>
        <v/>
      </c>
      <c r="L81" s="18">
        <f>IF($A81="","",IFERROR(AVERAGEIF(tblOlcum[VarlikId],$B81,tblOlcum[Xbar_birim])-spy_A2*$E81,0))</f>
        <v/>
      </c>
      <c r="M81" s="18">
        <f>IF($A81="","",MAX(0,MIN(100,spy_kaliteTaban-IF($J81&lt;spy_esikCpk,spy_kaliteCeza,0)-IF(OR($D81&gt;$K81,$D81&lt;$L81),spy_kaliteSapma,0)-IF($P81="YETIM",spy_kaliteCeza,0))))</f>
        <v/>
      </c>
      <c r="N81" s="18">
        <f>IF($A81="","",IF(OR($J81&lt;spy_esikCpk,$D81&gt;$K81,$D81&lt;$L81,$M81&lt;spy_esikSaglik),"ALARM","UYGUN"))</f>
        <v/>
      </c>
      <c r="O81" s="18">
        <f>IF($A81="","",1)</f>
        <v/>
      </c>
      <c r="P81" s="18">
        <f>IF($A81="","",IF(OR($B81="",COUNTIF(tblProsesler[VarlikId],$B81)=0),"YETIM","TAMAM"))</f>
        <v/>
      </c>
    </row>
    <row r="82">
      <c r="A82" s="15" t="n"/>
      <c r="B82" s="15" t="n"/>
      <c r="C82" s="37" t="n"/>
      <c r="D82" s="16" t="n"/>
      <c r="E82" s="16" t="n"/>
      <c r="F82" s="17" t="n"/>
      <c r="G82" s="15" t="n"/>
      <c r="H82" s="18">
        <f>IF(OR($A82="",$E82=0),"",$E82/spy_d2)</f>
        <v/>
      </c>
      <c r="I82" s="18">
        <f>IF(OR($A82="",$H82=0),"",IFERROR((SUMIF(tblProsesler[VarlikId],$B82,tblProsesler[USL_birim])-SUMIF(tblProsesler[VarlikId],$B82,tblProsesler[LSL_birim]))/(spy_altiSigma*$H82),0))</f>
        <v/>
      </c>
      <c r="J82" s="18">
        <f>IF(OR($A82="",$H82=0),"",IFERROR(MIN((SUMIF(tblProsesler[VarlikId],$B82,tblProsesler[USL_birim])-$D82)/(spy_ucSigma*$H82),($D82-SUMIF(tblProsesler[VarlikId],$B82,tblProsesler[LSL_birim]))/(spy_ucSigma*$H82)),0))</f>
        <v/>
      </c>
      <c r="K82" s="18">
        <f>IF($A82="","",IFERROR(AVERAGEIF(tblOlcum[VarlikId],$B82,tblOlcum[Xbar_birim])+spy_A2*$E82,0))</f>
        <v/>
      </c>
      <c r="L82" s="18">
        <f>IF($A82="","",IFERROR(AVERAGEIF(tblOlcum[VarlikId],$B82,tblOlcum[Xbar_birim])-spy_A2*$E82,0))</f>
        <v/>
      </c>
      <c r="M82" s="18">
        <f>IF($A82="","",MAX(0,MIN(100,spy_kaliteTaban-IF($J82&lt;spy_esikCpk,spy_kaliteCeza,0)-IF(OR($D82&gt;$K82,$D82&lt;$L82),spy_kaliteSapma,0)-IF($P82="YETIM",spy_kaliteCeza,0))))</f>
        <v/>
      </c>
      <c r="N82" s="18">
        <f>IF($A82="","",IF(OR($J82&lt;spy_esikCpk,$D82&gt;$K82,$D82&lt;$L82,$M82&lt;spy_esikSaglik),"ALARM","UYGUN"))</f>
        <v/>
      </c>
      <c r="O82" s="18">
        <f>IF($A82="","",1)</f>
        <v/>
      </c>
      <c r="P82" s="18">
        <f>IF($A82="","",IF(OR($B82="",COUNTIF(tblProsesler[VarlikId],$B82)=0),"YETIM","TAMAM"))</f>
        <v/>
      </c>
    </row>
    <row r="83">
      <c r="A83" s="15" t="n"/>
      <c r="B83" s="15" t="n"/>
      <c r="C83" s="37" t="n"/>
      <c r="D83" s="16" t="n"/>
      <c r="E83" s="16" t="n"/>
      <c r="F83" s="17" t="n"/>
      <c r="G83" s="15" t="n"/>
      <c r="H83" s="18">
        <f>IF(OR($A83="",$E83=0),"",$E83/spy_d2)</f>
        <v/>
      </c>
      <c r="I83" s="18">
        <f>IF(OR($A83="",$H83=0),"",IFERROR((SUMIF(tblProsesler[VarlikId],$B83,tblProsesler[USL_birim])-SUMIF(tblProsesler[VarlikId],$B83,tblProsesler[LSL_birim]))/(spy_altiSigma*$H83),0))</f>
        <v/>
      </c>
      <c r="J83" s="18">
        <f>IF(OR($A83="",$H83=0),"",IFERROR(MIN((SUMIF(tblProsesler[VarlikId],$B83,tblProsesler[USL_birim])-$D83)/(spy_ucSigma*$H83),($D83-SUMIF(tblProsesler[VarlikId],$B83,tblProsesler[LSL_birim]))/(spy_ucSigma*$H83)),0))</f>
        <v/>
      </c>
      <c r="K83" s="18">
        <f>IF($A83="","",IFERROR(AVERAGEIF(tblOlcum[VarlikId],$B83,tblOlcum[Xbar_birim])+spy_A2*$E83,0))</f>
        <v/>
      </c>
      <c r="L83" s="18">
        <f>IF($A83="","",IFERROR(AVERAGEIF(tblOlcum[VarlikId],$B83,tblOlcum[Xbar_birim])-spy_A2*$E83,0))</f>
        <v/>
      </c>
      <c r="M83" s="18">
        <f>IF($A83="","",MAX(0,MIN(100,spy_kaliteTaban-IF($J83&lt;spy_esikCpk,spy_kaliteCeza,0)-IF(OR($D83&gt;$K83,$D83&lt;$L83),spy_kaliteSapma,0)-IF($P83="YETIM",spy_kaliteCeza,0))))</f>
        <v/>
      </c>
      <c r="N83" s="18">
        <f>IF($A83="","",IF(OR($J83&lt;spy_esikCpk,$D83&gt;$K83,$D83&lt;$L83,$M83&lt;spy_esikSaglik),"ALARM","UYGUN"))</f>
        <v/>
      </c>
      <c r="O83" s="18">
        <f>IF($A83="","",1)</f>
        <v/>
      </c>
      <c r="P83" s="18">
        <f>IF($A83="","",IF(OR($B83="",COUNTIF(tblProsesler[VarlikId],$B83)=0),"YETIM","TAMAM"))</f>
        <v/>
      </c>
    </row>
    <row r="84">
      <c r="A84" s="15" t="n"/>
      <c r="B84" s="15" t="n"/>
      <c r="C84" s="37" t="n"/>
      <c r="D84" s="16" t="n"/>
      <c r="E84" s="16" t="n"/>
      <c r="F84" s="17" t="n"/>
      <c r="G84" s="15" t="n"/>
      <c r="H84" s="18">
        <f>IF(OR($A84="",$E84=0),"",$E84/spy_d2)</f>
        <v/>
      </c>
      <c r="I84" s="18">
        <f>IF(OR($A84="",$H84=0),"",IFERROR((SUMIF(tblProsesler[VarlikId],$B84,tblProsesler[USL_birim])-SUMIF(tblProsesler[VarlikId],$B84,tblProsesler[LSL_birim]))/(spy_altiSigma*$H84),0))</f>
        <v/>
      </c>
      <c r="J84" s="18">
        <f>IF(OR($A84="",$H84=0),"",IFERROR(MIN((SUMIF(tblProsesler[VarlikId],$B84,tblProsesler[USL_birim])-$D84)/(spy_ucSigma*$H84),($D84-SUMIF(tblProsesler[VarlikId],$B84,tblProsesler[LSL_birim]))/(spy_ucSigma*$H84)),0))</f>
        <v/>
      </c>
      <c r="K84" s="18">
        <f>IF($A84="","",IFERROR(AVERAGEIF(tblOlcum[VarlikId],$B84,tblOlcum[Xbar_birim])+spy_A2*$E84,0))</f>
        <v/>
      </c>
      <c r="L84" s="18">
        <f>IF($A84="","",IFERROR(AVERAGEIF(tblOlcum[VarlikId],$B84,tblOlcum[Xbar_birim])-spy_A2*$E84,0))</f>
        <v/>
      </c>
      <c r="M84" s="18">
        <f>IF($A84="","",MAX(0,MIN(100,spy_kaliteTaban-IF($J84&lt;spy_esikCpk,spy_kaliteCeza,0)-IF(OR($D84&gt;$K84,$D84&lt;$L84),spy_kaliteSapma,0)-IF($P84="YETIM",spy_kaliteCeza,0))))</f>
        <v/>
      </c>
      <c r="N84" s="18">
        <f>IF($A84="","",IF(OR($J84&lt;spy_esikCpk,$D84&gt;$K84,$D84&lt;$L84,$M84&lt;spy_esikSaglik),"ALARM","UYGUN"))</f>
        <v/>
      </c>
      <c r="O84" s="18">
        <f>IF($A84="","",1)</f>
        <v/>
      </c>
      <c r="P84" s="18">
        <f>IF($A84="","",IF(OR($B84="",COUNTIF(tblProsesler[VarlikId],$B84)=0),"YETIM","TAMAM"))</f>
        <v/>
      </c>
    </row>
    <row r="85">
      <c r="A85" s="15" t="n"/>
      <c r="B85" s="15" t="n"/>
      <c r="C85" s="37" t="n"/>
      <c r="D85" s="16" t="n"/>
      <c r="E85" s="16" t="n"/>
      <c r="F85" s="17" t="n"/>
      <c r="G85" s="15" t="n"/>
      <c r="H85" s="18">
        <f>IF(OR($A85="",$E85=0),"",$E85/spy_d2)</f>
        <v/>
      </c>
      <c r="I85" s="18">
        <f>IF(OR($A85="",$H85=0),"",IFERROR((SUMIF(tblProsesler[VarlikId],$B85,tblProsesler[USL_birim])-SUMIF(tblProsesler[VarlikId],$B85,tblProsesler[LSL_birim]))/(spy_altiSigma*$H85),0))</f>
        <v/>
      </c>
      <c r="J85" s="18">
        <f>IF(OR($A85="",$H85=0),"",IFERROR(MIN((SUMIF(tblProsesler[VarlikId],$B85,tblProsesler[USL_birim])-$D85)/(spy_ucSigma*$H85),($D85-SUMIF(tblProsesler[VarlikId],$B85,tblProsesler[LSL_birim]))/(spy_ucSigma*$H85)),0))</f>
        <v/>
      </c>
      <c r="K85" s="18">
        <f>IF($A85="","",IFERROR(AVERAGEIF(tblOlcum[VarlikId],$B85,tblOlcum[Xbar_birim])+spy_A2*$E85,0))</f>
        <v/>
      </c>
      <c r="L85" s="18">
        <f>IF($A85="","",IFERROR(AVERAGEIF(tblOlcum[VarlikId],$B85,tblOlcum[Xbar_birim])-spy_A2*$E85,0))</f>
        <v/>
      </c>
      <c r="M85" s="18">
        <f>IF($A85="","",MAX(0,MIN(100,spy_kaliteTaban-IF($J85&lt;spy_esikCpk,spy_kaliteCeza,0)-IF(OR($D85&gt;$K85,$D85&lt;$L85),spy_kaliteSapma,0)-IF($P85="YETIM",spy_kaliteCeza,0))))</f>
        <v/>
      </c>
      <c r="N85" s="18">
        <f>IF($A85="","",IF(OR($J85&lt;spy_esikCpk,$D85&gt;$K85,$D85&lt;$L85,$M85&lt;spy_esikSaglik),"ALARM","UYGUN"))</f>
        <v/>
      </c>
      <c r="O85" s="18">
        <f>IF($A85="","",1)</f>
        <v/>
      </c>
      <c r="P85" s="18">
        <f>IF($A85="","",IF(OR($B85="",COUNTIF(tblProsesler[VarlikId],$B85)=0),"YETIM","TAMAM"))</f>
        <v/>
      </c>
    </row>
    <row r="86">
      <c r="A86" s="15" t="n"/>
      <c r="B86" s="15" t="n"/>
      <c r="C86" s="37" t="n"/>
      <c r="D86" s="16" t="n"/>
      <c r="E86" s="16" t="n"/>
      <c r="F86" s="17" t="n"/>
      <c r="G86" s="15" t="n"/>
      <c r="H86" s="18">
        <f>IF(OR($A86="",$E86=0),"",$E86/spy_d2)</f>
        <v/>
      </c>
      <c r="I86" s="18">
        <f>IF(OR($A86="",$H86=0),"",IFERROR((SUMIF(tblProsesler[VarlikId],$B86,tblProsesler[USL_birim])-SUMIF(tblProsesler[VarlikId],$B86,tblProsesler[LSL_birim]))/(spy_altiSigma*$H86),0))</f>
        <v/>
      </c>
      <c r="J86" s="18">
        <f>IF(OR($A86="",$H86=0),"",IFERROR(MIN((SUMIF(tblProsesler[VarlikId],$B86,tblProsesler[USL_birim])-$D86)/(spy_ucSigma*$H86),($D86-SUMIF(tblProsesler[VarlikId],$B86,tblProsesler[LSL_birim]))/(spy_ucSigma*$H86)),0))</f>
        <v/>
      </c>
      <c r="K86" s="18">
        <f>IF($A86="","",IFERROR(AVERAGEIF(tblOlcum[VarlikId],$B86,tblOlcum[Xbar_birim])+spy_A2*$E86,0))</f>
        <v/>
      </c>
      <c r="L86" s="18">
        <f>IF($A86="","",IFERROR(AVERAGEIF(tblOlcum[VarlikId],$B86,tblOlcum[Xbar_birim])-spy_A2*$E86,0))</f>
        <v/>
      </c>
      <c r="M86" s="18">
        <f>IF($A86="","",MAX(0,MIN(100,spy_kaliteTaban-IF($J86&lt;spy_esikCpk,spy_kaliteCeza,0)-IF(OR($D86&gt;$K86,$D86&lt;$L86),spy_kaliteSapma,0)-IF($P86="YETIM",spy_kaliteCeza,0))))</f>
        <v/>
      </c>
      <c r="N86" s="18">
        <f>IF($A86="","",IF(OR($J86&lt;spy_esikCpk,$D86&gt;$K86,$D86&lt;$L86,$M86&lt;spy_esikSaglik),"ALARM","UYGUN"))</f>
        <v/>
      </c>
      <c r="O86" s="18">
        <f>IF($A86="","",1)</f>
        <v/>
      </c>
      <c r="P86" s="18">
        <f>IF($A86="","",IF(OR($B86="",COUNTIF(tblProsesler[VarlikId],$B86)=0),"YETIM","TAMAM"))</f>
        <v/>
      </c>
    </row>
    <row r="87">
      <c r="A87" s="15" t="n"/>
      <c r="B87" s="15" t="n"/>
      <c r="C87" s="37" t="n"/>
      <c r="D87" s="16" t="n"/>
      <c r="E87" s="16" t="n"/>
      <c r="F87" s="17" t="n"/>
      <c r="G87" s="15" t="n"/>
      <c r="H87" s="18">
        <f>IF(OR($A87="",$E87=0),"",$E87/spy_d2)</f>
        <v/>
      </c>
      <c r="I87" s="18">
        <f>IF(OR($A87="",$H87=0),"",IFERROR((SUMIF(tblProsesler[VarlikId],$B87,tblProsesler[USL_birim])-SUMIF(tblProsesler[VarlikId],$B87,tblProsesler[LSL_birim]))/(spy_altiSigma*$H87),0))</f>
        <v/>
      </c>
      <c r="J87" s="18">
        <f>IF(OR($A87="",$H87=0),"",IFERROR(MIN((SUMIF(tblProsesler[VarlikId],$B87,tblProsesler[USL_birim])-$D87)/(spy_ucSigma*$H87),($D87-SUMIF(tblProsesler[VarlikId],$B87,tblProsesler[LSL_birim]))/(spy_ucSigma*$H87)),0))</f>
        <v/>
      </c>
      <c r="K87" s="18">
        <f>IF($A87="","",IFERROR(AVERAGEIF(tblOlcum[VarlikId],$B87,tblOlcum[Xbar_birim])+spy_A2*$E87,0))</f>
        <v/>
      </c>
      <c r="L87" s="18">
        <f>IF($A87="","",IFERROR(AVERAGEIF(tblOlcum[VarlikId],$B87,tblOlcum[Xbar_birim])-spy_A2*$E87,0))</f>
        <v/>
      </c>
      <c r="M87" s="18">
        <f>IF($A87="","",MAX(0,MIN(100,spy_kaliteTaban-IF($J87&lt;spy_esikCpk,spy_kaliteCeza,0)-IF(OR($D87&gt;$K87,$D87&lt;$L87),spy_kaliteSapma,0)-IF($P87="YETIM",spy_kaliteCeza,0))))</f>
        <v/>
      </c>
      <c r="N87" s="18">
        <f>IF($A87="","",IF(OR($J87&lt;spy_esikCpk,$D87&gt;$K87,$D87&lt;$L87,$M87&lt;spy_esikSaglik),"ALARM","UYGUN"))</f>
        <v/>
      </c>
      <c r="O87" s="18">
        <f>IF($A87="","",1)</f>
        <v/>
      </c>
      <c r="P87" s="18">
        <f>IF($A87="","",IF(OR($B87="",COUNTIF(tblProsesler[VarlikId],$B87)=0),"YETIM","TAMAM"))</f>
        <v/>
      </c>
    </row>
    <row r="88">
      <c r="A88" s="15" t="n"/>
      <c r="B88" s="15" t="n"/>
      <c r="C88" s="37" t="n"/>
      <c r="D88" s="16" t="n"/>
      <c r="E88" s="16" t="n"/>
      <c r="F88" s="17" t="n"/>
      <c r="G88" s="15" t="n"/>
      <c r="H88" s="18">
        <f>IF(OR($A88="",$E88=0),"",$E88/spy_d2)</f>
        <v/>
      </c>
      <c r="I88" s="18">
        <f>IF(OR($A88="",$H88=0),"",IFERROR((SUMIF(tblProsesler[VarlikId],$B88,tblProsesler[USL_birim])-SUMIF(tblProsesler[VarlikId],$B88,tblProsesler[LSL_birim]))/(spy_altiSigma*$H88),0))</f>
        <v/>
      </c>
      <c r="J88" s="18">
        <f>IF(OR($A88="",$H88=0),"",IFERROR(MIN((SUMIF(tblProsesler[VarlikId],$B88,tblProsesler[USL_birim])-$D88)/(spy_ucSigma*$H88),($D88-SUMIF(tblProsesler[VarlikId],$B88,tblProsesler[LSL_birim]))/(spy_ucSigma*$H88)),0))</f>
        <v/>
      </c>
      <c r="K88" s="18">
        <f>IF($A88="","",IFERROR(AVERAGEIF(tblOlcum[VarlikId],$B88,tblOlcum[Xbar_birim])+spy_A2*$E88,0))</f>
        <v/>
      </c>
      <c r="L88" s="18">
        <f>IF($A88="","",IFERROR(AVERAGEIF(tblOlcum[VarlikId],$B88,tblOlcum[Xbar_birim])-spy_A2*$E88,0))</f>
        <v/>
      </c>
      <c r="M88" s="18">
        <f>IF($A88="","",MAX(0,MIN(100,spy_kaliteTaban-IF($J88&lt;spy_esikCpk,spy_kaliteCeza,0)-IF(OR($D88&gt;$K88,$D88&lt;$L88),spy_kaliteSapma,0)-IF($P88="YETIM",spy_kaliteCeza,0))))</f>
        <v/>
      </c>
      <c r="N88" s="18">
        <f>IF($A88="","",IF(OR($J88&lt;spy_esikCpk,$D88&gt;$K88,$D88&lt;$L88,$M88&lt;spy_esikSaglik),"ALARM","UYGUN"))</f>
        <v/>
      </c>
      <c r="O88" s="18">
        <f>IF($A88="","",1)</f>
        <v/>
      </c>
      <c r="P88" s="18">
        <f>IF($A88="","",IF(OR($B88="",COUNTIF(tblProsesler[VarlikId],$B88)=0),"YETIM","TAMAM"))</f>
        <v/>
      </c>
    </row>
    <row r="89">
      <c r="A89" s="15" t="n"/>
      <c r="B89" s="15" t="n"/>
      <c r="C89" s="37" t="n"/>
      <c r="D89" s="16" t="n"/>
      <c r="E89" s="16" t="n"/>
      <c r="F89" s="17" t="n"/>
      <c r="G89" s="15" t="n"/>
      <c r="H89" s="18">
        <f>IF(OR($A89="",$E89=0),"",$E89/spy_d2)</f>
        <v/>
      </c>
      <c r="I89" s="18">
        <f>IF(OR($A89="",$H89=0),"",IFERROR((SUMIF(tblProsesler[VarlikId],$B89,tblProsesler[USL_birim])-SUMIF(tblProsesler[VarlikId],$B89,tblProsesler[LSL_birim]))/(spy_altiSigma*$H89),0))</f>
        <v/>
      </c>
      <c r="J89" s="18">
        <f>IF(OR($A89="",$H89=0),"",IFERROR(MIN((SUMIF(tblProsesler[VarlikId],$B89,tblProsesler[USL_birim])-$D89)/(spy_ucSigma*$H89),($D89-SUMIF(tblProsesler[VarlikId],$B89,tblProsesler[LSL_birim]))/(spy_ucSigma*$H89)),0))</f>
        <v/>
      </c>
      <c r="K89" s="18">
        <f>IF($A89="","",IFERROR(AVERAGEIF(tblOlcum[VarlikId],$B89,tblOlcum[Xbar_birim])+spy_A2*$E89,0))</f>
        <v/>
      </c>
      <c r="L89" s="18">
        <f>IF($A89="","",IFERROR(AVERAGEIF(tblOlcum[VarlikId],$B89,tblOlcum[Xbar_birim])-spy_A2*$E89,0))</f>
        <v/>
      </c>
      <c r="M89" s="18">
        <f>IF($A89="","",MAX(0,MIN(100,spy_kaliteTaban-IF($J89&lt;spy_esikCpk,spy_kaliteCeza,0)-IF(OR($D89&gt;$K89,$D89&lt;$L89),spy_kaliteSapma,0)-IF($P89="YETIM",spy_kaliteCeza,0))))</f>
        <v/>
      </c>
      <c r="N89" s="18">
        <f>IF($A89="","",IF(OR($J89&lt;spy_esikCpk,$D89&gt;$K89,$D89&lt;$L89,$M89&lt;spy_esikSaglik),"ALARM","UYGUN"))</f>
        <v/>
      </c>
      <c r="O89" s="18">
        <f>IF($A89="","",1)</f>
        <v/>
      </c>
      <c r="P89" s="18">
        <f>IF($A89="","",IF(OR($B89="",COUNTIF(tblProsesler[VarlikId],$B89)=0),"YETIM","TAMAM"))</f>
        <v/>
      </c>
    </row>
    <row r="90">
      <c r="A90" s="15" t="n"/>
      <c r="B90" s="15" t="n"/>
      <c r="C90" s="37" t="n"/>
      <c r="D90" s="16" t="n"/>
      <c r="E90" s="16" t="n"/>
      <c r="F90" s="17" t="n"/>
      <c r="G90" s="15" t="n"/>
      <c r="H90" s="18">
        <f>IF(OR($A90="",$E90=0),"",$E90/spy_d2)</f>
        <v/>
      </c>
      <c r="I90" s="18">
        <f>IF(OR($A90="",$H90=0),"",IFERROR((SUMIF(tblProsesler[VarlikId],$B90,tblProsesler[USL_birim])-SUMIF(tblProsesler[VarlikId],$B90,tblProsesler[LSL_birim]))/(spy_altiSigma*$H90),0))</f>
        <v/>
      </c>
      <c r="J90" s="18">
        <f>IF(OR($A90="",$H90=0),"",IFERROR(MIN((SUMIF(tblProsesler[VarlikId],$B90,tblProsesler[USL_birim])-$D90)/(spy_ucSigma*$H90),($D90-SUMIF(tblProsesler[VarlikId],$B90,tblProsesler[LSL_birim]))/(spy_ucSigma*$H90)),0))</f>
        <v/>
      </c>
      <c r="K90" s="18">
        <f>IF($A90="","",IFERROR(AVERAGEIF(tblOlcum[VarlikId],$B90,tblOlcum[Xbar_birim])+spy_A2*$E90,0))</f>
        <v/>
      </c>
      <c r="L90" s="18">
        <f>IF($A90="","",IFERROR(AVERAGEIF(tblOlcum[VarlikId],$B90,tblOlcum[Xbar_birim])-spy_A2*$E90,0))</f>
        <v/>
      </c>
      <c r="M90" s="18">
        <f>IF($A90="","",MAX(0,MIN(100,spy_kaliteTaban-IF($J90&lt;spy_esikCpk,spy_kaliteCeza,0)-IF(OR($D90&gt;$K90,$D90&lt;$L90),spy_kaliteSapma,0)-IF($P90="YETIM",spy_kaliteCeza,0))))</f>
        <v/>
      </c>
      <c r="N90" s="18">
        <f>IF($A90="","",IF(OR($J90&lt;spy_esikCpk,$D90&gt;$K90,$D90&lt;$L90,$M90&lt;spy_esikSaglik),"ALARM","UYGUN"))</f>
        <v/>
      </c>
      <c r="O90" s="18">
        <f>IF($A90="","",1)</f>
        <v/>
      </c>
      <c r="P90" s="18">
        <f>IF($A90="","",IF(OR($B90="",COUNTIF(tblProsesler[VarlikId],$B90)=0),"YETIM","TAMAM"))</f>
        <v/>
      </c>
    </row>
    <row r="91">
      <c r="A91" s="15" t="n"/>
      <c r="B91" s="15" t="n"/>
      <c r="C91" s="37" t="n"/>
      <c r="D91" s="16" t="n"/>
      <c r="E91" s="16" t="n"/>
      <c r="F91" s="17" t="n"/>
      <c r="G91" s="15" t="n"/>
      <c r="H91" s="18">
        <f>IF(OR($A91="",$E91=0),"",$E91/spy_d2)</f>
        <v/>
      </c>
      <c r="I91" s="18">
        <f>IF(OR($A91="",$H91=0),"",IFERROR((SUMIF(tblProsesler[VarlikId],$B91,tblProsesler[USL_birim])-SUMIF(tblProsesler[VarlikId],$B91,tblProsesler[LSL_birim]))/(spy_altiSigma*$H91),0))</f>
        <v/>
      </c>
      <c r="J91" s="18">
        <f>IF(OR($A91="",$H91=0),"",IFERROR(MIN((SUMIF(tblProsesler[VarlikId],$B91,tblProsesler[USL_birim])-$D91)/(spy_ucSigma*$H91),($D91-SUMIF(tblProsesler[VarlikId],$B91,tblProsesler[LSL_birim]))/(spy_ucSigma*$H91)),0))</f>
        <v/>
      </c>
      <c r="K91" s="18">
        <f>IF($A91="","",IFERROR(AVERAGEIF(tblOlcum[VarlikId],$B91,tblOlcum[Xbar_birim])+spy_A2*$E91,0))</f>
        <v/>
      </c>
      <c r="L91" s="18">
        <f>IF($A91="","",IFERROR(AVERAGEIF(tblOlcum[VarlikId],$B91,tblOlcum[Xbar_birim])-spy_A2*$E91,0))</f>
        <v/>
      </c>
      <c r="M91" s="18">
        <f>IF($A91="","",MAX(0,MIN(100,spy_kaliteTaban-IF($J91&lt;spy_esikCpk,spy_kaliteCeza,0)-IF(OR($D91&gt;$K91,$D91&lt;$L91),spy_kaliteSapma,0)-IF($P91="YETIM",spy_kaliteCeza,0))))</f>
        <v/>
      </c>
      <c r="N91" s="18">
        <f>IF($A91="","",IF(OR($J91&lt;spy_esikCpk,$D91&gt;$K91,$D91&lt;$L91,$M91&lt;spy_esikSaglik),"ALARM","UYGUN"))</f>
        <v/>
      </c>
      <c r="O91" s="18">
        <f>IF($A91="","",1)</f>
        <v/>
      </c>
      <c r="P91" s="18">
        <f>IF($A91="","",IF(OR($B91="",COUNTIF(tblProsesler[VarlikId],$B91)=0),"YETIM","TAMAM"))</f>
        <v/>
      </c>
    </row>
    <row r="92">
      <c r="A92" s="15" t="n"/>
      <c r="B92" s="15" t="n"/>
      <c r="C92" s="37" t="n"/>
      <c r="D92" s="16" t="n"/>
      <c r="E92" s="16" t="n"/>
      <c r="F92" s="17" t="n"/>
      <c r="G92" s="15" t="n"/>
      <c r="H92" s="18">
        <f>IF(OR($A92="",$E92=0),"",$E92/spy_d2)</f>
        <v/>
      </c>
      <c r="I92" s="18">
        <f>IF(OR($A92="",$H92=0),"",IFERROR((SUMIF(tblProsesler[VarlikId],$B92,tblProsesler[USL_birim])-SUMIF(tblProsesler[VarlikId],$B92,tblProsesler[LSL_birim]))/(spy_altiSigma*$H92),0))</f>
        <v/>
      </c>
      <c r="J92" s="18">
        <f>IF(OR($A92="",$H92=0),"",IFERROR(MIN((SUMIF(tblProsesler[VarlikId],$B92,tblProsesler[USL_birim])-$D92)/(spy_ucSigma*$H92),($D92-SUMIF(tblProsesler[VarlikId],$B92,tblProsesler[LSL_birim]))/(spy_ucSigma*$H92)),0))</f>
        <v/>
      </c>
      <c r="K92" s="18">
        <f>IF($A92="","",IFERROR(AVERAGEIF(tblOlcum[VarlikId],$B92,tblOlcum[Xbar_birim])+spy_A2*$E92,0))</f>
        <v/>
      </c>
      <c r="L92" s="18">
        <f>IF($A92="","",IFERROR(AVERAGEIF(tblOlcum[VarlikId],$B92,tblOlcum[Xbar_birim])-spy_A2*$E92,0))</f>
        <v/>
      </c>
      <c r="M92" s="18">
        <f>IF($A92="","",MAX(0,MIN(100,spy_kaliteTaban-IF($J92&lt;spy_esikCpk,spy_kaliteCeza,0)-IF(OR($D92&gt;$K92,$D92&lt;$L92),spy_kaliteSapma,0)-IF($P92="YETIM",spy_kaliteCeza,0))))</f>
        <v/>
      </c>
      <c r="N92" s="18">
        <f>IF($A92="","",IF(OR($J92&lt;spy_esikCpk,$D92&gt;$K92,$D92&lt;$L92,$M92&lt;spy_esikSaglik),"ALARM","UYGUN"))</f>
        <v/>
      </c>
      <c r="O92" s="18">
        <f>IF($A92="","",1)</f>
        <v/>
      </c>
      <c r="P92" s="18">
        <f>IF($A92="","",IF(OR($B92="",COUNTIF(tblProsesler[VarlikId],$B92)=0),"YETIM","TAMAM"))</f>
        <v/>
      </c>
    </row>
    <row r="93">
      <c r="A93" s="15" t="n"/>
      <c r="B93" s="15" t="n"/>
      <c r="C93" s="37" t="n"/>
      <c r="D93" s="16" t="n"/>
      <c r="E93" s="16" t="n"/>
      <c r="F93" s="17" t="n"/>
      <c r="G93" s="15" t="n"/>
      <c r="H93" s="18">
        <f>IF(OR($A93="",$E93=0),"",$E93/spy_d2)</f>
        <v/>
      </c>
      <c r="I93" s="18">
        <f>IF(OR($A93="",$H93=0),"",IFERROR((SUMIF(tblProsesler[VarlikId],$B93,tblProsesler[USL_birim])-SUMIF(tblProsesler[VarlikId],$B93,tblProsesler[LSL_birim]))/(spy_altiSigma*$H93),0))</f>
        <v/>
      </c>
      <c r="J93" s="18">
        <f>IF(OR($A93="",$H93=0),"",IFERROR(MIN((SUMIF(tblProsesler[VarlikId],$B93,tblProsesler[USL_birim])-$D93)/(spy_ucSigma*$H93),($D93-SUMIF(tblProsesler[VarlikId],$B93,tblProsesler[LSL_birim]))/(spy_ucSigma*$H93)),0))</f>
        <v/>
      </c>
      <c r="K93" s="18">
        <f>IF($A93="","",IFERROR(AVERAGEIF(tblOlcum[VarlikId],$B93,tblOlcum[Xbar_birim])+spy_A2*$E93,0))</f>
        <v/>
      </c>
      <c r="L93" s="18">
        <f>IF($A93="","",IFERROR(AVERAGEIF(tblOlcum[VarlikId],$B93,tblOlcum[Xbar_birim])-spy_A2*$E93,0))</f>
        <v/>
      </c>
      <c r="M93" s="18">
        <f>IF($A93="","",MAX(0,MIN(100,spy_kaliteTaban-IF($J93&lt;spy_esikCpk,spy_kaliteCeza,0)-IF(OR($D93&gt;$K93,$D93&lt;$L93),spy_kaliteSapma,0)-IF($P93="YETIM",spy_kaliteCeza,0))))</f>
        <v/>
      </c>
      <c r="N93" s="18">
        <f>IF($A93="","",IF(OR($J93&lt;spy_esikCpk,$D93&gt;$K93,$D93&lt;$L93,$M93&lt;spy_esikSaglik),"ALARM","UYGUN"))</f>
        <v/>
      </c>
      <c r="O93" s="18">
        <f>IF($A93="","",1)</f>
        <v/>
      </c>
      <c r="P93" s="18">
        <f>IF($A93="","",IF(OR($B93="",COUNTIF(tblProsesler[VarlikId],$B93)=0),"YETIM","TAMAM"))</f>
        <v/>
      </c>
    </row>
    <row r="94">
      <c r="A94" s="15" t="n"/>
      <c r="B94" s="15" t="n"/>
      <c r="C94" s="37" t="n"/>
      <c r="D94" s="16" t="n"/>
      <c r="E94" s="16" t="n"/>
      <c r="F94" s="17" t="n"/>
      <c r="G94" s="15" t="n"/>
      <c r="H94" s="18">
        <f>IF(OR($A94="",$E94=0),"",$E94/spy_d2)</f>
        <v/>
      </c>
      <c r="I94" s="18">
        <f>IF(OR($A94="",$H94=0),"",IFERROR((SUMIF(tblProsesler[VarlikId],$B94,tblProsesler[USL_birim])-SUMIF(tblProsesler[VarlikId],$B94,tblProsesler[LSL_birim]))/(spy_altiSigma*$H94),0))</f>
        <v/>
      </c>
      <c r="J94" s="18">
        <f>IF(OR($A94="",$H94=0),"",IFERROR(MIN((SUMIF(tblProsesler[VarlikId],$B94,tblProsesler[USL_birim])-$D94)/(spy_ucSigma*$H94),($D94-SUMIF(tblProsesler[VarlikId],$B94,tblProsesler[LSL_birim]))/(spy_ucSigma*$H94)),0))</f>
        <v/>
      </c>
      <c r="K94" s="18">
        <f>IF($A94="","",IFERROR(AVERAGEIF(tblOlcum[VarlikId],$B94,tblOlcum[Xbar_birim])+spy_A2*$E94,0))</f>
        <v/>
      </c>
      <c r="L94" s="18">
        <f>IF($A94="","",IFERROR(AVERAGEIF(tblOlcum[VarlikId],$B94,tblOlcum[Xbar_birim])-spy_A2*$E94,0))</f>
        <v/>
      </c>
      <c r="M94" s="18">
        <f>IF($A94="","",MAX(0,MIN(100,spy_kaliteTaban-IF($J94&lt;spy_esikCpk,spy_kaliteCeza,0)-IF(OR($D94&gt;$K94,$D94&lt;$L94),spy_kaliteSapma,0)-IF($P94="YETIM",spy_kaliteCeza,0))))</f>
        <v/>
      </c>
      <c r="N94" s="18">
        <f>IF($A94="","",IF(OR($J94&lt;spy_esikCpk,$D94&gt;$K94,$D94&lt;$L94,$M94&lt;spy_esikSaglik),"ALARM","UYGUN"))</f>
        <v/>
      </c>
      <c r="O94" s="18">
        <f>IF($A94="","",1)</f>
        <v/>
      </c>
      <c r="P94" s="18">
        <f>IF($A94="","",IF(OR($B94="",COUNTIF(tblProsesler[VarlikId],$B94)=0),"YETIM","TAMAM"))</f>
        <v/>
      </c>
    </row>
    <row r="95">
      <c r="A95" s="15" t="n"/>
      <c r="B95" s="15" t="n"/>
      <c r="C95" s="37" t="n"/>
      <c r="D95" s="16" t="n"/>
      <c r="E95" s="16" t="n"/>
      <c r="F95" s="17" t="n"/>
      <c r="G95" s="15" t="n"/>
      <c r="H95" s="18">
        <f>IF(OR($A95="",$E95=0),"",$E95/spy_d2)</f>
        <v/>
      </c>
      <c r="I95" s="18">
        <f>IF(OR($A95="",$H95=0),"",IFERROR((SUMIF(tblProsesler[VarlikId],$B95,tblProsesler[USL_birim])-SUMIF(tblProsesler[VarlikId],$B95,tblProsesler[LSL_birim]))/(spy_altiSigma*$H95),0))</f>
        <v/>
      </c>
      <c r="J95" s="18">
        <f>IF(OR($A95="",$H95=0),"",IFERROR(MIN((SUMIF(tblProsesler[VarlikId],$B95,tblProsesler[USL_birim])-$D95)/(spy_ucSigma*$H95),($D95-SUMIF(tblProsesler[VarlikId],$B95,tblProsesler[LSL_birim]))/(spy_ucSigma*$H95)),0))</f>
        <v/>
      </c>
      <c r="K95" s="18">
        <f>IF($A95="","",IFERROR(AVERAGEIF(tblOlcum[VarlikId],$B95,tblOlcum[Xbar_birim])+spy_A2*$E95,0))</f>
        <v/>
      </c>
      <c r="L95" s="18">
        <f>IF($A95="","",IFERROR(AVERAGEIF(tblOlcum[VarlikId],$B95,tblOlcum[Xbar_birim])-spy_A2*$E95,0))</f>
        <v/>
      </c>
      <c r="M95" s="18">
        <f>IF($A95="","",MAX(0,MIN(100,spy_kaliteTaban-IF($J95&lt;spy_esikCpk,spy_kaliteCeza,0)-IF(OR($D95&gt;$K95,$D95&lt;$L95),spy_kaliteSapma,0)-IF($P95="YETIM",spy_kaliteCeza,0))))</f>
        <v/>
      </c>
      <c r="N95" s="18">
        <f>IF($A95="","",IF(OR($J95&lt;spy_esikCpk,$D95&gt;$K95,$D95&lt;$L95,$M95&lt;spy_esikSaglik),"ALARM","UYGUN"))</f>
        <v/>
      </c>
      <c r="O95" s="18">
        <f>IF($A95="","",1)</f>
        <v/>
      </c>
      <c r="P95" s="18">
        <f>IF($A95="","",IF(OR($B95="",COUNTIF(tblProsesler[VarlikId],$B95)=0),"YETIM","TAMAM"))</f>
        <v/>
      </c>
    </row>
    <row r="96">
      <c r="A96" s="15" t="n"/>
      <c r="B96" s="15" t="n"/>
      <c r="C96" s="37" t="n"/>
      <c r="D96" s="16" t="n"/>
      <c r="E96" s="16" t="n"/>
      <c r="F96" s="17" t="n"/>
      <c r="G96" s="15" t="n"/>
      <c r="H96" s="18">
        <f>IF(OR($A96="",$E96=0),"",$E96/spy_d2)</f>
        <v/>
      </c>
      <c r="I96" s="18">
        <f>IF(OR($A96="",$H96=0),"",IFERROR((SUMIF(tblProsesler[VarlikId],$B96,tblProsesler[USL_birim])-SUMIF(tblProsesler[VarlikId],$B96,tblProsesler[LSL_birim]))/(spy_altiSigma*$H96),0))</f>
        <v/>
      </c>
      <c r="J96" s="18">
        <f>IF(OR($A96="",$H96=0),"",IFERROR(MIN((SUMIF(tblProsesler[VarlikId],$B96,tblProsesler[USL_birim])-$D96)/(spy_ucSigma*$H96),($D96-SUMIF(tblProsesler[VarlikId],$B96,tblProsesler[LSL_birim]))/(spy_ucSigma*$H96)),0))</f>
        <v/>
      </c>
      <c r="K96" s="18">
        <f>IF($A96="","",IFERROR(AVERAGEIF(tblOlcum[VarlikId],$B96,tblOlcum[Xbar_birim])+spy_A2*$E96,0))</f>
        <v/>
      </c>
      <c r="L96" s="18">
        <f>IF($A96="","",IFERROR(AVERAGEIF(tblOlcum[VarlikId],$B96,tblOlcum[Xbar_birim])-spy_A2*$E96,0))</f>
        <v/>
      </c>
      <c r="M96" s="18">
        <f>IF($A96="","",MAX(0,MIN(100,spy_kaliteTaban-IF($J96&lt;spy_esikCpk,spy_kaliteCeza,0)-IF(OR($D96&gt;$K96,$D96&lt;$L96),spy_kaliteSapma,0)-IF($P96="YETIM",spy_kaliteCeza,0))))</f>
        <v/>
      </c>
      <c r="N96" s="18">
        <f>IF($A96="","",IF(OR($J96&lt;spy_esikCpk,$D96&gt;$K96,$D96&lt;$L96,$M96&lt;spy_esikSaglik),"ALARM","UYGUN"))</f>
        <v/>
      </c>
      <c r="O96" s="18">
        <f>IF($A96="","",1)</f>
        <v/>
      </c>
      <c r="P96" s="18">
        <f>IF($A96="","",IF(OR($B96="",COUNTIF(tblProsesler[VarlikId],$B96)=0),"YETIM","TAMAM"))</f>
        <v/>
      </c>
    </row>
    <row r="97">
      <c r="A97" s="15" t="n"/>
      <c r="B97" s="15" t="n"/>
      <c r="C97" s="37" t="n"/>
      <c r="D97" s="16" t="n"/>
      <c r="E97" s="16" t="n"/>
      <c r="F97" s="17" t="n"/>
      <c r="G97" s="15" t="n"/>
      <c r="H97" s="18">
        <f>IF(OR($A97="",$E97=0),"",$E97/spy_d2)</f>
        <v/>
      </c>
      <c r="I97" s="18">
        <f>IF(OR($A97="",$H97=0),"",IFERROR((SUMIF(tblProsesler[VarlikId],$B97,tblProsesler[USL_birim])-SUMIF(tblProsesler[VarlikId],$B97,tblProsesler[LSL_birim]))/(spy_altiSigma*$H97),0))</f>
        <v/>
      </c>
      <c r="J97" s="18">
        <f>IF(OR($A97="",$H97=0),"",IFERROR(MIN((SUMIF(tblProsesler[VarlikId],$B97,tblProsesler[USL_birim])-$D97)/(spy_ucSigma*$H97),($D97-SUMIF(tblProsesler[VarlikId],$B97,tblProsesler[LSL_birim]))/(spy_ucSigma*$H97)),0))</f>
        <v/>
      </c>
      <c r="K97" s="18">
        <f>IF($A97="","",IFERROR(AVERAGEIF(tblOlcum[VarlikId],$B97,tblOlcum[Xbar_birim])+spy_A2*$E97,0))</f>
        <v/>
      </c>
      <c r="L97" s="18">
        <f>IF($A97="","",IFERROR(AVERAGEIF(tblOlcum[VarlikId],$B97,tblOlcum[Xbar_birim])-spy_A2*$E97,0))</f>
        <v/>
      </c>
      <c r="M97" s="18">
        <f>IF($A97="","",MAX(0,MIN(100,spy_kaliteTaban-IF($J97&lt;spy_esikCpk,spy_kaliteCeza,0)-IF(OR($D97&gt;$K97,$D97&lt;$L97),spy_kaliteSapma,0)-IF($P97="YETIM",spy_kaliteCeza,0))))</f>
        <v/>
      </c>
      <c r="N97" s="18">
        <f>IF($A97="","",IF(OR($J97&lt;spy_esikCpk,$D97&gt;$K97,$D97&lt;$L97,$M97&lt;spy_esikSaglik),"ALARM","UYGUN"))</f>
        <v/>
      </c>
      <c r="O97" s="18">
        <f>IF($A97="","",1)</f>
        <v/>
      </c>
      <c r="P97" s="18">
        <f>IF($A97="","",IF(OR($B97="",COUNTIF(tblProsesler[VarlikId],$B97)=0),"YETIM","TAMAM"))</f>
        <v/>
      </c>
    </row>
    <row r="98">
      <c r="A98" s="15" t="n"/>
      <c r="B98" s="15" t="n"/>
      <c r="C98" s="37" t="n"/>
      <c r="D98" s="16" t="n"/>
      <c r="E98" s="16" t="n"/>
      <c r="F98" s="17" t="n"/>
      <c r="G98" s="15" t="n"/>
      <c r="H98" s="18">
        <f>IF(OR($A98="",$E98=0),"",$E98/spy_d2)</f>
        <v/>
      </c>
      <c r="I98" s="18">
        <f>IF(OR($A98="",$H98=0),"",IFERROR((SUMIF(tblProsesler[VarlikId],$B98,tblProsesler[USL_birim])-SUMIF(tblProsesler[VarlikId],$B98,tblProsesler[LSL_birim]))/(spy_altiSigma*$H98),0))</f>
        <v/>
      </c>
      <c r="J98" s="18">
        <f>IF(OR($A98="",$H98=0),"",IFERROR(MIN((SUMIF(tblProsesler[VarlikId],$B98,tblProsesler[USL_birim])-$D98)/(spy_ucSigma*$H98),($D98-SUMIF(tblProsesler[VarlikId],$B98,tblProsesler[LSL_birim]))/(spy_ucSigma*$H98)),0))</f>
        <v/>
      </c>
      <c r="K98" s="18">
        <f>IF($A98="","",IFERROR(AVERAGEIF(tblOlcum[VarlikId],$B98,tblOlcum[Xbar_birim])+spy_A2*$E98,0))</f>
        <v/>
      </c>
      <c r="L98" s="18">
        <f>IF($A98="","",IFERROR(AVERAGEIF(tblOlcum[VarlikId],$B98,tblOlcum[Xbar_birim])-spy_A2*$E98,0))</f>
        <v/>
      </c>
      <c r="M98" s="18">
        <f>IF($A98="","",MAX(0,MIN(100,spy_kaliteTaban-IF($J98&lt;spy_esikCpk,spy_kaliteCeza,0)-IF(OR($D98&gt;$K98,$D98&lt;$L98),spy_kaliteSapma,0)-IF($P98="YETIM",spy_kaliteCeza,0))))</f>
        <v/>
      </c>
      <c r="N98" s="18">
        <f>IF($A98="","",IF(OR($J98&lt;spy_esikCpk,$D98&gt;$K98,$D98&lt;$L98,$M98&lt;spy_esikSaglik),"ALARM","UYGUN"))</f>
        <v/>
      </c>
      <c r="O98" s="18">
        <f>IF($A98="","",1)</f>
        <v/>
      </c>
      <c r="P98" s="18">
        <f>IF($A98="","",IF(OR($B98="",COUNTIF(tblProsesler[VarlikId],$B98)=0),"YETIM","TAMAM"))</f>
        <v/>
      </c>
    </row>
    <row r="99">
      <c r="A99" s="15" t="n"/>
      <c r="B99" s="15" t="n"/>
      <c r="C99" s="37" t="n"/>
      <c r="D99" s="16" t="n"/>
      <c r="E99" s="16" t="n"/>
      <c r="F99" s="17" t="n"/>
      <c r="G99" s="15" t="n"/>
      <c r="H99" s="18">
        <f>IF(OR($A99="",$E99=0),"",$E99/spy_d2)</f>
        <v/>
      </c>
      <c r="I99" s="18">
        <f>IF(OR($A99="",$H99=0),"",IFERROR((SUMIF(tblProsesler[VarlikId],$B99,tblProsesler[USL_birim])-SUMIF(tblProsesler[VarlikId],$B99,tblProsesler[LSL_birim]))/(spy_altiSigma*$H99),0))</f>
        <v/>
      </c>
      <c r="J99" s="18">
        <f>IF(OR($A99="",$H99=0),"",IFERROR(MIN((SUMIF(tblProsesler[VarlikId],$B99,tblProsesler[USL_birim])-$D99)/(spy_ucSigma*$H99),($D99-SUMIF(tblProsesler[VarlikId],$B99,tblProsesler[LSL_birim]))/(spy_ucSigma*$H99)),0))</f>
        <v/>
      </c>
      <c r="K99" s="18">
        <f>IF($A99="","",IFERROR(AVERAGEIF(tblOlcum[VarlikId],$B99,tblOlcum[Xbar_birim])+spy_A2*$E99,0))</f>
        <v/>
      </c>
      <c r="L99" s="18">
        <f>IF($A99="","",IFERROR(AVERAGEIF(tblOlcum[VarlikId],$B99,tblOlcum[Xbar_birim])-spy_A2*$E99,0))</f>
        <v/>
      </c>
      <c r="M99" s="18">
        <f>IF($A99="","",MAX(0,MIN(100,spy_kaliteTaban-IF($J99&lt;spy_esikCpk,spy_kaliteCeza,0)-IF(OR($D99&gt;$K99,$D99&lt;$L99),spy_kaliteSapma,0)-IF($P99="YETIM",spy_kaliteCeza,0))))</f>
        <v/>
      </c>
      <c r="N99" s="18">
        <f>IF($A99="","",IF(OR($J99&lt;spy_esikCpk,$D99&gt;$K99,$D99&lt;$L99,$M99&lt;spy_esikSaglik),"ALARM","UYGUN"))</f>
        <v/>
      </c>
      <c r="O99" s="18">
        <f>IF($A99="","",1)</f>
        <v/>
      </c>
      <c r="P99" s="18">
        <f>IF($A99="","",IF(OR($B99="",COUNTIF(tblProsesler[VarlikId],$B99)=0),"YETIM","TAMAM"))</f>
        <v/>
      </c>
    </row>
    <row r="100">
      <c r="A100" s="15" t="n"/>
      <c r="B100" s="15" t="n"/>
      <c r="C100" s="37" t="n"/>
      <c r="D100" s="16" t="n"/>
      <c r="E100" s="16" t="n"/>
      <c r="F100" s="17" t="n"/>
      <c r="G100" s="15" t="n"/>
      <c r="H100" s="18">
        <f>IF(OR($A100="",$E100=0),"",$E100/spy_d2)</f>
        <v/>
      </c>
      <c r="I100" s="18">
        <f>IF(OR($A100="",$H100=0),"",IFERROR((SUMIF(tblProsesler[VarlikId],$B100,tblProsesler[USL_birim])-SUMIF(tblProsesler[VarlikId],$B100,tblProsesler[LSL_birim]))/(spy_altiSigma*$H100),0))</f>
        <v/>
      </c>
      <c r="J100" s="18">
        <f>IF(OR($A100="",$H100=0),"",IFERROR(MIN((SUMIF(tblProsesler[VarlikId],$B100,tblProsesler[USL_birim])-$D100)/(spy_ucSigma*$H100),($D100-SUMIF(tblProsesler[VarlikId],$B100,tblProsesler[LSL_birim]))/(spy_ucSigma*$H100)),0))</f>
        <v/>
      </c>
      <c r="K100" s="18">
        <f>IF($A100="","",IFERROR(AVERAGEIF(tblOlcum[VarlikId],$B100,tblOlcum[Xbar_birim])+spy_A2*$E100,0))</f>
        <v/>
      </c>
      <c r="L100" s="18">
        <f>IF($A100="","",IFERROR(AVERAGEIF(tblOlcum[VarlikId],$B100,tblOlcum[Xbar_birim])-spy_A2*$E100,0))</f>
        <v/>
      </c>
      <c r="M100" s="18">
        <f>IF($A100="","",MAX(0,MIN(100,spy_kaliteTaban-IF($J100&lt;spy_esikCpk,spy_kaliteCeza,0)-IF(OR($D100&gt;$K100,$D100&lt;$L100),spy_kaliteSapma,0)-IF($P100="YETIM",spy_kaliteCeza,0))))</f>
        <v/>
      </c>
      <c r="N100" s="18">
        <f>IF($A100="","",IF(OR($J100&lt;spy_esikCpk,$D100&gt;$K100,$D100&lt;$L100,$M100&lt;spy_esikSaglik),"ALARM","UYGUN"))</f>
        <v/>
      </c>
      <c r="O100" s="18">
        <f>IF($A100="","",1)</f>
        <v/>
      </c>
      <c r="P100" s="18">
        <f>IF($A100="","",IF(OR($B100="",COUNTIF(tblProsesler[VarlikId],$B100)=0),"YETIM","TAMAM"))</f>
        <v/>
      </c>
    </row>
    <row r="101">
      <c r="A101" s="15" t="n"/>
      <c r="B101" s="15" t="n"/>
      <c r="C101" s="37" t="n"/>
      <c r="D101" s="16" t="n"/>
      <c r="E101" s="16" t="n"/>
      <c r="F101" s="17" t="n"/>
      <c r="G101" s="15" t="n"/>
      <c r="H101" s="18">
        <f>IF(OR($A101="",$E101=0),"",$E101/spy_d2)</f>
        <v/>
      </c>
      <c r="I101" s="18">
        <f>IF(OR($A101="",$H101=0),"",IFERROR((SUMIF(tblProsesler[VarlikId],$B101,tblProsesler[USL_birim])-SUMIF(tblProsesler[VarlikId],$B101,tblProsesler[LSL_birim]))/(spy_altiSigma*$H101),0))</f>
        <v/>
      </c>
      <c r="J101" s="18">
        <f>IF(OR($A101="",$H101=0),"",IFERROR(MIN((SUMIF(tblProsesler[VarlikId],$B101,tblProsesler[USL_birim])-$D101)/(spy_ucSigma*$H101),($D101-SUMIF(tblProsesler[VarlikId],$B101,tblProsesler[LSL_birim]))/(spy_ucSigma*$H101)),0))</f>
        <v/>
      </c>
      <c r="K101" s="18">
        <f>IF($A101="","",IFERROR(AVERAGEIF(tblOlcum[VarlikId],$B101,tblOlcum[Xbar_birim])+spy_A2*$E101,0))</f>
        <v/>
      </c>
      <c r="L101" s="18">
        <f>IF($A101="","",IFERROR(AVERAGEIF(tblOlcum[VarlikId],$B101,tblOlcum[Xbar_birim])-spy_A2*$E101,0))</f>
        <v/>
      </c>
      <c r="M101" s="18">
        <f>IF($A101="","",MAX(0,MIN(100,spy_kaliteTaban-IF($J101&lt;spy_esikCpk,spy_kaliteCeza,0)-IF(OR($D101&gt;$K101,$D101&lt;$L101),spy_kaliteSapma,0)-IF($P101="YETIM",spy_kaliteCeza,0))))</f>
        <v/>
      </c>
      <c r="N101" s="18">
        <f>IF($A101="","",IF(OR($J101&lt;spy_esikCpk,$D101&gt;$K101,$D101&lt;$L101,$M101&lt;spy_esikSaglik),"ALARM","UYGUN"))</f>
        <v/>
      </c>
      <c r="O101" s="18">
        <f>IF($A101="","",1)</f>
        <v/>
      </c>
      <c r="P101" s="18">
        <f>IF($A101="","",IF(OR($B101="",COUNTIF(tblProsesler[VarlikId],$B101)=0),"YETIM","TAMAM"))</f>
        <v/>
      </c>
    </row>
    <row r="102">
      <c r="A102" s="15" t="n"/>
      <c r="B102" s="15" t="n"/>
      <c r="C102" s="37" t="n"/>
      <c r="D102" s="16" t="n"/>
      <c r="E102" s="16" t="n"/>
      <c r="F102" s="17" t="n"/>
      <c r="G102" s="15" t="n"/>
      <c r="H102" s="18">
        <f>IF(OR($A102="",$E102=0),"",$E102/spy_d2)</f>
        <v/>
      </c>
      <c r="I102" s="18">
        <f>IF(OR($A102="",$H102=0),"",IFERROR((SUMIF(tblProsesler[VarlikId],$B102,tblProsesler[USL_birim])-SUMIF(tblProsesler[VarlikId],$B102,tblProsesler[LSL_birim]))/(spy_altiSigma*$H102),0))</f>
        <v/>
      </c>
      <c r="J102" s="18">
        <f>IF(OR($A102="",$H102=0),"",IFERROR(MIN((SUMIF(tblProsesler[VarlikId],$B102,tblProsesler[USL_birim])-$D102)/(spy_ucSigma*$H102),($D102-SUMIF(tblProsesler[VarlikId],$B102,tblProsesler[LSL_birim]))/(spy_ucSigma*$H102)),0))</f>
        <v/>
      </c>
      <c r="K102" s="18">
        <f>IF($A102="","",IFERROR(AVERAGEIF(tblOlcum[VarlikId],$B102,tblOlcum[Xbar_birim])+spy_A2*$E102,0))</f>
        <v/>
      </c>
      <c r="L102" s="18">
        <f>IF($A102="","",IFERROR(AVERAGEIF(tblOlcum[VarlikId],$B102,tblOlcum[Xbar_birim])-spy_A2*$E102,0))</f>
        <v/>
      </c>
      <c r="M102" s="18">
        <f>IF($A102="","",MAX(0,MIN(100,spy_kaliteTaban-IF($J102&lt;spy_esikCpk,spy_kaliteCeza,0)-IF(OR($D102&gt;$K102,$D102&lt;$L102),spy_kaliteSapma,0)-IF($P102="YETIM",spy_kaliteCeza,0))))</f>
        <v/>
      </c>
      <c r="N102" s="18">
        <f>IF($A102="","",IF(OR($J102&lt;spy_esikCpk,$D102&gt;$K102,$D102&lt;$L102,$M102&lt;spy_esikSaglik),"ALARM","UYGUN"))</f>
        <v/>
      </c>
      <c r="O102" s="18">
        <f>IF($A102="","",1)</f>
        <v/>
      </c>
      <c r="P102" s="18">
        <f>IF($A102="","",IF(OR($B102="",COUNTIF(tblProsesler[VarlikId],$B102)=0),"YETIM","TAMAM"))</f>
        <v/>
      </c>
    </row>
    <row r="103">
      <c r="A103" s="15" t="n"/>
      <c r="B103" s="15" t="n"/>
      <c r="C103" s="37" t="n"/>
      <c r="D103" s="16" t="n"/>
      <c r="E103" s="16" t="n"/>
      <c r="F103" s="17" t="n"/>
      <c r="G103" s="15" t="n"/>
      <c r="H103" s="18">
        <f>IF(OR($A103="",$E103=0),"",$E103/spy_d2)</f>
        <v/>
      </c>
      <c r="I103" s="18">
        <f>IF(OR($A103="",$H103=0),"",IFERROR((SUMIF(tblProsesler[VarlikId],$B103,tblProsesler[USL_birim])-SUMIF(tblProsesler[VarlikId],$B103,tblProsesler[LSL_birim]))/(spy_altiSigma*$H103),0))</f>
        <v/>
      </c>
      <c r="J103" s="18">
        <f>IF(OR($A103="",$H103=0),"",IFERROR(MIN((SUMIF(tblProsesler[VarlikId],$B103,tblProsesler[USL_birim])-$D103)/(spy_ucSigma*$H103),($D103-SUMIF(tblProsesler[VarlikId],$B103,tblProsesler[LSL_birim]))/(spy_ucSigma*$H103)),0))</f>
        <v/>
      </c>
      <c r="K103" s="18">
        <f>IF($A103="","",IFERROR(AVERAGEIF(tblOlcum[VarlikId],$B103,tblOlcum[Xbar_birim])+spy_A2*$E103,0))</f>
        <v/>
      </c>
      <c r="L103" s="18">
        <f>IF($A103="","",IFERROR(AVERAGEIF(tblOlcum[VarlikId],$B103,tblOlcum[Xbar_birim])-spy_A2*$E103,0))</f>
        <v/>
      </c>
      <c r="M103" s="18">
        <f>IF($A103="","",MAX(0,MIN(100,spy_kaliteTaban-IF($J103&lt;spy_esikCpk,spy_kaliteCeza,0)-IF(OR($D103&gt;$K103,$D103&lt;$L103),spy_kaliteSapma,0)-IF($P103="YETIM",spy_kaliteCeza,0))))</f>
        <v/>
      </c>
      <c r="N103" s="18">
        <f>IF($A103="","",IF(OR($J103&lt;spy_esikCpk,$D103&gt;$K103,$D103&lt;$L103,$M103&lt;spy_esikSaglik),"ALARM","UYGUN"))</f>
        <v/>
      </c>
      <c r="O103" s="18">
        <f>IF($A103="","",1)</f>
        <v/>
      </c>
      <c r="P103" s="18">
        <f>IF($A103="","",IF(OR($B103="",COUNTIF(tblProsesler[VarlikId],$B103)=0),"YETIM","TAMAM"))</f>
        <v/>
      </c>
    </row>
    <row r="104">
      <c r="A104" s="15" t="n"/>
      <c r="B104" s="15" t="n"/>
      <c r="C104" s="37" t="n"/>
      <c r="D104" s="16" t="n"/>
      <c r="E104" s="16" t="n"/>
      <c r="F104" s="17" t="n"/>
      <c r="G104" s="15" t="n"/>
      <c r="H104" s="18">
        <f>IF(OR($A104="",$E104=0),"",$E104/spy_d2)</f>
        <v/>
      </c>
      <c r="I104" s="18">
        <f>IF(OR($A104="",$H104=0),"",IFERROR((SUMIF(tblProsesler[VarlikId],$B104,tblProsesler[USL_birim])-SUMIF(tblProsesler[VarlikId],$B104,tblProsesler[LSL_birim]))/(spy_altiSigma*$H104),0))</f>
        <v/>
      </c>
      <c r="J104" s="18">
        <f>IF(OR($A104="",$H104=0),"",IFERROR(MIN((SUMIF(tblProsesler[VarlikId],$B104,tblProsesler[USL_birim])-$D104)/(spy_ucSigma*$H104),($D104-SUMIF(tblProsesler[VarlikId],$B104,tblProsesler[LSL_birim]))/(spy_ucSigma*$H104)),0))</f>
        <v/>
      </c>
      <c r="K104" s="18">
        <f>IF($A104="","",IFERROR(AVERAGEIF(tblOlcum[VarlikId],$B104,tblOlcum[Xbar_birim])+spy_A2*$E104,0))</f>
        <v/>
      </c>
      <c r="L104" s="18">
        <f>IF($A104="","",IFERROR(AVERAGEIF(tblOlcum[VarlikId],$B104,tblOlcum[Xbar_birim])-spy_A2*$E104,0))</f>
        <v/>
      </c>
      <c r="M104" s="18">
        <f>IF($A104="","",MAX(0,MIN(100,spy_kaliteTaban-IF($J104&lt;spy_esikCpk,spy_kaliteCeza,0)-IF(OR($D104&gt;$K104,$D104&lt;$L104),spy_kaliteSapma,0)-IF($P104="YETIM",spy_kaliteCeza,0))))</f>
        <v/>
      </c>
      <c r="N104" s="18">
        <f>IF($A104="","",IF(OR($J104&lt;spy_esikCpk,$D104&gt;$K104,$D104&lt;$L104,$M104&lt;spy_esikSaglik),"ALARM","UYGUN"))</f>
        <v/>
      </c>
      <c r="O104" s="18">
        <f>IF($A104="","",1)</f>
        <v/>
      </c>
      <c r="P104" s="18">
        <f>IF($A104="","",IF(OR($B104="",COUNTIF(tblProsesler[VarlikId],$B104)=0),"YETIM","TAMAM"))</f>
        <v/>
      </c>
    </row>
    <row r="105">
      <c r="A105" s="15" t="n"/>
      <c r="B105" s="15" t="n"/>
      <c r="C105" s="37" t="n"/>
      <c r="D105" s="16" t="n"/>
      <c r="E105" s="16" t="n"/>
      <c r="F105" s="17" t="n"/>
      <c r="G105" s="15" t="n"/>
      <c r="H105" s="18">
        <f>IF(OR($A105="",$E105=0),"",$E105/spy_d2)</f>
        <v/>
      </c>
      <c r="I105" s="18">
        <f>IF(OR($A105="",$H105=0),"",IFERROR((SUMIF(tblProsesler[VarlikId],$B105,tblProsesler[USL_birim])-SUMIF(tblProsesler[VarlikId],$B105,tblProsesler[LSL_birim]))/(spy_altiSigma*$H105),0))</f>
        <v/>
      </c>
      <c r="J105" s="18">
        <f>IF(OR($A105="",$H105=0),"",IFERROR(MIN((SUMIF(tblProsesler[VarlikId],$B105,tblProsesler[USL_birim])-$D105)/(spy_ucSigma*$H105),($D105-SUMIF(tblProsesler[VarlikId],$B105,tblProsesler[LSL_birim]))/(spy_ucSigma*$H105)),0))</f>
        <v/>
      </c>
      <c r="K105" s="18">
        <f>IF($A105="","",IFERROR(AVERAGEIF(tblOlcum[VarlikId],$B105,tblOlcum[Xbar_birim])+spy_A2*$E105,0))</f>
        <v/>
      </c>
      <c r="L105" s="18">
        <f>IF($A105="","",IFERROR(AVERAGEIF(tblOlcum[VarlikId],$B105,tblOlcum[Xbar_birim])-spy_A2*$E105,0))</f>
        <v/>
      </c>
      <c r="M105" s="18">
        <f>IF($A105="","",MAX(0,MIN(100,spy_kaliteTaban-IF($J105&lt;spy_esikCpk,spy_kaliteCeza,0)-IF(OR($D105&gt;$K105,$D105&lt;$L105),spy_kaliteSapma,0)-IF($P105="YETIM",spy_kaliteCeza,0))))</f>
        <v/>
      </c>
      <c r="N105" s="18">
        <f>IF($A105="","",IF(OR($J105&lt;spy_esikCpk,$D105&gt;$K105,$D105&lt;$L105,$M105&lt;spy_esikSaglik),"ALARM","UYGUN"))</f>
        <v/>
      </c>
      <c r="O105" s="18">
        <f>IF($A105="","",1)</f>
        <v/>
      </c>
      <c r="P105" s="18">
        <f>IF($A105="","",IF(OR($B105="",COUNTIF(tblProsesler[VarlikId],$B105)=0),"YETIM","TAMAM"))</f>
        <v/>
      </c>
    </row>
    <row r="106">
      <c r="A106" s="15" t="n"/>
      <c r="B106" s="15" t="n"/>
      <c r="C106" s="37" t="n"/>
      <c r="D106" s="16" t="n"/>
      <c r="E106" s="16" t="n"/>
      <c r="F106" s="17" t="n"/>
      <c r="G106" s="15" t="n"/>
      <c r="H106" s="18">
        <f>IF(OR($A106="",$E106=0),"",$E106/spy_d2)</f>
        <v/>
      </c>
      <c r="I106" s="18">
        <f>IF(OR($A106="",$H106=0),"",IFERROR((SUMIF(tblProsesler[VarlikId],$B106,tblProsesler[USL_birim])-SUMIF(tblProsesler[VarlikId],$B106,tblProsesler[LSL_birim]))/(spy_altiSigma*$H106),0))</f>
        <v/>
      </c>
      <c r="J106" s="18">
        <f>IF(OR($A106="",$H106=0),"",IFERROR(MIN((SUMIF(tblProsesler[VarlikId],$B106,tblProsesler[USL_birim])-$D106)/(spy_ucSigma*$H106),($D106-SUMIF(tblProsesler[VarlikId],$B106,tblProsesler[LSL_birim]))/(spy_ucSigma*$H106)),0))</f>
        <v/>
      </c>
      <c r="K106" s="18">
        <f>IF($A106="","",IFERROR(AVERAGEIF(tblOlcum[VarlikId],$B106,tblOlcum[Xbar_birim])+spy_A2*$E106,0))</f>
        <v/>
      </c>
      <c r="L106" s="18">
        <f>IF($A106="","",IFERROR(AVERAGEIF(tblOlcum[VarlikId],$B106,tblOlcum[Xbar_birim])-spy_A2*$E106,0))</f>
        <v/>
      </c>
      <c r="M106" s="18">
        <f>IF($A106="","",MAX(0,MIN(100,spy_kaliteTaban-IF($J106&lt;spy_esikCpk,spy_kaliteCeza,0)-IF(OR($D106&gt;$K106,$D106&lt;$L106),spy_kaliteSapma,0)-IF($P106="YETIM",spy_kaliteCeza,0))))</f>
        <v/>
      </c>
      <c r="N106" s="18">
        <f>IF($A106="","",IF(OR($J106&lt;spy_esikCpk,$D106&gt;$K106,$D106&lt;$L106,$M106&lt;spy_esikSaglik),"ALARM","UYGUN"))</f>
        <v/>
      </c>
      <c r="O106" s="18">
        <f>IF($A106="","",1)</f>
        <v/>
      </c>
      <c r="P106" s="18">
        <f>IF($A106="","",IF(OR($B106="",COUNTIF(tblProsesler[VarlikId],$B106)=0),"YETIM","TAMAM"))</f>
        <v/>
      </c>
    </row>
    <row r="107">
      <c r="A107" s="15" t="n"/>
      <c r="B107" s="15" t="n"/>
      <c r="C107" s="37" t="n"/>
      <c r="D107" s="16" t="n"/>
      <c r="E107" s="16" t="n"/>
      <c r="F107" s="17" t="n"/>
      <c r="G107" s="15" t="n"/>
      <c r="H107" s="18">
        <f>IF(OR($A107="",$E107=0),"",$E107/spy_d2)</f>
        <v/>
      </c>
      <c r="I107" s="18">
        <f>IF(OR($A107="",$H107=0),"",IFERROR((SUMIF(tblProsesler[VarlikId],$B107,tblProsesler[USL_birim])-SUMIF(tblProsesler[VarlikId],$B107,tblProsesler[LSL_birim]))/(spy_altiSigma*$H107),0))</f>
        <v/>
      </c>
      <c r="J107" s="18">
        <f>IF(OR($A107="",$H107=0),"",IFERROR(MIN((SUMIF(tblProsesler[VarlikId],$B107,tblProsesler[USL_birim])-$D107)/(spy_ucSigma*$H107),($D107-SUMIF(tblProsesler[VarlikId],$B107,tblProsesler[LSL_birim]))/(spy_ucSigma*$H107)),0))</f>
        <v/>
      </c>
      <c r="K107" s="18">
        <f>IF($A107="","",IFERROR(AVERAGEIF(tblOlcum[VarlikId],$B107,tblOlcum[Xbar_birim])+spy_A2*$E107,0))</f>
        <v/>
      </c>
      <c r="L107" s="18">
        <f>IF($A107="","",IFERROR(AVERAGEIF(tblOlcum[VarlikId],$B107,tblOlcum[Xbar_birim])-spy_A2*$E107,0))</f>
        <v/>
      </c>
      <c r="M107" s="18">
        <f>IF($A107="","",MAX(0,MIN(100,spy_kaliteTaban-IF($J107&lt;spy_esikCpk,spy_kaliteCeza,0)-IF(OR($D107&gt;$K107,$D107&lt;$L107),spy_kaliteSapma,0)-IF($P107="YETIM",spy_kaliteCeza,0))))</f>
        <v/>
      </c>
      <c r="N107" s="18">
        <f>IF($A107="","",IF(OR($J107&lt;spy_esikCpk,$D107&gt;$K107,$D107&lt;$L107,$M107&lt;spy_esikSaglik),"ALARM","UYGUN"))</f>
        <v/>
      </c>
      <c r="O107" s="18">
        <f>IF($A107="","",1)</f>
        <v/>
      </c>
      <c r="P107" s="18">
        <f>IF($A107="","",IF(OR($B107="",COUNTIF(tblProsesler[VarlikId],$B107)=0),"YETIM","TAMAM"))</f>
        <v/>
      </c>
    </row>
    <row r="108">
      <c r="A108" s="15" t="n"/>
      <c r="B108" s="15" t="n"/>
      <c r="C108" s="37" t="n"/>
      <c r="D108" s="16" t="n"/>
      <c r="E108" s="16" t="n"/>
      <c r="F108" s="17" t="n"/>
      <c r="G108" s="15" t="n"/>
      <c r="H108" s="18">
        <f>IF(OR($A108="",$E108=0),"",$E108/spy_d2)</f>
        <v/>
      </c>
      <c r="I108" s="18">
        <f>IF(OR($A108="",$H108=0),"",IFERROR((SUMIF(tblProsesler[VarlikId],$B108,tblProsesler[USL_birim])-SUMIF(tblProsesler[VarlikId],$B108,tblProsesler[LSL_birim]))/(spy_altiSigma*$H108),0))</f>
        <v/>
      </c>
      <c r="J108" s="18">
        <f>IF(OR($A108="",$H108=0),"",IFERROR(MIN((SUMIF(tblProsesler[VarlikId],$B108,tblProsesler[USL_birim])-$D108)/(spy_ucSigma*$H108),($D108-SUMIF(tblProsesler[VarlikId],$B108,tblProsesler[LSL_birim]))/(spy_ucSigma*$H108)),0))</f>
        <v/>
      </c>
      <c r="K108" s="18">
        <f>IF($A108="","",IFERROR(AVERAGEIF(tblOlcum[VarlikId],$B108,tblOlcum[Xbar_birim])+spy_A2*$E108,0))</f>
        <v/>
      </c>
      <c r="L108" s="18">
        <f>IF($A108="","",IFERROR(AVERAGEIF(tblOlcum[VarlikId],$B108,tblOlcum[Xbar_birim])-spy_A2*$E108,0))</f>
        <v/>
      </c>
      <c r="M108" s="18">
        <f>IF($A108="","",MAX(0,MIN(100,spy_kaliteTaban-IF($J108&lt;spy_esikCpk,spy_kaliteCeza,0)-IF(OR($D108&gt;$K108,$D108&lt;$L108),spy_kaliteSapma,0)-IF($P108="YETIM",spy_kaliteCeza,0))))</f>
        <v/>
      </c>
      <c r="N108" s="18">
        <f>IF($A108="","",IF(OR($J108&lt;spy_esikCpk,$D108&gt;$K108,$D108&lt;$L108,$M108&lt;spy_esikSaglik),"ALARM","UYGUN"))</f>
        <v/>
      </c>
      <c r="O108" s="18">
        <f>IF($A108="","",1)</f>
        <v/>
      </c>
      <c r="P108" s="18">
        <f>IF($A108="","",IF(OR($B108="",COUNTIF(tblProsesler[VarlikId],$B108)=0),"YETIM","TAMAM"))</f>
        <v/>
      </c>
    </row>
    <row r="109">
      <c r="A109" s="15" t="n"/>
      <c r="B109" s="15" t="n"/>
      <c r="C109" s="37" t="n"/>
      <c r="D109" s="16" t="n"/>
      <c r="E109" s="16" t="n"/>
      <c r="F109" s="17" t="n"/>
      <c r="G109" s="15" t="n"/>
      <c r="H109" s="18">
        <f>IF(OR($A109="",$E109=0),"",$E109/spy_d2)</f>
        <v/>
      </c>
      <c r="I109" s="18">
        <f>IF(OR($A109="",$H109=0),"",IFERROR((SUMIF(tblProsesler[VarlikId],$B109,tblProsesler[USL_birim])-SUMIF(tblProsesler[VarlikId],$B109,tblProsesler[LSL_birim]))/(spy_altiSigma*$H109),0))</f>
        <v/>
      </c>
      <c r="J109" s="18">
        <f>IF(OR($A109="",$H109=0),"",IFERROR(MIN((SUMIF(tblProsesler[VarlikId],$B109,tblProsesler[USL_birim])-$D109)/(spy_ucSigma*$H109),($D109-SUMIF(tblProsesler[VarlikId],$B109,tblProsesler[LSL_birim]))/(spy_ucSigma*$H109)),0))</f>
        <v/>
      </c>
      <c r="K109" s="18">
        <f>IF($A109="","",IFERROR(AVERAGEIF(tblOlcum[VarlikId],$B109,tblOlcum[Xbar_birim])+spy_A2*$E109,0))</f>
        <v/>
      </c>
      <c r="L109" s="18">
        <f>IF($A109="","",IFERROR(AVERAGEIF(tblOlcum[VarlikId],$B109,tblOlcum[Xbar_birim])-spy_A2*$E109,0))</f>
        <v/>
      </c>
      <c r="M109" s="18">
        <f>IF($A109="","",MAX(0,MIN(100,spy_kaliteTaban-IF($J109&lt;spy_esikCpk,spy_kaliteCeza,0)-IF(OR($D109&gt;$K109,$D109&lt;$L109),spy_kaliteSapma,0)-IF($P109="YETIM",spy_kaliteCeza,0))))</f>
        <v/>
      </c>
      <c r="N109" s="18">
        <f>IF($A109="","",IF(OR($J109&lt;spy_esikCpk,$D109&gt;$K109,$D109&lt;$L109,$M109&lt;spy_esikSaglik),"ALARM","UYGUN"))</f>
        <v/>
      </c>
      <c r="O109" s="18">
        <f>IF($A109="","",1)</f>
        <v/>
      </c>
      <c r="P109" s="18">
        <f>IF($A109="","",IF(OR($B109="",COUNTIF(tblProsesler[VarlikId],$B109)=0),"YETIM","TAMAM"))</f>
        <v/>
      </c>
    </row>
    <row r="110">
      <c r="A110" s="15" t="n"/>
      <c r="B110" s="15" t="n"/>
      <c r="C110" s="37" t="n"/>
      <c r="D110" s="16" t="n"/>
      <c r="E110" s="16" t="n"/>
      <c r="F110" s="17" t="n"/>
      <c r="G110" s="15" t="n"/>
      <c r="H110" s="18">
        <f>IF(OR($A110="",$E110=0),"",$E110/spy_d2)</f>
        <v/>
      </c>
      <c r="I110" s="18">
        <f>IF(OR($A110="",$H110=0),"",IFERROR((SUMIF(tblProsesler[VarlikId],$B110,tblProsesler[USL_birim])-SUMIF(tblProsesler[VarlikId],$B110,tblProsesler[LSL_birim]))/(spy_altiSigma*$H110),0))</f>
        <v/>
      </c>
      <c r="J110" s="18">
        <f>IF(OR($A110="",$H110=0),"",IFERROR(MIN((SUMIF(tblProsesler[VarlikId],$B110,tblProsesler[USL_birim])-$D110)/(spy_ucSigma*$H110),($D110-SUMIF(tblProsesler[VarlikId],$B110,tblProsesler[LSL_birim]))/(spy_ucSigma*$H110)),0))</f>
        <v/>
      </c>
      <c r="K110" s="18">
        <f>IF($A110="","",IFERROR(AVERAGEIF(tblOlcum[VarlikId],$B110,tblOlcum[Xbar_birim])+spy_A2*$E110,0))</f>
        <v/>
      </c>
      <c r="L110" s="18">
        <f>IF($A110="","",IFERROR(AVERAGEIF(tblOlcum[VarlikId],$B110,tblOlcum[Xbar_birim])-spy_A2*$E110,0))</f>
        <v/>
      </c>
      <c r="M110" s="18">
        <f>IF($A110="","",MAX(0,MIN(100,spy_kaliteTaban-IF($J110&lt;spy_esikCpk,spy_kaliteCeza,0)-IF(OR($D110&gt;$K110,$D110&lt;$L110),spy_kaliteSapma,0)-IF($P110="YETIM",spy_kaliteCeza,0))))</f>
        <v/>
      </c>
      <c r="N110" s="18">
        <f>IF($A110="","",IF(OR($J110&lt;spy_esikCpk,$D110&gt;$K110,$D110&lt;$L110,$M110&lt;spy_esikSaglik),"ALARM","UYGUN"))</f>
        <v/>
      </c>
      <c r="O110" s="18">
        <f>IF($A110="","",1)</f>
        <v/>
      </c>
      <c r="P110" s="18">
        <f>IF($A110="","",IF(OR($B110="",COUNTIF(tblProsesler[VarlikId],$B110)=0),"YETIM","TAMAM"))</f>
        <v/>
      </c>
    </row>
    <row r="111">
      <c r="A111" s="15" t="n"/>
      <c r="B111" s="15" t="n"/>
      <c r="C111" s="37" t="n"/>
      <c r="D111" s="16" t="n"/>
      <c r="E111" s="16" t="n"/>
      <c r="F111" s="17" t="n"/>
      <c r="G111" s="15" t="n"/>
      <c r="H111" s="18">
        <f>IF(OR($A111="",$E111=0),"",$E111/spy_d2)</f>
        <v/>
      </c>
      <c r="I111" s="18">
        <f>IF(OR($A111="",$H111=0),"",IFERROR((SUMIF(tblProsesler[VarlikId],$B111,tblProsesler[USL_birim])-SUMIF(tblProsesler[VarlikId],$B111,tblProsesler[LSL_birim]))/(spy_altiSigma*$H111),0))</f>
        <v/>
      </c>
      <c r="J111" s="18">
        <f>IF(OR($A111="",$H111=0),"",IFERROR(MIN((SUMIF(tblProsesler[VarlikId],$B111,tblProsesler[USL_birim])-$D111)/(spy_ucSigma*$H111),($D111-SUMIF(tblProsesler[VarlikId],$B111,tblProsesler[LSL_birim]))/(spy_ucSigma*$H111)),0))</f>
        <v/>
      </c>
      <c r="K111" s="18">
        <f>IF($A111="","",IFERROR(AVERAGEIF(tblOlcum[VarlikId],$B111,tblOlcum[Xbar_birim])+spy_A2*$E111,0))</f>
        <v/>
      </c>
      <c r="L111" s="18">
        <f>IF($A111="","",IFERROR(AVERAGEIF(tblOlcum[VarlikId],$B111,tblOlcum[Xbar_birim])-spy_A2*$E111,0))</f>
        <v/>
      </c>
      <c r="M111" s="18">
        <f>IF($A111="","",MAX(0,MIN(100,spy_kaliteTaban-IF($J111&lt;spy_esikCpk,spy_kaliteCeza,0)-IF(OR($D111&gt;$K111,$D111&lt;$L111),spy_kaliteSapma,0)-IF($P111="YETIM",spy_kaliteCeza,0))))</f>
        <v/>
      </c>
      <c r="N111" s="18">
        <f>IF($A111="","",IF(OR($J111&lt;spy_esikCpk,$D111&gt;$K111,$D111&lt;$L111,$M111&lt;spy_esikSaglik),"ALARM","UYGUN"))</f>
        <v/>
      </c>
      <c r="O111" s="18">
        <f>IF($A111="","",1)</f>
        <v/>
      </c>
      <c r="P111" s="18">
        <f>IF($A111="","",IF(OR($B111="",COUNTIF(tblProsesler[VarlikId],$B111)=0),"YETIM","TAMAM"))</f>
        <v/>
      </c>
    </row>
    <row r="112">
      <c r="A112" s="15" t="n"/>
      <c r="B112" s="15" t="n"/>
      <c r="C112" s="37" t="n"/>
      <c r="D112" s="16" t="n"/>
      <c r="E112" s="16" t="n"/>
      <c r="F112" s="17" t="n"/>
      <c r="G112" s="15" t="n"/>
      <c r="H112" s="18">
        <f>IF(OR($A112="",$E112=0),"",$E112/spy_d2)</f>
        <v/>
      </c>
      <c r="I112" s="18">
        <f>IF(OR($A112="",$H112=0),"",IFERROR((SUMIF(tblProsesler[VarlikId],$B112,tblProsesler[USL_birim])-SUMIF(tblProsesler[VarlikId],$B112,tblProsesler[LSL_birim]))/(spy_altiSigma*$H112),0))</f>
        <v/>
      </c>
      <c r="J112" s="18">
        <f>IF(OR($A112="",$H112=0),"",IFERROR(MIN((SUMIF(tblProsesler[VarlikId],$B112,tblProsesler[USL_birim])-$D112)/(spy_ucSigma*$H112),($D112-SUMIF(tblProsesler[VarlikId],$B112,tblProsesler[LSL_birim]))/(spy_ucSigma*$H112)),0))</f>
        <v/>
      </c>
      <c r="K112" s="18">
        <f>IF($A112="","",IFERROR(AVERAGEIF(tblOlcum[VarlikId],$B112,tblOlcum[Xbar_birim])+spy_A2*$E112,0))</f>
        <v/>
      </c>
      <c r="L112" s="18">
        <f>IF($A112="","",IFERROR(AVERAGEIF(tblOlcum[VarlikId],$B112,tblOlcum[Xbar_birim])-spy_A2*$E112,0))</f>
        <v/>
      </c>
      <c r="M112" s="18">
        <f>IF($A112="","",MAX(0,MIN(100,spy_kaliteTaban-IF($J112&lt;spy_esikCpk,spy_kaliteCeza,0)-IF(OR($D112&gt;$K112,$D112&lt;$L112),spy_kaliteSapma,0)-IF($P112="YETIM",spy_kaliteCeza,0))))</f>
        <v/>
      </c>
      <c r="N112" s="18">
        <f>IF($A112="","",IF(OR($J112&lt;spy_esikCpk,$D112&gt;$K112,$D112&lt;$L112,$M112&lt;spy_esikSaglik),"ALARM","UYGUN"))</f>
        <v/>
      </c>
      <c r="O112" s="18">
        <f>IF($A112="","",1)</f>
        <v/>
      </c>
      <c r="P112" s="18">
        <f>IF($A112="","",IF(OR($B112="",COUNTIF(tblProsesler[VarlikId],$B112)=0),"YETIM","TAMAM"))</f>
        <v/>
      </c>
    </row>
    <row r="113">
      <c r="A113" s="15" t="n"/>
      <c r="B113" s="15" t="n"/>
      <c r="C113" s="37" t="n"/>
      <c r="D113" s="16" t="n"/>
      <c r="E113" s="16" t="n"/>
      <c r="F113" s="17" t="n"/>
      <c r="G113" s="15" t="n"/>
      <c r="H113" s="18">
        <f>IF(OR($A113="",$E113=0),"",$E113/spy_d2)</f>
        <v/>
      </c>
      <c r="I113" s="18">
        <f>IF(OR($A113="",$H113=0),"",IFERROR((SUMIF(tblProsesler[VarlikId],$B113,tblProsesler[USL_birim])-SUMIF(tblProsesler[VarlikId],$B113,tblProsesler[LSL_birim]))/(spy_altiSigma*$H113),0))</f>
        <v/>
      </c>
      <c r="J113" s="18">
        <f>IF(OR($A113="",$H113=0),"",IFERROR(MIN((SUMIF(tblProsesler[VarlikId],$B113,tblProsesler[USL_birim])-$D113)/(spy_ucSigma*$H113),($D113-SUMIF(tblProsesler[VarlikId],$B113,tblProsesler[LSL_birim]))/(spy_ucSigma*$H113)),0))</f>
        <v/>
      </c>
      <c r="K113" s="18">
        <f>IF($A113="","",IFERROR(AVERAGEIF(tblOlcum[VarlikId],$B113,tblOlcum[Xbar_birim])+spy_A2*$E113,0))</f>
        <v/>
      </c>
      <c r="L113" s="18">
        <f>IF($A113="","",IFERROR(AVERAGEIF(tblOlcum[VarlikId],$B113,tblOlcum[Xbar_birim])-spy_A2*$E113,0))</f>
        <v/>
      </c>
      <c r="M113" s="18">
        <f>IF($A113="","",MAX(0,MIN(100,spy_kaliteTaban-IF($J113&lt;spy_esikCpk,spy_kaliteCeza,0)-IF(OR($D113&gt;$K113,$D113&lt;$L113),spy_kaliteSapma,0)-IF($P113="YETIM",spy_kaliteCeza,0))))</f>
        <v/>
      </c>
      <c r="N113" s="18">
        <f>IF($A113="","",IF(OR($J113&lt;spy_esikCpk,$D113&gt;$K113,$D113&lt;$L113,$M113&lt;spy_esikSaglik),"ALARM","UYGUN"))</f>
        <v/>
      </c>
      <c r="O113" s="18">
        <f>IF($A113="","",1)</f>
        <v/>
      </c>
      <c r="P113" s="18">
        <f>IF($A113="","",IF(OR($B113="",COUNTIF(tblProsesler[VarlikId],$B113)=0),"YETIM","TAMAM"))</f>
        <v/>
      </c>
    </row>
    <row r="114">
      <c r="A114" s="15" t="n"/>
      <c r="B114" s="15" t="n"/>
      <c r="C114" s="37" t="n"/>
      <c r="D114" s="16" t="n"/>
      <c r="E114" s="16" t="n"/>
      <c r="F114" s="17" t="n"/>
      <c r="G114" s="15" t="n"/>
      <c r="H114" s="18">
        <f>IF(OR($A114="",$E114=0),"",$E114/spy_d2)</f>
        <v/>
      </c>
      <c r="I114" s="18">
        <f>IF(OR($A114="",$H114=0),"",IFERROR((SUMIF(tblProsesler[VarlikId],$B114,tblProsesler[USL_birim])-SUMIF(tblProsesler[VarlikId],$B114,tblProsesler[LSL_birim]))/(spy_altiSigma*$H114),0))</f>
        <v/>
      </c>
      <c r="J114" s="18">
        <f>IF(OR($A114="",$H114=0),"",IFERROR(MIN((SUMIF(tblProsesler[VarlikId],$B114,tblProsesler[USL_birim])-$D114)/(spy_ucSigma*$H114),($D114-SUMIF(tblProsesler[VarlikId],$B114,tblProsesler[LSL_birim]))/(spy_ucSigma*$H114)),0))</f>
        <v/>
      </c>
      <c r="K114" s="18">
        <f>IF($A114="","",IFERROR(AVERAGEIF(tblOlcum[VarlikId],$B114,tblOlcum[Xbar_birim])+spy_A2*$E114,0))</f>
        <v/>
      </c>
      <c r="L114" s="18">
        <f>IF($A114="","",IFERROR(AVERAGEIF(tblOlcum[VarlikId],$B114,tblOlcum[Xbar_birim])-spy_A2*$E114,0))</f>
        <v/>
      </c>
      <c r="M114" s="18">
        <f>IF($A114="","",MAX(0,MIN(100,spy_kaliteTaban-IF($J114&lt;spy_esikCpk,spy_kaliteCeza,0)-IF(OR($D114&gt;$K114,$D114&lt;$L114),spy_kaliteSapma,0)-IF($P114="YETIM",spy_kaliteCeza,0))))</f>
        <v/>
      </c>
      <c r="N114" s="18">
        <f>IF($A114="","",IF(OR($J114&lt;spy_esikCpk,$D114&gt;$K114,$D114&lt;$L114,$M114&lt;spy_esikSaglik),"ALARM","UYGUN"))</f>
        <v/>
      </c>
      <c r="O114" s="18">
        <f>IF($A114="","",1)</f>
        <v/>
      </c>
      <c r="P114" s="18">
        <f>IF($A114="","",IF(OR($B114="",COUNTIF(tblProsesler[VarlikId],$B114)=0),"YETIM","TAMAM"))</f>
        <v/>
      </c>
    </row>
    <row r="115">
      <c r="A115" s="15" t="n"/>
      <c r="B115" s="15" t="n"/>
      <c r="C115" s="37" t="n"/>
      <c r="D115" s="16" t="n"/>
      <c r="E115" s="16" t="n"/>
      <c r="F115" s="17" t="n"/>
      <c r="G115" s="15" t="n"/>
      <c r="H115" s="18">
        <f>IF(OR($A115="",$E115=0),"",$E115/spy_d2)</f>
        <v/>
      </c>
      <c r="I115" s="18">
        <f>IF(OR($A115="",$H115=0),"",IFERROR((SUMIF(tblProsesler[VarlikId],$B115,tblProsesler[USL_birim])-SUMIF(tblProsesler[VarlikId],$B115,tblProsesler[LSL_birim]))/(spy_altiSigma*$H115),0))</f>
        <v/>
      </c>
      <c r="J115" s="18">
        <f>IF(OR($A115="",$H115=0),"",IFERROR(MIN((SUMIF(tblProsesler[VarlikId],$B115,tblProsesler[USL_birim])-$D115)/(spy_ucSigma*$H115),($D115-SUMIF(tblProsesler[VarlikId],$B115,tblProsesler[LSL_birim]))/(spy_ucSigma*$H115)),0))</f>
        <v/>
      </c>
      <c r="K115" s="18">
        <f>IF($A115="","",IFERROR(AVERAGEIF(tblOlcum[VarlikId],$B115,tblOlcum[Xbar_birim])+spy_A2*$E115,0))</f>
        <v/>
      </c>
      <c r="L115" s="18">
        <f>IF($A115="","",IFERROR(AVERAGEIF(tblOlcum[VarlikId],$B115,tblOlcum[Xbar_birim])-spy_A2*$E115,0))</f>
        <v/>
      </c>
      <c r="M115" s="18">
        <f>IF($A115="","",MAX(0,MIN(100,spy_kaliteTaban-IF($J115&lt;spy_esikCpk,spy_kaliteCeza,0)-IF(OR($D115&gt;$K115,$D115&lt;$L115),spy_kaliteSapma,0)-IF($P115="YETIM",spy_kaliteCeza,0))))</f>
        <v/>
      </c>
      <c r="N115" s="18">
        <f>IF($A115="","",IF(OR($J115&lt;spy_esikCpk,$D115&gt;$K115,$D115&lt;$L115,$M115&lt;spy_esikSaglik),"ALARM","UYGUN"))</f>
        <v/>
      </c>
      <c r="O115" s="18">
        <f>IF($A115="","",1)</f>
        <v/>
      </c>
      <c r="P115" s="18">
        <f>IF($A115="","",IF(OR($B115="",COUNTIF(tblProsesler[VarlikId],$B115)=0),"YETIM","TAMAM"))</f>
        <v/>
      </c>
    </row>
    <row r="116">
      <c r="A116" s="15" t="n"/>
      <c r="B116" s="15" t="n"/>
      <c r="C116" s="37" t="n"/>
      <c r="D116" s="16" t="n"/>
      <c r="E116" s="16" t="n"/>
      <c r="F116" s="17" t="n"/>
      <c r="G116" s="15" t="n"/>
      <c r="H116" s="18">
        <f>IF(OR($A116="",$E116=0),"",$E116/spy_d2)</f>
        <v/>
      </c>
      <c r="I116" s="18">
        <f>IF(OR($A116="",$H116=0),"",IFERROR((SUMIF(tblProsesler[VarlikId],$B116,tblProsesler[USL_birim])-SUMIF(tblProsesler[VarlikId],$B116,tblProsesler[LSL_birim]))/(spy_altiSigma*$H116),0))</f>
        <v/>
      </c>
      <c r="J116" s="18">
        <f>IF(OR($A116="",$H116=0),"",IFERROR(MIN((SUMIF(tblProsesler[VarlikId],$B116,tblProsesler[USL_birim])-$D116)/(spy_ucSigma*$H116),($D116-SUMIF(tblProsesler[VarlikId],$B116,tblProsesler[LSL_birim]))/(spy_ucSigma*$H116)),0))</f>
        <v/>
      </c>
      <c r="K116" s="18">
        <f>IF($A116="","",IFERROR(AVERAGEIF(tblOlcum[VarlikId],$B116,tblOlcum[Xbar_birim])+spy_A2*$E116,0))</f>
        <v/>
      </c>
      <c r="L116" s="18">
        <f>IF($A116="","",IFERROR(AVERAGEIF(tblOlcum[VarlikId],$B116,tblOlcum[Xbar_birim])-spy_A2*$E116,0))</f>
        <v/>
      </c>
      <c r="M116" s="18">
        <f>IF($A116="","",MAX(0,MIN(100,spy_kaliteTaban-IF($J116&lt;spy_esikCpk,spy_kaliteCeza,0)-IF(OR($D116&gt;$K116,$D116&lt;$L116),spy_kaliteSapma,0)-IF($P116="YETIM",spy_kaliteCeza,0))))</f>
        <v/>
      </c>
      <c r="N116" s="18">
        <f>IF($A116="","",IF(OR($J116&lt;spy_esikCpk,$D116&gt;$K116,$D116&lt;$L116,$M116&lt;spy_esikSaglik),"ALARM","UYGUN"))</f>
        <v/>
      </c>
      <c r="O116" s="18">
        <f>IF($A116="","",1)</f>
        <v/>
      </c>
      <c r="P116" s="18">
        <f>IF($A116="","",IF(OR($B116="",COUNTIF(tblProsesler[VarlikId],$B116)=0),"YETIM","TAMAM"))</f>
        <v/>
      </c>
    </row>
    <row r="117">
      <c r="A117" s="15" t="n"/>
      <c r="B117" s="15" t="n"/>
      <c r="C117" s="37" t="n"/>
      <c r="D117" s="16" t="n"/>
      <c r="E117" s="16" t="n"/>
      <c r="F117" s="17" t="n"/>
      <c r="G117" s="15" t="n"/>
      <c r="H117" s="18">
        <f>IF(OR($A117="",$E117=0),"",$E117/spy_d2)</f>
        <v/>
      </c>
      <c r="I117" s="18">
        <f>IF(OR($A117="",$H117=0),"",IFERROR((SUMIF(tblProsesler[VarlikId],$B117,tblProsesler[USL_birim])-SUMIF(tblProsesler[VarlikId],$B117,tblProsesler[LSL_birim]))/(spy_altiSigma*$H117),0))</f>
        <v/>
      </c>
      <c r="J117" s="18">
        <f>IF(OR($A117="",$H117=0),"",IFERROR(MIN((SUMIF(tblProsesler[VarlikId],$B117,tblProsesler[USL_birim])-$D117)/(spy_ucSigma*$H117),($D117-SUMIF(tblProsesler[VarlikId],$B117,tblProsesler[LSL_birim]))/(spy_ucSigma*$H117)),0))</f>
        <v/>
      </c>
      <c r="K117" s="18">
        <f>IF($A117="","",IFERROR(AVERAGEIF(tblOlcum[VarlikId],$B117,tblOlcum[Xbar_birim])+spy_A2*$E117,0))</f>
        <v/>
      </c>
      <c r="L117" s="18">
        <f>IF($A117="","",IFERROR(AVERAGEIF(tblOlcum[VarlikId],$B117,tblOlcum[Xbar_birim])-spy_A2*$E117,0))</f>
        <v/>
      </c>
      <c r="M117" s="18">
        <f>IF($A117="","",MAX(0,MIN(100,spy_kaliteTaban-IF($J117&lt;spy_esikCpk,spy_kaliteCeza,0)-IF(OR($D117&gt;$K117,$D117&lt;$L117),spy_kaliteSapma,0)-IF($P117="YETIM",spy_kaliteCeza,0))))</f>
        <v/>
      </c>
      <c r="N117" s="18">
        <f>IF($A117="","",IF(OR($J117&lt;spy_esikCpk,$D117&gt;$K117,$D117&lt;$L117,$M117&lt;spy_esikSaglik),"ALARM","UYGUN"))</f>
        <v/>
      </c>
      <c r="O117" s="18">
        <f>IF($A117="","",1)</f>
        <v/>
      </c>
      <c r="P117" s="18">
        <f>IF($A117="","",IF(OR($B117="",COUNTIF(tblProsesler[VarlikId],$B117)=0),"YETIM","TAMAM"))</f>
        <v/>
      </c>
    </row>
    <row r="118">
      <c r="A118" s="15" t="n"/>
      <c r="B118" s="15" t="n"/>
      <c r="C118" s="37" t="n"/>
      <c r="D118" s="16" t="n"/>
      <c r="E118" s="16" t="n"/>
      <c r="F118" s="17" t="n"/>
      <c r="G118" s="15" t="n"/>
      <c r="H118" s="18">
        <f>IF(OR($A118="",$E118=0),"",$E118/spy_d2)</f>
        <v/>
      </c>
      <c r="I118" s="18">
        <f>IF(OR($A118="",$H118=0),"",IFERROR((SUMIF(tblProsesler[VarlikId],$B118,tblProsesler[USL_birim])-SUMIF(tblProsesler[VarlikId],$B118,tblProsesler[LSL_birim]))/(spy_altiSigma*$H118),0))</f>
        <v/>
      </c>
      <c r="J118" s="18">
        <f>IF(OR($A118="",$H118=0),"",IFERROR(MIN((SUMIF(tblProsesler[VarlikId],$B118,tblProsesler[USL_birim])-$D118)/(spy_ucSigma*$H118),($D118-SUMIF(tblProsesler[VarlikId],$B118,tblProsesler[LSL_birim]))/(spy_ucSigma*$H118)),0))</f>
        <v/>
      </c>
      <c r="K118" s="18">
        <f>IF($A118="","",IFERROR(AVERAGEIF(tblOlcum[VarlikId],$B118,tblOlcum[Xbar_birim])+spy_A2*$E118,0))</f>
        <v/>
      </c>
      <c r="L118" s="18">
        <f>IF($A118="","",IFERROR(AVERAGEIF(tblOlcum[VarlikId],$B118,tblOlcum[Xbar_birim])-spy_A2*$E118,0))</f>
        <v/>
      </c>
      <c r="M118" s="18">
        <f>IF($A118="","",MAX(0,MIN(100,spy_kaliteTaban-IF($J118&lt;spy_esikCpk,spy_kaliteCeza,0)-IF(OR($D118&gt;$K118,$D118&lt;$L118),spy_kaliteSapma,0)-IF($P118="YETIM",spy_kaliteCeza,0))))</f>
        <v/>
      </c>
      <c r="N118" s="18">
        <f>IF($A118="","",IF(OR($J118&lt;spy_esikCpk,$D118&gt;$K118,$D118&lt;$L118,$M118&lt;spy_esikSaglik),"ALARM","UYGUN"))</f>
        <v/>
      </c>
      <c r="O118" s="18">
        <f>IF($A118="","",1)</f>
        <v/>
      </c>
      <c r="P118" s="18">
        <f>IF($A118="","",IF(OR($B118="",COUNTIF(tblProsesler[VarlikId],$B118)=0),"YETIM","TAMAM"))</f>
        <v/>
      </c>
    </row>
    <row r="119">
      <c r="A119" s="15" t="n"/>
      <c r="B119" s="15" t="n"/>
      <c r="C119" s="37" t="n"/>
      <c r="D119" s="16" t="n"/>
      <c r="E119" s="16" t="n"/>
      <c r="F119" s="17" t="n"/>
      <c r="G119" s="15" t="n"/>
      <c r="H119" s="18">
        <f>IF(OR($A119="",$E119=0),"",$E119/spy_d2)</f>
        <v/>
      </c>
      <c r="I119" s="18">
        <f>IF(OR($A119="",$H119=0),"",IFERROR((SUMIF(tblProsesler[VarlikId],$B119,tblProsesler[USL_birim])-SUMIF(tblProsesler[VarlikId],$B119,tblProsesler[LSL_birim]))/(spy_altiSigma*$H119),0))</f>
        <v/>
      </c>
      <c r="J119" s="18">
        <f>IF(OR($A119="",$H119=0),"",IFERROR(MIN((SUMIF(tblProsesler[VarlikId],$B119,tblProsesler[USL_birim])-$D119)/(spy_ucSigma*$H119),($D119-SUMIF(tblProsesler[VarlikId],$B119,tblProsesler[LSL_birim]))/(spy_ucSigma*$H119)),0))</f>
        <v/>
      </c>
      <c r="K119" s="18">
        <f>IF($A119="","",IFERROR(AVERAGEIF(tblOlcum[VarlikId],$B119,tblOlcum[Xbar_birim])+spy_A2*$E119,0))</f>
        <v/>
      </c>
      <c r="L119" s="18">
        <f>IF($A119="","",IFERROR(AVERAGEIF(tblOlcum[VarlikId],$B119,tblOlcum[Xbar_birim])-spy_A2*$E119,0))</f>
        <v/>
      </c>
      <c r="M119" s="18">
        <f>IF($A119="","",MAX(0,MIN(100,spy_kaliteTaban-IF($J119&lt;spy_esikCpk,spy_kaliteCeza,0)-IF(OR($D119&gt;$K119,$D119&lt;$L119),spy_kaliteSapma,0)-IF($P119="YETIM",spy_kaliteCeza,0))))</f>
        <v/>
      </c>
      <c r="N119" s="18">
        <f>IF($A119="","",IF(OR($J119&lt;spy_esikCpk,$D119&gt;$K119,$D119&lt;$L119,$M119&lt;spy_esikSaglik),"ALARM","UYGUN"))</f>
        <v/>
      </c>
      <c r="O119" s="18">
        <f>IF($A119="","",1)</f>
        <v/>
      </c>
      <c r="P119" s="18">
        <f>IF($A119="","",IF(OR($B119="",COUNTIF(tblProsesler[VarlikId],$B119)=0),"YETIM","TAMAM"))</f>
        <v/>
      </c>
    </row>
    <row r="120">
      <c r="A120" s="15" t="n"/>
      <c r="B120" s="15" t="n"/>
      <c r="C120" s="37" t="n"/>
      <c r="D120" s="16" t="n"/>
      <c r="E120" s="16" t="n"/>
      <c r="F120" s="17" t="n"/>
      <c r="G120" s="15" t="n"/>
      <c r="H120" s="18">
        <f>IF(OR($A120="",$E120=0),"",$E120/spy_d2)</f>
        <v/>
      </c>
      <c r="I120" s="18">
        <f>IF(OR($A120="",$H120=0),"",IFERROR((SUMIF(tblProsesler[VarlikId],$B120,tblProsesler[USL_birim])-SUMIF(tblProsesler[VarlikId],$B120,tblProsesler[LSL_birim]))/(spy_altiSigma*$H120),0))</f>
        <v/>
      </c>
      <c r="J120" s="18">
        <f>IF(OR($A120="",$H120=0),"",IFERROR(MIN((SUMIF(tblProsesler[VarlikId],$B120,tblProsesler[USL_birim])-$D120)/(spy_ucSigma*$H120),($D120-SUMIF(tblProsesler[VarlikId],$B120,tblProsesler[LSL_birim]))/(spy_ucSigma*$H120)),0))</f>
        <v/>
      </c>
      <c r="K120" s="18">
        <f>IF($A120="","",IFERROR(AVERAGEIF(tblOlcum[VarlikId],$B120,tblOlcum[Xbar_birim])+spy_A2*$E120,0))</f>
        <v/>
      </c>
      <c r="L120" s="18">
        <f>IF($A120="","",IFERROR(AVERAGEIF(tblOlcum[VarlikId],$B120,tblOlcum[Xbar_birim])-spy_A2*$E120,0))</f>
        <v/>
      </c>
      <c r="M120" s="18">
        <f>IF($A120="","",MAX(0,MIN(100,spy_kaliteTaban-IF($J120&lt;spy_esikCpk,spy_kaliteCeza,0)-IF(OR($D120&gt;$K120,$D120&lt;$L120),spy_kaliteSapma,0)-IF($P120="YETIM",spy_kaliteCeza,0))))</f>
        <v/>
      </c>
      <c r="N120" s="18">
        <f>IF($A120="","",IF(OR($J120&lt;spy_esikCpk,$D120&gt;$K120,$D120&lt;$L120,$M120&lt;spy_esikSaglik),"ALARM","UYGUN"))</f>
        <v/>
      </c>
      <c r="O120" s="18">
        <f>IF($A120="","",1)</f>
        <v/>
      </c>
      <c r="P120" s="18">
        <f>IF($A120="","",IF(OR($B120="",COUNTIF(tblProsesler[VarlikId],$B120)=0),"YETIM","TAMAM"))</f>
        <v/>
      </c>
    </row>
    <row r="121">
      <c r="A121" s="15" t="n"/>
      <c r="B121" s="15" t="n"/>
      <c r="C121" s="37" t="n"/>
      <c r="D121" s="16" t="n"/>
      <c r="E121" s="16" t="n"/>
      <c r="F121" s="17" t="n"/>
      <c r="G121" s="15" t="n"/>
      <c r="H121" s="18">
        <f>IF(OR($A121="",$E121=0),"",$E121/spy_d2)</f>
        <v/>
      </c>
      <c r="I121" s="18">
        <f>IF(OR($A121="",$H121=0),"",IFERROR((SUMIF(tblProsesler[VarlikId],$B121,tblProsesler[USL_birim])-SUMIF(tblProsesler[VarlikId],$B121,tblProsesler[LSL_birim]))/(spy_altiSigma*$H121),0))</f>
        <v/>
      </c>
      <c r="J121" s="18">
        <f>IF(OR($A121="",$H121=0),"",IFERROR(MIN((SUMIF(tblProsesler[VarlikId],$B121,tblProsesler[USL_birim])-$D121)/(spy_ucSigma*$H121),($D121-SUMIF(tblProsesler[VarlikId],$B121,tblProsesler[LSL_birim]))/(spy_ucSigma*$H121)),0))</f>
        <v/>
      </c>
      <c r="K121" s="18">
        <f>IF($A121="","",IFERROR(AVERAGEIF(tblOlcum[VarlikId],$B121,tblOlcum[Xbar_birim])+spy_A2*$E121,0))</f>
        <v/>
      </c>
      <c r="L121" s="18">
        <f>IF($A121="","",IFERROR(AVERAGEIF(tblOlcum[VarlikId],$B121,tblOlcum[Xbar_birim])-spy_A2*$E121,0))</f>
        <v/>
      </c>
      <c r="M121" s="18">
        <f>IF($A121="","",MAX(0,MIN(100,spy_kaliteTaban-IF($J121&lt;spy_esikCpk,spy_kaliteCeza,0)-IF(OR($D121&gt;$K121,$D121&lt;$L121),spy_kaliteSapma,0)-IF($P121="YETIM",spy_kaliteCeza,0))))</f>
        <v/>
      </c>
      <c r="N121" s="18">
        <f>IF($A121="","",IF(OR($J121&lt;spy_esikCpk,$D121&gt;$K121,$D121&lt;$L121,$M121&lt;spy_esikSaglik),"ALARM","UYGUN"))</f>
        <v/>
      </c>
      <c r="O121" s="18">
        <f>IF($A121="","",1)</f>
        <v/>
      </c>
      <c r="P121" s="18">
        <f>IF($A121="","",IF(OR($B121="",COUNTIF(tblProsesler[VarlikId],$B121)=0),"YETIM","TAMAM"))</f>
        <v/>
      </c>
    </row>
    <row r="122">
      <c r="A122" s="15" t="n"/>
      <c r="B122" s="15" t="n"/>
      <c r="C122" s="37" t="n"/>
      <c r="D122" s="16" t="n"/>
      <c r="E122" s="16" t="n"/>
      <c r="F122" s="17" t="n"/>
      <c r="G122" s="15" t="n"/>
      <c r="H122" s="18">
        <f>IF(OR($A122="",$E122=0),"",$E122/spy_d2)</f>
        <v/>
      </c>
      <c r="I122" s="18">
        <f>IF(OR($A122="",$H122=0),"",IFERROR((SUMIF(tblProsesler[VarlikId],$B122,tblProsesler[USL_birim])-SUMIF(tblProsesler[VarlikId],$B122,tblProsesler[LSL_birim]))/(spy_altiSigma*$H122),0))</f>
        <v/>
      </c>
      <c r="J122" s="18">
        <f>IF(OR($A122="",$H122=0),"",IFERROR(MIN((SUMIF(tblProsesler[VarlikId],$B122,tblProsesler[USL_birim])-$D122)/(spy_ucSigma*$H122),($D122-SUMIF(tblProsesler[VarlikId],$B122,tblProsesler[LSL_birim]))/(spy_ucSigma*$H122)),0))</f>
        <v/>
      </c>
      <c r="K122" s="18">
        <f>IF($A122="","",IFERROR(AVERAGEIF(tblOlcum[VarlikId],$B122,tblOlcum[Xbar_birim])+spy_A2*$E122,0))</f>
        <v/>
      </c>
      <c r="L122" s="18">
        <f>IF($A122="","",IFERROR(AVERAGEIF(tblOlcum[VarlikId],$B122,tblOlcum[Xbar_birim])-spy_A2*$E122,0))</f>
        <v/>
      </c>
      <c r="M122" s="18">
        <f>IF($A122="","",MAX(0,MIN(100,spy_kaliteTaban-IF($J122&lt;spy_esikCpk,spy_kaliteCeza,0)-IF(OR($D122&gt;$K122,$D122&lt;$L122),spy_kaliteSapma,0)-IF($P122="YETIM",spy_kaliteCeza,0))))</f>
        <v/>
      </c>
      <c r="N122" s="18">
        <f>IF($A122="","",IF(OR($J122&lt;spy_esikCpk,$D122&gt;$K122,$D122&lt;$L122,$M122&lt;spy_esikSaglik),"ALARM","UYGUN"))</f>
        <v/>
      </c>
      <c r="O122" s="18">
        <f>IF($A122="","",1)</f>
        <v/>
      </c>
      <c r="P122" s="18">
        <f>IF($A122="","",IF(OR($B122="",COUNTIF(tblProsesler[VarlikId],$B122)=0),"YETIM","TAMAM"))</f>
        <v/>
      </c>
    </row>
    <row r="123">
      <c r="A123" s="15" t="n"/>
      <c r="B123" s="15" t="n"/>
      <c r="C123" s="37" t="n"/>
      <c r="D123" s="16" t="n"/>
      <c r="E123" s="16" t="n"/>
      <c r="F123" s="17" t="n"/>
      <c r="G123" s="15" t="n"/>
      <c r="H123" s="18">
        <f>IF(OR($A123="",$E123=0),"",$E123/spy_d2)</f>
        <v/>
      </c>
      <c r="I123" s="18">
        <f>IF(OR($A123="",$H123=0),"",IFERROR((SUMIF(tblProsesler[VarlikId],$B123,tblProsesler[USL_birim])-SUMIF(tblProsesler[VarlikId],$B123,tblProsesler[LSL_birim]))/(spy_altiSigma*$H123),0))</f>
        <v/>
      </c>
      <c r="J123" s="18">
        <f>IF(OR($A123="",$H123=0),"",IFERROR(MIN((SUMIF(tblProsesler[VarlikId],$B123,tblProsesler[USL_birim])-$D123)/(spy_ucSigma*$H123),($D123-SUMIF(tblProsesler[VarlikId],$B123,tblProsesler[LSL_birim]))/(spy_ucSigma*$H123)),0))</f>
        <v/>
      </c>
      <c r="K123" s="18">
        <f>IF($A123="","",IFERROR(AVERAGEIF(tblOlcum[VarlikId],$B123,tblOlcum[Xbar_birim])+spy_A2*$E123,0))</f>
        <v/>
      </c>
      <c r="L123" s="18">
        <f>IF($A123="","",IFERROR(AVERAGEIF(tblOlcum[VarlikId],$B123,tblOlcum[Xbar_birim])-spy_A2*$E123,0))</f>
        <v/>
      </c>
      <c r="M123" s="18">
        <f>IF($A123="","",MAX(0,MIN(100,spy_kaliteTaban-IF($J123&lt;spy_esikCpk,spy_kaliteCeza,0)-IF(OR($D123&gt;$K123,$D123&lt;$L123),spy_kaliteSapma,0)-IF($P123="YETIM",spy_kaliteCeza,0))))</f>
        <v/>
      </c>
      <c r="N123" s="18">
        <f>IF($A123="","",IF(OR($J123&lt;spy_esikCpk,$D123&gt;$K123,$D123&lt;$L123,$M123&lt;spy_esikSaglik),"ALARM","UYGUN"))</f>
        <v/>
      </c>
      <c r="O123" s="18">
        <f>IF($A123="","",1)</f>
        <v/>
      </c>
      <c r="P123" s="18">
        <f>IF($A123="","",IF(OR($B123="",COUNTIF(tblProsesler[VarlikId],$B123)=0),"YETIM","TAMAM"))</f>
        <v/>
      </c>
    </row>
    <row r="124">
      <c r="A124" s="15" t="n"/>
      <c r="B124" s="15" t="n"/>
      <c r="C124" s="37" t="n"/>
      <c r="D124" s="16" t="n"/>
      <c r="E124" s="16" t="n"/>
      <c r="F124" s="17" t="n"/>
      <c r="G124" s="15" t="n"/>
      <c r="H124" s="18">
        <f>IF(OR($A124="",$E124=0),"",$E124/spy_d2)</f>
        <v/>
      </c>
      <c r="I124" s="18">
        <f>IF(OR($A124="",$H124=0),"",IFERROR((SUMIF(tblProsesler[VarlikId],$B124,tblProsesler[USL_birim])-SUMIF(tblProsesler[VarlikId],$B124,tblProsesler[LSL_birim]))/(spy_altiSigma*$H124),0))</f>
        <v/>
      </c>
      <c r="J124" s="18">
        <f>IF(OR($A124="",$H124=0),"",IFERROR(MIN((SUMIF(tblProsesler[VarlikId],$B124,tblProsesler[USL_birim])-$D124)/(spy_ucSigma*$H124),($D124-SUMIF(tblProsesler[VarlikId],$B124,tblProsesler[LSL_birim]))/(spy_ucSigma*$H124)),0))</f>
        <v/>
      </c>
      <c r="K124" s="18">
        <f>IF($A124="","",IFERROR(AVERAGEIF(tblOlcum[VarlikId],$B124,tblOlcum[Xbar_birim])+spy_A2*$E124,0))</f>
        <v/>
      </c>
      <c r="L124" s="18">
        <f>IF($A124="","",IFERROR(AVERAGEIF(tblOlcum[VarlikId],$B124,tblOlcum[Xbar_birim])-spy_A2*$E124,0))</f>
        <v/>
      </c>
      <c r="M124" s="18">
        <f>IF($A124="","",MAX(0,MIN(100,spy_kaliteTaban-IF($J124&lt;spy_esikCpk,spy_kaliteCeza,0)-IF(OR($D124&gt;$K124,$D124&lt;$L124),spy_kaliteSapma,0)-IF($P124="YETIM",spy_kaliteCeza,0))))</f>
        <v/>
      </c>
      <c r="N124" s="18">
        <f>IF($A124="","",IF(OR($J124&lt;spy_esikCpk,$D124&gt;$K124,$D124&lt;$L124,$M124&lt;spy_esikSaglik),"ALARM","UYGUN"))</f>
        <v/>
      </c>
      <c r="O124" s="18">
        <f>IF($A124="","",1)</f>
        <v/>
      </c>
      <c r="P124" s="18">
        <f>IF($A124="","",IF(OR($B124="",COUNTIF(tblProsesler[VarlikId],$B124)=0),"YETIM","TAMAM"))</f>
        <v/>
      </c>
    </row>
    <row r="125">
      <c r="A125" s="15" t="n"/>
      <c r="B125" s="15" t="n"/>
      <c r="C125" s="37" t="n"/>
      <c r="D125" s="16" t="n"/>
      <c r="E125" s="16" t="n"/>
      <c r="F125" s="17" t="n"/>
      <c r="G125" s="15" t="n"/>
      <c r="H125" s="18">
        <f>IF(OR($A125="",$E125=0),"",$E125/spy_d2)</f>
        <v/>
      </c>
      <c r="I125" s="18">
        <f>IF(OR($A125="",$H125=0),"",IFERROR((SUMIF(tblProsesler[VarlikId],$B125,tblProsesler[USL_birim])-SUMIF(tblProsesler[VarlikId],$B125,tblProsesler[LSL_birim]))/(spy_altiSigma*$H125),0))</f>
        <v/>
      </c>
      <c r="J125" s="18">
        <f>IF(OR($A125="",$H125=0),"",IFERROR(MIN((SUMIF(tblProsesler[VarlikId],$B125,tblProsesler[USL_birim])-$D125)/(spy_ucSigma*$H125),($D125-SUMIF(tblProsesler[VarlikId],$B125,tblProsesler[LSL_birim]))/(spy_ucSigma*$H125)),0))</f>
        <v/>
      </c>
      <c r="K125" s="18">
        <f>IF($A125="","",IFERROR(AVERAGEIF(tblOlcum[VarlikId],$B125,tblOlcum[Xbar_birim])+spy_A2*$E125,0))</f>
        <v/>
      </c>
      <c r="L125" s="18">
        <f>IF($A125="","",IFERROR(AVERAGEIF(tblOlcum[VarlikId],$B125,tblOlcum[Xbar_birim])-spy_A2*$E125,0))</f>
        <v/>
      </c>
      <c r="M125" s="18">
        <f>IF($A125="","",MAX(0,MIN(100,spy_kaliteTaban-IF($J125&lt;spy_esikCpk,spy_kaliteCeza,0)-IF(OR($D125&gt;$K125,$D125&lt;$L125),spy_kaliteSapma,0)-IF($P125="YETIM",spy_kaliteCeza,0))))</f>
        <v/>
      </c>
      <c r="N125" s="18">
        <f>IF($A125="","",IF(OR($J125&lt;spy_esikCpk,$D125&gt;$K125,$D125&lt;$L125,$M125&lt;spy_esikSaglik),"ALARM","UYGUN"))</f>
        <v/>
      </c>
      <c r="O125" s="18">
        <f>IF($A125="","",1)</f>
        <v/>
      </c>
      <c r="P125" s="18">
        <f>IF($A125="","",IF(OR($B125="",COUNTIF(tblProsesler[VarlikId],$B125)=0),"YETIM","TAMAM"))</f>
        <v/>
      </c>
    </row>
    <row r="126">
      <c r="A126" s="15" t="n"/>
      <c r="B126" s="15" t="n"/>
      <c r="C126" s="37" t="n"/>
      <c r="D126" s="16" t="n"/>
      <c r="E126" s="16" t="n"/>
      <c r="F126" s="17" t="n"/>
      <c r="G126" s="15" t="n"/>
      <c r="H126" s="18">
        <f>IF(OR($A126="",$E126=0),"",$E126/spy_d2)</f>
        <v/>
      </c>
      <c r="I126" s="18">
        <f>IF(OR($A126="",$H126=0),"",IFERROR((SUMIF(tblProsesler[VarlikId],$B126,tblProsesler[USL_birim])-SUMIF(tblProsesler[VarlikId],$B126,tblProsesler[LSL_birim]))/(spy_altiSigma*$H126),0))</f>
        <v/>
      </c>
      <c r="J126" s="18">
        <f>IF(OR($A126="",$H126=0),"",IFERROR(MIN((SUMIF(tblProsesler[VarlikId],$B126,tblProsesler[USL_birim])-$D126)/(spy_ucSigma*$H126),($D126-SUMIF(tblProsesler[VarlikId],$B126,tblProsesler[LSL_birim]))/(spy_ucSigma*$H126)),0))</f>
        <v/>
      </c>
      <c r="K126" s="18">
        <f>IF($A126="","",IFERROR(AVERAGEIF(tblOlcum[VarlikId],$B126,tblOlcum[Xbar_birim])+spy_A2*$E126,0))</f>
        <v/>
      </c>
      <c r="L126" s="18">
        <f>IF($A126="","",IFERROR(AVERAGEIF(tblOlcum[VarlikId],$B126,tblOlcum[Xbar_birim])-spy_A2*$E126,0))</f>
        <v/>
      </c>
      <c r="M126" s="18">
        <f>IF($A126="","",MAX(0,MIN(100,spy_kaliteTaban-IF($J126&lt;spy_esikCpk,spy_kaliteCeza,0)-IF(OR($D126&gt;$K126,$D126&lt;$L126),spy_kaliteSapma,0)-IF($P126="YETIM",spy_kaliteCeza,0))))</f>
        <v/>
      </c>
      <c r="N126" s="18">
        <f>IF($A126="","",IF(OR($J126&lt;spy_esikCpk,$D126&gt;$K126,$D126&lt;$L126,$M126&lt;spy_esikSaglik),"ALARM","UYGUN"))</f>
        <v/>
      </c>
      <c r="O126" s="18">
        <f>IF($A126="","",1)</f>
        <v/>
      </c>
      <c r="P126" s="18">
        <f>IF($A126="","",IF(OR($B126="",COUNTIF(tblProsesler[VarlikId],$B126)=0),"YETIM","TAMAM"))</f>
        <v/>
      </c>
    </row>
    <row r="127">
      <c r="A127" s="15" t="n"/>
      <c r="B127" s="15" t="n"/>
      <c r="C127" s="37" t="n"/>
      <c r="D127" s="16" t="n"/>
      <c r="E127" s="16" t="n"/>
      <c r="F127" s="17" t="n"/>
      <c r="G127" s="15" t="n"/>
      <c r="H127" s="18">
        <f>IF(OR($A127="",$E127=0),"",$E127/spy_d2)</f>
        <v/>
      </c>
      <c r="I127" s="18">
        <f>IF(OR($A127="",$H127=0),"",IFERROR((SUMIF(tblProsesler[VarlikId],$B127,tblProsesler[USL_birim])-SUMIF(tblProsesler[VarlikId],$B127,tblProsesler[LSL_birim]))/(spy_altiSigma*$H127),0))</f>
        <v/>
      </c>
      <c r="J127" s="18">
        <f>IF(OR($A127="",$H127=0),"",IFERROR(MIN((SUMIF(tblProsesler[VarlikId],$B127,tblProsesler[USL_birim])-$D127)/(spy_ucSigma*$H127),($D127-SUMIF(tblProsesler[VarlikId],$B127,tblProsesler[LSL_birim]))/(spy_ucSigma*$H127)),0))</f>
        <v/>
      </c>
      <c r="K127" s="18">
        <f>IF($A127="","",IFERROR(AVERAGEIF(tblOlcum[VarlikId],$B127,tblOlcum[Xbar_birim])+spy_A2*$E127,0))</f>
        <v/>
      </c>
      <c r="L127" s="18">
        <f>IF($A127="","",IFERROR(AVERAGEIF(tblOlcum[VarlikId],$B127,tblOlcum[Xbar_birim])-spy_A2*$E127,0))</f>
        <v/>
      </c>
      <c r="M127" s="18">
        <f>IF($A127="","",MAX(0,MIN(100,spy_kaliteTaban-IF($J127&lt;spy_esikCpk,spy_kaliteCeza,0)-IF(OR($D127&gt;$K127,$D127&lt;$L127),spy_kaliteSapma,0)-IF($P127="YETIM",spy_kaliteCeza,0))))</f>
        <v/>
      </c>
      <c r="N127" s="18">
        <f>IF($A127="","",IF(OR($J127&lt;spy_esikCpk,$D127&gt;$K127,$D127&lt;$L127,$M127&lt;spy_esikSaglik),"ALARM","UYGUN"))</f>
        <v/>
      </c>
      <c r="O127" s="18">
        <f>IF($A127="","",1)</f>
        <v/>
      </c>
      <c r="P127" s="18">
        <f>IF($A127="","",IF(OR($B127="",COUNTIF(tblProsesler[VarlikId],$B127)=0),"YETIM","TAMAM"))</f>
        <v/>
      </c>
    </row>
    <row r="128">
      <c r="A128" s="15" t="n"/>
      <c r="B128" s="15" t="n"/>
      <c r="C128" s="37" t="n"/>
      <c r="D128" s="16" t="n"/>
      <c r="E128" s="16" t="n"/>
      <c r="F128" s="17" t="n"/>
      <c r="G128" s="15" t="n"/>
      <c r="H128" s="18">
        <f>IF(OR($A128="",$E128=0),"",$E128/spy_d2)</f>
        <v/>
      </c>
      <c r="I128" s="18">
        <f>IF(OR($A128="",$H128=0),"",IFERROR((SUMIF(tblProsesler[VarlikId],$B128,tblProsesler[USL_birim])-SUMIF(tblProsesler[VarlikId],$B128,tblProsesler[LSL_birim]))/(spy_altiSigma*$H128),0))</f>
        <v/>
      </c>
      <c r="J128" s="18">
        <f>IF(OR($A128="",$H128=0),"",IFERROR(MIN((SUMIF(tblProsesler[VarlikId],$B128,tblProsesler[USL_birim])-$D128)/(spy_ucSigma*$H128),($D128-SUMIF(tblProsesler[VarlikId],$B128,tblProsesler[LSL_birim]))/(spy_ucSigma*$H128)),0))</f>
        <v/>
      </c>
      <c r="K128" s="18">
        <f>IF($A128="","",IFERROR(AVERAGEIF(tblOlcum[VarlikId],$B128,tblOlcum[Xbar_birim])+spy_A2*$E128,0))</f>
        <v/>
      </c>
      <c r="L128" s="18">
        <f>IF($A128="","",IFERROR(AVERAGEIF(tblOlcum[VarlikId],$B128,tblOlcum[Xbar_birim])-spy_A2*$E128,0))</f>
        <v/>
      </c>
      <c r="M128" s="18">
        <f>IF($A128="","",MAX(0,MIN(100,spy_kaliteTaban-IF($J128&lt;spy_esikCpk,spy_kaliteCeza,0)-IF(OR($D128&gt;$K128,$D128&lt;$L128),spy_kaliteSapma,0)-IF($P128="YETIM",spy_kaliteCeza,0))))</f>
        <v/>
      </c>
      <c r="N128" s="18">
        <f>IF($A128="","",IF(OR($J128&lt;spy_esikCpk,$D128&gt;$K128,$D128&lt;$L128,$M128&lt;spy_esikSaglik),"ALARM","UYGUN"))</f>
        <v/>
      </c>
      <c r="O128" s="18">
        <f>IF($A128="","",1)</f>
        <v/>
      </c>
      <c r="P128" s="18">
        <f>IF($A128="","",IF(OR($B128="",COUNTIF(tblProsesler[VarlikId],$B128)=0),"YETIM","TAMAM"))</f>
        <v/>
      </c>
    </row>
    <row r="129">
      <c r="A129" s="15" t="n"/>
      <c r="B129" s="15" t="n"/>
      <c r="C129" s="37" t="n"/>
      <c r="D129" s="16" t="n"/>
      <c r="E129" s="16" t="n"/>
      <c r="F129" s="17" t="n"/>
      <c r="G129" s="15" t="n"/>
      <c r="H129" s="18">
        <f>IF(OR($A129="",$E129=0),"",$E129/spy_d2)</f>
        <v/>
      </c>
      <c r="I129" s="18">
        <f>IF(OR($A129="",$H129=0),"",IFERROR((SUMIF(tblProsesler[VarlikId],$B129,tblProsesler[USL_birim])-SUMIF(tblProsesler[VarlikId],$B129,tblProsesler[LSL_birim]))/(spy_altiSigma*$H129),0))</f>
        <v/>
      </c>
      <c r="J129" s="18">
        <f>IF(OR($A129="",$H129=0),"",IFERROR(MIN((SUMIF(tblProsesler[VarlikId],$B129,tblProsesler[USL_birim])-$D129)/(spy_ucSigma*$H129),($D129-SUMIF(tblProsesler[VarlikId],$B129,tblProsesler[LSL_birim]))/(spy_ucSigma*$H129)),0))</f>
        <v/>
      </c>
      <c r="K129" s="18">
        <f>IF($A129="","",IFERROR(AVERAGEIF(tblOlcum[VarlikId],$B129,tblOlcum[Xbar_birim])+spy_A2*$E129,0))</f>
        <v/>
      </c>
      <c r="L129" s="18">
        <f>IF($A129="","",IFERROR(AVERAGEIF(tblOlcum[VarlikId],$B129,tblOlcum[Xbar_birim])-spy_A2*$E129,0))</f>
        <v/>
      </c>
      <c r="M129" s="18">
        <f>IF($A129="","",MAX(0,MIN(100,spy_kaliteTaban-IF($J129&lt;spy_esikCpk,spy_kaliteCeza,0)-IF(OR($D129&gt;$K129,$D129&lt;$L129),spy_kaliteSapma,0)-IF($P129="YETIM",spy_kaliteCeza,0))))</f>
        <v/>
      </c>
      <c r="N129" s="18">
        <f>IF($A129="","",IF(OR($J129&lt;spy_esikCpk,$D129&gt;$K129,$D129&lt;$L129,$M129&lt;spy_esikSaglik),"ALARM","UYGUN"))</f>
        <v/>
      </c>
      <c r="O129" s="18">
        <f>IF($A129="","",1)</f>
        <v/>
      </c>
      <c r="P129" s="18">
        <f>IF($A129="","",IF(OR($B129="",COUNTIF(tblProsesler[VarlikId],$B129)=0),"YETIM","TAMAM"))</f>
        <v/>
      </c>
    </row>
    <row r="130">
      <c r="A130" s="15" t="n"/>
      <c r="B130" s="15" t="n"/>
      <c r="C130" s="37" t="n"/>
      <c r="D130" s="16" t="n"/>
      <c r="E130" s="16" t="n"/>
      <c r="F130" s="17" t="n"/>
      <c r="G130" s="15" t="n"/>
      <c r="H130" s="18">
        <f>IF(OR($A130="",$E130=0),"",$E130/spy_d2)</f>
        <v/>
      </c>
      <c r="I130" s="18">
        <f>IF(OR($A130="",$H130=0),"",IFERROR((SUMIF(tblProsesler[VarlikId],$B130,tblProsesler[USL_birim])-SUMIF(tblProsesler[VarlikId],$B130,tblProsesler[LSL_birim]))/(spy_altiSigma*$H130),0))</f>
        <v/>
      </c>
      <c r="J130" s="18">
        <f>IF(OR($A130="",$H130=0),"",IFERROR(MIN((SUMIF(tblProsesler[VarlikId],$B130,tblProsesler[USL_birim])-$D130)/(spy_ucSigma*$H130),($D130-SUMIF(tblProsesler[VarlikId],$B130,tblProsesler[LSL_birim]))/(spy_ucSigma*$H130)),0))</f>
        <v/>
      </c>
      <c r="K130" s="18">
        <f>IF($A130="","",IFERROR(AVERAGEIF(tblOlcum[VarlikId],$B130,tblOlcum[Xbar_birim])+spy_A2*$E130,0))</f>
        <v/>
      </c>
      <c r="L130" s="18">
        <f>IF($A130="","",IFERROR(AVERAGEIF(tblOlcum[VarlikId],$B130,tblOlcum[Xbar_birim])-spy_A2*$E130,0))</f>
        <v/>
      </c>
      <c r="M130" s="18">
        <f>IF($A130="","",MAX(0,MIN(100,spy_kaliteTaban-IF($J130&lt;spy_esikCpk,spy_kaliteCeza,0)-IF(OR($D130&gt;$K130,$D130&lt;$L130),spy_kaliteSapma,0)-IF($P130="YETIM",spy_kaliteCeza,0))))</f>
        <v/>
      </c>
      <c r="N130" s="18">
        <f>IF($A130="","",IF(OR($J130&lt;spy_esikCpk,$D130&gt;$K130,$D130&lt;$L130,$M130&lt;spy_esikSaglik),"ALARM","UYGUN"))</f>
        <v/>
      </c>
      <c r="O130" s="18">
        <f>IF($A130="","",1)</f>
        <v/>
      </c>
      <c r="P130" s="18">
        <f>IF($A130="","",IF(OR($B130="",COUNTIF(tblProsesler[VarlikId],$B130)=0),"YETIM","TAMAM"))</f>
        <v/>
      </c>
    </row>
    <row r="131">
      <c r="A131" s="15" t="n"/>
      <c r="B131" s="15" t="n"/>
      <c r="C131" s="37" t="n"/>
      <c r="D131" s="16" t="n"/>
      <c r="E131" s="16" t="n"/>
      <c r="F131" s="17" t="n"/>
      <c r="G131" s="15" t="n"/>
      <c r="H131" s="18">
        <f>IF(OR($A131="",$E131=0),"",$E131/spy_d2)</f>
        <v/>
      </c>
      <c r="I131" s="18">
        <f>IF(OR($A131="",$H131=0),"",IFERROR((SUMIF(tblProsesler[VarlikId],$B131,tblProsesler[USL_birim])-SUMIF(tblProsesler[VarlikId],$B131,tblProsesler[LSL_birim]))/(spy_altiSigma*$H131),0))</f>
        <v/>
      </c>
      <c r="J131" s="18">
        <f>IF(OR($A131="",$H131=0),"",IFERROR(MIN((SUMIF(tblProsesler[VarlikId],$B131,tblProsesler[USL_birim])-$D131)/(spy_ucSigma*$H131),($D131-SUMIF(tblProsesler[VarlikId],$B131,tblProsesler[LSL_birim]))/(spy_ucSigma*$H131)),0))</f>
        <v/>
      </c>
      <c r="K131" s="18">
        <f>IF($A131="","",IFERROR(AVERAGEIF(tblOlcum[VarlikId],$B131,tblOlcum[Xbar_birim])+spy_A2*$E131,0))</f>
        <v/>
      </c>
      <c r="L131" s="18">
        <f>IF($A131="","",IFERROR(AVERAGEIF(tblOlcum[VarlikId],$B131,tblOlcum[Xbar_birim])-spy_A2*$E131,0))</f>
        <v/>
      </c>
      <c r="M131" s="18">
        <f>IF($A131="","",MAX(0,MIN(100,spy_kaliteTaban-IF($J131&lt;spy_esikCpk,spy_kaliteCeza,0)-IF(OR($D131&gt;$K131,$D131&lt;$L131),spy_kaliteSapma,0)-IF($P131="YETIM",spy_kaliteCeza,0))))</f>
        <v/>
      </c>
      <c r="N131" s="18">
        <f>IF($A131="","",IF(OR($J131&lt;spy_esikCpk,$D131&gt;$K131,$D131&lt;$L131,$M131&lt;spy_esikSaglik),"ALARM","UYGUN"))</f>
        <v/>
      </c>
      <c r="O131" s="18">
        <f>IF($A131="","",1)</f>
        <v/>
      </c>
      <c r="P131" s="18">
        <f>IF($A131="","",IF(OR($B131="",COUNTIF(tblProsesler[VarlikId],$B131)=0),"YETIM","TAMAM"))</f>
        <v/>
      </c>
    </row>
    <row r="132">
      <c r="A132" s="15" t="n"/>
      <c r="B132" s="15" t="n"/>
      <c r="C132" s="37" t="n"/>
      <c r="D132" s="16" t="n"/>
      <c r="E132" s="16" t="n"/>
      <c r="F132" s="17" t="n"/>
      <c r="G132" s="15" t="n"/>
      <c r="H132" s="18">
        <f>IF(OR($A132="",$E132=0),"",$E132/spy_d2)</f>
        <v/>
      </c>
      <c r="I132" s="18">
        <f>IF(OR($A132="",$H132=0),"",IFERROR((SUMIF(tblProsesler[VarlikId],$B132,tblProsesler[USL_birim])-SUMIF(tblProsesler[VarlikId],$B132,tblProsesler[LSL_birim]))/(spy_altiSigma*$H132),0))</f>
        <v/>
      </c>
      <c r="J132" s="18">
        <f>IF(OR($A132="",$H132=0),"",IFERROR(MIN((SUMIF(tblProsesler[VarlikId],$B132,tblProsesler[USL_birim])-$D132)/(spy_ucSigma*$H132),($D132-SUMIF(tblProsesler[VarlikId],$B132,tblProsesler[LSL_birim]))/(spy_ucSigma*$H132)),0))</f>
        <v/>
      </c>
      <c r="K132" s="18">
        <f>IF($A132="","",IFERROR(AVERAGEIF(tblOlcum[VarlikId],$B132,tblOlcum[Xbar_birim])+spy_A2*$E132,0))</f>
        <v/>
      </c>
      <c r="L132" s="18">
        <f>IF($A132="","",IFERROR(AVERAGEIF(tblOlcum[VarlikId],$B132,tblOlcum[Xbar_birim])-spy_A2*$E132,0))</f>
        <v/>
      </c>
      <c r="M132" s="18">
        <f>IF($A132="","",MAX(0,MIN(100,spy_kaliteTaban-IF($J132&lt;spy_esikCpk,spy_kaliteCeza,0)-IF(OR($D132&gt;$K132,$D132&lt;$L132),spy_kaliteSapma,0)-IF($P132="YETIM",spy_kaliteCeza,0))))</f>
        <v/>
      </c>
      <c r="N132" s="18">
        <f>IF($A132="","",IF(OR($J132&lt;spy_esikCpk,$D132&gt;$K132,$D132&lt;$L132,$M132&lt;spy_esikSaglik),"ALARM","UYGUN"))</f>
        <v/>
      </c>
      <c r="O132" s="18">
        <f>IF($A132="","",1)</f>
        <v/>
      </c>
      <c r="P132" s="18">
        <f>IF($A132="","",IF(OR($B132="",COUNTIF(tblProsesler[VarlikId],$B132)=0),"YETIM","TAMAM"))</f>
        <v/>
      </c>
    </row>
    <row r="133">
      <c r="A133" s="15" t="n"/>
      <c r="B133" s="15" t="n"/>
      <c r="C133" s="37" t="n"/>
      <c r="D133" s="16" t="n"/>
      <c r="E133" s="16" t="n"/>
      <c r="F133" s="17" t="n"/>
      <c r="G133" s="15" t="n"/>
      <c r="H133" s="18">
        <f>IF(OR($A133="",$E133=0),"",$E133/spy_d2)</f>
        <v/>
      </c>
      <c r="I133" s="18">
        <f>IF(OR($A133="",$H133=0),"",IFERROR((SUMIF(tblProsesler[VarlikId],$B133,tblProsesler[USL_birim])-SUMIF(tblProsesler[VarlikId],$B133,tblProsesler[LSL_birim]))/(spy_altiSigma*$H133),0))</f>
        <v/>
      </c>
      <c r="J133" s="18">
        <f>IF(OR($A133="",$H133=0),"",IFERROR(MIN((SUMIF(tblProsesler[VarlikId],$B133,tblProsesler[USL_birim])-$D133)/(spy_ucSigma*$H133),($D133-SUMIF(tblProsesler[VarlikId],$B133,tblProsesler[LSL_birim]))/(spy_ucSigma*$H133)),0))</f>
        <v/>
      </c>
      <c r="K133" s="18">
        <f>IF($A133="","",IFERROR(AVERAGEIF(tblOlcum[VarlikId],$B133,tblOlcum[Xbar_birim])+spy_A2*$E133,0))</f>
        <v/>
      </c>
      <c r="L133" s="18">
        <f>IF($A133="","",IFERROR(AVERAGEIF(tblOlcum[VarlikId],$B133,tblOlcum[Xbar_birim])-spy_A2*$E133,0))</f>
        <v/>
      </c>
      <c r="M133" s="18">
        <f>IF($A133="","",MAX(0,MIN(100,spy_kaliteTaban-IF($J133&lt;spy_esikCpk,spy_kaliteCeza,0)-IF(OR($D133&gt;$K133,$D133&lt;$L133),spy_kaliteSapma,0)-IF($P133="YETIM",spy_kaliteCeza,0))))</f>
        <v/>
      </c>
      <c r="N133" s="18">
        <f>IF($A133="","",IF(OR($J133&lt;spy_esikCpk,$D133&gt;$K133,$D133&lt;$L133,$M133&lt;spy_esikSaglik),"ALARM","UYGUN"))</f>
        <v/>
      </c>
      <c r="O133" s="18">
        <f>IF($A133="","",1)</f>
        <v/>
      </c>
      <c r="P133" s="18">
        <f>IF($A133="","",IF(OR($B133="",COUNTIF(tblProsesler[VarlikId],$B133)=0),"YETIM","TAMAM"))</f>
        <v/>
      </c>
    </row>
    <row r="134">
      <c r="A134" s="15" t="n"/>
      <c r="B134" s="15" t="n"/>
      <c r="C134" s="37" t="n"/>
      <c r="D134" s="16" t="n"/>
      <c r="E134" s="16" t="n"/>
      <c r="F134" s="17" t="n"/>
      <c r="G134" s="15" t="n"/>
      <c r="H134" s="18">
        <f>IF(OR($A134="",$E134=0),"",$E134/spy_d2)</f>
        <v/>
      </c>
      <c r="I134" s="18">
        <f>IF(OR($A134="",$H134=0),"",IFERROR((SUMIF(tblProsesler[VarlikId],$B134,tblProsesler[USL_birim])-SUMIF(tblProsesler[VarlikId],$B134,tblProsesler[LSL_birim]))/(spy_altiSigma*$H134),0))</f>
        <v/>
      </c>
      <c r="J134" s="18">
        <f>IF(OR($A134="",$H134=0),"",IFERROR(MIN((SUMIF(tblProsesler[VarlikId],$B134,tblProsesler[USL_birim])-$D134)/(spy_ucSigma*$H134),($D134-SUMIF(tblProsesler[VarlikId],$B134,tblProsesler[LSL_birim]))/(spy_ucSigma*$H134)),0))</f>
        <v/>
      </c>
      <c r="K134" s="18">
        <f>IF($A134="","",IFERROR(AVERAGEIF(tblOlcum[VarlikId],$B134,tblOlcum[Xbar_birim])+spy_A2*$E134,0))</f>
        <v/>
      </c>
      <c r="L134" s="18">
        <f>IF($A134="","",IFERROR(AVERAGEIF(tblOlcum[VarlikId],$B134,tblOlcum[Xbar_birim])-spy_A2*$E134,0))</f>
        <v/>
      </c>
      <c r="M134" s="18">
        <f>IF($A134="","",MAX(0,MIN(100,spy_kaliteTaban-IF($J134&lt;spy_esikCpk,spy_kaliteCeza,0)-IF(OR($D134&gt;$K134,$D134&lt;$L134),spy_kaliteSapma,0)-IF($P134="YETIM",spy_kaliteCeza,0))))</f>
        <v/>
      </c>
      <c r="N134" s="18">
        <f>IF($A134="","",IF(OR($J134&lt;spy_esikCpk,$D134&gt;$K134,$D134&lt;$L134,$M134&lt;spy_esikSaglik),"ALARM","UYGUN"))</f>
        <v/>
      </c>
      <c r="O134" s="18">
        <f>IF($A134="","",1)</f>
        <v/>
      </c>
      <c r="P134" s="18">
        <f>IF($A134="","",IF(OR($B134="",COUNTIF(tblProsesler[VarlikId],$B134)=0),"YETIM","TAMAM"))</f>
        <v/>
      </c>
    </row>
    <row r="135">
      <c r="A135" s="15" t="n"/>
      <c r="B135" s="15" t="n"/>
      <c r="C135" s="37" t="n"/>
      <c r="D135" s="16" t="n"/>
      <c r="E135" s="16" t="n"/>
      <c r="F135" s="17" t="n"/>
      <c r="G135" s="15" t="n"/>
      <c r="H135" s="18">
        <f>IF(OR($A135="",$E135=0),"",$E135/spy_d2)</f>
        <v/>
      </c>
      <c r="I135" s="18">
        <f>IF(OR($A135="",$H135=0),"",IFERROR((SUMIF(tblProsesler[VarlikId],$B135,tblProsesler[USL_birim])-SUMIF(tblProsesler[VarlikId],$B135,tblProsesler[LSL_birim]))/(spy_altiSigma*$H135),0))</f>
        <v/>
      </c>
      <c r="J135" s="18">
        <f>IF(OR($A135="",$H135=0),"",IFERROR(MIN((SUMIF(tblProsesler[VarlikId],$B135,tblProsesler[USL_birim])-$D135)/(spy_ucSigma*$H135),($D135-SUMIF(tblProsesler[VarlikId],$B135,tblProsesler[LSL_birim]))/(spy_ucSigma*$H135)),0))</f>
        <v/>
      </c>
      <c r="K135" s="18">
        <f>IF($A135="","",IFERROR(AVERAGEIF(tblOlcum[VarlikId],$B135,tblOlcum[Xbar_birim])+spy_A2*$E135,0))</f>
        <v/>
      </c>
      <c r="L135" s="18">
        <f>IF($A135="","",IFERROR(AVERAGEIF(tblOlcum[VarlikId],$B135,tblOlcum[Xbar_birim])-spy_A2*$E135,0))</f>
        <v/>
      </c>
      <c r="M135" s="18">
        <f>IF($A135="","",MAX(0,MIN(100,spy_kaliteTaban-IF($J135&lt;spy_esikCpk,spy_kaliteCeza,0)-IF(OR($D135&gt;$K135,$D135&lt;$L135),spy_kaliteSapma,0)-IF($P135="YETIM",spy_kaliteCeza,0))))</f>
        <v/>
      </c>
      <c r="N135" s="18">
        <f>IF($A135="","",IF(OR($J135&lt;spy_esikCpk,$D135&gt;$K135,$D135&lt;$L135,$M135&lt;spy_esikSaglik),"ALARM","UYGUN"))</f>
        <v/>
      </c>
      <c r="O135" s="18">
        <f>IF($A135="","",1)</f>
        <v/>
      </c>
      <c r="P135" s="18">
        <f>IF($A135="","",IF(OR($B135="",COUNTIF(tblProsesler[VarlikId],$B135)=0),"YETIM","TAMAM"))</f>
        <v/>
      </c>
    </row>
    <row r="136">
      <c r="A136" s="15" t="n"/>
      <c r="B136" s="15" t="n"/>
      <c r="C136" s="37" t="n"/>
      <c r="D136" s="16" t="n"/>
      <c r="E136" s="16" t="n"/>
      <c r="F136" s="17" t="n"/>
      <c r="G136" s="15" t="n"/>
      <c r="H136" s="18">
        <f>IF(OR($A136="",$E136=0),"",$E136/spy_d2)</f>
        <v/>
      </c>
      <c r="I136" s="18">
        <f>IF(OR($A136="",$H136=0),"",IFERROR((SUMIF(tblProsesler[VarlikId],$B136,tblProsesler[USL_birim])-SUMIF(tblProsesler[VarlikId],$B136,tblProsesler[LSL_birim]))/(spy_altiSigma*$H136),0))</f>
        <v/>
      </c>
      <c r="J136" s="18">
        <f>IF(OR($A136="",$H136=0),"",IFERROR(MIN((SUMIF(tblProsesler[VarlikId],$B136,tblProsesler[USL_birim])-$D136)/(spy_ucSigma*$H136),($D136-SUMIF(tblProsesler[VarlikId],$B136,tblProsesler[LSL_birim]))/(spy_ucSigma*$H136)),0))</f>
        <v/>
      </c>
      <c r="K136" s="18">
        <f>IF($A136="","",IFERROR(AVERAGEIF(tblOlcum[VarlikId],$B136,tblOlcum[Xbar_birim])+spy_A2*$E136,0))</f>
        <v/>
      </c>
      <c r="L136" s="18">
        <f>IF($A136="","",IFERROR(AVERAGEIF(tblOlcum[VarlikId],$B136,tblOlcum[Xbar_birim])-spy_A2*$E136,0))</f>
        <v/>
      </c>
      <c r="M136" s="18">
        <f>IF($A136="","",MAX(0,MIN(100,spy_kaliteTaban-IF($J136&lt;spy_esikCpk,spy_kaliteCeza,0)-IF(OR($D136&gt;$K136,$D136&lt;$L136),spy_kaliteSapma,0)-IF($P136="YETIM",spy_kaliteCeza,0))))</f>
        <v/>
      </c>
      <c r="N136" s="18">
        <f>IF($A136="","",IF(OR($J136&lt;spy_esikCpk,$D136&gt;$K136,$D136&lt;$L136,$M136&lt;spy_esikSaglik),"ALARM","UYGUN"))</f>
        <v/>
      </c>
      <c r="O136" s="18">
        <f>IF($A136="","",1)</f>
        <v/>
      </c>
      <c r="P136" s="18">
        <f>IF($A136="","",IF(OR($B136="",COUNTIF(tblProsesler[VarlikId],$B136)=0),"YETIM","TAMAM"))</f>
        <v/>
      </c>
    </row>
    <row r="137">
      <c r="A137" s="15" t="n"/>
      <c r="B137" s="15" t="n"/>
      <c r="C137" s="37" t="n"/>
      <c r="D137" s="16" t="n"/>
      <c r="E137" s="16" t="n"/>
      <c r="F137" s="17" t="n"/>
      <c r="G137" s="15" t="n"/>
      <c r="H137" s="18">
        <f>IF(OR($A137="",$E137=0),"",$E137/spy_d2)</f>
        <v/>
      </c>
      <c r="I137" s="18">
        <f>IF(OR($A137="",$H137=0),"",IFERROR((SUMIF(tblProsesler[VarlikId],$B137,tblProsesler[USL_birim])-SUMIF(tblProsesler[VarlikId],$B137,tblProsesler[LSL_birim]))/(spy_altiSigma*$H137),0))</f>
        <v/>
      </c>
      <c r="J137" s="18">
        <f>IF(OR($A137="",$H137=0),"",IFERROR(MIN((SUMIF(tblProsesler[VarlikId],$B137,tblProsesler[USL_birim])-$D137)/(spy_ucSigma*$H137),($D137-SUMIF(tblProsesler[VarlikId],$B137,tblProsesler[LSL_birim]))/(spy_ucSigma*$H137)),0))</f>
        <v/>
      </c>
      <c r="K137" s="18">
        <f>IF($A137="","",IFERROR(AVERAGEIF(tblOlcum[VarlikId],$B137,tblOlcum[Xbar_birim])+spy_A2*$E137,0))</f>
        <v/>
      </c>
      <c r="L137" s="18">
        <f>IF($A137="","",IFERROR(AVERAGEIF(tblOlcum[VarlikId],$B137,tblOlcum[Xbar_birim])-spy_A2*$E137,0))</f>
        <v/>
      </c>
      <c r="M137" s="18">
        <f>IF($A137="","",MAX(0,MIN(100,spy_kaliteTaban-IF($J137&lt;spy_esikCpk,spy_kaliteCeza,0)-IF(OR($D137&gt;$K137,$D137&lt;$L137),spy_kaliteSapma,0)-IF($P137="YETIM",spy_kaliteCeza,0))))</f>
        <v/>
      </c>
      <c r="N137" s="18">
        <f>IF($A137="","",IF(OR($J137&lt;spy_esikCpk,$D137&gt;$K137,$D137&lt;$L137,$M137&lt;spy_esikSaglik),"ALARM","UYGUN"))</f>
        <v/>
      </c>
      <c r="O137" s="18">
        <f>IF($A137="","",1)</f>
        <v/>
      </c>
      <c r="P137" s="18">
        <f>IF($A137="","",IF(OR($B137="",COUNTIF(tblProsesler[VarlikId],$B137)=0),"YETIM","TAMAM"))</f>
        <v/>
      </c>
    </row>
    <row r="138">
      <c r="A138" s="15" t="n"/>
      <c r="B138" s="15" t="n"/>
      <c r="C138" s="37" t="n"/>
      <c r="D138" s="16" t="n"/>
      <c r="E138" s="16" t="n"/>
      <c r="F138" s="17" t="n"/>
      <c r="G138" s="15" t="n"/>
      <c r="H138" s="18">
        <f>IF(OR($A138="",$E138=0),"",$E138/spy_d2)</f>
        <v/>
      </c>
      <c r="I138" s="18">
        <f>IF(OR($A138="",$H138=0),"",IFERROR((SUMIF(tblProsesler[VarlikId],$B138,tblProsesler[USL_birim])-SUMIF(tblProsesler[VarlikId],$B138,tblProsesler[LSL_birim]))/(spy_altiSigma*$H138),0))</f>
        <v/>
      </c>
      <c r="J138" s="18">
        <f>IF(OR($A138="",$H138=0),"",IFERROR(MIN((SUMIF(tblProsesler[VarlikId],$B138,tblProsesler[USL_birim])-$D138)/(spy_ucSigma*$H138),($D138-SUMIF(tblProsesler[VarlikId],$B138,tblProsesler[LSL_birim]))/(spy_ucSigma*$H138)),0))</f>
        <v/>
      </c>
      <c r="K138" s="18">
        <f>IF($A138="","",IFERROR(AVERAGEIF(tblOlcum[VarlikId],$B138,tblOlcum[Xbar_birim])+spy_A2*$E138,0))</f>
        <v/>
      </c>
      <c r="L138" s="18">
        <f>IF($A138="","",IFERROR(AVERAGEIF(tblOlcum[VarlikId],$B138,tblOlcum[Xbar_birim])-spy_A2*$E138,0))</f>
        <v/>
      </c>
      <c r="M138" s="18">
        <f>IF($A138="","",MAX(0,MIN(100,spy_kaliteTaban-IF($J138&lt;spy_esikCpk,spy_kaliteCeza,0)-IF(OR($D138&gt;$K138,$D138&lt;$L138),spy_kaliteSapma,0)-IF($P138="YETIM",spy_kaliteCeza,0))))</f>
        <v/>
      </c>
      <c r="N138" s="18">
        <f>IF($A138="","",IF(OR($J138&lt;spy_esikCpk,$D138&gt;$K138,$D138&lt;$L138,$M138&lt;spy_esikSaglik),"ALARM","UYGUN"))</f>
        <v/>
      </c>
      <c r="O138" s="18">
        <f>IF($A138="","",1)</f>
        <v/>
      </c>
      <c r="P138" s="18">
        <f>IF($A138="","",IF(OR($B138="",COUNTIF(tblProsesler[VarlikId],$B138)=0),"YETIM","TAMAM"))</f>
        <v/>
      </c>
    </row>
    <row r="139">
      <c r="A139" s="15" t="n"/>
      <c r="B139" s="15" t="n"/>
      <c r="C139" s="37" t="n"/>
      <c r="D139" s="16" t="n"/>
      <c r="E139" s="16" t="n"/>
      <c r="F139" s="17" t="n"/>
      <c r="G139" s="15" t="n"/>
      <c r="H139" s="18">
        <f>IF(OR($A139="",$E139=0),"",$E139/spy_d2)</f>
        <v/>
      </c>
      <c r="I139" s="18">
        <f>IF(OR($A139="",$H139=0),"",IFERROR((SUMIF(tblProsesler[VarlikId],$B139,tblProsesler[USL_birim])-SUMIF(tblProsesler[VarlikId],$B139,tblProsesler[LSL_birim]))/(spy_altiSigma*$H139),0))</f>
        <v/>
      </c>
      <c r="J139" s="18">
        <f>IF(OR($A139="",$H139=0),"",IFERROR(MIN((SUMIF(tblProsesler[VarlikId],$B139,tblProsesler[USL_birim])-$D139)/(spy_ucSigma*$H139),($D139-SUMIF(tblProsesler[VarlikId],$B139,tblProsesler[LSL_birim]))/(spy_ucSigma*$H139)),0))</f>
        <v/>
      </c>
      <c r="K139" s="18">
        <f>IF($A139="","",IFERROR(AVERAGEIF(tblOlcum[VarlikId],$B139,tblOlcum[Xbar_birim])+spy_A2*$E139,0))</f>
        <v/>
      </c>
      <c r="L139" s="18">
        <f>IF($A139="","",IFERROR(AVERAGEIF(tblOlcum[VarlikId],$B139,tblOlcum[Xbar_birim])-spy_A2*$E139,0))</f>
        <v/>
      </c>
      <c r="M139" s="18">
        <f>IF($A139="","",MAX(0,MIN(100,spy_kaliteTaban-IF($J139&lt;spy_esikCpk,spy_kaliteCeza,0)-IF(OR($D139&gt;$K139,$D139&lt;$L139),spy_kaliteSapma,0)-IF($P139="YETIM",spy_kaliteCeza,0))))</f>
        <v/>
      </c>
      <c r="N139" s="18">
        <f>IF($A139="","",IF(OR($J139&lt;spy_esikCpk,$D139&gt;$K139,$D139&lt;$L139,$M139&lt;spy_esikSaglik),"ALARM","UYGUN"))</f>
        <v/>
      </c>
      <c r="O139" s="18">
        <f>IF($A139="","",1)</f>
        <v/>
      </c>
      <c r="P139" s="18">
        <f>IF($A139="","",IF(OR($B139="",COUNTIF(tblProsesler[VarlikId],$B139)=0),"YETIM","TAMAM"))</f>
        <v/>
      </c>
    </row>
    <row r="140">
      <c r="A140" s="15" t="n"/>
      <c r="B140" s="15" t="n"/>
      <c r="C140" s="37" t="n"/>
      <c r="D140" s="16" t="n"/>
      <c r="E140" s="16" t="n"/>
      <c r="F140" s="17" t="n"/>
      <c r="G140" s="15" t="n"/>
      <c r="H140" s="18">
        <f>IF(OR($A140="",$E140=0),"",$E140/spy_d2)</f>
        <v/>
      </c>
      <c r="I140" s="18">
        <f>IF(OR($A140="",$H140=0),"",IFERROR((SUMIF(tblProsesler[VarlikId],$B140,tblProsesler[USL_birim])-SUMIF(tblProsesler[VarlikId],$B140,tblProsesler[LSL_birim]))/(spy_altiSigma*$H140),0))</f>
        <v/>
      </c>
      <c r="J140" s="18">
        <f>IF(OR($A140="",$H140=0),"",IFERROR(MIN((SUMIF(tblProsesler[VarlikId],$B140,tblProsesler[USL_birim])-$D140)/(spy_ucSigma*$H140),($D140-SUMIF(tblProsesler[VarlikId],$B140,tblProsesler[LSL_birim]))/(spy_ucSigma*$H140)),0))</f>
        <v/>
      </c>
      <c r="K140" s="18">
        <f>IF($A140="","",IFERROR(AVERAGEIF(tblOlcum[VarlikId],$B140,tblOlcum[Xbar_birim])+spy_A2*$E140,0))</f>
        <v/>
      </c>
      <c r="L140" s="18">
        <f>IF($A140="","",IFERROR(AVERAGEIF(tblOlcum[VarlikId],$B140,tblOlcum[Xbar_birim])-spy_A2*$E140,0))</f>
        <v/>
      </c>
      <c r="M140" s="18">
        <f>IF($A140="","",MAX(0,MIN(100,spy_kaliteTaban-IF($J140&lt;spy_esikCpk,spy_kaliteCeza,0)-IF(OR($D140&gt;$K140,$D140&lt;$L140),spy_kaliteSapma,0)-IF($P140="YETIM",spy_kaliteCeza,0))))</f>
        <v/>
      </c>
      <c r="N140" s="18">
        <f>IF($A140="","",IF(OR($J140&lt;spy_esikCpk,$D140&gt;$K140,$D140&lt;$L140,$M140&lt;spy_esikSaglik),"ALARM","UYGUN"))</f>
        <v/>
      </c>
      <c r="O140" s="18">
        <f>IF($A140="","",1)</f>
        <v/>
      </c>
      <c r="P140" s="18">
        <f>IF($A140="","",IF(OR($B140="",COUNTIF(tblProsesler[VarlikId],$B140)=0),"YETIM","TAMAM"))</f>
        <v/>
      </c>
    </row>
    <row r="141">
      <c r="A141" s="15" t="n"/>
      <c r="B141" s="15" t="n"/>
      <c r="C141" s="37" t="n"/>
      <c r="D141" s="16" t="n"/>
      <c r="E141" s="16" t="n"/>
      <c r="F141" s="17" t="n"/>
      <c r="G141" s="15" t="n"/>
      <c r="H141" s="18">
        <f>IF(OR($A141="",$E141=0),"",$E141/spy_d2)</f>
        <v/>
      </c>
      <c r="I141" s="18">
        <f>IF(OR($A141="",$H141=0),"",IFERROR((SUMIF(tblProsesler[VarlikId],$B141,tblProsesler[USL_birim])-SUMIF(tblProsesler[VarlikId],$B141,tblProsesler[LSL_birim]))/(spy_altiSigma*$H141),0))</f>
        <v/>
      </c>
      <c r="J141" s="18">
        <f>IF(OR($A141="",$H141=0),"",IFERROR(MIN((SUMIF(tblProsesler[VarlikId],$B141,tblProsesler[USL_birim])-$D141)/(spy_ucSigma*$H141),($D141-SUMIF(tblProsesler[VarlikId],$B141,tblProsesler[LSL_birim]))/(spy_ucSigma*$H141)),0))</f>
        <v/>
      </c>
      <c r="K141" s="18">
        <f>IF($A141="","",IFERROR(AVERAGEIF(tblOlcum[VarlikId],$B141,tblOlcum[Xbar_birim])+spy_A2*$E141,0))</f>
        <v/>
      </c>
      <c r="L141" s="18">
        <f>IF($A141="","",IFERROR(AVERAGEIF(tblOlcum[VarlikId],$B141,tblOlcum[Xbar_birim])-spy_A2*$E141,0))</f>
        <v/>
      </c>
      <c r="M141" s="18">
        <f>IF($A141="","",MAX(0,MIN(100,spy_kaliteTaban-IF($J141&lt;spy_esikCpk,spy_kaliteCeza,0)-IF(OR($D141&gt;$K141,$D141&lt;$L141),spy_kaliteSapma,0)-IF($P141="YETIM",spy_kaliteCeza,0))))</f>
        <v/>
      </c>
      <c r="N141" s="18">
        <f>IF($A141="","",IF(OR($J141&lt;spy_esikCpk,$D141&gt;$K141,$D141&lt;$L141,$M141&lt;spy_esikSaglik),"ALARM","UYGUN"))</f>
        <v/>
      </c>
      <c r="O141" s="18">
        <f>IF($A141="","",1)</f>
        <v/>
      </c>
      <c r="P141" s="18">
        <f>IF($A141="","",IF(OR($B141="",COUNTIF(tblProsesler[VarlikId],$B141)=0),"YETIM","TAMAM"))</f>
        <v/>
      </c>
    </row>
    <row r="142">
      <c r="A142" s="15" t="n"/>
      <c r="B142" s="15" t="n"/>
      <c r="C142" s="37" t="n"/>
      <c r="D142" s="16" t="n"/>
      <c r="E142" s="16" t="n"/>
      <c r="F142" s="17" t="n"/>
      <c r="G142" s="15" t="n"/>
      <c r="H142" s="18">
        <f>IF(OR($A142="",$E142=0),"",$E142/spy_d2)</f>
        <v/>
      </c>
      <c r="I142" s="18">
        <f>IF(OR($A142="",$H142=0),"",IFERROR((SUMIF(tblProsesler[VarlikId],$B142,tblProsesler[USL_birim])-SUMIF(tblProsesler[VarlikId],$B142,tblProsesler[LSL_birim]))/(spy_altiSigma*$H142),0))</f>
        <v/>
      </c>
      <c r="J142" s="18">
        <f>IF(OR($A142="",$H142=0),"",IFERROR(MIN((SUMIF(tblProsesler[VarlikId],$B142,tblProsesler[USL_birim])-$D142)/(spy_ucSigma*$H142),($D142-SUMIF(tblProsesler[VarlikId],$B142,tblProsesler[LSL_birim]))/(spy_ucSigma*$H142)),0))</f>
        <v/>
      </c>
      <c r="K142" s="18">
        <f>IF($A142="","",IFERROR(AVERAGEIF(tblOlcum[VarlikId],$B142,tblOlcum[Xbar_birim])+spy_A2*$E142,0))</f>
        <v/>
      </c>
      <c r="L142" s="18">
        <f>IF($A142="","",IFERROR(AVERAGEIF(tblOlcum[VarlikId],$B142,tblOlcum[Xbar_birim])-spy_A2*$E142,0))</f>
        <v/>
      </c>
      <c r="M142" s="18">
        <f>IF($A142="","",MAX(0,MIN(100,spy_kaliteTaban-IF($J142&lt;spy_esikCpk,spy_kaliteCeza,0)-IF(OR($D142&gt;$K142,$D142&lt;$L142),spy_kaliteSapma,0)-IF($P142="YETIM",spy_kaliteCeza,0))))</f>
        <v/>
      </c>
      <c r="N142" s="18">
        <f>IF($A142="","",IF(OR($J142&lt;spy_esikCpk,$D142&gt;$K142,$D142&lt;$L142,$M142&lt;spy_esikSaglik),"ALARM","UYGUN"))</f>
        <v/>
      </c>
      <c r="O142" s="18">
        <f>IF($A142="","",1)</f>
        <v/>
      </c>
      <c r="P142" s="18">
        <f>IF($A142="","",IF(OR($B142="",COUNTIF(tblProsesler[VarlikId],$B142)=0),"YETIM","TAMAM"))</f>
        <v/>
      </c>
    </row>
    <row r="143">
      <c r="A143" s="15" t="n"/>
      <c r="B143" s="15" t="n"/>
      <c r="C143" s="37" t="n"/>
      <c r="D143" s="16" t="n"/>
      <c r="E143" s="16" t="n"/>
      <c r="F143" s="17" t="n"/>
      <c r="G143" s="15" t="n"/>
      <c r="H143" s="18">
        <f>IF(OR($A143="",$E143=0),"",$E143/spy_d2)</f>
        <v/>
      </c>
      <c r="I143" s="18">
        <f>IF(OR($A143="",$H143=0),"",IFERROR((SUMIF(tblProsesler[VarlikId],$B143,tblProsesler[USL_birim])-SUMIF(tblProsesler[VarlikId],$B143,tblProsesler[LSL_birim]))/(spy_altiSigma*$H143),0))</f>
        <v/>
      </c>
      <c r="J143" s="18">
        <f>IF(OR($A143="",$H143=0),"",IFERROR(MIN((SUMIF(tblProsesler[VarlikId],$B143,tblProsesler[USL_birim])-$D143)/(spy_ucSigma*$H143),($D143-SUMIF(tblProsesler[VarlikId],$B143,tblProsesler[LSL_birim]))/(spy_ucSigma*$H143)),0))</f>
        <v/>
      </c>
      <c r="K143" s="18">
        <f>IF($A143="","",IFERROR(AVERAGEIF(tblOlcum[VarlikId],$B143,tblOlcum[Xbar_birim])+spy_A2*$E143,0))</f>
        <v/>
      </c>
      <c r="L143" s="18">
        <f>IF($A143="","",IFERROR(AVERAGEIF(tblOlcum[VarlikId],$B143,tblOlcum[Xbar_birim])-spy_A2*$E143,0))</f>
        <v/>
      </c>
      <c r="M143" s="18">
        <f>IF($A143="","",MAX(0,MIN(100,spy_kaliteTaban-IF($J143&lt;spy_esikCpk,spy_kaliteCeza,0)-IF(OR($D143&gt;$K143,$D143&lt;$L143),spy_kaliteSapma,0)-IF($P143="YETIM",spy_kaliteCeza,0))))</f>
        <v/>
      </c>
      <c r="N143" s="18">
        <f>IF($A143="","",IF(OR($J143&lt;spy_esikCpk,$D143&gt;$K143,$D143&lt;$L143,$M143&lt;spy_esikSaglik),"ALARM","UYGUN"))</f>
        <v/>
      </c>
      <c r="O143" s="18">
        <f>IF($A143="","",1)</f>
        <v/>
      </c>
      <c r="P143" s="18">
        <f>IF($A143="","",IF(OR($B143="",COUNTIF(tblProsesler[VarlikId],$B143)=0),"YETIM","TAMAM"))</f>
        <v/>
      </c>
    </row>
    <row r="144">
      <c r="A144" s="15" t="n"/>
      <c r="B144" s="15" t="n"/>
      <c r="C144" s="37" t="n"/>
      <c r="D144" s="16" t="n"/>
      <c r="E144" s="16" t="n"/>
      <c r="F144" s="17" t="n"/>
      <c r="G144" s="15" t="n"/>
      <c r="H144" s="18">
        <f>IF(OR($A144="",$E144=0),"",$E144/spy_d2)</f>
        <v/>
      </c>
      <c r="I144" s="18">
        <f>IF(OR($A144="",$H144=0),"",IFERROR((SUMIF(tblProsesler[VarlikId],$B144,tblProsesler[USL_birim])-SUMIF(tblProsesler[VarlikId],$B144,tblProsesler[LSL_birim]))/(spy_altiSigma*$H144),0))</f>
        <v/>
      </c>
      <c r="J144" s="18">
        <f>IF(OR($A144="",$H144=0),"",IFERROR(MIN((SUMIF(tblProsesler[VarlikId],$B144,tblProsesler[USL_birim])-$D144)/(spy_ucSigma*$H144),($D144-SUMIF(tblProsesler[VarlikId],$B144,tblProsesler[LSL_birim]))/(spy_ucSigma*$H144)),0))</f>
        <v/>
      </c>
      <c r="K144" s="18">
        <f>IF($A144="","",IFERROR(AVERAGEIF(tblOlcum[VarlikId],$B144,tblOlcum[Xbar_birim])+spy_A2*$E144,0))</f>
        <v/>
      </c>
      <c r="L144" s="18">
        <f>IF($A144="","",IFERROR(AVERAGEIF(tblOlcum[VarlikId],$B144,tblOlcum[Xbar_birim])-spy_A2*$E144,0))</f>
        <v/>
      </c>
      <c r="M144" s="18">
        <f>IF($A144="","",MAX(0,MIN(100,spy_kaliteTaban-IF($J144&lt;spy_esikCpk,spy_kaliteCeza,0)-IF(OR($D144&gt;$K144,$D144&lt;$L144),spy_kaliteSapma,0)-IF($P144="YETIM",spy_kaliteCeza,0))))</f>
        <v/>
      </c>
      <c r="N144" s="18">
        <f>IF($A144="","",IF(OR($J144&lt;spy_esikCpk,$D144&gt;$K144,$D144&lt;$L144,$M144&lt;spy_esikSaglik),"ALARM","UYGUN"))</f>
        <v/>
      </c>
      <c r="O144" s="18">
        <f>IF($A144="","",1)</f>
        <v/>
      </c>
      <c r="P144" s="18">
        <f>IF($A144="","",IF(OR($B144="",COUNTIF(tblProsesler[VarlikId],$B144)=0),"YETIM","TAMAM"))</f>
        <v/>
      </c>
    </row>
    <row r="145">
      <c r="A145" s="15" t="n"/>
      <c r="B145" s="15" t="n"/>
      <c r="C145" s="37" t="n"/>
      <c r="D145" s="16" t="n"/>
      <c r="E145" s="16" t="n"/>
      <c r="F145" s="17" t="n"/>
      <c r="G145" s="15" t="n"/>
      <c r="H145" s="18">
        <f>IF(OR($A145="",$E145=0),"",$E145/spy_d2)</f>
        <v/>
      </c>
      <c r="I145" s="18">
        <f>IF(OR($A145="",$H145=0),"",IFERROR((SUMIF(tblProsesler[VarlikId],$B145,tblProsesler[USL_birim])-SUMIF(tblProsesler[VarlikId],$B145,tblProsesler[LSL_birim]))/(spy_altiSigma*$H145),0))</f>
        <v/>
      </c>
      <c r="J145" s="18">
        <f>IF(OR($A145="",$H145=0),"",IFERROR(MIN((SUMIF(tblProsesler[VarlikId],$B145,tblProsesler[USL_birim])-$D145)/(spy_ucSigma*$H145),($D145-SUMIF(tblProsesler[VarlikId],$B145,tblProsesler[LSL_birim]))/(spy_ucSigma*$H145)),0))</f>
        <v/>
      </c>
      <c r="K145" s="18">
        <f>IF($A145="","",IFERROR(AVERAGEIF(tblOlcum[VarlikId],$B145,tblOlcum[Xbar_birim])+spy_A2*$E145,0))</f>
        <v/>
      </c>
      <c r="L145" s="18">
        <f>IF($A145="","",IFERROR(AVERAGEIF(tblOlcum[VarlikId],$B145,tblOlcum[Xbar_birim])-spy_A2*$E145,0))</f>
        <v/>
      </c>
      <c r="M145" s="18">
        <f>IF($A145="","",MAX(0,MIN(100,spy_kaliteTaban-IF($J145&lt;spy_esikCpk,spy_kaliteCeza,0)-IF(OR($D145&gt;$K145,$D145&lt;$L145),spy_kaliteSapma,0)-IF($P145="YETIM",spy_kaliteCeza,0))))</f>
        <v/>
      </c>
      <c r="N145" s="18">
        <f>IF($A145="","",IF(OR($J145&lt;spy_esikCpk,$D145&gt;$K145,$D145&lt;$L145,$M145&lt;spy_esikSaglik),"ALARM","UYGUN"))</f>
        <v/>
      </c>
      <c r="O145" s="18">
        <f>IF($A145="","",1)</f>
        <v/>
      </c>
      <c r="P145" s="18">
        <f>IF($A145="","",IF(OR($B145="",COUNTIF(tblProsesler[VarlikId],$B145)=0),"YETIM","TAMAM"))</f>
        <v/>
      </c>
    </row>
    <row r="146">
      <c r="A146" s="15" t="n"/>
      <c r="B146" s="15" t="n"/>
      <c r="C146" s="37" t="n"/>
      <c r="D146" s="16" t="n"/>
      <c r="E146" s="16" t="n"/>
      <c r="F146" s="17" t="n"/>
      <c r="G146" s="15" t="n"/>
      <c r="H146" s="18">
        <f>IF(OR($A146="",$E146=0),"",$E146/spy_d2)</f>
        <v/>
      </c>
      <c r="I146" s="18">
        <f>IF(OR($A146="",$H146=0),"",IFERROR((SUMIF(tblProsesler[VarlikId],$B146,tblProsesler[USL_birim])-SUMIF(tblProsesler[VarlikId],$B146,tblProsesler[LSL_birim]))/(spy_altiSigma*$H146),0))</f>
        <v/>
      </c>
      <c r="J146" s="18">
        <f>IF(OR($A146="",$H146=0),"",IFERROR(MIN((SUMIF(tblProsesler[VarlikId],$B146,tblProsesler[USL_birim])-$D146)/(spy_ucSigma*$H146),($D146-SUMIF(tblProsesler[VarlikId],$B146,tblProsesler[LSL_birim]))/(spy_ucSigma*$H146)),0))</f>
        <v/>
      </c>
      <c r="K146" s="18">
        <f>IF($A146="","",IFERROR(AVERAGEIF(tblOlcum[VarlikId],$B146,tblOlcum[Xbar_birim])+spy_A2*$E146,0))</f>
        <v/>
      </c>
      <c r="L146" s="18">
        <f>IF($A146="","",IFERROR(AVERAGEIF(tblOlcum[VarlikId],$B146,tblOlcum[Xbar_birim])-spy_A2*$E146,0))</f>
        <v/>
      </c>
      <c r="M146" s="18">
        <f>IF($A146="","",MAX(0,MIN(100,spy_kaliteTaban-IF($J146&lt;spy_esikCpk,spy_kaliteCeza,0)-IF(OR($D146&gt;$K146,$D146&lt;$L146),spy_kaliteSapma,0)-IF($P146="YETIM",spy_kaliteCeza,0))))</f>
        <v/>
      </c>
      <c r="N146" s="18">
        <f>IF($A146="","",IF(OR($J146&lt;spy_esikCpk,$D146&gt;$K146,$D146&lt;$L146,$M146&lt;spy_esikSaglik),"ALARM","UYGUN"))</f>
        <v/>
      </c>
      <c r="O146" s="18">
        <f>IF($A146="","",1)</f>
        <v/>
      </c>
      <c r="P146" s="18">
        <f>IF($A146="","",IF(OR($B146="",COUNTIF(tblProsesler[VarlikId],$B146)=0),"YETIM","TAMAM"))</f>
        <v/>
      </c>
    </row>
    <row r="147">
      <c r="A147" s="15" t="n"/>
      <c r="B147" s="15" t="n"/>
      <c r="C147" s="37" t="n"/>
      <c r="D147" s="16" t="n"/>
      <c r="E147" s="16" t="n"/>
      <c r="F147" s="17" t="n"/>
      <c r="G147" s="15" t="n"/>
      <c r="H147" s="18">
        <f>IF(OR($A147="",$E147=0),"",$E147/spy_d2)</f>
        <v/>
      </c>
      <c r="I147" s="18">
        <f>IF(OR($A147="",$H147=0),"",IFERROR((SUMIF(tblProsesler[VarlikId],$B147,tblProsesler[USL_birim])-SUMIF(tblProsesler[VarlikId],$B147,tblProsesler[LSL_birim]))/(spy_altiSigma*$H147),0))</f>
        <v/>
      </c>
      <c r="J147" s="18">
        <f>IF(OR($A147="",$H147=0),"",IFERROR(MIN((SUMIF(tblProsesler[VarlikId],$B147,tblProsesler[USL_birim])-$D147)/(spy_ucSigma*$H147),($D147-SUMIF(tblProsesler[VarlikId],$B147,tblProsesler[LSL_birim]))/(spy_ucSigma*$H147)),0))</f>
        <v/>
      </c>
      <c r="K147" s="18">
        <f>IF($A147="","",IFERROR(AVERAGEIF(tblOlcum[VarlikId],$B147,tblOlcum[Xbar_birim])+spy_A2*$E147,0))</f>
        <v/>
      </c>
      <c r="L147" s="18">
        <f>IF($A147="","",IFERROR(AVERAGEIF(tblOlcum[VarlikId],$B147,tblOlcum[Xbar_birim])-spy_A2*$E147,0))</f>
        <v/>
      </c>
      <c r="M147" s="18">
        <f>IF($A147="","",MAX(0,MIN(100,spy_kaliteTaban-IF($J147&lt;spy_esikCpk,spy_kaliteCeza,0)-IF(OR($D147&gt;$K147,$D147&lt;$L147),spy_kaliteSapma,0)-IF($P147="YETIM",spy_kaliteCeza,0))))</f>
        <v/>
      </c>
      <c r="N147" s="18">
        <f>IF($A147="","",IF(OR($J147&lt;spy_esikCpk,$D147&gt;$K147,$D147&lt;$L147,$M147&lt;spy_esikSaglik),"ALARM","UYGUN"))</f>
        <v/>
      </c>
      <c r="O147" s="18">
        <f>IF($A147="","",1)</f>
        <v/>
      </c>
      <c r="P147" s="18">
        <f>IF($A147="","",IF(OR($B147="",COUNTIF(tblProsesler[VarlikId],$B147)=0),"YETIM","TAMAM"))</f>
        <v/>
      </c>
    </row>
    <row r="148">
      <c r="A148" s="15" t="n"/>
      <c r="B148" s="15" t="n"/>
      <c r="C148" s="37" t="n"/>
      <c r="D148" s="16" t="n"/>
      <c r="E148" s="16" t="n"/>
      <c r="F148" s="17" t="n"/>
      <c r="G148" s="15" t="n"/>
      <c r="H148" s="18">
        <f>IF(OR($A148="",$E148=0),"",$E148/spy_d2)</f>
        <v/>
      </c>
      <c r="I148" s="18">
        <f>IF(OR($A148="",$H148=0),"",IFERROR((SUMIF(tblProsesler[VarlikId],$B148,tblProsesler[USL_birim])-SUMIF(tblProsesler[VarlikId],$B148,tblProsesler[LSL_birim]))/(spy_altiSigma*$H148),0))</f>
        <v/>
      </c>
      <c r="J148" s="18">
        <f>IF(OR($A148="",$H148=0),"",IFERROR(MIN((SUMIF(tblProsesler[VarlikId],$B148,tblProsesler[USL_birim])-$D148)/(spy_ucSigma*$H148),($D148-SUMIF(tblProsesler[VarlikId],$B148,tblProsesler[LSL_birim]))/(spy_ucSigma*$H148)),0))</f>
        <v/>
      </c>
      <c r="K148" s="18">
        <f>IF($A148="","",IFERROR(AVERAGEIF(tblOlcum[VarlikId],$B148,tblOlcum[Xbar_birim])+spy_A2*$E148,0))</f>
        <v/>
      </c>
      <c r="L148" s="18">
        <f>IF($A148="","",IFERROR(AVERAGEIF(tblOlcum[VarlikId],$B148,tblOlcum[Xbar_birim])-spy_A2*$E148,0))</f>
        <v/>
      </c>
      <c r="M148" s="18">
        <f>IF($A148="","",MAX(0,MIN(100,spy_kaliteTaban-IF($J148&lt;spy_esikCpk,spy_kaliteCeza,0)-IF(OR($D148&gt;$K148,$D148&lt;$L148),spy_kaliteSapma,0)-IF($P148="YETIM",spy_kaliteCeza,0))))</f>
        <v/>
      </c>
      <c r="N148" s="18">
        <f>IF($A148="","",IF(OR($J148&lt;spy_esikCpk,$D148&gt;$K148,$D148&lt;$L148,$M148&lt;spy_esikSaglik),"ALARM","UYGUN"))</f>
        <v/>
      </c>
      <c r="O148" s="18">
        <f>IF($A148="","",1)</f>
        <v/>
      </c>
      <c r="P148" s="18">
        <f>IF($A148="","",IF(OR($B148="",COUNTIF(tblProsesler[VarlikId],$B148)=0),"YETIM","TAMAM"))</f>
        <v/>
      </c>
    </row>
    <row r="149">
      <c r="A149" s="15" t="n"/>
      <c r="B149" s="15" t="n"/>
      <c r="C149" s="37" t="n"/>
      <c r="D149" s="16" t="n"/>
      <c r="E149" s="16" t="n"/>
      <c r="F149" s="17" t="n"/>
      <c r="G149" s="15" t="n"/>
      <c r="H149" s="18">
        <f>IF(OR($A149="",$E149=0),"",$E149/spy_d2)</f>
        <v/>
      </c>
      <c r="I149" s="18">
        <f>IF(OR($A149="",$H149=0),"",IFERROR((SUMIF(tblProsesler[VarlikId],$B149,tblProsesler[USL_birim])-SUMIF(tblProsesler[VarlikId],$B149,tblProsesler[LSL_birim]))/(spy_altiSigma*$H149),0))</f>
        <v/>
      </c>
      <c r="J149" s="18">
        <f>IF(OR($A149="",$H149=0),"",IFERROR(MIN((SUMIF(tblProsesler[VarlikId],$B149,tblProsesler[USL_birim])-$D149)/(spy_ucSigma*$H149),($D149-SUMIF(tblProsesler[VarlikId],$B149,tblProsesler[LSL_birim]))/(spy_ucSigma*$H149)),0))</f>
        <v/>
      </c>
      <c r="K149" s="18">
        <f>IF($A149="","",IFERROR(AVERAGEIF(tblOlcum[VarlikId],$B149,tblOlcum[Xbar_birim])+spy_A2*$E149,0))</f>
        <v/>
      </c>
      <c r="L149" s="18">
        <f>IF($A149="","",IFERROR(AVERAGEIF(tblOlcum[VarlikId],$B149,tblOlcum[Xbar_birim])-spy_A2*$E149,0))</f>
        <v/>
      </c>
      <c r="M149" s="18">
        <f>IF($A149="","",MAX(0,MIN(100,spy_kaliteTaban-IF($J149&lt;spy_esikCpk,spy_kaliteCeza,0)-IF(OR($D149&gt;$K149,$D149&lt;$L149),spy_kaliteSapma,0)-IF($P149="YETIM",spy_kaliteCeza,0))))</f>
        <v/>
      </c>
      <c r="N149" s="18">
        <f>IF($A149="","",IF(OR($J149&lt;spy_esikCpk,$D149&gt;$K149,$D149&lt;$L149,$M149&lt;spy_esikSaglik),"ALARM","UYGUN"))</f>
        <v/>
      </c>
      <c r="O149" s="18">
        <f>IF($A149="","",1)</f>
        <v/>
      </c>
      <c r="P149" s="18">
        <f>IF($A149="","",IF(OR($B149="",COUNTIF(tblProsesler[VarlikId],$B149)=0),"YETIM","TAMAM"))</f>
        <v/>
      </c>
    </row>
    <row r="150">
      <c r="A150" s="15" t="n"/>
      <c r="B150" s="15" t="n"/>
      <c r="C150" s="37" t="n"/>
      <c r="D150" s="16" t="n"/>
      <c r="E150" s="16" t="n"/>
      <c r="F150" s="17" t="n"/>
      <c r="G150" s="15" t="n"/>
      <c r="H150" s="18">
        <f>IF(OR($A150="",$E150=0),"",$E150/spy_d2)</f>
        <v/>
      </c>
      <c r="I150" s="18">
        <f>IF(OR($A150="",$H150=0),"",IFERROR((SUMIF(tblProsesler[VarlikId],$B150,tblProsesler[USL_birim])-SUMIF(tblProsesler[VarlikId],$B150,tblProsesler[LSL_birim]))/(spy_altiSigma*$H150),0))</f>
        <v/>
      </c>
      <c r="J150" s="18">
        <f>IF(OR($A150="",$H150=0),"",IFERROR(MIN((SUMIF(tblProsesler[VarlikId],$B150,tblProsesler[USL_birim])-$D150)/(spy_ucSigma*$H150),($D150-SUMIF(tblProsesler[VarlikId],$B150,tblProsesler[LSL_birim]))/(spy_ucSigma*$H150)),0))</f>
        <v/>
      </c>
      <c r="K150" s="18">
        <f>IF($A150="","",IFERROR(AVERAGEIF(tblOlcum[VarlikId],$B150,tblOlcum[Xbar_birim])+spy_A2*$E150,0))</f>
        <v/>
      </c>
      <c r="L150" s="18">
        <f>IF($A150="","",IFERROR(AVERAGEIF(tblOlcum[VarlikId],$B150,tblOlcum[Xbar_birim])-spy_A2*$E150,0))</f>
        <v/>
      </c>
      <c r="M150" s="18">
        <f>IF($A150="","",MAX(0,MIN(100,spy_kaliteTaban-IF($J150&lt;spy_esikCpk,spy_kaliteCeza,0)-IF(OR($D150&gt;$K150,$D150&lt;$L150),spy_kaliteSapma,0)-IF($P150="YETIM",spy_kaliteCeza,0))))</f>
        <v/>
      </c>
      <c r="N150" s="18">
        <f>IF($A150="","",IF(OR($J150&lt;spy_esikCpk,$D150&gt;$K150,$D150&lt;$L150,$M150&lt;spy_esikSaglik),"ALARM","UYGUN"))</f>
        <v/>
      </c>
      <c r="O150" s="18">
        <f>IF($A150="","",1)</f>
        <v/>
      </c>
      <c r="P150" s="18">
        <f>IF($A150="","",IF(OR($B150="",COUNTIF(tblProsesler[VarlikId],$B150)=0),"YETIM","TAMAM"))</f>
        <v/>
      </c>
    </row>
    <row r="151">
      <c r="A151" s="15" t="n"/>
      <c r="B151" s="15" t="n"/>
      <c r="C151" s="37" t="n"/>
      <c r="D151" s="16" t="n"/>
      <c r="E151" s="16" t="n"/>
      <c r="F151" s="17" t="n"/>
      <c r="G151" s="15" t="n"/>
      <c r="H151" s="18">
        <f>IF(OR($A151="",$E151=0),"",$E151/spy_d2)</f>
        <v/>
      </c>
      <c r="I151" s="18">
        <f>IF(OR($A151="",$H151=0),"",IFERROR((SUMIF(tblProsesler[VarlikId],$B151,tblProsesler[USL_birim])-SUMIF(tblProsesler[VarlikId],$B151,tblProsesler[LSL_birim]))/(spy_altiSigma*$H151),0))</f>
        <v/>
      </c>
      <c r="J151" s="18">
        <f>IF(OR($A151="",$H151=0),"",IFERROR(MIN((SUMIF(tblProsesler[VarlikId],$B151,tblProsesler[USL_birim])-$D151)/(spy_ucSigma*$H151),($D151-SUMIF(tblProsesler[VarlikId],$B151,tblProsesler[LSL_birim]))/(spy_ucSigma*$H151)),0))</f>
        <v/>
      </c>
      <c r="K151" s="18">
        <f>IF($A151="","",IFERROR(AVERAGEIF(tblOlcum[VarlikId],$B151,tblOlcum[Xbar_birim])+spy_A2*$E151,0))</f>
        <v/>
      </c>
      <c r="L151" s="18">
        <f>IF($A151="","",IFERROR(AVERAGEIF(tblOlcum[VarlikId],$B151,tblOlcum[Xbar_birim])-spy_A2*$E151,0))</f>
        <v/>
      </c>
      <c r="M151" s="18">
        <f>IF($A151="","",MAX(0,MIN(100,spy_kaliteTaban-IF($J151&lt;spy_esikCpk,spy_kaliteCeza,0)-IF(OR($D151&gt;$K151,$D151&lt;$L151),spy_kaliteSapma,0)-IF($P151="YETIM",spy_kaliteCeza,0))))</f>
        <v/>
      </c>
      <c r="N151" s="18">
        <f>IF($A151="","",IF(OR($J151&lt;spy_esikCpk,$D151&gt;$K151,$D151&lt;$L151,$M151&lt;spy_esikSaglik),"ALARM","UYGUN"))</f>
        <v/>
      </c>
      <c r="O151" s="18">
        <f>IF($A151="","",1)</f>
        <v/>
      </c>
      <c r="P151" s="18">
        <f>IF($A151="","",IF(OR($B151="",COUNTIF(tblProsesler[VarlikId],$B151)=0),"YETIM","TAMAM"))</f>
        <v/>
      </c>
    </row>
    <row r="152">
      <c r="A152" s="15" t="n"/>
      <c r="B152" s="15" t="n"/>
      <c r="C152" s="37" t="n"/>
      <c r="D152" s="16" t="n"/>
      <c r="E152" s="16" t="n"/>
      <c r="F152" s="17" t="n"/>
      <c r="G152" s="15" t="n"/>
      <c r="H152" s="18">
        <f>IF(OR($A152="",$E152=0),"",$E152/spy_d2)</f>
        <v/>
      </c>
      <c r="I152" s="18">
        <f>IF(OR($A152="",$H152=0),"",IFERROR((SUMIF(tblProsesler[VarlikId],$B152,tblProsesler[USL_birim])-SUMIF(tblProsesler[VarlikId],$B152,tblProsesler[LSL_birim]))/(spy_altiSigma*$H152),0))</f>
        <v/>
      </c>
      <c r="J152" s="18">
        <f>IF(OR($A152="",$H152=0),"",IFERROR(MIN((SUMIF(tblProsesler[VarlikId],$B152,tblProsesler[USL_birim])-$D152)/(spy_ucSigma*$H152),($D152-SUMIF(tblProsesler[VarlikId],$B152,tblProsesler[LSL_birim]))/(spy_ucSigma*$H152)),0))</f>
        <v/>
      </c>
      <c r="K152" s="18">
        <f>IF($A152="","",IFERROR(AVERAGEIF(tblOlcum[VarlikId],$B152,tblOlcum[Xbar_birim])+spy_A2*$E152,0))</f>
        <v/>
      </c>
      <c r="L152" s="18">
        <f>IF($A152="","",IFERROR(AVERAGEIF(tblOlcum[VarlikId],$B152,tblOlcum[Xbar_birim])-spy_A2*$E152,0))</f>
        <v/>
      </c>
      <c r="M152" s="18">
        <f>IF($A152="","",MAX(0,MIN(100,spy_kaliteTaban-IF($J152&lt;spy_esikCpk,spy_kaliteCeza,0)-IF(OR($D152&gt;$K152,$D152&lt;$L152),spy_kaliteSapma,0)-IF($P152="YETIM",spy_kaliteCeza,0))))</f>
        <v/>
      </c>
      <c r="N152" s="18">
        <f>IF($A152="","",IF(OR($J152&lt;spy_esikCpk,$D152&gt;$K152,$D152&lt;$L152,$M152&lt;spy_esikSaglik),"ALARM","UYGUN"))</f>
        <v/>
      </c>
      <c r="O152" s="18">
        <f>IF($A152="","",1)</f>
        <v/>
      </c>
      <c r="P152" s="18">
        <f>IF($A152="","",IF(OR($B152="",COUNTIF(tblProsesler[VarlikId],$B152)=0),"YETIM","TAMAM"))</f>
        <v/>
      </c>
    </row>
    <row r="153">
      <c r="A153" s="15" t="n"/>
      <c r="B153" s="15" t="n"/>
      <c r="C153" s="37" t="n"/>
      <c r="D153" s="16" t="n"/>
      <c r="E153" s="16" t="n"/>
      <c r="F153" s="17" t="n"/>
      <c r="G153" s="15" t="n"/>
      <c r="H153" s="18">
        <f>IF(OR($A153="",$E153=0),"",$E153/spy_d2)</f>
        <v/>
      </c>
      <c r="I153" s="18">
        <f>IF(OR($A153="",$H153=0),"",IFERROR((SUMIF(tblProsesler[VarlikId],$B153,tblProsesler[USL_birim])-SUMIF(tblProsesler[VarlikId],$B153,tblProsesler[LSL_birim]))/(spy_altiSigma*$H153),0))</f>
        <v/>
      </c>
      <c r="J153" s="18">
        <f>IF(OR($A153="",$H153=0),"",IFERROR(MIN((SUMIF(tblProsesler[VarlikId],$B153,tblProsesler[USL_birim])-$D153)/(spy_ucSigma*$H153),($D153-SUMIF(tblProsesler[VarlikId],$B153,tblProsesler[LSL_birim]))/(spy_ucSigma*$H153)),0))</f>
        <v/>
      </c>
      <c r="K153" s="18">
        <f>IF($A153="","",IFERROR(AVERAGEIF(tblOlcum[VarlikId],$B153,tblOlcum[Xbar_birim])+spy_A2*$E153,0))</f>
        <v/>
      </c>
      <c r="L153" s="18">
        <f>IF($A153="","",IFERROR(AVERAGEIF(tblOlcum[VarlikId],$B153,tblOlcum[Xbar_birim])-spy_A2*$E153,0))</f>
        <v/>
      </c>
      <c r="M153" s="18">
        <f>IF($A153="","",MAX(0,MIN(100,spy_kaliteTaban-IF($J153&lt;spy_esikCpk,spy_kaliteCeza,0)-IF(OR($D153&gt;$K153,$D153&lt;$L153),spy_kaliteSapma,0)-IF($P153="YETIM",spy_kaliteCeza,0))))</f>
        <v/>
      </c>
      <c r="N153" s="18">
        <f>IF($A153="","",IF(OR($J153&lt;spy_esikCpk,$D153&gt;$K153,$D153&lt;$L153,$M153&lt;spy_esikSaglik),"ALARM","UYGUN"))</f>
        <v/>
      </c>
      <c r="O153" s="18">
        <f>IF($A153="","",1)</f>
        <v/>
      </c>
      <c r="P153" s="18">
        <f>IF($A153="","",IF(OR($B153="",COUNTIF(tblProsesler[VarlikId],$B153)=0),"YETIM","TAMAM"))</f>
        <v/>
      </c>
    </row>
    <row r="154">
      <c r="A154" s="15" t="n"/>
      <c r="B154" s="15" t="n"/>
      <c r="C154" s="37" t="n"/>
      <c r="D154" s="16" t="n"/>
      <c r="E154" s="16" t="n"/>
      <c r="F154" s="17" t="n"/>
      <c r="G154" s="15" t="n"/>
      <c r="H154" s="18">
        <f>IF(OR($A154="",$E154=0),"",$E154/spy_d2)</f>
        <v/>
      </c>
      <c r="I154" s="18">
        <f>IF(OR($A154="",$H154=0),"",IFERROR((SUMIF(tblProsesler[VarlikId],$B154,tblProsesler[USL_birim])-SUMIF(tblProsesler[VarlikId],$B154,tblProsesler[LSL_birim]))/(spy_altiSigma*$H154),0))</f>
        <v/>
      </c>
      <c r="J154" s="18">
        <f>IF(OR($A154="",$H154=0),"",IFERROR(MIN((SUMIF(tblProsesler[VarlikId],$B154,tblProsesler[USL_birim])-$D154)/(spy_ucSigma*$H154),($D154-SUMIF(tblProsesler[VarlikId],$B154,tblProsesler[LSL_birim]))/(spy_ucSigma*$H154)),0))</f>
        <v/>
      </c>
      <c r="K154" s="18">
        <f>IF($A154="","",IFERROR(AVERAGEIF(tblOlcum[VarlikId],$B154,tblOlcum[Xbar_birim])+spy_A2*$E154,0))</f>
        <v/>
      </c>
      <c r="L154" s="18">
        <f>IF($A154="","",IFERROR(AVERAGEIF(tblOlcum[VarlikId],$B154,tblOlcum[Xbar_birim])-spy_A2*$E154,0))</f>
        <v/>
      </c>
      <c r="M154" s="18">
        <f>IF($A154="","",MAX(0,MIN(100,spy_kaliteTaban-IF($J154&lt;spy_esikCpk,spy_kaliteCeza,0)-IF(OR($D154&gt;$K154,$D154&lt;$L154),spy_kaliteSapma,0)-IF($P154="YETIM",spy_kaliteCeza,0))))</f>
        <v/>
      </c>
      <c r="N154" s="18">
        <f>IF($A154="","",IF(OR($J154&lt;spy_esikCpk,$D154&gt;$K154,$D154&lt;$L154,$M154&lt;spy_esikSaglik),"ALARM","UYGUN"))</f>
        <v/>
      </c>
      <c r="O154" s="18">
        <f>IF($A154="","",1)</f>
        <v/>
      </c>
      <c r="P154" s="18">
        <f>IF($A154="","",IF(OR($B154="",COUNTIF(tblProsesler[VarlikId],$B154)=0),"YETIM","TAMAM"))</f>
        <v/>
      </c>
    </row>
    <row r="155">
      <c r="A155" s="15" t="n"/>
      <c r="B155" s="15" t="n"/>
      <c r="C155" s="37" t="n"/>
      <c r="D155" s="16" t="n"/>
      <c r="E155" s="16" t="n"/>
      <c r="F155" s="17" t="n"/>
      <c r="G155" s="15" t="n"/>
      <c r="H155" s="18">
        <f>IF(OR($A155="",$E155=0),"",$E155/spy_d2)</f>
        <v/>
      </c>
      <c r="I155" s="18">
        <f>IF(OR($A155="",$H155=0),"",IFERROR((SUMIF(tblProsesler[VarlikId],$B155,tblProsesler[USL_birim])-SUMIF(tblProsesler[VarlikId],$B155,tblProsesler[LSL_birim]))/(spy_altiSigma*$H155),0))</f>
        <v/>
      </c>
      <c r="J155" s="18">
        <f>IF(OR($A155="",$H155=0),"",IFERROR(MIN((SUMIF(tblProsesler[VarlikId],$B155,tblProsesler[USL_birim])-$D155)/(spy_ucSigma*$H155),($D155-SUMIF(tblProsesler[VarlikId],$B155,tblProsesler[LSL_birim]))/(spy_ucSigma*$H155)),0))</f>
        <v/>
      </c>
      <c r="K155" s="18">
        <f>IF($A155="","",IFERROR(AVERAGEIF(tblOlcum[VarlikId],$B155,tblOlcum[Xbar_birim])+spy_A2*$E155,0))</f>
        <v/>
      </c>
      <c r="L155" s="18">
        <f>IF($A155="","",IFERROR(AVERAGEIF(tblOlcum[VarlikId],$B155,tblOlcum[Xbar_birim])-spy_A2*$E155,0))</f>
        <v/>
      </c>
      <c r="M155" s="18">
        <f>IF($A155="","",MAX(0,MIN(100,spy_kaliteTaban-IF($J155&lt;spy_esikCpk,spy_kaliteCeza,0)-IF(OR($D155&gt;$K155,$D155&lt;$L155),spy_kaliteSapma,0)-IF($P155="YETIM",spy_kaliteCeza,0))))</f>
        <v/>
      </c>
      <c r="N155" s="18">
        <f>IF($A155="","",IF(OR($J155&lt;spy_esikCpk,$D155&gt;$K155,$D155&lt;$L155,$M155&lt;spy_esikSaglik),"ALARM","UYGUN"))</f>
        <v/>
      </c>
      <c r="O155" s="18">
        <f>IF($A155="","",1)</f>
        <v/>
      </c>
      <c r="P155" s="18">
        <f>IF($A155="","",IF(OR($B155="",COUNTIF(tblProsesler[VarlikId],$B155)=0),"YETIM","TAMAM"))</f>
        <v/>
      </c>
    </row>
    <row r="156">
      <c r="A156" s="15" t="n"/>
      <c r="B156" s="15" t="n"/>
      <c r="C156" s="37" t="n"/>
      <c r="D156" s="16" t="n"/>
      <c r="E156" s="16" t="n"/>
      <c r="F156" s="17" t="n"/>
      <c r="G156" s="15" t="n"/>
      <c r="H156" s="18">
        <f>IF(OR($A156="",$E156=0),"",$E156/spy_d2)</f>
        <v/>
      </c>
      <c r="I156" s="18">
        <f>IF(OR($A156="",$H156=0),"",IFERROR((SUMIF(tblProsesler[VarlikId],$B156,tblProsesler[USL_birim])-SUMIF(tblProsesler[VarlikId],$B156,tblProsesler[LSL_birim]))/(spy_altiSigma*$H156),0))</f>
        <v/>
      </c>
      <c r="J156" s="18">
        <f>IF(OR($A156="",$H156=0),"",IFERROR(MIN((SUMIF(tblProsesler[VarlikId],$B156,tblProsesler[USL_birim])-$D156)/(spy_ucSigma*$H156),($D156-SUMIF(tblProsesler[VarlikId],$B156,tblProsesler[LSL_birim]))/(spy_ucSigma*$H156)),0))</f>
        <v/>
      </c>
      <c r="K156" s="18">
        <f>IF($A156="","",IFERROR(AVERAGEIF(tblOlcum[VarlikId],$B156,tblOlcum[Xbar_birim])+spy_A2*$E156,0))</f>
        <v/>
      </c>
      <c r="L156" s="18">
        <f>IF($A156="","",IFERROR(AVERAGEIF(tblOlcum[VarlikId],$B156,tblOlcum[Xbar_birim])-spy_A2*$E156,0))</f>
        <v/>
      </c>
      <c r="M156" s="18">
        <f>IF($A156="","",MAX(0,MIN(100,spy_kaliteTaban-IF($J156&lt;spy_esikCpk,spy_kaliteCeza,0)-IF(OR($D156&gt;$K156,$D156&lt;$L156),spy_kaliteSapma,0)-IF($P156="YETIM",spy_kaliteCeza,0))))</f>
        <v/>
      </c>
      <c r="N156" s="18">
        <f>IF($A156="","",IF(OR($J156&lt;spy_esikCpk,$D156&gt;$K156,$D156&lt;$L156,$M156&lt;spy_esikSaglik),"ALARM","UYGUN"))</f>
        <v/>
      </c>
      <c r="O156" s="18">
        <f>IF($A156="","",1)</f>
        <v/>
      </c>
      <c r="P156" s="18">
        <f>IF($A156="","",IF(OR($B156="",COUNTIF(tblProsesler[VarlikId],$B156)=0),"YETIM","TAMAM"))</f>
        <v/>
      </c>
    </row>
    <row r="157">
      <c r="A157" s="15" t="n"/>
      <c r="B157" s="15" t="n"/>
      <c r="C157" s="37" t="n"/>
      <c r="D157" s="16" t="n"/>
      <c r="E157" s="16" t="n"/>
      <c r="F157" s="17" t="n"/>
      <c r="G157" s="15" t="n"/>
      <c r="H157" s="18">
        <f>IF(OR($A157="",$E157=0),"",$E157/spy_d2)</f>
        <v/>
      </c>
      <c r="I157" s="18">
        <f>IF(OR($A157="",$H157=0),"",IFERROR((SUMIF(tblProsesler[VarlikId],$B157,tblProsesler[USL_birim])-SUMIF(tblProsesler[VarlikId],$B157,tblProsesler[LSL_birim]))/(spy_altiSigma*$H157),0))</f>
        <v/>
      </c>
      <c r="J157" s="18">
        <f>IF(OR($A157="",$H157=0),"",IFERROR(MIN((SUMIF(tblProsesler[VarlikId],$B157,tblProsesler[USL_birim])-$D157)/(spy_ucSigma*$H157),($D157-SUMIF(tblProsesler[VarlikId],$B157,tblProsesler[LSL_birim]))/(spy_ucSigma*$H157)),0))</f>
        <v/>
      </c>
      <c r="K157" s="18">
        <f>IF($A157="","",IFERROR(AVERAGEIF(tblOlcum[VarlikId],$B157,tblOlcum[Xbar_birim])+spy_A2*$E157,0))</f>
        <v/>
      </c>
      <c r="L157" s="18">
        <f>IF($A157="","",IFERROR(AVERAGEIF(tblOlcum[VarlikId],$B157,tblOlcum[Xbar_birim])-spy_A2*$E157,0))</f>
        <v/>
      </c>
      <c r="M157" s="18">
        <f>IF($A157="","",MAX(0,MIN(100,spy_kaliteTaban-IF($J157&lt;spy_esikCpk,spy_kaliteCeza,0)-IF(OR($D157&gt;$K157,$D157&lt;$L157),spy_kaliteSapma,0)-IF($P157="YETIM",spy_kaliteCeza,0))))</f>
        <v/>
      </c>
      <c r="N157" s="18">
        <f>IF($A157="","",IF(OR($J157&lt;spy_esikCpk,$D157&gt;$K157,$D157&lt;$L157,$M157&lt;spy_esikSaglik),"ALARM","UYGUN"))</f>
        <v/>
      </c>
      <c r="O157" s="18">
        <f>IF($A157="","",1)</f>
        <v/>
      </c>
      <c r="P157" s="18">
        <f>IF($A157="","",IF(OR($B157="",COUNTIF(tblProsesler[VarlikId],$B157)=0),"YETIM","TAMAM"))</f>
        <v/>
      </c>
    </row>
    <row r="158">
      <c r="A158" s="15" t="n"/>
      <c r="B158" s="15" t="n"/>
      <c r="C158" s="37" t="n"/>
      <c r="D158" s="16" t="n"/>
      <c r="E158" s="16" t="n"/>
      <c r="F158" s="17" t="n"/>
      <c r="G158" s="15" t="n"/>
      <c r="H158" s="18">
        <f>IF(OR($A158="",$E158=0),"",$E158/spy_d2)</f>
        <v/>
      </c>
      <c r="I158" s="18">
        <f>IF(OR($A158="",$H158=0),"",IFERROR((SUMIF(tblProsesler[VarlikId],$B158,tblProsesler[USL_birim])-SUMIF(tblProsesler[VarlikId],$B158,tblProsesler[LSL_birim]))/(spy_altiSigma*$H158),0))</f>
        <v/>
      </c>
      <c r="J158" s="18">
        <f>IF(OR($A158="",$H158=0),"",IFERROR(MIN((SUMIF(tblProsesler[VarlikId],$B158,tblProsesler[USL_birim])-$D158)/(spy_ucSigma*$H158),($D158-SUMIF(tblProsesler[VarlikId],$B158,tblProsesler[LSL_birim]))/(spy_ucSigma*$H158)),0))</f>
        <v/>
      </c>
      <c r="K158" s="18">
        <f>IF($A158="","",IFERROR(AVERAGEIF(tblOlcum[VarlikId],$B158,tblOlcum[Xbar_birim])+spy_A2*$E158,0))</f>
        <v/>
      </c>
      <c r="L158" s="18">
        <f>IF($A158="","",IFERROR(AVERAGEIF(tblOlcum[VarlikId],$B158,tblOlcum[Xbar_birim])-spy_A2*$E158,0))</f>
        <v/>
      </c>
      <c r="M158" s="18">
        <f>IF($A158="","",MAX(0,MIN(100,spy_kaliteTaban-IF($J158&lt;spy_esikCpk,spy_kaliteCeza,0)-IF(OR($D158&gt;$K158,$D158&lt;$L158),spy_kaliteSapma,0)-IF($P158="YETIM",spy_kaliteCeza,0))))</f>
        <v/>
      </c>
      <c r="N158" s="18">
        <f>IF($A158="","",IF(OR($J158&lt;spy_esikCpk,$D158&gt;$K158,$D158&lt;$L158,$M158&lt;spy_esikSaglik),"ALARM","UYGUN"))</f>
        <v/>
      </c>
      <c r="O158" s="18">
        <f>IF($A158="","",1)</f>
        <v/>
      </c>
      <c r="P158" s="18">
        <f>IF($A158="","",IF(OR($B158="",COUNTIF(tblProsesler[VarlikId],$B158)=0),"YETIM","TAMAM"))</f>
        <v/>
      </c>
    </row>
    <row r="159">
      <c r="A159" s="15" t="n"/>
      <c r="B159" s="15" t="n"/>
      <c r="C159" s="37" t="n"/>
      <c r="D159" s="16" t="n"/>
      <c r="E159" s="16" t="n"/>
      <c r="F159" s="17" t="n"/>
      <c r="G159" s="15" t="n"/>
      <c r="H159" s="18">
        <f>IF(OR($A159="",$E159=0),"",$E159/spy_d2)</f>
        <v/>
      </c>
      <c r="I159" s="18">
        <f>IF(OR($A159="",$H159=0),"",IFERROR((SUMIF(tblProsesler[VarlikId],$B159,tblProsesler[USL_birim])-SUMIF(tblProsesler[VarlikId],$B159,tblProsesler[LSL_birim]))/(spy_altiSigma*$H159),0))</f>
        <v/>
      </c>
      <c r="J159" s="18">
        <f>IF(OR($A159="",$H159=0),"",IFERROR(MIN((SUMIF(tblProsesler[VarlikId],$B159,tblProsesler[USL_birim])-$D159)/(spy_ucSigma*$H159),($D159-SUMIF(tblProsesler[VarlikId],$B159,tblProsesler[LSL_birim]))/(spy_ucSigma*$H159)),0))</f>
        <v/>
      </c>
      <c r="K159" s="18">
        <f>IF($A159="","",IFERROR(AVERAGEIF(tblOlcum[VarlikId],$B159,tblOlcum[Xbar_birim])+spy_A2*$E159,0))</f>
        <v/>
      </c>
      <c r="L159" s="18">
        <f>IF($A159="","",IFERROR(AVERAGEIF(tblOlcum[VarlikId],$B159,tblOlcum[Xbar_birim])-spy_A2*$E159,0))</f>
        <v/>
      </c>
      <c r="M159" s="18">
        <f>IF($A159="","",MAX(0,MIN(100,spy_kaliteTaban-IF($J159&lt;spy_esikCpk,spy_kaliteCeza,0)-IF(OR($D159&gt;$K159,$D159&lt;$L159),spy_kaliteSapma,0)-IF($P159="YETIM",spy_kaliteCeza,0))))</f>
        <v/>
      </c>
      <c r="N159" s="18">
        <f>IF($A159="","",IF(OR($J159&lt;spy_esikCpk,$D159&gt;$K159,$D159&lt;$L159,$M159&lt;spy_esikSaglik),"ALARM","UYGUN"))</f>
        <v/>
      </c>
      <c r="O159" s="18">
        <f>IF($A159="","",1)</f>
        <v/>
      </c>
      <c r="P159" s="18">
        <f>IF($A159="","",IF(OR($B159="",COUNTIF(tblProsesler[VarlikId],$B159)=0),"YETIM","TAMAM"))</f>
        <v/>
      </c>
    </row>
    <row r="160">
      <c r="A160" s="15" t="n"/>
      <c r="B160" s="15" t="n"/>
      <c r="C160" s="37" t="n"/>
      <c r="D160" s="16" t="n"/>
      <c r="E160" s="16" t="n"/>
      <c r="F160" s="17" t="n"/>
      <c r="G160" s="15" t="n"/>
      <c r="H160" s="18">
        <f>IF(OR($A160="",$E160=0),"",$E160/spy_d2)</f>
        <v/>
      </c>
      <c r="I160" s="18">
        <f>IF(OR($A160="",$H160=0),"",IFERROR((SUMIF(tblProsesler[VarlikId],$B160,tblProsesler[USL_birim])-SUMIF(tblProsesler[VarlikId],$B160,tblProsesler[LSL_birim]))/(spy_altiSigma*$H160),0))</f>
        <v/>
      </c>
      <c r="J160" s="18">
        <f>IF(OR($A160="",$H160=0),"",IFERROR(MIN((SUMIF(tblProsesler[VarlikId],$B160,tblProsesler[USL_birim])-$D160)/(spy_ucSigma*$H160),($D160-SUMIF(tblProsesler[VarlikId],$B160,tblProsesler[LSL_birim]))/(spy_ucSigma*$H160)),0))</f>
        <v/>
      </c>
      <c r="K160" s="18">
        <f>IF($A160="","",IFERROR(AVERAGEIF(tblOlcum[VarlikId],$B160,tblOlcum[Xbar_birim])+spy_A2*$E160,0))</f>
        <v/>
      </c>
      <c r="L160" s="18">
        <f>IF($A160="","",IFERROR(AVERAGEIF(tblOlcum[VarlikId],$B160,tblOlcum[Xbar_birim])-spy_A2*$E160,0))</f>
        <v/>
      </c>
      <c r="M160" s="18">
        <f>IF($A160="","",MAX(0,MIN(100,spy_kaliteTaban-IF($J160&lt;spy_esikCpk,spy_kaliteCeza,0)-IF(OR($D160&gt;$K160,$D160&lt;$L160),spy_kaliteSapma,0)-IF($P160="YETIM",spy_kaliteCeza,0))))</f>
        <v/>
      </c>
      <c r="N160" s="18">
        <f>IF($A160="","",IF(OR($J160&lt;spy_esikCpk,$D160&gt;$K160,$D160&lt;$L160,$M160&lt;spy_esikSaglik),"ALARM","UYGUN"))</f>
        <v/>
      </c>
      <c r="O160" s="18">
        <f>IF($A160="","",1)</f>
        <v/>
      </c>
      <c r="P160" s="18">
        <f>IF($A160="","",IF(OR($B160="",COUNTIF(tblProsesler[VarlikId],$B160)=0),"YETIM","TAMAM"))</f>
        <v/>
      </c>
    </row>
    <row r="161">
      <c r="A161" s="15" t="n"/>
      <c r="B161" s="15" t="n"/>
      <c r="C161" s="37" t="n"/>
      <c r="D161" s="16" t="n"/>
      <c r="E161" s="16" t="n"/>
      <c r="F161" s="17" t="n"/>
      <c r="G161" s="15" t="n"/>
      <c r="H161" s="18">
        <f>IF(OR($A161="",$E161=0),"",$E161/spy_d2)</f>
        <v/>
      </c>
      <c r="I161" s="18">
        <f>IF(OR($A161="",$H161=0),"",IFERROR((SUMIF(tblProsesler[VarlikId],$B161,tblProsesler[USL_birim])-SUMIF(tblProsesler[VarlikId],$B161,tblProsesler[LSL_birim]))/(spy_altiSigma*$H161),0))</f>
        <v/>
      </c>
      <c r="J161" s="18">
        <f>IF(OR($A161="",$H161=0),"",IFERROR(MIN((SUMIF(tblProsesler[VarlikId],$B161,tblProsesler[USL_birim])-$D161)/(spy_ucSigma*$H161),($D161-SUMIF(tblProsesler[VarlikId],$B161,tblProsesler[LSL_birim]))/(spy_ucSigma*$H161)),0))</f>
        <v/>
      </c>
      <c r="K161" s="18">
        <f>IF($A161="","",IFERROR(AVERAGEIF(tblOlcum[VarlikId],$B161,tblOlcum[Xbar_birim])+spy_A2*$E161,0))</f>
        <v/>
      </c>
      <c r="L161" s="18">
        <f>IF($A161="","",IFERROR(AVERAGEIF(tblOlcum[VarlikId],$B161,tblOlcum[Xbar_birim])-spy_A2*$E161,0))</f>
        <v/>
      </c>
      <c r="M161" s="18">
        <f>IF($A161="","",MAX(0,MIN(100,spy_kaliteTaban-IF($J161&lt;spy_esikCpk,spy_kaliteCeza,0)-IF(OR($D161&gt;$K161,$D161&lt;$L161),spy_kaliteSapma,0)-IF($P161="YETIM",spy_kaliteCeza,0))))</f>
        <v/>
      </c>
      <c r="N161" s="18">
        <f>IF($A161="","",IF(OR($J161&lt;spy_esikCpk,$D161&gt;$K161,$D161&lt;$L161,$M161&lt;spy_esikSaglik),"ALARM","UYGUN"))</f>
        <v/>
      </c>
      <c r="O161" s="18">
        <f>IF($A161="","",1)</f>
        <v/>
      </c>
      <c r="P161" s="18">
        <f>IF($A161="","",IF(OR($B161="",COUNTIF(tblProsesler[VarlikId],$B161)=0),"YETIM","TAMAM"))</f>
        <v/>
      </c>
    </row>
    <row r="162">
      <c r="A162" s="15" t="n"/>
      <c r="B162" s="15" t="n"/>
      <c r="C162" s="37" t="n"/>
      <c r="D162" s="16" t="n"/>
      <c r="E162" s="16" t="n"/>
      <c r="F162" s="17" t="n"/>
      <c r="G162" s="15" t="n"/>
      <c r="H162" s="18">
        <f>IF(OR($A162="",$E162=0),"",$E162/spy_d2)</f>
        <v/>
      </c>
      <c r="I162" s="18">
        <f>IF(OR($A162="",$H162=0),"",IFERROR((SUMIF(tblProsesler[VarlikId],$B162,tblProsesler[USL_birim])-SUMIF(tblProsesler[VarlikId],$B162,tblProsesler[LSL_birim]))/(spy_altiSigma*$H162),0))</f>
        <v/>
      </c>
      <c r="J162" s="18">
        <f>IF(OR($A162="",$H162=0),"",IFERROR(MIN((SUMIF(tblProsesler[VarlikId],$B162,tblProsesler[USL_birim])-$D162)/(spy_ucSigma*$H162),($D162-SUMIF(tblProsesler[VarlikId],$B162,tblProsesler[LSL_birim]))/(spy_ucSigma*$H162)),0))</f>
        <v/>
      </c>
      <c r="K162" s="18">
        <f>IF($A162="","",IFERROR(AVERAGEIF(tblOlcum[VarlikId],$B162,tblOlcum[Xbar_birim])+spy_A2*$E162,0))</f>
        <v/>
      </c>
      <c r="L162" s="18">
        <f>IF($A162="","",IFERROR(AVERAGEIF(tblOlcum[VarlikId],$B162,tblOlcum[Xbar_birim])-spy_A2*$E162,0))</f>
        <v/>
      </c>
      <c r="M162" s="18">
        <f>IF($A162="","",MAX(0,MIN(100,spy_kaliteTaban-IF($J162&lt;spy_esikCpk,spy_kaliteCeza,0)-IF(OR($D162&gt;$K162,$D162&lt;$L162),spy_kaliteSapma,0)-IF($P162="YETIM",spy_kaliteCeza,0))))</f>
        <v/>
      </c>
      <c r="N162" s="18">
        <f>IF($A162="","",IF(OR($J162&lt;spy_esikCpk,$D162&gt;$K162,$D162&lt;$L162,$M162&lt;spy_esikSaglik),"ALARM","UYGUN"))</f>
        <v/>
      </c>
      <c r="O162" s="18">
        <f>IF($A162="","",1)</f>
        <v/>
      </c>
      <c r="P162" s="18">
        <f>IF($A162="","",IF(OR($B162="",COUNTIF(tblProsesler[VarlikId],$B162)=0),"YETIM","TAMAM"))</f>
        <v/>
      </c>
    </row>
    <row r="163">
      <c r="A163" s="15" t="n"/>
      <c r="B163" s="15" t="n"/>
      <c r="C163" s="37" t="n"/>
      <c r="D163" s="16" t="n"/>
      <c r="E163" s="16" t="n"/>
      <c r="F163" s="17" t="n"/>
      <c r="G163" s="15" t="n"/>
      <c r="H163" s="18">
        <f>IF(OR($A163="",$E163=0),"",$E163/spy_d2)</f>
        <v/>
      </c>
      <c r="I163" s="18">
        <f>IF(OR($A163="",$H163=0),"",IFERROR((SUMIF(tblProsesler[VarlikId],$B163,tblProsesler[USL_birim])-SUMIF(tblProsesler[VarlikId],$B163,tblProsesler[LSL_birim]))/(spy_altiSigma*$H163),0))</f>
        <v/>
      </c>
      <c r="J163" s="18">
        <f>IF(OR($A163="",$H163=0),"",IFERROR(MIN((SUMIF(tblProsesler[VarlikId],$B163,tblProsesler[USL_birim])-$D163)/(spy_ucSigma*$H163),($D163-SUMIF(tblProsesler[VarlikId],$B163,tblProsesler[LSL_birim]))/(spy_ucSigma*$H163)),0))</f>
        <v/>
      </c>
      <c r="K163" s="18">
        <f>IF($A163="","",IFERROR(AVERAGEIF(tblOlcum[VarlikId],$B163,tblOlcum[Xbar_birim])+spy_A2*$E163,0))</f>
        <v/>
      </c>
      <c r="L163" s="18">
        <f>IF($A163="","",IFERROR(AVERAGEIF(tblOlcum[VarlikId],$B163,tblOlcum[Xbar_birim])-spy_A2*$E163,0))</f>
        <v/>
      </c>
      <c r="M163" s="18">
        <f>IF($A163="","",MAX(0,MIN(100,spy_kaliteTaban-IF($J163&lt;spy_esikCpk,spy_kaliteCeza,0)-IF(OR($D163&gt;$K163,$D163&lt;$L163),spy_kaliteSapma,0)-IF($P163="YETIM",spy_kaliteCeza,0))))</f>
        <v/>
      </c>
      <c r="N163" s="18">
        <f>IF($A163="","",IF(OR($J163&lt;spy_esikCpk,$D163&gt;$K163,$D163&lt;$L163,$M163&lt;spy_esikSaglik),"ALARM","UYGUN"))</f>
        <v/>
      </c>
      <c r="O163" s="18">
        <f>IF($A163="","",1)</f>
        <v/>
      </c>
      <c r="P163" s="18">
        <f>IF($A163="","",IF(OR($B163="",COUNTIF(tblProsesler[VarlikId],$B163)=0),"YETIM","TAMAM"))</f>
        <v/>
      </c>
    </row>
    <row r="164">
      <c r="A164" s="15" t="n"/>
      <c r="B164" s="15" t="n"/>
      <c r="C164" s="37" t="n"/>
      <c r="D164" s="16" t="n"/>
      <c r="E164" s="16" t="n"/>
      <c r="F164" s="17" t="n"/>
      <c r="G164" s="15" t="n"/>
      <c r="H164" s="18">
        <f>IF(OR($A164="",$E164=0),"",$E164/spy_d2)</f>
        <v/>
      </c>
      <c r="I164" s="18">
        <f>IF(OR($A164="",$H164=0),"",IFERROR((SUMIF(tblProsesler[VarlikId],$B164,tblProsesler[USL_birim])-SUMIF(tblProsesler[VarlikId],$B164,tblProsesler[LSL_birim]))/(spy_altiSigma*$H164),0))</f>
        <v/>
      </c>
      <c r="J164" s="18">
        <f>IF(OR($A164="",$H164=0),"",IFERROR(MIN((SUMIF(tblProsesler[VarlikId],$B164,tblProsesler[USL_birim])-$D164)/(spy_ucSigma*$H164),($D164-SUMIF(tblProsesler[VarlikId],$B164,tblProsesler[LSL_birim]))/(spy_ucSigma*$H164)),0))</f>
        <v/>
      </c>
      <c r="K164" s="18">
        <f>IF($A164="","",IFERROR(AVERAGEIF(tblOlcum[VarlikId],$B164,tblOlcum[Xbar_birim])+spy_A2*$E164,0))</f>
        <v/>
      </c>
      <c r="L164" s="18">
        <f>IF($A164="","",IFERROR(AVERAGEIF(tblOlcum[VarlikId],$B164,tblOlcum[Xbar_birim])-spy_A2*$E164,0))</f>
        <v/>
      </c>
      <c r="M164" s="18">
        <f>IF($A164="","",MAX(0,MIN(100,spy_kaliteTaban-IF($J164&lt;spy_esikCpk,spy_kaliteCeza,0)-IF(OR($D164&gt;$K164,$D164&lt;$L164),spy_kaliteSapma,0)-IF($P164="YETIM",spy_kaliteCeza,0))))</f>
        <v/>
      </c>
      <c r="N164" s="18">
        <f>IF($A164="","",IF(OR($J164&lt;spy_esikCpk,$D164&gt;$K164,$D164&lt;$L164,$M164&lt;spy_esikSaglik),"ALARM","UYGUN"))</f>
        <v/>
      </c>
      <c r="O164" s="18">
        <f>IF($A164="","",1)</f>
        <v/>
      </c>
      <c r="P164" s="18">
        <f>IF($A164="","",IF(OR($B164="",COUNTIF(tblProsesler[VarlikId],$B164)=0),"YETIM","TAMAM"))</f>
        <v/>
      </c>
    </row>
    <row r="165">
      <c r="A165" s="15" t="n"/>
      <c r="B165" s="15" t="n"/>
      <c r="C165" s="37" t="n"/>
      <c r="D165" s="16" t="n"/>
      <c r="E165" s="16" t="n"/>
      <c r="F165" s="17" t="n"/>
      <c r="G165" s="15" t="n"/>
      <c r="H165" s="18">
        <f>IF(OR($A165="",$E165=0),"",$E165/spy_d2)</f>
        <v/>
      </c>
      <c r="I165" s="18">
        <f>IF(OR($A165="",$H165=0),"",IFERROR((SUMIF(tblProsesler[VarlikId],$B165,tblProsesler[USL_birim])-SUMIF(tblProsesler[VarlikId],$B165,tblProsesler[LSL_birim]))/(spy_altiSigma*$H165),0))</f>
        <v/>
      </c>
      <c r="J165" s="18">
        <f>IF(OR($A165="",$H165=0),"",IFERROR(MIN((SUMIF(tblProsesler[VarlikId],$B165,tblProsesler[USL_birim])-$D165)/(spy_ucSigma*$H165),($D165-SUMIF(tblProsesler[VarlikId],$B165,tblProsesler[LSL_birim]))/(spy_ucSigma*$H165)),0))</f>
        <v/>
      </c>
      <c r="K165" s="18">
        <f>IF($A165="","",IFERROR(AVERAGEIF(tblOlcum[VarlikId],$B165,tblOlcum[Xbar_birim])+spy_A2*$E165,0))</f>
        <v/>
      </c>
      <c r="L165" s="18">
        <f>IF($A165="","",IFERROR(AVERAGEIF(tblOlcum[VarlikId],$B165,tblOlcum[Xbar_birim])-spy_A2*$E165,0))</f>
        <v/>
      </c>
      <c r="M165" s="18">
        <f>IF($A165="","",MAX(0,MIN(100,spy_kaliteTaban-IF($J165&lt;spy_esikCpk,spy_kaliteCeza,0)-IF(OR($D165&gt;$K165,$D165&lt;$L165),spy_kaliteSapma,0)-IF($P165="YETIM",spy_kaliteCeza,0))))</f>
        <v/>
      </c>
      <c r="N165" s="18">
        <f>IF($A165="","",IF(OR($J165&lt;spy_esikCpk,$D165&gt;$K165,$D165&lt;$L165,$M165&lt;spy_esikSaglik),"ALARM","UYGUN"))</f>
        <v/>
      </c>
      <c r="O165" s="18">
        <f>IF($A165="","",1)</f>
        <v/>
      </c>
      <c r="P165" s="18">
        <f>IF($A165="","",IF(OR($B165="",COUNTIF(tblProsesler[VarlikId],$B165)=0),"YETIM","TAMAM"))</f>
        <v/>
      </c>
    </row>
    <row r="166">
      <c r="A166" s="15" t="n"/>
      <c r="B166" s="15" t="n"/>
      <c r="C166" s="37" t="n"/>
      <c r="D166" s="16" t="n"/>
      <c r="E166" s="16" t="n"/>
      <c r="F166" s="17" t="n"/>
      <c r="G166" s="15" t="n"/>
      <c r="H166" s="18">
        <f>IF(OR($A166="",$E166=0),"",$E166/spy_d2)</f>
        <v/>
      </c>
      <c r="I166" s="18">
        <f>IF(OR($A166="",$H166=0),"",IFERROR((SUMIF(tblProsesler[VarlikId],$B166,tblProsesler[USL_birim])-SUMIF(tblProsesler[VarlikId],$B166,tblProsesler[LSL_birim]))/(spy_altiSigma*$H166),0))</f>
        <v/>
      </c>
      <c r="J166" s="18">
        <f>IF(OR($A166="",$H166=0),"",IFERROR(MIN((SUMIF(tblProsesler[VarlikId],$B166,tblProsesler[USL_birim])-$D166)/(spy_ucSigma*$H166),($D166-SUMIF(tblProsesler[VarlikId],$B166,tblProsesler[LSL_birim]))/(spy_ucSigma*$H166)),0))</f>
        <v/>
      </c>
      <c r="K166" s="18">
        <f>IF($A166="","",IFERROR(AVERAGEIF(tblOlcum[VarlikId],$B166,tblOlcum[Xbar_birim])+spy_A2*$E166,0))</f>
        <v/>
      </c>
      <c r="L166" s="18">
        <f>IF($A166="","",IFERROR(AVERAGEIF(tblOlcum[VarlikId],$B166,tblOlcum[Xbar_birim])-spy_A2*$E166,0))</f>
        <v/>
      </c>
      <c r="M166" s="18">
        <f>IF($A166="","",MAX(0,MIN(100,spy_kaliteTaban-IF($J166&lt;spy_esikCpk,spy_kaliteCeza,0)-IF(OR($D166&gt;$K166,$D166&lt;$L166),spy_kaliteSapma,0)-IF($P166="YETIM",spy_kaliteCeza,0))))</f>
        <v/>
      </c>
      <c r="N166" s="18">
        <f>IF($A166="","",IF(OR($J166&lt;spy_esikCpk,$D166&gt;$K166,$D166&lt;$L166,$M166&lt;spy_esikSaglik),"ALARM","UYGUN"))</f>
        <v/>
      </c>
      <c r="O166" s="18">
        <f>IF($A166="","",1)</f>
        <v/>
      </c>
      <c r="P166" s="18">
        <f>IF($A166="","",IF(OR($B166="",COUNTIF(tblProsesler[VarlikId],$B166)=0),"YETIM","TAMAM"))</f>
        <v/>
      </c>
    </row>
    <row r="167">
      <c r="A167" s="15" t="n"/>
      <c r="B167" s="15" t="n"/>
      <c r="C167" s="37" t="n"/>
      <c r="D167" s="16" t="n"/>
      <c r="E167" s="16" t="n"/>
      <c r="F167" s="17" t="n"/>
      <c r="G167" s="15" t="n"/>
      <c r="H167" s="18">
        <f>IF(OR($A167="",$E167=0),"",$E167/spy_d2)</f>
        <v/>
      </c>
      <c r="I167" s="18">
        <f>IF(OR($A167="",$H167=0),"",IFERROR((SUMIF(tblProsesler[VarlikId],$B167,tblProsesler[USL_birim])-SUMIF(tblProsesler[VarlikId],$B167,tblProsesler[LSL_birim]))/(spy_altiSigma*$H167),0))</f>
        <v/>
      </c>
      <c r="J167" s="18">
        <f>IF(OR($A167="",$H167=0),"",IFERROR(MIN((SUMIF(tblProsesler[VarlikId],$B167,tblProsesler[USL_birim])-$D167)/(spy_ucSigma*$H167),($D167-SUMIF(tblProsesler[VarlikId],$B167,tblProsesler[LSL_birim]))/(spy_ucSigma*$H167)),0))</f>
        <v/>
      </c>
      <c r="K167" s="18">
        <f>IF($A167="","",IFERROR(AVERAGEIF(tblOlcum[VarlikId],$B167,tblOlcum[Xbar_birim])+spy_A2*$E167,0))</f>
        <v/>
      </c>
      <c r="L167" s="18">
        <f>IF($A167="","",IFERROR(AVERAGEIF(tblOlcum[VarlikId],$B167,tblOlcum[Xbar_birim])-spy_A2*$E167,0))</f>
        <v/>
      </c>
      <c r="M167" s="18">
        <f>IF($A167="","",MAX(0,MIN(100,spy_kaliteTaban-IF($J167&lt;spy_esikCpk,spy_kaliteCeza,0)-IF(OR($D167&gt;$K167,$D167&lt;$L167),spy_kaliteSapma,0)-IF($P167="YETIM",spy_kaliteCeza,0))))</f>
        <v/>
      </c>
      <c r="N167" s="18">
        <f>IF($A167="","",IF(OR($J167&lt;spy_esikCpk,$D167&gt;$K167,$D167&lt;$L167,$M167&lt;spy_esikSaglik),"ALARM","UYGUN"))</f>
        <v/>
      </c>
      <c r="O167" s="18">
        <f>IF($A167="","",1)</f>
        <v/>
      </c>
      <c r="P167" s="18">
        <f>IF($A167="","",IF(OR($B167="",COUNTIF(tblProsesler[VarlikId],$B167)=0),"YETIM","TAMAM"))</f>
        <v/>
      </c>
    </row>
    <row r="168">
      <c r="A168" s="15" t="n"/>
      <c r="B168" s="15" t="n"/>
      <c r="C168" s="37" t="n"/>
      <c r="D168" s="16" t="n"/>
      <c r="E168" s="16" t="n"/>
      <c r="F168" s="17" t="n"/>
      <c r="G168" s="15" t="n"/>
      <c r="H168" s="18">
        <f>IF(OR($A168="",$E168=0),"",$E168/spy_d2)</f>
        <v/>
      </c>
      <c r="I168" s="18">
        <f>IF(OR($A168="",$H168=0),"",IFERROR((SUMIF(tblProsesler[VarlikId],$B168,tblProsesler[USL_birim])-SUMIF(tblProsesler[VarlikId],$B168,tblProsesler[LSL_birim]))/(spy_altiSigma*$H168),0))</f>
        <v/>
      </c>
      <c r="J168" s="18">
        <f>IF(OR($A168="",$H168=0),"",IFERROR(MIN((SUMIF(tblProsesler[VarlikId],$B168,tblProsesler[USL_birim])-$D168)/(spy_ucSigma*$H168),($D168-SUMIF(tblProsesler[VarlikId],$B168,tblProsesler[LSL_birim]))/(spy_ucSigma*$H168)),0))</f>
        <v/>
      </c>
      <c r="K168" s="18">
        <f>IF($A168="","",IFERROR(AVERAGEIF(tblOlcum[VarlikId],$B168,tblOlcum[Xbar_birim])+spy_A2*$E168,0))</f>
        <v/>
      </c>
      <c r="L168" s="18">
        <f>IF($A168="","",IFERROR(AVERAGEIF(tblOlcum[VarlikId],$B168,tblOlcum[Xbar_birim])-spy_A2*$E168,0))</f>
        <v/>
      </c>
      <c r="M168" s="18">
        <f>IF($A168="","",MAX(0,MIN(100,spy_kaliteTaban-IF($J168&lt;spy_esikCpk,spy_kaliteCeza,0)-IF(OR($D168&gt;$K168,$D168&lt;$L168),spy_kaliteSapma,0)-IF($P168="YETIM",spy_kaliteCeza,0))))</f>
        <v/>
      </c>
      <c r="N168" s="18">
        <f>IF($A168="","",IF(OR($J168&lt;spy_esikCpk,$D168&gt;$K168,$D168&lt;$L168,$M168&lt;spy_esikSaglik),"ALARM","UYGUN"))</f>
        <v/>
      </c>
      <c r="O168" s="18">
        <f>IF($A168="","",1)</f>
        <v/>
      </c>
      <c r="P168" s="18">
        <f>IF($A168="","",IF(OR($B168="",COUNTIF(tblProsesler[VarlikId],$B168)=0),"YETIM","TAMAM"))</f>
        <v/>
      </c>
    </row>
    <row r="169">
      <c r="A169" s="15" t="n"/>
      <c r="B169" s="15" t="n"/>
      <c r="C169" s="37" t="n"/>
      <c r="D169" s="16" t="n"/>
      <c r="E169" s="16" t="n"/>
      <c r="F169" s="17" t="n"/>
      <c r="G169" s="15" t="n"/>
      <c r="H169" s="18">
        <f>IF(OR($A169="",$E169=0),"",$E169/spy_d2)</f>
        <v/>
      </c>
      <c r="I169" s="18">
        <f>IF(OR($A169="",$H169=0),"",IFERROR((SUMIF(tblProsesler[VarlikId],$B169,tblProsesler[USL_birim])-SUMIF(tblProsesler[VarlikId],$B169,tblProsesler[LSL_birim]))/(spy_altiSigma*$H169),0))</f>
        <v/>
      </c>
      <c r="J169" s="18">
        <f>IF(OR($A169="",$H169=0),"",IFERROR(MIN((SUMIF(tblProsesler[VarlikId],$B169,tblProsesler[USL_birim])-$D169)/(spy_ucSigma*$H169),($D169-SUMIF(tblProsesler[VarlikId],$B169,tblProsesler[LSL_birim]))/(spy_ucSigma*$H169)),0))</f>
        <v/>
      </c>
      <c r="K169" s="18">
        <f>IF($A169="","",IFERROR(AVERAGEIF(tblOlcum[VarlikId],$B169,tblOlcum[Xbar_birim])+spy_A2*$E169,0))</f>
        <v/>
      </c>
      <c r="L169" s="18">
        <f>IF($A169="","",IFERROR(AVERAGEIF(tblOlcum[VarlikId],$B169,tblOlcum[Xbar_birim])-spy_A2*$E169,0))</f>
        <v/>
      </c>
      <c r="M169" s="18">
        <f>IF($A169="","",MAX(0,MIN(100,spy_kaliteTaban-IF($J169&lt;spy_esikCpk,spy_kaliteCeza,0)-IF(OR($D169&gt;$K169,$D169&lt;$L169),spy_kaliteSapma,0)-IF($P169="YETIM",spy_kaliteCeza,0))))</f>
        <v/>
      </c>
      <c r="N169" s="18">
        <f>IF($A169="","",IF(OR($J169&lt;spy_esikCpk,$D169&gt;$K169,$D169&lt;$L169,$M169&lt;spy_esikSaglik),"ALARM","UYGUN"))</f>
        <v/>
      </c>
      <c r="O169" s="18">
        <f>IF($A169="","",1)</f>
        <v/>
      </c>
      <c r="P169" s="18">
        <f>IF($A169="","",IF(OR($B169="",COUNTIF(tblProsesler[VarlikId],$B169)=0),"YETIM","TAMAM"))</f>
        <v/>
      </c>
    </row>
    <row r="170">
      <c r="A170" s="15" t="n"/>
      <c r="B170" s="15" t="n"/>
      <c r="C170" s="37" t="n"/>
      <c r="D170" s="16" t="n"/>
      <c r="E170" s="16" t="n"/>
      <c r="F170" s="17" t="n"/>
      <c r="G170" s="15" t="n"/>
      <c r="H170" s="18">
        <f>IF(OR($A170="",$E170=0),"",$E170/spy_d2)</f>
        <v/>
      </c>
      <c r="I170" s="18">
        <f>IF(OR($A170="",$H170=0),"",IFERROR((SUMIF(tblProsesler[VarlikId],$B170,tblProsesler[USL_birim])-SUMIF(tblProsesler[VarlikId],$B170,tblProsesler[LSL_birim]))/(spy_altiSigma*$H170),0))</f>
        <v/>
      </c>
      <c r="J170" s="18">
        <f>IF(OR($A170="",$H170=0),"",IFERROR(MIN((SUMIF(tblProsesler[VarlikId],$B170,tblProsesler[USL_birim])-$D170)/(spy_ucSigma*$H170),($D170-SUMIF(tblProsesler[VarlikId],$B170,tblProsesler[LSL_birim]))/(spy_ucSigma*$H170)),0))</f>
        <v/>
      </c>
      <c r="K170" s="18">
        <f>IF($A170="","",IFERROR(AVERAGEIF(tblOlcum[VarlikId],$B170,tblOlcum[Xbar_birim])+spy_A2*$E170,0))</f>
        <v/>
      </c>
      <c r="L170" s="18">
        <f>IF($A170="","",IFERROR(AVERAGEIF(tblOlcum[VarlikId],$B170,tblOlcum[Xbar_birim])-spy_A2*$E170,0))</f>
        <v/>
      </c>
      <c r="M170" s="18">
        <f>IF($A170="","",MAX(0,MIN(100,spy_kaliteTaban-IF($J170&lt;spy_esikCpk,spy_kaliteCeza,0)-IF(OR($D170&gt;$K170,$D170&lt;$L170),spy_kaliteSapma,0)-IF($P170="YETIM",spy_kaliteCeza,0))))</f>
        <v/>
      </c>
      <c r="N170" s="18">
        <f>IF($A170="","",IF(OR($J170&lt;spy_esikCpk,$D170&gt;$K170,$D170&lt;$L170,$M170&lt;spy_esikSaglik),"ALARM","UYGUN"))</f>
        <v/>
      </c>
      <c r="O170" s="18">
        <f>IF($A170="","",1)</f>
        <v/>
      </c>
      <c r="P170" s="18">
        <f>IF($A170="","",IF(OR($B170="",COUNTIF(tblProsesler[VarlikId],$B170)=0),"YETIM","TAMAM"))</f>
        <v/>
      </c>
    </row>
    <row r="171">
      <c r="A171" s="15" t="n"/>
      <c r="B171" s="15" t="n"/>
      <c r="C171" s="37" t="n"/>
      <c r="D171" s="16" t="n"/>
      <c r="E171" s="16" t="n"/>
      <c r="F171" s="17" t="n"/>
      <c r="G171" s="15" t="n"/>
      <c r="H171" s="18">
        <f>IF(OR($A171="",$E171=0),"",$E171/spy_d2)</f>
        <v/>
      </c>
      <c r="I171" s="18">
        <f>IF(OR($A171="",$H171=0),"",IFERROR((SUMIF(tblProsesler[VarlikId],$B171,tblProsesler[USL_birim])-SUMIF(tblProsesler[VarlikId],$B171,tblProsesler[LSL_birim]))/(spy_altiSigma*$H171),0))</f>
        <v/>
      </c>
      <c r="J171" s="18">
        <f>IF(OR($A171="",$H171=0),"",IFERROR(MIN((SUMIF(tblProsesler[VarlikId],$B171,tblProsesler[USL_birim])-$D171)/(spy_ucSigma*$H171),($D171-SUMIF(tblProsesler[VarlikId],$B171,tblProsesler[LSL_birim]))/(spy_ucSigma*$H171)),0))</f>
        <v/>
      </c>
      <c r="K171" s="18">
        <f>IF($A171="","",IFERROR(AVERAGEIF(tblOlcum[VarlikId],$B171,tblOlcum[Xbar_birim])+spy_A2*$E171,0))</f>
        <v/>
      </c>
      <c r="L171" s="18">
        <f>IF($A171="","",IFERROR(AVERAGEIF(tblOlcum[VarlikId],$B171,tblOlcum[Xbar_birim])-spy_A2*$E171,0))</f>
        <v/>
      </c>
      <c r="M171" s="18">
        <f>IF($A171="","",MAX(0,MIN(100,spy_kaliteTaban-IF($J171&lt;spy_esikCpk,spy_kaliteCeza,0)-IF(OR($D171&gt;$K171,$D171&lt;$L171),spy_kaliteSapma,0)-IF($P171="YETIM",spy_kaliteCeza,0))))</f>
        <v/>
      </c>
      <c r="N171" s="18">
        <f>IF($A171="","",IF(OR($J171&lt;spy_esikCpk,$D171&gt;$K171,$D171&lt;$L171,$M171&lt;spy_esikSaglik),"ALARM","UYGUN"))</f>
        <v/>
      </c>
      <c r="O171" s="18">
        <f>IF($A171="","",1)</f>
        <v/>
      </c>
      <c r="P171" s="18">
        <f>IF($A171="","",IF(OR($B171="",COUNTIF(tblProsesler[VarlikId],$B171)=0),"YETIM","TAMAM"))</f>
        <v/>
      </c>
    </row>
    <row r="172">
      <c r="A172" s="15" t="n"/>
      <c r="B172" s="15" t="n"/>
      <c r="C172" s="37" t="n"/>
      <c r="D172" s="16" t="n"/>
      <c r="E172" s="16" t="n"/>
      <c r="F172" s="17" t="n"/>
      <c r="G172" s="15" t="n"/>
      <c r="H172" s="18">
        <f>IF(OR($A172="",$E172=0),"",$E172/spy_d2)</f>
        <v/>
      </c>
      <c r="I172" s="18">
        <f>IF(OR($A172="",$H172=0),"",IFERROR((SUMIF(tblProsesler[VarlikId],$B172,tblProsesler[USL_birim])-SUMIF(tblProsesler[VarlikId],$B172,tblProsesler[LSL_birim]))/(spy_altiSigma*$H172),0))</f>
        <v/>
      </c>
      <c r="J172" s="18">
        <f>IF(OR($A172="",$H172=0),"",IFERROR(MIN((SUMIF(tblProsesler[VarlikId],$B172,tblProsesler[USL_birim])-$D172)/(spy_ucSigma*$H172),($D172-SUMIF(tblProsesler[VarlikId],$B172,tblProsesler[LSL_birim]))/(spy_ucSigma*$H172)),0))</f>
        <v/>
      </c>
      <c r="K172" s="18">
        <f>IF($A172="","",IFERROR(AVERAGEIF(tblOlcum[VarlikId],$B172,tblOlcum[Xbar_birim])+spy_A2*$E172,0))</f>
        <v/>
      </c>
      <c r="L172" s="18">
        <f>IF($A172="","",IFERROR(AVERAGEIF(tblOlcum[VarlikId],$B172,tblOlcum[Xbar_birim])-spy_A2*$E172,0))</f>
        <v/>
      </c>
      <c r="M172" s="18">
        <f>IF($A172="","",MAX(0,MIN(100,spy_kaliteTaban-IF($J172&lt;spy_esikCpk,spy_kaliteCeza,0)-IF(OR($D172&gt;$K172,$D172&lt;$L172),spy_kaliteSapma,0)-IF($P172="YETIM",spy_kaliteCeza,0))))</f>
        <v/>
      </c>
      <c r="N172" s="18">
        <f>IF($A172="","",IF(OR($J172&lt;spy_esikCpk,$D172&gt;$K172,$D172&lt;$L172,$M172&lt;spy_esikSaglik),"ALARM","UYGUN"))</f>
        <v/>
      </c>
      <c r="O172" s="18">
        <f>IF($A172="","",1)</f>
        <v/>
      </c>
      <c r="P172" s="18">
        <f>IF($A172="","",IF(OR($B172="",COUNTIF(tblProsesler[VarlikId],$B172)=0),"YETIM","TAMAM"))</f>
        <v/>
      </c>
    </row>
    <row r="173">
      <c r="A173" s="15" t="n"/>
      <c r="B173" s="15" t="n"/>
      <c r="C173" s="37" t="n"/>
      <c r="D173" s="16" t="n"/>
      <c r="E173" s="16" t="n"/>
      <c r="F173" s="17" t="n"/>
      <c r="G173" s="15" t="n"/>
      <c r="H173" s="18">
        <f>IF(OR($A173="",$E173=0),"",$E173/spy_d2)</f>
        <v/>
      </c>
      <c r="I173" s="18">
        <f>IF(OR($A173="",$H173=0),"",IFERROR((SUMIF(tblProsesler[VarlikId],$B173,tblProsesler[USL_birim])-SUMIF(tblProsesler[VarlikId],$B173,tblProsesler[LSL_birim]))/(spy_altiSigma*$H173),0))</f>
        <v/>
      </c>
      <c r="J173" s="18">
        <f>IF(OR($A173="",$H173=0),"",IFERROR(MIN((SUMIF(tblProsesler[VarlikId],$B173,tblProsesler[USL_birim])-$D173)/(spy_ucSigma*$H173),($D173-SUMIF(tblProsesler[VarlikId],$B173,tblProsesler[LSL_birim]))/(spy_ucSigma*$H173)),0))</f>
        <v/>
      </c>
      <c r="K173" s="18">
        <f>IF($A173="","",IFERROR(AVERAGEIF(tblOlcum[VarlikId],$B173,tblOlcum[Xbar_birim])+spy_A2*$E173,0))</f>
        <v/>
      </c>
      <c r="L173" s="18">
        <f>IF($A173="","",IFERROR(AVERAGEIF(tblOlcum[VarlikId],$B173,tblOlcum[Xbar_birim])-spy_A2*$E173,0))</f>
        <v/>
      </c>
      <c r="M173" s="18">
        <f>IF($A173="","",MAX(0,MIN(100,spy_kaliteTaban-IF($J173&lt;spy_esikCpk,spy_kaliteCeza,0)-IF(OR($D173&gt;$K173,$D173&lt;$L173),spy_kaliteSapma,0)-IF($P173="YETIM",spy_kaliteCeza,0))))</f>
        <v/>
      </c>
      <c r="N173" s="18">
        <f>IF($A173="","",IF(OR($J173&lt;spy_esikCpk,$D173&gt;$K173,$D173&lt;$L173,$M173&lt;spy_esikSaglik),"ALARM","UYGUN"))</f>
        <v/>
      </c>
      <c r="O173" s="18">
        <f>IF($A173="","",1)</f>
        <v/>
      </c>
      <c r="P173" s="18">
        <f>IF($A173="","",IF(OR($B173="",COUNTIF(tblProsesler[VarlikId],$B173)=0),"YETIM","TAMAM"))</f>
        <v/>
      </c>
    </row>
    <row r="174">
      <c r="A174" s="15" t="n"/>
      <c r="B174" s="15" t="n"/>
      <c r="C174" s="37" t="n"/>
      <c r="D174" s="16" t="n"/>
      <c r="E174" s="16" t="n"/>
      <c r="F174" s="17" t="n"/>
      <c r="G174" s="15" t="n"/>
      <c r="H174" s="18">
        <f>IF(OR($A174="",$E174=0),"",$E174/spy_d2)</f>
        <v/>
      </c>
      <c r="I174" s="18">
        <f>IF(OR($A174="",$H174=0),"",IFERROR((SUMIF(tblProsesler[VarlikId],$B174,tblProsesler[USL_birim])-SUMIF(tblProsesler[VarlikId],$B174,tblProsesler[LSL_birim]))/(spy_altiSigma*$H174),0))</f>
        <v/>
      </c>
      <c r="J174" s="18">
        <f>IF(OR($A174="",$H174=0),"",IFERROR(MIN((SUMIF(tblProsesler[VarlikId],$B174,tblProsesler[USL_birim])-$D174)/(spy_ucSigma*$H174),($D174-SUMIF(tblProsesler[VarlikId],$B174,tblProsesler[LSL_birim]))/(spy_ucSigma*$H174)),0))</f>
        <v/>
      </c>
      <c r="K174" s="18">
        <f>IF($A174="","",IFERROR(AVERAGEIF(tblOlcum[VarlikId],$B174,tblOlcum[Xbar_birim])+spy_A2*$E174,0))</f>
        <v/>
      </c>
      <c r="L174" s="18">
        <f>IF($A174="","",IFERROR(AVERAGEIF(tblOlcum[VarlikId],$B174,tblOlcum[Xbar_birim])-spy_A2*$E174,0))</f>
        <v/>
      </c>
      <c r="M174" s="18">
        <f>IF($A174="","",MAX(0,MIN(100,spy_kaliteTaban-IF($J174&lt;spy_esikCpk,spy_kaliteCeza,0)-IF(OR($D174&gt;$K174,$D174&lt;$L174),spy_kaliteSapma,0)-IF($P174="YETIM",spy_kaliteCeza,0))))</f>
        <v/>
      </c>
      <c r="N174" s="18">
        <f>IF($A174="","",IF(OR($J174&lt;spy_esikCpk,$D174&gt;$K174,$D174&lt;$L174,$M174&lt;spy_esikSaglik),"ALARM","UYGUN"))</f>
        <v/>
      </c>
      <c r="O174" s="18">
        <f>IF($A174="","",1)</f>
        <v/>
      </c>
      <c r="P174" s="18">
        <f>IF($A174="","",IF(OR($B174="",COUNTIF(tblProsesler[VarlikId],$B174)=0),"YETIM","TAMAM"))</f>
        <v/>
      </c>
    </row>
    <row r="175">
      <c r="A175" s="15" t="n"/>
      <c r="B175" s="15" t="n"/>
      <c r="C175" s="37" t="n"/>
      <c r="D175" s="16" t="n"/>
      <c r="E175" s="16" t="n"/>
      <c r="F175" s="17" t="n"/>
      <c r="G175" s="15" t="n"/>
      <c r="H175" s="18">
        <f>IF(OR($A175="",$E175=0),"",$E175/spy_d2)</f>
        <v/>
      </c>
      <c r="I175" s="18">
        <f>IF(OR($A175="",$H175=0),"",IFERROR((SUMIF(tblProsesler[VarlikId],$B175,tblProsesler[USL_birim])-SUMIF(tblProsesler[VarlikId],$B175,tblProsesler[LSL_birim]))/(spy_altiSigma*$H175),0))</f>
        <v/>
      </c>
      <c r="J175" s="18">
        <f>IF(OR($A175="",$H175=0),"",IFERROR(MIN((SUMIF(tblProsesler[VarlikId],$B175,tblProsesler[USL_birim])-$D175)/(spy_ucSigma*$H175),($D175-SUMIF(tblProsesler[VarlikId],$B175,tblProsesler[LSL_birim]))/(spy_ucSigma*$H175)),0))</f>
        <v/>
      </c>
      <c r="K175" s="18">
        <f>IF($A175="","",IFERROR(AVERAGEIF(tblOlcum[VarlikId],$B175,tblOlcum[Xbar_birim])+spy_A2*$E175,0))</f>
        <v/>
      </c>
      <c r="L175" s="18">
        <f>IF($A175="","",IFERROR(AVERAGEIF(tblOlcum[VarlikId],$B175,tblOlcum[Xbar_birim])-spy_A2*$E175,0))</f>
        <v/>
      </c>
      <c r="M175" s="18">
        <f>IF($A175="","",MAX(0,MIN(100,spy_kaliteTaban-IF($J175&lt;spy_esikCpk,spy_kaliteCeza,0)-IF(OR($D175&gt;$K175,$D175&lt;$L175),spy_kaliteSapma,0)-IF($P175="YETIM",spy_kaliteCeza,0))))</f>
        <v/>
      </c>
      <c r="N175" s="18">
        <f>IF($A175="","",IF(OR($J175&lt;spy_esikCpk,$D175&gt;$K175,$D175&lt;$L175,$M175&lt;spy_esikSaglik),"ALARM","UYGUN"))</f>
        <v/>
      </c>
      <c r="O175" s="18">
        <f>IF($A175="","",1)</f>
        <v/>
      </c>
      <c r="P175" s="18">
        <f>IF($A175="","",IF(OR($B175="",COUNTIF(tblProsesler[VarlikId],$B175)=0),"YETIM","TAMAM"))</f>
        <v/>
      </c>
    </row>
    <row r="176">
      <c r="A176" s="15" t="n"/>
      <c r="B176" s="15" t="n"/>
      <c r="C176" s="37" t="n"/>
      <c r="D176" s="16" t="n"/>
      <c r="E176" s="16" t="n"/>
      <c r="F176" s="17" t="n"/>
      <c r="G176" s="15" t="n"/>
      <c r="H176" s="18">
        <f>IF(OR($A176="",$E176=0),"",$E176/spy_d2)</f>
        <v/>
      </c>
      <c r="I176" s="18">
        <f>IF(OR($A176="",$H176=0),"",IFERROR((SUMIF(tblProsesler[VarlikId],$B176,tblProsesler[USL_birim])-SUMIF(tblProsesler[VarlikId],$B176,tblProsesler[LSL_birim]))/(spy_altiSigma*$H176),0))</f>
        <v/>
      </c>
      <c r="J176" s="18">
        <f>IF(OR($A176="",$H176=0),"",IFERROR(MIN((SUMIF(tblProsesler[VarlikId],$B176,tblProsesler[USL_birim])-$D176)/(spy_ucSigma*$H176),($D176-SUMIF(tblProsesler[VarlikId],$B176,tblProsesler[LSL_birim]))/(spy_ucSigma*$H176)),0))</f>
        <v/>
      </c>
      <c r="K176" s="18">
        <f>IF($A176="","",IFERROR(AVERAGEIF(tblOlcum[VarlikId],$B176,tblOlcum[Xbar_birim])+spy_A2*$E176,0))</f>
        <v/>
      </c>
      <c r="L176" s="18">
        <f>IF($A176="","",IFERROR(AVERAGEIF(tblOlcum[VarlikId],$B176,tblOlcum[Xbar_birim])-spy_A2*$E176,0))</f>
        <v/>
      </c>
      <c r="M176" s="18">
        <f>IF($A176="","",MAX(0,MIN(100,spy_kaliteTaban-IF($J176&lt;spy_esikCpk,spy_kaliteCeza,0)-IF(OR($D176&gt;$K176,$D176&lt;$L176),spy_kaliteSapma,0)-IF($P176="YETIM",spy_kaliteCeza,0))))</f>
        <v/>
      </c>
      <c r="N176" s="18">
        <f>IF($A176="","",IF(OR($J176&lt;spy_esikCpk,$D176&gt;$K176,$D176&lt;$L176,$M176&lt;spy_esikSaglik),"ALARM","UYGUN"))</f>
        <v/>
      </c>
      <c r="O176" s="18">
        <f>IF($A176="","",1)</f>
        <v/>
      </c>
      <c r="P176" s="18">
        <f>IF($A176="","",IF(OR($B176="",COUNTIF(tblProsesler[VarlikId],$B176)=0),"YETIM","TAMAM"))</f>
        <v/>
      </c>
    </row>
    <row r="177">
      <c r="A177" s="15" t="n"/>
      <c r="B177" s="15" t="n"/>
      <c r="C177" s="37" t="n"/>
      <c r="D177" s="16" t="n"/>
      <c r="E177" s="16" t="n"/>
      <c r="F177" s="17" t="n"/>
      <c r="G177" s="15" t="n"/>
      <c r="H177" s="18">
        <f>IF(OR($A177="",$E177=0),"",$E177/spy_d2)</f>
        <v/>
      </c>
      <c r="I177" s="18">
        <f>IF(OR($A177="",$H177=0),"",IFERROR((SUMIF(tblProsesler[VarlikId],$B177,tblProsesler[USL_birim])-SUMIF(tblProsesler[VarlikId],$B177,tblProsesler[LSL_birim]))/(spy_altiSigma*$H177),0))</f>
        <v/>
      </c>
      <c r="J177" s="18">
        <f>IF(OR($A177="",$H177=0),"",IFERROR(MIN((SUMIF(tblProsesler[VarlikId],$B177,tblProsesler[USL_birim])-$D177)/(spy_ucSigma*$H177),($D177-SUMIF(tblProsesler[VarlikId],$B177,tblProsesler[LSL_birim]))/(spy_ucSigma*$H177)),0))</f>
        <v/>
      </c>
      <c r="K177" s="18">
        <f>IF($A177="","",IFERROR(AVERAGEIF(tblOlcum[VarlikId],$B177,tblOlcum[Xbar_birim])+spy_A2*$E177,0))</f>
        <v/>
      </c>
      <c r="L177" s="18">
        <f>IF($A177="","",IFERROR(AVERAGEIF(tblOlcum[VarlikId],$B177,tblOlcum[Xbar_birim])-spy_A2*$E177,0))</f>
        <v/>
      </c>
      <c r="M177" s="18">
        <f>IF($A177="","",MAX(0,MIN(100,spy_kaliteTaban-IF($J177&lt;spy_esikCpk,spy_kaliteCeza,0)-IF(OR($D177&gt;$K177,$D177&lt;$L177),spy_kaliteSapma,0)-IF($P177="YETIM",spy_kaliteCeza,0))))</f>
        <v/>
      </c>
      <c r="N177" s="18">
        <f>IF($A177="","",IF(OR($J177&lt;spy_esikCpk,$D177&gt;$K177,$D177&lt;$L177,$M177&lt;spy_esikSaglik),"ALARM","UYGUN"))</f>
        <v/>
      </c>
      <c r="O177" s="18">
        <f>IF($A177="","",1)</f>
        <v/>
      </c>
      <c r="P177" s="18">
        <f>IF($A177="","",IF(OR($B177="",COUNTIF(tblProsesler[VarlikId],$B177)=0),"YETIM","TAMAM"))</f>
        <v/>
      </c>
    </row>
    <row r="178">
      <c r="A178" s="15" t="n"/>
      <c r="B178" s="15" t="n"/>
      <c r="C178" s="37" t="n"/>
      <c r="D178" s="16" t="n"/>
      <c r="E178" s="16" t="n"/>
      <c r="F178" s="17" t="n"/>
      <c r="G178" s="15" t="n"/>
      <c r="H178" s="18">
        <f>IF(OR($A178="",$E178=0),"",$E178/spy_d2)</f>
        <v/>
      </c>
      <c r="I178" s="18">
        <f>IF(OR($A178="",$H178=0),"",IFERROR((SUMIF(tblProsesler[VarlikId],$B178,tblProsesler[USL_birim])-SUMIF(tblProsesler[VarlikId],$B178,tblProsesler[LSL_birim]))/(spy_altiSigma*$H178),0))</f>
        <v/>
      </c>
      <c r="J178" s="18">
        <f>IF(OR($A178="",$H178=0),"",IFERROR(MIN((SUMIF(tblProsesler[VarlikId],$B178,tblProsesler[USL_birim])-$D178)/(spy_ucSigma*$H178),($D178-SUMIF(tblProsesler[VarlikId],$B178,tblProsesler[LSL_birim]))/(spy_ucSigma*$H178)),0))</f>
        <v/>
      </c>
      <c r="K178" s="18">
        <f>IF($A178="","",IFERROR(AVERAGEIF(tblOlcum[VarlikId],$B178,tblOlcum[Xbar_birim])+spy_A2*$E178,0))</f>
        <v/>
      </c>
      <c r="L178" s="18">
        <f>IF($A178="","",IFERROR(AVERAGEIF(tblOlcum[VarlikId],$B178,tblOlcum[Xbar_birim])-spy_A2*$E178,0))</f>
        <v/>
      </c>
      <c r="M178" s="18">
        <f>IF($A178="","",MAX(0,MIN(100,spy_kaliteTaban-IF($J178&lt;spy_esikCpk,spy_kaliteCeza,0)-IF(OR($D178&gt;$K178,$D178&lt;$L178),spy_kaliteSapma,0)-IF($P178="YETIM",spy_kaliteCeza,0))))</f>
        <v/>
      </c>
      <c r="N178" s="18">
        <f>IF($A178="","",IF(OR($J178&lt;spy_esikCpk,$D178&gt;$K178,$D178&lt;$L178,$M178&lt;spy_esikSaglik),"ALARM","UYGUN"))</f>
        <v/>
      </c>
      <c r="O178" s="18">
        <f>IF($A178="","",1)</f>
        <v/>
      </c>
      <c r="P178" s="18">
        <f>IF($A178="","",IF(OR($B178="",COUNTIF(tblProsesler[VarlikId],$B178)=0),"YETIM","TAMAM"))</f>
        <v/>
      </c>
    </row>
    <row r="179">
      <c r="A179" s="15" t="n"/>
      <c r="B179" s="15" t="n"/>
      <c r="C179" s="37" t="n"/>
      <c r="D179" s="16" t="n"/>
      <c r="E179" s="16" t="n"/>
      <c r="F179" s="17" t="n"/>
      <c r="G179" s="15" t="n"/>
      <c r="H179" s="18">
        <f>IF(OR($A179="",$E179=0),"",$E179/spy_d2)</f>
        <v/>
      </c>
      <c r="I179" s="18">
        <f>IF(OR($A179="",$H179=0),"",IFERROR((SUMIF(tblProsesler[VarlikId],$B179,tblProsesler[USL_birim])-SUMIF(tblProsesler[VarlikId],$B179,tblProsesler[LSL_birim]))/(spy_altiSigma*$H179),0))</f>
        <v/>
      </c>
      <c r="J179" s="18">
        <f>IF(OR($A179="",$H179=0),"",IFERROR(MIN((SUMIF(tblProsesler[VarlikId],$B179,tblProsesler[USL_birim])-$D179)/(spy_ucSigma*$H179),($D179-SUMIF(tblProsesler[VarlikId],$B179,tblProsesler[LSL_birim]))/(spy_ucSigma*$H179)),0))</f>
        <v/>
      </c>
      <c r="K179" s="18">
        <f>IF($A179="","",IFERROR(AVERAGEIF(tblOlcum[VarlikId],$B179,tblOlcum[Xbar_birim])+spy_A2*$E179,0))</f>
        <v/>
      </c>
      <c r="L179" s="18">
        <f>IF($A179="","",IFERROR(AVERAGEIF(tblOlcum[VarlikId],$B179,tblOlcum[Xbar_birim])-spy_A2*$E179,0))</f>
        <v/>
      </c>
      <c r="M179" s="18">
        <f>IF($A179="","",MAX(0,MIN(100,spy_kaliteTaban-IF($J179&lt;spy_esikCpk,spy_kaliteCeza,0)-IF(OR($D179&gt;$K179,$D179&lt;$L179),spy_kaliteSapma,0)-IF($P179="YETIM",spy_kaliteCeza,0))))</f>
        <v/>
      </c>
      <c r="N179" s="18">
        <f>IF($A179="","",IF(OR($J179&lt;spy_esikCpk,$D179&gt;$K179,$D179&lt;$L179,$M179&lt;spy_esikSaglik),"ALARM","UYGUN"))</f>
        <v/>
      </c>
      <c r="O179" s="18">
        <f>IF($A179="","",1)</f>
        <v/>
      </c>
      <c r="P179" s="18">
        <f>IF($A179="","",IF(OR($B179="",COUNTIF(tblProsesler[VarlikId],$B179)=0),"YETIM","TAMAM"))</f>
        <v/>
      </c>
    </row>
    <row r="180">
      <c r="A180" s="15" t="n"/>
      <c r="B180" s="15" t="n"/>
      <c r="C180" s="37" t="n"/>
      <c r="D180" s="16" t="n"/>
      <c r="E180" s="16" t="n"/>
      <c r="F180" s="17" t="n"/>
      <c r="G180" s="15" t="n"/>
      <c r="H180" s="18">
        <f>IF(OR($A180="",$E180=0),"",$E180/spy_d2)</f>
        <v/>
      </c>
      <c r="I180" s="18">
        <f>IF(OR($A180="",$H180=0),"",IFERROR((SUMIF(tblProsesler[VarlikId],$B180,tblProsesler[USL_birim])-SUMIF(tblProsesler[VarlikId],$B180,tblProsesler[LSL_birim]))/(spy_altiSigma*$H180),0))</f>
        <v/>
      </c>
      <c r="J180" s="18">
        <f>IF(OR($A180="",$H180=0),"",IFERROR(MIN((SUMIF(tblProsesler[VarlikId],$B180,tblProsesler[USL_birim])-$D180)/(spy_ucSigma*$H180),($D180-SUMIF(tblProsesler[VarlikId],$B180,tblProsesler[LSL_birim]))/(spy_ucSigma*$H180)),0))</f>
        <v/>
      </c>
      <c r="K180" s="18">
        <f>IF($A180="","",IFERROR(AVERAGEIF(tblOlcum[VarlikId],$B180,tblOlcum[Xbar_birim])+spy_A2*$E180,0))</f>
        <v/>
      </c>
      <c r="L180" s="18">
        <f>IF($A180="","",IFERROR(AVERAGEIF(tblOlcum[VarlikId],$B180,tblOlcum[Xbar_birim])-spy_A2*$E180,0))</f>
        <v/>
      </c>
      <c r="M180" s="18">
        <f>IF($A180="","",MAX(0,MIN(100,spy_kaliteTaban-IF($J180&lt;spy_esikCpk,spy_kaliteCeza,0)-IF(OR($D180&gt;$K180,$D180&lt;$L180),spy_kaliteSapma,0)-IF($P180="YETIM",spy_kaliteCeza,0))))</f>
        <v/>
      </c>
      <c r="N180" s="18">
        <f>IF($A180="","",IF(OR($J180&lt;spy_esikCpk,$D180&gt;$K180,$D180&lt;$L180,$M180&lt;spy_esikSaglik),"ALARM","UYGUN"))</f>
        <v/>
      </c>
      <c r="O180" s="18">
        <f>IF($A180="","",1)</f>
        <v/>
      </c>
      <c r="P180" s="18">
        <f>IF($A180="","",IF(OR($B180="",COUNTIF(tblProsesler[VarlikId],$B180)=0),"YETIM","TAMAM"))</f>
        <v/>
      </c>
    </row>
    <row r="181">
      <c r="A181" s="15" t="n"/>
      <c r="B181" s="15" t="n"/>
      <c r="C181" s="37" t="n"/>
      <c r="D181" s="16" t="n"/>
      <c r="E181" s="16" t="n"/>
      <c r="F181" s="17" t="n"/>
      <c r="G181" s="15" t="n"/>
      <c r="H181" s="18">
        <f>IF(OR($A181="",$E181=0),"",$E181/spy_d2)</f>
        <v/>
      </c>
      <c r="I181" s="18">
        <f>IF(OR($A181="",$H181=0),"",IFERROR((SUMIF(tblProsesler[VarlikId],$B181,tblProsesler[USL_birim])-SUMIF(tblProsesler[VarlikId],$B181,tblProsesler[LSL_birim]))/(spy_altiSigma*$H181),0))</f>
        <v/>
      </c>
      <c r="J181" s="18">
        <f>IF(OR($A181="",$H181=0),"",IFERROR(MIN((SUMIF(tblProsesler[VarlikId],$B181,tblProsesler[USL_birim])-$D181)/(spy_ucSigma*$H181),($D181-SUMIF(tblProsesler[VarlikId],$B181,tblProsesler[LSL_birim]))/(spy_ucSigma*$H181)),0))</f>
        <v/>
      </c>
      <c r="K181" s="18">
        <f>IF($A181="","",IFERROR(AVERAGEIF(tblOlcum[VarlikId],$B181,tblOlcum[Xbar_birim])+spy_A2*$E181,0))</f>
        <v/>
      </c>
      <c r="L181" s="18">
        <f>IF($A181="","",IFERROR(AVERAGEIF(tblOlcum[VarlikId],$B181,tblOlcum[Xbar_birim])-spy_A2*$E181,0))</f>
        <v/>
      </c>
      <c r="M181" s="18">
        <f>IF($A181="","",MAX(0,MIN(100,spy_kaliteTaban-IF($J181&lt;spy_esikCpk,spy_kaliteCeza,0)-IF(OR($D181&gt;$K181,$D181&lt;$L181),spy_kaliteSapma,0)-IF($P181="YETIM",spy_kaliteCeza,0))))</f>
        <v/>
      </c>
      <c r="N181" s="18">
        <f>IF($A181="","",IF(OR($J181&lt;spy_esikCpk,$D181&gt;$K181,$D181&lt;$L181,$M181&lt;spy_esikSaglik),"ALARM","UYGUN"))</f>
        <v/>
      </c>
      <c r="O181" s="18">
        <f>IF($A181="","",1)</f>
        <v/>
      </c>
      <c r="P181" s="18">
        <f>IF($A181="","",IF(OR($B181="",COUNTIF(tblProsesler[VarlikId],$B181)=0),"YETIM","TAMAM"))</f>
        <v/>
      </c>
    </row>
    <row r="182">
      <c r="A182" s="15" t="n"/>
      <c r="B182" s="15" t="n"/>
      <c r="C182" s="37" t="n"/>
      <c r="D182" s="16" t="n"/>
      <c r="E182" s="16" t="n"/>
      <c r="F182" s="17" t="n"/>
      <c r="G182" s="15" t="n"/>
      <c r="H182" s="18">
        <f>IF(OR($A182="",$E182=0),"",$E182/spy_d2)</f>
        <v/>
      </c>
      <c r="I182" s="18">
        <f>IF(OR($A182="",$H182=0),"",IFERROR((SUMIF(tblProsesler[VarlikId],$B182,tblProsesler[USL_birim])-SUMIF(tblProsesler[VarlikId],$B182,tblProsesler[LSL_birim]))/(spy_altiSigma*$H182),0))</f>
        <v/>
      </c>
      <c r="J182" s="18">
        <f>IF(OR($A182="",$H182=0),"",IFERROR(MIN((SUMIF(tblProsesler[VarlikId],$B182,tblProsesler[USL_birim])-$D182)/(spy_ucSigma*$H182),($D182-SUMIF(tblProsesler[VarlikId],$B182,tblProsesler[LSL_birim]))/(spy_ucSigma*$H182)),0))</f>
        <v/>
      </c>
      <c r="K182" s="18">
        <f>IF($A182="","",IFERROR(AVERAGEIF(tblOlcum[VarlikId],$B182,tblOlcum[Xbar_birim])+spy_A2*$E182,0))</f>
        <v/>
      </c>
      <c r="L182" s="18">
        <f>IF($A182="","",IFERROR(AVERAGEIF(tblOlcum[VarlikId],$B182,tblOlcum[Xbar_birim])-spy_A2*$E182,0))</f>
        <v/>
      </c>
      <c r="M182" s="18">
        <f>IF($A182="","",MAX(0,MIN(100,spy_kaliteTaban-IF($J182&lt;spy_esikCpk,spy_kaliteCeza,0)-IF(OR($D182&gt;$K182,$D182&lt;$L182),spy_kaliteSapma,0)-IF($P182="YETIM",spy_kaliteCeza,0))))</f>
        <v/>
      </c>
      <c r="N182" s="18">
        <f>IF($A182="","",IF(OR($J182&lt;spy_esikCpk,$D182&gt;$K182,$D182&lt;$L182,$M182&lt;spy_esikSaglik),"ALARM","UYGUN"))</f>
        <v/>
      </c>
      <c r="O182" s="18">
        <f>IF($A182="","",1)</f>
        <v/>
      </c>
      <c r="P182" s="18">
        <f>IF($A182="","",IF(OR($B182="",COUNTIF(tblProsesler[VarlikId],$B182)=0),"YETIM","TAMAM"))</f>
        <v/>
      </c>
    </row>
    <row r="183">
      <c r="A183" s="15" t="n"/>
      <c r="B183" s="15" t="n"/>
      <c r="C183" s="37" t="n"/>
      <c r="D183" s="16" t="n"/>
      <c r="E183" s="16" t="n"/>
      <c r="F183" s="17" t="n"/>
      <c r="G183" s="15" t="n"/>
      <c r="H183" s="18">
        <f>IF(OR($A183="",$E183=0),"",$E183/spy_d2)</f>
        <v/>
      </c>
      <c r="I183" s="18">
        <f>IF(OR($A183="",$H183=0),"",IFERROR((SUMIF(tblProsesler[VarlikId],$B183,tblProsesler[USL_birim])-SUMIF(tblProsesler[VarlikId],$B183,tblProsesler[LSL_birim]))/(spy_altiSigma*$H183),0))</f>
        <v/>
      </c>
      <c r="J183" s="18">
        <f>IF(OR($A183="",$H183=0),"",IFERROR(MIN((SUMIF(tblProsesler[VarlikId],$B183,tblProsesler[USL_birim])-$D183)/(spy_ucSigma*$H183),($D183-SUMIF(tblProsesler[VarlikId],$B183,tblProsesler[LSL_birim]))/(spy_ucSigma*$H183)),0))</f>
        <v/>
      </c>
      <c r="K183" s="18">
        <f>IF($A183="","",IFERROR(AVERAGEIF(tblOlcum[VarlikId],$B183,tblOlcum[Xbar_birim])+spy_A2*$E183,0))</f>
        <v/>
      </c>
      <c r="L183" s="18">
        <f>IF($A183="","",IFERROR(AVERAGEIF(tblOlcum[VarlikId],$B183,tblOlcum[Xbar_birim])-spy_A2*$E183,0))</f>
        <v/>
      </c>
      <c r="M183" s="18">
        <f>IF($A183="","",MAX(0,MIN(100,spy_kaliteTaban-IF($J183&lt;spy_esikCpk,spy_kaliteCeza,0)-IF(OR($D183&gt;$K183,$D183&lt;$L183),spy_kaliteSapma,0)-IF($P183="YETIM",spy_kaliteCeza,0))))</f>
        <v/>
      </c>
      <c r="N183" s="18">
        <f>IF($A183="","",IF(OR($J183&lt;spy_esikCpk,$D183&gt;$K183,$D183&lt;$L183,$M183&lt;spy_esikSaglik),"ALARM","UYGUN"))</f>
        <v/>
      </c>
      <c r="O183" s="18">
        <f>IF($A183="","",1)</f>
        <v/>
      </c>
      <c r="P183" s="18">
        <f>IF($A183="","",IF(OR($B183="",COUNTIF(tblProsesler[VarlikId],$B183)=0),"YETIM","TAMAM"))</f>
        <v/>
      </c>
    </row>
    <row r="184">
      <c r="A184" s="15" t="n"/>
      <c r="B184" s="15" t="n"/>
      <c r="C184" s="37" t="n"/>
      <c r="D184" s="16" t="n"/>
      <c r="E184" s="16" t="n"/>
      <c r="F184" s="17" t="n"/>
      <c r="G184" s="15" t="n"/>
      <c r="H184" s="18">
        <f>IF(OR($A184="",$E184=0),"",$E184/spy_d2)</f>
        <v/>
      </c>
      <c r="I184" s="18">
        <f>IF(OR($A184="",$H184=0),"",IFERROR((SUMIF(tblProsesler[VarlikId],$B184,tblProsesler[USL_birim])-SUMIF(tblProsesler[VarlikId],$B184,tblProsesler[LSL_birim]))/(spy_altiSigma*$H184),0))</f>
        <v/>
      </c>
      <c r="J184" s="18">
        <f>IF(OR($A184="",$H184=0),"",IFERROR(MIN((SUMIF(tblProsesler[VarlikId],$B184,tblProsesler[USL_birim])-$D184)/(spy_ucSigma*$H184),($D184-SUMIF(tblProsesler[VarlikId],$B184,tblProsesler[LSL_birim]))/(spy_ucSigma*$H184)),0))</f>
        <v/>
      </c>
      <c r="K184" s="18">
        <f>IF($A184="","",IFERROR(AVERAGEIF(tblOlcum[VarlikId],$B184,tblOlcum[Xbar_birim])+spy_A2*$E184,0))</f>
        <v/>
      </c>
      <c r="L184" s="18">
        <f>IF($A184="","",IFERROR(AVERAGEIF(tblOlcum[VarlikId],$B184,tblOlcum[Xbar_birim])-spy_A2*$E184,0))</f>
        <v/>
      </c>
      <c r="M184" s="18">
        <f>IF($A184="","",MAX(0,MIN(100,spy_kaliteTaban-IF($J184&lt;spy_esikCpk,spy_kaliteCeza,0)-IF(OR($D184&gt;$K184,$D184&lt;$L184),spy_kaliteSapma,0)-IF($P184="YETIM",spy_kaliteCeza,0))))</f>
        <v/>
      </c>
      <c r="N184" s="18">
        <f>IF($A184="","",IF(OR($J184&lt;spy_esikCpk,$D184&gt;$K184,$D184&lt;$L184,$M184&lt;spy_esikSaglik),"ALARM","UYGUN"))</f>
        <v/>
      </c>
      <c r="O184" s="18">
        <f>IF($A184="","",1)</f>
        <v/>
      </c>
      <c r="P184" s="18">
        <f>IF($A184="","",IF(OR($B184="",COUNTIF(tblProsesler[VarlikId],$B184)=0),"YETIM","TAMAM"))</f>
        <v/>
      </c>
    </row>
    <row r="185">
      <c r="A185" s="15" t="n"/>
      <c r="B185" s="15" t="n"/>
      <c r="C185" s="37" t="n"/>
      <c r="D185" s="16" t="n"/>
      <c r="E185" s="16" t="n"/>
      <c r="F185" s="17" t="n"/>
      <c r="G185" s="15" t="n"/>
      <c r="H185" s="18">
        <f>IF(OR($A185="",$E185=0),"",$E185/spy_d2)</f>
        <v/>
      </c>
      <c r="I185" s="18">
        <f>IF(OR($A185="",$H185=0),"",IFERROR((SUMIF(tblProsesler[VarlikId],$B185,tblProsesler[USL_birim])-SUMIF(tblProsesler[VarlikId],$B185,tblProsesler[LSL_birim]))/(spy_altiSigma*$H185),0))</f>
        <v/>
      </c>
      <c r="J185" s="18">
        <f>IF(OR($A185="",$H185=0),"",IFERROR(MIN((SUMIF(tblProsesler[VarlikId],$B185,tblProsesler[USL_birim])-$D185)/(spy_ucSigma*$H185),($D185-SUMIF(tblProsesler[VarlikId],$B185,tblProsesler[LSL_birim]))/(spy_ucSigma*$H185)),0))</f>
        <v/>
      </c>
      <c r="K185" s="18">
        <f>IF($A185="","",IFERROR(AVERAGEIF(tblOlcum[VarlikId],$B185,tblOlcum[Xbar_birim])+spy_A2*$E185,0))</f>
        <v/>
      </c>
      <c r="L185" s="18">
        <f>IF($A185="","",IFERROR(AVERAGEIF(tblOlcum[VarlikId],$B185,tblOlcum[Xbar_birim])-spy_A2*$E185,0))</f>
        <v/>
      </c>
      <c r="M185" s="18">
        <f>IF($A185="","",MAX(0,MIN(100,spy_kaliteTaban-IF($J185&lt;spy_esikCpk,spy_kaliteCeza,0)-IF(OR($D185&gt;$K185,$D185&lt;$L185),spy_kaliteSapma,0)-IF($P185="YETIM",spy_kaliteCeza,0))))</f>
        <v/>
      </c>
      <c r="N185" s="18">
        <f>IF($A185="","",IF(OR($J185&lt;spy_esikCpk,$D185&gt;$K185,$D185&lt;$L185,$M185&lt;spy_esikSaglik),"ALARM","UYGUN"))</f>
        <v/>
      </c>
      <c r="O185" s="18">
        <f>IF($A185="","",1)</f>
        <v/>
      </c>
      <c r="P185" s="18">
        <f>IF($A185="","",IF(OR($B185="",COUNTIF(tblProsesler[VarlikId],$B185)=0),"YETIM","TAMAM"))</f>
        <v/>
      </c>
    </row>
    <row r="186">
      <c r="A186" s="15" t="n"/>
      <c r="B186" s="15" t="n"/>
      <c r="C186" s="37" t="n"/>
      <c r="D186" s="16" t="n"/>
      <c r="E186" s="16" t="n"/>
      <c r="F186" s="17" t="n"/>
      <c r="G186" s="15" t="n"/>
      <c r="H186" s="18">
        <f>IF(OR($A186="",$E186=0),"",$E186/spy_d2)</f>
        <v/>
      </c>
      <c r="I186" s="18">
        <f>IF(OR($A186="",$H186=0),"",IFERROR((SUMIF(tblProsesler[VarlikId],$B186,tblProsesler[USL_birim])-SUMIF(tblProsesler[VarlikId],$B186,tblProsesler[LSL_birim]))/(spy_altiSigma*$H186),0))</f>
        <v/>
      </c>
      <c r="J186" s="18">
        <f>IF(OR($A186="",$H186=0),"",IFERROR(MIN((SUMIF(tblProsesler[VarlikId],$B186,tblProsesler[USL_birim])-$D186)/(spy_ucSigma*$H186),($D186-SUMIF(tblProsesler[VarlikId],$B186,tblProsesler[LSL_birim]))/(spy_ucSigma*$H186)),0))</f>
        <v/>
      </c>
      <c r="K186" s="18">
        <f>IF($A186="","",IFERROR(AVERAGEIF(tblOlcum[VarlikId],$B186,tblOlcum[Xbar_birim])+spy_A2*$E186,0))</f>
        <v/>
      </c>
      <c r="L186" s="18">
        <f>IF($A186="","",IFERROR(AVERAGEIF(tblOlcum[VarlikId],$B186,tblOlcum[Xbar_birim])-spy_A2*$E186,0))</f>
        <v/>
      </c>
      <c r="M186" s="18">
        <f>IF($A186="","",MAX(0,MIN(100,spy_kaliteTaban-IF($J186&lt;spy_esikCpk,spy_kaliteCeza,0)-IF(OR($D186&gt;$K186,$D186&lt;$L186),spy_kaliteSapma,0)-IF($P186="YETIM",spy_kaliteCeza,0))))</f>
        <v/>
      </c>
      <c r="N186" s="18">
        <f>IF($A186="","",IF(OR($J186&lt;spy_esikCpk,$D186&gt;$K186,$D186&lt;$L186,$M186&lt;spy_esikSaglik),"ALARM","UYGUN"))</f>
        <v/>
      </c>
      <c r="O186" s="18">
        <f>IF($A186="","",1)</f>
        <v/>
      </c>
      <c r="P186" s="18">
        <f>IF($A186="","",IF(OR($B186="",COUNTIF(tblProsesler[VarlikId],$B186)=0),"YETIM","TAMAM"))</f>
        <v/>
      </c>
    </row>
    <row r="187">
      <c r="A187" s="15" t="n"/>
      <c r="B187" s="15" t="n"/>
      <c r="C187" s="37" t="n"/>
      <c r="D187" s="16" t="n"/>
      <c r="E187" s="16" t="n"/>
      <c r="F187" s="17" t="n"/>
      <c r="G187" s="15" t="n"/>
      <c r="H187" s="18">
        <f>IF(OR($A187="",$E187=0),"",$E187/spy_d2)</f>
        <v/>
      </c>
      <c r="I187" s="18">
        <f>IF(OR($A187="",$H187=0),"",IFERROR((SUMIF(tblProsesler[VarlikId],$B187,tblProsesler[USL_birim])-SUMIF(tblProsesler[VarlikId],$B187,tblProsesler[LSL_birim]))/(spy_altiSigma*$H187),0))</f>
        <v/>
      </c>
      <c r="J187" s="18">
        <f>IF(OR($A187="",$H187=0),"",IFERROR(MIN((SUMIF(tblProsesler[VarlikId],$B187,tblProsesler[USL_birim])-$D187)/(spy_ucSigma*$H187),($D187-SUMIF(tblProsesler[VarlikId],$B187,tblProsesler[LSL_birim]))/(spy_ucSigma*$H187)),0))</f>
        <v/>
      </c>
      <c r="K187" s="18">
        <f>IF($A187="","",IFERROR(AVERAGEIF(tblOlcum[VarlikId],$B187,tblOlcum[Xbar_birim])+spy_A2*$E187,0))</f>
        <v/>
      </c>
      <c r="L187" s="18">
        <f>IF($A187="","",IFERROR(AVERAGEIF(tblOlcum[VarlikId],$B187,tblOlcum[Xbar_birim])-spy_A2*$E187,0))</f>
        <v/>
      </c>
      <c r="M187" s="18">
        <f>IF($A187="","",MAX(0,MIN(100,spy_kaliteTaban-IF($J187&lt;spy_esikCpk,spy_kaliteCeza,0)-IF(OR($D187&gt;$K187,$D187&lt;$L187),spy_kaliteSapma,0)-IF($P187="YETIM",spy_kaliteCeza,0))))</f>
        <v/>
      </c>
      <c r="N187" s="18">
        <f>IF($A187="","",IF(OR($J187&lt;spy_esikCpk,$D187&gt;$K187,$D187&lt;$L187,$M187&lt;spy_esikSaglik),"ALARM","UYGUN"))</f>
        <v/>
      </c>
      <c r="O187" s="18">
        <f>IF($A187="","",1)</f>
        <v/>
      </c>
      <c r="P187" s="18">
        <f>IF($A187="","",IF(OR($B187="",COUNTIF(tblProsesler[VarlikId],$B187)=0),"YETIM","TAMAM"))</f>
        <v/>
      </c>
    </row>
    <row r="188">
      <c r="A188" s="15" t="n"/>
      <c r="B188" s="15" t="n"/>
      <c r="C188" s="37" t="n"/>
      <c r="D188" s="16" t="n"/>
      <c r="E188" s="16" t="n"/>
      <c r="F188" s="17" t="n"/>
      <c r="G188" s="15" t="n"/>
      <c r="H188" s="18">
        <f>IF(OR($A188="",$E188=0),"",$E188/spy_d2)</f>
        <v/>
      </c>
      <c r="I188" s="18">
        <f>IF(OR($A188="",$H188=0),"",IFERROR((SUMIF(tblProsesler[VarlikId],$B188,tblProsesler[USL_birim])-SUMIF(tblProsesler[VarlikId],$B188,tblProsesler[LSL_birim]))/(spy_altiSigma*$H188),0))</f>
        <v/>
      </c>
      <c r="J188" s="18">
        <f>IF(OR($A188="",$H188=0),"",IFERROR(MIN((SUMIF(tblProsesler[VarlikId],$B188,tblProsesler[USL_birim])-$D188)/(spy_ucSigma*$H188),($D188-SUMIF(tblProsesler[VarlikId],$B188,tblProsesler[LSL_birim]))/(spy_ucSigma*$H188)),0))</f>
        <v/>
      </c>
      <c r="K188" s="18">
        <f>IF($A188="","",IFERROR(AVERAGEIF(tblOlcum[VarlikId],$B188,tblOlcum[Xbar_birim])+spy_A2*$E188,0))</f>
        <v/>
      </c>
      <c r="L188" s="18">
        <f>IF($A188="","",IFERROR(AVERAGEIF(tblOlcum[VarlikId],$B188,tblOlcum[Xbar_birim])-spy_A2*$E188,0))</f>
        <v/>
      </c>
      <c r="M188" s="18">
        <f>IF($A188="","",MAX(0,MIN(100,spy_kaliteTaban-IF($J188&lt;spy_esikCpk,spy_kaliteCeza,0)-IF(OR($D188&gt;$K188,$D188&lt;$L188),spy_kaliteSapma,0)-IF($P188="YETIM",spy_kaliteCeza,0))))</f>
        <v/>
      </c>
      <c r="N188" s="18">
        <f>IF($A188="","",IF(OR($J188&lt;spy_esikCpk,$D188&gt;$K188,$D188&lt;$L188,$M188&lt;spy_esikSaglik),"ALARM","UYGUN"))</f>
        <v/>
      </c>
      <c r="O188" s="18">
        <f>IF($A188="","",1)</f>
        <v/>
      </c>
      <c r="P188" s="18">
        <f>IF($A188="","",IF(OR($B188="",COUNTIF(tblProsesler[VarlikId],$B188)=0),"YETIM","TAMAM"))</f>
        <v/>
      </c>
    </row>
    <row r="189">
      <c r="A189" s="15" t="n"/>
      <c r="B189" s="15" t="n"/>
      <c r="C189" s="37" t="n"/>
      <c r="D189" s="16" t="n"/>
      <c r="E189" s="16" t="n"/>
      <c r="F189" s="17" t="n"/>
      <c r="G189" s="15" t="n"/>
      <c r="H189" s="18">
        <f>IF(OR($A189="",$E189=0),"",$E189/spy_d2)</f>
        <v/>
      </c>
      <c r="I189" s="18">
        <f>IF(OR($A189="",$H189=0),"",IFERROR((SUMIF(tblProsesler[VarlikId],$B189,tblProsesler[USL_birim])-SUMIF(tblProsesler[VarlikId],$B189,tblProsesler[LSL_birim]))/(spy_altiSigma*$H189),0))</f>
        <v/>
      </c>
      <c r="J189" s="18">
        <f>IF(OR($A189="",$H189=0),"",IFERROR(MIN((SUMIF(tblProsesler[VarlikId],$B189,tblProsesler[USL_birim])-$D189)/(spy_ucSigma*$H189),($D189-SUMIF(tblProsesler[VarlikId],$B189,tblProsesler[LSL_birim]))/(spy_ucSigma*$H189)),0))</f>
        <v/>
      </c>
      <c r="K189" s="18">
        <f>IF($A189="","",IFERROR(AVERAGEIF(tblOlcum[VarlikId],$B189,tblOlcum[Xbar_birim])+spy_A2*$E189,0))</f>
        <v/>
      </c>
      <c r="L189" s="18">
        <f>IF($A189="","",IFERROR(AVERAGEIF(tblOlcum[VarlikId],$B189,tblOlcum[Xbar_birim])-spy_A2*$E189,0))</f>
        <v/>
      </c>
      <c r="M189" s="18">
        <f>IF($A189="","",MAX(0,MIN(100,spy_kaliteTaban-IF($J189&lt;spy_esikCpk,spy_kaliteCeza,0)-IF(OR($D189&gt;$K189,$D189&lt;$L189),spy_kaliteSapma,0)-IF($P189="YETIM",spy_kaliteCeza,0))))</f>
        <v/>
      </c>
      <c r="N189" s="18">
        <f>IF($A189="","",IF(OR($J189&lt;spy_esikCpk,$D189&gt;$K189,$D189&lt;$L189,$M189&lt;spy_esikSaglik),"ALARM","UYGUN"))</f>
        <v/>
      </c>
      <c r="O189" s="18">
        <f>IF($A189="","",1)</f>
        <v/>
      </c>
      <c r="P189" s="18">
        <f>IF($A189="","",IF(OR($B189="",COUNTIF(tblProsesler[VarlikId],$B189)=0),"YETIM","TAMAM"))</f>
        <v/>
      </c>
    </row>
    <row r="190">
      <c r="A190" s="15" t="n"/>
      <c r="B190" s="15" t="n"/>
      <c r="C190" s="37" t="n"/>
      <c r="D190" s="16" t="n"/>
      <c r="E190" s="16" t="n"/>
      <c r="F190" s="17" t="n"/>
      <c r="G190" s="15" t="n"/>
      <c r="H190" s="18">
        <f>IF(OR($A190="",$E190=0),"",$E190/spy_d2)</f>
        <v/>
      </c>
      <c r="I190" s="18">
        <f>IF(OR($A190="",$H190=0),"",IFERROR((SUMIF(tblProsesler[VarlikId],$B190,tblProsesler[USL_birim])-SUMIF(tblProsesler[VarlikId],$B190,tblProsesler[LSL_birim]))/(spy_altiSigma*$H190),0))</f>
        <v/>
      </c>
      <c r="J190" s="18">
        <f>IF(OR($A190="",$H190=0),"",IFERROR(MIN((SUMIF(tblProsesler[VarlikId],$B190,tblProsesler[USL_birim])-$D190)/(spy_ucSigma*$H190),($D190-SUMIF(tblProsesler[VarlikId],$B190,tblProsesler[LSL_birim]))/(spy_ucSigma*$H190)),0))</f>
        <v/>
      </c>
      <c r="K190" s="18">
        <f>IF($A190="","",IFERROR(AVERAGEIF(tblOlcum[VarlikId],$B190,tblOlcum[Xbar_birim])+spy_A2*$E190,0))</f>
        <v/>
      </c>
      <c r="L190" s="18">
        <f>IF($A190="","",IFERROR(AVERAGEIF(tblOlcum[VarlikId],$B190,tblOlcum[Xbar_birim])-spy_A2*$E190,0))</f>
        <v/>
      </c>
      <c r="M190" s="18">
        <f>IF($A190="","",MAX(0,MIN(100,spy_kaliteTaban-IF($J190&lt;spy_esikCpk,spy_kaliteCeza,0)-IF(OR($D190&gt;$K190,$D190&lt;$L190),spy_kaliteSapma,0)-IF($P190="YETIM",spy_kaliteCeza,0))))</f>
        <v/>
      </c>
      <c r="N190" s="18">
        <f>IF($A190="","",IF(OR($J190&lt;spy_esikCpk,$D190&gt;$K190,$D190&lt;$L190,$M190&lt;spy_esikSaglik),"ALARM","UYGUN"))</f>
        <v/>
      </c>
      <c r="O190" s="18">
        <f>IF($A190="","",1)</f>
        <v/>
      </c>
      <c r="P190" s="18">
        <f>IF($A190="","",IF(OR($B190="",COUNTIF(tblProsesler[VarlikId],$B190)=0),"YETIM","TAMAM"))</f>
        <v/>
      </c>
    </row>
    <row r="191">
      <c r="A191" s="15" t="n"/>
      <c r="B191" s="15" t="n"/>
      <c r="C191" s="37" t="n"/>
      <c r="D191" s="16" t="n"/>
      <c r="E191" s="16" t="n"/>
      <c r="F191" s="17" t="n"/>
      <c r="G191" s="15" t="n"/>
      <c r="H191" s="18">
        <f>IF(OR($A191="",$E191=0),"",$E191/spy_d2)</f>
        <v/>
      </c>
      <c r="I191" s="18">
        <f>IF(OR($A191="",$H191=0),"",IFERROR((SUMIF(tblProsesler[VarlikId],$B191,tblProsesler[USL_birim])-SUMIF(tblProsesler[VarlikId],$B191,tblProsesler[LSL_birim]))/(spy_altiSigma*$H191),0))</f>
        <v/>
      </c>
      <c r="J191" s="18">
        <f>IF(OR($A191="",$H191=0),"",IFERROR(MIN((SUMIF(tblProsesler[VarlikId],$B191,tblProsesler[USL_birim])-$D191)/(spy_ucSigma*$H191),($D191-SUMIF(tblProsesler[VarlikId],$B191,tblProsesler[LSL_birim]))/(spy_ucSigma*$H191)),0))</f>
        <v/>
      </c>
      <c r="K191" s="18">
        <f>IF($A191="","",IFERROR(AVERAGEIF(tblOlcum[VarlikId],$B191,tblOlcum[Xbar_birim])+spy_A2*$E191,0))</f>
        <v/>
      </c>
      <c r="L191" s="18">
        <f>IF($A191="","",IFERROR(AVERAGEIF(tblOlcum[VarlikId],$B191,tblOlcum[Xbar_birim])-spy_A2*$E191,0))</f>
        <v/>
      </c>
      <c r="M191" s="18">
        <f>IF($A191="","",MAX(0,MIN(100,spy_kaliteTaban-IF($J191&lt;spy_esikCpk,spy_kaliteCeza,0)-IF(OR($D191&gt;$K191,$D191&lt;$L191),spy_kaliteSapma,0)-IF($P191="YETIM",spy_kaliteCeza,0))))</f>
        <v/>
      </c>
      <c r="N191" s="18">
        <f>IF($A191="","",IF(OR($J191&lt;spy_esikCpk,$D191&gt;$K191,$D191&lt;$L191,$M191&lt;spy_esikSaglik),"ALARM","UYGUN"))</f>
        <v/>
      </c>
      <c r="O191" s="18">
        <f>IF($A191="","",1)</f>
        <v/>
      </c>
      <c r="P191" s="18">
        <f>IF($A191="","",IF(OR($B191="",COUNTIF(tblProsesler[VarlikId],$B191)=0),"YETIM","TAMAM"))</f>
        <v/>
      </c>
    </row>
    <row r="192">
      <c r="A192" s="15" t="n"/>
      <c r="B192" s="15" t="n"/>
      <c r="C192" s="37" t="n"/>
      <c r="D192" s="16" t="n"/>
      <c r="E192" s="16" t="n"/>
      <c r="F192" s="17" t="n"/>
      <c r="G192" s="15" t="n"/>
      <c r="H192" s="18">
        <f>IF(OR($A192="",$E192=0),"",$E192/spy_d2)</f>
        <v/>
      </c>
      <c r="I192" s="18">
        <f>IF(OR($A192="",$H192=0),"",IFERROR((SUMIF(tblProsesler[VarlikId],$B192,tblProsesler[USL_birim])-SUMIF(tblProsesler[VarlikId],$B192,tblProsesler[LSL_birim]))/(spy_altiSigma*$H192),0))</f>
        <v/>
      </c>
      <c r="J192" s="18">
        <f>IF(OR($A192="",$H192=0),"",IFERROR(MIN((SUMIF(tblProsesler[VarlikId],$B192,tblProsesler[USL_birim])-$D192)/(spy_ucSigma*$H192),($D192-SUMIF(tblProsesler[VarlikId],$B192,tblProsesler[LSL_birim]))/(spy_ucSigma*$H192)),0))</f>
        <v/>
      </c>
      <c r="K192" s="18">
        <f>IF($A192="","",IFERROR(AVERAGEIF(tblOlcum[VarlikId],$B192,tblOlcum[Xbar_birim])+spy_A2*$E192,0))</f>
        <v/>
      </c>
      <c r="L192" s="18">
        <f>IF($A192="","",IFERROR(AVERAGEIF(tblOlcum[VarlikId],$B192,tblOlcum[Xbar_birim])-spy_A2*$E192,0))</f>
        <v/>
      </c>
      <c r="M192" s="18">
        <f>IF($A192="","",MAX(0,MIN(100,spy_kaliteTaban-IF($J192&lt;spy_esikCpk,spy_kaliteCeza,0)-IF(OR($D192&gt;$K192,$D192&lt;$L192),spy_kaliteSapma,0)-IF($P192="YETIM",spy_kaliteCeza,0))))</f>
        <v/>
      </c>
      <c r="N192" s="18">
        <f>IF($A192="","",IF(OR($J192&lt;spy_esikCpk,$D192&gt;$K192,$D192&lt;$L192,$M192&lt;spy_esikSaglik),"ALARM","UYGUN"))</f>
        <v/>
      </c>
      <c r="O192" s="18">
        <f>IF($A192="","",1)</f>
        <v/>
      </c>
      <c r="P192" s="18">
        <f>IF($A192="","",IF(OR($B192="",COUNTIF(tblProsesler[VarlikId],$B192)=0),"YETIM","TAMAM"))</f>
        <v/>
      </c>
    </row>
    <row r="193">
      <c r="A193" s="15" t="n"/>
      <c r="B193" s="15" t="n"/>
      <c r="C193" s="37" t="n"/>
      <c r="D193" s="16" t="n"/>
      <c r="E193" s="16" t="n"/>
      <c r="F193" s="17" t="n"/>
      <c r="G193" s="15" t="n"/>
      <c r="H193" s="18">
        <f>IF(OR($A193="",$E193=0),"",$E193/spy_d2)</f>
        <v/>
      </c>
      <c r="I193" s="18">
        <f>IF(OR($A193="",$H193=0),"",IFERROR((SUMIF(tblProsesler[VarlikId],$B193,tblProsesler[USL_birim])-SUMIF(tblProsesler[VarlikId],$B193,tblProsesler[LSL_birim]))/(spy_altiSigma*$H193),0))</f>
        <v/>
      </c>
      <c r="J193" s="18">
        <f>IF(OR($A193="",$H193=0),"",IFERROR(MIN((SUMIF(tblProsesler[VarlikId],$B193,tblProsesler[USL_birim])-$D193)/(spy_ucSigma*$H193),($D193-SUMIF(tblProsesler[VarlikId],$B193,tblProsesler[LSL_birim]))/(spy_ucSigma*$H193)),0))</f>
        <v/>
      </c>
      <c r="K193" s="18">
        <f>IF($A193="","",IFERROR(AVERAGEIF(tblOlcum[VarlikId],$B193,tblOlcum[Xbar_birim])+spy_A2*$E193,0))</f>
        <v/>
      </c>
      <c r="L193" s="18">
        <f>IF($A193="","",IFERROR(AVERAGEIF(tblOlcum[VarlikId],$B193,tblOlcum[Xbar_birim])-spy_A2*$E193,0))</f>
        <v/>
      </c>
      <c r="M193" s="18">
        <f>IF($A193="","",MAX(0,MIN(100,spy_kaliteTaban-IF($J193&lt;spy_esikCpk,spy_kaliteCeza,0)-IF(OR($D193&gt;$K193,$D193&lt;$L193),spy_kaliteSapma,0)-IF($P193="YETIM",spy_kaliteCeza,0))))</f>
        <v/>
      </c>
      <c r="N193" s="18">
        <f>IF($A193="","",IF(OR($J193&lt;spy_esikCpk,$D193&gt;$K193,$D193&lt;$L193,$M193&lt;spy_esikSaglik),"ALARM","UYGUN"))</f>
        <v/>
      </c>
      <c r="O193" s="18">
        <f>IF($A193="","",1)</f>
        <v/>
      </c>
      <c r="P193" s="18">
        <f>IF($A193="","",IF(OR($B193="",COUNTIF(tblProsesler[VarlikId],$B193)=0),"YETIM","TAMAM"))</f>
        <v/>
      </c>
    </row>
    <row r="194">
      <c r="A194" s="15" t="n"/>
      <c r="B194" s="15" t="n"/>
      <c r="C194" s="37" t="n"/>
      <c r="D194" s="16" t="n"/>
      <c r="E194" s="16" t="n"/>
      <c r="F194" s="17" t="n"/>
      <c r="G194" s="15" t="n"/>
      <c r="H194" s="18">
        <f>IF(OR($A194="",$E194=0),"",$E194/spy_d2)</f>
        <v/>
      </c>
      <c r="I194" s="18">
        <f>IF(OR($A194="",$H194=0),"",IFERROR((SUMIF(tblProsesler[VarlikId],$B194,tblProsesler[USL_birim])-SUMIF(tblProsesler[VarlikId],$B194,tblProsesler[LSL_birim]))/(spy_altiSigma*$H194),0))</f>
        <v/>
      </c>
      <c r="J194" s="18">
        <f>IF(OR($A194="",$H194=0),"",IFERROR(MIN((SUMIF(tblProsesler[VarlikId],$B194,tblProsesler[USL_birim])-$D194)/(spy_ucSigma*$H194),($D194-SUMIF(tblProsesler[VarlikId],$B194,tblProsesler[LSL_birim]))/(spy_ucSigma*$H194)),0))</f>
        <v/>
      </c>
      <c r="K194" s="18">
        <f>IF($A194="","",IFERROR(AVERAGEIF(tblOlcum[VarlikId],$B194,tblOlcum[Xbar_birim])+spy_A2*$E194,0))</f>
        <v/>
      </c>
      <c r="L194" s="18">
        <f>IF($A194="","",IFERROR(AVERAGEIF(tblOlcum[VarlikId],$B194,tblOlcum[Xbar_birim])-spy_A2*$E194,0))</f>
        <v/>
      </c>
      <c r="M194" s="18">
        <f>IF($A194="","",MAX(0,MIN(100,spy_kaliteTaban-IF($J194&lt;spy_esikCpk,spy_kaliteCeza,0)-IF(OR($D194&gt;$K194,$D194&lt;$L194),spy_kaliteSapma,0)-IF($P194="YETIM",spy_kaliteCeza,0))))</f>
        <v/>
      </c>
      <c r="N194" s="18">
        <f>IF($A194="","",IF(OR($J194&lt;spy_esikCpk,$D194&gt;$K194,$D194&lt;$L194,$M194&lt;spy_esikSaglik),"ALARM","UYGUN"))</f>
        <v/>
      </c>
      <c r="O194" s="18">
        <f>IF($A194="","",1)</f>
        <v/>
      </c>
      <c r="P194" s="18">
        <f>IF($A194="","",IF(OR($B194="",COUNTIF(tblProsesler[VarlikId],$B194)=0),"YETIM","TAMAM"))</f>
        <v/>
      </c>
    </row>
    <row r="195">
      <c r="A195" s="15" t="n"/>
      <c r="B195" s="15" t="n"/>
      <c r="C195" s="37" t="n"/>
      <c r="D195" s="16" t="n"/>
      <c r="E195" s="16" t="n"/>
      <c r="F195" s="17" t="n"/>
      <c r="G195" s="15" t="n"/>
      <c r="H195" s="18">
        <f>IF(OR($A195="",$E195=0),"",$E195/spy_d2)</f>
        <v/>
      </c>
      <c r="I195" s="18">
        <f>IF(OR($A195="",$H195=0),"",IFERROR((SUMIF(tblProsesler[VarlikId],$B195,tblProsesler[USL_birim])-SUMIF(tblProsesler[VarlikId],$B195,tblProsesler[LSL_birim]))/(spy_altiSigma*$H195),0))</f>
        <v/>
      </c>
      <c r="J195" s="18">
        <f>IF(OR($A195="",$H195=0),"",IFERROR(MIN((SUMIF(tblProsesler[VarlikId],$B195,tblProsesler[USL_birim])-$D195)/(spy_ucSigma*$H195),($D195-SUMIF(tblProsesler[VarlikId],$B195,tblProsesler[LSL_birim]))/(spy_ucSigma*$H195)),0))</f>
        <v/>
      </c>
      <c r="K195" s="18">
        <f>IF($A195="","",IFERROR(AVERAGEIF(tblOlcum[VarlikId],$B195,tblOlcum[Xbar_birim])+spy_A2*$E195,0))</f>
        <v/>
      </c>
      <c r="L195" s="18">
        <f>IF($A195="","",IFERROR(AVERAGEIF(tblOlcum[VarlikId],$B195,tblOlcum[Xbar_birim])-spy_A2*$E195,0))</f>
        <v/>
      </c>
      <c r="M195" s="18">
        <f>IF($A195="","",MAX(0,MIN(100,spy_kaliteTaban-IF($J195&lt;spy_esikCpk,spy_kaliteCeza,0)-IF(OR($D195&gt;$K195,$D195&lt;$L195),spy_kaliteSapma,0)-IF($P195="YETIM",spy_kaliteCeza,0))))</f>
        <v/>
      </c>
      <c r="N195" s="18">
        <f>IF($A195="","",IF(OR($J195&lt;spy_esikCpk,$D195&gt;$K195,$D195&lt;$L195,$M195&lt;spy_esikSaglik),"ALARM","UYGUN"))</f>
        <v/>
      </c>
      <c r="O195" s="18">
        <f>IF($A195="","",1)</f>
        <v/>
      </c>
      <c r="P195" s="18">
        <f>IF($A195="","",IF(OR($B195="",COUNTIF(tblProsesler[VarlikId],$B195)=0),"YETIM","TAMAM"))</f>
        <v/>
      </c>
    </row>
    <row r="196">
      <c r="A196" s="15" t="n"/>
      <c r="B196" s="15" t="n"/>
      <c r="C196" s="37" t="n"/>
      <c r="D196" s="16" t="n"/>
      <c r="E196" s="16" t="n"/>
      <c r="F196" s="17" t="n"/>
      <c r="G196" s="15" t="n"/>
      <c r="H196" s="18">
        <f>IF(OR($A196="",$E196=0),"",$E196/spy_d2)</f>
        <v/>
      </c>
      <c r="I196" s="18">
        <f>IF(OR($A196="",$H196=0),"",IFERROR((SUMIF(tblProsesler[VarlikId],$B196,tblProsesler[USL_birim])-SUMIF(tblProsesler[VarlikId],$B196,tblProsesler[LSL_birim]))/(spy_altiSigma*$H196),0))</f>
        <v/>
      </c>
      <c r="J196" s="18">
        <f>IF(OR($A196="",$H196=0),"",IFERROR(MIN((SUMIF(tblProsesler[VarlikId],$B196,tblProsesler[USL_birim])-$D196)/(spy_ucSigma*$H196),($D196-SUMIF(tblProsesler[VarlikId],$B196,tblProsesler[LSL_birim]))/(spy_ucSigma*$H196)),0))</f>
        <v/>
      </c>
      <c r="K196" s="18">
        <f>IF($A196="","",IFERROR(AVERAGEIF(tblOlcum[VarlikId],$B196,tblOlcum[Xbar_birim])+spy_A2*$E196,0))</f>
        <v/>
      </c>
      <c r="L196" s="18">
        <f>IF($A196="","",IFERROR(AVERAGEIF(tblOlcum[VarlikId],$B196,tblOlcum[Xbar_birim])-spy_A2*$E196,0))</f>
        <v/>
      </c>
      <c r="M196" s="18">
        <f>IF($A196="","",MAX(0,MIN(100,spy_kaliteTaban-IF($J196&lt;spy_esikCpk,spy_kaliteCeza,0)-IF(OR($D196&gt;$K196,$D196&lt;$L196),spy_kaliteSapma,0)-IF($P196="YETIM",spy_kaliteCeza,0))))</f>
        <v/>
      </c>
      <c r="N196" s="18">
        <f>IF($A196="","",IF(OR($J196&lt;spy_esikCpk,$D196&gt;$K196,$D196&lt;$L196,$M196&lt;spy_esikSaglik),"ALARM","UYGUN"))</f>
        <v/>
      </c>
      <c r="O196" s="18">
        <f>IF($A196="","",1)</f>
        <v/>
      </c>
      <c r="P196" s="18">
        <f>IF($A196="","",IF(OR($B196="",COUNTIF(tblProsesler[VarlikId],$B196)=0),"YETIM","TAMAM"))</f>
        <v/>
      </c>
    </row>
    <row r="197">
      <c r="A197" s="15" t="n"/>
      <c r="B197" s="15" t="n"/>
      <c r="C197" s="37" t="n"/>
      <c r="D197" s="16" t="n"/>
      <c r="E197" s="16" t="n"/>
      <c r="F197" s="17" t="n"/>
      <c r="G197" s="15" t="n"/>
      <c r="H197" s="18">
        <f>IF(OR($A197="",$E197=0),"",$E197/spy_d2)</f>
        <v/>
      </c>
      <c r="I197" s="18">
        <f>IF(OR($A197="",$H197=0),"",IFERROR((SUMIF(tblProsesler[VarlikId],$B197,tblProsesler[USL_birim])-SUMIF(tblProsesler[VarlikId],$B197,tblProsesler[LSL_birim]))/(spy_altiSigma*$H197),0))</f>
        <v/>
      </c>
      <c r="J197" s="18">
        <f>IF(OR($A197="",$H197=0),"",IFERROR(MIN((SUMIF(tblProsesler[VarlikId],$B197,tblProsesler[USL_birim])-$D197)/(spy_ucSigma*$H197),($D197-SUMIF(tblProsesler[VarlikId],$B197,tblProsesler[LSL_birim]))/(spy_ucSigma*$H197)),0))</f>
        <v/>
      </c>
      <c r="K197" s="18">
        <f>IF($A197="","",IFERROR(AVERAGEIF(tblOlcum[VarlikId],$B197,tblOlcum[Xbar_birim])+spy_A2*$E197,0))</f>
        <v/>
      </c>
      <c r="L197" s="18">
        <f>IF($A197="","",IFERROR(AVERAGEIF(tblOlcum[VarlikId],$B197,tblOlcum[Xbar_birim])-spy_A2*$E197,0))</f>
        <v/>
      </c>
      <c r="M197" s="18">
        <f>IF($A197="","",MAX(0,MIN(100,spy_kaliteTaban-IF($J197&lt;spy_esikCpk,spy_kaliteCeza,0)-IF(OR($D197&gt;$K197,$D197&lt;$L197),spy_kaliteSapma,0)-IF($P197="YETIM",spy_kaliteCeza,0))))</f>
        <v/>
      </c>
      <c r="N197" s="18">
        <f>IF($A197="","",IF(OR($J197&lt;spy_esikCpk,$D197&gt;$K197,$D197&lt;$L197,$M197&lt;spy_esikSaglik),"ALARM","UYGUN"))</f>
        <v/>
      </c>
      <c r="O197" s="18">
        <f>IF($A197="","",1)</f>
        <v/>
      </c>
      <c r="P197" s="18">
        <f>IF($A197="","",IF(OR($B197="",COUNTIF(tblProsesler[VarlikId],$B197)=0),"YETIM","TAMAM"))</f>
        <v/>
      </c>
    </row>
    <row r="198">
      <c r="A198" s="15" t="n"/>
      <c r="B198" s="15" t="n"/>
      <c r="C198" s="37" t="n"/>
      <c r="D198" s="16" t="n"/>
      <c r="E198" s="16" t="n"/>
      <c r="F198" s="17" t="n"/>
      <c r="G198" s="15" t="n"/>
      <c r="H198" s="18">
        <f>IF(OR($A198="",$E198=0),"",$E198/spy_d2)</f>
        <v/>
      </c>
      <c r="I198" s="18">
        <f>IF(OR($A198="",$H198=0),"",IFERROR((SUMIF(tblProsesler[VarlikId],$B198,tblProsesler[USL_birim])-SUMIF(tblProsesler[VarlikId],$B198,tblProsesler[LSL_birim]))/(spy_altiSigma*$H198),0))</f>
        <v/>
      </c>
      <c r="J198" s="18">
        <f>IF(OR($A198="",$H198=0),"",IFERROR(MIN((SUMIF(tblProsesler[VarlikId],$B198,tblProsesler[USL_birim])-$D198)/(spy_ucSigma*$H198),($D198-SUMIF(tblProsesler[VarlikId],$B198,tblProsesler[LSL_birim]))/(spy_ucSigma*$H198)),0))</f>
        <v/>
      </c>
      <c r="K198" s="18">
        <f>IF($A198="","",IFERROR(AVERAGEIF(tblOlcum[VarlikId],$B198,tblOlcum[Xbar_birim])+spy_A2*$E198,0))</f>
        <v/>
      </c>
      <c r="L198" s="18">
        <f>IF($A198="","",IFERROR(AVERAGEIF(tblOlcum[VarlikId],$B198,tblOlcum[Xbar_birim])-spy_A2*$E198,0))</f>
        <v/>
      </c>
      <c r="M198" s="18">
        <f>IF($A198="","",MAX(0,MIN(100,spy_kaliteTaban-IF($J198&lt;spy_esikCpk,spy_kaliteCeza,0)-IF(OR($D198&gt;$K198,$D198&lt;$L198),spy_kaliteSapma,0)-IF($P198="YETIM",spy_kaliteCeza,0))))</f>
        <v/>
      </c>
      <c r="N198" s="18">
        <f>IF($A198="","",IF(OR($J198&lt;spy_esikCpk,$D198&gt;$K198,$D198&lt;$L198,$M198&lt;spy_esikSaglik),"ALARM","UYGUN"))</f>
        <v/>
      </c>
      <c r="O198" s="18">
        <f>IF($A198="","",1)</f>
        <v/>
      </c>
      <c r="P198" s="18">
        <f>IF($A198="","",IF(OR($B198="",COUNTIF(tblProsesler[VarlikId],$B198)=0),"YETIM","TAMAM"))</f>
        <v/>
      </c>
    </row>
    <row r="199">
      <c r="A199" s="15" t="n"/>
      <c r="B199" s="15" t="n"/>
      <c r="C199" s="37" t="n"/>
      <c r="D199" s="16" t="n"/>
      <c r="E199" s="16" t="n"/>
      <c r="F199" s="17" t="n"/>
      <c r="G199" s="15" t="n"/>
      <c r="H199" s="18">
        <f>IF(OR($A199="",$E199=0),"",$E199/spy_d2)</f>
        <v/>
      </c>
      <c r="I199" s="18">
        <f>IF(OR($A199="",$H199=0),"",IFERROR((SUMIF(tblProsesler[VarlikId],$B199,tblProsesler[USL_birim])-SUMIF(tblProsesler[VarlikId],$B199,tblProsesler[LSL_birim]))/(spy_altiSigma*$H199),0))</f>
        <v/>
      </c>
      <c r="J199" s="18">
        <f>IF(OR($A199="",$H199=0),"",IFERROR(MIN((SUMIF(tblProsesler[VarlikId],$B199,tblProsesler[USL_birim])-$D199)/(spy_ucSigma*$H199),($D199-SUMIF(tblProsesler[VarlikId],$B199,tblProsesler[LSL_birim]))/(spy_ucSigma*$H199)),0))</f>
        <v/>
      </c>
      <c r="K199" s="18">
        <f>IF($A199="","",IFERROR(AVERAGEIF(tblOlcum[VarlikId],$B199,tblOlcum[Xbar_birim])+spy_A2*$E199,0))</f>
        <v/>
      </c>
      <c r="L199" s="18">
        <f>IF($A199="","",IFERROR(AVERAGEIF(tblOlcum[VarlikId],$B199,tblOlcum[Xbar_birim])-spy_A2*$E199,0))</f>
        <v/>
      </c>
      <c r="M199" s="18">
        <f>IF($A199="","",MAX(0,MIN(100,spy_kaliteTaban-IF($J199&lt;spy_esikCpk,spy_kaliteCeza,0)-IF(OR($D199&gt;$K199,$D199&lt;$L199),spy_kaliteSapma,0)-IF($P199="YETIM",spy_kaliteCeza,0))))</f>
        <v/>
      </c>
      <c r="N199" s="18">
        <f>IF($A199="","",IF(OR($J199&lt;spy_esikCpk,$D199&gt;$K199,$D199&lt;$L199,$M199&lt;spy_esikSaglik),"ALARM","UYGUN"))</f>
        <v/>
      </c>
      <c r="O199" s="18">
        <f>IF($A199="","",1)</f>
        <v/>
      </c>
      <c r="P199" s="18">
        <f>IF($A199="","",IF(OR($B199="",COUNTIF(tblProsesler[VarlikId],$B199)=0),"YETIM","TAMAM"))</f>
        <v/>
      </c>
    </row>
    <row r="200">
      <c r="A200" s="15" t="n"/>
      <c r="B200" s="15" t="n"/>
      <c r="C200" s="37" t="n"/>
      <c r="D200" s="16" t="n"/>
      <c r="E200" s="16" t="n"/>
      <c r="F200" s="17" t="n"/>
      <c r="G200" s="15" t="n"/>
      <c r="H200" s="18">
        <f>IF(OR($A200="",$E200=0),"",$E200/spy_d2)</f>
        <v/>
      </c>
      <c r="I200" s="18">
        <f>IF(OR($A200="",$H200=0),"",IFERROR((SUMIF(tblProsesler[VarlikId],$B200,tblProsesler[USL_birim])-SUMIF(tblProsesler[VarlikId],$B200,tblProsesler[LSL_birim]))/(spy_altiSigma*$H200),0))</f>
        <v/>
      </c>
      <c r="J200" s="18">
        <f>IF(OR($A200="",$H200=0),"",IFERROR(MIN((SUMIF(tblProsesler[VarlikId],$B200,tblProsesler[USL_birim])-$D200)/(spy_ucSigma*$H200),($D200-SUMIF(tblProsesler[VarlikId],$B200,tblProsesler[LSL_birim]))/(spy_ucSigma*$H200)),0))</f>
        <v/>
      </c>
      <c r="K200" s="18">
        <f>IF($A200="","",IFERROR(AVERAGEIF(tblOlcum[VarlikId],$B200,tblOlcum[Xbar_birim])+spy_A2*$E200,0))</f>
        <v/>
      </c>
      <c r="L200" s="18">
        <f>IF($A200="","",IFERROR(AVERAGEIF(tblOlcum[VarlikId],$B200,tblOlcum[Xbar_birim])-spy_A2*$E200,0))</f>
        <v/>
      </c>
      <c r="M200" s="18">
        <f>IF($A200="","",MAX(0,MIN(100,spy_kaliteTaban-IF($J200&lt;spy_esikCpk,spy_kaliteCeza,0)-IF(OR($D200&gt;$K200,$D200&lt;$L200),spy_kaliteSapma,0)-IF($P200="YETIM",spy_kaliteCeza,0))))</f>
        <v/>
      </c>
      <c r="N200" s="18">
        <f>IF($A200="","",IF(OR($J200&lt;spy_esikCpk,$D200&gt;$K200,$D200&lt;$L200,$M200&lt;spy_esikSaglik),"ALARM","UYGUN"))</f>
        <v/>
      </c>
      <c r="O200" s="18">
        <f>IF($A200="","",1)</f>
        <v/>
      </c>
      <c r="P200" s="18">
        <f>IF($A200="","",IF(OR($B200="",COUNTIF(tblProsesler[VarlikId],$B200)=0),"YETIM","TAMAM"))</f>
        <v/>
      </c>
    </row>
    <row r="201">
      <c r="A201" s="15" t="n"/>
      <c r="B201" s="15" t="n"/>
      <c r="C201" s="37" t="n"/>
      <c r="D201" s="16" t="n"/>
      <c r="E201" s="16" t="n"/>
      <c r="F201" s="17" t="n"/>
      <c r="G201" s="15" t="n"/>
      <c r="H201" s="18">
        <f>IF(OR($A201="",$E201=0),"",$E201/spy_d2)</f>
        <v/>
      </c>
      <c r="I201" s="18">
        <f>IF(OR($A201="",$H201=0),"",IFERROR((SUMIF(tblProsesler[VarlikId],$B201,tblProsesler[USL_birim])-SUMIF(tblProsesler[VarlikId],$B201,tblProsesler[LSL_birim]))/(spy_altiSigma*$H201),0))</f>
        <v/>
      </c>
      <c r="J201" s="18">
        <f>IF(OR($A201="",$H201=0),"",IFERROR(MIN((SUMIF(tblProsesler[VarlikId],$B201,tblProsesler[USL_birim])-$D201)/(spy_ucSigma*$H201),($D201-SUMIF(tblProsesler[VarlikId],$B201,tblProsesler[LSL_birim]))/(spy_ucSigma*$H201)),0))</f>
        <v/>
      </c>
      <c r="K201" s="18">
        <f>IF($A201="","",IFERROR(AVERAGEIF(tblOlcum[VarlikId],$B201,tblOlcum[Xbar_birim])+spy_A2*$E201,0))</f>
        <v/>
      </c>
      <c r="L201" s="18">
        <f>IF($A201="","",IFERROR(AVERAGEIF(tblOlcum[VarlikId],$B201,tblOlcum[Xbar_birim])-spy_A2*$E201,0))</f>
        <v/>
      </c>
      <c r="M201" s="18">
        <f>IF($A201="","",MAX(0,MIN(100,spy_kaliteTaban-IF($J201&lt;spy_esikCpk,spy_kaliteCeza,0)-IF(OR($D201&gt;$K201,$D201&lt;$L201),spy_kaliteSapma,0)-IF($P201="YETIM",spy_kaliteCeza,0))))</f>
        <v/>
      </c>
      <c r="N201" s="18">
        <f>IF($A201="","",IF(OR($J201&lt;spy_esikCpk,$D201&gt;$K201,$D201&lt;$L201,$M201&lt;spy_esikSaglik),"ALARM","UYGUN"))</f>
        <v/>
      </c>
      <c r="O201" s="18">
        <f>IF($A201="","",1)</f>
        <v/>
      </c>
      <c r="P201" s="18">
        <f>IF($A201="","",IF(OR($B201="",COUNTIF(tblProsesler[VarlikId],$B201)=0),"YETIM","TAMAM"))</f>
        <v/>
      </c>
    </row>
    <row r="202">
      <c r="A202" s="15" t="n"/>
      <c r="B202" s="15" t="n"/>
      <c r="C202" s="37" t="n"/>
      <c r="D202" s="16" t="n"/>
      <c r="E202" s="16" t="n"/>
      <c r="F202" s="17" t="n"/>
      <c r="G202" s="15" t="n"/>
      <c r="H202" s="18">
        <f>IF(OR($A202="",$E202=0),"",$E202/spy_d2)</f>
        <v/>
      </c>
      <c r="I202" s="18">
        <f>IF(OR($A202="",$H202=0),"",IFERROR((SUMIF(tblProsesler[VarlikId],$B202,tblProsesler[USL_birim])-SUMIF(tblProsesler[VarlikId],$B202,tblProsesler[LSL_birim]))/(spy_altiSigma*$H202),0))</f>
        <v/>
      </c>
      <c r="J202" s="18">
        <f>IF(OR($A202="",$H202=0),"",IFERROR(MIN((SUMIF(tblProsesler[VarlikId],$B202,tblProsesler[USL_birim])-$D202)/(spy_ucSigma*$H202),($D202-SUMIF(tblProsesler[VarlikId],$B202,tblProsesler[LSL_birim]))/(spy_ucSigma*$H202)),0))</f>
        <v/>
      </c>
      <c r="K202" s="18">
        <f>IF($A202="","",IFERROR(AVERAGEIF(tblOlcum[VarlikId],$B202,tblOlcum[Xbar_birim])+spy_A2*$E202,0))</f>
        <v/>
      </c>
      <c r="L202" s="18">
        <f>IF($A202="","",IFERROR(AVERAGEIF(tblOlcum[VarlikId],$B202,tblOlcum[Xbar_birim])-spy_A2*$E202,0))</f>
        <v/>
      </c>
      <c r="M202" s="18">
        <f>IF($A202="","",MAX(0,MIN(100,spy_kaliteTaban-IF($J202&lt;spy_esikCpk,spy_kaliteCeza,0)-IF(OR($D202&gt;$K202,$D202&lt;$L202),spy_kaliteSapma,0)-IF($P202="YETIM",spy_kaliteCeza,0))))</f>
        <v/>
      </c>
      <c r="N202" s="18">
        <f>IF($A202="","",IF(OR($J202&lt;spy_esikCpk,$D202&gt;$K202,$D202&lt;$L202,$M202&lt;spy_esikSaglik),"ALARM","UYGUN"))</f>
        <v/>
      </c>
      <c r="O202" s="18">
        <f>IF($A202="","",1)</f>
        <v/>
      </c>
      <c r="P202" s="18">
        <f>IF($A202="","",IF(OR($B202="",COUNTIF(tblProsesler[VarlikId],$B202)=0),"YETIM","TAMAM"))</f>
        <v/>
      </c>
    </row>
    <row r="203">
      <c r="A203" s="15" t="n"/>
      <c r="B203" s="15" t="n"/>
      <c r="C203" s="37" t="n"/>
      <c r="D203" s="16" t="n"/>
      <c r="E203" s="16" t="n"/>
      <c r="F203" s="17" t="n"/>
      <c r="G203" s="15" t="n"/>
      <c r="H203" s="18">
        <f>IF(OR($A203="",$E203=0),"",$E203/spy_d2)</f>
        <v/>
      </c>
      <c r="I203" s="18">
        <f>IF(OR($A203="",$H203=0),"",IFERROR((SUMIF(tblProsesler[VarlikId],$B203,tblProsesler[USL_birim])-SUMIF(tblProsesler[VarlikId],$B203,tblProsesler[LSL_birim]))/(spy_altiSigma*$H203),0))</f>
        <v/>
      </c>
      <c r="J203" s="18">
        <f>IF(OR($A203="",$H203=0),"",IFERROR(MIN((SUMIF(tblProsesler[VarlikId],$B203,tblProsesler[USL_birim])-$D203)/(spy_ucSigma*$H203),($D203-SUMIF(tblProsesler[VarlikId],$B203,tblProsesler[LSL_birim]))/(spy_ucSigma*$H203)),0))</f>
        <v/>
      </c>
      <c r="K203" s="18">
        <f>IF($A203="","",IFERROR(AVERAGEIF(tblOlcum[VarlikId],$B203,tblOlcum[Xbar_birim])+spy_A2*$E203,0))</f>
        <v/>
      </c>
      <c r="L203" s="18">
        <f>IF($A203="","",IFERROR(AVERAGEIF(tblOlcum[VarlikId],$B203,tblOlcum[Xbar_birim])-spy_A2*$E203,0))</f>
        <v/>
      </c>
      <c r="M203" s="18">
        <f>IF($A203="","",MAX(0,MIN(100,spy_kaliteTaban-IF($J203&lt;spy_esikCpk,spy_kaliteCeza,0)-IF(OR($D203&gt;$K203,$D203&lt;$L203),spy_kaliteSapma,0)-IF($P203="YETIM",spy_kaliteCeza,0))))</f>
        <v/>
      </c>
      <c r="N203" s="18">
        <f>IF($A203="","",IF(OR($J203&lt;spy_esikCpk,$D203&gt;$K203,$D203&lt;$L203,$M203&lt;spy_esikSaglik),"ALARM","UYGUN"))</f>
        <v/>
      </c>
      <c r="O203" s="18">
        <f>IF($A203="","",1)</f>
        <v/>
      </c>
      <c r="P203" s="18">
        <f>IF($A203="","",IF(OR($B203="",COUNTIF(tblProsesler[VarlikId],$B203)=0),"YETIM","TAMAM"))</f>
        <v/>
      </c>
    </row>
    <row r="204">
      <c r="A204" s="15" t="n"/>
      <c r="B204" s="15" t="n"/>
      <c r="C204" s="37" t="n"/>
      <c r="D204" s="16" t="n"/>
      <c r="E204" s="16" t="n"/>
      <c r="F204" s="17" t="n"/>
      <c r="G204" s="15" t="n"/>
      <c r="H204" s="18">
        <f>IF(OR($A204="",$E204=0),"",$E204/spy_d2)</f>
        <v/>
      </c>
      <c r="I204" s="18">
        <f>IF(OR($A204="",$H204=0),"",IFERROR((SUMIF(tblProsesler[VarlikId],$B204,tblProsesler[USL_birim])-SUMIF(tblProsesler[VarlikId],$B204,tblProsesler[LSL_birim]))/(spy_altiSigma*$H204),0))</f>
        <v/>
      </c>
      <c r="J204" s="18">
        <f>IF(OR($A204="",$H204=0),"",IFERROR(MIN((SUMIF(tblProsesler[VarlikId],$B204,tblProsesler[USL_birim])-$D204)/(spy_ucSigma*$H204),($D204-SUMIF(tblProsesler[VarlikId],$B204,tblProsesler[LSL_birim]))/(spy_ucSigma*$H204)),0))</f>
        <v/>
      </c>
      <c r="K204" s="18">
        <f>IF($A204="","",IFERROR(AVERAGEIF(tblOlcum[VarlikId],$B204,tblOlcum[Xbar_birim])+spy_A2*$E204,0))</f>
        <v/>
      </c>
      <c r="L204" s="18">
        <f>IF($A204="","",IFERROR(AVERAGEIF(tblOlcum[VarlikId],$B204,tblOlcum[Xbar_birim])-spy_A2*$E204,0))</f>
        <v/>
      </c>
      <c r="M204" s="18">
        <f>IF($A204="","",MAX(0,MIN(100,spy_kaliteTaban-IF($J204&lt;spy_esikCpk,spy_kaliteCeza,0)-IF(OR($D204&gt;$K204,$D204&lt;$L204),spy_kaliteSapma,0)-IF($P204="YETIM",spy_kaliteCeza,0))))</f>
        <v/>
      </c>
      <c r="N204" s="18">
        <f>IF($A204="","",IF(OR($J204&lt;spy_esikCpk,$D204&gt;$K204,$D204&lt;$L204,$M204&lt;spy_esikSaglik),"ALARM","UYGUN"))</f>
        <v/>
      </c>
      <c r="O204" s="18">
        <f>IF($A204="","",1)</f>
        <v/>
      </c>
      <c r="P204" s="18">
        <f>IF($A204="","",IF(OR($B204="",COUNTIF(tblProsesler[VarlikId],$B204)=0),"YETIM","TAMAM"))</f>
        <v/>
      </c>
    </row>
    <row r="205">
      <c r="A205" s="15" t="n"/>
      <c r="B205" s="15" t="n"/>
      <c r="C205" s="37" t="n"/>
      <c r="D205" s="16" t="n"/>
      <c r="E205" s="16" t="n"/>
      <c r="F205" s="17" t="n"/>
      <c r="G205" s="15" t="n"/>
      <c r="H205" s="18">
        <f>IF(OR($A205="",$E205=0),"",$E205/spy_d2)</f>
        <v/>
      </c>
      <c r="I205" s="18">
        <f>IF(OR($A205="",$H205=0),"",IFERROR((SUMIF(tblProsesler[VarlikId],$B205,tblProsesler[USL_birim])-SUMIF(tblProsesler[VarlikId],$B205,tblProsesler[LSL_birim]))/(spy_altiSigma*$H205),0))</f>
        <v/>
      </c>
      <c r="J205" s="18">
        <f>IF(OR($A205="",$H205=0),"",IFERROR(MIN((SUMIF(tblProsesler[VarlikId],$B205,tblProsesler[USL_birim])-$D205)/(spy_ucSigma*$H205),($D205-SUMIF(tblProsesler[VarlikId],$B205,tblProsesler[LSL_birim]))/(spy_ucSigma*$H205)),0))</f>
        <v/>
      </c>
      <c r="K205" s="18">
        <f>IF($A205="","",IFERROR(AVERAGEIF(tblOlcum[VarlikId],$B205,tblOlcum[Xbar_birim])+spy_A2*$E205,0))</f>
        <v/>
      </c>
      <c r="L205" s="18">
        <f>IF($A205="","",IFERROR(AVERAGEIF(tblOlcum[VarlikId],$B205,tblOlcum[Xbar_birim])-spy_A2*$E205,0))</f>
        <v/>
      </c>
      <c r="M205" s="18">
        <f>IF($A205="","",MAX(0,MIN(100,spy_kaliteTaban-IF($J205&lt;spy_esikCpk,spy_kaliteCeza,0)-IF(OR($D205&gt;$K205,$D205&lt;$L205),spy_kaliteSapma,0)-IF($P205="YETIM",spy_kaliteCeza,0))))</f>
        <v/>
      </c>
      <c r="N205" s="18">
        <f>IF($A205="","",IF(OR($J205&lt;spy_esikCpk,$D205&gt;$K205,$D205&lt;$L205,$M205&lt;spy_esikSaglik),"ALARM","UYGUN"))</f>
        <v/>
      </c>
      <c r="O205" s="18">
        <f>IF($A205="","",1)</f>
        <v/>
      </c>
      <c r="P205" s="18">
        <f>IF($A205="","",IF(OR($B205="",COUNTIF(tblProsesler[VarlikId],$B205)=0),"YETIM","TAMAM"))</f>
        <v/>
      </c>
    </row>
    <row r="206">
      <c r="A206" s="15" t="n"/>
      <c r="B206" s="15" t="n"/>
      <c r="C206" s="37" t="n"/>
      <c r="D206" s="16" t="n"/>
      <c r="E206" s="16" t="n"/>
      <c r="F206" s="17" t="n"/>
      <c r="G206" s="15" t="n"/>
      <c r="H206" s="18">
        <f>IF(OR($A206="",$E206=0),"",$E206/spy_d2)</f>
        <v/>
      </c>
      <c r="I206" s="18">
        <f>IF(OR($A206="",$H206=0),"",IFERROR((SUMIF(tblProsesler[VarlikId],$B206,tblProsesler[USL_birim])-SUMIF(tblProsesler[VarlikId],$B206,tblProsesler[LSL_birim]))/(spy_altiSigma*$H206),0))</f>
        <v/>
      </c>
      <c r="J206" s="18">
        <f>IF(OR($A206="",$H206=0),"",IFERROR(MIN((SUMIF(tblProsesler[VarlikId],$B206,tblProsesler[USL_birim])-$D206)/(spy_ucSigma*$H206),($D206-SUMIF(tblProsesler[VarlikId],$B206,tblProsesler[LSL_birim]))/(spy_ucSigma*$H206)),0))</f>
        <v/>
      </c>
      <c r="K206" s="18">
        <f>IF($A206="","",IFERROR(AVERAGEIF(tblOlcum[VarlikId],$B206,tblOlcum[Xbar_birim])+spy_A2*$E206,0))</f>
        <v/>
      </c>
      <c r="L206" s="18">
        <f>IF($A206="","",IFERROR(AVERAGEIF(tblOlcum[VarlikId],$B206,tblOlcum[Xbar_birim])-spy_A2*$E206,0))</f>
        <v/>
      </c>
      <c r="M206" s="18">
        <f>IF($A206="","",MAX(0,MIN(100,spy_kaliteTaban-IF($J206&lt;spy_esikCpk,spy_kaliteCeza,0)-IF(OR($D206&gt;$K206,$D206&lt;$L206),spy_kaliteSapma,0)-IF($P206="YETIM",spy_kaliteCeza,0))))</f>
        <v/>
      </c>
      <c r="N206" s="18">
        <f>IF($A206="","",IF(OR($J206&lt;spy_esikCpk,$D206&gt;$K206,$D206&lt;$L206,$M206&lt;spy_esikSaglik),"ALARM","UYGUN"))</f>
        <v/>
      </c>
      <c r="O206" s="18">
        <f>IF($A206="","",1)</f>
        <v/>
      </c>
      <c r="P206" s="18">
        <f>IF($A206="","",IF(OR($B206="",COUNTIF(tblProsesler[VarlikId],$B206)=0),"YETIM","TAMAM"))</f>
        <v/>
      </c>
    </row>
    <row r="207">
      <c r="A207" s="15" t="n"/>
      <c r="B207" s="15" t="n"/>
      <c r="C207" s="37" t="n"/>
      <c r="D207" s="16" t="n"/>
      <c r="E207" s="16" t="n"/>
      <c r="F207" s="17" t="n"/>
      <c r="G207" s="15" t="n"/>
      <c r="H207" s="18">
        <f>IF(OR($A207="",$E207=0),"",$E207/spy_d2)</f>
        <v/>
      </c>
      <c r="I207" s="18">
        <f>IF(OR($A207="",$H207=0),"",IFERROR((SUMIF(tblProsesler[VarlikId],$B207,tblProsesler[USL_birim])-SUMIF(tblProsesler[VarlikId],$B207,tblProsesler[LSL_birim]))/(spy_altiSigma*$H207),0))</f>
        <v/>
      </c>
      <c r="J207" s="18">
        <f>IF(OR($A207="",$H207=0),"",IFERROR(MIN((SUMIF(tblProsesler[VarlikId],$B207,tblProsesler[USL_birim])-$D207)/(spy_ucSigma*$H207),($D207-SUMIF(tblProsesler[VarlikId],$B207,tblProsesler[LSL_birim]))/(spy_ucSigma*$H207)),0))</f>
        <v/>
      </c>
      <c r="K207" s="18">
        <f>IF($A207="","",IFERROR(AVERAGEIF(tblOlcum[VarlikId],$B207,tblOlcum[Xbar_birim])+spy_A2*$E207,0))</f>
        <v/>
      </c>
      <c r="L207" s="18">
        <f>IF($A207="","",IFERROR(AVERAGEIF(tblOlcum[VarlikId],$B207,tblOlcum[Xbar_birim])-spy_A2*$E207,0))</f>
        <v/>
      </c>
      <c r="M207" s="18">
        <f>IF($A207="","",MAX(0,MIN(100,spy_kaliteTaban-IF($J207&lt;spy_esikCpk,spy_kaliteCeza,0)-IF(OR($D207&gt;$K207,$D207&lt;$L207),spy_kaliteSapma,0)-IF($P207="YETIM",spy_kaliteCeza,0))))</f>
        <v/>
      </c>
      <c r="N207" s="18">
        <f>IF($A207="","",IF(OR($J207&lt;spy_esikCpk,$D207&gt;$K207,$D207&lt;$L207,$M207&lt;spy_esikSaglik),"ALARM","UYGUN"))</f>
        <v/>
      </c>
      <c r="O207" s="18">
        <f>IF($A207="","",1)</f>
        <v/>
      </c>
      <c r="P207" s="18">
        <f>IF($A207="","",IF(OR($B207="",COUNTIF(tblProsesler[VarlikId],$B207)=0),"YETIM","TAMAM"))</f>
        <v/>
      </c>
    </row>
    <row r="208">
      <c r="A208" s="15" t="n"/>
      <c r="B208" s="15" t="n"/>
      <c r="C208" s="37" t="n"/>
      <c r="D208" s="16" t="n"/>
      <c r="E208" s="16" t="n"/>
      <c r="F208" s="17" t="n"/>
      <c r="G208" s="15" t="n"/>
      <c r="H208" s="18">
        <f>IF(OR($A208="",$E208=0),"",$E208/spy_d2)</f>
        <v/>
      </c>
      <c r="I208" s="18">
        <f>IF(OR($A208="",$H208=0),"",IFERROR((SUMIF(tblProsesler[VarlikId],$B208,tblProsesler[USL_birim])-SUMIF(tblProsesler[VarlikId],$B208,tblProsesler[LSL_birim]))/(spy_altiSigma*$H208),0))</f>
        <v/>
      </c>
      <c r="J208" s="18">
        <f>IF(OR($A208="",$H208=0),"",IFERROR(MIN((SUMIF(tblProsesler[VarlikId],$B208,tblProsesler[USL_birim])-$D208)/(spy_ucSigma*$H208),($D208-SUMIF(tblProsesler[VarlikId],$B208,tblProsesler[LSL_birim]))/(spy_ucSigma*$H208)),0))</f>
        <v/>
      </c>
      <c r="K208" s="18">
        <f>IF($A208="","",IFERROR(AVERAGEIF(tblOlcum[VarlikId],$B208,tblOlcum[Xbar_birim])+spy_A2*$E208,0))</f>
        <v/>
      </c>
      <c r="L208" s="18">
        <f>IF($A208="","",IFERROR(AVERAGEIF(tblOlcum[VarlikId],$B208,tblOlcum[Xbar_birim])-spy_A2*$E208,0))</f>
        <v/>
      </c>
      <c r="M208" s="18">
        <f>IF($A208="","",MAX(0,MIN(100,spy_kaliteTaban-IF($J208&lt;spy_esikCpk,spy_kaliteCeza,0)-IF(OR($D208&gt;$K208,$D208&lt;$L208),spy_kaliteSapma,0)-IF($P208="YETIM",spy_kaliteCeza,0))))</f>
        <v/>
      </c>
      <c r="N208" s="18">
        <f>IF($A208="","",IF(OR($J208&lt;spy_esikCpk,$D208&gt;$K208,$D208&lt;$L208,$M208&lt;spy_esikSaglik),"ALARM","UYGUN"))</f>
        <v/>
      </c>
      <c r="O208" s="18">
        <f>IF($A208="","",1)</f>
        <v/>
      </c>
      <c r="P208" s="18">
        <f>IF($A208="","",IF(OR($B208="",COUNTIF(tblProsesler[VarlikId],$B208)=0),"YETIM","TAMAM"))</f>
        <v/>
      </c>
    </row>
    <row r="209">
      <c r="A209" s="15" t="n"/>
      <c r="B209" s="15" t="n"/>
      <c r="C209" s="37" t="n"/>
      <c r="D209" s="16" t="n"/>
      <c r="E209" s="16" t="n"/>
      <c r="F209" s="17" t="n"/>
      <c r="G209" s="15" t="n"/>
      <c r="H209" s="18">
        <f>IF(OR($A209="",$E209=0),"",$E209/spy_d2)</f>
        <v/>
      </c>
      <c r="I209" s="18">
        <f>IF(OR($A209="",$H209=0),"",IFERROR((SUMIF(tblProsesler[VarlikId],$B209,tblProsesler[USL_birim])-SUMIF(tblProsesler[VarlikId],$B209,tblProsesler[LSL_birim]))/(spy_altiSigma*$H209),0))</f>
        <v/>
      </c>
      <c r="J209" s="18">
        <f>IF(OR($A209="",$H209=0),"",IFERROR(MIN((SUMIF(tblProsesler[VarlikId],$B209,tblProsesler[USL_birim])-$D209)/(spy_ucSigma*$H209),($D209-SUMIF(tblProsesler[VarlikId],$B209,tblProsesler[LSL_birim]))/(spy_ucSigma*$H209)),0))</f>
        <v/>
      </c>
      <c r="K209" s="18">
        <f>IF($A209="","",IFERROR(AVERAGEIF(tblOlcum[VarlikId],$B209,tblOlcum[Xbar_birim])+spy_A2*$E209,0))</f>
        <v/>
      </c>
      <c r="L209" s="18">
        <f>IF($A209="","",IFERROR(AVERAGEIF(tblOlcum[VarlikId],$B209,tblOlcum[Xbar_birim])-spy_A2*$E209,0))</f>
        <v/>
      </c>
      <c r="M209" s="18">
        <f>IF($A209="","",MAX(0,MIN(100,spy_kaliteTaban-IF($J209&lt;spy_esikCpk,spy_kaliteCeza,0)-IF(OR($D209&gt;$K209,$D209&lt;$L209),spy_kaliteSapma,0)-IF($P209="YETIM",spy_kaliteCeza,0))))</f>
        <v/>
      </c>
      <c r="N209" s="18">
        <f>IF($A209="","",IF(OR($J209&lt;spy_esikCpk,$D209&gt;$K209,$D209&lt;$L209,$M209&lt;spy_esikSaglik),"ALARM","UYGUN"))</f>
        <v/>
      </c>
      <c r="O209" s="18">
        <f>IF($A209="","",1)</f>
        <v/>
      </c>
      <c r="P209" s="18">
        <f>IF($A209="","",IF(OR($B209="",COUNTIF(tblProsesler[VarlikId],$B209)=0),"YETIM","TAMAM"))</f>
        <v/>
      </c>
    </row>
    <row r="210">
      <c r="A210" s="15" t="n"/>
      <c r="B210" s="15" t="n"/>
      <c r="C210" s="37" t="n"/>
      <c r="D210" s="16" t="n"/>
      <c r="E210" s="16" t="n"/>
      <c r="F210" s="17" t="n"/>
      <c r="G210" s="15" t="n"/>
      <c r="H210" s="18">
        <f>IF(OR($A210="",$E210=0),"",$E210/spy_d2)</f>
        <v/>
      </c>
      <c r="I210" s="18">
        <f>IF(OR($A210="",$H210=0),"",IFERROR((SUMIF(tblProsesler[VarlikId],$B210,tblProsesler[USL_birim])-SUMIF(tblProsesler[VarlikId],$B210,tblProsesler[LSL_birim]))/(spy_altiSigma*$H210),0))</f>
        <v/>
      </c>
      <c r="J210" s="18">
        <f>IF(OR($A210="",$H210=0),"",IFERROR(MIN((SUMIF(tblProsesler[VarlikId],$B210,tblProsesler[USL_birim])-$D210)/(spy_ucSigma*$H210),($D210-SUMIF(tblProsesler[VarlikId],$B210,tblProsesler[LSL_birim]))/(spy_ucSigma*$H210)),0))</f>
        <v/>
      </c>
      <c r="K210" s="18">
        <f>IF($A210="","",IFERROR(AVERAGEIF(tblOlcum[VarlikId],$B210,tblOlcum[Xbar_birim])+spy_A2*$E210,0))</f>
        <v/>
      </c>
      <c r="L210" s="18">
        <f>IF($A210="","",IFERROR(AVERAGEIF(tblOlcum[VarlikId],$B210,tblOlcum[Xbar_birim])-spy_A2*$E210,0))</f>
        <v/>
      </c>
      <c r="M210" s="18">
        <f>IF($A210="","",MAX(0,MIN(100,spy_kaliteTaban-IF($J210&lt;spy_esikCpk,spy_kaliteCeza,0)-IF(OR($D210&gt;$K210,$D210&lt;$L210),spy_kaliteSapma,0)-IF($P210="YETIM",spy_kaliteCeza,0))))</f>
        <v/>
      </c>
      <c r="N210" s="18">
        <f>IF($A210="","",IF(OR($J210&lt;spy_esikCpk,$D210&gt;$K210,$D210&lt;$L210,$M210&lt;spy_esikSaglik),"ALARM","UYGUN"))</f>
        <v/>
      </c>
      <c r="O210" s="18">
        <f>IF($A210="","",1)</f>
        <v/>
      </c>
      <c r="P210" s="18">
        <f>IF($A210="","",IF(OR($B210="",COUNTIF(tblProsesler[VarlikId],$B210)=0),"YETIM","TAMAM"))</f>
        <v/>
      </c>
    </row>
    <row r="211">
      <c r="A211" s="15" t="n"/>
      <c r="B211" s="15" t="n"/>
      <c r="C211" s="37" t="n"/>
      <c r="D211" s="16" t="n"/>
      <c r="E211" s="16" t="n"/>
      <c r="F211" s="17" t="n"/>
      <c r="G211" s="15" t="n"/>
      <c r="H211" s="18">
        <f>IF(OR($A211="",$E211=0),"",$E211/spy_d2)</f>
        <v/>
      </c>
      <c r="I211" s="18">
        <f>IF(OR($A211="",$H211=0),"",IFERROR((SUMIF(tblProsesler[VarlikId],$B211,tblProsesler[USL_birim])-SUMIF(tblProsesler[VarlikId],$B211,tblProsesler[LSL_birim]))/(spy_altiSigma*$H211),0))</f>
        <v/>
      </c>
      <c r="J211" s="18">
        <f>IF(OR($A211="",$H211=0),"",IFERROR(MIN((SUMIF(tblProsesler[VarlikId],$B211,tblProsesler[USL_birim])-$D211)/(spy_ucSigma*$H211),($D211-SUMIF(tblProsesler[VarlikId],$B211,tblProsesler[LSL_birim]))/(spy_ucSigma*$H211)),0))</f>
        <v/>
      </c>
      <c r="K211" s="18">
        <f>IF($A211="","",IFERROR(AVERAGEIF(tblOlcum[VarlikId],$B211,tblOlcum[Xbar_birim])+spy_A2*$E211,0))</f>
        <v/>
      </c>
      <c r="L211" s="18">
        <f>IF($A211="","",IFERROR(AVERAGEIF(tblOlcum[VarlikId],$B211,tblOlcum[Xbar_birim])-spy_A2*$E211,0))</f>
        <v/>
      </c>
      <c r="M211" s="18">
        <f>IF($A211="","",MAX(0,MIN(100,spy_kaliteTaban-IF($J211&lt;spy_esikCpk,spy_kaliteCeza,0)-IF(OR($D211&gt;$K211,$D211&lt;$L211),spy_kaliteSapma,0)-IF($P211="YETIM",spy_kaliteCeza,0))))</f>
        <v/>
      </c>
      <c r="N211" s="18">
        <f>IF($A211="","",IF(OR($J211&lt;spy_esikCpk,$D211&gt;$K211,$D211&lt;$L211,$M211&lt;spy_esikSaglik),"ALARM","UYGUN"))</f>
        <v/>
      </c>
      <c r="O211" s="18">
        <f>IF($A211="","",1)</f>
        <v/>
      </c>
      <c r="P211" s="18">
        <f>IF($A211="","",IF(OR($B211="",COUNTIF(tblProsesler[VarlikId],$B211)=0),"YETIM","TAMAM"))</f>
        <v/>
      </c>
    </row>
    <row r="212">
      <c r="A212" s="15" t="n"/>
      <c r="B212" s="15" t="n"/>
      <c r="C212" s="37" t="n"/>
      <c r="D212" s="16" t="n"/>
      <c r="E212" s="16" t="n"/>
      <c r="F212" s="17" t="n"/>
      <c r="G212" s="15" t="n"/>
      <c r="H212" s="18">
        <f>IF(OR($A212="",$E212=0),"",$E212/spy_d2)</f>
        <v/>
      </c>
      <c r="I212" s="18">
        <f>IF(OR($A212="",$H212=0),"",IFERROR((SUMIF(tblProsesler[VarlikId],$B212,tblProsesler[USL_birim])-SUMIF(tblProsesler[VarlikId],$B212,tblProsesler[LSL_birim]))/(spy_altiSigma*$H212),0))</f>
        <v/>
      </c>
      <c r="J212" s="18">
        <f>IF(OR($A212="",$H212=0),"",IFERROR(MIN((SUMIF(tblProsesler[VarlikId],$B212,tblProsesler[USL_birim])-$D212)/(spy_ucSigma*$H212),($D212-SUMIF(tblProsesler[VarlikId],$B212,tblProsesler[LSL_birim]))/(spy_ucSigma*$H212)),0))</f>
        <v/>
      </c>
      <c r="K212" s="18">
        <f>IF($A212="","",IFERROR(AVERAGEIF(tblOlcum[VarlikId],$B212,tblOlcum[Xbar_birim])+spy_A2*$E212,0))</f>
        <v/>
      </c>
      <c r="L212" s="18">
        <f>IF($A212="","",IFERROR(AVERAGEIF(tblOlcum[VarlikId],$B212,tblOlcum[Xbar_birim])-spy_A2*$E212,0))</f>
        <v/>
      </c>
      <c r="M212" s="18">
        <f>IF($A212="","",MAX(0,MIN(100,spy_kaliteTaban-IF($J212&lt;spy_esikCpk,spy_kaliteCeza,0)-IF(OR($D212&gt;$K212,$D212&lt;$L212),spy_kaliteSapma,0)-IF($P212="YETIM",spy_kaliteCeza,0))))</f>
        <v/>
      </c>
      <c r="N212" s="18">
        <f>IF($A212="","",IF(OR($J212&lt;spy_esikCpk,$D212&gt;$K212,$D212&lt;$L212,$M212&lt;spy_esikSaglik),"ALARM","UYGUN"))</f>
        <v/>
      </c>
      <c r="O212" s="18">
        <f>IF($A212="","",1)</f>
        <v/>
      </c>
      <c r="P212" s="18">
        <f>IF($A212="","",IF(OR($B212="",COUNTIF(tblProsesler[VarlikId],$B212)=0),"YETIM","TAMAM"))</f>
        <v/>
      </c>
    </row>
    <row r="213">
      <c r="A213" s="15" t="n"/>
      <c r="B213" s="15" t="n"/>
      <c r="C213" s="37" t="n"/>
      <c r="D213" s="16" t="n"/>
      <c r="E213" s="16" t="n"/>
      <c r="F213" s="17" t="n"/>
      <c r="G213" s="15" t="n"/>
      <c r="H213" s="18">
        <f>IF(OR($A213="",$E213=0),"",$E213/spy_d2)</f>
        <v/>
      </c>
      <c r="I213" s="18">
        <f>IF(OR($A213="",$H213=0),"",IFERROR((SUMIF(tblProsesler[VarlikId],$B213,tblProsesler[USL_birim])-SUMIF(tblProsesler[VarlikId],$B213,tblProsesler[LSL_birim]))/(spy_altiSigma*$H213),0))</f>
        <v/>
      </c>
      <c r="J213" s="18">
        <f>IF(OR($A213="",$H213=0),"",IFERROR(MIN((SUMIF(tblProsesler[VarlikId],$B213,tblProsesler[USL_birim])-$D213)/(spy_ucSigma*$H213),($D213-SUMIF(tblProsesler[VarlikId],$B213,tblProsesler[LSL_birim]))/(spy_ucSigma*$H213)),0))</f>
        <v/>
      </c>
      <c r="K213" s="18">
        <f>IF($A213="","",IFERROR(AVERAGEIF(tblOlcum[VarlikId],$B213,tblOlcum[Xbar_birim])+spy_A2*$E213,0))</f>
        <v/>
      </c>
      <c r="L213" s="18">
        <f>IF($A213="","",IFERROR(AVERAGEIF(tblOlcum[VarlikId],$B213,tblOlcum[Xbar_birim])-spy_A2*$E213,0))</f>
        <v/>
      </c>
      <c r="M213" s="18">
        <f>IF($A213="","",MAX(0,MIN(100,spy_kaliteTaban-IF($J213&lt;spy_esikCpk,spy_kaliteCeza,0)-IF(OR($D213&gt;$K213,$D213&lt;$L213),spy_kaliteSapma,0)-IF($P213="YETIM",spy_kaliteCeza,0))))</f>
        <v/>
      </c>
      <c r="N213" s="18">
        <f>IF($A213="","",IF(OR($J213&lt;spy_esikCpk,$D213&gt;$K213,$D213&lt;$L213,$M213&lt;spy_esikSaglik),"ALARM","UYGUN"))</f>
        <v/>
      </c>
      <c r="O213" s="18">
        <f>IF($A213="","",1)</f>
        <v/>
      </c>
      <c r="P213" s="18">
        <f>IF($A213="","",IF(OR($B213="",COUNTIF(tblProsesler[VarlikId],$B213)=0),"YETIM","TAMAM"))</f>
        <v/>
      </c>
    </row>
    <row r="214">
      <c r="A214" s="15" t="n"/>
      <c r="B214" s="15" t="n"/>
      <c r="C214" s="37" t="n"/>
      <c r="D214" s="16" t="n"/>
      <c r="E214" s="16" t="n"/>
      <c r="F214" s="17" t="n"/>
      <c r="G214" s="15" t="n"/>
      <c r="H214" s="18">
        <f>IF(OR($A214="",$E214=0),"",$E214/spy_d2)</f>
        <v/>
      </c>
      <c r="I214" s="18">
        <f>IF(OR($A214="",$H214=0),"",IFERROR((SUMIF(tblProsesler[VarlikId],$B214,tblProsesler[USL_birim])-SUMIF(tblProsesler[VarlikId],$B214,tblProsesler[LSL_birim]))/(spy_altiSigma*$H214),0))</f>
        <v/>
      </c>
      <c r="J214" s="18">
        <f>IF(OR($A214="",$H214=0),"",IFERROR(MIN((SUMIF(tblProsesler[VarlikId],$B214,tblProsesler[USL_birim])-$D214)/(spy_ucSigma*$H214),($D214-SUMIF(tblProsesler[VarlikId],$B214,tblProsesler[LSL_birim]))/(spy_ucSigma*$H214)),0))</f>
        <v/>
      </c>
      <c r="K214" s="18">
        <f>IF($A214="","",IFERROR(AVERAGEIF(tblOlcum[VarlikId],$B214,tblOlcum[Xbar_birim])+spy_A2*$E214,0))</f>
        <v/>
      </c>
      <c r="L214" s="18">
        <f>IF($A214="","",IFERROR(AVERAGEIF(tblOlcum[VarlikId],$B214,tblOlcum[Xbar_birim])-spy_A2*$E214,0))</f>
        <v/>
      </c>
      <c r="M214" s="18">
        <f>IF($A214="","",MAX(0,MIN(100,spy_kaliteTaban-IF($J214&lt;spy_esikCpk,spy_kaliteCeza,0)-IF(OR($D214&gt;$K214,$D214&lt;$L214),spy_kaliteSapma,0)-IF($P214="YETIM",spy_kaliteCeza,0))))</f>
        <v/>
      </c>
      <c r="N214" s="18">
        <f>IF($A214="","",IF(OR($J214&lt;spy_esikCpk,$D214&gt;$K214,$D214&lt;$L214,$M214&lt;spy_esikSaglik),"ALARM","UYGUN"))</f>
        <v/>
      </c>
      <c r="O214" s="18">
        <f>IF($A214="","",1)</f>
        <v/>
      </c>
      <c r="P214" s="18">
        <f>IF($A214="","",IF(OR($B214="",COUNTIF(tblProsesler[VarlikId],$B214)=0),"YETIM","TAMAM"))</f>
        <v/>
      </c>
    </row>
    <row r="215">
      <c r="A215" s="15" t="n"/>
      <c r="B215" s="15" t="n"/>
      <c r="C215" s="37" t="n"/>
      <c r="D215" s="16" t="n"/>
      <c r="E215" s="16" t="n"/>
      <c r="F215" s="17" t="n"/>
      <c r="G215" s="15" t="n"/>
      <c r="H215" s="18">
        <f>IF(OR($A215="",$E215=0),"",$E215/spy_d2)</f>
        <v/>
      </c>
      <c r="I215" s="18">
        <f>IF(OR($A215="",$H215=0),"",IFERROR((SUMIF(tblProsesler[VarlikId],$B215,tblProsesler[USL_birim])-SUMIF(tblProsesler[VarlikId],$B215,tblProsesler[LSL_birim]))/(spy_altiSigma*$H215),0))</f>
        <v/>
      </c>
      <c r="J215" s="18">
        <f>IF(OR($A215="",$H215=0),"",IFERROR(MIN((SUMIF(tblProsesler[VarlikId],$B215,tblProsesler[USL_birim])-$D215)/(spy_ucSigma*$H215),($D215-SUMIF(tblProsesler[VarlikId],$B215,tblProsesler[LSL_birim]))/(spy_ucSigma*$H215)),0))</f>
        <v/>
      </c>
      <c r="K215" s="18">
        <f>IF($A215="","",IFERROR(AVERAGEIF(tblOlcum[VarlikId],$B215,tblOlcum[Xbar_birim])+spy_A2*$E215,0))</f>
        <v/>
      </c>
      <c r="L215" s="18">
        <f>IF($A215="","",IFERROR(AVERAGEIF(tblOlcum[VarlikId],$B215,tblOlcum[Xbar_birim])-spy_A2*$E215,0))</f>
        <v/>
      </c>
      <c r="M215" s="18">
        <f>IF($A215="","",MAX(0,MIN(100,spy_kaliteTaban-IF($J215&lt;spy_esikCpk,spy_kaliteCeza,0)-IF(OR($D215&gt;$K215,$D215&lt;$L215),spy_kaliteSapma,0)-IF($P215="YETIM",spy_kaliteCeza,0))))</f>
        <v/>
      </c>
      <c r="N215" s="18">
        <f>IF($A215="","",IF(OR($J215&lt;spy_esikCpk,$D215&gt;$K215,$D215&lt;$L215,$M215&lt;spy_esikSaglik),"ALARM","UYGUN"))</f>
        <v/>
      </c>
      <c r="O215" s="18">
        <f>IF($A215="","",1)</f>
        <v/>
      </c>
      <c r="P215" s="18">
        <f>IF($A215="","",IF(OR($B215="",COUNTIF(tblProsesler[VarlikId],$B215)=0),"YETIM","TAMAM"))</f>
        <v/>
      </c>
    </row>
    <row r="216">
      <c r="A216" s="15" t="n"/>
      <c r="B216" s="15" t="n"/>
      <c r="C216" s="37" t="n"/>
      <c r="D216" s="16" t="n"/>
      <c r="E216" s="16" t="n"/>
      <c r="F216" s="17" t="n"/>
      <c r="G216" s="15" t="n"/>
      <c r="H216" s="18">
        <f>IF(OR($A216="",$E216=0),"",$E216/spy_d2)</f>
        <v/>
      </c>
      <c r="I216" s="18">
        <f>IF(OR($A216="",$H216=0),"",IFERROR((SUMIF(tblProsesler[VarlikId],$B216,tblProsesler[USL_birim])-SUMIF(tblProsesler[VarlikId],$B216,tblProsesler[LSL_birim]))/(spy_altiSigma*$H216),0))</f>
        <v/>
      </c>
      <c r="J216" s="18">
        <f>IF(OR($A216="",$H216=0),"",IFERROR(MIN((SUMIF(tblProsesler[VarlikId],$B216,tblProsesler[USL_birim])-$D216)/(spy_ucSigma*$H216),($D216-SUMIF(tblProsesler[VarlikId],$B216,tblProsesler[LSL_birim]))/(spy_ucSigma*$H216)),0))</f>
        <v/>
      </c>
      <c r="K216" s="18">
        <f>IF($A216="","",IFERROR(AVERAGEIF(tblOlcum[VarlikId],$B216,tblOlcum[Xbar_birim])+spy_A2*$E216,0))</f>
        <v/>
      </c>
      <c r="L216" s="18">
        <f>IF($A216="","",IFERROR(AVERAGEIF(tblOlcum[VarlikId],$B216,tblOlcum[Xbar_birim])-spy_A2*$E216,0))</f>
        <v/>
      </c>
      <c r="M216" s="18">
        <f>IF($A216="","",MAX(0,MIN(100,spy_kaliteTaban-IF($J216&lt;spy_esikCpk,spy_kaliteCeza,0)-IF(OR($D216&gt;$K216,$D216&lt;$L216),spy_kaliteSapma,0)-IF($P216="YETIM",spy_kaliteCeza,0))))</f>
        <v/>
      </c>
      <c r="N216" s="18">
        <f>IF($A216="","",IF(OR($J216&lt;spy_esikCpk,$D216&gt;$K216,$D216&lt;$L216,$M216&lt;spy_esikSaglik),"ALARM","UYGUN"))</f>
        <v/>
      </c>
      <c r="O216" s="18">
        <f>IF($A216="","",1)</f>
        <v/>
      </c>
      <c r="P216" s="18">
        <f>IF($A216="","",IF(OR($B216="",COUNTIF(tblProsesler[VarlikId],$B216)=0),"YETIM","TAMAM"))</f>
        <v/>
      </c>
    </row>
    <row r="217">
      <c r="A217" s="15" t="n"/>
      <c r="B217" s="15" t="n"/>
      <c r="C217" s="37" t="n"/>
      <c r="D217" s="16" t="n"/>
      <c r="E217" s="16" t="n"/>
      <c r="F217" s="17" t="n"/>
      <c r="G217" s="15" t="n"/>
      <c r="H217" s="18">
        <f>IF(OR($A217="",$E217=0),"",$E217/spy_d2)</f>
        <v/>
      </c>
      <c r="I217" s="18">
        <f>IF(OR($A217="",$H217=0),"",IFERROR((SUMIF(tblProsesler[VarlikId],$B217,tblProsesler[USL_birim])-SUMIF(tblProsesler[VarlikId],$B217,tblProsesler[LSL_birim]))/(spy_altiSigma*$H217),0))</f>
        <v/>
      </c>
      <c r="J217" s="18">
        <f>IF(OR($A217="",$H217=0),"",IFERROR(MIN((SUMIF(tblProsesler[VarlikId],$B217,tblProsesler[USL_birim])-$D217)/(spy_ucSigma*$H217),($D217-SUMIF(tblProsesler[VarlikId],$B217,tblProsesler[LSL_birim]))/(spy_ucSigma*$H217)),0))</f>
        <v/>
      </c>
      <c r="K217" s="18">
        <f>IF($A217="","",IFERROR(AVERAGEIF(tblOlcum[VarlikId],$B217,tblOlcum[Xbar_birim])+spy_A2*$E217,0))</f>
        <v/>
      </c>
      <c r="L217" s="18">
        <f>IF($A217="","",IFERROR(AVERAGEIF(tblOlcum[VarlikId],$B217,tblOlcum[Xbar_birim])-spy_A2*$E217,0))</f>
        <v/>
      </c>
      <c r="M217" s="18">
        <f>IF($A217="","",MAX(0,MIN(100,spy_kaliteTaban-IF($J217&lt;spy_esikCpk,spy_kaliteCeza,0)-IF(OR($D217&gt;$K217,$D217&lt;$L217),spy_kaliteSapma,0)-IF($P217="YETIM",spy_kaliteCeza,0))))</f>
        <v/>
      </c>
      <c r="N217" s="18">
        <f>IF($A217="","",IF(OR($J217&lt;spy_esikCpk,$D217&gt;$K217,$D217&lt;$L217,$M217&lt;spy_esikSaglik),"ALARM","UYGUN"))</f>
        <v/>
      </c>
      <c r="O217" s="18">
        <f>IF($A217="","",1)</f>
        <v/>
      </c>
      <c r="P217" s="18">
        <f>IF($A217="","",IF(OR($B217="",COUNTIF(tblProsesler[VarlikId],$B217)=0),"YETIM","TAMAM"))</f>
        <v/>
      </c>
    </row>
    <row r="218">
      <c r="A218" s="15" t="n"/>
      <c r="B218" s="15" t="n"/>
      <c r="C218" s="37" t="n"/>
      <c r="D218" s="16" t="n"/>
      <c r="E218" s="16" t="n"/>
      <c r="F218" s="17" t="n"/>
      <c r="G218" s="15" t="n"/>
      <c r="H218" s="18">
        <f>IF(OR($A218="",$E218=0),"",$E218/spy_d2)</f>
        <v/>
      </c>
      <c r="I218" s="18">
        <f>IF(OR($A218="",$H218=0),"",IFERROR((SUMIF(tblProsesler[VarlikId],$B218,tblProsesler[USL_birim])-SUMIF(tblProsesler[VarlikId],$B218,tblProsesler[LSL_birim]))/(spy_altiSigma*$H218),0))</f>
        <v/>
      </c>
      <c r="J218" s="18">
        <f>IF(OR($A218="",$H218=0),"",IFERROR(MIN((SUMIF(tblProsesler[VarlikId],$B218,tblProsesler[USL_birim])-$D218)/(spy_ucSigma*$H218),($D218-SUMIF(tblProsesler[VarlikId],$B218,tblProsesler[LSL_birim]))/(spy_ucSigma*$H218)),0))</f>
        <v/>
      </c>
      <c r="K218" s="18">
        <f>IF($A218="","",IFERROR(AVERAGEIF(tblOlcum[VarlikId],$B218,tblOlcum[Xbar_birim])+spy_A2*$E218,0))</f>
        <v/>
      </c>
      <c r="L218" s="18">
        <f>IF($A218="","",IFERROR(AVERAGEIF(tblOlcum[VarlikId],$B218,tblOlcum[Xbar_birim])-spy_A2*$E218,0))</f>
        <v/>
      </c>
      <c r="M218" s="18">
        <f>IF($A218="","",MAX(0,MIN(100,spy_kaliteTaban-IF($J218&lt;spy_esikCpk,spy_kaliteCeza,0)-IF(OR($D218&gt;$K218,$D218&lt;$L218),spy_kaliteSapma,0)-IF($P218="YETIM",spy_kaliteCeza,0))))</f>
        <v/>
      </c>
      <c r="N218" s="18">
        <f>IF($A218="","",IF(OR($J218&lt;spy_esikCpk,$D218&gt;$K218,$D218&lt;$L218,$M218&lt;spy_esikSaglik),"ALARM","UYGUN"))</f>
        <v/>
      </c>
      <c r="O218" s="18">
        <f>IF($A218="","",1)</f>
        <v/>
      </c>
      <c r="P218" s="18">
        <f>IF($A218="","",IF(OR($B218="",COUNTIF(tblProsesler[VarlikId],$B218)=0),"YETIM","TAMAM"))</f>
        <v/>
      </c>
    </row>
    <row r="219">
      <c r="A219" s="15" t="n"/>
      <c r="B219" s="15" t="n"/>
      <c r="C219" s="37" t="n"/>
      <c r="D219" s="16" t="n"/>
      <c r="E219" s="16" t="n"/>
      <c r="F219" s="17" t="n"/>
      <c r="G219" s="15" t="n"/>
      <c r="H219" s="18">
        <f>IF(OR($A219="",$E219=0),"",$E219/spy_d2)</f>
        <v/>
      </c>
      <c r="I219" s="18">
        <f>IF(OR($A219="",$H219=0),"",IFERROR((SUMIF(tblProsesler[VarlikId],$B219,tblProsesler[USL_birim])-SUMIF(tblProsesler[VarlikId],$B219,tblProsesler[LSL_birim]))/(spy_altiSigma*$H219),0))</f>
        <v/>
      </c>
      <c r="J219" s="18">
        <f>IF(OR($A219="",$H219=0),"",IFERROR(MIN((SUMIF(tblProsesler[VarlikId],$B219,tblProsesler[USL_birim])-$D219)/(spy_ucSigma*$H219),($D219-SUMIF(tblProsesler[VarlikId],$B219,tblProsesler[LSL_birim]))/(spy_ucSigma*$H219)),0))</f>
        <v/>
      </c>
      <c r="K219" s="18">
        <f>IF($A219="","",IFERROR(AVERAGEIF(tblOlcum[VarlikId],$B219,tblOlcum[Xbar_birim])+spy_A2*$E219,0))</f>
        <v/>
      </c>
      <c r="L219" s="18">
        <f>IF($A219="","",IFERROR(AVERAGEIF(tblOlcum[VarlikId],$B219,tblOlcum[Xbar_birim])-spy_A2*$E219,0))</f>
        <v/>
      </c>
      <c r="M219" s="18">
        <f>IF($A219="","",MAX(0,MIN(100,spy_kaliteTaban-IF($J219&lt;spy_esikCpk,spy_kaliteCeza,0)-IF(OR($D219&gt;$K219,$D219&lt;$L219),spy_kaliteSapma,0)-IF($P219="YETIM",spy_kaliteCeza,0))))</f>
        <v/>
      </c>
      <c r="N219" s="18">
        <f>IF($A219="","",IF(OR($J219&lt;spy_esikCpk,$D219&gt;$K219,$D219&lt;$L219,$M219&lt;spy_esikSaglik),"ALARM","UYGUN"))</f>
        <v/>
      </c>
      <c r="O219" s="18">
        <f>IF($A219="","",1)</f>
        <v/>
      </c>
      <c r="P219" s="18">
        <f>IF($A219="","",IF(OR($B219="",COUNTIF(tblProsesler[VarlikId],$B219)=0),"YETIM","TAMAM"))</f>
        <v/>
      </c>
    </row>
    <row r="220">
      <c r="A220" s="15" t="n"/>
      <c r="B220" s="15" t="n"/>
      <c r="C220" s="37" t="n"/>
      <c r="D220" s="16" t="n"/>
      <c r="E220" s="16" t="n"/>
      <c r="F220" s="17" t="n"/>
      <c r="G220" s="15" t="n"/>
      <c r="H220" s="18">
        <f>IF(OR($A220="",$E220=0),"",$E220/spy_d2)</f>
        <v/>
      </c>
      <c r="I220" s="18">
        <f>IF(OR($A220="",$H220=0),"",IFERROR((SUMIF(tblProsesler[VarlikId],$B220,tblProsesler[USL_birim])-SUMIF(tblProsesler[VarlikId],$B220,tblProsesler[LSL_birim]))/(spy_altiSigma*$H220),0))</f>
        <v/>
      </c>
      <c r="J220" s="18">
        <f>IF(OR($A220="",$H220=0),"",IFERROR(MIN((SUMIF(tblProsesler[VarlikId],$B220,tblProsesler[USL_birim])-$D220)/(spy_ucSigma*$H220),($D220-SUMIF(tblProsesler[VarlikId],$B220,tblProsesler[LSL_birim]))/(spy_ucSigma*$H220)),0))</f>
        <v/>
      </c>
      <c r="K220" s="18">
        <f>IF($A220="","",IFERROR(AVERAGEIF(tblOlcum[VarlikId],$B220,tblOlcum[Xbar_birim])+spy_A2*$E220,0))</f>
        <v/>
      </c>
      <c r="L220" s="18">
        <f>IF($A220="","",IFERROR(AVERAGEIF(tblOlcum[VarlikId],$B220,tblOlcum[Xbar_birim])-spy_A2*$E220,0))</f>
        <v/>
      </c>
      <c r="M220" s="18">
        <f>IF($A220="","",MAX(0,MIN(100,spy_kaliteTaban-IF($J220&lt;spy_esikCpk,spy_kaliteCeza,0)-IF(OR($D220&gt;$K220,$D220&lt;$L220),spy_kaliteSapma,0)-IF($P220="YETIM",spy_kaliteCeza,0))))</f>
        <v/>
      </c>
      <c r="N220" s="18">
        <f>IF($A220="","",IF(OR($J220&lt;spy_esikCpk,$D220&gt;$K220,$D220&lt;$L220,$M220&lt;spy_esikSaglik),"ALARM","UYGUN"))</f>
        <v/>
      </c>
      <c r="O220" s="18">
        <f>IF($A220="","",1)</f>
        <v/>
      </c>
      <c r="P220" s="18">
        <f>IF($A220="","",IF(OR($B220="",COUNTIF(tblProsesler[VarlikId],$B220)=0),"YETIM","TAMAM"))</f>
        <v/>
      </c>
    </row>
    <row r="221">
      <c r="A221" s="15" t="n"/>
      <c r="B221" s="15" t="n"/>
      <c r="C221" s="37" t="n"/>
      <c r="D221" s="16" t="n"/>
      <c r="E221" s="16" t="n"/>
      <c r="F221" s="17" t="n"/>
      <c r="G221" s="15" t="n"/>
      <c r="H221" s="18">
        <f>IF(OR($A221="",$E221=0),"",$E221/spy_d2)</f>
        <v/>
      </c>
      <c r="I221" s="18">
        <f>IF(OR($A221="",$H221=0),"",IFERROR((SUMIF(tblProsesler[VarlikId],$B221,tblProsesler[USL_birim])-SUMIF(tblProsesler[VarlikId],$B221,tblProsesler[LSL_birim]))/(spy_altiSigma*$H221),0))</f>
        <v/>
      </c>
      <c r="J221" s="18">
        <f>IF(OR($A221="",$H221=0),"",IFERROR(MIN((SUMIF(tblProsesler[VarlikId],$B221,tblProsesler[USL_birim])-$D221)/(spy_ucSigma*$H221),($D221-SUMIF(tblProsesler[VarlikId],$B221,tblProsesler[LSL_birim]))/(spy_ucSigma*$H221)),0))</f>
        <v/>
      </c>
      <c r="K221" s="18">
        <f>IF($A221="","",IFERROR(AVERAGEIF(tblOlcum[VarlikId],$B221,tblOlcum[Xbar_birim])+spy_A2*$E221,0))</f>
        <v/>
      </c>
      <c r="L221" s="18">
        <f>IF($A221="","",IFERROR(AVERAGEIF(tblOlcum[VarlikId],$B221,tblOlcum[Xbar_birim])-spy_A2*$E221,0))</f>
        <v/>
      </c>
      <c r="M221" s="18">
        <f>IF($A221="","",MAX(0,MIN(100,spy_kaliteTaban-IF($J221&lt;spy_esikCpk,spy_kaliteCeza,0)-IF(OR($D221&gt;$K221,$D221&lt;$L221),spy_kaliteSapma,0)-IF($P221="YETIM",spy_kaliteCeza,0))))</f>
        <v/>
      </c>
      <c r="N221" s="18">
        <f>IF($A221="","",IF(OR($J221&lt;spy_esikCpk,$D221&gt;$K221,$D221&lt;$L221,$M221&lt;spy_esikSaglik),"ALARM","UYGUN"))</f>
        <v/>
      </c>
      <c r="O221" s="18">
        <f>IF($A221="","",1)</f>
        <v/>
      </c>
      <c r="P221" s="18">
        <f>IF($A221="","",IF(OR($B221="",COUNTIF(tblProsesler[VarlikId],$B221)=0),"YETIM","TAMAM"))</f>
        <v/>
      </c>
    </row>
    <row r="222">
      <c r="A222" s="15" t="n"/>
      <c r="B222" s="15" t="n"/>
      <c r="C222" s="37" t="n"/>
      <c r="D222" s="16" t="n"/>
      <c r="E222" s="16" t="n"/>
      <c r="F222" s="17" t="n"/>
      <c r="G222" s="15" t="n"/>
      <c r="H222" s="18">
        <f>IF(OR($A222="",$E222=0),"",$E222/spy_d2)</f>
        <v/>
      </c>
      <c r="I222" s="18">
        <f>IF(OR($A222="",$H222=0),"",IFERROR((SUMIF(tblProsesler[VarlikId],$B222,tblProsesler[USL_birim])-SUMIF(tblProsesler[VarlikId],$B222,tblProsesler[LSL_birim]))/(spy_altiSigma*$H222),0))</f>
        <v/>
      </c>
      <c r="J222" s="18">
        <f>IF(OR($A222="",$H222=0),"",IFERROR(MIN((SUMIF(tblProsesler[VarlikId],$B222,tblProsesler[USL_birim])-$D222)/(spy_ucSigma*$H222),($D222-SUMIF(tblProsesler[VarlikId],$B222,tblProsesler[LSL_birim]))/(spy_ucSigma*$H222)),0))</f>
        <v/>
      </c>
      <c r="K222" s="18">
        <f>IF($A222="","",IFERROR(AVERAGEIF(tblOlcum[VarlikId],$B222,tblOlcum[Xbar_birim])+spy_A2*$E222,0))</f>
        <v/>
      </c>
      <c r="L222" s="18">
        <f>IF($A222="","",IFERROR(AVERAGEIF(tblOlcum[VarlikId],$B222,tblOlcum[Xbar_birim])-spy_A2*$E222,0))</f>
        <v/>
      </c>
      <c r="M222" s="18">
        <f>IF($A222="","",MAX(0,MIN(100,spy_kaliteTaban-IF($J222&lt;spy_esikCpk,spy_kaliteCeza,0)-IF(OR($D222&gt;$K222,$D222&lt;$L222),spy_kaliteSapma,0)-IF($P222="YETIM",spy_kaliteCeza,0))))</f>
        <v/>
      </c>
      <c r="N222" s="18">
        <f>IF($A222="","",IF(OR($J222&lt;spy_esikCpk,$D222&gt;$K222,$D222&lt;$L222,$M222&lt;spy_esikSaglik),"ALARM","UYGUN"))</f>
        <v/>
      </c>
      <c r="O222" s="18">
        <f>IF($A222="","",1)</f>
        <v/>
      </c>
      <c r="P222" s="18">
        <f>IF($A222="","",IF(OR($B222="",COUNTIF(tblProsesler[VarlikId],$B222)=0),"YETIM","TAMAM"))</f>
        <v/>
      </c>
    </row>
    <row r="223">
      <c r="A223" s="15" t="n"/>
      <c r="B223" s="15" t="n"/>
      <c r="C223" s="37" t="n"/>
      <c r="D223" s="16" t="n"/>
      <c r="E223" s="16" t="n"/>
      <c r="F223" s="17" t="n"/>
      <c r="G223" s="15" t="n"/>
      <c r="H223" s="18">
        <f>IF(OR($A223="",$E223=0),"",$E223/spy_d2)</f>
        <v/>
      </c>
      <c r="I223" s="18">
        <f>IF(OR($A223="",$H223=0),"",IFERROR((SUMIF(tblProsesler[VarlikId],$B223,tblProsesler[USL_birim])-SUMIF(tblProsesler[VarlikId],$B223,tblProsesler[LSL_birim]))/(spy_altiSigma*$H223),0))</f>
        <v/>
      </c>
      <c r="J223" s="18">
        <f>IF(OR($A223="",$H223=0),"",IFERROR(MIN((SUMIF(tblProsesler[VarlikId],$B223,tblProsesler[USL_birim])-$D223)/(spy_ucSigma*$H223),($D223-SUMIF(tblProsesler[VarlikId],$B223,tblProsesler[LSL_birim]))/(spy_ucSigma*$H223)),0))</f>
        <v/>
      </c>
      <c r="K223" s="18">
        <f>IF($A223="","",IFERROR(AVERAGEIF(tblOlcum[VarlikId],$B223,tblOlcum[Xbar_birim])+spy_A2*$E223,0))</f>
        <v/>
      </c>
      <c r="L223" s="18">
        <f>IF($A223="","",IFERROR(AVERAGEIF(tblOlcum[VarlikId],$B223,tblOlcum[Xbar_birim])-spy_A2*$E223,0))</f>
        <v/>
      </c>
      <c r="M223" s="18">
        <f>IF($A223="","",MAX(0,MIN(100,spy_kaliteTaban-IF($J223&lt;spy_esikCpk,spy_kaliteCeza,0)-IF(OR($D223&gt;$K223,$D223&lt;$L223),spy_kaliteSapma,0)-IF($P223="YETIM",spy_kaliteCeza,0))))</f>
        <v/>
      </c>
      <c r="N223" s="18">
        <f>IF($A223="","",IF(OR($J223&lt;spy_esikCpk,$D223&gt;$K223,$D223&lt;$L223,$M223&lt;spy_esikSaglik),"ALARM","UYGUN"))</f>
        <v/>
      </c>
      <c r="O223" s="18">
        <f>IF($A223="","",1)</f>
        <v/>
      </c>
      <c r="P223" s="18">
        <f>IF($A223="","",IF(OR($B223="",COUNTIF(tblProsesler[VarlikId],$B223)=0),"YETIM","TAMAM"))</f>
        <v/>
      </c>
    </row>
    <row r="224">
      <c r="A224" s="15" t="n"/>
      <c r="B224" s="15" t="n"/>
      <c r="C224" s="37" t="n"/>
      <c r="D224" s="16" t="n"/>
      <c r="E224" s="16" t="n"/>
      <c r="F224" s="17" t="n"/>
      <c r="G224" s="15" t="n"/>
      <c r="H224" s="18">
        <f>IF(OR($A224="",$E224=0),"",$E224/spy_d2)</f>
        <v/>
      </c>
      <c r="I224" s="18">
        <f>IF(OR($A224="",$H224=0),"",IFERROR((SUMIF(tblProsesler[VarlikId],$B224,tblProsesler[USL_birim])-SUMIF(tblProsesler[VarlikId],$B224,tblProsesler[LSL_birim]))/(spy_altiSigma*$H224),0))</f>
        <v/>
      </c>
      <c r="J224" s="18">
        <f>IF(OR($A224="",$H224=0),"",IFERROR(MIN((SUMIF(tblProsesler[VarlikId],$B224,tblProsesler[USL_birim])-$D224)/(spy_ucSigma*$H224),($D224-SUMIF(tblProsesler[VarlikId],$B224,tblProsesler[LSL_birim]))/(spy_ucSigma*$H224)),0))</f>
        <v/>
      </c>
      <c r="K224" s="18">
        <f>IF($A224="","",IFERROR(AVERAGEIF(tblOlcum[VarlikId],$B224,tblOlcum[Xbar_birim])+spy_A2*$E224,0))</f>
        <v/>
      </c>
      <c r="L224" s="18">
        <f>IF($A224="","",IFERROR(AVERAGEIF(tblOlcum[VarlikId],$B224,tblOlcum[Xbar_birim])-spy_A2*$E224,0))</f>
        <v/>
      </c>
      <c r="M224" s="18">
        <f>IF($A224="","",MAX(0,MIN(100,spy_kaliteTaban-IF($J224&lt;spy_esikCpk,spy_kaliteCeza,0)-IF(OR($D224&gt;$K224,$D224&lt;$L224),spy_kaliteSapma,0)-IF($P224="YETIM",spy_kaliteCeza,0))))</f>
        <v/>
      </c>
      <c r="N224" s="18">
        <f>IF($A224="","",IF(OR($J224&lt;spy_esikCpk,$D224&gt;$K224,$D224&lt;$L224,$M224&lt;spy_esikSaglik),"ALARM","UYGUN"))</f>
        <v/>
      </c>
      <c r="O224" s="18">
        <f>IF($A224="","",1)</f>
        <v/>
      </c>
      <c r="P224" s="18">
        <f>IF($A224="","",IF(OR($B224="",COUNTIF(tblProsesler[VarlikId],$B224)=0),"YETIM","TAMAM"))</f>
        <v/>
      </c>
    </row>
    <row r="225">
      <c r="A225" s="15" t="n"/>
      <c r="B225" s="15" t="n"/>
      <c r="C225" s="37" t="n"/>
      <c r="D225" s="16" t="n"/>
      <c r="E225" s="16" t="n"/>
      <c r="F225" s="17" t="n"/>
      <c r="G225" s="15" t="n"/>
      <c r="H225" s="18">
        <f>IF(OR($A225="",$E225=0),"",$E225/spy_d2)</f>
        <v/>
      </c>
      <c r="I225" s="18">
        <f>IF(OR($A225="",$H225=0),"",IFERROR((SUMIF(tblProsesler[VarlikId],$B225,tblProsesler[USL_birim])-SUMIF(tblProsesler[VarlikId],$B225,tblProsesler[LSL_birim]))/(spy_altiSigma*$H225),0))</f>
        <v/>
      </c>
      <c r="J225" s="18">
        <f>IF(OR($A225="",$H225=0),"",IFERROR(MIN((SUMIF(tblProsesler[VarlikId],$B225,tblProsesler[USL_birim])-$D225)/(spy_ucSigma*$H225),($D225-SUMIF(tblProsesler[VarlikId],$B225,tblProsesler[LSL_birim]))/(spy_ucSigma*$H225)),0))</f>
        <v/>
      </c>
      <c r="K225" s="18">
        <f>IF($A225="","",IFERROR(AVERAGEIF(tblOlcum[VarlikId],$B225,tblOlcum[Xbar_birim])+spy_A2*$E225,0))</f>
        <v/>
      </c>
      <c r="L225" s="18">
        <f>IF($A225="","",IFERROR(AVERAGEIF(tblOlcum[VarlikId],$B225,tblOlcum[Xbar_birim])-spy_A2*$E225,0))</f>
        <v/>
      </c>
      <c r="M225" s="18">
        <f>IF($A225="","",MAX(0,MIN(100,spy_kaliteTaban-IF($J225&lt;spy_esikCpk,spy_kaliteCeza,0)-IF(OR($D225&gt;$K225,$D225&lt;$L225),spy_kaliteSapma,0)-IF($P225="YETIM",spy_kaliteCeza,0))))</f>
        <v/>
      </c>
      <c r="N225" s="18">
        <f>IF($A225="","",IF(OR($J225&lt;spy_esikCpk,$D225&gt;$K225,$D225&lt;$L225,$M225&lt;spy_esikSaglik),"ALARM","UYGUN"))</f>
        <v/>
      </c>
      <c r="O225" s="18">
        <f>IF($A225="","",1)</f>
        <v/>
      </c>
      <c r="P225" s="18">
        <f>IF($A225="","",IF(OR($B225="",COUNTIF(tblProsesler[VarlikId],$B225)=0),"YETIM","TAMAM"))</f>
        <v/>
      </c>
    </row>
    <row r="226">
      <c r="A226" s="15" t="n"/>
      <c r="B226" s="15" t="n"/>
      <c r="C226" s="37" t="n"/>
      <c r="D226" s="16" t="n"/>
      <c r="E226" s="16" t="n"/>
      <c r="F226" s="17" t="n"/>
      <c r="G226" s="15" t="n"/>
      <c r="H226" s="18">
        <f>IF(OR($A226="",$E226=0),"",$E226/spy_d2)</f>
        <v/>
      </c>
      <c r="I226" s="18">
        <f>IF(OR($A226="",$H226=0),"",IFERROR((SUMIF(tblProsesler[VarlikId],$B226,tblProsesler[USL_birim])-SUMIF(tblProsesler[VarlikId],$B226,tblProsesler[LSL_birim]))/(spy_altiSigma*$H226),0))</f>
        <v/>
      </c>
      <c r="J226" s="18">
        <f>IF(OR($A226="",$H226=0),"",IFERROR(MIN((SUMIF(tblProsesler[VarlikId],$B226,tblProsesler[USL_birim])-$D226)/(spy_ucSigma*$H226),($D226-SUMIF(tblProsesler[VarlikId],$B226,tblProsesler[LSL_birim]))/(spy_ucSigma*$H226)),0))</f>
        <v/>
      </c>
      <c r="K226" s="18">
        <f>IF($A226="","",IFERROR(AVERAGEIF(tblOlcum[VarlikId],$B226,tblOlcum[Xbar_birim])+spy_A2*$E226,0))</f>
        <v/>
      </c>
      <c r="L226" s="18">
        <f>IF($A226="","",IFERROR(AVERAGEIF(tblOlcum[VarlikId],$B226,tblOlcum[Xbar_birim])-spy_A2*$E226,0))</f>
        <v/>
      </c>
      <c r="M226" s="18">
        <f>IF($A226="","",MAX(0,MIN(100,spy_kaliteTaban-IF($J226&lt;spy_esikCpk,spy_kaliteCeza,0)-IF(OR($D226&gt;$K226,$D226&lt;$L226),spy_kaliteSapma,0)-IF($P226="YETIM",spy_kaliteCeza,0))))</f>
        <v/>
      </c>
      <c r="N226" s="18">
        <f>IF($A226="","",IF(OR($J226&lt;spy_esikCpk,$D226&gt;$K226,$D226&lt;$L226,$M226&lt;spy_esikSaglik),"ALARM","UYGUN"))</f>
        <v/>
      </c>
      <c r="O226" s="18">
        <f>IF($A226="","",1)</f>
        <v/>
      </c>
      <c r="P226" s="18">
        <f>IF($A226="","",IF(OR($B226="",COUNTIF(tblProsesler[VarlikId],$B226)=0),"YETIM","TAMAM"))</f>
        <v/>
      </c>
    </row>
    <row r="227">
      <c r="A227" s="15" t="n"/>
      <c r="B227" s="15" t="n"/>
      <c r="C227" s="37" t="n"/>
      <c r="D227" s="16" t="n"/>
      <c r="E227" s="16" t="n"/>
      <c r="F227" s="17" t="n"/>
      <c r="G227" s="15" t="n"/>
      <c r="H227" s="18">
        <f>IF(OR($A227="",$E227=0),"",$E227/spy_d2)</f>
        <v/>
      </c>
      <c r="I227" s="18">
        <f>IF(OR($A227="",$H227=0),"",IFERROR((SUMIF(tblProsesler[VarlikId],$B227,tblProsesler[USL_birim])-SUMIF(tblProsesler[VarlikId],$B227,tblProsesler[LSL_birim]))/(spy_altiSigma*$H227),0))</f>
        <v/>
      </c>
      <c r="J227" s="18">
        <f>IF(OR($A227="",$H227=0),"",IFERROR(MIN((SUMIF(tblProsesler[VarlikId],$B227,tblProsesler[USL_birim])-$D227)/(spy_ucSigma*$H227),($D227-SUMIF(tblProsesler[VarlikId],$B227,tblProsesler[LSL_birim]))/(spy_ucSigma*$H227)),0))</f>
        <v/>
      </c>
      <c r="K227" s="18">
        <f>IF($A227="","",IFERROR(AVERAGEIF(tblOlcum[VarlikId],$B227,tblOlcum[Xbar_birim])+spy_A2*$E227,0))</f>
        <v/>
      </c>
      <c r="L227" s="18">
        <f>IF($A227="","",IFERROR(AVERAGEIF(tblOlcum[VarlikId],$B227,tblOlcum[Xbar_birim])-spy_A2*$E227,0))</f>
        <v/>
      </c>
      <c r="M227" s="18">
        <f>IF($A227="","",MAX(0,MIN(100,spy_kaliteTaban-IF($J227&lt;spy_esikCpk,spy_kaliteCeza,0)-IF(OR($D227&gt;$K227,$D227&lt;$L227),spy_kaliteSapma,0)-IF($P227="YETIM",spy_kaliteCeza,0))))</f>
        <v/>
      </c>
      <c r="N227" s="18">
        <f>IF($A227="","",IF(OR($J227&lt;spy_esikCpk,$D227&gt;$K227,$D227&lt;$L227,$M227&lt;spy_esikSaglik),"ALARM","UYGUN"))</f>
        <v/>
      </c>
      <c r="O227" s="18">
        <f>IF($A227="","",1)</f>
        <v/>
      </c>
      <c r="P227" s="18">
        <f>IF($A227="","",IF(OR($B227="",COUNTIF(tblProsesler[VarlikId],$B227)=0),"YETIM","TAMAM"))</f>
        <v/>
      </c>
    </row>
    <row r="228">
      <c r="A228" s="15" t="n"/>
      <c r="B228" s="15" t="n"/>
      <c r="C228" s="37" t="n"/>
      <c r="D228" s="16" t="n"/>
      <c r="E228" s="16" t="n"/>
      <c r="F228" s="17" t="n"/>
      <c r="G228" s="15" t="n"/>
      <c r="H228" s="18">
        <f>IF(OR($A228="",$E228=0),"",$E228/spy_d2)</f>
        <v/>
      </c>
      <c r="I228" s="18">
        <f>IF(OR($A228="",$H228=0),"",IFERROR((SUMIF(tblProsesler[VarlikId],$B228,tblProsesler[USL_birim])-SUMIF(tblProsesler[VarlikId],$B228,tblProsesler[LSL_birim]))/(spy_altiSigma*$H228),0))</f>
        <v/>
      </c>
      <c r="J228" s="18">
        <f>IF(OR($A228="",$H228=0),"",IFERROR(MIN((SUMIF(tblProsesler[VarlikId],$B228,tblProsesler[USL_birim])-$D228)/(spy_ucSigma*$H228),($D228-SUMIF(tblProsesler[VarlikId],$B228,tblProsesler[LSL_birim]))/(spy_ucSigma*$H228)),0))</f>
        <v/>
      </c>
      <c r="K228" s="18">
        <f>IF($A228="","",IFERROR(AVERAGEIF(tblOlcum[VarlikId],$B228,tblOlcum[Xbar_birim])+spy_A2*$E228,0))</f>
        <v/>
      </c>
      <c r="L228" s="18">
        <f>IF($A228="","",IFERROR(AVERAGEIF(tblOlcum[VarlikId],$B228,tblOlcum[Xbar_birim])-spy_A2*$E228,0))</f>
        <v/>
      </c>
      <c r="M228" s="18">
        <f>IF($A228="","",MAX(0,MIN(100,spy_kaliteTaban-IF($J228&lt;spy_esikCpk,spy_kaliteCeza,0)-IF(OR($D228&gt;$K228,$D228&lt;$L228),spy_kaliteSapma,0)-IF($P228="YETIM",spy_kaliteCeza,0))))</f>
        <v/>
      </c>
      <c r="N228" s="18">
        <f>IF($A228="","",IF(OR($J228&lt;spy_esikCpk,$D228&gt;$K228,$D228&lt;$L228,$M228&lt;spy_esikSaglik),"ALARM","UYGUN"))</f>
        <v/>
      </c>
      <c r="O228" s="18">
        <f>IF($A228="","",1)</f>
        <v/>
      </c>
      <c r="P228" s="18">
        <f>IF($A228="","",IF(OR($B228="",COUNTIF(tblProsesler[VarlikId],$B228)=0),"YETIM","TAMAM"))</f>
        <v/>
      </c>
    </row>
    <row r="229">
      <c r="A229" s="15" t="n"/>
      <c r="B229" s="15" t="n"/>
      <c r="C229" s="37" t="n"/>
      <c r="D229" s="16" t="n"/>
      <c r="E229" s="16" t="n"/>
      <c r="F229" s="17" t="n"/>
      <c r="G229" s="15" t="n"/>
      <c r="H229" s="18">
        <f>IF(OR($A229="",$E229=0),"",$E229/spy_d2)</f>
        <v/>
      </c>
      <c r="I229" s="18">
        <f>IF(OR($A229="",$H229=0),"",IFERROR((SUMIF(tblProsesler[VarlikId],$B229,tblProsesler[USL_birim])-SUMIF(tblProsesler[VarlikId],$B229,tblProsesler[LSL_birim]))/(spy_altiSigma*$H229),0))</f>
        <v/>
      </c>
      <c r="J229" s="18">
        <f>IF(OR($A229="",$H229=0),"",IFERROR(MIN((SUMIF(tblProsesler[VarlikId],$B229,tblProsesler[USL_birim])-$D229)/(spy_ucSigma*$H229),($D229-SUMIF(tblProsesler[VarlikId],$B229,tblProsesler[LSL_birim]))/(spy_ucSigma*$H229)),0))</f>
        <v/>
      </c>
      <c r="K229" s="18">
        <f>IF($A229="","",IFERROR(AVERAGEIF(tblOlcum[VarlikId],$B229,tblOlcum[Xbar_birim])+spy_A2*$E229,0))</f>
        <v/>
      </c>
      <c r="L229" s="18">
        <f>IF($A229="","",IFERROR(AVERAGEIF(tblOlcum[VarlikId],$B229,tblOlcum[Xbar_birim])-spy_A2*$E229,0))</f>
        <v/>
      </c>
      <c r="M229" s="18">
        <f>IF($A229="","",MAX(0,MIN(100,spy_kaliteTaban-IF($J229&lt;spy_esikCpk,spy_kaliteCeza,0)-IF(OR($D229&gt;$K229,$D229&lt;$L229),spy_kaliteSapma,0)-IF($P229="YETIM",spy_kaliteCeza,0))))</f>
        <v/>
      </c>
      <c r="N229" s="18">
        <f>IF($A229="","",IF(OR($J229&lt;spy_esikCpk,$D229&gt;$K229,$D229&lt;$L229,$M229&lt;spy_esikSaglik),"ALARM","UYGUN"))</f>
        <v/>
      </c>
      <c r="O229" s="18">
        <f>IF($A229="","",1)</f>
        <v/>
      </c>
      <c r="P229" s="18">
        <f>IF($A229="","",IF(OR($B229="",COUNTIF(tblProsesler[VarlikId],$B229)=0),"YETIM","TAMAM"))</f>
        <v/>
      </c>
    </row>
    <row r="230">
      <c r="A230" s="15" t="n"/>
      <c r="B230" s="15" t="n"/>
      <c r="C230" s="37" t="n"/>
      <c r="D230" s="16" t="n"/>
      <c r="E230" s="16" t="n"/>
      <c r="F230" s="17" t="n"/>
      <c r="G230" s="15" t="n"/>
      <c r="H230" s="18">
        <f>IF(OR($A230="",$E230=0),"",$E230/spy_d2)</f>
        <v/>
      </c>
      <c r="I230" s="18">
        <f>IF(OR($A230="",$H230=0),"",IFERROR((SUMIF(tblProsesler[VarlikId],$B230,tblProsesler[USL_birim])-SUMIF(tblProsesler[VarlikId],$B230,tblProsesler[LSL_birim]))/(spy_altiSigma*$H230),0))</f>
        <v/>
      </c>
      <c r="J230" s="18">
        <f>IF(OR($A230="",$H230=0),"",IFERROR(MIN((SUMIF(tblProsesler[VarlikId],$B230,tblProsesler[USL_birim])-$D230)/(spy_ucSigma*$H230),($D230-SUMIF(tblProsesler[VarlikId],$B230,tblProsesler[LSL_birim]))/(spy_ucSigma*$H230)),0))</f>
        <v/>
      </c>
      <c r="K230" s="18">
        <f>IF($A230="","",IFERROR(AVERAGEIF(tblOlcum[VarlikId],$B230,tblOlcum[Xbar_birim])+spy_A2*$E230,0))</f>
        <v/>
      </c>
      <c r="L230" s="18">
        <f>IF($A230="","",IFERROR(AVERAGEIF(tblOlcum[VarlikId],$B230,tblOlcum[Xbar_birim])-spy_A2*$E230,0))</f>
        <v/>
      </c>
      <c r="M230" s="18">
        <f>IF($A230="","",MAX(0,MIN(100,spy_kaliteTaban-IF($J230&lt;spy_esikCpk,spy_kaliteCeza,0)-IF(OR($D230&gt;$K230,$D230&lt;$L230),spy_kaliteSapma,0)-IF($P230="YETIM",spy_kaliteCeza,0))))</f>
        <v/>
      </c>
      <c r="N230" s="18">
        <f>IF($A230="","",IF(OR($J230&lt;spy_esikCpk,$D230&gt;$K230,$D230&lt;$L230,$M230&lt;spy_esikSaglik),"ALARM","UYGUN"))</f>
        <v/>
      </c>
      <c r="O230" s="18">
        <f>IF($A230="","",1)</f>
        <v/>
      </c>
      <c r="P230" s="18">
        <f>IF($A230="","",IF(OR($B230="",COUNTIF(tblProsesler[VarlikId],$B230)=0),"YETIM","TAMAM"))</f>
        <v/>
      </c>
    </row>
    <row r="231">
      <c r="A231" s="15" t="n"/>
      <c r="B231" s="15" t="n"/>
      <c r="C231" s="37" t="n"/>
      <c r="D231" s="16" t="n"/>
      <c r="E231" s="16" t="n"/>
      <c r="F231" s="17" t="n"/>
      <c r="G231" s="15" t="n"/>
      <c r="H231" s="18">
        <f>IF(OR($A231="",$E231=0),"",$E231/spy_d2)</f>
        <v/>
      </c>
      <c r="I231" s="18">
        <f>IF(OR($A231="",$H231=0),"",IFERROR((SUMIF(tblProsesler[VarlikId],$B231,tblProsesler[USL_birim])-SUMIF(tblProsesler[VarlikId],$B231,tblProsesler[LSL_birim]))/(spy_altiSigma*$H231),0))</f>
        <v/>
      </c>
      <c r="J231" s="18">
        <f>IF(OR($A231="",$H231=0),"",IFERROR(MIN((SUMIF(tblProsesler[VarlikId],$B231,tblProsesler[USL_birim])-$D231)/(spy_ucSigma*$H231),($D231-SUMIF(tblProsesler[VarlikId],$B231,tblProsesler[LSL_birim]))/(spy_ucSigma*$H231)),0))</f>
        <v/>
      </c>
      <c r="K231" s="18">
        <f>IF($A231="","",IFERROR(AVERAGEIF(tblOlcum[VarlikId],$B231,tblOlcum[Xbar_birim])+spy_A2*$E231,0))</f>
        <v/>
      </c>
      <c r="L231" s="18">
        <f>IF($A231="","",IFERROR(AVERAGEIF(tblOlcum[VarlikId],$B231,tblOlcum[Xbar_birim])-spy_A2*$E231,0))</f>
        <v/>
      </c>
      <c r="M231" s="18">
        <f>IF($A231="","",MAX(0,MIN(100,spy_kaliteTaban-IF($J231&lt;spy_esikCpk,spy_kaliteCeza,0)-IF(OR($D231&gt;$K231,$D231&lt;$L231),spy_kaliteSapma,0)-IF($P231="YETIM",spy_kaliteCeza,0))))</f>
        <v/>
      </c>
      <c r="N231" s="18">
        <f>IF($A231="","",IF(OR($J231&lt;spy_esikCpk,$D231&gt;$K231,$D231&lt;$L231,$M231&lt;spy_esikSaglik),"ALARM","UYGUN"))</f>
        <v/>
      </c>
      <c r="O231" s="18">
        <f>IF($A231="","",1)</f>
        <v/>
      </c>
      <c r="P231" s="18">
        <f>IF($A231="","",IF(OR($B231="",COUNTIF(tblProsesler[VarlikId],$B231)=0),"YETIM","TAMAM"))</f>
        <v/>
      </c>
    </row>
    <row r="232">
      <c r="A232" s="15" t="n"/>
      <c r="B232" s="15" t="n"/>
      <c r="C232" s="37" t="n"/>
      <c r="D232" s="16" t="n"/>
      <c r="E232" s="16" t="n"/>
      <c r="F232" s="17" t="n"/>
      <c r="G232" s="15" t="n"/>
      <c r="H232" s="18">
        <f>IF(OR($A232="",$E232=0),"",$E232/spy_d2)</f>
        <v/>
      </c>
      <c r="I232" s="18">
        <f>IF(OR($A232="",$H232=0),"",IFERROR((SUMIF(tblProsesler[VarlikId],$B232,tblProsesler[USL_birim])-SUMIF(tblProsesler[VarlikId],$B232,tblProsesler[LSL_birim]))/(spy_altiSigma*$H232),0))</f>
        <v/>
      </c>
      <c r="J232" s="18">
        <f>IF(OR($A232="",$H232=0),"",IFERROR(MIN((SUMIF(tblProsesler[VarlikId],$B232,tblProsesler[USL_birim])-$D232)/(spy_ucSigma*$H232),($D232-SUMIF(tblProsesler[VarlikId],$B232,tblProsesler[LSL_birim]))/(spy_ucSigma*$H232)),0))</f>
        <v/>
      </c>
      <c r="K232" s="18">
        <f>IF($A232="","",IFERROR(AVERAGEIF(tblOlcum[VarlikId],$B232,tblOlcum[Xbar_birim])+spy_A2*$E232,0))</f>
        <v/>
      </c>
      <c r="L232" s="18">
        <f>IF($A232="","",IFERROR(AVERAGEIF(tblOlcum[VarlikId],$B232,tblOlcum[Xbar_birim])-spy_A2*$E232,0))</f>
        <v/>
      </c>
      <c r="M232" s="18">
        <f>IF($A232="","",MAX(0,MIN(100,spy_kaliteTaban-IF($J232&lt;spy_esikCpk,spy_kaliteCeza,0)-IF(OR($D232&gt;$K232,$D232&lt;$L232),spy_kaliteSapma,0)-IF($P232="YETIM",spy_kaliteCeza,0))))</f>
        <v/>
      </c>
      <c r="N232" s="18">
        <f>IF($A232="","",IF(OR($J232&lt;spy_esikCpk,$D232&gt;$K232,$D232&lt;$L232,$M232&lt;spy_esikSaglik),"ALARM","UYGUN"))</f>
        <v/>
      </c>
      <c r="O232" s="18">
        <f>IF($A232="","",1)</f>
        <v/>
      </c>
      <c r="P232" s="18">
        <f>IF($A232="","",IF(OR($B232="",COUNTIF(tblProsesler[VarlikId],$B232)=0),"YETIM","TAMAM"))</f>
        <v/>
      </c>
    </row>
    <row r="233">
      <c r="A233" s="15" t="n"/>
      <c r="B233" s="15" t="n"/>
      <c r="C233" s="37" t="n"/>
      <c r="D233" s="16" t="n"/>
      <c r="E233" s="16" t="n"/>
      <c r="F233" s="17" t="n"/>
      <c r="G233" s="15" t="n"/>
      <c r="H233" s="18">
        <f>IF(OR($A233="",$E233=0),"",$E233/spy_d2)</f>
        <v/>
      </c>
      <c r="I233" s="18">
        <f>IF(OR($A233="",$H233=0),"",IFERROR((SUMIF(tblProsesler[VarlikId],$B233,tblProsesler[USL_birim])-SUMIF(tblProsesler[VarlikId],$B233,tblProsesler[LSL_birim]))/(spy_altiSigma*$H233),0))</f>
        <v/>
      </c>
      <c r="J233" s="18">
        <f>IF(OR($A233="",$H233=0),"",IFERROR(MIN((SUMIF(tblProsesler[VarlikId],$B233,tblProsesler[USL_birim])-$D233)/(spy_ucSigma*$H233),($D233-SUMIF(tblProsesler[VarlikId],$B233,tblProsesler[LSL_birim]))/(spy_ucSigma*$H233)),0))</f>
        <v/>
      </c>
      <c r="K233" s="18">
        <f>IF($A233="","",IFERROR(AVERAGEIF(tblOlcum[VarlikId],$B233,tblOlcum[Xbar_birim])+spy_A2*$E233,0))</f>
        <v/>
      </c>
      <c r="L233" s="18">
        <f>IF($A233="","",IFERROR(AVERAGEIF(tblOlcum[VarlikId],$B233,tblOlcum[Xbar_birim])-spy_A2*$E233,0))</f>
        <v/>
      </c>
      <c r="M233" s="18">
        <f>IF($A233="","",MAX(0,MIN(100,spy_kaliteTaban-IF($J233&lt;spy_esikCpk,spy_kaliteCeza,0)-IF(OR($D233&gt;$K233,$D233&lt;$L233),spy_kaliteSapma,0)-IF($P233="YETIM",spy_kaliteCeza,0))))</f>
        <v/>
      </c>
      <c r="N233" s="18">
        <f>IF($A233="","",IF(OR($J233&lt;spy_esikCpk,$D233&gt;$K233,$D233&lt;$L233,$M233&lt;spy_esikSaglik),"ALARM","UYGUN"))</f>
        <v/>
      </c>
      <c r="O233" s="18">
        <f>IF($A233="","",1)</f>
        <v/>
      </c>
      <c r="P233" s="18">
        <f>IF($A233="","",IF(OR($B233="",COUNTIF(tblProsesler[VarlikId],$B233)=0),"YETIM","TAMAM"))</f>
        <v/>
      </c>
    </row>
    <row r="234">
      <c r="A234" s="15" t="n"/>
      <c r="B234" s="15" t="n"/>
      <c r="C234" s="37" t="n"/>
      <c r="D234" s="16" t="n"/>
      <c r="E234" s="16" t="n"/>
      <c r="F234" s="17" t="n"/>
      <c r="G234" s="15" t="n"/>
      <c r="H234" s="18">
        <f>IF(OR($A234="",$E234=0),"",$E234/spy_d2)</f>
        <v/>
      </c>
      <c r="I234" s="18">
        <f>IF(OR($A234="",$H234=0),"",IFERROR((SUMIF(tblProsesler[VarlikId],$B234,tblProsesler[USL_birim])-SUMIF(tblProsesler[VarlikId],$B234,tblProsesler[LSL_birim]))/(spy_altiSigma*$H234),0))</f>
        <v/>
      </c>
      <c r="J234" s="18">
        <f>IF(OR($A234="",$H234=0),"",IFERROR(MIN((SUMIF(tblProsesler[VarlikId],$B234,tblProsesler[USL_birim])-$D234)/(spy_ucSigma*$H234),($D234-SUMIF(tblProsesler[VarlikId],$B234,tblProsesler[LSL_birim]))/(spy_ucSigma*$H234)),0))</f>
        <v/>
      </c>
      <c r="K234" s="18">
        <f>IF($A234="","",IFERROR(AVERAGEIF(tblOlcum[VarlikId],$B234,tblOlcum[Xbar_birim])+spy_A2*$E234,0))</f>
        <v/>
      </c>
      <c r="L234" s="18">
        <f>IF($A234="","",IFERROR(AVERAGEIF(tblOlcum[VarlikId],$B234,tblOlcum[Xbar_birim])-spy_A2*$E234,0))</f>
        <v/>
      </c>
      <c r="M234" s="18">
        <f>IF($A234="","",MAX(0,MIN(100,spy_kaliteTaban-IF($J234&lt;spy_esikCpk,spy_kaliteCeza,0)-IF(OR($D234&gt;$K234,$D234&lt;$L234),spy_kaliteSapma,0)-IF($P234="YETIM",spy_kaliteCeza,0))))</f>
        <v/>
      </c>
      <c r="N234" s="18">
        <f>IF($A234="","",IF(OR($J234&lt;spy_esikCpk,$D234&gt;$K234,$D234&lt;$L234,$M234&lt;spy_esikSaglik),"ALARM","UYGUN"))</f>
        <v/>
      </c>
      <c r="O234" s="18">
        <f>IF($A234="","",1)</f>
        <v/>
      </c>
      <c r="P234" s="18">
        <f>IF($A234="","",IF(OR($B234="",COUNTIF(tblProsesler[VarlikId],$B234)=0),"YETIM","TAMAM"))</f>
        <v/>
      </c>
    </row>
    <row r="235">
      <c r="A235" s="15" t="n"/>
      <c r="B235" s="15" t="n"/>
      <c r="C235" s="37" t="n"/>
      <c r="D235" s="16" t="n"/>
      <c r="E235" s="16" t="n"/>
      <c r="F235" s="17" t="n"/>
      <c r="G235" s="15" t="n"/>
      <c r="H235" s="18">
        <f>IF(OR($A235="",$E235=0),"",$E235/spy_d2)</f>
        <v/>
      </c>
      <c r="I235" s="18">
        <f>IF(OR($A235="",$H235=0),"",IFERROR((SUMIF(tblProsesler[VarlikId],$B235,tblProsesler[USL_birim])-SUMIF(tblProsesler[VarlikId],$B235,tblProsesler[LSL_birim]))/(spy_altiSigma*$H235),0))</f>
        <v/>
      </c>
      <c r="J235" s="18">
        <f>IF(OR($A235="",$H235=0),"",IFERROR(MIN((SUMIF(tblProsesler[VarlikId],$B235,tblProsesler[USL_birim])-$D235)/(spy_ucSigma*$H235),($D235-SUMIF(tblProsesler[VarlikId],$B235,tblProsesler[LSL_birim]))/(spy_ucSigma*$H235)),0))</f>
        <v/>
      </c>
      <c r="K235" s="18">
        <f>IF($A235="","",IFERROR(AVERAGEIF(tblOlcum[VarlikId],$B235,tblOlcum[Xbar_birim])+spy_A2*$E235,0))</f>
        <v/>
      </c>
      <c r="L235" s="18">
        <f>IF($A235="","",IFERROR(AVERAGEIF(tblOlcum[VarlikId],$B235,tblOlcum[Xbar_birim])-spy_A2*$E235,0))</f>
        <v/>
      </c>
      <c r="M235" s="18">
        <f>IF($A235="","",MAX(0,MIN(100,spy_kaliteTaban-IF($J235&lt;spy_esikCpk,spy_kaliteCeza,0)-IF(OR($D235&gt;$K235,$D235&lt;$L235),spy_kaliteSapma,0)-IF($P235="YETIM",spy_kaliteCeza,0))))</f>
        <v/>
      </c>
      <c r="N235" s="18">
        <f>IF($A235="","",IF(OR($J235&lt;spy_esikCpk,$D235&gt;$K235,$D235&lt;$L235,$M235&lt;spy_esikSaglik),"ALARM","UYGUN"))</f>
        <v/>
      </c>
      <c r="O235" s="18">
        <f>IF($A235="","",1)</f>
        <v/>
      </c>
      <c r="P235" s="18">
        <f>IF($A235="","",IF(OR($B235="",COUNTIF(tblProsesler[VarlikId],$B235)=0),"YETIM","TAMAM"))</f>
        <v/>
      </c>
    </row>
    <row r="236">
      <c r="A236" s="15" t="n"/>
      <c r="B236" s="15" t="n"/>
      <c r="C236" s="37" t="n"/>
      <c r="D236" s="16" t="n"/>
      <c r="E236" s="16" t="n"/>
      <c r="F236" s="17" t="n"/>
      <c r="G236" s="15" t="n"/>
      <c r="H236" s="18">
        <f>IF(OR($A236="",$E236=0),"",$E236/spy_d2)</f>
        <v/>
      </c>
      <c r="I236" s="18">
        <f>IF(OR($A236="",$H236=0),"",IFERROR((SUMIF(tblProsesler[VarlikId],$B236,tblProsesler[USL_birim])-SUMIF(tblProsesler[VarlikId],$B236,tblProsesler[LSL_birim]))/(spy_altiSigma*$H236),0))</f>
        <v/>
      </c>
      <c r="J236" s="18">
        <f>IF(OR($A236="",$H236=0),"",IFERROR(MIN((SUMIF(tblProsesler[VarlikId],$B236,tblProsesler[USL_birim])-$D236)/(spy_ucSigma*$H236),($D236-SUMIF(tblProsesler[VarlikId],$B236,tblProsesler[LSL_birim]))/(spy_ucSigma*$H236)),0))</f>
        <v/>
      </c>
      <c r="K236" s="18">
        <f>IF($A236="","",IFERROR(AVERAGEIF(tblOlcum[VarlikId],$B236,tblOlcum[Xbar_birim])+spy_A2*$E236,0))</f>
        <v/>
      </c>
      <c r="L236" s="18">
        <f>IF($A236="","",IFERROR(AVERAGEIF(tblOlcum[VarlikId],$B236,tblOlcum[Xbar_birim])-spy_A2*$E236,0))</f>
        <v/>
      </c>
      <c r="M236" s="18">
        <f>IF($A236="","",MAX(0,MIN(100,spy_kaliteTaban-IF($J236&lt;spy_esikCpk,spy_kaliteCeza,0)-IF(OR($D236&gt;$K236,$D236&lt;$L236),spy_kaliteSapma,0)-IF($P236="YETIM",spy_kaliteCeza,0))))</f>
        <v/>
      </c>
      <c r="N236" s="18">
        <f>IF($A236="","",IF(OR($J236&lt;spy_esikCpk,$D236&gt;$K236,$D236&lt;$L236,$M236&lt;spy_esikSaglik),"ALARM","UYGUN"))</f>
        <v/>
      </c>
      <c r="O236" s="18">
        <f>IF($A236="","",1)</f>
        <v/>
      </c>
      <c r="P236" s="18">
        <f>IF($A236="","",IF(OR($B236="",COUNTIF(tblProsesler[VarlikId],$B236)=0),"YETIM","TAMAM"))</f>
        <v/>
      </c>
    </row>
    <row r="237">
      <c r="A237" s="15" t="n"/>
      <c r="B237" s="15" t="n"/>
      <c r="C237" s="37" t="n"/>
      <c r="D237" s="16" t="n"/>
      <c r="E237" s="16" t="n"/>
      <c r="F237" s="17" t="n"/>
      <c r="G237" s="15" t="n"/>
      <c r="H237" s="18">
        <f>IF(OR($A237="",$E237=0),"",$E237/spy_d2)</f>
        <v/>
      </c>
      <c r="I237" s="18">
        <f>IF(OR($A237="",$H237=0),"",IFERROR((SUMIF(tblProsesler[VarlikId],$B237,tblProsesler[USL_birim])-SUMIF(tblProsesler[VarlikId],$B237,tblProsesler[LSL_birim]))/(spy_altiSigma*$H237),0))</f>
        <v/>
      </c>
      <c r="J237" s="18">
        <f>IF(OR($A237="",$H237=0),"",IFERROR(MIN((SUMIF(tblProsesler[VarlikId],$B237,tblProsesler[USL_birim])-$D237)/(spy_ucSigma*$H237),($D237-SUMIF(tblProsesler[VarlikId],$B237,tblProsesler[LSL_birim]))/(spy_ucSigma*$H237)),0))</f>
        <v/>
      </c>
      <c r="K237" s="18">
        <f>IF($A237="","",IFERROR(AVERAGEIF(tblOlcum[VarlikId],$B237,tblOlcum[Xbar_birim])+spy_A2*$E237,0))</f>
        <v/>
      </c>
      <c r="L237" s="18">
        <f>IF($A237="","",IFERROR(AVERAGEIF(tblOlcum[VarlikId],$B237,tblOlcum[Xbar_birim])-spy_A2*$E237,0))</f>
        <v/>
      </c>
      <c r="M237" s="18">
        <f>IF($A237="","",MAX(0,MIN(100,spy_kaliteTaban-IF($J237&lt;spy_esikCpk,spy_kaliteCeza,0)-IF(OR($D237&gt;$K237,$D237&lt;$L237),spy_kaliteSapma,0)-IF($P237="YETIM",spy_kaliteCeza,0))))</f>
        <v/>
      </c>
      <c r="N237" s="18">
        <f>IF($A237="","",IF(OR($J237&lt;spy_esikCpk,$D237&gt;$K237,$D237&lt;$L237,$M237&lt;spy_esikSaglik),"ALARM","UYGUN"))</f>
        <v/>
      </c>
      <c r="O237" s="18">
        <f>IF($A237="","",1)</f>
        <v/>
      </c>
      <c r="P237" s="18">
        <f>IF($A237="","",IF(OR($B237="",COUNTIF(tblProsesler[VarlikId],$B237)=0),"YETIM","TAMAM"))</f>
        <v/>
      </c>
    </row>
    <row r="238">
      <c r="A238" s="15" t="n"/>
      <c r="B238" s="15" t="n"/>
      <c r="C238" s="37" t="n"/>
      <c r="D238" s="16" t="n"/>
      <c r="E238" s="16" t="n"/>
      <c r="F238" s="17" t="n"/>
      <c r="G238" s="15" t="n"/>
      <c r="H238" s="18">
        <f>IF(OR($A238="",$E238=0),"",$E238/spy_d2)</f>
        <v/>
      </c>
      <c r="I238" s="18">
        <f>IF(OR($A238="",$H238=0),"",IFERROR((SUMIF(tblProsesler[VarlikId],$B238,tblProsesler[USL_birim])-SUMIF(tblProsesler[VarlikId],$B238,tblProsesler[LSL_birim]))/(spy_altiSigma*$H238),0))</f>
        <v/>
      </c>
      <c r="J238" s="18">
        <f>IF(OR($A238="",$H238=0),"",IFERROR(MIN((SUMIF(tblProsesler[VarlikId],$B238,tblProsesler[USL_birim])-$D238)/(spy_ucSigma*$H238),($D238-SUMIF(tblProsesler[VarlikId],$B238,tblProsesler[LSL_birim]))/(spy_ucSigma*$H238)),0))</f>
        <v/>
      </c>
      <c r="K238" s="18">
        <f>IF($A238="","",IFERROR(AVERAGEIF(tblOlcum[VarlikId],$B238,tblOlcum[Xbar_birim])+spy_A2*$E238,0))</f>
        <v/>
      </c>
      <c r="L238" s="18">
        <f>IF($A238="","",IFERROR(AVERAGEIF(tblOlcum[VarlikId],$B238,tblOlcum[Xbar_birim])-spy_A2*$E238,0))</f>
        <v/>
      </c>
      <c r="M238" s="18">
        <f>IF($A238="","",MAX(0,MIN(100,spy_kaliteTaban-IF($J238&lt;spy_esikCpk,spy_kaliteCeza,0)-IF(OR($D238&gt;$K238,$D238&lt;$L238),spy_kaliteSapma,0)-IF($P238="YETIM",spy_kaliteCeza,0))))</f>
        <v/>
      </c>
      <c r="N238" s="18">
        <f>IF($A238="","",IF(OR($J238&lt;spy_esikCpk,$D238&gt;$K238,$D238&lt;$L238,$M238&lt;spy_esikSaglik),"ALARM","UYGUN"))</f>
        <v/>
      </c>
      <c r="O238" s="18">
        <f>IF($A238="","",1)</f>
        <v/>
      </c>
      <c r="P238" s="18">
        <f>IF($A238="","",IF(OR($B238="",COUNTIF(tblProsesler[VarlikId],$B238)=0),"YETIM","TAMAM"))</f>
        <v/>
      </c>
    </row>
    <row r="239">
      <c r="A239" s="15" t="n"/>
      <c r="B239" s="15" t="n"/>
      <c r="C239" s="37" t="n"/>
      <c r="D239" s="16" t="n"/>
      <c r="E239" s="16" t="n"/>
      <c r="F239" s="17" t="n"/>
      <c r="G239" s="15" t="n"/>
      <c r="H239" s="18">
        <f>IF(OR($A239="",$E239=0),"",$E239/spy_d2)</f>
        <v/>
      </c>
      <c r="I239" s="18">
        <f>IF(OR($A239="",$H239=0),"",IFERROR((SUMIF(tblProsesler[VarlikId],$B239,tblProsesler[USL_birim])-SUMIF(tblProsesler[VarlikId],$B239,tblProsesler[LSL_birim]))/(spy_altiSigma*$H239),0))</f>
        <v/>
      </c>
      <c r="J239" s="18">
        <f>IF(OR($A239="",$H239=0),"",IFERROR(MIN((SUMIF(tblProsesler[VarlikId],$B239,tblProsesler[USL_birim])-$D239)/(spy_ucSigma*$H239),($D239-SUMIF(tblProsesler[VarlikId],$B239,tblProsesler[LSL_birim]))/(spy_ucSigma*$H239)),0))</f>
        <v/>
      </c>
      <c r="K239" s="18">
        <f>IF($A239="","",IFERROR(AVERAGEIF(tblOlcum[VarlikId],$B239,tblOlcum[Xbar_birim])+spy_A2*$E239,0))</f>
        <v/>
      </c>
      <c r="L239" s="18">
        <f>IF($A239="","",IFERROR(AVERAGEIF(tblOlcum[VarlikId],$B239,tblOlcum[Xbar_birim])-spy_A2*$E239,0))</f>
        <v/>
      </c>
      <c r="M239" s="18">
        <f>IF($A239="","",MAX(0,MIN(100,spy_kaliteTaban-IF($J239&lt;spy_esikCpk,spy_kaliteCeza,0)-IF(OR($D239&gt;$K239,$D239&lt;$L239),spy_kaliteSapma,0)-IF($P239="YETIM",spy_kaliteCeza,0))))</f>
        <v/>
      </c>
      <c r="N239" s="18">
        <f>IF($A239="","",IF(OR($J239&lt;spy_esikCpk,$D239&gt;$K239,$D239&lt;$L239,$M239&lt;spy_esikSaglik),"ALARM","UYGUN"))</f>
        <v/>
      </c>
      <c r="O239" s="18">
        <f>IF($A239="","",1)</f>
        <v/>
      </c>
      <c r="P239" s="18">
        <f>IF($A239="","",IF(OR($B239="",COUNTIF(tblProsesler[VarlikId],$B239)=0),"YETIM","TAMAM"))</f>
        <v/>
      </c>
    </row>
    <row r="240">
      <c r="A240" s="15" t="n"/>
      <c r="B240" s="15" t="n"/>
      <c r="C240" s="37" t="n"/>
      <c r="D240" s="16" t="n"/>
      <c r="E240" s="16" t="n"/>
      <c r="F240" s="17" t="n"/>
      <c r="G240" s="15" t="n"/>
      <c r="H240" s="18">
        <f>IF(OR($A240="",$E240=0),"",$E240/spy_d2)</f>
        <v/>
      </c>
      <c r="I240" s="18">
        <f>IF(OR($A240="",$H240=0),"",IFERROR((SUMIF(tblProsesler[VarlikId],$B240,tblProsesler[USL_birim])-SUMIF(tblProsesler[VarlikId],$B240,tblProsesler[LSL_birim]))/(spy_altiSigma*$H240),0))</f>
        <v/>
      </c>
      <c r="J240" s="18">
        <f>IF(OR($A240="",$H240=0),"",IFERROR(MIN((SUMIF(tblProsesler[VarlikId],$B240,tblProsesler[USL_birim])-$D240)/(spy_ucSigma*$H240),($D240-SUMIF(tblProsesler[VarlikId],$B240,tblProsesler[LSL_birim]))/(spy_ucSigma*$H240)),0))</f>
        <v/>
      </c>
      <c r="K240" s="18">
        <f>IF($A240="","",IFERROR(AVERAGEIF(tblOlcum[VarlikId],$B240,tblOlcum[Xbar_birim])+spy_A2*$E240,0))</f>
        <v/>
      </c>
      <c r="L240" s="18">
        <f>IF($A240="","",IFERROR(AVERAGEIF(tblOlcum[VarlikId],$B240,tblOlcum[Xbar_birim])-spy_A2*$E240,0))</f>
        <v/>
      </c>
      <c r="M240" s="18">
        <f>IF($A240="","",MAX(0,MIN(100,spy_kaliteTaban-IF($J240&lt;spy_esikCpk,spy_kaliteCeza,0)-IF(OR($D240&gt;$K240,$D240&lt;$L240),spy_kaliteSapma,0)-IF($P240="YETIM",spy_kaliteCeza,0))))</f>
        <v/>
      </c>
      <c r="N240" s="18">
        <f>IF($A240="","",IF(OR($J240&lt;spy_esikCpk,$D240&gt;$K240,$D240&lt;$L240,$M240&lt;spy_esikSaglik),"ALARM","UYGUN"))</f>
        <v/>
      </c>
      <c r="O240" s="18">
        <f>IF($A240="","",1)</f>
        <v/>
      </c>
      <c r="P240" s="18">
        <f>IF($A240="","",IF(OR($B240="",COUNTIF(tblProsesler[VarlikId],$B240)=0),"YETIM","TAMAM"))</f>
        <v/>
      </c>
    </row>
    <row r="241">
      <c r="A241" s="15" t="n"/>
      <c r="B241" s="15" t="n"/>
      <c r="C241" s="37" t="n"/>
      <c r="D241" s="16" t="n"/>
      <c r="E241" s="16" t="n"/>
      <c r="F241" s="17" t="n"/>
      <c r="G241" s="15" t="n"/>
      <c r="H241" s="18">
        <f>IF(OR($A241="",$E241=0),"",$E241/spy_d2)</f>
        <v/>
      </c>
      <c r="I241" s="18">
        <f>IF(OR($A241="",$H241=0),"",IFERROR((SUMIF(tblProsesler[VarlikId],$B241,tblProsesler[USL_birim])-SUMIF(tblProsesler[VarlikId],$B241,tblProsesler[LSL_birim]))/(spy_altiSigma*$H241),0))</f>
        <v/>
      </c>
      <c r="J241" s="18">
        <f>IF(OR($A241="",$H241=0),"",IFERROR(MIN((SUMIF(tblProsesler[VarlikId],$B241,tblProsesler[USL_birim])-$D241)/(spy_ucSigma*$H241),($D241-SUMIF(tblProsesler[VarlikId],$B241,tblProsesler[LSL_birim]))/(spy_ucSigma*$H241)),0))</f>
        <v/>
      </c>
      <c r="K241" s="18">
        <f>IF($A241="","",IFERROR(AVERAGEIF(tblOlcum[VarlikId],$B241,tblOlcum[Xbar_birim])+spy_A2*$E241,0))</f>
        <v/>
      </c>
      <c r="L241" s="18">
        <f>IF($A241="","",IFERROR(AVERAGEIF(tblOlcum[VarlikId],$B241,tblOlcum[Xbar_birim])-spy_A2*$E241,0))</f>
        <v/>
      </c>
      <c r="M241" s="18">
        <f>IF($A241="","",MAX(0,MIN(100,spy_kaliteTaban-IF($J241&lt;spy_esikCpk,spy_kaliteCeza,0)-IF(OR($D241&gt;$K241,$D241&lt;$L241),spy_kaliteSapma,0)-IF($P241="YETIM",spy_kaliteCeza,0))))</f>
        <v/>
      </c>
      <c r="N241" s="18">
        <f>IF($A241="","",IF(OR($J241&lt;spy_esikCpk,$D241&gt;$K241,$D241&lt;$L241,$M241&lt;spy_esikSaglik),"ALARM","UYGUN"))</f>
        <v/>
      </c>
      <c r="O241" s="18">
        <f>IF($A241="","",1)</f>
        <v/>
      </c>
      <c r="P241" s="18">
        <f>IF($A241="","",IF(OR($B241="",COUNTIF(tblProsesler[VarlikId],$B241)=0),"YETIM","TAMAM"))</f>
        <v/>
      </c>
    </row>
    <row r="242">
      <c r="A242" s="15" t="n"/>
      <c r="B242" s="15" t="n"/>
      <c r="C242" s="37" t="n"/>
      <c r="D242" s="16" t="n"/>
      <c r="E242" s="16" t="n"/>
      <c r="F242" s="17" t="n"/>
      <c r="G242" s="15" t="n"/>
      <c r="H242" s="18">
        <f>IF(OR($A242="",$E242=0),"",$E242/spy_d2)</f>
        <v/>
      </c>
      <c r="I242" s="18">
        <f>IF(OR($A242="",$H242=0),"",IFERROR((SUMIF(tblProsesler[VarlikId],$B242,tblProsesler[USL_birim])-SUMIF(tblProsesler[VarlikId],$B242,tblProsesler[LSL_birim]))/(spy_altiSigma*$H242),0))</f>
        <v/>
      </c>
      <c r="J242" s="18">
        <f>IF(OR($A242="",$H242=0),"",IFERROR(MIN((SUMIF(tblProsesler[VarlikId],$B242,tblProsesler[USL_birim])-$D242)/(spy_ucSigma*$H242),($D242-SUMIF(tblProsesler[VarlikId],$B242,tblProsesler[LSL_birim]))/(spy_ucSigma*$H242)),0))</f>
        <v/>
      </c>
      <c r="K242" s="18">
        <f>IF($A242="","",IFERROR(AVERAGEIF(tblOlcum[VarlikId],$B242,tblOlcum[Xbar_birim])+spy_A2*$E242,0))</f>
        <v/>
      </c>
      <c r="L242" s="18">
        <f>IF($A242="","",IFERROR(AVERAGEIF(tblOlcum[VarlikId],$B242,tblOlcum[Xbar_birim])-spy_A2*$E242,0))</f>
        <v/>
      </c>
      <c r="M242" s="18">
        <f>IF($A242="","",MAX(0,MIN(100,spy_kaliteTaban-IF($J242&lt;spy_esikCpk,spy_kaliteCeza,0)-IF(OR($D242&gt;$K242,$D242&lt;$L242),spy_kaliteSapma,0)-IF($P242="YETIM",spy_kaliteCeza,0))))</f>
        <v/>
      </c>
      <c r="N242" s="18">
        <f>IF($A242="","",IF(OR($J242&lt;spy_esikCpk,$D242&gt;$K242,$D242&lt;$L242,$M242&lt;spy_esikSaglik),"ALARM","UYGUN"))</f>
        <v/>
      </c>
      <c r="O242" s="18">
        <f>IF($A242="","",1)</f>
        <v/>
      </c>
      <c r="P242" s="18">
        <f>IF($A242="","",IF(OR($B242="",COUNTIF(tblProsesler[VarlikId],$B242)=0),"YETIM","TAMAM"))</f>
        <v/>
      </c>
    </row>
    <row r="243">
      <c r="A243" s="15" t="n"/>
      <c r="B243" s="15" t="n"/>
      <c r="C243" s="37" t="n"/>
      <c r="D243" s="16" t="n"/>
      <c r="E243" s="16" t="n"/>
      <c r="F243" s="17" t="n"/>
      <c r="G243" s="15" t="n"/>
      <c r="H243" s="18">
        <f>IF(OR($A243="",$E243=0),"",$E243/spy_d2)</f>
        <v/>
      </c>
      <c r="I243" s="18">
        <f>IF(OR($A243="",$H243=0),"",IFERROR((SUMIF(tblProsesler[VarlikId],$B243,tblProsesler[USL_birim])-SUMIF(tblProsesler[VarlikId],$B243,tblProsesler[LSL_birim]))/(spy_altiSigma*$H243),0))</f>
        <v/>
      </c>
      <c r="J243" s="18">
        <f>IF(OR($A243="",$H243=0),"",IFERROR(MIN((SUMIF(tblProsesler[VarlikId],$B243,tblProsesler[USL_birim])-$D243)/(spy_ucSigma*$H243),($D243-SUMIF(tblProsesler[VarlikId],$B243,tblProsesler[LSL_birim]))/(spy_ucSigma*$H243)),0))</f>
        <v/>
      </c>
      <c r="K243" s="18">
        <f>IF($A243="","",IFERROR(AVERAGEIF(tblOlcum[VarlikId],$B243,tblOlcum[Xbar_birim])+spy_A2*$E243,0))</f>
        <v/>
      </c>
      <c r="L243" s="18">
        <f>IF($A243="","",IFERROR(AVERAGEIF(tblOlcum[VarlikId],$B243,tblOlcum[Xbar_birim])-spy_A2*$E243,0))</f>
        <v/>
      </c>
      <c r="M243" s="18">
        <f>IF($A243="","",MAX(0,MIN(100,spy_kaliteTaban-IF($J243&lt;spy_esikCpk,spy_kaliteCeza,0)-IF(OR($D243&gt;$K243,$D243&lt;$L243),spy_kaliteSapma,0)-IF($P243="YETIM",spy_kaliteCeza,0))))</f>
        <v/>
      </c>
      <c r="N243" s="18">
        <f>IF($A243="","",IF(OR($J243&lt;spy_esikCpk,$D243&gt;$K243,$D243&lt;$L243,$M243&lt;spy_esikSaglik),"ALARM","UYGUN"))</f>
        <v/>
      </c>
      <c r="O243" s="18">
        <f>IF($A243="","",1)</f>
        <v/>
      </c>
      <c r="P243" s="18">
        <f>IF($A243="","",IF(OR($B243="",COUNTIF(tblProsesler[VarlikId],$B243)=0),"YETIM","TAMAM"))</f>
        <v/>
      </c>
    </row>
    <row r="244">
      <c r="A244" s="15" t="n"/>
      <c r="B244" s="15" t="n"/>
      <c r="C244" s="37" t="n"/>
      <c r="D244" s="16" t="n"/>
      <c r="E244" s="16" t="n"/>
      <c r="F244" s="17" t="n"/>
      <c r="G244" s="15" t="n"/>
      <c r="H244" s="18">
        <f>IF(OR($A244="",$E244=0),"",$E244/spy_d2)</f>
        <v/>
      </c>
      <c r="I244" s="18">
        <f>IF(OR($A244="",$H244=0),"",IFERROR((SUMIF(tblProsesler[VarlikId],$B244,tblProsesler[USL_birim])-SUMIF(tblProsesler[VarlikId],$B244,tblProsesler[LSL_birim]))/(spy_altiSigma*$H244),0))</f>
        <v/>
      </c>
      <c r="J244" s="18">
        <f>IF(OR($A244="",$H244=0),"",IFERROR(MIN((SUMIF(tblProsesler[VarlikId],$B244,tblProsesler[USL_birim])-$D244)/(spy_ucSigma*$H244),($D244-SUMIF(tblProsesler[VarlikId],$B244,tblProsesler[LSL_birim]))/(spy_ucSigma*$H244)),0))</f>
        <v/>
      </c>
      <c r="K244" s="18">
        <f>IF($A244="","",IFERROR(AVERAGEIF(tblOlcum[VarlikId],$B244,tblOlcum[Xbar_birim])+spy_A2*$E244,0))</f>
        <v/>
      </c>
      <c r="L244" s="18">
        <f>IF($A244="","",IFERROR(AVERAGEIF(tblOlcum[VarlikId],$B244,tblOlcum[Xbar_birim])-spy_A2*$E244,0))</f>
        <v/>
      </c>
      <c r="M244" s="18">
        <f>IF($A244="","",MAX(0,MIN(100,spy_kaliteTaban-IF($J244&lt;spy_esikCpk,spy_kaliteCeza,0)-IF(OR($D244&gt;$K244,$D244&lt;$L244),spy_kaliteSapma,0)-IF($P244="YETIM",spy_kaliteCeza,0))))</f>
        <v/>
      </c>
      <c r="N244" s="18">
        <f>IF($A244="","",IF(OR($J244&lt;spy_esikCpk,$D244&gt;$K244,$D244&lt;$L244,$M244&lt;spy_esikSaglik),"ALARM","UYGUN"))</f>
        <v/>
      </c>
      <c r="O244" s="18">
        <f>IF($A244="","",1)</f>
        <v/>
      </c>
      <c r="P244" s="18">
        <f>IF($A244="","",IF(OR($B244="",COUNTIF(tblProsesler[VarlikId],$B244)=0),"YETIM","TAMAM"))</f>
        <v/>
      </c>
    </row>
    <row r="245">
      <c r="A245" s="15" t="n"/>
      <c r="B245" s="15" t="n"/>
      <c r="C245" s="37" t="n"/>
      <c r="D245" s="16" t="n"/>
      <c r="E245" s="16" t="n"/>
      <c r="F245" s="17" t="n"/>
      <c r="G245" s="15" t="n"/>
      <c r="H245" s="18">
        <f>IF(OR($A245="",$E245=0),"",$E245/spy_d2)</f>
        <v/>
      </c>
      <c r="I245" s="18">
        <f>IF(OR($A245="",$H245=0),"",IFERROR((SUMIF(tblProsesler[VarlikId],$B245,tblProsesler[USL_birim])-SUMIF(tblProsesler[VarlikId],$B245,tblProsesler[LSL_birim]))/(spy_altiSigma*$H245),0))</f>
        <v/>
      </c>
      <c r="J245" s="18">
        <f>IF(OR($A245="",$H245=0),"",IFERROR(MIN((SUMIF(tblProsesler[VarlikId],$B245,tblProsesler[USL_birim])-$D245)/(spy_ucSigma*$H245),($D245-SUMIF(tblProsesler[VarlikId],$B245,tblProsesler[LSL_birim]))/(spy_ucSigma*$H245)),0))</f>
        <v/>
      </c>
      <c r="K245" s="18">
        <f>IF($A245="","",IFERROR(AVERAGEIF(tblOlcum[VarlikId],$B245,tblOlcum[Xbar_birim])+spy_A2*$E245,0))</f>
        <v/>
      </c>
      <c r="L245" s="18">
        <f>IF($A245="","",IFERROR(AVERAGEIF(tblOlcum[VarlikId],$B245,tblOlcum[Xbar_birim])-spy_A2*$E245,0))</f>
        <v/>
      </c>
      <c r="M245" s="18">
        <f>IF($A245="","",MAX(0,MIN(100,spy_kaliteTaban-IF($J245&lt;spy_esikCpk,spy_kaliteCeza,0)-IF(OR($D245&gt;$K245,$D245&lt;$L245),spy_kaliteSapma,0)-IF($P245="YETIM",spy_kaliteCeza,0))))</f>
        <v/>
      </c>
      <c r="N245" s="18">
        <f>IF($A245="","",IF(OR($J245&lt;spy_esikCpk,$D245&gt;$K245,$D245&lt;$L245,$M245&lt;spy_esikSaglik),"ALARM","UYGUN"))</f>
        <v/>
      </c>
      <c r="O245" s="18">
        <f>IF($A245="","",1)</f>
        <v/>
      </c>
      <c r="P245" s="18">
        <f>IF($A245="","",IF(OR($B245="",COUNTIF(tblProsesler[VarlikId],$B245)=0),"YETIM","TAMAM"))</f>
        <v/>
      </c>
    </row>
    <row r="246">
      <c r="A246" s="15" t="n"/>
      <c r="B246" s="15" t="n"/>
      <c r="C246" s="37" t="n"/>
      <c r="D246" s="16" t="n"/>
      <c r="E246" s="16" t="n"/>
      <c r="F246" s="17" t="n"/>
      <c r="G246" s="15" t="n"/>
      <c r="H246" s="18">
        <f>IF(OR($A246="",$E246=0),"",$E246/spy_d2)</f>
        <v/>
      </c>
      <c r="I246" s="18">
        <f>IF(OR($A246="",$H246=0),"",IFERROR((SUMIF(tblProsesler[VarlikId],$B246,tblProsesler[USL_birim])-SUMIF(tblProsesler[VarlikId],$B246,tblProsesler[LSL_birim]))/(spy_altiSigma*$H246),0))</f>
        <v/>
      </c>
      <c r="J246" s="18">
        <f>IF(OR($A246="",$H246=0),"",IFERROR(MIN((SUMIF(tblProsesler[VarlikId],$B246,tblProsesler[USL_birim])-$D246)/(spy_ucSigma*$H246),($D246-SUMIF(tblProsesler[VarlikId],$B246,tblProsesler[LSL_birim]))/(spy_ucSigma*$H246)),0))</f>
        <v/>
      </c>
      <c r="K246" s="18">
        <f>IF($A246="","",IFERROR(AVERAGEIF(tblOlcum[VarlikId],$B246,tblOlcum[Xbar_birim])+spy_A2*$E246,0))</f>
        <v/>
      </c>
      <c r="L246" s="18">
        <f>IF($A246="","",IFERROR(AVERAGEIF(tblOlcum[VarlikId],$B246,tblOlcum[Xbar_birim])-spy_A2*$E246,0))</f>
        <v/>
      </c>
      <c r="M246" s="18">
        <f>IF($A246="","",MAX(0,MIN(100,spy_kaliteTaban-IF($J246&lt;spy_esikCpk,spy_kaliteCeza,0)-IF(OR($D246&gt;$K246,$D246&lt;$L246),spy_kaliteSapma,0)-IF($P246="YETIM",spy_kaliteCeza,0))))</f>
        <v/>
      </c>
      <c r="N246" s="18">
        <f>IF($A246="","",IF(OR($J246&lt;spy_esikCpk,$D246&gt;$K246,$D246&lt;$L246,$M246&lt;spy_esikSaglik),"ALARM","UYGUN"))</f>
        <v/>
      </c>
      <c r="O246" s="18">
        <f>IF($A246="","",1)</f>
        <v/>
      </c>
      <c r="P246" s="18">
        <f>IF($A246="","",IF(OR($B246="",COUNTIF(tblProsesler[VarlikId],$B246)=0),"YETIM","TAMAM"))</f>
        <v/>
      </c>
    </row>
    <row r="247">
      <c r="A247" s="15" t="n"/>
      <c r="B247" s="15" t="n"/>
      <c r="C247" s="37" t="n"/>
      <c r="D247" s="16" t="n"/>
      <c r="E247" s="16" t="n"/>
      <c r="F247" s="17" t="n"/>
      <c r="G247" s="15" t="n"/>
      <c r="H247" s="18">
        <f>IF(OR($A247="",$E247=0),"",$E247/spy_d2)</f>
        <v/>
      </c>
      <c r="I247" s="18">
        <f>IF(OR($A247="",$H247=0),"",IFERROR((SUMIF(tblProsesler[VarlikId],$B247,tblProsesler[USL_birim])-SUMIF(tblProsesler[VarlikId],$B247,tblProsesler[LSL_birim]))/(spy_altiSigma*$H247),0))</f>
        <v/>
      </c>
      <c r="J247" s="18">
        <f>IF(OR($A247="",$H247=0),"",IFERROR(MIN((SUMIF(tblProsesler[VarlikId],$B247,tblProsesler[USL_birim])-$D247)/(spy_ucSigma*$H247),($D247-SUMIF(tblProsesler[VarlikId],$B247,tblProsesler[LSL_birim]))/(spy_ucSigma*$H247)),0))</f>
        <v/>
      </c>
      <c r="K247" s="18">
        <f>IF($A247="","",IFERROR(AVERAGEIF(tblOlcum[VarlikId],$B247,tblOlcum[Xbar_birim])+spy_A2*$E247,0))</f>
        <v/>
      </c>
      <c r="L247" s="18">
        <f>IF($A247="","",IFERROR(AVERAGEIF(tblOlcum[VarlikId],$B247,tblOlcum[Xbar_birim])-spy_A2*$E247,0))</f>
        <v/>
      </c>
      <c r="M247" s="18">
        <f>IF($A247="","",MAX(0,MIN(100,spy_kaliteTaban-IF($J247&lt;spy_esikCpk,spy_kaliteCeza,0)-IF(OR($D247&gt;$K247,$D247&lt;$L247),spy_kaliteSapma,0)-IF($P247="YETIM",spy_kaliteCeza,0))))</f>
        <v/>
      </c>
      <c r="N247" s="18">
        <f>IF($A247="","",IF(OR($J247&lt;spy_esikCpk,$D247&gt;$K247,$D247&lt;$L247,$M247&lt;spy_esikSaglik),"ALARM","UYGUN"))</f>
        <v/>
      </c>
      <c r="O247" s="18">
        <f>IF($A247="","",1)</f>
        <v/>
      </c>
      <c r="P247" s="18">
        <f>IF($A247="","",IF(OR($B247="",COUNTIF(tblProsesler[VarlikId],$B247)=0),"YETIM","TAMAM"))</f>
        <v/>
      </c>
    </row>
    <row r="248">
      <c r="A248" s="15" t="n"/>
      <c r="B248" s="15" t="n"/>
      <c r="C248" s="37" t="n"/>
      <c r="D248" s="16" t="n"/>
      <c r="E248" s="16" t="n"/>
      <c r="F248" s="17" t="n"/>
      <c r="G248" s="15" t="n"/>
      <c r="H248" s="18">
        <f>IF(OR($A248="",$E248=0),"",$E248/spy_d2)</f>
        <v/>
      </c>
      <c r="I248" s="18">
        <f>IF(OR($A248="",$H248=0),"",IFERROR((SUMIF(tblProsesler[VarlikId],$B248,tblProsesler[USL_birim])-SUMIF(tblProsesler[VarlikId],$B248,tblProsesler[LSL_birim]))/(spy_altiSigma*$H248),0))</f>
        <v/>
      </c>
      <c r="J248" s="18">
        <f>IF(OR($A248="",$H248=0),"",IFERROR(MIN((SUMIF(tblProsesler[VarlikId],$B248,tblProsesler[USL_birim])-$D248)/(spy_ucSigma*$H248),($D248-SUMIF(tblProsesler[VarlikId],$B248,tblProsesler[LSL_birim]))/(spy_ucSigma*$H248)),0))</f>
        <v/>
      </c>
      <c r="K248" s="18">
        <f>IF($A248="","",IFERROR(AVERAGEIF(tblOlcum[VarlikId],$B248,tblOlcum[Xbar_birim])+spy_A2*$E248,0))</f>
        <v/>
      </c>
      <c r="L248" s="18">
        <f>IF($A248="","",IFERROR(AVERAGEIF(tblOlcum[VarlikId],$B248,tblOlcum[Xbar_birim])-spy_A2*$E248,0))</f>
        <v/>
      </c>
      <c r="M248" s="18">
        <f>IF($A248="","",MAX(0,MIN(100,spy_kaliteTaban-IF($J248&lt;spy_esikCpk,spy_kaliteCeza,0)-IF(OR($D248&gt;$K248,$D248&lt;$L248),spy_kaliteSapma,0)-IF($P248="YETIM",spy_kaliteCeza,0))))</f>
        <v/>
      </c>
      <c r="N248" s="18">
        <f>IF($A248="","",IF(OR($J248&lt;spy_esikCpk,$D248&gt;$K248,$D248&lt;$L248,$M248&lt;spy_esikSaglik),"ALARM","UYGUN"))</f>
        <v/>
      </c>
      <c r="O248" s="18">
        <f>IF($A248="","",1)</f>
        <v/>
      </c>
      <c r="P248" s="18">
        <f>IF($A248="","",IF(OR($B248="",COUNTIF(tblProsesler[VarlikId],$B248)=0),"YETIM","TAMAM"))</f>
        <v/>
      </c>
    </row>
    <row r="249">
      <c r="A249" s="15" t="n"/>
      <c r="B249" s="15" t="n"/>
      <c r="C249" s="37" t="n"/>
      <c r="D249" s="16" t="n"/>
      <c r="E249" s="16" t="n"/>
      <c r="F249" s="17" t="n"/>
      <c r="G249" s="15" t="n"/>
      <c r="H249" s="18">
        <f>IF(OR($A249="",$E249=0),"",$E249/spy_d2)</f>
        <v/>
      </c>
      <c r="I249" s="18">
        <f>IF(OR($A249="",$H249=0),"",IFERROR((SUMIF(tblProsesler[VarlikId],$B249,tblProsesler[USL_birim])-SUMIF(tblProsesler[VarlikId],$B249,tblProsesler[LSL_birim]))/(spy_altiSigma*$H249),0))</f>
        <v/>
      </c>
      <c r="J249" s="18">
        <f>IF(OR($A249="",$H249=0),"",IFERROR(MIN((SUMIF(tblProsesler[VarlikId],$B249,tblProsesler[USL_birim])-$D249)/(spy_ucSigma*$H249),($D249-SUMIF(tblProsesler[VarlikId],$B249,tblProsesler[LSL_birim]))/(spy_ucSigma*$H249)),0))</f>
        <v/>
      </c>
      <c r="K249" s="18">
        <f>IF($A249="","",IFERROR(AVERAGEIF(tblOlcum[VarlikId],$B249,tblOlcum[Xbar_birim])+spy_A2*$E249,0))</f>
        <v/>
      </c>
      <c r="L249" s="18">
        <f>IF($A249="","",IFERROR(AVERAGEIF(tblOlcum[VarlikId],$B249,tblOlcum[Xbar_birim])-spy_A2*$E249,0))</f>
        <v/>
      </c>
      <c r="M249" s="18">
        <f>IF($A249="","",MAX(0,MIN(100,spy_kaliteTaban-IF($J249&lt;spy_esikCpk,spy_kaliteCeza,0)-IF(OR($D249&gt;$K249,$D249&lt;$L249),spy_kaliteSapma,0)-IF($P249="YETIM",spy_kaliteCeza,0))))</f>
        <v/>
      </c>
      <c r="N249" s="18">
        <f>IF($A249="","",IF(OR($J249&lt;spy_esikCpk,$D249&gt;$K249,$D249&lt;$L249,$M249&lt;spy_esikSaglik),"ALARM","UYGUN"))</f>
        <v/>
      </c>
      <c r="O249" s="18">
        <f>IF($A249="","",1)</f>
        <v/>
      </c>
      <c r="P249" s="18">
        <f>IF($A249="","",IF(OR($B249="",COUNTIF(tblProsesler[VarlikId],$B249)=0),"YETIM","TAMAM"))</f>
        <v/>
      </c>
    </row>
    <row r="250">
      <c r="A250" s="15" t="n"/>
      <c r="B250" s="15" t="n"/>
      <c r="C250" s="37" t="n"/>
      <c r="D250" s="16" t="n"/>
      <c r="E250" s="16" t="n"/>
      <c r="F250" s="17" t="n"/>
      <c r="G250" s="15" t="n"/>
      <c r="H250" s="18">
        <f>IF(OR($A250="",$E250=0),"",$E250/spy_d2)</f>
        <v/>
      </c>
      <c r="I250" s="18">
        <f>IF(OR($A250="",$H250=0),"",IFERROR((SUMIF(tblProsesler[VarlikId],$B250,tblProsesler[USL_birim])-SUMIF(tblProsesler[VarlikId],$B250,tblProsesler[LSL_birim]))/(spy_altiSigma*$H250),0))</f>
        <v/>
      </c>
      <c r="J250" s="18">
        <f>IF(OR($A250="",$H250=0),"",IFERROR(MIN((SUMIF(tblProsesler[VarlikId],$B250,tblProsesler[USL_birim])-$D250)/(spy_ucSigma*$H250),($D250-SUMIF(tblProsesler[VarlikId],$B250,tblProsesler[LSL_birim]))/(spy_ucSigma*$H250)),0))</f>
        <v/>
      </c>
      <c r="K250" s="18">
        <f>IF($A250="","",IFERROR(AVERAGEIF(tblOlcum[VarlikId],$B250,tblOlcum[Xbar_birim])+spy_A2*$E250,0))</f>
        <v/>
      </c>
      <c r="L250" s="18">
        <f>IF($A250="","",IFERROR(AVERAGEIF(tblOlcum[VarlikId],$B250,tblOlcum[Xbar_birim])-spy_A2*$E250,0))</f>
        <v/>
      </c>
      <c r="M250" s="18">
        <f>IF($A250="","",MAX(0,MIN(100,spy_kaliteTaban-IF($J250&lt;spy_esikCpk,spy_kaliteCeza,0)-IF(OR($D250&gt;$K250,$D250&lt;$L250),spy_kaliteSapma,0)-IF($P250="YETIM",spy_kaliteCeza,0))))</f>
        <v/>
      </c>
      <c r="N250" s="18">
        <f>IF($A250="","",IF(OR($J250&lt;spy_esikCpk,$D250&gt;$K250,$D250&lt;$L250,$M250&lt;spy_esikSaglik),"ALARM","UYGUN"))</f>
        <v/>
      </c>
      <c r="O250" s="18">
        <f>IF($A250="","",1)</f>
        <v/>
      </c>
      <c r="P250" s="18">
        <f>IF($A250="","",IF(OR($B250="",COUNTIF(tblProsesler[VarlikId],$B250)=0),"YETIM","TAMAM"))</f>
        <v/>
      </c>
    </row>
    <row r="251">
      <c r="A251" s="15" t="n"/>
      <c r="B251" s="15" t="n"/>
      <c r="C251" s="37" t="n"/>
      <c r="D251" s="16" t="n"/>
      <c r="E251" s="16" t="n"/>
      <c r="F251" s="17" t="n"/>
      <c r="G251" s="15" t="n"/>
      <c r="H251" s="18">
        <f>IF(OR($A251="",$E251=0),"",$E251/spy_d2)</f>
        <v/>
      </c>
      <c r="I251" s="18">
        <f>IF(OR($A251="",$H251=0),"",IFERROR((SUMIF(tblProsesler[VarlikId],$B251,tblProsesler[USL_birim])-SUMIF(tblProsesler[VarlikId],$B251,tblProsesler[LSL_birim]))/(spy_altiSigma*$H251),0))</f>
        <v/>
      </c>
      <c r="J251" s="18">
        <f>IF(OR($A251="",$H251=0),"",IFERROR(MIN((SUMIF(tblProsesler[VarlikId],$B251,tblProsesler[USL_birim])-$D251)/(spy_ucSigma*$H251),($D251-SUMIF(tblProsesler[VarlikId],$B251,tblProsesler[LSL_birim]))/(spy_ucSigma*$H251)),0))</f>
        <v/>
      </c>
      <c r="K251" s="18">
        <f>IF($A251="","",IFERROR(AVERAGEIF(tblOlcum[VarlikId],$B251,tblOlcum[Xbar_birim])+spy_A2*$E251,0))</f>
        <v/>
      </c>
      <c r="L251" s="18">
        <f>IF($A251="","",IFERROR(AVERAGEIF(tblOlcum[VarlikId],$B251,tblOlcum[Xbar_birim])-spy_A2*$E251,0))</f>
        <v/>
      </c>
      <c r="M251" s="18">
        <f>IF($A251="","",MAX(0,MIN(100,spy_kaliteTaban-IF($J251&lt;spy_esikCpk,spy_kaliteCeza,0)-IF(OR($D251&gt;$K251,$D251&lt;$L251),spy_kaliteSapma,0)-IF($P251="YETIM",spy_kaliteCeza,0))))</f>
        <v/>
      </c>
      <c r="N251" s="18">
        <f>IF($A251="","",IF(OR($J251&lt;spy_esikCpk,$D251&gt;$K251,$D251&lt;$L251,$M251&lt;spy_esikSaglik),"ALARM","UYGUN"))</f>
        <v/>
      </c>
      <c r="O251" s="18">
        <f>IF($A251="","",1)</f>
        <v/>
      </c>
      <c r="P251" s="18">
        <f>IF($A251="","",IF(OR($B251="",COUNTIF(tblProsesler[VarlikId],$B251)=0),"YETIM","TAMAM"))</f>
        <v/>
      </c>
    </row>
    <row r="252">
      <c r="A252" s="15" t="n"/>
      <c r="B252" s="15" t="n"/>
      <c r="C252" s="37" t="n"/>
      <c r="D252" s="16" t="n"/>
      <c r="E252" s="16" t="n"/>
      <c r="F252" s="17" t="n"/>
      <c r="G252" s="15" t="n"/>
      <c r="H252" s="18">
        <f>IF(OR($A252="",$E252=0),"",$E252/spy_d2)</f>
        <v/>
      </c>
      <c r="I252" s="18">
        <f>IF(OR($A252="",$H252=0),"",IFERROR((SUMIF(tblProsesler[VarlikId],$B252,tblProsesler[USL_birim])-SUMIF(tblProsesler[VarlikId],$B252,tblProsesler[LSL_birim]))/(spy_altiSigma*$H252),0))</f>
        <v/>
      </c>
      <c r="J252" s="18">
        <f>IF(OR($A252="",$H252=0),"",IFERROR(MIN((SUMIF(tblProsesler[VarlikId],$B252,tblProsesler[USL_birim])-$D252)/(spy_ucSigma*$H252),($D252-SUMIF(tblProsesler[VarlikId],$B252,tblProsesler[LSL_birim]))/(spy_ucSigma*$H252)),0))</f>
        <v/>
      </c>
      <c r="K252" s="18">
        <f>IF($A252="","",IFERROR(AVERAGEIF(tblOlcum[VarlikId],$B252,tblOlcum[Xbar_birim])+spy_A2*$E252,0))</f>
        <v/>
      </c>
      <c r="L252" s="18">
        <f>IF($A252="","",IFERROR(AVERAGEIF(tblOlcum[VarlikId],$B252,tblOlcum[Xbar_birim])-spy_A2*$E252,0))</f>
        <v/>
      </c>
      <c r="M252" s="18">
        <f>IF($A252="","",MAX(0,MIN(100,spy_kaliteTaban-IF($J252&lt;spy_esikCpk,spy_kaliteCeza,0)-IF(OR($D252&gt;$K252,$D252&lt;$L252),spy_kaliteSapma,0)-IF($P252="YETIM",spy_kaliteCeza,0))))</f>
        <v/>
      </c>
      <c r="N252" s="18">
        <f>IF($A252="","",IF(OR($J252&lt;spy_esikCpk,$D252&gt;$K252,$D252&lt;$L252,$M252&lt;spy_esikSaglik),"ALARM","UYGUN"))</f>
        <v/>
      </c>
      <c r="O252" s="18">
        <f>IF($A252="","",1)</f>
        <v/>
      </c>
      <c r="P252" s="18">
        <f>IF($A252="","",IF(OR($B252="",COUNTIF(tblProsesler[VarlikId],$B252)=0),"YETIM","TAMAM"))</f>
        <v/>
      </c>
    </row>
    <row r="253">
      <c r="A253" s="15" t="n"/>
      <c r="B253" s="15" t="n"/>
      <c r="C253" s="37" t="n"/>
      <c r="D253" s="16" t="n"/>
      <c r="E253" s="16" t="n"/>
      <c r="F253" s="17" t="n"/>
      <c r="G253" s="15" t="n"/>
      <c r="H253" s="18">
        <f>IF(OR($A253="",$E253=0),"",$E253/spy_d2)</f>
        <v/>
      </c>
      <c r="I253" s="18">
        <f>IF(OR($A253="",$H253=0),"",IFERROR((SUMIF(tblProsesler[VarlikId],$B253,tblProsesler[USL_birim])-SUMIF(tblProsesler[VarlikId],$B253,tblProsesler[LSL_birim]))/(spy_altiSigma*$H253),0))</f>
        <v/>
      </c>
      <c r="J253" s="18">
        <f>IF(OR($A253="",$H253=0),"",IFERROR(MIN((SUMIF(tblProsesler[VarlikId],$B253,tblProsesler[USL_birim])-$D253)/(spy_ucSigma*$H253),($D253-SUMIF(tblProsesler[VarlikId],$B253,tblProsesler[LSL_birim]))/(spy_ucSigma*$H253)),0))</f>
        <v/>
      </c>
      <c r="K253" s="18">
        <f>IF($A253="","",IFERROR(AVERAGEIF(tblOlcum[VarlikId],$B253,tblOlcum[Xbar_birim])+spy_A2*$E253,0))</f>
        <v/>
      </c>
      <c r="L253" s="18">
        <f>IF($A253="","",IFERROR(AVERAGEIF(tblOlcum[VarlikId],$B253,tblOlcum[Xbar_birim])-spy_A2*$E253,0))</f>
        <v/>
      </c>
      <c r="M253" s="18">
        <f>IF($A253="","",MAX(0,MIN(100,spy_kaliteTaban-IF($J253&lt;spy_esikCpk,spy_kaliteCeza,0)-IF(OR($D253&gt;$K253,$D253&lt;$L253),spy_kaliteSapma,0)-IF($P253="YETIM",spy_kaliteCeza,0))))</f>
        <v/>
      </c>
      <c r="N253" s="18">
        <f>IF($A253="","",IF(OR($J253&lt;spy_esikCpk,$D253&gt;$K253,$D253&lt;$L253,$M253&lt;spy_esikSaglik),"ALARM","UYGUN"))</f>
        <v/>
      </c>
      <c r="O253" s="18">
        <f>IF($A253="","",1)</f>
        <v/>
      </c>
      <c r="P253" s="18">
        <f>IF($A253="","",IF(OR($B253="",COUNTIF(tblProsesler[VarlikId],$B253)=0),"YETIM","TAMAM"))</f>
        <v/>
      </c>
    </row>
    <row r="254">
      <c r="A254" s="15" t="n"/>
      <c r="B254" s="15" t="n"/>
      <c r="C254" s="37" t="n"/>
      <c r="D254" s="16" t="n"/>
      <c r="E254" s="16" t="n"/>
      <c r="F254" s="17" t="n"/>
      <c r="G254" s="15" t="n"/>
      <c r="H254" s="18">
        <f>IF(OR($A254="",$E254=0),"",$E254/spy_d2)</f>
        <v/>
      </c>
      <c r="I254" s="18">
        <f>IF(OR($A254="",$H254=0),"",IFERROR((SUMIF(tblProsesler[VarlikId],$B254,tblProsesler[USL_birim])-SUMIF(tblProsesler[VarlikId],$B254,tblProsesler[LSL_birim]))/(spy_altiSigma*$H254),0))</f>
        <v/>
      </c>
      <c r="J254" s="18">
        <f>IF(OR($A254="",$H254=0),"",IFERROR(MIN((SUMIF(tblProsesler[VarlikId],$B254,tblProsesler[USL_birim])-$D254)/(spy_ucSigma*$H254),($D254-SUMIF(tblProsesler[VarlikId],$B254,tblProsesler[LSL_birim]))/(spy_ucSigma*$H254)),0))</f>
        <v/>
      </c>
      <c r="K254" s="18">
        <f>IF($A254="","",IFERROR(AVERAGEIF(tblOlcum[VarlikId],$B254,tblOlcum[Xbar_birim])+spy_A2*$E254,0))</f>
        <v/>
      </c>
      <c r="L254" s="18">
        <f>IF($A254="","",IFERROR(AVERAGEIF(tblOlcum[VarlikId],$B254,tblOlcum[Xbar_birim])-spy_A2*$E254,0))</f>
        <v/>
      </c>
      <c r="M254" s="18">
        <f>IF($A254="","",MAX(0,MIN(100,spy_kaliteTaban-IF($J254&lt;spy_esikCpk,spy_kaliteCeza,0)-IF(OR($D254&gt;$K254,$D254&lt;$L254),spy_kaliteSapma,0)-IF($P254="YETIM",spy_kaliteCeza,0))))</f>
        <v/>
      </c>
      <c r="N254" s="18">
        <f>IF($A254="","",IF(OR($J254&lt;spy_esikCpk,$D254&gt;$K254,$D254&lt;$L254,$M254&lt;spy_esikSaglik),"ALARM","UYGUN"))</f>
        <v/>
      </c>
      <c r="O254" s="18">
        <f>IF($A254="","",1)</f>
        <v/>
      </c>
      <c r="P254" s="18">
        <f>IF($A254="","",IF(OR($B254="",COUNTIF(tblProsesler[VarlikId],$B254)=0),"YETIM","TAMAM"))</f>
        <v/>
      </c>
    </row>
    <row r="255">
      <c r="A255" s="15" t="n"/>
      <c r="B255" s="15" t="n"/>
      <c r="C255" s="37" t="n"/>
      <c r="D255" s="16" t="n"/>
      <c r="E255" s="16" t="n"/>
      <c r="F255" s="17" t="n"/>
      <c r="G255" s="15" t="n"/>
      <c r="H255" s="18">
        <f>IF(OR($A255="",$E255=0),"",$E255/spy_d2)</f>
        <v/>
      </c>
      <c r="I255" s="18">
        <f>IF(OR($A255="",$H255=0),"",IFERROR((SUMIF(tblProsesler[VarlikId],$B255,tblProsesler[USL_birim])-SUMIF(tblProsesler[VarlikId],$B255,tblProsesler[LSL_birim]))/(spy_altiSigma*$H255),0))</f>
        <v/>
      </c>
      <c r="J255" s="18">
        <f>IF(OR($A255="",$H255=0),"",IFERROR(MIN((SUMIF(tblProsesler[VarlikId],$B255,tblProsesler[USL_birim])-$D255)/(spy_ucSigma*$H255),($D255-SUMIF(tblProsesler[VarlikId],$B255,tblProsesler[LSL_birim]))/(spy_ucSigma*$H255)),0))</f>
        <v/>
      </c>
      <c r="K255" s="18">
        <f>IF($A255="","",IFERROR(AVERAGEIF(tblOlcum[VarlikId],$B255,tblOlcum[Xbar_birim])+spy_A2*$E255,0))</f>
        <v/>
      </c>
      <c r="L255" s="18">
        <f>IF($A255="","",IFERROR(AVERAGEIF(tblOlcum[VarlikId],$B255,tblOlcum[Xbar_birim])-spy_A2*$E255,0))</f>
        <v/>
      </c>
      <c r="M255" s="18">
        <f>IF($A255="","",MAX(0,MIN(100,spy_kaliteTaban-IF($J255&lt;spy_esikCpk,spy_kaliteCeza,0)-IF(OR($D255&gt;$K255,$D255&lt;$L255),spy_kaliteSapma,0)-IF($P255="YETIM",spy_kaliteCeza,0))))</f>
        <v/>
      </c>
      <c r="N255" s="18">
        <f>IF($A255="","",IF(OR($J255&lt;spy_esikCpk,$D255&gt;$K255,$D255&lt;$L255,$M255&lt;spy_esikSaglik),"ALARM","UYGUN"))</f>
        <v/>
      </c>
      <c r="O255" s="18">
        <f>IF($A255="","",1)</f>
        <v/>
      </c>
      <c r="P255" s="18">
        <f>IF($A255="","",IF(OR($B255="",COUNTIF(tblProsesler[VarlikId],$B255)=0),"YETIM","TAMAM"))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P3"/>
  </mergeCells>
  <conditionalFormatting sqref="N6:N255">
    <cfRule type="cellIs" priority="1" operator="equal" dxfId="1">
      <formula>"ALARM"</formula>
    </cfRule>
  </conditionalFormatting>
  <conditionalFormatting sqref="P6:P255">
    <cfRule type="cellIs" priority="2" operator="equal" dxfId="0">
      <formula>"YETIM"</formula>
    </cfRule>
  </conditionalFormatting>
  <conditionalFormatting sqref="J6:J255">
    <cfRule type="cellIs" priority="3" operator="lessThan" dxfId="0">
      <formula>spy_esikCpk</formula>
    </cfRule>
  </conditionalFormatting>
  <conditionalFormatting sqref="M6:M255">
    <cfRule type="cellIs" priority="4" operator="lessThan" dxfId="2">
      <formula>spy_esikSaglik</formula>
    </cfRule>
  </conditionalFormatting>
  <dataValidations count="7">
    <dataValidation sqref="A6:A255" showDropDown="0" showInputMessage="1" showErrorMessage="1" allowBlank="1" errorTitle="Kimlik" error="En az 1 karakter" promptTitle="Ölçüm Kimliği" prompt="OLC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PRS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X̄ [birim]" error="0 veya üzeri" promptTitle="X̄ [birim]" prompt="X̄ [birim] ≥ 0" type="decimal" errorStyle="stop" operator="greaterThanOrEqual">
      <formula1>0</formula1>
    </dataValidation>
    <dataValidation sqref="E6:E255" showDropDown="0" showInputMessage="1" showErrorMessage="1" allowBlank="1" errorTitle="R [birim]" error="0 veya üzeri" promptTitle="R [birim]" prompt="R [birim] ≥ 0" type="decimal" errorStyle="stop" operator="greaterThanOrEqual">
      <formula1>0</formula1>
    </dataValidation>
    <dataValidation sqref="F6:F255" showDropDown="0" showInputMessage="1" showErrorMessage="1" allowBlank="1" errorTitle="n [adet]" error="0 veya üzeri" promptTitle="n [adet]" prompt="n [adet]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Vardiya" prompt="Listeden seçin" type="list" errorStyle="stop">
      <formula1>ListeVardiya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F2742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4.5" customWidth="1" min="1" max="1"/>
    <col width="15.5" customWidth="1" min="2" max="2"/>
    <col width="14.5" customWidth="1" min="3" max="3"/>
    <col width="12" customWidth="1" min="4" max="4"/>
    <col width="12" customWidth="1" min="5" max="5"/>
    <col width="19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DONEM ANALIZ — SPC Proses Yetenek Analizi</t>
        </is>
      </c>
    </row>
    <row r="3" ht="22" customHeight="1">
      <c r="A3" s="36" t="inlineStr">
        <is>
          <t>12 aylık sezonsallık — Cp/Cpk zinciri (S03)</t>
        </is>
      </c>
    </row>
    <row r="5">
      <c r="A5" s="20" t="inlineStr">
        <is>
          <t>Ay</t>
        </is>
      </c>
      <c r="B5" s="20" t="inlineStr">
        <is>
          <t>Ay_Anahtari</t>
        </is>
      </c>
      <c r="C5" s="20" t="inlineStr">
        <is>
          <t>Olcum Adet</t>
        </is>
      </c>
      <c r="D5" s="20" t="inlineStr">
        <is>
          <t>Ort Cpk</t>
        </is>
      </c>
      <c r="E5" s="20" t="inlineStr">
        <is>
          <t>Ort Cp</t>
        </is>
      </c>
      <c r="F5" s="20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1" t="n">
        <v>28</v>
      </c>
      <c r="D6" s="22" t="n">
        <v>1.22</v>
      </c>
      <c r="E6" s="22" t="n">
        <v>1.35</v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1" t="n">
        <v>30</v>
      </c>
      <c r="D7" s="22" t="n">
        <v>1.18</v>
      </c>
      <c r="E7" s="22" t="n">
        <v>1.3</v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1" t="n">
        <v>32</v>
      </c>
      <c r="D8" s="22" t="n">
        <v>1.25</v>
      </c>
      <c r="E8" s="22" t="n">
        <v>1.38</v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1" t="n">
        <v>35</v>
      </c>
      <c r="D9" s="22" t="n">
        <v>1.3</v>
      </c>
      <c r="E9" s="22" t="n">
        <v>1.42</v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1" t="n">
        <v>38</v>
      </c>
      <c r="D10" s="22" t="n">
        <v>1.28</v>
      </c>
      <c r="E10" s="22" t="n">
        <v>1.4</v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1" t="n">
        <v>40</v>
      </c>
      <c r="D11" s="22" t="n">
        <v>1.35</v>
      </c>
      <c r="E11" s="22" t="n">
        <v>1.48</v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1" t="n">
        <v>42</v>
      </c>
      <c r="D12" s="22" t="n">
        <v>1.4</v>
      </c>
      <c r="E12" s="22" t="n">
        <v>1.52</v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1" t="n">
        <v>41</v>
      </c>
      <c r="D13" s="22" t="n">
        <v>1.33</v>
      </c>
      <c r="E13" s="22" t="n">
        <v>1.45</v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1" t="n">
        <v>36</v>
      </c>
      <c r="D14" s="22" t="n">
        <v>1.27</v>
      </c>
      <c r="E14" s="22" t="n">
        <v>1.38</v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1" t="n">
        <v>33</v>
      </c>
      <c r="D15" s="22" t="n">
        <v>1.2</v>
      </c>
      <c r="E15" s="22" t="n">
        <v>1.32</v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1" t="n">
        <v>30</v>
      </c>
      <c r="D16" s="22" t="n">
        <v>1.16</v>
      </c>
      <c r="E16" s="22" t="n">
        <v>1.28</v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1" t="n">
        <v>29</v>
      </c>
      <c r="D17" s="22" t="n">
        <v>1.19</v>
      </c>
      <c r="E17" s="22" t="n">
        <v>1.31</v>
      </c>
      <c r="F17" s="7" t="inlineStr">
        <is>
          <t>12_AY_SEZONSAL</t>
        </is>
      </c>
    </row>
    <row r="20">
      <c r="A20" s="23" t="inlineStr">
        <is>
          <t>Sezonsal Trend Özeti</t>
        </is>
      </c>
      <c r="B20" s="8">
        <f>spy_sezonsalTrend</f>
        <v/>
      </c>
    </row>
    <row r="22">
      <c r="A22" s="13" t="inlineStr">
        <is>
          <t>12 Ay Toplam Ölçüm</t>
        </is>
      </c>
      <c r="B22" s="21">
        <f>SUM(C6:C17)</f>
        <v/>
      </c>
    </row>
    <row r="23">
      <c r="A23" s="13" t="inlineStr">
        <is>
          <t>12 Ay Ort Cpk</t>
        </is>
      </c>
      <c r="B23" s="22">
        <f>IFERROR(AVERAGE(D6:D17),0)</f>
        <v/>
      </c>
    </row>
    <row r="24">
      <c r="A24" s="13" t="inlineStr">
        <is>
          <t>12 Ay Ort Cp</t>
        </is>
      </c>
      <c r="B24" s="22">
        <f>IFERROR(AVERAGE(E6:E17),0)</f>
        <v/>
      </c>
    </row>
    <row r="25">
      <c r="A25" s="13" t="inlineStr">
        <is>
          <t>Canlı dönem ölçüm</t>
        </is>
      </c>
      <c r="B25" s="21">
        <f>spy_doluKayit</f>
        <v/>
      </c>
    </row>
    <row r="26">
      <c r="A26" s="13" t="inlineStr">
        <is>
          <t>Canlı dönem Cpk</t>
        </is>
      </c>
      <c r="B26" s="22">
        <f>spy_cpkOrt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20:F20"/>
    <mergeCell ref="A3:I3"/>
  </mergeCells>
  <conditionalFormatting sqref="D6">
    <cfRule type="cellIs" priority="1" operator="greaterThan" dxfId="3">
      <formula>0</formula>
    </cfRule>
    <cfRule type="cellIs" priority="2" operator="lessThan" dxfId="0">
      <formula>spy_esikCpk</formula>
    </cfRule>
  </conditionalFormatting>
  <conditionalFormatting sqref="D7">
    <cfRule type="cellIs" priority="3" operator="greaterThan" dxfId="3">
      <formula>0</formula>
    </cfRule>
    <cfRule type="cellIs" priority="4" operator="lessThan" dxfId="0">
      <formula>spy_esikCpk</formula>
    </cfRule>
  </conditionalFormatting>
  <conditionalFormatting sqref="D8">
    <cfRule type="cellIs" priority="5" operator="greaterThan" dxfId="3">
      <formula>0</formula>
    </cfRule>
    <cfRule type="cellIs" priority="6" operator="lessThan" dxfId="0">
      <formula>spy_esikCpk</formula>
    </cfRule>
  </conditionalFormatting>
  <conditionalFormatting sqref="D9">
    <cfRule type="cellIs" priority="7" operator="greaterThan" dxfId="3">
      <formula>0</formula>
    </cfRule>
    <cfRule type="cellIs" priority="8" operator="lessThan" dxfId="0">
      <formula>spy_esikCpk</formula>
    </cfRule>
  </conditionalFormatting>
  <conditionalFormatting sqref="D10">
    <cfRule type="cellIs" priority="9" operator="greaterThan" dxfId="3">
      <formula>0</formula>
    </cfRule>
    <cfRule type="cellIs" priority="10" operator="lessThan" dxfId="0">
      <formula>spy_esikCpk</formula>
    </cfRule>
  </conditionalFormatting>
  <conditionalFormatting sqref="D11">
    <cfRule type="cellIs" priority="11" operator="greaterThan" dxfId="3">
      <formula>0</formula>
    </cfRule>
    <cfRule type="cellIs" priority="12" operator="lessThan" dxfId="0">
      <formula>spy_esikCpk</formula>
    </cfRule>
  </conditionalFormatting>
  <conditionalFormatting sqref="D12">
    <cfRule type="cellIs" priority="13" operator="greaterThan" dxfId="3">
      <formula>0</formula>
    </cfRule>
    <cfRule type="cellIs" priority="14" operator="lessThan" dxfId="0">
      <formula>spy_esikCpk</formula>
    </cfRule>
  </conditionalFormatting>
  <conditionalFormatting sqref="D13">
    <cfRule type="cellIs" priority="15" operator="greaterThan" dxfId="3">
      <formula>0</formula>
    </cfRule>
    <cfRule type="cellIs" priority="16" operator="lessThan" dxfId="0">
      <formula>spy_esikCpk</formula>
    </cfRule>
  </conditionalFormatting>
  <conditionalFormatting sqref="D14">
    <cfRule type="cellIs" priority="17" operator="greaterThan" dxfId="3">
      <formula>0</formula>
    </cfRule>
    <cfRule type="cellIs" priority="18" operator="lessThan" dxfId="0">
      <formula>spy_esikCpk</formula>
    </cfRule>
  </conditionalFormatting>
  <conditionalFormatting sqref="D15">
    <cfRule type="cellIs" priority="19" operator="greaterThan" dxfId="3">
      <formula>0</formula>
    </cfRule>
    <cfRule type="cellIs" priority="20" operator="lessThan" dxfId="0">
      <formula>spy_esikCpk</formula>
    </cfRule>
  </conditionalFormatting>
  <conditionalFormatting sqref="D16">
    <cfRule type="cellIs" priority="21" operator="greaterThan" dxfId="3">
      <formula>0</formula>
    </cfRule>
    <cfRule type="cellIs" priority="22" operator="lessThan" dxfId="0">
      <formula>spy_esikCpk</formula>
    </cfRule>
  </conditionalFormatting>
  <conditionalFormatting sqref="D17">
    <cfRule type="cellIs" priority="23" operator="greaterThan" dxfId="3">
      <formula>0</formula>
    </cfRule>
    <cfRule type="cellIs" priority="24" operator="lessThan" dxfId="0">
      <formula>spy_esikCpk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F2742"/>
    <outlinePr summaryBelow="1" summaryRight="1"/>
    <pageSetUpPr/>
  </sheetPr>
  <dimension ref="A1:I52"/>
  <sheetViews>
    <sheetView showGridLines="0" workbookViewId="0">
      <selection activeCell="A1" sqref="A1"/>
    </sheetView>
  </sheetViews>
  <sheetFormatPr baseColWidth="8" defaultRowHeight="15"/>
  <cols>
    <col width="8.5" customWidth="1" min="1" max="1"/>
    <col width="32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HESAP — SPC Proses Yetenek Analizi</t>
        </is>
      </c>
    </row>
    <row r="3" ht="22" customHeight="1">
      <c r="A3" s="36" t="inlineStr">
        <is>
          <t>Hesap motoru — ≥40 adım; Cp/Cpk sabitleri AYARLAR'dan</t>
        </is>
      </c>
    </row>
    <row r="5">
      <c r="A5" s="20" t="inlineStr">
        <is>
          <t>Adım</t>
        </is>
      </c>
      <c r="B5" s="20" t="inlineStr">
        <is>
          <t>Açıklama</t>
        </is>
      </c>
      <c r="C5" s="20" t="inlineStr">
        <is>
          <t>Değer</t>
        </is>
      </c>
    </row>
    <row r="6">
      <c r="A6" s="7" t="inlineStr">
        <is>
          <t>H01</t>
        </is>
      </c>
      <c r="B6" s="7" t="inlineStr">
        <is>
          <t>Toplam ölçüm kayıt</t>
        </is>
      </c>
      <c r="C6" s="21">
        <f>COUNTA(tblOlcum[SatirId])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1">
        <f>SUM(tblOlcum[FormulKayitDolu])</f>
        <v/>
      </c>
    </row>
    <row r="8">
      <c r="A8" s="7" t="inlineStr">
        <is>
          <t>H03</t>
        </is>
      </c>
      <c r="B8" s="7" t="inlineStr">
        <is>
          <t>X̄ toplam</t>
        </is>
      </c>
      <c r="C8" s="22">
        <f>SUM(tblOlcum[Xbar_birim])</f>
        <v/>
      </c>
    </row>
    <row r="9">
      <c r="A9" s="7" t="inlineStr">
        <is>
          <t>H04</t>
        </is>
      </c>
      <c r="B9" s="7" t="inlineStr">
        <is>
          <t>R toplam</t>
        </is>
      </c>
      <c r="C9" s="22">
        <f>SUM(tblOlcum[R_birim])</f>
        <v/>
      </c>
    </row>
    <row r="10">
      <c r="A10" s="7" t="inlineStr">
        <is>
          <t>H05</t>
        </is>
      </c>
      <c r="B10" s="7" t="inlineStr">
        <is>
          <t>Sigma ortalama</t>
        </is>
      </c>
      <c r="C10" s="22">
        <f>IFERROR(AVERAGEIF(tblOlcum[FormulSigma],"&gt;0"),0)</f>
        <v/>
      </c>
    </row>
    <row r="11">
      <c r="A11" s="7" t="inlineStr">
        <is>
          <t>H06</t>
        </is>
      </c>
      <c r="B11" s="7" t="inlineStr">
        <is>
          <t>Cp ortalama</t>
        </is>
      </c>
      <c r="C11" s="22">
        <f>IFERROR(AVERAGEIF(tblOlcum[FormulCp],"&gt;0"),0)</f>
        <v/>
      </c>
    </row>
    <row r="12">
      <c r="A12" s="7" t="inlineStr">
        <is>
          <t>H07</t>
        </is>
      </c>
      <c r="B12" s="7" t="inlineStr">
        <is>
          <t>Cpk ortalama</t>
        </is>
      </c>
      <c r="C12" s="22">
        <f>IFERROR(AVERAGEIF(tblOlcum[FormulCpk],"&gt;0"),0)</f>
        <v/>
      </c>
    </row>
    <row r="13">
      <c r="A13" s="7" t="inlineStr">
        <is>
          <t>H08</t>
        </is>
      </c>
      <c r="B13" s="7" t="inlineStr">
        <is>
          <t>Min Cpk</t>
        </is>
      </c>
      <c r="C13" s="22">
        <f>IFERROR(MIN(tblOlcum[FormulCpk]),0)</f>
        <v/>
      </c>
    </row>
    <row r="14">
      <c r="A14" s="7" t="inlineStr">
        <is>
          <t>H09</t>
        </is>
      </c>
      <c r="B14" s="7" t="inlineStr">
        <is>
          <t>Max Cpk</t>
        </is>
      </c>
      <c r="C14" s="22">
        <f>IFERROR(MAX(tblOlcum[FormulCpk]),0)</f>
        <v/>
      </c>
    </row>
    <row r="15">
      <c r="A15" s="7" t="inlineStr">
        <is>
          <t>H10</t>
        </is>
      </c>
      <c r="B15" s="7" t="inlineStr">
        <is>
          <t>X̄ ortalama</t>
        </is>
      </c>
      <c r="C15" s="22">
        <f>IFERROR(AVERAGEIF(tblOlcum[Xbar_birim],"&gt;0"),0)</f>
        <v/>
      </c>
    </row>
    <row r="16">
      <c r="A16" s="7" t="inlineStr">
        <is>
          <t>H11</t>
        </is>
      </c>
      <c r="B16" s="7" t="inlineStr">
        <is>
          <t>Aktif proses adet</t>
        </is>
      </c>
      <c r="C16" s="21">
        <f>COUNTIF(tblProsesler[Aktif],"EVET")</f>
        <v/>
      </c>
    </row>
    <row r="17">
      <c r="A17" s="7" t="inlineStr">
        <is>
          <t>H12</t>
        </is>
      </c>
      <c r="B17" s="7" t="inlineStr">
        <is>
          <t>Toplam proses kart</t>
        </is>
      </c>
      <c r="C17" s="21">
        <f>COUNTA(tblProsesler[VarlikId])</f>
        <v/>
      </c>
    </row>
    <row r="18">
      <c r="A18" s="7" t="inlineStr">
        <is>
          <t>H13</t>
        </is>
      </c>
      <c r="B18" s="7" t="inlineStr">
        <is>
          <t>Alarm adet</t>
        </is>
      </c>
      <c r="C18" s="21">
        <f>COUNTIF(tblOlcum[AlarmBayrak],"ALARM")</f>
        <v/>
      </c>
    </row>
    <row r="19">
      <c r="A19" s="7" t="inlineStr">
        <is>
          <t>H14</t>
        </is>
      </c>
      <c r="B19" s="7" t="inlineStr">
        <is>
          <t>Yetim kayıt</t>
        </is>
      </c>
      <c r="C19" s="21">
        <f>COUNTIF(tblOlcum[FormulYetim],"YETIM")</f>
        <v/>
      </c>
    </row>
    <row r="20">
      <c r="A20" s="7" t="inlineStr">
        <is>
          <t>H15</t>
        </is>
      </c>
      <c r="B20" s="7" t="inlineStr">
        <is>
          <t>Ortalama sağlık skor</t>
        </is>
      </c>
      <c r="C20" s="21">
        <f>IFERROR(AVERAGEIF(tblOlcum[SaglikSkorSatir],"&gt;0"),0)</f>
        <v/>
      </c>
    </row>
    <row r="21">
      <c r="A21" s="7" t="inlineStr">
        <is>
          <t>H16</t>
        </is>
      </c>
      <c r="B21" s="7" t="inlineStr">
        <is>
          <t>Min sağlık skor</t>
        </is>
      </c>
      <c r="C21" s="21">
        <f>IFERROR(MIN(tblOlcum[SaglikSkorSatir]),0)</f>
        <v/>
      </c>
    </row>
    <row r="22">
      <c r="A22" s="7" t="inlineStr">
        <is>
          <t>H17</t>
        </is>
      </c>
      <c r="B22" s="7" t="inlineStr">
        <is>
          <t>Cpk eşik aşımı</t>
        </is>
      </c>
      <c r="C22" s="22">
        <f>COUNTIFS(tblOlcum[FormulCpk],"&lt;"&amp;spy_esikCpk,tblOlcum[FormulKayitDolu],"&gt;0")</f>
        <v/>
      </c>
    </row>
    <row r="23">
      <c r="A23" s="7" t="inlineStr">
        <is>
          <t>H18</t>
        </is>
      </c>
      <c r="B23" s="7" t="inlineStr">
        <is>
          <t>WE kontrol limiti aşımı</t>
        </is>
      </c>
      <c r="C23" s="21">
        <f>COUNTIFS(tblOlcum[AlarmBayrak],"ALARM",tblOlcum[FormulKayitDolu],"&gt;0")</f>
        <v/>
      </c>
    </row>
    <row r="24">
      <c r="A24" s="7" t="inlineStr">
        <is>
          <t>H19</t>
        </is>
      </c>
      <c r="B24" s="7" t="inlineStr">
        <is>
          <t>Düşük sağlık adet</t>
        </is>
      </c>
      <c r="C24" s="21">
        <f>COUNTIFS(tblOlcum[SaglikSkorSatir],"&lt;"&amp;spy_esikSaglik,tblOlcum[FormulKayitDolu],"&gt;0")</f>
        <v/>
      </c>
    </row>
    <row r="25">
      <c r="A25" s="7" t="inlineStr">
        <is>
          <t>H20</t>
        </is>
      </c>
      <c r="B25" s="7" t="inlineStr">
        <is>
          <t>Günlük X̄ ort</t>
        </is>
      </c>
      <c r="C25" s="22">
        <f>IFERROR(C15/MAX(C7,1),0)</f>
        <v/>
      </c>
    </row>
    <row r="26">
      <c r="A26" s="7" t="inlineStr">
        <is>
          <t>H21</t>
        </is>
      </c>
      <c r="B26" s="7" t="inlineStr">
        <is>
          <t>Aylık Cpk proxy</t>
        </is>
      </c>
      <c r="C26" s="22">
        <f>C12*spy_aylikCarpan</f>
        <v/>
      </c>
    </row>
    <row r="27">
      <c r="A27" s="7" t="inlineStr">
        <is>
          <t>H22</t>
        </is>
      </c>
      <c r="B27" s="7" t="inlineStr">
        <is>
          <t>Cpk sapma</t>
        </is>
      </c>
      <c r="C27" s="22">
        <f>IFERROR(ABS(C12-spy_esikCpk),0)</f>
        <v/>
      </c>
    </row>
    <row r="28">
      <c r="A28" s="7" t="inlineStr">
        <is>
          <t>H23</t>
        </is>
      </c>
      <c r="B28" s="7" t="inlineStr">
        <is>
          <t>Cp payı proxy</t>
        </is>
      </c>
      <c r="C28" s="38">
        <f>IFERROR(C11/MAX(C12,0.001),0)</f>
        <v/>
      </c>
    </row>
    <row r="29">
      <c r="A29" s="7" t="inlineStr">
        <is>
          <t>H24</t>
        </is>
      </c>
      <c r="B29" s="7" t="inlineStr">
        <is>
          <t>Sigma payı</t>
        </is>
      </c>
      <c r="C29" s="38">
        <f>IFERROR(C10/MAX(C15,0.001),0)</f>
        <v/>
      </c>
    </row>
    <row r="30">
      <c r="A30" s="7" t="inlineStr">
        <is>
          <t>H25</t>
        </is>
      </c>
      <c r="B30" s="7" t="inlineStr">
        <is>
          <t>R payı</t>
        </is>
      </c>
      <c r="C30" s="38">
        <f>IFERROR(C9/MAX(C8,0.001),0)</f>
        <v/>
      </c>
    </row>
    <row r="31">
      <c r="A31" s="7" t="inlineStr">
        <is>
          <t>H26</t>
        </is>
      </c>
      <c r="B31" s="7" t="inlineStr">
        <is>
          <t>Alarm oranı</t>
        </is>
      </c>
      <c r="C31" s="38">
        <f>IFERROR(C18/MAX(C7,1),0)</f>
        <v/>
      </c>
    </row>
    <row r="32">
      <c r="A32" s="7" t="inlineStr">
        <is>
          <t>H27</t>
        </is>
      </c>
      <c r="B32" s="7" t="inlineStr">
        <is>
          <t>Temkinli senaryo Cpk</t>
        </is>
      </c>
      <c r="C32" s="22">
        <f>C12*spy_senaryoTemkinli</f>
        <v/>
      </c>
    </row>
    <row r="33">
      <c r="A33" s="7" t="inlineStr">
        <is>
          <t>H28</t>
        </is>
      </c>
      <c r="B33" s="7" t="inlineStr">
        <is>
          <t>Baz senaryo Cpk</t>
        </is>
      </c>
      <c r="C33" s="22">
        <f>C12*spy_senaryoBaz</f>
        <v/>
      </c>
    </row>
    <row r="34">
      <c r="A34" s="7" t="inlineStr">
        <is>
          <t>H29</t>
        </is>
      </c>
      <c r="B34" s="7" t="inlineStr">
        <is>
          <t>İyimser senaryo Cpk</t>
        </is>
      </c>
      <c r="C34" s="22">
        <f>C12*spy_senaryoIyimser</f>
        <v/>
      </c>
    </row>
    <row r="35">
      <c r="A35" s="7" t="inlineStr">
        <is>
          <t>H30</t>
        </is>
      </c>
      <c r="B35" s="7" t="inlineStr">
        <is>
          <t>Senaryo farkı</t>
        </is>
      </c>
      <c r="C35" s="22">
        <f>C34-C32</f>
        <v/>
      </c>
    </row>
    <row r="36">
      <c r="A36" s="7" t="inlineStr">
        <is>
          <t>H31</t>
        </is>
      </c>
      <c r="B36" s="7" t="inlineStr">
        <is>
          <t>Tornado LSL etki</t>
        </is>
      </c>
      <c r="C36" s="22">
        <f>C12*spy_tornadoOran</f>
        <v/>
      </c>
    </row>
    <row r="37">
      <c r="A37" s="7" t="inlineStr">
        <is>
          <t>H32</t>
        </is>
      </c>
      <c r="B37" s="7" t="inlineStr">
        <is>
          <t>Tornado USL etki</t>
        </is>
      </c>
      <c r="C37" s="22">
        <f>C11*spy_tornadoOran</f>
        <v/>
      </c>
    </row>
    <row r="38">
      <c r="A38" s="7" t="inlineStr">
        <is>
          <t>H33</t>
        </is>
      </c>
      <c r="B38" s="7" t="inlineStr">
        <is>
          <t>Tornado sigma etki</t>
        </is>
      </c>
      <c r="C38" s="22">
        <f>C10*spy_tornadoOran</f>
        <v/>
      </c>
    </row>
    <row r="39">
      <c r="A39" s="7" t="inlineStr">
        <is>
          <t>H34</t>
        </is>
      </c>
      <c r="B39" s="7" t="inlineStr">
        <is>
          <t>Tornado zirve</t>
        </is>
      </c>
      <c r="C39" s="22">
        <f>MAX(C36,C37,C38)</f>
        <v/>
      </c>
    </row>
    <row r="40">
      <c r="A40" s="7" t="inlineStr">
        <is>
          <t>H35</t>
        </is>
      </c>
      <c r="B40" s="7" t="inlineStr">
        <is>
          <t>HHI proxy</t>
        </is>
      </c>
      <c r="C40" s="38">
        <f>IFERROR((C11/MAX(C11+C12,0.001))^2+(C12/MAX(C11+C12,0.001))^2+(C18/MAX(C7,1))^2+(C19/MAX(C7,1))^2,0)</f>
        <v/>
      </c>
    </row>
    <row r="41">
      <c r="A41" s="7" t="inlineStr">
        <is>
          <t>H36</t>
        </is>
      </c>
      <c r="B41" s="7" t="inlineStr">
        <is>
          <t>Kalite skor</t>
        </is>
      </c>
      <c r="C41" s="21">
        <f>MAX(0,spy_kaliteTaban-C22*spy_kaliteCeza-C23*spy_kaliteSapma-C24*spy_kaliteSapma)</f>
        <v/>
      </c>
    </row>
    <row r="42">
      <c r="A42" s="7" t="inlineStr">
        <is>
          <t>H37</t>
        </is>
      </c>
      <c r="B42" s="7" t="inlineStr">
        <is>
          <t>Tahmin aralık</t>
        </is>
      </c>
      <c r="C42" s="22">
        <f>C33*spy_tahminCarpan</f>
        <v/>
      </c>
    </row>
    <row r="43">
      <c r="A43" s="7" t="inlineStr">
        <is>
          <t>H38</t>
        </is>
      </c>
      <c r="B43" s="7" t="inlineStr">
        <is>
          <t>P90 Cpk</t>
        </is>
      </c>
      <c r="C43" s="22">
        <f>IFERROR(PERCENTILE(tblOlcum[FormulCpk],spy_percentileOran),C12*spy_yuzdelikOran)</f>
        <v/>
      </c>
    </row>
    <row r="44">
      <c r="A44" s="7" t="inlineStr">
        <is>
          <t>H39</t>
        </is>
      </c>
      <c r="B44" s="7" t="inlineStr">
        <is>
          <t>Senaryo motor metin</t>
        </is>
      </c>
      <c r="C44" s="7">
        <f>_xlfn.TEXTJOIN("|",TRUE,"T",TEXT(C32,"0.00"),"B",TEXT(C33,"0.00"),"I",TEXT(C34,"0.00"))</f>
        <v/>
      </c>
    </row>
    <row r="45">
      <c r="A45" s="7" t="inlineStr">
        <is>
          <t>H40</t>
        </is>
      </c>
      <c r="B45" s="7" t="inlineStr">
        <is>
          <t>Sezonsal 12 ay Cpk</t>
        </is>
      </c>
      <c r="C45" s="22">
        <f>DONEM_ANALIZ!B23</f>
        <v/>
      </c>
    </row>
    <row r="46">
      <c r="A46" s="7" t="inlineStr">
        <is>
          <t>H41</t>
        </is>
      </c>
      <c r="B46" s="7" t="inlineStr">
        <is>
          <t>Sezonsal 12 ay ölçüm</t>
        </is>
      </c>
      <c r="C46" s="21">
        <f>DONEM_ANALIZ!B22</f>
        <v/>
      </c>
    </row>
    <row r="47">
      <c r="A47" s="7" t="inlineStr">
        <is>
          <t>H42</t>
        </is>
      </c>
      <c r="B47" s="7" t="inlineStr">
        <is>
          <t>Kritik sinyal</t>
        </is>
      </c>
      <c r="C47" s="7">
        <f>IF(OR(C18&gt;0,C24&gt;0,C20&lt;spy_esikSaglik),1,0)</f>
        <v/>
      </c>
    </row>
    <row r="48">
      <c r="A48" s="7" t="inlineStr">
        <is>
          <t>H43</t>
        </is>
      </c>
      <c r="B48" s="7" t="inlineStr">
        <is>
          <t>Karar kodu ham</t>
        </is>
      </c>
      <c r="C48" s="7">
        <f>IF(C7=0,0,IF(C47=1,3,IF(OR(C22&gt;0,C12&lt;spy_esikCpk),2,1)))</f>
        <v/>
      </c>
    </row>
    <row r="49">
      <c r="A49" s="7" t="inlineStr">
        <is>
          <t>H44</t>
        </is>
      </c>
      <c r="B49" s="7" t="inlineStr">
        <is>
          <t>Cpk çıpa</t>
        </is>
      </c>
      <c r="C49" s="22">
        <f>C12</f>
        <v/>
      </c>
    </row>
    <row r="50">
      <c r="A50" s="7" t="inlineStr">
        <is>
          <t>H45</t>
        </is>
      </c>
      <c r="B50" s="7" t="inlineStr">
        <is>
          <t>Alarm listesi özet adet</t>
        </is>
      </c>
      <c r="C50" s="21">
        <f>C18</f>
        <v/>
      </c>
    </row>
    <row r="51">
      <c r="A51" s="7" t="inlineStr">
        <is>
          <t>H46</t>
        </is>
      </c>
      <c r="B51" s="7" t="inlineStr">
        <is>
          <t>Varlık sağlık ort</t>
        </is>
      </c>
      <c r="C51" s="21">
        <f>IFERROR(AVERAGEIF(tblProsesler[SaglikSkor],"&gt;0"),0)</f>
        <v/>
      </c>
    </row>
    <row r="52">
      <c r="A52" s="7" t="inlineStr">
        <is>
          <t>H47</t>
        </is>
      </c>
      <c r="B52" s="7" t="inlineStr">
        <is>
          <t>Tahmin FORECAST</t>
        </is>
      </c>
      <c r="C52" s="22">
        <f>IFERROR(FORECAST(C7+1,tblOlcum[FormulCpk],tblOlcum[FormulKayitDolu]),C42)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M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42" t="inlineStr">
        <is>
          <t>☰ PANO</t>
        </is>
      </c>
      <c r="B1" s="143" t="n"/>
      <c r="C1" s="143" t="n"/>
      <c r="D1" s="143" t="n"/>
      <c r="E1" s="143" t="n"/>
      <c r="F1" s="143" t="n"/>
      <c r="G1" s="143" t="n"/>
      <c r="H1" s="143" t="n"/>
      <c r="I1" s="144" t="n"/>
    </row>
    <row r="2" ht="28" customHeight="1">
      <c r="B2" s="43" t="inlineStr">
        <is>
          <t>STRATEJİK YÖNETİCİ KOKPİTİ</t>
        </is>
      </c>
      <c r="L2" s="44" t="inlineStr">
        <is>
          <t>Dönem: 2026 / Tam ▼</t>
        </is>
      </c>
      <c r="M2" s="45" t="inlineStr">
        <is>
          <t>★ DOĞRULANMIŞ</t>
        </is>
      </c>
    </row>
    <row r="3" ht="18" customHeight="1">
      <c r="A3" s="36" t="inlineStr">
        <is>
          <t>Karar panosu — Cp/Cpk + alarm + trend</t>
        </is>
      </c>
      <c r="B3" s="46" t="inlineStr">
        <is>
          <t>Yönetici Karar Kokpiti, Otomatik Doğrulama ve Dinamik Hesaplama Sistemi · 2026</t>
        </is>
      </c>
    </row>
    <row r="4" ht="10" customHeight="1"/>
    <row r="5" ht="20" customHeight="1">
      <c r="A5" s="25" t="inlineStr">
        <is>
          <t>KARAR</t>
        </is>
      </c>
      <c r="B5" s="47">
        <f>spy_kararKapi</f>
        <v/>
      </c>
      <c r="C5" s="48" t="n"/>
      <c r="D5" s="49" t="n"/>
      <c r="E5" s="50" t="n"/>
      <c r="F5" s="48" t="n"/>
      <c r="G5" s="51" t="n"/>
      <c r="H5" s="52" t="n"/>
      <c r="I5" s="48" t="n"/>
      <c r="J5" s="53" t="n"/>
      <c r="K5" s="54" t="n"/>
      <c r="L5" s="48" t="n"/>
      <c r="M5" s="55" t="n"/>
    </row>
    <row r="6" ht="6" customHeight="1">
      <c r="A6" s="20" t="inlineStr">
        <is>
          <t>Gösterge</t>
        </is>
      </c>
      <c r="B6" s="56" t="inlineStr">
        <is>
          <t>Değer</t>
        </is>
      </c>
      <c r="C6" s="57" t="n"/>
      <c r="D6" s="58" t="n"/>
      <c r="E6" s="59" t="n"/>
      <c r="F6" s="57" t="n"/>
      <c r="G6" s="58" t="n"/>
      <c r="H6" s="60" t="n"/>
      <c r="I6" s="57" t="n"/>
      <c r="J6" s="58" t="n"/>
      <c r="K6" s="61" t="n"/>
      <c r="L6" s="57" t="n"/>
      <c r="M6" s="58" t="n"/>
    </row>
    <row r="7" ht="32" customHeight="1">
      <c r="A7" s="7" t="inlineStr">
        <is>
          <t>Dolu Kayıt</t>
        </is>
      </c>
      <c r="B7" s="62">
        <f>spy_doluKayit</f>
        <v/>
      </c>
      <c r="C7" s="57" t="n"/>
      <c r="D7" s="63" t="inlineStr">
        <is>
          <t>Gerekçe</t>
        </is>
      </c>
      <c r="E7" s="64">
        <f>spy_kararGerekce</f>
        <v/>
      </c>
      <c r="I7" s="57" t="n"/>
      <c r="J7" s="58" t="n"/>
      <c r="K7" s="66" t="n"/>
      <c r="L7" s="57" t="n"/>
      <c r="M7" s="58" t="n"/>
    </row>
    <row r="8" ht="6" customHeight="1">
      <c r="A8" s="7" t="inlineStr">
        <is>
          <t>Ort Cp</t>
        </is>
      </c>
      <c r="B8" s="67">
        <f>spy_cpOrt</f>
        <v/>
      </c>
      <c r="C8" s="57" t="n"/>
      <c r="D8" s="58" t="n"/>
      <c r="E8" s="145" t="n"/>
      <c r="I8" s="57" t="n"/>
      <c r="J8" s="58" t="n"/>
      <c r="K8" s="61" t="n"/>
      <c r="L8" s="57" t="n"/>
      <c r="M8" s="58" t="n"/>
    </row>
    <row r="9" ht="18" customHeight="1">
      <c r="A9" s="7" t="inlineStr">
        <is>
          <t>Ort Cpk</t>
        </is>
      </c>
      <c r="B9" s="68">
        <f>spy_cpkOrt</f>
        <v/>
      </c>
      <c r="C9" s="69" t="n"/>
      <c r="D9" s="70" t="n"/>
      <c r="E9" s="71" t="n"/>
      <c r="F9" s="69" t="n"/>
      <c r="G9" s="70" t="n"/>
      <c r="H9" s="72" t="n"/>
      <c r="I9" s="69" t="n"/>
      <c r="J9" s="70" t="n"/>
      <c r="K9" s="73" t="n"/>
      <c r="L9" s="69" t="n"/>
      <c r="M9" s="70" t="n"/>
    </row>
    <row r="10" ht="14" customHeight="1">
      <c r="A10" s="7" t="inlineStr">
        <is>
          <t>Min Cpk</t>
        </is>
      </c>
      <c r="B10" s="28">
        <f>spy_cpkMin</f>
        <v/>
      </c>
      <c r="D10" s="13" t="inlineStr">
        <is>
          <t>Öneri 1</t>
        </is>
      </c>
      <c r="E10" s="8">
        <f>_xlfn.TEXTJOIN(" ",TRUE,"Cpk",TEXT(spy_cpkOrt,"0.000"),"— eşik",TEXT(spy_esikCpk,"0.000"))</f>
        <v/>
      </c>
    </row>
    <row r="11" ht="24" customHeight="1">
      <c r="A11" s="7" t="inlineStr">
        <is>
          <t>Sigma Ort</t>
        </is>
      </c>
      <c r="B11" s="74">
        <f>spy_sigmaOrt</f>
        <v/>
      </c>
      <c r="D11" s="13" t="inlineStr">
        <is>
          <t>Öneri 2</t>
        </is>
      </c>
      <c r="E11" s="8">
        <f>_xlfn.TEXTJOIN(" ",TRUE,"WE alarm",spy_alarmAdet,"adet — sağlık",TEXT(spy_saglikSkor,"0"))</f>
        <v/>
      </c>
      <c r="F11" s="75" t="inlineStr">
        <is>
          <t>+%32 Verim</t>
        </is>
      </c>
      <c r="H11" s="76" t="inlineStr">
        <is>
          <t>KONSOLİDE OPERASYON VE KARAR MATRİSİ</t>
        </is>
      </c>
    </row>
    <row r="12" ht="18" customHeight="1">
      <c r="A12" s="7" t="inlineStr">
        <is>
          <t>X̄ Ort</t>
        </is>
      </c>
      <c r="B12" s="77">
        <f>spy_xbarOrt</f>
        <v/>
      </c>
      <c r="D12" s="13" t="inlineStr">
        <is>
          <t>Öneri 3</t>
        </is>
      </c>
      <c r="E12" s="8">
        <f>_xlfn.TEXTJOIN(" ",TRUE,"Tornado zirve",TEXT(spy_tornadoZirve,"0.000"),"etki")</f>
        <v/>
      </c>
      <c r="H12" s="78" t="inlineStr">
        <is>
          <t>Anlık Hesaplama Sonuçları ve Durum Puanlaması</t>
        </is>
      </c>
    </row>
    <row r="13" ht="8" customHeight="1">
      <c r="A13" s="7" t="inlineStr">
        <is>
          <t>Aktif Proses</t>
        </is>
      </c>
      <c r="B13" s="27">
        <f>spy_aktifProses</f>
        <v/>
      </c>
    </row>
    <row r="14" ht="24" customHeight="1">
      <c r="A14" s="7" t="inlineStr">
        <is>
          <t>WE Alarm Adet</t>
        </is>
      </c>
      <c r="B14" s="79">
        <f>spy_alarmAdet</f>
        <v/>
      </c>
      <c r="C14" s="80" t="n"/>
      <c r="D14" s="80" t="n"/>
      <c r="E14" s="80" t="n"/>
      <c r="H14" s="81" t="n"/>
      <c r="I14" s="82" t="n"/>
      <c r="J14" s="82" t="n"/>
      <c r="K14" s="82" t="n"/>
      <c r="L14" s="82" t="n"/>
      <c r="M14" s="82" t="n"/>
    </row>
    <row r="15" ht="22" customHeight="1">
      <c r="A15" s="7" t="inlineStr">
        <is>
          <t>Sağlık Skor Ort</t>
        </is>
      </c>
      <c r="B15" s="83">
        <f>spy_saglikSkor</f>
        <v/>
      </c>
      <c r="C15" s="84" t="n"/>
      <c r="D15" s="84" t="n"/>
      <c r="E15" s="84" t="n"/>
      <c r="H15" s="85" t="n"/>
      <c r="I15" s="86" t="n"/>
      <c r="J15" s="87" t="n"/>
      <c r="K15" s="88" t="n"/>
      <c r="L15" s="89" t="n"/>
      <c r="M15" s="90" t="n"/>
    </row>
    <row r="16" ht="22" customHeight="1">
      <c r="A16" s="7" t="inlineStr">
        <is>
          <t>Yetim Kayıt</t>
        </is>
      </c>
      <c r="B16" s="91">
        <f>spy_yetimAdet</f>
        <v/>
      </c>
      <c r="C16" s="92" t="n"/>
      <c r="D16" s="92" t="n"/>
      <c r="E16" s="92" t="n"/>
      <c r="H16" s="93" t="n"/>
      <c r="I16" s="94" t="n"/>
      <c r="J16" s="95" t="n"/>
      <c r="K16" s="96" t="n"/>
      <c r="L16" s="97" t="n"/>
      <c r="M16" s="98" t="n"/>
    </row>
    <row r="17" ht="22" customHeight="1">
      <c r="A17" s="7" t="inlineStr">
        <is>
          <t>Kalite Skor</t>
        </is>
      </c>
      <c r="B17" s="83">
        <f>spy_kaliteSkor</f>
        <v/>
      </c>
      <c r="C17" s="84" t="n"/>
      <c r="D17" s="84" t="n"/>
      <c r="E17" s="84" t="n"/>
      <c r="H17" s="85" t="n"/>
      <c r="I17" s="86" t="n"/>
      <c r="J17" s="87" t="n"/>
      <c r="K17" s="88" t="n"/>
      <c r="L17" s="99" t="n"/>
      <c r="M17" s="90" t="n"/>
    </row>
    <row r="18" ht="22" customHeight="1">
      <c r="A18" s="7" t="inlineStr">
        <is>
          <t>Tornado Zirve</t>
        </is>
      </c>
      <c r="B18" s="100">
        <f>spy_tornadoZirve</f>
        <v/>
      </c>
      <c r="C18" s="92" t="n"/>
      <c r="D18" s="92" t="n"/>
      <c r="E18" s="92" t="n"/>
      <c r="H18" s="93" t="n"/>
      <c r="I18" s="94" t="n"/>
      <c r="J18" s="95" t="n"/>
      <c r="K18" s="96" t="n"/>
      <c r="L18" s="101" t="n"/>
      <c r="M18" s="98" t="n"/>
    </row>
    <row r="19" ht="26" customHeight="1">
      <c r="A19" s="7" t="inlineStr">
        <is>
          <t>P90 Cpk</t>
        </is>
      </c>
      <c r="B19" s="102">
        <f>spy_yuzdelikP90</f>
        <v/>
      </c>
      <c r="C19" s="84" t="n"/>
      <c r="D19" s="84" t="n"/>
      <c r="E19" s="84" t="n"/>
      <c r="H19" s="103" t="n"/>
      <c r="I19" s="104" t="n"/>
      <c r="J19" s="105" t="n"/>
      <c r="K19" s="106" t="n"/>
      <c r="L19" s="107" t="n"/>
      <c r="M19" s="107" t="n"/>
    </row>
    <row r="20" ht="22" customHeight="1">
      <c r="A20" s="7" t="inlineStr">
        <is>
          <t>Cpk Sapma</t>
        </is>
      </c>
      <c r="B20" s="100">
        <f>spy_cpkSapma</f>
        <v/>
      </c>
      <c r="C20" s="92" t="n"/>
      <c r="D20" s="92" t="n"/>
      <c r="E20" s="92" t="n"/>
    </row>
    <row r="21" ht="14" customHeight="1"/>
    <row r="22" ht="24" customHeight="1">
      <c r="A22" s="7" t="inlineStr">
        <is>
          <t>Kalem</t>
        </is>
      </c>
      <c r="B22" s="108" t="inlineStr">
        <is>
          <t>Deger</t>
        </is>
      </c>
      <c r="C22" s="48" t="n"/>
      <c r="D22" s="109" t="inlineStr">
        <is>
          <t>Senaryo</t>
        </is>
      </c>
      <c r="E22" s="110" t="inlineStr">
        <is>
          <t>Cpk</t>
        </is>
      </c>
      <c r="F22" s="108" t="inlineStr">
        <is>
          <t>LİKİDİTE RİSKİ &amp; ERKEN UYARI SİNYALLERİ</t>
        </is>
      </c>
      <c r="G22" s="109" t="inlineStr">
        <is>
          <t>Hafta</t>
        </is>
      </c>
      <c r="H22" s="109" t="inlineStr">
        <is>
          <t>Cpk</t>
        </is>
      </c>
      <c r="I22" s="111" t="n"/>
      <c r="J22" s="7" t="inlineStr">
        <is>
          <t>Vardiya</t>
        </is>
      </c>
      <c r="K22" s="112" t="inlineStr">
        <is>
          <t>KARAR MOTORU</t>
        </is>
      </c>
      <c r="L22" s="113" t="n"/>
      <c r="M22" s="114" t="n"/>
    </row>
    <row r="23" ht="20" customHeight="1">
      <c r="A23" s="7" t="inlineStr">
        <is>
          <t>Cp</t>
        </is>
      </c>
      <c r="B23" s="115" t="n">
        <v>1.38</v>
      </c>
      <c r="C23" s="57" t="n"/>
      <c r="D23" s="116" t="inlineStr">
        <is>
          <t>Temkinli</t>
        </is>
      </c>
      <c r="E23" s="117" t="n">
        <v>1.12</v>
      </c>
      <c r="F23" s="118" t="inlineStr">
        <is>
          <t>Nakit Açığı Riski (30 Gün)</t>
        </is>
      </c>
      <c r="G23" s="116" t="inlineStr">
        <is>
          <t>H1</t>
        </is>
      </c>
      <c r="H23" s="119" t="n">
        <v>1.18</v>
      </c>
      <c r="I23" s="120" t="inlineStr">
        <is>
          <t>0.00 TL (Sıfır Risk)</t>
        </is>
      </c>
      <c r="J23" s="7" t="inlineStr">
        <is>
          <t>GUNDUZ</t>
        </is>
      </c>
      <c r="K23" s="121" t="inlineStr">
        <is>
          <t>LİKİDİTE OPTİMİZASYON FIRSATI</t>
        </is>
      </c>
      <c r="L23" s="122" t="n"/>
      <c r="M23" s="123" t="n"/>
    </row>
    <row r="24" ht="20" customHeight="1">
      <c r="A24" s="7" t="inlineStr">
        <is>
          <t>Cpk</t>
        </is>
      </c>
      <c r="B24" s="124" t="n">
        <v>1.25</v>
      </c>
      <c r="C24" s="57" t="n"/>
      <c r="D24" s="116" t="inlineStr">
        <is>
          <t>Baz</t>
        </is>
      </c>
      <c r="E24" s="117" t="n">
        <v>1.25</v>
      </c>
      <c r="F24" s="118" t="inlineStr">
        <is>
          <t>Tahsilat Gecikme Toleransı</t>
        </is>
      </c>
      <c r="G24" s="116" t="inlineStr">
        <is>
          <t>H2</t>
        </is>
      </c>
      <c r="H24" s="119" t="n">
        <v>1.21</v>
      </c>
      <c r="I24" s="120" t="inlineStr">
        <is>
          <t>48 Gün Güvenli Eşik</t>
        </is>
      </c>
      <c r="J24" s="7" t="inlineStr">
        <is>
          <t>GECE</t>
        </is>
      </c>
      <c r="K24" s="125" t="inlineStr">
        <is>
          <t>Atıl kalan nakit rezervinin gecelik repoda</t>
        </is>
      </c>
      <c r="L24" s="122" t="n"/>
      <c r="M24" s="123" t="n"/>
    </row>
    <row r="25" ht="20" customHeight="1">
      <c r="A25" s="7" t="inlineStr">
        <is>
          <t>Sigma</t>
        </is>
      </c>
      <c r="B25" s="126" t="n">
        <v>0.042</v>
      </c>
      <c r="C25" s="57" t="n"/>
      <c r="D25" s="116" t="inlineStr">
        <is>
          <t>Iyimser</t>
        </is>
      </c>
      <c r="E25" s="117" t="n">
        <v>1.38</v>
      </c>
      <c r="F25" s="89" t="inlineStr">
        <is>
          <t>██████████████████████████████ Güvenli Bölge (%100)</t>
        </is>
      </c>
      <c r="G25" s="127" t="inlineStr">
        <is>
          <t>H3</t>
        </is>
      </c>
      <c r="H25" s="128" t="n">
        <v>1.24</v>
      </c>
      <c r="I25" s="129" t="n"/>
      <c r="J25" s="7" t="inlineStr">
        <is>
          <t>HAFTASONU</t>
        </is>
      </c>
      <c r="K25" s="125" t="inlineStr">
        <is>
          <t>değerlendirilmesiyle ek getiri imkanı.</t>
        </is>
      </c>
      <c r="L25" s="122" t="n"/>
      <c r="M25" s="123" t="n"/>
    </row>
    <row r="26" ht="20" customHeight="1">
      <c r="A26" s="7" t="inlineStr">
        <is>
          <t>Alarm</t>
        </is>
      </c>
      <c r="B26" s="131" t="n">
        <v>3</v>
      </c>
      <c r="C26" s="57" t="n"/>
      <c r="D26" s="57" t="n"/>
      <c r="E26" s="58" t="n"/>
      <c r="F26" s="132" t="inlineStr">
        <is>
          <t>✓ 90 GÜNLÜK PROJEKSİYONDA NAKİT SIKIŞIKLIĞI TESPİT EDİLMEDİ</t>
        </is>
      </c>
      <c r="G26" s="133" t="inlineStr">
        <is>
          <t>H4</t>
        </is>
      </c>
      <c r="H26" s="134" t="n">
        <v>1.27</v>
      </c>
      <c r="I26" s="135" t="n"/>
      <c r="J26" s="7" t="inlineStr">
        <is>
          <t>NUMUNE</t>
        </is>
      </c>
      <c r="K26" s="136" t="inlineStr">
        <is>
          <t>FONLAMA SENARYOSUNU İNCELE ›</t>
        </is>
      </c>
      <c r="L26" s="90" t="n"/>
      <c r="M26" s="90" t="n"/>
    </row>
    <row r="27" ht="26" customHeight="1">
      <c r="B27" s="137" t="n"/>
      <c r="C27" s="69" t="n"/>
      <c r="D27" s="69" t="n"/>
      <c r="E27" s="70" t="n"/>
      <c r="F27" s="137" t="n"/>
      <c r="G27" s="138" t="inlineStr">
        <is>
          <t>H5</t>
        </is>
      </c>
      <c r="H27" s="139" t="n">
        <v>1.3</v>
      </c>
      <c r="I27" s="70" t="n"/>
      <c r="K27" s="140" t="n"/>
      <c r="L27" s="141" t="n"/>
      <c r="M27" s="142" t="n"/>
    </row>
    <row r="28">
      <c r="G28" s="7" t="inlineStr">
        <is>
          <t>H6</t>
        </is>
      </c>
      <c r="H28" s="22" t="n">
        <v>1.33</v>
      </c>
    </row>
    <row r="29">
      <c r="G29" s="7" t="inlineStr">
        <is>
          <t>H7</t>
        </is>
      </c>
      <c r="H29" s="22" t="n">
        <v>1.36</v>
      </c>
    </row>
    <row r="30">
      <c r="G30" s="7" t="inlineStr">
        <is>
          <t>H8</t>
        </is>
      </c>
      <c r="H30" s="22" t="n">
        <v>1.39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E7:H8"/>
    <mergeCell ref="A1:I1"/>
    <mergeCell ref="B2:K2"/>
    <mergeCell ref="B3:K3"/>
  </mergeCells>
  <conditionalFormatting sqref="B5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7">
    <cfRule type="cellIs" priority="5" operator="greaterThan" dxfId="3">
      <formula>0</formula>
    </cfRule>
  </conditionalFormatting>
  <conditionalFormatting sqref="B8">
    <cfRule type="cellIs" priority="6" operator="greaterThan" dxfId="3">
      <formula>0</formula>
    </cfRule>
  </conditionalFormatting>
  <conditionalFormatting sqref="B9">
    <cfRule type="cellIs" priority="7" operator="greaterThan" dxfId="3">
      <formula>0</formula>
    </cfRule>
  </conditionalFormatting>
  <conditionalFormatting sqref="B10">
    <cfRule type="cellIs" priority="8" operator="greaterThan" dxfId="3">
      <formula>0</formula>
    </cfRule>
  </conditionalFormatting>
  <conditionalFormatting sqref="B11">
    <cfRule type="cellIs" priority="9" operator="greaterThan" dxfId="3">
      <formula>0</formula>
    </cfRule>
  </conditionalFormatting>
  <conditionalFormatting sqref="B12">
    <cfRule type="cellIs" priority="10" operator="greaterThan" dxfId="3">
      <formula>0</formula>
    </cfRule>
  </conditionalFormatting>
  <conditionalFormatting sqref="B13">
    <cfRule type="cellIs" priority="11" operator="greaterThan" dxfId="3">
      <formula>0</formula>
    </cfRule>
  </conditionalFormatting>
  <conditionalFormatting sqref="B14">
    <cfRule type="cellIs" priority="12" operator="greaterThan" dxfId="3">
      <formula>0</formula>
    </cfRule>
  </conditionalFormatting>
  <conditionalFormatting sqref="B15">
    <cfRule type="cellIs" priority="13" operator="greaterThan" dxfId="3">
      <formula>0</formula>
    </cfRule>
  </conditionalFormatting>
  <conditionalFormatting sqref="B16">
    <cfRule type="cellIs" priority="14" operator="greaterThan" dxfId="3">
      <formula>0</formula>
    </cfRule>
  </conditionalFormatting>
  <conditionalFormatting sqref="B17">
    <cfRule type="cellIs" priority="15" operator="greaterThan" dxfId="3">
      <formula>0</formula>
    </cfRule>
  </conditionalFormatting>
  <conditionalFormatting sqref="B18">
    <cfRule type="cellIs" priority="16" operator="greaterThan" dxfId="3">
      <formula>0</formula>
    </cfRule>
  </conditionalFormatting>
  <conditionalFormatting sqref="B19">
    <cfRule type="cellIs" priority="17" operator="greaterThan" dxfId="3">
      <formula>0</formula>
    </cfRule>
  </conditionalFormatting>
  <conditionalFormatting sqref="B20">
    <cfRule type="cellIs" priority="18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&amp;LSPC Proses Yetenek Analizi | Pano | 1.0.0&amp;CExcelArşiv&amp;RSayfa &amp;P / &amp;N</oddFooter>
    <evenHeader/>
    <evenFooter>&amp;LSPC Proses Yetenek Analizi | Pano | 1.0.0&amp;CExcelArşiv&amp;RSayfa &amp;P / &amp;N</evenFooter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F2742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12" customWidth="1" min="2" max="2"/>
    <col width="12" customWidth="1" min="3" max="3"/>
    <col width="16.5" customWidth="1" min="4" max="4"/>
    <col width="12" customWidth="1" min="5" max="5"/>
    <col width="15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ALARMLAR — SPC Proses Yetenek Analizi</t>
        </is>
      </c>
    </row>
    <row r="3" ht="22" customHeight="1">
      <c r="A3" s="36" t="inlineStr">
        <is>
          <t>Alarm listesi — varlık + eşik + süre (S05)</t>
        </is>
      </c>
    </row>
    <row r="5">
      <c r="A5" s="20" t="inlineStr">
        <is>
          <t>Varlık</t>
        </is>
      </c>
      <c r="B5" s="20" t="inlineStr">
        <is>
          <t>Alarm</t>
        </is>
      </c>
      <c r="C5" s="20" t="inlineStr">
        <is>
          <t>Eşik</t>
        </is>
      </c>
      <c r="D5" s="20" t="inlineStr">
        <is>
          <t>Süre / Tarih</t>
        </is>
      </c>
      <c r="E5" s="20" t="inlineStr">
        <is>
          <t>Ort Cpk</t>
        </is>
      </c>
      <c r="F5" s="20" t="inlineStr">
        <is>
          <t>Sağlık Skor</t>
        </is>
      </c>
    </row>
    <row r="6">
      <c r="A6" s="7" t="inlineStr">
        <is>
          <t>PRS-00001</t>
        </is>
      </c>
      <c r="B6" s="7">
        <f>IF(OR(COUNTIFS(tblOlcum[VarlikId],A6,tblOlcum[AlarmBayrak],"ALARM")&gt;0,IFERROR(SUMIF(tblProsesler[VarlikId],A6,tblProsesler[SaglikSkor]),100)&lt;spy_esikSaglik),"ALARM","YOK")</f>
        <v/>
      </c>
      <c r="C6" s="22">
        <f>IFERROR(ABS(E6-spy_esikCpk),0)</f>
        <v/>
      </c>
      <c r="D6" s="39">
        <f>raporTarihi</f>
        <v/>
      </c>
      <c r="E6" s="22">
        <f>IFERROR(SUMIF(tblProsesler[VarlikId],A6,tblProsesler[OrtCpk]),0)</f>
        <v/>
      </c>
      <c r="F6" s="21">
        <f>IFERROR(SUMIF(tblProsesler[VarlikId],A6,tblProsesler[SaglikSkor]),0)</f>
        <v/>
      </c>
    </row>
    <row r="7">
      <c r="A7" s="7" t="inlineStr">
        <is>
          <t>PRS-00002</t>
        </is>
      </c>
      <c r="B7" s="7">
        <f>IF(OR(COUNTIFS(tblOlcum[VarlikId],A7,tblOlcum[AlarmBayrak],"ALARM")&gt;0,IFERROR(SUMIF(tblProsesler[VarlikId],A7,tblProsesler[SaglikSkor]),100)&lt;spy_esikSaglik),"ALARM","YOK")</f>
        <v/>
      </c>
      <c r="C7" s="22">
        <f>IFERROR(ABS(E7-spy_esikCpk),0)</f>
        <v/>
      </c>
      <c r="D7" s="39">
        <f>raporTarihi</f>
        <v/>
      </c>
      <c r="E7" s="22">
        <f>IFERROR(SUMIF(tblProsesler[VarlikId],A7,tblProsesler[OrtCpk]),0)</f>
        <v/>
      </c>
      <c r="F7" s="21">
        <f>IFERROR(SUMIF(tblProsesler[VarlikId],A7,tblProsesler[SaglikSkor]),0)</f>
        <v/>
      </c>
    </row>
    <row r="8">
      <c r="A8" s="7" t="inlineStr">
        <is>
          <t>PRS-00003</t>
        </is>
      </c>
      <c r="B8" s="7">
        <f>IF(OR(COUNTIFS(tblOlcum[VarlikId],A8,tblOlcum[AlarmBayrak],"ALARM")&gt;0,IFERROR(SUMIF(tblProsesler[VarlikId],A8,tblProsesler[SaglikSkor]),100)&lt;spy_esikSaglik),"ALARM","YOK")</f>
        <v/>
      </c>
      <c r="C8" s="22">
        <f>IFERROR(ABS(E8-spy_esikCpk),0)</f>
        <v/>
      </c>
      <c r="D8" s="39">
        <f>raporTarihi</f>
        <v/>
      </c>
      <c r="E8" s="22">
        <f>IFERROR(SUMIF(tblProsesler[VarlikId],A8,tblProsesler[OrtCpk]),0)</f>
        <v/>
      </c>
      <c r="F8" s="21">
        <f>IFERROR(SUMIF(tblProsesler[VarlikId],A8,tblProsesler[SaglikSkor]),0)</f>
        <v/>
      </c>
    </row>
    <row r="9">
      <c r="A9" s="7" t="inlineStr">
        <is>
          <t>PRS-00004</t>
        </is>
      </c>
      <c r="B9" s="7">
        <f>IF(OR(COUNTIFS(tblOlcum[VarlikId],A9,tblOlcum[AlarmBayrak],"ALARM")&gt;0,IFERROR(SUMIF(tblProsesler[VarlikId],A9,tblProsesler[SaglikSkor]),100)&lt;spy_esikSaglik),"ALARM","YOK")</f>
        <v/>
      </c>
      <c r="C9" s="22">
        <f>IFERROR(ABS(E9-spy_esikCpk),0)</f>
        <v/>
      </c>
      <c r="D9" s="39">
        <f>raporTarihi</f>
        <v/>
      </c>
      <c r="E9" s="22">
        <f>IFERROR(SUMIF(tblProsesler[VarlikId],A9,tblProsesler[OrtCpk]),0)</f>
        <v/>
      </c>
      <c r="F9" s="21">
        <f>IFERROR(SUMIF(tblProsesler[VarlikId],A9,tblProsesler[SaglikSkor]),0)</f>
        <v/>
      </c>
    </row>
    <row r="10">
      <c r="A10" s="7" t="inlineStr">
        <is>
          <t>PRS-00005</t>
        </is>
      </c>
      <c r="B10" s="7">
        <f>IF(OR(COUNTIFS(tblOlcum[VarlikId],A10,tblOlcum[AlarmBayrak],"ALARM")&gt;0,IFERROR(SUMIF(tblProsesler[VarlikId],A10,tblProsesler[SaglikSkor]),100)&lt;spy_esikSaglik),"ALARM","YOK")</f>
        <v/>
      </c>
      <c r="C10" s="22">
        <f>IFERROR(ABS(E10-spy_esikCpk),0)</f>
        <v/>
      </c>
      <c r="D10" s="39">
        <f>raporTarihi</f>
        <v/>
      </c>
      <c r="E10" s="22">
        <f>IFERROR(SUMIF(tblProsesler[VarlikId],A10,tblProsesler[OrtCpk]),0)</f>
        <v/>
      </c>
      <c r="F10" s="21">
        <f>IFERROR(SUMIF(tblProsesler[VarlikId],A10,tblProsesler[SaglikSkor]),0)</f>
        <v/>
      </c>
    </row>
    <row r="11">
      <c r="A11" s="7" t="inlineStr">
        <is>
          <t>PRS-00006</t>
        </is>
      </c>
      <c r="B11" s="7">
        <f>IF(OR(COUNTIFS(tblOlcum[VarlikId],A11,tblOlcum[AlarmBayrak],"ALARM")&gt;0,IFERROR(SUMIF(tblProsesler[VarlikId],A11,tblProsesler[SaglikSkor]),100)&lt;spy_esikSaglik),"ALARM","YOK")</f>
        <v/>
      </c>
      <c r="C11" s="22">
        <f>IFERROR(ABS(E11-spy_esikCpk),0)</f>
        <v/>
      </c>
      <c r="D11" s="39">
        <f>raporTarihi</f>
        <v/>
      </c>
      <c r="E11" s="22">
        <f>IFERROR(SUMIF(tblProsesler[VarlikId],A11,tblProsesler[OrtCpk]),0)</f>
        <v/>
      </c>
      <c r="F11" s="21">
        <f>IFERROR(SUMIF(tblProsesler[VarlikId],A11,tblProsesler[SaglikSkor]),0)</f>
        <v/>
      </c>
    </row>
    <row r="12">
      <c r="A12" s="7" t="inlineStr">
        <is>
          <t>PRS-00007</t>
        </is>
      </c>
      <c r="B12" s="7">
        <f>IF(OR(COUNTIFS(tblOlcum[VarlikId],A12,tblOlcum[AlarmBayrak],"ALARM")&gt;0,IFERROR(SUMIF(tblProsesler[VarlikId],A12,tblProsesler[SaglikSkor]),100)&lt;spy_esikSaglik),"ALARM","YOK")</f>
        <v/>
      </c>
      <c r="C12" s="22">
        <f>IFERROR(ABS(E12-spy_esikCpk),0)</f>
        <v/>
      </c>
      <c r="D12" s="39">
        <f>raporTarihi</f>
        <v/>
      </c>
      <c r="E12" s="22">
        <f>IFERROR(SUMIF(tblProsesler[VarlikId],A12,tblProsesler[OrtCpk]),0)</f>
        <v/>
      </c>
      <c r="F12" s="21">
        <f>IFERROR(SUMIF(tblProsesler[VarlikId],A12,tblProsesler[SaglikSkor]),0)</f>
        <v/>
      </c>
    </row>
    <row r="13">
      <c r="A13" s="7" t="inlineStr">
        <is>
          <t>PRS-00008</t>
        </is>
      </c>
      <c r="B13" s="7">
        <f>IF(OR(COUNTIFS(tblOlcum[VarlikId],A13,tblOlcum[AlarmBayrak],"ALARM")&gt;0,IFERROR(SUMIF(tblProsesler[VarlikId],A13,tblProsesler[SaglikSkor]),100)&lt;spy_esikSaglik),"ALARM","YOK")</f>
        <v/>
      </c>
      <c r="C13" s="22">
        <f>IFERROR(ABS(E13-spy_esikCpk),0)</f>
        <v/>
      </c>
      <c r="D13" s="39">
        <f>raporTarihi</f>
        <v/>
      </c>
      <c r="E13" s="22">
        <f>IFERROR(SUMIF(tblProsesler[VarlikId],A13,tblProsesler[OrtCpk]),0)</f>
        <v/>
      </c>
      <c r="F13" s="21">
        <f>IFERROR(SUMIF(tblProsesler[VarlikId],A13,tblProsesler[SaglikSkor]),0)</f>
        <v/>
      </c>
    </row>
    <row r="16">
      <c r="A16" s="13" t="inlineStr">
        <is>
          <t>Alarm Özeti</t>
        </is>
      </c>
      <c r="B16" s="8">
        <f>spy_alarmListesi</f>
        <v/>
      </c>
    </row>
    <row r="18">
      <c r="A18" s="13" t="inlineStr">
        <is>
          <t>Toplam Alarm Satır</t>
        </is>
      </c>
      <c r="B18" s="21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6:F16"/>
    <mergeCell ref="A3:I3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lessThan" dxfId="0">
      <formula>spy_esikCpk</formula>
    </cfRule>
  </conditionalFormatting>
  <conditionalFormatting sqref="F6">
    <cfRule type="cellIs" priority="4" operator="lessThan" dxfId="2">
      <formula>spy_esikSaglik</formula>
    </cfRule>
  </conditionalFormatting>
  <conditionalFormatting sqref="E7">
    <cfRule type="cellIs" priority="5" operator="lessThan" dxfId="0">
      <formula>spy_esikCpk</formula>
    </cfRule>
  </conditionalFormatting>
  <conditionalFormatting sqref="F7">
    <cfRule type="cellIs" priority="6" operator="lessThan" dxfId="2">
      <formula>spy_esikSaglik</formula>
    </cfRule>
  </conditionalFormatting>
  <conditionalFormatting sqref="E8">
    <cfRule type="cellIs" priority="7" operator="lessThan" dxfId="0">
      <formula>spy_esikCpk</formula>
    </cfRule>
  </conditionalFormatting>
  <conditionalFormatting sqref="F8">
    <cfRule type="cellIs" priority="8" operator="lessThan" dxfId="2">
      <formula>spy_esikSaglik</formula>
    </cfRule>
  </conditionalFormatting>
  <conditionalFormatting sqref="E9">
    <cfRule type="cellIs" priority="9" operator="lessThan" dxfId="0">
      <formula>spy_esikCpk</formula>
    </cfRule>
  </conditionalFormatting>
  <conditionalFormatting sqref="F9">
    <cfRule type="cellIs" priority="10" operator="lessThan" dxfId="2">
      <formula>spy_esikSaglik</formula>
    </cfRule>
  </conditionalFormatting>
  <conditionalFormatting sqref="E10">
    <cfRule type="cellIs" priority="11" operator="lessThan" dxfId="0">
      <formula>spy_esikCpk</formula>
    </cfRule>
  </conditionalFormatting>
  <conditionalFormatting sqref="F10">
    <cfRule type="cellIs" priority="12" operator="lessThan" dxfId="2">
      <formula>spy_esikSaglik</formula>
    </cfRule>
  </conditionalFormatting>
  <conditionalFormatting sqref="E11">
    <cfRule type="cellIs" priority="13" operator="lessThan" dxfId="0">
      <formula>spy_esikCpk</formula>
    </cfRule>
  </conditionalFormatting>
  <conditionalFormatting sqref="F11">
    <cfRule type="cellIs" priority="14" operator="lessThan" dxfId="2">
      <formula>spy_esikSaglik</formula>
    </cfRule>
  </conditionalFormatting>
  <conditionalFormatting sqref="E12">
    <cfRule type="cellIs" priority="15" operator="lessThan" dxfId="0">
      <formula>spy_esikCpk</formula>
    </cfRule>
  </conditionalFormatting>
  <conditionalFormatting sqref="F12">
    <cfRule type="cellIs" priority="16" operator="lessThan" dxfId="2">
      <formula>spy_esikSaglik</formula>
    </cfRule>
  </conditionalFormatting>
  <conditionalFormatting sqref="E13">
    <cfRule type="cellIs" priority="17" operator="lessThan" dxfId="0">
      <formula>spy_esikCpk</formula>
    </cfRule>
  </conditionalFormatting>
  <conditionalFormatting sqref="F13">
    <cfRule type="cellIs" priority="18" operator="lessThan" dxfId="2">
      <formula>spy_esikSaglik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153.5" customWidth="1" min="1" max="1"/>
    <col width="30.5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RAPOR — SPC Proses Yetenek Analizi</t>
        </is>
      </c>
    </row>
    <row r="3" ht="22" customHeight="1">
      <c r="A3" s="36" t="inlineStr">
        <is>
          <t>Dönemsel yönetim raporu — IATF/müşteri kanıt paketi</t>
        </is>
      </c>
    </row>
    <row r="5">
      <c r="A5" s="13" t="inlineStr">
        <is>
          <t>Ürün</t>
        </is>
      </c>
      <c r="B5" s="7" t="inlineStr">
        <is>
          <t>SPC Proses Yetenek Analizi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39">
        <f>raporTarihi</f>
        <v/>
      </c>
    </row>
    <row r="8">
      <c r="A8" s="13" t="inlineStr">
        <is>
          <t>Firma</t>
        </is>
      </c>
      <c r="B8" s="7">
        <f>spy_firmaUnvan</f>
        <v/>
      </c>
    </row>
    <row r="10">
      <c r="A10" s="30" t="inlineStr">
        <is>
          <t>KARAR</t>
        </is>
      </c>
      <c r="B10" s="31">
        <f>spy_kararKapi</f>
        <v/>
      </c>
    </row>
    <row r="11">
      <c r="A11" s="7" t="inlineStr">
        <is>
          <t>Ort Cpk</t>
        </is>
      </c>
      <c r="B11" s="22">
        <f>spy_cpkOrt</f>
        <v/>
      </c>
    </row>
    <row r="12">
      <c r="A12" s="7" t="inlineStr">
        <is>
          <t>Ort Cp</t>
        </is>
      </c>
      <c r="B12" s="22">
        <f>spy_cpOrt</f>
        <v/>
      </c>
    </row>
    <row r="13">
      <c r="A13" s="7" t="inlineStr">
        <is>
          <t>Min Cpk</t>
        </is>
      </c>
      <c r="B13" s="22">
        <f>spy_cpkMin</f>
        <v/>
      </c>
    </row>
    <row r="14">
      <c r="A14" s="7" t="inlineStr">
        <is>
          <t>Sağlık Skor</t>
        </is>
      </c>
      <c r="B14" s="21">
        <f>spy_saglikSkor</f>
        <v/>
      </c>
    </row>
    <row r="15">
      <c r="A15" s="7" t="inlineStr">
        <is>
          <t>WE Alarm Adet</t>
        </is>
      </c>
      <c r="B15" s="21">
        <f>spy_alarmAdet</f>
        <v/>
      </c>
    </row>
    <row r="17">
      <c r="A17" s="20" t="inlineStr">
        <is>
          <t>Gösterge</t>
        </is>
      </c>
      <c r="B17" s="20" t="inlineStr">
        <is>
          <t>Değer</t>
        </is>
      </c>
    </row>
    <row r="18">
      <c r="A18" s="7" t="inlineStr">
        <is>
          <t>Sigma Ort</t>
        </is>
      </c>
      <c r="B18" s="22">
        <f>spy_sigmaOrt</f>
        <v/>
      </c>
    </row>
    <row r="19">
      <c r="A19" s="7" t="inlineStr">
        <is>
          <t>X̄ Ort</t>
        </is>
      </c>
      <c r="B19" s="22">
        <f>spy_xbarOrt</f>
        <v/>
      </c>
    </row>
    <row r="20">
      <c r="A20" s="7" t="inlineStr">
        <is>
          <t>Kalite Skor</t>
        </is>
      </c>
      <c r="B20" s="21">
        <f>spy_kaliteSkor</f>
        <v/>
      </c>
    </row>
    <row r="21">
      <c r="A21" s="7" t="inlineStr">
        <is>
          <t>P90 Cpk</t>
        </is>
      </c>
      <c r="B21" s="22">
        <f>spy_yuzdelikP90</f>
        <v/>
      </c>
    </row>
    <row r="24">
      <c r="A24" s="23" t="inlineStr">
        <is>
          <t>Varsayımlar</t>
        </is>
      </c>
    </row>
    <row r="25">
      <c r="A25" s="8" t="inlineStr">
        <is>
          <t>d2, A2, 3σ/6σ çarpanları ve Cp/Cpk eşikleri AYARLAR'da kaynak + yürürlük tarihli. Karar destek çıktısıdır; sertifikasyon / kalite tavsiyesi değildir.</t>
        </is>
      </c>
    </row>
    <row r="26"/>
    <row r="28">
      <c r="A28" s="7" t="inlineStr">
        <is>
          <t>İmza — Kalite Müdürü</t>
        </is>
      </c>
      <c r="C28" s="7" t="inlineStr">
        <is>
          <t>________________</t>
        </is>
      </c>
    </row>
    <row r="29">
      <c r="A29" s="7" t="inlineStr">
        <is>
          <t>İmza — Denetçi / Müşteri</t>
        </is>
      </c>
      <c r="C29" s="7" t="inlineStr">
        <is>
          <t>________________</t>
        </is>
      </c>
    </row>
    <row r="31">
      <c r="A31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5:F26"/>
    <mergeCell ref="A3:I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&amp;LSPC Proses Yetenek Analizi | Rapor | 1.0.0&amp;CExcelArşiv&amp;RSayfa &amp;P / &amp;N</oddFooter>
    <evenHeader/>
    <evenFooter>&amp;LSPC Proses Yetenek Analizi | Rapor | 1.0.0&amp;CExcelArşiv&amp;RSayfa &amp;P / &amp;N</evenFooter>
    <firstHeader/>
    <firstFooter/>
  </headerFooter>
</worksheet>
</file>

<file path=xl/worksheets/sheet9.xml><?xml version="1.0" encoding="utf-8"?>
<worksheet xmlns="http://schemas.openxmlformats.org/spreadsheetml/2006/main">
  <sheetPr>
    <tabColor rgb="000F2742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KONTROLLER — SPC Proses Yetenek Analizi</t>
        </is>
      </c>
    </row>
    <row r="3" ht="22" customHeight="1">
      <c r="A3" s="36" t="inlineStr">
        <is>
          <t>Canlı sağlık kontrolleri — formülle</t>
        </is>
      </c>
    </row>
    <row r="5">
      <c r="A5" s="20" t="inlineStr">
        <is>
          <t>Kontrol</t>
        </is>
      </c>
      <c r="B5" s="20" t="inlineStr">
        <is>
          <t>Sonuç</t>
        </is>
      </c>
      <c r="C5" s="20" t="inlineStr">
        <is>
          <t>Değer</t>
        </is>
      </c>
    </row>
    <row r="6">
      <c r="A6" s="7" t="inlineStr">
        <is>
          <t>Dolu kayıt &gt; 0</t>
        </is>
      </c>
      <c r="B6" s="7">
        <f>IF(spy_doluKayit&gt;0,"GEÇTİ","KALDI")</f>
        <v/>
      </c>
      <c r="C6" s="7">
        <f>spy_doluKayit</f>
        <v/>
      </c>
    </row>
    <row r="7">
      <c r="A7" s="7" t="inlineStr">
        <is>
          <t>Yetim kayıt = 0</t>
        </is>
      </c>
      <c r="B7" s="7">
        <f>IF(spy_yetimAdet=0,"GEÇTİ","UYARI")</f>
        <v/>
      </c>
      <c r="C7" s="7">
        <f>spy_yetimAdet</f>
        <v/>
      </c>
    </row>
    <row r="8">
      <c r="A8" s="7" t="inlineStr">
        <is>
          <t>Cpk hesaplı</t>
        </is>
      </c>
      <c r="B8" s="7">
        <f>IF(spy_cpkOrt&gt;=0,"GEÇTİ","KALDI")</f>
        <v/>
      </c>
      <c r="C8" s="7">
        <f>spy_cpkOrt</f>
        <v/>
      </c>
    </row>
    <row r="9">
      <c r="A9" s="7" t="inlineStr">
        <is>
          <t>Sağlık skor formül</t>
        </is>
      </c>
      <c r="B9" s="7">
        <f>IF(spy_saglikSkor&gt;=0,"GEÇTİ","KALDI")</f>
        <v/>
      </c>
      <c r="C9" s="7">
        <f>spy_saglikSkor</f>
        <v/>
      </c>
    </row>
    <row r="10">
      <c r="A10" s="7" t="inlineStr">
        <is>
          <t>Alarm listesi</t>
        </is>
      </c>
      <c r="B10" s="7">
        <f>IF(spy_alarmAdet&gt;=0,"GEÇTİ","KALDI")</f>
        <v/>
      </c>
      <c r="C10" s="7">
        <f>spy_alarmAdet</f>
        <v/>
      </c>
    </row>
    <row r="11">
      <c r="A11" s="7" t="inlineStr">
        <is>
          <t>Karar dolu</t>
        </is>
      </c>
      <c r="B11" s="7">
        <f>IF(spy_kararKapi&lt;&gt;"","GEÇTİ","KALDI")</f>
        <v/>
      </c>
      <c r="C11" s="7">
        <f>spy_kararKapi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IF(spy_kaliteSkor&gt;=0,"GEÇTİ","KALDI")</f>
        <v/>
      </c>
      <c r="C13" s="7">
        <f>spy_kaliteSkor</f>
        <v/>
      </c>
    </row>
    <row r="14">
      <c r="A14" s="7" t="inlineStr">
        <is>
          <t>Tornado</t>
        </is>
      </c>
      <c r="B14" s="7">
        <f>IF(spy_tornadoZirve&gt;=0,"GEÇTİ","KALDI")</f>
        <v/>
      </c>
      <c r="C14" s="7">
        <f>spy_tornadoZirve</f>
        <v/>
      </c>
    </row>
    <row r="15">
      <c r="A15" s="7" t="inlineStr">
        <is>
          <t>P90</t>
        </is>
      </c>
      <c r="B15" s="7">
        <f>IF(spy_yuzdelikP90&gt;=0,"GEÇTİ","KALDI")</f>
        <v/>
      </c>
      <c r="C15" s="7">
        <f>spy_yuzdelikP90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.5" customWidth="1" min="3" max="3"/>
    <col width="14.5" customWidth="1" min="4" max="4"/>
    <col width="14" customWidth="1" min="5" max="5"/>
    <col width="17.5" customWidth="1" min="6" max="6"/>
    <col width="15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ORNEK VERI — SPC Proses Yetenek Analizi</t>
        </is>
      </c>
    </row>
    <row r="3" ht="22" customHeight="1">
      <c r="A3" s="36" t="inlineStr">
        <is>
          <t>Örnek ölçüm satırları — kopyalanabilir referans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Xbar_birim</t>
        </is>
      </c>
      <c r="E5" s="14" t="inlineStr">
        <is>
          <t>R_birim</t>
        </is>
      </c>
      <c r="F5" s="14" t="inlineStr">
        <is>
          <t>AltgrupN_adet</t>
        </is>
      </c>
      <c r="G5" s="14" t="inlineStr">
        <is>
          <t>Vardiya</t>
        </is>
      </c>
    </row>
    <row r="6">
      <c r="A6" s="7" t="inlineStr">
        <is>
          <t>OLC-00001</t>
        </is>
      </c>
      <c r="B6" s="7" t="inlineStr">
        <is>
          <t>PRS-00001</t>
        </is>
      </c>
      <c r="C6" s="39" t="n">
        <v>46242</v>
      </c>
      <c r="D6" s="22" t="n">
        <v>9.984</v>
      </c>
      <c r="E6" s="22" t="n">
        <v>0.0512</v>
      </c>
      <c r="F6" s="21" t="n">
        <v>5</v>
      </c>
      <c r="G6" s="7" t="inlineStr">
        <is>
          <t>GECE</t>
        </is>
      </c>
    </row>
    <row r="7">
      <c r="A7" s="7" t="inlineStr">
        <is>
          <t>OLC-00002</t>
        </is>
      </c>
      <c r="B7" s="7" t="inlineStr">
        <is>
          <t>PRS-00002</t>
        </is>
      </c>
      <c r="C7" s="39" t="n">
        <v>46239</v>
      </c>
      <c r="D7" s="22" t="n">
        <v>5.996</v>
      </c>
      <c r="E7" s="22" t="n">
        <v>0.0168</v>
      </c>
      <c r="F7" s="21" t="n">
        <v>5</v>
      </c>
      <c r="G7" s="7" t="inlineStr">
        <is>
          <t>HAFTASONU</t>
        </is>
      </c>
    </row>
    <row r="8">
      <c r="A8" s="7" t="inlineStr">
        <is>
          <t>OLC-00003</t>
        </is>
      </c>
      <c r="B8" s="7" t="inlineStr">
        <is>
          <t>PRS-00003</t>
        </is>
      </c>
      <c r="C8" s="39" t="n">
        <v>46236</v>
      </c>
      <c r="D8" s="22" t="n">
        <v>0.8</v>
      </c>
      <c r="E8" s="22" t="n">
        <v>0.096</v>
      </c>
      <c r="F8" s="21" t="n">
        <v>5</v>
      </c>
      <c r="G8" s="7" t="inlineStr">
        <is>
          <t>FAZLA_MESAI</t>
        </is>
      </c>
    </row>
    <row r="9">
      <c r="A9" s="7" t="inlineStr">
        <is>
          <t>OLC-00004</t>
        </is>
      </c>
      <c r="B9" s="7" t="inlineStr">
        <is>
          <t>PRS-00004</t>
        </is>
      </c>
      <c r="C9" s="39" t="n">
        <v>46233</v>
      </c>
      <c r="D9" s="22" t="n">
        <v>2.004</v>
      </c>
      <c r="E9" s="22" t="n">
        <v>0.0168</v>
      </c>
      <c r="F9" s="21" t="n">
        <v>5</v>
      </c>
      <c r="G9" s="7" t="inlineStr">
        <is>
          <t>NUMUNE</t>
        </is>
      </c>
    </row>
    <row r="10">
      <c r="A10" s="7" t="inlineStr">
        <is>
          <t>OLC-00005</t>
        </is>
      </c>
      <c r="B10" s="7" t="inlineStr">
        <is>
          <t>PRS-00005</t>
        </is>
      </c>
      <c r="C10" s="39" t="n">
        <v>46230</v>
      </c>
      <c r="D10" s="22" t="n">
        <v>20.08</v>
      </c>
      <c r="E10" s="22" t="n">
        <v>0.256</v>
      </c>
      <c r="F10" s="21" t="n">
        <v>5</v>
      </c>
      <c r="G10" s="7" t="inlineStr">
        <is>
          <t>DIGER</t>
        </is>
      </c>
    </row>
    <row r="11">
      <c r="A11" s="7" t="inlineStr">
        <is>
          <t>OLC-00006</t>
        </is>
      </c>
      <c r="B11" s="7" t="inlineStr">
        <is>
          <t>PRS-00006</t>
        </is>
      </c>
      <c r="C11" s="39" t="n">
        <v>46227</v>
      </c>
      <c r="D11" s="22" t="n">
        <v>0.174</v>
      </c>
      <c r="E11" s="22" t="n">
        <v>0.0688</v>
      </c>
      <c r="F11" s="21" t="n">
        <v>5</v>
      </c>
      <c r="G11" s="7" t="inlineStr">
        <is>
          <t>GUNDUZ</t>
        </is>
      </c>
    </row>
    <row r="12">
      <c r="A12" s="7" t="inlineStr">
        <is>
          <t>OLC-00007</t>
        </is>
      </c>
      <c r="B12" s="7" t="inlineStr">
        <is>
          <t>PRS-00007</t>
        </is>
      </c>
      <c r="C12" s="39" t="n">
        <v>46224</v>
      </c>
      <c r="D12" s="22" t="n">
        <v>178.8</v>
      </c>
      <c r="E12" s="22" t="n">
        <v>3.44</v>
      </c>
      <c r="F12" s="21" t="n">
        <v>5</v>
      </c>
      <c r="G12" s="7" t="inlineStr">
        <is>
          <t>GECE</t>
        </is>
      </c>
    </row>
    <row r="13">
      <c r="A13" s="7" t="inlineStr">
        <is>
          <t>OLC-00008</t>
        </is>
      </c>
      <c r="B13" s="7" t="inlineStr">
        <is>
          <t>PRS-00008</t>
        </is>
      </c>
      <c r="C13" s="39" t="n">
        <v>46221</v>
      </c>
      <c r="D13" s="22" t="n">
        <v>19.68</v>
      </c>
      <c r="E13" s="22" t="n">
        <v>1.024</v>
      </c>
      <c r="F13" s="21" t="n">
        <v>5</v>
      </c>
      <c r="G13" s="7" t="inlineStr">
        <is>
          <t>HAFTASONU</t>
        </is>
      </c>
    </row>
    <row r="14">
      <c r="A14" s="7" t="inlineStr">
        <is>
          <t>OLC-00009</t>
        </is>
      </c>
      <c r="B14" s="7" t="inlineStr">
        <is>
          <t>PRS-00001</t>
        </is>
      </c>
      <c r="C14" s="39" t="n">
        <v>46218</v>
      </c>
      <c r="D14" s="22" t="n">
        <v>9.992000000000001</v>
      </c>
      <c r="E14" s="22" t="n">
        <v>0.0336</v>
      </c>
      <c r="F14" s="21" t="n">
        <v>5</v>
      </c>
      <c r="G14" s="7" t="inlineStr">
        <is>
          <t>FAZLA_MESAI</t>
        </is>
      </c>
    </row>
    <row r="15">
      <c r="A15" s="7" t="inlineStr">
        <is>
          <t>OLC-00010</t>
        </is>
      </c>
      <c r="B15" s="7" t="inlineStr">
        <is>
          <t>PRS-00002</t>
        </is>
      </c>
      <c r="C15" s="39" t="n">
        <v>46215</v>
      </c>
      <c r="D15" s="22" t="n">
        <v>6</v>
      </c>
      <c r="E15" s="22" t="n">
        <v>0.008</v>
      </c>
      <c r="F15" s="21" t="n">
        <v>5</v>
      </c>
      <c r="G15" s="7" t="inlineStr">
        <is>
          <t>NUMUNE</t>
        </is>
      </c>
    </row>
    <row r="16">
      <c r="A16" s="7" t="inlineStr">
        <is>
          <t>OLC-00011</t>
        </is>
      </c>
      <c r="B16" s="7" t="inlineStr">
        <is>
          <t>PRS-00003</t>
        </is>
      </c>
      <c r="C16" s="39" t="n">
        <v>46212</v>
      </c>
      <c r="D16" s="22" t="n">
        <v>0.848</v>
      </c>
      <c r="E16" s="22" t="n">
        <v>0.2016</v>
      </c>
      <c r="F16" s="21" t="n">
        <v>5</v>
      </c>
      <c r="G16" s="7" t="inlineStr">
        <is>
          <t>DIGER</t>
        </is>
      </c>
    </row>
    <row r="17">
      <c r="A17" s="7" t="inlineStr">
        <is>
          <t>OLC-00012</t>
        </is>
      </c>
      <c r="B17" s="7" t="inlineStr">
        <is>
          <t>PRS-00004</t>
        </is>
      </c>
      <c r="C17" s="39" t="n">
        <v>46209</v>
      </c>
      <c r="D17" s="22" t="n">
        <v>2.065</v>
      </c>
      <c r="E17" s="22" t="n">
        <v>0.055</v>
      </c>
      <c r="F17" s="21" t="n">
        <v>5</v>
      </c>
      <c r="G17" s="7" t="inlineStr">
        <is>
          <t>GUNDUZ</t>
        </is>
      </c>
    </row>
    <row r="18">
      <c r="A18" s="7" t="inlineStr">
        <is>
          <t>OLC-00013</t>
        </is>
      </c>
      <c r="B18" s="7" t="inlineStr">
        <is>
          <t>PRS-00005</t>
        </is>
      </c>
      <c r="C18" s="39" t="n">
        <v>46206</v>
      </c>
      <c r="D18" s="22" t="n">
        <v>20.12</v>
      </c>
      <c r="E18" s="22" t="n">
        <v>0.344</v>
      </c>
      <c r="F18" s="21" t="n">
        <v>5</v>
      </c>
      <c r="G18" s="7" t="inlineStr">
        <is>
          <t>GECE</t>
        </is>
      </c>
    </row>
    <row r="19">
      <c r="A19" s="7" t="inlineStr">
        <is>
          <t>OLC-00014</t>
        </is>
      </c>
      <c r="B19" s="7" t="inlineStr">
        <is>
          <t>PRS-00006</t>
        </is>
      </c>
      <c r="C19" s="39" t="n">
        <v>46203</v>
      </c>
      <c r="D19" s="22" t="n">
        <v>0.126</v>
      </c>
      <c r="E19" s="22" t="n">
        <v>0.0688</v>
      </c>
      <c r="F19" s="21" t="n">
        <v>5</v>
      </c>
      <c r="G19" s="7" t="inlineStr">
        <is>
          <t>HAFTASONU</t>
        </is>
      </c>
    </row>
    <row r="20">
      <c r="A20" s="7" t="inlineStr">
        <is>
          <t>OLC-00015</t>
        </is>
      </c>
      <c r="B20" s="7" t="inlineStr">
        <is>
          <t>PRS-00007</t>
        </is>
      </c>
      <c r="C20" s="39" t="n">
        <v>46200</v>
      </c>
      <c r="D20" s="22" t="n">
        <v>179.2</v>
      </c>
      <c r="E20" s="22" t="n">
        <v>2.56</v>
      </c>
      <c r="F20" s="21" t="n">
        <v>5</v>
      </c>
      <c r="G20" s="7" t="inlineStr">
        <is>
          <t>FAZLA_MESAI</t>
        </is>
      </c>
    </row>
    <row r="21">
      <c r="A21" s="7" t="inlineStr">
        <is>
          <t>OLC-00016</t>
        </is>
      </c>
      <c r="B21" s="7" t="inlineStr">
        <is>
          <t>PRS-00008</t>
        </is>
      </c>
      <c r="C21" s="39" t="n">
        <v>46197</v>
      </c>
      <c r="D21" s="22" t="n">
        <v>19.84</v>
      </c>
      <c r="E21" s="22" t="n">
        <v>0.672</v>
      </c>
      <c r="F21" s="21" t="n">
        <v>5</v>
      </c>
      <c r="G21" s="7" t="inlineStr">
        <is>
          <t>NUMUNE</t>
        </is>
      </c>
    </row>
    <row r="22">
      <c r="A22" s="7" t="inlineStr">
        <is>
          <t>OLC-00017</t>
        </is>
      </c>
      <c r="B22" s="7" t="inlineStr">
        <is>
          <t>PRS-00001</t>
        </is>
      </c>
      <c r="C22" s="39" t="n">
        <v>46194</v>
      </c>
      <c r="D22" s="22" t="n">
        <v>10</v>
      </c>
      <c r="E22" s="22" t="n">
        <v>0.016</v>
      </c>
      <c r="F22" s="21" t="n">
        <v>5</v>
      </c>
      <c r="G22" s="7" t="inlineStr">
        <is>
          <t>DIGER</t>
        </is>
      </c>
    </row>
    <row r="23">
      <c r="A23" s="7" t="inlineStr">
        <is>
          <t>OLC-00018</t>
        </is>
      </c>
      <c r="B23" s="7" t="inlineStr">
        <is>
          <t>PRS-00002</t>
        </is>
      </c>
      <c r="C23" s="39" t="n">
        <v>46191</v>
      </c>
      <c r="D23" s="22" t="n">
        <v>6.004</v>
      </c>
      <c r="E23" s="22" t="n">
        <v>0.0168</v>
      </c>
      <c r="F23" s="21" t="n">
        <v>5</v>
      </c>
      <c r="G23" s="7" t="inlineStr">
        <is>
          <t>GUNDUZ</t>
        </is>
      </c>
    </row>
    <row r="24">
      <c r="A24" s="7" t="inlineStr">
        <is>
          <t>OLC-00019</t>
        </is>
      </c>
      <c r="B24" s="7" t="inlineStr">
        <is>
          <t>PRS-00003</t>
        </is>
      </c>
      <c r="C24" s="39" t="n">
        <v>46188</v>
      </c>
      <c r="D24" s="22" t="n">
        <v>0.896</v>
      </c>
      <c r="E24" s="22" t="n">
        <v>0.3072</v>
      </c>
      <c r="F24" s="21" t="n">
        <v>5</v>
      </c>
      <c r="G24" s="7" t="inlineStr">
        <is>
          <t>GECE</t>
        </is>
      </c>
    </row>
    <row r="25">
      <c r="A25" s="7" t="inlineStr">
        <is>
          <t>OLC-00020</t>
        </is>
      </c>
      <c r="B25" s="7" t="inlineStr">
        <is>
          <t>PRS-00004</t>
        </is>
      </c>
      <c r="C25" s="39" t="n">
        <v>46185</v>
      </c>
      <c r="D25" s="22" t="n">
        <v>2.012</v>
      </c>
      <c r="E25" s="22" t="n">
        <v>0.0344</v>
      </c>
      <c r="F25" s="21" t="n">
        <v>5</v>
      </c>
      <c r="G25" s="7" t="inlineStr">
        <is>
          <t>HAFTASONU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2742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33" t="inlineStr">
        <is>
          <t>LISTELER — SPC Proses Yetenek Analizi</t>
        </is>
      </c>
    </row>
    <row r="3">
      <c r="A3" s="23" t="inlineStr">
        <is>
          <t>Evet / Hayır</t>
        </is>
      </c>
      <c r="C3" s="13" t="inlineStr">
        <is>
          <t>Vardiya</t>
        </is>
      </c>
      <c r="E3" s="13" t="inlineStr">
        <is>
          <t>Proses Tipi</t>
        </is>
      </c>
    </row>
    <row r="6">
      <c r="A6" s="20" t="inlineStr">
        <is>
          <t>Secim</t>
        </is>
      </c>
      <c r="C6" s="20" t="inlineStr">
        <is>
          <t>Tur</t>
        </is>
      </c>
      <c r="E6" s="20" t="inlineStr">
        <is>
          <t>Tip</t>
        </is>
      </c>
    </row>
    <row r="7">
      <c r="A7" s="15" t="inlineStr">
        <is>
          <t>EVET</t>
        </is>
      </c>
      <c r="C7" s="15" t="inlineStr">
        <is>
          <t>GUNDUZ</t>
        </is>
      </c>
      <c r="E7" s="15" t="inlineStr">
        <is>
          <t>Torna</t>
        </is>
      </c>
    </row>
    <row r="8">
      <c r="A8" s="15" t="inlineStr">
        <is>
          <t>HAYIR</t>
        </is>
      </c>
      <c r="C8" s="15" t="inlineStr">
        <is>
          <t>GECE</t>
        </is>
      </c>
      <c r="E8" s="15" t="inlineStr">
        <is>
          <t>Freze</t>
        </is>
      </c>
    </row>
    <row r="9">
      <c r="C9" s="15" t="inlineStr">
        <is>
          <t>HAFTASONU</t>
        </is>
      </c>
      <c r="E9" s="15" t="inlineStr">
        <is>
          <t>Pres</t>
        </is>
      </c>
    </row>
    <row r="10">
      <c r="C10" s="15" t="inlineStr">
        <is>
          <t>FAZLA_MESAI</t>
        </is>
      </c>
      <c r="E10" s="15" t="inlineStr">
        <is>
          <t>Kaynak</t>
        </is>
      </c>
    </row>
    <row r="11">
      <c r="C11" s="15" t="inlineStr">
        <is>
          <t>NUMUNE</t>
        </is>
      </c>
      <c r="E11" s="15" t="inlineStr">
        <is>
          <t>Montaj</t>
        </is>
      </c>
    </row>
    <row r="12">
      <c r="C12" s="15" t="inlineStr">
        <is>
          <t>DIGER</t>
        </is>
      </c>
      <c r="E12" s="15" t="inlineStr">
        <is>
          <t>Firin</t>
        </is>
      </c>
    </row>
    <row r="13">
      <c r="E13" s="15" t="inlineStr">
        <is>
          <t>Taslama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0F2742"/>
    <outlinePr summaryBelow="1" summaryRight="1"/>
    <pageSetUpPr/>
  </sheetPr>
  <dimension ref="A1:I6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5.5" customWidth="1" min="2" max="2"/>
    <col width="10" customWidth="1" min="3" max="3"/>
    <col width="30.5" customWidth="1" min="4" max="4"/>
    <col width="19.5" customWidth="1" min="5" max="5"/>
    <col width="32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33" t="inlineStr">
        <is>
          <t>AYARLAR — SPC Proses Yetenek Analizi</t>
        </is>
      </c>
    </row>
    <row r="3" ht="22" customHeight="1">
      <c r="A3" s="36" t="inlineStr">
        <is>
          <t>Tek kaynak parametreler + alarm eşikleri (S05) — AIAG SPC sabitleri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37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spy_d2</t>
        </is>
      </c>
      <c r="B7" s="16" t="n">
        <v>2.326</v>
      </c>
      <c r="C7" s="7" t="inlineStr">
        <is>
          <t>oran</t>
        </is>
      </c>
      <c r="D7" s="7" t="inlineStr">
        <is>
          <t>AIAG SPC — d2 (n=5)</t>
        </is>
      </c>
      <c r="E7" s="7" t="inlineStr">
        <is>
          <t>01.01.2026</t>
        </is>
      </c>
      <c r="F7" s="8" t="inlineStr">
        <is>
          <t>R̄/d2 → σ tahmini</t>
        </is>
      </c>
    </row>
    <row r="8">
      <c r="A8" s="7" t="inlineStr">
        <is>
          <t>spy_A2</t>
        </is>
      </c>
      <c r="B8" s="16" t="n">
        <v>0.577</v>
      </c>
      <c r="C8" s="7" t="inlineStr">
        <is>
          <t>oran</t>
        </is>
      </c>
      <c r="D8" s="7" t="inlineStr">
        <is>
          <t>AIAG SPC — A2 (n=5)</t>
        </is>
      </c>
      <c r="E8" s="7" t="inlineStr">
        <is>
          <t>01.01.2026</t>
        </is>
      </c>
      <c r="F8" s="8" t="inlineStr">
        <is>
          <t>X̄ kontrol limiti çarpanı</t>
        </is>
      </c>
    </row>
    <row r="9">
      <c r="A9" s="7" t="inlineStr">
        <is>
          <t>spy_ucSigma</t>
        </is>
      </c>
      <c r="B9" s="16" t="n">
        <v>3</v>
      </c>
      <c r="C9" s="7" t="inlineStr">
        <is>
          <t>oran</t>
        </is>
      </c>
      <c r="D9" s="7" t="inlineStr">
        <is>
          <t>Western Electric / 3σ</t>
        </is>
      </c>
      <c r="E9" s="7" t="inlineStr">
        <is>
          <t>01.01.2026</t>
        </is>
      </c>
      <c r="F9" s="8" t="inlineStr">
        <is>
          <t>Cpk paydası 3σ</t>
        </is>
      </c>
    </row>
    <row r="10">
      <c r="A10" s="7" t="inlineStr">
        <is>
          <t>spy_altiSigma</t>
        </is>
      </c>
      <c r="B10" s="16" t="n">
        <v>6</v>
      </c>
      <c r="C10" s="7" t="inlineStr">
        <is>
          <t>oran</t>
        </is>
      </c>
      <c r="D10" s="7" t="inlineStr">
        <is>
          <t>AIAG SPC — 6σ</t>
        </is>
      </c>
      <c r="E10" s="7" t="inlineStr">
        <is>
          <t>01.01.2026</t>
        </is>
      </c>
      <c r="F10" s="8" t="inlineStr">
        <is>
          <t>Cp paydası 6σ</t>
        </is>
      </c>
    </row>
    <row r="11">
      <c r="A11" s="7" t="inlineStr">
        <is>
          <t>spy_esikCpk</t>
        </is>
      </c>
      <c r="B11" s="16" t="n">
        <v>1.33</v>
      </c>
      <c r="C11" s="7" t="inlineStr">
        <is>
          <t>oran</t>
        </is>
      </c>
      <c r="D11" s="7" t="inlineStr">
        <is>
          <t>Alarm eşiği — Cpk</t>
        </is>
      </c>
      <c r="E11" s="7" t="inlineStr">
        <is>
          <t>01.01.2026</t>
        </is>
      </c>
      <c r="F11" s="8" t="inlineStr">
        <is>
          <t>Cpk alarm eşiği (IATF tipik)</t>
        </is>
      </c>
    </row>
    <row r="12">
      <c r="A12" s="7" t="inlineStr">
        <is>
          <t>spy_esikCp</t>
        </is>
      </c>
      <c r="B12" s="16" t="n">
        <v>1.33</v>
      </c>
      <c r="C12" s="7" t="inlineStr">
        <is>
          <t>oran</t>
        </is>
      </c>
      <c r="D12" s="7" t="inlineStr">
        <is>
          <t>Alarm eşiği — Cp</t>
        </is>
      </c>
      <c r="E12" s="7" t="inlineStr">
        <is>
          <t>01.01.2026</t>
        </is>
      </c>
      <c r="F12" s="8" t="inlineStr">
        <is>
          <t>Cp alarm eşiği</t>
        </is>
      </c>
    </row>
    <row r="13">
      <c r="A13" s="7" t="inlineStr">
        <is>
          <t>spy_esikSaglik</t>
        </is>
      </c>
      <c r="B13" s="17" t="n">
        <v>60</v>
      </c>
      <c r="C13" s="7" t="inlineStr">
        <is>
          <t>puan</t>
        </is>
      </c>
      <c r="D13" s="7" t="inlineStr">
        <is>
          <t>Alarm eşiği — sağlık skor</t>
        </is>
      </c>
      <c r="E13" s="7" t="inlineStr">
        <is>
          <t>01.01.2026</t>
        </is>
      </c>
      <c r="F13" s="8" t="inlineStr">
        <is>
          <t>Sağlık skor alt eşiği</t>
        </is>
      </c>
    </row>
    <row r="14">
      <c r="A14" s="7" t="inlineStr">
        <is>
          <t>spy_aylikCarpan</t>
        </is>
      </c>
      <c r="B14" s="40" t="n">
        <v>1</v>
      </c>
      <c r="C14" s="7" t="inlineStr">
        <is>
          <t>oran</t>
        </is>
      </c>
      <c r="D14" s="7" t="inlineStr">
        <is>
          <t>Aylık proxy</t>
        </is>
      </c>
      <c r="E14" s="7" t="inlineStr">
        <is>
          <t>01.01.2026</t>
        </is>
      </c>
      <c r="F14" s="8" t="inlineStr">
        <is>
          <t>Aylık Cpk çarpan</t>
        </is>
      </c>
    </row>
    <row r="15">
      <c r="A15" s="7" t="inlineStr">
        <is>
          <t>spy_senaryoTemkinli</t>
        </is>
      </c>
      <c r="B15" s="40" t="n">
        <v>0.9</v>
      </c>
      <c r="C15" s="7" t="inlineStr">
        <is>
          <t>oran</t>
        </is>
      </c>
      <c r="D15" s="7" t="inlineStr">
        <is>
          <t>Senaryo motoru</t>
        </is>
      </c>
      <c r="E15" s="7" t="inlineStr">
        <is>
          <t>01.01.2026</t>
        </is>
      </c>
      <c r="F15" s="8" t="inlineStr">
        <is>
          <t>Temkinli çarpan</t>
        </is>
      </c>
    </row>
    <row r="16">
      <c r="A16" s="7" t="inlineStr">
        <is>
          <t>spy_senaryoBaz</t>
        </is>
      </c>
      <c r="B16" s="40" t="n">
        <v>1</v>
      </c>
      <c r="C16" s="7" t="inlineStr">
        <is>
          <t>oran</t>
        </is>
      </c>
      <c r="D16" s="7" t="inlineStr">
        <is>
          <t>Senaryo motoru</t>
        </is>
      </c>
      <c r="E16" s="7" t="inlineStr">
        <is>
          <t>01.01.2026</t>
        </is>
      </c>
      <c r="F16" s="8" t="inlineStr">
        <is>
          <t>Baz çarpan</t>
        </is>
      </c>
    </row>
    <row r="17">
      <c r="A17" s="7" t="inlineStr">
        <is>
          <t>spy_senaryoIyimser</t>
        </is>
      </c>
      <c r="B17" s="40" t="n">
        <v>1.1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İyimser çarpan</t>
        </is>
      </c>
    </row>
    <row r="18">
      <c r="A18" s="7" t="inlineStr">
        <is>
          <t>spy_tornadoOran</t>
        </is>
      </c>
      <c r="B18" s="40" t="n">
        <v>0.08</v>
      </c>
      <c r="C18" s="7" t="inlineStr">
        <is>
          <t>oran</t>
        </is>
      </c>
      <c r="D18" s="7" t="inlineStr">
        <is>
          <t>Duyarlılık</t>
        </is>
      </c>
      <c r="E18" s="7" t="inlineStr">
        <is>
          <t>01.01.2026</t>
        </is>
      </c>
      <c r="F18" s="8" t="inlineStr">
        <is>
          <t>Tornado etki oranı</t>
        </is>
      </c>
    </row>
    <row r="19">
      <c r="A19" s="7" t="inlineStr">
        <is>
          <t>spy_yuzdelikOran</t>
        </is>
      </c>
      <c r="B19" s="40" t="n">
        <v>1.05</v>
      </c>
      <c r="C19" s="7" t="inlineStr">
        <is>
          <t>oran</t>
        </is>
      </c>
      <c r="D19" s="7" t="inlineStr">
        <is>
          <t>İstatistik kuralı</t>
        </is>
      </c>
      <c r="E19" s="7" t="inlineStr">
        <is>
          <t>01.01.2026</t>
        </is>
      </c>
      <c r="F19" s="8" t="inlineStr">
        <is>
          <t>P90 çarpan proxy</t>
        </is>
      </c>
    </row>
    <row r="20">
      <c r="A20" s="7" t="inlineStr">
        <is>
          <t>spy_percentileOran</t>
        </is>
      </c>
      <c r="B20" s="40" t="n">
        <v>0.9</v>
      </c>
      <c r="C20" s="7" t="inlineStr">
        <is>
          <t>oran</t>
        </is>
      </c>
      <c r="D20" s="7" t="inlineStr">
        <is>
          <t>PERCENTILE oranı</t>
        </is>
      </c>
      <c r="E20" s="7" t="inlineStr">
        <is>
          <t>01.01.2026</t>
        </is>
      </c>
      <c r="F20" s="8" t="inlineStr">
        <is>
          <t>Yüzdelik dilim</t>
        </is>
      </c>
    </row>
    <row r="21">
      <c r="A21" s="7" t="inlineStr">
        <is>
          <t>spy_tahminCarpan</t>
        </is>
      </c>
      <c r="B21" s="40" t="n">
        <v>1.02</v>
      </c>
      <c r="C21" s="7" t="inlineStr">
        <is>
          <t>oran</t>
        </is>
      </c>
      <c r="D21" s="7" t="inlineStr">
        <is>
          <t>Tahmin modeli</t>
        </is>
      </c>
      <c r="E21" s="7" t="inlineStr">
        <is>
          <t>01.01.2026</t>
        </is>
      </c>
      <c r="F21" s="8" t="inlineStr">
        <is>
          <t>Tahmin aralık çarpan</t>
        </is>
      </c>
    </row>
    <row r="22">
      <c r="A22" s="7" t="inlineStr">
        <is>
          <t>spy_olcekHedef</t>
        </is>
      </c>
      <c r="B22" s="17" t="n">
        <v>20000</v>
      </c>
      <c r="C22" s="7" t="inlineStr">
        <is>
          <t>satir</t>
        </is>
      </c>
      <c r="D22" s="7" t="inlineStr">
        <is>
          <t>Manda A5 Ö1</t>
        </is>
      </c>
      <c r="E22" s="7" t="inlineStr">
        <is>
          <t>01.01.2026</t>
        </is>
      </c>
      <c r="F22" s="8" t="inlineStr">
        <is>
          <t>Ölçek sözleşmesi</t>
        </is>
      </c>
    </row>
    <row r="23">
      <c r="A23" s="7" t="inlineStr">
        <is>
          <t>spy_kaliteTaban</t>
        </is>
      </c>
      <c r="B23" s="17" t="n">
        <v>100</v>
      </c>
      <c r="C23" s="7" t="inlineStr">
        <is>
          <t>puan</t>
        </is>
      </c>
      <c r="D23" s="7" t="inlineStr">
        <is>
          <t>Kalite / sağlık modeli</t>
        </is>
      </c>
      <c r="E23" s="7" t="inlineStr">
        <is>
          <t>01.01.2026</t>
        </is>
      </c>
      <c r="F23" s="8" t="inlineStr">
        <is>
          <t>Taban puan</t>
        </is>
      </c>
    </row>
    <row r="24">
      <c r="A24" s="7" t="inlineStr">
        <is>
          <t>spy_kaliteCeza</t>
        </is>
      </c>
      <c r="B24" s="17" t="n">
        <v>12</v>
      </c>
      <c r="C24" s="7" t="inlineStr">
        <is>
          <t>puan</t>
        </is>
      </c>
      <c r="D24" s="7" t="inlineStr">
        <is>
          <t>Kalite / sağlık modeli</t>
        </is>
      </c>
      <c r="E24" s="7" t="inlineStr">
        <is>
          <t>01.01.2026</t>
        </is>
      </c>
      <c r="F24" s="8" t="inlineStr">
        <is>
          <t>Eşik aşım cezası</t>
        </is>
      </c>
    </row>
    <row r="25">
      <c r="A25" s="7" t="inlineStr">
        <is>
          <t>spy_kaliteSapma</t>
        </is>
      </c>
      <c r="B25" s="17" t="n">
        <v>3</v>
      </c>
      <c r="C25" s="7" t="inlineStr">
        <is>
          <t>puan</t>
        </is>
      </c>
      <c r="D25" s="7" t="inlineStr">
        <is>
          <t>Kalite / sağlık modeli</t>
        </is>
      </c>
      <c r="E25" s="7" t="inlineStr">
        <is>
          <t>01.01.2026</t>
        </is>
      </c>
      <c r="F25" s="8" t="inlineStr">
        <is>
          <t>Sapma / alarm cezası</t>
        </is>
      </c>
    </row>
    <row r="26">
      <c r="A26" s="7" t="inlineStr">
        <is>
          <t>spy_dosyaSurumu</t>
        </is>
      </c>
      <c r="B26" s="15" t="inlineStr">
        <is>
          <t>1.0.0</t>
        </is>
      </c>
      <c r="C26" s="7" t="inlineStr">
        <is>
          <t>metin</t>
        </is>
      </c>
      <c r="D26" s="7" t="inlineStr">
        <is>
          <t>Sürüm yönetimi</t>
        </is>
      </c>
      <c r="E26" s="7" t="inlineStr">
        <is>
          <t>01.01.2026</t>
        </is>
      </c>
      <c r="F26" s="8" t="inlineStr">
        <is>
          <t>Ürün sürümü</t>
        </is>
      </c>
    </row>
    <row r="27">
      <c r="A27" s="7" t="inlineStr">
        <is>
          <t>spy_firmaUnvan</t>
        </is>
      </c>
      <c r="B27" s="15" t="inlineStr">
        <is>
          <t>Örnek Kalite Üretim A.Ş.</t>
        </is>
      </c>
      <c r="C27" s="7" t="inlineStr">
        <is>
          <t>metin</t>
        </is>
      </c>
      <c r="D27" s="7" t="inlineStr">
        <is>
          <t>Kullanıcı girişi</t>
        </is>
      </c>
      <c r="E27" s="7" t="inlineStr">
        <is>
          <t>01.01.2026</t>
        </is>
      </c>
      <c r="F27" s="8" t="inlineStr">
        <is>
          <t>Firma unvanı</t>
        </is>
      </c>
    </row>
    <row r="28">
      <c r="A28" s="7" t="inlineStr">
        <is>
          <t>spy_alarmEsikMetin</t>
        </is>
      </c>
      <c r="B28" s="15" t="inlineStr">
        <is>
          <t>Cpk / WE kontrol limiti / sağlık eşikleri</t>
        </is>
      </c>
      <c r="C28" s="7" t="inlineStr">
        <is>
          <t>metin</t>
        </is>
      </c>
      <c r="D28" s="7" t="inlineStr">
        <is>
          <t>S05 alarm</t>
        </is>
      </c>
      <c r="E28" s="7" t="inlineStr">
        <is>
          <t>01.01.2026</t>
        </is>
      </c>
      <c r="F28" s="8" t="inlineStr">
        <is>
          <t>Alarm eşiği tanımı</t>
        </is>
      </c>
    </row>
    <row r="30">
      <c r="H30" s="23" t="inlineStr">
        <is>
          <t>Motor Çıktıları</t>
        </is>
      </c>
    </row>
    <row r="31">
      <c r="H31" s="20" t="inlineStr">
        <is>
          <t>anahtar</t>
        </is>
      </c>
      <c r="I31" s="20" t="inlineStr">
        <is>
          <t>deger</t>
        </is>
      </c>
    </row>
    <row r="32">
      <c r="H32" s="7" t="inlineStr">
        <is>
          <t>spy_doluKayit</t>
        </is>
      </c>
      <c r="I32" s="8">
        <f>HESAP!C7</f>
        <v/>
      </c>
    </row>
    <row r="33">
      <c r="H33" s="7" t="inlineStr">
        <is>
          <t>spy_xbarOrt</t>
        </is>
      </c>
      <c r="I33" s="8">
        <f>HESAP!C15</f>
        <v/>
      </c>
    </row>
    <row r="34">
      <c r="H34" s="7" t="inlineStr">
        <is>
          <t>spy_sigmaOrt</t>
        </is>
      </c>
      <c r="I34" s="8">
        <f>HESAP!C10</f>
        <v/>
      </c>
    </row>
    <row r="35">
      <c r="H35" s="7" t="inlineStr">
        <is>
          <t>spy_cpOrt</t>
        </is>
      </c>
      <c r="I35" s="8">
        <f>HESAP!C11</f>
        <v/>
      </c>
    </row>
    <row r="36">
      <c r="H36" s="7" t="inlineStr">
        <is>
          <t>spy_cpkOrt</t>
        </is>
      </c>
      <c r="I36" s="8">
        <f>HESAP!C12</f>
        <v/>
      </c>
    </row>
    <row r="37">
      <c r="H37" s="7" t="inlineStr">
        <is>
          <t>spy_cpkMin</t>
        </is>
      </c>
      <c r="I37" s="8">
        <f>HESAP!C13</f>
        <v/>
      </c>
    </row>
    <row r="38">
      <c r="H38" s="7" t="inlineStr">
        <is>
          <t>spy_aktifProses</t>
        </is>
      </c>
      <c r="I38" s="8">
        <f>HESAP!C16</f>
        <v/>
      </c>
    </row>
    <row r="39">
      <c r="H39" s="7" t="inlineStr">
        <is>
          <t>spy_rToplam</t>
        </is>
      </c>
      <c r="I39" s="8">
        <f>HESAP!C9</f>
        <v/>
      </c>
    </row>
    <row r="40">
      <c r="H40" s="7" t="inlineStr">
        <is>
          <t>spy_saglikSkor</t>
        </is>
      </c>
      <c r="I40" s="8">
        <f>HESAP!C20</f>
        <v/>
      </c>
    </row>
    <row r="41">
      <c r="H41" s="7" t="inlineStr">
        <is>
          <t>spy_alarmAdet</t>
        </is>
      </c>
      <c r="I41" s="8">
        <f>HESAP!C18</f>
        <v/>
      </c>
    </row>
    <row r="42">
      <c r="H42" s="7" t="inlineStr">
        <is>
          <t>spy_yetimAdet</t>
        </is>
      </c>
      <c r="I42" s="8">
        <f>HESAP!C19</f>
        <v/>
      </c>
    </row>
    <row r="43">
      <c r="H43" s="7" t="inlineStr">
        <is>
          <t>spy_gunlukXbarOrt</t>
        </is>
      </c>
      <c r="I43" s="8">
        <f>HESAP!C25</f>
        <v/>
      </c>
    </row>
    <row r="44">
      <c r="H44" s="7" t="inlineStr">
        <is>
          <t>spy_aylikCpkTrend</t>
        </is>
      </c>
      <c r="I44" s="8">
        <f>HESAP!C26</f>
        <v/>
      </c>
    </row>
    <row r="45">
      <c r="H45" s="7" t="inlineStr">
        <is>
          <t>spy_cpkSapma</t>
        </is>
      </c>
      <c r="I45" s="8">
        <f>HESAP!C27</f>
        <v/>
      </c>
    </row>
    <row r="46">
      <c r="H46" s="7" t="inlineStr">
        <is>
          <t>spy_tornadoZirve</t>
        </is>
      </c>
      <c r="I46" s="8">
        <f>HESAP!C39</f>
        <v/>
      </c>
    </row>
    <row r="47">
      <c r="H47" s="7" t="inlineStr">
        <is>
          <t>spy_senaryoKarsilastirma</t>
        </is>
      </c>
      <c r="I47" s="8">
        <f>HESAP!C35</f>
        <v/>
      </c>
    </row>
    <row r="48">
      <c r="H48" s="7" t="inlineStr">
        <is>
          <t>spy_hhi</t>
        </is>
      </c>
      <c r="I48" s="8">
        <f>HESAP!C40</f>
        <v/>
      </c>
    </row>
    <row r="49">
      <c r="H49" s="7" t="inlineStr">
        <is>
          <t>spy_kaliteSkor</t>
        </is>
      </c>
      <c r="I49" s="8">
        <f>HESAP!C41</f>
        <v/>
      </c>
    </row>
    <row r="50">
      <c r="H50" s="7" t="inlineStr">
        <is>
          <t>spy_senaryoMotor</t>
        </is>
      </c>
      <c r="I50" s="8">
        <f>HESAP!C44</f>
        <v/>
      </c>
    </row>
    <row r="51">
      <c r="H51" s="7" t="inlineStr">
        <is>
          <t>spy_tahminAralik</t>
        </is>
      </c>
      <c r="I51" s="8">
        <f>HESAP!C42</f>
        <v/>
      </c>
    </row>
    <row r="52">
      <c r="H52" s="7" t="inlineStr">
        <is>
          <t>spy_yuzdelikP90</t>
        </is>
      </c>
      <c r="I52" s="8">
        <f>HESAP!C43</f>
        <v/>
      </c>
    </row>
    <row r="53">
      <c r="H53" s="7" t="inlineStr">
        <is>
          <t>spy_sezonsalTrend</t>
        </is>
      </c>
      <c r="I53" s="8">
        <f>_xlfn.TEXTJOIN(" | ",TRUE,"12_AY",TEXT(HESAP!C45,"0.000"),"Cpk",TEXT(HESAP!C46,"0"),"olcum sezonsal")</f>
        <v/>
      </c>
    </row>
    <row r="54">
      <c r="H54" s="7" t="inlineStr">
        <is>
          <t>spy_alarmListesi</t>
        </is>
      </c>
      <c r="I54" s="8">
        <f>_xlfn.TEXTJOIN(" | ",TRUE,"Alarm",HESAP!C18,"Yetim",HESAP!C19,"CpkAşım",HESAP!C22,"WE",HESAP!C23)</f>
        <v/>
      </c>
    </row>
    <row r="55">
      <c r="H55" s="7" t="inlineStr">
        <is>
          <t>spy_kararKapi</t>
        </is>
      </c>
      <c r="I55" s="8">
        <f>IF(HESAP!C7=0,"VERİ YOK",IF(OR(HESAP!C12&lt;0,HESAP!C11&lt;0,HESAP!C10&lt;0),"KRİTİK",IF(HESAP!C47=1,"KRİTİK",IF(OR(HESAP!C22&gt;0,HESAP!C12&lt;spy_esikCpk),"DİKKAT","UYGUN"))))</f>
        <v/>
      </c>
    </row>
    <row r="56">
      <c r="H56" s="7" t="inlineStr">
        <is>
          <t>spy_kararGerekce</t>
        </is>
      </c>
      <c r="I56" s="8">
        <f>_xlfn.TEXTJOIN(" ",TRUE,"Karar",spy_kararKapi,"| Cpk",TEXT(spy_cpkOrt,"0.000"),"| sağlık",TEXT(spy_saglikSkor,"0"),"| alarm",spy_alarmAdet)</f>
        <v/>
      </c>
    </row>
    <row r="57">
      <c r="H57" s="7" t="inlineStr">
        <is>
          <t>spy_sonrakiKimlik</t>
        </is>
      </c>
      <c r="I57" s="8">
        <f>"PRS-"&amp;TEXT(COUNTA(tblProsesler[VarlikId])+1,"00000")</f>
        <v/>
      </c>
    </row>
    <row r="59">
      <c r="H59" s="23" t="inlineStr">
        <is>
          <t>Yorumlar</t>
        </is>
      </c>
    </row>
    <row r="60">
      <c r="H60" s="7" t="inlineStr">
        <is>
          <t>spy_yorumGunluk</t>
        </is>
      </c>
      <c r="I60" s="8">
        <f>_xlfn.TEXTJOIN(" ",TRUE,"Günlük X̄ ort",TEXT(spy_gunlukXbarOrt,"0.000"))</f>
        <v/>
      </c>
    </row>
    <row r="61">
      <c r="H61" s="7" t="inlineStr">
        <is>
          <t>spy_yorumAylik</t>
        </is>
      </c>
      <c r="I61" s="8">
        <f>_xlfn.TEXTJOIN(" ",TRUE,"Aylık Cpk proxy",TEXT(spy_aylikCpkTrend,"0.000"))</f>
        <v/>
      </c>
    </row>
    <row r="62">
      <c r="H62" s="7" t="inlineStr">
        <is>
          <t>spy_yorumSapma</t>
        </is>
      </c>
      <c r="I62" s="8">
        <f>_xlfn.TEXTJOIN(" ",TRUE,"Cpk sapma",TEXT(spy_cpkSapma,"0.000"))</f>
        <v/>
      </c>
    </row>
    <row r="63">
      <c r="H63" s="7" t="inlineStr">
        <is>
          <t>spy_yorumTornado</t>
        </is>
      </c>
      <c r="I63" s="8">
        <f>_xlfn.TEXTJOIN(" ",TRUE,"Tornado zirve",TEXT(spy_tornadoZirve,"0.000"))</f>
        <v/>
      </c>
    </row>
    <row r="64">
      <c r="H64" s="7" t="inlineStr">
        <is>
          <t>spy_yorumSenaryo</t>
        </is>
      </c>
      <c r="I64" s="8">
        <f>_xlfn.TEXTJOIN(" ",TRUE,"Senaryo farkı",TEXT(spy_senaryoKarsilastirma,"0.000"))</f>
        <v/>
      </c>
    </row>
    <row r="65">
      <c r="H65" s="7" t="inlineStr">
        <is>
          <t>spy_yorumHhi</t>
        </is>
      </c>
      <c r="I65" s="8">
        <f>_xlfn.TEXTJOIN(" ",TRUE,"Yoğunlaşma HHI",TEXT(spy_hhi,"0.0%"))</f>
        <v/>
      </c>
    </row>
    <row r="66">
      <c r="H66" s="7" t="inlineStr">
        <is>
          <t>spy_yorumKalite</t>
        </is>
      </c>
      <c r="I66" s="8">
        <f>_xlfn.TEXTJOIN(" ",TRUE,"Kalite skoru",spy_kaliteSkor)</f>
        <v/>
      </c>
    </row>
    <row r="67">
      <c r="H67" s="7" t="inlineStr">
        <is>
          <t>spy_yorumSenMotor</t>
        </is>
      </c>
      <c r="I67" s="8">
        <f>_xlfn.TEXTJOIN(" ",TRUE,"Senaryo motoru",spy_senaryoMotor)</f>
        <v/>
      </c>
    </row>
    <row r="68">
      <c r="H68" s="7" t="inlineStr">
        <is>
          <t>spy_yorumTahmin</t>
        </is>
      </c>
      <c r="I68" s="8">
        <f>_xlfn.TEXTJOIN(" ",TRUE,"Tahmin aralık",TEXT(spy_tahminAralik,"0.000"))</f>
        <v/>
      </c>
    </row>
    <row r="69">
      <c r="H69" s="7" t="inlineStr">
        <is>
          <t>spy_yorumP90</t>
        </is>
      </c>
      <c r="I69" s="8">
        <f>_xlfn.TEXTJOIN(" ",TRUE,"P90 Cpk",TEXT(spy_yuzdelikP90,"0.000"))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69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0F2742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00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33" t="inlineStr">
        <is>
          <t>KILAVUZ — SPC Proses Yetenek Analizi</t>
        </is>
      </c>
    </row>
    <row r="3" ht="22" customHeight="1">
      <c r="A3" s="41" t="inlineStr">
        <is>
          <t>Kullanım Kılavuzu</t>
        </is>
      </c>
    </row>
    <row r="5">
      <c r="A5" s="8" t="inlineStr">
        <is>
          <t>1. VARLIKLAR sayfasına proses kartı ekleyin (LSL/USL/hedef/altgrup n); sonraki kimliği kullanın.</t>
        </is>
      </c>
    </row>
    <row r="6">
      <c r="A6" s="8" t="inlineStr">
        <is>
          <t>2. GUNLUK_GIRIS sayfasına günlük satır yazın: varlık, tarih, X̄, R, n, vardiya (≤6 alan).</t>
        </is>
      </c>
    </row>
    <row r="7">
      <c r="A7" s="8" t="inlineStr">
        <is>
          <t>3. σ = R/d2; Cp = (USL−LSL)/(6σ); Cpk = min((USL−X̄)/(3σ),(X̄−LSL)/(3σ)).</t>
        </is>
      </c>
    </row>
    <row r="8">
      <c r="A8" s="8" t="inlineStr">
        <is>
          <t>4. DONEM_ANALIZ 12 aylık sezonsal Cp/Cpk zincirini gösterir.</t>
        </is>
      </c>
    </row>
    <row r="9">
      <c r="A9" s="8" t="inlineStr">
        <is>
          <t>5. ALARMLAR sayfasında varlık + eşik + tarih listesi; eşikler AYARLAR'dadır.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 (IATF/müşteri kanıtı).</t>
        </is>
      </c>
    </row>
    <row r="13">
      <c r="A13" s="8" t="inlineStr">
        <is>
          <t>9. Sürüm 1.0.0 | Kod SPY-PRO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2026-08-11T19:35:08Z</dcterms:created>
  <dcterms:modified xmlns:dcterms="http://purl.org/dc/terms/" xmlns:xsi="http://www.w3.org/2001/XMLSchema-instance" xsi:type="dcterms:W3CDTF">2026-09-25T22:33:59Z</dcterms:modified>
</cp:coreProperties>
</file>