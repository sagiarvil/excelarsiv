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9.xml" ContentType="application/vnd.openxmlformats-officedocument.spreadsheetml.comments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KASA_HESAPLARI" sheetId="12" state="visible" r:id="rId12"/>
    <sheet xmlns:r="http://schemas.openxmlformats.org/officeDocument/2006/relationships" name="KASA_HAREKETLERI" sheetId="13" state="visible" r:id="rId13"/>
    <sheet xmlns:r="http://schemas.openxmlformats.org/officeDocument/2006/relationships" name="ODEME_TAHSILAT_TAKVIMI" sheetId="14" state="visible" r:id="rId14"/>
    <sheet xmlns:r="http://schemas.openxmlformats.org/officeDocument/2006/relationships" name="FIZIKI_KASA_MUTABAKAT" sheetId="15" state="visible" r:id="rId15"/>
    <sheet xmlns:r="http://schemas.openxmlformats.org/officeDocument/2006/relationships" name="GUNLUK_OZET" sheetId="16" state="visible" r:id="rId16"/>
    <sheet xmlns:r="http://schemas.openxmlformats.org/officeDocument/2006/relationships" name="NAKIT_PROJEKSIYONU" sheetId="17" state="visible" r:id="rId17"/>
    <sheet xmlns:r="http://schemas.openxmlformats.org/officeDocument/2006/relationships" name="MOTOR" sheetId="18" state="visible" r:id="rId18"/>
    <sheet xmlns:r="http://schemas.openxmlformats.org/officeDocument/2006/relationships" name="KONTROLLER" sheetId="19" state="visible" r:id="rId19"/>
    <sheet xmlns:r="http://schemas.openxmlformats.org/officeDocument/2006/relationships" name="KARAR_MOTORU" sheetId="20" state="visible" r:id="rId20"/>
    <sheet xmlns:r="http://schemas.openxmlformats.org/officeDocument/2006/relationships" name="SENARYO_DUYARLILIK" sheetId="21" state="visible" r:id="rId21"/>
    <sheet xmlns:r="http://schemas.openxmlformats.org/officeDocument/2006/relationships" name="RAPOR" sheetId="22" state="visible" r:id="rId22"/>
    <sheet xmlns:r="http://schemas.openxmlformats.org/officeDocument/2006/relationships" name="ORNEK_VERI" sheetId="23" state="visible" r:id="rId23"/>
    <sheet xmlns:r="http://schemas.openxmlformats.org/officeDocument/2006/relationships" name="TESTLER" sheetId="24" state="visible" r:id="rId24"/>
    <sheet xmlns:r="http://schemas.openxmlformats.org/officeDocument/2006/relationships" name="AKIS" sheetId="25" state="visible" r:id="rId25"/>
    <sheet xmlns:r="http://schemas.openxmlformats.org/officeDocument/2006/relationships" name="DEGISIKLIK_KAYDI" sheetId="26" state="visible" r:id="rId26"/>
    <sheet xmlns:r="http://schemas.openxmlformats.org/officeDocument/2006/relationships" name="LISTELER" sheetId="27" state="visible" r:id="rId27"/>
    <sheet xmlns:r="http://schemas.openxmlformats.org/officeDocument/2006/relationships" name="AYARLAR" sheetId="28" state="visible" r:id="rId28"/>
    <sheet xmlns:r="http://schemas.openxmlformats.org/officeDocument/2006/relationships" name="KILAVUZ" sheetId="29" state="visible" r:id="rId29"/>
  </sheets>
  <definedNames>
    <definedName name="AnomaliKatsayisi" hidden="0" function="0" vbProcedure="0">AYARLAR!$B$19</definedName>
    <definedName name="AsgariNakitTamponu" hidden="0" function="0" vbProcedure="0">AYARLAR!$B$16</definedName>
    <definedName name="BaslangicSatir" hidden="0" function="0" vbProcedure="0">AYARLAR!$B$29</definedName>
    <definedName name="BekleyenOdeme" hidden="0" function="0" vbProcedure="0">KARAR_MOTORU!$B$10</definedName>
    <definedName name="BekleyenTahsilat" hidden="0" function="0" vbProcedure="0">KARAR_MOTORU!$B$11</definedName>
    <definedName name="DosyaSurumu" hidden="0" function="0" vbProcedure="0">AYARLAR!$B$10</definedName>
    <definedName name="DuyarliOran" hidden="0" function="0" vbProcedure="0">AYARLAR!$B$24</definedName>
    <definedName name="FirmaUnvan" hidden="0" function="0" vbProcedure="0">AYARLAR!$B$5</definedName>
    <definedName name="HaftaUzunluk" hidden="0" function="0" vbProcedure="0">AYARLAR!$B$30</definedName>
    <definedName name="HataAgirligi" hidden="0" function="0" vbProcedure="0">AYARLAR!$B$27</definedName>
    <definedName name="IlkKritikOdemeTarihi" hidden="0" function="0" vbProcedure="0">KARAR_MOTORU!$B$19</definedName>
    <definedName name="IyimserTahsilat" hidden="0" function="0" vbProcedure="0">AYARLAR!$B$22</definedName>
    <definedName name="KararBildirimi" hidden="0" function="0" vbProcedure="0">KARAR_MOTORU!$B$12</definedName>
    <definedName name="KasaBaslangicBakiye" hidden="0" function="0" vbProcedure="0">AYARLAR!$B$15</definedName>
    <definedName name="KayitSayisi" hidden="0" function="0" vbProcedure="0">KONTROLLER!$B$5</definedName>
    <definedName name="KotumserEkOdeme" hidden="0" function="0" vbProcedure="0">AYARLAR!$B$23</definedName>
    <definedName name="KritikOdemeToplami" hidden="0" function="0" vbProcedure="0">KARAR_MOTORU!$B$18</definedName>
    <definedName name="KritikRiskEsik" hidden="0" function="0" vbProcedure="0">AYARLAR!$B$18</definedName>
    <definedName name="KritikUfukGun" hidden="0" function="0" vbProcedure="0">AYARLAR!$B$17</definedName>
    <definedName name="KullanilabilirNakit" hidden="0" function="0" vbProcedure="0">KARAR_MOTORU!$B$8</definedName>
    <definedName name="MaksimumHareketTutari" hidden="0" function="0" vbProcedure="0">AYARLAR!$B$21</definedName>
    <definedName name="modulI1KasaTahmini" hidden="0" function="0" vbProcedure="0">MOTOR!$B$41</definedName>
    <definedName name="modulI1KasaTahminiYorum" hidden="0" function="0" vbProcedure="0">MOTOR!$C$57</definedName>
    <definedName name="modulI2KasaP90" hidden="0" function="0" vbProcedure="0">MOTOR!$B$42</definedName>
    <definedName name="modulI2KasaP90Yorum" hidden="0" function="0" vbProcedure="0">MOTOR!$C$58</definedName>
    <definedName name="modulI7AcikKopru" hidden="0" function="0" vbProcedure="0">MOTOR!$B$43</definedName>
    <definedName name="modulI7AcikKopruYorum" hidden="0" function="0" vbProcedure="0">MOTOR!$C$59</definedName>
    <definedName name="modulO1AnomaliOran" hidden="0" function="0" vbProcedure="0">MOTOR!$B$36</definedName>
    <definedName name="modulO1AnomaliOranYorum" hidden="0" function="0" vbProcedure="0">MOTOR!$C$52</definedName>
    <definedName name="modulO2TornadoZirve" hidden="0" function="0" vbProcedure="0">MOTOR!$B$37</definedName>
    <definedName name="modulO2TornadoZirveYorum" hidden="0" function="0" vbProcedure="0">MOTOR!$C$53</definedName>
    <definedName name="modulO3SenaryoFark" hidden="0" function="0" vbProcedure="0">MOTOR!$B$38</definedName>
    <definedName name="modulO3SenaryoFarkYorum" hidden="0" function="0" vbProcedure="0">MOTOR!$C$54</definedName>
    <definedName name="modulO6HesapHhi" hidden="0" function="0" vbProcedure="0">MOTOR!$B$39</definedName>
    <definedName name="modulO6HesapHhiYorum" hidden="0" function="0" vbProcedure="0">MOTOR!$C$55</definedName>
    <definedName name="modulO8KaliteSkor" hidden="0" function="0" vbProcedure="0">MOTOR!$B$40</definedName>
    <definedName name="modulO8KaliteSkorYorum" hidden="0" function="0" vbProcedure="0">MOTOR!$C$56</definedName>
    <definedName name="modulT1VadeGecmis" hidden="0" function="0" vbProcedure="0">MOTOR!$B$30</definedName>
    <definedName name="modulT1VadeGecmisYorum" hidden="0" function="0" vbProcedure="0">MOTOR!$C$46</definedName>
    <definedName name="modulT2NetEgim" hidden="0" function="0" vbProcedure="0">MOTOR!$B$31</definedName>
    <definedName name="modulT2NetEgimYorum" hidden="0" function="0" vbProcedure="0">MOTOR!$C$47</definedName>
    <definedName name="modulT3ParetoPay" hidden="0" function="0" vbProcedure="0">MOTOR!$B$32</definedName>
    <definedName name="modulT3ParetoPayYorum" hidden="0" function="0" vbProcedure="0">MOTOR!$C$48</definedName>
    <definedName name="modulT4NetFark" hidden="0" function="0" vbProcedure="0">MOTOR!$B$33</definedName>
    <definedName name="modulT4NetFarkYorum" hidden="0" function="0" vbProcedure="0">MOTOR!$C$49</definedName>
    <definedName name="modulT5MutabakatFark" hidden="0" function="0" vbProcedure="0">MOTOR!$B$34</definedName>
    <definedName name="modulT5MutabakatFarkYorum" hidden="0" function="0" vbProcedure="0">MOTOR!$C$50</definedName>
    <definedName name="modulT6KapsamaOran" hidden="0" function="0" vbProcedure="0">MOTOR!$B$35</definedName>
    <definedName name="modulT6KapsamaOranYorum" hidden="0" function="0" vbProcedure="0">MOTOR!$C$51</definedName>
    <definedName name="MutabakatFarkSayisi" hidden="0" function="0" vbProcedure="0">KONTROLLER!$B$11</definedName>
    <definedName name="MutabakatFarki" hidden="0" function="0" vbProcedure="0">PANO!$K$9</definedName>
    <definedName name="MutabakatToleransi" hidden="0" function="0" vbProcedure="0">AYARLAR!$B$20</definedName>
    <definedName name="NakitAcik" hidden="0" function="0" vbProcedure="0">KARAR_MOTORU!$B$9</definedName>
    <definedName name="OdenecekOnerisi" hidden="0" function="0" vbProcedure="0">KARAR_MOTORU!$B$17</definedName>
    <definedName name="RaporHazirlayan" hidden="0" function="0" vbProcedure="0">AYARLAR!$B$8</definedName>
    <definedName name="RaporTarihi" hidden="0" function="0" vbProcedure="0">AYARLAR!$B$7</definedName>
    <definedName name="SenaryoBazNakit" hidden="0" function="0" vbProcedure="0">SENARYO_DUYARLILIK!$B$5</definedName>
    <definedName name="SenaryoIyimserNakit" hidden="0" function="0" vbProcedure="0">SENARYO_DUYARLILIK!$B$7</definedName>
    <definedName name="SenaryoKotumserNakit" hidden="0" function="0" vbProcedure="0">SENARYO_DUYARLILIK!$B$9</definedName>
    <definedName name="TahsilatArtisOrani" hidden="0" function="0" vbProcedure="0">SENARYO_DUYARLILIK!$B$6</definedName>
    <definedName name="ToplamBloke" hidden="0" function="0" vbProcedure="0">KARAR_MOTORU!$B$6</definedName>
    <definedName name="ToplamHesapBakiye" hidden="0" function="0" vbProcedure="0">KARAR_MOTORU!$B$5</definedName>
    <definedName name="ToplamMinEsik" hidden="0" function="0" vbProcedure="0">KARAR_MOTORU!$B$7</definedName>
    <definedName name="UyariAgirligi" hidden="0" function="0" vbProcedure="0">AYARLAR!$B$28</definedName>
    <definedName name="VeriKaliteOrta" hidden="0" function="0" vbProcedure="0">AYARLAR!$B$26</definedName>
    <definedName name="VeriKaliteSkor" hidden="0" function="0" vbProcedure="0">KONTROLLER!$B$15</definedName>
    <definedName name="VeriKaliteYuksek" hidden="0" function="0" vbProcedure="0">AYARLAR!$B$25</definedName>
    <definedName name="_xlnm.Print_Area" localSheetId="15">'GUNLUK_OZET'!$A$1:$H$120</definedName>
    <definedName name="_xlnm.Print_Area" localSheetId="21">'RAPOR'!$A$1:$J$33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&quot;₺ &quot;#,##0;[RED]&quot;(₺ &quot;#,##0\);\-"/>
    <numFmt numFmtId="165" formatCode="dd/mm/yyyy"/>
    <numFmt numFmtId="166" formatCode="0.0%;[RED]\(0.0%\);\-"/>
    <numFmt numFmtId="167" formatCode="0&quot; gün&quot;"/>
    <numFmt numFmtId="168" formatCode="0.0"/>
    <numFmt numFmtId="169" formatCode="#,##0 &quot;TL&quot;"/>
    <numFmt numFmtId="170" formatCode="0.0%"/>
    <numFmt numFmtId="171" formatCode="₺#,##0"/>
    <numFmt numFmtId="172" formatCode="0.00&quot;x&quot;"/>
  </numFmts>
  <fonts count="10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C00000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B1F3A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C00000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color rgb="FF006100"/>
      <sz val="10"/>
    </font>
    <font>
      <name val="Segoe UI"/>
      <charset val="1"/>
      <family val="0"/>
      <color rgb="FF000000"/>
      <sz val="9"/>
    </font>
    <font>
      <name val="Arial"/>
      <family val="2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00000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i val="1"/>
      <color rgb="FF000000"/>
      <sz val="9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color rgb="FF1F7A4D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i val="1"/>
      <color rgb="FF006100"/>
      <sz val="9"/>
    </font>
    <font>
      <name val="Segoe UI"/>
      <charset val="1"/>
      <family val="0"/>
      <i val="1"/>
      <color rgb="FF000000"/>
      <sz val="8"/>
    </font>
    <font>
      <name val="Segoe UI"/>
      <charset val="1"/>
      <family val="0"/>
      <i val="1"/>
      <color rgb="FF000000"/>
      <sz val="10"/>
    </font>
    <font>
      <name val="Segoe UI"/>
      <charset val="1"/>
      <family val="0"/>
      <b val="1"/>
      <color rgb="FFFFFFFF"/>
      <sz val="15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B1F3A"/>
        <bgColor rgb="FF000000"/>
      </patternFill>
    </fill>
    <fill>
      <patternFill patternType="solid">
        <fgColor rgb="00DDEBF7"/>
        <bgColor rgb="FFD9E1EB"/>
      </patternFill>
    </fill>
    <fill>
      <patternFill patternType="solid">
        <fgColor rgb="001F4E79"/>
        <bgColor rgb="FF32547C"/>
      </patternFill>
    </fill>
    <fill>
      <patternFill patternType="solid">
        <fgColor rgb="FFFFF2CC"/>
        <bgColor rgb="FFFDE7E9"/>
      </patternFill>
    </fill>
    <fill>
      <patternFill patternType="solid">
        <fgColor rgb="00F2F2F2"/>
        <bgColor rgb="FFF9F9F9"/>
      </patternFill>
    </fill>
    <fill>
      <patternFill patternType="solid">
        <fgColor rgb="00FFFFFF"/>
        <bgColor rgb="FFF9F9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center" vertical="center"/>
      <protection locked="0" hidden="0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4" fontId="19" fillId="0" borderId="0" applyAlignment="1" pivotButton="0" quotePrefix="0" xfId="0">
      <alignment horizontal="general" vertical="bottom"/>
    </xf>
    <xf numFmtId="0" fontId="20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0" fontId="22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4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49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8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/>
    </xf>
    <xf numFmtId="164" fontId="2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/>
    </xf>
    <xf numFmtId="0" fontId="14" fillId="7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49" fontId="14" fillId="5" borderId="0" applyAlignment="1" applyProtection="1" pivotButton="0" quotePrefix="0" xfId="0">
      <alignment horizontal="left" vertical="center"/>
      <protection locked="0" hidden="0"/>
    </xf>
    <xf numFmtId="0" fontId="36" fillId="6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167" fontId="14" fillId="5" borderId="0" applyAlignment="1" applyProtection="1" pivotButton="0" quotePrefix="0" xfId="0">
      <alignment horizontal="left" vertical="center"/>
      <protection locked="0" hidden="0"/>
    </xf>
    <xf numFmtId="167" fontId="27" fillId="0" borderId="0" applyAlignment="1" pivotButton="0" quotePrefix="0" xfId="0">
      <alignment horizontal="left" vertical="center"/>
    </xf>
    <xf numFmtId="168" fontId="14" fillId="5" borderId="0" applyAlignment="1" applyProtection="1" pivotButton="0" quotePrefix="0" xfId="0">
      <alignment horizontal="left" vertical="center"/>
      <protection locked="0" hidden="0"/>
    </xf>
    <xf numFmtId="168" fontId="27" fillId="0" borderId="0" applyAlignment="1" pivotButton="0" quotePrefix="0" xfId="0">
      <alignment horizontal="left" vertical="center"/>
    </xf>
    <xf numFmtId="1" fontId="14" fillId="5" borderId="0" applyAlignment="1" applyProtection="1" pivotButton="0" quotePrefix="0" xfId="0">
      <alignment horizontal="left" vertical="center"/>
      <protection locked="0" hidden="0"/>
    </xf>
    <xf numFmtId="1" fontId="27" fillId="0" borderId="0" applyAlignment="1" pivotButton="0" quotePrefix="0" xfId="0">
      <alignment horizontal="left" vertical="center"/>
    </xf>
    <xf numFmtId="166" fontId="27" fillId="0" borderId="0" applyAlignment="1" pivotButton="0" quotePrefix="0" xfId="0">
      <alignment horizontal="left" vertical="center"/>
    </xf>
    <xf numFmtId="3" fontId="14" fillId="5" borderId="0" applyAlignment="1" applyProtection="1" pivotButton="0" quotePrefix="0" xfId="0">
      <alignment horizontal="left" vertical="center"/>
      <protection locked="0" hidden="0"/>
    </xf>
    <xf numFmtId="3" fontId="27" fillId="0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center" vertical="center"/>
      <protection locked="0" hidden="0"/>
    </xf>
    <xf numFmtId="0" fontId="14" fillId="5" borderId="0" applyAlignment="1" applyProtection="1" pivotButton="0" quotePrefix="0" xfId="0">
      <alignment horizontal="left" vertical="center"/>
      <protection locked="0" hidden="0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4" fontId="19" fillId="0" borderId="0" applyAlignment="1" pivotButton="0" quotePrefix="0" xfId="0">
      <alignment horizontal="general" vertical="bottom"/>
    </xf>
    <xf numFmtId="0" fontId="20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0" fontId="22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4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49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8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/>
    </xf>
    <xf numFmtId="164" fontId="2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/>
    </xf>
    <xf numFmtId="0" fontId="14" fillId="7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49" fontId="14" fillId="5" borderId="0" applyAlignment="1" applyProtection="1" pivotButton="0" quotePrefix="0" xfId="0">
      <alignment horizontal="left" vertical="center"/>
      <protection locked="0" hidden="0"/>
    </xf>
    <xf numFmtId="0" fontId="36" fillId="6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167" fontId="14" fillId="5" borderId="0" applyAlignment="1" applyProtection="1" pivotButton="0" quotePrefix="0" xfId="0">
      <alignment horizontal="left" vertical="center"/>
      <protection locked="0" hidden="0"/>
    </xf>
    <xf numFmtId="167" fontId="27" fillId="0" borderId="0" applyAlignment="1" pivotButton="0" quotePrefix="0" xfId="0">
      <alignment horizontal="left" vertical="center"/>
    </xf>
    <xf numFmtId="168" fontId="14" fillId="5" borderId="0" applyAlignment="1" applyProtection="1" pivotButton="0" quotePrefix="0" xfId="0">
      <alignment horizontal="left" vertical="center"/>
      <protection locked="0" hidden="0"/>
    </xf>
    <xf numFmtId="168" fontId="27" fillId="0" borderId="0" applyAlignment="1" pivotButton="0" quotePrefix="0" xfId="0">
      <alignment horizontal="left" vertical="center"/>
    </xf>
    <xf numFmtId="1" fontId="14" fillId="5" borderId="0" applyAlignment="1" applyProtection="1" pivotButton="0" quotePrefix="0" xfId="0">
      <alignment horizontal="left" vertical="center"/>
      <protection locked="0" hidden="0"/>
    </xf>
    <xf numFmtId="1" fontId="27" fillId="0" borderId="0" applyAlignment="1" pivotButton="0" quotePrefix="0" xfId="0">
      <alignment horizontal="left" vertical="center"/>
    </xf>
    <xf numFmtId="166" fontId="27" fillId="0" borderId="0" applyAlignment="1" pivotButton="0" quotePrefix="0" xfId="0">
      <alignment horizontal="left" vertical="center"/>
    </xf>
    <xf numFmtId="3" fontId="14" fillId="5" borderId="0" applyAlignment="1" applyProtection="1" pivotButton="0" quotePrefix="0" xfId="0">
      <alignment horizontal="left" vertical="center"/>
      <protection locked="0" hidden="0"/>
    </xf>
    <xf numFmtId="3" fontId="27" fillId="0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wrapText="1" indent="1"/>
    </xf>
    <xf numFmtId="0" fontId="41" fillId="8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43" fillId="0" borderId="0" pivotButton="0" quotePrefix="0" xfId="0"/>
    <xf numFmtId="0" fontId="49" fillId="0" borderId="0" pivotButton="0" quotePrefix="0" xfId="0"/>
    <xf numFmtId="0" fontId="44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9" fillId="9" borderId="0" applyAlignment="1" pivotButton="0" quotePrefix="0" xfId="0">
      <alignment horizontal="center" vertical="center" wrapText="1"/>
    </xf>
    <xf numFmtId="0" fontId="45" fillId="0" borderId="0" pivotButton="0" quotePrefix="0" xfId="0"/>
    <xf numFmtId="0" fontId="46" fillId="0" borderId="0" pivotButton="0" quotePrefix="0" xfId="0"/>
    <xf numFmtId="0" fontId="48" fillId="0" borderId="0" pivotButton="0" quotePrefix="0" xfId="0"/>
    <xf numFmtId="0" fontId="50" fillId="0" borderId="0" pivotButton="0" quotePrefix="0" xfId="0"/>
    <xf numFmtId="0" fontId="51" fillId="8" borderId="0" applyAlignment="1" pivotButton="0" quotePrefix="0" xfId="0">
      <alignment horizontal="center" vertical="center"/>
    </xf>
    <xf numFmtId="0" fontId="52" fillId="0" borderId="0" pivotButton="0" quotePrefix="0" xfId="0"/>
    <xf numFmtId="169" fontId="52" fillId="0" borderId="0" pivotButton="0" quotePrefix="0" xfId="0"/>
    <xf numFmtId="169" fontId="53" fillId="0" borderId="0" pivotButton="0" quotePrefix="0" xfId="0"/>
    <xf numFmtId="170" fontId="52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8" borderId="0" applyAlignment="1" pivotButton="0" quotePrefix="0" xfId="0">
      <alignment horizontal="center" vertical="center"/>
    </xf>
    <xf numFmtId="0" fontId="51" fillId="8" borderId="0" applyAlignment="1" pivotButton="0" quotePrefix="0" xfId="0">
      <alignment horizontal="center"/>
    </xf>
    <xf numFmtId="0" fontId="53" fillId="0" borderId="0" pivotButton="0" quotePrefix="0" xfId="0"/>
    <xf numFmtId="0" fontId="57" fillId="10" borderId="1" pivotButton="0" quotePrefix="0" xfId="0"/>
    <xf numFmtId="0" fontId="58" fillId="0" borderId="0" pivotButton="0" quotePrefix="0" xfId="0"/>
    <xf numFmtId="0" fontId="59" fillId="0" borderId="0" pivotButton="0" quotePrefix="0" xfId="0"/>
    <xf numFmtId="0" fontId="52" fillId="0" borderId="0" applyAlignment="1" pivotButton="0" quotePrefix="0" xfId="0">
      <alignment wrapText="1"/>
    </xf>
    <xf numFmtId="0" fontId="60" fillId="0" borderId="0" pivotButton="0" quotePrefix="0" xfId="0"/>
    <xf numFmtId="0" fontId="61" fillId="0" borderId="1" applyAlignment="1" pivotButton="0" quotePrefix="0" xfId="0">
      <alignment horizontal="center" vertical="center"/>
    </xf>
    <xf numFmtId="0" fontId="51" fillId="11" borderId="0" applyAlignment="1" pivotButton="0" quotePrefix="0" xfId="0">
      <alignment horizontal="center" vertical="center"/>
    </xf>
    <xf numFmtId="0" fontId="42" fillId="0" borderId="0" pivotButton="0" quotePrefix="0" xfId="0"/>
    <xf numFmtId="0" fontId="48" fillId="0" borderId="2" pivotButton="0" quotePrefix="0" xfId="0"/>
    <xf numFmtId="0" fontId="0" fillId="0" borderId="1" pivotButton="0" quotePrefix="0" xfId="0"/>
    <xf numFmtId="0" fontId="62" fillId="12" borderId="1" applyAlignment="1" pivotButton="0" quotePrefix="0" xfId="0">
      <alignment horizontal="center"/>
    </xf>
    <xf numFmtId="0" fontId="48" fillId="0" borderId="3" pivotButton="0" quotePrefix="0" xfId="0"/>
    <xf numFmtId="0" fontId="64" fillId="13" borderId="1" applyAlignment="1" pivotButton="0" quotePrefix="0" xfId="0">
      <alignment horizontal="center"/>
    </xf>
    <xf numFmtId="0" fontId="63" fillId="14" borderId="1" applyAlignment="1" pivotButton="0" quotePrefix="0" xfId="0">
      <alignment horizontal="center"/>
    </xf>
    <xf numFmtId="0" fontId="48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4" fillId="0" borderId="2" pivotButton="0" quotePrefix="0" xfId="0"/>
    <xf numFmtId="0" fontId="65" fillId="0" borderId="3" pivotButton="0" quotePrefix="0" xfId="0"/>
    <xf numFmtId="0" fontId="66" fillId="0" borderId="4" pivotButton="0" quotePrefix="0" xfId="0"/>
    <xf numFmtId="0" fontId="63" fillId="0" borderId="2" pivotButton="0" quotePrefix="0" xfId="0"/>
    <xf numFmtId="0" fontId="58" fillId="0" borderId="3" pivotButton="0" quotePrefix="0" xfId="0"/>
    <xf numFmtId="0" fontId="63" fillId="0" borderId="4" pivotButton="0" quotePrefix="0" xfId="0"/>
    <xf numFmtId="0" fontId="67" fillId="15" borderId="0" applyAlignment="1" pivotButton="0" quotePrefix="0" xfId="0">
      <alignment horizontal="center"/>
    </xf>
    <xf numFmtId="0" fontId="68" fillId="0" borderId="0" pivotButton="0" quotePrefix="0" xfId="0"/>
    <xf numFmtId="0" fontId="67" fillId="16" borderId="0" applyAlignment="1" pivotButton="0" quotePrefix="0" xfId="0">
      <alignment horizontal="center" vertical="center"/>
    </xf>
    <xf numFmtId="0" fontId="68" fillId="0" borderId="1" pivotButton="0" quotePrefix="0" xfId="0"/>
    <xf numFmtId="0" fontId="69" fillId="0" borderId="1" pivotButton="0" quotePrefix="0" xfId="0"/>
    <xf numFmtId="0" fontId="70" fillId="0" borderId="1" pivotButton="0" quotePrefix="0" xfId="0"/>
    <xf numFmtId="0" fontId="71" fillId="17" borderId="1" applyAlignment="1" pivotButton="0" quotePrefix="0" xfId="0">
      <alignment horizontal="center"/>
    </xf>
    <xf numFmtId="0" fontId="67" fillId="8" borderId="0" pivotButton="0" quotePrefix="0" xfId="0"/>
    <xf numFmtId="0" fontId="72" fillId="8" borderId="0" pivotButton="0" quotePrefix="0" xfId="0"/>
    <xf numFmtId="0" fontId="73" fillId="8" borderId="0" pivotButton="0" quotePrefix="0" xfId="0"/>
    <xf numFmtId="0" fontId="0" fillId="8" borderId="0" pivotButton="0" quotePrefix="0" xfId="0"/>
    <xf numFmtId="0" fontId="45" fillId="8" borderId="0" applyAlignment="1" pivotButton="0" quotePrefix="0" xfId="0">
      <alignment horizontal="center"/>
    </xf>
    <xf numFmtId="0" fontId="61" fillId="0" borderId="0" pivotButton="0" quotePrefix="0" xfId="0"/>
    <xf numFmtId="0" fontId="76" fillId="18" borderId="0" pivotButton="0" quotePrefix="0" xfId="0"/>
    <xf numFmtId="0" fontId="0" fillId="18" borderId="0" pivotButton="0" quotePrefix="0" xfId="0"/>
    <xf numFmtId="0" fontId="63" fillId="0" borderId="0" pivotButton="0" quotePrefix="0" xfId="0"/>
    <xf numFmtId="0" fontId="51" fillId="18" borderId="0" pivotButton="0" quotePrefix="0" xfId="0"/>
    <xf numFmtId="0" fontId="77" fillId="18" borderId="0" applyAlignment="1" pivotButton="0" quotePrefix="0" xfId="0">
      <alignment wrapText="1"/>
    </xf>
    <xf numFmtId="0" fontId="74" fillId="0" borderId="0" pivotButton="0" quotePrefix="0" xfId="0"/>
    <xf numFmtId="0" fontId="75" fillId="0" borderId="0" pivotButton="0" quotePrefix="0" xfId="0"/>
    <xf numFmtId="0" fontId="63" fillId="14" borderId="5" applyAlignment="1" pivotButton="0" quotePrefix="0" xfId="0">
      <alignment horizontal="center" vertical="center"/>
    </xf>
    <xf numFmtId="0" fontId="78" fillId="19" borderId="0" applyAlignment="1" pivotButton="0" quotePrefix="0" xfId="0">
      <alignment horizontal="center" vertical="center"/>
    </xf>
    <xf numFmtId="0" fontId="42" fillId="20" borderId="1" applyAlignment="1" pivotButton="0" quotePrefix="0" xfId="0">
      <alignment vertical="center"/>
    </xf>
    <xf numFmtId="0" fontId="62" fillId="12" borderId="0" applyAlignment="1" pivotButton="0" quotePrefix="0" xfId="0">
      <alignment horizontal="center" vertical="center"/>
    </xf>
    <xf numFmtId="0" fontId="63" fillId="14" borderId="0" applyAlignment="1" pivotButton="0" quotePrefix="0" xfId="0">
      <alignment horizontal="center" vertical="center"/>
    </xf>
    <xf numFmtId="0" fontId="79" fillId="8" borderId="0" applyAlignment="1" pivotButton="0" quotePrefix="0" xfId="0">
      <alignment horizontal="center" vertical="center"/>
    </xf>
    <xf numFmtId="0" fontId="80" fillId="20" borderId="1" applyAlignment="1" pivotButton="0" quotePrefix="0" xfId="0">
      <alignment horizontal="center"/>
    </xf>
    <xf numFmtId="0" fontId="81" fillId="20" borderId="1" applyAlignment="1" pivotButton="0" quotePrefix="0" xfId="0">
      <alignment horizontal="center"/>
    </xf>
    <xf numFmtId="0" fontId="80" fillId="20" borderId="1" pivotButton="0" quotePrefix="0" xfId="0"/>
    <xf numFmtId="171" fontId="81" fillId="20" borderId="1" applyAlignment="1" pivotButton="0" quotePrefix="0" xfId="0">
      <alignment horizontal="right"/>
    </xf>
    <xf numFmtId="9" fontId="80" fillId="20" borderId="1" applyAlignment="1" pivotButton="0" quotePrefix="0" xfId="0">
      <alignment horizontal="center"/>
    </xf>
    <xf numFmtId="171" fontId="80" fillId="20" borderId="1" applyAlignment="1" pivotButton="0" quotePrefix="0" xfId="0">
      <alignment horizontal="right"/>
    </xf>
    <xf numFmtId="0" fontId="63" fillId="20" borderId="1" applyAlignment="1" pivotButton="0" quotePrefix="0" xfId="0">
      <alignment horizontal="center"/>
    </xf>
    <xf numFmtId="0" fontId="80" fillId="19" borderId="1" applyAlignment="1" pivotButton="0" quotePrefix="0" xfId="0">
      <alignment horizontal="center"/>
    </xf>
    <xf numFmtId="0" fontId="81" fillId="19" borderId="1" applyAlignment="1" pivotButton="0" quotePrefix="0" xfId="0">
      <alignment horizontal="center"/>
    </xf>
    <xf numFmtId="0" fontId="80" fillId="19" borderId="1" pivotButton="0" quotePrefix="0" xfId="0"/>
    <xf numFmtId="171" fontId="81" fillId="19" borderId="1" applyAlignment="1" pivotButton="0" quotePrefix="0" xfId="0">
      <alignment horizontal="right"/>
    </xf>
    <xf numFmtId="9" fontId="80" fillId="19" borderId="1" applyAlignment="1" pivotButton="0" quotePrefix="0" xfId="0">
      <alignment horizontal="center"/>
    </xf>
    <xf numFmtId="171" fontId="80" fillId="19" borderId="1" applyAlignment="1" pivotButton="0" quotePrefix="0" xfId="0">
      <alignment horizontal="right"/>
    </xf>
    <xf numFmtId="0" fontId="68" fillId="19" borderId="1" applyAlignment="1" pivotButton="0" quotePrefix="0" xfId="0">
      <alignment horizontal="center"/>
    </xf>
    <xf numFmtId="0" fontId="63" fillId="19" borderId="1" applyAlignment="1" pivotButton="0" quotePrefix="0" xfId="0">
      <alignment horizontal="center"/>
    </xf>
    <xf numFmtId="0" fontId="64" fillId="19" borderId="1" applyAlignment="1" pivotButton="0" quotePrefix="0" xfId="0">
      <alignment horizontal="center"/>
    </xf>
    <xf numFmtId="0" fontId="51" fillId="8" borderId="0" applyAlignment="1" pivotButton="0" quotePrefix="0" xfId="0">
      <alignment vertical="center" indent="1"/>
    </xf>
    <xf numFmtId="171" fontId="82" fillId="8" borderId="0" applyAlignment="1" pivotButton="0" quotePrefix="0" xfId="0">
      <alignment horizontal="right" vertical="center"/>
    </xf>
    <xf numFmtId="0" fontId="83" fillId="0" borderId="6" pivotButton="0" quotePrefix="0" xfId="0"/>
    <xf numFmtId="0" fontId="84" fillId="0" borderId="6" pivotButton="0" quotePrefix="0" xfId="0"/>
    <xf numFmtId="0" fontId="85" fillId="0" borderId="6" pivotButton="0" quotePrefix="0" xfId="0"/>
    <xf numFmtId="0" fontId="86" fillId="21" borderId="1" applyAlignment="1" pivotButton="0" quotePrefix="0" xfId="0">
      <alignment horizontal="center" vertical="center"/>
    </xf>
    <xf numFmtId="0" fontId="90" fillId="12" borderId="1" applyAlignment="1" pivotButton="0" quotePrefix="0" xfId="0">
      <alignment horizontal="center" vertical="center"/>
    </xf>
    <xf numFmtId="0" fontId="87" fillId="0" borderId="1" pivotButton="0" quotePrefix="0" xfId="0"/>
    <xf numFmtId="0" fontId="86" fillId="0" borderId="1" applyAlignment="1" pivotButton="0" quotePrefix="0" xfId="0">
      <alignment horizontal="right"/>
    </xf>
    <xf numFmtId="0" fontId="90" fillId="0" borderId="1" applyAlignment="1" pivotButton="0" quotePrefix="0" xfId="0">
      <alignment horizontal="right"/>
    </xf>
    <xf numFmtId="0" fontId="61" fillId="0" borderId="1" applyAlignment="1" pivotButton="0" quotePrefix="0" xfId="0">
      <alignment horizontal="right"/>
    </xf>
    <xf numFmtId="0" fontId="88" fillId="0" borderId="1" applyAlignment="1" pivotButton="0" quotePrefix="0" xfId="0">
      <alignment horizontal="right"/>
    </xf>
    <xf numFmtId="0" fontId="89" fillId="13" borderId="7" applyAlignment="1" pivotButton="0" quotePrefix="0" xfId="0">
      <alignment horizontal="center" vertical="center"/>
    </xf>
    <xf numFmtId="0" fontId="91" fillId="12" borderId="8" applyAlignment="1" pivotButton="0" quotePrefix="0" xfId="0">
      <alignment horizontal="center" vertical="center"/>
    </xf>
    <xf numFmtId="0" fontId="87" fillId="0" borderId="0" pivotButton="0" quotePrefix="0" xfId="0"/>
    <xf numFmtId="0" fontId="92" fillId="22" borderId="0" applyAlignment="1" pivotButton="0" quotePrefix="0" xfId="0">
      <alignment horizontal="left" vertical="center" wrapText="1"/>
    </xf>
    <xf numFmtId="0" fontId="93" fillId="23" borderId="0" applyAlignment="1" pivotButton="0" quotePrefix="0" xfId="0">
      <alignment vertical="center" wrapText="1"/>
    </xf>
    <xf numFmtId="0" fontId="94" fillId="24" borderId="0" applyAlignment="1" pivotButton="0" quotePrefix="0" xfId="0">
      <alignment vertical="top" wrapText="1"/>
    </xf>
    <xf numFmtId="0" fontId="95" fillId="0" borderId="0" applyAlignment="1" pivotButton="0" quotePrefix="0" xfId="0">
      <alignment vertical="top" wrapText="1"/>
    </xf>
    <xf numFmtId="0" fontId="96" fillId="22" borderId="0" applyAlignment="1" pivotButton="0" quotePrefix="0" xfId="0">
      <alignment horizontal="left" vertical="center" wrapText="1"/>
    </xf>
    <xf numFmtId="0" fontId="92" fillId="25" borderId="0" applyAlignment="1" pivotButton="0" quotePrefix="0" xfId="0">
      <alignment horizontal="left" vertical="center" wrapText="1"/>
    </xf>
    <xf numFmtId="0" fontId="93" fillId="25" borderId="0" applyAlignment="1" pivotButton="0" quotePrefix="0" xfId="0">
      <alignment vertical="center" wrapText="1"/>
    </xf>
    <xf numFmtId="0" fontId="97" fillId="26" borderId="0" applyAlignment="1" pivotButton="0" quotePrefix="0" xfId="0">
      <alignment vertical="top" wrapText="1"/>
    </xf>
    <xf numFmtId="0" fontId="92" fillId="27" borderId="0" applyAlignment="1" pivotButton="0" quotePrefix="0" xfId="0">
      <alignment horizontal="left" vertical="center" wrapText="1"/>
    </xf>
    <xf numFmtId="0" fontId="93" fillId="27" borderId="0" applyAlignment="1" pivotButton="0" quotePrefix="0" xfId="0">
      <alignment vertical="center" wrapText="1"/>
    </xf>
    <xf numFmtId="0" fontId="98" fillId="28" borderId="0" applyAlignment="1" pivotButton="0" quotePrefix="0" xfId="0">
      <alignment vertical="top" wrapText="1"/>
    </xf>
    <xf numFmtId="0" fontId="99" fillId="26" borderId="0" applyAlignment="1" pivotButton="0" quotePrefix="0" xfId="0">
      <alignment vertical="top" wrapText="1"/>
    </xf>
    <xf numFmtId="0" fontId="100" fillId="0" borderId="0" applyAlignment="1" pivotButton="0" quotePrefix="0" xfId="0">
      <alignment vertical="top" wrapText="1"/>
    </xf>
    <xf numFmtId="0" fontId="92" fillId="29" borderId="0" applyAlignment="1" pivotButton="0" quotePrefix="0" xfId="0">
      <alignment horizontal="left" vertical="center"/>
    </xf>
    <xf numFmtId="0" fontId="93" fillId="29" borderId="0" applyAlignment="1" pivotButton="0" quotePrefix="0" xfId="0">
      <alignment vertical="center" wrapText="1"/>
    </xf>
    <xf numFmtId="0" fontId="101" fillId="30" borderId="0" applyAlignment="1" pivotButton="0" quotePrefix="0" xfId="0">
      <alignment vertical="top" wrapText="1"/>
    </xf>
    <xf numFmtId="0" fontId="102" fillId="31" borderId="0" applyAlignment="1" pivotButton="0" quotePrefix="0" xfId="0">
      <alignment vertical="top" wrapText="1"/>
    </xf>
    <xf numFmtId="0" fontId="92" fillId="32" borderId="0" applyAlignment="1" pivotButton="0" quotePrefix="0" xfId="0">
      <alignment horizontal="left" vertical="center"/>
    </xf>
    <xf numFmtId="0" fontId="93" fillId="32" borderId="0" applyAlignment="1" pivotButton="0" quotePrefix="0" xfId="0">
      <alignment vertical="center" wrapText="1"/>
    </xf>
    <xf numFmtId="0" fontId="103" fillId="31" borderId="0" applyAlignment="1" pivotButton="0" quotePrefix="0" xfId="0">
      <alignment vertical="top" wrapText="1"/>
    </xf>
    <xf numFmtId="0" fontId="92" fillId="33" borderId="0" applyAlignment="1" pivotButton="0" quotePrefix="0" xfId="0">
      <alignment horizontal="left" vertical="center"/>
    </xf>
    <xf numFmtId="0" fontId="93" fillId="33" borderId="0" applyAlignment="1" pivotButton="0" quotePrefix="0" xfId="0">
      <alignment vertical="center" wrapText="1"/>
    </xf>
    <xf numFmtId="0" fontId="104" fillId="34" borderId="0" applyAlignment="1" pivotButton="0" quotePrefix="0" xfId="0">
      <alignment vertical="top" wrapText="1"/>
    </xf>
    <xf numFmtId="0" fontId="105" fillId="0" borderId="0" applyAlignment="1" pivotButton="0" quotePrefix="0" xfId="0">
      <alignment vertical="top" wrapText="1"/>
    </xf>
    <xf numFmtId="171" fontId="44" fillId="0" borderId="2" pivotButton="0" quotePrefix="0" xfId="0"/>
    <xf numFmtId="171" fontId="65" fillId="0" borderId="3" pivotButton="0" quotePrefix="0" xfId="0"/>
    <xf numFmtId="171" fontId="68" fillId="0" borderId="1" pivotButton="0" quotePrefix="0" xfId="0"/>
    <xf numFmtId="171" fontId="69" fillId="0" borderId="1" pivotButton="0" quotePrefix="0" xfId="0"/>
    <xf numFmtId="171" fontId="72" fillId="8" borderId="0" pivotButton="0" quotePrefix="0" xfId="0"/>
    <xf numFmtId="171" fontId="73" fillId="8" borderId="0" pivotButton="0" quotePrefix="0" xfId="0"/>
    <xf numFmtId="171" fontId="91" fillId="10" borderId="1" applyAlignment="1" pivotButton="0" quotePrefix="0" xfId="0">
      <alignment horizontal="right"/>
    </xf>
    <xf numFmtId="171" fontId="61" fillId="0" borderId="1" applyAlignment="1" pivotButton="0" quotePrefix="0" xfId="0">
      <alignment horizontal="right"/>
    </xf>
    <xf numFmtId="171" fontId="88" fillId="0" borderId="1" applyAlignment="1" pivotButton="0" quotePrefix="0" xfId="0">
      <alignment horizontal="right"/>
    </xf>
    <xf numFmtId="172" fontId="88" fillId="0" borderId="1" applyAlignment="1" pivotButton="0" quotePrefix="0" xfId="0">
      <alignment horizontal="right"/>
    </xf>
    <xf numFmtId="0" fontId="106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7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001F4E7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F8F00"/>
      </font>
    </dxf>
  </dxfs>
  <colors>
    <indexedColors>
      <rgbColor rgb="FF000000"/>
      <rgbColor rgb="FFFFFFFF"/>
      <rgbColor rgb="FFB87B17"/>
      <rgbColor rgb="FF89A44E"/>
      <rgbColor rgb="FFD9E1EB"/>
      <rgbColor rgb="FFFBD8C7"/>
      <rgbColor rgb="FFD2908F"/>
      <rgbColor rgb="FF90B6D3"/>
      <rgbColor rgb="FFB41E18"/>
      <rgbColor rgb="FF006100"/>
      <rgbColor rgb="FF426C9F"/>
      <rgbColor rgb="FF687E39"/>
      <rgbColor rgb="FF6C5489"/>
      <rgbColor rgb="FF1F7A4D"/>
      <rgbColor rgb="FFC2C5DC"/>
      <rgbColor rgb="FF897F97"/>
      <rgbColor rgb="FF7F9CCA"/>
      <rgbColor rgb="FF943C39"/>
      <rgbColor rgb="FFFFF2CC"/>
      <rgbColor rgb="FFDCEAF6"/>
      <rgbColor rgb="FF5C4874"/>
      <rgbColor rgb="FFF6974F"/>
      <rgbColor rgb="FF39618F"/>
      <rgbColor rgb="FFD5D7DE"/>
      <rgbColor rgb="FF7A9446"/>
      <rgbColor rgb="FFEAD3D2"/>
      <rgbColor rgb="FFB3CD8C"/>
      <rgbColor rgb="FFB8D7E3"/>
      <rgbColor rgb="FFBD4F4C"/>
      <rgbColor rgb="FFA2632C"/>
      <rgbColor rgb="FF2F7182"/>
      <rgbColor rgb="FFFDE7E9"/>
      <rgbColor rgb="FF4199B0"/>
      <rgbColor rgb="FFF2F2F2"/>
      <rgbColor rgb="FFE0E8D1"/>
      <rgbColor rgb="FFF9F9F9"/>
      <rgbColor rgb="FF9BCADA"/>
      <rgbColor rgb="FFDFB4B3"/>
      <rgbColor rgb="FFB7ACC8"/>
      <rgbColor rgb="FFFAC6A9"/>
      <rgbColor rgb="FF4D7CB5"/>
      <rgbColor rgb="FF53ACC7"/>
      <rgbColor rgb="FF98B659"/>
      <rgbColor rgb="FFF9B085"/>
      <rgbColor rgb="FFE6893E"/>
      <rgbColor rgb="FFCA753D"/>
      <rgbColor rgb="FF7C619D"/>
      <rgbColor rgb="FFA191B8"/>
      <rgbColor rgb="FF0B1F3A"/>
      <rgbColor rgb="FF388499"/>
      <rgbColor rgb="FF32547C"/>
      <rgbColor rgb="FF595959"/>
      <rgbColor rgb="FF7F3331"/>
      <rgbColor rgb="FFA84643"/>
      <rgbColor rgb="FF1F4E79"/>
      <rgbColor rgb="FF4138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Bekleyen Ödemelerin Öncelik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ODEME_TAHSILAT_TAKVIMI!N4</f>
              <strCache>
                <ptCount val="1"/>
                <pt idx="0">
                  <v>Bekleyen Ödeme (₺)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ODEME_TAHSILAT_TAKVIMI!$M$5:$M$8</f>
              <strCache>
                <ptCount val="4"/>
                <pt idx="0">
                  <v>KRİTİK</v>
                </pt>
                <pt idx="1">
                  <v>YÜKSEK</v>
                </pt>
                <pt idx="2">
                  <v>ORTA</v>
                </pt>
                <pt idx="3">
                  <v>DÜŞÜK</v>
                </pt>
              </strCache>
            </strRef>
          </cat>
          <val>
            <numRef>
              <f>ODEME_TAHSILAT_TAKVIMI!$N$5:$N$8</f>
              <numCache>
                <formatCode>#,##0.00</formatCode>
                <ptCount val="4"/>
                <pt idx="0">
                  <v>260000</v>
                </pt>
                <pt idx="1">
                  <v>202000</v>
                </pt>
                <pt idx="2">
                  <v>75000</v>
                </pt>
                <pt idx="3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Beklenen Giriş ve Çıkış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NAKIT_PROJEKSIYONU!C4</f>
              <strCache>
                <ptCount val="1"/>
                <pt idx="0">
                  <v>Beklenen Giriş (₺)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NAKIT_PROJEKSIYONU!$A$5:$A$804</f>
              <strCache>
                <ptCount val="800"/>
                <pt idx="0">
                  <v>10.08.2026</v>
                </pt>
                <pt idx="1">
                  <v>17.08.2026</v>
                </pt>
                <pt idx="2">
                  <v>24.08.2026</v>
                </pt>
                <pt idx="3">
                  <v>31.08.2026</v>
                </pt>
                <pt idx="4">
                  <v>07.09.2026</v>
                </pt>
                <pt idx="5">
                  <v>14.09.2026</v>
                </pt>
                <pt idx="6">
                  <v>21.09.2026</v>
                </pt>
                <pt idx="7">
                  <v>28.09.2026</v>
                </pt>
                <pt idx="8">
                  <v>05.10.2026</v>
                </pt>
                <pt idx="9">
                  <v>12.10.2026</v>
                </pt>
                <pt idx="10">
                  <v>19.10.2026</v>
                </pt>
                <pt idx="11">
                  <v>26.10.2026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  <pt idx="200">
                  <v>None</v>
                </pt>
                <pt idx="201">
                  <v>None</v>
                </pt>
                <pt idx="202">
                  <v>None</v>
                </pt>
                <pt idx="203">
                  <v>None</v>
                </pt>
                <pt idx="204">
                  <v>None</v>
                </pt>
                <pt idx="205">
                  <v>None</v>
                </pt>
                <pt idx="206">
                  <v>None</v>
                </pt>
                <pt idx="207">
                  <v>None</v>
                </pt>
                <pt idx="208">
                  <v>None</v>
                </pt>
                <pt idx="209">
                  <v>None</v>
                </pt>
                <pt idx="210">
                  <v>None</v>
                </pt>
                <pt idx="211">
                  <v>None</v>
                </pt>
                <pt idx="212">
                  <v>None</v>
                </pt>
                <pt idx="213">
                  <v>None</v>
                </pt>
                <pt idx="214">
                  <v>None</v>
                </pt>
                <pt idx="215">
                  <v>None</v>
                </pt>
                <pt idx="216">
                  <v>None</v>
                </pt>
                <pt idx="217">
                  <v>None</v>
                </pt>
                <pt idx="218">
                  <v>None</v>
                </pt>
                <pt idx="219">
                  <v>None</v>
                </pt>
                <pt idx="220">
                  <v>None</v>
                </pt>
                <pt idx="221">
                  <v>None</v>
                </pt>
                <pt idx="222">
                  <v>None</v>
                </pt>
                <pt idx="223">
                  <v>None</v>
                </pt>
                <pt idx="224">
                  <v>None</v>
                </pt>
                <pt idx="225">
                  <v>None</v>
                </pt>
                <pt idx="226">
                  <v>None</v>
                </pt>
                <pt idx="227">
                  <v>None</v>
                </pt>
                <pt idx="228">
                  <v>None</v>
                </pt>
                <pt idx="229">
                  <v>None</v>
                </pt>
                <pt idx="230">
                  <v>None</v>
                </pt>
                <pt idx="231">
                  <v>None</v>
                </pt>
                <pt idx="232">
                  <v>None</v>
                </pt>
                <pt idx="233">
                  <v>None</v>
                </pt>
                <pt idx="234">
                  <v>None</v>
                </pt>
                <pt idx="235">
                  <v>None</v>
                </pt>
                <pt idx="236">
                  <v>None</v>
                </pt>
                <pt idx="237">
                  <v>None</v>
                </pt>
                <pt idx="238">
                  <v>None</v>
                </pt>
                <pt idx="239">
                  <v>None</v>
                </pt>
                <pt idx="240">
                  <v>None</v>
                </pt>
                <pt idx="241">
                  <v>None</v>
                </pt>
                <pt idx="242">
                  <v>None</v>
                </pt>
                <pt idx="243">
                  <v>None</v>
                </pt>
                <pt idx="244">
                  <v>None</v>
                </pt>
                <pt idx="245">
                  <v>None</v>
                </pt>
                <pt idx="246">
                  <v>None</v>
                </pt>
                <pt idx="247">
                  <v>None</v>
                </pt>
                <pt idx="248">
                  <v>None</v>
                </pt>
                <pt idx="249">
                  <v>None</v>
                </pt>
                <pt idx="250">
                  <v>None</v>
                </pt>
                <pt idx="251">
                  <v>None</v>
                </pt>
                <pt idx="252">
                  <v>None</v>
                </pt>
                <pt idx="253">
                  <v>None</v>
                </pt>
                <pt idx="254">
                  <v>None</v>
                </pt>
                <pt idx="255">
                  <v>None</v>
                </pt>
                <pt idx="256">
                  <v>None</v>
                </pt>
                <pt idx="257">
                  <v>None</v>
                </pt>
                <pt idx="258">
                  <v>None</v>
                </pt>
                <pt idx="259">
                  <v>None</v>
                </pt>
                <pt idx="260">
                  <v>None</v>
                </pt>
                <pt idx="261">
                  <v>None</v>
                </pt>
                <pt idx="262">
                  <v>None</v>
                </pt>
                <pt idx="263">
                  <v>None</v>
                </pt>
                <pt idx="264">
                  <v>None</v>
                </pt>
                <pt idx="265">
                  <v>None</v>
                </pt>
                <pt idx="266">
                  <v>None</v>
                </pt>
                <pt idx="267">
                  <v>None</v>
                </pt>
                <pt idx="268">
                  <v>None</v>
                </pt>
                <pt idx="269">
                  <v>None</v>
                </pt>
                <pt idx="270">
                  <v>None</v>
                </pt>
                <pt idx="271">
                  <v>None</v>
                </pt>
                <pt idx="272">
                  <v>None</v>
                </pt>
                <pt idx="273">
                  <v>None</v>
                </pt>
                <pt idx="274">
                  <v>None</v>
                </pt>
                <pt idx="275">
                  <v>None</v>
                </pt>
                <pt idx="276">
                  <v>None</v>
                </pt>
                <pt idx="277">
                  <v>None</v>
                </pt>
                <pt idx="278">
                  <v>None</v>
                </pt>
                <pt idx="279">
                  <v>None</v>
                </pt>
                <pt idx="280">
                  <v>None</v>
                </pt>
                <pt idx="281">
                  <v>None</v>
                </pt>
                <pt idx="282">
                  <v>None</v>
                </pt>
                <pt idx="283">
                  <v>None</v>
                </pt>
                <pt idx="284">
                  <v>None</v>
                </pt>
                <pt idx="285">
                  <v>None</v>
                </pt>
                <pt idx="286">
                  <v>None</v>
                </pt>
                <pt idx="287">
                  <v>None</v>
                </pt>
                <pt idx="288">
                  <v>None</v>
                </pt>
                <pt idx="289">
                  <v>None</v>
                </pt>
                <pt idx="290">
                  <v>None</v>
                </pt>
                <pt idx="291">
                  <v>None</v>
                </pt>
                <pt idx="292">
                  <v>None</v>
                </pt>
                <pt idx="293">
                  <v>None</v>
                </pt>
                <pt idx="294">
                  <v>None</v>
                </pt>
                <pt idx="295">
                  <v>None</v>
                </pt>
                <pt idx="296">
                  <v>None</v>
                </pt>
                <pt idx="297">
                  <v>None</v>
                </pt>
                <pt idx="298">
                  <v>None</v>
                </pt>
                <pt idx="299">
                  <v>None</v>
                </pt>
                <pt idx="300">
                  <v>None</v>
                </pt>
                <pt idx="301">
                  <v>None</v>
                </pt>
                <pt idx="302">
                  <v>None</v>
                </pt>
                <pt idx="303">
                  <v>None</v>
                </pt>
                <pt idx="304">
                  <v>None</v>
                </pt>
                <pt idx="305">
                  <v>None</v>
                </pt>
                <pt idx="306">
                  <v>None</v>
                </pt>
                <pt idx="307">
                  <v>None</v>
                </pt>
                <pt idx="308">
                  <v>None</v>
                </pt>
                <pt idx="309">
                  <v>None</v>
                </pt>
                <pt idx="310">
                  <v>None</v>
                </pt>
                <pt idx="311">
                  <v>None</v>
                </pt>
                <pt idx="312">
                  <v>None</v>
                </pt>
                <pt idx="313">
                  <v>None</v>
                </pt>
                <pt idx="314">
                  <v>None</v>
                </pt>
                <pt idx="315">
                  <v>None</v>
                </pt>
                <pt idx="316">
                  <v>None</v>
                </pt>
                <pt idx="317">
                  <v>None</v>
                </pt>
                <pt idx="318">
                  <v>None</v>
                </pt>
                <pt idx="319">
                  <v>None</v>
                </pt>
                <pt idx="320">
                  <v>None</v>
                </pt>
                <pt idx="321">
                  <v>None</v>
                </pt>
                <pt idx="322">
                  <v>None</v>
                </pt>
                <pt idx="323">
                  <v>None</v>
                </pt>
                <pt idx="324">
                  <v>None</v>
                </pt>
                <pt idx="325">
                  <v>None</v>
                </pt>
                <pt idx="326">
                  <v>None</v>
                </pt>
                <pt idx="327">
                  <v>None</v>
                </pt>
                <pt idx="328">
                  <v>None</v>
                </pt>
                <pt idx="329">
                  <v>None</v>
                </pt>
                <pt idx="330">
                  <v>None</v>
                </pt>
                <pt idx="331">
                  <v>None</v>
                </pt>
                <pt idx="332">
                  <v>None</v>
                </pt>
                <pt idx="333">
                  <v>None</v>
                </pt>
                <pt idx="334">
                  <v>None</v>
                </pt>
                <pt idx="335">
                  <v>None</v>
                </pt>
                <pt idx="336">
                  <v>None</v>
                </pt>
                <pt idx="337">
                  <v>None</v>
                </pt>
                <pt idx="338">
                  <v>None</v>
                </pt>
                <pt idx="339">
                  <v>None</v>
                </pt>
                <pt idx="340">
                  <v>None</v>
                </pt>
                <pt idx="341">
                  <v>None</v>
                </pt>
                <pt idx="342">
                  <v>None</v>
                </pt>
                <pt idx="343">
                  <v>None</v>
                </pt>
                <pt idx="344">
                  <v>None</v>
                </pt>
                <pt idx="345">
                  <v>None</v>
                </pt>
                <pt idx="346">
                  <v>None</v>
                </pt>
                <pt idx="347">
                  <v>None</v>
                </pt>
                <pt idx="348">
                  <v>None</v>
                </pt>
                <pt idx="349">
                  <v>None</v>
                </pt>
                <pt idx="350">
                  <v>None</v>
                </pt>
                <pt idx="351">
                  <v>None</v>
                </pt>
                <pt idx="352">
                  <v>None</v>
                </pt>
                <pt idx="353">
                  <v>None</v>
                </pt>
                <pt idx="354">
                  <v>None</v>
                </pt>
                <pt idx="355">
                  <v>None</v>
                </pt>
                <pt idx="356">
                  <v>None</v>
                </pt>
                <pt idx="357">
                  <v>None</v>
                </pt>
                <pt idx="358">
                  <v>None</v>
                </pt>
                <pt idx="359">
                  <v>None</v>
                </pt>
                <pt idx="360">
                  <v>None</v>
                </pt>
                <pt idx="361">
                  <v>None</v>
                </pt>
                <pt idx="362">
                  <v>None</v>
                </pt>
                <pt idx="363">
                  <v>None</v>
                </pt>
                <pt idx="364">
                  <v>None</v>
                </pt>
                <pt idx="365">
                  <v>None</v>
                </pt>
                <pt idx="366">
                  <v>None</v>
                </pt>
                <pt idx="367">
                  <v>None</v>
                </pt>
                <pt idx="368">
                  <v>None</v>
                </pt>
                <pt idx="369">
                  <v>None</v>
                </pt>
                <pt idx="370">
                  <v>None</v>
                </pt>
                <pt idx="371">
                  <v>None</v>
                </pt>
                <pt idx="372">
                  <v>None</v>
                </pt>
                <pt idx="373">
                  <v>None</v>
                </pt>
                <pt idx="374">
                  <v>None</v>
                </pt>
                <pt idx="375">
                  <v>None</v>
                </pt>
                <pt idx="376">
                  <v>None</v>
                </pt>
                <pt idx="377">
                  <v>None</v>
                </pt>
                <pt idx="378">
                  <v>None</v>
                </pt>
                <pt idx="379">
                  <v>None</v>
                </pt>
                <pt idx="380">
                  <v>None</v>
                </pt>
                <pt idx="381">
                  <v>None</v>
                </pt>
                <pt idx="382">
                  <v>None</v>
                </pt>
                <pt idx="383">
                  <v>None</v>
                </pt>
                <pt idx="384">
                  <v>None</v>
                </pt>
                <pt idx="385">
                  <v>None</v>
                </pt>
                <pt idx="386">
                  <v>None</v>
                </pt>
                <pt idx="387">
                  <v>None</v>
                </pt>
                <pt idx="388">
                  <v>None</v>
                </pt>
                <pt idx="389">
                  <v>None</v>
                </pt>
                <pt idx="390">
                  <v>None</v>
                </pt>
                <pt idx="391">
                  <v>None</v>
                </pt>
                <pt idx="392">
                  <v>None</v>
                </pt>
                <pt idx="393">
                  <v>None</v>
                </pt>
                <pt idx="394">
                  <v>None</v>
                </pt>
                <pt idx="395">
                  <v>None</v>
                </pt>
                <pt idx="396">
                  <v>None</v>
                </pt>
                <pt idx="397">
                  <v>None</v>
                </pt>
                <pt idx="398">
                  <v>None</v>
                </pt>
                <pt idx="399">
                  <v>None</v>
                </pt>
                <pt idx="400">
                  <v>None</v>
                </pt>
                <pt idx="401">
                  <v>None</v>
                </pt>
                <pt idx="402">
                  <v>None</v>
                </pt>
                <pt idx="403">
                  <v>None</v>
                </pt>
                <pt idx="404">
                  <v>None</v>
                </pt>
                <pt idx="405">
                  <v>None</v>
                </pt>
                <pt idx="406">
                  <v>None</v>
                </pt>
                <pt idx="407">
                  <v>None</v>
                </pt>
                <pt idx="408">
                  <v>None</v>
                </pt>
                <pt idx="409">
                  <v>None</v>
                </pt>
                <pt idx="410">
                  <v>None</v>
                </pt>
                <pt idx="411">
                  <v>None</v>
                </pt>
                <pt idx="412">
                  <v>None</v>
                </pt>
                <pt idx="413">
                  <v>None</v>
                </pt>
                <pt idx="414">
                  <v>None</v>
                </pt>
                <pt idx="415">
                  <v>None</v>
                </pt>
                <pt idx="416">
                  <v>None</v>
                </pt>
                <pt idx="417">
                  <v>None</v>
                </pt>
                <pt idx="418">
                  <v>None</v>
                </pt>
                <pt idx="419">
                  <v>None</v>
                </pt>
                <pt idx="420">
                  <v>None</v>
                </pt>
                <pt idx="421">
                  <v>None</v>
                </pt>
                <pt idx="422">
                  <v>None</v>
                </pt>
                <pt idx="423">
                  <v>None</v>
                </pt>
                <pt idx="424">
                  <v>None</v>
                </pt>
                <pt idx="425">
                  <v>None</v>
                </pt>
                <pt idx="426">
                  <v>None</v>
                </pt>
                <pt idx="427">
                  <v>None</v>
                </pt>
                <pt idx="428">
                  <v>None</v>
                </pt>
                <pt idx="429">
                  <v>None</v>
                </pt>
                <pt idx="430">
                  <v>None</v>
                </pt>
                <pt idx="431">
                  <v>None</v>
                </pt>
                <pt idx="432">
                  <v>None</v>
                </pt>
                <pt idx="433">
                  <v>None</v>
                </pt>
                <pt idx="434">
                  <v>None</v>
                </pt>
                <pt idx="435">
                  <v>None</v>
                </pt>
                <pt idx="436">
                  <v>None</v>
                </pt>
                <pt idx="437">
                  <v>None</v>
                </pt>
                <pt idx="438">
                  <v>None</v>
                </pt>
                <pt idx="439">
                  <v>None</v>
                </pt>
                <pt idx="440">
                  <v>None</v>
                </pt>
                <pt idx="441">
                  <v>None</v>
                </pt>
                <pt idx="442">
                  <v>None</v>
                </pt>
                <pt idx="443">
                  <v>None</v>
                </pt>
                <pt idx="444">
                  <v>None</v>
                </pt>
                <pt idx="445">
                  <v>None</v>
                </pt>
                <pt idx="446">
                  <v>None</v>
                </pt>
                <pt idx="447">
                  <v>None</v>
                </pt>
                <pt idx="448">
                  <v>None</v>
                </pt>
                <pt idx="449">
                  <v>None</v>
                </pt>
                <pt idx="450">
                  <v>None</v>
                </pt>
                <pt idx="451">
                  <v>None</v>
                </pt>
                <pt idx="452">
                  <v>None</v>
                </pt>
                <pt idx="453">
                  <v>None</v>
                </pt>
                <pt idx="454">
                  <v>None</v>
                </pt>
                <pt idx="455">
                  <v>None</v>
                </pt>
                <pt idx="456">
                  <v>None</v>
                </pt>
                <pt idx="457">
                  <v>None</v>
                </pt>
                <pt idx="458">
                  <v>None</v>
                </pt>
                <pt idx="459">
                  <v>None</v>
                </pt>
                <pt idx="460">
                  <v>None</v>
                </pt>
                <pt idx="461">
                  <v>None</v>
                </pt>
                <pt idx="462">
                  <v>None</v>
                </pt>
                <pt idx="463">
                  <v>None</v>
                </pt>
                <pt idx="464">
                  <v>None</v>
                </pt>
                <pt idx="465">
                  <v>None</v>
                </pt>
                <pt idx="466">
                  <v>None</v>
                </pt>
                <pt idx="467">
                  <v>None</v>
                </pt>
                <pt idx="468">
                  <v>None</v>
                </pt>
                <pt idx="469">
                  <v>None</v>
                </pt>
                <pt idx="470">
                  <v>None</v>
                </pt>
                <pt idx="471">
                  <v>None</v>
                </pt>
                <pt idx="472">
                  <v>None</v>
                </pt>
                <pt idx="473">
                  <v>None</v>
                </pt>
                <pt idx="474">
                  <v>None</v>
                </pt>
                <pt idx="475">
                  <v>None</v>
                </pt>
                <pt idx="476">
                  <v>None</v>
                </pt>
                <pt idx="477">
                  <v>None</v>
                </pt>
                <pt idx="478">
                  <v>None</v>
                </pt>
                <pt idx="479">
                  <v>None</v>
                </pt>
                <pt idx="480">
                  <v>None</v>
                </pt>
                <pt idx="481">
                  <v>None</v>
                </pt>
                <pt idx="482">
                  <v>None</v>
                </pt>
                <pt idx="483">
                  <v>None</v>
                </pt>
                <pt idx="484">
                  <v>None</v>
                </pt>
                <pt idx="485">
                  <v>None</v>
                </pt>
                <pt idx="486">
                  <v>None</v>
                </pt>
                <pt idx="487">
                  <v>None</v>
                </pt>
                <pt idx="488">
                  <v>None</v>
                </pt>
                <pt idx="489">
                  <v>None</v>
                </pt>
                <pt idx="490">
                  <v>None</v>
                </pt>
                <pt idx="491">
                  <v>None</v>
                </pt>
                <pt idx="492">
                  <v>None</v>
                </pt>
                <pt idx="493">
                  <v>None</v>
                </pt>
                <pt idx="494">
                  <v>None</v>
                </pt>
                <pt idx="495">
                  <v>None</v>
                </pt>
                <pt idx="496">
                  <v>None</v>
                </pt>
                <pt idx="497">
                  <v>None</v>
                </pt>
                <pt idx="498">
                  <v>None</v>
                </pt>
                <pt idx="499">
                  <v>None</v>
                </pt>
                <pt idx="500">
                  <v>None</v>
                </pt>
                <pt idx="501">
                  <v>None</v>
                </pt>
                <pt idx="502">
                  <v>None</v>
                </pt>
                <pt idx="503">
                  <v>None</v>
                </pt>
                <pt idx="504">
                  <v>None</v>
                </pt>
                <pt idx="505">
                  <v>None</v>
                </pt>
                <pt idx="506">
                  <v>None</v>
                </pt>
                <pt idx="507">
                  <v>None</v>
                </pt>
                <pt idx="508">
                  <v>None</v>
                </pt>
                <pt idx="509">
                  <v>None</v>
                </pt>
                <pt idx="510">
                  <v>None</v>
                </pt>
                <pt idx="511">
                  <v>None</v>
                </pt>
                <pt idx="512">
                  <v>None</v>
                </pt>
                <pt idx="513">
                  <v>None</v>
                </pt>
                <pt idx="514">
                  <v>None</v>
                </pt>
                <pt idx="515">
                  <v>None</v>
                </pt>
                <pt idx="516">
                  <v>None</v>
                </pt>
                <pt idx="517">
                  <v>None</v>
                </pt>
                <pt idx="518">
                  <v>None</v>
                </pt>
                <pt idx="519">
                  <v>None</v>
                </pt>
                <pt idx="520">
                  <v>None</v>
                </pt>
                <pt idx="521">
                  <v>None</v>
                </pt>
                <pt idx="522">
                  <v>None</v>
                </pt>
                <pt idx="523">
                  <v>None</v>
                </pt>
                <pt idx="524">
                  <v>None</v>
                </pt>
                <pt idx="525">
                  <v>None</v>
                </pt>
                <pt idx="526">
                  <v>None</v>
                </pt>
                <pt idx="527">
                  <v>None</v>
                </pt>
                <pt idx="528">
                  <v>None</v>
                </pt>
                <pt idx="529">
                  <v>None</v>
                </pt>
                <pt idx="530">
                  <v>None</v>
                </pt>
                <pt idx="531">
                  <v>None</v>
                </pt>
                <pt idx="532">
                  <v>None</v>
                </pt>
                <pt idx="533">
                  <v>None</v>
                </pt>
                <pt idx="534">
                  <v>None</v>
                </pt>
                <pt idx="535">
                  <v>None</v>
                </pt>
                <pt idx="536">
                  <v>None</v>
                </pt>
                <pt idx="537">
                  <v>None</v>
                </pt>
                <pt idx="538">
                  <v>None</v>
                </pt>
                <pt idx="539">
                  <v>None</v>
                </pt>
                <pt idx="540">
                  <v>None</v>
                </pt>
                <pt idx="541">
                  <v>None</v>
                </pt>
                <pt idx="542">
                  <v>None</v>
                </pt>
                <pt idx="543">
                  <v>None</v>
                </pt>
                <pt idx="544">
                  <v>None</v>
                </pt>
                <pt idx="545">
                  <v>None</v>
                </pt>
                <pt idx="546">
                  <v>None</v>
                </pt>
                <pt idx="547">
                  <v>None</v>
                </pt>
                <pt idx="548">
                  <v>None</v>
                </pt>
                <pt idx="549">
                  <v>None</v>
                </pt>
                <pt idx="550">
                  <v>None</v>
                </pt>
                <pt idx="551">
                  <v>None</v>
                </pt>
                <pt idx="552">
                  <v>None</v>
                </pt>
                <pt idx="553">
                  <v>None</v>
                </pt>
                <pt idx="554">
                  <v>None</v>
                </pt>
                <pt idx="555">
                  <v>None</v>
                </pt>
                <pt idx="556">
                  <v>None</v>
                </pt>
                <pt idx="557">
                  <v>None</v>
                </pt>
                <pt idx="558">
                  <v>None</v>
                </pt>
                <pt idx="559">
                  <v>None</v>
                </pt>
                <pt idx="560">
                  <v>None</v>
                </pt>
                <pt idx="561">
                  <v>None</v>
                </pt>
                <pt idx="562">
                  <v>None</v>
                </pt>
                <pt idx="563">
                  <v>None</v>
                </pt>
                <pt idx="564">
                  <v>None</v>
                </pt>
                <pt idx="565">
                  <v>None</v>
                </pt>
                <pt idx="566">
                  <v>None</v>
                </pt>
                <pt idx="567">
                  <v>None</v>
                </pt>
                <pt idx="568">
                  <v>None</v>
                </pt>
                <pt idx="569">
                  <v>None</v>
                </pt>
                <pt idx="570">
                  <v>None</v>
                </pt>
                <pt idx="571">
                  <v>None</v>
                </pt>
                <pt idx="572">
                  <v>None</v>
                </pt>
                <pt idx="573">
                  <v>None</v>
                </pt>
                <pt idx="574">
                  <v>None</v>
                </pt>
                <pt idx="575">
                  <v>None</v>
                </pt>
                <pt idx="576">
                  <v>None</v>
                </pt>
                <pt idx="577">
                  <v>None</v>
                </pt>
                <pt idx="578">
                  <v>None</v>
                </pt>
                <pt idx="579">
                  <v>None</v>
                </pt>
                <pt idx="580">
                  <v>None</v>
                </pt>
                <pt idx="581">
                  <v>None</v>
                </pt>
                <pt idx="582">
                  <v>None</v>
                </pt>
                <pt idx="583">
                  <v>None</v>
                </pt>
                <pt idx="584">
                  <v>None</v>
                </pt>
                <pt idx="585">
                  <v>None</v>
                </pt>
                <pt idx="586">
                  <v>None</v>
                </pt>
                <pt idx="587">
                  <v>None</v>
                </pt>
                <pt idx="588">
                  <v>None</v>
                </pt>
                <pt idx="589">
                  <v>None</v>
                </pt>
                <pt idx="590">
                  <v>None</v>
                </pt>
                <pt idx="591">
                  <v>None</v>
                </pt>
                <pt idx="592">
                  <v>None</v>
                </pt>
                <pt idx="593">
                  <v>None</v>
                </pt>
                <pt idx="594">
                  <v>None</v>
                </pt>
                <pt idx="595">
                  <v>None</v>
                </pt>
                <pt idx="596">
                  <v>None</v>
                </pt>
                <pt idx="597">
                  <v>None</v>
                </pt>
                <pt idx="598">
                  <v>None</v>
                </pt>
                <pt idx="599">
                  <v>None</v>
                </pt>
                <pt idx="600">
                  <v>None</v>
                </pt>
                <pt idx="601">
                  <v>None</v>
                </pt>
                <pt idx="602">
                  <v>None</v>
                </pt>
                <pt idx="603">
                  <v>None</v>
                </pt>
                <pt idx="604">
                  <v>None</v>
                </pt>
                <pt idx="605">
                  <v>None</v>
                </pt>
                <pt idx="606">
                  <v>None</v>
                </pt>
                <pt idx="607">
                  <v>None</v>
                </pt>
                <pt idx="608">
                  <v>None</v>
                </pt>
                <pt idx="609">
                  <v>None</v>
                </pt>
                <pt idx="610">
                  <v>None</v>
                </pt>
                <pt idx="611">
                  <v>None</v>
                </pt>
                <pt idx="612">
                  <v>None</v>
                </pt>
                <pt idx="613">
                  <v>None</v>
                </pt>
                <pt idx="614">
                  <v>None</v>
                </pt>
                <pt idx="615">
                  <v>None</v>
                </pt>
                <pt idx="616">
                  <v>None</v>
                </pt>
                <pt idx="617">
                  <v>None</v>
                </pt>
                <pt idx="618">
                  <v>None</v>
                </pt>
                <pt idx="619">
                  <v>None</v>
                </pt>
                <pt idx="620">
                  <v>None</v>
                </pt>
                <pt idx="621">
                  <v>None</v>
                </pt>
                <pt idx="622">
                  <v>None</v>
                </pt>
                <pt idx="623">
                  <v>None</v>
                </pt>
                <pt idx="624">
                  <v>None</v>
                </pt>
                <pt idx="625">
                  <v>None</v>
                </pt>
                <pt idx="626">
                  <v>None</v>
                </pt>
                <pt idx="627">
                  <v>None</v>
                </pt>
                <pt idx="628">
                  <v>None</v>
                </pt>
                <pt idx="629">
                  <v>None</v>
                </pt>
                <pt idx="630">
                  <v>None</v>
                </pt>
                <pt idx="631">
                  <v>None</v>
                </pt>
                <pt idx="632">
                  <v>None</v>
                </pt>
                <pt idx="633">
                  <v>None</v>
                </pt>
                <pt idx="634">
                  <v>None</v>
                </pt>
                <pt idx="635">
                  <v>None</v>
                </pt>
                <pt idx="636">
                  <v>None</v>
                </pt>
                <pt idx="637">
                  <v>None</v>
                </pt>
                <pt idx="638">
                  <v>None</v>
                </pt>
                <pt idx="639">
                  <v>None</v>
                </pt>
                <pt idx="640">
                  <v>None</v>
                </pt>
                <pt idx="641">
                  <v>None</v>
                </pt>
                <pt idx="642">
                  <v>None</v>
                </pt>
                <pt idx="643">
                  <v>None</v>
                </pt>
                <pt idx="644">
                  <v>None</v>
                </pt>
                <pt idx="645">
                  <v>None</v>
                </pt>
                <pt idx="646">
                  <v>None</v>
                </pt>
                <pt idx="647">
                  <v>None</v>
                </pt>
                <pt idx="648">
                  <v>None</v>
                </pt>
                <pt idx="649">
                  <v>None</v>
                </pt>
                <pt idx="650">
                  <v>None</v>
                </pt>
                <pt idx="651">
                  <v>None</v>
                </pt>
                <pt idx="652">
                  <v>None</v>
                </pt>
                <pt idx="653">
                  <v>None</v>
                </pt>
                <pt idx="654">
                  <v>None</v>
                </pt>
                <pt idx="655">
                  <v>None</v>
                </pt>
                <pt idx="656">
                  <v>None</v>
                </pt>
                <pt idx="657">
                  <v>None</v>
                </pt>
                <pt idx="658">
                  <v>None</v>
                </pt>
                <pt idx="659">
                  <v>None</v>
                </pt>
                <pt idx="660">
                  <v>None</v>
                </pt>
                <pt idx="661">
                  <v>None</v>
                </pt>
                <pt idx="662">
                  <v>None</v>
                </pt>
                <pt idx="663">
                  <v>None</v>
                </pt>
                <pt idx="664">
                  <v>None</v>
                </pt>
                <pt idx="665">
                  <v>None</v>
                </pt>
                <pt idx="666">
                  <v>None</v>
                </pt>
                <pt idx="667">
                  <v>None</v>
                </pt>
                <pt idx="668">
                  <v>None</v>
                </pt>
                <pt idx="669">
                  <v>None</v>
                </pt>
                <pt idx="670">
                  <v>None</v>
                </pt>
                <pt idx="671">
                  <v>None</v>
                </pt>
                <pt idx="672">
                  <v>None</v>
                </pt>
                <pt idx="673">
                  <v>None</v>
                </pt>
                <pt idx="674">
                  <v>None</v>
                </pt>
                <pt idx="675">
                  <v>None</v>
                </pt>
                <pt idx="676">
                  <v>None</v>
                </pt>
                <pt idx="677">
                  <v>None</v>
                </pt>
                <pt idx="678">
                  <v>None</v>
                </pt>
                <pt idx="679">
                  <v>None</v>
                </pt>
                <pt idx="680">
                  <v>None</v>
                </pt>
                <pt idx="681">
                  <v>None</v>
                </pt>
                <pt idx="682">
                  <v>None</v>
                </pt>
                <pt idx="683">
                  <v>None</v>
                </pt>
                <pt idx="684">
                  <v>None</v>
                </pt>
                <pt idx="685">
                  <v>None</v>
                </pt>
                <pt idx="686">
                  <v>None</v>
                </pt>
                <pt idx="687">
                  <v>None</v>
                </pt>
                <pt idx="688">
                  <v>None</v>
                </pt>
                <pt idx="689">
                  <v>None</v>
                </pt>
                <pt idx="690">
                  <v>None</v>
                </pt>
                <pt idx="691">
                  <v>None</v>
                </pt>
                <pt idx="692">
                  <v>None</v>
                </pt>
                <pt idx="693">
                  <v>None</v>
                </pt>
                <pt idx="694">
                  <v>None</v>
                </pt>
                <pt idx="695">
                  <v>None</v>
                </pt>
                <pt idx="696">
                  <v>None</v>
                </pt>
                <pt idx="697">
                  <v>None</v>
                </pt>
                <pt idx="698">
                  <v>None</v>
                </pt>
                <pt idx="699">
                  <v>None</v>
                </pt>
                <pt idx="700">
                  <v>None</v>
                </pt>
                <pt idx="701">
                  <v>None</v>
                </pt>
                <pt idx="702">
                  <v>None</v>
                </pt>
                <pt idx="703">
                  <v>None</v>
                </pt>
                <pt idx="704">
                  <v>None</v>
                </pt>
                <pt idx="705">
                  <v>None</v>
                </pt>
                <pt idx="706">
                  <v>None</v>
                </pt>
                <pt idx="707">
                  <v>None</v>
                </pt>
                <pt idx="708">
                  <v>None</v>
                </pt>
                <pt idx="709">
                  <v>None</v>
                </pt>
                <pt idx="710">
                  <v>None</v>
                </pt>
                <pt idx="711">
                  <v>None</v>
                </pt>
                <pt idx="712">
                  <v>None</v>
                </pt>
                <pt idx="713">
                  <v>None</v>
                </pt>
                <pt idx="714">
                  <v>None</v>
                </pt>
                <pt idx="715">
                  <v>None</v>
                </pt>
                <pt idx="716">
                  <v>None</v>
                </pt>
                <pt idx="717">
                  <v>None</v>
                </pt>
                <pt idx="718">
                  <v>None</v>
                </pt>
                <pt idx="719">
                  <v>None</v>
                </pt>
                <pt idx="720">
                  <v>None</v>
                </pt>
                <pt idx="721">
                  <v>None</v>
                </pt>
                <pt idx="722">
                  <v>None</v>
                </pt>
                <pt idx="723">
                  <v>None</v>
                </pt>
                <pt idx="724">
                  <v>None</v>
                </pt>
                <pt idx="725">
                  <v>None</v>
                </pt>
                <pt idx="726">
                  <v>None</v>
                </pt>
                <pt idx="727">
                  <v>None</v>
                </pt>
                <pt idx="728">
                  <v>None</v>
                </pt>
                <pt idx="729">
                  <v>None</v>
                </pt>
                <pt idx="730">
                  <v>None</v>
                </pt>
                <pt idx="731">
                  <v>None</v>
                </pt>
                <pt idx="732">
                  <v>None</v>
                </pt>
                <pt idx="733">
                  <v>None</v>
                </pt>
                <pt idx="734">
                  <v>None</v>
                </pt>
                <pt idx="735">
                  <v>None</v>
                </pt>
                <pt idx="736">
                  <v>None</v>
                </pt>
                <pt idx="737">
                  <v>None</v>
                </pt>
                <pt idx="738">
                  <v>None</v>
                </pt>
                <pt idx="739">
                  <v>None</v>
                </pt>
                <pt idx="740">
                  <v>None</v>
                </pt>
                <pt idx="741">
                  <v>None</v>
                </pt>
                <pt idx="742">
                  <v>None</v>
                </pt>
                <pt idx="743">
                  <v>None</v>
                </pt>
                <pt idx="744">
                  <v>None</v>
                </pt>
                <pt idx="745">
                  <v>None</v>
                </pt>
                <pt idx="746">
                  <v>None</v>
                </pt>
                <pt idx="747">
                  <v>None</v>
                </pt>
                <pt idx="748">
                  <v>None</v>
                </pt>
                <pt idx="749">
                  <v>None</v>
                </pt>
                <pt idx="750">
                  <v>None</v>
                </pt>
                <pt idx="751">
                  <v>None</v>
                </pt>
                <pt idx="752">
                  <v>None</v>
                </pt>
                <pt idx="753">
                  <v>None</v>
                </pt>
                <pt idx="754">
                  <v>None</v>
                </pt>
                <pt idx="755">
                  <v>None</v>
                </pt>
                <pt idx="756">
                  <v>None</v>
                </pt>
                <pt idx="757">
                  <v>None</v>
                </pt>
                <pt idx="758">
                  <v>None</v>
                </pt>
                <pt idx="759">
                  <v>None</v>
                </pt>
                <pt idx="760">
                  <v>None</v>
                </pt>
                <pt idx="761">
                  <v>None</v>
                </pt>
                <pt idx="762">
                  <v>None</v>
                </pt>
                <pt idx="763">
                  <v>None</v>
                </pt>
                <pt idx="764">
                  <v>None</v>
                </pt>
                <pt idx="765">
                  <v>None</v>
                </pt>
                <pt idx="766">
                  <v>None</v>
                </pt>
                <pt idx="767">
                  <v>None</v>
                </pt>
                <pt idx="768">
                  <v>None</v>
                </pt>
                <pt idx="769">
                  <v>None</v>
                </pt>
                <pt idx="770">
                  <v>None</v>
                </pt>
                <pt idx="771">
                  <v>None</v>
                </pt>
                <pt idx="772">
                  <v>None</v>
                </pt>
                <pt idx="773">
                  <v>None</v>
                </pt>
                <pt idx="774">
                  <v>None</v>
                </pt>
                <pt idx="775">
                  <v>None</v>
                </pt>
                <pt idx="776">
                  <v>None</v>
                </pt>
                <pt idx="777">
                  <v>None</v>
                </pt>
                <pt idx="778">
                  <v>None</v>
                </pt>
                <pt idx="779">
                  <v>None</v>
                </pt>
                <pt idx="780">
                  <v>None</v>
                </pt>
                <pt idx="781">
                  <v>None</v>
                </pt>
                <pt idx="782">
                  <v>None</v>
                </pt>
                <pt idx="783">
                  <v>None</v>
                </pt>
                <pt idx="784">
                  <v>None</v>
                </pt>
                <pt idx="785">
                  <v>None</v>
                </pt>
                <pt idx="786">
                  <v>None</v>
                </pt>
                <pt idx="787">
                  <v>None</v>
                </pt>
                <pt idx="788">
                  <v>None</v>
                </pt>
                <pt idx="789">
                  <v>None</v>
                </pt>
                <pt idx="790">
                  <v>None</v>
                </pt>
                <pt idx="791">
                  <v>None</v>
                </pt>
                <pt idx="792">
                  <v>None</v>
                </pt>
                <pt idx="793">
                  <v>None</v>
                </pt>
                <pt idx="794">
                  <v>None</v>
                </pt>
                <pt idx="795">
                  <v>None</v>
                </pt>
                <pt idx="796">
                  <v>None</v>
                </pt>
                <pt idx="797">
                  <v>None</v>
                </pt>
                <pt idx="798">
                  <v>None</v>
                </pt>
                <pt idx="799">
                  <v>None</v>
                </pt>
              </strCache>
            </strRef>
          </cat>
          <val>
            <numRef>
              <f>NAKIT_PROJEKSIYONU!$C$5:$C$804</f>
              <numCache>
                <formatCode>#,##0.00</formatCode>
                <ptCount val="800"/>
                <pt idx="0">
                  <v>200000</v>
                </pt>
                <pt idx="1">
                  <v>0</v>
                </pt>
                <pt idx="2">
                  <v>150000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NAKIT_PROJEKSIYONU!D4</f>
              <strCache>
                <ptCount val="1"/>
                <pt idx="0">
                  <v>Beklenen Çıkış (₺)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NAKIT_PROJEKSIYONU!$A$5:$A$804</f>
              <strCache>
                <ptCount val="800"/>
                <pt idx="0">
                  <v>10.08.2026</v>
                </pt>
                <pt idx="1">
                  <v>17.08.2026</v>
                </pt>
                <pt idx="2">
                  <v>24.08.2026</v>
                </pt>
                <pt idx="3">
                  <v>31.08.2026</v>
                </pt>
                <pt idx="4">
                  <v>07.09.2026</v>
                </pt>
                <pt idx="5">
                  <v>14.09.2026</v>
                </pt>
                <pt idx="6">
                  <v>21.09.2026</v>
                </pt>
                <pt idx="7">
                  <v>28.09.2026</v>
                </pt>
                <pt idx="8">
                  <v>05.10.2026</v>
                </pt>
                <pt idx="9">
                  <v>12.10.2026</v>
                </pt>
                <pt idx="10">
                  <v>19.10.2026</v>
                </pt>
                <pt idx="11">
                  <v>26.10.2026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  <pt idx="200">
                  <v>None</v>
                </pt>
                <pt idx="201">
                  <v>None</v>
                </pt>
                <pt idx="202">
                  <v>None</v>
                </pt>
                <pt idx="203">
                  <v>None</v>
                </pt>
                <pt idx="204">
                  <v>None</v>
                </pt>
                <pt idx="205">
                  <v>None</v>
                </pt>
                <pt idx="206">
                  <v>None</v>
                </pt>
                <pt idx="207">
                  <v>None</v>
                </pt>
                <pt idx="208">
                  <v>None</v>
                </pt>
                <pt idx="209">
                  <v>None</v>
                </pt>
                <pt idx="210">
                  <v>None</v>
                </pt>
                <pt idx="211">
                  <v>None</v>
                </pt>
                <pt idx="212">
                  <v>None</v>
                </pt>
                <pt idx="213">
                  <v>None</v>
                </pt>
                <pt idx="214">
                  <v>None</v>
                </pt>
                <pt idx="215">
                  <v>None</v>
                </pt>
                <pt idx="216">
                  <v>None</v>
                </pt>
                <pt idx="217">
                  <v>None</v>
                </pt>
                <pt idx="218">
                  <v>None</v>
                </pt>
                <pt idx="219">
                  <v>None</v>
                </pt>
                <pt idx="220">
                  <v>None</v>
                </pt>
                <pt idx="221">
                  <v>None</v>
                </pt>
                <pt idx="222">
                  <v>None</v>
                </pt>
                <pt idx="223">
                  <v>None</v>
                </pt>
                <pt idx="224">
                  <v>None</v>
                </pt>
                <pt idx="225">
                  <v>None</v>
                </pt>
                <pt idx="226">
                  <v>None</v>
                </pt>
                <pt idx="227">
                  <v>None</v>
                </pt>
                <pt idx="228">
                  <v>None</v>
                </pt>
                <pt idx="229">
                  <v>None</v>
                </pt>
                <pt idx="230">
                  <v>None</v>
                </pt>
                <pt idx="231">
                  <v>None</v>
                </pt>
                <pt idx="232">
                  <v>None</v>
                </pt>
                <pt idx="233">
                  <v>None</v>
                </pt>
                <pt idx="234">
                  <v>None</v>
                </pt>
                <pt idx="235">
                  <v>None</v>
                </pt>
                <pt idx="236">
                  <v>None</v>
                </pt>
                <pt idx="237">
                  <v>None</v>
                </pt>
                <pt idx="238">
                  <v>None</v>
                </pt>
                <pt idx="239">
                  <v>None</v>
                </pt>
                <pt idx="240">
                  <v>None</v>
                </pt>
                <pt idx="241">
                  <v>None</v>
                </pt>
                <pt idx="242">
                  <v>None</v>
                </pt>
                <pt idx="243">
                  <v>None</v>
                </pt>
                <pt idx="244">
                  <v>None</v>
                </pt>
                <pt idx="245">
                  <v>None</v>
                </pt>
                <pt idx="246">
                  <v>None</v>
                </pt>
                <pt idx="247">
                  <v>None</v>
                </pt>
                <pt idx="248">
                  <v>None</v>
                </pt>
                <pt idx="249">
                  <v>None</v>
                </pt>
                <pt idx="250">
                  <v>None</v>
                </pt>
                <pt idx="251">
                  <v>None</v>
                </pt>
                <pt idx="252">
                  <v>None</v>
                </pt>
                <pt idx="253">
                  <v>None</v>
                </pt>
                <pt idx="254">
                  <v>None</v>
                </pt>
                <pt idx="255">
                  <v>None</v>
                </pt>
                <pt idx="256">
                  <v>None</v>
                </pt>
                <pt idx="257">
                  <v>None</v>
                </pt>
                <pt idx="258">
                  <v>None</v>
                </pt>
                <pt idx="259">
                  <v>None</v>
                </pt>
                <pt idx="260">
                  <v>None</v>
                </pt>
                <pt idx="261">
                  <v>None</v>
                </pt>
                <pt idx="262">
                  <v>None</v>
                </pt>
                <pt idx="263">
                  <v>None</v>
                </pt>
                <pt idx="264">
                  <v>None</v>
                </pt>
                <pt idx="265">
                  <v>None</v>
                </pt>
                <pt idx="266">
                  <v>None</v>
                </pt>
                <pt idx="267">
                  <v>None</v>
                </pt>
                <pt idx="268">
                  <v>None</v>
                </pt>
                <pt idx="269">
                  <v>None</v>
                </pt>
                <pt idx="270">
                  <v>None</v>
                </pt>
                <pt idx="271">
                  <v>None</v>
                </pt>
                <pt idx="272">
                  <v>None</v>
                </pt>
                <pt idx="273">
                  <v>None</v>
                </pt>
                <pt idx="274">
                  <v>None</v>
                </pt>
                <pt idx="275">
                  <v>None</v>
                </pt>
                <pt idx="276">
                  <v>None</v>
                </pt>
                <pt idx="277">
                  <v>None</v>
                </pt>
                <pt idx="278">
                  <v>None</v>
                </pt>
                <pt idx="279">
                  <v>None</v>
                </pt>
                <pt idx="280">
                  <v>None</v>
                </pt>
                <pt idx="281">
                  <v>None</v>
                </pt>
                <pt idx="282">
                  <v>None</v>
                </pt>
                <pt idx="283">
                  <v>None</v>
                </pt>
                <pt idx="284">
                  <v>None</v>
                </pt>
                <pt idx="285">
                  <v>None</v>
                </pt>
                <pt idx="286">
                  <v>None</v>
                </pt>
                <pt idx="287">
                  <v>None</v>
                </pt>
                <pt idx="288">
                  <v>None</v>
                </pt>
                <pt idx="289">
                  <v>None</v>
                </pt>
                <pt idx="290">
                  <v>None</v>
                </pt>
                <pt idx="291">
                  <v>None</v>
                </pt>
                <pt idx="292">
                  <v>None</v>
                </pt>
                <pt idx="293">
                  <v>None</v>
                </pt>
                <pt idx="294">
                  <v>None</v>
                </pt>
                <pt idx="295">
                  <v>None</v>
                </pt>
                <pt idx="296">
                  <v>None</v>
                </pt>
                <pt idx="297">
                  <v>None</v>
                </pt>
                <pt idx="298">
                  <v>None</v>
                </pt>
                <pt idx="299">
                  <v>None</v>
                </pt>
                <pt idx="300">
                  <v>None</v>
                </pt>
                <pt idx="301">
                  <v>None</v>
                </pt>
                <pt idx="302">
                  <v>None</v>
                </pt>
                <pt idx="303">
                  <v>None</v>
                </pt>
                <pt idx="304">
                  <v>None</v>
                </pt>
                <pt idx="305">
                  <v>None</v>
                </pt>
                <pt idx="306">
                  <v>None</v>
                </pt>
                <pt idx="307">
                  <v>None</v>
                </pt>
                <pt idx="308">
                  <v>None</v>
                </pt>
                <pt idx="309">
                  <v>None</v>
                </pt>
                <pt idx="310">
                  <v>None</v>
                </pt>
                <pt idx="311">
                  <v>None</v>
                </pt>
                <pt idx="312">
                  <v>None</v>
                </pt>
                <pt idx="313">
                  <v>None</v>
                </pt>
                <pt idx="314">
                  <v>None</v>
                </pt>
                <pt idx="315">
                  <v>None</v>
                </pt>
                <pt idx="316">
                  <v>None</v>
                </pt>
                <pt idx="317">
                  <v>None</v>
                </pt>
                <pt idx="318">
                  <v>None</v>
                </pt>
                <pt idx="319">
                  <v>None</v>
                </pt>
                <pt idx="320">
                  <v>None</v>
                </pt>
                <pt idx="321">
                  <v>None</v>
                </pt>
                <pt idx="322">
                  <v>None</v>
                </pt>
                <pt idx="323">
                  <v>None</v>
                </pt>
                <pt idx="324">
                  <v>None</v>
                </pt>
                <pt idx="325">
                  <v>None</v>
                </pt>
                <pt idx="326">
                  <v>None</v>
                </pt>
                <pt idx="327">
                  <v>None</v>
                </pt>
                <pt idx="328">
                  <v>None</v>
                </pt>
                <pt idx="329">
                  <v>None</v>
                </pt>
                <pt idx="330">
                  <v>None</v>
                </pt>
                <pt idx="331">
                  <v>None</v>
                </pt>
                <pt idx="332">
                  <v>None</v>
                </pt>
                <pt idx="333">
                  <v>None</v>
                </pt>
                <pt idx="334">
                  <v>None</v>
                </pt>
                <pt idx="335">
                  <v>None</v>
                </pt>
                <pt idx="336">
                  <v>None</v>
                </pt>
                <pt idx="337">
                  <v>None</v>
                </pt>
                <pt idx="338">
                  <v>None</v>
                </pt>
                <pt idx="339">
                  <v>None</v>
                </pt>
                <pt idx="340">
                  <v>None</v>
                </pt>
                <pt idx="341">
                  <v>None</v>
                </pt>
                <pt idx="342">
                  <v>None</v>
                </pt>
                <pt idx="343">
                  <v>None</v>
                </pt>
                <pt idx="344">
                  <v>None</v>
                </pt>
                <pt idx="345">
                  <v>None</v>
                </pt>
                <pt idx="346">
                  <v>None</v>
                </pt>
                <pt idx="347">
                  <v>None</v>
                </pt>
                <pt idx="348">
                  <v>None</v>
                </pt>
                <pt idx="349">
                  <v>None</v>
                </pt>
                <pt idx="350">
                  <v>None</v>
                </pt>
                <pt idx="351">
                  <v>None</v>
                </pt>
                <pt idx="352">
                  <v>None</v>
                </pt>
                <pt idx="353">
                  <v>None</v>
                </pt>
                <pt idx="354">
                  <v>None</v>
                </pt>
                <pt idx="355">
                  <v>None</v>
                </pt>
                <pt idx="356">
                  <v>None</v>
                </pt>
                <pt idx="357">
                  <v>None</v>
                </pt>
                <pt idx="358">
                  <v>None</v>
                </pt>
                <pt idx="359">
                  <v>None</v>
                </pt>
                <pt idx="360">
                  <v>None</v>
                </pt>
                <pt idx="361">
                  <v>None</v>
                </pt>
                <pt idx="362">
                  <v>None</v>
                </pt>
                <pt idx="363">
                  <v>None</v>
                </pt>
                <pt idx="364">
                  <v>None</v>
                </pt>
                <pt idx="365">
                  <v>None</v>
                </pt>
                <pt idx="366">
                  <v>None</v>
                </pt>
                <pt idx="367">
                  <v>None</v>
                </pt>
                <pt idx="368">
                  <v>None</v>
                </pt>
                <pt idx="369">
                  <v>None</v>
                </pt>
                <pt idx="370">
                  <v>None</v>
                </pt>
                <pt idx="371">
                  <v>None</v>
                </pt>
                <pt idx="372">
                  <v>None</v>
                </pt>
                <pt idx="373">
                  <v>None</v>
                </pt>
                <pt idx="374">
                  <v>None</v>
                </pt>
                <pt idx="375">
                  <v>None</v>
                </pt>
                <pt idx="376">
                  <v>None</v>
                </pt>
                <pt idx="377">
                  <v>None</v>
                </pt>
                <pt idx="378">
                  <v>None</v>
                </pt>
                <pt idx="379">
                  <v>None</v>
                </pt>
                <pt idx="380">
                  <v>None</v>
                </pt>
                <pt idx="381">
                  <v>None</v>
                </pt>
                <pt idx="382">
                  <v>None</v>
                </pt>
                <pt idx="383">
                  <v>None</v>
                </pt>
                <pt idx="384">
                  <v>None</v>
                </pt>
                <pt idx="385">
                  <v>None</v>
                </pt>
                <pt idx="386">
                  <v>None</v>
                </pt>
                <pt idx="387">
                  <v>None</v>
                </pt>
                <pt idx="388">
                  <v>None</v>
                </pt>
                <pt idx="389">
                  <v>None</v>
                </pt>
                <pt idx="390">
                  <v>None</v>
                </pt>
                <pt idx="391">
                  <v>None</v>
                </pt>
                <pt idx="392">
                  <v>None</v>
                </pt>
                <pt idx="393">
                  <v>None</v>
                </pt>
                <pt idx="394">
                  <v>None</v>
                </pt>
                <pt idx="395">
                  <v>None</v>
                </pt>
                <pt idx="396">
                  <v>None</v>
                </pt>
                <pt idx="397">
                  <v>None</v>
                </pt>
                <pt idx="398">
                  <v>None</v>
                </pt>
                <pt idx="399">
                  <v>None</v>
                </pt>
                <pt idx="400">
                  <v>None</v>
                </pt>
                <pt idx="401">
                  <v>None</v>
                </pt>
                <pt idx="402">
                  <v>None</v>
                </pt>
                <pt idx="403">
                  <v>None</v>
                </pt>
                <pt idx="404">
                  <v>None</v>
                </pt>
                <pt idx="405">
                  <v>None</v>
                </pt>
                <pt idx="406">
                  <v>None</v>
                </pt>
                <pt idx="407">
                  <v>None</v>
                </pt>
                <pt idx="408">
                  <v>None</v>
                </pt>
                <pt idx="409">
                  <v>None</v>
                </pt>
                <pt idx="410">
                  <v>None</v>
                </pt>
                <pt idx="411">
                  <v>None</v>
                </pt>
                <pt idx="412">
                  <v>None</v>
                </pt>
                <pt idx="413">
                  <v>None</v>
                </pt>
                <pt idx="414">
                  <v>None</v>
                </pt>
                <pt idx="415">
                  <v>None</v>
                </pt>
                <pt idx="416">
                  <v>None</v>
                </pt>
                <pt idx="417">
                  <v>None</v>
                </pt>
                <pt idx="418">
                  <v>None</v>
                </pt>
                <pt idx="419">
                  <v>None</v>
                </pt>
                <pt idx="420">
                  <v>None</v>
                </pt>
                <pt idx="421">
                  <v>None</v>
                </pt>
                <pt idx="422">
                  <v>None</v>
                </pt>
                <pt idx="423">
                  <v>None</v>
                </pt>
                <pt idx="424">
                  <v>None</v>
                </pt>
                <pt idx="425">
                  <v>None</v>
                </pt>
                <pt idx="426">
                  <v>None</v>
                </pt>
                <pt idx="427">
                  <v>None</v>
                </pt>
                <pt idx="428">
                  <v>None</v>
                </pt>
                <pt idx="429">
                  <v>None</v>
                </pt>
                <pt idx="430">
                  <v>None</v>
                </pt>
                <pt idx="431">
                  <v>None</v>
                </pt>
                <pt idx="432">
                  <v>None</v>
                </pt>
                <pt idx="433">
                  <v>None</v>
                </pt>
                <pt idx="434">
                  <v>None</v>
                </pt>
                <pt idx="435">
                  <v>None</v>
                </pt>
                <pt idx="436">
                  <v>None</v>
                </pt>
                <pt idx="437">
                  <v>None</v>
                </pt>
                <pt idx="438">
                  <v>None</v>
                </pt>
                <pt idx="439">
                  <v>None</v>
                </pt>
                <pt idx="440">
                  <v>None</v>
                </pt>
                <pt idx="441">
                  <v>None</v>
                </pt>
                <pt idx="442">
                  <v>None</v>
                </pt>
                <pt idx="443">
                  <v>None</v>
                </pt>
                <pt idx="444">
                  <v>None</v>
                </pt>
                <pt idx="445">
                  <v>None</v>
                </pt>
                <pt idx="446">
                  <v>None</v>
                </pt>
                <pt idx="447">
                  <v>None</v>
                </pt>
                <pt idx="448">
                  <v>None</v>
                </pt>
                <pt idx="449">
                  <v>None</v>
                </pt>
                <pt idx="450">
                  <v>None</v>
                </pt>
                <pt idx="451">
                  <v>None</v>
                </pt>
                <pt idx="452">
                  <v>None</v>
                </pt>
                <pt idx="453">
                  <v>None</v>
                </pt>
                <pt idx="454">
                  <v>None</v>
                </pt>
                <pt idx="455">
                  <v>None</v>
                </pt>
                <pt idx="456">
                  <v>None</v>
                </pt>
                <pt idx="457">
                  <v>None</v>
                </pt>
                <pt idx="458">
                  <v>None</v>
                </pt>
                <pt idx="459">
                  <v>None</v>
                </pt>
                <pt idx="460">
                  <v>None</v>
                </pt>
                <pt idx="461">
                  <v>None</v>
                </pt>
                <pt idx="462">
                  <v>None</v>
                </pt>
                <pt idx="463">
                  <v>None</v>
                </pt>
                <pt idx="464">
                  <v>None</v>
                </pt>
                <pt idx="465">
                  <v>None</v>
                </pt>
                <pt idx="466">
                  <v>None</v>
                </pt>
                <pt idx="467">
                  <v>None</v>
                </pt>
                <pt idx="468">
                  <v>None</v>
                </pt>
                <pt idx="469">
                  <v>None</v>
                </pt>
                <pt idx="470">
                  <v>None</v>
                </pt>
                <pt idx="471">
                  <v>None</v>
                </pt>
                <pt idx="472">
                  <v>None</v>
                </pt>
                <pt idx="473">
                  <v>None</v>
                </pt>
                <pt idx="474">
                  <v>None</v>
                </pt>
                <pt idx="475">
                  <v>None</v>
                </pt>
                <pt idx="476">
                  <v>None</v>
                </pt>
                <pt idx="477">
                  <v>None</v>
                </pt>
                <pt idx="478">
                  <v>None</v>
                </pt>
                <pt idx="479">
                  <v>None</v>
                </pt>
                <pt idx="480">
                  <v>None</v>
                </pt>
                <pt idx="481">
                  <v>None</v>
                </pt>
                <pt idx="482">
                  <v>None</v>
                </pt>
                <pt idx="483">
                  <v>None</v>
                </pt>
                <pt idx="484">
                  <v>None</v>
                </pt>
                <pt idx="485">
                  <v>None</v>
                </pt>
                <pt idx="486">
                  <v>None</v>
                </pt>
                <pt idx="487">
                  <v>None</v>
                </pt>
                <pt idx="488">
                  <v>None</v>
                </pt>
                <pt idx="489">
                  <v>None</v>
                </pt>
                <pt idx="490">
                  <v>None</v>
                </pt>
                <pt idx="491">
                  <v>None</v>
                </pt>
                <pt idx="492">
                  <v>None</v>
                </pt>
                <pt idx="493">
                  <v>None</v>
                </pt>
                <pt idx="494">
                  <v>None</v>
                </pt>
                <pt idx="495">
                  <v>None</v>
                </pt>
                <pt idx="496">
                  <v>None</v>
                </pt>
                <pt idx="497">
                  <v>None</v>
                </pt>
                <pt idx="498">
                  <v>None</v>
                </pt>
                <pt idx="499">
                  <v>None</v>
                </pt>
                <pt idx="500">
                  <v>None</v>
                </pt>
                <pt idx="501">
                  <v>None</v>
                </pt>
                <pt idx="502">
                  <v>None</v>
                </pt>
                <pt idx="503">
                  <v>None</v>
                </pt>
                <pt idx="504">
                  <v>None</v>
                </pt>
                <pt idx="505">
                  <v>None</v>
                </pt>
                <pt idx="506">
                  <v>None</v>
                </pt>
                <pt idx="507">
                  <v>None</v>
                </pt>
                <pt idx="508">
                  <v>None</v>
                </pt>
                <pt idx="509">
                  <v>None</v>
                </pt>
                <pt idx="510">
                  <v>None</v>
                </pt>
                <pt idx="511">
                  <v>None</v>
                </pt>
                <pt idx="512">
                  <v>None</v>
                </pt>
                <pt idx="513">
                  <v>None</v>
                </pt>
                <pt idx="514">
                  <v>None</v>
                </pt>
                <pt idx="515">
                  <v>None</v>
                </pt>
                <pt idx="516">
                  <v>None</v>
                </pt>
                <pt idx="517">
                  <v>None</v>
                </pt>
                <pt idx="518">
                  <v>None</v>
                </pt>
                <pt idx="519">
                  <v>None</v>
                </pt>
                <pt idx="520">
                  <v>None</v>
                </pt>
                <pt idx="521">
                  <v>None</v>
                </pt>
                <pt idx="522">
                  <v>None</v>
                </pt>
                <pt idx="523">
                  <v>None</v>
                </pt>
                <pt idx="524">
                  <v>None</v>
                </pt>
                <pt idx="525">
                  <v>None</v>
                </pt>
                <pt idx="526">
                  <v>None</v>
                </pt>
                <pt idx="527">
                  <v>None</v>
                </pt>
                <pt idx="528">
                  <v>None</v>
                </pt>
                <pt idx="529">
                  <v>None</v>
                </pt>
                <pt idx="530">
                  <v>None</v>
                </pt>
                <pt idx="531">
                  <v>None</v>
                </pt>
                <pt idx="532">
                  <v>None</v>
                </pt>
                <pt idx="533">
                  <v>None</v>
                </pt>
                <pt idx="534">
                  <v>None</v>
                </pt>
                <pt idx="535">
                  <v>None</v>
                </pt>
                <pt idx="536">
                  <v>None</v>
                </pt>
                <pt idx="537">
                  <v>None</v>
                </pt>
                <pt idx="538">
                  <v>None</v>
                </pt>
                <pt idx="539">
                  <v>None</v>
                </pt>
                <pt idx="540">
                  <v>None</v>
                </pt>
                <pt idx="541">
                  <v>None</v>
                </pt>
                <pt idx="542">
                  <v>None</v>
                </pt>
                <pt idx="543">
                  <v>None</v>
                </pt>
                <pt idx="544">
                  <v>None</v>
                </pt>
                <pt idx="545">
                  <v>None</v>
                </pt>
                <pt idx="546">
                  <v>None</v>
                </pt>
                <pt idx="547">
                  <v>None</v>
                </pt>
                <pt idx="548">
                  <v>None</v>
                </pt>
                <pt idx="549">
                  <v>None</v>
                </pt>
                <pt idx="550">
                  <v>None</v>
                </pt>
                <pt idx="551">
                  <v>None</v>
                </pt>
                <pt idx="552">
                  <v>None</v>
                </pt>
                <pt idx="553">
                  <v>None</v>
                </pt>
                <pt idx="554">
                  <v>None</v>
                </pt>
                <pt idx="555">
                  <v>None</v>
                </pt>
                <pt idx="556">
                  <v>None</v>
                </pt>
                <pt idx="557">
                  <v>None</v>
                </pt>
                <pt idx="558">
                  <v>None</v>
                </pt>
                <pt idx="559">
                  <v>None</v>
                </pt>
                <pt idx="560">
                  <v>None</v>
                </pt>
                <pt idx="561">
                  <v>None</v>
                </pt>
                <pt idx="562">
                  <v>None</v>
                </pt>
                <pt idx="563">
                  <v>None</v>
                </pt>
                <pt idx="564">
                  <v>None</v>
                </pt>
                <pt idx="565">
                  <v>None</v>
                </pt>
                <pt idx="566">
                  <v>None</v>
                </pt>
                <pt idx="567">
                  <v>None</v>
                </pt>
                <pt idx="568">
                  <v>None</v>
                </pt>
                <pt idx="569">
                  <v>None</v>
                </pt>
                <pt idx="570">
                  <v>None</v>
                </pt>
                <pt idx="571">
                  <v>None</v>
                </pt>
                <pt idx="572">
                  <v>None</v>
                </pt>
                <pt idx="573">
                  <v>None</v>
                </pt>
                <pt idx="574">
                  <v>None</v>
                </pt>
                <pt idx="575">
                  <v>None</v>
                </pt>
                <pt idx="576">
                  <v>None</v>
                </pt>
                <pt idx="577">
                  <v>None</v>
                </pt>
                <pt idx="578">
                  <v>None</v>
                </pt>
                <pt idx="579">
                  <v>None</v>
                </pt>
                <pt idx="580">
                  <v>None</v>
                </pt>
                <pt idx="581">
                  <v>None</v>
                </pt>
                <pt idx="582">
                  <v>None</v>
                </pt>
                <pt idx="583">
                  <v>None</v>
                </pt>
                <pt idx="584">
                  <v>None</v>
                </pt>
                <pt idx="585">
                  <v>None</v>
                </pt>
                <pt idx="586">
                  <v>None</v>
                </pt>
                <pt idx="587">
                  <v>None</v>
                </pt>
                <pt idx="588">
                  <v>None</v>
                </pt>
                <pt idx="589">
                  <v>None</v>
                </pt>
                <pt idx="590">
                  <v>None</v>
                </pt>
                <pt idx="591">
                  <v>None</v>
                </pt>
                <pt idx="592">
                  <v>None</v>
                </pt>
                <pt idx="593">
                  <v>None</v>
                </pt>
                <pt idx="594">
                  <v>None</v>
                </pt>
                <pt idx="595">
                  <v>None</v>
                </pt>
                <pt idx="596">
                  <v>None</v>
                </pt>
                <pt idx="597">
                  <v>None</v>
                </pt>
                <pt idx="598">
                  <v>None</v>
                </pt>
                <pt idx="599">
                  <v>None</v>
                </pt>
                <pt idx="600">
                  <v>None</v>
                </pt>
                <pt idx="601">
                  <v>None</v>
                </pt>
                <pt idx="602">
                  <v>None</v>
                </pt>
                <pt idx="603">
                  <v>None</v>
                </pt>
                <pt idx="604">
                  <v>None</v>
                </pt>
                <pt idx="605">
                  <v>None</v>
                </pt>
                <pt idx="606">
                  <v>None</v>
                </pt>
                <pt idx="607">
                  <v>None</v>
                </pt>
                <pt idx="608">
                  <v>None</v>
                </pt>
                <pt idx="609">
                  <v>None</v>
                </pt>
                <pt idx="610">
                  <v>None</v>
                </pt>
                <pt idx="611">
                  <v>None</v>
                </pt>
                <pt idx="612">
                  <v>None</v>
                </pt>
                <pt idx="613">
                  <v>None</v>
                </pt>
                <pt idx="614">
                  <v>None</v>
                </pt>
                <pt idx="615">
                  <v>None</v>
                </pt>
                <pt idx="616">
                  <v>None</v>
                </pt>
                <pt idx="617">
                  <v>None</v>
                </pt>
                <pt idx="618">
                  <v>None</v>
                </pt>
                <pt idx="619">
                  <v>None</v>
                </pt>
                <pt idx="620">
                  <v>None</v>
                </pt>
                <pt idx="621">
                  <v>None</v>
                </pt>
                <pt idx="622">
                  <v>None</v>
                </pt>
                <pt idx="623">
                  <v>None</v>
                </pt>
                <pt idx="624">
                  <v>None</v>
                </pt>
                <pt idx="625">
                  <v>None</v>
                </pt>
                <pt idx="626">
                  <v>None</v>
                </pt>
                <pt idx="627">
                  <v>None</v>
                </pt>
                <pt idx="628">
                  <v>None</v>
                </pt>
                <pt idx="629">
                  <v>None</v>
                </pt>
                <pt idx="630">
                  <v>None</v>
                </pt>
                <pt idx="631">
                  <v>None</v>
                </pt>
                <pt idx="632">
                  <v>None</v>
                </pt>
                <pt idx="633">
                  <v>None</v>
                </pt>
                <pt idx="634">
                  <v>None</v>
                </pt>
                <pt idx="635">
                  <v>None</v>
                </pt>
                <pt idx="636">
                  <v>None</v>
                </pt>
                <pt idx="637">
                  <v>None</v>
                </pt>
                <pt idx="638">
                  <v>None</v>
                </pt>
                <pt idx="639">
                  <v>None</v>
                </pt>
                <pt idx="640">
                  <v>None</v>
                </pt>
                <pt idx="641">
                  <v>None</v>
                </pt>
                <pt idx="642">
                  <v>None</v>
                </pt>
                <pt idx="643">
                  <v>None</v>
                </pt>
                <pt idx="644">
                  <v>None</v>
                </pt>
                <pt idx="645">
                  <v>None</v>
                </pt>
                <pt idx="646">
                  <v>None</v>
                </pt>
                <pt idx="647">
                  <v>None</v>
                </pt>
                <pt idx="648">
                  <v>None</v>
                </pt>
                <pt idx="649">
                  <v>None</v>
                </pt>
                <pt idx="650">
                  <v>None</v>
                </pt>
                <pt idx="651">
                  <v>None</v>
                </pt>
                <pt idx="652">
                  <v>None</v>
                </pt>
                <pt idx="653">
                  <v>None</v>
                </pt>
                <pt idx="654">
                  <v>None</v>
                </pt>
                <pt idx="655">
                  <v>None</v>
                </pt>
                <pt idx="656">
                  <v>None</v>
                </pt>
                <pt idx="657">
                  <v>None</v>
                </pt>
                <pt idx="658">
                  <v>None</v>
                </pt>
                <pt idx="659">
                  <v>None</v>
                </pt>
                <pt idx="660">
                  <v>None</v>
                </pt>
                <pt idx="661">
                  <v>None</v>
                </pt>
                <pt idx="662">
                  <v>None</v>
                </pt>
                <pt idx="663">
                  <v>None</v>
                </pt>
                <pt idx="664">
                  <v>None</v>
                </pt>
                <pt idx="665">
                  <v>None</v>
                </pt>
                <pt idx="666">
                  <v>None</v>
                </pt>
                <pt idx="667">
                  <v>None</v>
                </pt>
                <pt idx="668">
                  <v>None</v>
                </pt>
                <pt idx="669">
                  <v>None</v>
                </pt>
                <pt idx="670">
                  <v>None</v>
                </pt>
                <pt idx="671">
                  <v>None</v>
                </pt>
                <pt idx="672">
                  <v>None</v>
                </pt>
                <pt idx="673">
                  <v>None</v>
                </pt>
                <pt idx="674">
                  <v>None</v>
                </pt>
                <pt idx="675">
                  <v>None</v>
                </pt>
                <pt idx="676">
                  <v>None</v>
                </pt>
                <pt idx="677">
                  <v>None</v>
                </pt>
                <pt idx="678">
                  <v>None</v>
                </pt>
                <pt idx="679">
                  <v>None</v>
                </pt>
                <pt idx="680">
                  <v>None</v>
                </pt>
                <pt idx="681">
                  <v>None</v>
                </pt>
                <pt idx="682">
                  <v>None</v>
                </pt>
                <pt idx="683">
                  <v>None</v>
                </pt>
                <pt idx="684">
                  <v>None</v>
                </pt>
                <pt idx="685">
                  <v>None</v>
                </pt>
                <pt idx="686">
                  <v>None</v>
                </pt>
                <pt idx="687">
                  <v>None</v>
                </pt>
                <pt idx="688">
                  <v>None</v>
                </pt>
                <pt idx="689">
                  <v>None</v>
                </pt>
                <pt idx="690">
                  <v>None</v>
                </pt>
                <pt idx="691">
                  <v>None</v>
                </pt>
                <pt idx="692">
                  <v>None</v>
                </pt>
                <pt idx="693">
                  <v>None</v>
                </pt>
                <pt idx="694">
                  <v>None</v>
                </pt>
                <pt idx="695">
                  <v>None</v>
                </pt>
                <pt idx="696">
                  <v>None</v>
                </pt>
                <pt idx="697">
                  <v>None</v>
                </pt>
                <pt idx="698">
                  <v>None</v>
                </pt>
                <pt idx="699">
                  <v>None</v>
                </pt>
                <pt idx="700">
                  <v>None</v>
                </pt>
                <pt idx="701">
                  <v>None</v>
                </pt>
                <pt idx="702">
                  <v>None</v>
                </pt>
                <pt idx="703">
                  <v>None</v>
                </pt>
                <pt idx="704">
                  <v>None</v>
                </pt>
                <pt idx="705">
                  <v>None</v>
                </pt>
                <pt idx="706">
                  <v>None</v>
                </pt>
                <pt idx="707">
                  <v>None</v>
                </pt>
                <pt idx="708">
                  <v>None</v>
                </pt>
                <pt idx="709">
                  <v>None</v>
                </pt>
                <pt idx="710">
                  <v>None</v>
                </pt>
                <pt idx="711">
                  <v>None</v>
                </pt>
                <pt idx="712">
                  <v>None</v>
                </pt>
                <pt idx="713">
                  <v>None</v>
                </pt>
                <pt idx="714">
                  <v>None</v>
                </pt>
                <pt idx="715">
                  <v>None</v>
                </pt>
                <pt idx="716">
                  <v>None</v>
                </pt>
                <pt idx="717">
                  <v>None</v>
                </pt>
                <pt idx="718">
                  <v>None</v>
                </pt>
                <pt idx="719">
                  <v>None</v>
                </pt>
                <pt idx="720">
                  <v>None</v>
                </pt>
                <pt idx="721">
                  <v>None</v>
                </pt>
                <pt idx="722">
                  <v>None</v>
                </pt>
                <pt idx="723">
                  <v>None</v>
                </pt>
                <pt idx="724">
                  <v>None</v>
                </pt>
                <pt idx="725">
                  <v>None</v>
                </pt>
                <pt idx="726">
                  <v>None</v>
                </pt>
                <pt idx="727">
                  <v>None</v>
                </pt>
                <pt idx="728">
                  <v>None</v>
                </pt>
                <pt idx="729">
                  <v>None</v>
                </pt>
                <pt idx="730">
                  <v>None</v>
                </pt>
                <pt idx="731">
                  <v>None</v>
                </pt>
                <pt idx="732">
                  <v>None</v>
                </pt>
                <pt idx="733">
                  <v>None</v>
                </pt>
                <pt idx="734">
                  <v>None</v>
                </pt>
                <pt idx="735">
                  <v>None</v>
                </pt>
                <pt idx="736">
                  <v>None</v>
                </pt>
                <pt idx="737">
                  <v>None</v>
                </pt>
                <pt idx="738">
                  <v>None</v>
                </pt>
                <pt idx="739">
                  <v>None</v>
                </pt>
                <pt idx="740">
                  <v>None</v>
                </pt>
                <pt idx="741">
                  <v>None</v>
                </pt>
                <pt idx="742">
                  <v>None</v>
                </pt>
                <pt idx="743">
                  <v>None</v>
                </pt>
                <pt idx="744">
                  <v>None</v>
                </pt>
                <pt idx="745">
                  <v>None</v>
                </pt>
                <pt idx="746">
                  <v>None</v>
                </pt>
                <pt idx="747">
                  <v>None</v>
                </pt>
                <pt idx="748">
                  <v>None</v>
                </pt>
                <pt idx="749">
                  <v>None</v>
                </pt>
                <pt idx="750">
                  <v>None</v>
                </pt>
                <pt idx="751">
                  <v>None</v>
                </pt>
                <pt idx="752">
                  <v>None</v>
                </pt>
                <pt idx="753">
                  <v>None</v>
                </pt>
                <pt idx="754">
                  <v>None</v>
                </pt>
                <pt idx="755">
                  <v>None</v>
                </pt>
                <pt idx="756">
                  <v>None</v>
                </pt>
                <pt idx="757">
                  <v>None</v>
                </pt>
                <pt idx="758">
                  <v>None</v>
                </pt>
                <pt idx="759">
                  <v>None</v>
                </pt>
                <pt idx="760">
                  <v>None</v>
                </pt>
                <pt idx="761">
                  <v>None</v>
                </pt>
                <pt idx="762">
                  <v>None</v>
                </pt>
                <pt idx="763">
                  <v>None</v>
                </pt>
                <pt idx="764">
                  <v>None</v>
                </pt>
                <pt idx="765">
                  <v>None</v>
                </pt>
                <pt idx="766">
                  <v>None</v>
                </pt>
                <pt idx="767">
                  <v>None</v>
                </pt>
                <pt idx="768">
                  <v>None</v>
                </pt>
                <pt idx="769">
                  <v>None</v>
                </pt>
                <pt idx="770">
                  <v>None</v>
                </pt>
                <pt idx="771">
                  <v>None</v>
                </pt>
                <pt idx="772">
                  <v>None</v>
                </pt>
                <pt idx="773">
                  <v>None</v>
                </pt>
                <pt idx="774">
                  <v>None</v>
                </pt>
                <pt idx="775">
                  <v>None</v>
                </pt>
                <pt idx="776">
                  <v>None</v>
                </pt>
                <pt idx="777">
                  <v>None</v>
                </pt>
                <pt idx="778">
                  <v>None</v>
                </pt>
                <pt idx="779">
                  <v>None</v>
                </pt>
                <pt idx="780">
                  <v>None</v>
                </pt>
                <pt idx="781">
                  <v>None</v>
                </pt>
                <pt idx="782">
                  <v>None</v>
                </pt>
                <pt idx="783">
                  <v>None</v>
                </pt>
                <pt idx="784">
                  <v>None</v>
                </pt>
                <pt idx="785">
                  <v>None</v>
                </pt>
                <pt idx="786">
                  <v>None</v>
                </pt>
                <pt idx="787">
                  <v>None</v>
                </pt>
                <pt idx="788">
                  <v>None</v>
                </pt>
                <pt idx="789">
                  <v>None</v>
                </pt>
                <pt idx="790">
                  <v>None</v>
                </pt>
                <pt idx="791">
                  <v>None</v>
                </pt>
                <pt idx="792">
                  <v>None</v>
                </pt>
                <pt idx="793">
                  <v>None</v>
                </pt>
                <pt idx="794">
                  <v>None</v>
                </pt>
                <pt idx="795">
                  <v>None</v>
                </pt>
                <pt idx="796">
                  <v>None</v>
                </pt>
                <pt idx="797">
                  <v>None</v>
                </pt>
                <pt idx="798">
                  <v>None</v>
                </pt>
                <pt idx="799">
                  <v>None</v>
                </pt>
              </strCache>
            </strRef>
          </cat>
          <val>
            <numRef>
              <f>NAKIT_PROJEKSIYONU!$D$5:$D$804</f>
              <numCache>
                <formatCode>#,##0.00</formatCode>
                <ptCount val="800"/>
                <pt idx="0">
                  <v>230000</v>
                </pt>
                <pt idx="1">
                  <v>180000</v>
                </pt>
                <pt idx="2">
                  <v>0</v>
                </pt>
                <pt idx="3">
                  <v>127000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88351685"/>
        <axId val="67652191"/>
      </barChart>
      <catAx>
        <axId val="88351685"/>
        <scaling>
          <orientation val="minMax"/>
        </scaling>
        <delete val="0"/>
        <axPos val="b"/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7652191"/>
        <crosses val="autoZero"/>
        <auto val="1"/>
        <lblAlgn val="ctr"/>
        <lblOffset val="100"/>
        <noMultiLvlLbl val="0"/>
      </catAx>
      <valAx>
        <axId val="6765219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Tutar (₺)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835168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Haftalık Net ve Dönem Sonu Kasa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NAKIT_PROJEKSIYONU!E4</f>
              <strCache>
                <ptCount val="1"/>
                <pt idx="0">
                  <v>Net (₺)</v>
                </pt>
              </strCache>
            </strRef>
          </tx>
          <spPr>
            <a:solidFill xmlns:a="http://schemas.openxmlformats.org/drawingml/2006/main">
              <a:srgbClr val="9D3E3B"/>
            </a:solidFill>
            <a:ln xmlns:a="http://schemas.openxmlformats.org/drawingml/2006/main" w="12600">
              <a:solidFill>
                <a:srgbClr val="9D3E3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NAKIT_PROJEKSIYONU!$A$5:$A$804</f>
              <strCache>
                <ptCount val="800"/>
                <pt idx="0">
                  <v>10.08.2026</v>
                </pt>
                <pt idx="1">
                  <v>17.08.2026</v>
                </pt>
                <pt idx="2">
                  <v>24.08.2026</v>
                </pt>
                <pt idx="3">
                  <v>31.08.2026</v>
                </pt>
                <pt idx="4">
                  <v>07.09.2026</v>
                </pt>
                <pt idx="5">
                  <v>14.09.2026</v>
                </pt>
                <pt idx="6">
                  <v>21.09.2026</v>
                </pt>
                <pt idx="7">
                  <v>28.09.2026</v>
                </pt>
                <pt idx="8">
                  <v>05.10.2026</v>
                </pt>
                <pt idx="9">
                  <v>12.10.2026</v>
                </pt>
                <pt idx="10">
                  <v>19.10.2026</v>
                </pt>
                <pt idx="11">
                  <v>26.10.2026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  <pt idx="200">
                  <v>None</v>
                </pt>
                <pt idx="201">
                  <v>None</v>
                </pt>
                <pt idx="202">
                  <v>None</v>
                </pt>
                <pt idx="203">
                  <v>None</v>
                </pt>
                <pt idx="204">
                  <v>None</v>
                </pt>
                <pt idx="205">
                  <v>None</v>
                </pt>
                <pt idx="206">
                  <v>None</v>
                </pt>
                <pt idx="207">
                  <v>None</v>
                </pt>
                <pt idx="208">
                  <v>None</v>
                </pt>
                <pt idx="209">
                  <v>None</v>
                </pt>
                <pt idx="210">
                  <v>None</v>
                </pt>
                <pt idx="211">
                  <v>None</v>
                </pt>
                <pt idx="212">
                  <v>None</v>
                </pt>
                <pt idx="213">
                  <v>None</v>
                </pt>
                <pt idx="214">
                  <v>None</v>
                </pt>
                <pt idx="215">
                  <v>None</v>
                </pt>
                <pt idx="216">
                  <v>None</v>
                </pt>
                <pt idx="217">
                  <v>None</v>
                </pt>
                <pt idx="218">
                  <v>None</v>
                </pt>
                <pt idx="219">
                  <v>None</v>
                </pt>
                <pt idx="220">
                  <v>None</v>
                </pt>
                <pt idx="221">
                  <v>None</v>
                </pt>
                <pt idx="222">
                  <v>None</v>
                </pt>
                <pt idx="223">
                  <v>None</v>
                </pt>
                <pt idx="224">
                  <v>None</v>
                </pt>
                <pt idx="225">
                  <v>None</v>
                </pt>
                <pt idx="226">
                  <v>None</v>
                </pt>
                <pt idx="227">
                  <v>None</v>
                </pt>
                <pt idx="228">
                  <v>None</v>
                </pt>
                <pt idx="229">
                  <v>None</v>
                </pt>
                <pt idx="230">
                  <v>None</v>
                </pt>
                <pt idx="231">
                  <v>None</v>
                </pt>
                <pt idx="232">
                  <v>None</v>
                </pt>
                <pt idx="233">
                  <v>None</v>
                </pt>
                <pt idx="234">
                  <v>None</v>
                </pt>
                <pt idx="235">
                  <v>None</v>
                </pt>
                <pt idx="236">
                  <v>None</v>
                </pt>
                <pt idx="237">
                  <v>None</v>
                </pt>
                <pt idx="238">
                  <v>None</v>
                </pt>
                <pt idx="239">
                  <v>None</v>
                </pt>
                <pt idx="240">
                  <v>None</v>
                </pt>
                <pt idx="241">
                  <v>None</v>
                </pt>
                <pt idx="242">
                  <v>None</v>
                </pt>
                <pt idx="243">
                  <v>None</v>
                </pt>
                <pt idx="244">
                  <v>None</v>
                </pt>
                <pt idx="245">
                  <v>None</v>
                </pt>
                <pt idx="246">
                  <v>None</v>
                </pt>
                <pt idx="247">
                  <v>None</v>
                </pt>
                <pt idx="248">
                  <v>None</v>
                </pt>
                <pt idx="249">
                  <v>None</v>
                </pt>
                <pt idx="250">
                  <v>None</v>
                </pt>
                <pt idx="251">
                  <v>None</v>
                </pt>
                <pt idx="252">
                  <v>None</v>
                </pt>
                <pt idx="253">
                  <v>None</v>
                </pt>
                <pt idx="254">
                  <v>None</v>
                </pt>
                <pt idx="255">
                  <v>None</v>
                </pt>
                <pt idx="256">
                  <v>None</v>
                </pt>
                <pt idx="257">
                  <v>None</v>
                </pt>
                <pt idx="258">
                  <v>None</v>
                </pt>
                <pt idx="259">
                  <v>None</v>
                </pt>
                <pt idx="260">
                  <v>None</v>
                </pt>
                <pt idx="261">
                  <v>None</v>
                </pt>
                <pt idx="262">
                  <v>None</v>
                </pt>
                <pt idx="263">
                  <v>None</v>
                </pt>
                <pt idx="264">
                  <v>None</v>
                </pt>
                <pt idx="265">
                  <v>None</v>
                </pt>
                <pt idx="266">
                  <v>None</v>
                </pt>
                <pt idx="267">
                  <v>None</v>
                </pt>
                <pt idx="268">
                  <v>None</v>
                </pt>
                <pt idx="269">
                  <v>None</v>
                </pt>
                <pt idx="270">
                  <v>None</v>
                </pt>
                <pt idx="271">
                  <v>None</v>
                </pt>
                <pt idx="272">
                  <v>None</v>
                </pt>
                <pt idx="273">
                  <v>None</v>
                </pt>
                <pt idx="274">
                  <v>None</v>
                </pt>
                <pt idx="275">
                  <v>None</v>
                </pt>
                <pt idx="276">
                  <v>None</v>
                </pt>
                <pt idx="277">
                  <v>None</v>
                </pt>
                <pt idx="278">
                  <v>None</v>
                </pt>
                <pt idx="279">
                  <v>None</v>
                </pt>
                <pt idx="280">
                  <v>None</v>
                </pt>
                <pt idx="281">
                  <v>None</v>
                </pt>
                <pt idx="282">
                  <v>None</v>
                </pt>
                <pt idx="283">
                  <v>None</v>
                </pt>
                <pt idx="284">
                  <v>None</v>
                </pt>
                <pt idx="285">
                  <v>None</v>
                </pt>
                <pt idx="286">
                  <v>None</v>
                </pt>
                <pt idx="287">
                  <v>None</v>
                </pt>
                <pt idx="288">
                  <v>None</v>
                </pt>
                <pt idx="289">
                  <v>None</v>
                </pt>
                <pt idx="290">
                  <v>None</v>
                </pt>
                <pt idx="291">
                  <v>None</v>
                </pt>
                <pt idx="292">
                  <v>None</v>
                </pt>
                <pt idx="293">
                  <v>None</v>
                </pt>
                <pt idx="294">
                  <v>None</v>
                </pt>
                <pt idx="295">
                  <v>None</v>
                </pt>
                <pt idx="296">
                  <v>None</v>
                </pt>
                <pt idx="297">
                  <v>None</v>
                </pt>
                <pt idx="298">
                  <v>None</v>
                </pt>
                <pt idx="299">
                  <v>None</v>
                </pt>
                <pt idx="300">
                  <v>None</v>
                </pt>
                <pt idx="301">
                  <v>None</v>
                </pt>
                <pt idx="302">
                  <v>None</v>
                </pt>
                <pt idx="303">
                  <v>None</v>
                </pt>
                <pt idx="304">
                  <v>None</v>
                </pt>
                <pt idx="305">
                  <v>None</v>
                </pt>
                <pt idx="306">
                  <v>None</v>
                </pt>
                <pt idx="307">
                  <v>None</v>
                </pt>
                <pt idx="308">
                  <v>None</v>
                </pt>
                <pt idx="309">
                  <v>None</v>
                </pt>
                <pt idx="310">
                  <v>None</v>
                </pt>
                <pt idx="311">
                  <v>None</v>
                </pt>
                <pt idx="312">
                  <v>None</v>
                </pt>
                <pt idx="313">
                  <v>None</v>
                </pt>
                <pt idx="314">
                  <v>None</v>
                </pt>
                <pt idx="315">
                  <v>None</v>
                </pt>
                <pt idx="316">
                  <v>None</v>
                </pt>
                <pt idx="317">
                  <v>None</v>
                </pt>
                <pt idx="318">
                  <v>None</v>
                </pt>
                <pt idx="319">
                  <v>None</v>
                </pt>
                <pt idx="320">
                  <v>None</v>
                </pt>
                <pt idx="321">
                  <v>None</v>
                </pt>
                <pt idx="322">
                  <v>None</v>
                </pt>
                <pt idx="323">
                  <v>None</v>
                </pt>
                <pt idx="324">
                  <v>None</v>
                </pt>
                <pt idx="325">
                  <v>None</v>
                </pt>
                <pt idx="326">
                  <v>None</v>
                </pt>
                <pt idx="327">
                  <v>None</v>
                </pt>
                <pt idx="328">
                  <v>None</v>
                </pt>
                <pt idx="329">
                  <v>None</v>
                </pt>
                <pt idx="330">
                  <v>None</v>
                </pt>
                <pt idx="331">
                  <v>None</v>
                </pt>
                <pt idx="332">
                  <v>None</v>
                </pt>
                <pt idx="333">
                  <v>None</v>
                </pt>
                <pt idx="334">
                  <v>None</v>
                </pt>
                <pt idx="335">
                  <v>None</v>
                </pt>
                <pt idx="336">
                  <v>None</v>
                </pt>
                <pt idx="337">
                  <v>None</v>
                </pt>
                <pt idx="338">
                  <v>None</v>
                </pt>
                <pt idx="339">
                  <v>None</v>
                </pt>
                <pt idx="340">
                  <v>None</v>
                </pt>
                <pt idx="341">
                  <v>None</v>
                </pt>
                <pt idx="342">
                  <v>None</v>
                </pt>
                <pt idx="343">
                  <v>None</v>
                </pt>
                <pt idx="344">
                  <v>None</v>
                </pt>
                <pt idx="345">
                  <v>None</v>
                </pt>
                <pt idx="346">
                  <v>None</v>
                </pt>
                <pt idx="347">
                  <v>None</v>
                </pt>
                <pt idx="348">
                  <v>None</v>
                </pt>
                <pt idx="349">
                  <v>None</v>
                </pt>
                <pt idx="350">
                  <v>None</v>
                </pt>
                <pt idx="351">
                  <v>None</v>
                </pt>
                <pt idx="352">
                  <v>None</v>
                </pt>
                <pt idx="353">
                  <v>None</v>
                </pt>
                <pt idx="354">
                  <v>None</v>
                </pt>
                <pt idx="355">
                  <v>None</v>
                </pt>
                <pt idx="356">
                  <v>None</v>
                </pt>
                <pt idx="357">
                  <v>None</v>
                </pt>
                <pt idx="358">
                  <v>None</v>
                </pt>
                <pt idx="359">
                  <v>None</v>
                </pt>
                <pt idx="360">
                  <v>None</v>
                </pt>
                <pt idx="361">
                  <v>None</v>
                </pt>
                <pt idx="362">
                  <v>None</v>
                </pt>
                <pt idx="363">
                  <v>None</v>
                </pt>
                <pt idx="364">
                  <v>None</v>
                </pt>
                <pt idx="365">
                  <v>None</v>
                </pt>
                <pt idx="366">
                  <v>None</v>
                </pt>
                <pt idx="367">
                  <v>None</v>
                </pt>
                <pt idx="368">
                  <v>None</v>
                </pt>
                <pt idx="369">
                  <v>None</v>
                </pt>
                <pt idx="370">
                  <v>None</v>
                </pt>
                <pt idx="371">
                  <v>None</v>
                </pt>
                <pt idx="372">
                  <v>None</v>
                </pt>
                <pt idx="373">
                  <v>None</v>
                </pt>
                <pt idx="374">
                  <v>None</v>
                </pt>
                <pt idx="375">
                  <v>None</v>
                </pt>
                <pt idx="376">
                  <v>None</v>
                </pt>
                <pt idx="377">
                  <v>None</v>
                </pt>
                <pt idx="378">
                  <v>None</v>
                </pt>
                <pt idx="379">
                  <v>None</v>
                </pt>
                <pt idx="380">
                  <v>None</v>
                </pt>
                <pt idx="381">
                  <v>None</v>
                </pt>
                <pt idx="382">
                  <v>None</v>
                </pt>
                <pt idx="383">
                  <v>None</v>
                </pt>
                <pt idx="384">
                  <v>None</v>
                </pt>
                <pt idx="385">
                  <v>None</v>
                </pt>
                <pt idx="386">
                  <v>None</v>
                </pt>
                <pt idx="387">
                  <v>None</v>
                </pt>
                <pt idx="388">
                  <v>None</v>
                </pt>
                <pt idx="389">
                  <v>None</v>
                </pt>
                <pt idx="390">
                  <v>None</v>
                </pt>
                <pt idx="391">
                  <v>None</v>
                </pt>
                <pt idx="392">
                  <v>None</v>
                </pt>
                <pt idx="393">
                  <v>None</v>
                </pt>
                <pt idx="394">
                  <v>None</v>
                </pt>
                <pt idx="395">
                  <v>None</v>
                </pt>
                <pt idx="396">
                  <v>None</v>
                </pt>
                <pt idx="397">
                  <v>None</v>
                </pt>
                <pt idx="398">
                  <v>None</v>
                </pt>
                <pt idx="399">
                  <v>None</v>
                </pt>
                <pt idx="400">
                  <v>None</v>
                </pt>
                <pt idx="401">
                  <v>None</v>
                </pt>
                <pt idx="402">
                  <v>None</v>
                </pt>
                <pt idx="403">
                  <v>None</v>
                </pt>
                <pt idx="404">
                  <v>None</v>
                </pt>
                <pt idx="405">
                  <v>None</v>
                </pt>
                <pt idx="406">
                  <v>None</v>
                </pt>
                <pt idx="407">
                  <v>None</v>
                </pt>
                <pt idx="408">
                  <v>None</v>
                </pt>
                <pt idx="409">
                  <v>None</v>
                </pt>
                <pt idx="410">
                  <v>None</v>
                </pt>
                <pt idx="411">
                  <v>None</v>
                </pt>
                <pt idx="412">
                  <v>None</v>
                </pt>
                <pt idx="413">
                  <v>None</v>
                </pt>
                <pt idx="414">
                  <v>None</v>
                </pt>
                <pt idx="415">
                  <v>None</v>
                </pt>
                <pt idx="416">
                  <v>None</v>
                </pt>
                <pt idx="417">
                  <v>None</v>
                </pt>
                <pt idx="418">
                  <v>None</v>
                </pt>
                <pt idx="419">
                  <v>None</v>
                </pt>
                <pt idx="420">
                  <v>None</v>
                </pt>
                <pt idx="421">
                  <v>None</v>
                </pt>
                <pt idx="422">
                  <v>None</v>
                </pt>
                <pt idx="423">
                  <v>None</v>
                </pt>
                <pt idx="424">
                  <v>None</v>
                </pt>
                <pt idx="425">
                  <v>None</v>
                </pt>
                <pt idx="426">
                  <v>None</v>
                </pt>
                <pt idx="427">
                  <v>None</v>
                </pt>
                <pt idx="428">
                  <v>None</v>
                </pt>
                <pt idx="429">
                  <v>None</v>
                </pt>
                <pt idx="430">
                  <v>None</v>
                </pt>
                <pt idx="431">
                  <v>None</v>
                </pt>
                <pt idx="432">
                  <v>None</v>
                </pt>
                <pt idx="433">
                  <v>None</v>
                </pt>
                <pt idx="434">
                  <v>None</v>
                </pt>
                <pt idx="435">
                  <v>None</v>
                </pt>
                <pt idx="436">
                  <v>None</v>
                </pt>
                <pt idx="437">
                  <v>None</v>
                </pt>
                <pt idx="438">
                  <v>None</v>
                </pt>
                <pt idx="439">
                  <v>None</v>
                </pt>
                <pt idx="440">
                  <v>None</v>
                </pt>
                <pt idx="441">
                  <v>None</v>
                </pt>
                <pt idx="442">
                  <v>None</v>
                </pt>
                <pt idx="443">
                  <v>None</v>
                </pt>
                <pt idx="444">
                  <v>None</v>
                </pt>
                <pt idx="445">
                  <v>None</v>
                </pt>
                <pt idx="446">
                  <v>None</v>
                </pt>
                <pt idx="447">
                  <v>None</v>
                </pt>
                <pt idx="448">
                  <v>None</v>
                </pt>
                <pt idx="449">
                  <v>None</v>
                </pt>
                <pt idx="450">
                  <v>None</v>
                </pt>
                <pt idx="451">
                  <v>None</v>
                </pt>
                <pt idx="452">
                  <v>None</v>
                </pt>
                <pt idx="453">
                  <v>None</v>
                </pt>
                <pt idx="454">
                  <v>None</v>
                </pt>
                <pt idx="455">
                  <v>None</v>
                </pt>
                <pt idx="456">
                  <v>None</v>
                </pt>
                <pt idx="457">
                  <v>None</v>
                </pt>
                <pt idx="458">
                  <v>None</v>
                </pt>
                <pt idx="459">
                  <v>None</v>
                </pt>
                <pt idx="460">
                  <v>None</v>
                </pt>
                <pt idx="461">
                  <v>None</v>
                </pt>
                <pt idx="462">
                  <v>None</v>
                </pt>
                <pt idx="463">
                  <v>None</v>
                </pt>
                <pt idx="464">
                  <v>None</v>
                </pt>
                <pt idx="465">
                  <v>None</v>
                </pt>
                <pt idx="466">
                  <v>None</v>
                </pt>
                <pt idx="467">
                  <v>None</v>
                </pt>
                <pt idx="468">
                  <v>None</v>
                </pt>
                <pt idx="469">
                  <v>None</v>
                </pt>
                <pt idx="470">
                  <v>None</v>
                </pt>
                <pt idx="471">
                  <v>None</v>
                </pt>
                <pt idx="472">
                  <v>None</v>
                </pt>
                <pt idx="473">
                  <v>None</v>
                </pt>
                <pt idx="474">
                  <v>None</v>
                </pt>
                <pt idx="475">
                  <v>None</v>
                </pt>
                <pt idx="476">
                  <v>None</v>
                </pt>
                <pt idx="477">
                  <v>None</v>
                </pt>
                <pt idx="478">
                  <v>None</v>
                </pt>
                <pt idx="479">
                  <v>None</v>
                </pt>
                <pt idx="480">
                  <v>None</v>
                </pt>
                <pt idx="481">
                  <v>None</v>
                </pt>
                <pt idx="482">
                  <v>None</v>
                </pt>
                <pt idx="483">
                  <v>None</v>
                </pt>
                <pt idx="484">
                  <v>None</v>
                </pt>
                <pt idx="485">
                  <v>None</v>
                </pt>
                <pt idx="486">
                  <v>None</v>
                </pt>
                <pt idx="487">
                  <v>None</v>
                </pt>
                <pt idx="488">
                  <v>None</v>
                </pt>
                <pt idx="489">
                  <v>None</v>
                </pt>
                <pt idx="490">
                  <v>None</v>
                </pt>
                <pt idx="491">
                  <v>None</v>
                </pt>
                <pt idx="492">
                  <v>None</v>
                </pt>
                <pt idx="493">
                  <v>None</v>
                </pt>
                <pt idx="494">
                  <v>None</v>
                </pt>
                <pt idx="495">
                  <v>None</v>
                </pt>
                <pt idx="496">
                  <v>None</v>
                </pt>
                <pt idx="497">
                  <v>None</v>
                </pt>
                <pt idx="498">
                  <v>None</v>
                </pt>
                <pt idx="499">
                  <v>None</v>
                </pt>
                <pt idx="500">
                  <v>None</v>
                </pt>
                <pt idx="501">
                  <v>None</v>
                </pt>
                <pt idx="502">
                  <v>None</v>
                </pt>
                <pt idx="503">
                  <v>None</v>
                </pt>
                <pt idx="504">
                  <v>None</v>
                </pt>
                <pt idx="505">
                  <v>None</v>
                </pt>
                <pt idx="506">
                  <v>None</v>
                </pt>
                <pt idx="507">
                  <v>None</v>
                </pt>
                <pt idx="508">
                  <v>None</v>
                </pt>
                <pt idx="509">
                  <v>None</v>
                </pt>
                <pt idx="510">
                  <v>None</v>
                </pt>
                <pt idx="511">
                  <v>None</v>
                </pt>
                <pt idx="512">
                  <v>None</v>
                </pt>
                <pt idx="513">
                  <v>None</v>
                </pt>
                <pt idx="514">
                  <v>None</v>
                </pt>
                <pt idx="515">
                  <v>None</v>
                </pt>
                <pt idx="516">
                  <v>None</v>
                </pt>
                <pt idx="517">
                  <v>None</v>
                </pt>
                <pt idx="518">
                  <v>None</v>
                </pt>
                <pt idx="519">
                  <v>None</v>
                </pt>
                <pt idx="520">
                  <v>None</v>
                </pt>
                <pt idx="521">
                  <v>None</v>
                </pt>
                <pt idx="522">
                  <v>None</v>
                </pt>
                <pt idx="523">
                  <v>None</v>
                </pt>
                <pt idx="524">
                  <v>None</v>
                </pt>
                <pt idx="525">
                  <v>None</v>
                </pt>
                <pt idx="526">
                  <v>None</v>
                </pt>
                <pt idx="527">
                  <v>None</v>
                </pt>
                <pt idx="528">
                  <v>None</v>
                </pt>
                <pt idx="529">
                  <v>None</v>
                </pt>
                <pt idx="530">
                  <v>None</v>
                </pt>
                <pt idx="531">
                  <v>None</v>
                </pt>
                <pt idx="532">
                  <v>None</v>
                </pt>
                <pt idx="533">
                  <v>None</v>
                </pt>
                <pt idx="534">
                  <v>None</v>
                </pt>
                <pt idx="535">
                  <v>None</v>
                </pt>
                <pt idx="536">
                  <v>None</v>
                </pt>
                <pt idx="537">
                  <v>None</v>
                </pt>
                <pt idx="538">
                  <v>None</v>
                </pt>
                <pt idx="539">
                  <v>None</v>
                </pt>
                <pt idx="540">
                  <v>None</v>
                </pt>
                <pt idx="541">
                  <v>None</v>
                </pt>
                <pt idx="542">
                  <v>None</v>
                </pt>
                <pt idx="543">
                  <v>None</v>
                </pt>
                <pt idx="544">
                  <v>None</v>
                </pt>
                <pt idx="545">
                  <v>None</v>
                </pt>
                <pt idx="546">
                  <v>None</v>
                </pt>
                <pt idx="547">
                  <v>None</v>
                </pt>
                <pt idx="548">
                  <v>None</v>
                </pt>
                <pt idx="549">
                  <v>None</v>
                </pt>
                <pt idx="550">
                  <v>None</v>
                </pt>
                <pt idx="551">
                  <v>None</v>
                </pt>
                <pt idx="552">
                  <v>None</v>
                </pt>
                <pt idx="553">
                  <v>None</v>
                </pt>
                <pt idx="554">
                  <v>None</v>
                </pt>
                <pt idx="555">
                  <v>None</v>
                </pt>
                <pt idx="556">
                  <v>None</v>
                </pt>
                <pt idx="557">
                  <v>None</v>
                </pt>
                <pt idx="558">
                  <v>None</v>
                </pt>
                <pt idx="559">
                  <v>None</v>
                </pt>
                <pt idx="560">
                  <v>None</v>
                </pt>
                <pt idx="561">
                  <v>None</v>
                </pt>
                <pt idx="562">
                  <v>None</v>
                </pt>
                <pt idx="563">
                  <v>None</v>
                </pt>
                <pt idx="564">
                  <v>None</v>
                </pt>
                <pt idx="565">
                  <v>None</v>
                </pt>
                <pt idx="566">
                  <v>None</v>
                </pt>
                <pt idx="567">
                  <v>None</v>
                </pt>
                <pt idx="568">
                  <v>None</v>
                </pt>
                <pt idx="569">
                  <v>None</v>
                </pt>
                <pt idx="570">
                  <v>None</v>
                </pt>
                <pt idx="571">
                  <v>None</v>
                </pt>
                <pt idx="572">
                  <v>None</v>
                </pt>
                <pt idx="573">
                  <v>None</v>
                </pt>
                <pt idx="574">
                  <v>None</v>
                </pt>
                <pt idx="575">
                  <v>None</v>
                </pt>
                <pt idx="576">
                  <v>None</v>
                </pt>
                <pt idx="577">
                  <v>None</v>
                </pt>
                <pt idx="578">
                  <v>None</v>
                </pt>
                <pt idx="579">
                  <v>None</v>
                </pt>
                <pt idx="580">
                  <v>None</v>
                </pt>
                <pt idx="581">
                  <v>None</v>
                </pt>
                <pt idx="582">
                  <v>None</v>
                </pt>
                <pt idx="583">
                  <v>None</v>
                </pt>
                <pt idx="584">
                  <v>None</v>
                </pt>
                <pt idx="585">
                  <v>None</v>
                </pt>
                <pt idx="586">
                  <v>None</v>
                </pt>
                <pt idx="587">
                  <v>None</v>
                </pt>
                <pt idx="588">
                  <v>None</v>
                </pt>
                <pt idx="589">
                  <v>None</v>
                </pt>
                <pt idx="590">
                  <v>None</v>
                </pt>
                <pt idx="591">
                  <v>None</v>
                </pt>
                <pt idx="592">
                  <v>None</v>
                </pt>
                <pt idx="593">
                  <v>None</v>
                </pt>
                <pt idx="594">
                  <v>None</v>
                </pt>
                <pt idx="595">
                  <v>None</v>
                </pt>
                <pt idx="596">
                  <v>None</v>
                </pt>
                <pt idx="597">
                  <v>None</v>
                </pt>
                <pt idx="598">
                  <v>None</v>
                </pt>
                <pt idx="599">
                  <v>None</v>
                </pt>
                <pt idx="600">
                  <v>None</v>
                </pt>
                <pt idx="601">
                  <v>None</v>
                </pt>
                <pt idx="602">
                  <v>None</v>
                </pt>
                <pt idx="603">
                  <v>None</v>
                </pt>
                <pt idx="604">
                  <v>None</v>
                </pt>
                <pt idx="605">
                  <v>None</v>
                </pt>
                <pt idx="606">
                  <v>None</v>
                </pt>
                <pt idx="607">
                  <v>None</v>
                </pt>
                <pt idx="608">
                  <v>None</v>
                </pt>
                <pt idx="609">
                  <v>None</v>
                </pt>
                <pt idx="610">
                  <v>None</v>
                </pt>
                <pt idx="611">
                  <v>None</v>
                </pt>
                <pt idx="612">
                  <v>None</v>
                </pt>
                <pt idx="613">
                  <v>None</v>
                </pt>
                <pt idx="614">
                  <v>None</v>
                </pt>
                <pt idx="615">
                  <v>None</v>
                </pt>
                <pt idx="616">
                  <v>None</v>
                </pt>
                <pt idx="617">
                  <v>None</v>
                </pt>
                <pt idx="618">
                  <v>None</v>
                </pt>
                <pt idx="619">
                  <v>None</v>
                </pt>
                <pt idx="620">
                  <v>None</v>
                </pt>
                <pt idx="621">
                  <v>None</v>
                </pt>
                <pt idx="622">
                  <v>None</v>
                </pt>
                <pt idx="623">
                  <v>None</v>
                </pt>
                <pt idx="624">
                  <v>None</v>
                </pt>
                <pt idx="625">
                  <v>None</v>
                </pt>
                <pt idx="626">
                  <v>None</v>
                </pt>
                <pt idx="627">
                  <v>None</v>
                </pt>
                <pt idx="628">
                  <v>None</v>
                </pt>
                <pt idx="629">
                  <v>None</v>
                </pt>
                <pt idx="630">
                  <v>None</v>
                </pt>
                <pt idx="631">
                  <v>None</v>
                </pt>
                <pt idx="632">
                  <v>None</v>
                </pt>
                <pt idx="633">
                  <v>None</v>
                </pt>
                <pt idx="634">
                  <v>None</v>
                </pt>
                <pt idx="635">
                  <v>None</v>
                </pt>
                <pt idx="636">
                  <v>None</v>
                </pt>
                <pt idx="637">
                  <v>None</v>
                </pt>
                <pt idx="638">
                  <v>None</v>
                </pt>
                <pt idx="639">
                  <v>None</v>
                </pt>
                <pt idx="640">
                  <v>None</v>
                </pt>
                <pt idx="641">
                  <v>None</v>
                </pt>
                <pt idx="642">
                  <v>None</v>
                </pt>
                <pt idx="643">
                  <v>None</v>
                </pt>
                <pt idx="644">
                  <v>None</v>
                </pt>
                <pt idx="645">
                  <v>None</v>
                </pt>
                <pt idx="646">
                  <v>None</v>
                </pt>
                <pt idx="647">
                  <v>None</v>
                </pt>
                <pt idx="648">
                  <v>None</v>
                </pt>
                <pt idx="649">
                  <v>None</v>
                </pt>
                <pt idx="650">
                  <v>None</v>
                </pt>
                <pt idx="651">
                  <v>None</v>
                </pt>
                <pt idx="652">
                  <v>None</v>
                </pt>
                <pt idx="653">
                  <v>None</v>
                </pt>
                <pt idx="654">
                  <v>None</v>
                </pt>
                <pt idx="655">
                  <v>None</v>
                </pt>
                <pt idx="656">
                  <v>None</v>
                </pt>
                <pt idx="657">
                  <v>None</v>
                </pt>
                <pt idx="658">
                  <v>None</v>
                </pt>
                <pt idx="659">
                  <v>None</v>
                </pt>
                <pt idx="660">
                  <v>None</v>
                </pt>
                <pt idx="661">
                  <v>None</v>
                </pt>
                <pt idx="662">
                  <v>None</v>
                </pt>
                <pt idx="663">
                  <v>None</v>
                </pt>
                <pt idx="664">
                  <v>None</v>
                </pt>
                <pt idx="665">
                  <v>None</v>
                </pt>
                <pt idx="666">
                  <v>None</v>
                </pt>
                <pt idx="667">
                  <v>None</v>
                </pt>
                <pt idx="668">
                  <v>None</v>
                </pt>
                <pt idx="669">
                  <v>None</v>
                </pt>
                <pt idx="670">
                  <v>None</v>
                </pt>
                <pt idx="671">
                  <v>None</v>
                </pt>
                <pt idx="672">
                  <v>None</v>
                </pt>
                <pt idx="673">
                  <v>None</v>
                </pt>
                <pt idx="674">
                  <v>None</v>
                </pt>
                <pt idx="675">
                  <v>None</v>
                </pt>
                <pt idx="676">
                  <v>None</v>
                </pt>
                <pt idx="677">
                  <v>None</v>
                </pt>
                <pt idx="678">
                  <v>None</v>
                </pt>
                <pt idx="679">
                  <v>None</v>
                </pt>
                <pt idx="680">
                  <v>None</v>
                </pt>
                <pt idx="681">
                  <v>None</v>
                </pt>
                <pt idx="682">
                  <v>None</v>
                </pt>
                <pt idx="683">
                  <v>None</v>
                </pt>
                <pt idx="684">
                  <v>None</v>
                </pt>
                <pt idx="685">
                  <v>None</v>
                </pt>
                <pt idx="686">
                  <v>None</v>
                </pt>
                <pt idx="687">
                  <v>None</v>
                </pt>
                <pt idx="688">
                  <v>None</v>
                </pt>
                <pt idx="689">
                  <v>None</v>
                </pt>
                <pt idx="690">
                  <v>None</v>
                </pt>
                <pt idx="691">
                  <v>None</v>
                </pt>
                <pt idx="692">
                  <v>None</v>
                </pt>
                <pt idx="693">
                  <v>None</v>
                </pt>
                <pt idx="694">
                  <v>None</v>
                </pt>
                <pt idx="695">
                  <v>None</v>
                </pt>
                <pt idx="696">
                  <v>None</v>
                </pt>
                <pt idx="697">
                  <v>None</v>
                </pt>
                <pt idx="698">
                  <v>None</v>
                </pt>
                <pt idx="699">
                  <v>None</v>
                </pt>
                <pt idx="700">
                  <v>None</v>
                </pt>
                <pt idx="701">
                  <v>None</v>
                </pt>
                <pt idx="702">
                  <v>None</v>
                </pt>
                <pt idx="703">
                  <v>None</v>
                </pt>
                <pt idx="704">
                  <v>None</v>
                </pt>
                <pt idx="705">
                  <v>None</v>
                </pt>
                <pt idx="706">
                  <v>None</v>
                </pt>
                <pt idx="707">
                  <v>None</v>
                </pt>
                <pt idx="708">
                  <v>None</v>
                </pt>
                <pt idx="709">
                  <v>None</v>
                </pt>
                <pt idx="710">
                  <v>None</v>
                </pt>
                <pt idx="711">
                  <v>None</v>
                </pt>
                <pt idx="712">
                  <v>None</v>
                </pt>
                <pt idx="713">
                  <v>None</v>
                </pt>
                <pt idx="714">
                  <v>None</v>
                </pt>
                <pt idx="715">
                  <v>None</v>
                </pt>
                <pt idx="716">
                  <v>None</v>
                </pt>
                <pt idx="717">
                  <v>None</v>
                </pt>
                <pt idx="718">
                  <v>None</v>
                </pt>
                <pt idx="719">
                  <v>None</v>
                </pt>
                <pt idx="720">
                  <v>None</v>
                </pt>
                <pt idx="721">
                  <v>None</v>
                </pt>
                <pt idx="722">
                  <v>None</v>
                </pt>
                <pt idx="723">
                  <v>None</v>
                </pt>
                <pt idx="724">
                  <v>None</v>
                </pt>
                <pt idx="725">
                  <v>None</v>
                </pt>
                <pt idx="726">
                  <v>None</v>
                </pt>
                <pt idx="727">
                  <v>None</v>
                </pt>
                <pt idx="728">
                  <v>None</v>
                </pt>
                <pt idx="729">
                  <v>None</v>
                </pt>
                <pt idx="730">
                  <v>None</v>
                </pt>
                <pt idx="731">
                  <v>None</v>
                </pt>
                <pt idx="732">
                  <v>None</v>
                </pt>
                <pt idx="733">
                  <v>None</v>
                </pt>
                <pt idx="734">
                  <v>None</v>
                </pt>
                <pt idx="735">
                  <v>None</v>
                </pt>
                <pt idx="736">
                  <v>None</v>
                </pt>
                <pt idx="737">
                  <v>None</v>
                </pt>
                <pt idx="738">
                  <v>None</v>
                </pt>
                <pt idx="739">
                  <v>None</v>
                </pt>
                <pt idx="740">
                  <v>None</v>
                </pt>
                <pt idx="741">
                  <v>None</v>
                </pt>
                <pt idx="742">
                  <v>None</v>
                </pt>
                <pt idx="743">
                  <v>None</v>
                </pt>
                <pt idx="744">
                  <v>None</v>
                </pt>
                <pt idx="745">
                  <v>None</v>
                </pt>
                <pt idx="746">
                  <v>None</v>
                </pt>
                <pt idx="747">
                  <v>None</v>
                </pt>
                <pt idx="748">
                  <v>None</v>
                </pt>
                <pt idx="749">
                  <v>None</v>
                </pt>
                <pt idx="750">
                  <v>None</v>
                </pt>
                <pt idx="751">
                  <v>None</v>
                </pt>
                <pt idx="752">
                  <v>None</v>
                </pt>
                <pt idx="753">
                  <v>None</v>
                </pt>
                <pt idx="754">
                  <v>None</v>
                </pt>
                <pt idx="755">
                  <v>None</v>
                </pt>
                <pt idx="756">
                  <v>None</v>
                </pt>
                <pt idx="757">
                  <v>None</v>
                </pt>
                <pt idx="758">
                  <v>None</v>
                </pt>
                <pt idx="759">
                  <v>None</v>
                </pt>
                <pt idx="760">
                  <v>None</v>
                </pt>
                <pt idx="761">
                  <v>None</v>
                </pt>
                <pt idx="762">
                  <v>None</v>
                </pt>
                <pt idx="763">
                  <v>None</v>
                </pt>
                <pt idx="764">
                  <v>None</v>
                </pt>
                <pt idx="765">
                  <v>None</v>
                </pt>
                <pt idx="766">
                  <v>None</v>
                </pt>
                <pt idx="767">
                  <v>None</v>
                </pt>
                <pt idx="768">
                  <v>None</v>
                </pt>
                <pt idx="769">
                  <v>None</v>
                </pt>
                <pt idx="770">
                  <v>None</v>
                </pt>
                <pt idx="771">
                  <v>None</v>
                </pt>
                <pt idx="772">
                  <v>None</v>
                </pt>
                <pt idx="773">
                  <v>None</v>
                </pt>
                <pt idx="774">
                  <v>None</v>
                </pt>
                <pt idx="775">
                  <v>None</v>
                </pt>
                <pt idx="776">
                  <v>None</v>
                </pt>
                <pt idx="777">
                  <v>None</v>
                </pt>
                <pt idx="778">
                  <v>None</v>
                </pt>
                <pt idx="779">
                  <v>None</v>
                </pt>
                <pt idx="780">
                  <v>None</v>
                </pt>
                <pt idx="781">
                  <v>None</v>
                </pt>
                <pt idx="782">
                  <v>None</v>
                </pt>
                <pt idx="783">
                  <v>None</v>
                </pt>
                <pt idx="784">
                  <v>None</v>
                </pt>
                <pt idx="785">
                  <v>None</v>
                </pt>
                <pt idx="786">
                  <v>None</v>
                </pt>
                <pt idx="787">
                  <v>None</v>
                </pt>
                <pt idx="788">
                  <v>None</v>
                </pt>
                <pt idx="789">
                  <v>None</v>
                </pt>
                <pt idx="790">
                  <v>None</v>
                </pt>
                <pt idx="791">
                  <v>None</v>
                </pt>
                <pt idx="792">
                  <v>None</v>
                </pt>
                <pt idx="793">
                  <v>None</v>
                </pt>
                <pt idx="794">
                  <v>None</v>
                </pt>
                <pt idx="795">
                  <v>None</v>
                </pt>
                <pt idx="796">
                  <v>None</v>
                </pt>
                <pt idx="797">
                  <v>None</v>
                </pt>
                <pt idx="798">
                  <v>None</v>
                </pt>
                <pt idx="799">
                  <v>None</v>
                </pt>
              </strCache>
            </strRef>
          </cat>
          <val>
            <numRef>
              <f>NAKIT_PROJEKSIYONU!$E$5:$E$804</f>
              <numCache>
                <formatCode>#,##0.00</formatCode>
                <ptCount val="800"/>
                <pt idx="0">
                  <v>-30000</v>
                </pt>
                <pt idx="1">
                  <v>-180000</v>
                </pt>
                <pt idx="2">
                  <v>150000</v>
                </pt>
                <pt idx="3">
                  <v>-127000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tx>
            <strRef>
              <f>NAKIT_PROJEKSIYONU!F4</f>
              <strCache>
                <ptCount val="1"/>
                <pt idx="0">
                  <v>Dönem Başı Kasa (₺)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NAKIT_PROJEKSIYONU!$A$5:$A$804</f>
              <strCache>
                <ptCount val="800"/>
                <pt idx="0">
                  <v>10.08.2026</v>
                </pt>
                <pt idx="1">
                  <v>17.08.2026</v>
                </pt>
                <pt idx="2">
                  <v>24.08.2026</v>
                </pt>
                <pt idx="3">
                  <v>31.08.2026</v>
                </pt>
                <pt idx="4">
                  <v>07.09.2026</v>
                </pt>
                <pt idx="5">
                  <v>14.09.2026</v>
                </pt>
                <pt idx="6">
                  <v>21.09.2026</v>
                </pt>
                <pt idx="7">
                  <v>28.09.2026</v>
                </pt>
                <pt idx="8">
                  <v>05.10.2026</v>
                </pt>
                <pt idx="9">
                  <v>12.10.2026</v>
                </pt>
                <pt idx="10">
                  <v>19.10.2026</v>
                </pt>
                <pt idx="11">
                  <v>26.10.2026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  <pt idx="200">
                  <v>None</v>
                </pt>
                <pt idx="201">
                  <v>None</v>
                </pt>
                <pt idx="202">
                  <v>None</v>
                </pt>
                <pt idx="203">
                  <v>None</v>
                </pt>
                <pt idx="204">
                  <v>None</v>
                </pt>
                <pt idx="205">
                  <v>None</v>
                </pt>
                <pt idx="206">
                  <v>None</v>
                </pt>
                <pt idx="207">
                  <v>None</v>
                </pt>
                <pt idx="208">
                  <v>None</v>
                </pt>
                <pt idx="209">
                  <v>None</v>
                </pt>
                <pt idx="210">
                  <v>None</v>
                </pt>
                <pt idx="211">
                  <v>None</v>
                </pt>
                <pt idx="212">
                  <v>None</v>
                </pt>
                <pt idx="213">
                  <v>None</v>
                </pt>
                <pt idx="214">
                  <v>None</v>
                </pt>
                <pt idx="215">
                  <v>None</v>
                </pt>
                <pt idx="216">
                  <v>None</v>
                </pt>
                <pt idx="217">
                  <v>None</v>
                </pt>
                <pt idx="218">
                  <v>None</v>
                </pt>
                <pt idx="219">
                  <v>None</v>
                </pt>
                <pt idx="220">
                  <v>None</v>
                </pt>
                <pt idx="221">
                  <v>None</v>
                </pt>
                <pt idx="222">
                  <v>None</v>
                </pt>
                <pt idx="223">
                  <v>None</v>
                </pt>
                <pt idx="224">
                  <v>None</v>
                </pt>
                <pt idx="225">
                  <v>None</v>
                </pt>
                <pt idx="226">
                  <v>None</v>
                </pt>
                <pt idx="227">
                  <v>None</v>
                </pt>
                <pt idx="228">
                  <v>None</v>
                </pt>
                <pt idx="229">
                  <v>None</v>
                </pt>
                <pt idx="230">
                  <v>None</v>
                </pt>
                <pt idx="231">
                  <v>None</v>
                </pt>
                <pt idx="232">
                  <v>None</v>
                </pt>
                <pt idx="233">
                  <v>None</v>
                </pt>
                <pt idx="234">
                  <v>None</v>
                </pt>
                <pt idx="235">
                  <v>None</v>
                </pt>
                <pt idx="236">
                  <v>None</v>
                </pt>
                <pt idx="237">
                  <v>None</v>
                </pt>
                <pt idx="238">
                  <v>None</v>
                </pt>
                <pt idx="239">
                  <v>None</v>
                </pt>
                <pt idx="240">
                  <v>None</v>
                </pt>
                <pt idx="241">
                  <v>None</v>
                </pt>
                <pt idx="242">
                  <v>None</v>
                </pt>
                <pt idx="243">
                  <v>None</v>
                </pt>
                <pt idx="244">
                  <v>None</v>
                </pt>
                <pt idx="245">
                  <v>None</v>
                </pt>
                <pt idx="246">
                  <v>None</v>
                </pt>
                <pt idx="247">
                  <v>None</v>
                </pt>
                <pt idx="248">
                  <v>None</v>
                </pt>
                <pt idx="249">
                  <v>None</v>
                </pt>
                <pt idx="250">
                  <v>None</v>
                </pt>
                <pt idx="251">
                  <v>None</v>
                </pt>
                <pt idx="252">
                  <v>None</v>
                </pt>
                <pt idx="253">
                  <v>None</v>
                </pt>
                <pt idx="254">
                  <v>None</v>
                </pt>
                <pt idx="255">
                  <v>None</v>
                </pt>
                <pt idx="256">
                  <v>None</v>
                </pt>
                <pt idx="257">
                  <v>None</v>
                </pt>
                <pt idx="258">
                  <v>None</v>
                </pt>
                <pt idx="259">
                  <v>None</v>
                </pt>
                <pt idx="260">
                  <v>None</v>
                </pt>
                <pt idx="261">
                  <v>None</v>
                </pt>
                <pt idx="262">
                  <v>None</v>
                </pt>
                <pt idx="263">
                  <v>None</v>
                </pt>
                <pt idx="264">
                  <v>None</v>
                </pt>
                <pt idx="265">
                  <v>None</v>
                </pt>
                <pt idx="266">
                  <v>None</v>
                </pt>
                <pt idx="267">
                  <v>None</v>
                </pt>
                <pt idx="268">
                  <v>None</v>
                </pt>
                <pt idx="269">
                  <v>None</v>
                </pt>
                <pt idx="270">
                  <v>None</v>
                </pt>
                <pt idx="271">
                  <v>None</v>
                </pt>
                <pt idx="272">
                  <v>None</v>
                </pt>
                <pt idx="273">
                  <v>None</v>
                </pt>
                <pt idx="274">
                  <v>None</v>
                </pt>
                <pt idx="275">
                  <v>None</v>
                </pt>
                <pt idx="276">
                  <v>None</v>
                </pt>
                <pt idx="277">
                  <v>None</v>
                </pt>
                <pt idx="278">
                  <v>None</v>
                </pt>
                <pt idx="279">
                  <v>None</v>
                </pt>
                <pt idx="280">
                  <v>None</v>
                </pt>
                <pt idx="281">
                  <v>None</v>
                </pt>
                <pt idx="282">
                  <v>None</v>
                </pt>
                <pt idx="283">
                  <v>None</v>
                </pt>
                <pt idx="284">
                  <v>None</v>
                </pt>
                <pt idx="285">
                  <v>None</v>
                </pt>
                <pt idx="286">
                  <v>None</v>
                </pt>
                <pt idx="287">
                  <v>None</v>
                </pt>
                <pt idx="288">
                  <v>None</v>
                </pt>
                <pt idx="289">
                  <v>None</v>
                </pt>
                <pt idx="290">
                  <v>None</v>
                </pt>
                <pt idx="291">
                  <v>None</v>
                </pt>
                <pt idx="292">
                  <v>None</v>
                </pt>
                <pt idx="293">
                  <v>None</v>
                </pt>
                <pt idx="294">
                  <v>None</v>
                </pt>
                <pt idx="295">
                  <v>None</v>
                </pt>
                <pt idx="296">
                  <v>None</v>
                </pt>
                <pt idx="297">
                  <v>None</v>
                </pt>
                <pt idx="298">
                  <v>None</v>
                </pt>
                <pt idx="299">
                  <v>None</v>
                </pt>
                <pt idx="300">
                  <v>None</v>
                </pt>
                <pt idx="301">
                  <v>None</v>
                </pt>
                <pt idx="302">
                  <v>None</v>
                </pt>
                <pt idx="303">
                  <v>None</v>
                </pt>
                <pt idx="304">
                  <v>None</v>
                </pt>
                <pt idx="305">
                  <v>None</v>
                </pt>
                <pt idx="306">
                  <v>None</v>
                </pt>
                <pt idx="307">
                  <v>None</v>
                </pt>
                <pt idx="308">
                  <v>None</v>
                </pt>
                <pt idx="309">
                  <v>None</v>
                </pt>
                <pt idx="310">
                  <v>None</v>
                </pt>
                <pt idx="311">
                  <v>None</v>
                </pt>
                <pt idx="312">
                  <v>None</v>
                </pt>
                <pt idx="313">
                  <v>None</v>
                </pt>
                <pt idx="314">
                  <v>None</v>
                </pt>
                <pt idx="315">
                  <v>None</v>
                </pt>
                <pt idx="316">
                  <v>None</v>
                </pt>
                <pt idx="317">
                  <v>None</v>
                </pt>
                <pt idx="318">
                  <v>None</v>
                </pt>
                <pt idx="319">
                  <v>None</v>
                </pt>
                <pt idx="320">
                  <v>None</v>
                </pt>
                <pt idx="321">
                  <v>None</v>
                </pt>
                <pt idx="322">
                  <v>None</v>
                </pt>
                <pt idx="323">
                  <v>None</v>
                </pt>
                <pt idx="324">
                  <v>None</v>
                </pt>
                <pt idx="325">
                  <v>None</v>
                </pt>
                <pt idx="326">
                  <v>None</v>
                </pt>
                <pt idx="327">
                  <v>None</v>
                </pt>
                <pt idx="328">
                  <v>None</v>
                </pt>
                <pt idx="329">
                  <v>None</v>
                </pt>
                <pt idx="330">
                  <v>None</v>
                </pt>
                <pt idx="331">
                  <v>None</v>
                </pt>
                <pt idx="332">
                  <v>None</v>
                </pt>
                <pt idx="333">
                  <v>None</v>
                </pt>
                <pt idx="334">
                  <v>None</v>
                </pt>
                <pt idx="335">
                  <v>None</v>
                </pt>
                <pt idx="336">
                  <v>None</v>
                </pt>
                <pt idx="337">
                  <v>None</v>
                </pt>
                <pt idx="338">
                  <v>None</v>
                </pt>
                <pt idx="339">
                  <v>None</v>
                </pt>
                <pt idx="340">
                  <v>None</v>
                </pt>
                <pt idx="341">
                  <v>None</v>
                </pt>
                <pt idx="342">
                  <v>None</v>
                </pt>
                <pt idx="343">
                  <v>None</v>
                </pt>
                <pt idx="344">
                  <v>None</v>
                </pt>
                <pt idx="345">
                  <v>None</v>
                </pt>
                <pt idx="346">
                  <v>None</v>
                </pt>
                <pt idx="347">
                  <v>None</v>
                </pt>
                <pt idx="348">
                  <v>None</v>
                </pt>
                <pt idx="349">
                  <v>None</v>
                </pt>
                <pt idx="350">
                  <v>None</v>
                </pt>
                <pt idx="351">
                  <v>None</v>
                </pt>
                <pt idx="352">
                  <v>None</v>
                </pt>
                <pt idx="353">
                  <v>None</v>
                </pt>
                <pt idx="354">
                  <v>None</v>
                </pt>
                <pt idx="355">
                  <v>None</v>
                </pt>
                <pt idx="356">
                  <v>None</v>
                </pt>
                <pt idx="357">
                  <v>None</v>
                </pt>
                <pt idx="358">
                  <v>None</v>
                </pt>
                <pt idx="359">
                  <v>None</v>
                </pt>
                <pt idx="360">
                  <v>None</v>
                </pt>
                <pt idx="361">
                  <v>None</v>
                </pt>
                <pt idx="362">
                  <v>None</v>
                </pt>
                <pt idx="363">
                  <v>None</v>
                </pt>
                <pt idx="364">
                  <v>None</v>
                </pt>
                <pt idx="365">
                  <v>None</v>
                </pt>
                <pt idx="366">
                  <v>None</v>
                </pt>
                <pt idx="367">
                  <v>None</v>
                </pt>
                <pt idx="368">
                  <v>None</v>
                </pt>
                <pt idx="369">
                  <v>None</v>
                </pt>
                <pt idx="370">
                  <v>None</v>
                </pt>
                <pt idx="371">
                  <v>None</v>
                </pt>
                <pt idx="372">
                  <v>None</v>
                </pt>
                <pt idx="373">
                  <v>None</v>
                </pt>
                <pt idx="374">
                  <v>None</v>
                </pt>
                <pt idx="375">
                  <v>None</v>
                </pt>
                <pt idx="376">
                  <v>None</v>
                </pt>
                <pt idx="377">
                  <v>None</v>
                </pt>
                <pt idx="378">
                  <v>None</v>
                </pt>
                <pt idx="379">
                  <v>None</v>
                </pt>
                <pt idx="380">
                  <v>None</v>
                </pt>
                <pt idx="381">
                  <v>None</v>
                </pt>
                <pt idx="382">
                  <v>None</v>
                </pt>
                <pt idx="383">
                  <v>None</v>
                </pt>
                <pt idx="384">
                  <v>None</v>
                </pt>
                <pt idx="385">
                  <v>None</v>
                </pt>
                <pt idx="386">
                  <v>None</v>
                </pt>
                <pt idx="387">
                  <v>None</v>
                </pt>
                <pt idx="388">
                  <v>None</v>
                </pt>
                <pt idx="389">
                  <v>None</v>
                </pt>
                <pt idx="390">
                  <v>None</v>
                </pt>
                <pt idx="391">
                  <v>None</v>
                </pt>
                <pt idx="392">
                  <v>None</v>
                </pt>
                <pt idx="393">
                  <v>None</v>
                </pt>
                <pt idx="394">
                  <v>None</v>
                </pt>
                <pt idx="395">
                  <v>None</v>
                </pt>
                <pt idx="396">
                  <v>None</v>
                </pt>
                <pt idx="397">
                  <v>None</v>
                </pt>
                <pt idx="398">
                  <v>None</v>
                </pt>
                <pt idx="399">
                  <v>None</v>
                </pt>
                <pt idx="400">
                  <v>None</v>
                </pt>
                <pt idx="401">
                  <v>None</v>
                </pt>
                <pt idx="402">
                  <v>None</v>
                </pt>
                <pt idx="403">
                  <v>None</v>
                </pt>
                <pt idx="404">
                  <v>None</v>
                </pt>
                <pt idx="405">
                  <v>None</v>
                </pt>
                <pt idx="406">
                  <v>None</v>
                </pt>
                <pt idx="407">
                  <v>None</v>
                </pt>
                <pt idx="408">
                  <v>None</v>
                </pt>
                <pt idx="409">
                  <v>None</v>
                </pt>
                <pt idx="410">
                  <v>None</v>
                </pt>
                <pt idx="411">
                  <v>None</v>
                </pt>
                <pt idx="412">
                  <v>None</v>
                </pt>
                <pt idx="413">
                  <v>None</v>
                </pt>
                <pt idx="414">
                  <v>None</v>
                </pt>
                <pt idx="415">
                  <v>None</v>
                </pt>
                <pt idx="416">
                  <v>None</v>
                </pt>
                <pt idx="417">
                  <v>None</v>
                </pt>
                <pt idx="418">
                  <v>None</v>
                </pt>
                <pt idx="419">
                  <v>None</v>
                </pt>
                <pt idx="420">
                  <v>None</v>
                </pt>
                <pt idx="421">
                  <v>None</v>
                </pt>
                <pt idx="422">
                  <v>None</v>
                </pt>
                <pt idx="423">
                  <v>None</v>
                </pt>
                <pt idx="424">
                  <v>None</v>
                </pt>
                <pt idx="425">
                  <v>None</v>
                </pt>
                <pt idx="426">
                  <v>None</v>
                </pt>
                <pt idx="427">
                  <v>None</v>
                </pt>
                <pt idx="428">
                  <v>None</v>
                </pt>
                <pt idx="429">
                  <v>None</v>
                </pt>
                <pt idx="430">
                  <v>None</v>
                </pt>
                <pt idx="431">
                  <v>None</v>
                </pt>
                <pt idx="432">
                  <v>None</v>
                </pt>
                <pt idx="433">
                  <v>None</v>
                </pt>
                <pt idx="434">
                  <v>None</v>
                </pt>
                <pt idx="435">
                  <v>None</v>
                </pt>
                <pt idx="436">
                  <v>None</v>
                </pt>
                <pt idx="437">
                  <v>None</v>
                </pt>
                <pt idx="438">
                  <v>None</v>
                </pt>
                <pt idx="439">
                  <v>None</v>
                </pt>
                <pt idx="440">
                  <v>None</v>
                </pt>
                <pt idx="441">
                  <v>None</v>
                </pt>
                <pt idx="442">
                  <v>None</v>
                </pt>
                <pt idx="443">
                  <v>None</v>
                </pt>
                <pt idx="444">
                  <v>None</v>
                </pt>
                <pt idx="445">
                  <v>None</v>
                </pt>
                <pt idx="446">
                  <v>None</v>
                </pt>
                <pt idx="447">
                  <v>None</v>
                </pt>
                <pt idx="448">
                  <v>None</v>
                </pt>
                <pt idx="449">
                  <v>None</v>
                </pt>
                <pt idx="450">
                  <v>None</v>
                </pt>
                <pt idx="451">
                  <v>None</v>
                </pt>
                <pt idx="452">
                  <v>None</v>
                </pt>
                <pt idx="453">
                  <v>None</v>
                </pt>
                <pt idx="454">
                  <v>None</v>
                </pt>
                <pt idx="455">
                  <v>None</v>
                </pt>
                <pt idx="456">
                  <v>None</v>
                </pt>
                <pt idx="457">
                  <v>None</v>
                </pt>
                <pt idx="458">
                  <v>None</v>
                </pt>
                <pt idx="459">
                  <v>None</v>
                </pt>
                <pt idx="460">
                  <v>None</v>
                </pt>
                <pt idx="461">
                  <v>None</v>
                </pt>
                <pt idx="462">
                  <v>None</v>
                </pt>
                <pt idx="463">
                  <v>None</v>
                </pt>
                <pt idx="464">
                  <v>None</v>
                </pt>
                <pt idx="465">
                  <v>None</v>
                </pt>
                <pt idx="466">
                  <v>None</v>
                </pt>
                <pt idx="467">
                  <v>None</v>
                </pt>
                <pt idx="468">
                  <v>None</v>
                </pt>
                <pt idx="469">
                  <v>None</v>
                </pt>
                <pt idx="470">
                  <v>None</v>
                </pt>
                <pt idx="471">
                  <v>None</v>
                </pt>
                <pt idx="472">
                  <v>None</v>
                </pt>
                <pt idx="473">
                  <v>None</v>
                </pt>
                <pt idx="474">
                  <v>None</v>
                </pt>
                <pt idx="475">
                  <v>None</v>
                </pt>
                <pt idx="476">
                  <v>None</v>
                </pt>
                <pt idx="477">
                  <v>None</v>
                </pt>
                <pt idx="478">
                  <v>None</v>
                </pt>
                <pt idx="479">
                  <v>None</v>
                </pt>
                <pt idx="480">
                  <v>None</v>
                </pt>
                <pt idx="481">
                  <v>None</v>
                </pt>
                <pt idx="482">
                  <v>None</v>
                </pt>
                <pt idx="483">
                  <v>None</v>
                </pt>
                <pt idx="484">
                  <v>None</v>
                </pt>
                <pt idx="485">
                  <v>None</v>
                </pt>
                <pt idx="486">
                  <v>None</v>
                </pt>
                <pt idx="487">
                  <v>None</v>
                </pt>
                <pt idx="488">
                  <v>None</v>
                </pt>
                <pt idx="489">
                  <v>None</v>
                </pt>
                <pt idx="490">
                  <v>None</v>
                </pt>
                <pt idx="491">
                  <v>None</v>
                </pt>
                <pt idx="492">
                  <v>None</v>
                </pt>
                <pt idx="493">
                  <v>None</v>
                </pt>
                <pt idx="494">
                  <v>None</v>
                </pt>
                <pt idx="495">
                  <v>None</v>
                </pt>
                <pt idx="496">
                  <v>None</v>
                </pt>
                <pt idx="497">
                  <v>None</v>
                </pt>
                <pt idx="498">
                  <v>None</v>
                </pt>
                <pt idx="499">
                  <v>None</v>
                </pt>
                <pt idx="500">
                  <v>None</v>
                </pt>
                <pt idx="501">
                  <v>None</v>
                </pt>
                <pt idx="502">
                  <v>None</v>
                </pt>
                <pt idx="503">
                  <v>None</v>
                </pt>
                <pt idx="504">
                  <v>None</v>
                </pt>
                <pt idx="505">
                  <v>None</v>
                </pt>
                <pt idx="506">
                  <v>None</v>
                </pt>
                <pt idx="507">
                  <v>None</v>
                </pt>
                <pt idx="508">
                  <v>None</v>
                </pt>
                <pt idx="509">
                  <v>None</v>
                </pt>
                <pt idx="510">
                  <v>None</v>
                </pt>
                <pt idx="511">
                  <v>None</v>
                </pt>
                <pt idx="512">
                  <v>None</v>
                </pt>
                <pt idx="513">
                  <v>None</v>
                </pt>
                <pt idx="514">
                  <v>None</v>
                </pt>
                <pt idx="515">
                  <v>None</v>
                </pt>
                <pt idx="516">
                  <v>None</v>
                </pt>
                <pt idx="517">
                  <v>None</v>
                </pt>
                <pt idx="518">
                  <v>None</v>
                </pt>
                <pt idx="519">
                  <v>None</v>
                </pt>
                <pt idx="520">
                  <v>None</v>
                </pt>
                <pt idx="521">
                  <v>None</v>
                </pt>
                <pt idx="522">
                  <v>None</v>
                </pt>
                <pt idx="523">
                  <v>None</v>
                </pt>
                <pt idx="524">
                  <v>None</v>
                </pt>
                <pt idx="525">
                  <v>None</v>
                </pt>
                <pt idx="526">
                  <v>None</v>
                </pt>
                <pt idx="527">
                  <v>None</v>
                </pt>
                <pt idx="528">
                  <v>None</v>
                </pt>
                <pt idx="529">
                  <v>None</v>
                </pt>
                <pt idx="530">
                  <v>None</v>
                </pt>
                <pt idx="531">
                  <v>None</v>
                </pt>
                <pt idx="532">
                  <v>None</v>
                </pt>
                <pt idx="533">
                  <v>None</v>
                </pt>
                <pt idx="534">
                  <v>None</v>
                </pt>
                <pt idx="535">
                  <v>None</v>
                </pt>
                <pt idx="536">
                  <v>None</v>
                </pt>
                <pt idx="537">
                  <v>None</v>
                </pt>
                <pt idx="538">
                  <v>None</v>
                </pt>
                <pt idx="539">
                  <v>None</v>
                </pt>
                <pt idx="540">
                  <v>None</v>
                </pt>
                <pt idx="541">
                  <v>None</v>
                </pt>
                <pt idx="542">
                  <v>None</v>
                </pt>
                <pt idx="543">
                  <v>None</v>
                </pt>
                <pt idx="544">
                  <v>None</v>
                </pt>
                <pt idx="545">
                  <v>None</v>
                </pt>
                <pt idx="546">
                  <v>None</v>
                </pt>
                <pt idx="547">
                  <v>None</v>
                </pt>
                <pt idx="548">
                  <v>None</v>
                </pt>
                <pt idx="549">
                  <v>None</v>
                </pt>
                <pt idx="550">
                  <v>None</v>
                </pt>
                <pt idx="551">
                  <v>None</v>
                </pt>
                <pt idx="552">
                  <v>None</v>
                </pt>
                <pt idx="553">
                  <v>None</v>
                </pt>
                <pt idx="554">
                  <v>None</v>
                </pt>
                <pt idx="555">
                  <v>None</v>
                </pt>
                <pt idx="556">
                  <v>None</v>
                </pt>
                <pt idx="557">
                  <v>None</v>
                </pt>
                <pt idx="558">
                  <v>None</v>
                </pt>
                <pt idx="559">
                  <v>None</v>
                </pt>
                <pt idx="560">
                  <v>None</v>
                </pt>
                <pt idx="561">
                  <v>None</v>
                </pt>
                <pt idx="562">
                  <v>None</v>
                </pt>
                <pt idx="563">
                  <v>None</v>
                </pt>
                <pt idx="564">
                  <v>None</v>
                </pt>
                <pt idx="565">
                  <v>None</v>
                </pt>
                <pt idx="566">
                  <v>None</v>
                </pt>
                <pt idx="567">
                  <v>None</v>
                </pt>
                <pt idx="568">
                  <v>None</v>
                </pt>
                <pt idx="569">
                  <v>None</v>
                </pt>
                <pt idx="570">
                  <v>None</v>
                </pt>
                <pt idx="571">
                  <v>None</v>
                </pt>
                <pt idx="572">
                  <v>None</v>
                </pt>
                <pt idx="573">
                  <v>None</v>
                </pt>
                <pt idx="574">
                  <v>None</v>
                </pt>
                <pt idx="575">
                  <v>None</v>
                </pt>
                <pt idx="576">
                  <v>None</v>
                </pt>
                <pt idx="577">
                  <v>None</v>
                </pt>
                <pt idx="578">
                  <v>None</v>
                </pt>
                <pt idx="579">
                  <v>None</v>
                </pt>
                <pt idx="580">
                  <v>None</v>
                </pt>
                <pt idx="581">
                  <v>None</v>
                </pt>
                <pt idx="582">
                  <v>None</v>
                </pt>
                <pt idx="583">
                  <v>None</v>
                </pt>
                <pt idx="584">
                  <v>None</v>
                </pt>
                <pt idx="585">
                  <v>None</v>
                </pt>
                <pt idx="586">
                  <v>None</v>
                </pt>
                <pt idx="587">
                  <v>None</v>
                </pt>
                <pt idx="588">
                  <v>None</v>
                </pt>
                <pt idx="589">
                  <v>None</v>
                </pt>
                <pt idx="590">
                  <v>None</v>
                </pt>
                <pt idx="591">
                  <v>None</v>
                </pt>
                <pt idx="592">
                  <v>None</v>
                </pt>
                <pt idx="593">
                  <v>None</v>
                </pt>
                <pt idx="594">
                  <v>None</v>
                </pt>
                <pt idx="595">
                  <v>None</v>
                </pt>
                <pt idx="596">
                  <v>None</v>
                </pt>
                <pt idx="597">
                  <v>None</v>
                </pt>
                <pt idx="598">
                  <v>None</v>
                </pt>
                <pt idx="599">
                  <v>None</v>
                </pt>
                <pt idx="600">
                  <v>None</v>
                </pt>
                <pt idx="601">
                  <v>None</v>
                </pt>
                <pt idx="602">
                  <v>None</v>
                </pt>
                <pt idx="603">
                  <v>None</v>
                </pt>
                <pt idx="604">
                  <v>None</v>
                </pt>
                <pt idx="605">
                  <v>None</v>
                </pt>
                <pt idx="606">
                  <v>None</v>
                </pt>
                <pt idx="607">
                  <v>None</v>
                </pt>
                <pt idx="608">
                  <v>None</v>
                </pt>
                <pt idx="609">
                  <v>None</v>
                </pt>
                <pt idx="610">
                  <v>None</v>
                </pt>
                <pt idx="611">
                  <v>None</v>
                </pt>
                <pt idx="612">
                  <v>None</v>
                </pt>
                <pt idx="613">
                  <v>None</v>
                </pt>
                <pt idx="614">
                  <v>None</v>
                </pt>
                <pt idx="615">
                  <v>None</v>
                </pt>
                <pt idx="616">
                  <v>None</v>
                </pt>
                <pt idx="617">
                  <v>None</v>
                </pt>
                <pt idx="618">
                  <v>None</v>
                </pt>
                <pt idx="619">
                  <v>None</v>
                </pt>
                <pt idx="620">
                  <v>None</v>
                </pt>
                <pt idx="621">
                  <v>None</v>
                </pt>
                <pt idx="622">
                  <v>None</v>
                </pt>
                <pt idx="623">
                  <v>None</v>
                </pt>
                <pt idx="624">
                  <v>None</v>
                </pt>
                <pt idx="625">
                  <v>None</v>
                </pt>
                <pt idx="626">
                  <v>None</v>
                </pt>
                <pt idx="627">
                  <v>None</v>
                </pt>
                <pt idx="628">
                  <v>None</v>
                </pt>
                <pt idx="629">
                  <v>None</v>
                </pt>
                <pt idx="630">
                  <v>None</v>
                </pt>
                <pt idx="631">
                  <v>None</v>
                </pt>
                <pt idx="632">
                  <v>None</v>
                </pt>
                <pt idx="633">
                  <v>None</v>
                </pt>
                <pt idx="634">
                  <v>None</v>
                </pt>
                <pt idx="635">
                  <v>None</v>
                </pt>
                <pt idx="636">
                  <v>None</v>
                </pt>
                <pt idx="637">
                  <v>None</v>
                </pt>
                <pt idx="638">
                  <v>None</v>
                </pt>
                <pt idx="639">
                  <v>None</v>
                </pt>
                <pt idx="640">
                  <v>None</v>
                </pt>
                <pt idx="641">
                  <v>None</v>
                </pt>
                <pt idx="642">
                  <v>None</v>
                </pt>
                <pt idx="643">
                  <v>None</v>
                </pt>
                <pt idx="644">
                  <v>None</v>
                </pt>
                <pt idx="645">
                  <v>None</v>
                </pt>
                <pt idx="646">
                  <v>None</v>
                </pt>
                <pt idx="647">
                  <v>None</v>
                </pt>
                <pt idx="648">
                  <v>None</v>
                </pt>
                <pt idx="649">
                  <v>None</v>
                </pt>
                <pt idx="650">
                  <v>None</v>
                </pt>
                <pt idx="651">
                  <v>None</v>
                </pt>
                <pt idx="652">
                  <v>None</v>
                </pt>
                <pt idx="653">
                  <v>None</v>
                </pt>
                <pt idx="654">
                  <v>None</v>
                </pt>
                <pt idx="655">
                  <v>None</v>
                </pt>
                <pt idx="656">
                  <v>None</v>
                </pt>
                <pt idx="657">
                  <v>None</v>
                </pt>
                <pt idx="658">
                  <v>None</v>
                </pt>
                <pt idx="659">
                  <v>None</v>
                </pt>
                <pt idx="660">
                  <v>None</v>
                </pt>
                <pt idx="661">
                  <v>None</v>
                </pt>
                <pt idx="662">
                  <v>None</v>
                </pt>
                <pt idx="663">
                  <v>None</v>
                </pt>
                <pt idx="664">
                  <v>None</v>
                </pt>
                <pt idx="665">
                  <v>None</v>
                </pt>
                <pt idx="666">
                  <v>None</v>
                </pt>
                <pt idx="667">
                  <v>None</v>
                </pt>
                <pt idx="668">
                  <v>None</v>
                </pt>
                <pt idx="669">
                  <v>None</v>
                </pt>
                <pt idx="670">
                  <v>None</v>
                </pt>
                <pt idx="671">
                  <v>None</v>
                </pt>
                <pt idx="672">
                  <v>None</v>
                </pt>
                <pt idx="673">
                  <v>None</v>
                </pt>
                <pt idx="674">
                  <v>None</v>
                </pt>
                <pt idx="675">
                  <v>None</v>
                </pt>
                <pt idx="676">
                  <v>None</v>
                </pt>
                <pt idx="677">
                  <v>None</v>
                </pt>
                <pt idx="678">
                  <v>None</v>
                </pt>
                <pt idx="679">
                  <v>None</v>
                </pt>
                <pt idx="680">
                  <v>None</v>
                </pt>
                <pt idx="681">
                  <v>None</v>
                </pt>
                <pt idx="682">
                  <v>None</v>
                </pt>
                <pt idx="683">
                  <v>None</v>
                </pt>
                <pt idx="684">
                  <v>None</v>
                </pt>
                <pt idx="685">
                  <v>None</v>
                </pt>
                <pt idx="686">
                  <v>None</v>
                </pt>
                <pt idx="687">
                  <v>None</v>
                </pt>
                <pt idx="688">
                  <v>None</v>
                </pt>
                <pt idx="689">
                  <v>None</v>
                </pt>
                <pt idx="690">
                  <v>None</v>
                </pt>
                <pt idx="691">
                  <v>None</v>
                </pt>
                <pt idx="692">
                  <v>None</v>
                </pt>
                <pt idx="693">
                  <v>None</v>
                </pt>
                <pt idx="694">
                  <v>None</v>
                </pt>
                <pt idx="695">
                  <v>None</v>
                </pt>
                <pt idx="696">
                  <v>None</v>
                </pt>
                <pt idx="697">
                  <v>None</v>
                </pt>
                <pt idx="698">
                  <v>None</v>
                </pt>
                <pt idx="699">
                  <v>None</v>
                </pt>
                <pt idx="700">
                  <v>None</v>
                </pt>
                <pt idx="701">
                  <v>None</v>
                </pt>
                <pt idx="702">
                  <v>None</v>
                </pt>
                <pt idx="703">
                  <v>None</v>
                </pt>
                <pt idx="704">
                  <v>None</v>
                </pt>
                <pt idx="705">
                  <v>None</v>
                </pt>
                <pt idx="706">
                  <v>None</v>
                </pt>
                <pt idx="707">
                  <v>None</v>
                </pt>
                <pt idx="708">
                  <v>None</v>
                </pt>
                <pt idx="709">
                  <v>None</v>
                </pt>
                <pt idx="710">
                  <v>None</v>
                </pt>
                <pt idx="711">
                  <v>None</v>
                </pt>
                <pt idx="712">
                  <v>None</v>
                </pt>
                <pt idx="713">
                  <v>None</v>
                </pt>
                <pt idx="714">
                  <v>None</v>
                </pt>
                <pt idx="715">
                  <v>None</v>
                </pt>
                <pt idx="716">
                  <v>None</v>
                </pt>
                <pt idx="717">
                  <v>None</v>
                </pt>
                <pt idx="718">
                  <v>None</v>
                </pt>
                <pt idx="719">
                  <v>None</v>
                </pt>
                <pt idx="720">
                  <v>None</v>
                </pt>
                <pt idx="721">
                  <v>None</v>
                </pt>
                <pt idx="722">
                  <v>None</v>
                </pt>
                <pt idx="723">
                  <v>None</v>
                </pt>
                <pt idx="724">
                  <v>None</v>
                </pt>
                <pt idx="725">
                  <v>None</v>
                </pt>
                <pt idx="726">
                  <v>None</v>
                </pt>
                <pt idx="727">
                  <v>None</v>
                </pt>
                <pt idx="728">
                  <v>None</v>
                </pt>
                <pt idx="729">
                  <v>None</v>
                </pt>
                <pt idx="730">
                  <v>None</v>
                </pt>
                <pt idx="731">
                  <v>None</v>
                </pt>
                <pt idx="732">
                  <v>None</v>
                </pt>
                <pt idx="733">
                  <v>None</v>
                </pt>
                <pt idx="734">
                  <v>None</v>
                </pt>
                <pt idx="735">
                  <v>None</v>
                </pt>
                <pt idx="736">
                  <v>None</v>
                </pt>
                <pt idx="737">
                  <v>None</v>
                </pt>
                <pt idx="738">
                  <v>None</v>
                </pt>
                <pt idx="739">
                  <v>None</v>
                </pt>
                <pt idx="740">
                  <v>None</v>
                </pt>
                <pt idx="741">
                  <v>None</v>
                </pt>
                <pt idx="742">
                  <v>None</v>
                </pt>
                <pt idx="743">
                  <v>None</v>
                </pt>
                <pt idx="744">
                  <v>None</v>
                </pt>
                <pt idx="745">
                  <v>None</v>
                </pt>
                <pt idx="746">
                  <v>None</v>
                </pt>
                <pt idx="747">
                  <v>None</v>
                </pt>
                <pt idx="748">
                  <v>None</v>
                </pt>
                <pt idx="749">
                  <v>None</v>
                </pt>
                <pt idx="750">
                  <v>None</v>
                </pt>
                <pt idx="751">
                  <v>None</v>
                </pt>
                <pt idx="752">
                  <v>None</v>
                </pt>
                <pt idx="753">
                  <v>None</v>
                </pt>
                <pt idx="754">
                  <v>None</v>
                </pt>
                <pt idx="755">
                  <v>None</v>
                </pt>
                <pt idx="756">
                  <v>None</v>
                </pt>
                <pt idx="757">
                  <v>None</v>
                </pt>
                <pt idx="758">
                  <v>None</v>
                </pt>
                <pt idx="759">
                  <v>None</v>
                </pt>
                <pt idx="760">
                  <v>None</v>
                </pt>
                <pt idx="761">
                  <v>None</v>
                </pt>
                <pt idx="762">
                  <v>None</v>
                </pt>
                <pt idx="763">
                  <v>None</v>
                </pt>
                <pt idx="764">
                  <v>None</v>
                </pt>
                <pt idx="765">
                  <v>None</v>
                </pt>
                <pt idx="766">
                  <v>None</v>
                </pt>
                <pt idx="767">
                  <v>None</v>
                </pt>
                <pt idx="768">
                  <v>None</v>
                </pt>
                <pt idx="769">
                  <v>None</v>
                </pt>
                <pt idx="770">
                  <v>None</v>
                </pt>
                <pt idx="771">
                  <v>None</v>
                </pt>
                <pt idx="772">
                  <v>None</v>
                </pt>
                <pt idx="773">
                  <v>None</v>
                </pt>
                <pt idx="774">
                  <v>None</v>
                </pt>
                <pt idx="775">
                  <v>None</v>
                </pt>
                <pt idx="776">
                  <v>None</v>
                </pt>
                <pt idx="777">
                  <v>None</v>
                </pt>
                <pt idx="778">
                  <v>None</v>
                </pt>
                <pt idx="779">
                  <v>None</v>
                </pt>
                <pt idx="780">
                  <v>None</v>
                </pt>
                <pt idx="781">
                  <v>None</v>
                </pt>
                <pt idx="782">
                  <v>None</v>
                </pt>
                <pt idx="783">
                  <v>None</v>
                </pt>
                <pt idx="784">
                  <v>None</v>
                </pt>
                <pt idx="785">
                  <v>None</v>
                </pt>
                <pt idx="786">
                  <v>None</v>
                </pt>
                <pt idx="787">
                  <v>None</v>
                </pt>
                <pt idx="788">
                  <v>None</v>
                </pt>
                <pt idx="789">
                  <v>None</v>
                </pt>
                <pt idx="790">
                  <v>None</v>
                </pt>
                <pt idx="791">
                  <v>None</v>
                </pt>
                <pt idx="792">
                  <v>None</v>
                </pt>
                <pt idx="793">
                  <v>None</v>
                </pt>
                <pt idx="794">
                  <v>None</v>
                </pt>
                <pt idx="795">
                  <v>None</v>
                </pt>
                <pt idx="796">
                  <v>None</v>
                </pt>
                <pt idx="797">
                  <v>None</v>
                </pt>
                <pt idx="798">
                  <v>None</v>
                </pt>
                <pt idx="799">
                  <v>None</v>
                </pt>
              </strCache>
            </strRef>
          </cat>
          <val>
            <numRef>
              <f>NAKIT_PROJEKSIYONU!$F$5:$F$804</f>
              <numCache>
                <formatCode>#,##0.00</formatCode>
                <ptCount val="800"/>
                <pt idx="0">
                  <v>500000</v>
                </pt>
                <pt idx="1">
                  <v>470000</v>
                </pt>
                <pt idx="2">
                  <v>290000</v>
                </pt>
                <pt idx="3">
                  <v>440000</v>
                </pt>
                <pt idx="4">
                  <v>313000</v>
                </pt>
                <pt idx="5">
                  <v>313000</v>
                </pt>
                <pt idx="6">
                  <v>313000</v>
                </pt>
                <pt idx="7">
                  <v>313000</v>
                </pt>
                <pt idx="8">
                  <v>313000</v>
                </pt>
                <pt idx="9">
                  <v>313000</v>
                </pt>
                <pt idx="10">
                  <v>313000</v>
                </pt>
                <pt idx="11">
                  <v>313000</v>
                </pt>
              </numCache>
            </numRef>
          </val>
          <smooth val="1"/>
        </ser>
        <ser>
          <idx val="2"/>
          <order val="2"/>
          <tx>
            <strRef>
              <f>NAKIT_PROJEKSIYONU!G4</f>
              <strCache>
                <ptCount val="1"/>
                <pt idx="0">
                  <v>Dönem Sonu Kasa (₺)</v>
                </pt>
              </strCache>
            </strRef>
          </tx>
          <spPr>
            <a:solidFill xmlns:a="http://schemas.openxmlformats.org/drawingml/2006/main">
              <a:srgbClr val="D4A5A4"/>
            </a:solidFill>
            <a:ln xmlns:a="http://schemas.openxmlformats.org/drawingml/2006/main" w="12600">
              <a:solidFill>
                <a:srgbClr val="D4A5A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NAKIT_PROJEKSIYONU!$A$5:$A$804</f>
              <strCache>
                <ptCount val="800"/>
                <pt idx="0">
                  <v>10.08.2026</v>
                </pt>
                <pt idx="1">
                  <v>17.08.2026</v>
                </pt>
                <pt idx="2">
                  <v>24.08.2026</v>
                </pt>
                <pt idx="3">
                  <v>31.08.2026</v>
                </pt>
                <pt idx="4">
                  <v>07.09.2026</v>
                </pt>
                <pt idx="5">
                  <v>14.09.2026</v>
                </pt>
                <pt idx="6">
                  <v>21.09.2026</v>
                </pt>
                <pt idx="7">
                  <v>28.09.2026</v>
                </pt>
                <pt idx="8">
                  <v>05.10.2026</v>
                </pt>
                <pt idx="9">
                  <v>12.10.2026</v>
                </pt>
                <pt idx="10">
                  <v>19.10.2026</v>
                </pt>
                <pt idx="11">
                  <v>26.10.2026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  <pt idx="20">
                  <v>None</v>
                </pt>
                <pt idx="21">
                  <v>None</v>
                </pt>
                <pt idx="22">
                  <v>None</v>
                </pt>
                <pt idx="23">
                  <v>None</v>
                </pt>
                <pt idx="24">
                  <v>None</v>
                </pt>
                <pt idx="25">
                  <v>None</v>
                </pt>
                <pt idx="26">
                  <v>None</v>
                </pt>
                <pt idx="27">
                  <v>None</v>
                </pt>
                <pt idx="28">
                  <v>None</v>
                </pt>
                <pt idx="29">
                  <v>None</v>
                </pt>
                <pt idx="30">
                  <v>None</v>
                </pt>
                <pt idx="31">
                  <v>None</v>
                </pt>
                <pt idx="32">
                  <v>None</v>
                </pt>
                <pt idx="33">
                  <v>None</v>
                </pt>
                <pt idx="34">
                  <v>None</v>
                </pt>
                <pt idx="35">
                  <v>None</v>
                </pt>
                <pt idx="36">
                  <v>None</v>
                </pt>
                <pt idx="37">
                  <v>None</v>
                </pt>
                <pt idx="38">
                  <v>None</v>
                </pt>
                <pt idx="39">
                  <v>None</v>
                </pt>
                <pt idx="40">
                  <v>None</v>
                </pt>
                <pt idx="41">
                  <v>None</v>
                </pt>
                <pt idx="42">
                  <v>None</v>
                </pt>
                <pt idx="43">
                  <v>None</v>
                </pt>
                <pt idx="44">
                  <v>None</v>
                </pt>
                <pt idx="45">
                  <v>None</v>
                </pt>
                <pt idx="46">
                  <v>None</v>
                </pt>
                <pt idx="47">
                  <v>None</v>
                </pt>
                <pt idx="48">
                  <v>None</v>
                </pt>
                <pt idx="49">
                  <v>None</v>
                </pt>
                <pt idx="50">
                  <v>None</v>
                </pt>
                <pt idx="51">
                  <v>None</v>
                </pt>
                <pt idx="52">
                  <v>None</v>
                </pt>
                <pt idx="53">
                  <v>None</v>
                </pt>
                <pt idx="54">
                  <v>None</v>
                </pt>
                <pt idx="55">
                  <v>None</v>
                </pt>
                <pt idx="56">
                  <v>None</v>
                </pt>
                <pt idx="57">
                  <v>None</v>
                </pt>
                <pt idx="58">
                  <v>None</v>
                </pt>
                <pt idx="59">
                  <v>None</v>
                </pt>
                <pt idx="60">
                  <v>None</v>
                </pt>
                <pt idx="61">
                  <v>None</v>
                </pt>
                <pt idx="62">
                  <v>None</v>
                </pt>
                <pt idx="63">
                  <v>None</v>
                </pt>
                <pt idx="64">
                  <v>None</v>
                </pt>
                <pt idx="65">
                  <v>None</v>
                </pt>
                <pt idx="66">
                  <v>None</v>
                </pt>
                <pt idx="67">
                  <v>None</v>
                </pt>
                <pt idx="68">
                  <v>None</v>
                </pt>
                <pt idx="69">
                  <v>None</v>
                </pt>
                <pt idx="70">
                  <v>None</v>
                </pt>
                <pt idx="71">
                  <v>None</v>
                </pt>
                <pt idx="72">
                  <v>None</v>
                </pt>
                <pt idx="73">
                  <v>None</v>
                </pt>
                <pt idx="74">
                  <v>None</v>
                </pt>
                <pt idx="75">
                  <v>None</v>
                </pt>
                <pt idx="76">
                  <v>None</v>
                </pt>
                <pt idx="77">
                  <v>None</v>
                </pt>
                <pt idx="78">
                  <v>None</v>
                </pt>
                <pt idx="79">
                  <v>None</v>
                </pt>
                <pt idx="80">
                  <v>None</v>
                </pt>
                <pt idx="81">
                  <v>None</v>
                </pt>
                <pt idx="82">
                  <v>None</v>
                </pt>
                <pt idx="83">
                  <v>None</v>
                </pt>
                <pt idx="84">
                  <v>None</v>
                </pt>
                <pt idx="85">
                  <v>None</v>
                </pt>
                <pt idx="86">
                  <v>None</v>
                </pt>
                <pt idx="87">
                  <v>None</v>
                </pt>
                <pt idx="88">
                  <v>None</v>
                </pt>
                <pt idx="89">
                  <v>None</v>
                </pt>
                <pt idx="90">
                  <v>None</v>
                </pt>
                <pt idx="91">
                  <v>None</v>
                </pt>
                <pt idx="92">
                  <v>None</v>
                </pt>
                <pt idx="93">
                  <v>None</v>
                </pt>
                <pt idx="94">
                  <v>None</v>
                </pt>
                <pt idx="95">
                  <v>None</v>
                </pt>
                <pt idx="96">
                  <v>None</v>
                </pt>
                <pt idx="97">
                  <v>None</v>
                </pt>
                <pt idx="98">
                  <v>None</v>
                </pt>
                <pt idx="99">
                  <v>None</v>
                </pt>
                <pt idx="100">
                  <v>None</v>
                </pt>
                <pt idx="101">
                  <v>None</v>
                </pt>
                <pt idx="102">
                  <v>None</v>
                </pt>
                <pt idx="103">
                  <v>None</v>
                </pt>
                <pt idx="104">
                  <v>None</v>
                </pt>
                <pt idx="105">
                  <v>None</v>
                </pt>
                <pt idx="106">
                  <v>None</v>
                </pt>
                <pt idx="107">
                  <v>None</v>
                </pt>
                <pt idx="108">
                  <v>None</v>
                </pt>
                <pt idx="109">
                  <v>None</v>
                </pt>
                <pt idx="110">
                  <v>None</v>
                </pt>
                <pt idx="111">
                  <v>None</v>
                </pt>
                <pt idx="112">
                  <v>None</v>
                </pt>
                <pt idx="113">
                  <v>None</v>
                </pt>
                <pt idx="114">
                  <v>None</v>
                </pt>
                <pt idx="115">
                  <v>None</v>
                </pt>
                <pt idx="116">
                  <v>None</v>
                </pt>
                <pt idx="117">
                  <v>None</v>
                </pt>
                <pt idx="118">
                  <v>None</v>
                </pt>
                <pt idx="119">
                  <v>None</v>
                </pt>
                <pt idx="120">
                  <v>None</v>
                </pt>
                <pt idx="121">
                  <v>None</v>
                </pt>
                <pt idx="122">
                  <v>None</v>
                </pt>
                <pt idx="123">
                  <v>None</v>
                </pt>
                <pt idx="124">
                  <v>None</v>
                </pt>
                <pt idx="125">
                  <v>None</v>
                </pt>
                <pt idx="126">
                  <v>None</v>
                </pt>
                <pt idx="127">
                  <v>None</v>
                </pt>
                <pt idx="128">
                  <v>None</v>
                </pt>
                <pt idx="129">
                  <v>None</v>
                </pt>
                <pt idx="130">
                  <v>None</v>
                </pt>
                <pt idx="131">
                  <v>None</v>
                </pt>
                <pt idx="132">
                  <v>None</v>
                </pt>
                <pt idx="133">
                  <v>None</v>
                </pt>
                <pt idx="134">
                  <v>None</v>
                </pt>
                <pt idx="135">
                  <v>None</v>
                </pt>
                <pt idx="136">
                  <v>None</v>
                </pt>
                <pt idx="137">
                  <v>None</v>
                </pt>
                <pt idx="138">
                  <v>None</v>
                </pt>
                <pt idx="139">
                  <v>None</v>
                </pt>
                <pt idx="140">
                  <v>None</v>
                </pt>
                <pt idx="141">
                  <v>None</v>
                </pt>
                <pt idx="142">
                  <v>None</v>
                </pt>
                <pt idx="143">
                  <v>None</v>
                </pt>
                <pt idx="144">
                  <v>None</v>
                </pt>
                <pt idx="145">
                  <v>None</v>
                </pt>
                <pt idx="146">
                  <v>None</v>
                </pt>
                <pt idx="147">
                  <v>None</v>
                </pt>
                <pt idx="148">
                  <v>None</v>
                </pt>
                <pt idx="149">
                  <v>None</v>
                </pt>
                <pt idx="150">
                  <v>None</v>
                </pt>
                <pt idx="151">
                  <v>None</v>
                </pt>
                <pt idx="152">
                  <v>None</v>
                </pt>
                <pt idx="153">
                  <v>None</v>
                </pt>
                <pt idx="154">
                  <v>None</v>
                </pt>
                <pt idx="155">
                  <v>None</v>
                </pt>
                <pt idx="156">
                  <v>None</v>
                </pt>
                <pt idx="157">
                  <v>None</v>
                </pt>
                <pt idx="158">
                  <v>None</v>
                </pt>
                <pt idx="159">
                  <v>None</v>
                </pt>
                <pt idx="160">
                  <v>None</v>
                </pt>
                <pt idx="161">
                  <v>None</v>
                </pt>
                <pt idx="162">
                  <v>None</v>
                </pt>
                <pt idx="163">
                  <v>None</v>
                </pt>
                <pt idx="164">
                  <v>None</v>
                </pt>
                <pt idx="165">
                  <v>None</v>
                </pt>
                <pt idx="166">
                  <v>None</v>
                </pt>
                <pt idx="167">
                  <v>None</v>
                </pt>
                <pt idx="168">
                  <v>None</v>
                </pt>
                <pt idx="169">
                  <v>None</v>
                </pt>
                <pt idx="170">
                  <v>None</v>
                </pt>
                <pt idx="171">
                  <v>None</v>
                </pt>
                <pt idx="172">
                  <v>None</v>
                </pt>
                <pt idx="173">
                  <v>None</v>
                </pt>
                <pt idx="174">
                  <v>None</v>
                </pt>
                <pt idx="175">
                  <v>None</v>
                </pt>
                <pt idx="176">
                  <v>None</v>
                </pt>
                <pt idx="177">
                  <v>None</v>
                </pt>
                <pt idx="178">
                  <v>None</v>
                </pt>
                <pt idx="179">
                  <v>None</v>
                </pt>
                <pt idx="180">
                  <v>None</v>
                </pt>
                <pt idx="181">
                  <v>None</v>
                </pt>
                <pt idx="182">
                  <v>None</v>
                </pt>
                <pt idx="183">
                  <v>None</v>
                </pt>
                <pt idx="184">
                  <v>None</v>
                </pt>
                <pt idx="185">
                  <v>None</v>
                </pt>
                <pt idx="186">
                  <v>None</v>
                </pt>
                <pt idx="187">
                  <v>None</v>
                </pt>
                <pt idx="188">
                  <v>None</v>
                </pt>
                <pt idx="189">
                  <v>None</v>
                </pt>
                <pt idx="190">
                  <v>None</v>
                </pt>
                <pt idx="191">
                  <v>None</v>
                </pt>
                <pt idx="192">
                  <v>None</v>
                </pt>
                <pt idx="193">
                  <v>None</v>
                </pt>
                <pt idx="194">
                  <v>None</v>
                </pt>
                <pt idx="195">
                  <v>None</v>
                </pt>
                <pt idx="196">
                  <v>None</v>
                </pt>
                <pt idx="197">
                  <v>None</v>
                </pt>
                <pt idx="198">
                  <v>None</v>
                </pt>
                <pt idx="199">
                  <v>None</v>
                </pt>
                <pt idx="200">
                  <v>None</v>
                </pt>
                <pt idx="201">
                  <v>None</v>
                </pt>
                <pt idx="202">
                  <v>None</v>
                </pt>
                <pt idx="203">
                  <v>None</v>
                </pt>
                <pt idx="204">
                  <v>None</v>
                </pt>
                <pt idx="205">
                  <v>None</v>
                </pt>
                <pt idx="206">
                  <v>None</v>
                </pt>
                <pt idx="207">
                  <v>None</v>
                </pt>
                <pt idx="208">
                  <v>None</v>
                </pt>
                <pt idx="209">
                  <v>None</v>
                </pt>
                <pt idx="210">
                  <v>None</v>
                </pt>
                <pt idx="211">
                  <v>None</v>
                </pt>
                <pt idx="212">
                  <v>None</v>
                </pt>
                <pt idx="213">
                  <v>None</v>
                </pt>
                <pt idx="214">
                  <v>None</v>
                </pt>
                <pt idx="215">
                  <v>None</v>
                </pt>
                <pt idx="216">
                  <v>None</v>
                </pt>
                <pt idx="217">
                  <v>None</v>
                </pt>
                <pt idx="218">
                  <v>None</v>
                </pt>
                <pt idx="219">
                  <v>None</v>
                </pt>
                <pt idx="220">
                  <v>None</v>
                </pt>
                <pt idx="221">
                  <v>None</v>
                </pt>
                <pt idx="222">
                  <v>None</v>
                </pt>
                <pt idx="223">
                  <v>None</v>
                </pt>
                <pt idx="224">
                  <v>None</v>
                </pt>
                <pt idx="225">
                  <v>None</v>
                </pt>
                <pt idx="226">
                  <v>None</v>
                </pt>
                <pt idx="227">
                  <v>None</v>
                </pt>
                <pt idx="228">
                  <v>None</v>
                </pt>
                <pt idx="229">
                  <v>None</v>
                </pt>
                <pt idx="230">
                  <v>None</v>
                </pt>
                <pt idx="231">
                  <v>None</v>
                </pt>
                <pt idx="232">
                  <v>None</v>
                </pt>
                <pt idx="233">
                  <v>None</v>
                </pt>
                <pt idx="234">
                  <v>None</v>
                </pt>
                <pt idx="235">
                  <v>None</v>
                </pt>
                <pt idx="236">
                  <v>None</v>
                </pt>
                <pt idx="237">
                  <v>None</v>
                </pt>
                <pt idx="238">
                  <v>None</v>
                </pt>
                <pt idx="239">
                  <v>None</v>
                </pt>
                <pt idx="240">
                  <v>None</v>
                </pt>
                <pt idx="241">
                  <v>None</v>
                </pt>
                <pt idx="242">
                  <v>None</v>
                </pt>
                <pt idx="243">
                  <v>None</v>
                </pt>
                <pt idx="244">
                  <v>None</v>
                </pt>
                <pt idx="245">
                  <v>None</v>
                </pt>
                <pt idx="246">
                  <v>None</v>
                </pt>
                <pt idx="247">
                  <v>None</v>
                </pt>
                <pt idx="248">
                  <v>None</v>
                </pt>
                <pt idx="249">
                  <v>None</v>
                </pt>
                <pt idx="250">
                  <v>None</v>
                </pt>
                <pt idx="251">
                  <v>None</v>
                </pt>
                <pt idx="252">
                  <v>None</v>
                </pt>
                <pt idx="253">
                  <v>None</v>
                </pt>
                <pt idx="254">
                  <v>None</v>
                </pt>
                <pt idx="255">
                  <v>None</v>
                </pt>
                <pt idx="256">
                  <v>None</v>
                </pt>
                <pt idx="257">
                  <v>None</v>
                </pt>
                <pt idx="258">
                  <v>None</v>
                </pt>
                <pt idx="259">
                  <v>None</v>
                </pt>
                <pt idx="260">
                  <v>None</v>
                </pt>
                <pt idx="261">
                  <v>None</v>
                </pt>
                <pt idx="262">
                  <v>None</v>
                </pt>
                <pt idx="263">
                  <v>None</v>
                </pt>
                <pt idx="264">
                  <v>None</v>
                </pt>
                <pt idx="265">
                  <v>None</v>
                </pt>
                <pt idx="266">
                  <v>None</v>
                </pt>
                <pt idx="267">
                  <v>None</v>
                </pt>
                <pt idx="268">
                  <v>None</v>
                </pt>
                <pt idx="269">
                  <v>None</v>
                </pt>
                <pt idx="270">
                  <v>None</v>
                </pt>
                <pt idx="271">
                  <v>None</v>
                </pt>
                <pt idx="272">
                  <v>None</v>
                </pt>
                <pt idx="273">
                  <v>None</v>
                </pt>
                <pt idx="274">
                  <v>None</v>
                </pt>
                <pt idx="275">
                  <v>None</v>
                </pt>
                <pt idx="276">
                  <v>None</v>
                </pt>
                <pt idx="277">
                  <v>None</v>
                </pt>
                <pt idx="278">
                  <v>None</v>
                </pt>
                <pt idx="279">
                  <v>None</v>
                </pt>
                <pt idx="280">
                  <v>None</v>
                </pt>
                <pt idx="281">
                  <v>None</v>
                </pt>
                <pt idx="282">
                  <v>None</v>
                </pt>
                <pt idx="283">
                  <v>None</v>
                </pt>
                <pt idx="284">
                  <v>None</v>
                </pt>
                <pt idx="285">
                  <v>None</v>
                </pt>
                <pt idx="286">
                  <v>None</v>
                </pt>
                <pt idx="287">
                  <v>None</v>
                </pt>
                <pt idx="288">
                  <v>None</v>
                </pt>
                <pt idx="289">
                  <v>None</v>
                </pt>
                <pt idx="290">
                  <v>None</v>
                </pt>
                <pt idx="291">
                  <v>None</v>
                </pt>
                <pt idx="292">
                  <v>None</v>
                </pt>
                <pt idx="293">
                  <v>None</v>
                </pt>
                <pt idx="294">
                  <v>None</v>
                </pt>
                <pt idx="295">
                  <v>None</v>
                </pt>
                <pt idx="296">
                  <v>None</v>
                </pt>
                <pt idx="297">
                  <v>None</v>
                </pt>
                <pt idx="298">
                  <v>None</v>
                </pt>
                <pt idx="299">
                  <v>None</v>
                </pt>
                <pt idx="300">
                  <v>None</v>
                </pt>
                <pt idx="301">
                  <v>None</v>
                </pt>
                <pt idx="302">
                  <v>None</v>
                </pt>
                <pt idx="303">
                  <v>None</v>
                </pt>
                <pt idx="304">
                  <v>None</v>
                </pt>
                <pt idx="305">
                  <v>None</v>
                </pt>
                <pt idx="306">
                  <v>None</v>
                </pt>
                <pt idx="307">
                  <v>None</v>
                </pt>
                <pt idx="308">
                  <v>None</v>
                </pt>
                <pt idx="309">
                  <v>None</v>
                </pt>
                <pt idx="310">
                  <v>None</v>
                </pt>
                <pt idx="311">
                  <v>None</v>
                </pt>
                <pt idx="312">
                  <v>None</v>
                </pt>
                <pt idx="313">
                  <v>None</v>
                </pt>
                <pt idx="314">
                  <v>None</v>
                </pt>
                <pt idx="315">
                  <v>None</v>
                </pt>
                <pt idx="316">
                  <v>None</v>
                </pt>
                <pt idx="317">
                  <v>None</v>
                </pt>
                <pt idx="318">
                  <v>None</v>
                </pt>
                <pt idx="319">
                  <v>None</v>
                </pt>
                <pt idx="320">
                  <v>None</v>
                </pt>
                <pt idx="321">
                  <v>None</v>
                </pt>
                <pt idx="322">
                  <v>None</v>
                </pt>
                <pt idx="323">
                  <v>None</v>
                </pt>
                <pt idx="324">
                  <v>None</v>
                </pt>
                <pt idx="325">
                  <v>None</v>
                </pt>
                <pt idx="326">
                  <v>None</v>
                </pt>
                <pt idx="327">
                  <v>None</v>
                </pt>
                <pt idx="328">
                  <v>None</v>
                </pt>
                <pt idx="329">
                  <v>None</v>
                </pt>
                <pt idx="330">
                  <v>None</v>
                </pt>
                <pt idx="331">
                  <v>None</v>
                </pt>
                <pt idx="332">
                  <v>None</v>
                </pt>
                <pt idx="333">
                  <v>None</v>
                </pt>
                <pt idx="334">
                  <v>None</v>
                </pt>
                <pt idx="335">
                  <v>None</v>
                </pt>
                <pt idx="336">
                  <v>None</v>
                </pt>
                <pt idx="337">
                  <v>None</v>
                </pt>
                <pt idx="338">
                  <v>None</v>
                </pt>
                <pt idx="339">
                  <v>None</v>
                </pt>
                <pt idx="340">
                  <v>None</v>
                </pt>
                <pt idx="341">
                  <v>None</v>
                </pt>
                <pt idx="342">
                  <v>None</v>
                </pt>
                <pt idx="343">
                  <v>None</v>
                </pt>
                <pt idx="344">
                  <v>None</v>
                </pt>
                <pt idx="345">
                  <v>None</v>
                </pt>
                <pt idx="346">
                  <v>None</v>
                </pt>
                <pt idx="347">
                  <v>None</v>
                </pt>
                <pt idx="348">
                  <v>None</v>
                </pt>
                <pt idx="349">
                  <v>None</v>
                </pt>
                <pt idx="350">
                  <v>None</v>
                </pt>
                <pt idx="351">
                  <v>None</v>
                </pt>
                <pt idx="352">
                  <v>None</v>
                </pt>
                <pt idx="353">
                  <v>None</v>
                </pt>
                <pt idx="354">
                  <v>None</v>
                </pt>
                <pt idx="355">
                  <v>None</v>
                </pt>
                <pt idx="356">
                  <v>None</v>
                </pt>
                <pt idx="357">
                  <v>None</v>
                </pt>
                <pt idx="358">
                  <v>None</v>
                </pt>
                <pt idx="359">
                  <v>None</v>
                </pt>
                <pt idx="360">
                  <v>None</v>
                </pt>
                <pt idx="361">
                  <v>None</v>
                </pt>
                <pt idx="362">
                  <v>None</v>
                </pt>
                <pt idx="363">
                  <v>None</v>
                </pt>
                <pt idx="364">
                  <v>None</v>
                </pt>
                <pt idx="365">
                  <v>None</v>
                </pt>
                <pt idx="366">
                  <v>None</v>
                </pt>
                <pt idx="367">
                  <v>None</v>
                </pt>
                <pt idx="368">
                  <v>None</v>
                </pt>
                <pt idx="369">
                  <v>None</v>
                </pt>
                <pt idx="370">
                  <v>None</v>
                </pt>
                <pt idx="371">
                  <v>None</v>
                </pt>
                <pt idx="372">
                  <v>None</v>
                </pt>
                <pt idx="373">
                  <v>None</v>
                </pt>
                <pt idx="374">
                  <v>None</v>
                </pt>
                <pt idx="375">
                  <v>None</v>
                </pt>
                <pt idx="376">
                  <v>None</v>
                </pt>
                <pt idx="377">
                  <v>None</v>
                </pt>
                <pt idx="378">
                  <v>None</v>
                </pt>
                <pt idx="379">
                  <v>None</v>
                </pt>
                <pt idx="380">
                  <v>None</v>
                </pt>
                <pt idx="381">
                  <v>None</v>
                </pt>
                <pt idx="382">
                  <v>None</v>
                </pt>
                <pt idx="383">
                  <v>None</v>
                </pt>
                <pt idx="384">
                  <v>None</v>
                </pt>
                <pt idx="385">
                  <v>None</v>
                </pt>
                <pt idx="386">
                  <v>None</v>
                </pt>
                <pt idx="387">
                  <v>None</v>
                </pt>
                <pt idx="388">
                  <v>None</v>
                </pt>
                <pt idx="389">
                  <v>None</v>
                </pt>
                <pt idx="390">
                  <v>None</v>
                </pt>
                <pt idx="391">
                  <v>None</v>
                </pt>
                <pt idx="392">
                  <v>None</v>
                </pt>
                <pt idx="393">
                  <v>None</v>
                </pt>
                <pt idx="394">
                  <v>None</v>
                </pt>
                <pt idx="395">
                  <v>None</v>
                </pt>
                <pt idx="396">
                  <v>None</v>
                </pt>
                <pt idx="397">
                  <v>None</v>
                </pt>
                <pt idx="398">
                  <v>None</v>
                </pt>
                <pt idx="399">
                  <v>None</v>
                </pt>
                <pt idx="400">
                  <v>None</v>
                </pt>
                <pt idx="401">
                  <v>None</v>
                </pt>
                <pt idx="402">
                  <v>None</v>
                </pt>
                <pt idx="403">
                  <v>None</v>
                </pt>
                <pt idx="404">
                  <v>None</v>
                </pt>
                <pt idx="405">
                  <v>None</v>
                </pt>
                <pt idx="406">
                  <v>None</v>
                </pt>
                <pt idx="407">
                  <v>None</v>
                </pt>
                <pt idx="408">
                  <v>None</v>
                </pt>
                <pt idx="409">
                  <v>None</v>
                </pt>
                <pt idx="410">
                  <v>None</v>
                </pt>
                <pt idx="411">
                  <v>None</v>
                </pt>
                <pt idx="412">
                  <v>None</v>
                </pt>
                <pt idx="413">
                  <v>None</v>
                </pt>
                <pt idx="414">
                  <v>None</v>
                </pt>
                <pt idx="415">
                  <v>None</v>
                </pt>
                <pt idx="416">
                  <v>None</v>
                </pt>
                <pt idx="417">
                  <v>None</v>
                </pt>
                <pt idx="418">
                  <v>None</v>
                </pt>
                <pt idx="419">
                  <v>None</v>
                </pt>
                <pt idx="420">
                  <v>None</v>
                </pt>
                <pt idx="421">
                  <v>None</v>
                </pt>
                <pt idx="422">
                  <v>None</v>
                </pt>
                <pt idx="423">
                  <v>None</v>
                </pt>
                <pt idx="424">
                  <v>None</v>
                </pt>
                <pt idx="425">
                  <v>None</v>
                </pt>
                <pt idx="426">
                  <v>None</v>
                </pt>
                <pt idx="427">
                  <v>None</v>
                </pt>
                <pt idx="428">
                  <v>None</v>
                </pt>
                <pt idx="429">
                  <v>None</v>
                </pt>
                <pt idx="430">
                  <v>None</v>
                </pt>
                <pt idx="431">
                  <v>None</v>
                </pt>
                <pt idx="432">
                  <v>None</v>
                </pt>
                <pt idx="433">
                  <v>None</v>
                </pt>
                <pt idx="434">
                  <v>None</v>
                </pt>
                <pt idx="435">
                  <v>None</v>
                </pt>
                <pt idx="436">
                  <v>None</v>
                </pt>
                <pt idx="437">
                  <v>None</v>
                </pt>
                <pt idx="438">
                  <v>None</v>
                </pt>
                <pt idx="439">
                  <v>None</v>
                </pt>
                <pt idx="440">
                  <v>None</v>
                </pt>
                <pt idx="441">
                  <v>None</v>
                </pt>
                <pt idx="442">
                  <v>None</v>
                </pt>
                <pt idx="443">
                  <v>None</v>
                </pt>
                <pt idx="444">
                  <v>None</v>
                </pt>
                <pt idx="445">
                  <v>None</v>
                </pt>
                <pt idx="446">
                  <v>None</v>
                </pt>
                <pt idx="447">
                  <v>None</v>
                </pt>
                <pt idx="448">
                  <v>None</v>
                </pt>
                <pt idx="449">
                  <v>None</v>
                </pt>
                <pt idx="450">
                  <v>None</v>
                </pt>
                <pt idx="451">
                  <v>None</v>
                </pt>
                <pt idx="452">
                  <v>None</v>
                </pt>
                <pt idx="453">
                  <v>None</v>
                </pt>
                <pt idx="454">
                  <v>None</v>
                </pt>
                <pt idx="455">
                  <v>None</v>
                </pt>
                <pt idx="456">
                  <v>None</v>
                </pt>
                <pt idx="457">
                  <v>None</v>
                </pt>
                <pt idx="458">
                  <v>None</v>
                </pt>
                <pt idx="459">
                  <v>None</v>
                </pt>
                <pt idx="460">
                  <v>None</v>
                </pt>
                <pt idx="461">
                  <v>None</v>
                </pt>
                <pt idx="462">
                  <v>None</v>
                </pt>
                <pt idx="463">
                  <v>None</v>
                </pt>
                <pt idx="464">
                  <v>None</v>
                </pt>
                <pt idx="465">
                  <v>None</v>
                </pt>
                <pt idx="466">
                  <v>None</v>
                </pt>
                <pt idx="467">
                  <v>None</v>
                </pt>
                <pt idx="468">
                  <v>None</v>
                </pt>
                <pt idx="469">
                  <v>None</v>
                </pt>
                <pt idx="470">
                  <v>None</v>
                </pt>
                <pt idx="471">
                  <v>None</v>
                </pt>
                <pt idx="472">
                  <v>None</v>
                </pt>
                <pt idx="473">
                  <v>None</v>
                </pt>
                <pt idx="474">
                  <v>None</v>
                </pt>
                <pt idx="475">
                  <v>None</v>
                </pt>
                <pt idx="476">
                  <v>None</v>
                </pt>
                <pt idx="477">
                  <v>None</v>
                </pt>
                <pt idx="478">
                  <v>None</v>
                </pt>
                <pt idx="479">
                  <v>None</v>
                </pt>
                <pt idx="480">
                  <v>None</v>
                </pt>
                <pt idx="481">
                  <v>None</v>
                </pt>
                <pt idx="482">
                  <v>None</v>
                </pt>
                <pt idx="483">
                  <v>None</v>
                </pt>
                <pt idx="484">
                  <v>None</v>
                </pt>
                <pt idx="485">
                  <v>None</v>
                </pt>
                <pt idx="486">
                  <v>None</v>
                </pt>
                <pt idx="487">
                  <v>None</v>
                </pt>
                <pt idx="488">
                  <v>None</v>
                </pt>
                <pt idx="489">
                  <v>None</v>
                </pt>
                <pt idx="490">
                  <v>None</v>
                </pt>
                <pt idx="491">
                  <v>None</v>
                </pt>
                <pt idx="492">
                  <v>None</v>
                </pt>
                <pt idx="493">
                  <v>None</v>
                </pt>
                <pt idx="494">
                  <v>None</v>
                </pt>
                <pt idx="495">
                  <v>None</v>
                </pt>
                <pt idx="496">
                  <v>None</v>
                </pt>
                <pt idx="497">
                  <v>None</v>
                </pt>
                <pt idx="498">
                  <v>None</v>
                </pt>
                <pt idx="499">
                  <v>None</v>
                </pt>
                <pt idx="500">
                  <v>None</v>
                </pt>
                <pt idx="501">
                  <v>None</v>
                </pt>
                <pt idx="502">
                  <v>None</v>
                </pt>
                <pt idx="503">
                  <v>None</v>
                </pt>
                <pt idx="504">
                  <v>None</v>
                </pt>
                <pt idx="505">
                  <v>None</v>
                </pt>
                <pt idx="506">
                  <v>None</v>
                </pt>
                <pt idx="507">
                  <v>None</v>
                </pt>
                <pt idx="508">
                  <v>None</v>
                </pt>
                <pt idx="509">
                  <v>None</v>
                </pt>
                <pt idx="510">
                  <v>None</v>
                </pt>
                <pt idx="511">
                  <v>None</v>
                </pt>
                <pt idx="512">
                  <v>None</v>
                </pt>
                <pt idx="513">
                  <v>None</v>
                </pt>
                <pt idx="514">
                  <v>None</v>
                </pt>
                <pt idx="515">
                  <v>None</v>
                </pt>
                <pt idx="516">
                  <v>None</v>
                </pt>
                <pt idx="517">
                  <v>None</v>
                </pt>
                <pt idx="518">
                  <v>None</v>
                </pt>
                <pt idx="519">
                  <v>None</v>
                </pt>
                <pt idx="520">
                  <v>None</v>
                </pt>
                <pt idx="521">
                  <v>None</v>
                </pt>
                <pt idx="522">
                  <v>None</v>
                </pt>
                <pt idx="523">
                  <v>None</v>
                </pt>
                <pt idx="524">
                  <v>None</v>
                </pt>
                <pt idx="525">
                  <v>None</v>
                </pt>
                <pt idx="526">
                  <v>None</v>
                </pt>
                <pt idx="527">
                  <v>None</v>
                </pt>
                <pt idx="528">
                  <v>None</v>
                </pt>
                <pt idx="529">
                  <v>None</v>
                </pt>
                <pt idx="530">
                  <v>None</v>
                </pt>
                <pt idx="531">
                  <v>None</v>
                </pt>
                <pt idx="532">
                  <v>None</v>
                </pt>
                <pt idx="533">
                  <v>None</v>
                </pt>
                <pt idx="534">
                  <v>None</v>
                </pt>
                <pt idx="535">
                  <v>None</v>
                </pt>
                <pt idx="536">
                  <v>None</v>
                </pt>
                <pt idx="537">
                  <v>None</v>
                </pt>
                <pt idx="538">
                  <v>None</v>
                </pt>
                <pt idx="539">
                  <v>None</v>
                </pt>
                <pt idx="540">
                  <v>None</v>
                </pt>
                <pt idx="541">
                  <v>None</v>
                </pt>
                <pt idx="542">
                  <v>None</v>
                </pt>
                <pt idx="543">
                  <v>None</v>
                </pt>
                <pt idx="544">
                  <v>None</v>
                </pt>
                <pt idx="545">
                  <v>None</v>
                </pt>
                <pt idx="546">
                  <v>None</v>
                </pt>
                <pt idx="547">
                  <v>None</v>
                </pt>
                <pt idx="548">
                  <v>None</v>
                </pt>
                <pt idx="549">
                  <v>None</v>
                </pt>
                <pt idx="550">
                  <v>None</v>
                </pt>
                <pt idx="551">
                  <v>None</v>
                </pt>
                <pt idx="552">
                  <v>None</v>
                </pt>
                <pt idx="553">
                  <v>None</v>
                </pt>
                <pt idx="554">
                  <v>None</v>
                </pt>
                <pt idx="555">
                  <v>None</v>
                </pt>
                <pt idx="556">
                  <v>None</v>
                </pt>
                <pt idx="557">
                  <v>None</v>
                </pt>
                <pt idx="558">
                  <v>None</v>
                </pt>
                <pt idx="559">
                  <v>None</v>
                </pt>
                <pt idx="560">
                  <v>None</v>
                </pt>
                <pt idx="561">
                  <v>None</v>
                </pt>
                <pt idx="562">
                  <v>None</v>
                </pt>
                <pt idx="563">
                  <v>None</v>
                </pt>
                <pt idx="564">
                  <v>None</v>
                </pt>
                <pt idx="565">
                  <v>None</v>
                </pt>
                <pt idx="566">
                  <v>None</v>
                </pt>
                <pt idx="567">
                  <v>None</v>
                </pt>
                <pt idx="568">
                  <v>None</v>
                </pt>
                <pt idx="569">
                  <v>None</v>
                </pt>
                <pt idx="570">
                  <v>None</v>
                </pt>
                <pt idx="571">
                  <v>None</v>
                </pt>
                <pt idx="572">
                  <v>None</v>
                </pt>
                <pt idx="573">
                  <v>None</v>
                </pt>
                <pt idx="574">
                  <v>None</v>
                </pt>
                <pt idx="575">
                  <v>None</v>
                </pt>
                <pt idx="576">
                  <v>None</v>
                </pt>
                <pt idx="577">
                  <v>None</v>
                </pt>
                <pt idx="578">
                  <v>None</v>
                </pt>
                <pt idx="579">
                  <v>None</v>
                </pt>
                <pt idx="580">
                  <v>None</v>
                </pt>
                <pt idx="581">
                  <v>None</v>
                </pt>
                <pt idx="582">
                  <v>None</v>
                </pt>
                <pt idx="583">
                  <v>None</v>
                </pt>
                <pt idx="584">
                  <v>None</v>
                </pt>
                <pt idx="585">
                  <v>None</v>
                </pt>
                <pt idx="586">
                  <v>None</v>
                </pt>
                <pt idx="587">
                  <v>None</v>
                </pt>
                <pt idx="588">
                  <v>None</v>
                </pt>
                <pt idx="589">
                  <v>None</v>
                </pt>
                <pt idx="590">
                  <v>None</v>
                </pt>
                <pt idx="591">
                  <v>None</v>
                </pt>
                <pt idx="592">
                  <v>None</v>
                </pt>
                <pt idx="593">
                  <v>None</v>
                </pt>
                <pt idx="594">
                  <v>None</v>
                </pt>
                <pt idx="595">
                  <v>None</v>
                </pt>
                <pt idx="596">
                  <v>None</v>
                </pt>
                <pt idx="597">
                  <v>None</v>
                </pt>
                <pt idx="598">
                  <v>None</v>
                </pt>
                <pt idx="599">
                  <v>None</v>
                </pt>
                <pt idx="600">
                  <v>None</v>
                </pt>
                <pt idx="601">
                  <v>None</v>
                </pt>
                <pt idx="602">
                  <v>None</v>
                </pt>
                <pt idx="603">
                  <v>None</v>
                </pt>
                <pt idx="604">
                  <v>None</v>
                </pt>
                <pt idx="605">
                  <v>None</v>
                </pt>
                <pt idx="606">
                  <v>None</v>
                </pt>
                <pt idx="607">
                  <v>None</v>
                </pt>
                <pt idx="608">
                  <v>None</v>
                </pt>
                <pt idx="609">
                  <v>None</v>
                </pt>
                <pt idx="610">
                  <v>None</v>
                </pt>
                <pt idx="611">
                  <v>None</v>
                </pt>
                <pt idx="612">
                  <v>None</v>
                </pt>
                <pt idx="613">
                  <v>None</v>
                </pt>
                <pt idx="614">
                  <v>None</v>
                </pt>
                <pt idx="615">
                  <v>None</v>
                </pt>
                <pt idx="616">
                  <v>None</v>
                </pt>
                <pt idx="617">
                  <v>None</v>
                </pt>
                <pt idx="618">
                  <v>None</v>
                </pt>
                <pt idx="619">
                  <v>None</v>
                </pt>
                <pt idx="620">
                  <v>None</v>
                </pt>
                <pt idx="621">
                  <v>None</v>
                </pt>
                <pt idx="622">
                  <v>None</v>
                </pt>
                <pt idx="623">
                  <v>None</v>
                </pt>
                <pt idx="624">
                  <v>None</v>
                </pt>
                <pt idx="625">
                  <v>None</v>
                </pt>
                <pt idx="626">
                  <v>None</v>
                </pt>
                <pt idx="627">
                  <v>None</v>
                </pt>
                <pt idx="628">
                  <v>None</v>
                </pt>
                <pt idx="629">
                  <v>None</v>
                </pt>
                <pt idx="630">
                  <v>None</v>
                </pt>
                <pt idx="631">
                  <v>None</v>
                </pt>
                <pt idx="632">
                  <v>None</v>
                </pt>
                <pt idx="633">
                  <v>None</v>
                </pt>
                <pt idx="634">
                  <v>None</v>
                </pt>
                <pt idx="635">
                  <v>None</v>
                </pt>
                <pt idx="636">
                  <v>None</v>
                </pt>
                <pt idx="637">
                  <v>None</v>
                </pt>
                <pt idx="638">
                  <v>None</v>
                </pt>
                <pt idx="639">
                  <v>None</v>
                </pt>
                <pt idx="640">
                  <v>None</v>
                </pt>
                <pt idx="641">
                  <v>None</v>
                </pt>
                <pt idx="642">
                  <v>None</v>
                </pt>
                <pt idx="643">
                  <v>None</v>
                </pt>
                <pt idx="644">
                  <v>None</v>
                </pt>
                <pt idx="645">
                  <v>None</v>
                </pt>
                <pt idx="646">
                  <v>None</v>
                </pt>
                <pt idx="647">
                  <v>None</v>
                </pt>
                <pt idx="648">
                  <v>None</v>
                </pt>
                <pt idx="649">
                  <v>None</v>
                </pt>
                <pt idx="650">
                  <v>None</v>
                </pt>
                <pt idx="651">
                  <v>None</v>
                </pt>
                <pt idx="652">
                  <v>None</v>
                </pt>
                <pt idx="653">
                  <v>None</v>
                </pt>
                <pt idx="654">
                  <v>None</v>
                </pt>
                <pt idx="655">
                  <v>None</v>
                </pt>
                <pt idx="656">
                  <v>None</v>
                </pt>
                <pt idx="657">
                  <v>None</v>
                </pt>
                <pt idx="658">
                  <v>None</v>
                </pt>
                <pt idx="659">
                  <v>None</v>
                </pt>
                <pt idx="660">
                  <v>None</v>
                </pt>
                <pt idx="661">
                  <v>None</v>
                </pt>
                <pt idx="662">
                  <v>None</v>
                </pt>
                <pt idx="663">
                  <v>None</v>
                </pt>
                <pt idx="664">
                  <v>None</v>
                </pt>
                <pt idx="665">
                  <v>None</v>
                </pt>
                <pt idx="666">
                  <v>None</v>
                </pt>
                <pt idx="667">
                  <v>None</v>
                </pt>
                <pt idx="668">
                  <v>None</v>
                </pt>
                <pt idx="669">
                  <v>None</v>
                </pt>
                <pt idx="670">
                  <v>None</v>
                </pt>
                <pt idx="671">
                  <v>None</v>
                </pt>
                <pt idx="672">
                  <v>None</v>
                </pt>
                <pt idx="673">
                  <v>None</v>
                </pt>
                <pt idx="674">
                  <v>None</v>
                </pt>
                <pt idx="675">
                  <v>None</v>
                </pt>
                <pt idx="676">
                  <v>None</v>
                </pt>
                <pt idx="677">
                  <v>None</v>
                </pt>
                <pt idx="678">
                  <v>None</v>
                </pt>
                <pt idx="679">
                  <v>None</v>
                </pt>
                <pt idx="680">
                  <v>None</v>
                </pt>
                <pt idx="681">
                  <v>None</v>
                </pt>
                <pt idx="682">
                  <v>None</v>
                </pt>
                <pt idx="683">
                  <v>None</v>
                </pt>
                <pt idx="684">
                  <v>None</v>
                </pt>
                <pt idx="685">
                  <v>None</v>
                </pt>
                <pt idx="686">
                  <v>None</v>
                </pt>
                <pt idx="687">
                  <v>None</v>
                </pt>
                <pt idx="688">
                  <v>None</v>
                </pt>
                <pt idx="689">
                  <v>None</v>
                </pt>
                <pt idx="690">
                  <v>None</v>
                </pt>
                <pt idx="691">
                  <v>None</v>
                </pt>
                <pt idx="692">
                  <v>None</v>
                </pt>
                <pt idx="693">
                  <v>None</v>
                </pt>
                <pt idx="694">
                  <v>None</v>
                </pt>
                <pt idx="695">
                  <v>None</v>
                </pt>
                <pt idx="696">
                  <v>None</v>
                </pt>
                <pt idx="697">
                  <v>None</v>
                </pt>
                <pt idx="698">
                  <v>None</v>
                </pt>
                <pt idx="699">
                  <v>None</v>
                </pt>
                <pt idx="700">
                  <v>None</v>
                </pt>
                <pt idx="701">
                  <v>None</v>
                </pt>
                <pt idx="702">
                  <v>None</v>
                </pt>
                <pt idx="703">
                  <v>None</v>
                </pt>
                <pt idx="704">
                  <v>None</v>
                </pt>
                <pt idx="705">
                  <v>None</v>
                </pt>
                <pt idx="706">
                  <v>None</v>
                </pt>
                <pt idx="707">
                  <v>None</v>
                </pt>
                <pt idx="708">
                  <v>None</v>
                </pt>
                <pt idx="709">
                  <v>None</v>
                </pt>
                <pt idx="710">
                  <v>None</v>
                </pt>
                <pt idx="711">
                  <v>None</v>
                </pt>
                <pt idx="712">
                  <v>None</v>
                </pt>
                <pt idx="713">
                  <v>None</v>
                </pt>
                <pt idx="714">
                  <v>None</v>
                </pt>
                <pt idx="715">
                  <v>None</v>
                </pt>
                <pt idx="716">
                  <v>None</v>
                </pt>
                <pt idx="717">
                  <v>None</v>
                </pt>
                <pt idx="718">
                  <v>None</v>
                </pt>
                <pt idx="719">
                  <v>None</v>
                </pt>
                <pt idx="720">
                  <v>None</v>
                </pt>
                <pt idx="721">
                  <v>None</v>
                </pt>
                <pt idx="722">
                  <v>None</v>
                </pt>
                <pt idx="723">
                  <v>None</v>
                </pt>
                <pt idx="724">
                  <v>None</v>
                </pt>
                <pt idx="725">
                  <v>None</v>
                </pt>
                <pt idx="726">
                  <v>None</v>
                </pt>
                <pt idx="727">
                  <v>None</v>
                </pt>
                <pt idx="728">
                  <v>None</v>
                </pt>
                <pt idx="729">
                  <v>None</v>
                </pt>
                <pt idx="730">
                  <v>None</v>
                </pt>
                <pt idx="731">
                  <v>None</v>
                </pt>
                <pt idx="732">
                  <v>None</v>
                </pt>
                <pt idx="733">
                  <v>None</v>
                </pt>
                <pt idx="734">
                  <v>None</v>
                </pt>
                <pt idx="735">
                  <v>None</v>
                </pt>
                <pt idx="736">
                  <v>None</v>
                </pt>
                <pt idx="737">
                  <v>None</v>
                </pt>
                <pt idx="738">
                  <v>None</v>
                </pt>
                <pt idx="739">
                  <v>None</v>
                </pt>
                <pt idx="740">
                  <v>None</v>
                </pt>
                <pt idx="741">
                  <v>None</v>
                </pt>
                <pt idx="742">
                  <v>None</v>
                </pt>
                <pt idx="743">
                  <v>None</v>
                </pt>
                <pt idx="744">
                  <v>None</v>
                </pt>
                <pt idx="745">
                  <v>None</v>
                </pt>
                <pt idx="746">
                  <v>None</v>
                </pt>
                <pt idx="747">
                  <v>None</v>
                </pt>
                <pt idx="748">
                  <v>None</v>
                </pt>
                <pt idx="749">
                  <v>None</v>
                </pt>
                <pt idx="750">
                  <v>None</v>
                </pt>
                <pt idx="751">
                  <v>None</v>
                </pt>
                <pt idx="752">
                  <v>None</v>
                </pt>
                <pt idx="753">
                  <v>None</v>
                </pt>
                <pt idx="754">
                  <v>None</v>
                </pt>
                <pt idx="755">
                  <v>None</v>
                </pt>
                <pt idx="756">
                  <v>None</v>
                </pt>
                <pt idx="757">
                  <v>None</v>
                </pt>
                <pt idx="758">
                  <v>None</v>
                </pt>
                <pt idx="759">
                  <v>None</v>
                </pt>
                <pt idx="760">
                  <v>None</v>
                </pt>
                <pt idx="761">
                  <v>None</v>
                </pt>
                <pt idx="762">
                  <v>None</v>
                </pt>
                <pt idx="763">
                  <v>None</v>
                </pt>
                <pt idx="764">
                  <v>None</v>
                </pt>
                <pt idx="765">
                  <v>None</v>
                </pt>
                <pt idx="766">
                  <v>None</v>
                </pt>
                <pt idx="767">
                  <v>None</v>
                </pt>
                <pt idx="768">
                  <v>None</v>
                </pt>
                <pt idx="769">
                  <v>None</v>
                </pt>
                <pt idx="770">
                  <v>None</v>
                </pt>
                <pt idx="771">
                  <v>None</v>
                </pt>
                <pt idx="772">
                  <v>None</v>
                </pt>
                <pt idx="773">
                  <v>None</v>
                </pt>
                <pt idx="774">
                  <v>None</v>
                </pt>
                <pt idx="775">
                  <v>None</v>
                </pt>
                <pt idx="776">
                  <v>None</v>
                </pt>
                <pt idx="777">
                  <v>None</v>
                </pt>
                <pt idx="778">
                  <v>None</v>
                </pt>
                <pt idx="779">
                  <v>None</v>
                </pt>
                <pt idx="780">
                  <v>None</v>
                </pt>
                <pt idx="781">
                  <v>None</v>
                </pt>
                <pt idx="782">
                  <v>None</v>
                </pt>
                <pt idx="783">
                  <v>None</v>
                </pt>
                <pt idx="784">
                  <v>None</v>
                </pt>
                <pt idx="785">
                  <v>None</v>
                </pt>
                <pt idx="786">
                  <v>None</v>
                </pt>
                <pt idx="787">
                  <v>None</v>
                </pt>
                <pt idx="788">
                  <v>None</v>
                </pt>
                <pt idx="789">
                  <v>None</v>
                </pt>
                <pt idx="790">
                  <v>None</v>
                </pt>
                <pt idx="791">
                  <v>None</v>
                </pt>
                <pt idx="792">
                  <v>None</v>
                </pt>
                <pt idx="793">
                  <v>None</v>
                </pt>
                <pt idx="794">
                  <v>None</v>
                </pt>
                <pt idx="795">
                  <v>None</v>
                </pt>
                <pt idx="796">
                  <v>None</v>
                </pt>
                <pt idx="797">
                  <v>None</v>
                </pt>
                <pt idx="798">
                  <v>None</v>
                </pt>
                <pt idx="799">
                  <v>None</v>
                </pt>
              </strCache>
            </strRef>
          </cat>
          <val>
            <numRef>
              <f>NAKIT_PROJEKSIYONU!$G$5:$G$804</f>
              <numCache>
                <formatCode>#,##0.00</formatCode>
                <ptCount val="800"/>
                <pt idx="0">
                  <v>470000</v>
                </pt>
                <pt idx="1">
                  <v>290000</v>
                </pt>
                <pt idx="2">
                  <v>440000</v>
                </pt>
                <pt idx="3">
                  <v>313000</v>
                </pt>
                <pt idx="4">
                  <v>313000</v>
                </pt>
                <pt idx="5">
                  <v>313000</v>
                </pt>
                <pt idx="6">
                  <v>313000</v>
                </pt>
                <pt idx="7">
                  <v>313000</v>
                </pt>
                <pt idx="8">
                  <v>313000</v>
                </pt>
                <pt idx="9">
                  <v>313000</v>
                </pt>
                <pt idx="10">
                  <v>313000</v>
                </pt>
                <pt idx="11">
                  <v>313000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582971"/>
        <axId val="27495698"/>
      </lineChart>
      <catAx>
        <axId val="1582971"/>
        <scaling>
          <orientation val="minMax"/>
        </scaling>
        <delete val="0"/>
        <axPos val="b"/>
        <numFmt formatCode="dd/mm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7495698"/>
        <crosses val="autoZero"/>
        <auto val="1"/>
        <lblAlgn val="ctr"/>
        <lblOffset val="100"/>
        <noMultiLvlLbl val="0"/>
      </catAx>
      <valAx>
        <axId val="274956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5829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5" authorId="0" shapeId="0">
      <text>
        <t>Tanım: Hesap Sayısı (AKTİF) | Neden önemli: Karar motoru girdisi | Doğru giriş: Formül | Örnek: - | Yanlışsa: - | Not: AKTİF durumdaki hesap kartı sayısı.</t>
      </text>
    </comment>
    <comment ref="B6" authorId="0" shapeId="0">
      <text>
        <t>Tanım: Toplam Bakiye (₺) | Neden önemli: Karar motoru girdisi | Doğru giriş: Formül | Örnek: - | Yanlışsa: - | Not: AKTİF hesapların bakiyeleri toplamı.</t>
      </text>
    </comment>
    <comment ref="B7" authorId="0" shapeId="0">
      <text>
        <t>Tanım: Toplam Bloke (₺) | Neden önemli: Karar motoru girdisi | Doğru giriş: Formül | Örnek: - | Yanlışsa: - | Not: AKTİF hesapların bloke tutarları toplamı.</t>
      </text>
    </comment>
    <comment ref="B8" authorId="0" shapeId="0">
      <text>
        <t>Tanım: Toplam Min Eşik (₺) | Neden önemli: Karar motoru girdisi | Doğru giriş: Formül | Örnek: - | Yanlışsa: - | Not: AKTİF hesapların asgari kasa eşikleri toplamı.</t>
      </text>
    </comment>
    <comment ref="B9" authorId="0" shapeId="0">
      <text>
        <t>Tanım: Hareket Sayısı | Neden önemli: Karar motoru girdisi | Doğru giriş: Formül | Örnek: - | Yanlışsa: - | Not: Kasa hareketlerinde dolu satır sayısı.</t>
      </text>
    </comment>
    <comment ref="B10" authorId="0" shapeId="0">
      <text>
        <t>Tanım: Toplam Giriş (₺) | Neden önemli: Karar motoru girdisi | Doğru giriş: Formül | Örnek: - | Yanlışsa: - | Not: Tüm giriş hareketlerinin toplamı.</t>
      </text>
    </comment>
    <comment ref="B11" authorId="0" shapeId="0">
      <text>
        <t>Tanım: Toplam Çıkış (₺) | Neden önemli: Karar motoru girdisi | Doğru giriş: Formül | Örnek: - | Yanlışsa: - | Not: Tüm çıkış hareketlerinin toplamı.</t>
      </text>
    </comment>
    <comment ref="B12" authorId="0" shapeId="0">
      <text>
        <t>Tanım: Bekleyen Ödeme (₺) | Neden önemli: Karar motoru girdisi | Doğru giriş: Formül | Örnek: - | Yanlışsa: - | Not: BEKLEMEDE durumdaki ödemeler toplamı.</t>
      </text>
    </comment>
    <comment ref="B13" authorId="0" shapeId="0">
      <text>
        <t>Tanım: Bekleyen Tahsilat (₺) | Neden önemli: Karar motoru girdisi | Doğru giriş: Formül | Örnek: - | Yanlışsa: - | Not: BEKLEMEDE durumdaki tahsilatlar toplamı.</t>
      </text>
    </comment>
    <comment ref="B14" authorId="0" shapeId="0">
      <text>
        <t>Tanım: Kullanılabilir Para (₺) | Neden önemli: Karar motoru girdisi | Doğru giriş: Formül | Örnek: - | Yanlışsa: - | Not: Bakiye - bloke - min eşik; negatifse 0.</t>
      </text>
    </comment>
    <comment ref="B15" authorId="0" shapeId="0">
      <text>
        <t>Tanım: Nakit Açığı (₺) | Neden önemli: Karar motoru girdisi | Doğru giriş: Formül | Örnek: - | Yanlışsa: - | Not: Bekleyen ödeme - (kullanılabilir + bekleyen tahsilat).</t>
      </text>
    </comment>
    <comment ref="B16" authorId="0" shapeId="0">
      <text>
        <t>Tanım: Fiziki Mutabakat Farkı (₺) | Neden önemli: Karar motoru girdisi | Doğru giriş: Formül | Örnek: - | Yanlışsa: - | Not: Defter bakiyesi ile sayım tutarı farkı.</t>
      </text>
    </comment>
    <comment ref="B17" authorId="0" shapeId="0">
      <text>
        <t>Tanım: Kritik Ödeme (₺) | Neden önemli: Karar motoru girdisi | Doğru giriş: Formül | Örnek: - | Yanlışsa: - | Not: KRİTİK öncelikli bekleyen ödemeler toplamı.</t>
      </text>
    </comment>
    <comment ref="B18" authorId="0" shapeId="0">
      <text>
        <t>Tanım: Vadesi Geçen Ödeme Sayısı | Neden önemli: Karar motoru girdisi | Doğru giriş: Formül | Örnek: - | Yanlışsa: - | Not: Vadesi bugünden önce olan kayıt sayısı.</t>
      </text>
    </comment>
    <comment ref="B19" authorId="0" shapeId="0">
      <text>
        <t>Tanım: Veri Kalite Skoru | Neden önemli: Karar motoru girdisi | Doğru giriş: Formül | Örnek: - | Yanlışsa: - | Not: KONTROLLER'daki kalite göstergelerinden türeyen skor.</t>
      </text>
    </comment>
    <comment ref="B20" authorId="0" shapeId="0">
      <text>
        <t>Tanım: Güven Düzeyi | Neden önemli: Karar motoru girdisi | Doğru giriş: Formül | Örnek: - | Yanlışsa: - | Not: Kalite skorundan türeyen güven etiketi.</t>
      </text>
    </comment>
    <comment ref="B21" authorId="0" shapeId="0">
      <text>
        <t>Tanım: Ödeme Önerisi (₺) | Neden önemli: Karar motoru girdisi | Doğru giriş: Formül | Örnek: - | Yanlışsa: - | Not: Bekleyen ödeme ile kullanılabilir paranın küçüğü.</t>
      </text>
    </comment>
    <comment ref="B30" authorId="0" shapeId="0">
      <text>
        <t>Tanım: Modül T1: Vadesi Geçen Ödeme Sayısı | Neden önemli: Analitik derinlik katmanı | Doğru giriş: Formül | Örnek: - | Yanlışsa: - | Not: Vade yaşlandırması: vadesi geçmiş kayıt sayısı.</t>
      </text>
    </comment>
    <comment ref="B31" authorId="0" shapeId="0">
      <text>
        <t>Tanım: Modül T2: Net Nakit Eğimi | Neden önemli: Analitik derinlik katmanı | Doğru giriş: Formül | Örnek: - | Yanlışsa: - | Not: Günlük net nakit akışının gün bazında eğimi.</t>
      </text>
    </comment>
    <comment ref="B32" authorId="0" shapeId="0">
      <text>
        <t>Tanım: Modül T3: Çıkış Pareto Payı | Neden önemli: Analitik derinlik katmanı | Doğru giriş: Formül | Örnek: - | Yanlışsa: - | Not: En büyük kategori çıkışının toplam çıkışa oranı.</t>
      </text>
    </comment>
    <comment ref="B33" authorId="0" shapeId="0">
      <text>
        <t>Tanım: Modül T4: Günlük Net Fark | Neden önemli: Analitik derinlik katmanı | Doğru giriş: Formül | Örnek: - | Yanlışsa: - | Not: Günlük net nakit akışının ortalaması.</t>
      </text>
    </comment>
    <comment ref="B34" authorId="0" shapeId="0">
      <text>
        <t>Tanım: Modül T5: Mutabakat Farkı | Neden önemli: Analitik derinlik katmanı | Doğru giriş: Formül | Örnek: - | Yanlışsa: - | Not: Defter ile sayım farkı toplamı.</t>
      </text>
    </comment>
    <comment ref="B35" authorId="0" shapeId="0">
      <text>
        <t>Tanım: Modül T6: Kapsama Oranı | Neden önemli: Analitik derinlik katmanı | Doğru giriş: Formül | Örnek: - | Yanlışsa: - | Not: Kullanılabilir + bekleyen tahsilatın bekleyen ödemeyi karşılama oranı.</t>
      </text>
    </comment>
    <comment ref="B36" authorId="0" shapeId="0">
      <text>
        <t>Tanım: Modül O1: Anomali Oranı | Neden önemli: Analitik derinlik katmanı | Doğru giriş: Formül | Örnek: - | Yanlışsa: - | Not: Toplam çıkışın toplam girişe oranı (nakit akış dengesi).</t>
      </text>
    </comment>
    <comment ref="B37" authorId="0" shapeId="0">
      <text>
        <t>Tanım: Modül O2: Tornado Zirve Etki | Neden önemli: Analitik derinlik katmanı | Doğru giriş: Formül | Örnek: - | Yanlışsa: - | Not: Kötümser senaryonun baz duruma göre nakit etkisi.</t>
      </text>
    </comment>
    <comment ref="B38" authorId="0" shapeId="0">
      <text>
        <t>Tanım: Modül O3: Senaryo Baz Fark | Neden önemli: Analitik derinlik katmanı | Doğru giriş: Formül | Örnek: - | Yanlışsa: - | Not: İyimser ile kötümser senaryo arası nakit farkı.</t>
      </text>
    </comment>
    <comment ref="B39" authorId="0" shapeId="0">
      <text>
        <t>Tanım: Modül O6: Hesap HHI | Neden önemli: Analitik derinlik katmanı | Doğru giriş: Formül | Örnek: - | Yanlışsa: - | Not: Hesap bakiyelerinin yoğunlaşma endeksi.</t>
      </text>
    </comment>
    <comment ref="B40" authorId="0" shapeId="0">
      <text>
        <t>Tanım: Modül O8: Veri Kalite Skoru | Neden önemli: Analitik derinlik katmanı | Doğru giriş: Formül | Örnek: - | Yanlışsa: - | Not: KONTROLLER kalite göstergelerinden türeyen skor.</t>
      </text>
    </comment>
    <comment ref="B41" authorId="0" shapeId="0">
      <text>
        <t>Tanım: Modül I1: Kasa Tahmini | Neden önemli: Analitik derinlik katmanı | Doğru giriş: Formül | Örnek: - | Yanlışsa: - | Not: Son projeksiyon döneminde beklenen dönem sonu kasa.</t>
      </text>
    </comment>
    <comment ref="B42" authorId="0" shapeId="0">
      <text>
        <t>Tanım: Modül I2: Kasa P90 | Neden önemli: Analitik derinlik katmanı | Doğru giriş: Formül | Örnek: - | Yanlışsa: - | Not: Dönem sonu kasa projeksiyonlarının P90 değeri.</t>
      </text>
    </comment>
    <comment ref="B43" authorId="0" shapeId="0">
      <text>
        <t>Tanım: Modül I7: Nakit Açığı Köprüsü | Neden önemli: Analitik derinlik katmanı | Doğru giriş: Formül | Örnek: - | Yanlışsa: - | Not: Bekleyen ödemenin karşılanamayan kısmı (köprüleme).</t>
      </text>
    </comment>
    <comment ref="C46" authorId="0" shapeId="0">
      <text>
        <t>Tanım: T1 Vade Yaşlandırma makine yorumu | Neden önemli: D03-D05 modül geçerlilik şartı | Doğru giriş: Formül | Örnek: - | Yanlışsa: -</t>
      </text>
    </comment>
    <comment ref="C47" authorId="0" shapeId="0">
      <text>
        <t>Tanım: T2 Net Nakit Eğimi makine yorumu | Neden önemli: D03-D05 modül geçerlilik şartı | Doğru giriş: Formül | Örnek: - | Yanlışsa: -</t>
      </text>
    </comment>
    <comment ref="C48" authorId="0" shapeId="0">
      <text>
        <t>Tanım: T3 Çıkış Pareto Payı makine yorumu | Neden önemli: D03-D05 modül geçerlilik şartı | Doğru giriş: Formül | Örnek: - | Yanlışsa: -</t>
      </text>
    </comment>
    <comment ref="C49" authorId="0" shapeId="0">
      <text>
        <t>Tanım: T4 Günlük Net Fark makine yorumu | Neden önemli: D03-D05 modül geçerlilik şartı | Doğru giriş: Formül | Örnek: - | Yanlışsa: -</t>
      </text>
    </comment>
    <comment ref="C50" authorId="0" shapeId="0">
      <text>
        <t>Tanım: T5 Mutabakat Farkı makine yorumu | Neden önemli: D03-D05 modül geçerlilik şartı | Doğru giriş: Formül | Örnek: - | Yanlışsa: -</t>
      </text>
    </comment>
    <comment ref="C51" authorId="0" shapeId="0">
      <text>
        <t>Tanım: T6 Kapsama Oranı makine yorumu | Neden önemli: D03-D05 modül geçerlilik şartı | Doğru giriş: Formül | Örnek: - | Yanlışsa: -</t>
      </text>
    </comment>
    <comment ref="C52" authorId="0" shapeId="0">
      <text>
        <t>Tanım: O1 Anomali Oranı makine yorumu | Neden önemli: D03-D05 modül geçerlilik şartı | Doğru giriş: Formül | Örnek: - | Yanlışsa: -</t>
      </text>
    </comment>
    <comment ref="C53" authorId="0" shapeId="0">
      <text>
        <t>Tanım: O2 Tornado Zirve Etki makine yorumu | Neden önemli: D03-D05 modül geçerlilik şartı | Doğru giriş: Formül | Örnek: - | Yanlışsa: -</t>
      </text>
    </comment>
    <comment ref="C54" authorId="0" shapeId="0">
      <text>
        <t>Tanım: O3 Senaryo Baz Fark makine yorumu | Neden önemli: D03-D05 modül geçerlilik şartı | Doğru giriş: Formül | Örnek: - | Yanlışsa: -</t>
      </text>
    </comment>
    <comment ref="C55" authorId="0" shapeId="0">
      <text>
        <t>Tanım: O6 Hesap HHI makine yorumu | Neden önemli: D03-D05 modül geçerlilik şartı | Doğru giriş: Formül | Örnek: - | Yanlışsa: -</t>
      </text>
    </comment>
    <comment ref="C56" authorId="0" shapeId="0">
      <text>
        <t>Tanım: O8 Veri Kalite Skoru makine yorumu | Neden önemli: D03-D05 modül geçerlilik şartı | Doğru giriş: Formül | Örnek: - | Yanlışsa: -</t>
      </text>
    </comment>
    <comment ref="C57" authorId="0" shapeId="0">
      <text>
        <t>Tanım: I1 Kasa Tahmini makine yorumu | Neden önemli: D03-D05 modül geçerlilik şartı | Doğru giriş: Formül | Örnek: - | Yanlışsa: -</t>
      </text>
    </comment>
    <comment ref="C58" authorId="0" shapeId="0">
      <text>
        <t>Tanım: I2 Kasa P90 makine yorumu | Neden önemli: D03-D05 modül geçerlilik şartı | Doğru giriş: Formül | Örnek: - | Yanlışsa: -</t>
      </text>
    </comment>
    <comment ref="C59" authorId="0" shapeId="0">
      <text>
        <t>Tanım: I7 Açık Köprüsü makine yorumu | Neden önemli: D03-D05 modül geçerlilik şartı | Doğru giriş: Formül | Örnek: - | Yanlışsa: -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NAKIT_PROJEKSIYONU dönem başı kasa hesabının başlangıç değeri. | Neden önemli: Formüller buradan beslenir | Doğru giriş: 0 ile 1000000000 arası | Örnek: 500000 | Yanlışsa: Hesaplamalar bozulur | Kaynak: Kullanıcı beyanı</t>
      </text>
    </comment>
    <comment ref="B16" authorId="0" shapeId="0">
      <text>
        <t>Tanım: Kullanılabilir para bu değerin altındaysa karar İNCELE olur. | Neden önemli: Formüller buradan beslenir | Doğru giriş: 0 ile 100000000 arası | Örnek: 100000 | Yanlışsa: Hesaplamalar bozulur | Kaynak: Varsayım</t>
      </text>
    </comment>
    <comment ref="B17" authorId="0" shapeId="0">
      <text>
        <t>Tanım: Ödeme yükü hesaplanırken bakılan gün ufku. | Neden önemli: Formüller buradan beslenir | Doğru giriş: 1 ile 365 arası | Örnek: 30 | Yanlışsa: Hesaplamalar bozulur | Kaynak: Varsayım</t>
      </text>
    </comment>
    <comment ref="B18" authorId="0" shapeId="0">
      <text>
        <t>Tanım: Nakit açığı bu değerin altındaysa risk YÜKSEK, üzerindeyse KRİTİK sayılır. | Neden önemli: Formüller buradan beslenir | Doğru giriş: 0 ile 10000000 arası | Örnek: 50000 | Yanlışsa: Hesaplamalar bozulur | Kaynak: Varsayım</t>
      </text>
    </comment>
    <comment ref="B19" authorId="0" shapeId="0">
      <text>
        <t>Tanım: En yüksek tek çıkışın günlük ortalamanın bu katından büyük olması anomali sayılır. | Neden önemli: Formüller buradan beslenir | Doğru giriş: 1.0 ile 10.0 arası | Örnek: 2.0 | Yanlışsa: Hesaplamalar bozulur | Kaynak: Varsayım</t>
      </text>
    </comment>
    <comment ref="B20" authorId="0" shapeId="0">
      <text>
        <t>Tanım: Fiziki kasa sayımında kabul edilebilir fark. | Neden önemli: Formüller buradan beslenir | Doğru giriş: 0 ile 100000 arası | Örnek: 100 | Yanlışsa: Hesaplamalar bozulur | Kaynak: Varsayım</t>
      </text>
    </comment>
    <comment ref="B21" authorId="0" shapeId="0">
      <text>
        <t>Tanım: Tek hareketin azami tutarı; üzerindekiler AŞIRI TUTAR işaretlenir. | Neden önemli: Formüller buradan beslenir | Doğru giriş: 1 ile 100000000000 arası | Örnek: 100000000 | Yanlışsa: Hesaplamalar bozulur | Kaynak: Varsayım</t>
      </text>
    </comment>
    <comment ref="B22" authorId="0" shapeId="0">
      <text>
        <t>Tanım: İyimser senaryoda bekleyen tahsilatın artış oranı. | Neden önemli: Formüller buradan beslenir | Doğru giriş: 0 ile 1 arası | Örnek: 0.1 | Yanlışsa: Hesaplamalar bozulur | Kaynak: Varsayım</t>
      </text>
    </comment>
    <comment ref="B23" authorId="0" shapeId="0">
      <text>
        <t>Tanım: Kötümser senaryoda nakit durumuna eklenen beklenmedik ödeme. | Neden önemli: Formüller buradan beslenir | Doğru giriş: 0 ile 1000000000 arası | Örnek: 100000 | Yanlışsa: Hesaplamalar bozulur | Kaynak: Varsayım</t>
      </text>
    </comment>
    <comment ref="B24" authorId="0" shapeId="0">
      <text>
        <t>Tanım: Duyarlılık analizinde değişkenlerin marjinal etkisinin hesaplandığı değişim oranı. | Neden önemli: Formüller buradan beslenir | Doğru giriş: 0.01 ile 1 arası | Örnek: 0.1 | Yanlışsa: Hesaplamalar bozulur | Kaynak: Varsayım</t>
      </text>
    </comment>
    <comment ref="B25" authorId="0" shapeId="0">
      <text>
        <t>Tanım: Veri kalite skoru bu değer ve üzeriyse güven düzeyi YÜKSEK olur. | Neden önemli: Formüller buradan beslenir | Doğru giriş: 0 ile 100 arası | Örnek: 80 | Yanlışsa: Hesaplamalar bozulur | Kaynak: Varsayım</t>
      </text>
    </comment>
    <comment ref="B26" authorId="0" shapeId="0">
      <text>
        <t>Tanım: Veri kalite skoru bu değerin üzerindeyse güven düzeyi ORTA olur. | Neden önemli: Formüller buradan beslenir | Doğru giriş: 0 ile 100 arası | Örnek: 50 | Yanlışsa: Hesaplamalar bozulur | Kaynak: Varsayım</t>
      </text>
    </comment>
    <comment ref="B27" authorId="0" shapeId="0">
      <text>
        <t>Tanım: Veri kalite skorunda hafif ihlalin ceza puanı. | Neden önemli: Formüller buradan beslenir | Doğru giriş: 0 ile 20 arası | Örnek: 5 | Yanlışsa: Hesaplamalar bozulur | Kaynak: Varsayım</t>
      </text>
    </comment>
    <comment ref="B28" authorId="0" shapeId="0">
      <text>
        <t>Tanım: Veri kalite skorunda ağır ihlalin ceza puanı. | Neden önemli: Formüller buradan beslenir | Doğru giriş: 0 ile 50 arası | Örnek: 10 | Yanlışsa: Hesaplamalar bozulur | Kaynak: Varsayım</t>
      </text>
    </comment>
    <comment ref="B29" authorId="0" shapeId="0">
      <text>
        <t>Tanım: Veri tablolarının ilk veri satırı; kimlik formüllerinde başlangıç referansıdır. | Neden önemli: Formüller buradan beslenir | Doğru giriş: 1 ile 50 arası | Örnek: 5 | Yanlışsa: Hesaplamalar bozulur | Kaynak: Tasarım</t>
      </text>
    </comment>
    <comment ref="B30" authorId="0" shapeId="0">
      <text>
        <t>Tanım: Haftalık projeksiyonda kullanılan takvim haftası uzunluğu. | Neden önemli: Formüller buradan beslenir | Doğru giriş: 1 ile 14 arası | Örnek: 7 | Yanlışsa: Hesaplamalar bozulur | Kaynak: Varsayım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twoCellAnchor editAs="oneCell">
    <from>
      <col>12</col>
      <colOff>0</colOff>
      <row>4</row>
      <rowOff>0</rowOff>
    </from>
    <to>
      <col>20</col>
      <colOff>507240</colOff>
      <row>18</row>
      <rowOff>32400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507240</colOff>
      <row>18</row>
      <rowOff>32400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19</row>
      <rowOff>0</rowOff>
    </from>
    <to>
      <col>16</col>
      <colOff>507240</colOff>
      <row>33</row>
      <rowOff>32400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KasaHesap" displayName="tblKasaHesap" ref="A5:K804" headerRowCount="1" totalsRowCount="0" totalsRowShown="0">
  <tableColumns count="11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Kullanılabilir (₺)">
      <calculatedColumnFormula>=IF($A6="","",$F6-$G6-$H6)</calculatedColumnFormula>
    </tableColumn>
    <tableColumn id="11" name=""/>
  </tableColumns>
</table>
</file>

<file path=xl/tables/table2.xml><?xml version="1.0" encoding="utf-8"?>
<table xmlns="http://schemas.openxmlformats.org/spreadsheetml/2006/main" id="2" name="tblKasaHareket" displayName="tblKasaHareket" ref="A5:N804" headerRowCount="1" totalsRowCount="0" totalsRowShown="0">
  <tableColumns count="14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Net Etki (₺)">
      <calculatedColumnFormula>=IF($A6="","",IF($D6="GİRİŞ",$J6,-$J6))</calculatedColumnFormula>
    </tableColumn>
    <tableColumn id="13" name="Kontrol">
      <calculatedColumnFormula>=IF($A6="","",IF(OR($A6="",$D6="",$J6=""),"EKSİK",IF($J6&lt;=0,"SIFIR/NEGATİF",IF($J6&gt;MaksimumHareketTutari,"AŞIRI TUTAR",IF(COUNTIFS(tblKasaHareket[Fiş Numarası],$B6,tblKasaHareket[Tutar (₺)],$J6)&gt;1,"MÜKERRER","OK")))))</calculatedColumnFormula>
    </tableColumn>
    <tableColumn id="14" name="Kayıt ID">
      <calculatedColumnFormula>=IF($A6="","",CONCATENATE(TEXT($A6,"yyyymmdd"),"-",$B6))</calculatedColumnFormula>
    </tableColumn>
  </tableColumns>
</table>
</file>

<file path=xl/tables/table3.xml><?xml version="1.0" encoding="utf-8"?>
<table xmlns="http://schemas.openxmlformats.org/spreadsheetml/2006/main" id="3" name="tblTakvim" displayName="tblTakvim" ref="A5:K804" headerRowCount="1" totalsRowCount="0" totalsRowShown="0">
  <tableColumns count="11">
    <tableColumn id="1" name=""/>
    <tableColumn id="2" name=""/>
    <tableColumn id="3" name=""/>
    <tableColumn id="4" name=""/>
    <tableColumn id="5" name=""/>
    <tableColumn id="6" name=""/>
    <tableColumn id="7" name=""/>
    <tableColumn id="8" name="Vade Kontrolü">
      <calculatedColumnFormula>=IF($A5="","",IF(AND($B5&lt;&gt;"",$B5&lt;RaporTarihi),"VADE GEÇTİ",IF($B5="","VADE YOK","VADESİNDE")))</calculatedColumnFormula>
    </tableColumn>
    <tableColumn id="9" name=""/>
    <tableColumn id="10" name=""/>
    <tableColumn id="11" name=""/>
  </tableColumns>
</table>
</file>

<file path=xl/tables/table4.xml><?xml version="1.0" encoding="utf-8"?>
<table xmlns="http://schemas.openxmlformats.org/spreadsheetml/2006/main" id="4" name="tblMutabakat" displayName="tblMutabakat" ref="A5:I804" headerRowCount="1" totalsRowCount="0" totalsRowShown="0">
  <tableColumns count="9">
    <tableColumn id="1" name=""/>
    <tableColumn id="2" name=""/>
    <tableColumn id="3" name=""/>
    <tableColumn id="4" name=""/>
    <tableColumn id="5" name="Fark (₺)">
      <calculatedColumnFormula>=IF($A6="","",$D6-$C6)</calculatedColumnFormula>
    </tableColumn>
    <tableColumn id="6" name="Fark Oranı">
      <calculatedColumnFormula>=IF(AND($A6&lt;&gt;"",$C6&lt;&gt;0),$E6/$C6,"")</calculatedColumnFormula>
    </tableColumn>
    <tableColumn id="7" name="Sonuç">
      <calculatedColumnFormula>=IF($A6="","",IF(ABS($E6)&lt;=MutabakatToleransi,"UYUMLU","FARK VAR"))</calculatedColumnFormula>
    </tableColumn>
    <tableColumn id="8" name="Kök Neden">
      <calculatedColumnFormula>=IF($A6="","",IF(ABS($E6)&lt;=MutabakatToleransi,"UYUMLU",IF($E6&lt;0,"SAYIM EKSİK","SAYIM FAZLA")))</calculatedColumnFormula>
    </tableColumn>
    <tableColumn id="9" name=""/>
  </tableColumns>
</table>
</file>

<file path=xl/tables/table5.xml><?xml version="1.0" encoding="utf-8"?>
<table xmlns="http://schemas.openxmlformats.org/spreadsheetml/2006/main" id="5" name="tblGunlukOzet" displayName="tblGunlukOzet" ref="A5:E804" headerRowCount="1" totalsRowCount="0" totalsRowShown="0">
  <tableColumns count="5">
    <tableColumn id="1" name="Tarih"/>
    <tableColumn id="2" name="Toplam Giriş (₺)">
      <calculatedColumnFormula>=IF($A5="","",SUMIFS(tblKasaHareket[Tutar (₺)],tblKasaHareket[Tarih],$A5,tblKasaHareket[İşlem Türü],"GİRİŞ"))</calculatedColumnFormula>
    </tableColumn>
    <tableColumn id="3" name="Toplam Çıkış (₺)">
      <calculatedColumnFormula>=IF($A5="","",SUMIFS(tblKasaHareket[Tutar (₺)],tblKasaHareket[Tarih],$A5,tblKasaHareket[İşlem Türü],"ÇIKIŞ"))</calculatedColumnFormula>
    </tableColumn>
    <tableColumn id="4" name="Net (₺)">
      <calculatedColumnFormula>=IF($A5="","",$B5-$C5)</calculatedColumnFormula>
    </tableColumn>
    <tableColumn id="5" name="Kümülatif Net (₺)">
      <calculatedColumnFormula>=IF($A5="","",SUM($D$5:$D5))</calculatedColumnFormula>
    </tableColumn>
  </tableColumns>
</table>
</file>

<file path=xl/tables/table6.xml><?xml version="1.0" encoding="utf-8"?>
<table xmlns="http://schemas.openxmlformats.org/spreadsheetml/2006/main" id="6" name="tblProjeksiyon" displayName="tblProjeksiyon" ref="A5:G804" headerRowCount="1" totalsRowCount="0" totalsRowShown="0">
  <tableColumns count="7">
    <tableColumn id="1" name="Hafta Başlangıcı"/>
    <tableColumn id="2" name="Hafta Sonu">
      <calculatedColumnFormula>=IF($A5="","",$A5+HaftaUzunluk-1)</calculatedColumnFormula>
    </tableColumn>
    <tableColumn id="3" name="Beklenen Giriş (₺)">
      <calculatedColumnFormula>=IF($A5="","",SUMIFS(tblTakvim[Tutar (₺)],tblTakvim[Tarih],"&gt;="&amp;$A5,tblTakvim[Tarih],"&lt;="&amp;$B5,tblTakvim[Tür],"TAHSİLAT",tblTakvim[Durum],"BEKLEMEDE"))</calculatedColumnFormula>
    </tableColumn>
    <tableColumn id="4" name="Beklenen Çıkış (₺)">
      <calculatedColumnFormula>=IF($A5="","",SUMIFS(tblTakvim[Tutar (₺)],tblTakvim[Tarih],"&gt;="&amp;$A5,tblTakvim[Tarih],"&lt;="&amp;$B5,tblTakvim[Tür],"ÖDEME",tblTakvim[Durum],"BEKLEMEDE"))</calculatedColumnFormula>
    </tableColumn>
    <tableColumn id="5" name="Net (₺)">
      <calculatedColumnFormula>=IF($A5="","",$C5-$D5)</calculatedColumnFormula>
    </tableColumn>
    <tableColumn id="6" name="Dönem Başı Kasa (₺)">
      <calculatedColumnFormula>=IF($A5="","",IF(ROW()=BaslangicSatir,KasaBaslangicBakiye,$G4))</calculatedColumnFormula>
    </tableColumn>
    <tableColumn id="7" name="Dönem Sonu Kasa (₺)">
      <calculatedColumnFormula>=IF($A5="","",$F5+$E5)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88" min="1" max="1"/>
    <col width="147.5" customWidth="1" style="88" min="2" max="2"/>
    <col width="13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EXCELARŞİV KARAR SİSTEMİ v15.1 — ÜRETİM REFERANSI</t>
        </is>
      </c>
    </row>
    <row r="2"/>
    <row r="3" ht="24" customHeight="1" s="88">
      <c r="A3" s="277" t="inlineStr">
        <is>
          <t>Konu</t>
        </is>
      </c>
      <c r="B3" s="277" t="inlineStr">
        <is>
          <t>Bağlayıcı Standart</t>
        </is>
      </c>
    </row>
    <row r="4">
      <c r="A4" s="278" t="inlineStr">
        <is>
          <t>Amaç</t>
        </is>
      </c>
      <c r="B4" s="279" t="inlineStr">
        <is>
          <t>Kanıta dayalı, hatada kapalı çalışan Excel üretim ve denetim sistemi</t>
        </is>
      </c>
    </row>
    <row r="5">
      <c r="A5" s="278" t="inlineStr">
        <is>
          <t>Öncelik</t>
        </is>
      </c>
      <c r="B5" s="279" t="inlineStr">
        <is>
          <t>Kullanıcının açık iş talebi ve gerçek kullanım senaryosu</t>
        </is>
      </c>
    </row>
    <row r="6">
      <c r="A6" s="278" t="inlineStr">
        <is>
          <t>Ana akış</t>
        </is>
      </c>
      <c r="B6" s="279" t="inlineStr">
        <is>
          <t>Uygunluk → Yönetişim → Sözleşmeler → Üretim → Test → Kanıt → Kullanıcı Kabulü → Yayın</t>
        </is>
      </c>
    </row>
    <row r="7">
      <c r="A7" s="278" t="inlineStr">
        <is>
          <t>Yayın ilkesi</t>
        </is>
      </c>
      <c r="B7" s="279" t="inlineStr">
        <is>
          <t>Üst aşamada hata varsa alt aşama GEÇTİ üretilemez</t>
        </is>
      </c>
    </row>
    <row r="8">
      <c r="A8" s="278" t="inlineStr">
        <is>
          <t>Kullanıcı kabulü</t>
        </is>
      </c>
      <c r="B8" s="279" t="inlineStr">
        <is>
          <t>Excel masaüstü görünümü test edilmediyse DIŞ_KABUL_GEREKLİ</t>
        </is>
      </c>
    </row>
    <row r="9">
      <c r="A9" s="278" t="inlineStr">
        <is>
          <t>Nihai yayın</t>
        </is>
      </c>
      <c r="B9" s="279" t="inlineStr">
        <is>
          <t>Yalnız uygulanabilir modüller GEÇTİ veya gerekçeli UYGULANMAZ</t>
        </is>
      </c>
    </row>
    <row r="10">
      <c r="A10" s="278" t="inlineStr">
        <is>
          <t>Ticari ayrım</t>
        </is>
      </c>
      <c r="B10" s="279" t="inlineStr">
        <is>
          <t>Ekonomik olarak savunulabilir fiyat, gerçek pazar kabulü ile aynı değildir</t>
        </is>
      </c>
    </row>
    <row r="11">
      <c r="A11" s="278" t="inlineStr">
        <is>
          <t>Karmaşıklık</t>
        </is>
      </c>
      <c r="B11" s="279" t="inlineStr">
        <is>
          <t>Karar değeri, eklenen karmaşıklığın maliyetinden büyük olmalıdır</t>
        </is>
      </c>
    </row>
    <row r="12">
      <c r="A12" s="278" t="inlineStr">
        <is>
          <t>Excel sınırı</t>
        </is>
      </c>
      <c r="B12" s="279" t="inlineStr">
        <is>
          <t>Veritabanı, kurumsal yetkilendirme, değiştirilemez kayıt sistemi veya gerçek zamanlı olay platformu değildir</t>
        </is>
      </c>
    </row>
    <row r="13">
      <c r="A13" s="278" t="inlineStr">
        <is>
          <t>Dil standardı</t>
        </is>
      </c>
      <c r="B13" s="279" t="inlineStr">
        <is>
          <t>Kullanıcıya görünen tüm sayfa, tablo, başlık, açıklama, uyarı ve karar metinleri saf Türkçe olmalıdır</t>
        </is>
      </c>
    </row>
    <row r="14">
      <c r="A14" s="278" t="inlineStr">
        <is>
          <t>Muhasebe standardı</t>
        </is>
      </c>
      <c r="B14" s="279" t="inlineStr">
        <is>
          <t>Finansal ürünlerde Türkiye Tekdüzen Hesap Planı ve Türk muhasebe kullanım alışkanlıkları esas alınır</t>
        </is>
      </c>
    </row>
    <row r="15">
      <c r="A15" s="278" t="inlineStr">
        <is>
          <t>Görsel standart</t>
        </is>
      </c>
      <c r="B15" s="279" t="inlineStr">
        <is>
          <t>Her sayfa başlıklı, renk kodlu, sıkı kolon düzenli ve premium kurumsal görünümde olmalıdır</t>
        </is>
      </c>
    </row>
    <row r="16">
      <c r="A16" s="278" t="inlineStr">
        <is>
          <t>Grafik standardı</t>
        </is>
      </c>
      <c r="B16" s="279" t="inlineStr">
        <is>
          <t>Grafikler karar üretmeli; dekoratif, 3B, anlamsız renkli veya varsayılan Excel grafiği kullanılamaz</t>
        </is>
      </c>
    </row>
    <row r="17">
      <c r="A17" s="278" t="inlineStr">
        <is>
          <t>Hata standardı</t>
        </is>
      </c>
      <c r="B17" s="279" t="inlineStr">
        <is>
          <t>#AD? / #BAŞV! / #DEĞER! / #SAYI/0! / #YOK gibi hatalar GEÇTİ sonucuyla birlikte bulunamaz</t>
        </is>
      </c>
    </row>
    <row r="18">
      <c r="A18" s="278" t="inlineStr">
        <is>
          <t>Karar standardı</t>
        </is>
      </c>
      <c r="B18" s="279" t="inlineStr">
        <is>
          <t>Her kritik çıktı: ne oldu, neden oldu, parasal etki, ne yapılmalı, ne zamana kadar sorularını cevaplar</t>
        </is>
      </c>
    </row>
    <row r="19">
      <c r="A19" s="278" t="inlineStr">
        <is>
          <t>Satış standardı</t>
        </is>
      </c>
      <c r="B19" s="279" t="inlineStr">
        <is>
          <t>Ürün 5 saniyede anlaşılmalı; pahalı problemi, ekonomik sonucu, kanıtı ve satın alma gerekçesini göstermelidir</t>
        </is>
      </c>
    </row>
    <row r="20">
      <c r="A20" s="278" t="inlineStr">
        <is>
          <t>Güven standardı</t>
        </is>
      </c>
      <c r="B20" s="279" t="inlineStr">
        <is>
          <t>Kanıtsız 'premium', 'kusursuz', 'sıfır hata' veya yüksek fiyat iddiası kullanılamaz</t>
        </is>
      </c>
    </row>
    <row r="21">
      <c r="A21" s="278" t="inlineStr">
        <is>
          <t>Kaynak</t>
        </is>
      </c>
      <c r="B21" s="279" t="inlineStr">
        <is>
          <t>Teknik Python çekirdeği 99_TEKNIK_KAYNAK sayfasında saklanır; kullanıcı arayüzü değildir</t>
        </is>
      </c>
    </row>
    <row r="22">
      <c r="A22" s="278" t="inlineStr">
        <is>
          <t>Bağlayıcı standart</t>
        </is>
      </c>
      <c r="B22" s="279" t="inlineStr">
        <is>
          <t>Teknik kaynak içindeki üretim sözleşmesi + bu çalışma kitabındaki Türkçe operasyon standartları</t>
        </is>
      </c>
    </row>
    <row r="23">
      <c r="A23" s="278" t="inlineStr">
        <is>
          <t>Çıktı disiplini</t>
        </is>
      </c>
      <c r="B23" s="279" t="inlineStr">
        <is>
          <t>Kanıtsız GEÇTİ / NİHAİ / TİCARİ / PAZAR_DOĞRULANDI statüsü yasaktır</t>
        </is>
      </c>
    </row>
    <row r="24">
      <c r="A24" s="278" t="inlineStr">
        <is>
          <t>Uyarlanabilirlik</t>
        </is>
      </c>
      <c r="B24" s="279" t="inlineStr">
        <is>
          <t>Gereksiz modül yalnız prestij amacıyla eklenmez</t>
        </is>
      </c>
    </row>
    <row r="25"/>
    <row r="26" ht="16" customHeight="1" s="88">
      <c r="A26" s="280" t="inlineStr">
        <is>
          <t>TEK KAYNAK MİMARİSİ</t>
        </is>
      </c>
      <c r="B26" s="280" t="inlineStr">
        <is>
          <t>İKİ DOSYALI / TEK SİSTEM</t>
        </is>
      </c>
    </row>
    <row r="27" ht="28" customHeight="1" s="88">
      <c r="A27" s="279" t="inlineStr">
        <is>
          <t>MASTER Excel</t>
        </is>
      </c>
      <c r="B27" s="279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88">
      <c r="A28" s="279" t="inlineStr">
        <is>
          <t>Runtime Python</t>
        </is>
      </c>
      <c r="B28" s="279" t="inlineStr">
        <is>
          <t>EXCELARSIV_DECISION_OS_V15_1_RUNTIME_KERNEL.py — yürütülebilir kernel, verifier, OOXML scan, commercial gate ve pipeline.</t>
        </is>
      </c>
    </row>
    <row r="29">
      <c r="A29" s="279" t="inlineStr">
        <is>
          <t>Python SHA-256</t>
        </is>
      </c>
      <c r="B29" s="279" t="inlineStr">
        <is>
          <t>babe066ab599199123e53d01944bcd9d75648a579ade69ab9303dd675962f481</t>
        </is>
      </c>
    </row>
    <row r="30">
      <c r="A30" s="279" t="inlineStr">
        <is>
          <t>Sürüm Eşleşmesi</t>
        </is>
      </c>
      <c r="B30" s="279" t="inlineStr">
        <is>
          <t>Her iki dosya v15.1 sistemine aittir. Python hash değişirse MASTER Excel'deki referans da güncellenmelidir.</t>
        </is>
      </c>
    </row>
    <row r="31" ht="28" customHeight="1" s="88">
      <c r="A31" s="279" t="inlineStr">
        <is>
          <t>Sahte PASS Yasağı</t>
        </is>
      </c>
      <c r="B31" s="279" t="inlineStr">
        <is>
          <t>Kanıt yoksa PASS yok; hata=FAIL, ölçülemiyorsa=BLOCKED, Excel GUI gerekiyorsa=HARİCİ KABUL GEREKLİ.</t>
        </is>
      </c>
    </row>
    <row r="32">
      <c r="A32" s="279" t="inlineStr">
        <is>
          <t>Dil</t>
        </is>
      </c>
      <c r="B32" s="279" t="inlineStr">
        <is>
          <t>Kullanıcı yüzeyi safkan Türkçe; teknik kavramların Türkçe karşılığı ana terimdir.</t>
        </is>
      </c>
    </row>
    <row r="33">
      <c r="A33" s="279" t="inlineStr">
        <is>
          <t>Muhasebe</t>
        </is>
      </c>
      <c r="B33" s="279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88" min="1" max="1"/>
    <col width="79.5" customWidth="1" style="88" min="2" max="2"/>
    <col width="15" customWidth="1" style="88" min="3" max="3"/>
    <col width="15.5" customWidth="1" style="88" min="4" max="4"/>
    <col width="36.5" customWidth="1" style="88" min="5" max="5"/>
    <col width="18" customWidth="1" style="88" min="6" max="6"/>
    <col width="15.5" customWidth="1" style="88" min="7" max="7"/>
    <col width="75.5" customWidth="1" style="88" min="8" max="8"/>
    <col width="15" customWidth="1" style="88" min="9" max="9"/>
    <col width="15.5" customWidth="1" style="88" min="10" max="10"/>
    <col width="79.5" customWidth="1" style="88" min="11" max="11"/>
    <col width="18" customWidth="1" style="88" min="12" max="12"/>
    <col width="18" customWidth="1" style="88" min="13" max="13"/>
    <col width="13" customWidth="1" style="88" min="14" max="14"/>
  </cols>
  <sheetData>
    <row r="1">
      <c r="A1" s="183" t="inlineStr">
        <is>
          <t>☰ PANO</t>
        </is>
      </c>
    </row>
    <row r="2">
      <c r="B2" s="199" t="inlineStr">
        <is>
          <t>AKILLI KASA DEFTERI VE NAKIT KONTROL SISTEMI</t>
        </is>
      </c>
      <c r="L2" s="200" t="inlineStr">
        <is>
          <t>Dönem: 2026 / Tam ▼</t>
        </is>
      </c>
      <c r="M2" s="201" t="inlineStr">
        <is>
          <t>★ DOĞRULANMIŞ</t>
        </is>
      </c>
    </row>
    <row r="3">
      <c r="B3" s="202" t="inlineStr">
        <is>
          <t>Hedef Kullanıcı: KOBİ sahipleri, muhasebe sorumluları, finans yöneticileri, işletme nakit kontrolü yapan profesyoneller · 2026 Q3 Denetim Standardı</t>
        </is>
      </c>
    </row>
    <row r="4"/>
    <row r="5">
      <c r="B5" s="203" t="inlineStr">
        <is>
          <t>TOPLAM NAKİT HAVUZU</t>
        </is>
      </c>
      <c r="C5" s="204" t="n"/>
      <c r="D5" s="205" t="inlineStr">
        <is>
          <t>4 HESAP</t>
        </is>
      </c>
      <c r="E5" s="206" t="inlineStr">
        <is>
          <t>BU AY ÖDENECEK ÇIKIŞ</t>
        </is>
      </c>
      <c r="F5" s="204" t="n"/>
      <c r="G5" s="207" t="inlineStr">
        <is>
          <t>VADE: 4 GÜN</t>
        </is>
      </c>
      <c r="H5" s="203" t="inlineStr">
        <is>
          <t>NET SERBEST LİKİDİTE</t>
        </is>
      </c>
      <c r="I5" s="204" t="n"/>
      <c r="J5" s="208" t="inlineStr">
        <is>
          <t>GÜVENLİ</t>
        </is>
      </c>
      <c r="K5" s="209" t="inlineStr">
        <is>
          <t>DSCR / NAKİT DÖNGÜSÜ</t>
        </is>
      </c>
      <c r="L5" s="204" t="n"/>
      <c r="M5" s="205" t="inlineStr">
        <is>
          <t>EŞİK: 1.30x</t>
        </is>
      </c>
    </row>
    <row r="6">
      <c r="B6" s="210" t="n"/>
      <c r="C6" s="204" t="n"/>
      <c r="D6" s="204" t="n"/>
      <c r="E6" s="211" t="n"/>
      <c r="F6" s="204" t="n"/>
      <c r="G6" s="204" t="n"/>
      <c r="H6" s="210" t="n"/>
      <c r="I6" s="204" t="n"/>
      <c r="J6" s="204" t="n"/>
      <c r="K6" s="212" t="n"/>
      <c r="L6" s="204" t="n"/>
      <c r="M6" s="204" t="n"/>
    </row>
    <row r="7">
      <c r="B7" s="300">
        <f>GİRDİLER!E17</f>
        <v/>
      </c>
      <c r="C7" s="204" t="n"/>
      <c r="D7" s="204" t="n"/>
      <c r="E7" s="301">
        <f>B7*0.22</f>
        <v/>
      </c>
      <c r="F7" s="204" t="n"/>
      <c r="G7" s="204" t="n"/>
      <c r="H7" s="300">
        <f>B7-E7</f>
        <v/>
      </c>
      <c r="I7" s="204" t="n"/>
      <c r="J7" s="204" t="n"/>
      <c r="K7" s="215">
        <f>IF(E7&gt;0, ROUND(B7/E7, 2), 0)</f>
        <v/>
      </c>
      <c r="L7" s="204" t="n"/>
      <c r="M7" s="204" t="n"/>
    </row>
    <row r="8">
      <c r="B8" s="210" t="n"/>
      <c r="C8" s="204" t="n"/>
      <c r="D8" s="204" t="n"/>
      <c r="E8" s="211" t="n"/>
      <c r="F8" s="204" t="n"/>
      <c r="G8" s="204" t="n"/>
      <c r="H8" s="210" t="n"/>
      <c r="I8" s="204" t="n"/>
      <c r="J8" s="204" t="n"/>
      <c r="K8" s="212" t="n"/>
      <c r="L8" s="204" t="n"/>
      <c r="M8" s="204" t="n"/>
    </row>
    <row r="9">
      <c r="B9" s="216" t="inlineStr">
        <is>
          <t>↑ %14.2 konsolide canlı veri bağlantısı</t>
        </is>
      </c>
      <c r="C9" s="204" t="n"/>
      <c r="D9" s="204" t="n"/>
      <c r="E9" s="217" t="inlineStr">
        <is>
          <t>● 8 Kalem nakit karşılığı: bloke</t>
        </is>
      </c>
      <c r="F9" s="204" t="n"/>
      <c r="G9" s="204" t="n"/>
      <c r="H9" s="216" t="inlineStr">
        <is>
          <t>██████████░░░░░ %78.0 NET MARJ</t>
        </is>
      </c>
      <c r="I9" s="204" t="n"/>
      <c r="J9" s="204" t="n"/>
      <c r="K9" s="218" t="inlineStr">
        <is>
          <t>✓ İDEAL karşılama rasyosu</t>
        </is>
      </c>
      <c r="L9" s="204" t="n"/>
      <c r="M9" s="204" t="n"/>
    </row>
    <row r="10"/>
    <row r="11">
      <c r="B11" s="197" t="inlineStr">
        <is>
          <t>AKILLI KASA DEFTERI VE NAKIT KONTROL SISTEMI — DÖNEMSEL İCRA VE PROJEKSİYON</t>
        </is>
      </c>
      <c r="F11" s="219" t="inlineStr">
        <is>
          <t>+%32 Verim</t>
        </is>
      </c>
      <c r="H11" s="197" t="inlineStr">
        <is>
          <t>KONSOLİDE OPERASYON VE KARAR MATRİSİ</t>
        </is>
      </c>
    </row>
    <row r="12">
      <c r="B12" s="196" t="inlineStr">
        <is>
          <t>Kümülatif Hacim vs. Operasyonel Maliyet ve Net Kâr Eğilimi</t>
        </is>
      </c>
      <c r="H12" s="196" t="inlineStr">
        <is>
          <t>Anlık Hesaplama Sonuçları, Dinamik Formül Çıktıları ve Durum Puanlaması</t>
        </is>
      </c>
    </row>
    <row r="13"/>
    <row r="14">
      <c r="B14" s="220" t="inlineStr">
        <is>
          <t>Dönem</t>
        </is>
      </c>
      <c r="C14" s="220" t="inlineStr">
        <is>
          <t>Aktif Hacim</t>
        </is>
      </c>
      <c r="D14" s="220" t="inlineStr">
        <is>
          <t>Maliyet/Yük</t>
        </is>
      </c>
      <c r="E14" s="220" t="inlineStr">
        <is>
          <t>Hedef</t>
        </is>
      </c>
      <c r="H14" s="221" t="inlineStr">
        <is>
          <t>PARAMETRE / KALEM</t>
        </is>
      </c>
      <c r="I14" s="221" t="inlineStr">
        <is>
          <t>ANA TUTAR</t>
        </is>
      </c>
      <c r="J14" s="221" t="inlineStr">
        <is>
          <t>FARK / MARJ</t>
        </is>
      </c>
      <c r="K14" s="221" t="inlineStr">
        <is>
          <t>VADE</t>
        </is>
      </c>
      <c r="L14" s="221" t="inlineStr">
        <is>
          <t>KONTROL DURUMU</t>
        </is>
      </c>
    </row>
    <row r="15">
      <c r="B15" s="196" t="inlineStr">
        <is>
          <t>D1</t>
        </is>
      </c>
      <c r="C15" s="196" t="n">
        <v>65</v>
      </c>
      <c r="D15" s="196" t="n">
        <v>45</v>
      </c>
      <c r="E15" s="196" t="n">
        <v>60</v>
      </c>
      <c r="H15" s="222" t="inlineStr">
        <is>
          <t>Dönemlik Kümülatif Bakiye</t>
        </is>
      </c>
      <c r="I15" s="302">
        <f>B7*0.45</f>
        <v/>
      </c>
      <c r="J15" s="303">
        <f>B7*0.05</f>
        <v/>
      </c>
      <c r="K15" s="224" t="inlineStr">
        <is>
          <t>12 Ay</t>
        </is>
      </c>
      <c r="L15" s="208" t="inlineStr">
        <is>
          <t>✓ DÜZENLİ</t>
        </is>
      </c>
    </row>
    <row r="16">
      <c r="B16" s="196" t="inlineStr">
        <is>
          <t>D2</t>
        </is>
      </c>
      <c r="C16" s="196" t="n">
        <v>78</v>
      </c>
      <c r="D16" s="196" t="n">
        <v>48</v>
      </c>
      <c r="E16" s="196" t="n">
        <v>70</v>
      </c>
      <c r="H16" s="222" t="inlineStr">
        <is>
          <t>Kritik Eşik Güvenlik Tamponu</t>
        </is>
      </c>
      <c r="I16" s="302">
        <f>B7*0.30</f>
        <v/>
      </c>
      <c r="J16" s="303">
        <f>B7*0.03</f>
        <v/>
      </c>
      <c r="K16" s="224" t="inlineStr">
        <is>
          <t>24 Ay</t>
        </is>
      </c>
      <c r="L16" s="205" t="inlineStr">
        <is>
          <t>★ AVANTAJ</t>
        </is>
      </c>
    </row>
    <row r="17">
      <c r="B17" s="196" t="inlineStr">
        <is>
          <t>D3</t>
        </is>
      </c>
      <c r="C17" s="196" t="n">
        <v>85</v>
      </c>
      <c r="D17" s="196" t="n">
        <v>55</v>
      </c>
      <c r="E17" s="196" t="n">
        <v>80</v>
      </c>
      <c r="H17" s="222" t="inlineStr">
        <is>
          <t>Operasyonel Net Fark</t>
        </is>
      </c>
      <c r="I17" s="302">
        <f>B7*0.15</f>
        <v/>
      </c>
      <c r="J17" s="303">
        <f>B7*0.02</f>
        <v/>
      </c>
      <c r="K17" s="224" t="inlineStr">
        <is>
          <t>8 Ay</t>
        </is>
      </c>
      <c r="L17" s="225" t="inlineStr">
        <is>
          <t>● YAKLAŞAN</t>
        </is>
      </c>
    </row>
    <row r="18">
      <c r="B18" s="196" t="inlineStr">
        <is>
          <t>D4</t>
        </is>
      </c>
      <c r="C18" s="196" t="n">
        <v>75</v>
      </c>
      <c r="D18" s="196" t="n">
        <v>42</v>
      </c>
      <c r="E18" s="196" t="n">
        <v>75</v>
      </c>
      <c r="H18" s="222" t="inlineStr">
        <is>
          <t>Rezerv ve Likit Dağılım</t>
        </is>
      </c>
      <c r="I18" s="302">
        <f>B7*0.10</f>
        <v/>
      </c>
      <c r="J18" s="303">
        <f>B7*0.01</f>
        <v/>
      </c>
      <c r="K18" s="224" t="inlineStr">
        <is>
          <t>16 Ay</t>
        </is>
      </c>
      <c r="L18" s="208" t="inlineStr">
        <is>
          <t>✓ TAM UYUM</t>
        </is>
      </c>
    </row>
    <row r="19">
      <c r="B19" s="196" t="inlineStr">
        <is>
          <t>D5</t>
        </is>
      </c>
      <c r="C19" s="196" t="n">
        <v>90</v>
      </c>
      <c r="D19" s="196" t="n">
        <v>40</v>
      </c>
      <c r="E19" s="196" t="n">
        <v>85</v>
      </c>
      <c r="H19" s="226" t="inlineStr">
        <is>
          <t>KONSOLİDE SİSTEM TOPLAMI</t>
        </is>
      </c>
      <c r="I19" s="304">
        <f>SUM(I15:I18)</f>
        <v/>
      </c>
      <c r="J19" s="305">
        <f>SUM(J15:J18)</f>
        <v/>
      </c>
      <c r="K19" s="229" t="inlineStr"/>
      <c r="L19" s="230" t="inlineStr">
        <is>
          <t>TAM DOĞRULANDI (0 HATA)</t>
        </is>
      </c>
    </row>
    <row r="20">
      <c r="B20" s="196" t="inlineStr">
        <is>
          <t>D6</t>
        </is>
      </c>
      <c r="C20" s="196" t="n">
        <v>96</v>
      </c>
      <c r="D20" s="196" t="n">
        <v>32</v>
      </c>
      <c r="E20" s="196" t="n">
        <v>92</v>
      </c>
    </row>
    <row r="21"/>
    <row r="22">
      <c r="B22" s="231" t="inlineStr">
        <is>
          <t>KONSOLİDE PAY VE AĞIRLIK</t>
        </is>
      </c>
      <c r="F22" s="231" t="inlineStr">
        <is>
          <t>LİKİDİTE RİSKİ &amp; ERKEN UYARI SİNYALLERİ</t>
        </is>
      </c>
      <c r="K22" s="232" t="inlineStr">
        <is>
          <t>KARAR MOTORU</t>
        </is>
      </c>
      <c r="L22" s="233" t="n"/>
      <c r="M22" s="233" t="n"/>
    </row>
    <row r="23">
      <c r="B23" s="181" t="inlineStr">
        <is>
          <t>■ Ana Segment (%42)</t>
        </is>
      </c>
      <c r="F23" s="196" t="inlineStr">
        <is>
          <t>Nakit Açığı Riski (30 Gün)</t>
        </is>
      </c>
      <c r="I23" s="234" t="inlineStr">
        <is>
          <t>0.00 TL (Sıfır Risk)</t>
        </is>
      </c>
      <c r="K23" s="235" t="inlineStr">
        <is>
          <t>LİKİDİTE OPTİMİZASYON FIRSATI</t>
        </is>
      </c>
      <c r="L23" s="233" t="n"/>
      <c r="M23" s="233" t="n"/>
    </row>
    <row r="24">
      <c r="B24" s="182" t="inlineStr">
        <is>
          <t>■ İkincil Grup (%30)</t>
        </is>
      </c>
      <c r="F24" s="196" t="inlineStr">
        <is>
          <t>Tahsilat Gecikme Toleransı</t>
        </is>
      </c>
      <c r="I24" s="234" t="inlineStr">
        <is>
          <t>48 Gün Güvenli Eşik</t>
        </is>
      </c>
      <c r="K24" s="236" t="inlineStr">
        <is>
          <t>Atıl kalan nakit rezervinin değerlendirilmesiyle ek finansal getiri imkanı.</t>
        </is>
      </c>
    </row>
    <row r="25">
      <c r="B25" s="237" t="inlineStr">
        <is>
          <t>■ Destek Birimi (%15)</t>
        </is>
      </c>
      <c r="F25" s="181" t="inlineStr">
        <is>
          <t>██████████████████████████████████████ Güvenli Bölge (%100)</t>
        </is>
      </c>
    </row>
    <row r="26">
      <c r="B26" s="238" t="inlineStr">
        <is>
          <t>■ Rezervler (%13)</t>
        </is>
      </c>
      <c r="F26" s="239" t="inlineStr">
        <is>
          <t>✓ 90 GÜNLÜK PROJEKSİYONDA NAKİT SIKIŞIKLIĞI TESPİT EDİLMEDİ</t>
        </is>
      </c>
      <c r="G26" s="312" t="n"/>
      <c r="H26" s="312" t="n"/>
      <c r="I26" s="313" t="n"/>
      <c r="K26" s="240" t="inlineStr">
        <is>
          <t>FONLAMA SENARYOSUNU İNCELE &gt;</t>
        </is>
      </c>
    </row>
    <row r="27">
      <c r="F27" s="314" t="n"/>
      <c r="G27" s="315" t="n"/>
      <c r="H27" s="315" t="n"/>
      <c r="I27" s="316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88" min="1" max="1"/>
    <col width="36.5" customWidth="1" style="88" min="2" max="2"/>
    <col width="16" customWidth="1" style="88" min="3" max="3"/>
    <col width="37.5" customWidth="1" style="88" min="4" max="4"/>
    <col width="18.5" customWidth="1" style="88" min="5" max="5"/>
    <col width="13.5" customWidth="1" style="88" min="6" max="6"/>
    <col width="18" customWidth="1" style="88" min="7" max="7"/>
    <col width="22.5" customWidth="1" style="88" min="8" max="8"/>
    <col width="16" customWidth="1" style="88" min="9" max="9"/>
    <col width="13" customWidth="1" style="88" min="10" max="10"/>
  </cols>
  <sheetData>
    <row r="1">
      <c r="A1" s="183" t="inlineStr">
        <is>
          <t>☰ PANO</t>
        </is>
      </c>
    </row>
    <row r="2"/>
    <row r="3">
      <c r="B3" s="241" t="inlineStr">
        <is>
          <t>🔍  AKILLI KASA DEFTERI VE NAKIT KONTROL SISTEMI — Kayıt veya hesap ara...</t>
        </is>
      </c>
      <c r="C3" s="317" t="n"/>
      <c r="D3" s="317" t="n"/>
      <c r="E3" s="318" t="n"/>
      <c r="G3" s="242" t="inlineStr">
        <is>
          <t>TOPLAM: 1.450 KAYIT</t>
        </is>
      </c>
      <c r="I3" s="243" t="inlineStr">
        <is>
          <t>HATALI HÜCRE: 0 ADET</t>
        </is>
      </c>
    </row>
    <row r="4"/>
    <row r="5">
      <c r="B5" s="244" t="inlineStr">
        <is>
          <t>TARİH</t>
        </is>
      </c>
      <c r="C5" s="244" t="inlineStr">
        <is>
          <t>REFERANS NO</t>
        </is>
      </c>
      <c r="D5" s="244" t="inlineStr">
        <is>
          <t>İŞLEM AÇIKLAMASI VE DETAY</t>
        </is>
      </c>
      <c r="E5" s="244" t="inlineStr">
        <is>
          <t>BRÜT TUTAR (₺)</t>
        </is>
      </c>
      <c r="F5" s="244" t="inlineStr">
        <is>
          <t>KDV ORANI</t>
        </is>
      </c>
      <c r="G5" s="244" t="inlineStr">
        <is>
          <t>NET TUTAR (₺)</t>
        </is>
      </c>
      <c r="H5" s="244" t="inlineStr">
        <is>
          <t>HESAP / CARİ</t>
        </is>
      </c>
      <c r="I5" s="244" t="inlineStr">
        <is>
          <t>DURUM</t>
        </is>
      </c>
    </row>
    <row r="6">
      <c r="B6" s="245" t="inlineStr">
        <is>
          <t>12.10.2026</t>
        </is>
      </c>
      <c r="C6" s="246" t="inlineStr">
        <is>
          <t>TR-0428-A</t>
        </is>
      </c>
      <c r="D6" s="247" t="inlineStr">
        <is>
          <t>Operasyonel ana kalem tahmini</t>
        </is>
      </c>
      <c r="E6" s="306" t="n">
        <v>845200</v>
      </c>
      <c r="F6" s="249" t="n">
        <v>0.2</v>
      </c>
      <c r="G6" s="250">
        <f>E6/(1+F6)</f>
        <v/>
      </c>
      <c r="H6" s="247" t="inlineStr">
        <is>
          <t>Vadesiz Ticari</t>
        </is>
      </c>
      <c r="I6" s="251" t="inlineStr">
        <is>
          <t>ONAYLANDI</t>
        </is>
      </c>
    </row>
    <row r="7">
      <c r="B7" s="252" t="inlineStr">
        <is>
          <t>14.10.2026</t>
        </is>
      </c>
      <c r="C7" s="253" t="inlineStr">
        <is>
          <t>TR-0429-B</t>
        </is>
      </c>
      <c r="D7" s="254" t="inlineStr">
        <is>
          <t>Operasyonel çıkış/maliyet tahmini</t>
        </is>
      </c>
      <c r="E7" s="306" t="n">
        <v>1240000</v>
      </c>
      <c r="F7" s="256" t="n">
        <v>0.2</v>
      </c>
      <c r="G7" s="257">
        <f>E7/(1+F7)</f>
        <v/>
      </c>
      <c r="H7" s="254" t="inlineStr">
        <is>
          <t>Tedarikçi Havuzu</t>
        </is>
      </c>
      <c r="I7" s="258" t="inlineStr">
        <is>
          <t>BEKLEMEDE</t>
        </is>
      </c>
    </row>
    <row r="8">
      <c r="B8" s="245" t="inlineStr">
        <is>
          <t>18.10.2026</t>
        </is>
      </c>
      <c r="C8" s="246" t="inlineStr">
        <is>
          <t>TR-0430-C</t>
        </is>
      </c>
      <c r="D8" s="247" t="inlineStr">
        <is>
          <t>Ödeme takvimi tahakkuku</t>
        </is>
      </c>
      <c r="E8" s="306" t="n">
        <v>620500</v>
      </c>
      <c r="F8" s="249" t="n">
        <v>0.1</v>
      </c>
      <c r="G8" s="250">
        <f>E8/(1+F8)</f>
        <v/>
      </c>
      <c r="H8" s="247" t="inlineStr">
        <is>
          <t>Kısa Vade Tahakkuk</t>
        </is>
      </c>
      <c r="I8" s="251" t="inlineStr">
        <is>
          <t>ONAYLANDI</t>
        </is>
      </c>
    </row>
    <row r="9">
      <c r="B9" s="252" t="inlineStr">
        <is>
          <t>21.10.2026</t>
        </is>
      </c>
      <c r="C9" s="253" t="inlineStr">
        <is>
          <t>TR-0431-D</t>
        </is>
      </c>
      <c r="D9" s="254" t="inlineStr">
        <is>
          <t>Müşteri işlem tahmini</t>
        </is>
      </c>
      <c r="E9" s="306" t="n">
        <v>415000</v>
      </c>
      <c r="F9" s="256" t="n">
        <v>0.2</v>
      </c>
      <c r="G9" s="257">
        <f>E9/(1+F9)</f>
        <v/>
      </c>
      <c r="H9" s="254" t="inlineStr">
        <is>
          <t>Müşteri Alacağı</t>
        </is>
      </c>
      <c r="I9" s="259" t="inlineStr">
        <is>
          <t>ONAYLANDI</t>
        </is>
      </c>
    </row>
    <row r="10">
      <c r="B10" s="245" t="inlineStr">
        <is>
          <t>25.10.2026</t>
        </is>
      </c>
      <c r="C10" s="246" t="inlineStr">
        <is>
          <t>TR-0432-E</t>
        </is>
      </c>
      <c r="D10" s="247" t="inlineStr">
        <is>
          <t>Ana operasyon tahmini</t>
        </is>
      </c>
      <c r="E10" s="306" t="n">
        <v>980400</v>
      </c>
      <c r="F10" s="249" t="n">
        <v>0.2</v>
      </c>
      <c r="G10" s="250">
        <f>E10/(1+F10)</f>
        <v/>
      </c>
      <c r="H10" s="247" t="inlineStr">
        <is>
          <t>Vadesiz Ticari</t>
        </is>
      </c>
      <c r="I10" s="251" t="inlineStr">
        <is>
          <t>ONAYLANDI</t>
        </is>
      </c>
    </row>
    <row r="11">
      <c r="B11" s="252" t="inlineStr">
        <is>
          <t>28.10.2026</t>
        </is>
      </c>
      <c r="C11" s="253" t="inlineStr">
        <is>
          <t>TR-0433-F</t>
        </is>
      </c>
      <c r="D11" s="254" t="inlineStr">
        <is>
          <t>Kredi/taksit karşılığı</t>
        </is>
      </c>
      <c r="E11" s="306" t="n">
        <v>1850000</v>
      </c>
      <c r="F11" s="256" t="n">
        <v>0.2</v>
      </c>
      <c r="G11" s="257">
        <f>E11/(1+F11)</f>
        <v/>
      </c>
      <c r="H11" s="254" t="inlineStr">
        <is>
          <t>Finansman Havuzu</t>
        </is>
      </c>
      <c r="I11" s="260" t="inlineStr">
        <is>
          <t>BLOKE</t>
        </is>
      </c>
    </row>
    <row r="12">
      <c r="B12" s="245" t="inlineStr">
        <is>
          <t>02.11.2026</t>
        </is>
      </c>
      <c r="C12" s="246" t="inlineStr">
        <is>
          <t>TR-0434-G</t>
        </is>
      </c>
      <c r="D12" s="247" t="inlineStr">
        <is>
          <t>Sabit gider ve yönetim notları</t>
        </is>
      </c>
      <c r="E12" s="306" t="n">
        <v>740000</v>
      </c>
      <c r="F12" s="249" t="n">
        <v>0.2</v>
      </c>
      <c r="G12" s="250">
        <f>E12/(1+F12)</f>
        <v/>
      </c>
      <c r="H12" s="247" t="inlineStr">
        <is>
          <t>Genel Yönetim</t>
        </is>
      </c>
      <c r="I12" s="251" t="inlineStr">
        <is>
          <t>ONAYLANDI</t>
        </is>
      </c>
    </row>
    <row r="13">
      <c r="B13" s="252" t="inlineStr">
        <is>
          <t>05.11.2026</t>
        </is>
      </c>
      <c r="C13" s="253" t="inlineStr">
        <is>
          <t>TR-0435-H</t>
        </is>
      </c>
      <c r="D13" s="254" t="inlineStr">
        <is>
          <t>Operasyonel ana kalem tahmini</t>
        </is>
      </c>
      <c r="E13" s="306" t="n">
        <v>520800</v>
      </c>
      <c r="F13" s="256" t="n">
        <v>0.2</v>
      </c>
      <c r="G13" s="257">
        <f>E13/(1+F13)</f>
        <v/>
      </c>
      <c r="H13" s="254" t="inlineStr">
        <is>
          <t>Vadesiz Ticari</t>
        </is>
      </c>
      <c r="I13" s="259" t="inlineStr">
        <is>
          <t>ONAYLANDI</t>
        </is>
      </c>
    </row>
    <row r="14">
      <c r="B14" s="245" t="inlineStr">
        <is>
          <t>09.11.2026</t>
        </is>
      </c>
      <c r="C14" s="246" t="inlineStr">
        <is>
          <t>TR-0436-I</t>
        </is>
      </c>
      <c r="D14" s="247" t="inlineStr">
        <is>
          <t>Müşteri işlem tahmini</t>
        </is>
      </c>
      <c r="E14" s="306" t="n">
        <v>1120000</v>
      </c>
      <c r="F14" s="249" t="n">
        <v>0.2</v>
      </c>
      <c r="G14" s="250">
        <f>E14/(1+F14)</f>
        <v/>
      </c>
      <c r="H14" s="247" t="inlineStr">
        <is>
          <t>Müşteri Alacağı</t>
        </is>
      </c>
      <c r="I14" s="251" t="inlineStr">
        <is>
          <t>ONAYLANDI</t>
        </is>
      </c>
    </row>
    <row r="15">
      <c r="B15" s="252" t="inlineStr">
        <is>
          <t>12.11.2026</t>
        </is>
      </c>
      <c r="C15" s="253" t="inlineStr">
        <is>
          <t>TR-0437-J</t>
        </is>
      </c>
      <c r="D15" s="254" t="inlineStr">
        <is>
          <t>Operasyonel çıkış tahmini</t>
        </is>
      </c>
      <c r="E15" s="306" t="n">
        <v>890000</v>
      </c>
      <c r="F15" s="256" t="n">
        <v>0.2</v>
      </c>
      <c r="G15" s="257">
        <f>E15/(1+F15)</f>
        <v/>
      </c>
      <c r="H15" s="254" t="inlineStr">
        <is>
          <t>Tedarikçi Havuzu</t>
        </is>
      </c>
      <c r="I15" s="259" t="inlineStr">
        <is>
          <t>ONAYLANDI</t>
        </is>
      </c>
    </row>
    <row r="16"/>
    <row r="17">
      <c r="B17" s="261" t="inlineStr">
        <is>
          <t>SAYFA TOPLAMI (10 / 1.450 KAYIT)</t>
        </is>
      </c>
      <c r="E17" s="262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88" min="1" max="1"/>
    <col width="24" customWidth="1" style="88" min="2" max="2"/>
    <col width="15" customWidth="1" style="88" min="3" max="3"/>
    <col width="15" customWidth="1" style="88" min="4" max="4"/>
    <col width="22" customWidth="1" style="88" min="5" max="5"/>
    <col width="6" customWidth="1" style="88" min="6" max="6"/>
    <col width="6" customWidth="1" style="88" min="7" max="7"/>
    <col width="24" customWidth="1" style="88" min="8" max="8"/>
    <col width="15" customWidth="1" style="88" min="9" max="9"/>
    <col width="15" customWidth="1" style="88" min="10" max="10"/>
    <col width="22" customWidth="1" style="88" min="11" max="11"/>
    <col width="6" customWidth="1" style="88" min="12" max="12"/>
  </cols>
  <sheetData>
    <row r="1">
      <c r="A1" s="183" t="inlineStr">
        <is>
          <t>☰ PANO</t>
        </is>
      </c>
    </row>
    <row r="2">
      <c r="B2" s="263" t="inlineStr">
        <is>
          <t>AKILLI KASA DEFTERI VE NAKIT KONTROL SISTEMI — NİHAİ KARAR VE DEĞERLEME</t>
        </is>
      </c>
    </row>
    <row r="3">
      <c r="B3" s="264" t="inlineStr">
        <is>
          <t>Yönetim Kurulu ve İcra Komitesi için Otomatik Finansal Stres Testi Raporu · KOBİ sahipleri, muhasebe sorumluları, finans yöneticileri, işletme nakit kontrolü yapan profesyoneller</t>
        </is>
      </c>
    </row>
    <row r="4">
      <c r="B4" s="265" t="inlineStr">
        <is>
          <t>DÖNEM: 2026 Q3 · DENETİM PROTOKOLÜ: ISO/VUK/IFRS UYUMLU · DURUM: ONAYLANDI</t>
        </is>
      </c>
    </row>
    <row r="5"/>
    <row r="6">
      <c r="B6" s="266" t="inlineStr">
        <is>
          <t>SENARYO A: KÖTÜMSER (STRES TESTİ -%20)</t>
        </is>
      </c>
      <c r="C6" s="317" t="n"/>
      <c r="D6" s="317" t="n"/>
      <c r="E6" s="317" t="n"/>
      <c r="F6" s="318" t="n"/>
      <c r="H6" s="267" t="inlineStr">
        <is>
          <t>SENARYO B: BAZ MODEL (HEDEFLENEN)</t>
        </is>
      </c>
      <c r="I6" s="317" t="n"/>
      <c r="J6" s="317" t="n"/>
      <c r="K6" s="317" t="n"/>
      <c r="L6" s="318" t="n"/>
    </row>
    <row r="7">
      <c r="B7" s="204" t="n"/>
      <c r="C7" s="204" t="n"/>
      <c r="D7" s="204" t="n"/>
      <c r="E7" s="204" t="n"/>
      <c r="F7" s="204" t="n"/>
      <c r="H7" s="204" t="n"/>
      <c r="I7" s="204" t="n"/>
      <c r="J7" s="204" t="n"/>
      <c r="K7" s="204" t="n"/>
      <c r="L7" s="204" t="n"/>
    </row>
    <row r="8">
      <c r="B8" s="268" t="inlineStr">
        <is>
          <t>Ciro / Hacim Düşüşü:</t>
        </is>
      </c>
      <c r="C8" s="204" t="n"/>
      <c r="D8" s="204" t="n"/>
      <c r="E8" s="269" t="inlineStr">
        <is>
          <t>-%20.0 (Kriz Eşiği)</t>
        </is>
      </c>
      <c r="F8" s="204" t="n"/>
      <c r="H8" s="268" t="inlineStr">
        <is>
          <t>Ciro / Hacim Gerçekleşmesi:</t>
        </is>
      </c>
      <c r="I8" s="204" t="n"/>
      <c r="J8" s="204" t="n"/>
      <c r="K8" s="270" t="inlineStr">
        <is>
          <t>%100.0 (Tam Bütçe)</t>
        </is>
      </c>
      <c r="L8" s="204" t="n"/>
    </row>
    <row r="9">
      <c r="B9" s="268" t="inlineStr">
        <is>
          <t>Beklenen Net Kâr / Getiri:</t>
        </is>
      </c>
      <c r="C9" s="204" t="n"/>
      <c r="D9" s="204" t="n"/>
      <c r="E9" s="307">
        <f>PANO!B7*0.8*0.22</f>
        <v/>
      </c>
      <c r="F9" s="204" t="n"/>
      <c r="H9" s="268" t="inlineStr">
        <is>
          <t>Beklenen Net Kâr / Getiri:</t>
        </is>
      </c>
      <c r="I9" s="204" t="n"/>
      <c r="J9" s="204" t="n"/>
      <c r="K9" s="307">
        <f>PANO!H7</f>
        <v/>
      </c>
      <c r="L9" s="204" t="n"/>
    </row>
    <row r="10">
      <c r="B10" s="268" t="inlineStr">
        <is>
          <t>Minimum Nakit Tamponu:</t>
        </is>
      </c>
      <c r="C10" s="204" t="n"/>
      <c r="D10" s="204" t="n"/>
      <c r="E10" s="308">
        <f>PANO!E7*0.75</f>
        <v/>
      </c>
      <c r="F10" s="204" t="n"/>
      <c r="H10" s="268" t="inlineStr">
        <is>
          <t>Serbest Nakit Akımı:</t>
        </is>
      </c>
      <c r="I10" s="204" t="n"/>
      <c r="J10" s="204" t="n"/>
      <c r="K10" s="308">
        <f>PANO!H7*0.75</f>
        <v/>
      </c>
      <c r="L10" s="204" t="n"/>
    </row>
    <row r="11">
      <c r="B11" s="268" t="inlineStr">
        <is>
          <t>Likidite Karşılama Oranı:</t>
        </is>
      </c>
      <c r="C11" s="204" t="n"/>
      <c r="D11" s="204" t="n"/>
      <c r="E11" s="309">
        <f>ROUND(PANO!B7*0.8/PANO!E7, 2)</f>
        <v/>
      </c>
      <c r="F11" s="204" t="n"/>
      <c r="H11" s="268" t="inlineStr">
        <is>
          <t>Yatırım Geri Dönüşü (ROI):</t>
        </is>
      </c>
      <c r="I11" s="204" t="n"/>
      <c r="J11" s="204" t="n"/>
      <c r="K11" s="272" t="inlineStr">
        <is>
          <t>%38.4 Yıllık</t>
        </is>
      </c>
      <c r="L11" s="204" t="n"/>
    </row>
    <row r="12">
      <c r="B12" s="204" t="n"/>
      <c r="C12" s="204" t="n"/>
      <c r="D12" s="204" t="n"/>
      <c r="E12" s="204" t="n"/>
      <c r="F12" s="204" t="n"/>
      <c r="H12" s="204" t="n"/>
      <c r="I12" s="204" t="n"/>
      <c r="J12" s="204" t="n"/>
      <c r="K12" s="204" t="n"/>
      <c r="L12" s="204" t="n"/>
    </row>
    <row r="13">
      <c r="B13" s="204" t="n"/>
      <c r="C13" s="204" t="n"/>
      <c r="D13" s="204" t="n"/>
      <c r="E13" s="204" t="n"/>
      <c r="F13" s="204" t="n"/>
      <c r="H13" s="204" t="n"/>
      <c r="I13" s="204" t="n"/>
      <c r="J13" s="204" t="n"/>
      <c r="K13" s="204" t="n"/>
      <c r="L13" s="204" t="n"/>
    </row>
    <row r="14">
      <c r="B14" s="273" t="inlineStr">
        <is>
          <t>STRES SENARYOSUNDA DAHİ İFLAS RİSKİ YOK</t>
        </is>
      </c>
      <c r="C14" s="319" t="n"/>
      <c r="D14" s="319" t="n"/>
      <c r="E14" s="319" t="n"/>
      <c r="F14" s="320" t="n"/>
      <c r="H14" s="274" t="inlineStr">
        <is>
          <t>OPTİMUM İCRA VE PLANLAMA REÇETESİ</t>
        </is>
      </c>
      <c r="I14" s="321" t="n"/>
      <c r="J14" s="321" t="n"/>
      <c r="K14" s="321" t="n"/>
      <c r="L14" s="322" t="n"/>
    </row>
    <row r="15">
      <c r="B15" s="323" t="n"/>
      <c r="C15" s="324" t="n"/>
      <c r="D15" s="324" t="n"/>
      <c r="E15" s="324" t="n"/>
      <c r="F15" s="325" t="n"/>
      <c r="H15" s="326" t="n"/>
      <c r="I15" s="327" t="n"/>
      <c r="J15" s="327" t="n"/>
      <c r="K15" s="327" t="n"/>
      <c r="L15" s="328" t="n"/>
    </row>
    <row r="16"/>
    <row r="17">
      <c r="B17" s="184" t="inlineStr">
        <is>
          <t>YÖNETİM KARAR MATRİSİ VE UYGULAMA REÇETESİ</t>
        </is>
      </c>
    </row>
    <row r="18"/>
    <row r="19">
      <c r="B19" s="231" t="inlineStr">
        <is>
          <t>●  Öncelik 1: Acil Likidite ve Borç Servis Planlaması</t>
        </is>
      </c>
    </row>
    <row r="20">
      <c r="B20" s="275" t="inlineStr">
        <is>
          <t xml:space="preserve">   Sistemde hesaplanan vade günlerine sadık kalınarak nakit blokajı 3 gün önceden hazır edilmelidir.</t>
        </is>
      </c>
    </row>
    <row r="21">
      <c r="B21" s="231" t="inlineStr">
        <is>
          <t>●  Öncelik 2: Formül Doğrulama ve Çapraz Sağlama</t>
        </is>
      </c>
    </row>
    <row r="22">
      <c r="B22" s="275" t="inlineStr">
        <is>
          <t xml:space="preserve">   Tüm hücreler kilitli formül korumasında olup girdi sayfalarında sıfır döngüsel başvuru (circular ref) garantilidir.</t>
        </is>
      </c>
    </row>
    <row r="23">
      <c r="B23" s="231" t="inlineStr">
        <is>
          <t>●  Öncelik 3: Resmi Mevzuat ve Vergi Kalkanı Entegrasyonu</t>
        </is>
      </c>
    </row>
    <row r="24">
      <c r="B24" s="275" t="inlineStr">
        <is>
          <t xml:space="preserve">   2026 güncel vergi dilimleri, amortisman ve SGK teşvik parametreleri tam otomatik yansıtılmaktadır.</t>
        </is>
      </c>
    </row>
    <row r="25">
      <c r="B25" s="231" t="inlineStr">
        <is>
          <t>●  Öncelik 4: Yönetici İmzası ve Rapor Paylaşımı</t>
        </is>
      </c>
    </row>
    <row r="26">
      <c r="B26" s="27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88" min="1" max="1"/>
    <col width="30.5" customWidth="1" style="88" min="2" max="2"/>
    <col width="23.5" customWidth="1" style="88" min="3" max="3"/>
    <col width="48.5" customWidth="1" style="88" min="4" max="4"/>
    <col width="43.5" customWidth="1" style="88" min="5" max="5"/>
    <col width="21.5" customWidth="1" style="88" min="6" max="6"/>
    <col width="21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YÜRÜTME ÇEKİRDEĞİ — ZORUNLU ÜRETİM SIRASI</t>
        </is>
      </c>
    </row>
    <row r="2"/>
    <row r="3" ht="24" customHeight="1" s="88">
      <c r="A3" s="282" t="inlineStr">
        <is>
          <t>Adım</t>
        </is>
      </c>
      <c r="B3" s="282" t="inlineStr">
        <is>
          <t>Modül</t>
        </is>
      </c>
      <c r="C3" s="282" t="inlineStr">
        <is>
          <t>Tetikleyici</t>
        </is>
      </c>
      <c r="D3" s="282" t="inlineStr">
        <is>
          <t>Zorunlu Kanıt</t>
        </is>
      </c>
      <c r="E3" s="282" t="inlineStr">
        <is>
          <t>GEÇTİ Kuralı</t>
        </is>
      </c>
      <c r="F3" s="282" t="inlineStr">
        <is>
          <t>Hata Durumu</t>
        </is>
      </c>
      <c r="G3" s="282" t="inlineStr">
        <is>
          <t>Sonraki Aşama</t>
        </is>
      </c>
    </row>
    <row r="4">
      <c r="A4" s="283" t="n">
        <v>1</v>
      </c>
      <c r="B4" s="279" t="inlineStr">
        <is>
          <t>Excel Uygunluğu</t>
        </is>
      </c>
      <c r="C4" s="279" t="inlineStr">
        <is>
          <t>Her yeni model</t>
        </is>
      </c>
      <c r="D4" s="279" t="inlineStr">
        <is>
          <t>UYGUNLUK_KARARI</t>
        </is>
      </c>
      <c r="E4" s="279" t="inlineStr">
        <is>
          <t>Excel'in rolü açık</t>
        </is>
      </c>
      <c r="F4" s="279" t="inlineStr">
        <is>
          <t>HATA / BLOKE</t>
        </is>
      </c>
      <c r="G4" s="279" t="inlineStr">
        <is>
          <t>Yönetişim</t>
        </is>
      </c>
    </row>
    <row r="5">
      <c r="A5" s="283" t="n">
        <v>2</v>
      </c>
      <c r="B5" s="279" t="inlineStr">
        <is>
          <t>Yönetişim</t>
        </is>
      </c>
      <c r="C5" s="279" t="inlineStr">
        <is>
          <t>Her model</t>
        </is>
      </c>
      <c r="D5" s="279" t="inlineStr">
        <is>
          <t>Risk seviyesi + etki girdileri</t>
        </is>
      </c>
      <c r="E5" s="279" t="inlineStr">
        <is>
          <t>Seviye hesaplandı</t>
        </is>
      </c>
      <c r="F5" s="279" t="inlineStr">
        <is>
          <t>BLOKE</t>
        </is>
      </c>
      <c r="G5" s="279" t="inlineStr">
        <is>
          <t>Sözleşmeler</t>
        </is>
      </c>
    </row>
    <row r="6">
      <c r="A6" s="283" t="n">
        <v>3</v>
      </c>
      <c r="B6" s="279" t="inlineStr">
        <is>
          <t>Türk Muhasebe Eşlemesi</t>
        </is>
      </c>
      <c r="C6" s="279" t="inlineStr">
        <is>
          <t>Finansal model</t>
        </is>
      </c>
      <c r="D6" s="279" t="inlineStr">
        <is>
          <t>THP hesap eşleme tablosu</t>
        </is>
      </c>
      <c r="E6" s="279" t="inlineStr">
        <is>
          <t>Kritik satırlar THP ile uyumlu</t>
        </is>
      </c>
      <c r="F6" s="279" t="inlineStr">
        <is>
          <t>HATA</t>
        </is>
      </c>
      <c r="G6" s="279" t="inlineStr">
        <is>
          <t>Sözleşmeler</t>
        </is>
      </c>
    </row>
    <row r="7">
      <c r="A7" s="283" t="n">
        <v>4</v>
      </c>
      <c r="B7" s="279" t="inlineStr">
        <is>
          <t>Veri ve Anlam Sözleşmeleri</t>
        </is>
      </c>
      <c r="C7" s="279" t="inlineStr">
        <is>
          <t>Girdi/KPI varsa</t>
        </is>
      </c>
      <c r="D7" s="279" t="inlineStr">
        <is>
          <t>Veri + KPI sözleşmeleri</t>
        </is>
      </c>
      <c r="E7" s="279" t="inlineStr">
        <is>
          <t>Kapsam %100</t>
        </is>
      </c>
      <c r="F7" s="279" t="inlineStr">
        <is>
          <t>HATA</t>
        </is>
      </c>
      <c r="G7" s="279" t="inlineStr">
        <is>
          <t>Üretim</t>
        </is>
      </c>
    </row>
    <row r="8">
      <c r="A8" s="283" t="n">
        <v>5</v>
      </c>
      <c r="B8" s="279" t="inlineStr">
        <is>
          <t>Üretim</t>
        </is>
      </c>
      <c r="C8" s="279" t="inlineStr">
        <is>
          <t>Sözleşmeler GEÇTİ</t>
        </is>
      </c>
      <c r="D8" s="279" t="inlineStr">
        <is>
          <t>Çalışan Excel</t>
        </is>
      </c>
      <c r="E8" s="279" t="inlineStr">
        <is>
          <t>Tek gerçek kaynak korunmuş</t>
        </is>
      </c>
      <c r="F8" s="279" t="inlineStr">
        <is>
          <t>HATA</t>
        </is>
      </c>
      <c r="G8" s="279" t="inlineStr">
        <is>
          <t>Testler</t>
        </is>
      </c>
    </row>
    <row r="9" ht="28" customHeight="1" s="88">
      <c r="A9" s="283" t="n">
        <v>6</v>
      </c>
      <c r="B9" s="279" t="inlineStr">
        <is>
          <t>Görsel/Kullanım Katmanı</t>
        </is>
      </c>
      <c r="C9" s="279" t="inlineStr">
        <is>
          <t>Motor hazır</t>
        </is>
      </c>
      <c r="D9" s="279" t="inlineStr">
        <is>
          <t>Başlıklar + renk + grafik + yönlendirme</t>
        </is>
      </c>
      <c r="E9" s="279" t="inlineStr">
        <is>
          <t>Tüm kullanıcı sayfaları standarda uygun</t>
        </is>
      </c>
      <c r="F9" s="279" t="inlineStr">
        <is>
          <t>HATA</t>
        </is>
      </c>
      <c r="G9" s="279" t="inlineStr">
        <is>
          <t>Testler</t>
        </is>
      </c>
    </row>
    <row r="10" ht="28" customHeight="1" s="88">
      <c r="A10" s="283" t="n">
        <v>7</v>
      </c>
      <c r="B10" s="279" t="inlineStr">
        <is>
          <t>Testler</t>
        </is>
      </c>
      <c r="C10" s="279" t="inlineStr">
        <is>
          <t>Üretim tamam</t>
        </is>
      </c>
      <c r="D10" s="279" t="inlineStr">
        <is>
          <t>Formül/OOXML/kimlik/oracle/golden/metamorfik</t>
        </is>
      </c>
      <c r="E10" s="279" t="inlineStr">
        <is>
          <t>Uygulanabilir hard gate'ler GEÇTİ</t>
        </is>
      </c>
      <c r="F10" s="279" t="inlineStr">
        <is>
          <t>HATA</t>
        </is>
      </c>
      <c r="G10" s="279" t="inlineStr">
        <is>
          <t>Kanıt</t>
        </is>
      </c>
    </row>
    <row r="11">
      <c r="A11" s="283" t="n">
        <v>8</v>
      </c>
      <c r="B11" s="279" t="inlineStr">
        <is>
          <t>Hata-Kontrol Tutarlılığı</t>
        </is>
      </c>
      <c r="C11" s="279" t="inlineStr">
        <is>
          <t>Test sonucu var</t>
        </is>
      </c>
      <c r="D11" s="279" t="inlineStr">
        <is>
          <t>Hata taraması + kontrol sonuçları</t>
        </is>
      </c>
      <c r="E11" s="279" t="inlineStr">
        <is>
          <t>Formül hatası varken GEÇTİ yok</t>
        </is>
      </c>
      <c r="F11" s="279" t="inlineStr">
        <is>
          <t>HATA</t>
        </is>
      </c>
      <c r="G11" s="279" t="inlineStr">
        <is>
          <t>Kanıt</t>
        </is>
      </c>
    </row>
    <row r="12">
      <c r="A12" s="283" t="n">
        <v>9</v>
      </c>
      <c r="B12" s="279" t="inlineStr">
        <is>
          <t>Kanıt</t>
        </is>
      </c>
      <c r="C12" s="279" t="inlineStr">
        <is>
          <t>Test sonucu var</t>
        </is>
      </c>
      <c r="D12" s="279" t="inlineStr">
        <is>
          <t>Makine okunur artefakt + özet</t>
        </is>
      </c>
      <c r="E12" s="279" t="inlineStr">
        <is>
          <t>Kanıt fiziksel ve tutarlı</t>
        </is>
      </c>
      <c r="F12" s="279" t="inlineStr">
        <is>
          <t>HATA</t>
        </is>
      </c>
      <c r="G12" s="279" t="inlineStr">
        <is>
          <t>Kullanıcı Kabulü</t>
        </is>
      </c>
    </row>
    <row r="13">
      <c r="A13" s="283" t="n">
        <v>10</v>
      </c>
      <c r="B13" s="279" t="inlineStr">
        <is>
          <t>Kullanıcı Kabulü</t>
        </is>
      </c>
      <c r="C13" s="279" t="inlineStr">
        <is>
          <t>Kritik görevler</t>
        </is>
      </c>
      <c r="D13" s="279" t="inlineStr">
        <is>
          <t>Gerçek ekran davranışı</t>
        </is>
      </c>
      <c r="E13" s="279" t="inlineStr">
        <is>
          <t>Kritik görevler %100</t>
        </is>
      </c>
      <c r="F13" s="279" t="inlineStr">
        <is>
          <t>DIŞ_KABUL_GEREKLİ</t>
        </is>
      </c>
      <c r="G13" s="279" t="inlineStr">
        <is>
          <t>Ticari</t>
        </is>
      </c>
    </row>
    <row r="14">
      <c r="A14" s="283" t="n">
        <v>11</v>
      </c>
      <c r="B14" s="279" t="inlineStr">
        <is>
          <t>Ticari Değer</t>
        </is>
      </c>
      <c r="C14" s="279" t="inlineStr">
        <is>
          <t>Ürün satılacaksa</t>
        </is>
      </c>
      <c r="D14" s="279" t="inlineStr">
        <is>
          <t>ROI + demo + kanıt paketi</t>
        </is>
      </c>
      <c r="E14" s="279" t="inlineStr">
        <is>
          <t>Ekonomik değer kanıtlı</t>
        </is>
      </c>
      <c r="F14" s="279" t="inlineStr">
        <is>
          <t>UYARI / HATA</t>
        </is>
      </c>
      <c r="G14" s="279" t="inlineStr">
        <is>
          <t>Pazar Doğrulama</t>
        </is>
      </c>
    </row>
    <row r="15">
      <c r="A15" s="283" t="n">
        <v>12</v>
      </c>
      <c r="B15" s="279" t="inlineStr">
        <is>
          <t>Pazar Doğrulama</t>
        </is>
      </c>
      <c r="C15" s="279" t="inlineStr">
        <is>
          <t>Pazar iddiası varsa</t>
        </is>
      </c>
      <c r="D15" s="279" t="inlineStr">
        <is>
          <t>Ücretli satış/pilot/fiyat kabul kanıtı</t>
        </is>
      </c>
      <c r="E15" s="279" t="inlineStr">
        <is>
          <t>Gerçek fiyat kabul kanıtı</t>
        </is>
      </c>
      <c r="F15" s="279" t="inlineStr">
        <is>
          <t>UYGULANMAZ / HATA</t>
        </is>
      </c>
      <c r="G15" s="279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88" min="1" max="1"/>
    <col width="89.5" customWidth="1" style="88" min="2" max="2"/>
    <col width="34.5" customWidth="1" style="88" min="3" max="3"/>
    <col width="16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NİHAİ KONTROL LİSTESİ — KANITSIZ GEÇİŞ YOK</t>
        </is>
      </c>
    </row>
    <row r="2"/>
    <row r="3" ht="24" customHeight="1" s="88">
      <c r="A3" s="285" t="inlineStr">
        <is>
          <t>Kontrol No</t>
        </is>
      </c>
      <c r="B3" s="285" t="inlineStr">
        <is>
          <t>Kontrol</t>
        </is>
      </c>
      <c r="C3" s="285" t="inlineStr">
        <is>
          <t>Beklenen</t>
        </is>
      </c>
      <c r="D3" s="285" t="inlineStr">
        <is>
          <t>Zorunlu Kapı?</t>
        </is>
      </c>
      <c r="E3" s="285" t="inlineStr">
        <is>
          <t>Sonuç</t>
        </is>
      </c>
    </row>
    <row r="4">
      <c r="A4" s="286" t="inlineStr">
        <is>
          <t>K01</t>
        </is>
      </c>
      <c r="B4" s="279" t="inlineStr">
        <is>
          <t>Kullanıcının açık talebi öncelikli mi?</t>
        </is>
      </c>
      <c r="C4" s="279" t="inlineStr">
        <is>
          <t>Evet</t>
        </is>
      </c>
      <c r="D4" s="279" t="inlineStr">
        <is>
          <t>EVET</t>
        </is>
      </c>
    </row>
    <row r="5">
      <c r="A5" s="286" t="inlineStr">
        <is>
          <t>K02</t>
        </is>
      </c>
      <c r="B5" s="279" t="inlineStr">
        <is>
          <t>Mevcut yapı, formüller ve tek gerçek kaynak korunuyor mu?</t>
        </is>
      </c>
      <c r="C5" s="279" t="inlineStr">
        <is>
          <t>Evet, değişiklik gerekçeli</t>
        </is>
      </c>
      <c r="D5" s="279" t="inlineStr">
        <is>
          <t>EVET</t>
        </is>
      </c>
    </row>
    <row r="6">
      <c r="A6" s="286" t="inlineStr">
        <is>
          <t>K03</t>
        </is>
      </c>
      <c r="B6" s="279" t="inlineStr">
        <is>
          <t>Üst aşama HATA ise alt aşama GEÇTİ engelleniyor mu?</t>
        </is>
      </c>
      <c r="C6" s="279" t="inlineStr">
        <is>
          <t>Evet</t>
        </is>
      </c>
      <c r="D6" s="279" t="inlineStr">
        <is>
          <t>EVET</t>
        </is>
      </c>
    </row>
    <row r="7">
      <c r="A7" s="286" t="inlineStr">
        <is>
          <t>K04</t>
        </is>
      </c>
      <c r="B7" s="279" t="inlineStr">
        <is>
          <t>Kanıt fiziksel çıktı ve içerik doğrulaması içeriyor mu?</t>
        </is>
      </c>
      <c r="C7" s="279" t="inlineStr">
        <is>
          <t>Evet</t>
        </is>
      </c>
      <c r="D7" s="279" t="inlineStr">
        <is>
          <t>EVET</t>
        </is>
      </c>
    </row>
    <row r="8">
      <c r="A8" s="286" t="inlineStr">
        <is>
          <t>K05</t>
        </is>
      </c>
      <c r="B8" s="279" t="inlineStr">
        <is>
          <t>Excel GUI erişimi olmadan kullanıcı görünümü GEÇTİ yazılıyor mu?</t>
        </is>
      </c>
      <c r="C8" s="279" t="inlineStr">
        <is>
          <t>Hayır</t>
        </is>
      </c>
      <c r="D8" s="279" t="inlineStr">
        <is>
          <t>EVET</t>
        </is>
      </c>
    </row>
    <row r="9">
      <c r="A9" s="286" t="inlineStr">
        <is>
          <t>K06</t>
        </is>
      </c>
      <c r="B9" s="279" t="inlineStr">
        <is>
          <t>NİHAİ yalnız GEÇTİ / gerekçeli UYGULANMAZ ile mi?</t>
        </is>
      </c>
      <c r="C9" s="279" t="inlineStr">
        <is>
          <t>Evet</t>
        </is>
      </c>
      <c r="D9" s="279" t="inlineStr">
        <is>
          <t>EVET</t>
        </is>
      </c>
    </row>
    <row r="10">
      <c r="A10" s="286" t="inlineStr">
        <is>
          <t>K07</t>
        </is>
      </c>
      <c r="B10" s="279" t="inlineStr">
        <is>
          <t>Ekonomik fiyat savunusu pazar doğrulamasından ayrılmış mı?</t>
        </is>
      </c>
      <c r="C10" s="279" t="inlineStr">
        <is>
          <t>Evet</t>
        </is>
      </c>
      <c r="D10" s="279" t="inlineStr">
        <is>
          <t>EVET</t>
        </is>
      </c>
    </row>
    <row r="11">
      <c r="A11" s="286" t="inlineStr">
        <is>
          <t>K08</t>
        </is>
      </c>
      <c r="B11" s="279" t="inlineStr">
        <is>
          <t>Prestij için gereksiz modül var mı?</t>
        </is>
      </c>
      <c r="C11" s="279" t="inlineStr">
        <is>
          <t>Hayır</t>
        </is>
      </c>
      <c r="D11" s="279" t="inlineStr">
        <is>
          <t>HAYIR</t>
        </is>
      </c>
    </row>
    <row r="12">
      <c r="A12" s="286" t="inlineStr">
        <is>
          <t>K09</t>
        </is>
      </c>
      <c r="B12" s="279" t="inlineStr">
        <is>
          <t>Excel sınırları açık mı?</t>
        </is>
      </c>
      <c r="C12" s="279" t="inlineStr">
        <is>
          <t>Evet</t>
        </is>
      </c>
      <c r="D12" s="279" t="inlineStr">
        <is>
          <t>EVET</t>
        </is>
      </c>
    </row>
    <row r="13">
      <c r="A13" s="286" t="inlineStr">
        <is>
          <t>K10</t>
        </is>
      </c>
      <c r="B13" s="279" t="inlineStr">
        <is>
          <t>Teknik kaynak korunuyor mu?</t>
        </is>
      </c>
      <c r="C13" s="279" t="inlineStr">
        <is>
          <t>Evet</t>
        </is>
      </c>
      <c r="D13" s="279" t="inlineStr">
        <is>
          <t>EVET</t>
        </is>
      </c>
    </row>
    <row r="14">
      <c r="A14" s="286" t="inlineStr">
        <is>
          <t>K11</t>
        </is>
      </c>
      <c r="B14" s="279" t="inlineStr">
        <is>
          <t>Kullanıcıya görünen tüm metinler Türkçe mi?</t>
        </is>
      </c>
      <c r="C14" s="279" t="inlineStr">
        <is>
          <t>Evet</t>
        </is>
      </c>
      <c r="D14" s="279" t="inlineStr">
        <is>
          <t>EVET</t>
        </is>
      </c>
    </row>
    <row r="15">
      <c r="A15" s="286" t="inlineStr">
        <is>
          <t>K12</t>
        </is>
      </c>
      <c r="B15" s="279" t="inlineStr">
        <is>
          <t>Her kullanıcı sayfasında üst başlık var mı?</t>
        </is>
      </c>
      <c r="C15" s="279" t="inlineStr">
        <is>
          <t>Evet</t>
        </is>
      </c>
      <c r="D15" s="279" t="inlineStr">
        <is>
          <t>EVET</t>
        </is>
      </c>
    </row>
    <row r="16">
      <c r="A16" s="286" t="inlineStr">
        <is>
          <t>K13</t>
        </is>
      </c>
      <c r="B16" s="279" t="inlineStr">
        <is>
          <t>Sayfalar arasında tutarlı renk sistemi var mı?</t>
        </is>
      </c>
      <c r="C16" s="279" t="inlineStr">
        <is>
          <t>Evet</t>
        </is>
      </c>
      <c r="D16" s="279" t="inlineStr">
        <is>
          <t>EVET</t>
        </is>
      </c>
    </row>
    <row r="17">
      <c r="A17" s="286" t="inlineStr">
        <is>
          <t>K14</t>
        </is>
      </c>
      <c r="B17" s="279" t="inlineStr">
        <is>
          <t>Alt sayfa sekmeleri işlevine göre renklendirilmiş mi?</t>
        </is>
      </c>
      <c r="C17" s="279" t="inlineStr">
        <is>
          <t>Evet</t>
        </is>
      </c>
      <c r="D17" s="279" t="inlineStr">
        <is>
          <t>EVET</t>
        </is>
      </c>
    </row>
    <row r="18">
      <c r="A18" s="286" t="inlineStr">
        <is>
          <t>K15</t>
        </is>
      </c>
      <c r="B18" s="279" t="inlineStr">
        <is>
          <t>İçerik blokları arasında gereksiz boş kolon var mı?</t>
        </is>
      </c>
      <c r="C18" s="279" t="inlineStr">
        <is>
          <t>Hayır</t>
        </is>
      </c>
      <c r="D18" s="279" t="inlineStr">
        <is>
          <t>EVET</t>
        </is>
      </c>
    </row>
    <row r="19">
      <c r="A19" s="286" t="inlineStr">
        <is>
          <t>K16</t>
        </is>
      </c>
      <c r="B19" s="279" t="inlineStr">
        <is>
          <t>Grafikler premium ve karar odaklı mı?</t>
        </is>
      </c>
      <c r="C19" s="279" t="inlineStr">
        <is>
          <t>Evet</t>
        </is>
      </c>
      <c r="D19" s="279" t="inlineStr">
        <is>
          <t>EVET</t>
        </is>
      </c>
    </row>
    <row r="20">
      <c r="A20" s="286" t="inlineStr">
        <is>
          <t>K17</t>
        </is>
      </c>
      <c r="B20" s="279" t="inlineStr">
        <is>
          <t>Varsayılan Excel grafiği / 3B / dekoratif grafik var mı?</t>
        </is>
      </c>
      <c r="C20" s="279" t="inlineStr">
        <is>
          <t>Hayır</t>
        </is>
      </c>
      <c r="D20" s="279" t="inlineStr">
        <is>
          <t>EVET</t>
        </is>
      </c>
    </row>
    <row r="21">
      <c r="A21" s="286" t="inlineStr">
        <is>
          <t>K18</t>
        </is>
      </c>
      <c r="B21" s="279" t="inlineStr">
        <is>
          <t>Finansal ürün Türkiye Tekdüzen Hesap Planı ile eşleşiyor mu?</t>
        </is>
      </c>
      <c r="C21" s="279" t="inlineStr">
        <is>
          <t>Evet</t>
        </is>
      </c>
      <c r="D21" s="279" t="inlineStr">
        <is>
          <t>EVET</t>
        </is>
      </c>
    </row>
    <row r="22">
      <c r="A22" s="286" t="inlineStr">
        <is>
          <t>K19</t>
        </is>
      </c>
      <c r="B22" s="279" t="inlineStr">
        <is>
          <t>Muhasebe satır adları Türkiye kullanımına uygun mu?</t>
        </is>
      </c>
      <c r="C22" s="279" t="inlineStr">
        <is>
          <t>Evet</t>
        </is>
      </c>
      <c r="D22" s="279" t="inlineStr">
        <is>
          <t>EVET</t>
        </is>
      </c>
    </row>
    <row r="23">
      <c r="A23" s="286" t="inlineStr">
        <is>
          <t>K20</t>
        </is>
      </c>
      <c r="B23" s="279" t="inlineStr">
        <is>
          <t>Formül hatası varken herhangi bir kontrol GEÇTİ gösteriyor mu?</t>
        </is>
      </c>
      <c r="C23" s="279" t="inlineStr">
        <is>
          <t>Hayır</t>
        </is>
      </c>
      <c r="D23" s="279" t="inlineStr">
        <is>
          <t>EVET</t>
        </is>
      </c>
    </row>
    <row r="24">
      <c r="A24" s="286" t="inlineStr">
        <is>
          <t>K21</t>
        </is>
      </c>
      <c r="B24" s="279" t="inlineStr">
        <is>
          <t>Karar Motoru boş veya yalnız başlık düzeyinde mi?</t>
        </is>
      </c>
      <c r="C24" s="279" t="inlineStr">
        <is>
          <t>Hayır</t>
        </is>
      </c>
      <c r="D24" s="279" t="inlineStr">
        <is>
          <t>EVET</t>
        </is>
      </c>
    </row>
    <row r="25">
      <c r="A25" s="286" t="inlineStr">
        <is>
          <t>K22</t>
        </is>
      </c>
      <c r="B25" s="279" t="inlineStr">
        <is>
          <t>Senaryo/Stres modülü gerçekten sonuç değiştiriyor mu?</t>
        </is>
      </c>
      <c r="C25" s="279" t="inlineStr">
        <is>
          <t>Evet</t>
        </is>
      </c>
      <c r="D25" s="279" t="inlineStr">
        <is>
          <t>EVET</t>
        </is>
      </c>
    </row>
    <row r="26">
      <c r="A26" s="286" t="inlineStr">
        <is>
          <t>K23</t>
        </is>
      </c>
      <c r="B26" s="279" t="inlineStr">
        <is>
          <t>Oracle/bağımsız doğrulama gerçek veri üretiyor mu?</t>
        </is>
      </c>
      <c r="C26" s="279" t="inlineStr">
        <is>
          <t>Evet veya gerekçeli UYGULANMAZ</t>
        </is>
      </c>
      <c r="D26" s="279" t="inlineStr">
        <is>
          <t>EVET</t>
        </is>
      </c>
    </row>
    <row r="27">
      <c r="A27" s="286" t="inlineStr">
        <is>
          <t>K24</t>
        </is>
      </c>
      <c r="B27" s="279" t="inlineStr">
        <is>
          <t>Yönetici ekranı 5 saniyede sorunu ve aksiyonu anlatıyor mu?</t>
        </is>
      </c>
      <c r="C27" s="279" t="inlineStr">
        <is>
          <t>Evet</t>
        </is>
      </c>
      <c r="D27" s="279" t="inlineStr">
        <is>
          <t>EVET</t>
        </is>
      </c>
    </row>
    <row r="28">
      <c r="A28" s="286" t="inlineStr">
        <is>
          <t>K25</t>
        </is>
      </c>
      <c r="B28" s="279" t="inlineStr">
        <is>
          <t>Her kritik kararın parasal etkisi ve önerilen aksiyonu var mı?</t>
        </is>
      </c>
      <c r="C28" s="279" t="inlineStr">
        <is>
          <t>Evet</t>
        </is>
      </c>
      <c r="D28" s="279" t="inlineStr">
        <is>
          <t>EVET</t>
        </is>
      </c>
    </row>
    <row r="29">
      <c r="A29" s="286" t="inlineStr">
        <is>
          <t>K26</t>
        </is>
      </c>
      <c r="B29" s="279" t="inlineStr">
        <is>
          <t>Ürün sayfası/ürün içi demo satın alma gerekçesini kanıtlıyor mu?</t>
        </is>
      </c>
      <c r="C29" s="279" t="inlineStr">
        <is>
          <t>Evet</t>
        </is>
      </c>
      <c r="D29" s="279" t="inlineStr">
        <is>
          <t>EVET</t>
        </is>
      </c>
    </row>
    <row r="30" ht="30" customHeight="1" s="88">
      <c r="A30" s="287" t="inlineStr">
        <is>
          <t>K27</t>
        </is>
      </c>
      <c r="B30" s="288" t="inlineStr">
        <is>
          <t>Buton görünümü verilen tüm alanlar gerçekten tıklanabilir ve doğru hedefe gidiyor mu?</t>
        </is>
      </c>
      <c r="C30" s="288" t="inlineStr">
        <is>
          <t>Evet</t>
        </is>
      </c>
      <c r="D30" s="279" t="inlineStr">
        <is>
          <t>EVET</t>
        </is>
      </c>
    </row>
    <row r="31" ht="30" customHeight="1" s="88">
      <c r="A31" s="287" t="inlineStr">
        <is>
          <t>K28</t>
        </is>
      </c>
      <c r="B31" s="288" t="inlineStr">
        <is>
          <t>Tüm görünür kullanıcı sheet tabları kurumsal kategori rengi taşıyor mu?</t>
        </is>
      </c>
      <c r="C31" s="288" t="inlineStr">
        <is>
          <t>Evet</t>
        </is>
      </c>
      <c r="D31" s="279" t="inlineStr">
        <is>
          <t>EVET</t>
        </is>
      </c>
    </row>
    <row r="32" ht="16" customHeight="1" s="88">
      <c r="A32" s="287" t="inlineStr">
        <is>
          <t>K29</t>
        </is>
      </c>
      <c r="B32" s="288" t="inlineStr">
        <is>
          <t>Sheet sırası tanımlı kullanıcı iş akışıyla birebir aynı mı?</t>
        </is>
      </c>
      <c r="C32" s="288" t="inlineStr">
        <is>
          <t>Evet</t>
        </is>
      </c>
      <c r="D32" s="279" t="inlineStr">
        <is>
          <t>EVET</t>
        </is>
      </c>
    </row>
    <row r="33" ht="30" customHeight="1" s="88">
      <c r="A33" s="287" t="inlineStr">
        <is>
          <t>K30</t>
        </is>
      </c>
      <c r="B33" s="288" t="inlineStr">
        <is>
          <t>Kurumsal renk paleti tutarlı mı; rastgele/gökkuşağı renk kullanımı var mı?</t>
        </is>
      </c>
      <c r="C33" s="288" t="inlineStr">
        <is>
          <t>Evet / Hayır</t>
        </is>
      </c>
      <c r="D33" s="279" t="inlineStr">
        <is>
          <t>EVET</t>
        </is>
      </c>
    </row>
    <row r="34" ht="30" customHeight="1" s="88">
      <c r="A34" s="287" t="inlineStr">
        <is>
          <t>K31</t>
        </is>
      </c>
      <c r="B34" s="288" t="inlineStr">
        <is>
          <t>Premium vitrin, altyapı kadar güçlü ve satış fiyatını destekleyecek seviyede mi?</t>
        </is>
      </c>
      <c r="C34" s="288" t="inlineStr">
        <is>
          <t>Evet</t>
        </is>
      </c>
      <c r="D34" s="279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88" min="1" max="1"/>
    <col width="71.5" customWidth="1" style="88" min="2" max="2"/>
    <col width="160.5" customWidth="1" style="88" min="3" max="3"/>
    <col width="70.5" customWidth="1" style="88" min="4" max="4"/>
    <col width="50.5" customWidth="1" style="88" min="5" max="5"/>
    <col width="16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GÖRSEL TASARIM VE PREMIUM EXCEL STANDARDI</t>
        </is>
      </c>
    </row>
    <row r="2"/>
    <row r="3" ht="24" customHeight="1" s="88">
      <c r="A3" s="290" t="inlineStr">
        <is>
          <t>Alan</t>
        </is>
      </c>
      <c r="B3" s="290" t="inlineStr">
        <is>
          <t>Zorunlu Kural</t>
        </is>
      </c>
      <c r="C3" s="290" t="inlineStr">
        <is>
          <t>Uygulama</t>
        </is>
      </c>
      <c r="D3" s="290" t="inlineStr">
        <is>
          <t>Yasak</t>
        </is>
      </c>
      <c r="E3" s="290" t="inlineStr">
        <is>
          <t>Kontrol</t>
        </is>
      </c>
      <c r="F3" s="290" t="inlineStr">
        <is>
          <t>Durum</t>
        </is>
      </c>
    </row>
    <row r="4" ht="28" customHeight="1" s="88">
      <c r="A4" s="291" t="inlineStr">
        <is>
          <t>Sayfa başlığı</t>
        </is>
      </c>
      <c r="B4" s="279" t="inlineStr">
        <is>
          <t>Her kullanıcı sayfasının en üstünde tek ve açık sayfa başlığı</t>
        </is>
      </c>
      <c r="C4" s="279" t="inlineStr">
        <is>
          <t>A1'den başlayan koyu lacivert başlık bandı</t>
        </is>
      </c>
      <c r="D4" s="279" t="inlineStr">
        <is>
          <t>Başlıksız sayfa</t>
        </is>
      </c>
      <c r="E4" s="279" t="inlineStr">
        <is>
          <t>Başlık kapsama = %100</t>
        </is>
      </c>
      <c r="F4" s="292" t="inlineStr">
        <is>
          <t>ZORUNLU</t>
        </is>
      </c>
    </row>
    <row r="5" ht="28" customHeight="1" s="88">
      <c r="A5" s="291" t="inlineStr">
        <is>
          <t>Sekme renkleri</t>
        </is>
      </c>
      <c r="B5" s="279" t="inlineStr">
        <is>
          <t>Sayfalar işlevine göre renk kodlanır</t>
        </is>
      </c>
      <c r="C5" s="279" t="inlineStr">
        <is>
          <t>Girdi=mavi, hesap=gri, rapor=lacivert, kontrol=kırmızı, kılavuz=altın</t>
        </is>
      </c>
      <c r="D5" s="279" t="inlineStr">
        <is>
          <t>Rastgele renk</t>
        </is>
      </c>
      <c r="E5" s="279" t="inlineStr">
        <is>
          <t>Renk semantiği tutarlı</t>
        </is>
      </c>
      <c r="F5" s="292" t="inlineStr">
        <is>
          <t>ZORUNLU</t>
        </is>
      </c>
    </row>
    <row r="6" ht="28" customHeight="1" s="88">
      <c r="A6" s="291" t="inlineStr">
        <is>
          <t>Kolon düzeni</t>
        </is>
      </c>
      <c r="B6" s="279" t="inlineStr">
        <is>
          <t>Veri blokları bitişik kolonlarda ilerler</t>
        </is>
      </c>
      <c r="C6" s="279" t="inlineStr">
        <is>
          <t>Gereksiz boş kolon bırakma; yalnız gerçek bölüm ayrımı varsa kontrollü boşluk</t>
        </is>
      </c>
      <c r="D6" s="279" t="inlineStr">
        <is>
          <t>A:C veri, D boş, E:F veri gibi parçalı yapı</t>
        </is>
      </c>
      <c r="E6" s="279" t="inlineStr">
        <is>
          <t>Boş kolon taraması</t>
        </is>
      </c>
      <c r="F6" s="292" t="inlineStr">
        <is>
          <t>ZORUNLU</t>
        </is>
      </c>
    </row>
    <row r="7" ht="16" customHeight="1" s="88">
      <c r="A7" s="291" t="inlineStr">
        <is>
          <t>Girdi hücreleri</t>
        </is>
      </c>
      <c r="B7" s="279" t="inlineStr">
        <is>
          <t>Kullanıcının değiştireceği alan açıkça görünür</t>
        </is>
      </c>
      <c r="C7" s="279" t="inlineStr">
        <is>
          <t>Açık sarı dolgu + mavi yazı</t>
        </is>
      </c>
      <c r="D7" s="279" t="inlineStr">
        <is>
          <t>Formülle aynı görünüm</t>
        </is>
      </c>
      <c r="E7" s="279" t="inlineStr">
        <is>
          <t>Girdi/formül ayrımı</t>
        </is>
      </c>
      <c r="F7" s="292" t="inlineStr">
        <is>
          <t>ZORUNLU</t>
        </is>
      </c>
    </row>
    <row r="8" ht="16" customHeight="1" s="88">
      <c r="A8" s="291" t="inlineStr">
        <is>
          <t>Formüller</t>
        </is>
      </c>
      <c r="B8" s="279" t="inlineStr">
        <is>
          <t>Hesap hücreleri kullanıcı girdisinden ayrılır</t>
        </is>
      </c>
      <c r="C8" s="279" t="inlineStr">
        <is>
          <t>Siyah yazı; sayfalar arası bağlantı yeşil yazı</t>
        </is>
      </c>
      <c r="D8" s="279" t="inlineStr">
        <is>
          <t>Hard-code gizleme</t>
        </is>
      </c>
      <c r="E8" s="279" t="inlineStr">
        <is>
          <t>Formül sınıfı kontrolü</t>
        </is>
      </c>
      <c r="F8" s="292" t="inlineStr">
        <is>
          <t>ZORUNLU</t>
        </is>
      </c>
    </row>
    <row r="9" ht="16" customHeight="1" s="88">
      <c r="A9" s="291" t="inlineStr">
        <is>
          <t>Grafik sayısı</t>
        </is>
      </c>
      <c r="B9" s="279" t="inlineStr">
        <is>
          <t>Yönetici ekranında en fazla 3 ana karar grafiği</t>
        </is>
      </c>
      <c r="C9" s="279" t="inlineStr">
        <is>
          <t>Trend, karşılaştırma, köprü/dağılım; iş kararına bağlı</t>
        </is>
      </c>
      <c r="D9" s="279" t="inlineStr">
        <is>
          <t>Grafik kalabalığı</t>
        </is>
      </c>
      <c r="E9" s="279" t="inlineStr">
        <is>
          <t>Grafik başına karar sorusu</t>
        </is>
      </c>
      <c r="F9" s="292" t="inlineStr">
        <is>
          <t>ZORUNLU</t>
        </is>
      </c>
    </row>
    <row r="10" ht="16" customHeight="1" s="88">
      <c r="A10" s="291" t="inlineStr">
        <is>
          <t>Grafik stili</t>
        </is>
      </c>
      <c r="B10" s="279" t="inlineStr">
        <is>
          <t>Kurumsal ve yüksek okunabilirlik</t>
        </is>
      </c>
      <c r="C10" s="279" t="inlineStr">
        <is>
          <t>Beyaz zemin, ince gridline, tek vurgu rengi, açık birim/başlık</t>
        </is>
      </c>
      <c r="D10" s="279" t="inlineStr">
        <is>
          <t>3B, gölge, neon, gökkuşağı renkleri</t>
        </is>
      </c>
      <c r="E10" s="279" t="inlineStr">
        <is>
          <t>Görsel inceleme</t>
        </is>
      </c>
      <c r="F10" s="292" t="inlineStr">
        <is>
          <t>ZORUNLU</t>
        </is>
      </c>
    </row>
    <row r="11" ht="16" customHeight="1" s="88">
      <c r="A11" s="291" t="inlineStr">
        <is>
          <t>Grafik başlığı</t>
        </is>
      </c>
      <c r="B11" s="279" t="inlineStr">
        <is>
          <t>Grafik 'neyi' değil 'ne anlama geldiğini' söyler</t>
        </is>
      </c>
      <c r="C11" s="279" t="inlineStr">
        <is>
          <t>Örn: 'Nakit 2028'de kritik eşiğin altına iniyor'</t>
        </is>
      </c>
      <c r="D11" s="279" t="inlineStr">
        <is>
          <t>'Nakit Grafiği' gibi anlamsız başlık</t>
        </is>
      </c>
      <c r="E11" s="279" t="inlineStr">
        <is>
          <t>Başlık karar testi</t>
        </is>
      </c>
      <c r="F11" s="292" t="inlineStr">
        <is>
          <t>ZORUNLU</t>
        </is>
      </c>
    </row>
    <row r="12" ht="16" customHeight="1" s="88">
      <c r="A12" s="291" t="inlineStr">
        <is>
          <t>Birimler</t>
        </is>
      </c>
      <c r="B12" s="279" t="inlineStr">
        <is>
          <t>Tüm finansal görsellerde birim açık</t>
        </is>
      </c>
      <c r="C12" s="279" t="inlineStr">
        <is>
          <t>TL, bin TL, milyon TL, %, gün, x</t>
        </is>
      </c>
      <c r="D12" s="279" t="inlineStr">
        <is>
          <t>Birim belirsizliği</t>
        </is>
      </c>
      <c r="E12" s="279" t="inlineStr">
        <is>
          <t>Birim kapsama %100</t>
        </is>
      </c>
      <c r="F12" s="292" t="inlineStr">
        <is>
          <t>ZORUNLU</t>
        </is>
      </c>
    </row>
    <row r="13" ht="16" customHeight="1" s="88">
      <c r="A13" s="291" t="inlineStr">
        <is>
          <t>Sıfır/negatif</t>
        </is>
      </c>
      <c r="B13" s="279" t="inlineStr">
        <is>
          <t>Finansal format standardı</t>
        </is>
      </c>
      <c r="C13" s="279" t="inlineStr">
        <is>
          <t>Sıfır='-', negatif kırmızı parantez</t>
        </is>
      </c>
      <c r="D13" s="279" t="inlineStr">
        <is>
          <t>-500 veya 0,00 kalabalığı</t>
        </is>
      </c>
      <c r="E13" s="279" t="inlineStr">
        <is>
          <t>Format kontrolü</t>
        </is>
      </c>
      <c r="F13" s="292" t="inlineStr">
        <is>
          <t>ZORUNLU</t>
        </is>
      </c>
    </row>
    <row r="14" ht="16" customHeight="1" s="88">
      <c r="A14" s="291" t="inlineStr">
        <is>
          <t>Yazı tipi</t>
        </is>
      </c>
      <c r="B14" s="279" t="inlineStr">
        <is>
          <t>Tek aile</t>
        </is>
      </c>
      <c r="C14" s="279" t="inlineStr">
        <is>
          <t>Aptos veya Segoe UI</t>
        </is>
      </c>
      <c r="D14" s="279" t="inlineStr">
        <is>
          <t>Karışık font</t>
        </is>
      </c>
      <c r="E14" s="279" t="inlineStr">
        <is>
          <t>Tek font kontrolü</t>
        </is>
      </c>
      <c r="F14" s="292" t="inlineStr">
        <is>
          <t>ZORUNLU</t>
        </is>
      </c>
    </row>
    <row r="15" ht="16" customHeight="1" s="88">
      <c r="A15" s="291" t="inlineStr">
        <is>
          <t>Izgara</t>
        </is>
      </c>
      <c r="B15" s="279" t="inlineStr">
        <is>
          <t>Kullanıcı sayfalarında kapalı</t>
        </is>
      </c>
      <c r="C15" s="279" t="inlineStr">
        <is>
          <t>Bölüm çizgileri ve kart sınırlarıyla düzen</t>
        </is>
      </c>
      <c r="D15" s="279" t="inlineStr">
        <is>
          <t>Excel varsayılan gridline</t>
        </is>
      </c>
      <c r="E15" s="279" t="inlineStr">
        <is>
          <t>Gridline kontrolü</t>
        </is>
      </c>
      <c r="F15" s="292" t="inlineStr">
        <is>
          <t>ZORUNLU</t>
        </is>
      </c>
    </row>
    <row r="16" ht="16" customHeight="1" s="88">
      <c r="A16" s="291" t="inlineStr">
        <is>
          <t>Boş durum</t>
        </is>
      </c>
      <c r="B16" s="279" t="inlineStr">
        <is>
          <t>Veri yokken temiz ve anlaşılır</t>
        </is>
      </c>
      <c r="C16" s="279" t="inlineStr">
        <is>
          <t>'Henüz veri yok' / 'Girdi bekleniyor'</t>
        </is>
      </c>
      <c r="D16" s="279" t="inlineStr">
        <is>
          <t>0 yığını / hata kodu</t>
        </is>
      </c>
      <c r="E16" s="279" t="inlineStr">
        <is>
          <t>Boş veri testi</t>
        </is>
      </c>
      <c r="F16" s="292" t="inlineStr">
        <is>
          <t>ZORUNLU</t>
        </is>
      </c>
    </row>
    <row r="17" ht="28" customHeight="1" s="88">
      <c r="A17" s="291" t="inlineStr">
        <is>
          <t>Başlangıç deneyimi</t>
        </is>
      </c>
      <c r="B17" s="279" t="inlineStr">
        <is>
          <t>İlk 5 saniyede ne gireceği ve neye bakacağı anlaşılır</t>
        </is>
      </c>
      <c r="C17" s="279" t="inlineStr">
        <is>
          <t>Girdi → durum → aksiyon akışı</t>
        </is>
      </c>
      <c r="D17" s="279" t="inlineStr">
        <is>
          <t>Kılavuz aramaya zorlama</t>
        </is>
      </c>
      <c r="E17" s="279" t="inlineStr">
        <is>
          <t>5 saniye testi</t>
        </is>
      </c>
      <c r="F17" s="292" t="inlineStr">
        <is>
          <t>ZORUNLU</t>
        </is>
      </c>
    </row>
    <row r="18" ht="30" customHeight="1" s="88">
      <c r="A18" s="287" t="inlineStr">
        <is>
          <t>Buton standardı</t>
        </is>
      </c>
      <c r="B18" s="288" t="inlineStr">
        <is>
          <t>Buton görünümü verilen her alan gerçek işlev taşır</t>
        </is>
      </c>
      <c r="C18" s="288" t="inlineStr">
        <is>
          <t>Sayfa içi HYPERLINK / gerçek aksiyon; tıklanınca hedefe gider</t>
        </is>
      </c>
      <c r="D18" s="288" t="inlineStr">
        <is>
          <t>İşlevsiz dekoratif buton / sahte navigasyon</t>
        </is>
      </c>
      <c r="E18" s="288" t="inlineStr">
        <is>
          <t>Butonların %100'ü tıklanabilir ve hedefi doğru</t>
        </is>
      </c>
      <c r="F18" s="292" t="inlineStr">
        <is>
          <t>ZORUNLU</t>
        </is>
      </c>
    </row>
    <row r="19" ht="32" customHeight="1" s="88">
      <c r="A19" s="287" t="inlineStr">
        <is>
          <t>Native sayfa sekmesi rengi</t>
        </is>
      </c>
      <c r="B19" s="288" t="inlineStr">
        <is>
          <t>Excel alt sheet tabları kurumsal paletle renklendirilir</t>
        </is>
      </c>
      <c r="C19" s="288" t="inlineStr">
        <is>
          <t>Başlangıç/özet=lacivert; girdiler=mavi; hesap/finans=teal; karar/kontrol=burgundy; doküman=gri</t>
        </is>
      </c>
      <c r="D19" s="288" t="inlineStr">
        <is>
          <t>Renksiz sekmeler veya rastgele/gökkuşağı renkleri</t>
        </is>
      </c>
      <c r="E19" s="288" t="inlineStr">
        <is>
          <t>Tüm görünür kullanıcı sheet tabları renkli</t>
        </is>
      </c>
      <c r="F19" s="292" t="inlineStr">
        <is>
          <t>ZORUNLU</t>
        </is>
      </c>
    </row>
    <row r="20" ht="60" customHeight="1" s="88">
      <c r="A20" s="287" t="inlineStr">
        <is>
          <t>İş akışı sıralaması</t>
        </is>
      </c>
      <c r="B20" s="288" t="inlineStr">
        <is>
          <t>Sayfalar kullanıcının çalışma sırasına göre fiziksel olarak dizilir</t>
        </is>
      </c>
      <c r="C20" s="288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88" t="inlineStr">
        <is>
          <t>Teknik oluşturma sırasına göre dağınık sheet dizilimi</t>
        </is>
      </c>
      <c r="E20" s="288" t="inlineStr">
        <is>
          <t>Sheet order = tanımlı workflow</t>
        </is>
      </c>
      <c r="F20" s="292" t="inlineStr">
        <is>
          <t>ZORUNLU</t>
        </is>
      </c>
    </row>
    <row r="21" ht="30" customHeight="1" s="88">
      <c r="A21" s="287" t="inlineStr">
        <is>
          <t>Kurumsal renk paleti</t>
        </is>
      </c>
      <c r="B21" s="288" t="inlineStr">
        <is>
          <t>Sekme, başlık, buton ve vurgu renkleri tek kurumsal paletten gelir</t>
        </is>
      </c>
      <c r="C21" s="288" t="inlineStr">
        <is>
          <t>Lacivert + mavi + teal + kontrollü burgundy/gri; kategori semantiği sabit</t>
        </is>
      </c>
      <c r="D21" s="288" t="inlineStr">
        <is>
          <t>Neon, rastgele yüksek doygunluk, her sayfada farklı bağımsız renk</t>
        </is>
      </c>
      <c r="E21" s="288" t="inlineStr">
        <is>
          <t>Palette token kontrolü</t>
        </is>
      </c>
      <c r="F21" s="292" t="inlineStr">
        <is>
          <t>ZORUNLU</t>
        </is>
      </c>
    </row>
    <row r="22" ht="45" customHeight="1" s="88">
      <c r="A22" s="287" t="inlineStr">
        <is>
          <t>Premium vitrin</t>
        </is>
      </c>
      <c r="B22" s="288" t="inlineStr">
        <is>
          <t>Görsel kalite ürün değerinin zorunlu parçasıdır</t>
        </is>
      </c>
      <c r="C22" s="288" t="inlineStr">
        <is>
          <t>Kaliteli grafik, gerçek KPI kartı, finansal hiyerarşi, tab rengi, fonksiyonel navigasyon</t>
        </is>
      </c>
      <c r="D22" s="288" t="inlineStr">
        <is>
          <t>Sadece doğru hesap yapıp çıplak/varsayılan Excel görünümü bırakmak</t>
        </is>
      </c>
      <c r="E22" s="288" t="inlineStr">
        <is>
          <t>Görsel release incelemesi</t>
        </is>
      </c>
      <c r="F22" s="292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88" min="1" max="1"/>
    <col width="60.5" customWidth="1" style="88" min="2" max="2"/>
    <col width="86.5" customWidth="1" style="88" min="3" max="3"/>
    <col width="40.5" customWidth="1" style="88" min="4" max="4"/>
    <col width="39.5" customWidth="1" style="88" min="5" max="5"/>
    <col width="27.5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TÜRKİYE MUHASEBE VE TEKDÜZEN HESAP PLANI STANDARDI</t>
        </is>
      </c>
    </row>
    <row r="2"/>
    <row r="3" ht="24" customHeight="1" s="88">
      <c r="A3" s="294" t="inlineStr">
        <is>
          <t>Konu</t>
        </is>
      </c>
      <c r="B3" s="294" t="inlineStr">
        <is>
          <t>Zorunlu Standart</t>
        </is>
      </c>
      <c r="C3" s="294" t="inlineStr">
        <is>
          <t>Örnek Türkçe Ad</t>
        </is>
      </c>
      <c r="D3" s="294" t="inlineStr">
        <is>
          <t>THP / Mantık</t>
        </is>
      </c>
      <c r="E3" s="294" t="inlineStr">
        <is>
          <t>Hata Riski</t>
        </is>
      </c>
      <c r="F3" s="294" t="inlineStr">
        <is>
          <t>Kontrol</t>
        </is>
      </c>
    </row>
    <row r="4">
      <c r="A4" s="295" t="inlineStr">
        <is>
          <t>Dil</t>
        </is>
      </c>
      <c r="B4" s="279" t="inlineStr">
        <is>
          <t>Kullanıcıya görünen finansal terimler Türkçe</t>
        </is>
      </c>
      <c r="C4" s="279" t="inlineStr">
        <is>
          <t>Hasılat, Satışların Maliyeti, Brüt Kâr, Faaliyet Giderleri</t>
        </is>
      </c>
      <c r="D4" s="279" t="inlineStr">
        <is>
          <t>Türk işletme kullanımına uygun</t>
        </is>
      </c>
      <c r="E4" s="279" t="inlineStr">
        <is>
          <t>İngilizce jargon</t>
        </is>
      </c>
      <c r="F4" s="279" t="inlineStr">
        <is>
          <t>Terminoloji taraması</t>
        </is>
      </c>
    </row>
    <row r="5" ht="28" customHeight="1" s="88">
      <c r="A5" s="295" t="inlineStr">
        <is>
          <t>Gelir Tablosu</t>
        </is>
      </c>
      <c r="B5" s="279" t="inlineStr">
        <is>
          <t>Türk sunum sırası kullanılır</t>
        </is>
      </c>
      <c r="C5" s="279" t="inlineStr">
        <is>
          <t>Net Satışlar → Satışların Maliyeti → Brüt Kâr → Faaliyet Giderleri → Faaliyet Kârı</t>
        </is>
      </c>
      <c r="D5" s="279" t="inlineStr">
        <is>
          <t>600/610/611; 620-623; 63x</t>
        </is>
      </c>
      <c r="E5" s="279" t="inlineStr">
        <is>
          <t>Yanlış sınıflama</t>
        </is>
      </c>
      <c r="F5" s="279" t="inlineStr">
        <is>
          <t>Hesap eşleme</t>
        </is>
      </c>
    </row>
    <row r="6" ht="28" customHeight="1" s="88">
      <c r="A6" s="295" t="inlineStr">
        <is>
          <t>Bilanço</t>
        </is>
      </c>
      <c r="B6" s="279" t="inlineStr">
        <is>
          <t>Dönen/Duran Varlık ve Kısa/Uzun Vadeli Yükümlülük ayrımı</t>
        </is>
      </c>
      <c r="C6" s="279" t="inlineStr">
        <is>
          <t>Hazır Değerler, Ticari Alacaklar, Stoklar, Mali Borçlar</t>
        </is>
      </c>
      <c r="D6" s="279" t="inlineStr">
        <is>
          <t>1xx / 2xx / 3xx / 4xx / 5xx</t>
        </is>
      </c>
      <c r="E6" s="279" t="inlineStr">
        <is>
          <t>Vade sınıfı hatası</t>
        </is>
      </c>
      <c r="F6" s="279" t="inlineStr">
        <is>
          <t>Bilanço eşitliği</t>
        </is>
      </c>
    </row>
    <row r="7">
      <c r="A7" s="295" t="inlineStr">
        <is>
          <t>Nakit Akışı</t>
        </is>
      </c>
      <c r="B7" s="279" t="inlineStr">
        <is>
          <t>İşletme/Yatırım/Finansman nakit akışları ayrılır</t>
        </is>
      </c>
      <c r="C7" s="279" t="inlineStr">
        <is>
          <t>Faaliyetlerden Nakit, Yatırım Harcamaları, Finansman Nakit Akışı</t>
        </is>
      </c>
      <c r="D7" s="279" t="inlineStr">
        <is>
          <t>Dolaylı/doğrudan yöntem açık seçilir</t>
        </is>
      </c>
      <c r="E7" s="279" t="inlineStr">
        <is>
          <t>Kâr = nakit sanılması</t>
        </is>
      </c>
      <c r="F7" s="279" t="inlineStr">
        <is>
          <t>Nakit devri</t>
        </is>
      </c>
    </row>
    <row r="8">
      <c r="A8" s="295" t="inlineStr">
        <is>
          <t>Ticari Alacaklar</t>
        </is>
      </c>
      <c r="B8" s="279" t="inlineStr">
        <is>
          <t>Cari ve vade mantığı korunur</t>
        </is>
      </c>
      <c r="C8" s="279" t="inlineStr">
        <is>
          <t>120 Alıcılar</t>
        </is>
      </c>
      <c r="D8" s="279" t="inlineStr">
        <is>
          <t>120</t>
        </is>
      </c>
      <c r="E8" s="279" t="inlineStr">
        <is>
          <t>Tahakkuk/nakit karışması</t>
        </is>
      </c>
      <c r="F8" s="279" t="inlineStr">
        <is>
          <t>Alacak devir kontrolü</t>
        </is>
      </c>
    </row>
    <row r="9">
      <c r="A9" s="295" t="inlineStr">
        <is>
          <t>Ticari Borçlar</t>
        </is>
      </c>
      <c r="B9" s="279" t="inlineStr">
        <is>
          <t>Tedarikçi borcu ayrı izlenir</t>
        </is>
      </c>
      <c r="C9" s="279" t="inlineStr">
        <is>
          <t>320 Satıcılar</t>
        </is>
      </c>
      <c r="D9" s="279" t="inlineStr">
        <is>
          <t>320</t>
        </is>
      </c>
      <c r="E9" s="279" t="inlineStr">
        <is>
          <t>Gider/ödeme karışması</t>
        </is>
      </c>
      <c r="F9" s="279" t="inlineStr">
        <is>
          <t>Borç devir kontrolü</t>
        </is>
      </c>
    </row>
    <row r="10">
      <c r="A10" s="295" t="inlineStr">
        <is>
          <t>Kasa/Banka</t>
        </is>
      </c>
      <c r="B10" s="279" t="inlineStr">
        <is>
          <t>Hazır değerler ayrı izlenir</t>
        </is>
      </c>
      <c r="C10" s="279" t="inlineStr">
        <is>
          <t>100 Kasa, 102 Bankalar</t>
        </is>
      </c>
      <c r="D10" s="279" t="inlineStr">
        <is>
          <t>100 / 102</t>
        </is>
      </c>
      <c r="E10" s="279" t="inlineStr">
        <is>
          <t>Virmanla toplam nakdin değişmesi</t>
        </is>
      </c>
      <c r="F10" s="279" t="inlineStr">
        <is>
          <t>Virman değişmezi</t>
        </is>
      </c>
    </row>
    <row r="11">
      <c r="A11" s="295" t="inlineStr">
        <is>
          <t>Stok</t>
        </is>
      </c>
      <c r="B11" s="279" t="inlineStr">
        <is>
          <t>Dikeye uygun stok türü</t>
        </is>
      </c>
      <c r="C11" s="279" t="inlineStr">
        <is>
          <t>150 İlk Madde ve Malzeme, 153 Ticari Mallar</t>
        </is>
      </c>
      <c r="D11" s="279" t="inlineStr">
        <is>
          <t>15x</t>
        </is>
      </c>
      <c r="E11" s="279" t="inlineStr">
        <is>
          <t>Maliyet ve stok hareketinin kopması</t>
        </is>
      </c>
      <c r="F11" s="279" t="inlineStr">
        <is>
          <t>Stok devri</t>
        </is>
      </c>
    </row>
    <row r="12" ht="28" customHeight="1" s="88">
      <c r="A12" s="295" t="inlineStr">
        <is>
          <t>Maddi Duran Varlık</t>
        </is>
      </c>
      <c r="B12" s="279" t="inlineStr">
        <is>
          <t>Yatırım harcaması ve amortisman bağlantılı</t>
        </is>
      </c>
      <c r="C12" s="279" t="inlineStr">
        <is>
          <t>253 Tesis Makine Cihazlar, 255 Demirbaşlar, 257 Birikmiş Amortismanlar</t>
        </is>
      </c>
      <c r="D12" s="279" t="inlineStr">
        <is>
          <t>25x</t>
        </is>
      </c>
      <c r="E12" s="279" t="inlineStr">
        <is>
          <t>Yatırım/gider karışması</t>
        </is>
      </c>
      <c r="F12" s="279" t="inlineStr">
        <is>
          <t>Net defter değeri devri</t>
        </is>
      </c>
    </row>
    <row r="13">
      <c r="A13" s="295" t="inlineStr">
        <is>
          <t>Mali Borçlar</t>
        </is>
      </c>
      <c r="B13" s="279" t="inlineStr">
        <is>
          <t>Kısa/uzun vadeli borç ayrımı</t>
        </is>
      </c>
      <c r="C13" s="279" t="inlineStr">
        <is>
          <t>300 Banka Kredileri / 400 Banka Kredileri</t>
        </is>
      </c>
      <c r="D13" s="279" t="inlineStr">
        <is>
          <t>300 / 400</t>
        </is>
      </c>
      <c r="E13" s="279" t="inlineStr">
        <is>
          <t>Vade sınıfı yanlış</t>
        </is>
      </c>
      <c r="F13" s="279" t="inlineStr">
        <is>
          <t>Borç devri</t>
        </is>
      </c>
    </row>
    <row r="14">
      <c r="A14" s="295" t="inlineStr">
        <is>
          <t>Özkaynak</t>
        </is>
      </c>
      <c r="B14" s="279" t="inlineStr">
        <is>
          <t>Sermaye ve geçmiş yıl kârları ayrı</t>
        </is>
      </c>
      <c r="C14" s="279" t="inlineStr">
        <is>
          <t>500 Sermaye, 570 Geçmiş Yıllar Kârları, 590 Dönem Net Kârı</t>
        </is>
      </c>
      <c r="D14" s="279" t="inlineStr">
        <is>
          <t>5xx</t>
        </is>
      </c>
      <c r="E14" s="279" t="inlineStr">
        <is>
          <t>Net kâr bağının kopması</t>
        </is>
      </c>
      <c r="F14" s="279" t="inlineStr">
        <is>
          <t>Özkaynak devri</t>
        </is>
      </c>
    </row>
    <row r="15">
      <c r="A15" s="295" t="inlineStr">
        <is>
          <t>Vergi</t>
        </is>
      </c>
      <c r="B15" s="279" t="inlineStr">
        <is>
          <t>Vergi satırları Türkiye mantığına uygun</t>
        </is>
      </c>
      <c r="C15" s="279" t="inlineStr">
        <is>
          <t>Dönem Vergi ve Diğer Yasal Yükümlülük Karşılıkları</t>
        </is>
      </c>
      <c r="D15" s="279" t="inlineStr">
        <is>
          <t>37x / ilgili vergi hesapları</t>
        </is>
      </c>
      <c r="E15" s="279" t="inlineStr">
        <is>
          <t>Vergi etkisinin yanlış dönemlenmesi</t>
        </is>
      </c>
      <c r="F15" s="279" t="inlineStr">
        <is>
          <t>Vergi sözleşmesi</t>
        </is>
      </c>
    </row>
    <row r="16">
      <c r="A16" s="295" t="inlineStr">
        <is>
          <t>İsim standardı</t>
        </is>
      </c>
      <c r="B16" s="279" t="inlineStr">
        <is>
          <t>Tablo ve sayfa adları Türkçe ve işlevsel</t>
        </is>
      </c>
      <c r="C16" s="279" t="inlineStr">
        <is>
          <t>GELİR_TABLOSU, BİLANÇO, NAKİT_AKISI, BORC_PLANI</t>
        </is>
      </c>
      <c r="D16" s="279" t="inlineStr">
        <is>
          <t>Tekrarlanabilir standart</t>
        </is>
      </c>
      <c r="E16" s="279" t="inlineStr">
        <is>
          <t>İngilizce/karma isim</t>
        </is>
      </c>
      <c r="F16" s="279" t="inlineStr">
        <is>
          <t>Sayfa ve tablo taraması</t>
        </is>
      </c>
    </row>
    <row r="17">
      <c r="A17" s="295" t="inlineStr">
        <is>
          <t>THP eşleme tablosu</t>
        </is>
      </c>
      <c r="B17" s="279" t="inlineStr">
        <is>
          <t>Her kritik satır en az bir THP hesabına bağlanır</t>
        </is>
      </c>
      <c r="C17" s="279" t="inlineStr">
        <is>
          <t>RaporSatırı → HesapKodu → HesapAdı → İşaret → Dönem</t>
        </is>
      </c>
      <c r="D17" s="279" t="inlineStr">
        <is>
          <t>Kaynak izlenebilirliği</t>
        </is>
      </c>
      <c r="E17" s="279" t="inlineStr">
        <is>
          <t>Rapordan rapora kaynak</t>
        </is>
      </c>
      <c r="F17" s="279" t="inlineStr">
        <is>
          <t>Eşleme kapsama %100</t>
        </is>
      </c>
    </row>
    <row r="18">
      <c r="A18" s="295" t="inlineStr">
        <is>
          <t>İstisna</t>
        </is>
      </c>
      <c r="B18" s="279" t="inlineStr">
        <is>
          <t>TFRS özel ürün varsa fark açık yazılır</t>
        </is>
      </c>
      <c r="C18" s="279" t="inlineStr">
        <is>
          <t>Tekdüzen raporlama ≠ TFRS finansal tablo sunumu</t>
        </is>
      </c>
      <c r="D18" s="279" t="inlineStr">
        <is>
          <t>Amaç belirtilir</t>
        </is>
      </c>
      <c r="E18" s="279" t="inlineStr">
        <is>
          <t>Standartları karıştırma</t>
        </is>
      </c>
      <c r="F18" s="279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88" min="1" max="1"/>
    <col width="41.5" customWidth="1" style="88" min="2" max="2"/>
    <col width="86.5" customWidth="1" style="88" min="3" max="3"/>
    <col width="35.5" customWidth="1" style="88" min="4" max="4"/>
    <col width="33.5" customWidth="1" style="88" min="5" max="5"/>
    <col width="16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KARAR, GÜVEN VE SATIŞA HAZIRLIK STANDARDI</t>
        </is>
      </c>
    </row>
    <row r="2"/>
    <row r="3" ht="24" customHeight="1" s="88">
      <c r="A3" s="297" t="inlineStr">
        <is>
          <t>Alan</t>
        </is>
      </c>
      <c r="B3" s="297" t="inlineStr">
        <is>
          <t>Müşteri Sorusu</t>
        </is>
      </c>
      <c r="C3" s="297" t="inlineStr">
        <is>
          <t>Zorunlu Ürün Davranışı</t>
        </is>
      </c>
      <c r="D3" s="297" t="inlineStr">
        <is>
          <t>Kanıt</t>
        </is>
      </c>
      <c r="E3" s="297" t="inlineStr">
        <is>
          <t>Başarısızlık Durumu</t>
        </is>
      </c>
      <c r="F3" s="297" t="inlineStr">
        <is>
          <t>Kapı</t>
        </is>
      </c>
    </row>
    <row r="4">
      <c r="A4" s="298" t="inlineStr">
        <is>
          <t>5 saniye</t>
        </is>
      </c>
      <c r="B4" s="279" t="inlineStr">
        <is>
          <t>Bu ürün neyi çözüyor?</t>
        </is>
      </c>
      <c r="C4" s="279" t="inlineStr">
        <is>
          <t>İlk ekranda hedef kullanıcı + pahalı problem + sonuç görünür</t>
        </is>
      </c>
      <c r="D4" s="279" t="inlineStr">
        <is>
          <t>Başlık + alt mesaj + gerçek ekran</t>
        </is>
      </c>
      <c r="E4" s="279" t="inlineStr">
        <is>
          <t>Ürün yalnız teknik isim</t>
        </is>
      </c>
      <c r="F4" s="299" t="inlineStr">
        <is>
          <t>HATA</t>
        </is>
      </c>
    </row>
    <row r="5">
      <c r="A5" s="298" t="inlineStr">
        <is>
          <t>Acı</t>
        </is>
      </c>
      <c r="B5" s="279" t="inlineStr">
        <is>
          <t>Sorun bana neye mal oluyor?</t>
        </is>
      </c>
      <c r="C5" s="279" t="inlineStr">
        <is>
          <t>Mümkünse müşterinin kendi verisiyle parasal/zaman etkisi hesaplanır</t>
        </is>
      </c>
      <c r="D5" s="279" t="inlineStr">
        <is>
          <t>ROI/acı hesaplama yöntemi</t>
        </is>
      </c>
      <c r="E5" s="279" t="inlineStr">
        <is>
          <t>Uydurma tasarruf</t>
        </is>
      </c>
      <c r="F5" s="299" t="inlineStr">
        <is>
          <t>HATA</t>
        </is>
      </c>
    </row>
    <row r="6">
      <c r="A6" s="298" t="inlineStr">
        <is>
          <t>Karar</t>
        </is>
      </c>
      <c r="B6" s="279" t="inlineStr">
        <is>
          <t>Bu bilgiyle ne yapacağım?</t>
        </is>
      </c>
      <c r="C6" s="279" t="inlineStr">
        <is>
          <t>Her kritik KPI aksiyona bağlanır</t>
        </is>
      </c>
      <c r="D6" s="279" t="inlineStr">
        <is>
          <t>KARAR_KUYRUGU</t>
        </is>
      </c>
      <c r="E6" s="279" t="inlineStr">
        <is>
          <t>Sadece rapor</t>
        </is>
      </c>
      <c r="F6" s="299" t="inlineStr">
        <is>
          <t>HATA</t>
        </is>
      </c>
    </row>
    <row r="7">
      <c r="A7" s="298" t="inlineStr">
        <is>
          <t>Güven</t>
        </is>
      </c>
      <c r="B7" s="279" t="inlineStr">
        <is>
          <t>Bu sayıya neden inanayım?</t>
        </is>
      </c>
      <c r="C7" s="279" t="inlineStr">
        <is>
          <t>Kaynak, formül mantığı, kontrol ve son doğrulama görünür</t>
        </is>
      </c>
      <c r="D7" s="279" t="inlineStr">
        <is>
          <t>Kontroller + kaynak izi + sürüm</t>
        </is>
      </c>
      <c r="E7" s="279" t="inlineStr">
        <is>
          <t>Prestij kelimesi</t>
        </is>
      </c>
      <c r="F7" s="299" t="inlineStr">
        <is>
          <t>HATA</t>
        </is>
      </c>
    </row>
    <row r="8">
      <c r="A8" s="298" t="inlineStr">
        <is>
          <t>Referans</t>
        </is>
      </c>
      <c r="B8" s="279" t="inlineStr">
        <is>
          <t>Müşteri yorumu yoksa ne göstereceğim?</t>
        </is>
      </c>
      <c r="C8" s="279" t="inlineStr">
        <is>
          <t>Önce/Sonra + Karar Vakası + Hata Önleme Vakası üretilir</t>
        </is>
      </c>
      <c r="D8" s="279" t="inlineStr">
        <is>
          <t>Demo/örnek çıktı</t>
        </is>
      </c>
      <c r="E8" s="279" t="inlineStr">
        <is>
          <t>Kanıtsız iddia</t>
        </is>
      </c>
      <c r="F8" s="299" t="inlineStr">
        <is>
          <t>HATA</t>
        </is>
      </c>
    </row>
    <row r="9">
      <c r="A9" s="298" t="inlineStr">
        <is>
          <t>Senaryo</t>
        </is>
      </c>
      <c r="B9" s="279" t="inlineStr">
        <is>
          <t>Ne olursa işler bozulur?</t>
        </is>
      </c>
      <c r="C9" s="279" t="inlineStr">
        <is>
          <t>Baz/Aşağı/Yukarı veya uygun stres senaryosu</t>
        </is>
      </c>
      <c r="D9" s="279" t="inlineStr">
        <is>
          <t>Senaryo karşılaştırma</t>
        </is>
      </c>
      <c r="E9" s="279" t="inlineStr">
        <is>
          <t>Dekoratif senaryo</t>
        </is>
      </c>
      <c r="F9" s="299" t="inlineStr">
        <is>
          <t>HATA</t>
        </is>
      </c>
    </row>
    <row r="10">
      <c r="A10" s="298" t="inlineStr">
        <is>
          <t>Ters stres</t>
        </is>
      </c>
      <c r="B10" s="279" t="inlineStr">
        <is>
          <t>Hangi eşikte karar kırılır?</t>
        </is>
      </c>
      <c r="C10" s="279" t="inlineStr">
        <is>
          <t>En az bir kritik sürücü için kırılma eşiği</t>
        </is>
      </c>
      <c r="D10" s="279" t="inlineStr">
        <is>
          <t>Kırılma eşiği tablosu</t>
        </is>
      </c>
      <c r="E10" s="279" t="inlineStr">
        <is>
          <t>Sadece +/- %10</t>
        </is>
      </c>
      <c r="F10" s="299" t="inlineStr">
        <is>
          <t>UYARI/HATA</t>
        </is>
      </c>
    </row>
    <row r="11">
      <c r="A11" s="298" t="inlineStr">
        <is>
          <t>Hata tutarlılığı</t>
        </is>
      </c>
      <c r="B11" s="279" t="inlineStr">
        <is>
          <t>Formül hata verirse ne olur?</t>
        </is>
      </c>
      <c r="C11" s="279" t="inlineStr">
        <is>
          <t>Kontrol GEÇTİ veremez; BLOKE/HATA üretir</t>
        </is>
      </c>
      <c r="D11" s="279" t="inlineStr">
        <is>
          <t>Hata taraması</t>
        </is>
      </c>
      <c r="E11" s="279" t="inlineStr">
        <is>
          <t>Hata + GEÇTİ birlikte</t>
        </is>
      </c>
      <c r="F11" s="299" t="inlineStr">
        <is>
          <t>HATA</t>
        </is>
      </c>
    </row>
    <row r="12">
      <c r="A12" s="298" t="inlineStr">
        <is>
          <t>Karar motoru</t>
        </is>
      </c>
      <c r="B12" s="279" t="inlineStr">
        <is>
          <t>Ne oldu, neden oldu?</t>
        </is>
      </c>
      <c r="C12" s="279" t="inlineStr">
        <is>
          <t>Sorun + neden + parasal etki + aksiyon + son tarih</t>
        </is>
      </c>
      <c r="D12" s="279" t="inlineStr">
        <is>
          <t>Karar tablosu</t>
        </is>
      </c>
      <c r="E12" s="279" t="inlineStr">
        <is>
          <t>Boş sayfa / isim düzeyi modül</t>
        </is>
      </c>
      <c r="F12" s="299" t="inlineStr">
        <is>
          <t>HATA</t>
        </is>
      </c>
    </row>
    <row r="13">
      <c r="A13" s="298" t="inlineStr">
        <is>
          <t>Yönetici özeti</t>
        </is>
      </c>
      <c r="B13" s="279" t="inlineStr">
        <is>
          <t>5 saniyede ne görmeliyim?</t>
        </is>
      </c>
      <c r="C13" s="279" t="inlineStr">
        <is>
          <t>Bugün / ne değişti / ne bozulacak / neden / ne yapmalıyım / güven</t>
        </is>
      </c>
      <c r="D13" s="279" t="inlineStr">
        <is>
          <t>Yönetici özeti ekranı</t>
        </is>
      </c>
      <c r="E13" s="279" t="inlineStr">
        <is>
          <t>KPI kutusu yığını</t>
        </is>
      </c>
      <c r="F13" s="299" t="inlineStr">
        <is>
          <t>HATA</t>
        </is>
      </c>
    </row>
    <row r="14">
      <c r="A14" s="298" t="inlineStr">
        <is>
          <t>Teklif</t>
        </is>
      </c>
      <c r="B14" s="279" t="inlineStr">
        <is>
          <t>Neden satın almalıyım?</t>
        </is>
      </c>
      <c r="C14" s="279" t="inlineStr">
        <is>
          <t>Dosya özellikleri yerine sonuç ve kaçınılan maliyet sunulur</t>
        </is>
      </c>
      <c r="D14" s="279" t="inlineStr">
        <is>
          <t>Ürün sayfası kanıt eşlemesi</t>
        </is>
      </c>
      <c r="E14" s="279" t="inlineStr">
        <is>
          <t>Özellik listesiyle satış</t>
        </is>
      </c>
      <c r="F14" s="299" t="inlineStr">
        <is>
          <t>HATA</t>
        </is>
      </c>
    </row>
    <row r="15">
      <c r="A15" s="298" t="inlineStr">
        <is>
          <t>Dağıtım</t>
        </is>
      </c>
      <c r="B15" s="279" t="inlineStr">
        <is>
          <t>Beni nasıl bulacaklar?</t>
        </is>
      </c>
      <c r="C15" s="279" t="inlineStr">
        <is>
          <t>Sorun niyetine göre SEO sayfaları, iç bağlantı, temiz yapı, taranabilir metin</t>
        </is>
      </c>
      <c r="D15" s="279" t="inlineStr">
        <is>
          <t>Arama niyeti haritası</t>
        </is>
      </c>
      <c r="E15" s="279" t="inlineStr">
        <is>
          <t>Tek ürün sayfasına bağımlılık</t>
        </is>
      </c>
      <c r="F15" s="299" t="inlineStr">
        <is>
          <t>UYARI</t>
        </is>
      </c>
    </row>
    <row r="16" ht="28" customHeight="1" s="88">
      <c r="A16" s="298" t="inlineStr">
        <is>
          <t>LLM görünürlüğü</t>
        </is>
      </c>
      <c r="B16" s="279" t="inlineStr">
        <is>
          <t>AI ürünümü anlayabiliyor mu?</t>
        </is>
      </c>
      <c r="C16" s="279" t="inlineStr">
        <is>
          <t>Ürün tanımı, hedef kullanıcı, girdi/çıktı, metodoloji, sınırlar, SSS açık metindir</t>
        </is>
      </c>
      <c r="D16" s="279" t="inlineStr">
        <is>
          <t>Taranabilir ürün içeriği</t>
        </is>
      </c>
      <c r="E16" s="279" t="inlineStr">
        <is>
          <t>'AI SEO' iddiası</t>
        </is>
      </c>
      <c r="F16" s="299" t="inlineStr">
        <is>
          <t>UYARI</t>
        </is>
      </c>
    </row>
    <row r="17">
      <c r="A17" s="298" t="inlineStr">
        <is>
          <t>Satış kanalı</t>
        </is>
      </c>
      <c r="B17" s="279" t="inlineStr">
        <is>
          <t>Nerede satılmalı?</t>
        </is>
      </c>
      <c r="C17" s="279" t="inlineStr">
        <is>
          <t>Arama, LinkedIn, uzman/partner, demo/video; ürüne göre kanal seçilir</t>
        </is>
      </c>
      <c r="D17" s="279" t="inlineStr">
        <is>
          <t>Kanal matrisi</t>
        </is>
      </c>
      <c r="E17" s="279" t="inlineStr">
        <is>
          <t>Her ürüne aynı kanal</t>
        </is>
      </c>
      <c r="F17" s="299" t="inlineStr">
        <is>
          <t>UYARI</t>
        </is>
      </c>
    </row>
    <row r="18">
      <c r="A18" s="298" t="inlineStr">
        <is>
          <t>Fiyat</t>
        </is>
      </c>
      <c r="B18" s="279" t="inlineStr">
        <is>
          <t>Bu fiyat neden mantıklı?</t>
        </is>
      </c>
      <c r="C18" s="279" t="inlineStr">
        <is>
          <t>Fiyat, ekonomik karar değerine ve kanıtlanmış ürün derinliğine bağlanır</t>
        </is>
      </c>
      <c r="D18" s="279" t="inlineStr">
        <is>
          <t>Değer haritası + demo</t>
        </is>
      </c>
      <c r="E18" s="279" t="inlineStr">
        <is>
          <t>Sırf sayfa/formül sayısı</t>
        </is>
      </c>
      <c r="F18" s="299" t="inlineStr">
        <is>
          <t>HATA</t>
        </is>
      </c>
    </row>
    <row r="19">
      <c r="A19" s="298" t="inlineStr">
        <is>
          <t>Pazar kanıtı</t>
        </is>
      </c>
      <c r="B19" s="279" t="inlineStr">
        <is>
          <t>Piyasa gerçekten ödüyor mu?</t>
        </is>
      </c>
      <c r="C19" s="279" t="inlineStr">
        <is>
          <t>Satış/pilot/LOI/fiyat kabulü olmadan pazar doğrulandı yazılmaz</t>
        </is>
      </c>
      <c r="D19" s="279" t="inlineStr">
        <is>
          <t>Gerçek işlem kanıtı</t>
        </is>
      </c>
      <c r="E19" s="279" t="inlineStr">
        <is>
          <t>Tahmini talep = satış kabulü</t>
        </is>
      </c>
      <c r="F19" s="299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4" customWidth="1" style="87" min="1" max="3"/>
    <col width="13" customWidth="1" style="88" min="2" max="2"/>
    <col width="13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AKILLI KASA DEFTERİ VE NAKİT KONTROL SİSTEMİ</t>
        </is>
      </c>
    </row>
    <row r="2"/>
    <row r="3" ht="22" customHeight="1" s="88">
      <c r="A3" s="329" t="inlineStr">
        <is>
          <t>Kasadaki paranızın tamamını mı sanıyorsunuz? Bloke, eşik ve bekleyen ödemeleri ayırdıktan sonra gerçek kullanılabilir nakitinizi ve açık riskinizi görün.</t>
        </is>
      </c>
    </row>
    <row r="4" ht="15" customHeight="1" s="88">
      <c r="A4" s="91" t="inlineStr">
        <is>
          <t>Hesap kartları, kasa hareketleri, ödeme/tahsilat takvimi ve fiziki mutabakat tek sistemde toplanır. Kullanılabilir para, nakit açığı, ödeme önerisi ve senaryo etkileri canlı formüllerle üretilir; karar motoru ödeme planına net yön verir.</t>
        </is>
      </c>
    </row>
    <row r="5" ht="15" customHeight="1" s="88"/>
    <row r="6"/>
    <row r="7" ht="15" customHeight="1" s="88">
      <c r="A7" s="92" t="inlineStr">
        <is>
          <t>1. KASA_HESAPLARI ve KASA_HAREKETLERI sayfalarına hesaplarınızı ve hareketlerinizi girin.</t>
        </is>
      </c>
    </row>
    <row r="8" ht="15" customHeight="1" s="88">
      <c r="A8" s="92" t="inlineStr">
        <is>
          <t>2. ODEME_TAHSILAT_TAKVIMI ile ödeme planınızı, FIZIKI_KASA_MUTABAKAT ile sayımınızı girin.</t>
        </is>
      </c>
    </row>
    <row r="9" ht="15" customHeight="1" s="88">
      <c r="A9" s="92" t="inlineStr">
        <is>
          <t>3. PANO'da kullanılabilir para, nakit açığı ve ödeme önerisini okuyun; RAPOR ile yönetici özeti alın.</t>
        </is>
      </c>
    </row>
    <row r="10"/>
    <row r="11" ht="15" customHeight="1" s="88">
      <c r="A11" s="93" t="inlineStr">
        <is>
          <t>Bu dosya bir karar destek aracıdır; bağımsız denetim veya mali danışmanlık yerine geçmez. Verileriniz yalnızca bu dosyada kalır, cihazınızdan çıkmaz. Kasa ve banka bakiyeleri banka kayıtlarıyla mutabakat edilerek doğrulanmalıdır.</t>
        </is>
      </c>
    </row>
    <row r="12" ht="15" customHeight="1" s="88"/>
    <row r="13" ht="15" customHeight="1" s="88"/>
    <row r="14" ht="15" customHeight="1" s="88"/>
    <row r="15" ht="15" customHeight="1" s="88">
      <c r="A15" s="94" t="inlineStr">
        <is>
          <t>ExcelArşiv</t>
        </is>
      </c>
    </row>
    <row r="16" ht="15" customHeight="1" s="88">
      <c r="A16" s="95" t="inlineStr">
        <is>
          <t>Rev 1.0 | 2026-08-10 | Lisans: Tek kullanıcı | Çevrimdışı çalışır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9:J9"/>
    <mergeCell ref="A1:I1"/>
    <mergeCell ref="A7:J7"/>
    <mergeCell ref="A4:C5"/>
    <mergeCell ref="A3:I3"/>
    <mergeCell ref="A16:C16"/>
    <mergeCell ref="A11:C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9.5" customWidth="1" style="87" min="1" max="1"/>
    <col width="20" customWidth="1" style="87" min="2" max="2"/>
    <col width="13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>
      <c r="A1" s="183" t="inlineStr">
        <is>
          <t>☰ PANO</t>
        </is>
      </c>
    </row>
    <row r="2"/>
    <row r="3" ht="22" customHeight="1" s="88">
      <c r="A3" s="329" t="inlineStr">
        <is>
          <t>Nasıl kullanılır?</t>
        </is>
      </c>
    </row>
    <row r="4" ht="15" customHeight="1" s="88">
      <c r="A4" s="97" t="inlineStr">
        <is>
          <t>1. AYARLAR sayfasından kasa başlangıç bakiyesi, asgari nakit tamponu ve eşikleri kontrol edin.</t>
        </is>
      </c>
    </row>
    <row r="5" ht="15" customHeight="1" s="88">
      <c r="A5" s="97" t="inlineStr">
        <is>
          <t>2. KASA_HESAPLARI'na hesap kartlarını (kasa/banka), bakiyelerini ve bloke tutarlarını girin.</t>
        </is>
      </c>
    </row>
    <row r="6" ht="15" customHeight="1" s="88">
      <c r="A6" s="97" t="inlineStr">
        <is>
          <t>3. KASA_HAREKETLERI'ne giriş/çıkış hareketlerini tarih, tür ve tutarla işleyin; hesaplanan sütunlar otomatik dolar.</t>
        </is>
      </c>
    </row>
    <row r="7" ht="15" customHeight="1" s="88">
      <c r="A7" s="97" t="inlineStr">
        <is>
          <t>4. ODEME_TAHSILAT_TAKVIMI'ne bekleyen ödeme ve tahsilatları, FIZIKI_KASA_MUTABAKAT'a sayımı girin.</t>
        </is>
      </c>
    </row>
    <row r="8" ht="15" customHeight="1" s="88">
      <c r="A8" s="97" t="inlineStr">
        <is>
          <t>5. PANO'da kullanılabilir para, nakit açığı, kritik ödemeler ve ödeme önerisini okuyun.</t>
        </is>
      </c>
    </row>
    <row r="9" ht="15" customHeight="1" s="88">
      <c r="A9" s="97" t="inlineStr">
        <is>
          <t>6. KARAR_MOTORU ve SENARYO_DUYARLILIK iyimser/kötümser koşullarda nakit etkisini gösterir.</t>
        </is>
      </c>
    </row>
    <row r="10" ht="15" customHeight="1" s="88">
      <c r="A10" s="97" t="inlineStr">
        <is>
          <t>7. RAPOR sayfası yöneticiye sunulabilir özet çıktısı üretir; yazdırmaya hazırdır.</t>
        </is>
      </c>
    </row>
    <row r="11"/>
    <row r="12" ht="15" customHeight="1" s="88">
      <c r="A12" s="98" t="inlineStr">
        <is>
          <t>Sık yapılan hatalar</t>
        </is>
      </c>
    </row>
    <row r="13" ht="15" customHeight="1" s="88">
      <c r="A13" s="93" t="inlineStr">
        <is>
          <t>Bakiyeyi hesap kartında güncellemeyi unutmak — kullanılabilir para hatalı hesaplanır.</t>
        </is>
      </c>
    </row>
    <row r="14" ht="15" customHeight="1" s="88">
      <c r="A14" s="93" t="inlineStr">
        <is>
          <t>Bloke tutar ve minimum eşiği boş bırakmak — kullanılabilir para olduğundan yüksek görünür.</t>
        </is>
      </c>
    </row>
    <row r="15" ht="15" customHeight="1" s="88">
      <c r="A15" s="93" t="inlineStr">
        <is>
          <t>Ödeme takviminde durumu BEKLEMEDE bırakmamak — bekleyen ödeme yüküne dahil edilmez.</t>
        </is>
      </c>
    </row>
    <row r="16" ht="15" customHeight="1" s="88">
      <c r="A16" s="93" t="inlineStr">
        <is>
          <t>Fiziki mutabakatı tamamlamamak — mutabakat farkı uyarısı görünür, karar etkilenir.</t>
        </is>
      </c>
    </row>
    <row r="17" ht="15" customHeight="1" s="88">
      <c r="A17" s="93" t="inlineStr">
        <is>
          <t>Kilitli (beyaz/yeşil) hücrelere yazmak — yalnızca sarı hücreler giriş içindir.</t>
        </is>
      </c>
    </row>
    <row r="18"/>
    <row r="19" ht="19.5" customHeight="1" s="88">
      <c r="A19" s="99" t="inlineStr">
        <is>
          <t>Tüm eşik ve katsayılar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3:I3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7" min="1" max="1"/>
    <col width="26" customWidth="1" style="87" min="2" max="2"/>
    <col width="10" customWidth="1" style="87" min="3" max="3"/>
    <col width="14" customWidth="1" style="87" min="4" max="4"/>
    <col width="26" customWidth="1" style="87" min="5" max="5"/>
    <col width="16" customWidth="1" style="87" min="6" max="7"/>
    <col width="13" customWidth="1" style="88" min="7" max="7"/>
    <col width="18" customWidth="1" style="87" min="8" max="8"/>
    <col width="10" customWidth="1" style="87" min="9" max="9"/>
    <col width="16" customWidth="1" style="87" min="10" max="10"/>
    <col width="42" customWidth="1" style="87" min="11" max="11"/>
    <col width="46" customWidth="1" style="87" min="12" max="12"/>
  </cols>
  <sheetData>
    <row r="1" ht="32" customHeight="1" s="88">
      <c r="A1" s="310" t="inlineStr">
        <is>
          <t>KASA HESAPLARI — AKILLI KASA DEFTERİ VE NAKİT KONTROL SİSTEMİ</t>
        </is>
      </c>
    </row>
    <row r="2" ht="19.5" customHeight="1" s="88">
      <c r="A2" s="99" t="inlineStr">
        <is>
          <t>Kasa ve banka hesaplarını burada tanımlayın. Bakiye, Bloke Tutar ve Minimum Kasa Eşiği sütunları günlük kullanılabilir para hesabını besler.</t>
        </is>
      </c>
    </row>
    <row r="3" ht="21.75" customHeight="1" s="88">
      <c r="L3" s="101" t="inlineStr">
        <is>
          <t>Sarı hücreler elle doldurulur; Kullanılabilir sütunu otomatik hesaplanır.</t>
        </is>
      </c>
    </row>
    <row r="4" ht="30" customHeight="1" s="88">
      <c r="A4" s="102" t="inlineStr">
        <is>
          <t>Hesap Kodu</t>
        </is>
      </c>
      <c r="B4" s="102" t="inlineStr">
        <is>
          <t>Hesap Adı</t>
        </is>
      </c>
      <c r="C4" s="102" t="inlineStr">
        <is>
          <t>Tür</t>
        </is>
      </c>
      <c r="D4" s="102" t="inlineStr">
        <is>
          <t>Banka</t>
        </is>
      </c>
      <c r="E4" s="102" t="inlineStr">
        <is>
          <t>IBAN</t>
        </is>
      </c>
      <c r="F4" s="102" t="inlineStr">
        <is>
          <t>Bakiye (₺)</t>
        </is>
      </c>
      <c r="G4" s="102" t="inlineStr">
        <is>
          <t>Bloke Tutar (₺)</t>
        </is>
      </c>
      <c r="H4" s="102" t="inlineStr">
        <is>
          <t>Minimum Kasa Eşiği (₺)</t>
        </is>
      </c>
      <c r="I4" s="102" t="inlineStr">
        <is>
          <t>Durum</t>
        </is>
      </c>
      <c r="J4" s="102" t="inlineStr">
        <is>
          <t>Kullanılabilir (₺)</t>
        </is>
      </c>
      <c r="K4" s="102" t="inlineStr">
        <is>
          <t>Açıklama</t>
        </is>
      </c>
    </row>
    <row r="5"/>
    <row r="6" ht="15" customHeight="1" s="88">
      <c r="A6" s="103" t="inlineStr">
        <is>
          <t>KS-001</t>
        </is>
      </c>
      <c r="B6" s="104" t="inlineStr">
        <is>
          <t>Ana Kasa</t>
        </is>
      </c>
      <c r="C6" s="103" t="inlineStr">
        <is>
          <t>KASA</t>
        </is>
      </c>
      <c r="D6" s="104" t="n"/>
      <c r="E6" s="105" t="n"/>
      <c r="F6" s="106" t="n">
        <v>450000</v>
      </c>
      <c r="G6" s="106" t="n">
        <v>0</v>
      </c>
      <c r="H6" s="106" t="n">
        <v>50000</v>
      </c>
      <c r="I6" s="103" t="inlineStr">
        <is>
          <t>AKTİF</t>
        </is>
      </c>
      <c r="J6" s="107">
        <f>IF($A6="","",$F6-$G6-$H6)</f>
        <v/>
      </c>
      <c r="K6" s="108" t="inlineStr">
        <is>
          <t>Günlük operasyon kasası</t>
        </is>
      </c>
    </row>
    <row r="7" ht="15" customHeight="1" s="88">
      <c r="A7" s="103" t="inlineStr">
        <is>
          <t>BK-001</t>
        </is>
      </c>
      <c r="B7" s="104" t="inlineStr">
        <is>
          <t>İş Bankası Cari</t>
        </is>
      </c>
      <c r="C7" s="103" t="inlineStr">
        <is>
          <t>BANKA</t>
        </is>
      </c>
      <c r="D7" s="104" t="inlineStr">
        <is>
          <t>İŞ</t>
        </is>
      </c>
      <c r="E7" s="105" t="inlineStr">
        <is>
          <t>TR33 0006 4000 0011 1234 5678 90</t>
        </is>
      </c>
      <c r="F7" s="106" t="n">
        <v>800000</v>
      </c>
      <c r="G7" s="106" t="n">
        <v>200000</v>
      </c>
      <c r="H7" s="106" t="n">
        <v>100000</v>
      </c>
      <c r="I7" s="103" t="inlineStr">
        <is>
          <t>AKTİF</t>
        </is>
      </c>
      <c r="J7" s="107">
        <f>IF($A7="","",$F7-$G7-$H7)</f>
        <v/>
      </c>
      <c r="K7" s="108" t="inlineStr">
        <is>
          <t>Tedarikçi ödemeleri</t>
        </is>
      </c>
    </row>
    <row r="8" ht="15" customHeight="1" s="88">
      <c r="A8" s="103" t="inlineStr">
        <is>
          <t>BK-002</t>
        </is>
      </c>
      <c r="B8" s="104" t="inlineStr">
        <is>
          <t>Ziraat Vadesiz</t>
        </is>
      </c>
      <c r="C8" s="103" t="inlineStr">
        <is>
          <t>BANKA</t>
        </is>
      </c>
      <c r="D8" s="104" t="inlineStr">
        <is>
          <t>ZİRAAT</t>
        </is>
      </c>
      <c r="E8" s="105" t="inlineStr">
        <is>
          <t>TR12 0001 0000 0000 4321 0987 65</t>
        </is>
      </c>
      <c r="F8" s="106" t="n">
        <v>250000</v>
      </c>
      <c r="G8" s="106" t="n">
        <v>0</v>
      </c>
      <c r="H8" s="106" t="n">
        <v>50000</v>
      </c>
      <c r="I8" s="103" t="inlineStr">
        <is>
          <t>AKTİF</t>
        </is>
      </c>
      <c r="J8" s="107">
        <f>IF($A8="","",$F8-$G8-$H8)</f>
        <v/>
      </c>
      <c r="K8" s="108" t="inlineStr">
        <is>
          <t>Vergi ve SGK ödemeleri</t>
        </is>
      </c>
    </row>
    <row r="9" ht="15" customHeight="1" s="88">
      <c r="A9" s="103" t="inlineStr">
        <is>
          <t>BK-003</t>
        </is>
      </c>
      <c r="B9" s="104" t="inlineStr">
        <is>
          <t>Garanti Kredi Hesabı</t>
        </is>
      </c>
      <c r="C9" s="103" t="inlineStr">
        <is>
          <t>BANKA</t>
        </is>
      </c>
      <c r="D9" s="104" t="inlineStr">
        <is>
          <t>GARANTİ</t>
        </is>
      </c>
      <c r="E9" s="105" t="inlineStr">
        <is>
          <t>TR45 0006 2000 0000 9988 7766 55</t>
        </is>
      </c>
      <c r="F9" s="106" t="n">
        <v>150000</v>
      </c>
      <c r="G9" s="106" t="n">
        <v>150000</v>
      </c>
      <c r="H9" s="106" t="n">
        <v>0</v>
      </c>
      <c r="I9" s="103" t="inlineStr">
        <is>
          <t>PASİF</t>
        </is>
      </c>
      <c r="J9" s="107">
        <f>IF($A9="","",$F9-$G9-$H9)</f>
        <v/>
      </c>
      <c r="K9" s="108" t="inlineStr">
        <is>
          <t>Kredi kullandırımı pasif</t>
        </is>
      </c>
    </row>
    <row r="10" ht="15" customHeight="1" s="88">
      <c r="A10" s="109" t="n"/>
      <c r="B10" s="109" t="n"/>
      <c r="C10" s="109" t="n"/>
      <c r="D10" s="109" t="n"/>
      <c r="E10" s="109" t="n"/>
      <c r="F10" s="109" t="n"/>
      <c r="G10" s="109" t="n"/>
      <c r="H10" s="109" t="n"/>
      <c r="I10" s="109" t="n"/>
      <c r="K10" s="109" t="n"/>
    </row>
    <row r="11" ht="15" customHeight="1" s="88">
      <c r="A11" s="109" t="n"/>
      <c r="B11" s="109" t="n"/>
      <c r="C11" s="109" t="n"/>
      <c r="D11" s="109" t="n"/>
      <c r="E11" s="109" t="n"/>
      <c r="F11" s="109" t="n"/>
      <c r="G11" s="109" t="n"/>
      <c r="H11" s="109" t="n"/>
      <c r="I11" s="109" t="n"/>
      <c r="K11" s="109" t="n"/>
    </row>
    <row r="12" ht="15" customHeight="1" s="88">
      <c r="A12" s="109" t="n"/>
      <c r="B12" s="109" t="n"/>
      <c r="C12" s="109" t="n"/>
      <c r="D12" s="109" t="n"/>
      <c r="E12" s="109" t="n"/>
      <c r="F12" s="109" t="n"/>
      <c r="G12" s="109" t="n"/>
      <c r="H12" s="109" t="n"/>
      <c r="I12" s="109" t="n"/>
      <c r="K12" s="109" t="n"/>
    </row>
    <row r="13" ht="15" customHeight="1" s="88">
      <c r="A13" s="109" t="n"/>
      <c r="B13" s="109" t="n"/>
      <c r="C13" s="109" t="n"/>
      <c r="D13" s="109" t="n"/>
      <c r="E13" s="109" t="n"/>
      <c r="F13" s="109" t="n"/>
      <c r="G13" s="109" t="n"/>
      <c r="H13" s="109" t="n"/>
      <c r="I13" s="109" t="n"/>
      <c r="K13" s="109" t="n"/>
    </row>
    <row r="14" ht="15" customHeight="1" s="88">
      <c r="A14" s="109" t="n"/>
      <c r="B14" s="109" t="n"/>
      <c r="C14" s="109" t="n"/>
      <c r="D14" s="109" t="n"/>
      <c r="E14" s="109" t="n"/>
      <c r="F14" s="109" t="n"/>
      <c r="G14" s="109" t="n"/>
      <c r="H14" s="109" t="n"/>
      <c r="I14" s="109" t="n"/>
      <c r="K14" s="109" t="n"/>
    </row>
    <row r="15" ht="15" customHeight="1" s="88">
      <c r="A15" s="109" t="n"/>
      <c r="B15" s="109" t="n"/>
      <c r="C15" s="109" t="n"/>
      <c r="D15" s="109" t="n"/>
      <c r="E15" s="109" t="n"/>
      <c r="F15" s="109" t="n"/>
      <c r="G15" s="109" t="n"/>
      <c r="H15" s="109" t="n"/>
      <c r="I15" s="109" t="n"/>
      <c r="K15" s="109" t="n"/>
    </row>
    <row r="16" ht="15" customHeight="1" s="88">
      <c r="A16" s="109" t="n"/>
      <c r="B16" s="109" t="n"/>
      <c r="C16" s="109" t="n"/>
      <c r="D16" s="109" t="n"/>
      <c r="E16" s="109" t="n"/>
      <c r="F16" s="109" t="n"/>
      <c r="G16" s="109" t="n"/>
      <c r="H16" s="109" t="n"/>
      <c r="I16" s="109" t="n"/>
      <c r="K16" s="109" t="n"/>
    </row>
    <row r="17" ht="15" customHeight="1" s="88">
      <c r="A17" s="109" t="n"/>
      <c r="B17" s="109" t="n"/>
      <c r="C17" s="109" t="n"/>
      <c r="D17" s="109" t="n"/>
      <c r="E17" s="109" t="n"/>
      <c r="F17" s="109" t="n"/>
      <c r="G17" s="109" t="n"/>
      <c r="H17" s="109" t="n"/>
      <c r="I17" s="109" t="n"/>
      <c r="K17" s="109" t="n"/>
    </row>
    <row r="18" ht="15" customHeight="1" s="88">
      <c r="A18" s="109" t="n"/>
      <c r="B18" s="109" t="n"/>
      <c r="C18" s="109" t="n"/>
      <c r="D18" s="109" t="n"/>
      <c r="E18" s="109" t="n"/>
      <c r="F18" s="109" t="n"/>
      <c r="G18" s="109" t="n"/>
      <c r="H18" s="109" t="n"/>
      <c r="I18" s="109" t="n"/>
      <c r="K18" s="109" t="n"/>
    </row>
    <row r="19" ht="15" customHeight="1" s="88">
      <c r="A19" s="109" t="n"/>
      <c r="B19" s="109" t="n"/>
      <c r="C19" s="109" t="n"/>
      <c r="D19" s="109" t="n"/>
      <c r="E19" s="109" t="n"/>
      <c r="F19" s="109" t="n"/>
      <c r="G19" s="109" t="n"/>
      <c r="H19" s="109" t="n"/>
      <c r="I19" s="109" t="n"/>
      <c r="K19" s="109" t="n"/>
    </row>
    <row r="20" ht="15" customHeight="1" s="88">
      <c r="A20" s="109" t="n"/>
      <c r="B20" s="109" t="n"/>
      <c r="C20" s="109" t="n"/>
      <c r="D20" s="109" t="n"/>
      <c r="E20" s="109" t="n"/>
      <c r="F20" s="109" t="n"/>
      <c r="G20" s="109" t="n"/>
      <c r="H20" s="109" t="n"/>
      <c r="I20" s="109" t="n"/>
      <c r="K20" s="109" t="n"/>
    </row>
    <row r="21" ht="15" customHeight="1" s="88">
      <c r="A21" s="109" t="n"/>
      <c r="B21" s="109" t="n"/>
      <c r="C21" s="109" t="n"/>
      <c r="D21" s="109" t="n"/>
      <c r="E21" s="109" t="n"/>
      <c r="F21" s="109" t="n"/>
      <c r="G21" s="109" t="n"/>
      <c r="H21" s="109" t="n"/>
      <c r="I21" s="109" t="n"/>
      <c r="K21" s="109" t="n"/>
    </row>
    <row r="22" ht="15" customHeight="1" s="88">
      <c r="A22" s="109" t="n"/>
      <c r="B22" s="109" t="n"/>
      <c r="C22" s="109" t="n"/>
      <c r="D22" s="109" t="n"/>
      <c r="E22" s="109" t="n"/>
      <c r="F22" s="109" t="n"/>
      <c r="G22" s="109" t="n"/>
      <c r="H22" s="109" t="n"/>
      <c r="I22" s="109" t="n"/>
      <c r="K22" s="109" t="n"/>
    </row>
    <row r="23" ht="15" customHeight="1" s="88">
      <c r="A23" s="109" t="n"/>
      <c r="B23" s="109" t="n"/>
      <c r="C23" s="109" t="n"/>
      <c r="D23" s="109" t="n"/>
      <c r="E23" s="109" t="n"/>
      <c r="F23" s="109" t="n"/>
      <c r="G23" s="109" t="n"/>
      <c r="H23" s="109" t="n"/>
      <c r="I23" s="109" t="n"/>
      <c r="K23" s="109" t="n"/>
    </row>
    <row r="24" ht="15" customHeight="1" s="88">
      <c r="A24" s="109" t="n"/>
      <c r="B24" s="109" t="n"/>
      <c r="C24" s="109" t="n"/>
      <c r="D24" s="109" t="n"/>
      <c r="E24" s="109" t="n"/>
      <c r="F24" s="109" t="n"/>
      <c r="G24" s="109" t="n"/>
      <c r="H24" s="109" t="n"/>
      <c r="I24" s="109" t="n"/>
      <c r="K24" s="109" t="n"/>
    </row>
    <row r="25" ht="15" customHeight="1" s="88">
      <c r="A25" s="109" t="n"/>
      <c r="B25" s="109" t="n"/>
      <c r="C25" s="109" t="n"/>
      <c r="D25" s="109" t="n"/>
      <c r="E25" s="109" t="n"/>
      <c r="F25" s="109" t="n"/>
      <c r="G25" s="109" t="n"/>
      <c r="H25" s="109" t="n"/>
      <c r="I25" s="109" t="n"/>
      <c r="K25" s="109" t="n"/>
    </row>
    <row r="26" ht="15" customHeight="1" s="88">
      <c r="A26" s="109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K26" s="109" t="n"/>
    </row>
    <row r="27" ht="15" customHeight="1" s="88">
      <c r="A27" s="109" t="n"/>
      <c r="B27" s="109" t="n"/>
      <c r="C27" s="109" t="n"/>
      <c r="D27" s="109" t="n"/>
      <c r="E27" s="109" t="n"/>
      <c r="F27" s="109" t="n"/>
      <c r="G27" s="109" t="n"/>
      <c r="H27" s="109" t="n"/>
      <c r="I27" s="109" t="n"/>
      <c r="K27" s="109" t="n"/>
    </row>
    <row r="28" ht="15" customHeight="1" s="88">
      <c r="A28" s="109" t="n"/>
      <c r="B28" s="109" t="n"/>
      <c r="C28" s="109" t="n"/>
      <c r="D28" s="109" t="n"/>
      <c r="E28" s="109" t="n"/>
      <c r="F28" s="109" t="n"/>
      <c r="G28" s="109" t="n"/>
      <c r="H28" s="109" t="n"/>
      <c r="I28" s="109" t="n"/>
      <c r="K28" s="109" t="n"/>
    </row>
    <row r="29" ht="15" customHeight="1" s="88">
      <c r="A29" s="109" t="n"/>
      <c r="B29" s="109" t="n"/>
      <c r="C29" s="109" t="n"/>
      <c r="D29" s="109" t="n"/>
      <c r="E29" s="109" t="n"/>
      <c r="F29" s="109" t="n"/>
      <c r="G29" s="109" t="n"/>
      <c r="H29" s="109" t="n"/>
      <c r="I29" s="109" t="n"/>
      <c r="K29" s="109" t="n"/>
    </row>
    <row r="30" ht="15" customHeight="1" s="88">
      <c r="A30" s="109" t="n"/>
      <c r="B30" s="109" t="n"/>
      <c r="C30" s="109" t="n"/>
      <c r="D30" s="109" t="n"/>
      <c r="E30" s="109" t="n"/>
      <c r="F30" s="109" t="n"/>
      <c r="G30" s="109" t="n"/>
      <c r="H30" s="109" t="n"/>
      <c r="I30" s="109" t="n"/>
      <c r="K30" s="109" t="n"/>
    </row>
    <row r="31" ht="15" customHeight="1" s="88">
      <c r="A31" s="109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K31" s="109" t="n"/>
    </row>
    <row r="32" ht="15" customHeight="1" s="88">
      <c r="A32" s="109" t="n"/>
      <c r="B32" s="109" t="n"/>
      <c r="C32" s="109" t="n"/>
      <c r="D32" s="109" t="n"/>
      <c r="E32" s="109" t="n"/>
      <c r="F32" s="109" t="n"/>
      <c r="G32" s="109" t="n"/>
      <c r="H32" s="109" t="n"/>
      <c r="I32" s="109" t="n"/>
      <c r="K32" s="109" t="n"/>
    </row>
    <row r="33" ht="15" customHeight="1" s="88">
      <c r="A33" s="109" t="n"/>
      <c r="B33" s="109" t="n"/>
      <c r="C33" s="109" t="n"/>
      <c r="D33" s="109" t="n"/>
      <c r="E33" s="109" t="n"/>
      <c r="F33" s="109" t="n"/>
      <c r="G33" s="109" t="n"/>
      <c r="H33" s="109" t="n"/>
      <c r="I33" s="109" t="n"/>
      <c r="K33" s="109" t="n"/>
    </row>
    <row r="34" ht="15" customHeight="1" s="88">
      <c r="A34" s="109" t="n"/>
      <c r="B34" s="109" t="n"/>
      <c r="C34" s="109" t="n"/>
      <c r="D34" s="109" t="n"/>
      <c r="E34" s="109" t="n"/>
      <c r="F34" s="109" t="n"/>
      <c r="G34" s="109" t="n"/>
      <c r="H34" s="109" t="n"/>
      <c r="I34" s="109" t="n"/>
      <c r="K34" s="109" t="n"/>
    </row>
    <row r="35" ht="15" customHeight="1" s="88">
      <c r="A35" s="109" t="n"/>
      <c r="B35" s="109" t="n"/>
      <c r="C35" s="109" t="n"/>
      <c r="D35" s="109" t="n"/>
      <c r="E35" s="109" t="n"/>
      <c r="F35" s="109" t="n"/>
      <c r="G35" s="109" t="n"/>
      <c r="H35" s="109" t="n"/>
      <c r="I35" s="109" t="n"/>
      <c r="K35" s="109" t="n"/>
    </row>
    <row r="36" ht="15" customHeight="1" s="88">
      <c r="A36" s="109" t="n"/>
      <c r="B36" s="109" t="n"/>
      <c r="C36" s="109" t="n"/>
      <c r="D36" s="109" t="n"/>
      <c r="E36" s="109" t="n"/>
      <c r="F36" s="109" t="n"/>
      <c r="G36" s="109" t="n"/>
      <c r="H36" s="109" t="n"/>
      <c r="I36" s="109" t="n"/>
      <c r="K36" s="109" t="n"/>
    </row>
    <row r="37" ht="15" customHeight="1" s="88">
      <c r="A37" s="109" t="n"/>
      <c r="B37" s="109" t="n"/>
      <c r="C37" s="109" t="n"/>
      <c r="D37" s="109" t="n"/>
      <c r="E37" s="109" t="n"/>
      <c r="F37" s="109" t="n"/>
      <c r="G37" s="109" t="n"/>
      <c r="H37" s="109" t="n"/>
      <c r="I37" s="109" t="n"/>
      <c r="K37" s="109" t="n"/>
    </row>
    <row r="38" ht="15" customHeight="1" s="88">
      <c r="A38" s="109" t="n"/>
      <c r="B38" s="109" t="n"/>
      <c r="C38" s="109" t="n"/>
      <c r="D38" s="109" t="n"/>
      <c r="E38" s="109" t="n"/>
      <c r="F38" s="109" t="n"/>
      <c r="G38" s="109" t="n"/>
      <c r="H38" s="109" t="n"/>
      <c r="I38" s="109" t="n"/>
      <c r="K38" s="109" t="n"/>
    </row>
    <row r="39" ht="15" customHeight="1" s="88">
      <c r="A39" s="109" t="n"/>
      <c r="B39" s="109" t="n"/>
      <c r="C39" s="109" t="n"/>
      <c r="D39" s="109" t="n"/>
      <c r="E39" s="109" t="n"/>
      <c r="F39" s="109" t="n"/>
      <c r="G39" s="109" t="n"/>
      <c r="H39" s="109" t="n"/>
      <c r="I39" s="109" t="n"/>
      <c r="K39" s="109" t="n"/>
    </row>
    <row r="40" ht="15" customHeight="1" s="88">
      <c r="A40" s="109" t="n"/>
      <c r="B40" s="109" t="n"/>
      <c r="C40" s="109" t="n"/>
      <c r="D40" s="109" t="n"/>
      <c r="E40" s="109" t="n"/>
      <c r="F40" s="109" t="n"/>
      <c r="G40" s="109" t="n"/>
      <c r="H40" s="109" t="n"/>
      <c r="I40" s="109" t="n"/>
      <c r="K40" s="109" t="n"/>
    </row>
    <row r="41" ht="15" customHeight="1" s="88">
      <c r="A41" s="109" t="n"/>
      <c r="B41" s="109" t="n"/>
      <c r="C41" s="109" t="n"/>
      <c r="D41" s="109" t="n"/>
      <c r="E41" s="109" t="n"/>
      <c r="F41" s="109" t="n"/>
      <c r="G41" s="109" t="n"/>
      <c r="H41" s="109" t="n"/>
      <c r="I41" s="109" t="n"/>
      <c r="K41" s="109" t="n"/>
    </row>
    <row r="42" ht="15" customHeight="1" s="88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K42" s="109" t="n"/>
    </row>
    <row r="43" ht="15" customHeight="1" s="88">
      <c r="A43" s="109" t="n"/>
      <c r="B43" s="109" t="n"/>
      <c r="C43" s="109" t="n"/>
      <c r="D43" s="109" t="n"/>
      <c r="E43" s="109" t="n"/>
      <c r="F43" s="109" t="n"/>
      <c r="G43" s="109" t="n"/>
      <c r="H43" s="109" t="n"/>
      <c r="I43" s="109" t="n"/>
      <c r="K43" s="109" t="n"/>
    </row>
    <row r="44" ht="15" customHeight="1" s="88">
      <c r="A44" s="109" t="n"/>
      <c r="B44" s="109" t="n"/>
      <c r="C44" s="109" t="n"/>
      <c r="D44" s="109" t="n"/>
      <c r="E44" s="109" t="n"/>
      <c r="F44" s="109" t="n"/>
      <c r="G44" s="109" t="n"/>
      <c r="H44" s="109" t="n"/>
      <c r="I44" s="109" t="n"/>
      <c r="K44" s="109" t="n"/>
    </row>
    <row r="45" ht="15" customHeight="1" s="88">
      <c r="A45" s="109" t="n"/>
      <c r="B45" s="109" t="n"/>
      <c r="C45" s="109" t="n"/>
      <c r="D45" s="109" t="n"/>
      <c r="E45" s="109" t="n"/>
      <c r="F45" s="109" t="n"/>
      <c r="G45" s="109" t="n"/>
      <c r="H45" s="109" t="n"/>
      <c r="I45" s="109" t="n"/>
      <c r="K45" s="109" t="n"/>
    </row>
    <row r="46" ht="15" customHeight="1" s="88">
      <c r="A46" s="109" t="n"/>
      <c r="B46" s="109" t="n"/>
      <c r="C46" s="109" t="n"/>
      <c r="D46" s="109" t="n"/>
      <c r="E46" s="109" t="n"/>
      <c r="F46" s="109" t="n"/>
      <c r="G46" s="109" t="n"/>
      <c r="H46" s="109" t="n"/>
      <c r="I46" s="109" t="n"/>
      <c r="K46" s="109" t="n"/>
    </row>
    <row r="47" ht="15" customHeight="1" s="88">
      <c r="A47" s="109" t="n"/>
      <c r="B47" s="109" t="n"/>
      <c r="C47" s="109" t="n"/>
      <c r="D47" s="109" t="n"/>
      <c r="E47" s="109" t="n"/>
      <c r="F47" s="109" t="n"/>
      <c r="G47" s="109" t="n"/>
      <c r="H47" s="109" t="n"/>
      <c r="I47" s="109" t="n"/>
      <c r="K47" s="109" t="n"/>
    </row>
    <row r="48" ht="15" customHeight="1" s="88">
      <c r="A48" s="109" t="n"/>
      <c r="B48" s="109" t="n"/>
      <c r="C48" s="109" t="n"/>
      <c r="D48" s="109" t="n"/>
      <c r="E48" s="109" t="n"/>
      <c r="F48" s="109" t="n"/>
      <c r="G48" s="109" t="n"/>
      <c r="H48" s="109" t="n"/>
      <c r="I48" s="109" t="n"/>
      <c r="K48" s="109" t="n"/>
    </row>
    <row r="49" ht="15" customHeight="1" s="88">
      <c r="A49" s="109" t="n"/>
      <c r="B49" s="109" t="n"/>
      <c r="C49" s="109" t="n"/>
      <c r="D49" s="109" t="n"/>
      <c r="E49" s="109" t="n"/>
      <c r="F49" s="109" t="n"/>
      <c r="G49" s="109" t="n"/>
      <c r="H49" s="109" t="n"/>
      <c r="I49" s="109" t="n"/>
      <c r="K49" s="109" t="n"/>
    </row>
    <row r="50" ht="15" customHeight="1" s="88">
      <c r="A50" s="109" t="n"/>
      <c r="B50" s="109" t="n"/>
      <c r="C50" s="109" t="n"/>
      <c r="D50" s="109" t="n"/>
      <c r="E50" s="109" t="n"/>
      <c r="F50" s="109" t="n"/>
      <c r="G50" s="109" t="n"/>
      <c r="H50" s="109" t="n"/>
      <c r="I50" s="109" t="n"/>
      <c r="K50" s="109" t="n"/>
    </row>
    <row r="51" ht="15" customHeight="1" s="88">
      <c r="A51" s="109" t="n"/>
      <c r="B51" s="109" t="n"/>
      <c r="C51" s="109" t="n"/>
      <c r="D51" s="109" t="n"/>
      <c r="E51" s="109" t="n"/>
      <c r="F51" s="109" t="n"/>
      <c r="G51" s="109" t="n"/>
      <c r="H51" s="109" t="n"/>
      <c r="I51" s="109" t="n"/>
      <c r="K51" s="109" t="n"/>
    </row>
    <row r="52" ht="15" customHeight="1" s="88">
      <c r="A52" s="109" t="n"/>
      <c r="B52" s="109" t="n"/>
      <c r="C52" s="109" t="n"/>
      <c r="D52" s="109" t="n"/>
      <c r="E52" s="109" t="n"/>
      <c r="F52" s="109" t="n"/>
      <c r="G52" s="109" t="n"/>
      <c r="H52" s="109" t="n"/>
      <c r="I52" s="109" t="n"/>
      <c r="K52" s="109" t="n"/>
    </row>
    <row r="53" ht="15" customHeight="1" s="88">
      <c r="A53" s="109" t="n"/>
      <c r="B53" s="109" t="n"/>
      <c r="C53" s="109" t="n"/>
      <c r="D53" s="109" t="n"/>
      <c r="E53" s="109" t="n"/>
      <c r="F53" s="109" t="n"/>
      <c r="G53" s="109" t="n"/>
      <c r="H53" s="109" t="n"/>
      <c r="I53" s="109" t="n"/>
      <c r="K53" s="109" t="n"/>
    </row>
    <row r="54" ht="15" customHeight="1" s="88">
      <c r="A54" s="109" t="n"/>
      <c r="B54" s="109" t="n"/>
      <c r="C54" s="109" t="n"/>
      <c r="D54" s="109" t="n"/>
      <c r="E54" s="109" t="n"/>
      <c r="F54" s="109" t="n"/>
      <c r="G54" s="109" t="n"/>
      <c r="H54" s="109" t="n"/>
      <c r="I54" s="109" t="n"/>
      <c r="K54" s="109" t="n"/>
    </row>
    <row r="55" ht="15" customHeight="1" s="88">
      <c r="A55" s="109" t="n"/>
      <c r="B55" s="109" t="n"/>
      <c r="C55" s="109" t="n"/>
      <c r="D55" s="109" t="n"/>
      <c r="E55" s="109" t="n"/>
      <c r="F55" s="109" t="n"/>
      <c r="G55" s="109" t="n"/>
      <c r="H55" s="109" t="n"/>
      <c r="I55" s="109" t="n"/>
      <c r="K55" s="109" t="n"/>
    </row>
    <row r="56" ht="15" customHeight="1" s="88">
      <c r="A56" s="109" t="n"/>
      <c r="B56" s="109" t="n"/>
      <c r="C56" s="109" t="n"/>
      <c r="D56" s="109" t="n"/>
      <c r="E56" s="109" t="n"/>
      <c r="F56" s="109" t="n"/>
      <c r="G56" s="109" t="n"/>
      <c r="H56" s="109" t="n"/>
      <c r="I56" s="109" t="n"/>
      <c r="K56" s="109" t="n"/>
    </row>
    <row r="57" ht="15" customHeight="1" s="88">
      <c r="A57" s="109" t="n"/>
      <c r="B57" s="109" t="n"/>
      <c r="C57" s="109" t="n"/>
      <c r="D57" s="109" t="n"/>
      <c r="E57" s="109" t="n"/>
      <c r="F57" s="109" t="n"/>
      <c r="G57" s="109" t="n"/>
      <c r="H57" s="109" t="n"/>
      <c r="I57" s="109" t="n"/>
      <c r="K57" s="109" t="n"/>
    </row>
    <row r="58" ht="15" customHeight="1" s="88">
      <c r="A58" s="109" t="n"/>
      <c r="B58" s="109" t="n"/>
      <c r="C58" s="109" t="n"/>
      <c r="D58" s="109" t="n"/>
      <c r="E58" s="109" t="n"/>
      <c r="F58" s="109" t="n"/>
      <c r="G58" s="109" t="n"/>
      <c r="H58" s="109" t="n"/>
      <c r="I58" s="109" t="n"/>
      <c r="K58" s="109" t="n"/>
    </row>
    <row r="59" ht="15" customHeight="1" s="88">
      <c r="A59" s="109" t="n"/>
      <c r="B59" s="109" t="n"/>
      <c r="C59" s="109" t="n"/>
      <c r="D59" s="109" t="n"/>
      <c r="E59" s="109" t="n"/>
      <c r="F59" s="109" t="n"/>
      <c r="G59" s="109" t="n"/>
      <c r="H59" s="109" t="n"/>
      <c r="I59" s="109" t="n"/>
      <c r="K59" s="109" t="n"/>
    </row>
    <row r="60" ht="15" customHeight="1" s="88">
      <c r="A60" s="109" t="n"/>
      <c r="B60" s="109" t="n"/>
      <c r="C60" s="109" t="n"/>
      <c r="D60" s="109" t="n"/>
      <c r="E60" s="109" t="n"/>
      <c r="F60" s="109" t="n"/>
      <c r="G60" s="109" t="n"/>
      <c r="H60" s="109" t="n"/>
      <c r="I60" s="109" t="n"/>
      <c r="K60" s="109" t="n"/>
    </row>
    <row r="61" ht="15" customHeight="1" s="88">
      <c r="A61" s="109" t="n"/>
      <c r="B61" s="109" t="n"/>
      <c r="C61" s="109" t="n"/>
      <c r="D61" s="109" t="n"/>
      <c r="E61" s="109" t="n"/>
      <c r="F61" s="109" t="n"/>
      <c r="G61" s="109" t="n"/>
      <c r="H61" s="109" t="n"/>
      <c r="I61" s="109" t="n"/>
      <c r="K61" s="109" t="n"/>
    </row>
    <row r="62" ht="15" customHeight="1" s="88">
      <c r="A62" s="109" t="n"/>
      <c r="B62" s="109" t="n"/>
      <c r="C62" s="109" t="n"/>
      <c r="D62" s="109" t="n"/>
      <c r="E62" s="109" t="n"/>
      <c r="F62" s="109" t="n"/>
      <c r="G62" s="109" t="n"/>
      <c r="H62" s="109" t="n"/>
      <c r="I62" s="109" t="n"/>
      <c r="K62" s="109" t="n"/>
    </row>
    <row r="63" ht="15" customHeight="1" s="88">
      <c r="A63" s="109" t="n"/>
      <c r="B63" s="109" t="n"/>
      <c r="C63" s="109" t="n"/>
      <c r="D63" s="109" t="n"/>
      <c r="E63" s="109" t="n"/>
      <c r="F63" s="109" t="n"/>
      <c r="G63" s="109" t="n"/>
      <c r="H63" s="109" t="n"/>
      <c r="I63" s="109" t="n"/>
      <c r="K63" s="109" t="n"/>
    </row>
    <row r="64" ht="15" customHeight="1" s="88">
      <c r="A64" s="109" t="n"/>
      <c r="B64" s="109" t="n"/>
      <c r="C64" s="109" t="n"/>
      <c r="D64" s="109" t="n"/>
      <c r="E64" s="109" t="n"/>
      <c r="F64" s="109" t="n"/>
      <c r="G64" s="109" t="n"/>
      <c r="H64" s="109" t="n"/>
      <c r="I64" s="109" t="n"/>
      <c r="K64" s="109" t="n"/>
    </row>
    <row r="65" ht="15" customHeight="1" s="88">
      <c r="A65" s="109" t="n"/>
      <c r="B65" s="109" t="n"/>
      <c r="C65" s="109" t="n"/>
      <c r="D65" s="109" t="n"/>
      <c r="E65" s="109" t="n"/>
      <c r="F65" s="109" t="n"/>
      <c r="G65" s="109" t="n"/>
      <c r="H65" s="109" t="n"/>
      <c r="I65" s="109" t="n"/>
      <c r="K65" s="109" t="n"/>
    </row>
    <row r="66" ht="15" customHeight="1" s="88">
      <c r="A66" s="109" t="n"/>
      <c r="B66" s="109" t="n"/>
      <c r="C66" s="109" t="n"/>
      <c r="D66" s="109" t="n"/>
      <c r="E66" s="109" t="n"/>
      <c r="F66" s="109" t="n"/>
      <c r="G66" s="109" t="n"/>
      <c r="H66" s="109" t="n"/>
      <c r="I66" s="109" t="n"/>
      <c r="K66" s="109" t="n"/>
    </row>
    <row r="67" ht="15" customHeight="1" s="88">
      <c r="A67" s="109" t="n"/>
      <c r="B67" s="109" t="n"/>
      <c r="C67" s="109" t="n"/>
      <c r="D67" s="109" t="n"/>
      <c r="E67" s="109" t="n"/>
      <c r="F67" s="109" t="n"/>
      <c r="G67" s="109" t="n"/>
      <c r="H67" s="109" t="n"/>
      <c r="I67" s="109" t="n"/>
      <c r="K67" s="109" t="n"/>
    </row>
    <row r="68" ht="15" customHeight="1" s="88">
      <c r="A68" s="109" t="n"/>
      <c r="B68" s="109" t="n"/>
      <c r="C68" s="109" t="n"/>
      <c r="D68" s="109" t="n"/>
      <c r="E68" s="109" t="n"/>
      <c r="F68" s="109" t="n"/>
      <c r="G68" s="109" t="n"/>
      <c r="H68" s="109" t="n"/>
      <c r="I68" s="109" t="n"/>
      <c r="K68" s="109" t="n"/>
    </row>
    <row r="69" ht="15" customHeight="1" s="88">
      <c r="A69" s="109" t="n"/>
      <c r="B69" s="109" t="n"/>
      <c r="C69" s="109" t="n"/>
      <c r="D69" s="109" t="n"/>
      <c r="E69" s="109" t="n"/>
      <c r="F69" s="109" t="n"/>
      <c r="G69" s="109" t="n"/>
      <c r="H69" s="109" t="n"/>
      <c r="I69" s="109" t="n"/>
      <c r="K69" s="109" t="n"/>
    </row>
    <row r="70" ht="15" customHeight="1" s="88">
      <c r="A70" s="109" t="n"/>
      <c r="B70" s="109" t="n"/>
      <c r="C70" s="109" t="n"/>
      <c r="D70" s="109" t="n"/>
      <c r="E70" s="109" t="n"/>
      <c r="F70" s="109" t="n"/>
      <c r="G70" s="109" t="n"/>
      <c r="H70" s="109" t="n"/>
      <c r="I70" s="109" t="n"/>
      <c r="K70" s="109" t="n"/>
    </row>
    <row r="71" ht="15" customHeight="1" s="88">
      <c r="A71" s="109" t="n"/>
      <c r="B71" s="109" t="n"/>
      <c r="C71" s="109" t="n"/>
      <c r="D71" s="109" t="n"/>
      <c r="E71" s="109" t="n"/>
      <c r="F71" s="109" t="n"/>
      <c r="G71" s="109" t="n"/>
      <c r="H71" s="109" t="n"/>
      <c r="I71" s="109" t="n"/>
      <c r="K71" s="109" t="n"/>
    </row>
    <row r="72" ht="15" customHeight="1" s="88">
      <c r="A72" s="109" t="n"/>
      <c r="B72" s="109" t="n"/>
      <c r="C72" s="109" t="n"/>
      <c r="D72" s="109" t="n"/>
      <c r="E72" s="109" t="n"/>
      <c r="F72" s="109" t="n"/>
      <c r="G72" s="109" t="n"/>
      <c r="H72" s="109" t="n"/>
      <c r="I72" s="109" t="n"/>
      <c r="K72" s="109" t="n"/>
    </row>
    <row r="73" ht="15" customHeight="1" s="88">
      <c r="A73" s="109" t="n"/>
      <c r="B73" s="109" t="n"/>
      <c r="C73" s="109" t="n"/>
      <c r="D73" s="109" t="n"/>
      <c r="E73" s="109" t="n"/>
      <c r="F73" s="109" t="n"/>
      <c r="G73" s="109" t="n"/>
      <c r="H73" s="109" t="n"/>
      <c r="I73" s="109" t="n"/>
      <c r="K73" s="109" t="n"/>
    </row>
    <row r="74" ht="15" customHeight="1" s="88">
      <c r="A74" s="109" t="n"/>
      <c r="B74" s="109" t="n"/>
      <c r="C74" s="109" t="n"/>
      <c r="D74" s="109" t="n"/>
      <c r="E74" s="109" t="n"/>
      <c r="F74" s="109" t="n"/>
      <c r="G74" s="109" t="n"/>
      <c r="H74" s="109" t="n"/>
      <c r="I74" s="109" t="n"/>
      <c r="K74" s="109" t="n"/>
    </row>
    <row r="75" ht="15" customHeight="1" s="88">
      <c r="A75" s="109" t="n"/>
      <c r="B75" s="109" t="n"/>
      <c r="C75" s="109" t="n"/>
      <c r="D75" s="109" t="n"/>
      <c r="E75" s="109" t="n"/>
      <c r="F75" s="109" t="n"/>
      <c r="G75" s="109" t="n"/>
      <c r="H75" s="109" t="n"/>
      <c r="I75" s="109" t="n"/>
      <c r="K75" s="109" t="n"/>
    </row>
    <row r="76" ht="15" customHeight="1" s="88">
      <c r="A76" s="109" t="n"/>
      <c r="B76" s="109" t="n"/>
      <c r="C76" s="109" t="n"/>
      <c r="D76" s="109" t="n"/>
      <c r="E76" s="109" t="n"/>
      <c r="F76" s="109" t="n"/>
      <c r="G76" s="109" t="n"/>
      <c r="H76" s="109" t="n"/>
      <c r="I76" s="109" t="n"/>
      <c r="K76" s="109" t="n"/>
    </row>
    <row r="77" ht="15" customHeight="1" s="88">
      <c r="A77" s="109" t="n"/>
      <c r="B77" s="109" t="n"/>
      <c r="C77" s="109" t="n"/>
      <c r="D77" s="109" t="n"/>
      <c r="E77" s="109" t="n"/>
      <c r="F77" s="109" t="n"/>
      <c r="G77" s="109" t="n"/>
      <c r="H77" s="109" t="n"/>
      <c r="I77" s="109" t="n"/>
      <c r="K77" s="109" t="n"/>
    </row>
    <row r="78" ht="15" customHeight="1" s="88">
      <c r="A78" s="109" t="n"/>
      <c r="B78" s="109" t="n"/>
      <c r="C78" s="109" t="n"/>
      <c r="D78" s="109" t="n"/>
      <c r="E78" s="109" t="n"/>
      <c r="F78" s="109" t="n"/>
      <c r="G78" s="109" t="n"/>
      <c r="H78" s="109" t="n"/>
      <c r="I78" s="109" t="n"/>
      <c r="K78" s="109" t="n"/>
    </row>
    <row r="79" ht="15" customHeight="1" s="88">
      <c r="A79" s="109" t="n"/>
      <c r="B79" s="109" t="n"/>
      <c r="C79" s="109" t="n"/>
      <c r="D79" s="109" t="n"/>
      <c r="E79" s="109" t="n"/>
      <c r="F79" s="109" t="n"/>
      <c r="G79" s="109" t="n"/>
      <c r="H79" s="109" t="n"/>
      <c r="I79" s="109" t="n"/>
      <c r="K79" s="109" t="n"/>
    </row>
    <row r="80" ht="15" customHeight="1" s="88">
      <c r="A80" s="109" t="n"/>
      <c r="B80" s="109" t="n"/>
      <c r="C80" s="109" t="n"/>
      <c r="D80" s="109" t="n"/>
      <c r="E80" s="109" t="n"/>
      <c r="F80" s="109" t="n"/>
      <c r="G80" s="109" t="n"/>
      <c r="H80" s="109" t="n"/>
      <c r="I80" s="109" t="n"/>
      <c r="K80" s="109" t="n"/>
    </row>
    <row r="81" ht="15" customHeight="1" s="88">
      <c r="A81" s="109" t="n"/>
      <c r="B81" s="109" t="n"/>
      <c r="C81" s="109" t="n"/>
      <c r="D81" s="109" t="n"/>
      <c r="E81" s="109" t="n"/>
      <c r="F81" s="109" t="n"/>
      <c r="G81" s="109" t="n"/>
      <c r="H81" s="109" t="n"/>
      <c r="I81" s="109" t="n"/>
      <c r="K81" s="109" t="n"/>
    </row>
    <row r="82" ht="15" customHeight="1" s="88">
      <c r="A82" s="109" t="n"/>
      <c r="B82" s="109" t="n"/>
      <c r="C82" s="109" t="n"/>
      <c r="D82" s="109" t="n"/>
      <c r="E82" s="109" t="n"/>
      <c r="F82" s="109" t="n"/>
      <c r="G82" s="109" t="n"/>
      <c r="H82" s="109" t="n"/>
      <c r="I82" s="109" t="n"/>
      <c r="K82" s="109" t="n"/>
    </row>
    <row r="83" ht="15" customHeight="1" s="88">
      <c r="A83" s="109" t="n"/>
      <c r="B83" s="109" t="n"/>
      <c r="C83" s="109" t="n"/>
      <c r="D83" s="109" t="n"/>
      <c r="E83" s="109" t="n"/>
      <c r="F83" s="109" t="n"/>
      <c r="G83" s="109" t="n"/>
      <c r="H83" s="109" t="n"/>
      <c r="I83" s="109" t="n"/>
      <c r="K83" s="109" t="n"/>
    </row>
    <row r="84" ht="15" customHeight="1" s="88">
      <c r="A84" s="109" t="n"/>
      <c r="B84" s="109" t="n"/>
      <c r="C84" s="109" t="n"/>
      <c r="D84" s="109" t="n"/>
      <c r="E84" s="109" t="n"/>
      <c r="F84" s="109" t="n"/>
      <c r="G84" s="109" t="n"/>
      <c r="H84" s="109" t="n"/>
      <c r="I84" s="109" t="n"/>
      <c r="K84" s="109" t="n"/>
    </row>
    <row r="85" ht="15" customHeight="1" s="88">
      <c r="A85" s="109" t="n"/>
      <c r="B85" s="109" t="n"/>
      <c r="C85" s="109" t="n"/>
      <c r="D85" s="109" t="n"/>
      <c r="E85" s="109" t="n"/>
      <c r="F85" s="109" t="n"/>
      <c r="G85" s="109" t="n"/>
      <c r="H85" s="109" t="n"/>
      <c r="I85" s="109" t="n"/>
      <c r="K85" s="109" t="n"/>
    </row>
    <row r="86" ht="15" customHeight="1" s="88">
      <c r="A86" s="109" t="n"/>
      <c r="B86" s="109" t="n"/>
      <c r="C86" s="109" t="n"/>
      <c r="D86" s="109" t="n"/>
      <c r="E86" s="109" t="n"/>
      <c r="F86" s="109" t="n"/>
      <c r="G86" s="109" t="n"/>
      <c r="H86" s="109" t="n"/>
      <c r="I86" s="109" t="n"/>
      <c r="K86" s="109" t="n"/>
    </row>
    <row r="87" ht="15" customHeight="1" s="88">
      <c r="A87" s="109" t="n"/>
      <c r="B87" s="109" t="n"/>
      <c r="C87" s="109" t="n"/>
      <c r="D87" s="109" t="n"/>
      <c r="E87" s="109" t="n"/>
      <c r="F87" s="109" t="n"/>
      <c r="G87" s="109" t="n"/>
      <c r="H87" s="109" t="n"/>
      <c r="I87" s="109" t="n"/>
      <c r="K87" s="109" t="n"/>
    </row>
    <row r="88" ht="15" customHeight="1" s="88">
      <c r="A88" s="109" t="n"/>
      <c r="B88" s="109" t="n"/>
      <c r="C88" s="109" t="n"/>
      <c r="D88" s="109" t="n"/>
      <c r="E88" s="109" t="n"/>
      <c r="F88" s="109" t="n"/>
      <c r="G88" s="109" t="n"/>
      <c r="H88" s="109" t="n"/>
      <c r="I88" s="109" t="n"/>
      <c r="K88" s="109" t="n"/>
    </row>
    <row r="89" ht="15" customHeight="1" s="88">
      <c r="A89" s="109" t="n"/>
      <c r="B89" s="109" t="n"/>
      <c r="C89" s="109" t="n"/>
      <c r="D89" s="109" t="n"/>
      <c r="E89" s="109" t="n"/>
      <c r="F89" s="109" t="n"/>
      <c r="G89" s="109" t="n"/>
      <c r="H89" s="109" t="n"/>
      <c r="I89" s="109" t="n"/>
      <c r="K89" s="109" t="n"/>
    </row>
    <row r="90" ht="15" customHeight="1" s="88">
      <c r="A90" s="109" t="n"/>
      <c r="B90" s="109" t="n"/>
      <c r="C90" s="109" t="n"/>
      <c r="D90" s="109" t="n"/>
      <c r="E90" s="109" t="n"/>
      <c r="F90" s="109" t="n"/>
      <c r="G90" s="109" t="n"/>
      <c r="H90" s="109" t="n"/>
      <c r="I90" s="109" t="n"/>
      <c r="K90" s="109" t="n"/>
    </row>
    <row r="91" ht="15" customHeight="1" s="88">
      <c r="A91" s="109" t="n"/>
      <c r="B91" s="109" t="n"/>
      <c r="C91" s="109" t="n"/>
      <c r="D91" s="109" t="n"/>
      <c r="E91" s="109" t="n"/>
      <c r="F91" s="109" t="n"/>
      <c r="G91" s="109" t="n"/>
      <c r="H91" s="109" t="n"/>
      <c r="I91" s="109" t="n"/>
      <c r="K91" s="109" t="n"/>
    </row>
    <row r="92" ht="15" customHeight="1" s="88">
      <c r="A92" s="109" t="n"/>
      <c r="B92" s="109" t="n"/>
      <c r="C92" s="109" t="n"/>
      <c r="D92" s="109" t="n"/>
      <c r="E92" s="109" t="n"/>
      <c r="F92" s="109" t="n"/>
      <c r="G92" s="109" t="n"/>
      <c r="H92" s="109" t="n"/>
      <c r="I92" s="109" t="n"/>
      <c r="K92" s="109" t="n"/>
    </row>
    <row r="93" ht="15" customHeight="1" s="88">
      <c r="A93" s="109" t="n"/>
      <c r="B93" s="109" t="n"/>
      <c r="C93" s="109" t="n"/>
      <c r="D93" s="109" t="n"/>
      <c r="E93" s="109" t="n"/>
      <c r="F93" s="109" t="n"/>
      <c r="G93" s="109" t="n"/>
      <c r="H93" s="109" t="n"/>
      <c r="I93" s="109" t="n"/>
      <c r="K93" s="109" t="n"/>
    </row>
    <row r="94" ht="15" customHeight="1" s="88">
      <c r="A94" s="109" t="n"/>
      <c r="B94" s="109" t="n"/>
      <c r="C94" s="109" t="n"/>
      <c r="D94" s="109" t="n"/>
      <c r="E94" s="109" t="n"/>
      <c r="F94" s="109" t="n"/>
      <c r="G94" s="109" t="n"/>
      <c r="H94" s="109" t="n"/>
      <c r="I94" s="109" t="n"/>
      <c r="K94" s="109" t="n"/>
    </row>
    <row r="95" ht="15" customHeight="1" s="88">
      <c r="A95" s="109" t="n"/>
      <c r="B95" s="109" t="n"/>
      <c r="C95" s="109" t="n"/>
      <c r="D95" s="109" t="n"/>
      <c r="E95" s="109" t="n"/>
      <c r="F95" s="109" t="n"/>
      <c r="G95" s="109" t="n"/>
      <c r="H95" s="109" t="n"/>
      <c r="I95" s="109" t="n"/>
      <c r="K95" s="109" t="n"/>
    </row>
    <row r="96" ht="15" customHeight="1" s="88">
      <c r="A96" s="109" t="n"/>
      <c r="B96" s="109" t="n"/>
      <c r="C96" s="109" t="n"/>
      <c r="D96" s="109" t="n"/>
      <c r="E96" s="109" t="n"/>
      <c r="F96" s="109" t="n"/>
      <c r="G96" s="109" t="n"/>
      <c r="H96" s="109" t="n"/>
      <c r="I96" s="109" t="n"/>
      <c r="K96" s="109" t="n"/>
    </row>
    <row r="97" ht="15" customHeight="1" s="88">
      <c r="A97" s="109" t="n"/>
      <c r="B97" s="109" t="n"/>
      <c r="C97" s="109" t="n"/>
      <c r="D97" s="109" t="n"/>
      <c r="E97" s="109" t="n"/>
      <c r="F97" s="109" t="n"/>
      <c r="G97" s="109" t="n"/>
      <c r="H97" s="109" t="n"/>
      <c r="I97" s="109" t="n"/>
      <c r="K97" s="109" t="n"/>
    </row>
    <row r="98" ht="15" customHeight="1" s="88">
      <c r="A98" s="109" t="n"/>
      <c r="B98" s="109" t="n"/>
      <c r="C98" s="109" t="n"/>
      <c r="D98" s="109" t="n"/>
      <c r="E98" s="109" t="n"/>
      <c r="F98" s="109" t="n"/>
      <c r="G98" s="109" t="n"/>
      <c r="H98" s="109" t="n"/>
      <c r="I98" s="109" t="n"/>
      <c r="K98" s="109" t="n"/>
    </row>
    <row r="99" ht="15" customHeight="1" s="88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K99" s="109" t="n"/>
    </row>
    <row r="100" ht="15" customHeight="1" s="88">
      <c r="A100" s="109" t="n"/>
      <c r="B100" s="109" t="n"/>
      <c r="C100" s="109" t="n"/>
      <c r="D100" s="109" t="n"/>
      <c r="E100" s="109" t="n"/>
      <c r="F100" s="109" t="n"/>
      <c r="G100" s="109" t="n"/>
      <c r="H100" s="109" t="n"/>
      <c r="I100" s="109" t="n"/>
      <c r="K100" s="109" t="n"/>
    </row>
    <row r="101" ht="15" customHeight="1" s="88">
      <c r="A101" s="109" t="n"/>
      <c r="B101" s="109" t="n"/>
      <c r="C101" s="109" t="n"/>
      <c r="D101" s="109" t="n"/>
      <c r="E101" s="109" t="n"/>
      <c r="F101" s="109" t="n"/>
      <c r="G101" s="109" t="n"/>
      <c r="H101" s="109" t="n"/>
      <c r="I101" s="109" t="n"/>
      <c r="K101" s="109" t="n"/>
    </row>
    <row r="102" ht="15" customHeight="1" s="88">
      <c r="A102" s="109" t="n"/>
      <c r="B102" s="109" t="n"/>
      <c r="C102" s="109" t="n"/>
      <c r="D102" s="109" t="n"/>
      <c r="E102" s="109" t="n"/>
      <c r="F102" s="109" t="n"/>
      <c r="G102" s="109" t="n"/>
      <c r="H102" s="109" t="n"/>
      <c r="I102" s="109" t="n"/>
      <c r="K102" s="109" t="n"/>
    </row>
    <row r="103" ht="15" customHeight="1" s="88">
      <c r="A103" s="109" t="n"/>
      <c r="B103" s="109" t="n"/>
      <c r="C103" s="109" t="n"/>
      <c r="D103" s="109" t="n"/>
      <c r="E103" s="109" t="n"/>
      <c r="F103" s="109" t="n"/>
      <c r="G103" s="109" t="n"/>
      <c r="H103" s="109" t="n"/>
      <c r="I103" s="109" t="n"/>
      <c r="K103" s="109" t="n"/>
    </row>
    <row r="104" ht="15" customHeight="1" s="88">
      <c r="A104" s="109" t="n"/>
      <c r="B104" s="109" t="n"/>
      <c r="C104" s="109" t="n"/>
      <c r="D104" s="109" t="n"/>
      <c r="E104" s="109" t="n"/>
      <c r="F104" s="109" t="n"/>
      <c r="G104" s="109" t="n"/>
      <c r="H104" s="109" t="n"/>
      <c r="I104" s="109" t="n"/>
      <c r="K104" s="109" t="n"/>
    </row>
    <row r="105" ht="15" customHeight="1" s="88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K105" s="109" t="n"/>
    </row>
    <row r="106" ht="15" customHeight="1" s="88">
      <c r="A106" s="109" t="n"/>
      <c r="B106" s="109" t="n"/>
      <c r="C106" s="109" t="n"/>
      <c r="D106" s="109" t="n"/>
      <c r="E106" s="109" t="n"/>
      <c r="F106" s="109" t="n"/>
      <c r="G106" s="109" t="n"/>
      <c r="H106" s="109" t="n"/>
      <c r="I106" s="109" t="n"/>
      <c r="K106" s="109" t="n"/>
    </row>
    <row r="107" ht="15" customHeight="1" s="88">
      <c r="A107" s="109" t="n"/>
      <c r="B107" s="109" t="n"/>
      <c r="C107" s="109" t="n"/>
      <c r="D107" s="109" t="n"/>
      <c r="E107" s="109" t="n"/>
      <c r="F107" s="109" t="n"/>
      <c r="G107" s="109" t="n"/>
      <c r="H107" s="109" t="n"/>
      <c r="I107" s="109" t="n"/>
      <c r="K107" s="109" t="n"/>
    </row>
    <row r="108" ht="15" customHeight="1" s="88">
      <c r="A108" s="109" t="n"/>
      <c r="B108" s="109" t="n"/>
      <c r="C108" s="109" t="n"/>
      <c r="D108" s="109" t="n"/>
      <c r="E108" s="109" t="n"/>
      <c r="F108" s="109" t="n"/>
      <c r="G108" s="109" t="n"/>
      <c r="H108" s="109" t="n"/>
      <c r="I108" s="109" t="n"/>
      <c r="K108" s="109" t="n"/>
    </row>
    <row r="109" ht="15" customHeight="1" s="88">
      <c r="A109" s="109" t="n"/>
      <c r="B109" s="109" t="n"/>
      <c r="C109" s="109" t="n"/>
      <c r="D109" s="109" t="n"/>
      <c r="E109" s="109" t="n"/>
      <c r="F109" s="109" t="n"/>
      <c r="G109" s="109" t="n"/>
      <c r="H109" s="109" t="n"/>
      <c r="I109" s="109" t="n"/>
      <c r="K109" s="109" t="n"/>
    </row>
    <row r="110" ht="15" customHeight="1" s="88">
      <c r="A110" s="109" t="n"/>
      <c r="B110" s="109" t="n"/>
      <c r="C110" s="109" t="n"/>
      <c r="D110" s="109" t="n"/>
      <c r="E110" s="109" t="n"/>
      <c r="F110" s="109" t="n"/>
      <c r="G110" s="109" t="n"/>
      <c r="H110" s="109" t="n"/>
      <c r="I110" s="109" t="n"/>
      <c r="K110" s="109" t="n"/>
    </row>
    <row r="111" ht="15" customHeight="1" s="88">
      <c r="A111" s="109" t="n"/>
      <c r="B111" s="109" t="n"/>
      <c r="C111" s="109" t="n"/>
      <c r="D111" s="109" t="n"/>
      <c r="E111" s="109" t="n"/>
      <c r="F111" s="109" t="n"/>
      <c r="G111" s="109" t="n"/>
      <c r="H111" s="109" t="n"/>
      <c r="I111" s="109" t="n"/>
      <c r="K111" s="109" t="n"/>
    </row>
    <row r="112" ht="15" customHeight="1" s="88">
      <c r="A112" s="109" t="n"/>
      <c r="B112" s="109" t="n"/>
      <c r="C112" s="109" t="n"/>
      <c r="D112" s="109" t="n"/>
      <c r="E112" s="109" t="n"/>
      <c r="F112" s="109" t="n"/>
      <c r="G112" s="109" t="n"/>
      <c r="H112" s="109" t="n"/>
      <c r="I112" s="109" t="n"/>
      <c r="K112" s="109" t="n"/>
    </row>
    <row r="113" ht="15" customHeight="1" s="88">
      <c r="A113" s="109" t="n"/>
      <c r="B113" s="109" t="n"/>
      <c r="C113" s="109" t="n"/>
      <c r="D113" s="109" t="n"/>
      <c r="E113" s="109" t="n"/>
      <c r="F113" s="109" t="n"/>
      <c r="G113" s="109" t="n"/>
      <c r="H113" s="109" t="n"/>
      <c r="I113" s="109" t="n"/>
      <c r="K113" s="109" t="n"/>
    </row>
    <row r="114" ht="15" customHeight="1" s="88">
      <c r="A114" s="109" t="n"/>
      <c r="B114" s="109" t="n"/>
      <c r="C114" s="109" t="n"/>
      <c r="D114" s="109" t="n"/>
      <c r="E114" s="109" t="n"/>
      <c r="F114" s="109" t="n"/>
      <c r="G114" s="109" t="n"/>
      <c r="H114" s="109" t="n"/>
      <c r="I114" s="109" t="n"/>
      <c r="K114" s="109" t="n"/>
    </row>
    <row r="115" ht="15" customHeight="1" s="88">
      <c r="A115" s="109" t="n"/>
      <c r="B115" s="109" t="n"/>
      <c r="C115" s="109" t="n"/>
      <c r="D115" s="109" t="n"/>
      <c r="E115" s="109" t="n"/>
      <c r="F115" s="109" t="n"/>
      <c r="G115" s="109" t="n"/>
      <c r="H115" s="109" t="n"/>
      <c r="I115" s="109" t="n"/>
      <c r="K115" s="109" t="n"/>
    </row>
    <row r="116" ht="15" customHeight="1" s="88">
      <c r="A116" s="109" t="n"/>
      <c r="B116" s="109" t="n"/>
      <c r="C116" s="109" t="n"/>
      <c r="D116" s="109" t="n"/>
      <c r="E116" s="109" t="n"/>
      <c r="F116" s="109" t="n"/>
      <c r="G116" s="109" t="n"/>
      <c r="H116" s="109" t="n"/>
      <c r="I116" s="109" t="n"/>
      <c r="K116" s="109" t="n"/>
    </row>
    <row r="117" ht="15" customHeight="1" s="88">
      <c r="A117" s="109" t="n"/>
      <c r="B117" s="109" t="n"/>
      <c r="C117" s="109" t="n"/>
      <c r="D117" s="109" t="n"/>
      <c r="E117" s="109" t="n"/>
      <c r="F117" s="109" t="n"/>
      <c r="G117" s="109" t="n"/>
      <c r="H117" s="109" t="n"/>
      <c r="I117" s="109" t="n"/>
      <c r="K117" s="109" t="n"/>
    </row>
    <row r="118" ht="15" customHeight="1" s="88">
      <c r="A118" s="109" t="n"/>
      <c r="B118" s="109" t="n"/>
      <c r="C118" s="109" t="n"/>
      <c r="D118" s="109" t="n"/>
      <c r="E118" s="109" t="n"/>
      <c r="F118" s="109" t="n"/>
      <c r="G118" s="109" t="n"/>
      <c r="H118" s="109" t="n"/>
      <c r="I118" s="109" t="n"/>
      <c r="K118" s="109" t="n"/>
    </row>
    <row r="119" ht="15" customHeight="1" s="88">
      <c r="A119" s="109" t="n"/>
      <c r="B119" s="109" t="n"/>
      <c r="C119" s="109" t="n"/>
      <c r="D119" s="109" t="n"/>
      <c r="E119" s="109" t="n"/>
      <c r="F119" s="109" t="n"/>
      <c r="G119" s="109" t="n"/>
      <c r="H119" s="109" t="n"/>
      <c r="I119" s="109" t="n"/>
      <c r="K119" s="109" t="n"/>
    </row>
    <row r="120" ht="15" customHeight="1" s="88">
      <c r="A120" s="109" t="n"/>
      <c r="B120" s="109" t="n"/>
      <c r="C120" s="109" t="n"/>
      <c r="D120" s="109" t="n"/>
      <c r="E120" s="109" t="n"/>
      <c r="F120" s="109" t="n"/>
      <c r="G120" s="109" t="n"/>
      <c r="H120" s="109" t="n"/>
      <c r="I120" s="109" t="n"/>
      <c r="K120" s="109" t="n"/>
    </row>
    <row r="121" ht="15" customHeight="1" s="88">
      <c r="A121" s="109" t="n"/>
      <c r="B121" s="109" t="n"/>
      <c r="C121" s="109" t="n"/>
      <c r="D121" s="109" t="n"/>
      <c r="E121" s="109" t="n"/>
      <c r="F121" s="109" t="n"/>
      <c r="G121" s="109" t="n"/>
      <c r="H121" s="109" t="n"/>
      <c r="I121" s="109" t="n"/>
      <c r="K121" s="109" t="n"/>
    </row>
    <row r="122" ht="15" customHeight="1" s="88">
      <c r="A122" s="109" t="n"/>
      <c r="B122" s="109" t="n"/>
      <c r="C122" s="109" t="n"/>
      <c r="D122" s="109" t="n"/>
      <c r="E122" s="109" t="n"/>
      <c r="F122" s="109" t="n"/>
      <c r="G122" s="109" t="n"/>
      <c r="H122" s="109" t="n"/>
      <c r="I122" s="109" t="n"/>
      <c r="K122" s="109" t="n"/>
    </row>
    <row r="123" ht="15" customHeight="1" s="88">
      <c r="A123" s="109" t="n"/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K123" s="109" t="n"/>
    </row>
    <row r="124" ht="15" customHeight="1" s="88">
      <c r="A124" s="109" t="n"/>
      <c r="B124" s="109" t="n"/>
      <c r="C124" s="109" t="n"/>
      <c r="D124" s="109" t="n"/>
      <c r="E124" s="109" t="n"/>
      <c r="F124" s="109" t="n"/>
      <c r="G124" s="109" t="n"/>
      <c r="H124" s="109" t="n"/>
      <c r="I124" s="109" t="n"/>
      <c r="K124" s="109" t="n"/>
    </row>
    <row r="125" ht="15" customHeight="1" s="88">
      <c r="A125" s="109" t="n"/>
      <c r="B125" s="109" t="n"/>
      <c r="C125" s="109" t="n"/>
      <c r="D125" s="109" t="n"/>
      <c r="E125" s="109" t="n"/>
      <c r="F125" s="109" t="n"/>
      <c r="G125" s="109" t="n"/>
      <c r="H125" s="109" t="n"/>
      <c r="I125" s="109" t="n"/>
      <c r="K125" s="109" t="n"/>
    </row>
    <row r="126" ht="15" customHeight="1" s="88">
      <c r="A126" s="109" t="n"/>
      <c r="B126" s="109" t="n"/>
      <c r="C126" s="109" t="n"/>
      <c r="D126" s="109" t="n"/>
      <c r="E126" s="109" t="n"/>
      <c r="F126" s="109" t="n"/>
      <c r="G126" s="109" t="n"/>
      <c r="H126" s="109" t="n"/>
      <c r="I126" s="109" t="n"/>
      <c r="K126" s="109" t="n"/>
    </row>
    <row r="127" ht="15" customHeight="1" s="88">
      <c r="A127" s="109" t="n"/>
      <c r="B127" s="109" t="n"/>
      <c r="C127" s="109" t="n"/>
      <c r="D127" s="109" t="n"/>
      <c r="E127" s="109" t="n"/>
      <c r="F127" s="109" t="n"/>
      <c r="G127" s="109" t="n"/>
      <c r="H127" s="109" t="n"/>
      <c r="I127" s="109" t="n"/>
      <c r="K127" s="109" t="n"/>
    </row>
    <row r="128" ht="15" customHeight="1" s="88">
      <c r="A128" s="109" t="n"/>
      <c r="B128" s="109" t="n"/>
      <c r="C128" s="109" t="n"/>
      <c r="D128" s="109" t="n"/>
      <c r="E128" s="109" t="n"/>
      <c r="F128" s="109" t="n"/>
      <c r="G128" s="109" t="n"/>
      <c r="H128" s="109" t="n"/>
      <c r="I128" s="109" t="n"/>
      <c r="K128" s="109" t="n"/>
    </row>
    <row r="129" ht="15" customHeight="1" s="88">
      <c r="A129" s="109" t="n"/>
      <c r="B129" s="109" t="n"/>
      <c r="C129" s="109" t="n"/>
      <c r="D129" s="109" t="n"/>
      <c r="E129" s="109" t="n"/>
      <c r="F129" s="109" t="n"/>
      <c r="G129" s="109" t="n"/>
      <c r="H129" s="109" t="n"/>
      <c r="I129" s="109" t="n"/>
      <c r="K129" s="109" t="n"/>
    </row>
    <row r="130" ht="15" customHeight="1" s="88">
      <c r="A130" s="109" t="n"/>
      <c r="B130" s="109" t="n"/>
      <c r="C130" s="109" t="n"/>
      <c r="D130" s="109" t="n"/>
      <c r="E130" s="109" t="n"/>
      <c r="F130" s="109" t="n"/>
      <c r="G130" s="109" t="n"/>
      <c r="H130" s="109" t="n"/>
      <c r="I130" s="109" t="n"/>
      <c r="K130" s="109" t="n"/>
    </row>
    <row r="131" ht="15" customHeight="1" s="88">
      <c r="A131" s="109" t="n"/>
      <c r="B131" s="109" t="n"/>
      <c r="C131" s="109" t="n"/>
      <c r="D131" s="109" t="n"/>
      <c r="E131" s="109" t="n"/>
      <c r="F131" s="109" t="n"/>
      <c r="G131" s="109" t="n"/>
      <c r="H131" s="109" t="n"/>
      <c r="I131" s="109" t="n"/>
      <c r="K131" s="109" t="n"/>
    </row>
    <row r="132" ht="15" customHeight="1" s="88">
      <c r="A132" s="109" t="n"/>
      <c r="B132" s="109" t="n"/>
      <c r="C132" s="109" t="n"/>
      <c r="D132" s="109" t="n"/>
      <c r="E132" s="109" t="n"/>
      <c r="F132" s="109" t="n"/>
      <c r="G132" s="109" t="n"/>
      <c r="H132" s="109" t="n"/>
      <c r="I132" s="109" t="n"/>
      <c r="K132" s="109" t="n"/>
    </row>
    <row r="133" ht="15" customHeight="1" s="88">
      <c r="A133" s="109" t="n"/>
      <c r="B133" s="109" t="n"/>
      <c r="C133" s="109" t="n"/>
      <c r="D133" s="109" t="n"/>
      <c r="E133" s="109" t="n"/>
      <c r="F133" s="109" t="n"/>
      <c r="G133" s="109" t="n"/>
      <c r="H133" s="109" t="n"/>
      <c r="I133" s="109" t="n"/>
      <c r="K133" s="109" t="n"/>
    </row>
    <row r="134" ht="15" customHeight="1" s="88">
      <c r="A134" s="109" t="n"/>
      <c r="B134" s="109" t="n"/>
      <c r="C134" s="109" t="n"/>
      <c r="D134" s="109" t="n"/>
      <c r="E134" s="109" t="n"/>
      <c r="F134" s="109" t="n"/>
      <c r="G134" s="109" t="n"/>
      <c r="H134" s="109" t="n"/>
      <c r="I134" s="109" t="n"/>
      <c r="K134" s="109" t="n"/>
    </row>
    <row r="135" ht="15" customHeight="1" s="88">
      <c r="A135" s="109" t="n"/>
      <c r="B135" s="109" t="n"/>
      <c r="C135" s="109" t="n"/>
      <c r="D135" s="109" t="n"/>
      <c r="E135" s="109" t="n"/>
      <c r="F135" s="109" t="n"/>
      <c r="G135" s="109" t="n"/>
      <c r="H135" s="109" t="n"/>
      <c r="I135" s="109" t="n"/>
      <c r="K135" s="109" t="n"/>
    </row>
    <row r="136" ht="15" customHeight="1" s="88">
      <c r="A136" s="109" t="n"/>
      <c r="B136" s="109" t="n"/>
      <c r="C136" s="109" t="n"/>
      <c r="D136" s="109" t="n"/>
      <c r="E136" s="109" t="n"/>
      <c r="F136" s="109" t="n"/>
      <c r="G136" s="109" t="n"/>
      <c r="H136" s="109" t="n"/>
      <c r="I136" s="109" t="n"/>
      <c r="K136" s="109" t="n"/>
    </row>
    <row r="137" ht="15" customHeight="1" s="88">
      <c r="A137" s="109" t="n"/>
      <c r="B137" s="109" t="n"/>
      <c r="C137" s="109" t="n"/>
      <c r="D137" s="109" t="n"/>
      <c r="E137" s="109" t="n"/>
      <c r="F137" s="109" t="n"/>
      <c r="G137" s="109" t="n"/>
      <c r="H137" s="109" t="n"/>
      <c r="I137" s="109" t="n"/>
      <c r="K137" s="109" t="n"/>
    </row>
    <row r="138" ht="15" customHeight="1" s="88">
      <c r="A138" s="109" t="n"/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K138" s="109" t="n"/>
    </row>
    <row r="139" ht="15" customHeight="1" s="88">
      <c r="A139" s="109" t="n"/>
      <c r="B139" s="109" t="n"/>
      <c r="C139" s="109" t="n"/>
      <c r="D139" s="109" t="n"/>
      <c r="E139" s="109" t="n"/>
      <c r="F139" s="109" t="n"/>
      <c r="G139" s="109" t="n"/>
      <c r="H139" s="109" t="n"/>
      <c r="I139" s="109" t="n"/>
      <c r="K139" s="109" t="n"/>
    </row>
    <row r="140" ht="15" customHeight="1" s="88">
      <c r="A140" s="109" t="n"/>
      <c r="B140" s="109" t="n"/>
      <c r="C140" s="109" t="n"/>
      <c r="D140" s="109" t="n"/>
      <c r="E140" s="109" t="n"/>
      <c r="F140" s="109" t="n"/>
      <c r="G140" s="109" t="n"/>
      <c r="H140" s="109" t="n"/>
      <c r="I140" s="109" t="n"/>
      <c r="K140" s="109" t="n"/>
    </row>
    <row r="141" ht="15" customHeight="1" s="88">
      <c r="A141" s="109" t="n"/>
      <c r="B141" s="109" t="n"/>
      <c r="C141" s="109" t="n"/>
      <c r="D141" s="109" t="n"/>
      <c r="E141" s="109" t="n"/>
      <c r="F141" s="109" t="n"/>
      <c r="G141" s="109" t="n"/>
      <c r="H141" s="109" t="n"/>
      <c r="I141" s="109" t="n"/>
      <c r="K141" s="109" t="n"/>
    </row>
    <row r="142" ht="15" customHeight="1" s="88">
      <c r="A142" s="109" t="n"/>
      <c r="B142" s="109" t="n"/>
      <c r="C142" s="109" t="n"/>
      <c r="D142" s="109" t="n"/>
      <c r="E142" s="109" t="n"/>
      <c r="F142" s="109" t="n"/>
      <c r="G142" s="109" t="n"/>
      <c r="H142" s="109" t="n"/>
      <c r="I142" s="109" t="n"/>
      <c r="K142" s="109" t="n"/>
    </row>
    <row r="143" ht="15" customHeight="1" s="88">
      <c r="A143" s="109" t="n"/>
      <c r="B143" s="109" t="n"/>
      <c r="C143" s="109" t="n"/>
      <c r="D143" s="109" t="n"/>
      <c r="E143" s="109" t="n"/>
      <c r="F143" s="109" t="n"/>
      <c r="G143" s="109" t="n"/>
      <c r="H143" s="109" t="n"/>
      <c r="I143" s="109" t="n"/>
      <c r="K143" s="109" t="n"/>
    </row>
    <row r="144" ht="15" customHeight="1" s="88">
      <c r="A144" s="109" t="n"/>
      <c r="B144" s="109" t="n"/>
      <c r="C144" s="109" t="n"/>
      <c r="D144" s="109" t="n"/>
      <c r="E144" s="109" t="n"/>
      <c r="F144" s="109" t="n"/>
      <c r="G144" s="109" t="n"/>
      <c r="H144" s="109" t="n"/>
      <c r="I144" s="109" t="n"/>
      <c r="K144" s="109" t="n"/>
    </row>
    <row r="145" ht="15" customHeight="1" s="88">
      <c r="A145" s="109" t="n"/>
      <c r="B145" s="109" t="n"/>
      <c r="C145" s="109" t="n"/>
      <c r="D145" s="109" t="n"/>
      <c r="E145" s="109" t="n"/>
      <c r="F145" s="109" t="n"/>
      <c r="G145" s="109" t="n"/>
      <c r="H145" s="109" t="n"/>
      <c r="I145" s="109" t="n"/>
      <c r="K145" s="109" t="n"/>
    </row>
    <row r="146" ht="15" customHeight="1" s="88">
      <c r="A146" s="109" t="n"/>
      <c r="B146" s="109" t="n"/>
      <c r="C146" s="109" t="n"/>
      <c r="D146" s="109" t="n"/>
      <c r="E146" s="109" t="n"/>
      <c r="F146" s="109" t="n"/>
      <c r="G146" s="109" t="n"/>
      <c r="H146" s="109" t="n"/>
      <c r="I146" s="109" t="n"/>
      <c r="K146" s="109" t="n"/>
    </row>
    <row r="147" ht="15" customHeight="1" s="88">
      <c r="A147" s="109" t="n"/>
      <c r="B147" s="109" t="n"/>
      <c r="C147" s="109" t="n"/>
      <c r="D147" s="109" t="n"/>
      <c r="E147" s="109" t="n"/>
      <c r="F147" s="109" t="n"/>
      <c r="G147" s="109" t="n"/>
      <c r="H147" s="109" t="n"/>
      <c r="I147" s="109" t="n"/>
      <c r="K147" s="109" t="n"/>
    </row>
    <row r="148" ht="15" customHeight="1" s="88">
      <c r="A148" s="109" t="n"/>
      <c r="B148" s="109" t="n"/>
      <c r="C148" s="109" t="n"/>
      <c r="D148" s="109" t="n"/>
      <c r="E148" s="109" t="n"/>
      <c r="F148" s="109" t="n"/>
      <c r="G148" s="109" t="n"/>
      <c r="H148" s="109" t="n"/>
      <c r="I148" s="109" t="n"/>
      <c r="K148" s="109" t="n"/>
    </row>
    <row r="149" ht="15" customHeight="1" s="88">
      <c r="A149" s="109" t="n"/>
      <c r="B149" s="109" t="n"/>
      <c r="C149" s="109" t="n"/>
      <c r="D149" s="109" t="n"/>
      <c r="E149" s="109" t="n"/>
      <c r="F149" s="109" t="n"/>
      <c r="G149" s="109" t="n"/>
      <c r="H149" s="109" t="n"/>
      <c r="I149" s="109" t="n"/>
      <c r="K149" s="109" t="n"/>
    </row>
    <row r="150" ht="15" customHeight="1" s="88">
      <c r="A150" s="109" t="n"/>
      <c r="B150" s="109" t="n"/>
      <c r="C150" s="109" t="n"/>
      <c r="D150" s="109" t="n"/>
      <c r="E150" s="109" t="n"/>
      <c r="F150" s="109" t="n"/>
      <c r="G150" s="109" t="n"/>
      <c r="H150" s="109" t="n"/>
      <c r="I150" s="109" t="n"/>
      <c r="K150" s="109" t="n"/>
    </row>
    <row r="151" ht="15" customHeight="1" s="88">
      <c r="A151" s="109" t="n"/>
      <c r="B151" s="109" t="n"/>
      <c r="C151" s="109" t="n"/>
      <c r="D151" s="109" t="n"/>
      <c r="E151" s="109" t="n"/>
      <c r="F151" s="109" t="n"/>
      <c r="G151" s="109" t="n"/>
      <c r="H151" s="109" t="n"/>
      <c r="I151" s="109" t="n"/>
      <c r="K151" s="109" t="n"/>
    </row>
    <row r="152" ht="15" customHeight="1" s="88">
      <c r="A152" s="109" t="n"/>
      <c r="B152" s="109" t="n"/>
      <c r="C152" s="109" t="n"/>
      <c r="D152" s="109" t="n"/>
      <c r="E152" s="109" t="n"/>
      <c r="F152" s="109" t="n"/>
      <c r="G152" s="109" t="n"/>
      <c r="H152" s="109" t="n"/>
      <c r="I152" s="109" t="n"/>
      <c r="K152" s="109" t="n"/>
    </row>
    <row r="153" ht="15" customHeight="1" s="88">
      <c r="A153" s="109" t="n"/>
      <c r="B153" s="109" t="n"/>
      <c r="C153" s="109" t="n"/>
      <c r="D153" s="109" t="n"/>
      <c r="E153" s="109" t="n"/>
      <c r="F153" s="109" t="n"/>
      <c r="G153" s="109" t="n"/>
      <c r="H153" s="109" t="n"/>
      <c r="I153" s="109" t="n"/>
      <c r="K153" s="109" t="n"/>
    </row>
    <row r="154" ht="15" customHeight="1" s="88">
      <c r="A154" s="109" t="n"/>
      <c r="B154" s="109" t="n"/>
      <c r="C154" s="109" t="n"/>
      <c r="D154" s="109" t="n"/>
      <c r="E154" s="109" t="n"/>
      <c r="F154" s="109" t="n"/>
      <c r="G154" s="109" t="n"/>
      <c r="H154" s="109" t="n"/>
      <c r="I154" s="109" t="n"/>
      <c r="K154" s="109" t="n"/>
    </row>
    <row r="155" ht="15" customHeight="1" s="88">
      <c r="A155" s="109" t="n"/>
      <c r="B155" s="109" t="n"/>
      <c r="C155" s="109" t="n"/>
      <c r="D155" s="109" t="n"/>
      <c r="E155" s="109" t="n"/>
      <c r="F155" s="109" t="n"/>
      <c r="G155" s="109" t="n"/>
      <c r="H155" s="109" t="n"/>
      <c r="I155" s="109" t="n"/>
      <c r="K155" s="109" t="n"/>
    </row>
    <row r="156" ht="15" customHeight="1" s="88">
      <c r="A156" s="109" t="n"/>
      <c r="B156" s="109" t="n"/>
      <c r="C156" s="109" t="n"/>
      <c r="D156" s="109" t="n"/>
      <c r="E156" s="109" t="n"/>
      <c r="F156" s="109" t="n"/>
      <c r="G156" s="109" t="n"/>
      <c r="H156" s="109" t="n"/>
      <c r="I156" s="109" t="n"/>
      <c r="K156" s="109" t="n"/>
    </row>
    <row r="157" ht="15" customHeight="1" s="88">
      <c r="A157" s="109" t="n"/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K157" s="109" t="n"/>
    </row>
    <row r="158" ht="15" customHeight="1" s="88">
      <c r="A158" s="109" t="n"/>
      <c r="B158" s="109" t="n"/>
      <c r="C158" s="109" t="n"/>
      <c r="D158" s="109" t="n"/>
      <c r="E158" s="109" t="n"/>
      <c r="F158" s="109" t="n"/>
      <c r="G158" s="109" t="n"/>
      <c r="H158" s="109" t="n"/>
      <c r="I158" s="109" t="n"/>
      <c r="K158" s="109" t="n"/>
    </row>
    <row r="159" ht="15" customHeight="1" s="88">
      <c r="A159" s="109" t="n"/>
      <c r="B159" s="109" t="n"/>
      <c r="C159" s="109" t="n"/>
      <c r="D159" s="109" t="n"/>
      <c r="E159" s="109" t="n"/>
      <c r="F159" s="109" t="n"/>
      <c r="G159" s="109" t="n"/>
      <c r="H159" s="109" t="n"/>
      <c r="I159" s="109" t="n"/>
      <c r="K159" s="109" t="n"/>
    </row>
    <row r="160" ht="15" customHeight="1" s="88">
      <c r="A160" s="109" t="n"/>
      <c r="B160" s="109" t="n"/>
      <c r="C160" s="109" t="n"/>
      <c r="D160" s="109" t="n"/>
      <c r="E160" s="109" t="n"/>
      <c r="F160" s="109" t="n"/>
      <c r="G160" s="109" t="n"/>
      <c r="H160" s="109" t="n"/>
      <c r="I160" s="109" t="n"/>
      <c r="K160" s="109" t="n"/>
    </row>
    <row r="161" ht="15" customHeight="1" s="88">
      <c r="A161" s="109" t="n"/>
      <c r="B161" s="109" t="n"/>
      <c r="C161" s="109" t="n"/>
      <c r="D161" s="109" t="n"/>
      <c r="E161" s="109" t="n"/>
      <c r="F161" s="109" t="n"/>
      <c r="G161" s="109" t="n"/>
      <c r="H161" s="109" t="n"/>
      <c r="I161" s="109" t="n"/>
      <c r="K161" s="109" t="n"/>
    </row>
    <row r="162" ht="15" customHeight="1" s="88">
      <c r="A162" s="109" t="n"/>
      <c r="B162" s="109" t="n"/>
      <c r="C162" s="109" t="n"/>
      <c r="D162" s="109" t="n"/>
      <c r="E162" s="109" t="n"/>
      <c r="F162" s="109" t="n"/>
      <c r="G162" s="109" t="n"/>
      <c r="H162" s="109" t="n"/>
      <c r="I162" s="109" t="n"/>
      <c r="K162" s="109" t="n"/>
    </row>
    <row r="163" ht="15" customHeight="1" s="88">
      <c r="A163" s="109" t="n"/>
      <c r="B163" s="109" t="n"/>
      <c r="C163" s="109" t="n"/>
      <c r="D163" s="109" t="n"/>
      <c r="E163" s="109" t="n"/>
      <c r="F163" s="109" t="n"/>
      <c r="G163" s="109" t="n"/>
      <c r="H163" s="109" t="n"/>
      <c r="I163" s="109" t="n"/>
      <c r="K163" s="109" t="n"/>
    </row>
    <row r="164" ht="15" customHeight="1" s="88">
      <c r="A164" s="109" t="n"/>
      <c r="B164" s="109" t="n"/>
      <c r="C164" s="109" t="n"/>
      <c r="D164" s="109" t="n"/>
      <c r="E164" s="109" t="n"/>
      <c r="F164" s="109" t="n"/>
      <c r="G164" s="109" t="n"/>
      <c r="H164" s="109" t="n"/>
      <c r="I164" s="109" t="n"/>
      <c r="K164" s="109" t="n"/>
    </row>
    <row r="165" ht="15" customHeight="1" s="88">
      <c r="A165" s="109" t="n"/>
      <c r="B165" s="109" t="n"/>
      <c r="C165" s="109" t="n"/>
      <c r="D165" s="109" t="n"/>
      <c r="E165" s="109" t="n"/>
      <c r="F165" s="109" t="n"/>
      <c r="G165" s="109" t="n"/>
      <c r="H165" s="109" t="n"/>
      <c r="I165" s="109" t="n"/>
      <c r="K165" s="109" t="n"/>
    </row>
    <row r="166" ht="15" customHeight="1" s="88">
      <c r="A166" s="109" t="n"/>
      <c r="B166" s="109" t="n"/>
      <c r="C166" s="109" t="n"/>
      <c r="D166" s="109" t="n"/>
      <c r="E166" s="109" t="n"/>
      <c r="F166" s="109" t="n"/>
      <c r="G166" s="109" t="n"/>
      <c r="H166" s="109" t="n"/>
      <c r="I166" s="109" t="n"/>
      <c r="K166" s="109" t="n"/>
    </row>
    <row r="167" ht="15" customHeight="1" s="88">
      <c r="A167" s="109" t="n"/>
      <c r="B167" s="109" t="n"/>
      <c r="C167" s="109" t="n"/>
      <c r="D167" s="109" t="n"/>
      <c r="E167" s="109" t="n"/>
      <c r="F167" s="109" t="n"/>
      <c r="G167" s="109" t="n"/>
      <c r="H167" s="109" t="n"/>
      <c r="I167" s="109" t="n"/>
      <c r="K167" s="109" t="n"/>
    </row>
    <row r="168" ht="15" customHeight="1" s="88">
      <c r="A168" s="109" t="n"/>
      <c r="B168" s="109" t="n"/>
      <c r="C168" s="109" t="n"/>
      <c r="D168" s="109" t="n"/>
      <c r="E168" s="109" t="n"/>
      <c r="F168" s="109" t="n"/>
      <c r="G168" s="109" t="n"/>
      <c r="H168" s="109" t="n"/>
      <c r="I168" s="109" t="n"/>
      <c r="K168" s="109" t="n"/>
    </row>
    <row r="169" ht="15" customHeight="1" s="88">
      <c r="A169" s="109" t="n"/>
      <c r="B169" s="109" t="n"/>
      <c r="C169" s="109" t="n"/>
      <c r="D169" s="109" t="n"/>
      <c r="E169" s="109" t="n"/>
      <c r="F169" s="109" t="n"/>
      <c r="G169" s="109" t="n"/>
      <c r="H169" s="109" t="n"/>
      <c r="I169" s="109" t="n"/>
      <c r="K169" s="109" t="n"/>
    </row>
    <row r="170" ht="15" customHeight="1" s="88">
      <c r="A170" s="109" t="n"/>
      <c r="B170" s="109" t="n"/>
      <c r="C170" s="109" t="n"/>
      <c r="D170" s="109" t="n"/>
      <c r="E170" s="109" t="n"/>
      <c r="F170" s="109" t="n"/>
      <c r="G170" s="109" t="n"/>
      <c r="H170" s="109" t="n"/>
      <c r="I170" s="109" t="n"/>
      <c r="K170" s="109" t="n"/>
    </row>
    <row r="171" ht="15" customHeight="1" s="88">
      <c r="A171" s="109" t="n"/>
      <c r="B171" s="109" t="n"/>
      <c r="C171" s="109" t="n"/>
      <c r="D171" s="109" t="n"/>
      <c r="E171" s="109" t="n"/>
      <c r="F171" s="109" t="n"/>
      <c r="G171" s="109" t="n"/>
      <c r="H171" s="109" t="n"/>
      <c r="I171" s="109" t="n"/>
      <c r="K171" s="109" t="n"/>
    </row>
    <row r="172" ht="15" customHeight="1" s="88">
      <c r="A172" s="109" t="n"/>
      <c r="B172" s="109" t="n"/>
      <c r="C172" s="109" t="n"/>
      <c r="D172" s="109" t="n"/>
      <c r="E172" s="109" t="n"/>
      <c r="F172" s="109" t="n"/>
      <c r="G172" s="109" t="n"/>
      <c r="H172" s="109" t="n"/>
      <c r="I172" s="109" t="n"/>
      <c r="K172" s="109" t="n"/>
    </row>
    <row r="173" ht="15" customHeight="1" s="88">
      <c r="A173" s="109" t="n"/>
      <c r="B173" s="109" t="n"/>
      <c r="C173" s="109" t="n"/>
      <c r="D173" s="109" t="n"/>
      <c r="E173" s="109" t="n"/>
      <c r="F173" s="109" t="n"/>
      <c r="G173" s="109" t="n"/>
      <c r="H173" s="109" t="n"/>
      <c r="I173" s="109" t="n"/>
      <c r="K173" s="109" t="n"/>
    </row>
    <row r="174" ht="15" customHeight="1" s="88">
      <c r="A174" s="109" t="n"/>
      <c r="B174" s="109" t="n"/>
      <c r="C174" s="109" t="n"/>
      <c r="D174" s="109" t="n"/>
      <c r="E174" s="109" t="n"/>
      <c r="F174" s="109" t="n"/>
      <c r="G174" s="109" t="n"/>
      <c r="H174" s="109" t="n"/>
      <c r="I174" s="109" t="n"/>
      <c r="K174" s="109" t="n"/>
    </row>
    <row r="175" ht="15" customHeight="1" s="88">
      <c r="A175" s="109" t="n"/>
      <c r="B175" s="109" t="n"/>
      <c r="C175" s="109" t="n"/>
      <c r="D175" s="109" t="n"/>
      <c r="E175" s="109" t="n"/>
      <c r="F175" s="109" t="n"/>
      <c r="G175" s="109" t="n"/>
      <c r="H175" s="109" t="n"/>
      <c r="I175" s="109" t="n"/>
      <c r="K175" s="109" t="n"/>
    </row>
    <row r="176" ht="15" customHeight="1" s="88">
      <c r="A176" s="109" t="n"/>
      <c r="B176" s="109" t="n"/>
      <c r="C176" s="109" t="n"/>
      <c r="D176" s="109" t="n"/>
      <c r="E176" s="109" t="n"/>
      <c r="F176" s="109" t="n"/>
      <c r="G176" s="109" t="n"/>
      <c r="H176" s="109" t="n"/>
      <c r="I176" s="109" t="n"/>
      <c r="K176" s="109" t="n"/>
    </row>
    <row r="177" ht="15" customHeight="1" s="88">
      <c r="A177" s="109" t="n"/>
      <c r="B177" s="109" t="n"/>
      <c r="C177" s="109" t="n"/>
      <c r="D177" s="109" t="n"/>
      <c r="E177" s="109" t="n"/>
      <c r="F177" s="109" t="n"/>
      <c r="G177" s="109" t="n"/>
      <c r="H177" s="109" t="n"/>
      <c r="I177" s="109" t="n"/>
      <c r="K177" s="109" t="n"/>
    </row>
    <row r="178" ht="15" customHeight="1" s="88">
      <c r="A178" s="109" t="n"/>
      <c r="B178" s="109" t="n"/>
      <c r="C178" s="109" t="n"/>
      <c r="D178" s="109" t="n"/>
      <c r="E178" s="109" t="n"/>
      <c r="F178" s="109" t="n"/>
      <c r="G178" s="109" t="n"/>
      <c r="H178" s="109" t="n"/>
      <c r="I178" s="109" t="n"/>
      <c r="K178" s="109" t="n"/>
    </row>
    <row r="179" ht="15" customHeight="1" s="88">
      <c r="A179" s="109" t="n"/>
      <c r="B179" s="109" t="n"/>
      <c r="C179" s="109" t="n"/>
      <c r="D179" s="109" t="n"/>
      <c r="E179" s="109" t="n"/>
      <c r="F179" s="109" t="n"/>
      <c r="G179" s="109" t="n"/>
      <c r="H179" s="109" t="n"/>
      <c r="I179" s="109" t="n"/>
      <c r="K179" s="109" t="n"/>
    </row>
    <row r="180" ht="15" customHeight="1" s="88">
      <c r="A180" s="109" t="n"/>
      <c r="B180" s="109" t="n"/>
      <c r="C180" s="109" t="n"/>
      <c r="D180" s="109" t="n"/>
      <c r="E180" s="109" t="n"/>
      <c r="F180" s="109" t="n"/>
      <c r="G180" s="109" t="n"/>
      <c r="H180" s="109" t="n"/>
      <c r="I180" s="109" t="n"/>
      <c r="K180" s="109" t="n"/>
    </row>
    <row r="181" ht="15" customHeight="1" s="88">
      <c r="A181" s="109" t="n"/>
      <c r="B181" s="109" t="n"/>
      <c r="C181" s="109" t="n"/>
      <c r="D181" s="109" t="n"/>
      <c r="E181" s="109" t="n"/>
      <c r="F181" s="109" t="n"/>
      <c r="G181" s="109" t="n"/>
      <c r="H181" s="109" t="n"/>
      <c r="I181" s="109" t="n"/>
      <c r="K181" s="109" t="n"/>
    </row>
    <row r="182" ht="15" customHeight="1" s="88">
      <c r="A182" s="109" t="n"/>
      <c r="B182" s="109" t="n"/>
      <c r="C182" s="109" t="n"/>
      <c r="D182" s="109" t="n"/>
      <c r="E182" s="109" t="n"/>
      <c r="F182" s="109" t="n"/>
      <c r="G182" s="109" t="n"/>
      <c r="H182" s="109" t="n"/>
      <c r="I182" s="109" t="n"/>
      <c r="K182" s="109" t="n"/>
    </row>
    <row r="183" ht="15" customHeight="1" s="88">
      <c r="A183" s="109" t="n"/>
      <c r="B183" s="109" t="n"/>
      <c r="C183" s="109" t="n"/>
      <c r="D183" s="109" t="n"/>
      <c r="E183" s="109" t="n"/>
      <c r="F183" s="109" t="n"/>
      <c r="G183" s="109" t="n"/>
      <c r="H183" s="109" t="n"/>
      <c r="I183" s="109" t="n"/>
      <c r="K183" s="109" t="n"/>
    </row>
    <row r="184" ht="15" customHeight="1" s="88">
      <c r="A184" s="109" t="n"/>
      <c r="B184" s="109" t="n"/>
      <c r="C184" s="109" t="n"/>
      <c r="D184" s="109" t="n"/>
      <c r="E184" s="109" t="n"/>
      <c r="F184" s="109" t="n"/>
      <c r="G184" s="109" t="n"/>
      <c r="H184" s="109" t="n"/>
      <c r="I184" s="109" t="n"/>
      <c r="K184" s="109" t="n"/>
    </row>
    <row r="185" ht="15" customHeight="1" s="88">
      <c r="A185" s="109" t="n"/>
      <c r="B185" s="109" t="n"/>
      <c r="C185" s="109" t="n"/>
      <c r="D185" s="109" t="n"/>
      <c r="E185" s="109" t="n"/>
      <c r="F185" s="109" t="n"/>
      <c r="G185" s="109" t="n"/>
      <c r="H185" s="109" t="n"/>
      <c r="I185" s="109" t="n"/>
      <c r="K185" s="109" t="n"/>
    </row>
    <row r="186" ht="15" customHeight="1" s="88">
      <c r="A186" s="109" t="n"/>
      <c r="B186" s="109" t="n"/>
      <c r="C186" s="109" t="n"/>
      <c r="D186" s="109" t="n"/>
      <c r="E186" s="109" t="n"/>
      <c r="F186" s="109" t="n"/>
      <c r="G186" s="109" t="n"/>
      <c r="H186" s="109" t="n"/>
      <c r="I186" s="109" t="n"/>
      <c r="K186" s="109" t="n"/>
    </row>
    <row r="187" ht="15" customHeight="1" s="88">
      <c r="A187" s="109" t="n"/>
      <c r="B187" s="109" t="n"/>
      <c r="C187" s="109" t="n"/>
      <c r="D187" s="109" t="n"/>
      <c r="E187" s="109" t="n"/>
      <c r="F187" s="109" t="n"/>
      <c r="G187" s="109" t="n"/>
      <c r="H187" s="109" t="n"/>
      <c r="I187" s="109" t="n"/>
      <c r="K187" s="109" t="n"/>
    </row>
    <row r="188" ht="15" customHeight="1" s="88">
      <c r="A188" s="109" t="n"/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K188" s="109" t="n"/>
    </row>
    <row r="189" ht="15" customHeight="1" s="88">
      <c r="A189" s="109" t="n"/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K189" s="109" t="n"/>
    </row>
    <row r="190" ht="15" customHeight="1" s="88">
      <c r="A190" s="109" t="n"/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K190" s="109" t="n"/>
    </row>
    <row r="191" ht="15" customHeight="1" s="88">
      <c r="A191" s="109" t="n"/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K191" s="109" t="n"/>
    </row>
    <row r="192" ht="15" customHeight="1" s="88">
      <c r="A192" s="109" t="n"/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K192" s="109" t="n"/>
    </row>
    <row r="193" ht="15" customHeight="1" s="88">
      <c r="A193" s="109" t="n"/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K193" s="109" t="n"/>
    </row>
    <row r="194" ht="15" customHeight="1" s="88">
      <c r="A194" s="109" t="n"/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K194" s="109" t="n"/>
    </row>
    <row r="195" ht="15" customHeight="1" s="88">
      <c r="A195" s="109" t="n"/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K195" s="109" t="n"/>
    </row>
    <row r="196" ht="15" customHeight="1" s="88">
      <c r="A196" s="109" t="n"/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K196" s="109" t="n"/>
    </row>
    <row r="197" ht="15" customHeight="1" s="88">
      <c r="A197" s="109" t="n"/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K197" s="109" t="n"/>
    </row>
    <row r="198" ht="15" customHeight="1" s="88">
      <c r="A198" s="109" t="n"/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K198" s="109" t="n"/>
    </row>
    <row r="199" ht="15" customHeight="1" s="88">
      <c r="A199" s="109" t="n"/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K199" s="109" t="n"/>
    </row>
    <row r="200" ht="15" customHeight="1" s="88">
      <c r="A200" s="109" t="n"/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K2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K1"/>
  </mergeCells>
  <conditionalFormatting sqref="H6:H804">
    <cfRule type="cellIs" rank="0" priority="2" equalAverage="0" operator="lessThan" aboveAverage="0" dxfId="5" text="" percent="0" bottom="0">
      <formula>0</formula>
    </cfRule>
    <cfRule type="cellIs" rank="0" priority="3" equalAverage="0" operator="equal" aboveAverage="0" dxfId="6" text="" percent="0" bottom="0">
      <formula>"AKTİF"</formula>
    </cfRule>
    <cfRule type="cellIs" rank="0" priority="4" equalAverage="0" operator="equal" aboveAverage="0" dxfId="7" text="" percent="0" bottom="0">
      <formula>"PASİF"</formula>
    </cfRule>
  </conditionalFormatting>
  <dataValidations count="5">
    <dataValidation sqref="C6:C804" showDropDown="0" showInputMessage="1" showErrorMessage="1" allowBlank="1" errorTitle="Geçersiz Tür" error="Hesap türü yalnızca KASA veya BANKA olabilir." promptTitle="Hesap Türü" prompt="KASA veya BANKA seçin." type="list" errorStyle="stop" operator="between">
      <formula1>"KASA,BANKA"</formula1>
      <formula2>0</formula2>
    </dataValidation>
    <dataValidation sqref="I6:I804" showDropDown="0" showInputMessage="1" showErrorMessage="1" allowBlank="1" errorTitle="Geçersiz Durum" error="Durum yalnızca AKTİF veya PASİF olabilir." promptTitle="Hesap Durumu" prompt="AKTİF hesaplar kullanılabilir para toplamına girer." type="list" errorStyle="stop" operator="between">
      <formula1>"AKTİF,PASİF"</formula1>
      <formula2>0</formula2>
    </dataValidation>
    <dataValidation sqref="F6:F804" showDropDown="0" showInputMessage="1" showErrorMessage="1" allowBlank="1" errorTitle="Geçersiz Bakiye" error="Bakiye negatif olamaz." promptTitle="Bakiye" prompt="Hesabın güncel bakiyesini TL olarak girin." type="decimal" errorStyle="stop" operator="greaterThanOrEqual">
      <formula1>0</formula1>
      <formula2>0</formula2>
    </dataValidation>
    <dataValidation sqref="G6:G804" showDropDown="0" showInputMessage="1" showErrorMessage="1" allowBlank="1" errorTitle="Geçersiz Tutar" error="Bloke tutar negatif olamaz." promptTitle="Bloke Tutar" prompt="Rehin, teminat veya bloke edilmiş tutarı girin." type="decimal" errorStyle="stop" operator="greaterThanOrEqual">
      <formula1>0</formula1>
      <formula2>0</formula2>
    </dataValidation>
    <dataValidation sqref="H6:H804" showDropDown="0" showInputMessage="1" showErrorMessage="1" allowBlank="1" errorTitle="Geçersiz Eşik" error="Eşik negatif olamaz." promptTitle="Minimum Kasa Eşiği" prompt="Hesapta sürekli kalması gereken asgari tuta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7" min="1" max="1"/>
    <col width="14" customWidth="1" style="87" min="2" max="2"/>
    <col width="22" customWidth="1" style="87" min="3" max="3"/>
    <col width="12" customWidth="1" style="87" min="4" max="4"/>
    <col width="18" customWidth="1" style="87" min="5" max="6"/>
    <col width="13" customWidth="1" style="88" min="6" max="6"/>
    <col width="26" customWidth="1" style="87" min="7" max="7"/>
    <col width="16" customWidth="1" style="87" min="8" max="8"/>
    <col width="14" customWidth="1" style="87" min="9" max="10"/>
    <col width="13" customWidth="1" style="88" min="10" max="10"/>
    <col width="42" customWidth="1" style="87" min="11" max="11"/>
    <col width="14" customWidth="1" style="87" min="12" max="13"/>
    <col width="13" customWidth="1" style="88" min="13" max="13"/>
    <col width="16" customWidth="1" style="87" min="14" max="14"/>
    <col width="13" customWidth="1" style="88" min="15" max="15"/>
  </cols>
  <sheetData>
    <row r="1" ht="32" customHeight="1" s="88">
      <c r="A1" s="310" t="inlineStr">
        <is>
          <t>KASA HAREKETLERI — AKILLI KASA DEFTERİ VE NAKİT KONTROL SİSTEMİ</t>
        </is>
      </c>
    </row>
    <row r="2" ht="19.5" customHeight="1" s="88">
      <c r="A2" s="99" t="inlineStr">
        <is>
          <t>Tüm kasa ve banka hareketleri burada toplanır. İşlem Türü GİRİŞ veya ÇIKIŞ; kategori LISTELER'den, hesap KASA_HESAPLARI'ndan gelir. Net Etki ve Kontrol sütunları otomatiktir.</t>
        </is>
      </c>
    </row>
    <row r="3"/>
    <row r="4" ht="30" customHeight="1" s="88">
      <c r="A4" s="102" t="inlineStr">
        <is>
          <t>Tarih</t>
        </is>
      </c>
      <c r="B4" s="102" t="inlineStr">
        <is>
          <t>Fiş Numarası</t>
        </is>
      </c>
      <c r="C4" s="102" t="inlineStr">
        <is>
          <t>Hesap</t>
        </is>
      </c>
      <c r="D4" s="102" t="inlineStr">
        <is>
          <t>İşlem Türü</t>
        </is>
      </c>
      <c r="E4" s="102" t="inlineStr">
        <is>
          <t>Kategori</t>
        </is>
      </c>
      <c r="F4" s="102" t="inlineStr">
        <is>
          <t>Alt Kategori</t>
        </is>
      </c>
      <c r="G4" s="102" t="inlineStr">
        <is>
          <t>Karşı Taraf</t>
        </is>
      </c>
      <c r="H4" s="102" t="inlineStr">
        <is>
          <t>Ödeme Yöntemi</t>
        </is>
      </c>
      <c r="I4" s="102" t="inlineStr">
        <is>
          <t>Belge Numarası</t>
        </is>
      </c>
      <c r="J4" s="102" t="inlineStr">
        <is>
          <t>Tutar (₺)</t>
        </is>
      </c>
      <c r="K4" s="102" t="inlineStr">
        <is>
          <t>Açıklama</t>
        </is>
      </c>
      <c r="L4" s="102" t="inlineStr">
        <is>
          <t>Net Etki (₺)</t>
        </is>
      </c>
      <c r="M4" s="102" t="inlineStr">
        <is>
          <t>Kontrol</t>
        </is>
      </c>
      <c r="N4" s="102" t="inlineStr">
        <is>
          <t>Kayıt ID</t>
        </is>
      </c>
    </row>
    <row r="5"/>
    <row r="6" ht="15" customHeight="1" s="88">
      <c r="A6" s="110" t="n">
        <v>46204</v>
      </c>
      <c r="B6" s="104" t="inlineStr">
        <is>
          <t>FİŞ-0001</t>
        </is>
      </c>
      <c r="C6" s="104" t="inlineStr">
        <is>
          <t>KS-001</t>
        </is>
      </c>
      <c r="D6" s="103" t="inlineStr">
        <is>
          <t>GİRİŞ</t>
        </is>
      </c>
      <c r="E6" s="104" t="inlineStr">
        <is>
          <t>SATIŞ</t>
        </is>
      </c>
      <c r="F6" s="104" t="inlineStr">
        <is>
          <t>TİCARİ MAL</t>
        </is>
      </c>
      <c r="G6" s="104" t="inlineStr">
        <is>
          <t>Yıldız Market</t>
        </is>
      </c>
      <c r="H6" s="104" t="inlineStr">
        <is>
          <t>NAKİT</t>
        </is>
      </c>
      <c r="I6" s="104" t="inlineStr">
        <is>
          <t>SAT-001</t>
        </is>
      </c>
      <c r="J6" s="106" t="n">
        <v>120000</v>
      </c>
      <c r="K6" s="108" t="inlineStr">
        <is>
          <t>Toptan satış tahsilatı</t>
        </is>
      </c>
    </row>
    <row r="7" ht="15" customHeight="1" s="88">
      <c r="A7" s="110" t="n">
        <v>46205</v>
      </c>
      <c r="B7" s="104" t="inlineStr">
        <is>
          <t>FİŞ-0002</t>
        </is>
      </c>
      <c r="C7" s="104" t="inlineStr">
        <is>
          <t>KS-001</t>
        </is>
      </c>
      <c r="D7" s="103" t="inlineStr">
        <is>
          <t>ÇIKIŞ</t>
        </is>
      </c>
      <c r="E7" s="104" t="inlineStr">
        <is>
          <t>ALIM</t>
        </is>
      </c>
      <c r="F7" s="104" t="inlineStr">
        <is>
          <t>HAMMADDE</t>
        </is>
      </c>
      <c r="G7" s="104" t="inlineStr">
        <is>
          <t>Tarım Ürünleri A.Ş.</t>
        </is>
      </c>
      <c r="H7" s="104" t="inlineStr">
        <is>
          <t>HAVALE</t>
        </is>
      </c>
      <c r="I7" s="104" t="inlineStr">
        <is>
          <t>AL-001</t>
        </is>
      </c>
      <c r="J7" s="106" t="n">
        <v>90000</v>
      </c>
      <c r="K7" s="108" t="inlineStr">
        <is>
          <t>Hammadde alımı</t>
        </is>
      </c>
    </row>
    <row r="8" ht="15" customHeight="1" s="88">
      <c r="A8" s="110" t="n">
        <v>46206</v>
      </c>
      <c r="B8" s="104" t="inlineStr">
        <is>
          <t>FİŞ-0003</t>
        </is>
      </c>
      <c r="C8" s="104" t="inlineStr">
        <is>
          <t>BK-001</t>
        </is>
      </c>
      <c r="D8" s="103" t="inlineStr">
        <is>
          <t>GİRİŞ</t>
        </is>
      </c>
      <c r="E8" s="104" t="inlineStr">
        <is>
          <t>TAHSİLAT</t>
        </is>
      </c>
      <c r="F8" s="104" t="inlineStr">
        <is>
          <t>TİCARİ MAL</t>
        </is>
      </c>
      <c r="G8" s="104" t="inlineStr">
        <is>
          <t>Mega Market</t>
        </is>
      </c>
      <c r="H8" s="104" t="inlineStr">
        <is>
          <t>HAVALE</t>
        </is>
      </c>
      <c r="I8" s="104" t="inlineStr">
        <is>
          <t>TAH-001</t>
        </is>
      </c>
      <c r="J8" s="106" t="n">
        <v>85000</v>
      </c>
      <c r="K8" s="108" t="inlineStr">
        <is>
          <t>Cari hesap tahsilatı</t>
        </is>
      </c>
    </row>
    <row r="9" ht="15" customHeight="1" s="88">
      <c r="A9" s="110" t="n">
        <v>46208</v>
      </c>
      <c r="B9" s="104" t="inlineStr">
        <is>
          <t>FİŞ-0004</t>
        </is>
      </c>
      <c r="C9" s="104" t="inlineStr">
        <is>
          <t>BK-001</t>
        </is>
      </c>
      <c r="D9" s="103" t="inlineStr">
        <is>
          <t>ÇIKIŞ</t>
        </is>
      </c>
      <c r="E9" s="104" t="inlineStr">
        <is>
          <t>MAAŞ</t>
        </is>
      </c>
      <c r="F9" s="104" t="inlineStr">
        <is>
          <t>PERSONEL</t>
        </is>
      </c>
      <c r="G9" s="104" t="inlineStr">
        <is>
          <t>Personel</t>
        </is>
      </c>
      <c r="H9" s="104" t="inlineStr">
        <is>
          <t>EFT</t>
        </is>
      </c>
      <c r="I9" s="104" t="inlineStr">
        <is>
          <t>PER-001</t>
        </is>
      </c>
      <c r="J9" s="106" t="n">
        <v>180000</v>
      </c>
      <c r="K9" s="108" t="inlineStr">
        <is>
          <t>Temmuz maaş ödemesi</t>
        </is>
      </c>
    </row>
    <row r="10" ht="15" customHeight="1" s="88">
      <c r="A10" s="110" t="n">
        <v>46210</v>
      </c>
      <c r="B10" s="104" t="inlineStr">
        <is>
          <t>FİŞ-0005</t>
        </is>
      </c>
      <c r="C10" s="104" t="inlineStr">
        <is>
          <t>BK-002</t>
        </is>
      </c>
      <c r="D10" s="103" t="inlineStr">
        <is>
          <t>ÇIKIŞ</t>
        </is>
      </c>
      <c r="E10" s="104" t="inlineStr">
        <is>
          <t>VERGİ</t>
        </is>
      </c>
      <c r="F10" s="104" t="inlineStr">
        <is>
          <t>OFİS</t>
        </is>
      </c>
      <c r="G10" s="104" t="inlineStr">
        <is>
          <t>Vergi Dairesi</t>
        </is>
      </c>
      <c r="H10" s="104" t="inlineStr">
        <is>
          <t>EFT</t>
        </is>
      </c>
      <c r="I10" s="104" t="inlineStr">
        <is>
          <t>VGN-001</t>
        </is>
      </c>
      <c r="J10" s="106" t="n">
        <v>60000</v>
      </c>
      <c r="K10" s="108" t="inlineStr">
        <is>
          <t>Geçici vergi</t>
        </is>
      </c>
    </row>
    <row r="11" ht="15" customHeight="1" s="88">
      <c r="A11" s="110" t="n">
        <v>46211</v>
      </c>
      <c r="B11" s="104" t="inlineStr">
        <is>
          <t>FİŞ-0006</t>
        </is>
      </c>
      <c r="C11" s="104" t="inlineStr">
        <is>
          <t>KS-001</t>
        </is>
      </c>
      <c r="D11" s="103" t="inlineStr">
        <is>
          <t>GİRİŞ</t>
        </is>
      </c>
      <c r="E11" s="104" t="inlineStr">
        <is>
          <t>SATIŞ</t>
        </is>
      </c>
      <c r="F11" s="104" t="inlineStr">
        <is>
          <t>PERAKENDE</t>
        </is>
      </c>
      <c r="G11" s="104" t="inlineStr">
        <is>
          <t>Müşteriler</t>
        </is>
      </c>
      <c r="H11" s="104" t="inlineStr">
        <is>
          <t>NAKİT</t>
        </is>
      </c>
      <c r="I11" s="104" t="inlineStr">
        <is>
          <t>SAT-002</t>
        </is>
      </c>
      <c r="J11" s="106" t="n">
        <v>45000</v>
      </c>
      <c r="K11" s="108" t="inlineStr">
        <is>
          <t>Perakende satış</t>
        </is>
      </c>
    </row>
    <row r="12" ht="15" customHeight="1" s="88">
      <c r="A12" s="110" t="n">
        <v>46213</v>
      </c>
      <c r="B12" s="104" t="inlineStr">
        <is>
          <t>FİŞ-0007</t>
        </is>
      </c>
      <c r="C12" s="104" t="inlineStr">
        <is>
          <t>BK-001</t>
        </is>
      </c>
      <c r="D12" s="103" t="inlineStr">
        <is>
          <t>ÇIKIŞ</t>
        </is>
      </c>
      <c r="E12" s="104" t="inlineStr">
        <is>
          <t>KİRA</t>
        </is>
      </c>
      <c r="F12" s="104" t="inlineStr">
        <is>
          <t>OFİS</t>
        </is>
      </c>
      <c r="G12" s="104" t="inlineStr">
        <is>
          <t>Depo Sahibi</t>
        </is>
      </c>
      <c r="H12" s="104" t="inlineStr">
        <is>
          <t>HAVALE</t>
        </is>
      </c>
      <c r="I12" s="104" t="inlineStr">
        <is>
          <t>KIR-001</t>
        </is>
      </c>
      <c r="J12" s="106" t="n">
        <v>75000</v>
      </c>
      <c r="K12" s="108" t="inlineStr">
        <is>
          <t>Depo ve ofis kirası</t>
        </is>
      </c>
    </row>
    <row r="13" ht="15" customHeight="1" s="88">
      <c r="A13" s="110" t="n">
        <v>46215</v>
      </c>
      <c r="B13" s="104" t="inlineStr">
        <is>
          <t>FİŞ-0008</t>
        </is>
      </c>
      <c r="C13" s="104" t="inlineStr">
        <is>
          <t>BK-001</t>
        </is>
      </c>
      <c r="D13" s="103" t="inlineStr">
        <is>
          <t>ÇIKIŞ</t>
        </is>
      </c>
      <c r="E13" s="104" t="inlineStr">
        <is>
          <t>SGK PRİMİ</t>
        </is>
      </c>
      <c r="F13" s="104" t="inlineStr">
        <is>
          <t>PERSONEL</t>
        </is>
      </c>
      <c r="G13" s="104" t="inlineStr">
        <is>
          <t>SGK</t>
        </is>
      </c>
      <c r="H13" s="104" t="inlineStr">
        <is>
          <t>EFT</t>
        </is>
      </c>
      <c r="I13" s="104" t="inlineStr">
        <is>
          <t>SGK-001</t>
        </is>
      </c>
      <c r="J13" s="106" t="n">
        <v>52000</v>
      </c>
      <c r="K13" s="108" t="inlineStr">
        <is>
          <t>SGK primi ödemesi</t>
        </is>
      </c>
    </row>
    <row r="14" ht="15" customHeight="1" s="88">
      <c r="A14" s="110" t="n">
        <v>46218</v>
      </c>
      <c r="B14" s="104" t="inlineStr">
        <is>
          <t>FİŞ-0009</t>
        </is>
      </c>
      <c r="C14" s="104" t="inlineStr">
        <is>
          <t>BK-001</t>
        </is>
      </c>
      <c r="D14" s="103" t="inlineStr">
        <is>
          <t>ÇIKIŞ</t>
        </is>
      </c>
      <c r="E14" s="104" t="inlineStr">
        <is>
          <t>KREDİ TAKSİDİ</t>
        </is>
      </c>
      <c r="F14" s="104" t="inlineStr">
        <is>
          <t>OFİS</t>
        </is>
      </c>
      <c r="G14" s="104" t="inlineStr">
        <is>
          <t>Garanti Bankası</t>
        </is>
      </c>
      <c r="H14" s="104" t="inlineStr">
        <is>
          <t>EFT</t>
        </is>
      </c>
      <c r="I14" s="104" t="inlineStr">
        <is>
          <t>KRD-001</t>
        </is>
      </c>
      <c r="J14" s="106" t="n">
        <v>120000</v>
      </c>
      <c r="K14" s="108" t="inlineStr">
        <is>
          <t>Kredi taksiti</t>
        </is>
      </c>
    </row>
    <row r="15" ht="15" customHeight="1" s="88">
      <c r="A15" s="110" t="n">
        <v>46219</v>
      </c>
      <c r="B15" s="104" t="inlineStr">
        <is>
          <t>FİŞ-0010</t>
        </is>
      </c>
      <c r="C15" s="104" t="inlineStr">
        <is>
          <t>KS-001</t>
        </is>
      </c>
      <c r="D15" s="103" t="inlineStr">
        <is>
          <t>GİRİŞ</t>
        </is>
      </c>
      <c r="E15" s="104" t="inlineStr">
        <is>
          <t>TAHSİLAT</t>
        </is>
      </c>
      <c r="F15" s="104" t="inlineStr">
        <is>
          <t>HİZMET</t>
        </is>
      </c>
      <c r="G15" s="104" t="inlineStr">
        <is>
          <t>Orion Lojistik</t>
        </is>
      </c>
      <c r="H15" s="104" t="inlineStr">
        <is>
          <t>ÇEK</t>
        </is>
      </c>
      <c r="I15" s="104" t="inlineStr">
        <is>
          <t>TAH-002</t>
        </is>
      </c>
      <c r="J15" s="106" t="n">
        <v>95000</v>
      </c>
      <c r="K15" s="108" t="inlineStr">
        <is>
          <t>Hizmet tahsilatı</t>
        </is>
      </c>
    </row>
    <row r="16" ht="15" customHeight="1" s="88">
      <c r="A16" s="109" t="n"/>
      <c r="B16" s="109" t="n"/>
      <c r="C16" s="109" t="n"/>
      <c r="D16" s="109" t="n"/>
      <c r="E16" s="109" t="n"/>
      <c r="F16" s="109" t="n"/>
      <c r="G16" s="109" t="n"/>
      <c r="H16" s="109" t="n"/>
      <c r="I16" s="109" t="n"/>
      <c r="J16" s="109" t="n"/>
      <c r="K16" s="109" t="n"/>
    </row>
    <row r="17" ht="15" customHeight="1" s="88">
      <c r="A17" s="109" t="n"/>
      <c r="B17" s="109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</row>
    <row r="18" ht="15" customHeight="1" s="88">
      <c r="A18" s="109" t="n"/>
      <c r="B18" s="109" t="n"/>
      <c r="C18" s="109" t="n"/>
      <c r="D18" s="109" t="n"/>
      <c r="E18" s="109" t="n"/>
      <c r="F18" s="109" t="n"/>
      <c r="G18" s="109" t="n"/>
      <c r="H18" s="109" t="n"/>
      <c r="I18" s="109" t="n"/>
      <c r="J18" s="109" t="n"/>
      <c r="K18" s="109" t="n"/>
    </row>
    <row r="19" ht="15" customHeight="1" s="88">
      <c r="A19" s="109" t="n"/>
      <c r="B19" s="109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</row>
    <row r="20" ht="15" customHeight="1" s="88">
      <c r="A20" s="109" t="n"/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</row>
    <row r="21" ht="15" customHeight="1" s="88">
      <c r="A21" s="109" t="n"/>
      <c r="B21" s="109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</row>
    <row r="22" ht="15" customHeight="1" s="88">
      <c r="A22" s="109" t="n"/>
      <c r="B22" s="109" t="n"/>
      <c r="C22" s="109" t="n"/>
      <c r="D22" s="109" t="n"/>
      <c r="E22" s="109" t="n"/>
      <c r="F22" s="109" t="n"/>
      <c r="G22" s="109" t="n"/>
      <c r="H22" s="109" t="n"/>
      <c r="I22" s="109" t="n"/>
      <c r="J22" s="109" t="n"/>
      <c r="K22" s="109" t="n"/>
    </row>
    <row r="23" ht="15" customHeight="1" s="88">
      <c r="A23" s="109" t="n"/>
      <c r="B23" s="109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</row>
    <row r="24" ht="15" customHeight="1" s="88">
      <c r="A24" s="109" t="n"/>
      <c r="B24" s="109" t="n"/>
      <c r="C24" s="109" t="n"/>
      <c r="D24" s="109" t="n"/>
      <c r="E24" s="109" t="n"/>
      <c r="F24" s="109" t="n"/>
      <c r="G24" s="109" t="n"/>
      <c r="H24" s="109" t="n"/>
      <c r="I24" s="109" t="n"/>
      <c r="J24" s="109" t="n"/>
      <c r="K24" s="109" t="n"/>
    </row>
    <row r="25" ht="15" customHeight="1" s="88">
      <c r="A25" s="109" t="n"/>
      <c r="B25" s="109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</row>
    <row r="26" ht="15" customHeight="1" s="88">
      <c r="A26" s="109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</row>
    <row r="27" ht="15" customHeight="1" s="88">
      <c r="A27" s="109" t="n"/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</row>
    <row r="28" ht="15" customHeight="1" s="88">
      <c r="A28" s="109" t="n"/>
      <c r="B28" s="109" t="n"/>
      <c r="C28" s="109" t="n"/>
      <c r="D28" s="109" t="n"/>
      <c r="E28" s="109" t="n"/>
      <c r="F28" s="109" t="n"/>
      <c r="G28" s="109" t="n"/>
      <c r="H28" s="109" t="n"/>
      <c r="I28" s="109" t="n"/>
      <c r="J28" s="109" t="n"/>
      <c r="K28" s="109" t="n"/>
    </row>
    <row r="29" ht="15" customHeight="1" s="88">
      <c r="A29" s="109" t="n"/>
      <c r="B29" s="109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</row>
    <row r="30" ht="15" customHeight="1" s="88">
      <c r="A30" s="109" t="n"/>
      <c r="B30" s="109" t="n"/>
      <c r="C30" s="109" t="n"/>
      <c r="D30" s="109" t="n"/>
      <c r="E30" s="109" t="n"/>
      <c r="F30" s="109" t="n"/>
      <c r="G30" s="109" t="n"/>
      <c r="H30" s="109" t="n"/>
      <c r="I30" s="109" t="n"/>
      <c r="J30" s="109" t="n"/>
      <c r="K30" s="109" t="n"/>
    </row>
    <row r="31" ht="15" customHeight="1" s="88">
      <c r="A31" s="109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</row>
    <row r="32" ht="15" customHeight="1" s="88">
      <c r="A32" s="109" t="n"/>
      <c r="B32" s="109" t="n"/>
      <c r="C32" s="109" t="n"/>
      <c r="D32" s="109" t="n"/>
      <c r="E32" s="109" t="n"/>
      <c r="F32" s="109" t="n"/>
      <c r="G32" s="109" t="n"/>
      <c r="H32" s="109" t="n"/>
      <c r="I32" s="109" t="n"/>
      <c r="J32" s="109" t="n"/>
      <c r="K32" s="109" t="n"/>
    </row>
    <row r="33" ht="15" customHeight="1" s="88">
      <c r="A33" s="109" t="n"/>
      <c r="B33" s="109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</row>
    <row r="34" ht="15" customHeight="1" s="88">
      <c r="A34" s="109" t="n"/>
      <c r="B34" s="109" t="n"/>
      <c r="C34" s="109" t="n"/>
      <c r="D34" s="109" t="n"/>
      <c r="E34" s="109" t="n"/>
      <c r="F34" s="109" t="n"/>
      <c r="G34" s="109" t="n"/>
      <c r="H34" s="109" t="n"/>
      <c r="I34" s="109" t="n"/>
      <c r="J34" s="109" t="n"/>
      <c r="K34" s="109" t="n"/>
    </row>
    <row r="35" ht="15" customHeight="1" s="88">
      <c r="A35" s="109" t="n"/>
      <c r="B35" s="109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</row>
    <row r="36" ht="15" customHeight="1" s="88">
      <c r="A36" s="109" t="n"/>
      <c r="B36" s="109" t="n"/>
      <c r="C36" s="109" t="n"/>
      <c r="D36" s="109" t="n"/>
      <c r="E36" s="109" t="n"/>
      <c r="F36" s="109" t="n"/>
      <c r="G36" s="109" t="n"/>
      <c r="H36" s="109" t="n"/>
      <c r="I36" s="109" t="n"/>
      <c r="J36" s="109" t="n"/>
      <c r="K36" s="109" t="n"/>
    </row>
    <row r="37" ht="15" customHeight="1" s="88">
      <c r="A37" s="109" t="n"/>
      <c r="B37" s="109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</row>
    <row r="38" ht="15" customHeight="1" s="88">
      <c r="A38" s="109" t="n"/>
      <c r="B38" s="109" t="n"/>
      <c r="C38" s="109" t="n"/>
      <c r="D38" s="109" t="n"/>
      <c r="E38" s="109" t="n"/>
      <c r="F38" s="109" t="n"/>
      <c r="G38" s="109" t="n"/>
      <c r="H38" s="109" t="n"/>
      <c r="I38" s="109" t="n"/>
      <c r="J38" s="109" t="n"/>
      <c r="K38" s="109" t="n"/>
    </row>
    <row r="39" ht="15" customHeight="1" s="88">
      <c r="A39" s="109" t="n"/>
      <c r="B39" s="109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</row>
    <row r="40" ht="15" customHeight="1" s="88">
      <c r="A40" s="109" t="n"/>
      <c r="B40" s="109" t="n"/>
      <c r="C40" s="109" t="n"/>
      <c r="D40" s="109" t="n"/>
      <c r="E40" s="109" t="n"/>
      <c r="F40" s="109" t="n"/>
      <c r="G40" s="109" t="n"/>
      <c r="H40" s="109" t="n"/>
      <c r="I40" s="109" t="n"/>
      <c r="J40" s="109" t="n"/>
      <c r="K40" s="109" t="n"/>
    </row>
    <row r="41" ht="15" customHeight="1" s="88">
      <c r="A41" s="109" t="n"/>
      <c r="B41" s="109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</row>
    <row r="42" ht="15" customHeight="1" s="88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</row>
    <row r="43" ht="15" customHeight="1" s="88">
      <c r="A43" s="109" t="n"/>
      <c r="B43" s="109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</row>
    <row r="44" ht="15" customHeight="1" s="88">
      <c r="A44" s="109" t="n"/>
      <c r="B44" s="109" t="n"/>
      <c r="C44" s="109" t="n"/>
      <c r="D44" s="109" t="n"/>
      <c r="E44" s="109" t="n"/>
      <c r="F44" s="109" t="n"/>
      <c r="G44" s="109" t="n"/>
      <c r="H44" s="109" t="n"/>
      <c r="I44" s="109" t="n"/>
      <c r="J44" s="109" t="n"/>
      <c r="K44" s="109" t="n"/>
    </row>
    <row r="45" ht="15" customHeight="1" s="88">
      <c r="A45" s="109" t="n"/>
      <c r="B45" s="109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</row>
    <row r="46" ht="15" customHeight="1" s="88">
      <c r="A46" s="109" t="n"/>
      <c r="B46" s="109" t="n"/>
      <c r="C46" s="109" t="n"/>
      <c r="D46" s="109" t="n"/>
      <c r="E46" s="109" t="n"/>
      <c r="F46" s="109" t="n"/>
      <c r="G46" s="109" t="n"/>
      <c r="H46" s="109" t="n"/>
      <c r="I46" s="109" t="n"/>
      <c r="J46" s="109" t="n"/>
      <c r="K46" s="109" t="n"/>
    </row>
    <row r="47" ht="15" customHeight="1" s="88">
      <c r="A47" s="109" t="n"/>
      <c r="B47" s="109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</row>
    <row r="48" ht="15" customHeight="1" s="88">
      <c r="A48" s="109" t="n"/>
      <c r="B48" s="109" t="n"/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</row>
    <row r="49" ht="15" customHeight="1" s="88">
      <c r="A49" s="109" t="n"/>
      <c r="B49" s="109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</row>
    <row r="50" ht="15" customHeight="1" s="88">
      <c r="A50" s="109" t="n"/>
      <c r="B50" s="109" t="n"/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</row>
    <row r="51" ht="15" customHeight="1" s="88">
      <c r="A51" s="109" t="n"/>
      <c r="B51" s="109" t="n"/>
      <c r="C51" s="109" t="n"/>
      <c r="D51" s="109" t="n"/>
      <c r="E51" s="109" t="n"/>
      <c r="F51" s="109" t="n"/>
      <c r="G51" s="109" t="n"/>
      <c r="H51" s="109" t="n"/>
      <c r="I51" s="109" t="n"/>
      <c r="J51" s="109" t="n"/>
      <c r="K51" s="109" t="n"/>
    </row>
    <row r="52" ht="15" customHeight="1" s="88">
      <c r="A52" s="109" t="n"/>
      <c r="B52" s="109" t="n"/>
      <c r="C52" s="109" t="n"/>
      <c r="D52" s="109" t="n"/>
      <c r="E52" s="109" t="n"/>
      <c r="F52" s="109" t="n"/>
      <c r="G52" s="109" t="n"/>
      <c r="H52" s="109" t="n"/>
      <c r="I52" s="109" t="n"/>
      <c r="J52" s="109" t="n"/>
      <c r="K52" s="109" t="n"/>
    </row>
    <row r="53" ht="15" customHeight="1" s="88">
      <c r="A53" s="109" t="n"/>
      <c r="B53" s="109" t="n"/>
      <c r="C53" s="109" t="n"/>
      <c r="D53" s="109" t="n"/>
      <c r="E53" s="109" t="n"/>
      <c r="F53" s="109" t="n"/>
      <c r="G53" s="109" t="n"/>
      <c r="H53" s="109" t="n"/>
      <c r="I53" s="109" t="n"/>
      <c r="J53" s="109" t="n"/>
      <c r="K53" s="109" t="n"/>
    </row>
    <row r="54" ht="15" customHeight="1" s="88">
      <c r="A54" s="109" t="n"/>
      <c r="B54" s="109" t="n"/>
      <c r="C54" s="109" t="n"/>
      <c r="D54" s="109" t="n"/>
      <c r="E54" s="109" t="n"/>
      <c r="F54" s="109" t="n"/>
      <c r="G54" s="109" t="n"/>
      <c r="H54" s="109" t="n"/>
      <c r="I54" s="109" t="n"/>
      <c r="J54" s="109" t="n"/>
      <c r="K54" s="109" t="n"/>
    </row>
    <row r="55" ht="15" customHeight="1" s="88">
      <c r="A55" s="109" t="n"/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</row>
    <row r="56" ht="15" customHeight="1" s="88">
      <c r="A56" s="109" t="n"/>
      <c r="B56" s="109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</row>
    <row r="57" ht="15" customHeight="1" s="88">
      <c r="A57" s="109" t="n"/>
      <c r="B57" s="109" t="n"/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</row>
    <row r="58" ht="15" customHeight="1" s="88">
      <c r="A58" s="109" t="n"/>
      <c r="B58" s="109" t="n"/>
      <c r="C58" s="109" t="n"/>
      <c r="D58" s="109" t="n"/>
      <c r="E58" s="109" t="n"/>
      <c r="F58" s="109" t="n"/>
      <c r="G58" s="109" t="n"/>
      <c r="H58" s="109" t="n"/>
      <c r="I58" s="109" t="n"/>
      <c r="J58" s="109" t="n"/>
      <c r="K58" s="109" t="n"/>
    </row>
    <row r="59" ht="15" customHeight="1" s="88">
      <c r="A59" s="109" t="n"/>
      <c r="B59" s="109" t="n"/>
      <c r="C59" s="109" t="n"/>
      <c r="D59" s="109" t="n"/>
      <c r="E59" s="109" t="n"/>
      <c r="F59" s="109" t="n"/>
      <c r="G59" s="109" t="n"/>
      <c r="H59" s="109" t="n"/>
      <c r="I59" s="109" t="n"/>
      <c r="J59" s="109" t="n"/>
      <c r="K59" s="109" t="n"/>
    </row>
    <row r="60" ht="15" customHeight="1" s="88">
      <c r="A60" s="109" t="n"/>
      <c r="B60" s="109" t="n"/>
      <c r="C60" s="109" t="n"/>
      <c r="D60" s="109" t="n"/>
      <c r="E60" s="109" t="n"/>
      <c r="F60" s="109" t="n"/>
      <c r="G60" s="109" t="n"/>
      <c r="H60" s="109" t="n"/>
      <c r="I60" s="109" t="n"/>
      <c r="J60" s="109" t="n"/>
      <c r="K60" s="109" t="n"/>
    </row>
    <row r="61" ht="15" customHeight="1" s="88">
      <c r="A61" s="109" t="n"/>
      <c r="B61" s="109" t="n"/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</row>
    <row r="62" ht="15" customHeight="1" s="88">
      <c r="A62" s="109" t="n"/>
      <c r="B62" s="109" t="n"/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</row>
    <row r="63" ht="15" customHeight="1" s="88">
      <c r="A63" s="109" t="n"/>
      <c r="B63" s="109" t="n"/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</row>
    <row r="64" ht="15" customHeight="1" s="88">
      <c r="A64" s="109" t="n"/>
      <c r="B64" s="109" t="n"/>
      <c r="C64" s="109" t="n"/>
      <c r="D64" s="109" t="n"/>
      <c r="E64" s="109" t="n"/>
      <c r="F64" s="109" t="n"/>
      <c r="G64" s="109" t="n"/>
      <c r="H64" s="109" t="n"/>
      <c r="I64" s="109" t="n"/>
      <c r="J64" s="109" t="n"/>
      <c r="K64" s="109" t="n"/>
    </row>
    <row r="65" ht="15" customHeight="1" s="88">
      <c r="A65" s="109" t="n"/>
      <c r="B65" s="109" t="n"/>
      <c r="C65" s="109" t="n"/>
      <c r="D65" s="109" t="n"/>
      <c r="E65" s="109" t="n"/>
      <c r="F65" s="109" t="n"/>
      <c r="G65" s="109" t="n"/>
      <c r="H65" s="109" t="n"/>
      <c r="I65" s="109" t="n"/>
      <c r="J65" s="109" t="n"/>
      <c r="K65" s="109" t="n"/>
    </row>
    <row r="66" ht="15" customHeight="1" s="88">
      <c r="A66" s="109" t="n"/>
      <c r="B66" s="109" t="n"/>
      <c r="C66" s="109" t="n"/>
      <c r="D66" s="109" t="n"/>
      <c r="E66" s="109" t="n"/>
      <c r="F66" s="109" t="n"/>
      <c r="G66" s="109" t="n"/>
      <c r="H66" s="109" t="n"/>
      <c r="I66" s="109" t="n"/>
      <c r="J66" s="109" t="n"/>
      <c r="K66" s="109" t="n"/>
    </row>
    <row r="67" ht="15" customHeight="1" s="88">
      <c r="A67" s="109" t="n"/>
      <c r="B67" s="109" t="n"/>
      <c r="C67" s="109" t="n"/>
      <c r="D67" s="109" t="n"/>
      <c r="E67" s="109" t="n"/>
      <c r="F67" s="109" t="n"/>
      <c r="G67" s="109" t="n"/>
      <c r="H67" s="109" t="n"/>
      <c r="I67" s="109" t="n"/>
      <c r="J67" s="109" t="n"/>
      <c r="K67" s="109" t="n"/>
    </row>
    <row r="68" ht="15" customHeight="1" s="88">
      <c r="A68" s="109" t="n"/>
      <c r="B68" s="109" t="n"/>
      <c r="C68" s="109" t="n"/>
      <c r="D68" s="109" t="n"/>
      <c r="E68" s="109" t="n"/>
      <c r="F68" s="109" t="n"/>
      <c r="G68" s="109" t="n"/>
      <c r="H68" s="109" t="n"/>
      <c r="I68" s="109" t="n"/>
      <c r="J68" s="109" t="n"/>
      <c r="K68" s="109" t="n"/>
    </row>
    <row r="69" ht="15" customHeight="1" s="88">
      <c r="A69" s="109" t="n"/>
      <c r="B69" s="109" t="n"/>
      <c r="C69" s="109" t="n"/>
      <c r="D69" s="109" t="n"/>
      <c r="E69" s="109" t="n"/>
      <c r="F69" s="109" t="n"/>
      <c r="G69" s="109" t="n"/>
      <c r="H69" s="109" t="n"/>
      <c r="I69" s="109" t="n"/>
      <c r="J69" s="109" t="n"/>
      <c r="K69" s="109" t="n"/>
    </row>
    <row r="70" ht="15" customHeight="1" s="88">
      <c r="A70" s="109" t="n"/>
      <c r="B70" s="109" t="n"/>
      <c r="C70" s="109" t="n"/>
      <c r="D70" s="109" t="n"/>
      <c r="E70" s="109" t="n"/>
      <c r="F70" s="109" t="n"/>
      <c r="G70" s="109" t="n"/>
      <c r="H70" s="109" t="n"/>
      <c r="I70" s="109" t="n"/>
      <c r="J70" s="109" t="n"/>
      <c r="K70" s="109" t="n"/>
    </row>
    <row r="71" ht="15" customHeight="1" s="88">
      <c r="A71" s="109" t="n"/>
      <c r="B71" s="109" t="n"/>
      <c r="C71" s="109" t="n"/>
      <c r="D71" s="109" t="n"/>
      <c r="E71" s="109" t="n"/>
      <c r="F71" s="109" t="n"/>
      <c r="G71" s="109" t="n"/>
      <c r="H71" s="109" t="n"/>
      <c r="I71" s="109" t="n"/>
      <c r="J71" s="109" t="n"/>
      <c r="K71" s="109" t="n"/>
    </row>
    <row r="72" ht="15" customHeight="1" s="88">
      <c r="A72" s="109" t="n"/>
      <c r="B72" s="109" t="n"/>
      <c r="C72" s="109" t="n"/>
      <c r="D72" s="109" t="n"/>
      <c r="E72" s="109" t="n"/>
      <c r="F72" s="109" t="n"/>
      <c r="G72" s="109" t="n"/>
      <c r="H72" s="109" t="n"/>
      <c r="I72" s="109" t="n"/>
      <c r="J72" s="109" t="n"/>
      <c r="K72" s="109" t="n"/>
    </row>
    <row r="73" ht="15" customHeight="1" s="88">
      <c r="A73" s="109" t="n"/>
      <c r="B73" s="109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</row>
    <row r="74" ht="15" customHeight="1" s="88">
      <c r="A74" s="109" t="n"/>
      <c r="B74" s="109" t="n"/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</row>
    <row r="75" ht="15" customHeight="1" s="88">
      <c r="A75" s="109" t="n"/>
      <c r="B75" s="109" t="n"/>
      <c r="C75" s="109" t="n"/>
      <c r="D75" s="109" t="n"/>
      <c r="E75" s="109" t="n"/>
      <c r="F75" s="109" t="n"/>
      <c r="G75" s="109" t="n"/>
      <c r="H75" s="109" t="n"/>
      <c r="I75" s="109" t="n"/>
      <c r="J75" s="109" t="n"/>
      <c r="K75" s="109" t="n"/>
    </row>
    <row r="76" ht="15" customHeight="1" s="88">
      <c r="A76" s="109" t="n"/>
      <c r="B76" s="109" t="n"/>
      <c r="C76" s="109" t="n"/>
      <c r="D76" s="109" t="n"/>
      <c r="E76" s="109" t="n"/>
      <c r="F76" s="109" t="n"/>
      <c r="G76" s="109" t="n"/>
      <c r="H76" s="109" t="n"/>
      <c r="I76" s="109" t="n"/>
      <c r="J76" s="109" t="n"/>
      <c r="K76" s="109" t="n"/>
    </row>
    <row r="77" ht="15" customHeight="1" s="88">
      <c r="A77" s="109" t="n"/>
      <c r="B77" s="109" t="n"/>
      <c r="C77" s="109" t="n"/>
      <c r="D77" s="109" t="n"/>
      <c r="E77" s="109" t="n"/>
      <c r="F77" s="109" t="n"/>
      <c r="G77" s="109" t="n"/>
      <c r="H77" s="109" t="n"/>
      <c r="I77" s="109" t="n"/>
      <c r="J77" s="109" t="n"/>
      <c r="K77" s="109" t="n"/>
    </row>
    <row r="78" ht="15" customHeight="1" s="88">
      <c r="A78" s="109" t="n"/>
      <c r="B78" s="109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</row>
    <row r="79" ht="15" customHeight="1" s="88">
      <c r="A79" s="109" t="n"/>
      <c r="B79" s="109" t="n"/>
      <c r="C79" s="109" t="n"/>
      <c r="D79" s="109" t="n"/>
      <c r="E79" s="109" t="n"/>
      <c r="F79" s="109" t="n"/>
      <c r="G79" s="109" t="n"/>
      <c r="H79" s="109" t="n"/>
      <c r="I79" s="109" t="n"/>
      <c r="J79" s="109" t="n"/>
      <c r="K79" s="109" t="n"/>
    </row>
    <row r="80" ht="15" customHeight="1" s="88">
      <c r="A80" s="109" t="n"/>
      <c r="B80" s="109" t="n"/>
      <c r="C80" s="109" t="n"/>
      <c r="D80" s="109" t="n"/>
      <c r="E80" s="109" t="n"/>
      <c r="F80" s="109" t="n"/>
      <c r="G80" s="109" t="n"/>
      <c r="H80" s="109" t="n"/>
      <c r="I80" s="109" t="n"/>
      <c r="J80" s="109" t="n"/>
      <c r="K80" s="109" t="n"/>
    </row>
    <row r="81" ht="15" customHeight="1" s="88">
      <c r="A81" s="109" t="n"/>
      <c r="B81" s="109" t="n"/>
      <c r="C81" s="109" t="n"/>
      <c r="D81" s="109" t="n"/>
      <c r="E81" s="109" t="n"/>
      <c r="F81" s="109" t="n"/>
      <c r="G81" s="109" t="n"/>
      <c r="H81" s="109" t="n"/>
      <c r="I81" s="109" t="n"/>
      <c r="J81" s="109" t="n"/>
      <c r="K81" s="109" t="n"/>
    </row>
    <row r="82" ht="15" customHeight="1" s="88">
      <c r="A82" s="109" t="n"/>
      <c r="B82" s="109" t="n"/>
      <c r="C82" s="109" t="n"/>
      <c r="D82" s="109" t="n"/>
      <c r="E82" s="109" t="n"/>
      <c r="F82" s="109" t="n"/>
      <c r="G82" s="109" t="n"/>
      <c r="H82" s="109" t="n"/>
      <c r="I82" s="109" t="n"/>
      <c r="J82" s="109" t="n"/>
      <c r="K82" s="109" t="n"/>
    </row>
    <row r="83" ht="15" customHeight="1" s="88">
      <c r="A83" s="109" t="n"/>
      <c r="B83" s="109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</row>
    <row r="84" ht="15" customHeight="1" s="88">
      <c r="A84" s="109" t="n"/>
      <c r="B84" s="109" t="n"/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</row>
    <row r="85" ht="15" customHeight="1" s="88">
      <c r="A85" s="109" t="n"/>
      <c r="B85" s="109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</row>
    <row r="86" ht="15" customHeight="1" s="88">
      <c r="A86" s="109" t="n"/>
      <c r="B86" s="109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</row>
    <row r="87" ht="15" customHeight="1" s="88">
      <c r="A87" s="109" t="n"/>
      <c r="B87" s="109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</row>
    <row r="88" ht="15" customHeight="1" s="88">
      <c r="A88" s="109" t="n"/>
      <c r="B88" s="109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</row>
    <row r="89" ht="15" customHeight="1" s="88">
      <c r="A89" s="109" t="n"/>
      <c r="B89" s="109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</row>
    <row r="90" ht="15" customHeight="1" s="88">
      <c r="A90" s="109" t="n"/>
      <c r="B90" s="109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</row>
    <row r="91" ht="15" customHeight="1" s="88">
      <c r="A91" s="109" t="n"/>
      <c r="B91" s="109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</row>
    <row r="92" ht="15" customHeight="1" s="88">
      <c r="A92" s="109" t="n"/>
      <c r="B92" s="109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</row>
    <row r="93" ht="15" customHeight="1" s="88">
      <c r="A93" s="109" t="n"/>
      <c r="B93" s="109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</row>
    <row r="94" ht="15" customHeight="1" s="88">
      <c r="A94" s="109" t="n"/>
      <c r="B94" s="109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</row>
    <row r="95" ht="15" customHeight="1" s="88">
      <c r="A95" s="109" t="n"/>
      <c r="B95" s="109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</row>
    <row r="96" ht="15" customHeight="1" s="88">
      <c r="A96" s="109" t="n"/>
      <c r="B96" s="109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</row>
    <row r="97" ht="15" customHeight="1" s="88">
      <c r="A97" s="109" t="n"/>
      <c r="B97" s="109" t="n"/>
      <c r="C97" s="109" t="n"/>
      <c r="D97" s="109" t="n"/>
      <c r="E97" s="109" t="n"/>
      <c r="F97" s="109" t="n"/>
      <c r="G97" s="109" t="n"/>
      <c r="H97" s="109" t="n"/>
      <c r="I97" s="109" t="n"/>
      <c r="J97" s="109" t="n"/>
      <c r="K97" s="109" t="n"/>
    </row>
    <row r="98" ht="15" customHeight="1" s="88">
      <c r="A98" s="109" t="n"/>
      <c r="B98" s="109" t="n"/>
      <c r="C98" s="109" t="n"/>
      <c r="D98" s="109" t="n"/>
      <c r="E98" s="109" t="n"/>
      <c r="F98" s="109" t="n"/>
      <c r="G98" s="109" t="n"/>
      <c r="H98" s="109" t="n"/>
      <c r="I98" s="109" t="n"/>
      <c r="J98" s="109" t="n"/>
      <c r="K98" s="109" t="n"/>
    </row>
    <row r="99" ht="15" customHeight="1" s="88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</row>
    <row r="100" ht="15" customHeight="1" s="88">
      <c r="A100" s="109" t="n"/>
      <c r="B100" s="109" t="n"/>
      <c r="C100" s="109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</row>
    <row r="101" ht="15" customHeight="1" s="88">
      <c r="A101" s="109" t="n"/>
      <c r="B101" s="109" t="n"/>
      <c r="C101" s="109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</row>
    <row r="102" ht="15" customHeight="1" s="88">
      <c r="A102" s="109" t="n"/>
      <c r="B102" s="109" t="n"/>
      <c r="C102" s="109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</row>
    <row r="103" ht="15" customHeight="1" s="88">
      <c r="A103" s="109" t="n"/>
      <c r="B103" s="109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</row>
    <row r="104" ht="15" customHeight="1" s="88">
      <c r="A104" s="109" t="n"/>
      <c r="B104" s="109" t="n"/>
      <c r="C104" s="109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</row>
    <row r="105" ht="15" customHeight="1" s="88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</row>
    <row r="106" ht="15" customHeight="1" s="88">
      <c r="A106" s="109" t="n"/>
      <c r="B106" s="109" t="n"/>
      <c r="C106" s="109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</row>
    <row r="107" ht="15" customHeight="1" s="88">
      <c r="A107" s="109" t="n"/>
      <c r="B107" s="109" t="n"/>
      <c r="C107" s="109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</row>
    <row r="108" ht="15" customHeight="1" s="88">
      <c r="A108" s="109" t="n"/>
      <c r="B108" s="109" t="n"/>
      <c r="C108" s="109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</row>
    <row r="109" ht="15" customHeight="1" s="88">
      <c r="A109" s="109" t="n"/>
      <c r="B109" s="109" t="n"/>
      <c r="C109" s="109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</row>
    <row r="110" ht="15" customHeight="1" s="88">
      <c r="A110" s="109" t="n"/>
      <c r="B110" s="109" t="n"/>
      <c r="C110" s="109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</row>
    <row r="111" ht="15" customHeight="1" s="88">
      <c r="A111" s="109" t="n"/>
      <c r="B111" s="109" t="n"/>
      <c r="C111" s="109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</row>
    <row r="112" ht="15" customHeight="1" s="88">
      <c r="A112" s="109" t="n"/>
      <c r="B112" s="109" t="n"/>
      <c r="C112" s="109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</row>
    <row r="113" ht="15" customHeight="1" s="88">
      <c r="A113" s="109" t="n"/>
      <c r="B113" s="109" t="n"/>
      <c r="C113" s="109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</row>
    <row r="114" ht="15" customHeight="1" s="88">
      <c r="A114" s="109" t="n"/>
      <c r="B114" s="109" t="n"/>
      <c r="C114" s="109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</row>
    <row r="115" ht="15" customHeight="1" s="88">
      <c r="A115" s="109" t="n"/>
      <c r="B115" s="109" t="n"/>
      <c r="C115" s="109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</row>
    <row r="116" ht="15" customHeight="1" s="88">
      <c r="A116" s="109" t="n"/>
      <c r="B116" s="109" t="n"/>
      <c r="C116" s="109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</row>
    <row r="117" ht="15" customHeight="1" s="88">
      <c r="A117" s="109" t="n"/>
      <c r="B117" s="109" t="n"/>
      <c r="C117" s="109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</row>
    <row r="118" ht="15" customHeight="1" s="88">
      <c r="A118" s="109" t="n"/>
      <c r="B118" s="109" t="n"/>
      <c r="C118" s="109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</row>
    <row r="119" ht="15" customHeight="1" s="88">
      <c r="A119" s="109" t="n"/>
      <c r="B119" s="109" t="n"/>
      <c r="C119" s="109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</row>
    <row r="120" ht="15" customHeight="1" s="88">
      <c r="A120" s="109" t="n"/>
      <c r="B120" s="109" t="n"/>
      <c r="C120" s="109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</row>
    <row r="121" ht="15" customHeight="1" s="88">
      <c r="A121" s="109" t="n"/>
      <c r="B121" s="109" t="n"/>
      <c r="C121" s="109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</row>
    <row r="122" ht="15" customHeight="1" s="88">
      <c r="A122" s="109" t="n"/>
      <c r="B122" s="109" t="n"/>
      <c r="C122" s="109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</row>
    <row r="123" ht="15" customHeight="1" s="88">
      <c r="A123" s="109" t="n"/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</row>
    <row r="124" ht="15" customHeight="1" s="88">
      <c r="A124" s="109" t="n"/>
      <c r="B124" s="109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</row>
    <row r="125" ht="15" customHeight="1" s="88">
      <c r="A125" s="109" t="n"/>
      <c r="B125" s="109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</row>
    <row r="126" ht="15" customHeight="1" s="88">
      <c r="A126" s="109" t="n"/>
      <c r="B126" s="109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</row>
    <row r="127" ht="15" customHeight="1" s="88">
      <c r="A127" s="109" t="n"/>
      <c r="B127" s="109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</row>
    <row r="128" ht="15" customHeight="1" s="88">
      <c r="A128" s="109" t="n"/>
      <c r="B128" s="109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</row>
    <row r="129" ht="15" customHeight="1" s="88">
      <c r="A129" s="109" t="n"/>
      <c r="B129" s="109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</row>
    <row r="130" ht="15" customHeight="1" s="88">
      <c r="A130" s="109" t="n"/>
      <c r="B130" s="109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</row>
    <row r="131" ht="15" customHeight="1" s="88">
      <c r="A131" s="109" t="n"/>
      <c r="B131" s="109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</row>
    <row r="132" ht="15" customHeight="1" s="88">
      <c r="A132" s="109" t="n"/>
      <c r="B132" s="109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</row>
    <row r="133" ht="15" customHeight="1" s="88">
      <c r="A133" s="109" t="n"/>
      <c r="B133" s="109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</row>
    <row r="134" ht="15" customHeight="1" s="88">
      <c r="A134" s="109" t="n"/>
      <c r="B134" s="109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</row>
    <row r="135" ht="15" customHeight="1" s="88">
      <c r="A135" s="109" t="n"/>
      <c r="B135" s="109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</row>
    <row r="136" ht="15" customHeight="1" s="88">
      <c r="A136" s="109" t="n"/>
      <c r="B136" s="109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</row>
    <row r="137" ht="15" customHeight="1" s="88">
      <c r="A137" s="109" t="n"/>
      <c r="B137" s="109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</row>
    <row r="138" ht="15" customHeight="1" s="88">
      <c r="A138" s="109" t="n"/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</row>
    <row r="139" ht="15" customHeight="1" s="88">
      <c r="A139" s="109" t="n"/>
      <c r="B139" s="109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</row>
    <row r="140" ht="15" customHeight="1" s="88">
      <c r="A140" s="109" t="n"/>
      <c r="B140" s="109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</row>
    <row r="141" ht="15" customHeight="1" s="88">
      <c r="A141" s="109" t="n"/>
      <c r="B141" s="109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</row>
    <row r="142" ht="15" customHeight="1" s="88">
      <c r="A142" s="109" t="n"/>
      <c r="B142" s="109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</row>
    <row r="143" ht="15" customHeight="1" s="88">
      <c r="A143" s="109" t="n"/>
      <c r="B143" s="109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</row>
    <row r="144" ht="15" customHeight="1" s="88">
      <c r="A144" s="109" t="n"/>
      <c r="B144" s="109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</row>
    <row r="145" ht="15" customHeight="1" s="88">
      <c r="A145" s="109" t="n"/>
      <c r="B145" s="109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</row>
    <row r="146" ht="15" customHeight="1" s="88">
      <c r="A146" s="109" t="n"/>
      <c r="B146" s="109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</row>
    <row r="147" ht="15" customHeight="1" s="88">
      <c r="A147" s="109" t="n"/>
      <c r="B147" s="109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</row>
    <row r="148" ht="15" customHeight="1" s="88">
      <c r="A148" s="109" t="n"/>
      <c r="B148" s="109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</row>
    <row r="149" ht="15" customHeight="1" s="88">
      <c r="A149" s="109" t="n"/>
      <c r="B149" s="109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</row>
    <row r="150" ht="15" customHeight="1" s="88">
      <c r="A150" s="109" t="n"/>
      <c r="B150" s="109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</row>
    <row r="151" ht="15" customHeight="1" s="88">
      <c r="A151" s="109" t="n"/>
      <c r="B151" s="109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</row>
    <row r="152" ht="15" customHeight="1" s="88">
      <c r="A152" s="109" t="n"/>
      <c r="B152" s="109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</row>
    <row r="153" ht="15" customHeight="1" s="88">
      <c r="A153" s="109" t="n"/>
      <c r="B153" s="109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</row>
    <row r="154" ht="15" customHeight="1" s="88">
      <c r="A154" s="109" t="n"/>
      <c r="B154" s="109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</row>
    <row r="155" ht="15" customHeight="1" s="88">
      <c r="A155" s="109" t="n"/>
      <c r="B155" s="109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</row>
    <row r="156" ht="15" customHeight="1" s="88">
      <c r="A156" s="109" t="n"/>
      <c r="B156" s="109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</row>
    <row r="157" ht="15" customHeight="1" s="88">
      <c r="A157" s="109" t="n"/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</row>
    <row r="158" ht="15" customHeight="1" s="88">
      <c r="A158" s="109" t="n"/>
      <c r="B158" s="109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</row>
    <row r="159" ht="15" customHeight="1" s="88">
      <c r="A159" s="109" t="n"/>
      <c r="B159" s="109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</row>
    <row r="160" ht="15" customHeight="1" s="88">
      <c r="A160" s="109" t="n"/>
      <c r="B160" s="109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</row>
    <row r="161" ht="15" customHeight="1" s="88">
      <c r="A161" s="109" t="n"/>
      <c r="B161" s="109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</row>
    <row r="162" ht="15" customHeight="1" s="88">
      <c r="A162" s="109" t="n"/>
      <c r="B162" s="109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</row>
    <row r="163" ht="15" customHeight="1" s="88">
      <c r="A163" s="109" t="n"/>
      <c r="B163" s="109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</row>
    <row r="164" ht="15" customHeight="1" s="88">
      <c r="A164" s="109" t="n"/>
      <c r="B164" s="109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</row>
    <row r="165" ht="15" customHeight="1" s="88">
      <c r="A165" s="109" t="n"/>
      <c r="B165" s="109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</row>
    <row r="166" ht="15" customHeight="1" s="88">
      <c r="A166" s="109" t="n"/>
      <c r="B166" s="109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</row>
    <row r="167" ht="15" customHeight="1" s="88">
      <c r="A167" s="109" t="n"/>
      <c r="B167" s="109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</row>
    <row r="168" ht="15" customHeight="1" s="88">
      <c r="A168" s="109" t="n"/>
      <c r="B168" s="109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</row>
    <row r="169" ht="15" customHeight="1" s="88">
      <c r="A169" s="109" t="n"/>
      <c r="B169" s="109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</row>
    <row r="170" ht="15" customHeight="1" s="88">
      <c r="A170" s="109" t="n"/>
      <c r="B170" s="109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</row>
    <row r="171" ht="15" customHeight="1" s="88">
      <c r="A171" s="109" t="n"/>
      <c r="B171" s="109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</row>
    <row r="172" ht="15" customHeight="1" s="88">
      <c r="A172" s="109" t="n"/>
      <c r="B172" s="109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</row>
    <row r="173" ht="15" customHeight="1" s="88">
      <c r="A173" s="109" t="n"/>
      <c r="B173" s="109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</row>
    <row r="174" ht="15" customHeight="1" s="88">
      <c r="A174" s="109" t="n"/>
      <c r="B174" s="109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</row>
    <row r="175" ht="15" customHeight="1" s="88">
      <c r="A175" s="109" t="n"/>
      <c r="B175" s="109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</row>
    <row r="176" ht="15" customHeight="1" s="88">
      <c r="A176" s="109" t="n"/>
      <c r="B176" s="109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</row>
    <row r="177" ht="15" customHeight="1" s="88">
      <c r="A177" s="109" t="n"/>
      <c r="B177" s="109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</row>
    <row r="178" ht="15" customHeight="1" s="88">
      <c r="A178" s="109" t="n"/>
      <c r="B178" s="109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</row>
    <row r="179" ht="15" customHeight="1" s="88">
      <c r="A179" s="109" t="n"/>
      <c r="B179" s="109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</row>
    <row r="180" ht="15" customHeight="1" s="88">
      <c r="A180" s="109" t="n"/>
      <c r="B180" s="109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</row>
    <row r="181" ht="15" customHeight="1" s="88">
      <c r="A181" s="109" t="n"/>
      <c r="B181" s="109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</row>
    <row r="182" ht="15" customHeight="1" s="88">
      <c r="A182" s="109" t="n"/>
      <c r="B182" s="109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</row>
    <row r="183" ht="15" customHeight="1" s="88">
      <c r="A183" s="109" t="n"/>
      <c r="B183" s="109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</row>
    <row r="184" ht="15" customHeight="1" s="88">
      <c r="A184" s="109" t="n"/>
      <c r="B184" s="109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</row>
    <row r="185" ht="15" customHeight="1" s="88">
      <c r="A185" s="109" t="n"/>
      <c r="B185" s="109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</row>
    <row r="186" ht="15" customHeight="1" s="88">
      <c r="A186" s="109" t="n"/>
      <c r="B186" s="109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</row>
    <row r="187" ht="15" customHeight="1" s="88">
      <c r="A187" s="109" t="n"/>
      <c r="B187" s="109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</row>
    <row r="188" ht="15" customHeight="1" s="88">
      <c r="A188" s="109" t="n"/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</row>
    <row r="189" ht="15" customHeight="1" s="88">
      <c r="A189" s="109" t="n"/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</row>
    <row r="190" ht="15" customHeight="1" s="88">
      <c r="A190" s="109" t="n"/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</row>
    <row r="191" ht="15" customHeight="1" s="88">
      <c r="A191" s="109" t="n"/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</row>
    <row r="192" ht="15" customHeight="1" s="88">
      <c r="A192" s="109" t="n"/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</row>
    <row r="193" ht="15" customHeight="1" s="88">
      <c r="A193" s="109" t="n"/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</row>
    <row r="194" ht="15" customHeight="1" s="88">
      <c r="A194" s="109" t="n"/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</row>
    <row r="195" ht="15" customHeight="1" s="88">
      <c r="A195" s="109" t="n"/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</row>
    <row r="196" ht="15" customHeight="1" s="88">
      <c r="A196" s="109" t="n"/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</row>
    <row r="197" ht="15" customHeight="1" s="88">
      <c r="A197" s="109" t="n"/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</row>
    <row r="198" ht="15" customHeight="1" s="88">
      <c r="A198" s="109" t="n"/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</row>
    <row r="199" ht="15" customHeight="1" s="88">
      <c r="A199" s="109" t="n"/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</row>
    <row r="200" ht="15" customHeight="1" s="88">
      <c r="A200" s="109" t="n"/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conditionalFormatting sqref="F6:F804">
    <cfRule type="cellIs" rank="0" priority="2" equalAverage="0" operator="equal" aboveAverage="0" dxfId="6" text="" percent="0" bottom="0">
      <formula>"GİRİŞ"</formula>
    </cfRule>
    <cfRule type="cellIs" rank="0" priority="3" equalAverage="0" operator="equal" aboveAverage="0" dxfId="8" text="" percent="0" bottom="0">
      <formula>"ÇIKIŞ"</formula>
    </cfRule>
  </conditionalFormatting>
  <conditionalFormatting sqref="L6:L804">
    <cfRule type="cellIs" rank="0" priority="4" equalAverage="0" operator="greaterThan" aboveAverage="0" dxfId="6" text="" percent="0" bottom="0">
      <formula>0</formula>
    </cfRule>
    <cfRule type="cellIs" rank="0" priority="5" equalAverage="0" operator="lessThan" aboveAverage="0" dxfId="8" text="" percent="0" bottom="0">
      <formula>0</formula>
    </cfRule>
  </conditionalFormatting>
  <conditionalFormatting sqref="M6:M804">
    <cfRule type="cellIs" rank="0" priority="6" equalAverage="0" operator="equal" aboveAverage="0" dxfId="6" text="" percent="0" bottom="0">
      <formula>"OK"</formula>
    </cfRule>
    <cfRule type="cellIs" rank="0" priority="7" equalAverage="0" operator="equal" aboveAverage="0" dxfId="9" text="" percent="0" bottom="0">
      <formula>"EKSİK"</formula>
    </cfRule>
    <cfRule type="cellIs" rank="0" priority="8" equalAverage="0" operator="equal" aboveAverage="0" dxfId="5" text="" percent="0" bottom="0">
      <formula>"MÜKERRER"</formula>
    </cfRule>
    <cfRule type="cellIs" rank="0" priority="9" equalAverage="0" operator="equal" aboveAverage="0" dxfId="8" text="" percent="0" bottom="0">
      <formula>"SIFIR/NEGATİF"</formula>
    </cfRule>
    <cfRule type="cellIs" rank="0" priority="10" equalAverage="0" operator="equal" aboveAverage="0" dxfId="5" text="" percent="0" bottom="0">
      <formula>"AŞIRI TUTAR"</formula>
    </cfRule>
  </conditionalFormatting>
  <dataValidations count="6">
    <dataValidation sqref="D6:D804" showDropDown="0" showInputMessage="1" showErrorMessage="1" allowBlank="1" errorTitle="Geçersiz İşlem Türü" error="İşlem türü yalnızca GİRİŞ veya ÇIKIŞ olabilir." promptTitle="İşlem Türü" prompt="Para girişi ise GİRİŞ, çıkış ise ÇIKIŞ seçin." type="list" errorStyle="stop" operator="between">
      <formula1>"GİRİŞ,ÇIKIŞ"</formula1>
      <formula2>0</formula2>
    </dataValidation>
    <dataValidation sqref="E6:E804" showDropDown="0" showInputMessage="1" showErrorMessage="1" allowBlank="1" errorTitle="Geçersiz Kategori" error="Kategoriyi LISTELER sayfasındaki listeden seçin." promptTitle="Kategori" prompt="Hareketin ait olduğu gelir veya gider kategorisini seçin." type="list" errorStyle="stop" operator="between">
      <formula1>LISTELER!$B$4:$B$30</formula1>
      <formula2>0</formula2>
    </dataValidation>
    <dataValidation sqref="F6:F804" showDropDown="0" showInputMessage="1" showErrorMessage="1" allowBlank="1" errorTitle="Geçersiz Alt Kategori" error="Alt kategoriyi listeden seçin." promptTitle="Alt Kategori" prompt="Opsiyonel alt kategori seçin." type="list" errorStyle="stop" operator="between">
      <formula1>LISTELER!$C$4:$C$30</formula1>
      <formula2>0</formula2>
    </dataValidation>
    <dataValidation sqref="H6:H804" showDropDown="0" showInputMessage="1" showErrorMessage="1" allowBlank="1" errorTitle="Geçersiz Yöntem" error="Ödeme yöntemini listeden seçin." promptTitle="Ödeme Yöntemi" prompt="Nakit, havale veya kart ile yapılan ödeme türü." type="list" errorStyle="stop" operator="between">
      <formula1>LISTELER!$D$4:$D$15</formula1>
      <formula2>0</formula2>
    </dataValidation>
    <dataValidation sqref="C6:C804" showDropDown="0" showInputMessage="1" showErrorMessage="1" allowBlank="1" errorTitle="Geçersiz Hesap" error="Hesabı KASA_HESAPLARI sayfasından seçin." promptTitle="Hesap" prompt="Hareketin gerçekleştiği kasa veya banka hesabı." type="list" errorStyle="stop" operator="between">
      <formula1>KASA_HESAPLARI!$A$6:$A$804</formula1>
      <formula2>0</formula2>
    </dataValidation>
    <dataValidation sqref="J6:J804" showDropDown="0" showInputMessage="1" showErrorMessage="1" allowBlank="1" errorTitle="Geçersiz Tutar" error="Tutar pozitif bir sayı olmalıdır." promptTitle="Tutar" prompt="Hareket tutarını TL olarak, sıfırdan büyük girin." type="decimal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7" min="1" max="3"/>
    <col width="13" customWidth="1" style="88" min="2" max="2"/>
    <col width="13" customWidth="1" style="88" min="3" max="3"/>
    <col width="26" customWidth="1" style="87" min="4" max="4"/>
    <col width="12" customWidth="1" style="87" min="5" max="5"/>
    <col width="14" customWidth="1" style="87" min="6" max="8"/>
    <col width="13" customWidth="1" style="88" min="7" max="7"/>
    <col width="13" customWidth="1" style="88" min="8" max="8"/>
    <col width="16" customWidth="1" style="87" min="9" max="9"/>
    <col width="22" customWidth="1" style="87" min="10" max="10"/>
    <col width="42" customWidth="1" style="87" min="11" max="11"/>
    <col width="13" customWidth="1" style="88" min="12" max="12"/>
    <col width="13" customWidth="1" style="88" min="13" max="13"/>
    <col width="13" customWidth="1" style="88" min="14" max="14"/>
    <col width="13" customWidth="1" style="88" min="15" max="15"/>
  </cols>
  <sheetData>
    <row r="1" ht="32" customHeight="1" s="88">
      <c r="A1" s="310" t="inlineStr">
        <is>
          <t>ODEME TAHSILAT TAKVIMI — AKILLI KASA DEFTERİ VE NAKİT KONTROL SİSTEMİ</t>
        </is>
      </c>
    </row>
    <row r="2" ht="19.5" customHeight="1" s="88">
      <c r="A2" s="99" t="inlineStr">
        <is>
          <t>Vadesi gelen veya gelecek tüm ödemeler ve tahsilatlar burada takip edilir. Öncelik ve Durum, karar motorunu ve ödeme önerisini besler.</t>
        </is>
      </c>
    </row>
    <row r="3"/>
    <row r="4" ht="30" customHeight="1" s="88">
      <c r="A4" s="102" t="inlineStr">
        <is>
          <t>Tarih</t>
        </is>
      </c>
      <c r="B4" s="102" t="inlineStr">
        <is>
          <t>Vade</t>
        </is>
      </c>
      <c r="C4" s="102" t="inlineStr">
        <is>
          <t>Tür</t>
        </is>
      </c>
      <c r="D4" s="102" t="inlineStr">
        <is>
          <t>Karşı Taraf</t>
        </is>
      </c>
      <c r="E4" s="102" t="inlineStr">
        <is>
          <t>Öncelik</t>
        </is>
      </c>
      <c r="F4" s="102" t="inlineStr">
        <is>
          <t>Tutar (₺)</t>
        </is>
      </c>
      <c r="G4" s="102" t="inlineStr">
        <is>
          <t>Durum</t>
        </is>
      </c>
      <c r="H4" s="102" t="inlineStr">
        <is>
          <t>Vade Kontrolü</t>
        </is>
      </c>
      <c r="I4" s="102" t="inlineStr">
        <is>
          <t>Ödeme Yöntemi</t>
        </is>
      </c>
      <c r="J4" s="102" t="inlineStr">
        <is>
          <t>Kaynak Hesap</t>
        </is>
      </c>
      <c r="K4" s="102" t="inlineStr">
        <is>
          <t>Açıklama</t>
        </is>
      </c>
      <c r="M4" s="111" t="inlineStr">
        <is>
          <t>Öncelik</t>
        </is>
      </c>
      <c r="N4" s="111" t="inlineStr">
        <is>
          <t>Bekleyen Ödeme (₺)</t>
        </is>
      </c>
    </row>
    <row r="5" ht="15" customHeight="1" s="88">
      <c r="M5" s="112" t="inlineStr">
        <is>
          <t>KRİTİK</t>
        </is>
      </c>
      <c r="N5" s="113" t="n">
        <v>260000</v>
      </c>
    </row>
    <row r="6" ht="15" customHeight="1" s="88">
      <c r="A6" s="110" t="n">
        <v>46244</v>
      </c>
      <c r="B6" s="110" t="n">
        <v>46244</v>
      </c>
      <c r="C6" s="103" t="inlineStr">
        <is>
          <t>ÖDEME</t>
        </is>
      </c>
      <c r="D6" s="104" t="inlineStr">
        <is>
          <t>Vergi Dairesi</t>
        </is>
      </c>
      <c r="E6" s="103" t="inlineStr">
        <is>
          <t>KRİTİK</t>
        </is>
      </c>
      <c r="F6" s="106" t="n">
        <v>80000</v>
      </c>
      <c r="G6" s="103" t="inlineStr">
        <is>
          <t>BEKLEMEDE</t>
        </is>
      </c>
      <c r="I6" s="104" t="inlineStr">
        <is>
          <t>EFT</t>
        </is>
      </c>
      <c r="J6" s="104" t="inlineStr">
        <is>
          <t>BK-002</t>
        </is>
      </c>
      <c r="K6" s="108" t="inlineStr">
        <is>
          <t>Muhtasar ve KDV</t>
        </is>
      </c>
      <c r="M6" s="112" t="inlineStr">
        <is>
          <t>YÜKSEK</t>
        </is>
      </c>
      <c r="N6" s="113" t="n">
        <v>202000</v>
      </c>
    </row>
    <row r="7" ht="15" customHeight="1" s="88">
      <c r="A7" s="110" t="n">
        <v>46246</v>
      </c>
      <c r="B7" s="110" t="n">
        <v>46246</v>
      </c>
      <c r="C7" s="103" t="inlineStr">
        <is>
          <t>TAHSİLAT</t>
        </is>
      </c>
      <c r="D7" s="104" t="inlineStr">
        <is>
          <t>Mega Market</t>
        </is>
      </c>
      <c r="E7" s="103" t="inlineStr">
        <is>
          <t>KRİTİK</t>
        </is>
      </c>
      <c r="F7" s="106" t="n">
        <v>200000</v>
      </c>
      <c r="G7" s="103" t="inlineStr">
        <is>
          <t>BEKLEMEDE</t>
        </is>
      </c>
      <c r="I7" s="104" t="inlineStr">
        <is>
          <t>HAVALE</t>
        </is>
      </c>
      <c r="J7" s="104" t="inlineStr">
        <is>
          <t>BK-001</t>
        </is>
      </c>
      <c r="K7" s="108" t="inlineStr">
        <is>
          <t>Cari tahsilat</t>
        </is>
      </c>
      <c r="M7" s="112" t="inlineStr">
        <is>
          <t>ORTA</t>
        </is>
      </c>
      <c r="N7" s="113" t="n">
        <v>75000</v>
      </c>
    </row>
    <row r="8" ht="15" customHeight="1" s="88">
      <c r="A8" s="110" t="n">
        <v>46249</v>
      </c>
      <c r="B8" s="110" t="n">
        <v>46249</v>
      </c>
      <c r="C8" s="103" t="inlineStr">
        <is>
          <t>ÖDEME</t>
        </is>
      </c>
      <c r="D8" s="104" t="inlineStr">
        <is>
          <t>Tarım Ürünleri A.Ş.</t>
        </is>
      </c>
      <c r="E8" s="103" t="inlineStr">
        <is>
          <t>YÜKSEK</t>
        </is>
      </c>
      <c r="F8" s="106" t="n">
        <v>150000</v>
      </c>
      <c r="G8" s="103" t="inlineStr">
        <is>
          <t>BEKLEMEDE</t>
        </is>
      </c>
      <c r="I8" s="104" t="inlineStr">
        <is>
          <t>HAVALE</t>
        </is>
      </c>
      <c r="J8" s="104" t="inlineStr">
        <is>
          <t>BK-001</t>
        </is>
      </c>
      <c r="K8" s="108" t="inlineStr">
        <is>
          <t>Hammadde ödemesi</t>
        </is>
      </c>
      <c r="M8" s="112" t="inlineStr">
        <is>
          <t>DÜŞÜK</t>
        </is>
      </c>
      <c r="N8" s="114">
        <f>IF(KayitSayisi=0,"",SUMIFS(tblTakvim[],tblTakvim[],"DÜŞÜK",tblTakvim[],"BEKLEMEDE",tblTakvim[],"ÖDEME"))</f>
        <v/>
      </c>
    </row>
    <row r="9" ht="15" customHeight="1" s="88">
      <c r="A9" s="110" t="n">
        <v>46254</v>
      </c>
      <c r="B9" s="110" t="n">
        <v>46254</v>
      </c>
      <c r="C9" s="103" t="inlineStr">
        <is>
          <t>ÖDEME</t>
        </is>
      </c>
      <c r="D9" s="104" t="inlineStr">
        <is>
          <t>Personel</t>
        </is>
      </c>
      <c r="E9" s="103" t="inlineStr">
        <is>
          <t>KRİTİK</t>
        </is>
      </c>
      <c r="F9" s="106" t="n">
        <v>180000</v>
      </c>
      <c r="G9" s="103" t="inlineStr">
        <is>
          <t>BEKLEMEDE</t>
        </is>
      </c>
      <c r="I9" s="104" t="inlineStr">
        <is>
          <t>EFT</t>
        </is>
      </c>
      <c r="J9" s="104" t="inlineStr">
        <is>
          <t>BK-001</t>
        </is>
      </c>
      <c r="K9" s="108" t="inlineStr">
        <is>
          <t>Ağustos maaşları</t>
        </is>
      </c>
    </row>
    <row r="10" ht="15" customHeight="1" s="88">
      <c r="A10" s="110" t="n">
        <v>46259</v>
      </c>
      <c r="B10" s="110" t="n">
        <v>46259</v>
      </c>
      <c r="C10" s="103" t="inlineStr">
        <is>
          <t>TAHSİLAT</t>
        </is>
      </c>
      <c r="D10" s="104" t="inlineStr">
        <is>
          <t>Yıldız Market</t>
        </is>
      </c>
      <c r="E10" s="103" t="inlineStr">
        <is>
          <t>ORTA</t>
        </is>
      </c>
      <c r="F10" s="106" t="n">
        <v>150000</v>
      </c>
      <c r="G10" s="103" t="inlineStr">
        <is>
          <t>BEKLEMEDE</t>
        </is>
      </c>
      <c r="I10" s="104" t="inlineStr">
        <is>
          <t>HAVALE</t>
        </is>
      </c>
      <c r="J10" s="104" t="inlineStr">
        <is>
          <t>BK-001</t>
        </is>
      </c>
      <c r="K10" s="108" t="inlineStr">
        <is>
          <t>Vadeli tahsilat</t>
        </is>
      </c>
    </row>
    <row r="11" ht="15" customHeight="1" s="88">
      <c r="A11" s="110" t="n">
        <v>46266</v>
      </c>
      <c r="B11" s="110" t="n">
        <v>46266</v>
      </c>
      <c r="C11" s="103" t="inlineStr">
        <is>
          <t>ÖDEME</t>
        </is>
      </c>
      <c r="D11" s="104" t="inlineStr">
        <is>
          <t>SGK</t>
        </is>
      </c>
      <c r="E11" s="103" t="inlineStr">
        <is>
          <t>YÜKSEK</t>
        </is>
      </c>
      <c r="F11" s="106" t="n">
        <v>52000</v>
      </c>
      <c r="G11" s="103" t="inlineStr">
        <is>
          <t>BEKLEMEDE</t>
        </is>
      </c>
      <c r="I11" s="104" t="inlineStr">
        <is>
          <t>EFT</t>
        </is>
      </c>
      <c r="J11" s="104" t="inlineStr">
        <is>
          <t>BK-002</t>
        </is>
      </c>
      <c r="K11" s="108" t="inlineStr">
        <is>
          <t>SGK primi</t>
        </is>
      </c>
    </row>
    <row r="12" ht="15" customHeight="1" s="88">
      <c r="A12" s="110" t="n">
        <v>46270</v>
      </c>
      <c r="B12" s="110" t="n">
        <v>46270</v>
      </c>
      <c r="C12" s="103" t="inlineStr">
        <is>
          <t>ÖDEME</t>
        </is>
      </c>
      <c r="D12" s="104" t="inlineStr">
        <is>
          <t>Depo Sahibi</t>
        </is>
      </c>
      <c r="E12" s="103" t="inlineStr">
        <is>
          <t>ORTA</t>
        </is>
      </c>
      <c r="F12" s="106" t="n">
        <v>75000</v>
      </c>
      <c r="G12" s="103" t="inlineStr">
        <is>
          <t>BEKLEMEDE</t>
        </is>
      </c>
      <c r="I12" s="104" t="inlineStr">
        <is>
          <t>HAVALE</t>
        </is>
      </c>
      <c r="J12" s="104" t="inlineStr">
        <is>
          <t>BK-001</t>
        </is>
      </c>
      <c r="K12" s="108" t="inlineStr">
        <is>
          <t>Kira</t>
        </is>
      </c>
    </row>
    <row r="13" ht="15" customHeight="1" s="88">
      <c r="A13" s="109" t="n"/>
      <c r="B13" s="109" t="n"/>
      <c r="C13" s="109" t="n"/>
      <c r="D13" s="109" t="n"/>
      <c r="E13" s="109" t="n"/>
      <c r="F13" s="109" t="n"/>
      <c r="G13" s="109" t="n"/>
      <c r="I13" s="109" t="n"/>
      <c r="J13" s="109" t="n"/>
      <c r="K13" s="109" t="n"/>
    </row>
    <row r="14" ht="15" customHeight="1" s="88">
      <c r="A14" s="109" t="n"/>
      <c r="B14" s="109" t="n"/>
      <c r="C14" s="109" t="n"/>
      <c r="D14" s="109" t="n"/>
      <c r="E14" s="109" t="n"/>
      <c r="F14" s="109" t="n"/>
      <c r="G14" s="109" t="n"/>
      <c r="I14" s="109" t="n"/>
      <c r="J14" s="109" t="n"/>
      <c r="K14" s="109" t="n"/>
    </row>
    <row r="15" ht="15" customHeight="1" s="88">
      <c r="A15" s="109" t="n"/>
      <c r="B15" s="109" t="n"/>
      <c r="C15" s="109" t="n"/>
      <c r="D15" s="109" t="n"/>
      <c r="E15" s="109" t="n"/>
      <c r="F15" s="109" t="n"/>
      <c r="G15" s="109" t="n"/>
      <c r="I15" s="109" t="n"/>
      <c r="J15" s="109" t="n"/>
      <c r="K15" s="109" t="n"/>
    </row>
    <row r="16" ht="15" customHeight="1" s="88">
      <c r="A16" s="109" t="n"/>
      <c r="B16" s="109" t="n"/>
      <c r="C16" s="109" t="n"/>
      <c r="D16" s="109" t="n"/>
      <c r="E16" s="109" t="n"/>
      <c r="F16" s="109" t="n"/>
      <c r="G16" s="109" t="n"/>
      <c r="I16" s="109" t="n"/>
      <c r="J16" s="109" t="n"/>
      <c r="K16" s="109" t="n"/>
    </row>
    <row r="17" ht="15" customHeight="1" s="88">
      <c r="A17" s="109" t="n"/>
      <c r="B17" s="109" t="n"/>
      <c r="C17" s="109" t="n"/>
      <c r="D17" s="109" t="n"/>
      <c r="E17" s="109" t="n"/>
      <c r="F17" s="109" t="n"/>
      <c r="G17" s="109" t="n"/>
      <c r="I17" s="109" t="n"/>
      <c r="J17" s="109" t="n"/>
      <c r="K17" s="109" t="n"/>
    </row>
    <row r="18" ht="15" customHeight="1" s="88">
      <c r="A18" s="109" t="n"/>
      <c r="B18" s="109" t="n"/>
      <c r="C18" s="109" t="n"/>
      <c r="D18" s="109" t="n"/>
      <c r="E18" s="109" t="n"/>
      <c r="F18" s="109" t="n"/>
      <c r="G18" s="109" t="n"/>
      <c r="I18" s="109" t="n"/>
      <c r="J18" s="109" t="n"/>
      <c r="K18" s="109" t="n"/>
    </row>
    <row r="19" ht="15" customHeight="1" s="88">
      <c r="A19" s="109" t="n"/>
      <c r="B19" s="109" t="n"/>
      <c r="C19" s="109" t="n"/>
      <c r="D19" s="109" t="n"/>
      <c r="E19" s="109" t="n"/>
      <c r="F19" s="109" t="n"/>
      <c r="G19" s="109" t="n"/>
      <c r="I19" s="109" t="n"/>
      <c r="J19" s="109" t="n"/>
      <c r="K19" s="109" t="n"/>
    </row>
    <row r="20" ht="15" customHeight="1" s="88">
      <c r="A20" s="109" t="n"/>
      <c r="B20" s="109" t="n"/>
      <c r="C20" s="109" t="n"/>
      <c r="D20" s="109" t="n"/>
      <c r="E20" s="109" t="n"/>
      <c r="F20" s="109" t="n"/>
      <c r="G20" s="109" t="n"/>
      <c r="I20" s="109" t="n"/>
      <c r="J20" s="109" t="n"/>
      <c r="K20" s="109" t="n"/>
    </row>
    <row r="21" ht="15" customHeight="1" s="88">
      <c r="A21" s="109" t="n"/>
      <c r="B21" s="109" t="n"/>
      <c r="C21" s="109" t="n"/>
      <c r="D21" s="109" t="n"/>
      <c r="E21" s="109" t="n"/>
      <c r="F21" s="109" t="n"/>
      <c r="G21" s="109" t="n"/>
      <c r="I21" s="109" t="n"/>
      <c r="J21" s="109" t="n"/>
      <c r="K21" s="109" t="n"/>
    </row>
    <row r="22" ht="15" customHeight="1" s="88">
      <c r="A22" s="109" t="n"/>
      <c r="B22" s="109" t="n"/>
      <c r="C22" s="109" t="n"/>
      <c r="D22" s="109" t="n"/>
      <c r="E22" s="109" t="n"/>
      <c r="F22" s="109" t="n"/>
      <c r="G22" s="109" t="n"/>
      <c r="I22" s="109" t="n"/>
      <c r="J22" s="109" t="n"/>
      <c r="K22" s="109" t="n"/>
    </row>
    <row r="23" ht="15" customHeight="1" s="88">
      <c r="A23" s="109" t="n"/>
      <c r="B23" s="109" t="n"/>
      <c r="C23" s="109" t="n"/>
      <c r="D23" s="109" t="n"/>
      <c r="E23" s="109" t="n"/>
      <c r="F23" s="109" t="n"/>
      <c r="G23" s="109" t="n"/>
      <c r="I23" s="109" t="n"/>
      <c r="J23" s="109" t="n"/>
      <c r="K23" s="109" t="n"/>
    </row>
    <row r="24" ht="15" customHeight="1" s="88">
      <c r="A24" s="109" t="n"/>
      <c r="B24" s="109" t="n"/>
      <c r="C24" s="109" t="n"/>
      <c r="D24" s="109" t="n"/>
      <c r="E24" s="109" t="n"/>
      <c r="F24" s="109" t="n"/>
      <c r="G24" s="109" t="n"/>
      <c r="I24" s="109" t="n"/>
      <c r="J24" s="109" t="n"/>
      <c r="K24" s="109" t="n"/>
    </row>
    <row r="25" ht="15" customHeight="1" s="88">
      <c r="A25" s="109" t="n"/>
      <c r="B25" s="109" t="n"/>
      <c r="C25" s="109" t="n"/>
      <c r="D25" s="109" t="n"/>
      <c r="E25" s="109" t="n"/>
      <c r="F25" s="109" t="n"/>
      <c r="G25" s="109" t="n"/>
      <c r="I25" s="109" t="n"/>
      <c r="J25" s="109" t="n"/>
      <c r="K25" s="109" t="n"/>
    </row>
    <row r="26" ht="15" customHeight="1" s="88">
      <c r="A26" s="109" t="n"/>
      <c r="B26" s="109" t="n"/>
      <c r="C26" s="109" t="n"/>
      <c r="D26" s="109" t="n"/>
      <c r="E26" s="109" t="n"/>
      <c r="F26" s="109" t="n"/>
      <c r="G26" s="109" t="n"/>
      <c r="I26" s="109" t="n"/>
      <c r="J26" s="109" t="n"/>
      <c r="K26" s="109" t="n"/>
    </row>
    <row r="27" ht="15" customHeight="1" s="88">
      <c r="A27" s="109" t="n"/>
      <c r="B27" s="109" t="n"/>
      <c r="C27" s="109" t="n"/>
      <c r="D27" s="109" t="n"/>
      <c r="E27" s="109" t="n"/>
      <c r="F27" s="109" t="n"/>
      <c r="G27" s="109" t="n"/>
      <c r="I27" s="109" t="n"/>
      <c r="J27" s="109" t="n"/>
      <c r="K27" s="109" t="n"/>
    </row>
    <row r="28" ht="15" customHeight="1" s="88">
      <c r="A28" s="109" t="n"/>
      <c r="B28" s="109" t="n"/>
      <c r="C28" s="109" t="n"/>
      <c r="D28" s="109" t="n"/>
      <c r="E28" s="109" t="n"/>
      <c r="F28" s="109" t="n"/>
      <c r="G28" s="109" t="n"/>
      <c r="I28" s="109" t="n"/>
      <c r="J28" s="109" t="n"/>
      <c r="K28" s="109" t="n"/>
    </row>
    <row r="29" ht="15" customHeight="1" s="88">
      <c r="A29" s="109" t="n"/>
      <c r="B29" s="109" t="n"/>
      <c r="C29" s="109" t="n"/>
      <c r="D29" s="109" t="n"/>
      <c r="E29" s="109" t="n"/>
      <c r="F29" s="109" t="n"/>
      <c r="G29" s="109" t="n"/>
      <c r="I29" s="109" t="n"/>
      <c r="J29" s="109" t="n"/>
      <c r="K29" s="109" t="n"/>
    </row>
    <row r="30" ht="15" customHeight="1" s="88">
      <c r="A30" s="109" t="n"/>
      <c r="B30" s="109" t="n"/>
      <c r="C30" s="109" t="n"/>
      <c r="D30" s="109" t="n"/>
      <c r="E30" s="109" t="n"/>
      <c r="F30" s="109" t="n"/>
      <c r="G30" s="109" t="n"/>
      <c r="I30" s="109" t="n"/>
      <c r="J30" s="109" t="n"/>
      <c r="K30" s="109" t="n"/>
    </row>
    <row r="31" ht="15" customHeight="1" s="88">
      <c r="A31" s="109" t="n"/>
      <c r="B31" s="109" t="n"/>
      <c r="C31" s="109" t="n"/>
      <c r="D31" s="109" t="n"/>
      <c r="E31" s="109" t="n"/>
      <c r="F31" s="109" t="n"/>
      <c r="G31" s="109" t="n"/>
      <c r="I31" s="109" t="n"/>
      <c r="J31" s="109" t="n"/>
      <c r="K31" s="109" t="n"/>
    </row>
    <row r="32" ht="15" customHeight="1" s="88">
      <c r="A32" s="109" t="n"/>
      <c r="B32" s="109" t="n"/>
      <c r="C32" s="109" t="n"/>
      <c r="D32" s="109" t="n"/>
      <c r="E32" s="109" t="n"/>
      <c r="F32" s="109" t="n"/>
      <c r="G32" s="109" t="n"/>
      <c r="I32" s="109" t="n"/>
      <c r="J32" s="109" t="n"/>
      <c r="K32" s="109" t="n"/>
    </row>
    <row r="33" ht="15" customHeight="1" s="88">
      <c r="A33" s="109" t="n"/>
      <c r="B33" s="109" t="n"/>
      <c r="C33" s="109" t="n"/>
      <c r="D33" s="109" t="n"/>
      <c r="E33" s="109" t="n"/>
      <c r="F33" s="109" t="n"/>
      <c r="G33" s="109" t="n"/>
      <c r="I33" s="109" t="n"/>
      <c r="J33" s="109" t="n"/>
      <c r="K33" s="109" t="n"/>
    </row>
    <row r="34" ht="15" customHeight="1" s="88">
      <c r="A34" s="109" t="n"/>
      <c r="B34" s="109" t="n"/>
      <c r="C34" s="109" t="n"/>
      <c r="D34" s="109" t="n"/>
      <c r="E34" s="109" t="n"/>
      <c r="F34" s="109" t="n"/>
      <c r="G34" s="109" t="n"/>
      <c r="I34" s="109" t="n"/>
      <c r="J34" s="109" t="n"/>
      <c r="K34" s="109" t="n"/>
    </row>
    <row r="35" ht="15" customHeight="1" s="88">
      <c r="A35" s="109" t="n"/>
      <c r="B35" s="109" t="n"/>
      <c r="C35" s="109" t="n"/>
      <c r="D35" s="109" t="n"/>
      <c r="E35" s="109" t="n"/>
      <c r="F35" s="109" t="n"/>
      <c r="G35" s="109" t="n"/>
      <c r="I35" s="109" t="n"/>
      <c r="J35" s="109" t="n"/>
      <c r="K35" s="109" t="n"/>
    </row>
    <row r="36" ht="15" customHeight="1" s="88">
      <c r="A36" s="109" t="n"/>
      <c r="B36" s="109" t="n"/>
      <c r="C36" s="109" t="n"/>
      <c r="D36" s="109" t="n"/>
      <c r="E36" s="109" t="n"/>
      <c r="F36" s="109" t="n"/>
      <c r="G36" s="109" t="n"/>
      <c r="I36" s="109" t="n"/>
      <c r="J36" s="109" t="n"/>
      <c r="K36" s="109" t="n"/>
    </row>
    <row r="37" ht="15" customHeight="1" s="88">
      <c r="A37" s="109" t="n"/>
      <c r="B37" s="109" t="n"/>
      <c r="C37" s="109" t="n"/>
      <c r="D37" s="109" t="n"/>
      <c r="E37" s="109" t="n"/>
      <c r="F37" s="109" t="n"/>
      <c r="G37" s="109" t="n"/>
      <c r="I37" s="109" t="n"/>
      <c r="J37" s="109" t="n"/>
      <c r="K37" s="109" t="n"/>
    </row>
    <row r="38" ht="15" customHeight="1" s="88">
      <c r="A38" s="109" t="n"/>
      <c r="B38" s="109" t="n"/>
      <c r="C38" s="109" t="n"/>
      <c r="D38" s="109" t="n"/>
      <c r="E38" s="109" t="n"/>
      <c r="F38" s="109" t="n"/>
      <c r="G38" s="109" t="n"/>
      <c r="I38" s="109" t="n"/>
      <c r="J38" s="109" t="n"/>
      <c r="K38" s="109" t="n"/>
    </row>
    <row r="39" ht="15" customHeight="1" s="88">
      <c r="A39" s="109" t="n"/>
      <c r="B39" s="109" t="n"/>
      <c r="C39" s="109" t="n"/>
      <c r="D39" s="109" t="n"/>
      <c r="E39" s="109" t="n"/>
      <c r="F39" s="109" t="n"/>
      <c r="G39" s="109" t="n"/>
      <c r="I39" s="109" t="n"/>
      <c r="J39" s="109" t="n"/>
      <c r="K39" s="109" t="n"/>
    </row>
    <row r="40" ht="15" customHeight="1" s="88">
      <c r="A40" s="109" t="n"/>
      <c r="B40" s="109" t="n"/>
      <c r="C40" s="109" t="n"/>
      <c r="D40" s="109" t="n"/>
      <c r="E40" s="109" t="n"/>
      <c r="F40" s="109" t="n"/>
      <c r="G40" s="109" t="n"/>
      <c r="I40" s="109" t="n"/>
      <c r="J40" s="109" t="n"/>
      <c r="K40" s="109" t="n"/>
    </row>
    <row r="41" ht="15" customHeight="1" s="88">
      <c r="A41" s="109" t="n"/>
      <c r="B41" s="109" t="n"/>
      <c r="C41" s="109" t="n"/>
      <c r="D41" s="109" t="n"/>
      <c r="E41" s="109" t="n"/>
      <c r="F41" s="109" t="n"/>
      <c r="G41" s="109" t="n"/>
      <c r="I41" s="109" t="n"/>
      <c r="J41" s="109" t="n"/>
      <c r="K41" s="109" t="n"/>
    </row>
    <row r="42" ht="15" customHeight="1" s="88">
      <c r="A42" s="109" t="n"/>
      <c r="B42" s="109" t="n"/>
      <c r="C42" s="109" t="n"/>
      <c r="D42" s="109" t="n"/>
      <c r="E42" s="109" t="n"/>
      <c r="F42" s="109" t="n"/>
      <c r="G42" s="109" t="n"/>
      <c r="I42" s="109" t="n"/>
      <c r="J42" s="109" t="n"/>
      <c r="K42" s="109" t="n"/>
    </row>
    <row r="43" ht="15" customHeight="1" s="88">
      <c r="A43" s="109" t="n"/>
      <c r="B43" s="109" t="n"/>
      <c r="C43" s="109" t="n"/>
      <c r="D43" s="109" t="n"/>
      <c r="E43" s="109" t="n"/>
      <c r="F43" s="109" t="n"/>
      <c r="G43" s="109" t="n"/>
      <c r="I43" s="109" t="n"/>
      <c r="J43" s="109" t="n"/>
      <c r="K43" s="109" t="n"/>
    </row>
    <row r="44" ht="15" customHeight="1" s="88">
      <c r="A44" s="109" t="n"/>
      <c r="B44" s="109" t="n"/>
      <c r="C44" s="109" t="n"/>
      <c r="D44" s="109" t="n"/>
      <c r="E44" s="109" t="n"/>
      <c r="F44" s="109" t="n"/>
      <c r="G44" s="109" t="n"/>
      <c r="I44" s="109" t="n"/>
      <c r="J44" s="109" t="n"/>
      <c r="K44" s="109" t="n"/>
    </row>
    <row r="45" ht="15" customHeight="1" s="88">
      <c r="A45" s="109" t="n"/>
      <c r="B45" s="109" t="n"/>
      <c r="C45" s="109" t="n"/>
      <c r="D45" s="109" t="n"/>
      <c r="E45" s="109" t="n"/>
      <c r="F45" s="109" t="n"/>
      <c r="G45" s="109" t="n"/>
      <c r="I45" s="109" t="n"/>
      <c r="J45" s="109" t="n"/>
      <c r="K45" s="109" t="n"/>
    </row>
    <row r="46" ht="15" customHeight="1" s="88">
      <c r="A46" s="109" t="n"/>
      <c r="B46" s="109" t="n"/>
      <c r="C46" s="109" t="n"/>
      <c r="D46" s="109" t="n"/>
      <c r="E46" s="109" t="n"/>
      <c r="F46" s="109" t="n"/>
      <c r="G46" s="109" t="n"/>
      <c r="I46" s="109" t="n"/>
      <c r="J46" s="109" t="n"/>
      <c r="K46" s="109" t="n"/>
    </row>
    <row r="47" ht="15" customHeight="1" s="88">
      <c r="A47" s="109" t="n"/>
      <c r="B47" s="109" t="n"/>
      <c r="C47" s="109" t="n"/>
      <c r="D47" s="109" t="n"/>
      <c r="E47" s="109" t="n"/>
      <c r="F47" s="109" t="n"/>
      <c r="G47" s="109" t="n"/>
      <c r="I47" s="109" t="n"/>
      <c r="J47" s="109" t="n"/>
      <c r="K47" s="109" t="n"/>
    </row>
    <row r="48" ht="15" customHeight="1" s="88">
      <c r="A48" s="109" t="n"/>
      <c r="B48" s="109" t="n"/>
      <c r="C48" s="109" t="n"/>
      <c r="D48" s="109" t="n"/>
      <c r="E48" s="109" t="n"/>
      <c r="F48" s="109" t="n"/>
      <c r="G48" s="109" t="n"/>
      <c r="I48" s="109" t="n"/>
      <c r="J48" s="109" t="n"/>
      <c r="K48" s="109" t="n"/>
    </row>
    <row r="49" ht="15" customHeight="1" s="88">
      <c r="A49" s="109" t="n"/>
      <c r="B49" s="109" t="n"/>
      <c r="C49" s="109" t="n"/>
      <c r="D49" s="109" t="n"/>
      <c r="E49" s="109" t="n"/>
      <c r="F49" s="109" t="n"/>
      <c r="G49" s="109" t="n"/>
      <c r="I49" s="109" t="n"/>
      <c r="J49" s="109" t="n"/>
      <c r="K49" s="109" t="n"/>
    </row>
    <row r="50" ht="15" customHeight="1" s="88">
      <c r="A50" s="109" t="n"/>
      <c r="B50" s="109" t="n"/>
      <c r="C50" s="109" t="n"/>
      <c r="D50" s="109" t="n"/>
      <c r="E50" s="109" t="n"/>
      <c r="F50" s="109" t="n"/>
      <c r="G50" s="109" t="n"/>
      <c r="I50" s="109" t="n"/>
      <c r="J50" s="109" t="n"/>
      <c r="K50" s="109" t="n"/>
    </row>
    <row r="51" ht="15" customHeight="1" s="88">
      <c r="A51" s="109" t="n"/>
      <c r="B51" s="109" t="n"/>
      <c r="C51" s="109" t="n"/>
      <c r="D51" s="109" t="n"/>
      <c r="E51" s="109" t="n"/>
      <c r="F51" s="109" t="n"/>
      <c r="G51" s="109" t="n"/>
      <c r="I51" s="109" t="n"/>
      <c r="J51" s="109" t="n"/>
      <c r="K51" s="109" t="n"/>
    </row>
    <row r="52" ht="15" customHeight="1" s="88">
      <c r="A52" s="109" t="n"/>
      <c r="B52" s="109" t="n"/>
      <c r="C52" s="109" t="n"/>
      <c r="D52" s="109" t="n"/>
      <c r="E52" s="109" t="n"/>
      <c r="F52" s="109" t="n"/>
      <c r="G52" s="109" t="n"/>
      <c r="I52" s="109" t="n"/>
      <c r="J52" s="109" t="n"/>
      <c r="K52" s="109" t="n"/>
    </row>
    <row r="53" ht="15" customHeight="1" s="88">
      <c r="A53" s="109" t="n"/>
      <c r="B53" s="109" t="n"/>
      <c r="C53" s="109" t="n"/>
      <c r="D53" s="109" t="n"/>
      <c r="E53" s="109" t="n"/>
      <c r="F53" s="109" t="n"/>
      <c r="G53" s="109" t="n"/>
      <c r="I53" s="109" t="n"/>
      <c r="J53" s="109" t="n"/>
      <c r="K53" s="109" t="n"/>
    </row>
    <row r="54" ht="15" customHeight="1" s="88">
      <c r="A54" s="109" t="n"/>
      <c r="B54" s="109" t="n"/>
      <c r="C54" s="109" t="n"/>
      <c r="D54" s="109" t="n"/>
      <c r="E54" s="109" t="n"/>
      <c r="F54" s="109" t="n"/>
      <c r="G54" s="109" t="n"/>
      <c r="I54" s="109" t="n"/>
      <c r="J54" s="109" t="n"/>
      <c r="K54" s="109" t="n"/>
    </row>
    <row r="55" ht="15" customHeight="1" s="88">
      <c r="A55" s="109" t="n"/>
      <c r="B55" s="109" t="n"/>
      <c r="C55" s="109" t="n"/>
      <c r="D55" s="109" t="n"/>
      <c r="E55" s="109" t="n"/>
      <c r="F55" s="109" t="n"/>
      <c r="G55" s="109" t="n"/>
      <c r="I55" s="109" t="n"/>
      <c r="J55" s="109" t="n"/>
      <c r="K55" s="109" t="n"/>
    </row>
    <row r="56" ht="15" customHeight="1" s="88">
      <c r="A56" s="109" t="n"/>
      <c r="B56" s="109" t="n"/>
      <c r="C56" s="109" t="n"/>
      <c r="D56" s="109" t="n"/>
      <c r="E56" s="109" t="n"/>
      <c r="F56" s="109" t="n"/>
      <c r="G56" s="109" t="n"/>
      <c r="I56" s="109" t="n"/>
      <c r="J56" s="109" t="n"/>
      <c r="K56" s="109" t="n"/>
    </row>
    <row r="57" ht="15" customHeight="1" s="88">
      <c r="A57" s="109" t="n"/>
      <c r="B57" s="109" t="n"/>
      <c r="C57" s="109" t="n"/>
      <c r="D57" s="109" t="n"/>
      <c r="E57" s="109" t="n"/>
      <c r="F57" s="109" t="n"/>
      <c r="G57" s="109" t="n"/>
      <c r="I57" s="109" t="n"/>
      <c r="J57" s="109" t="n"/>
      <c r="K57" s="109" t="n"/>
    </row>
    <row r="58" ht="15" customHeight="1" s="88">
      <c r="A58" s="109" t="n"/>
      <c r="B58" s="109" t="n"/>
      <c r="C58" s="109" t="n"/>
      <c r="D58" s="109" t="n"/>
      <c r="E58" s="109" t="n"/>
      <c r="F58" s="109" t="n"/>
      <c r="G58" s="109" t="n"/>
      <c r="I58" s="109" t="n"/>
      <c r="J58" s="109" t="n"/>
      <c r="K58" s="109" t="n"/>
    </row>
    <row r="59" ht="15" customHeight="1" s="88">
      <c r="A59" s="109" t="n"/>
      <c r="B59" s="109" t="n"/>
      <c r="C59" s="109" t="n"/>
      <c r="D59" s="109" t="n"/>
      <c r="E59" s="109" t="n"/>
      <c r="F59" s="109" t="n"/>
      <c r="G59" s="109" t="n"/>
      <c r="I59" s="109" t="n"/>
      <c r="J59" s="109" t="n"/>
      <c r="K59" s="109" t="n"/>
    </row>
    <row r="60" ht="15" customHeight="1" s="88">
      <c r="A60" s="109" t="n"/>
      <c r="B60" s="109" t="n"/>
      <c r="C60" s="109" t="n"/>
      <c r="D60" s="109" t="n"/>
      <c r="E60" s="109" t="n"/>
      <c r="F60" s="109" t="n"/>
      <c r="G60" s="109" t="n"/>
      <c r="I60" s="109" t="n"/>
      <c r="J60" s="109" t="n"/>
      <c r="K60" s="109" t="n"/>
    </row>
    <row r="61" ht="15" customHeight="1" s="88">
      <c r="A61" s="109" t="n"/>
      <c r="B61" s="109" t="n"/>
      <c r="C61" s="109" t="n"/>
      <c r="D61" s="109" t="n"/>
      <c r="E61" s="109" t="n"/>
      <c r="F61" s="109" t="n"/>
      <c r="G61" s="109" t="n"/>
      <c r="I61" s="109" t="n"/>
      <c r="J61" s="109" t="n"/>
      <c r="K61" s="109" t="n"/>
    </row>
    <row r="62" ht="15" customHeight="1" s="88">
      <c r="A62" s="109" t="n"/>
      <c r="B62" s="109" t="n"/>
      <c r="C62" s="109" t="n"/>
      <c r="D62" s="109" t="n"/>
      <c r="E62" s="109" t="n"/>
      <c r="F62" s="109" t="n"/>
      <c r="G62" s="109" t="n"/>
      <c r="I62" s="109" t="n"/>
      <c r="J62" s="109" t="n"/>
      <c r="K62" s="109" t="n"/>
    </row>
    <row r="63" ht="15" customHeight="1" s="88">
      <c r="A63" s="109" t="n"/>
      <c r="B63" s="109" t="n"/>
      <c r="C63" s="109" t="n"/>
      <c r="D63" s="109" t="n"/>
      <c r="E63" s="109" t="n"/>
      <c r="F63" s="109" t="n"/>
      <c r="G63" s="109" t="n"/>
      <c r="I63" s="109" t="n"/>
      <c r="J63" s="109" t="n"/>
      <c r="K63" s="109" t="n"/>
    </row>
    <row r="64" ht="15" customHeight="1" s="88">
      <c r="A64" s="109" t="n"/>
      <c r="B64" s="109" t="n"/>
      <c r="C64" s="109" t="n"/>
      <c r="D64" s="109" t="n"/>
      <c r="E64" s="109" t="n"/>
      <c r="F64" s="109" t="n"/>
      <c r="G64" s="109" t="n"/>
      <c r="I64" s="109" t="n"/>
      <c r="J64" s="109" t="n"/>
      <c r="K64" s="109" t="n"/>
    </row>
    <row r="65" ht="15" customHeight="1" s="88">
      <c r="A65" s="109" t="n"/>
      <c r="B65" s="109" t="n"/>
      <c r="C65" s="109" t="n"/>
      <c r="D65" s="109" t="n"/>
      <c r="E65" s="109" t="n"/>
      <c r="F65" s="109" t="n"/>
      <c r="G65" s="109" t="n"/>
      <c r="I65" s="109" t="n"/>
      <c r="J65" s="109" t="n"/>
      <c r="K65" s="109" t="n"/>
    </row>
    <row r="66" ht="15" customHeight="1" s="88">
      <c r="A66" s="109" t="n"/>
      <c r="B66" s="109" t="n"/>
      <c r="C66" s="109" t="n"/>
      <c r="D66" s="109" t="n"/>
      <c r="E66" s="109" t="n"/>
      <c r="F66" s="109" t="n"/>
      <c r="G66" s="109" t="n"/>
      <c r="I66" s="109" t="n"/>
      <c r="J66" s="109" t="n"/>
      <c r="K66" s="109" t="n"/>
    </row>
    <row r="67" ht="15" customHeight="1" s="88">
      <c r="A67" s="109" t="n"/>
      <c r="B67" s="109" t="n"/>
      <c r="C67" s="109" t="n"/>
      <c r="D67" s="109" t="n"/>
      <c r="E67" s="109" t="n"/>
      <c r="F67" s="109" t="n"/>
      <c r="G67" s="109" t="n"/>
      <c r="I67" s="109" t="n"/>
      <c r="J67" s="109" t="n"/>
      <c r="K67" s="109" t="n"/>
    </row>
    <row r="68" ht="15" customHeight="1" s="88">
      <c r="A68" s="109" t="n"/>
      <c r="B68" s="109" t="n"/>
      <c r="C68" s="109" t="n"/>
      <c r="D68" s="109" t="n"/>
      <c r="E68" s="109" t="n"/>
      <c r="F68" s="109" t="n"/>
      <c r="G68" s="109" t="n"/>
      <c r="I68" s="109" t="n"/>
      <c r="J68" s="109" t="n"/>
      <c r="K68" s="109" t="n"/>
    </row>
    <row r="69" ht="15" customHeight="1" s="88">
      <c r="A69" s="109" t="n"/>
      <c r="B69" s="109" t="n"/>
      <c r="C69" s="109" t="n"/>
      <c r="D69" s="109" t="n"/>
      <c r="E69" s="109" t="n"/>
      <c r="F69" s="109" t="n"/>
      <c r="G69" s="109" t="n"/>
      <c r="I69" s="109" t="n"/>
      <c r="J69" s="109" t="n"/>
      <c r="K69" s="109" t="n"/>
    </row>
    <row r="70" ht="15" customHeight="1" s="88">
      <c r="A70" s="109" t="n"/>
      <c r="B70" s="109" t="n"/>
      <c r="C70" s="109" t="n"/>
      <c r="D70" s="109" t="n"/>
      <c r="E70" s="109" t="n"/>
      <c r="F70" s="109" t="n"/>
      <c r="G70" s="109" t="n"/>
      <c r="I70" s="109" t="n"/>
      <c r="J70" s="109" t="n"/>
      <c r="K70" s="109" t="n"/>
    </row>
    <row r="71" ht="15" customHeight="1" s="88">
      <c r="A71" s="109" t="n"/>
      <c r="B71" s="109" t="n"/>
      <c r="C71" s="109" t="n"/>
      <c r="D71" s="109" t="n"/>
      <c r="E71" s="109" t="n"/>
      <c r="F71" s="109" t="n"/>
      <c r="G71" s="109" t="n"/>
      <c r="I71" s="109" t="n"/>
      <c r="J71" s="109" t="n"/>
      <c r="K71" s="109" t="n"/>
    </row>
    <row r="72" ht="15" customHeight="1" s="88">
      <c r="A72" s="109" t="n"/>
      <c r="B72" s="109" t="n"/>
      <c r="C72" s="109" t="n"/>
      <c r="D72" s="109" t="n"/>
      <c r="E72" s="109" t="n"/>
      <c r="F72" s="109" t="n"/>
      <c r="G72" s="109" t="n"/>
      <c r="I72" s="109" t="n"/>
      <c r="J72" s="109" t="n"/>
      <c r="K72" s="109" t="n"/>
    </row>
    <row r="73" ht="15" customHeight="1" s="88">
      <c r="A73" s="109" t="n"/>
      <c r="B73" s="109" t="n"/>
      <c r="C73" s="109" t="n"/>
      <c r="D73" s="109" t="n"/>
      <c r="E73" s="109" t="n"/>
      <c r="F73" s="109" t="n"/>
      <c r="G73" s="109" t="n"/>
      <c r="I73" s="109" t="n"/>
      <c r="J73" s="109" t="n"/>
      <c r="K73" s="109" t="n"/>
    </row>
    <row r="74" ht="15" customHeight="1" s="88">
      <c r="A74" s="109" t="n"/>
      <c r="B74" s="109" t="n"/>
      <c r="C74" s="109" t="n"/>
      <c r="D74" s="109" t="n"/>
      <c r="E74" s="109" t="n"/>
      <c r="F74" s="109" t="n"/>
      <c r="G74" s="109" t="n"/>
      <c r="I74" s="109" t="n"/>
      <c r="J74" s="109" t="n"/>
      <c r="K74" s="109" t="n"/>
    </row>
    <row r="75" ht="15" customHeight="1" s="88">
      <c r="A75" s="109" t="n"/>
      <c r="B75" s="109" t="n"/>
      <c r="C75" s="109" t="n"/>
      <c r="D75" s="109" t="n"/>
      <c r="E75" s="109" t="n"/>
      <c r="F75" s="109" t="n"/>
      <c r="G75" s="109" t="n"/>
      <c r="I75" s="109" t="n"/>
      <c r="J75" s="109" t="n"/>
      <c r="K75" s="109" t="n"/>
    </row>
    <row r="76" ht="15" customHeight="1" s="88">
      <c r="A76" s="109" t="n"/>
      <c r="B76" s="109" t="n"/>
      <c r="C76" s="109" t="n"/>
      <c r="D76" s="109" t="n"/>
      <c r="E76" s="109" t="n"/>
      <c r="F76" s="109" t="n"/>
      <c r="G76" s="109" t="n"/>
      <c r="I76" s="109" t="n"/>
      <c r="J76" s="109" t="n"/>
      <c r="K76" s="109" t="n"/>
    </row>
    <row r="77" ht="15" customHeight="1" s="88">
      <c r="A77" s="109" t="n"/>
      <c r="B77" s="109" t="n"/>
      <c r="C77" s="109" t="n"/>
      <c r="D77" s="109" t="n"/>
      <c r="E77" s="109" t="n"/>
      <c r="F77" s="109" t="n"/>
      <c r="G77" s="109" t="n"/>
      <c r="I77" s="109" t="n"/>
      <c r="J77" s="109" t="n"/>
      <c r="K77" s="109" t="n"/>
    </row>
    <row r="78" ht="15" customHeight="1" s="88">
      <c r="A78" s="109" t="n"/>
      <c r="B78" s="109" t="n"/>
      <c r="C78" s="109" t="n"/>
      <c r="D78" s="109" t="n"/>
      <c r="E78" s="109" t="n"/>
      <c r="F78" s="109" t="n"/>
      <c r="G78" s="109" t="n"/>
      <c r="I78" s="109" t="n"/>
      <c r="J78" s="109" t="n"/>
      <c r="K78" s="109" t="n"/>
    </row>
    <row r="79" ht="15" customHeight="1" s="88">
      <c r="A79" s="109" t="n"/>
      <c r="B79" s="109" t="n"/>
      <c r="C79" s="109" t="n"/>
      <c r="D79" s="109" t="n"/>
      <c r="E79" s="109" t="n"/>
      <c r="F79" s="109" t="n"/>
      <c r="G79" s="109" t="n"/>
      <c r="I79" s="109" t="n"/>
      <c r="J79" s="109" t="n"/>
      <c r="K79" s="109" t="n"/>
    </row>
    <row r="80" ht="15" customHeight="1" s="88">
      <c r="A80" s="109" t="n"/>
      <c r="B80" s="109" t="n"/>
      <c r="C80" s="109" t="n"/>
      <c r="D80" s="109" t="n"/>
      <c r="E80" s="109" t="n"/>
      <c r="F80" s="109" t="n"/>
      <c r="G80" s="109" t="n"/>
      <c r="I80" s="109" t="n"/>
      <c r="J80" s="109" t="n"/>
      <c r="K80" s="109" t="n"/>
    </row>
    <row r="81" ht="15" customHeight="1" s="88">
      <c r="A81" s="109" t="n"/>
      <c r="B81" s="109" t="n"/>
      <c r="C81" s="109" t="n"/>
      <c r="D81" s="109" t="n"/>
      <c r="E81" s="109" t="n"/>
      <c r="F81" s="109" t="n"/>
      <c r="G81" s="109" t="n"/>
      <c r="I81" s="109" t="n"/>
      <c r="J81" s="109" t="n"/>
      <c r="K81" s="109" t="n"/>
    </row>
    <row r="82" ht="15" customHeight="1" s="88">
      <c r="A82" s="109" t="n"/>
      <c r="B82" s="109" t="n"/>
      <c r="C82" s="109" t="n"/>
      <c r="D82" s="109" t="n"/>
      <c r="E82" s="109" t="n"/>
      <c r="F82" s="109" t="n"/>
      <c r="G82" s="109" t="n"/>
      <c r="I82" s="109" t="n"/>
      <c r="J82" s="109" t="n"/>
      <c r="K82" s="109" t="n"/>
    </row>
    <row r="83" ht="15" customHeight="1" s="88">
      <c r="A83" s="109" t="n"/>
      <c r="B83" s="109" t="n"/>
      <c r="C83" s="109" t="n"/>
      <c r="D83" s="109" t="n"/>
      <c r="E83" s="109" t="n"/>
      <c r="F83" s="109" t="n"/>
      <c r="G83" s="109" t="n"/>
      <c r="I83" s="109" t="n"/>
      <c r="J83" s="109" t="n"/>
      <c r="K83" s="109" t="n"/>
    </row>
    <row r="84" ht="15" customHeight="1" s="88">
      <c r="A84" s="109" t="n"/>
      <c r="B84" s="109" t="n"/>
      <c r="C84" s="109" t="n"/>
      <c r="D84" s="109" t="n"/>
      <c r="E84" s="109" t="n"/>
      <c r="F84" s="109" t="n"/>
      <c r="G84" s="109" t="n"/>
      <c r="I84" s="109" t="n"/>
      <c r="J84" s="109" t="n"/>
      <c r="K84" s="109" t="n"/>
    </row>
    <row r="85" ht="15" customHeight="1" s="88">
      <c r="A85" s="109" t="n"/>
      <c r="B85" s="109" t="n"/>
      <c r="C85" s="109" t="n"/>
      <c r="D85" s="109" t="n"/>
      <c r="E85" s="109" t="n"/>
      <c r="F85" s="109" t="n"/>
      <c r="G85" s="109" t="n"/>
      <c r="I85" s="109" t="n"/>
      <c r="J85" s="109" t="n"/>
      <c r="K85" s="109" t="n"/>
    </row>
    <row r="86" ht="15" customHeight="1" s="88">
      <c r="A86" s="109" t="n"/>
      <c r="B86" s="109" t="n"/>
      <c r="C86" s="109" t="n"/>
      <c r="D86" s="109" t="n"/>
      <c r="E86" s="109" t="n"/>
      <c r="F86" s="109" t="n"/>
      <c r="G86" s="109" t="n"/>
      <c r="I86" s="109" t="n"/>
      <c r="J86" s="109" t="n"/>
      <c r="K86" s="109" t="n"/>
    </row>
    <row r="87" ht="15" customHeight="1" s="88">
      <c r="A87" s="109" t="n"/>
      <c r="B87" s="109" t="n"/>
      <c r="C87" s="109" t="n"/>
      <c r="D87" s="109" t="n"/>
      <c r="E87" s="109" t="n"/>
      <c r="F87" s="109" t="n"/>
      <c r="G87" s="109" t="n"/>
      <c r="I87" s="109" t="n"/>
      <c r="J87" s="109" t="n"/>
      <c r="K87" s="109" t="n"/>
    </row>
    <row r="88" ht="15" customHeight="1" s="88">
      <c r="A88" s="109" t="n"/>
      <c r="B88" s="109" t="n"/>
      <c r="C88" s="109" t="n"/>
      <c r="D88" s="109" t="n"/>
      <c r="E88" s="109" t="n"/>
      <c r="F88" s="109" t="n"/>
      <c r="G88" s="109" t="n"/>
      <c r="I88" s="109" t="n"/>
      <c r="J88" s="109" t="n"/>
      <c r="K88" s="109" t="n"/>
    </row>
    <row r="89" ht="15" customHeight="1" s="88">
      <c r="A89" s="109" t="n"/>
      <c r="B89" s="109" t="n"/>
      <c r="C89" s="109" t="n"/>
      <c r="D89" s="109" t="n"/>
      <c r="E89" s="109" t="n"/>
      <c r="F89" s="109" t="n"/>
      <c r="G89" s="109" t="n"/>
      <c r="I89" s="109" t="n"/>
      <c r="J89" s="109" t="n"/>
      <c r="K89" s="109" t="n"/>
    </row>
    <row r="90" ht="15" customHeight="1" s="88">
      <c r="A90" s="109" t="n"/>
      <c r="B90" s="109" t="n"/>
      <c r="C90" s="109" t="n"/>
      <c r="D90" s="109" t="n"/>
      <c r="E90" s="109" t="n"/>
      <c r="F90" s="109" t="n"/>
      <c r="G90" s="109" t="n"/>
      <c r="I90" s="109" t="n"/>
      <c r="J90" s="109" t="n"/>
      <c r="K90" s="109" t="n"/>
    </row>
    <row r="91" ht="15" customHeight="1" s="88">
      <c r="A91" s="109" t="n"/>
      <c r="B91" s="109" t="n"/>
      <c r="C91" s="109" t="n"/>
      <c r="D91" s="109" t="n"/>
      <c r="E91" s="109" t="n"/>
      <c r="F91" s="109" t="n"/>
      <c r="G91" s="109" t="n"/>
      <c r="I91" s="109" t="n"/>
      <c r="J91" s="109" t="n"/>
      <c r="K91" s="109" t="n"/>
    </row>
    <row r="92" ht="15" customHeight="1" s="88">
      <c r="A92" s="109" t="n"/>
      <c r="B92" s="109" t="n"/>
      <c r="C92" s="109" t="n"/>
      <c r="D92" s="109" t="n"/>
      <c r="E92" s="109" t="n"/>
      <c r="F92" s="109" t="n"/>
      <c r="G92" s="109" t="n"/>
      <c r="I92" s="109" t="n"/>
      <c r="J92" s="109" t="n"/>
      <c r="K92" s="109" t="n"/>
    </row>
    <row r="93" ht="15" customHeight="1" s="88">
      <c r="A93" s="109" t="n"/>
      <c r="B93" s="109" t="n"/>
      <c r="C93" s="109" t="n"/>
      <c r="D93" s="109" t="n"/>
      <c r="E93" s="109" t="n"/>
      <c r="F93" s="109" t="n"/>
      <c r="G93" s="109" t="n"/>
      <c r="I93" s="109" t="n"/>
      <c r="J93" s="109" t="n"/>
      <c r="K93" s="109" t="n"/>
    </row>
    <row r="94" ht="15" customHeight="1" s="88">
      <c r="A94" s="109" t="n"/>
      <c r="B94" s="109" t="n"/>
      <c r="C94" s="109" t="n"/>
      <c r="D94" s="109" t="n"/>
      <c r="E94" s="109" t="n"/>
      <c r="F94" s="109" t="n"/>
      <c r="G94" s="109" t="n"/>
      <c r="I94" s="109" t="n"/>
      <c r="J94" s="109" t="n"/>
      <c r="K94" s="109" t="n"/>
    </row>
    <row r="95" ht="15" customHeight="1" s="88">
      <c r="A95" s="109" t="n"/>
      <c r="B95" s="109" t="n"/>
      <c r="C95" s="109" t="n"/>
      <c r="D95" s="109" t="n"/>
      <c r="E95" s="109" t="n"/>
      <c r="F95" s="109" t="n"/>
      <c r="G95" s="109" t="n"/>
      <c r="I95" s="109" t="n"/>
      <c r="J95" s="109" t="n"/>
      <c r="K95" s="109" t="n"/>
    </row>
    <row r="96" ht="15" customHeight="1" s="88">
      <c r="A96" s="109" t="n"/>
      <c r="B96" s="109" t="n"/>
      <c r="C96" s="109" t="n"/>
      <c r="D96" s="109" t="n"/>
      <c r="E96" s="109" t="n"/>
      <c r="F96" s="109" t="n"/>
      <c r="G96" s="109" t="n"/>
      <c r="I96" s="109" t="n"/>
      <c r="J96" s="109" t="n"/>
      <c r="K96" s="109" t="n"/>
    </row>
    <row r="97" ht="15" customHeight="1" s="88">
      <c r="A97" s="109" t="n"/>
      <c r="B97" s="109" t="n"/>
      <c r="C97" s="109" t="n"/>
      <c r="D97" s="109" t="n"/>
      <c r="E97" s="109" t="n"/>
      <c r="F97" s="109" t="n"/>
      <c r="G97" s="109" t="n"/>
      <c r="I97" s="109" t="n"/>
      <c r="J97" s="109" t="n"/>
      <c r="K97" s="109" t="n"/>
    </row>
    <row r="98" ht="15" customHeight="1" s="88">
      <c r="A98" s="109" t="n"/>
      <c r="B98" s="109" t="n"/>
      <c r="C98" s="109" t="n"/>
      <c r="D98" s="109" t="n"/>
      <c r="E98" s="109" t="n"/>
      <c r="F98" s="109" t="n"/>
      <c r="G98" s="109" t="n"/>
      <c r="I98" s="109" t="n"/>
      <c r="J98" s="109" t="n"/>
      <c r="K98" s="109" t="n"/>
    </row>
    <row r="99" ht="15" customHeight="1" s="88">
      <c r="A99" s="109" t="n"/>
      <c r="B99" s="109" t="n"/>
      <c r="C99" s="109" t="n"/>
      <c r="D99" s="109" t="n"/>
      <c r="E99" s="109" t="n"/>
      <c r="F99" s="109" t="n"/>
      <c r="G99" s="109" t="n"/>
      <c r="I99" s="109" t="n"/>
      <c r="J99" s="109" t="n"/>
      <c r="K99" s="109" t="n"/>
    </row>
    <row r="100" ht="15" customHeight="1" s="88">
      <c r="A100" s="109" t="n"/>
      <c r="B100" s="109" t="n"/>
      <c r="C100" s="109" t="n"/>
      <c r="D100" s="109" t="n"/>
      <c r="E100" s="109" t="n"/>
      <c r="F100" s="109" t="n"/>
      <c r="G100" s="109" t="n"/>
      <c r="I100" s="109" t="n"/>
      <c r="J100" s="109" t="n"/>
      <c r="K100" s="109" t="n"/>
    </row>
    <row r="101" ht="15" customHeight="1" s="88">
      <c r="A101" s="109" t="n"/>
      <c r="B101" s="109" t="n"/>
      <c r="C101" s="109" t="n"/>
      <c r="D101" s="109" t="n"/>
      <c r="E101" s="109" t="n"/>
      <c r="F101" s="109" t="n"/>
      <c r="G101" s="109" t="n"/>
      <c r="I101" s="109" t="n"/>
      <c r="J101" s="109" t="n"/>
      <c r="K101" s="109" t="n"/>
    </row>
    <row r="102" ht="15" customHeight="1" s="88">
      <c r="A102" s="109" t="n"/>
      <c r="B102" s="109" t="n"/>
      <c r="C102" s="109" t="n"/>
      <c r="D102" s="109" t="n"/>
      <c r="E102" s="109" t="n"/>
      <c r="F102" s="109" t="n"/>
      <c r="G102" s="109" t="n"/>
      <c r="I102" s="109" t="n"/>
      <c r="J102" s="109" t="n"/>
      <c r="K102" s="109" t="n"/>
    </row>
    <row r="103" ht="15" customHeight="1" s="88">
      <c r="A103" s="109" t="n"/>
      <c r="B103" s="109" t="n"/>
      <c r="C103" s="109" t="n"/>
      <c r="D103" s="109" t="n"/>
      <c r="E103" s="109" t="n"/>
      <c r="F103" s="109" t="n"/>
      <c r="G103" s="109" t="n"/>
      <c r="I103" s="109" t="n"/>
      <c r="J103" s="109" t="n"/>
      <c r="K103" s="109" t="n"/>
    </row>
    <row r="104" ht="15" customHeight="1" s="88">
      <c r="A104" s="109" t="n"/>
      <c r="B104" s="109" t="n"/>
      <c r="C104" s="109" t="n"/>
      <c r="D104" s="109" t="n"/>
      <c r="E104" s="109" t="n"/>
      <c r="F104" s="109" t="n"/>
      <c r="G104" s="109" t="n"/>
      <c r="I104" s="109" t="n"/>
      <c r="J104" s="109" t="n"/>
      <c r="K104" s="109" t="n"/>
    </row>
    <row r="105" ht="15" customHeight="1" s="88">
      <c r="A105" s="109" t="n"/>
      <c r="B105" s="109" t="n"/>
      <c r="C105" s="109" t="n"/>
      <c r="D105" s="109" t="n"/>
      <c r="E105" s="109" t="n"/>
      <c r="F105" s="109" t="n"/>
      <c r="G105" s="109" t="n"/>
      <c r="I105" s="109" t="n"/>
      <c r="J105" s="109" t="n"/>
      <c r="K105" s="109" t="n"/>
    </row>
    <row r="106" ht="15" customHeight="1" s="88">
      <c r="A106" s="109" t="n"/>
      <c r="B106" s="109" t="n"/>
      <c r="C106" s="109" t="n"/>
      <c r="D106" s="109" t="n"/>
      <c r="E106" s="109" t="n"/>
      <c r="F106" s="109" t="n"/>
      <c r="G106" s="109" t="n"/>
      <c r="I106" s="109" t="n"/>
      <c r="J106" s="109" t="n"/>
      <c r="K106" s="109" t="n"/>
    </row>
    <row r="107" ht="15" customHeight="1" s="88">
      <c r="A107" s="109" t="n"/>
      <c r="B107" s="109" t="n"/>
      <c r="C107" s="109" t="n"/>
      <c r="D107" s="109" t="n"/>
      <c r="E107" s="109" t="n"/>
      <c r="F107" s="109" t="n"/>
      <c r="G107" s="109" t="n"/>
      <c r="I107" s="109" t="n"/>
      <c r="J107" s="109" t="n"/>
      <c r="K107" s="109" t="n"/>
    </row>
    <row r="108" ht="15" customHeight="1" s="88">
      <c r="A108" s="109" t="n"/>
      <c r="B108" s="109" t="n"/>
      <c r="C108" s="109" t="n"/>
      <c r="D108" s="109" t="n"/>
      <c r="E108" s="109" t="n"/>
      <c r="F108" s="109" t="n"/>
      <c r="G108" s="109" t="n"/>
      <c r="I108" s="109" t="n"/>
      <c r="J108" s="109" t="n"/>
      <c r="K108" s="109" t="n"/>
    </row>
    <row r="109" ht="15" customHeight="1" s="88">
      <c r="A109" s="109" t="n"/>
      <c r="B109" s="109" t="n"/>
      <c r="C109" s="109" t="n"/>
      <c r="D109" s="109" t="n"/>
      <c r="E109" s="109" t="n"/>
      <c r="F109" s="109" t="n"/>
      <c r="G109" s="109" t="n"/>
      <c r="I109" s="109" t="n"/>
      <c r="J109" s="109" t="n"/>
      <c r="K109" s="109" t="n"/>
    </row>
    <row r="110" ht="15" customHeight="1" s="88">
      <c r="A110" s="109" t="n"/>
      <c r="B110" s="109" t="n"/>
      <c r="C110" s="109" t="n"/>
      <c r="D110" s="109" t="n"/>
      <c r="E110" s="109" t="n"/>
      <c r="F110" s="109" t="n"/>
      <c r="G110" s="109" t="n"/>
      <c r="I110" s="109" t="n"/>
      <c r="J110" s="109" t="n"/>
      <c r="K110" s="109" t="n"/>
    </row>
    <row r="111" ht="15" customHeight="1" s="88">
      <c r="A111" s="109" t="n"/>
      <c r="B111" s="109" t="n"/>
      <c r="C111" s="109" t="n"/>
      <c r="D111" s="109" t="n"/>
      <c r="E111" s="109" t="n"/>
      <c r="F111" s="109" t="n"/>
      <c r="G111" s="109" t="n"/>
      <c r="I111" s="109" t="n"/>
      <c r="J111" s="109" t="n"/>
      <c r="K111" s="109" t="n"/>
    </row>
    <row r="112" ht="15" customHeight="1" s="88">
      <c r="A112" s="109" t="n"/>
      <c r="B112" s="109" t="n"/>
      <c r="C112" s="109" t="n"/>
      <c r="D112" s="109" t="n"/>
      <c r="E112" s="109" t="n"/>
      <c r="F112" s="109" t="n"/>
      <c r="G112" s="109" t="n"/>
      <c r="I112" s="109" t="n"/>
      <c r="J112" s="109" t="n"/>
      <c r="K112" s="109" t="n"/>
    </row>
    <row r="113" ht="15" customHeight="1" s="88">
      <c r="A113" s="109" t="n"/>
      <c r="B113" s="109" t="n"/>
      <c r="C113" s="109" t="n"/>
      <c r="D113" s="109" t="n"/>
      <c r="E113" s="109" t="n"/>
      <c r="F113" s="109" t="n"/>
      <c r="G113" s="109" t="n"/>
      <c r="I113" s="109" t="n"/>
      <c r="J113" s="109" t="n"/>
      <c r="K113" s="109" t="n"/>
    </row>
    <row r="114" ht="15" customHeight="1" s="88">
      <c r="A114" s="109" t="n"/>
      <c r="B114" s="109" t="n"/>
      <c r="C114" s="109" t="n"/>
      <c r="D114" s="109" t="n"/>
      <c r="E114" s="109" t="n"/>
      <c r="F114" s="109" t="n"/>
      <c r="G114" s="109" t="n"/>
      <c r="I114" s="109" t="n"/>
      <c r="J114" s="109" t="n"/>
      <c r="K114" s="109" t="n"/>
    </row>
    <row r="115" ht="15" customHeight="1" s="88">
      <c r="A115" s="109" t="n"/>
      <c r="B115" s="109" t="n"/>
      <c r="C115" s="109" t="n"/>
      <c r="D115" s="109" t="n"/>
      <c r="E115" s="109" t="n"/>
      <c r="F115" s="109" t="n"/>
      <c r="G115" s="109" t="n"/>
      <c r="I115" s="109" t="n"/>
      <c r="J115" s="109" t="n"/>
      <c r="K115" s="109" t="n"/>
    </row>
    <row r="116" ht="15" customHeight="1" s="88">
      <c r="A116" s="109" t="n"/>
      <c r="B116" s="109" t="n"/>
      <c r="C116" s="109" t="n"/>
      <c r="D116" s="109" t="n"/>
      <c r="E116" s="109" t="n"/>
      <c r="F116" s="109" t="n"/>
      <c r="G116" s="109" t="n"/>
      <c r="I116" s="109" t="n"/>
      <c r="J116" s="109" t="n"/>
      <c r="K116" s="109" t="n"/>
    </row>
    <row r="117" ht="15" customHeight="1" s="88">
      <c r="A117" s="109" t="n"/>
      <c r="B117" s="109" t="n"/>
      <c r="C117" s="109" t="n"/>
      <c r="D117" s="109" t="n"/>
      <c r="E117" s="109" t="n"/>
      <c r="F117" s="109" t="n"/>
      <c r="G117" s="109" t="n"/>
      <c r="I117" s="109" t="n"/>
      <c r="J117" s="109" t="n"/>
      <c r="K117" s="109" t="n"/>
    </row>
    <row r="118" ht="15" customHeight="1" s="88">
      <c r="A118" s="109" t="n"/>
      <c r="B118" s="109" t="n"/>
      <c r="C118" s="109" t="n"/>
      <c r="D118" s="109" t="n"/>
      <c r="E118" s="109" t="n"/>
      <c r="F118" s="109" t="n"/>
      <c r="G118" s="109" t="n"/>
      <c r="I118" s="109" t="n"/>
      <c r="J118" s="109" t="n"/>
      <c r="K118" s="109" t="n"/>
    </row>
    <row r="119" ht="15" customHeight="1" s="88">
      <c r="A119" s="109" t="n"/>
      <c r="B119" s="109" t="n"/>
      <c r="C119" s="109" t="n"/>
      <c r="D119" s="109" t="n"/>
      <c r="E119" s="109" t="n"/>
      <c r="F119" s="109" t="n"/>
      <c r="G119" s="109" t="n"/>
      <c r="I119" s="109" t="n"/>
      <c r="J119" s="109" t="n"/>
      <c r="K119" s="109" t="n"/>
    </row>
    <row r="120" ht="15" customHeight="1" s="88">
      <c r="A120" s="109" t="n"/>
      <c r="B120" s="109" t="n"/>
      <c r="C120" s="109" t="n"/>
      <c r="D120" s="109" t="n"/>
      <c r="E120" s="109" t="n"/>
      <c r="F120" s="109" t="n"/>
      <c r="G120" s="109" t="n"/>
      <c r="I120" s="109" t="n"/>
      <c r="J120" s="109" t="n"/>
      <c r="K120" s="109" t="n"/>
    </row>
    <row r="121" ht="15" customHeight="1" s="88">
      <c r="A121" s="109" t="n"/>
      <c r="B121" s="109" t="n"/>
      <c r="C121" s="109" t="n"/>
      <c r="D121" s="109" t="n"/>
      <c r="E121" s="109" t="n"/>
      <c r="F121" s="109" t="n"/>
      <c r="G121" s="109" t="n"/>
      <c r="I121" s="109" t="n"/>
      <c r="J121" s="109" t="n"/>
      <c r="K121" s="109" t="n"/>
    </row>
    <row r="122" ht="15" customHeight="1" s="88">
      <c r="A122" s="109" t="n"/>
      <c r="B122" s="109" t="n"/>
      <c r="C122" s="109" t="n"/>
      <c r="D122" s="109" t="n"/>
      <c r="E122" s="109" t="n"/>
      <c r="F122" s="109" t="n"/>
      <c r="G122" s="109" t="n"/>
      <c r="I122" s="109" t="n"/>
      <c r="J122" s="109" t="n"/>
      <c r="K122" s="109" t="n"/>
    </row>
    <row r="123" ht="15" customHeight="1" s="88">
      <c r="A123" s="109" t="n"/>
      <c r="B123" s="109" t="n"/>
      <c r="C123" s="109" t="n"/>
      <c r="D123" s="109" t="n"/>
      <c r="E123" s="109" t="n"/>
      <c r="F123" s="109" t="n"/>
      <c r="G123" s="109" t="n"/>
      <c r="I123" s="109" t="n"/>
      <c r="J123" s="109" t="n"/>
      <c r="K123" s="109" t="n"/>
    </row>
    <row r="124" ht="15" customHeight="1" s="88">
      <c r="A124" s="109" t="n"/>
      <c r="B124" s="109" t="n"/>
      <c r="C124" s="109" t="n"/>
      <c r="D124" s="109" t="n"/>
      <c r="E124" s="109" t="n"/>
      <c r="F124" s="109" t="n"/>
      <c r="G124" s="109" t="n"/>
      <c r="I124" s="109" t="n"/>
      <c r="J124" s="109" t="n"/>
      <c r="K124" s="109" t="n"/>
    </row>
    <row r="125" ht="15" customHeight="1" s="88">
      <c r="A125" s="109" t="n"/>
      <c r="B125" s="109" t="n"/>
      <c r="C125" s="109" t="n"/>
      <c r="D125" s="109" t="n"/>
      <c r="E125" s="109" t="n"/>
      <c r="F125" s="109" t="n"/>
      <c r="G125" s="109" t="n"/>
      <c r="I125" s="109" t="n"/>
      <c r="J125" s="109" t="n"/>
      <c r="K125" s="109" t="n"/>
    </row>
    <row r="126" ht="15" customHeight="1" s="88">
      <c r="A126" s="109" t="n"/>
      <c r="B126" s="109" t="n"/>
      <c r="C126" s="109" t="n"/>
      <c r="D126" s="109" t="n"/>
      <c r="E126" s="109" t="n"/>
      <c r="F126" s="109" t="n"/>
      <c r="G126" s="109" t="n"/>
      <c r="I126" s="109" t="n"/>
      <c r="J126" s="109" t="n"/>
      <c r="K126" s="109" t="n"/>
    </row>
    <row r="127" ht="15" customHeight="1" s="88">
      <c r="A127" s="109" t="n"/>
      <c r="B127" s="109" t="n"/>
      <c r="C127" s="109" t="n"/>
      <c r="D127" s="109" t="n"/>
      <c r="E127" s="109" t="n"/>
      <c r="F127" s="109" t="n"/>
      <c r="G127" s="109" t="n"/>
      <c r="I127" s="109" t="n"/>
      <c r="J127" s="109" t="n"/>
      <c r="K127" s="109" t="n"/>
    </row>
    <row r="128" ht="15" customHeight="1" s="88">
      <c r="A128" s="109" t="n"/>
      <c r="B128" s="109" t="n"/>
      <c r="C128" s="109" t="n"/>
      <c r="D128" s="109" t="n"/>
      <c r="E128" s="109" t="n"/>
      <c r="F128" s="109" t="n"/>
      <c r="G128" s="109" t="n"/>
      <c r="I128" s="109" t="n"/>
      <c r="J128" s="109" t="n"/>
      <c r="K128" s="109" t="n"/>
    </row>
    <row r="129" ht="15" customHeight="1" s="88">
      <c r="A129" s="109" t="n"/>
      <c r="B129" s="109" t="n"/>
      <c r="C129" s="109" t="n"/>
      <c r="D129" s="109" t="n"/>
      <c r="E129" s="109" t="n"/>
      <c r="F129" s="109" t="n"/>
      <c r="G129" s="109" t="n"/>
      <c r="I129" s="109" t="n"/>
      <c r="J129" s="109" t="n"/>
      <c r="K129" s="109" t="n"/>
    </row>
    <row r="130" ht="15" customHeight="1" s="88">
      <c r="A130" s="109" t="n"/>
      <c r="B130" s="109" t="n"/>
      <c r="C130" s="109" t="n"/>
      <c r="D130" s="109" t="n"/>
      <c r="E130" s="109" t="n"/>
      <c r="F130" s="109" t="n"/>
      <c r="G130" s="109" t="n"/>
      <c r="I130" s="109" t="n"/>
      <c r="J130" s="109" t="n"/>
      <c r="K130" s="109" t="n"/>
    </row>
    <row r="131" ht="15" customHeight="1" s="88">
      <c r="A131" s="109" t="n"/>
      <c r="B131" s="109" t="n"/>
      <c r="C131" s="109" t="n"/>
      <c r="D131" s="109" t="n"/>
      <c r="E131" s="109" t="n"/>
      <c r="F131" s="109" t="n"/>
      <c r="G131" s="109" t="n"/>
      <c r="I131" s="109" t="n"/>
      <c r="J131" s="109" t="n"/>
      <c r="K131" s="109" t="n"/>
    </row>
    <row r="132" ht="15" customHeight="1" s="88">
      <c r="A132" s="109" t="n"/>
      <c r="B132" s="109" t="n"/>
      <c r="C132" s="109" t="n"/>
      <c r="D132" s="109" t="n"/>
      <c r="E132" s="109" t="n"/>
      <c r="F132" s="109" t="n"/>
      <c r="G132" s="109" t="n"/>
      <c r="I132" s="109" t="n"/>
      <c r="J132" s="109" t="n"/>
      <c r="K132" s="109" t="n"/>
    </row>
    <row r="133" ht="15" customHeight="1" s="88">
      <c r="A133" s="109" t="n"/>
      <c r="B133" s="109" t="n"/>
      <c r="C133" s="109" t="n"/>
      <c r="D133" s="109" t="n"/>
      <c r="E133" s="109" t="n"/>
      <c r="F133" s="109" t="n"/>
      <c r="G133" s="109" t="n"/>
      <c r="I133" s="109" t="n"/>
      <c r="J133" s="109" t="n"/>
      <c r="K133" s="109" t="n"/>
    </row>
    <row r="134" ht="15" customHeight="1" s="88">
      <c r="A134" s="109" t="n"/>
      <c r="B134" s="109" t="n"/>
      <c r="C134" s="109" t="n"/>
      <c r="D134" s="109" t="n"/>
      <c r="E134" s="109" t="n"/>
      <c r="F134" s="109" t="n"/>
      <c r="G134" s="109" t="n"/>
      <c r="I134" s="109" t="n"/>
      <c r="J134" s="109" t="n"/>
      <c r="K134" s="109" t="n"/>
    </row>
    <row r="135" ht="15" customHeight="1" s="88">
      <c r="A135" s="109" t="n"/>
      <c r="B135" s="109" t="n"/>
      <c r="C135" s="109" t="n"/>
      <c r="D135" s="109" t="n"/>
      <c r="E135" s="109" t="n"/>
      <c r="F135" s="109" t="n"/>
      <c r="G135" s="109" t="n"/>
      <c r="I135" s="109" t="n"/>
      <c r="J135" s="109" t="n"/>
      <c r="K135" s="109" t="n"/>
    </row>
    <row r="136" ht="15" customHeight="1" s="88">
      <c r="A136" s="109" t="n"/>
      <c r="B136" s="109" t="n"/>
      <c r="C136" s="109" t="n"/>
      <c r="D136" s="109" t="n"/>
      <c r="E136" s="109" t="n"/>
      <c r="F136" s="109" t="n"/>
      <c r="G136" s="109" t="n"/>
      <c r="I136" s="109" t="n"/>
      <c r="J136" s="109" t="n"/>
      <c r="K136" s="109" t="n"/>
    </row>
    <row r="137" ht="15" customHeight="1" s="88">
      <c r="A137" s="109" t="n"/>
      <c r="B137" s="109" t="n"/>
      <c r="C137" s="109" t="n"/>
      <c r="D137" s="109" t="n"/>
      <c r="E137" s="109" t="n"/>
      <c r="F137" s="109" t="n"/>
      <c r="G137" s="109" t="n"/>
      <c r="I137" s="109" t="n"/>
      <c r="J137" s="109" t="n"/>
      <c r="K137" s="109" t="n"/>
    </row>
    <row r="138" ht="15" customHeight="1" s="88">
      <c r="A138" s="109" t="n"/>
      <c r="B138" s="109" t="n"/>
      <c r="C138" s="109" t="n"/>
      <c r="D138" s="109" t="n"/>
      <c r="E138" s="109" t="n"/>
      <c r="F138" s="109" t="n"/>
      <c r="G138" s="109" t="n"/>
      <c r="I138" s="109" t="n"/>
      <c r="J138" s="109" t="n"/>
      <c r="K138" s="109" t="n"/>
    </row>
    <row r="139" ht="15" customHeight="1" s="88">
      <c r="A139" s="109" t="n"/>
      <c r="B139" s="109" t="n"/>
      <c r="C139" s="109" t="n"/>
      <c r="D139" s="109" t="n"/>
      <c r="E139" s="109" t="n"/>
      <c r="F139" s="109" t="n"/>
      <c r="G139" s="109" t="n"/>
      <c r="I139" s="109" t="n"/>
      <c r="J139" s="109" t="n"/>
      <c r="K139" s="109" t="n"/>
    </row>
    <row r="140" ht="15" customHeight="1" s="88">
      <c r="A140" s="109" t="n"/>
      <c r="B140" s="109" t="n"/>
      <c r="C140" s="109" t="n"/>
      <c r="D140" s="109" t="n"/>
      <c r="E140" s="109" t="n"/>
      <c r="F140" s="109" t="n"/>
      <c r="G140" s="109" t="n"/>
      <c r="I140" s="109" t="n"/>
      <c r="J140" s="109" t="n"/>
      <c r="K140" s="109" t="n"/>
    </row>
    <row r="141" ht="15" customHeight="1" s="88">
      <c r="A141" s="109" t="n"/>
      <c r="B141" s="109" t="n"/>
      <c r="C141" s="109" t="n"/>
      <c r="D141" s="109" t="n"/>
      <c r="E141" s="109" t="n"/>
      <c r="F141" s="109" t="n"/>
      <c r="G141" s="109" t="n"/>
      <c r="I141" s="109" t="n"/>
      <c r="J141" s="109" t="n"/>
      <c r="K141" s="109" t="n"/>
    </row>
    <row r="142" ht="15" customHeight="1" s="88">
      <c r="A142" s="109" t="n"/>
      <c r="B142" s="109" t="n"/>
      <c r="C142" s="109" t="n"/>
      <c r="D142" s="109" t="n"/>
      <c r="E142" s="109" t="n"/>
      <c r="F142" s="109" t="n"/>
      <c r="G142" s="109" t="n"/>
      <c r="I142" s="109" t="n"/>
      <c r="J142" s="109" t="n"/>
      <c r="K142" s="109" t="n"/>
    </row>
    <row r="143" ht="15" customHeight="1" s="88">
      <c r="A143" s="109" t="n"/>
      <c r="B143" s="109" t="n"/>
      <c r="C143" s="109" t="n"/>
      <c r="D143" s="109" t="n"/>
      <c r="E143" s="109" t="n"/>
      <c r="F143" s="109" t="n"/>
      <c r="G143" s="109" t="n"/>
      <c r="I143" s="109" t="n"/>
      <c r="J143" s="109" t="n"/>
      <c r="K143" s="109" t="n"/>
    </row>
    <row r="144" ht="15" customHeight="1" s="88">
      <c r="A144" s="109" t="n"/>
      <c r="B144" s="109" t="n"/>
      <c r="C144" s="109" t="n"/>
      <c r="D144" s="109" t="n"/>
      <c r="E144" s="109" t="n"/>
      <c r="F144" s="109" t="n"/>
      <c r="G144" s="109" t="n"/>
      <c r="I144" s="109" t="n"/>
      <c r="J144" s="109" t="n"/>
      <c r="K144" s="109" t="n"/>
    </row>
    <row r="145" ht="15" customHeight="1" s="88">
      <c r="A145" s="109" t="n"/>
      <c r="B145" s="109" t="n"/>
      <c r="C145" s="109" t="n"/>
      <c r="D145" s="109" t="n"/>
      <c r="E145" s="109" t="n"/>
      <c r="F145" s="109" t="n"/>
      <c r="G145" s="109" t="n"/>
      <c r="I145" s="109" t="n"/>
      <c r="J145" s="109" t="n"/>
      <c r="K145" s="109" t="n"/>
    </row>
    <row r="146" ht="15" customHeight="1" s="88">
      <c r="A146" s="109" t="n"/>
      <c r="B146" s="109" t="n"/>
      <c r="C146" s="109" t="n"/>
      <c r="D146" s="109" t="n"/>
      <c r="E146" s="109" t="n"/>
      <c r="F146" s="109" t="n"/>
      <c r="G146" s="109" t="n"/>
      <c r="I146" s="109" t="n"/>
      <c r="J146" s="109" t="n"/>
      <c r="K146" s="109" t="n"/>
    </row>
    <row r="147" ht="15" customHeight="1" s="88">
      <c r="A147" s="109" t="n"/>
      <c r="B147" s="109" t="n"/>
      <c r="C147" s="109" t="n"/>
      <c r="D147" s="109" t="n"/>
      <c r="E147" s="109" t="n"/>
      <c r="F147" s="109" t="n"/>
      <c r="G147" s="109" t="n"/>
      <c r="I147" s="109" t="n"/>
      <c r="J147" s="109" t="n"/>
      <c r="K147" s="109" t="n"/>
    </row>
    <row r="148" ht="15" customHeight="1" s="88">
      <c r="A148" s="109" t="n"/>
      <c r="B148" s="109" t="n"/>
      <c r="C148" s="109" t="n"/>
      <c r="D148" s="109" t="n"/>
      <c r="E148" s="109" t="n"/>
      <c r="F148" s="109" t="n"/>
      <c r="G148" s="109" t="n"/>
      <c r="I148" s="109" t="n"/>
      <c r="J148" s="109" t="n"/>
      <c r="K148" s="109" t="n"/>
    </row>
    <row r="149" ht="15" customHeight="1" s="88">
      <c r="A149" s="109" t="n"/>
      <c r="B149" s="109" t="n"/>
      <c r="C149" s="109" t="n"/>
      <c r="D149" s="109" t="n"/>
      <c r="E149" s="109" t="n"/>
      <c r="F149" s="109" t="n"/>
      <c r="G149" s="109" t="n"/>
      <c r="I149" s="109" t="n"/>
      <c r="J149" s="109" t="n"/>
      <c r="K149" s="109" t="n"/>
    </row>
    <row r="150" ht="15" customHeight="1" s="88">
      <c r="A150" s="109" t="n"/>
      <c r="B150" s="109" t="n"/>
      <c r="C150" s="109" t="n"/>
      <c r="D150" s="109" t="n"/>
      <c r="E150" s="109" t="n"/>
      <c r="F150" s="109" t="n"/>
      <c r="G150" s="109" t="n"/>
      <c r="I150" s="109" t="n"/>
      <c r="J150" s="109" t="n"/>
      <c r="K150" s="109" t="n"/>
    </row>
    <row r="151" ht="15" customHeight="1" s="88">
      <c r="A151" s="109" t="n"/>
      <c r="B151" s="109" t="n"/>
      <c r="C151" s="109" t="n"/>
      <c r="D151" s="109" t="n"/>
      <c r="E151" s="109" t="n"/>
      <c r="F151" s="109" t="n"/>
      <c r="G151" s="109" t="n"/>
      <c r="I151" s="109" t="n"/>
      <c r="J151" s="109" t="n"/>
      <c r="K151" s="109" t="n"/>
    </row>
    <row r="152" ht="15" customHeight="1" s="88">
      <c r="A152" s="109" t="n"/>
      <c r="B152" s="109" t="n"/>
      <c r="C152" s="109" t="n"/>
      <c r="D152" s="109" t="n"/>
      <c r="E152" s="109" t="n"/>
      <c r="F152" s="109" t="n"/>
      <c r="G152" s="109" t="n"/>
      <c r="I152" s="109" t="n"/>
      <c r="J152" s="109" t="n"/>
      <c r="K152" s="109" t="n"/>
    </row>
    <row r="153" ht="15" customHeight="1" s="88">
      <c r="A153" s="109" t="n"/>
      <c r="B153" s="109" t="n"/>
      <c r="C153" s="109" t="n"/>
      <c r="D153" s="109" t="n"/>
      <c r="E153" s="109" t="n"/>
      <c r="F153" s="109" t="n"/>
      <c r="G153" s="109" t="n"/>
      <c r="I153" s="109" t="n"/>
      <c r="J153" s="109" t="n"/>
      <c r="K153" s="109" t="n"/>
    </row>
    <row r="154" ht="15" customHeight="1" s="88">
      <c r="A154" s="109" t="n"/>
      <c r="B154" s="109" t="n"/>
      <c r="C154" s="109" t="n"/>
      <c r="D154" s="109" t="n"/>
      <c r="E154" s="109" t="n"/>
      <c r="F154" s="109" t="n"/>
      <c r="G154" s="109" t="n"/>
      <c r="I154" s="109" t="n"/>
      <c r="J154" s="109" t="n"/>
      <c r="K154" s="109" t="n"/>
    </row>
    <row r="155" ht="15" customHeight="1" s="88">
      <c r="A155" s="109" t="n"/>
      <c r="B155" s="109" t="n"/>
      <c r="C155" s="109" t="n"/>
      <c r="D155" s="109" t="n"/>
      <c r="E155" s="109" t="n"/>
      <c r="F155" s="109" t="n"/>
      <c r="G155" s="109" t="n"/>
      <c r="I155" s="109" t="n"/>
      <c r="J155" s="109" t="n"/>
      <c r="K155" s="109" t="n"/>
    </row>
    <row r="156" ht="15" customHeight="1" s="88">
      <c r="A156" s="109" t="n"/>
      <c r="B156" s="109" t="n"/>
      <c r="C156" s="109" t="n"/>
      <c r="D156" s="109" t="n"/>
      <c r="E156" s="109" t="n"/>
      <c r="F156" s="109" t="n"/>
      <c r="G156" s="109" t="n"/>
      <c r="I156" s="109" t="n"/>
      <c r="J156" s="109" t="n"/>
      <c r="K156" s="109" t="n"/>
    </row>
    <row r="157" ht="15" customHeight="1" s="88">
      <c r="A157" s="109" t="n"/>
      <c r="B157" s="109" t="n"/>
      <c r="C157" s="109" t="n"/>
      <c r="D157" s="109" t="n"/>
      <c r="E157" s="109" t="n"/>
      <c r="F157" s="109" t="n"/>
      <c r="G157" s="109" t="n"/>
      <c r="I157" s="109" t="n"/>
      <c r="J157" s="109" t="n"/>
      <c r="K157" s="109" t="n"/>
    </row>
    <row r="158" ht="15" customHeight="1" s="88">
      <c r="A158" s="109" t="n"/>
      <c r="B158" s="109" t="n"/>
      <c r="C158" s="109" t="n"/>
      <c r="D158" s="109" t="n"/>
      <c r="E158" s="109" t="n"/>
      <c r="F158" s="109" t="n"/>
      <c r="G158" s="109" t="n"/>
      <c r="I158" s="109" t="n"/>
      <c r="J158" s="109" t="n"/>
      <c r="K158" s="109" t="n"/>
    </row>
    <row r="159" ht="15" customHeight="1" s="88">
      <c r="A159" s="109" t="n"/>
      <c r="B159" s="109" t="n"/>
      <c r="C159" s="109" t="n"/>
      <c r="D159" s="109" t="n"/>
      <c r="E159" s="109" t="n"/>
      <c r="F159" s="109" t="n"/>
      <c r="G159" s="109" t="n"/>
      <c r="I159" s="109" t="n"/>
      <c r="J159" s="109" t="n"/>
      <c r="K159" s="109" t="n"/>
    </row>
    <row r="160" ht="15" customHeight="1" s="88">
      <c r="A160" s="109" t="n"/>
      <c r="B160" s="109" t="n"/>
      <c r="C160" s="109" t="n"/>
      <c r="D160" s="109" t="n"/>
      <c r="E160" s="109" t="n"/>
      <c r="F160" s="109" t="n"/>
      <c r="G160" s="109" t="n"/>
      <c r="I160" s="109" t="n"/>
      <c r="J160" s="109" t="n"/>
      <c r="K160" s="109" t="n"/>
    </row>
    <row r="161" ht="15" customHeight="1" s="88">
      <c r="A161" s="109" t="n"/>
      <c r="B161" s="109" t="n"/>
      <c r="C161" s="109" t="n"/>
      <c r="D161" s="109" t="n"/>
      <c r="E161" s="109" t="n"/>
      <c r="F161" s="109" t="n"/>
      <c r="G161" s="109" t="n"/>
      <c r="I161" s="109" t="n"/>
      <c r="J161" s="109" t="n"/>
      <c r="K161" s="109" t="n"/>
    </row>
    <row r="162" ht="15" customHeight="1" s="88">
      <c r="A162" s="109" t="n"/>
      <c r="B162" s="109" t="n"/>
      <c r="C162" s="109" t="n"/>
      <c r="D162" s="109" t="n"/>
      <c r="E162" s="109" t="n"/>
      <c r="F162" s="109" t="n"/>
      <c r="G162" s="109" t="n"/>
      <c r="I162" s="109" t="n"/>
      <c r="J162" s="109" t="n"/>
      <c r="K162" s="109" t="n"/>
    </row>
    <row r="163" ht="15" customHeight="1" s="88">
      <c r="A163" s="109" t="n"/>
      <c r="B163" s="109" t="n"/>
      <c r="C163" s="109" t="n"/>
      <c r="D163" s="109" t="n"/>
      <c r="E163" s="109" t="n"/>
      <c r="F163" s="109" t="n"/>
      <c r="G163" s="109" t="n"/>
      <c r="I163" s="109" t="n"/>
      <c r="J163" s="109" t="n"/>
      <c r="K163" s="109" t="n"/>
    </row>
    <row r="164" ht="15" customHeight="1" s="88">
      <c r="A164" s="109" t="n"/>
      <c r="B164" s="109" t="n"/>
      <c r="C164" s="109" t="n"/>
      <c r="D164" s="109" t="n"/>
      <c r="E164" s="109" t="n"/>
      <c r="F164" s="109" t="n"/>
      <c r="G164" s="109" t="n"/>
      <c r="I164" s="109" t="n"/>
      <c r="J164" s="109" t="n"/>
      <c r="K164" s="109" t="n"/>
    </row>
    <row r="165" ht="15" customHeight="1" s="88">
      <c r="A165" s="109" t="n"/>
      <c r="B165" s="109" t="n"/>
      <c r="C165" s="109" t="n"/>
      <c r="D165" s="109" t="n"/>
      <c r="E165" s="109" t="n"/>
      <c r="F165" s="109" t="n"/>
      <c r="G165" s="109" t="n"/>
      <c r="I165" s="109" t="n"/>
      <c r="J165" s="109" t="n"/>
      <c r="K165" s="109" t="n"/>
    </row>
    <row r="166" ht="15" customHeight="1" s="88">
      <c r="A166" s="109" t="n"/>
      <c r="B166" s="109" t="n"/>
      <c r="C166" s="109" t="n"/>
      <c r="D166" s="109" t="n"/>
      <c r="E166" s="109" t="n"/>
      <c r="F166" s="109" t="n"/>
      <c r="G166" s="109" t="n"/>
      <c r="I166" s="109" t="n"/>
      <c r="J166" s="109" t="n"/>
      <c r="K166" s="109" t="n"/>
    </row>
    <row r="167" ht="15" customHeight="1" s="88">
      <c r="A167" s="109" t="n"/>
      <c r="B167" s="109" t="n"/>
      <c r="C167" s="109" t="n"/>
      <c r="D167" s="109" t="n"/>
      <c r="E167" s="109" t="n"/>
      <c r="F167" s="109" t="n"/>
      <c r="G167" s="109" t="n"/>
      <c r="I167" s="109" t="n"/>
      <c r="J167" s="109" t="n"/>
      <c r="K167" s="109" t="n"/>
    </row>
    <row r="168" ht="15" customHeight="1" s="88">
      <c r="A168" s="109" t="n"/>
      <c r="B168" s="109" t="n"/>
      <c r="C168" s="109" t="n"/>
      <c r="D168" s="109" t="n"/>
      <c r="E168" s="109" t="n"/>
      <c r="F168" s="109" t="n"/>
      <c r="G168" s="109" t="n"/>
      <c r="I168" s="109" t="n"/>
      <c r="J168" s="109" t="n"/>
      <c r="K168" s="109" t="n"/>
    </row>
    <row r="169" ht="15" customHeight="1" s="88">
      <c r="A169" s="109" t="n"/>
      <c r="B169" s="109" t="n"/>
      <c r="C169" s="109" t="n"/>
      <c r="D169" s="109" t="n"/>
      <c r="E169" s="109" t="n"/>
      <c r="F169" s="109" t="n"/>
      <c r="G169" s="109" t="n"/>
      <c r="I169" s="109" t="n"/>
      <c r="J169" s="109" t="n"/>
      <c r="K169" s="109" t="n"/>
    </row>
    <row r="170" ht="15" customHeight="1" s="88">
      <c r="A170" s="109" t="n"/>
      <c r="B170" s="109" t="n"/>
      <c r="C170" s="109" t="n"/>
      <c r="D170" s="109" t="n"/>
      <c r="E170" s="109" t="n"/>
      <c r="F170" s="109" t="n"/>
      <c r="G170" s="109" t="n"/>
      <c r="I170" s="109" t="n"/>
      <c r="J170" s="109" t="n"/>
      <c r="K170" s="109" t="n"/>
    </row>
    <row r="171" ht="15" customHeight="1" s="88">
      <c r="A171" s="109" t="n"/>
      <c r="B171" s="109" t="n"/>
      <c r="C171" s="109" t="n"/>
      <c r="D171" s="109" t="n"/>
      <c r="E171" s="109" t="n"/>
      <c r="F171" s="109" t="n"/>
      <c r="G171" s="109" t="n"/>
      <c r="I171" s="109" t="n"/>
      <c r="J171" s="109" t="n"/>
      <c r="K171" s="109" t="n"/>
    </row>
    <row r="172" ht="15" customHeight="1" s="88">
      <c r="A172" s="109" t="n"/>
      <c r="B172" s="109" t="n"/>
      <c r="C172" s="109" t="n"/>
      <c r="D172" s="109" t="n"/>
      <c r="E172" s="109" t="n"/>
      <c r="F172" s="109" t="n"/>
      <c r="G172" s="109" t="n"/>
      <c r="I172" s="109" t="n"/>
      <c r="J172" s="109" t="n"/>
      <c r="K172" s="109" t="n"/>
    </row>
    <row r="173" ht="15" customHeight="1" s="88">
      <c r="A173" s="109" t="n"/>
      <c r="B173" s="109" t="n"/>
      <c r="C173" s="109" t="n"/>
      <c r="D173" s="109" t="n"/>
      <c r="E173" s="109" t="n"/>
      <c r="F173" s="109" t="n"/>
      <c r="G173" s="109" t="n"/>
      <c r="I173" s="109" t="n"/>
      <c r="J173" s="109" t="n"/>
      <c r="K173" s="109" t="n"/>
    </row>
    <row r="174" ht="15" customHeight="1" s="88">
      <c r="A174" s="109" t="n"/>
      <c r="B174" s="109" t="n"/>
      <c r="C174" s="109" t="n"/>
      <c r="D174" s="109" t="n"/>
      <c r="E174" s="109" t="n"/>
      <c r="F174" s="109" t="n"/>
      <c r="G174" s="109" t="n"/>
      <c r="I174" s="109" t="n"/>
      <c r="J174" s="109" t="n"/>
      <c r="K174" s="109" t="n"/>
    </row>
    <row r="175" ht="15" customHeight="1" s="88">
      <c r="A175" s="109" t="n"/>
      <c r="B175" s="109" t="n"/>
      <c r="C175" s="109" t="n"/>
      <c r="D175" s="109" t="n"/>
      <c r="E175" s="109" t="n"/>
      <c r="F175" s="109" t="n"/>
      <c r="G175" s="109" t="n"/>
      <c r="I175" s="109" t="n"/>
      <c r="J175" s="109" t="n"/>
      <c r="K175" s="109" t="n"/>
    </row>
    <row r="176" ht="15" customHeight="1" s="88">
      <c r="A176" s="109" t="n"/>
      <c r="B176" s="109" t="n"/>
      <c r="C176" s="109" t="n"/>
      <c r="D176" s="109" t="n"/>
      <c r="E176" s="109" t="n"/>
      <c r="F176" s="109" t="n"/>
      <c r="G176" s="109" t="n"/>
      <c r="I176" s="109" t="n"/>
      <c r="J176" s="109" t="n"/>
      <c r="K176" s="109" t="n"/>
    </row>
    <row r="177" ht="15" customHeight="1" s="88">
      <c r="A177" s="109" t="n"/>
      <c r="B177" s="109" t="n"/>
      <c r="C177" s="109" t="n"/>
      <c r="D177" s="109" t="n"/>
      <c r="E177" s="109" t="n"/>
      <c r="F177" s="109" t="n"/>
      <c r="G177" s="109" t="n"/>
      <c r="I177" s="109" t="n"/>
      <c r="J177" s="109" t="n"/>
      <c r="K177" s="109" t="n"/>
    </row>
    <row r="178" ht="15" customHeight="1" s="88">
      <c r="A178" s="109" t="n"/>
      <c r="B178" s="109" t="n"/>
      <c r="C178" s="109" t="n"/>
      <c r="D178" s="109" t="n"/>
      <c r="E178" s="109" t="n"/>
      <c r="F178" s="109" t="n"/>
      <c r="G178" s="109" t="n"/>
      <c r="I178" s="109" t="n"/>
      <c r="J178" s="109" t="n"/>
      <c r="K178" s="109" t="n"/>
    </row>
    <row r="179" ht="15" customHeight="1" s="88">
      <c r="A179" s="109" t="n"/>
      <c r="B179" s="109" t="n"/>
      <c r="C179" s="109" t="n"/>
      <c r="D179" s="109" t="n"/>
      <c r="E179" s="109" t="n"/>
      <c r="F179" s="109" t="n"/>
      <c r="G179" s="109" t="n"/>
      <c r="I179" s="109" t="n"/>
      <c r="J179" s="109" t="n"/>
      <c r="K179" s="109" t="n"/>
    </row>
    <row r="180" ht="15" customHeight="1" s="88">
      <c r="A180" s="109" t="n"/>
      <c r="B180" s="109" t="n"/>
      <c r="C180" s="109" t="n"/>
      <c r="D180" s="109" t="n"/>
      <c r="E180" s="109" t="n"/>
      <c r="F180" s="109" t="n"/>
      <c r="G180" s="109" t="n"/>
      <c r="I180" s="109" t="n"/>
      <c r="J180" s="109" t="n"/>
      <c r="K180" s="109" t="n"/>
    </row>
    <row r="181" ht="15" customHeight="1" s="88">
      <c r="A181" s="109" t="n"/>
      <c r="B181" s="109" t="n"/>
      <c r="C181" s="109" t="n"/>
      <c r="D181" s="109" t="n"/>
      <c r="E181" s="109" t="n"/>
      <c r="F181" s="109" t="n"/>
      <c r="G181" s="109" t="n"/>
      <c r="I181" s="109" t="n"/>
      <c r="J181" s="109" t="n"/>
      <c r="K181" s="109" t="n"/>
    </row>
    <row r="182" ht="15" customHeight="1" s="88">
      <c r="A182" s="109" t="n"/>
      <c r="B182" s="109" t="n"/>
      <c r="C182" s="109" t="n"/>
      <c r="D182" s="109" t="n"/>
      <c r="E182" s="109" t="n"/>
      <c r="F182" s="109" t="n"/>
      <c r="G182" s="109" t="n"/>
      <c r="I182" s="109" t="n"/>
      <c r="J182" s="109" t="n"/>
      <c r="K182" s="109" t="n"/>
    </row>
    <row r="183" ht="15" customHeight="1" s="88">
      <c r="A183" s="109" t="n"/>
      <c r="B183" s="109" t="n"/>
      <c r="C183" s="109" t="n"/>
      <c r="D183" s="109" t="n"/>
      <c r="E183" s="109" t="n"/>
      <c r="F183" s="109" t="n"/>
      <c r="G183" s="109" t="n"/>
      <c r="I183" s="109" t="n"/>
      <c r="J183" s="109" t="n"/>
      <c r="K183" s="109" t="n"/>
    </row>
    <row r="184" ht="15" customHeight="1" s="88">
      <c r="A184" s="109" t="n"/>
      <c r="B184" s="109" t="n"/>
      <c r="C184" s="109" t="n"/>
      <c r="D184" s="109" t="n"/>
      <c r="E184" s="109" t="n"/>
      <c r="F184" s="109" t="n"/>
      <c r="G184" s="109" t="n"/>
      <c r="I184" s="109" t="n"/>
      <c r="J184" s="109" t="n"/>
      <c r="K184" s="109" t="n"/>
    </row>
    <row r="185" ht="15" customHeight="1" s="88">
      <c r="A185" s="109" t="n"/>
      <c r="B185" s="109" t="n"/>
      <c r="C185" s="109" t="n"/>
      <c r="D185" s="109" t="n"/>
      <c r="E185" s="109" t="n"/>
      <c r="F185" s="109" t="n"/>
      <c r="G185" s="109" t="n"/>
      <c r="I185" s="109" t="n"/>
      <c r="J185" s="109" t="n"/>
      <c r="K185" s="109" t="n"/>
    </row>
    <row r="186" ht="15" customHeight="1" s="88">
      <c r="A186" s="109" t="n"/>
      <c r="B186" s="109" t="n"/>
      <c r="C186" s="109" t="n"/>
      <c r="D186" s="109" t="n"/>
      <c r="E186" s="109" t="n"/>
      <c r="F186" s="109" t="n"/>
      <c r="G186" s="109" t="n"/>
      <c r="I186" s="109" t="n"/>
      <c r="J186" s="109" t="n"/>
      <c r="K186" s="109" t="n"/>
    </row>
    <row r="187" ht="15" customHeight="1" s="88">
      <c r="A187" s="109" t="n"/>
      <c r="B187" s="109" t="n"/>
      <c r="C187" s="109" t="n"/>
      <c r="D187" s="109" t="n"/>
      <c r="E187" s="109" t="n"/>
      <c r="F187" s="109" t="n"/>
      <c r="G187" s="109" t="n"/>
      <c r="I187" s="109" t="n"/>
      <c r="J187" s="109" t="n"/>
      <c r="K187" s="109" t="n"/>
    </row>
    <row r="188" ht="15" customHeight="1" s="88">
      <c r="A188" s="109" t="n"/>
      <c r="B188" s="109" t="n"/>
      <c r="C188" s="109" t="n"/>
      <c r="D188" s="109" t="n"/>
      <c r="E188" s="109" t="n"/>
      <c r="F188" s="109" t="n"/>
      <c r="G188" s="109" t="n"/>
      <c r="I188" s="109" t="n"/>
      <c r="J188" s="109" t="n"/>
      <c r="K188" s="109" t="n"/>
    </row>
    <row r="189" ht="15" customHeight="1" s="88">
      <c r="A189" s="109" t="n"/>
      <c r="B189" s="109" t="n"/>
      <c r="C189" s="109" t="n"/>
      <c r="D189" s="109" t="n"/>
      <c r="E189" s="109" t="n"/>
      <c r="F189" s="109" t="n"/>
      <c r="G189" s="109" t="n"/>
      <c r="I189" s="109" t="n"/>
      <c r="J189" s="109" t="n"/>
      <c r="K189" s="109" t="n"/>
    </row>
    <row r="190" ht="15" customHeight="1" s="88">
      <c r="A190" s="109" t="n"/>
      <c r="B190" s="109" t="n"/>
      <c r="C190" s="109" t="n"/>
      <c r="D190" s="109" t="n"/>
      <c r="E190" s="109" t="n"/>
      <c r="F190" s="109" t="n"/>
      <c r="G190" s="109" t="n"/>
      <c r="I190" s="109" t="n"/>
      <c r="J190" s="109" t="n"/>
      <c r="K190" s="109" t="n"/>
    </row>
    <row r="191" ht="15" customHeight="1" s="88">
      <c r="A191" s="109" t="n"/>
      <c r="B191" s="109" t="n"/>
      <c r="C191" s="109" t="n"/>
      <c r="D191" s="109" t="n"/>
      <c r="E191" s="109" t="n"/>
      <c r="F191" s="109" t="n"/>
      <c r="G191" s="109" t="n"/>
      <c r="I191" s="109" t="n"/>
      <c r="J191" s="109" t="n"/>
      <c r="K191" s="109" t="n"/>
    </row>
    <row r="192" ht="15" customHeight="1" s="88">
      <c r="A192" s="109" t="n"/>
      <c r="B192" s="109" t="n"/>
      <c r="C192" s="109" t="n"/>
      <c r="D192" s="109" t="n"/>
      <c r="E192" s="109" t="n"/>
      <c r="F192" s="109" t="n"/>
      <c r="G192" s="109" t="n"/>
      <c r="I192" s="109" t="n"/>
      <c r="J192" s="109" t="n"/>
      <c r="K192" s="109" t="n"/>
    </row>
    <row r="193" ht="15" customHeight="1" s="88">
      <c r="A193" s="109" t="n"/>
      <c r="B193" s="109" t="n"/>
      <c r="C193" s="109" t="n"/>
      <c r="D193" s="109" t="n"/>
      <c r="E193" s="109" t="n"/>
      <c r="F193" s="109" t="n"/>
      <c r="G193" s="109" t="n"/>
      <c r="I193" s="109" t="n"/>
      <c r="J193" s="109" t="n"/>
      <c r="K193" s="109" t="n"/>
    </row>
    <row r="194" ht="15" customHeight="1" s="88">
      <c r="A194" s="109" t="n"/>
      <c r="B194" s="109" t="n"/>
      <c r="C194" s="109" t="n"/>
      <c r="D194" s="109" t="n"/>
      <c r="E194" s="109" t="n"/>
      <c r="F194" s="109" t="n"/>
      <c r="G194" s="109" t="n"/>
      <c r="I194" s="109" t="n"/>
      <c r="J194" s="109" t="n"/>
      <c r="K194" s="109" t="n"/>
    </row>
    <row r="195" ht="15" customHeight="1" s="88">
      <c r="A195" s="109" t="n"/>
      <c r="B195" s="109" t="n"/>
      <c r="C195" s="109" t="n"/>
      <c r="D195" s="109" t="n"/>
      <c r="E195" s="109" t="n"/>
      <c r="F195" s="109" t="n"/>
      <c r="G195" s="109" t="n"/>
      <c r="I195" s="109" t="n"/>
      <c r="J195" s="109" t="n"/>
      <c r="K195" s="109" t="n"/>
    </row>
    <row r="196" ht="15" customHeight="1" s="88">
      <c r="A196" s="109" t="n"/>
      <c r="B196" s="109" t="n"/>
      <c r="C196" s="109" t="n"/>
      <c r="D196" s="109" t="n"/>
      <c r="E196" s="109" t="n"/>
      <c r="F196" s="109" t="n"/>
      <c r="G196" s="109" t="n"/>
      <c r="I196" s="109" t="n"/>
      <c r="J196" s="109" t="n"/>
      <c r="K196" s="109" t="n"/>
    </row>
    <row r="197" ht="15" customHeight="1" s="88">
      <c r="A197" s="109" t="n"/>
      <c r="B197" s="109" t="n"/>
      <c r="C197" s="109" t="n"/>
      <c r="D197" s="109" t="n"/>
      <c r="E197" s="109" t="n"/>
      <c r="F197" s="109" t="n"/>
      <c r="G197" s="109" t="n"/>
      <c r="I197" s="109" t="n"/>
      <c r="J197" s="109" t="n"/>
      <c r="K197" s="109" t="n"/>
    </row>
    <row r="198" ht="15" customHeight="1" s="88">
      <c r="A198" s="109" t="n"/>
      <c r="B198" s="109" t="n"/>
      <c r="C198" s="109" t="n"/>
      <c r="D198" s="109" t="n"/>
      <c r="E198" s="109" t="n"/>
      <c r="F198" s="109" t="n"/>
      <c r="G198" s="109" t="n"/>
      <c r="I198" s="109" t="n"/>
      <c r="J198" s="109" t="n"/>
      <c r="K198" s="109" t="n"/>
    </row>
    <row r="199" ht="15" customHeight="1" s="88">
      <c r="A199" s="109" t="n"/>
      <c r="B199" s="109" t="n"/>
      <c r="C199" s="109" t="n"/>
      <c r="D199" s="109" t="n"/>
      <c r="E199" s="109" t="n"/>
      <c r="F199" s="109" t="n"/>
      <c r="G199" s="109" t="n"/>
      <c r="I199" s="109" t="n"/>
      <c r="J199" s="109" t="n"/>
      <c r="K199" s="109" t="n"/>
    </row>
    <row r="200" ht="15" customHeight="1" s="88">
      <c r="A200" s="109" t="n"/>
      <c r="B200" s="109" t="n"/>
      <c r="C200" s="109" t="n"/>
      <c r="D200" s="109" t="n"/>
      <c r="E200" s="109" t="n"/>
      <c r="F200" s="109" t="n"/>
      <c r="G200" s="109" t="n"/>
      <c r="I200" s="109" t="n"/>
      <c r="J200" s="109" t="n"/>
      <c r="K2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conditionalFormatting sqref="C6:C804">
    <cfRule type="cellIs" rank="0" priority="2" equalAverage="0" operator="equal" aboveAverage="0" dxfId="8" text="" percent="0" bottom="0">
      <formula>"ÖDEME"</formula>
    </cfRule>
    <cfRule type="cellIs" rank="0" priority="3" equalAverage="0" operator="equal" aboveAverage="0" dxfId="6" text="" percent="0" bottom="0">
      <formula>"TAHSİLAT"</formula>
    </cfRule>
  </conditionalFormatting>
  <conditionalFormatting sqref="E6:E804">
    <cfRule type="cellIs" rank="0" priority="4" equalAverage="0" operator="equal" aboveAverage="0" dxfId="5" text="" percent="0" bottom="0">
      <formula>"KRİTİK"</formula>
    </cfRule>
    <cfRule type="cellIs" rank="0" priority="5" equalAverage="0" operator="equal" aboveAverage="0" dxfId="9" text="" percent="0" bottom="0">
      <formula>"YÜKSEK"</formula>
    </cfRule>
    <cfRule type="cellIs" rank="0" priority="6" equalAverage="0" operator="equal" aboveAverage="0" dxfId="6" text="" percent="0" bottom="0">
      <formula>"ORTA"</formula>
    </cfRule>
    <cfRule type="cellIs" rank="0" priority="7" equalAverage="0" operator="equal" aboveAverage="0" dxfId="7" text="" percent="0" bottom="0">
      <formula>"DÜŞÜK"</formula>
    </cfRule>
  </conditionalFormatting>
  <conditionalFormatting sqref="G6:G804">
    <cfRule type="cellIs" rank="0" priority="8" equalAverage="0" operator="equal" aboveAverage="0" dxfId="6" text="" percent="0" bottom="0">
      <formula>"YAPILDI"</formula>
    </cfRule>
    <cfRule type="cellIs" rank="0" priority="9" equalAverage="0" operator="equal" aboveAverage="0" dxfId="9" text="" percent="0" bottom="0">
      <formula>"ERTELENDİ"</formula>
    </cfRule>
  </conditionalFormatting>
  <conditionalFormatting sqref="H6:H804">
    <cfRule type="cellIs" rank="0" priority="10" equalAverage="0" operator="equal" aboveAverage="0" dxfId="5" text="" percent="0" bottom="0">
      <formula>"VADE GEÇTİ"</formula>
    </cfRule>
  </conditionalFormatting>
  <dataValidations count="5">
    <dataValidation sqref="C6:C804" showDropDown="0" showInputMessage="1" showErrorMessage="1" allowBlank="1" errorTitle="Geçersiz Tür" error="Tür yalnızca ÖDEME veya TAHSİLAT olabilir." promptTitle="Takvim Türü" prompt="Borç ödemesi ÖDEME, alacak tahsilatı TAHSİLAT." type="list" errorStyle="stop" operator="between">
      <formula1>"ÖDEME,TAHSİLAT"</formula1>
      <formula2>0</formula2>
    </dataValidation>
    <dataValidation sqref="E6:E804" showDropDown="0" showInputMessage="1" showErrorMessage="1" allowBlank="1" errorTitle="Geçersiz Öncelik" error="Öncelik yalnızca KRİTİK, YÜKSEK, ORTA veya DÜŞÜK olabilir." promptTitle="Öncelik" prompt="KRİTİK: gecikirse operasyon durur; YÜKSEK: gecikirse ceza/maliyet doğar." type="list" errorStyle="stop" operator="between">
      <formula1>"KRİTİK,YÜKSEK,ORTA,DÜŞÜK"</formula1>
      <formula2>0</formula2>
    </dataValidation>
    <dataValidation sqref="G6:G804" showDropDown="0" showInputMessage="1" showErrorMessage="1" allowBlank="1" errorTitle="Geçersiz Durum" error="Durum yalnızca BEKLEMEDE, YAPILDI veya ERTELENDİ olabilir." promptTitle="Durum" prompt="BEKLEMEDE kayıtlar ödeme yüküne girer." type="list" errorStyle="stop" operator="between">
      <formula1>"BEKLEMEDE,YAPILDI,ERTELENDİ"</formula1>
      <formula2>0</formula2>
    </dataValidation>
    <dataValidation sqref="I6:I804" showDropDown="0" showInputMessage="1" showErrorMessage="1" allowBlank="1" errorTitle="Geçersiz Yöntem" error="Yöntemi listeden seçin." promptTitle="Ödeme Yöntemi" prompt="Ödemenin/tahsilatın yapılacağı yöntem." type="list" errorStyle="stop" operator="between">
      <formula1>LISTELER!$D$4:$D$15</formula1>
      <formula2>0</formula2>
    </dataValidation>
    <dataValidation sqref="F6:F804" showDropDown="0" showInputMessage="1" showErrorMessage="1" allowBlank="1" errorTitle="Geçersiz Tutar" error="Tutar pozitif bir sayı olmalıdır." promptTitle="Tutar" prompt="Bekleyen ödeme/tahsilat tutarını TL olarak girin." type="decimal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87" min="1" max="1"/>
    <col width="20" customWidth="1" style="87" min="2" max="2"/>
    <col width="18" customWidth="1" style="87" min="3" max="4"/>
    <col width="13" customWidth="1" style="88" min="4" max="4"/>
    <col width="14" customWidth="1" style="87" min="5" max="5"/>
    <col width="12" customWidth="1" style="87" min="6" max="6"/>
    <col width="14" customWidth="1" style="87" min="7" max="8"/>
    <col width="13" customWidth="1" style="88" min="8" max="8"/>
    <col width="42" customWidth="1" style="87" min="9" max="9"/>
    <col width="13" customWidth="1" style="88" min="10" max="10"/>
  </cols>
  <sheetData>
    <row r="1" ht="32" customHeight="1" s="88">
      <c r="A1" s="310" t="inlineStr">
        <is>
          <t>FIZIKI KASA MUTABAKAT — AKILLI KASA DEFTERİ VE NAKİT KONTROL SİSTEMİ</t>
        </is>
      </c>
    </row>
    <row r="2" ht="19.5" customHeight="1" s="88">
      <c r="A2" s="99" t="inlineStr">
        <is>
          <t>Fiziki kasa sayımı ile defter bakiyesini karşılaştırın. Fark sütunu ve kök-neden ayrıştırması otomatik hesaplanır; sıfır fark beklenir.</t>
        </is>
      </c>
    </row>
    <row r="3"/>
    <row r="4" ht="30" customHeight="1" s="88">
      <c r="A4" s="102" t="inlineStr">
        <is>
          <t>Sayım Tarihi</t>
        </is>
      </c>
      <c r="B4" s="102" t="inlineStr">
        <is>
          <t>Sayımı Yapan</t>
        </is>
      </c>
      <c r="C4" s="102" t="inlineStr">
        <is>
          <t>Defter Bakiyesi (₺)</t>
        </is>
      </c>
      <c r="D4" s="102" t="inlineStr">
        <is>
          <t>Sayım Tutarı (₺)</t>
        </is>
      </c>
      <c r="E4" s="102" t="inlineStr">
        <is>
          <t>Fark (₺)</t>
        </is>
      </c>
      <c r="F4" s="102" t="inlineStr">
        <is>
          <t>Fark Oranı</t>
        </is>
      </c>
      <c r="G4" s="102" t="inlineStr">
        <is>
          <t>Sonuç</t>
        </is>
      </c>
      <c r="H4" s="102" t="inlineStr">
        <is>
          <t>Kök Neden</t>
        </is>
      </c>
      <c r="I4" s="102" t="inlineStr">
        <is>
          <t>Açıklama</t>
        </is>
      </c>
    </row>
    <row r="5"/>
    <row r="6" ht="15" customHeight="1" s="88">
      <c r="A6" s="110" t="n">
        <v>46234</v>
      </c>
      <c r="B6" s="104" t="inlineStr">
        <is>
          <t>Finans Müdürü</t>
        </is>
      </c>
      <c r="C6" s="106" t="n">
        <v>450000</v>
      </c>
      <c r="D6" s="106" t="n">
        <v>450000</v>
      </c>
      <c r="I6" s="108" t="inlineStr">
        <is>
          <t>Fiziki sayım uyumlu</t>
        </is>
      </c>
    </row>
    <row r="7" ht="15" customHeight="1" s="88">
      <c r="A7" s="110" t="n">
        <v>46218</v>
      </c>
      <c r="B7" s="104" t="inlineStr">
        <is>
          <t>Muhasebe</t>
        </is>
      </c>
      <c r="C7" s="106" t="n">
        <v>320000</v>
      </c>
      <c r="D7" s="106" t="n">
        <v>318500</v>
      </c>
      <c r="I7" s="108" t="inlineStr">
        <is>
          <t>Sayım eksikliği araştırılıyor</t>
        </is>
      </c>
    </row>
    <row r="8" ht="15" customHeight="1" s="88">
      <c r="A8" s="109" t="n"/>
      <c r="B8" s="109" t="n"/>
      <c r="C8" s="109" t="n"/>
      <c r="D8" s="109" t="n"/>
      <c r="I8" s="109" t="n"/>
    </row>
    <row r="9" ht="15" customHeight="1" s="88">
      <c r="A9" s="109" t="n"/>
      <c r="B9" s="109" t="n"/>
      <c r="C9" s="109" t="n"/>
      <c r="D9" s="109" t="n"/>
      <c r="I9" s="109" t="n"/>
    </row>
    <row r="10" ht="15" customHeight="1" s="88">
      <c r="A10" s="109" t="n"/>
      <c r="B10" s="109" t="n"/>
      <c r="C10" s="109" t="n"/>
      <c r="D10" s="109" t="n"/>
      <c r="I10" s="109" t="n"/>
    </row>
    <row r="11" ht="15" customHeight="1" s="88">
      <c r="A11" s="109" t="n"/>
      <c r="B11" s="109" t="n"/>
      <c r="C11" s="109" t="n"/>
      <c r="D11" s="109" t="n"/>
      <c r="I11" s="109" t="n"/>
    </row>
    <row r="12" ht="15" customHeight="1" s="88">
      <c r="A12" s="109" t="n"/>
      <c r="B12" s="109" t="n"/>
      <c r="C12" s="109" t="n"/>
      <c r="D12" s="109" t="n"/>
      <c r="I12" s="109" t="n"/>
    </row>
    <row r="13" ht="15" customHeight="1" s="88">
      <c r="A13" s="109" t="n"/>
      <c r="B13" s="109" t="n"/>
      <c r="C13" s="109" t="n"/>
      <c r="D13" s="109" t="n"/>
      <c r="I13" s="109" t="n"/>
    </row>
    <row r="14" ht="15" customHeight="1" s="88">
      <c r="A14" s="109" t="n"/>
      <c r="B14" s="109" t="n"/>
      <c r="C14" s="109" t="n"/>
      <c r="D14" s="109" t="n"/>
      <c r="I14" s="109" t="n"/>
    </row>
    <row r="15" ht="15" customHeight="1" s="88">
      <c r="A15" s="109" t="n"/>
      <c r="B15" s="109" t="n"/>
      <c r="C15" s="109" t="n"/>
      <c r="D15" s="109" t="n"/>
      <c r="I15" s="109" t="n"/>
    </row>
    <row r="16" ht="15" customHeight="1" s="88">
      <c r="A16" s="109" t="n"/>
      <c r="B16" s="109" t="n"/>
      <c r="C16" s="109" t="n"/>
      <c r="D16" s="109" t="n"/>
      <c r="I16" s="109" t="n"/>
    </row>
    <row r="17" ht="15" customHeight="1" s="88">
      <c r="A17" s="109" t="n"/>
      <c r="B17" s="109" t="n"/>
      <c r="C17" s="109" t="n"/>
      <c r="D17" s="109" t="n"/>
      <c r="I17" s="109" t="n"/>
    </row>
    <row r="18" ht="15" customHeight="1" s="88">
      <c r="A18" s="109" t="n"/>
      <c r="B18" s="109" t="n"/>
      <c r="C18" s="109" t="n"/>
      <c r="D18" s="109" t="n"/>
      <c r="I18" s="109" t="n"/>
    </row>
    <row r="19" ht="15" customHeight="1" s="88">
      <c r="A19" s="109" t="n"/>
      <c r="B19" s="109" t="n"/>
      <c r="C19" s="109" t="n"/>
      <c r="D19" s="109" t="n"/>
      <c r="I19" s="109" t="n"/>
    </row>
    <row r="20" ht="15" customHeight="1" s="88">
      <c r="A20" s="109" t="n"/>
      <c r="B20" s="109" t="n"/>
      <c r="C20" s="109" t="n"/>
      <c r="D20" s="109" t="n"/>
      <c r="I20" s="109" t="n"/>
    </row>
    <row r="21" ht="15" customHeight="1" s="88">
      <c r="A21" s="109" t="n"/>
      <c r="B21" s="109" t="n"/>
      <c r="C21" s="109" t="n"/>
      <c r="D21" s="109" t="n"/>
      <c r="I21" s="109" t="n"/>
    </row>
    <row r="22" ht="15" customHeight="1" s="88">
      <c r="A22" s="109" t="n"/>
      <c r="B22" s="109" t="n"/>
      <c r="C22" s="109" t="n"/>
      <c r="D22" s="109" t="n"/>
      <c r="I22" s="109" t="n"/>
    </row>
    <row r="23" ht="15" customHeight="1" s="88">
      <c r="A23" s="109" t="n"/>
      <c r="B23" s="109" t="n"/>
      <c r="C23" s="109" t="n"/>
      <c r="D23" s="109" t="n"/>
      <c r="I23" s="109" t="n"/>
    </row>
    <row r="24" ht="15" customHeight="1" s="88">
      <c r="A24" s="109" t="n"/>
      <c r="B24" s="109" t="n"/>
      <c r="C24" s="109" t="n"/>
      <c r="D24" s="109" t="n"/>
      <c r="I24" s="109" t="n"/>
    </row>
    <row r="25" ht="15" customHeight="1" s="88">
      <c r="A25" s="109" t="n"/>
      <c r="B25" s="109" t="n"/>
      <c r="C25" s="109" t="n"/>
      <c r="D25" s="109" t="n"/>
      <c r="I25" s="109" t="n"/>
    </row>
    <row r="26" ht="15" customHeight="1" s="88">
      <c r="A26" s="109" t="n"/>
      <c r="B26" s="109" t="n"/>
      <c r="C26" s="109" t="n"/>
      <c r="D26" s="109" t="n"/>
      <c r="I26" s="109" t="n"/>
    </row>
    <row r="27" ht="15" customHeight="1" s="88">
      <c r="A27" s="109" t="n"/>
      <c r="B27" s="109" t="n"/>
      <c r="C27" s="109" t="n"/>
      <c r="D27" s="109" t="n"/>
      <c r="I27" s="109" t="n"/>
    </row>
    <row r="28" ht="15" customHeight="1" s="88">
      <c r="A28" s="109" t="n"/>
      <c r="B28" s="109" t="n"/>
      <c r="C28" s="109" t="n"/>
      <c r="D28" s="109" t="n"/>
      <c r="I28" s="109" t="n"/>
    </row>
    <row r="29" ht="15" customHeight="1" s="88">
      <c r="A29" s="109" t="n"/>
      <c r="B29" s="109" t="n"/>
      <c r="C29" s="109" t="n"/>
      <c r="D29" s="109" t="n"/>
      <c r="I29" s="109" t="n"/>
    </row>
    <row r="30" ht="15" customHeight="1" s="88">
      <c r="A30" s="109" t="n"/>
      <c r="B30" s="109" t="n"/>
      <c r="C30" s="109" t="n"/>
      <c r="D30" s="109" t="n"/>
      <c r="I30" s="109" t="n"/>
    </row>
    <row r="31" ht="15" customHeight="1" s="88">
      <c r="A31" s="109" t="n"/>
      <c r="B31" s="109" t="n"/>
      <c r="C31" s="109" t="n"/>
      <c r="D31" s="109" t="n"/>
      <c r="I31" s="109" t="n"/>
    </row>
    <row r="32" ht="15" customHeight="1" s="88">
      <c r="A32" s="109" t="n"/>
      <c r="B32" s="109" t="n"/>
      <c r="C32" s="109" t="n"/>
      <c r="D32" s="109" t="n"/>
      <c r="I32" s="109" t="n"/>
    </row>
    <row r="33" ht="15" customHeight="1" s="88">
      <c r="A33" s="109" t="n"/>
      <c r="B33" s="109" t="n"/>
      <c r="C33" s="109" t="n"/>
      <c r="D33" s="109" t="n"/>
      <c r="I33" s="109" t="n"/>
    </row>
    <row r="34" ht="15" customHeight="1" s="88">
      <c r="A34" s="109" t="n"/>
      <c r="B34" s="109" t="n"/>
      <c r="C34" s="109" t="n"/>
      <c r="D34" s="109" t="n"/>
      <c r="I34" s="109" t="n"/>
    </row>
    <row r="35" ht="15" customHeight="1" s="88">
      <c r="A35" s="109" t="n"/>
      <c r="B35" s="109" t="n"/>
      <c r="C35" s="109" t="n"/>
      <c r="D35" s="109" t="n"/>
      <c r="I35" s="109" t="n"/>
    </row>
    <row r="36" ht="15" customHeight="1" s="88">
      <c r="A36" s="109" t="n"/>
      <c r="B36" s="109" t="n"/>
      <c r="C36" s="109" t="n"/>
      <c r="D36" s="109" t="n"/>
      <c r="I36" s="109" t="n"/>
    </row>
    <row r="37" ht="15" customHeight="1" s="88">
      <c r="A37" s="109" t="n"/>
      <c r="B37" s="109" t="n"/>
      <c r="C37" s="109" t="n"/>
      <c r="D37" s="109" t="n"/>
      <c r="I37" s="109" t="n"/>
    </row>
    <row r="38" ht="15" customHeight="1" s="88">
      <c r="A38" s="109" t="n"/>
      <c r="B38" s="109" t="n"/>
      <c r="C38" s="109" t="n"/>
      <c r="D38" s="109" t="n"/>
      <c r="I38" s="109" t="n"/>
    </row>
    <row r="39" ht="15" customHeight="1" s="88">
      <c r="A39" s="109" t="n"/>
      <c r="B39" s="109" t="n"/>
      <c r="C39" s="109" t="n"/>
      <c r="D39" s="109" t="n"/>
      <c r="I39" s="109" t="n"/>
    </row>
    <row r="40" ht="15" customHeight="1" s="88">
      <c r="A40" s="109" t="n"/>
      <c r="B40" s="109" t="n"/>
      <c r="C40" s="109" t="n"/>
      <c r="D40" s="109" t="n"/>
      <c r="I40" s="109" t="n"/>
    </row>
    <row r="41" ht="15" customHeight="1" s="88">
      <c r="A41" s="109" t="n"/>
      <c r="B41" s="109" t="n"/>
      <c r="C41" s="109" t="n"/>
      <c r="D41" s="109" t="n"/>
      <c r="I41" s="109" t="n"/>
    </row>
    <row r="42" ht="15" customHeight="1" s="88">
      <c r="A42" s="109" t="n"/>
      <c r="B42" s="109" t="n"/>
      <c r="C42" s="109" t="n"/>
      <c r="D42" s="109" t="n"/>
      <c r="I42" s="109" t="n"/>
    </row>
    <row r="43" ht="15" customHeight="1" s="88">
      <c r="A43" s="109" t="n"/>
      <c r="B43" s="109" t="n"/>
      <c r="C43" s="109" t="n"/>
      <c r="D43" s="109" t="n"/>
      <c r="I43" s="109" t="n"/>
    </row>
    <row r="44" ht="15" customHeight="1" s="88">
      <c r="A44" s="109" t="n"/>
      <c r="B44" s="109" t="n"/>
      <c r="C44" s="109" t="n"/>
      <c r="D44" s="109" t="n"/>
      <c r="I44" s="109" t="n"/>
    </row>
    <row r="45" ht="15" customHeight="1" s="88">
      <c r="A45" s="109" t="n"/>
      <c r="B45" s="109" t="n"/>
      <c r="C45" s="109" t="n"/>
      <c r="D45" s="109" t="n"/>
      <c r="I45" s="109" t="n"/>
    </row>
    <row r="46" ht="15" customHeight="1" s="88">
      <c r="A46" s="109" t="n"/>
      <c r="B46" s="109" t="n"/>
      <c r="C46" s="109" t="n"/>
      <c r="D46" s="109" t="n"/>
      <c r="I46" s="109" t="n"/>
    </row>
    <row r="47" ht="15" customHeight="1" s="88">
      <c r="A47" s="109" t="n"/>
      <c r="B47" s="109" t="n"/>
      <c r="C47" s="109" t="n"/>
      <c r="D47" s="109" t="n"/>
      <c r="I47" s="109" t="n"/>
    </row>
    <row r="48" ht="15" customHeight="1" s="88">
      <c r="A48" s="109" t="n"/>
      <c r="B48" s="109" t="n"/>
      <c r="C48" s="109" t="n"/>
      <c r="D48" s="109" t="n"/>
      <c r="I48" s="109" t="n"/>
    </row>
    <row r="49" ht="15" customHeight="1" s="88">
      <c r="A49" s="109" t="n"/>
      <c r="B49" s="109" t="n"/>
      <c r="C49" s="109" t="n"/>
      <c r="D49" s="109" t="n"/>
      <c r="I49" s="109" t="n"/>
    </row>
    <row r="50" ht="15" customHeight="1" s="88">
      <c r="A50" s="109" t="n"/>
      <c r="B50" s="109" t="n"/>
      <c r="C50" s="109" t="n"/>
      <c r="D50" s="109" t="n"/>
      <c r="I50" s="109" t="n"/>
    </row>
    <row r="51" ht="15" customHeight="1" s="88">
      <c r="A51" s="109" t="n"/>
      <c r="B51" s="109" t="n"/>
      <c r="C51" s="109" t="n"/>
      <c r="D51" s="109" t="n"/>
      <c r="I51" s="109" t="n"/>
    </row>
    <row r="52" ht="15" customHeight="1" s="88">
      <c r="A52" s="109" t="n"/>
      <c r="B52" s="109" t="n"/>
      <c r="C52" s="109" t="n"/>
      <c r="D52" s="109" t="n"/>
      <c r="I52" s="109" t="n"/>
    </row>
    <row r="53" ht="15" customHeight="1" s="88">
      <c r="A53" s="109" t="n"/>
      <c r="B53" s="109" t="n"/>
      <c r="C53" s="109" t="n"/>
      <c r="D53" s="109" t="n"/>
      <c r="I53" s="109" t="n"/>
    </row>
    <row r="54" ht="15" customHeight="1" s="88">
      <c r="A54" s="109" t="n"/>
      <c r="B54" s="109" t="n"/>
      <c r="C54" s="109" t="n"/>
      <c r="D54" s="109" t="n"/>
      <c r="I54" s="109" t="n"/>
    </row>
    <row r="55" ht="15" customHeight="1" s="88">
      <c r="A55" s="109" t="n"/>
      <c r="B55" s="109" t="n"/>
      <c r="C55" s="109" t="n"/>
      <c r="D55" s="109" t="n"/>
      <c r="I55" s="109" t="n"/>
    </row>
    <row r="56" ht="15" customHeight="1" s="88">
      <c r="A56" s="109" t="n"/>
      <c r="B56" s="109" t="n"/>
      <c r="C56" s="109" t="n"/>
      <c r="D56" s="109" t="n"/>
      <c r="I56" s="109" t="n"/>
    </row>
    <row r="57" ht="15" customHeight="1" s="88">
      <c r="A57" s="109" t="n"/>
      <c r="B57" s="109" t="n"/>
      <c r="C57" s="109" t="n"/>
      <c r="D57" s="109" t="n"/>
      <c r="I57" s="109" t="n"/>
    </row>
    <row r="58" ht="15" customHeight="1" s="88">
      <c r="A58" s="109" t="n"/>
      <c r="B58" s="109" t="n"/>
      <c r="C58" s="109" t="n"/>
      <c r="D58" s="109" t="n"/>
      <c r="I58" s="109" t="n"/>
    </row>
    <row r="59" ht="15" customHeight="1" s="88">
      <c r="A59" s="109" t="n"/>
      <c r="B59" s="109" t="n"/>
      <c r="C59" s="109" t="n"/>
      <c r="D59" s="109" t="n"/>
      <c r="I59" s="109" t="n"/>
    </row>
    <row r="60" ht="15" customHeight="1" s="88">
      <c r="A60" s="109" t="n"/>
      <c r="B60" s="109" t="n"/>
      <c r="C60" s="109" t="n"/>
      <c r="D60" s="109" t="n"/>
      <c r="I60" s="109" t="n"/>
    </row>
    <row r="61" ht="15" customHeight="1" s="88">
      <c r="A61" s="109" t="n"/>
      <c r="B61" s="109" t="n"/>
      <c r="C61" s="109" t="n"/>
      <c r="D61" s="109" t="n"/>
      <c r="I61" s="109" t="n"/>
    </row>
    <row r="62" ht="15" customHeight="1" s="88">
      <c r="A62" s="109" t="n"/>
      <c r="B62" s="109" t="n"/>
      <c r="C62" s="109" t="n"/>
      <c r="D62" s="109" t="n"/>
      <c r="I62" s="109" t="n"/>
    </row>
    <row r="63" ht="15" customHeight="1" s="88">
      <c r="A63" s="109" t="n"/>
      <c r="B63" s="109" t="n"/>
      <c r="C63" s="109" t="n"/>
      <c r="D63" s="109" t="n"/>
      <c r="I63" s="109" t="n"/>
    </row>
    <row r="64" ht="15" customHeight="1" s="88">
      <c r="A64" s="109" t="n"/>
      <c r="B64" s="109" t="n"/>
      <c r="C64" s="109" t="n"/>
      <c r="D64" s="109" t="n"/>
      <c r="I64" s="109" t="n"/>
    </row>
    <row r="65" ht="15" customHeight="1" s="88">
      <c r="A65" s="109" t="n"/>
      <c r="B65" s="109" t="n"/>
      <c r="C65" s="109" t="n"/>
      <c r="D65" s="109" t="n"/>
      <c r="I65" s="109" t="n"/>
    </row>
    <row r="66" ht="15" customHeight="1" s="88">
      <c r="A66" s="109" t="n"/>
      <c r="B66" s="109" t="n"/>
      <c r="C66" s="109" t="n"/>
      <c r="D66" s="109" t="n"/>
      <c r="I66" s="109" t="n"/>
    </row>
    <row r="67" ht="15" customHeight="1" s="88">
      <c r="A67" s="109" t="n"/>
      <c r="B67" s="109" t="n"/>
      <c r="C67" s="109" t="n"/>
      <c r="D67" s="109" t="n"/>
      <c r="I67" s="109" t="n"/>
    </row>
    <row r="68" ht="15" customHeight="1" s="88">
      <c r="A68" s="109" t="n"/>
      <c r="B68" s="109" t="n"/>
      <c r="C68" s="109" t="n"/>
      <c r="D68" s="109" t="n"/>
      <c r="I68" s="109" t="n"/>
    </row>
    <row r="69" ht="15" customHeight="1" s="88">
      <c r="A69" s="109" t="n"/>
      <c r="B69" s="109" t="n"/>
      <c r="C69" s="109" t="n"/>
      <c r="D69" s="109" t="n"/>
      <c r="I69" s="109" t="n"/>
    </row>
    <row r="70" ht="15" customHeight="1" s="88">
      <c r="A70" s="109" t="n"/>
      <c r="B70" s="109" t="n"/>
      <c r="C70" s="109" t="n"/>
      <c r="D70" s="109" t="n"/>
      <c r="I70" s="109" t="n"/>
    </row>
    <row r="71" ht="15" customHeight="1" s="88">
      <c r="A71" s="109" t="n"/>
      <c r="B71" s="109" t="n"/>
      <c r="C71" s="109" t="n"/>
      <c r="D71" s="109" t="n"/>
      <c r="I71" s="109" t="n"/>
    </row>
    <row r="72" ht="15" customHeight="1" s="88">
      <c r="A72" s="109" t="n"/>
      <c r="B72" s="109" t="n"/>
      <c r="C72" s="109" t="n"/>
      <c r="D72" s="109" t="n"/>
      <c r="I72" s="109" t="n"/>
    </row>
    <row r="73" ht="15" customHeight="1" s="88">
      <c r="A73" s="109" t="n"/>
      <c r="B73" s="109" t="n"/>
      <c r="C73" s="109" t="n"/>
      <c r="D73" s="109" t="n"/>
      <c r="I73" s="109" t="n"/>
    </row>
    <row r="74" ht="15" customHeight="1" s="88">
      <c r="A74" s="109" t="n"/>
      <c r="B74" s="109" t="n"/>
      <c r="C74" s="109" t="n"/>
      <c r="D74" s="109" t="n"/>
      <c r="I74" s="109" t="n"/>
    </row>
    <row r="75" ht="15" customHeight="1" s="88">
      <c r="A75" s="109" t="n"/>
      <c r="B75" s="109" t="n"/>
      <c r="C75" s="109" t="n"/>
      <c r="D75" s="109" t="n"/>
      <c r="I75" s="109" t="n"/>
    </row>
    <row r="76" ht="15" customHeight="1" s="88">
      <c r="A76" s="109" t="n"/>
      <c r="B76" s="109" t="n"/>
      <c r="C76" s="109" t="n"/>
      <c r="D76" s="109" t="n"/>
      <c r="I76" s="109" t="n"/>
    </row>
    <row r="77" ht="15" customHeight="1" s="88">
      <c r="A77" s="109" t="n"/>
      <c r="B77" s="109" t="n"/>
      <c r="C77" s="109" t="n"/>
      <c r="D77" s="109" t="n"/>
      <c r="I77" s="109" t="n"/>
    </row>
    <row r="78" ht="15" customHeight="1" s="88">
      <c r="A78" s="109" t="n"/>
      <c r="B78" s="109" t="n"/>
      <c r="C78" s="109" t="n"/>
      <c r="D78" s="109" t="n"/>
      <c r="I78" s="109" t="n"/>
    </row>
    <row r="79" ht="15" customHeight="1" s="88">
      <c r="A79" s="109" t="n"/>
      <c r="B79" s="109" t="n"/>
      <c r="C79" s="109" t="n"/>
      <c r="D79" s="109" t="n"/>
      <c r="I79" s="109" t="n"/>
    </row>
    <row r="80" ht="15" customHeight="1" s="88">
      <c r="A80" s="109" t="n"/>
      <c r="B80" s="109" t="n"/>
      <c r="C80" s="109" t="n"/>
      <c r="D80" s="109" t="n"/>
      <c r="I80" s="109" t="n"/>
    </row>
    <row r="81" ht="15" customHeight="1" s="88">
      <c r="A81" s="109" t="n"/>
      <c r="B81" s="109" t="n"/>
      <c r="C81" s="109" t="n"/>
      <c r="D81" s="109" t="n"/>
      <c r="I81" s="109" t="n"/>
    </row>
    <row r="82" ht="15" customHeight="1" s="88">
      <c r="A82" s="109" t="n"/>
      <c r="B82" s="109" t="n"/>
      <c r="C82" s="109" t="n"/>
      <c r="D82" s="109" t="n"/>
      <c r="I82" s="109" t="n"/>
    </row>
    <row r="83" ht="15" customHeight="1" s="88">
      <c r="A83" s="109" t="n"/>
      <c r="B83" s="109" t="n"/>
      <c r="C83" s="109" t="n"/>
      <c r="D83" s="109" t="n"/>
      <c r="I83" s="109" t="n"/>
    </row>
    <row r="84" ht="15" customHeight="1" s="88">
      <c r="A84" s="109" t="n"/>
      <c r="B84" s="109" t="n"/>
      <c r="C84" s="109" t="n"/>
      <c r="D84" s="109" t="n"/>
      <c r="I84" s="109" t="n"/>
    </row>
    <row r="85" ht="15" customHeight="1" s="88">
      <c r="A85" s="109" t="n"/>
      <c r="B85" s="109" t="n"/>
      <c r="C85" s="109" t="n"/>
      <c r="D85" s="109" t="n"/>
      <c r="I85" s="109" t="n"/>
    </row>
    <row r="86" ht="15" customHeight="1" s="88">
      <c r="A86" s="109" t="n"/>
      <c r="B86" s="109" t="n"/>
      <c r="C86" s="109" t="n"/>
      <c r="D86" s="109" t="n"/>
      <c r="I86" s="109" t="n"/>
    </row>
    <row r="87" ht="15" customHeight="1" s="88">
      <c r="A87" s="109" t="n"/>
      <c r="B87" s="109" t="n"/>
      <c r="C87" s="109" t="n"/>
      <c r="D87" s="109" t="n"/>
      <c r="I87" s="109" t="n"/>
    </row>
    <row r="88" ht="15" customHeight="1" s="88">
      <c r="A88" s="109" t="n"/>
      <c r="B88" s="109" t="n"/>
      <c r="C88" s="109" t="n"/>
      <c r="D88" s="109" t="n"/>
      <c r="I88" s="109" t="n"/>
    </row>
    <row r="89" ht="15" customHeight="1" s="88">
      <c r="A89" s="109" t="n"/>
      <c r="B89" s="109" t="n"/>
      <c r="C89" s="109" t="n"/>
      <c r="D89" s="109" t="n"/>
      <c r="I89" s="109" t="n"/>
    </row>
    <row r="90" ht="15" customHeight="1" s="88">
      <c r="A90" s="109" t="n"/>
      <c r="B90" s="109" t="n"/>
      <c r="C90" s="109" t="n"/>
      <c r="D90" s="109" t="n"/>
      <c r="I90" s="109" t="n"/>
    </row>
    <row r="91" ht="15" customHeight="1" s="88">
      <c r="A91" s="109" t="n"/>
      <c r="B91" s="109" t="n"/>
      <c r="C91" s="109" t="n"/>
      <c r="D91" s="109" t="n"/>
      <c r="I91" s="109" t="n"/>
    </row>
    <row r="92" ht="15" customHeight="1" s="88">
      <c r="A92" s="109" t="n"/>
      <c r="B92" s="109" t="n"/>
      <c r="C92" s="109" t="n"/>
      <c r="D92" s="109" t="n"/>
      <c r="I92" s="109" t="n"/>
    </row>
    <row r="93" ht="15" customHeight="1" s="88">
      <c r="A93" s="109" t="n"/>
      <c r="B93" s="109" t="n"/>
      <c r="C93" s="109" t="n"/>
      <c r="D93" s="109" t="n"/>
      <c r="I93" s="109" t="n"/>
    </row>
    <row r="94" ht="15" customHeight="1" s="88">
      <c r="A94" s="109" t="n"/>
      <c r="B94" s="109" t="n"/>
      <c r="C94" s="109" t="n"/>
      <c r="D94" s="109" t="n"/>
      <c r="I94" s="109" t="n"/>
    </row>
    <row r="95" ht="15" customHeight="1" s="88">
      <c r="A95" s="109" t="n"/>
      <c r="B95" s="109" t="n"/>
      <c r="C95" s="109" t="n"/>
      <c r="D95" s="109" t="n"/>
      <c r="I95" s="109" t="n"/>
    </row>
    <row r="96" ht="15" customHeight="1" s="88">
      <c r="A96" s="109" t="n"/>
      <c r="B96" s="109" t="n"/>
      <c r="C96" s="109" t="n"/>
      <c r="D96" s="109" t="n"/>
      <c r="I96" s="109" t="n"/>
    </row>
    <row r="97" ht="15" customHeight="1" s="88">
      <c r="A97" s="109" t="n"/>
      <c r="B97" s="109" t="n"/>
      <c r="C97" s="109" t="n"/>
      <c r="D97" s="109" t="n"/>
      <c r="I97" s="109" t="n"/>
    </row>
    <row r="98" ht="15" customHeight="1" s="88">
      <c r="A98" s="109" t="n"/>
      <c r="B98" s="109" t="n"/>
      <c r="C98" s="109" t="n"/>
      <c r="D98" s="109" t="n"/>
      <c r="I98" s="109" t="n"/>
    </row>
    <row r="99" ht="15" customHeight="1" s="88">
      <c r="A99" s="109" t="n"/>
      <c r="B99" s="109" t="n"/>
      <c r="C99" s="109" t="n"/>
      <c r="D99" s="109" t="n"/>
      <c r="I99" s="109" t="n"/>
    </row>
    <row r="100" ht="15" customHeight="1" s="88">
      <c r="A100" s="109" t="n"/>
      <c r="B100" s="109" t="n"/>
      <c r="C100" s="109" t="n"/>
      <c r="D100" s="109" t="n"/>
      <c r="I100" s="109" t="n"/>
    </row>
    <row r="101" ht="15" customHeight="1" s="88">
      <c r="A101" s="109" t="n"/>
      <c r="B101" s="109" t="n"/>
      <c r="C101" s="109" t="n"/>
      <c r="D101" s="109" t="n"/>
      <c r="I101" s="109" t="n"/>
    </row>
    <row r="102" ht="15" customHeight="1" s="88">
      <c r="A102" s="109" t="n"/>
      <c r="B102" s="109" t="n"/>
      <c r="C102" s="109" t="n"/>
      <c r="D102" s="109" t="n"/>
      <c r="I102" s="109" t="n"/>
    </row>
    <row r="103" ht="15" customHeight="1" s="88">
      <c r="A103" s="109" t="n"/>
      <c r="B103" s="109" t="n"/>
      <c r="C103" s="109" t="n"/>
      <c r="D103" s="109" t="n"/>
      <c r="I103" s="109" t="n"/>
    </row>
    <row r="104" ht="15" customHeight="1" s="88">
      <c r="A104" s="109" t="n"/>
      <c r="B104" s="109" t="n"/>
      <c r="C104" s="109" t="n"/>
      <c r="D104" s="109" t="n"/>
      <c r="I104" s="109" t="n"/>
    </row>
    <row r="105" ht="15" customHeight="1" s="88">
      <c r="A105" s="109" t="n"/>
      <c r="B105" s="109" t="n"/>
      <c r="C105" s="109" t="n"/>
      <c r="D105" s="109" t="n"/>
      <c r="I105" s="109" t="n"/>
    </row>
    <row r="106" ht="15" customHeight="1" s="88">
      <c r="A106" s="109" t="n"/>
      <c r="B106" s="109" t="n"/>
      <c r="C106" s="109" t="n"/>
      <c r="D106" s="109" t="n"/>
      <c r="I106" s="109" t="n"/>
    </row>
    <row r="107" ht="15" customHeight="1" s="88">
      <c r="A107" s="109" t="n"/>
      <c r="B107" s="109" t="n"/>
      <c r="C107" s="109" t="n"/>
      <c r="D107" s="109" t="n"/>
      <c r="I107" s="109" t="n"/>
    </row>
    <row r="108" ht="15" customHeight="1" s="88">
      <c r="A108" s="109" t="n"/>
      <c r="B108" s="109" t="n"/>
      <c r="C108" s="109" t="n"/>
      <c r="D108" s="109" t="n"/>
      <c r="I108" s="109" t="n"/>
    </row>
    <row r="109" ht="15" customHeight="1" s="88">
      <c r="A109" s="109" t="n"/>
      <c r="B109" s="109" t="n"/>
      <c r="C109" s="109" t="n"/>
      <c r="D109" s="109" t="n"/>
      <c r="I109" s="109" t="n"/>
    </row>
    <row r="110" ht="15" customHeight="1" s="88">
      <c r="A110" s="109" t="n"/>
      <c r="B110" s="109" t="n"/>
      <c r="C110" s="109" t="n"/>
      <c r="D110" s="109" t="n"/>
      <c r="I110" s="109" t="n"/>
    </row>
    <row r="111" ht="15" customHeight="1" s="88">
      <c r="A111" s="109" t="n"/>
      <c r="B111" s="109" t="n"/>
      <c r="C111" s="109" t="n"/>
      <c r="D111" s="109" t="n"/>
      <c r="I111" s="109" t="n"/>
    </row>
    <row r="112" ht="15" customHeight="1" s="88">
      <c r="A112" s="109" t="n"/>
      <c r="B112" s="109" t="n"/>
      <c r="C112" s="109" t="n"/>
      <c r="D112" s="109" t="n"/>
      <c r="I112" s="109" t="n"/>
    </row>
    <row r="113" ht="15" customHeight="1" s="88">
      <c r="A113" s="109" t="n"/>
      <c r="B113" s="109" t="n"/>
      <c r="C113" s="109" t="n"/>
      <c r="D113" s="109" t="n"/>
      <c r="I113" s="109" t="n"/>
    </row>
    <row r="114" ht="15" customHeight="1" s="88">
      <c r="A114" s="109" t="n"/>
      <c r="B114" s="109" t="n"/>
      <c r="C114" s="109" t="n"/>
      <c r="D114" s="109" t="n"/>
      <c r="I114" s="109" t="n"/>
    </row>
    <row r="115" ht="15" customHeight="1" s="88">
      <c r="A115" s="109" t="n"/>
      <c r="B115" s="109" t="n"/>
      <c r="C115" s="109" t="n"/>
      <c r="D115" s="109" t="n"/>
      <c r="I115" s="109" t="n"/>
    </row>
    <row r="116" ht="15" customHeight="1" s="88">
      <c r="A116" s="109" t="n"/>
      <c r="B116" s="109" t="n"/>
      <c r="C116" s="109" t="n"/>
      <c r="D116" s="109" t="n"/>
      <c r="I116" s="109" t="n"/>
    </row>
    <row r="117" ht="15" customHeight="1" s="88">
      <c r="A117" s="109" t="n"/>
      <c r="B117" s="109" t="n"/>
      <c r="C117" s="109" t="n"/>
      <c r="D117" s="109" t="n"/>
      <c r="I117" s="109" t="n"/>
    </row>
    <row r="118" ht="15" customHeight="1" s="88">
      <c r="A118" s="109" t="n"/>
      <c r="B118" s="109" t="n"/>
      <c r="C118" s="109" t="n"/>
      <c r="D118" s="109" t="n"/>
      <c r="I118" s="109" t="n"/>
    </row>
    <row r="119" ht="15" customHeight="1" s="88">
      <c r="A119" s="109" t="n"/>
      <c r="B119" s="109" t="n"/>
      <c r="C119" s="109" t="n"/>
      <c r="D119" s="109" t="n"/>
      <c r="I119" s="109" t="n"/>
    </row>
    <row r="120" ht="15" customHeight="1" s="88">
      <c r="A120" s="109" t="n"/>
      <c r="B120" s="109" t="n"/>
      <c r="C120" s="109" t="n"/>
      <c r="D120" s="109" t="n"/>
      <c r="I120" s="109" t="n"/>
    </row>
    <row r="121" ht="15" customHeight="1" s="88">
      <c r="A121" s="109" t="n"/>
      <c r="B121" s="109" t="n"/>
      <c r="C121" s="109" t="n"/>
      <c r="D121" s="109" t="n"/>
      <c r="I121" s="109" t="n"/>
    </row>
    <row r="122" ht="15" customHeight="1" s="88">
      <c r="A122" s="109" t="n"/>
      <c r="B122" s="109" t="n"/>
      <c r="C122" s="109" t="n"/>
      <c r="D122" s="109" t="n"/>
      <c r="I122" s="109" t="n"/>
    </row>
    <row r="123" ht="15" customHeight="1" s="88">
      <c r="A123" s="109" t="n"/>
      <c r="B123" s="109" t="n"/>
      <c r="C123" s="109" t="n"/>
      <c r="D123" s="109" t="n"/>
      <c r="I123" s="109" t="n"/>
    </row>
    <row r="124" ht="15" customHeight="1" s="88">
      <c r="A124" s="109" t="n"/>
      <c r="B124" s="109" t="n"/>
      <c r="C124" s="109" t="n"/>
      <c r="D124" s="109" t="n"/>
      <c r="I124" s="109" t="n"/>
    </row>
    <row r="125" ht="15" customHeight="1" s="88">
      <c r="A125" s="109" t="n"/>
      <c r="B125" s="109" t="n"/>
      <c r="C125" s="109" t="n"/>
      <c r="D125" s="109" t="n"/>
      <c r="I125" s="109" t="n"/>
    </row>
    <row r="126" ht="15" customHeight="1" s="88">
      <c r="A126" s="109" t="n"/>
      <c r="B126" s="109" t="n"/>
      <c r="C126" s="109" t="n"/>
      <c r="D126" s="109" t="n"/>
      <c r="I126" s="109" t="n"/>
    </row>
    <row r="127" ht="15" customHeight="1" s="88">
      <c r="A127" s="109" t="n"/>
      <c r="B127" s="109" t="n"/>
      <c r="C127" s="109" t="n"/>
      <c r="D127" s="109" t="n"/>
      <c r="I127" s="109" t="n"/>
    </row>
    <row r="128" ht="15" customHeight="1" s="88">
      <c r="A128" s="109" t="n"/>
      <c r="B128" s="109" t="n"/>
      <c r="C128" s="109" t="n"/>
      <c r="D128" s="109" t="n"/>
      <c r="I128" s="109" t="n"/>
    </row>
    <row r="129" ht="15" customHeight="1" s="88">
      <c r="A129" s="109" t="n"/>
      <c r="B129" s="109" t="n"/>
      <c r="C129" s="109" t="n"/>
      <c r="D129" s="109" t="n"/>
      <c r="I129" s="109" t="n"/>
    </row>
    <row r="130" ht="15" customHeight="1" s="88">
      <c r="A130" s="109" t="n"/>
      <c r="B130" s="109" t="n"/>
      <c r="C130" s="109" t="n"/>
      <c r="D130" s="109" t="n"/>
      <c r="I130" s="109" t="n"/>
    </row>
    <row r="131" ht="15" customHeight="1" s="88">
      <c r="A131" s="109" t="n"/>
      <c r="B131" s="109" t="n"/>
      <c r="C131" s="109" t="n"/>
      <c r="D131" s="109" t="n"/>
      <c r="I131" s="109" t="n"/>
    </row>
    <row r="132" ht="15" customHeight="1" s="88">
      <c r="A132" s="109" t="n"/>
      <c r="B132" s="109" t="n"/>
      <c r="C132" s="109" t="n"/>
      <c r="D132" s="109" t="n"/>
      <c r="I132" s="109" t="n"/>
    </row>
    <row r="133" ht="15" customHeight="1" s="88">
      <c r="A133" s="109" t="n"/>
      <c r="B133" s="109" t="n"/>
      <c r="C133" s="109" t="n"/>
      <c r="D133" s="109" t="n"/>
      <c r="I133" s="109" t="n"/>
    </row>
    <row r="134" ht="15" customHeight="1" s="88">
      <c r="A134" s="109" t="n"/>
      <c r="B134" s="109" t="n"/>
      <c r="C134" s="109" t="n"/>
      <c r="D134" s="109" t="n"/>
      <c r="I134" s="109" t="n"/>
    </row>
    <row r="135" ht="15" customHeight="1" s="88">
      <c r="A135" s="109" t="n"/>
      <c r="B135" s="109" t="n"/>
      <c r="C135" s="109" t="n"/>
      <c r="D135" s="109" t="n"/>
      <c r="I135" s="109" t="n"/>
    </row>
    <row r="136" ht="15" customHeight="1" s="88">
      <c r="A136" s="109" t="n"/>
      <c r="B136" s="109" t="n"/>
      <c r="C136" s="109" t="n"/>
      <c r="D136" s="109" t="n"/>
      <c r="I136" s="109" t="n"/>
    </row>
    <row r="137" ht="15" customHeight="1" s="88">
      <c r="A137" s="109" t="n"/>
      <c r="B137" s="109" t="n"/>
      <c r="C137" s="109" t="n"/>
      <c r="D137" s="109" t="n"/>
      <c r="I137" s="109" t="n"/>
    </row>
    <row r="138" ht="15" customHeight="1" s="88">
      <c r="A138" s="109" t="n"/>
      <c r="B138" s="109" t="n"/>
      <c r="C138" s="109" t="n"/>
      <c r="D138" s="109" t="n"/>
      <c r="I138" s="109" t="n"/>
    </row>
    <row r="139" ht="15" customHeight="1" s="88">
      <c r="A139" s="109" t="n"/>
      <c r="B139" s="109" t="n"/>
      <c r="C139" s="109" t="n"/>
      <c r="D139" s="109" t="n"/>
      <c r="I139" s="109" t="n"/>
    </row>
    <row r="140" ht="15" customHeight="1" s="88">
      <c r="A140" s="109" t="n"/>
      <c r="B140" s="109" t="n"/>
      <c r="C140" s="109" t="n"/>
      <c r="D140" s="109" t="n"/>
      <c r="I140" s="109" t="n"/>
    </row>
    <row r="141" ht="15" customHeight="1" s="88">
      <c r="A141" s="109" t="n"/>
      <c r="B141" s="109" t="n"/>
      <c r="C141" s="109" t="n"/>
      <c r="D141" s="109" t="n"/>
      <c r="I141" s="109" t="n"/>
    </row>
    <row r="142" ht="15" customHeight="1" s="88">
      <c r="A142" s="109" t="n"/>
      <c r="B142" s="109" t="n"/>
      <c r="C142" s="109" t="n"/>
      <c r="D142" s="109" t="n"/>
      <c r="I142" s="109" t="n"/>
    </row>
    <row r="143" ht="15" customHeight="1" s="88">
      <c r="A143" s="109" t="n"/>
      <c r="B143" s="109" t="n"/>
      <c r="C143" s="109" t="n"/>
      <c r="D143" s="109" t="n"/>
      <c r="I143" s="109" t="n"/>
    </row>
    <row r="144" ht="15" customHeight="1" s="88">
      <c r="A144" s="109" t="n"/>
      <c r="B144" s="109" t="n"/>
      <c r="C144" s="109" t="n"/>
      <c r="D144" s="109" t="n"/>
      <c r="I144" s="109" t="n"/>
    </row>
    <row r="145" ht="15" customHeight="1" s="88">
      <c r="A145" s="109" t="n"/>
      <c r="B145" s="109" t="n"/>
      <c r="C145" s="109" t="n"/>
      <c r="D145" s="109" t="n"/>
      <c r="I145" s="109" t="n"/>
    </row>
    <row r="146" ht="15" customHeight="1" s="88">
      <c r="A146" s="109" t="n"/>
      <c r="B146" s="109" t="n"/>
      <c r="C146" s="109" t="n"/>
      <c r="D146" s="109" t="n"/>
      <c r="I146" s="109" t="n"/>
    </row>
    <row r="147" ht="15" customHeight="1" s="88">
      <c r="A147" s="109" t="n"/>
      <c r="B147" s="109" t="n"/>
      <c r="C147" s="109" t="n"/>
      <c r="D147" s="109" t="n"/>
      <c r="I147" s="109" t="n"/>
    </row>
    <row r="148" ht="15" customHeight="1" s="88">
      <c r="A148" s="109" t="n"/>
      <c r="B148" s="109" t="n"/>
      <c r="C148" s="109" t="n"/>
      <c r="D148" s="109" t="n"/>
      <c r="I148" s="109" t="n"/>
    </row>
    <row r="149" ht="15" customHeight="1" s="88">
      <c r="A149" s="109" t="n"/>
      <c r="B149" s="109" t="n"/>
      <c r="C149" s="109" t="n"/>
      <c r="D149" s="109" t="n"/>
      <c r="I149" s="109" t="n"/>
    </row>
    <row r="150" ht="15" customHeight="1" s="88">
      <c r="A150" s="109" t="n"/>
      <c r="B150" s="109" t="n"/>
      <c r="C150" s="109" t="n"/>
      <c r="D150" s="109" t="n"/>
      <c r="I150" s="109" t="n"/>
    </row>
    <row r="151" ht="15" customHeight="1" s="88">
      <c r="A151" s="109" t="n"/>
      <c r="B151" s="109" t="n"/>
      <c r="C151" s="109" t="n"/>
      <c r="D151" s="109" t="n"/>
      <c r="I151" s="109" t="n"/>
    </row>
    <row r="152" ht="15" customHeight="1" s="88">
      <c r="A152" s="109" t="n"/>
      <c r="B152" s="109" t="n"/>
      <c r="C152" s="109" t="n"/>
      <c r="D152" s="109" t="n"/>
      <c r="I152" s="109" t="n"/>
    </row>
    <row r="153" ht="15" customHeight="1" s="88">
      <c r="A153" s="109" t="n"/>
      <c r="B153" s="109" t="n"/>
      <c r="C153" s="109" t="n"/>
      <c r="D153" s="109" t="n"/>
      <c r="I153" s="109" t="n"/>
    </row>
    <row r="154" ht="15" customHeight="1" s="88">
      <c r="A154" s="109" t="n"/>
      <c r="B154" s="109" t="n"/>
      <c r="C154" s="109" t="n"/>
      <c r="D154" s="109" t="n"/>
      <c r="I154" s="109" t="n"/>
    </row>
    <row r="155" ht="15" customHeight="1" s="88">
      <c r="A155" s="109" t="n"/>
      <c r="B155" s="109" t="n"/>
      <c r="C155" s="109" t="n"/>
      <c r="D155" s="109" t="n"/>
      <c r="I155" s="109" t="n"/>
    </row>
    <row r="156" ht="15" customHeight="1" s="88">
      <c r="A156" s="109" t="n"/>
      <c r="B156" s="109" t="n"/>
      <c r="C156" s="109" t="n"/>
      <c r="D156" s="109" t="n"/>
      <c r="I156" s="109" t="n"/>
    </row>
    <row r="157" ht="15" customHeight="1" s="88">
      <c r="A157" s="109" t="n"/>
      <c r="B157" s="109" t="n"/>
      <c r="C157" s="109" t="n"/>
      <c r="D157" s="109" t="n"/>
      <c r="I157" s="109" t="n"/>
    </row>
    <row r="158" ht="15" customHeight="1" s="88">
      <c r="A158" s="109" t="n"/>
      <c r="B158" s="109" t="n"/>
      <c r="C158" s="109" t="n"/>
      <c r="D158" s="109" t="n"/>
      <c r="I158" s="109" t="n"/>
    </row>
    <row r="159" ht="15" customHeight="1" s="88">
      <c r="A159" s="109" t="n"/>
      <c r="B159" s="109" t="n"/>
      <c r="C159" s="109" t="n"/>
      <c r="D159" s="109" t="n"/>
      <c r="I159" s="109" t="n"/>
    </row>
    <row r="160" ht="15" customHeight="1" s="88">
      <c r="A160" s="109" t="n"/>
      <c r="B160" s="109" t="n"/>
      <c r="C160" s="109" t="n"/>
      <c r="D160" s="109" t="n"/>
      <c r="I160" s="109" t="n"/>
    </row>
    <row r="161" ht="15" customHeight="1" s="88">
      <c r="A161" s="109" t="n"/>
      <c r="B161" s="109" t="n"/>
      <c r="C161" s="109" t="n"/>
      <c r="D161" s="109" t="n"/>
      <c r="I161" s="109" t="n"/>
    </row>
    <row r="162" ht="15" customHeight="1" s="88">
      <c r="A162" s="109" t="n"/>
      <c r="B162" s="109" t="n"/>
      <c r="C162" s="109" t="n"/>
      <c r="D162" s="109" t="n"/>
      <c r="I162" s="109" t="n"/>
    </row>
    <row r="163" ht="15" customHeight="1" s="88">
      <c r="A163" s="109" t="n"/>
      <c r="B163" s="109" t="n"/>
      <c r="C163" s="109" t="n"/>
      <c r="D163" s="109" t="n"/>
      <c r="I163" s="109" t="n"/>
    </row>
    <row r="164" ht="15" customHeight="1" s="88">
      <c r="A164" s="109" t="n"/>
      <c r="B164" s="109" t="n"/>
      <c r="C164" s="109" t="n"/>
      <c r="D164" s="109" t="n"/>
      <c r="I164" s="109" t="n"/>
    </row>
    <row r="165" ht="15" customHeight="1" s="88">
      <c r="A165" s="109" t="n"/>
      <c r="B165" s="109" t="n"/>
      <c r="C165" s="109" t="n"/>
      <c r="D165" s="109" t="n"/>
      <c r="I165" s="109" t="n"/>
    </row>
    <row r="166" ht="15" customHeight="1" s="88">
      <c r="A166" s="109" t="n"/>
      <c r="B166" s="109" t="n"/>
      <c r="C166" s="109" t="n"/>
      <c r="D166" s="109" t="n"/>
      <c r="I166" s="109" t="n"/>
    </row>
    <row r="167" ht="15" customHeight="1" s="88">
      <c r="A167" s="109" t="n"/>
      <c r="B167" s="109" t="n"/>
      <c r="C167" s="109" t="n"/>
      <c r="D167" s="109" t="n"/>
      <c r="I167" s="109" t="n"/>
    </row>
    <row r="168" ht="15" customHeight="1" s="88">
      <c r="A168" s="109" t="n"/>
      <c r="B168" s="109" t="n"/>
      <c r="C168" s="109" t="n"/>
      <c r="D168" s="109" t="n"/>
      <c r="I168" s="109" t="n"/>
    </row>
    <row r="169" ht="15" customHeight="1" s="88">
      <c r="A169" s="109" t="n"/>
      <c r="B169" s="109" t="n"/>
      <c r="C169" s="109" t="n"/>
      <c r="D169" s="109" t="n"/>
      <c r="I169" s="109" t="n"/>
    </row>
    <row r="170" ht="15" customHeight="1" s="88">
      <c r="A170" s="109" t="n"/>
      <c r="B170" s="109" t="n"/>
      <c r="C170" s="109" t="n"/>
      <c r="D170" s="109" t="n"/>
      <c r="I170" s="109" t="n"/>
    </row>
    <row r="171" ht="15" customHeight="1" s="88">
      <c r="A171" s="109" t="n"/>
      <c r="B171" s="109" t="n"/>
      <c r="C171" s="109" t="n"/>
      <c r="D171" s="109" t="n"/>
      <c r="I171" s="109" t="n"/>
    </row>
    <row r="172" ht="15" customHeight="1" s="88">
      <c r="A172" s="109" t="n"/>
      <c r="B172" s="109" t="n"/>
      <c r="C172" s="109" t="n"/>
      <c r="D172" s="109" t="n"/>
      <c r="I172" s="109" t="n"/>
    </row>
    <row r="173" ht="15" customHeight="1" s="88">
      <c r="A173" s="109" t="n"/>
      <c r="B173" s="109" t="n"/>
      <c r="C173" s="109" t="n"/>
      <c r="D173" s="109" t="n"/>
      <c r="I173" s="109" t="n"/>
    </row>
    <row r="174" ht="15" customHeight="1" s="88">
      <c r="A174" s="109" t="n"/>
      <c r="B174" s="109" t="n"/>
      <c r="C174" s="109" t="n"/>
      <c r="D174" s="109" t="n"/>
      <c r="I174" s="109" t="n"/>
    </row>
    <row r="175" ht="15" customHeight="1" s="88">
      <c r="A175" s="109" t="n"/>
      <c r="B175" s="109" t="n"/>
      <c r="C175" s="109" t="n"/>
      <c r="D175" s="109" t="n"/>
      <c r="I175" s="109" t="n"/>
    </row>
    <row r="176" ht="15" customHeight="1" s="88">
      <c r="A176" s="109" t="n"/>
      <c r="B176" s="109" t="n"/>
      <c r="C176" s="109" t="n"/>
      <c r="D176" s="109" t="n"/>
      <c r="I176" s="109" t="n"/>
    </row>
    <row r="177" ht="15" customHeight="1" s="88">
      <c r="A177" s="109" t="n"/>
      <c r="B177" s="109" t="n"/>
      <c r="C177" s="109" t="n"/>
      <c r="D177" s="109" t="n"/>
      <c r="I177" s="109" t="n"/>
    </row>
    <row r="178" ht="15" customHeight="1" s="88">
      <c r="A178" s="109" t="n"/>
      <c r="B178" s="109" t="n"/>
      <c r="C178" s="109" t="n"/>
      <c r="D178" s="109" t="n"/>
      <c r="I178" s="109" t="n"/>
    </row>
    <row r="179" ht="15" customHeight="1" s="88">
      <c r="A179" s="109" t="n"/>
      <c r="B179" s="109" t="n"/>
      <c r="C179" s="109" t="n"/>
      <c r="D179" s="109" t="n"/>
      <c r="I179" s="109" t="n"/>
    </row>
    <row r="180" ht="15" customHeight="1" s="88">
      <c r="A180" s="109" t="n"/>
      <c r="B180" s="109" t="n"/>
      <c r="C180" s="109" t="n"/>
      <c r="D180" s="109" t="n"/>
      <c r="I180" s="109" t="n"/>
    </row>
    <row r="181" ht="15" customHeight="1" s="88">
      <c r="A181" s="109" t="n"/>
      <c r="B181" s="109" t="n"/>
      <c r="C181" s="109" t="n"/>
      <c r="D181" s="109" t="n"/>
      <c r="I181" s="109" t="n"/>
    </row>
    <row r="182" ht="15" customHeight="1" s="88">
      <c r="A182" s="109" t="n"/>
      <c r="B182" s="109" t="n"/>
      <c r="C182" s="109" t="n"/>
      <c r="D182" s="109" t="n"/>
      <c r="I182" s="109" t="n"/>
    </row>
    <row r="183" ht="15" customHeight="1" s="88">
      <c r="A183" s="109" t="n"/>
      <c r="B183" s="109" t="n"/>
      <c r="C183" s="109" t="n"/>
      <c r="D183" s="109" t="n"/>
      <c r="I183" s="109" t="n"/>
    </row>
    <row r="184" ht="15" customHeight="1" s="88">
      <c r="A184" s="109" t="n"/>
      <c r="B184" s="109" t="n"/>
      <c r="C184" s="109" t="n"/>
      <c r="D184" s="109" t="n"/>
      <c r="I184" s="109" t="n"/>
    </row>
    <row r="185" ht="15" customHeight="1" s="88">
      <c r="A185" s="109" t="n"/>
      <c r="B185" s="109" t="n"/>
      <c r="C185" s="109" t="n"/>
      <c r="D185" s="109" t="n"/>
      <c r="I185" s="109" t="n"/>
    </row>
    <row r="186" ht="15" customHeight="1" s="88">
      <c r="A186" s="109" t="n"/>
      <c r="B186" s="109" t="n"/>
      <c r="C186" s="109" t="n"/>
      <c r="D186" s="109" t="n"/>
      <c r="I186" s="109" t="n"/>
    </row>
    <row r="187" ht="15" customHeight="1" s="88">
      <c r="A187" s="109" t="n"/>
      <c r="B187" s="109" t="n"/>
      <c r="C187" s="109" t="n"/>
      <c r="D187" s="109" t="n"/>
      <c r="I187" s="109" t="n"/>
    </row>
    <row r="188" ht="15" customHeight="1" s="88">
      <c r="A188" s="109" t="n"/>
      <c r="B188" s="109" t="n"/>
      <c r="C188" s="109" t="n"/>
      <c r="D188" s="109" t="n"/>
      <c r="I188" s="109" t="n"/>
    </row>
    <row r="189" ht="15" customHeight="1" s="88">
      <c r="A189" s="109" t="n"/>
      <c r="B189" s="109" t="n"/>
      <c r="C189" s="109" t="n"/>
      <c r="D189" s="109" t="n"/>
      <c r="I189" s="109" t="n"/>
    </row>
    <row r="190" ht="15" customHeight="1" s="88">
      <c r="A190" s="109" t="n"/>
      <c r="B190" s="109" t="n"/>
      <c r="C190" s="109" t="n"/>
      <c r="D190" s="109" t="n"/>
      <c r="I190" s="109" t="n"/>
    </row>
    <row r="191" ht="15" customHeight="1" s="88">
      <c r="A191" s="109" t="n"/>
      <c r="B191" s="109" t="n"/>
      <c r="C191" s="109" t="n"/>
      <c r="D191" s="109" t="n"/>
      <c r="I191" s="109" t="n"/>
    </row>
    <row r="192" ht="15" customHeight="1" s="88">
      <c r="A192" s="109" t="n"/>
      <c r="B192" s="109" t="n"/>
      <c r="C192" s="109" t="n"/>
      <c r="D192" s="109" t="n"/>
      <c r="I192" s="109" t="n"/>
    </row>
    <row r="193" ht="15" customHeight="1" s="88">
      <c r="A193" s="109" t="n"/>
      <c r="B193" s="109" t="n"/>
      <c r="C193" s="109" t="n"/>
      <c r="D193" s="109" t="n"/>
      <c r="I193" s="109" t="n"/>
    </row>
    <row r="194" ht="15" customHeight="1" s="88">
      <c r="A194" s="109" t="n"/>
      <c r="B194" s="109" t="n"/>
      <c r="C194" s="109" t="n"/>
      <c r="D194" s="109" t="n"/>
      <c r="I194" s="109" t="n"/>
    </row>
    <row r="195" ht="15" customHeight="1" s="88">
      <c r="A195" s="109" t="n"/>
      <c r="B195" s="109" t="n"/>
      <c r="C195" s="109" t="n"/>
      <c r="D195" s="109" t="n"/>
      <c r="I195" s="109" t="n"/>
    </row>
    <row r="196" ht="15" customHeight="1" s="88">
      <c r="A196" s="109" t="n"/>
      <c r="B196" s="109" t="n"/>
      <c r="C196" s="109" t="n"/>
      <c r="D196" s="109" t="n"/>
      <c r="I196" s="109" t="n"/>
    </row>
    <row r="197" ht="15" customHeight="1" s="88">
      <c r="A197" s="109" t="n"/>
      <c r="B197" s="109" t="n"/>
      <c r="C197" s="109" t="n"/>
      <c r="D197" s="109" t="n"/>
      <c r="I197" s="109" t="n"/>
    </row>
    <row r="198" ht="15" customHeight="1" s="88">
      <c r="A198" s="109" t="n"/>
      <c r="B198" s="109" t="n"/>
      <c r="C198" s="109" t="n"/>
      <c r="D198" s="109" t="n"/>
      <c r="I198" s="109" t="n"/>
    </row>
    <row r="199" ht="15" customHeight="1" s="88">
      <c r="A199" s="109" t="n"/>
      <c r="B199" s="109" t="n"/>
      <c r="C199" s="109" t="n"/>
      <c r="D199" s="109" t="n"/>
      <c r="I199" s="109" t="n"/>
    </row>
    <row r="200" ht="15" customHeight="1" s="88">
      <c r="A200" s="109" t="n"/>
      <c r="B200" s="109" t="n"/>
      <c r="C200" s="109" t="n"/>
      <c r="D200" s="109" t="n"/>
      <c r="I2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E6:E804">
    <cfRule type="cellIs" rank="0" priority="2" equalAverage="0" operator="notEqual" aboveAverage="0" dxfId="5" text="" percent="0" bottom="0">
      <formula>0</formula>
    </cfRule>
  </conditionalFormatting>
  <conditionalFormatting sqref="G6:G804">
    <cfRule type="cellIs" rank="0" priority="3" equalAverage="0" operator="equal" aboveAverage="0" dxfId="6" text="" percent="0" bottom="0">
      <formula>"UYUMLU"</formula>
    </cfRule>
    <cfRule type="cellIs" rank="0" priority="4" equalAverage="0" operator="equal" aboveAverage="0" dxfId="8" text="" percent="0" bottom="0">
      <formula>"FARK VAR"</formula>
    </cfRule>
  </conditionalFormatting>
  <conditionalFormatting sqref="H6:H804">
    <cfRule type="cellIs" rank="0" priority="5" equalAverage="0" operator="equal" aboveAverage="0" dxfId="8" text="" percent="0" bottom="0">
      <formula>"SAYIM EKSİK"</formula>
    </cfRule>
    <cfRule type="cellIs" rank="0" priority="6" equalAverage="0" operator="equal" aboveAverage="0" dxfId="9" text="" percent="0" bottom="0">
      <formula>"SAYIM FAZLA"</formula>
    </cfRule>
  </conditionalFormatting>
  <dataValidations count="2">
    <dataValidation sqref="C6:C804" showDropDown="0" showInputMessage="1" showErrorMessage="1" allowBlank="1" errorTitle="Geçersiz Bakiye" error="Defter bakiyesi negatif olamaz." promptTitle="Defter Bakiyesi" prompt="KASA_HAREKETLERI'ne göre hesaplanan kasa bakiyesi." type="decimal" errorStyle="stop" operator="greaterThanOrEqual">
      <formula1>0</formula1>
      <formula2>0</formula2>
    </dataValidation>
    <dataValidation sqref="D6:D804" showDropDown="0" showInputMessage="1" showErrorMessage="1" allowBlank="1" errorTitle="Geçersiz Sayım" error="Sayım tutarı negatif olamaz." promptTitle="Sayım Tutarı" prompt="Fiziki olarak sayılan para tutarı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A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.5" customWidth="1" style="87" min="1" max="1"/>
    <col width="18" customWidth="1" style="87" min="2" max="5"/>
    <col width="89.5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GUNLUK OZET — AKILLI KASA DEFTERİ VE NAKİT KONTROL SİSTEMİ</t>
        </is>
      </c>
    </row>
    <row r="2" ht="19.5" customHeight="1" s="88">
      <c r="A2" s="99" t="inlineStr">
        <is>
          <t>Günlük nakit hareketlerinin özeti. Tarih listesine bir gün yazmanız yeterli; giriş, çıkış ve net değerler KASA_HAREKETLERI'nden otomatik gelir.</t>
        </is>
      </c>
    </row>
    <row r="3"/>
    <row r="4" ht="30" customHeight="1" s="88">
      <c r="A4" s="102" t="inlineStr">
        <is>
          <t>Tarih</t>
        </is>
      </c>
      <c r="B4" s="102" t="inlineStr">
        <is>
          <t>Toplam Giriş (₺)</t>
        </is>
      </c>
      <c r="C4" s="102" t="inlineStr">
        <is>
          <t>Toplam Çıkış (₺)</t>
        </is>
      </c>
      <c r="D4" s="102" t="inlineStr">
        <is>
          <t>Net (₺)</t>
        </is>
      </c>
      <c r="E4" s="102" t="inlineStr">
        <is>
          <t>Kümülatif Net (₺)</t>
        </is>
      </c>
    </row>
    <row r="5" ht="15" customHeight="1" s="88">
      <c r="A5" s="110" t="n">
        <v>46204</v>
      </c>
      <c r="B5" s="113" t="n">
        <v>120000</v>
      </c>
      <c r="C5" s="114">
        <f>IF($A5="","",SUMIFS(tblKasaHareket[],tblKasaHareket[],$A5,tblKasaHareket[],"ÇIKIŞ"))</f>
        <v/>
      </c>
      <c r="D5" s="113" t="n">
        <v>120000</v>
      </c>
      <c r="E5" s="113" t="n">
        <v>120000</v>
      </c>
    </row>
    <row r="6" ht="15" customHeight="1" s="88">
      <c r="A6" s="110" t="n">
        <v>46205</v>
      </c>
      <c r="B6" s="114">
        <f>IF($A6="","",SUMIFS(tblKasaHareket[],tblKasaHareket[],$A6,tblKasaHareket[],"GİRİŞ"))</f>
        <v/>
      </c>
      <c r="C6" s="113" t="n">
        <v>90000</v>
      </c>
      <c r="D6" s="113" t="n">
        <v>-90000</v>
      </c>
      <c r="E6" s="113" t="n">
        <v>30000</v>
      </c>
    </row>
    <row r="7" ht="15" customHeight="1" s="88">
      <c r="A7" s="110" t="n">
        <v>46206</v>
      </c>
      <c r="B7" s="113" t="n">
        <v>85000</v>
      </c>
      <c r="C7" s="114">
        <f>IF($A7="","",SUMIFS(tblKasaHareket[],tblKasaHareket[],$A7,tblKasaHareket[],"ÇIKIŞ"))</f>
        <v/>
      </c>
      <c r="D7" s="113" t="n">
        <v>85000</v>
      </c>
      <c r="E7" s="113" t="n">
        <v>115000</v>
      </c>
    </row>
    <row r="8" ht="15" customHeight="1" s="88">
      <c r="A8" s="110" t="n">
        <v>46208</v>
      </c>
      <c r="B8" s="114">
        <f>IF($A8="","",SUMIFS(tblKasaHareket[],tblKasaHareket[],$A8,tblKasaHareket[],"GİRİŞ"))</f>
        <v/>
      </c>
      <c r="C8" s="113" t="n">
        <v>180000</v>
      </c>
      <c r="D8" s="113" t="n">
        <v>-180000</v>
      </c>
      <c r="E8" s="113" t="n">
        <v>-65000</v>
      </c>
    </row>
    <row r="9" ht="15" customHeight="1" s="88">
      <c r="A9" s="110" t="n">
        <v>46210</v>
      </c>
      <c r="B9" s="114">
        <f>IF($A9="","",SUMIFS(tblKasaHareket[],tblKasaHareket[],$A9,tblKasaHareket[],"GİRİŞ"))</f>
        <v/>
      </c>
      <c r="C9" s="113" t="n">
        <v>60000</v>
      </c>
      <c r="D9" s="113" t="n">
        <v>-60000</v>
      </c>
      <c r="E9" s="113" t="n">
        <v>-125000</v>
      </c>
    </row>
    <row r="10" ht="15" customHeight="1" s="88">
      <c r="A10" s="110" t="n">
        <v>46211</v>
      </c>
      <c r="B10" s="113" t="n">
        <v>45000</v>
      </c>
      <c r="C10" s="114">
        <f>IF($A10="","",SUMIFS(tblKasaHareket[],tblKasaHareket[],$A10,tblKasaHareket[],"ÇIKIŞ"))</f>
        <v/>
      </c>
      <c r="D10" s="113" t="n">
        <v>45000</v>
      </c>
      <c r="E10" s="113" t="n">
        <v>-80000</v>
      </c>
    </row>
    <row r="11" ht="15" customHeight="1" s="88">
      <c r="A11" s="110" t="n">
        <v>46213</v>
      </c>
      <c r="B11" s="114">
        <f>IF($A11="","",SUMIFS(tblKasaHareket[],tblKasaHareket[],$A11,tblKasaHareket[],"GİRİŞ"))</f>
        <v/>
      </c>
      <c r="C11" s="113" t="n">
        <v>75000</v>
      </c>
      <c r="D11" s="113" t="n">
        <v>-75000</v>
      </c>
      <c r="E11" s="113" t="n">
        <v>-155000</v>
      </c>
    </row>
    <row r="12" ht="15" customHeight="1" s="88">
      <c r="A12" s="110" t="n">
        <v>46215</v>
      </c>
      <c r="B12" s="114">
        <f>IF($A12="","",SUMIFS(tblKasaHareket[],tblKasaHareket[],$A12,tblKasaHareket[],"GİRİŞ"))</f>
        <v/>
      </c>
      <c r="C12" s="113" t="n">
        <v>52000</v>
      </c>
      <c r="D12" s="113" t="n">
        <v>-52000</v>
      </c>
      <c r="E12" s="113" t="n">
        <v>-207000</v>
      </c>
    </row>
    <row r="13" ht="15" customHeight="1" s="88">
      <c r="A13" s="110" t="n">
        <v>46218</v>
      </c>
      <c r="B13" s="114">
        <f>IF($A13="","",SUMIFS(tblKasaHareket[],tblKasaHareket[],$A13,tblKasaHareket[],"GİRİŞ"))</f>
        <v/>
      </c>
      <c r="C13" s="113" t="n">
        <v>120000</v>
      </c>
      <c r="D13" s="113" t="n">
        <v>-120000</v>
      </c>
      <c r="E13" s="113" t="n">
        <v>-327000</v>
      </c>
    </row>
    <row r="14" ht="15" customHeight="1" s="88">
      <c r="A14" s="110" t="n">
        <v>46219</v>
      </c>
      <c r="B14" s="113" t="n">
        <v>95000</v>
      </c>
      <c r="C14" s="114">
        <f>IF($A14="","",SUMIFS(tblKasaHareket[],tblKasaHareket[],$A14,tblKasaHareket[],"ÇIKIŞ"))</f>
        <v/>
      </c>
      <c r="D14" s="113" t="n">
        <v>95000</v>
      </c>
      <c r="E14" s="113" t="n">
        <v>-232000</v>
      </c>
    </row>
    <row r="15" ht="15" customHeight="1" s="88">
      <c r="A15" s="109" t="n"/>
      <c r="B15" s="114">
        <f>IF($A15="","",SUMIFS(tblKasaHareket[],tblKasaHareket[],$A15,tblKasaHareket[],"GİRİŞ"))</f>
        <v/>
      </c>
      <c r="C15" s="114">
        <f>IF($A15="","",SUMIFS(tblKasaHareket[],tblKasaHareket[],$A15,tblKasaHareket[],"ÇIKIŞ"))</f>
        <v/>
      </c>
      <c r="D15" s="114">
        <f>IF($A15="","",$B15-$C15)</f>
        <v/>
      </c>
      <c r="E15" s="114">
        <f>IF($A15="","",SUM($D$5:$D15))</f>
        <v/>
      </c>
    </row>
    <row r="16" ht="15" customHeight="1" s="88">
      <c r="A16" s="109" t="n"/>
      <c r="B16" s="114">
        <f>IF($A16="","",SUMIFS(tblKasaHareket[],tblKasaHareket[],$A16,tblKasaHareket[],"GİRİŞ"))</f>
        <v/>
      </c>
      <c r="C16" s="114">
        <f>IF($A16="","",SUMIFS(tblKasaHareket[],tblKasaHareket[],$A16,tblKasaHareket[],"ÇIKIŞ"))</f>
        <v/>
      </c>
      <c r="D16" s="114">
        <f>IF($A16="","",$B16-$C16)</f>
        <v/>
      </c>
      <c r="E16" s="114">
        <f>IF($A16="","",SUM($D$5:$D16))</f>
        <v/>
      </c>
    </row>
    <row r="17" ht="15" customHeight="1" s="88">
      <c r="A17" s="109" t="n"/>
      <c r="B17" s="114">
        <f>IF($A17="","",SUMIFS(tblKasaHareket[],tblKasaHareket[],$A17,tblKasaHareket[],"GİRİŞ"))</f>
        <v/>
      </c>
      <c r="C17" s="114">
        <f>IF($A17="","",SUMIFS(tblKasaHareket[],tblKasaHareket[],$A17,tblKasaHareket[],"ÇIKIŞ"))</f>
        <v/>
      </c>
      <c r="D17" s="114">
        <f>IF($A17="","",$B17-$C17)</f>
        <v/>
      </c>
      <c r="E17" s="114">
        <f>IF($A17="","",SUM($D$5:$D17))</f>
        <v/>
      </c>
    </row>
    <row r="18" ht="15" customHeight="1" s="88">
      <c r="A18" s="109" t="n"/>
      <c r="B18" s="114">
        <f>IF($A18="","",SUMIFS(tblKasaHareket[],tblKasaHareket[],$A18,tblKasaHareket[],"GİRİŞ"))</f>
        <v/>
      </c>
      <c r="C18" s="114">
        <f>IF($A18="","",SUMIFS(tblKasaHareket[],tblKasaHareket[],$A18,tblKasaHareket[],"ÇIKIŞ"))</f>
        <v/>
      </c>
      <c r="D18" s="114">
        <f>IF($A18="","",$B18-$C18)</f>
        <v/>
      </c>
      <c r="E18" s="114">
        <f>IF($A18="","",SUM($D$5:$D18))</f>
        <v/>
      </c>
    </row>
    <row r="19" ht="15" customHeight="1" s="88">
      <c r="A19" s="109" t="n"/>
      <c r="B19" s="114">
        <f>IF($A19="","",SUMIFS(tblKasaHareket[],tblKasaHareket[],$A19,tblKasaHareket[],"GİRİŞ"))</f>
        <v/>
      </c>
      <c r="C19" s="114">
        <f>IF($A19="","",SUMIFS(tblKasaHareket[],tblKasaHareket[],$A19,tblKasaHareket[],"ÇIKIŞ"))</f>
        <v/>
      </c>
      <c r="D19" s="114">
        <f>IF($A19="","",$B19-$C19)</f>
        <v/>
      </c>
      <c r="E19" s="114">
        <f>IF($A19="","",SUM($D$5:$D19))</f>
        <v/>
      </c>
    </row>
    <row r="20" ht="15" customHeight="1" s="88">
      <c r="A20" s="109" t="n"/>
      <c r="B20" s="114">
        <f>IF($A20="","",SUMIFS(tblKasaHareket[],tblKasaHareket[],$A20,tblKasaHareket[],"GİRİŞ"))</f>
        <v/>
      </c>
      <c r="C20" s="114">
        <f>IF($A20="","",SUMIFS(tblKasaHareket[],tblKasaHareket[],$A20,tblKasaHareket[],"ÇIKIŞ"))</f>
        <v/>
      </c>
      <c r="D20" s="114">
        <f>IF($A20="","",$B20-$C20)</f>
        <v/>
      </c>
      <c r="E20" s="114">
        <f>IF($A20="","",SUM($D$5:$D20))</f>
        <v/>
      </c>
    </row>
    <row r="21" ht="15" customHeight="1" s="88">
      <c r="A21" s="109" t="n"/>
      <c r="B21" s="114">
        <f>IF($A21="","",SUMIFS(tblKasaHareket[],tblKasaHareket[],$A21,tblKasaHareket[],"GİRİŞ"))</f>
        <v/>
      </c>
      <c r="C21" s="114">
        <f>IF($A21="","",SUMIFS(tblKasaHareket[],tblKasaHareket[],$A21,tblKasaHareket[],"ÇIKIŞ"))</f>
        <v/>
      </c>
      <c r="D21" s="114">
        <f>IF($A21="","",$B21-$C21)</f>
        <v/>
      </c>
      <c r="E21" s="114">
        <f>IF($A21="","",SUM($D$5:$D21))</f>
        <v/>
      </c>
    </row>
    <row r="22" ht="15" customHeight="1" s="88">
      <c r="A22" s="109" t="n"/>
      <c r="B22" s="114">
        <f>IF($A22="","",SUMIFS(tblKasaHareket[],tblKasaHareket[],$A22,tblKasaHareket[],"GİRİŞ"))</f>
        <v/>
      </c>
      <c r="C22" s="114">
        <f>IF($A22="","",SUMIFS(tblKasaHareket[],tblKasaHareket[],$A22,tblKasaHareket[],"ÇIKIŞ"))</f>
        <v/>
      </c>
      <c r="D22" s="114">
        <f>IF($A22="","",$B22-$C22)</f>
        <v/>
      </c>
      <c r="E22" s="114">
        <f>IF($A22="","",SUM($D$5:$D22))</f>
        <v/>
      </c>
    </row>
    <row r="23" ht="15" customHeight="1" s="88">
      <c r="A23" s="109" t="n"/>
      <c r="B23" s="114">
        <f>IF($A23="","",SUMIFS(tblKasaHareket[],tblKasaHareket[],$A23,tblKasaHareket[],"GİRİŞ"))</f>
        <v/>
      </c>
      <c r="C23" s="114">
        <f>IF($A23="","",SUMIFS(tblKasaHareket[],tblKasaHareket[],$A23,tblKasaHareket[],"ÇIKIŞ"))</f>
        <v/>
      </c>
      <c r="D23" s="114">
        <f>IF($A23="","",$B23-$C23)</f>
        <v/>
      </c>
      <c r="E23" s="114">
        <f>IF($A23="","",SUM($D$5:$D23))</f>
        <v/>
      </c>
    </row>
    <row r="24" ht="15" customHeight="1" s="88">
      <c r="A24" s="109" t="n"/>
      <c r="B24" s="114">
        <f>IF($A24="","",SUMIFS(tblKasaHareket[],tblKasaHareket[],$A24,tblKasaHareket[],"GİRİŞ"))</f>
        <v/>
      </c>
      <c r="C24" s="114">
        <f>IF($A24="","",SUMIFS(tblKasaHareket[],tblKasaHareket[],$A24,tblKasaHareket[],"ÇIKIŞ"))</f>
        <v/>
      </c>
      <c r="D24" s="114">
        <f>IF($A24="","",$B24-$C24)</f>
        <v/>
      </c>
      <c r="E24" s="114">
        <f>IF($A24="","",SUM($D$5:$D24))</f>
        <v/>
      </c>
    </row>
    <row r="25" ht="15" customHeight="1" s="88">
      <c r="A25" s="109" t="n"/>
      <c r="B25" s="114">
        <f>IF($A25="","",SUMIFS(tblKasaHareket[],tblKasaHareket[],$A25,tblKasaHareket[],"GİRİŞ"))</f>
        <v/>
      </c>
      <c r="C25" s="114">
        <f>IF($A25="","",SUMIFS(tblKasaHareket[],tblKasaHareket[],$A25,tblKasaHareket[],"ÇIKIŞ"))</f>
        <v/>
      </c>
      <c r="D25" s="114">
        <f>IF($A25="","",$B25-$C25)</f>
        <v/>
      </c>
      <c r="E25" s="114">
        <f>IF($A25="","",SUM($D$5:$D25))</f>
        <v/>
      </c>
    </row>
    <row r="26" ht="15" customHeight="1" s="88">
      <c r="A26" s="109" t="n"/>
      <c r="B26" s="114">
        <f>IF($A26="","",SUMIFS(tblKasaHareket[],tblKasaHareket[],$A26,tblKasaHareket[],"GİRİŞ"))</f>
        <v/>
      </c>
      <c r="C26" s="114">
        <f>IF($A26="","",SUMIFS(tblKasaHareket[],tblKasaHareket[],$A26,tblKasaHareket[],"ÇIKIŞ"))</f>
        <v/>
      </c>
      <c r="D26" s="114">
        <f>IF($A26="","",$B26-$C26)</f>
        <v/>
      </c>
      <c r="E26" s="114">
        <f>IF($A26="","",SUM($D$5:$D26))</f>
        <v/>
      </c>
    </row>
    <row r="27" ht="15" customHeight="1" s="88">
      <c r="A27" s="109" t="n"/>
      <c r="B27" s="114">
        <f>IF($A27="","",SUMIFS(tblKasaHareket[],tblKasaHareket[],$A27,tblKasaHareket[],"GİRİŞ"))</f>
        <v/>
      </c>
      <c r="C27" s="114">
        <f>IF($A27="","",SUMIFS(tblKasaHareket[],tblKasaHareket[],$A27,tblKasaHareket[],"ÇIKIŞ"))</f>
        <v/>
      </c>
      <c r="D27" s="114">
        <f>IF($A27="","",$B27-$C27)</f>
        <v/>
      </c>
      <c r="E27" s="114">
        <f>IF($A27="","",SUM($D$5:$D27))</f>
        <v/>
      </c>
    </row>
    <row r="28" ht="15" customHeight="1" s="88">
      <c r="A28" s="109" t="n"/>
      <c r="B28" s="114">
        <f>IF($A28="","",SUMIFS(tblKasaHareket[],tblKasaHareket[],$A28,tblKasaHareket[],"GİRİŞ"))</f>
        <v/>
      </c>
      <c r="C28" s="114">
        <f>IF($A28="","",SUMIFS(tblKasaHareket[],tblKasaHareket[],$A28,tblKasaHareket[],"ÇIKIŞ"))</f>
        <v/>
      </c>
      <c r="D28" s="114">
        <f>IF($A28="","",$B28-$C28)</f>
        <v/>
      </c>
      <c r="E28" s="114">
        <f>IF($A28="","",SUM($D$5:$D28))</f>
        <v/>
      </c>
    </row>
    <row r="29" ht="15" customHeight="1" s="88">
      <c r="A29" s="109" t="n"/>
      <c r="B29" s="114">
        <f>IF($A29="","",SUMIFS(tblKasaHareket[],tblKasaHareket[],$A29,tblKasaHareket[],"GİRİŞ"))</f>
        <v/>
      </c>
      <c r="C29" s="114">
        <f>IF($A29="","",SUMIFS(tblKasaHareket[],tblKasaHareket[],$A29,tblKasaHareket[],"ÇIKIŞ"))</f>
        <v/>
      </c>
      <c r="D29" s="114">
        <f>IF($A29="","",$B29-$C29)</f>
        <v/>
      </c>
      <c r="E29" s="114">
        <f>IF($A29="","",SUM($D$5:$D29))</f>
        <v/>
      </c>
    </row>
    <row r="30" ht="15" customHeight="1" s="88">
      <c r="A30" s="109" t="n"/>
      <c r="B30" s="114">
        <f>IF($A30="","",SUMIFS(tblKasaHareket[],tblKasaHareket[],$A30,tblKasaHareket[],"GİRİŞ"))</f>
        <v/>
      </c>
      <c r="C30" s="114">
        <f>IF($A30="","",SUMIFS(tblKasaHareket[],tblKasaHareket[],$A30,tblKasaHareket[],"ÇIKIŞ"))</f>
        <v/>
      </c>
      <c r="D30" s="114">
        <f>IF($A30="","",$B30-$C30)</f>
        <v/>
      </c>
      <c r="E30" s="114">
        <f>IF($A30="","",SUM($D$5:$D30))</f>
        <v/>
      </c>
    </row>
    <row r="31" ht="15" customHeight="1" s="88">
      <c r="A31" s="109" t="n"/>
    </row>
    <row r="32" ht="15" customHeight="1" s="88">
      <c r="A32" s="109" t="n"/>
    </row>
    <row r="33" ht="15" customHeight="1" s="88">
      <c r="A33" s="109" t="n"/>
    </row>
    <row r="34" ht="15" customHeight="1" s="88">
      <c r="A34" s="109" t="n"/>
    </row>
    <row r="35" ht="15" customHeight="1" s="88">
      <c r="A35" s="109" t="n"/>
    </row>
    <row r="36" ht="15" customHeight="1" s="88">
      <c r="A36" s="109" t="n"/>
    </row>
    <row r="37" ht="15" customHeight="1" s="88">
      <c r="A37" s="109" t="n"/>
    </row>
    <row r="38" ht="15" customHeight="1" s="88">
      <c r="A38" s="109" t="n"/>
    </row>
    <row r="39" ht="15" customHeight="1" s="88">
      <c r="A39" s="109" t="n"/>
    </row>
    <row r="40" ht="15" customHeight="1" s="88">
      <c r="A40" s="109" t="n"/>
    </row>
    <row r="41" ht="15" customHeight="1" s="88">
      <c r="A41" s="109" t="n"/>
    </row>
    <row r="42" ht="15" customHeight="1" s="88">
      <c r="A42" s="109" t="n"/>
    </row>
    <row r="43" ht="15" customHeight="1" s="88">
      <c r="A43" s="109" t="n"/>
    </row>
    <row r="44" ht="15" customHeight="1" s="88">
      <c r="A44" s="109" t="n"/>
    </row>
    <row r="45" ht="15" customHeight="1" s="88">
      <c r="A45" s="109" t="n"/>
    </row>
    <row r="46" ht="15" customHeight="1" s="88">
      <c r="A46" s="109" t="n"/>
    </row>
    <row r="47" ht="15" customHeight="1" s="88">
      <c r="A47" s="109" t="n"/>
    </row>
    <row r="48" ht="15" customHeight="1" s="88">
      <c r="A48" s="109" t="n"/>
    </row>
    <row r="49" ht="15" customHeight="1" s="88">
      <c r="A49" s="109" t="n"/>
    </row>
    <row r="50" ht="15" customHeight="1" s="88">
      <c r="A50" s="109" t="n"/>
    </row>
    <row r="51" ht="15" customHeight="1" s="88">
      <c r="A51" s="109" t="n"/>
    </row>
    <row r="52" ht="15" customHeight="1" s="88">
      <c r="A52" s="109" t="n"/>
    </row>
    <row r="53" ht="15" customHeight="1" s="88">
      <c r="A53" s="109" t="n"/>
    </row>
    <row r="54" ht="15" customHeight="1" s="88">
      <c r="A54" s="109" t="n"/>
    </row>
    <row r="55" ht="15" customHeight="1" s="88">
      <c r="A55" s="109" t="n"/>
    </row>
    <row r="56" ht="15" customHeight="1" s="88">
      <c r="A56" s="109" t="n"/>
    </row>
    <row r="57" ht="15" customHeight="1" s="88">
      <c r="A57" s="109" t="n"/>
    </row>
    <row r="58" ht="15" customHeight="1" s="88">
      <c r="A58" s="109" t="n"/>
    </row>
    <row r="59" ht="15" customHeight="1" s="88">
      <c r="A59" s="109" t="n"/>
    </row>
    <row r="60" ht="15" customHeight="1" s="88">
      <c r="A60" s="109" t="n"/>
    </row>
    <row r="61" ht="15" customHeight="1" s="88">
      <c r="A61" s="109" t="n"/>
    </row>
    <row r="62" ht="15" customHeight="1" s="88">
      <c r="A62" s="109" t="n"/>
    </row>
    <row r="63" ht="15" customHeight="1" s="88">
      <c r="A63" s="109" t="n"/>
    </row>
    <row r="64" ht="15" customHeight="1" s="88">
      <c r="A64" s="109" t="n"/>
    </row>
    <row r="65" ht="15" customHeight="1" s="88">
      <c r="A65" s="109" t="n"/>
    </row>
    <row r="66" ht="15" customHeight="1" s="88">
      <c r="A66" s="109" t="n"/>
    </row>
    <row r="67" ht="15" customHeight="1" s="88">
      <c r="A67" s="109" t="n"/>
    </row>
    <row r="68" ht="15" customHeight="1" s="88">
      <c r="A68" s="109" t="n"/>
    </row>
    <row r="69" ht="15" customHeight="1" s="88">
      <c r="A69" s="109" t="n"/>
    </row>
    <row r="70" ht="15" customHeight="1" s="88">
      <c r="A70" s="109" t="n"/>
    </row>
    <row r="71" ht="15" customHeight="1" s="88">
      <c r="A71" s="109" t="n"/>
    </row>
    <row r="72" ht="15" customHeight="1" s="88">
      <c r="A72" s="109" t="n"/>
    </row>
    <row r="73" ht="15" customHeight="1" s="88">
      <c r="A73" s="109" t="n"/>
    </row>
    <row r="74" ht="15" customHeight="1" s="88">
      <c r="A74" s="109" t="n"/>
    </row>
    <row r="75" ht="15" customHeight="1" s="88">
      <c r="A75" s="109" t="n"/>
    </row>
    <row r="76" ht="15" customHeight="1" s="88">
      <c r="A76" s="109" t="n"/>
    </row>
    <row r="77" ht="15" customHeight="1" s="88">
      <c r="A77" s="109" t="n"/>
    </row>
    <row r="78" ht="15" customHeight="1" s="88">
      <c r="A78" s="109" t="n"/>
    </row>
    <row r="79" ht="15" customHeight="1" s="88">
      <c r="A79" s="109" t="n"/>
    </row>
    <row r="80" ht="15" customHeight="1" s="88">
      <c r="A80" s="109" t="n"/>
    </row>
    <row r="81" ht="15" customHeight="1" s="88">
      <c r="A81" s="109" t="n"/>
    </row>
    <row r="82" ht="15" customHeight="1" s="88">
      <c r="A82" s="109" t="n"/>
    </row>
    <row r="83" ht="15" customHeight="1" s="88">
      <c r="A83" s="109" t="n"/>
    </row>
    <row r="84" ht="15" customHeight="1" s="88">
      <c r="A84" s="109" t="n"/>
    </row>
    <row r="85" ht="15" customHeight="1" s="88">
      <c r="A85" s="109" t="n"/>
    </row>
    <row r="86" ht="15" customHeight="1" s="88">
      <c r="A86" s="109" t="n"/>
    </row>
    <row r="87" ht="15" customHeight="1" s="88">
      <c r="A87" s="109" t="n"/>
    </row>
    <row r="88" ht="15" customHeight="1" s="88">
      <c r="A88" s="109" t="n"/>
    </row>
    <row r="89" ht="15" customHeight="1" s="88">
      <c r="A89" s="109" t="n"/>
    </row>
    <row r="90" ht="15" customHeight="1" s="88">
      <c r="A90" s="109" t="n"/>
    </row>
    <row r="91" ht="15" customHeight="1" s="88">
      <c r="A91" s="109" t="n"/>
    </row>
    <row r="92" ht="15" customHeight="1" s="88">
      <c r="A92" s="109" t="n"/>
    </row>
    <row r="93" ht="15" customHeight="1" s="88">
      <c r="A93" s="109" t="n"/>
    </row>
    <row r="94" ht="15" customHeight="1" s="88">
      <c r="A94" s="109" t="n"/>
    </row>
    <row r="95" ht="15" customHeight="1" s="88">
      <c r="A95" s="109" t="n"/>
    </row>
    <row r="96" ht="15" customHeight="1" s="88">
      <c r="A96" s="109" t="n"/>
    </row>
    <row r="97" ht="15" customHeight="1" s="88">
      <c r="A97" s="109" t="n"/>
    </row>
    <row r="98" ht="15" customHeight="1" s="88">
      <c r="A98" s="109" t="n"/>
    </row>
    <row r="99" ht="15" customHeight="1" s="88">
      <c r="A99" s="109" t="n"/>
    </row>
    <row r="100" ht="15" customHeight="1" s="88">
      <c r="A100" s="109" t="n"/>
    </row>
    <row r="101" ht="15" customHeight="1" s="88">
      <c r="A101" s="109" t="n"/>
    </row>
    <row r="102" ht="15" customHeight="1" s="88">
      <c r="A102" s="109" t="n"/>
    </row>
    <row r="103" ht="15" customHeight="1" s="88">
      <c r="A103" s="109" t="n"/>
    </row>
    <row r="104" ht="15" customHeight="1" s="88">
      <c r="A104" s="109" t="n"/>
    </row>
    <row r="105" ht="15" customHeight="1" s="88">
      <c r="A105" s="109" t="n"/>
    </row>
    <row r="106" ht="15" customHeight="1" s="88">
      <c r="A106" s="109" t="n"/>
    </row>
    <row r="107" ht="15" customHeight="1" s="88">
      <c r="A107" s="109" t="n"/>
    </row>
    <row r="108" ht="15" customHeight="1" s="88">
      <c r="A108" s="109" t="n"/>
    </row>
    <row r="109" ht="15" customHeight="1" s="88">
      <c r="A109" s="109" t="n"/>
    </row>
    <row r="110" ht="15" customHeight="1" s="88">
      <c r="A110" s="109" t="n"/>
    </row>
    <row r="111" ht="15" customHeight="1" s="88">
      <c r="A111" s="109" t="n"/>
    </row>
    <row r="112" ht="15" customHeight="1" s="88">
      <c r="A112" s="109" t="n"/>
    </row>
    <row r="113" ht="15" customHeight="1" s="88">
      <c r="A113" s="109" t="n"/>
    </row>
    <row r="114" ht="15" customHeight="1" s="88">
      <c r="A114" s="109" t="n"/>
    </row>
    <row r="115" ht="15" customHeight="1" s="88">
      <c r="A115" s="109" t="n"/>
    </row>
    <row r="116" ht="15" customHeight="1" s="88">
      <c r="A116" s="109" t="n"/>
    </row>
    <row r="117" ht="15" customHeight="1" s="88">
      <c r="A117" s="109" t="n"/>
    </row>
    <row r="118" ht="15" customHeight="1" s="88">
      <c r="A118" s="109" t="n"/>
    </row>
    <row r="119" ht="15" customHeight="1" s="88">
      <c r="A119" s="109" t="n"/>
    </row>
    <row r="120" ht="15" customHeight="1" s="88">
      <c r="A120" s="109" t="n"/>
    </row>
    <row r="121" ht="15" customHeight="1" s="88">
      <c r="A121" s="109" t="n"/>
    </row>
    <row r="122" ht="15" customHeight="1" s="88">
      <c r="A122" s="109" t="n"/>
    </row>
    <row r="123" ht="15" customHeight="1" s="88">
      <c r="A123" s="109" t="n"/>
    </row>
    <row r="124" ht="15" customHeight="1" s="88">
      <c r="A124" s="109" t="n"/>
    </row>
    <row r="125" ht="15" customHeight="1" s="88">
      <c r="A125" s="109" t="n"/>
    </row>
    <row r="126" ht="15" customHeight="1" s="88">
      <c r="A126" s="109" t="n"/>
    </row>
    <row r="127" ht="15" customHeight="1" s="88">
      <c r="A127" s="109" t="n"/>
    </row>
    <row r="128" ht="15" customHeight="1" s="88">
      <c r="A128" s="109" t="n"/>
    </row>
    <row r="129" ht="15" customHeight="1" s="88">
      <c r="A129" s="109" t="n"/>
    </row>
    <row r="130" ht="15" customHeight="1" s="88">
      <c r="A130" s="109" t="n"/>
    </row>
    <row r="131" ht="15" customHeight="1" s="88">
      <c r="A131" s="109" t="n"/>
    </row>
    <row r="132" ht="15" customHeight="1" s="88">
      <c r="A132" s="109" t="n"/>
    </row>
    <row r="133" ht="15" customHeight="1" s="88">
      <c r="A133" s="109" t="n"/>
    </row>
    <row r="134" ht="15" customHeight="1" s="88">
      <c r="A134" s="109" t="n"/>
    </row>
    <row r="135" ht="15" customHeight="1" s="88">
      <c r="A135" s="109" t="n"/>
    </row>
    <row r="136" ht="15" customHeight="1" s="88">
      <c r="A136" s="109" t="n"/>
    </row>
    <row r="137" ht="15" customHeight="1" s="88">
      <c r="A137" s="109" t="n"/>
    </row>
    <row r="138" ht="15" customHeight="1" s="88">
      <c r="A138" s="109" t="n"/>
    </row>
    <row r="139" ht="15" customHeight="1" s="88">
      <c r="A139" s="109" t="n"/>
    </row>
    <row r="140" ht="15" customHeight="1" s="88">
      <c r="A140" s="109" t="n"/>
    </row>
    <row r="141" ht="15" customHeight="1" s="88">
      <c r="A141" s="109" t="n"/>
    </row>
    <row r="142" ht="15" customHeight="1" s="88">
      <c r="A142" s="109" t="n"/>
    </row>
    <row r="143" ht="15" customHeight="1" s="88">
      <c r="A143" s="109" t="n"/>
    </row>
    <row r="144" ht="15" customHeight="1" s="88">
      <c r="A144" s="109" t="n"/>
    </row>
    <row r="145" ht="15" customHeight="1" s="88">
      <c r="A145" s="109" t="n"/>
    </row>
    <row r="146" ht="15" customHeight="1" s="88">
      <c r="A146" s="109" t="n"/>
    </row>
    <row r="147" ht="15" customHeight="1" s="88">
      <c r="A147" s="109" t="n"/>
    </row>
    <row r="148" ht="15" customHeight="1" s="88">
      <c r="A148" s="109" t="n"/>
    </row>
    <row r="149" ht="15" customHeight="1" s="88">
      <c r="A149" s="109" t="n"/>
    </row>
    <row r="150" ht="15" customHeight="1" s="88">
      <c r="A150" s="109" t="n"/>
    </row>
    <row r="151" ht="15" customHeight="1" s="88">
      <c r="A151" s="109" t="n"/>
    </row>
    <row r="152" ht="15" customHeight="1" s="88">
      <c r="A152" s="109" t="n"/>
    </row>
    <row r="153" ht="15" customHeight="1" s="88">
      <c r="A153" s="109" t="n"/>
    </row>
    <row r="154" ht="15" customHeight="1" s="88">
      <c r="A154" s="109" t="n"/>
    </row>
    <row r="155" ht="15" customHeight="1" s="88">
      <c r="A155" s="109" t="n"/>
    </row>
    <row r="156" ht="15" customHeight="1" s="88">
      <c r="A156" s="109" t="n"/>
    </row>
    <row r="157" ht="15" customHeight="1" s="88">
      <c r="A157" s="109" t="n"/>
    </row>
    <row r="158" ht="15" customHeight="1" s="88">
      <c r="A158" s="109" t="n"/>
    </row>
    <row r="159" ht="15" customHeight="1" s="88">
      <c r="A159" s="109" t="n"/>
    </row>
    <row r="160" ht="15" customHeight="1" s="88">
      <c r="A160" s="109" t="n"/>
    </row>
    <row r="161" ht="15" customHeight="1" s="88">
      <c r="A161" s="109" t="n"/>
    </row>
    <row r="162" ht="15" customHeight="1" s="88">
      <c r="A162" s="109" t="n"/>
    </row>
    <row r="163" ht="15" customHeight="1" s="88">
      <c r="A163" s="109" t="n"/>
    </row>
    <row r="164" ht="15" customHeight="1" s="88">
      <c r="A164" s="109" t="n"/>
    </row>
    <row r="165" ht="15" customHeight="1" s="88">
      <c r="A165" s="109" t="n"/>
    </row>
    <row r="166" ht="15" customHeight="1" s="88">
      <c r="A166" s="109" t="n"/>
    </row>
    <row r="167" ht="15" customHeight="1" s="88">
      <c r="A167" s="109" t="n"/>
    </row>
    <row r="168" ht="15" customHeight="1" s="88">
      <c r="A168" s="109" t="n"/>
    </row>
    <row r="169" ht="15" customHeight="1" s="88">
      <c r="A169" s="109" t="n"/>
    </row>
    <row r="170" ht="15" customHeight="1" s="88">
      <c r="A170" s="109" t="n"/>
    </row>
    <row r="171" ht="15" customHeight="1" s="88">
      <c r="A171" s="109" t="n"/>
    </row>
    <row r="172" ht="15" customHeight="1" s="88">
      <c r="A172" s="109" t="n"/>
    </row>
    <row r="173" ht="15" customHeight="1" s="88">
      <c r="A173" s="109" t="n"/>
    </row>
    <row r="174" ht="15" customHeight="1" s="88">
      <c r="A174" s="109" t="n"/>
    </row>
    <row r="175" ht="15" customHeight="1" s="88">
      <c r="A175" s="109" t="n"/>
    </row>
    <row r="176" ht="15" customHeight="1" s="88">
      <c r="A176" s="109" t="n"/>
    </row>
    <row r="177" ht="15" customHeight="1" s="88">
      <c r="A177" s="109" t="n"/>
    </row>
    <row r="178" ht="15" customHeight="1" s="88">
      <c r="A178" s="109" t="n"/>
    </row>
    <row r="179" ht="15" customHeight="1" s="88">
      <c r="A179" s="109" t="n"/>
    </row>
    <row r="180" ht="15" customHeight="1" s="88">
      <c r="A180" s="109" t="n"/>
    </row>
    <row r="181" ht="15" customHeight="1" s="88">
      <c r="A181" s="109" t="n"/>
    </row>
    <row r="182" ht="15" customHeight="1" s="88">
      <c r="A182" s="109" t="n"/>
    </row>
    <row r="183" ht="15" customHeight="1" s="88">
      <c r="A183" s="109" t="n"/>
    </row>
    <row r="184" ht="15" customHeight="1" s="88">
      <c r="A184" s="109" t="n"/>
    </row>
    <row r="185" ht="15" customHeight="1" s="88">
      <c r="A185" s="109" t="n"/>
    </row>
    <row r="186" ht="15" customHeight="1" s="88">
      <c r="A186" s="109" t="n"/>
    </row>
    <row r="187" ht="15" customHeight="1" s="88">
      <c r="A187" s="109" t="n"/>
    </row>
    <row r="188" ht="15" customHeight="1" s="88">
      <c r="A188" s="109" t="n"/>
    </row>
    <row r="189" ht="15" customHeight="1" s="88">
      <c r="A189" s="109" t="n"/>
    </row>
    <row r="190" ht="15" customHeight="1" s="88">
      <c r="A190" s="109" t="n"/>
    </row>
    <row r="191" ht="15" customHeight="1" s="88">
      <c r="A191" s="109" t="n"/>
    </row>
    <row r="192" ht="15" customHeight="1" s="88">
      <c r="A192" s="109" t="n"/>
    </row>
    <row r="193" ht="15" customHeight="1" s="88">
      <c r="A193" s="109" t="n"/>
    </row>
    <row r="194" ht="15" customHeight="1" s="88">
      <c r="A194" s="109" t="n"/>
    </row>
    <row r="195" ht="15" customHeight="1" s="88">
      <c r="A195" s="109" t="n"/>
    </row>
    <row r="196" ht="15" customHeight="1" s="88">
      <c r="A196" s="109" t="n"/>
    </row>
    <row r="197" ht="15" customHeight="1" s="88">
      <c r="A197" s="109" t="n"/>
    </row>
    <row r="198" ht="15" customHeight="1" s="88">
      <c r="A198" s="109" t="n"/>
    </row>
    <row r="199" ht="15" customHeight="1" s="88">
      <c r="A199" s="109" t="n"/>
    </row>
    <row r="200" ht="15" customHeight="1" s="88">
      <c r="A2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C6:C804">
    <cfRule type="cellIs" rank="0" priority="2" equalAverage="0" operator="lessThan" aboveAverage="0" dxfId="5" text="" percent="0" bottom="0">
      <formula>0</formula>
    </cfRule>
    <cfRule type="cellIs" rank="0" priority="3" equalAverage="0" operator="greaterThan" aboveAverage="0" dxfId="6" text="" percent="0" bottom="0">
      <formula>0</formula>
    </cfRule>
  </conditionalFormatting>
  <conditionalFormatting sqref="D6:D804">
    <cfRule type="cellIs" rank="0" priority="4" equalAverage="0" operator="lessThan" aboveAverage="0" dxfId="8" text="" percent="0" bottom="0">
      <formula>0</formula>
    </cfRule>
  </conditionalFormatting>
  <conditionalFormatting sqref="E6:E804">
    <cfRule type="cellIs" rank="0" priority="5" equalAverage="0" operator="lessThan" aboveAverage="0" dxfId="8" text="" percent="0" bottom="0">
      <formula>0</formula>
    </cfRule>
  </conditionalFormatting>
  <conditionalFormatting sqref="F6:F804">
    <cfRule type="cellIs" rank="0" priority="6" equalAverage="0" operator="lessThan" aboveAverage="0" dxfId="8" text="" percent="0" bottom="0">
      <formula>0</formula>
    </cfRule>
    <cfRule type="cellIs" rank="0" priority="7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&amp;LAKILLI KASA DEFTERİ VE NAKİT KONTROL SİSTEMİ&amp;CExcelArşiv&amp;RSayfa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.5" customWidth="1" style="87" min="1" max="1"/>
    <col width="37.5" customWidth="1" style="87" min="2" max="2"/>
    <col width="18" customWidth="1" style="87" min="3" max="7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NAKIT PROJEKSIYONU — AKILLI KASA DEFTERİ VE NAKİT KONTROL SİSTEMİ</t>
        </is>
      </c>
    </row>
    <row r="2" ht="19.5" customHeight="1" s="88">
      <c r="A2" s="99" t="inlineStr">
        <is>
          <t>Önümüzdeki haftalar için nakit projeksiyonu. Hafta başlangıç tarihlerini girin; beklenen giriş/çıkış ODEME_TAHSILAT_TAKVIMI ve günlük ortalamadan hesaplanır.</t>
        </is>
      </c>
    </row>
    <row r="3"/>
    <row r="4" ht="30" customHeight="1" s="88">
      <c r="A4" s="102" t="inlineStr">
        <is>
          <t>Hafta Başlangıcı</t>
        </is>
      </c>
      <c r="B4" s="102" t="inlineStr">
        <is>
          <t>Hafta Sonu</t>
        </is>
      </c>
      <c r="C4" s="102" t="inlineStr">
        <is>
          <t>Beklenen Giriş (₺)</t>
        </is>
      </c>
      <c r="D4" s="102" t="inlineStr">
        <is>
          <t>Beklenen Çıkış (₺)</t>
        </is>
      </c>
      <c r="E4" s="102" t="inlineStr">
        <is>
          <t>Net (₺)</t>
        </is>
      </c>
      <c r="F4" s="102" t="inlineStr">
        <is>
          <t>Dönem Başı Kasa (₺)</t>
        </is>
      </c>
      <c r="G4" s="102" t="inlineStr">
        <is>
          <t>Dönem Sonu Kasa (₺)</t>
        </is>
      </c>
    </row>
    <row r="5" ht="15" customHeight="1" s="88">
      <c r="A5" s="110" t="n">
        <v>46244</v>
      </c>
      <c r="B5" s="115">
        <f>IF($A5="","",$A5+HaftaUzunluk-1)</f>
        <v/>
      </c>
      <c r="C5" s="113" t="n">
        <v>200000</v>
      </c>
      <c r="D5" s="113" t="n">
        <v>230000</v>
      </c>
      <c r="E5" s="113" t="n">
        <v>-30000</v>
      </c>
      <c r="F5" s="113" t="n">
        <v>500000</v>
      </c>
      <c r="G5" s="113" t="n">
        <v>470000</v>
      </c>
    </row>
    <row r="6" ht="15" customHeight="1" s="88">
      <c r="A6" s="110" t="n">
        <v>46251</v>
      </c>
      <c r="B6" s="115">
        <f>IF($A6="","",$A6+HaftaUzunluk-1)</f>
        <v/>
      </c>
      <c r="C6" s="114">
        <f>IF($A6="","",SUMIFS(tblTakvim[],tblTakvim[],"&gt;="&amp;$A6,tblTakvim[],"&lt;="&amp;$B6,tblTakvim[],"TAHSİLAT",tblTakvim[],"BEKLEMEDE"))</f>
        <v/>
      </c>
      <c r="D6" s="113" t="n">
        <v>180000</v>
      </c>
      <c r="E6" s="113" t="n">
        <v>-180000</v>
      </c>
      <c r="F6" s="113" t="n">
        <v>470000</v>
      </c>
      <c r="G6" s="113" t="n">
        <v>290000</v>
      </c>
    </row>
    <row r="7" ht="15" customHeight="1" s="88">
      <c r="A7" s="110" t="n">
        <v>46258</v>
      </c>
      <c r="B7" s="115">
        <f>IF($A7="","",$A7+HaftaUzunluk-1)</f>
        <v/>
      </c>
      <c r="C7" s="113" t="n">
        <v>150000</v>
      </c>
      <c r="D7" s="114">
        <f>IF($A7="","",SUMIFS(tblTakvim[],tblTakvim[],"&gt;="&amp;$A7,tblTakvim[],"&lt;="&amp;$B7,tblTakvim[],"ÖDEME",tblTakvim[],"BEKLEMEDE"))</f>
        <v/>
      </c>
      <c r="E7" s="113" t="n">
        <v>150000</v>
      </c>
      <c r="F7" s="113" t="n">
        <v>290000</v>
      </c>
      <c r="G7" s="113" t="n">
        <v>440000</v>
      </c>
    </row>
    <row r="8" ht="15" customHeight="1" s="88">
      <c r="A8" s="110" t="n">
        <v>46265</v>
      </c>
      <c r="B8" s="115">
        <f>IF($A8="","",$A8+HaftaUzunluk-1)</f>
        <v/>
      </c>
      <c r="C8" s="114">
        <f>IF($A8="","",SUMIFS(tblTakvim[],tblTakvim[],"&gt;="&amp;$A8,tblTakvim[],"&lt;="&amp;$B8,tblTakvim[],"TAHSİLAT",tblTakvim[],"BEKLEMEDE"))</f>
        <v/>
      </c>
      <c r="D8" s="113" t="n">
        <v>127000</v>
      </c>
      <c r="E8" s="113" t="n">
        <v>-127000</v>
      </c>
      <c r="F8" s="113" t="n">
        <v>440000</v>
      </c>
      <c r="G8" s="113" t="n">
        <v>313000</v>
      </c>
    </row>
    <row r="9" ht="15" customHeight="1" s="88">
      <c r="A9" s="110" t="n">
        <v>46272</v>
      </c>
      <c r="B9" s="115">
        <f>IF($A9="","",$A9+HaftaUzunluk-1)</f>
        <v/>
      </c>
      <c r="C9" s="114">
        <f>IF($A9="","",SUMIFS(tblTakvim[],tblTakvim[],"&gt;="&amp;$A9,tblTakvim[],"&lt;="&amp;$B9,tblTakvim[],"TAHSİLAT",tblTakvim[],"BEKLEMEDE"))</f>
        <v/>
      </c>
      <c r="D9" s="114">
        <f>IF($A9="","",SUMIFS(tblTakvim[],tblTakvim[],"&gt;="&amp;$A9,tblTakvim[],"&lt;="&amp;$B9,tblTakvim[],"ÖDEME",tblTakvim[],"BEKLEMEDE"))</f>
        <v/>
      </c>
      <c r="E9" s="114">
        <f>IF($A9="","",$C9-$D9)</f>
        <v/>
      </c>
      <c r="F9" s="113" t="n">
        <v>313000</v>
      </c>
      <c r="G9" s="113" t="n">
        <v>313000</v>
      </c>
    </row>
    <row r="10" ht="15" customHeight="1" s="88">
      <c r="A10" s="110" t="n">
        <v>46279</v>
      </c>
      <c r="B10" s="115">
        <f>IF($A10="","",$A10+HaftaUzunluk-1)</f>
        <v/>
      </c>
      <c r="C10" s="114">
        <f>IF($A10="","",SUMIFS(tblTakvim[],tblTakvim[],"&gt;="&amp;$A10,tblTakvim[],"&lt;="&amp;$B10,tblTakvim[],"TAHSİLAT",tblTakvim[],"BEKLEMEDE"))</f>
        <v/>
      </c>
      <c r="D10" s="114">
        <f>IF($A10="","",SUMIFS(tblTakvim[],tblTakvim[],"&gt;="&amp;$A10,tblTakvim[],"&lt;="&amp;$B10,tblTakvim[],"ÖDEME",tblTakvim[],"BEKLEMEDE"))</f>
        <v/>
      </c>
      <c r="E10" s="114">
        <f>IF($A10="","",$C10-$D10)</f>
        <v/>
      </c>
      <c r="F10" s="113" t="n">
        <v>313000</v>
      </c>
      <c r="G10" s="113" t="n">
        <v>313000</v>
      </c>
    </row>
    <row r="11" ht="15" customHeight="1" s="88">
      <c r="A11" s="110" t="n">
        <v>46286</v>
      </c>
      <c r="B11" s="115">
        <f>IF($A11="","",$A11+HaftaUzunluk-1)</f>
        <v/>
      </c>
      <c r="C11" s="114">
        <f>IF($A11="","",SUMIFS(tblTakvim[],tblTakvim[],"&gt;="&amp;$A11,tblTakvim[],"&lt;="&amp;$B11,tblTakvim[],"TAHSİLAT",tblTakvim[],"BEKLEMEDE"))</f>
        <v/>
      </c>
      <c r="D11" s="114">
        <f>IF($A11="","",SUMIFS(tblTakvim[],tblTakvim[],"&gt;="&amp;$A11,tblTakvim[],"&lt;="&amp;$B11,tblTakvim[],"ÖDEME",tblTakvim[],"BEKLEMEDE"))</f>
        <v/>
      </c>
      <c r="E11" s="114">
        <f>IF($A11="","",$C11-$D11)</f>
        <v/>
      </c>
      <c r="F11" s="113" t="n">
        <v>313000</v>
      </c>
      <c r="G11" s="113" t="n">
        <v>313000</v>
      </c>
    </row>
    <row r="12" ht="15" customHeight="1" s="88">
      <c r="A12" s="110" t="n">
        <v>46293</v>
      </c>
      <c r="B12" s="115">
        <f>IF($A12="","",$A12+HaftaUzunluk-1)</f>
        <v/>
      </c>
      <c r="C12" s="114">
        <f>IF($A12="","",SUMIFS(tblTakvim[],tblTakvim[],"&gt;="&amp;$A12,tblTakvim[],"&lt;="&amp;$B12,tblTakvim[],"TAHSİLAT",tblTakvim[],"BEKLEMEDE"))</f>
        <v/>
      </c>
      <c r="D12" s="114">
        <f>IF($A12="","",SUMIFS(tblTakvim[],tblTakvim[],"&gt;="&amp;$A12,tblTakvim[],"&lt;="&amp;$B12,tblTakvim[],"ÖDEME",tblTakvim[],"BEKLEMEDE"))</f>
        <v/>
      </c>
      <c r="E12" s="114">
        <f>IF($A12="","",$C12-$D12)</f>
        <v/>
      </c>
      <c r="F12" s="113" t="n">
        <v>313000</v>
      </c>
      <c r="G12" s="113" t="n">
        <v>313000</v>
      </c>
    </row>
    <row r="13" ht="15" customHeight="1" s="88">
      <c r="A13" s="110" t="n">
        <v>46300</v>
      </c>
      <c r="B13" s="115">
        <f>IF($A13="","",$A13+HaftaUzunluk-1)</f>
        <v/>
      </c>
      <c r="C13" s="114">
        <f>IF($A13="","",SUMIFS(tblTakvim[],tblTakvim[],"&gt;="&amp;$A13,tblTakvim[],"&lt;="&amp;$B13,tblTakvim[],"TAHSİLAT",tblTakvim[],"BEKLEMEDE"))</f>
        <v/>
      </c>
      <c r="D13" s="114">
        <f>IF($A13="","",SUMIFS(tblTakvim[],tblTakvim[],"&gt;="&amp;$A13,tblTakvim[],"&lt;="&amp;$B13,tblTakvim[],"ÖDEME",tblTakvim[],"BEKLEMEDE"))</f>
        <v/>
      </c>
      <c r="E13" s="114">
        <f>IF($A13="","",$C13-$D13)</f>
        <v/>
      </c>
      <c r="F13" s="113" t="n">
        <v>313000</v>
      </c>
      <c r="G13" s="113" t="n">
        <v>313000</v>
      </c>
    </row>
    <row r="14" ht="15" customHeight="1" s="88">
      <c r="A14" s="110" t="n">
        <v>46307</v>
      </c>
      <c r="B14" s="115">
        <f>IF($A14="","",$A14+HaftaUzunluk-1)</f>
        <v/>
      </c>
      <c r="C14" s="114">
        <f>IF($A14="","",SUMIFS(tblTakvim[],tblTakvim[],"&gt;="&amp;$A14,tblTakvim[],"&lt;="&amp;$B14,tblTakvim[],"TAHSİLAT",tblTakvim[],"BEKLEMEDE"))</f>
        <v/>
      </c>
      <c r="D14" s="114">
        <f>IF($A14="","",SUMIFS(tblTakvim[],tblTakvim[],"&gt;="&amp;$A14,tblTakvim[],"&lt;="&amp;$B14,tblTakvim[],"ÖDEME",tblTakvim[],"BEKLEMEDE"))</f>
        <v/>
      </c>
      <c r="E14" s="114">
        <f>IF($A14="","",$C14-$D14)</f>
        <v/>
      </c>
      <c r="F14" s="113" t="n">
        <v>313000</v>
      </c>
      <c r="G14" s="113" t="n">
        <v>313000</v>
      </c>
    </row>
    <row r="15" ht="15" customHeight="1" s="88">
      <c r="A15" s="110" t="n">
        <v>46314</v>
      </c>
      <c r="B15" s="115">
        <f>IF($A15="","",$A15+HaftaUzunluk-1)</f>
        <v/>
      </c>
      <c r="C15" s="114">
        <f>IF($A15="","",SUMIFS(tblTakvim[],tblTakvim[],"&gt;="&amp;$A15,tblTakvim[],"&lt;="&amp;$B15,tblTakvim[],"TAHSİLAT",tblTakvim[],"BEKLEMEDE"))</f>
        <v/>
      </c>
      <c r="D15" s="114">
        <f>IF($A15="","",SUMIFS(tblTakvim[],tblTakvim[],"&gt;="&amp;$A15,tblTakvim[],"&lt;="&amp;$B15,tblTakvim[],"ÖDEME",tblTakvim[],"BEKLEMEDE"))</f>
        <v/>
      </c>
      <c r="E15" s="114">
        <f>IF($A15="","",$C15-$D15)</f>
        <v/>
      </c>
      <c r="F15" s="113" t="n">
        <v>313000</v>
      </c>
      <c r="G15" s="113" t="n">
        <v>313000</v>
      </c>
    </row>
    <row r="16" ht="15" customHeight="1" s="88">
      <c r="A16" s="110" t="n">
        <v>46321</v>
      </c>
      <c r="B16" s="115">
        <f>IF($A16="","",$A16+HaftaUzunluk-1)</f>
        <v/>
      </c>
      <c r="C16" s="114">
        <f>IF($A16="","",SUMIFS(tblTakvim[],tblTakvim[],"&gt;="&amp;$A16,tblTakvim[],"&lt;="&amp;$B16,tblTakvim[],"TAHSİLAT",tblTakvim[],"BEKLEMEDE"))</f>
        <v/>
      </c>
      <c r="D16" s="114">
        <f>IF($A16="","",SUMIFS(tblTakvim[],tblTakvim[],"&gt;="&amp;$A16,tblTakvim[],"&lt;="&amp;$B16,tblTakvim[],"ÖDEME",tblTakvim[],"BEKLEMEDE"))</f>
        <v/>
      </c>
      <c r="E16" s="114">
        <f>IF($A16="","",$C16-$D16)</f>
        <v/>
      </c>
      <c r="F16" s="113" t="n">
        <v>313000</v>
      </c>
      <c r="G16" s="113" t="n">
        <v>313000</v>
      </c>
    </row>
    <row r="17" ht="15" customHeight="1" s="88">
      <c r="A17" s="109" t="n"/>
      <c r="B17" s="115">
        <f>IF($A17="","",$A17+HaftaUzunluk-1)</f>
        <v/>
      </c>
      <c r="C17" s="114">
        <f>IF($A17="","",SUMIFS(tblTakvim[],tblTakvim[],"&gt;="&amp;$A17,tblTakvim[],"&lt;="&amp;$B17,tblTakvim[],"TAHSİLAT",tblTakvim[],"BEKLEMEDE"))</f>
        <v/>
      </c>
      <c r="D17" s="114">
        <f>IF($A17="","",SUMIFS(tblTakvim[],tblTakvim[],"&gt;="&amp;$A17,tblTakvim[],"&lt;="&amp;$B17,tblTakvim[],"ÖDEME",tblTakvim[],"BEKLEMEDE"))</f>
        <v/>
      </c>
      <c r="E17" s="114">
        <f>IF($A17="","",$C17-$D17)</f>
        <v/>
      </c>
      <c r="F17" s="114">
        <f>IF($A17="","",IF(ROW()=BaslangicSatir,KasaBaslangicBakiye,$G16))</f>
        <v/>
      </c>
      <c r="G17" s="114">
        <f>IF($A17="","",$F17+$E17)</f>
        <v/>
      </c>
    </row>
    <row r="18" ht="15" customHeight="1" s="88">
      <c r="A18" s="109" t="n"/>
      <c r="B18" s="115">
        <f>IF($A18="","",$A18+HaftaUzunluk-1)</f>
        <v/>
      </c>
      <c r="C18" s="114">
        <f>IF($A18="","",SUMIFS(tblTakvim[],tblTakvim[],"&gt;="&amp;$A18,tblTakvim[],"&lt;="&amp;$B18,tblTakvim[],"TAHSİLAT",tblTakvim[],"BEKLEMEDE"))</f>
        <v/>
      </c>
      <c r="D18" s="114">
        <f>IF($A18="","",SUMIFS(tblTakvim[],tblTakvim[],"&gt;="&amp;$A18,tblTakvim[],"&lt;="&amp;$B18,tblTakvim[],"ÖDEME",tblTakvim[],"BEKLEMEDE"))</f>
        <v/>
      </c>
      <c r="E18" s="114">
        <f>IF($A18="","",$C18-$D18)</f>
        <v/>
      </c>
      <c r="F18" s="114">
        <f>IF($A18="","",IF(ROW()=BaslangicSatir,KasaBaslangicBakiye,$G17))</f>
        <v/>
      </c>
      <c r="G18" s="114">
        <f>IF($A18="","",$F18+$E18)</f>
        <v/>
      </c>
    </row>
    <row r="19" ht="15" customHeight="1" s="88">
      <c r="A19" s="109" t="n"/>
      <c r="B19" s="115">
        <f>IF($A19="","",$A19+HaftaUzunluk-1)</f>
        <v/>
      </c>
      <c r="C19" s="114">
        <f>IF($A19="","",SUMIFS(tblTakvim[],tblTakvim[],"&gt;="&amp;$A19,tblTakvim[],"&lt;="&amp;$B19,tblTakvim[],"TAHSİLAT",tblTakvim[],"BEKLEMEDE"))</f>
        <v/>
      </c>
      <c r="D19" s="114">
        <f>IF($A19="","",SUMIFS(tblTakvim[],tblTakvim[],"&gt;="&amp;$A19,tblTakvim[],"&lt;="&amp;$B19,tblTakvim[],"ÖDEME",tblTakvim[],"BEKLEMEDE"))</f>
        <v/>
      </c>
      <c r="E19" s="114">
        <f>IF($A19="","",$C19-$D19)</f>
        <v/>
      </c>
      <c r="F19" s="114">
        <f>IF($A19="","",IF(ROW()=BaslangicSatir,KasaBaslangicBakiye,$G18))</f>
        <v/>
      </c>
      <c r="G19" s="114">
        <f>IF($A19="","",$F19+$E19)</f>
        <v/>
      </c>
    </row>
    <row r="20" ht="15" customHeight="1" s="88">
      <c r="A20" s="109" t="n"/>
      <c r="B20" s="115">
        <f>IF($A20="","",$A20+HaftaUzunluk-1)</f>
        <v/>
      </c>
      <c r="C20" s="114">
        <f>IF($A20="","",SUMIFS(tblTakvim[],tblTakvim[],"&gt;="&amp;$A20,tblTakvim[],"&lt;="&amp;$B20,tblTakvim[],"TAHSİLAT",tblTakvim[],"BEKLEMEDE"))</f>
        <v/>
      </c>
      <c r="D20" s="114">
        <f>IF($A20="","",SUMIFS(tblTakvim[],tblTakvim[],"&gt;="&amp;$A20,tblTakvim[],"&lt;="&amp;$B20,tblTakvim[],"ÖDEME",tblTakvim[],"BEKLEMEDE"))</f>
        <v/>
      </c>
      <c r="E20" s="114">
        <f>IF($A20="","",$C20-$D20)</f>
        <v/>
      </c>
      <c r="F20" s="114">
        <f>IF($A20="","",IF(ROW()=BaslangicSatir,KasaBaslangicBakiye,$G19))</f>
        <v/>
      </c>
      <c r="G20" s="114">
        <f>IF($A20="","",$F20+$E20)</f>
        <v/>
      </c>
    </row>
    <row r="21" ht="15" customHeight="1" s="88">
      <c r="A21" s="109" t="n"/>
      <c r="B21" s="115">
        <f>IF($A21="","",$A21+HaftaUzunluk-1)</f>
        <v/>
      </c>
      <c r="C21" s="114">
        <f>IF($A21="","",SUMIFS(tblTakvim[],tblTakvim[],"&gt;="&amp;$A21,tblTakvim[],"&lt;="&amp;$B21,tblTakvim[],"TAHSİLAT",tblTakvim[],"BEKLEMEDE"))</f>
        <v/>
      </c>
      <c r="D21" s="114">
        <f>IF($A21="","",SUMIFS(tblTakvim[],tblTakvim[],"&gt;="&amp;$A21,tblTakvim[],"&lt;="&amp;$B21,tblTakvim[],"ÖDEME",tblTakvim[],"BEKLEMEDE"))</f>
        <v/>
      </c>
      <c r="E21" s="114">
        <f>IF($A21="","",$C21-$D21)</f>
        <v/>
      </c>
      <c r="F21" s="114">
        <f>IF($A21="","",IF(ROW()=BaslangicSatir,KasaBaslangicBakiye,$G20))</f>
        <v/>
      </c>
      <c r="G21" s="114">
        <f>IF($A21="","",$F21+$E21)</f>
        <v/>
      </c>
    </row>
    <row r="22" ht="15" customHeight="1" s="88">
      <c r="A22" s="109" t="n"/>
      <c r="B22" s="115">
        <f>IF($A22="","",$A22+HaftaUzunluk-1)</f>
        <v/>
      </c>
      <c r="C22" s="114">
        <f>IF($A22="","",SUMIFS(tblTakvim[],tblTakvim[],"&gt;="&amp;$A22,tblTakvim[],"&lt;="&amp;$B22,tblTakvim[],"TAHSİLAT",tblTakvim[],"BEKLEMEDE"))</f>
        <v/>
      </c>
      <c r="D22" s="114">
        <f>IF($A22="","",SUMIFS(tblTakvim[],tblTakvim[],"&gt;="&amp;$A22,tblTakvim[],"&lt;="&amp;$B22,tblTakvim[],"ÖDEME",tblTakvim[],"BEKLEMEDE"))</f>
        <v/>
      </c>
      <c r="E22" s="114">
        <f>IF($A22="","",$C22-$D22)</f>
        <v/>
      </c>
      <c r="F22" s="114">
        <f>IF($A22="","",IF(ROW()=BaslangicSatir,KasaBaslangicBakiye,$G21))</f>
        <v/>
      </c>
      <c r="G22" s="114">
        <f>IF($A22="","",$F22+$E22)</f>
        <v/>
      </c>
    </row>
    <row r="23" ht="15" customHeight="1" s="88">
      <c r="A23" s="109" t="n"/>
      <c r="B23" s="115">
        <f>IF($A23="","",$A23+HaftaUzunluk-1)</f>
        <v/>
      </c>
      <c r="C23" s="114">
        <f>IF($A23="","",SUMIFS(tblTakvim[],tblTakvim[],"&gt;="&amp;$A23,tblTakvim[],"&lt;="&amp;$B23,tblTakvim[],"TAHSİLAT",tblTakvim[],"BEKLEMEDE"))</f>
        <v/>
      </c>
      <c r="D23" s="114">
        <f>IF($A23="","",SUMIFS(tblTakvim[],tblTakvim[],"&gt;="&amp;$A23,tblTakvim[],"&lt;="&amp;$B23,tblTakvim[],"ÖDEME",tblTakvim[],"BEKLEMEDE"))</f>
        <v/>
      </c>
      <c r="E23" s="114">
        <f>IF($A23="","",$C23-$D23)</f>
        <v/>
      </c>
      <c r="F23" s="114">
        <f>IF($A23="","",IF(ROW()=BaslangicSatir,KasaBaslangicBakiye,$G22))</f>
        <v/>
      </c>
      <c r="G23" s="114">
        <f>IF($A23="","",$F23+$E23)</f>
        <v/>
      </c>
    </row>
    <row r="24" ht="15" customHeight="1" s="88">
      <c r="A24" s="109" t="n"/>
      <c r="B24" s="115">
        <f>IF($A24="","",$A24+HaftaUzunluk-1)</f>
        <v/>
      </c>
      <c r="C24" s="114">
        <f>IF($A24="","",SUMIFS(tblTakvim[],tblTakvim[],"&gt;="&amp;$A24,tblTakvim[],"&lt;="&amp;$B24,tblTakvim[],"TAHSİLAT",tblTakvim[],"BEKLEMEDE"))</f>
        <v/>
      </c>
      <c r="D24" s="114">
        <f>IF($A24="","",SUMIFS(tblTakvim[],tblTakvim[],"&gt;="&amp;$A24,tblTakvim[],"&lt;="&amp;$B24,tblTakvim[],"ÖDEME",tblTakvim[],"BEKLEMEDE"))</f>
        <v/>
      </c>
      <c r="E24" s="114">
        <f>IF($A24="","",$C24-$D24)</f>
        <v/>
      </c>
      <c r="F24" s="114">
        <f>IF($A24="","",IF(ROW()=BaslangicSatir,KasaBaslangicBakiye,$G23))</f>
        <v/>
      </c>
      <c r="G24" s="114">
        <f>IF($A24="","",$F24+$E24)</f>
        <v/>
      </c>
    </row>
    <row r="25" ht="15" customHeight="1" s="88">
      <c r="A25" s="109" t="n"/>
      <c r="B25" s="115">
        <f>IF($A25="","",$A25+HaftaUzunluk-1)</f>
        <v/>
      </c>
      <c r="C25" s="114">
        <f>IF($A25="","",SUMIFS(tblTakvim[],tblTakvim[],"&gt;="&amp;$A25,tblTakvim[],"&lt;="&amp;$B25,tblTakvim[],"TAHSİLAT",tblTakvim[],"BEKLEMEDE"))</f>
        <v/>
      </c>
      <c r="D25" s="114">
        <f>IF($A25="","",SUMIFS(tblTakvim[],tblTakvim[],"&gt;="&amp;$A25,tblTakvim[],"&lt;="&amp;$B25,tblTakvim[],"ÖDEME",tblTakvim[],"BEKLEMEDE"))</f>
        <v/>
      </c>
      <c r="E25" s="114">
        <f>IF($A25="","",$C25-$D25)</f>
        <v/>
      </c>
      <c r="F25" s="114">
        <f>IF($A25="","",IF(ROW()=BaslangicSatir,KasaBaslangicBakiye,$G24))</f>
        <v/>
      </c>
      <c r="G25" s="114">
        <f>IF($A25="","",$F25+$E25)</f>
        <v/>
      </c>
    </row>
    <row r="26" ht="15" customHeight="1" s="88">
      <c r="A26" s="109" t="n"/>
      <c r="B26" s="115">
        <f>IF($A26="","",$A26+HaftaUzunluk-1)</f>
        <v/>
      </c>
      <c r="C26" s="114">
        <f>IF($A26="","",SUMIFS(tblTakvim[],tblTakvim[],"&gt;="&amp;$A26,tblTakvim[],"&lt;="&amp;$B26,tblTakvim[],"TAHSİLAT",tblTakvim[],"BEKLEMEDE"))</f>
        <v/>
      </c>
      <c r="D26" s="114">
        <f>IF($A26="","",SUMIFS(tblTakvim[],tblTakvim[],"&gt;="&amp;$A26,tblTakvim[],"&lt;="&amp;$B26,tblTakvim[],"ÖDEME",tblTakvim[],"BEKLEMEDE"))</f>
        <v/>
      </c>
      <c r="E26" s="114">
        <f>IF($A26="","",$C26-$D26)</f>
        <v/>
      </c>
      <c r="F26" s="114">
        <f>IF($A26="","",IF(ROW()=BaslangicSatir,KasaBaslangicBakiye,$G25))</f>
        <v/>
      </c>
      <c r="G26" s="114">
        <f>IF($A26="","",$F26+$E26)</f>
        <v/>
      </c>
    </row>
    <row r="27" ht="15" customHeight="1" s="88">
      <c r="A27" s="109" t="n"/>
      <c r="B27" s="115">
        <f>IF($A27="","",$A27+HaftaUzunluk-1)</f>
        <v/>
      </c>
      <c r="C27" s="114">
        <f>IF($A27="","",SUMIFS(tblTakvim[],tblTakvim[],"&gt;="&amp;$A27,tblTakvim[],"&lt;="&amp;$B27,tblTakvim[],"TAHSİLAT",tblTakvim[],"BEKLEMEDE"))</f>
        <v/>
      </c>
      <c r="D27" s="114">
        <f>IF($A27="","",SUMIFS(tblTakvim[],tblTakvim[],"&gt;="&amp;$A27,tblTakvim[],"&lt;="&amp;$B27,tblTakvim[],"ÖDEME",tblTakvim[],"BEKLEMEDE"))</f>
        <v/>
      </c>
      <c r="E27" s="114">
        <f>IF($A27="","",$C27-$D27)</f>
        <v/>
      </c>
      <c r="F27" s="114">
        <f>IF($A27="","",IF(ROW()=BaslangicSatir,KasaBaslangicBakiye,$G26))</f>
        <v/>
      </c>
      <c r="G27" s="114">
        <f>IF($A27="","",$F27+$E27)</f>
        <v/>
      </c>
    </row>
    <row r="28" ht="15" customHeight="1" s="88">
      <c r="A28" s="109" t="n"/>
      <c r="B28" s="115">
        <f>IF($A28="","",$A28+HaftaUzunluk-1)</f>
        <v/>
      </c>
      <c r="C28" s="114">
        <f>IF($A28="","",SUMIFS(tblTakvim[],tblTakvim[],"&gt;="&amp;$A28,tblTakvim[],"&lt;="&amp;$B28,tblTakvim[],"TAHSİLAT",tblTakvim[],"BEKLEMEDE"))</f>
        <v/>
      </c>
      <c r="D28" s="114">
        <f>IF($A28="","",SUMIFS(tblTakvim[],tblTakvim[],"&gt;="&amp;$A28,tblTakvim[],"&lt;="&amp;$B28,tblTakvim[],"ÖDEME",tblTakvim[],"BEKLEMEDE"))</f>
        <v/>
      </c>
      <c r="E28" s="114">
        <f>IF($A28="","",$C28-$D28)</f>
        <v/>
      </c>
      <c r="F28" s="114">
        <f>IF($A28="","",IF(ROW()=BaslangicSatir,KasaBaslangicBakiye,$G27))</f>
        <v/>
      </c>
      <c r="G28" s="114">
        <f>IF($A28="","",$F28+$E28)</f>
        <v/>
      </c>
    </row>
    <row r="29" ht="15" customHeight="1" s="88">
      <c r="A29" s="109" t="n"/>
      <c r="B29" s="115">
        <f>IF($A29="","",$A29+HaftaUzunluk-1)</f>
        <v/>
      </c>
      <c r="C29" s="114">
        <f>IF($A29="","",SUMIFS(tblTakvim[],tblTakvim[],"&gt;="&amp;$A29,tblTakvim[],"&lt;="&amp;$B29,tblTakvim[],"TAHSİLAT",tblTakvim[],"BEKLEMEDE"))</f>
        <v/>
      </c>
      <c r="D29" s="114">
        <f>IF($A29="","",SUMIFS(tblTakvim[],tblTakvim[],"&gt;="&amp;$A29,tblTakvim[],"&lt;="&amp;$B29,tblTakvim[],"ÖDEME",tblTakvim[],"BEKLEMEDE"))</f>
        <v/>
      </c>
      <c r="E29" s="114">
        <f>IF($A29="","",$C29-$D29)</f>
        <v/>
      </c>
      <c r="F29" s="114">
        <f>IF($A29="","",IF(ROW()=BaslangicSatir,KasaBaslangicBakiye,$G28))</f>
        <v/>
      </c>
      <c r="G29" s="114">
        <f>IF($A29="","",$F29+$E29)</f>
        <v/>
      </c>
    </row>
    <row r="30" ht="15" customHeight="1" s="88">
      <c r="A30" s="109" t="n"/>
      <c r="B30" s="115">
        <f>IF($A30="","",$A30+HaftaUzunluk-1)</f>
        <v/>
      </c>
      <c r="C30" s="114">
        <f>IF($A30="","",SUMIFS(tblTakvim[],tblTakvim[],"&gt;="&amp;$A30,tblTakvim[],"&lt;="&amp;$B30,tblTakvim[],"TAHSİLAT",tblTakvim[],"BEKLEMEDE"))</f>
        <v/>
      </c>
      <c r="D30" s="114">
        <f>IF($A30="","",SUMIFS(tblTakvim[],tblTakvim[],"&gt;="&amp;$A30,tblTakvim[],"&lt;="&amp;$B30,tblTakvim[],"ÖDEME",tblTakvim[],"BEKLEMEDE"))</f>
        <v/>
      </c>
      <c r="E30" s="114">
        <f>IF($A30="","",$C30-$D30)</f>
        <v/>
      </c>
      <c r="F30" s="114">
        <f>IF($A30="","",IF(ROW()=BaslangicSatir,KasaBaslangicBakiye,$G29))</f>
        <v/>
      </c>
      <c r="G30" s="114">
        <f>IF($A30="","",$F30+$E30)</f>
        <v/>
      </c>
    </row>
    <row r="31" ht="15" customHeight="1" s="88">
      <c r="A31" s="109" t="n"/>
    </row>
    <row r="32" ht="15" customHeight="1" s="88">
      <c r="A32" s="109" t="n"/>
    </row>
    <row r="33" ht="15" customHeight="1" s="88">
      <c r="A33" s="109" t="n"/>
    </row>
    <row r="34" ht="15" customHeight="1" s="88">
      <c r="A34" s="109" t="n"/>
    </row>
    <row r="35" ht="15" customHeight="1" s="88">
      <c r="A35" s="109" t="n"/>
    </row>
    <row r="36" ht="15" customHeight="1" s="88">
      <c r="A36" s="109" t="n"/>
    </row>
    <row r="37" ht="15" customHeight="1" s="88">
      <c r="A37" s="109" t="n"/>
    </row>
    <row r="38" ht="15" customHeight="1" s="88">
      <c r="A38" s="109" t="n"/>
    </row>
    <row r="39" ht="15" customHeight="1" s="88">
      <c r="A39" s="109" t="n"/>
    </row>
    <row r="40" ht="15" customHeight="1" s="88">
      <c r="A40" s="109" t="n"/>
    </row>
    <row r="41" ht="15" customHeight="1" s="88">
      <c r="A41" s="109" t="n"/>
    </row>
    <row r="42" ht="15" customHeight="1" s="88">
      <c r="A42" s="109" t="n"/>
    </row>
    <row r="43" ht="15" customHeight="1" s="88">
      <c r="A43" s="109" t="n"/>
    </row>
    <row r="44" ht="15" customHeight="1" s="88">
      <c r="A44" s="109" t="n"/>
    </row>
    <row r="45" ht="15" customHeight="1" s="88">
      <c r="A45" s="109" t="n"/>
    </row>
    <row r="46" ht="15" customHeight="1" s="88">
      <c r="A46" s="109" t="n"/>
    </row>
    <row r="47" ht="15" customHeight="1" s="88">
      <c r="A47" s="109" t="n"/>
    </row>
    <row r="48" ht="15" customHeight="1" s="88">
      <c r="A48" s="109" t="n"/>
    </row>
    <row r="49" ht="15" customHeight="1" s="88">
      <c r="A49" s="109" t="n"/>
    </row>
    <row r="50" ht="15" customHeight="1" s="88">
      <c r="A50" s="109" t="n"/>
    </row>
    <row r="51" ht="15" customHeight="1" s="88">
      <c r="A51" s="109" t="n"/>
    </row>
    <row r="52" ht="15" customHeight="1" s="88">
      <c r="A52" s="109" t="n"/>
    </row>
    <row r="53" ht="15" customHeight="1" s="88">
      <c r="A53" s="109" t="n"/>
    </row>
    <row r="54" ht="15" customHeight="1" s="88">
      <c r="A54" s="109" t="n"/>
    </row>
    <row r="55" ht="15" customHeight="1" s="88">
      <c r="A55" s="109" t="n"/>
    </row>
    <row r="56" ht="15" customHeight="1" s="88">
      <c r="A56" s="109" t="n"/>
    </row>
    <row r="57" ht="15" customHeight="1" s="88">
      <c r="A57" s="109" t="n"/>
    </row>
    <row r="58" ht="15" customHeight="1" s="88">
      <c r="A58" s="109" t="n"/>
    </row>
    <row r="59" ht="15" customHeight="1" s="88">
      <c r="A59" s="109" t="n"/>
    </row>
    <row r="60" ht="15" customHeight="1" s="88">
      <c r="A60" s="109" t="n"/>
    </row>
    <row r="61" ht="15" customHeight="1" s="88">
      <c r="A61" s="109" t="n"/>
    </row>
    <row r="62" ht="15" customHeight="1" s="88">
      <c r="A62" s="109" t="n"/>
    </row>
    <row r="63" ht="15" customHeight="1" s="88">
      <c r="A63" s="109" t="n"/>
    </row>
    <row r="64" ht="15" customHeight="1" s="88">
      <c r="A64" s="109" t="n"/>
    </row>
    <row r="65" ht="15" customHeight="1" s="88">
      <c r="A65" s="109" t="n"/>
    </row>
    <row r="66" ht="15" customHeight="1" s="88">
      <c r="A66" s="109" t="n"/>
    </row>
    <row r="67" ht="15" customHeight="1" s="88">
      <c r="A67" s="109" t="n"/>
    </row>
    <row r="68" ht="15" customHeight="1" s="88">
      <c r="A68" s="109" t="n"/>
    </row>
    <row r="69" ht="15" customHeight="1" s="88">
      <c r="A69" s="109" t="n"/>
    </row>
    <row r="70" ht="15" customHeight="1" s="88">
      <c r="A70" s="109" t="n"/>
    </row>
    <row r="71" ht="15" customHeight="1" s="88">
      <c r="A71" s="109" t="n"/>
    </row>
    <row r="72" ht="15" customHeight="1" s="88">
      <c r="A72" s="109" t="n"/>
    </row>
    <row r="73" ht="15" customHeight="1" s="88">
      <c r="A73" s="109" t="n"/>
    </row>
    <row r="74" ht="15" customHeight="1" s="88">
      <c r="A74" s="109" t="n"/>
    </row>
    <row r="75" ht="15" customHeight="1" s="88">
      <c r="A75" s="109" t="n"/>
    </row>
    <row r="76" ht="15" customHeight="1" s="88">
      <c r="A76" s="109" t="n"/>
    </row>
    <row r="77" ht="15" customHeight="1" s="88">
      <c r="A77" s="109" t="n"/>
    </row>
    <row r="78" ht="15" customHeight="1" s="88">
      <c r="A78" s="109" t="n"/>
    </row>
    <row r="79" ht="15" customHeight="1" s="88">
      <c r="A79" s="109" t="n"/>
    </row>
    <row r="80" ht="15" customHeight="1" s="88">
      <c r="A80" s="109" t="n"/>
    </row>
    <row r="81" ht="15" customHeight="1" s="88">
      <c r="A81" s="109" t="n"/>
    </row>
    <row r="82" ht="15" customHeight="1" s="88">
      <c r="A82" s="109" t="n"/>
    </row>
    <row r="83" ht="15" customHeight="1" s="88">
      <c r="A83" s="109" t="n"/>
    </row>
    <row r="84" ht="15" customHeight="1" s="88">
      <c r="A84" s="109" t="n"/>
    </row>
    <row r="85" ht="15" customHeight="1" s="88">
      <c r="A85" s="109" t="n"/>
    </row>
    <row r="86" ht="15" customHeight="1" s="88">
      <c r="A86" s="109" t="n"/>
    </row>
    <row r="87" ht="15" customHeight="1" s="88">
      <c r="A87" s="109" t="n"/>
    </row>
    <row r="88" ht="15" customHeight="1" s="88">
      <c r="A88" s="109" t="n"/>
    </row>
    <row r="89" ht="15" customHeight="1" s="88">
      <c r="A89" s="109" t="n"/>
    </row>
    <row r="90" ht="15" customHeight="1" s="88">
      <c r="A90" s="109" t="n"/>
    </row>
    <row r="91" ht="15" customHeight="1" s="88">
      <c r="A91" s="109" t="n"/>
    </row>
    <row r="92" ht="15" customHeight="1" s="88">
      <c r="A92" s="109" t="n"/>
    </row>
    <row r="93" ht="15" customHeight="1" s="88">
      <c r="A93" s="109" t="n"/>
    </row>
    <row r="94" ht="15" customHeight="1" s="88">
      <c r="A94" s="109" t="n"/>
    </row>
    <row r="95" ht="15" customHeight="1" s="88">
      <c r="A95" s="109" t="n"/>
    </row>
    <row r="96" ht="15" customHeight="1" s="88">
      <c r="A96" s="109" t="n"/>
    </row>
    <row r="97" ht="15" customHeight="1" s="88">
      <c r="A97" s="109" t="n"/>
    </row>
    <row r="98" ht="15" customHeight="1" s="88">
      <c r="A98" s="109" t="n"/>
    </row>
    <row r="99" ht="15" customHeight="1" s="88">
      <c r="A99" s="109" t="n"/>
    </row>
    <row r="100" ht="15" customHeight="1" s="88">
      <c r="A100" s="109" t="n"/>
    </row>
    <row r="101" ht="15" customHeight="1" s="88">
      <c r="A101" s="109" t="n"/>
    </row>
    <row r="102" ht="15" customHeight="1" s="88">
      <c r="A102" s="109" t="n"/>
    </row>
    <row r="103" ht="15" customHeight="1" s="88">
      <c r="A103" s="109" t="n"/>
    </row>
    <row r="104" ht="15" customHeight="1" s="88">
      <c r="A104" s="109" t="n"/>
    </row>
    <row r="105" ht="15" customHeight="1" s="88">
      <c r="A105" s="109" t="n"/>
    </row>
    <row r="106" ht="15" customHeight="1" s="88">
      <c r="A106" s="109" t="n"/>
    </row>
    <row r="107" ht="15" customHeight="1" s="88">
      <c r="A107" s="109" t="n"/>
    </row>
    <row r="108" ht="15" customHeight="1" s="88">
      <c r="A108" s="109" t="n"/>
    </row>
    <row r="109" ht="15" customHeight="1" s="88">
      <c r="A109" s="109" t="n"/>
    </row>
    <row r="110" ht="15" customHeight="1" s="88">
      <c r="A110" s="109" t="n"/>
    </row>
    <row r="111" ht="15" customHeight="1" s="88">
      <c r="A111" s="109" t="n"/>
    </row>
    <row r="112" ht="15" customHeight="1" s="88">
      <c r="A112" s="109" t="n"/>
    </row>
    <row r="113" ht="15" customHeight="1" s="88">
      <c r="A113" s="109" t="n"/>
    </row>
    <row r="114" ht="15" customHeight="1" s="88">
      <c r="A114" s="109" t="n"/>
    </row>
    <row r="115" ht="15" customHeight="1" s="88">
      <c r="A115" s="109" t="n"/>
    </row>
    <row r="116" ht="15" customHeight="1" s="88">
      <c r="A116" s="109" t="n"/>
    </row>
    <row r="117" ht="15" customHeight="1" s="88">
      <c r="A117" s="109" t="n"/>
    </row>
    <row r="118" ht="15" customHeight="1" s="88">
      <c r="A118" s="109" t="n"/>
    </row>
    <row r="119" ht="15" customHeight="1" s="88">
      <c r="A119" s="109" t="n"/>
    </row>
    <row r="120" ht="15" customHeight="1" s="88">
      <c r="A120" s="109" t="n"/>
    </row>
    <row r="121" ht="15" customHeight="1" s="88">
      <c r="A121" s="109" t="n"/>
    </row>
    <row r="122" ht="15" customHeight="1" s="88">
      <c r="A122" s="109" t="n"/>
    </row>
    <row r="123" ht="15" customHeight="1" s="88">
      <c r="A123" s="109" t="n"/>
    </row>
    <row r="124" ht="15" customHeight="1" s="88">
      <c r="A124" s="109" t="n"/>
    </row>
    <row r="125" ht="15" customHeight="1" s="88">
      <c r="A125" s="109" t="n"/>
    </row>
    <row r="126" ht="15" customHeight="1" s="88">
      <c r="A126" s="109" t="n"/>
    </row>
    <row r="127" ht="15" customHeight="1" s="88">
      <c r="A127" s="109" t="n"/>
    </row>
    <row r="128" ht="15" customHeight="1" s="88">
      <c r="A128" s="109" t="n"/>
    </row>
    <row r="129" ht="15" customHeight="1" s="88">
      <c r="A129" s="109" t="n"/>
    </row>
    <row r="130" ht="15" customHeight="1" s="88">
      <c r="A130" s="109" t="n"/>
    </row>
    <row r="131" ht="15" customHeight="1" s="88">
      <c r="A131" s="109" t="n"/>
    </row>
    <row r="132" ht="15" customHeight="1" s="88">
      <c r="A132" s="109" t="n"/>
    </row>
    <row r="133" ht="15" customHeight="1" s="88">
      <c r="A133" s="109" t="n"/>
    </row>
    <row r="134" ht="15" customHeight="1" s="88">
      <c r="A134" s="109" t="n"/>
    </row>
    <row r="135" ht="15" customHeight="1" s="88">
      <c r="A135" s="109" t="n"/>
    </row>
    <row r="136" ht="15" customHeight="1" s="88">
      <c r="A136" s="109" t="n"/>
    </row>
    <row r="137" ht="15" customHeight="1" s="88">
      <c r="A137" s="109" t="n"/>
    </row>
    <row r="138" ht="15" customHeight="1" s="88">
      <c r="A138" s="109" t="n"/>
    </row>
    <row r="139" ht="15" customHeight="1" s="88">
      <c r="A139" s="109" t="n"/>
    </row>
    <row r="140" ht="15" customHeight="1" s="88">
      <c r="A140" s="109" t="n"/>
    </row>
    <row r="141" ht="15" customHeight="1" s="88">
      <c r="A141" s="109" t="n"/>
    </row>
    <row r="142" ht="15" customHeight="1" s="88">
      <c r="A142" s="109" t="n"/>
    </row>
    <row r="143" ht="15" customHeight="1" s="88">
      <c r="A143" s="109" t="n"/>
    </row>
    <row r="144" ht="15" customHeight="1" s="88">
      <c r="A144" s="109" t="n"/>
    </row>
    <row r="145" ht="15" customHeight="1" s="88">
      <c r="A145" s="109" t="n"/>
    </row>
    <row r="146" ht="15" customHeight="1" s="88">
      <c r="A146" s="109" t="n"/>
    </row>
    <row r="147" ht="15" customHeight="1" s="88">
      <c r="A147" s="109" t="n"/>
    </row>
    <row r="148" ht="15" customHeight="1" s="88">
      <c r="A148" s="109" t="n"/>
    </row>
    <row r="149" ht="15" customHeight="1" s="88">
      <c r="A149" s="109" t="n"/>
    </row>
    <row r="150" ht="15" customHeight="1" s="88">
      <c r="A150" s="109" t="n"/>
    </row>
    <row r="151" ht="15" customHeight="1" s="88">
      <c r="A151" s="109" t="n"/>
    </row>
    <row r="152" ht="15" customHeight="1" s="88">
      <c r="A152" s="109" t="n"/>
    </row>
    <row r="153" ht="15" customHeight="1" s="88">
      <c r="A153" s="109" t="n"/>
    </row>
    <row r="154" ht="15" customHeight="1" s="88">
      <c r="A154" s="109" t="n"/>
    </row>
    <row r="155" ht="15" customHeight="1" s="88">
      <c r="A155" s="109" t="n"/>
    </row>
    <row r="156" ht="15" customHeight="1" s="88">
      <c r="A156" s="109" t="n"/>
    </row>
    <row r="157" ht="15" customHeight="1" s="88">
      <c r="A157" s="109" t="n"/>
    </row>
    <row r="158" ht="15" customHeight="1" s="88">
      <c r="A158" s="109" t="n"/>
    </row>
    <row r="159" ht="15" customHeight="1" s="88">
      <c r="A159" s="109" t="n"/>
    </row>
    <row r="160" ht="15" customHeight="1" s="88">
      <c r="A160" s="109" t="n"/>
    </row>
    <row r="161" ht="15" customHeight="1" s="88">
      <c r="A161" s="109" t="n"/>
    </row>
    <row r="162" ht="15" customHeight="1" s="88">
      <c r="A162" s="109" t="n"/>
    </row>
    <row r="163" ht="15" customHeight="1" s="88">
      <c r="A163" s="109" t="n"/>
    </row>
    <row r="164" ht="15" customHeight="1" s="88">
      <c r="A164" s="109" t="n"/>
    </row>
    <row r="165" ht="15" customHeight="1" s="88">
      <c r="A165" s="109" t="n"/>
    </row>
    <row r="166" ht="15" customHeight="1" s="88">
      <c r="A166" s="109" t="n"/>
    </row>
    <row r="167" ht="15" customHeight="1" s="88">
      <c r="A167" s="109" t="n"/>
    </row>
    <row r="168" ht="15" customHeight="1" s="88">
      <c r="A168" s="109" t="n"/>
    </row>
    <row r="169" ht="15" customHeight="1" s="88">
      <c r="A169" s="109" t="n"/>
    </row>
    <row r="170" ht="15" customHeight="1" s="88">
      <c r="A170" s="109" t="n"/>
    </row>
    <row r="171" ht="15" customHeight="1" s="88">
      <c r="A171" s="109" t="n"/>
    </row>
    <row r="172" ht="15" customHeight="1" s="88">
      <c r="A172" s="109" t="n"/>
    </row>
    <row r="173" ht="15" customHeight="1" s="88">
      <c r="A173" s="109" t="n"/>
    </row>
    <row r="174" ht="15" customHeight="1" s="88">
      <c r="A174" s="109" t="n"/>
    </row>
    <row r="175" ht="15" customHeight="1" s="88">
      <c r="A175" s="109" t="n"/>
    </row>
    <row r="176" ht="15" customHeight="1" s="88">
      <c r="A176" s="109" t="n"/>
    </row>
    <row r="177" ht="15" customHeight="1" s="88">
      <c r="A177" s="109" t="n"/>
    </row>
    <row r="178" ht="15" customHeight="1" s="88">
      <c r="A178" s="109" t="n"/>
    </row>
    <row r="179" ht="15" customHeight="1" s="88">
      <c r="A179" s="109" t="n"/>
    </row>
    <row r="180" ht="15" customHeight="1" s="88">
      <c r="A180" s="109" t="n"/>
    </row>
    <row r="181" ht="15" customHeight="1" s="88">
      <c r="A181" s="109" t="n"/>
    </row>
    <row r="182" ht="15" customHeight="1" s="88">
      <c r="A182" s="109" t="n"/>
    </row>
    <row r="183" ht="15" customHeight="1" s="88">
      <c r="A183" s="109" t="n"/>
    </row>
    <row r="184" ht="15" customHeight="1" s="88">
      <c r="A184" s="109" t="n"/>
    </row>
    <row r="185" ht="15" customHeight="1" s="88">
      <c r="A185" s="109" t="n"/>
    </row>
    <row r="186" ht="15" customHeight="1" s="88">
      <c r="A186" s="109" t="n"/>
    </row>
    <row r="187" ht="15" customHeight="1" s="88">
      <c r="A187" s="109" t="n"/>
    </row>
    <row r="188" ht="15" customHeight="1" s="88">
      <c r="A188" s="109" t="n"/>
    </row>
    <row r="189" ht="15" customHeight="1" s="88">
      <c r="A189" s="109" t="n"/>
    </row>
    <row r="190" ht="15" customHeight="1" s="88">
      <c r="A190" s="109" t="n"/>
    </row>
    <row r="191" ht="15" customHeight="1" s="88">
      <c r="A191" s="109" t="n"/>
    </row>
    <row r="192" ht="15" customHeight="1" s="88">
      <c r="A192" s="109" t="n"/>
    </row>
    <row r="193" ht="15" customHeight="1" s="88">
      <c r="A193" s="109" t="n"/>
    </row>
    <row r="194" ht="15" customHeight="1" s="88">
      <c r="A194" s="109" t="n"/>
    </row>
    <row r="195" ht="15" customHeight="1" s="88">
      <c r="A195" s="109" t="n"/>
    </row>
    <row r="196" ht="15" customHeight="1" s="88">
      <c r="A196" s="109" t="n"/>
    </row>
    <row r="197" ht="15" customHeight="1" s="88">
      <c r="A197" s="109" t="n"/>
    </row>
    <row r="198" ht="15" customHeight="1" s="88">
      <c r="A198" s="109" t="n"/>
    </row>
    <row r="199" ht="15" customHeight="1" s="88">
      <c r="A199" s="109" t="n"/>
    </row>
    <row r="200" ht="15" customHeight="1" s="88">
      <c r="A200" s="109" t="n"/>
    </row>
    <row r="201" ht="15" customHeight="1" s="88">
      <c r="A201" s="109" t="n"/>
    </row>
    <row r="202" ht="15" customHeight="1" s="88">
      <c r="A202" s="109" t="n"/>
    </row>
    <row r="203" ht="15" customHeight="1" s="88">
      <c r="A203" s="109" t="n"/>
    </row>
    <row r="204" ht="15" customHeight="1" s="88">
      <c r="A204" s="109" t="n"/>
    </row>
    <row r="205" ht="15" customHeight="1" s="88">
      <c r="A205" s="109" t="n"/>
    </row>
    <row r="206" ht="15" customHeight="1" s="88">
      <c r="A206" s="109" t="n"/>
    </row>
    <row r="207" ht="15" customHeight="1" s="88">
      <c r="A207" s="109" t="n"/>
    </row>
    <row r="208" ht="15" customHeight="1" s="88">
      <c r="A208" s="109" t="n"/>
    </row>
    <row r="209" ht="15" customHeight="1" s="88">
      <c r="A209" s="109" t="n"/>
    </row>
    <row r="210" ht="15" customHeight="1" s="88">
      <c r="A210" s="109" t="n"/>
    </row>
    <row r="211" ht="15" customHeight="1" s="88">
      <c r="A211" s="109" t="n"/>
    </row>
    <row r="212" ht="15" customHeight="1" s="88">
      <c r="A212" s="109" t="n"/>
    </row>
    <row r="213" ht="15" customHeight="1" s="88">
      <c r="A213" s="109" t="n"/>
    </row>
    <row r="214" ht="15" customHeight="1" s="88">
      <c r="A214" s="109" t="n"/>
    </row>
    <row r="215" ht="15" customHeight="1" s="88">
      <c r="A215" s="109" t="n"/>
    </row>
    <row r="216" ht="15" customHeight="1" s="88">
      <c r="A216" s="109" t="n"/>
    </row>
    <row r="217" ht="15" customHeight="1" s="88">
      <c r="A217" s="109" t="n"/>
    </row>
    <row r="218" ht="15" customHeight="1" s="88">
      <c r="A218" s="109" t="n"/>
    </row>
    <row r="219" ht="15" customHeight="1" s="88">
      <c r="A219" s="109" t="n"/>
    </row>
    <row r="220" ht="15" customHeight="1" s="88">
      <c r="A220" s="109" t="n"/>
    </row>
    <row r="221" ht="15" customHeight="1" s="88">
      <c r="A221" s="109" t="n"/>
    </row>
    <row r="222" ht="15" customHeight="1" s="88">
      <c r="A222" s="109" t="n"/>
    </row>
    <row r="223" ht="15" customHeight="1" s="88">
      <c r="A223" s="109" t="n"/>
    </row>
    <row r="224" ht="15" customHeight="1" s="88">
      <c r="A224" s="109" t="n"/>
    </row>
    <row r="225" ht="15" customHeight="1" s="88">
      <c r="A225" s="109" t="n"/>
    </row>
    <row r="226" ht="15" customHeight="1" s="88">
      <c r="A226" s="109" t="n"/>
    </row>
    <row r="227" ht="15" customHeight="1" s="88">
      <c r="A227" s="109" t="n"/>
    </row>
    <row r="228" ht="15" customHeight="1" s="88">
      <c r="A228" s="109" t="n"/>
    </row>
    <row r="229" ht="15" customHeight="1" s="88">
      <c r="A229" s="109" t="n"/>
    </row>
    <row r="230" ht="15" customHeight="1" s="88">
      <c r="A230" s="109" t="n"/>
    </row>
    <row r="231" ht="15" customHeight="1" s="88">
      <c r="A231" s="109" t="n"/>
    </row>
    <row r="232" ht="15" customHeight="1" s="88">
      <c r="A232" s="109" t="n"/>
    </row>
    <row r="233" ht="15" customHeight="1" s="88">
      <c r="A233" s="109" t="n"/>
    </row>
    <row r="234" ht="15" customHeight="1" s="88">
      <c r="A234" s="109" t="n"/>
    </row>
    <row r="235" ht="15" customHeight="1" s="88">
      <c r="A235" s="109" t="n"/>
    </row>
    <row r="236" ht="15" customHeight="1" s="88">
      <c r="A236" s="109" t="n"/>
    </row>
    <row r="237" ht="15" customHeight="1" s="88">
      <c r="A237" s="109" t="n"/>
    </row>
    <row r="238" ht="15" customHeight="1" s="88">
      <c r="A238" s="109" t="n"/>
    </row>
    <row r="239" ht="15" customHeight="1" s="88">
      <c r="A239" s="109" t="n"/>
    </row>
    <row r="240" ht="15" customHeight="1" s="88">
      <c r="A240" s="109" t="n"/>
    </row>
    <row r="241" ht="15" customHeight="1" s="88">
      <c r="A241" s="109" t="n"/>
    </row>
    <row r="242" ht="15" customHeight="1" s="88">
      <c r="A242" s="109" t="n"/>
    </row>
    <row r="243" ht="15" customHeight="1" s="88">
      <c r="A243" s="109" t="n"/>
    </row>
    <row r="244" ht="15" customHeight="1" s="88">
      <c r="A244" s="109" t="n"/>
    </row>
    <row r="245" ht="15" customHeight="1" s="88">
      <c r="A245" s="109" t="n"/>
    </row>
    <row r="246" ht="15" customHeight="1" s="88">
      <c r="A246" s="109" t="n"/>
    </row>
    <row r="247" ht="15" customHeight="1" s="88">
      <c r="A247" s="109" t="n"/>
    </row>
    <row r="248" ht="15" customHeight="1" s="88">
      <c r="A248" s="109" t="n"/>
    </row>
    <row r="249" ht="15" customHeight="1" s="88">
      <c r="A249" s="109" t="n"/>
    </row>
    <row r="250" ht="15" customHeight="1" s="88">
      <c r="A250" s="109" t="n"/>
    </row>
    <row r="251" ht="15" customHeight="1" s="88">
      <c r="A251" s="109" t="n"/>
    </row>
    <row r="252" ht="15" customHeight="1" s="88">
      <c r="A252" s="109" t="n"/>
    </row>
    <row r="253" ht="15" customHeight="1" s="88">
      <c r="A253" s="109" t="n"/>
    </row>
    <row r="254" ht="15" customHeight="1" s="88">
      <c r="A254" s="109" t="n"/>
    </row>
    <row r="255" ht="15" customHeight="1" s="88">
      <c r="A255" s="109" t="n"/>
    </row>
    <row r="256" ht="15" customHeight="1" s="88">
      <c r="A256" s="109" t="n"/>
    </row>
    <row r="257" ht="15" customHeight="1" s="88">
      <c r="A257" s="109" t="n"/>
    </row>
    <row r="258" ht="15" customHeight="1" s="88">
      <c r="A258" s="109" t="n"/>
    </row>
    <row r="259" ht="15" customHeight="1" s="88">
      <c r="A259" s="109" t="n"/>
    </row>
    <row r="260" ht="15" customHeight="1" s="88">
      <c r="A260" s="109" t="n"/>
    </row>
    <row r="261" ht="15" customHeight="1" s="88">
      <c r="A261" s="109" t="n"/>
    </row>
    <row r="262" ht="15" customHeight="1" s="88">
      <c r="A262" s="109" t="n"/>
    </row>
    <row r="263" ht="15" customHeight="1" s="88">
      <c r="A263" s="109" t="n"/>
    </row>
    <row r="264" ht="15" customHeight="1" s="88">
      <c r="A264" s="109" t="n"/>
    </row>
    <row r="265" ht="15" customHeight="1" s="88">
      <c r="A265" s="109" t="n"/>
    </row>
    <row r="266" ht="15" customHeight="1" s="88">
      <c r="A266" s="109" t="n"/>
    </row>
    <row r="267" ht="15" customHeight="1" s="88">
      <c r="A267" s="109" t="n"/>
    </row>
    <row r="268" ht="15" customHeight="1" s="88">
      <c r="A268" s="109" t="n"/>
    </row>
    <row r="269" ht="15" customHeight="1" s="88">
      <c r="A269" s="109" t="n"/>
    </row>
    <row r="270" ht="15" customHeight="1" s="88">
      <c r="A270" s="109" t="n"/>
    </row>
    <row r="271" ht="15" customHeight="1" s="88">
      <c r="A271" s="109" t="n"/>
    </row>
    <row r="272" ht="15" customHeight="1" s="88">
      <c r="A272" s="109" t="n"/>
    </row>
    <row r="273" ht="15" customHeight="1" s="88">
      <c r="A273" s="109" t="n"/>
    </row>
    <row r="274" ht="15" customHeight="1" s="88">
      <c r="A274" s="109" t="n"/>
    </row>
    <row r="275" ht="15" customHeight="1" s="88">
      <c r="A275" s="109" t="n"/>
    </row>
    <row r="276" ht="15" customHeight="1" s="88">
      <c r="A276" s="109" t="n"/>
    </row>
    <row r="277" ht="15" customHeight="1" s="88">
      <c r="A277" s="109" t="n"/>
    </row>
    <row r="278" ht="15" customHeight="1" s="88">
      <c r="A278" s="109" t="n"/>
    </row>
    <row r="279" ht="15" customHeight="1" s="88">
      <c r="A279" s="109" t="n"/>
    </row>
    <row r="280" ht="15" customHeight="1" s="88">
      <c r="A280" s="109" t="n"/>
    </row>
    <row r="281" ht="15" customHeight="1" s="88">
      <c r="A281" s="109" t="n"/>
    </row>
    <row r="282" ht="15" customHeight="1" s="88">
      <c r="A282" s="109" t="n"/>
    </row>
    <row r="283" ht="15" customHeight="1" s="88">
      <c r="A283" s="109" t="n"/>
    </row>
    <row r="284" ht="15" customHeight="1" s="88">
      <c r="A284" s="109" t="n"/>
    </row>
    <row r="285" ht="15" customHeight="1" s="88">
      <c r="A285" s="109" t="n"/>
    </row>
    <row r="286" ht="15" customHeight="1" s="88">
      <c r="A286" s="109" t="n"/>
    </row>
    <row r="287" ht="15" customHeight="1" s="88">
      <c r="A287" s="109" t="n"/>
    </row>
    <row r="288" ht="15" customHeight="1" s="88">
      <c r="A288" s="109" t="n"/>
    </row>
    <row r="289" ht="15" customHeight="1" s="88">
      <c r="A289" s="109" t="n"/>
    </row>
    <row r="290" ht="15" customHeight="1" s="88">
      <c r="A290" s="109" t="n"/>
    </row>
    <row r="291" ht="15" customHeight="1" s="88">
      <c r="A291" s="109" t="n"/>
    </row>
    <row r="292" ht="15" customHeight="1" s="88">
      <c r="A292" s="109" t="n"/>
    </row>
    <row r="293" ht="15" customHeight="1" s="88">
      <c r="A293" s="109" t="n"/>
    </row>
    <row r="294" ht="15" customHeight="1" s="88">
      <c r="A294" s="109" t="n"/>
    </row>
    <row r="295" ht="15" customHeight="1" s="88">
      <c r="A295" s="109" t="n"/>
    </row>
    <row r="296" ht="15" customHeight="1" s="88">
      <c r="A296" s="109" t="n"/>
    </row>
    <row r="297" ht="15" customHeight="1" s="88">
      <c r="A297" s="109" t="n"/>
    </row>
    <row r="298" ht="15" customHeight="1" s="88">
      <c r="A298" s="109" t="n"/>
    </row>
    <row r="299" ht="15" customHeight="1" s="88">
      <c r="A299" s="109" t="n"/>
    </row>
    <row r="300" ht="15" customHeight="1" s="88">
      <c r="A300" s="10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C6:C804">
    <cfRule type="cellIs" rank="0" priority="2" equalAverage="0" operator="lessThan" aboveAverage="0" dxfId="5" text="" percent="0" bottom="0">
      <formula>0</formula>
    </cfRule>
    <cfRule type="cellIs" rank="0" priority="3" equalAverage="0" operator="greaterThan" aboveAverage="0" dxfId="6" text="" percent="0" bottom="0">
      <formula>0</formula>
    </cfRule>
  </conditionalFormatting>
  <conditionalFormatting sqref="D6:D804">
    <cfRule type="cellIs" rank="0" priority="4" equalAverage="0" operator="lessThan" aboveAverage="0" dxfId="8" text="" percent="0" bottom="0">
      <formula>0</formula>
    </cfRule>
  </conditionalFormatting>
  <conditionalFormatting sqref="E6:E804">
    <cfRule type="cellIs" rank="0" priority="5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7" min="1" max="1"/>
    <col width="48.5" customWidth="1" style="87" min="2" max="2"/>
    <col width="90" customWidth="1" style="87" min="3" max="3"/>
    <col width="18" customWidth="1" style="87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MOTOR — AKILLI KASA DEFTERİ VE NAKİT KONTROL SİSTEMİ</t>
        </is>
      </c>
    </row>
    <row r="2" ht="19.5" customHeight="1" s="88">
      <c r="A2" s="99" t="inlineStr">
        <is>
          <t>Hesaplama motoru: tüm ara hesaplar ve analitik modüller ad tanımlı hücrelerden beslenir. Değerler giriş tablolarından canlı hesaplanır; sabit sayı formüle gömülmez.</t>
        </is>
      </c>
    </row>
    <row r="3"/>
    <row r="4" ht="15" customHeight="1" s="88">
      <c r="A4" s="116" t="inlineStr">
        <is>
          <t>TEMEL ARA HESAPLAR</t>
        </is>
      </c>
    </row>
    <row r="5" ht="15" customHeight="1" s="88">
      <c r="A5" s="117" t="inlineStr">
        <is>
          <t>Hesap Sayısı (AKTİF)</t>
        </is>
      </c>
      <c r="B5" s="118">
        <f>IFERROR(COUNTIFS(tblKasaHesap[],"AKTİF"),0)</f>
        <v/>
      </c>
    </row>
    <row r="6" ht="15" customHeight="1" s="88">
      <c r="A6" s="117" t="inlineStr">
        <is>
          <t>Toplam Bakiye (₺)</t>
        </is>
      </c>
      <c r="B6" s="114">
        <f>IFERROR(SUMIFS(tblKasaHesap[],tblKasaHesap[],"AKTİF"),0)</f>
        <v/>
      </c>
    </row>
    <row r="7" ht="15" customHeight="1" s="88">
      <c r="A7" s="117" t="inlineStr">
        <is>
          <t>Toplam Bloke (₺)</t>
        </is>
      </c>
      <c r="B7" s="114">
        <f>IFERROR(SUMIFS(tblKasaHesap[],tblKasaHesap[],"AKTİF"),0)</f>
        <v/>
      </c>
    </row>
    <row r="8" ht="15" customHeight="1" s="88">
      <c r="A8" s="117" t="inlineStr">
        <is>
          <t>Toplam Min Eşik (₺)</t>
        </is>
      </c>
      <c r="B8" s="114">
        <f>IFERROR(SUMIFS(tblKasaHesap[],tblKasaHesap[],"AKTİF"),0)</f>
        <v/>
      </c>
    </row>
    <row r="9" ht="15" customHeight="1" s="88">
      <c r="A9" s="117" t="inlineStr">
        <is>
          <t>Hareket Sayısı</t>
        </is>
      </c>
      <c r="B9" s="118">
        <f>IFERROR(COUNTA(tblKasaHareket[]),0)</f>
        <v/>
      </c>
    </row>
    <row r="10" ht="15" customHeight="1" s="88">
      <c r="A10" s="117" t="inlineStr">
        <is>
          <t>Toplam Giriş (₺)</t>
        </is>
      </c>
      <c r="B10" s="114">
        <f>IFERROR(SUMIFS(tblKasaHareket[],tblKasaHareket[],"GİRİŞ"),0)</f>
        <v/>
      </c>
    </row>
    <row r="11" ht="15" customHeight="1" s="88">
      <c r="A11" s="117" t="inlineStr">
        <is>
          <t>Toplam Çıkış (₺)</t>
        </is>
      </c>
      <c r="B11" s="114">
        <f>IFERROR(SUMIFS(tblKasaHareket[],tblKasaHareket[],"ÇIKIŞ"),0)</f>
        <v/>
      </c>
    </row>
    <row r="12" ht="15" customHeight="1" s="88">
      <c r="A12" s="117" t="inlineStr">
        <is>
          <t>Bekleyen Ödeme (₺)</t>
        </is>
      </c>
      <c r="B12" s="114">
        <f>IFERROR(SUMIFS(tblTakvim[],tblTakvim[],"ÖDEME",tblTakvim[],"BEKLEMEDE"),0)</f>
        <v/>
      </c>
    </row>
    <row r="13" ht="15" customHeight="1" s="88">
      <c r="A13" s="117" t="inlineStr">
        <is>
          <t>Bekleyen Tahsilat (₺)</t>
        </is>
      </c>
      <c r="B13" s="114">
        <f>IFERROR(SUMIFS(tblTakvim[],tblTakvim[],"TAHSİLAT",tblTakvim[],"BEKLEMEDE"),0)</f>
        <v/>
      </c>
    </row>
    <row r="14" ht="15" customHeight="1" s="88">
      <c r="A14" s="117" t="inlineStr">
        <is>
          <t>Kullanılabilir Para (₺)</t>
        </is>
      </c>
      <c r="B14" s="114">
        <f>IFERROR(MAX(B6-B7-B8,0),0)</f>
        <v/>
      </c>
    </row>
    <row r="15" ht="15" customHeight="1" s="88">
      <c r="A15" s="117" t="inlineStr">
        <is>
          <t>Nakit Açığı (₺)</t>
        </is>
      </c>
      <c r="B15" s="114">
        <f>IFERROR(B12-B14-B13,0)</f>
        <v/>
      </c>
    </row>
    <row r="16" ht="15" customHeight="1" s="88">
      <c r="A16" s="117" t="inlineStr">
        <is>
          <t>Fiziki Mutabakat Farkı (₺)</t>
        </is>
      </c>
      <c r="B16" s="114">
        <f>IFERROR(SUM(tblMutabakat[]),0)</f>
        <v/>
      </c>
    </row>
    <row r="17" ht="15" customHeight="1" s="88">
      <c r="A17" s="117" t="inlineStr">
        <is>
          <t>Kritik Ödeme (₺)</t>
        </is>
      </c>
      <c r="B17" s="114">
        <f>IFERROR(SUMIFS(tblTakvim[],tblTakvim[],"KRİTİK",tblTakvim[],"BEKLEMEDE",tblTakvim[],"ÖDEME"),0)</f>
        <v/>
      </c>
    </row>
    <row r="18" ht="15" customHeight="1" s="88">
      <c r="A18" s="117" t="inlineStr">
        <is>
          <t>Vadesi Geçen Ödeme Sayısı</t>
        </is>
      </c>
      <c r="B18" s="118">
        <f>IFERROR(COUNTIF(tblTakvim[],"VADE GEÇTİ"),0)</f>
        <v/>
      </c>
    </row>
    <row r="19" ht="15" customHeight="1" s="88">
      <c r="A19" s="117" t="inlineStr">
        <is>
          <t>Veri Kalite Skoru</t>
        </is>
      </c>
      <c r="B19" s="118">
        <f>IFERROR(MAX(0,100-(B22+B23+B24+B25+B26)*HataAgirligi-B27*UyariAgirligi),0)</f>
        <v/>
      </c>
    </row>
    <row r="20" ht="15" customHeight="1" s="88">
      <c r="A20" s="117" t="inlineStr">
        <is>
          <t>Güven Düzeyi</t>
        </is>
      </c>
      <c r="B20" s="119">
        <f>IFERROR(IF(B19&gt;=VeriKaliteYuksek,"YÜKSEK",IF(B19&gt;=VeriKaliteOrta,"ORTA","DÜŞÜK")),"VERİ YETERSİZ")</f>
        <v/>
      </c>
    </row>
    <row r="21" ht="15" customHeight="1" s="88">
      <c r="A21" s="117" t="inlineStr">
        <is>
          <t>Ödeme Önerisi (₺)</t>
        </is>
      </c>
      <c r="B21" s="114">
        <f>IFERROR(MIN(B12,MAX(B14,0)),0)</f>
        <v/>
      </c>
    </row>
    <row r="22" ht="15" customHeight="1" s="88">
      <c r="A22" s="117" t="inlineStr">
        <is>
          <t>Eksik Zorunlu Alan</t>
        </is>
      </c>
      <c r="B22" s="118">
        <f>IFERROR(COUNTIF(tblKasaHareket[],"EKSİK"),0)</f>
        <v/>
      </c>
    </row>
    <row r="23" ht="15" customHeight="1" s="88">
      <c r="A23" s="117" t="inlineStr">
        <is>
          <t>Mükerrer Kayıt</t>
        </is>
      </c>
      <c r="B23" s="118">
        <f>IFERROR(COUNTIF(tblKasaHareket[],"MÜKERRER"),0)</f>
        <v/>
      </c>
    </row>
    <row r="24" ht="15" customHeight="1" s="88">
      <c r="A24" s="117" t="inlineStr">
        <is>
          <t>Sıfır/Negatif Tutar</t>
        </is>
      </c>
      <c r="B24" s="118">
        <f>IFERROR(COUNTIF(tblKasaHareket[],"SIFIR/NEGATİF"),0)</f>
        <v/>
      </c>
    </row>
    <row r="25" ht="15" customHeight="1" s="88">
      <c r="A25" s="117" t="inlineStr">
        <is>
          <t>Aşırı Tutar</t>
        </is>
      </c>
      <c r="B25" s="118">
        <f>IFERROR(COUNTIF(tblKasaHareket[],"AŞIRI TUTAR"),0)</f>
        <v/>
      </c>
    </row>
    <row r="26" ht="15" customHeight="1" s="88">
      <c r="A26" s="117" t="inlineStr">
        <is>
          <t>Vadesi Geçmiş Ödeme</t>
        </is>
      </c>
      <c r="B26" s="118">
        <f>IFERROR(COUNTIF(tblTakvim[],"VADE GEÇTİ"),0)</f>
        <v/>
      </c>
    </row>
    <row r="27" ht="15" customHeight="1" s="88">
      <c r="A27" s="117" t="inlineStr">
        <is>
          <t>Mutabakat Farkı Var</t>
        </is>
      </c>
      <c r="B27" s="118">
        <f>IFERROR(COUNTIF(tblMutabakat[],"FARK VAR"),0)</f>
        <v/>
      </c>
    </row>
    <row r="28"/>
    <row r="29" ht="15" customHeight="1" s="88">
      <c r="A29" s="116" t="inlineStr">
        <is>
          <t>ANALİTİK MODÜL HESAPLARI</t>
        </is>
      </c>
    </row>
    <row r="30" ht="15" customHeight="1" s="88">
      <c r="A30" s="117" t="inlineStr">
        <is>
          <t>Modül T1: Vadesi Geçen Ödeme Sayısı</t>
        </is>
      </c>
      <c r="B30" s="118">
        <f>IFERROR(COUNTIF(tblTakvim[],"VADE GEÇTİ"),0)</f>
        <v/>
      </c>
    </row>
    <row r="31" ht="15" customHeight="1" s="88">
      <c r="A31" s="117" t="inlineStr">
        <is>
          <t>Modül T2: Net Nakit Eğimi</t>
        </is>
      </c>
      <c r="B31" s="114">
        <f>IFERROR(SLOPE(tblGunlukOzet[Net (₺)],tblGunlukOzet[Tarih]),0)</f>
        <v/>
      </c>
    </row>
    <row r="32" ht="15" customHeight="1" s="88">
      <c r="A32" s="117" t="inlineStr">
        <is>
          <t>Modül T3: Çıkış Pareto Payı</t>
        </is>
      </c>
      <c r="B32" s="120">
        <f>IFERROR(IF(B11=0,0,SUMIFS(tblKasaHareket[],tblKasaHareket[],"ÇIKIŞ",tblKasaHareket[],LISTELER!$B$4)/B11),0)</f>
        <v/>
      </c>
    </row>
    <row r="33" ht="15" customHeight="1" s="88">
      <c r="A33" s="117" t="inlineStr">
        <is>
          <t>Modül T4: Günlük Net Fark</t>
        </is>
      </c>
      <c r="B33" s="114">
        <f>IFERROR(AVERAGE(tblGunlukOzet[Net (₺)]),0)</f>
        <v/>
      </c>
    </row>
    <row r="34" ht="15" customHeight="1" s="88">
      <c r="A34" s="117" t="inlineStr">
        <is>
          <t>Modül T5: Mutabakat Farkı</t>
        </is>
      </c>
      <c r="B34" s="114">
        <f>IFERROR(SUM(tblMutabakat[]),0)</f>
        <v/>
      </c>
    </row>
    <row r="35" ht="15" customHeight="1" s="88">
      <c r="A35" s="117" t="inlineStr">
        <is>
          <t>Modül T6: Kapsama Oranı</t>
        </is>
      </c>
      <c r="B35" s="120">
        <f>IFERROR(IF(B12=0,0,(B14+B13)/B12),0)</f>
        <v/>
      </c>
    </row>
    <row r="36" ht="15" customHeight="1" s="88">
      <c r="A36" s="117" t="inlineStr">
        <is>
          <t>Modül O1: Anomali Oranı</t>
        </is>
      </c>
      <c r="B36" s="120">
        <f>IFERROR(IF(B10=0,0,B11/MAX(B10,1)),0)</f>
        <v/>
      </c>
    </row>
    <row r="37" ht="15" customHeight="1" s="88">
      <c r="A37" s="117" t="inlineStr">
        <is>
          <t>Modül O2: Tornado Zirve Etki</t>
        </is>
      </c>
      <c r="B37" s="114">
        <f>IFERROR(ABS(SenaryoBazNakit-SenaryoKotumserNakit),0)</f>
        <v/>
      </c>
    </row>
    <row r="38" ht="15" customHeight="1" s="88">
      <c r="A38" s="117" t="inlineStr">
        <is>
          <t>Modül O3: Senaryo Baz Fark</t>
        </is>
      </c>
      <c r="B38" s="114">
        <f>IFERROR(SenaryoIyimserNakit-SenaryoKotumserNakit,0)</f>
        <v/>
      </c>
    </row>
    <row r="39" ht="15" customHeight="1" s="88">
      <c r="A39" s="117" t="inlineStr">
        <is>
          <t>Modül O6: Hesap HHI</t>
        </is>
      </c>
      <c r="B39" s="118">
        <f>IFERROR(IF(SUMIFS(tblKasaHesap[],tblKasaHesap[],"AKTİF")=0,0,SUMPRODUCT(IF(tblKasaHesap[]="AKTİF",tblKasaHesap[],0),IF(tblKasaHesap[]="AKTİF",tblKasaHesap[],0))/MAX(1,SUMIFS(tblKasaHesap[],tblKasaHesap[],"AKTİF")^2)),0)</f>
        <v/>
      </c>
    </row>
    <row r="40" ht="15" customHeight="1" s="88">
      <c r="A40" s="117" t="inlineStr">
        <is>
          <t>Modül O8: Veri Kalite Skoru</t>
        </is>
      </c>
      <c r="B40" s="118">
        <f>B19</f>
        <v/>
      </c>
    </row>
    <row r="41" ht="15" customHeight="1" s="88">
      <c r="A41" s="117" t="inlineStr">
        <is>
          <t>Modül I1: Kasa Tahmini</t>
        </is>
      </c>
      <c r="B41" s="114">
        <f>IFERROR(_xlfn.FORECAST.LINEAR(MAX(tblProjeksiyon[Hafta Başlangıcı]),tblProjeksiyon[Dönem Sonu Kasa (₺)],tblProjeksiyon[Hafta Başlangıcı]),0)</f>
        <v/>
      </c>
    </row>
    <row r="42" ht="15" customHeight="1" s="88">
      <c r="A42" s="117" t="inlineStr">
        <is>
          <t>Modül I2: Kasa P90</t>
        </is>
      </c>
      <c r="B42" s="114">
        <f>IFERROR(_xlfn.PERCENTILE.INC(tblProjeksiyon[Dönem Sonu Kasa (₺)],0.9),0)</f>
        <v/>
      </c>
    </row>
    <row r="43" ht="15" customHeight="1" s="88">
      <c r="A43" s="117" t="inlineStr">
        <is>
          <t>Modül I7: Nakit Açığı Köprüsü</t>
        </is>
      </c>
      <c r="B43" s="114">
        <f>IFERROR(MAX(0,B15),0)</f>
        <v/>
      </c>
    </row>
    <row r="44"/>
    <row r="45" ht="15" customHeight="1" s="88">
      <c r="A45" s="116" t="inlineStr">
        <is>
          <t>MODÜL MAKİNE YORUMLARI</t>
        </is>
      </c>
    </row>
    <row r="46" ht="15" customHeight="1" s="88">
      <c r="A46" s="117" t="inlineStr">
        <is>
          <t>T1 Vade Yaşlandırma</t>
        </is>
      </c>
      <c r="B46" s="118">
        <f>modulT1VadeGecmis</f>
        <v/>
      </c>
      <c r="C46" s="121">
        <f>_xlfn.TEXTJOIN(" | ",TRUE(),"T1: Vadesi geçmiş ödeme sayısı "&amp;modulT1VadeGecmis,IF(modulT1VadeGecmis&gt;0,"vade yönetimi riskli, gecikmiş ödemeleri önceliklendirin","vadesi geçmiş ödeme yok"))</f>
        <v/>
      </c>
    </row>
    <row r="47" ht="15" customHeight="1" s="88">
      <c r="A47" s="117" t="inlineStr">
        <is>
          <t>T2 Net Nakit Eğimi</t>
        </is>
      </c>
      <c r="B47" s="114">
        <f>modulT2NetEgim</f>
        <v/>
      </c>
      <c r="C47" s="121">
        <f>_xlfn.TEXTJOIN(" | ",TRUE(),"T2: Net nakit eğimi "&amp;TEXT(modulT2NetEgim,"#,##0")&amp;" ₺/gün",IF(modulT2NetEgim&gt;0,"nakit akışı iyileşiyor","nakit akışı geriliyor"))</f>
        <v/>
      </c>
    </row>
    <row r="48" ht="15" customHeight="1" s="88">
      <c r="A48" s="117" t="inlineStr">
        <is>
          <t>T3 Çıkış Pareto Payı</t>
        </is>
      </c>
      <c r="B48" s="120">
        <f>modulT3ParetoPay</f>
        <v/>
      </c>
      <c r="C48" s="121">
        <f>_xlfn.TEXTJOIN(" | ",TRUE(),"T3: En büyük çıkış kategorisinin payı %"&amp;TEXT(modulT3ParetoPay*100,"0")&amp;"",IF(modulT3ParetoPay&gt;0.4,"çıkışlar tek kategoride yoğun, dağılımı denetleyin","çıkış dağılımı dengeli"))</f>
        <v/>
      </c>
    </row>
    <row r="49" ht="15" customHeight="1" s="88">
      <c r="A49" s="117" t="inlineStr">
        <is>
          <t>T4 Günlük Net Fark</t>
        </is>
      </c>
      <c r="B49" s="114">
        <f>modulT4NetFark</f>
        <v/>
      </c>
      <c r="C49" s="121">
        <f>_xlfn.TEXTJOIN(" | ",TRUE(),"T4: AVERAGE günlük net nakit "&amp;TEXT(modulT4NetFark,"#,##0")&amp;" ₺",IF(modulT4NetFark&lt;0,"günlük net akış negatif, nakit yapısını gözden geçirin","günlük net akış pozitif"))</f>
        <v/>
      </c>
    </row>
    <row r="50" ht="15" customHeight="1" s="88">
      <c r="A50" s="117" t="inlineStr">
        <is>
          <t>T5 Mutabakat Farkı</t>
        </is>
      </c>
      <c r="B50" s="114">
        <f>modulT5MutabakatFark</f>
        <v/>
      </c>
      <c r="C50" s="121">
        <f>_xlfn.TEXTJOIN(" | ",TRUE(),"T5: Defter-sayım farkı "&amp;TEXT(modulT5MutabakatFark,"#,##0")&amp;" ₺",IF(ABS(modulT5MutabakatFark)&gt;MutabakatToleransi,"mutabakat farkı var, kök nedeni inceleyin","mutabakat uyumlu"))</f>
        <v/>
      </c>
    </row>
    <row r="51" ht="15" customHeight="1" s="88">
      <c r="A51" s="117" t="inlineStr">
        <is>
          <t>T6 Kapsama Oranı</t>
        </is>
      </c>
      <c r="B51" s="120">
        <f>modulT6KapsamaOran</f>
        <v/>
      </c>
      <c r="C51" s="121">
        <f>_xlfn.TEXTJOIN(" | ",TRUE(),"T6: Ödeme kapsama oranı %"&amp;TEXT(modulT6KapsamaOran*100,"0")&amp;"",IF(modulT6KapsamaOran&lt;1,"kaynaklar bekleyen ödemeyi karşılamıyor","kaynaklar ödemeyi karşılıyor"))</f>
        <v/>
      </c>
    </row>
    <row r="52" ht="15" customHeight="1" s="88">
      <c r="A52" s="117" t="inlineStr">
        <is>
          <t>O1 Anomali Oranı</t>
        </is>
      </c>
      <c r="B52" s="120">
        <f>modulO1AnomaliOran</f>
        <v/>
      </c>
      <c r="C52" s="121">
        <f>_xlfn.TEXTJOIN(" | ",TRUE(),"O1: Çıkış/giriş dengesi %"&amp;TEXT(modulO1AnomaliOran*100,"0.0")&amp;"",IF(modulO1AnomaliOran&gt;1,"çıkışlar girişleri aşıyor, nakit erime riski","giriş-çıkış dengesi korunuyor"))</f>
        <v/>
      </c>
    </row>
    <row r="53" ht="15" customHeight="1" s="88">
      <c r="A53" s="117" t="inlineStr">
        <is>
          <t>O2 Tornado Zirve Etki</t>
        </is>
      </c>
      <c r="B53" s="114">
        <f>modulO2TornadoZirve</f>
        <v/>
      </c>
      <c r="C53" s="121">
        <f>_xlfn.TEXTJOIN(" | ",TRUE(),"O2: Kötümser senaryo nakit etkisi "&amp;TEXT(modulO2TornadoZirve,"#,##0")&amp;" ₺",IF(modulO2TornadoZirve&gt;KritikRiskEsik,"kötümser senaryoda nakit açığı derinleşiyor","senaryo aralığı yönetilebilir"))</f>
        <v/>
      </c>
    </row>
    <row r="54" ht="15" customHeight="1" s="88">
      <c r="A54" s="117" t="inlineStr">
        <is>
          <t>O3 Senaryo Baz Fark</t>
        </is>
      </c>
      <c r="B54" s="114">
        <f>modulO3SenaryoFark</f>
        <v/>
      </c>
      <c r="C54" s="121">
        <f>_xlfn.TEXTJOIN(" | ",TRUE(),"O3: İyimser-kötümser nakit farkı "&amp;TEXT(modulO3SenaryoFark,"#,##0")&amp;" ₺",IF(modulO3SenaryoFark&gt;KritikRiskEsik*2,"senaryo belirsizliği yüksek","senaryo aralığı kabul edilebilir"))</f>
        <v/>
      </c>
    </row>
    <row r="55" ht="15" customHeight="1" s="88">
      <c r="A55" s="117" t="inlineStr">
        <is>
          <t>O6 Hesap HHI</t>
        </is>
      </c>
      <c r="B55" s="118">
        <f>modulO6HesapHhi</f>
        <v/>
      </c>
      <c r="C55" s="121">
        <f>_xlfn.TEXTJOIN(" | ",TRUE(),"O6: Hesap yoğunlaşma endeksi "&amp;TEXT(modulO6HesapHhi,"0.00")&amp;"",IF(modulO6HesapHhi&gt;0.5,"nakit tek hesapta yoğun, dağıtın","hesap dağılımı dengeli"))</f>
        <v/>
      </c>
    </row>
    <row r="56" ht="15" customHeight="1" s="88">
      <c r="A56" s="117" t="inlineStr">
        <is>
          <t>O8 Veri Kalite Skoru</t>
        </is>
      </c>
      <c r="B56" s="118">
        <f>modulO8KaliteSkor</f>
        <v/>
      </c>
      <c r="C56" s="121">
        <f>_xlfn.TEXTJOIN(" | ",TRUE(),"O8: Veri kalite skoru "&amp;TEXT(modulO8KaliteSkor,"0")&amp;"/100",IF(modulO8KaliteSkor&gt;=VeriKaliteYuksek,"girdi kalitesi yüksek","kalite düşük, girişleri tamamlayın"))</f>
        <v/>
      </c>
    </row>
    <row r="57" ht="15" customHeight="1" s="88">
      <c r="A57" s="117" t="inlineStr">
        <is>
          <t>I1 Kasa Tahmini</t>
        </is>
      </c>
      <c r="B57" s="114">
        <f>modulI1KasaTahmini</f>
        <v/>
      </c>
      <c r="C57" s="121">
        <f>_xlfn.TEXTJOIN(" | ",TRUE(),"I1: Projeksiyon sonunda beklenen kasa "&amp;TEXT(modulI1KasaTahmini,"#,##0")&amp;" ₺",IF(modulI1KasaTahmini&lt;KasaBaslangicBakiye*0.5,"projeksiyon kasa erimesi öngörüyor","projeksiyon kasa seviyesini koruyor"))</f>
        <v/>
      </c>
    </row>
    <row r="58" ht="15" customHeight="1" s="88">
      <c r="A58" s="117" t="inlineStr">
        <is>
          <t>I2 Kasa P90</t>
        </is>
      </c>
      <c r="B58" s="114">
        <f>modulI2KasaP90</f>
        <v/>
      </c>
      <c r="C58" s="121">
        <f>_xlfn.TEXTJOIN(" | ",TRUE(),"I2: Dönem sonu kasa P90 "&amp;TEXT(modulI2KasaP90,"#,##0")&amp;" ₺",IF(modulI2KasaP90&lt;AsgariNakitTamponu,"P90 senaryoda bile kasa tamponun altında","P90 senaryoda kasa tamponun üzerinde"))</f>
        <v/>
      </c>
    </row>
    <row r="59" ht="15" customHeight="1" s="88">
      <c r="A59" s="117" t="inlineStr">
        <is>
          <t>I7 Açık Köprüsü</t>
        </is>
      </c>
      <c r="B59" s="114">
        <f>modulI7AcikKopru</f>
        <v/>
      </c>
      <c r="C59" s="121">
        <f>_xlfn.TEXTJOIN(" | ",TRUE(),"I7: Nakit açığı köprüsü "&amp;TEXT(modulI7AcikKopru,"#,##0")&amp;" ₺",IF(modulI7AcikKopru&gt;0,"bekleyen ödemenin karşılanamayan kısmı var, tahsilatı hızlandırın","nakit açığı yok"))</f>
        <v/>
      </c>
    </row>
    <row r="60"/>
    <row r="61" ht="19.5" customHeight="1" s="88">
      <c r="A61" s="99" t="inlineStr">
        <is>
          <t>Tüm hesaplar AYARLAR parametrelerinden beslenir; veri yokken 0 ve VERİ YETERSİZ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61:AN6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6.5" customWidth="1" style="87" min="1" max="1"/>
    <col width="44" customWidth="1" style="87" min="2" max="2"/>
    <col width="13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KONTROLLER — AKILLI KASA DEFTERİ VE NAKİT KONTROL SİSTEMİ</t>
        </is>
      </c>
    </row>
    <row r="2" ht="19.5" customHeight="1" s="88">
      <c r="A2" s="99" t="inlineStr">
        <is>
          <t>Veri giriş kalitesi ve nakit anomalileri burada denetlenir. Veri kalite skoru 0-100 arasıdır; skor ve kararlar formülle canlı hesaplanır.</t>
        </is>
      </c>
    </row>
    <row r="3"/>
    <row r="4" ht="15" customHeight="1" s="88">
      <c r="A4" s="116" t="inlineStr">
        <is>
          <t>VERİ KALİTE GÖSTERGELERİ</t>
        </is>
      </c>
    </row>
    <row r="5" ht="15" customHeight="1" s="88">
      <c r="A5" s="117" t="inlineStr">
        <is>
          <t>Kayıt Sayısı</t>
        </is>
      </c>
      <c r="B5" s="118">
        <f>COUNTA(tblKasaHareket[])</f>
        <v/>
      </c>
    </row>
    <row r="6" ht="15" customHeight="1" s="88">
      <c r="A6" s="117" t="inlineStr">
        <is>
          <t>Eksik Zorunlu Alan</t>
        </is>
      </c>
      <c r="B6" s="118">
        <f>COUNTIF(tblKasaHareket[],"EKSİK")</f>
        <v/>
      </c>
    </row>
    <row r="7" ht="15" customHeight="1" s="88">
      <c r="A7" s="117" t="inlineStr">
        <is>
          <t>Mükerrer Kayıt</t>
        </is>
      </c>
      <c r="B7" s="118">
        <f>COUNTIF(tblKasaHareket[],"MÜKERRER")</f>
        <v/>
      </c>
    </row>
    <row r="8" ht="15" customHeight="1" s="88">
      <c r="A8" s="117" t="inlineStr">
        <is>
          <t>Sıfır/Negatif Tutar</t>
        </is>
      </c>
      <c r="B8" s="118">
        <f>COUNTIF(tblKasaHareket[],"SIFIR/NEGATİF")</f>
        <v/>
      </c>
    </row>
    <row r="9" ht="15" customHeight="1" s="88">
      <c r="A9" s="117" t="inlineStr">
        <is>
          <t>Aşırı Tutar</t>
        </is>
      </c>
      <c r="B9" s="118">
        <f>COUNTIF(tblKasaHareket[],"AŞIRI TUTAR")</f>
        <v/>
      </c>
    </row>
    <row r="10" ht="15" customHeight="1" s="88">
      <c r="A10" s="117" t="inlineStr">
        <is>
          <t>Vadesi Geçmiş Ödeme</t>
        </is>
      </c>
      <c r="B10" s="118">
        <f>COUNTIF(tblTakvim[],"VADE GEÇTİ")</f>
        <v/>
      </c>
    </row>
    <row r="11" ht="15" customHeight="1" s="88">
      <c r="A11" s="117" t="inlineStr">
        <is>
          <t>Mutabakat Farkı Var</t>
        </is>
      </c>
      <c r="B11" s="118">
        <f>COUNTIF(tblMutabakat[],"FARK VAR")</f>
        <v/>
      </c>
    </row>
    <row r="12" ht="15" customHeight="1" s="88">
      <c r="A12" s="117" t="inlineStr">
        <is>
          <t>Bekleyen Ödeme Sayısı</t>
        </is>
      </c>
      <c r="B12" s="118">
        <f>COUNTIFS(tblTakvim[],"BEKLEMEDE",tblTakvim[],"ÖDEME")</f>
        <v/>
      </c>
    </row>
    <row r="13"/>
    <row r="14" ht="15" customHeight="1" s="88">
      <c r="A14" s="116" t="inlineStr">
        <is>
          <t>VERİ KALİTE SKORU VE KARAR</t>
        </is>
      </c>
    </row>
    <row r="15" ht="15" customHeight="1" s="88">
      <c r="A15" s="122" t="inlineStr">
        <is>
          <t>Veri Kalite Skoru (0-100)</t>
        </is>
      </c>
      <c r="B15" s="123">
        <f>IF(KayitSayisi=0,0,MAX(100-(B6+B7+B8+B9+B10)*HataAgirligi-B11*UyariAgirligi,0))</f>
        <v/>
      </c>
    </row>
    <row r="16" ht="15" customHeight="1" s="88">
      <c r="A16" s="122" t="inlineStr">
        <is>
          <t>Güven Düzeyi</t>
        </is>
      </c>
      <c r="B16" s="124">
        <f>IF(KayitSayisi=0,"VERİ YETERSİZ",IF(B15&gt;=VeriKaliteYuksek,"YÜKSEK",IF(B15&gt;=VeriKaliteOrta,"ORTA","DÜŞÜK")))</f>
        <v/>
      </c>
    </row>
    <row r="17" ht="15" customHeight="1" s="88">
      <c r="A17" s="122" t="inlineStr">
        <is>
          <t>Genel Durum</t>
        </is>
      </c>
      <c r="B17" s="124">
        <f>IF(KayitSayisi=0,"VERİ YETERSİZ",IF(B16="DÜŞÜK","DÜZELTME GEREKLİ",IF(B15&gt;=VeriKaliteYuksek,"SAĞLIKLI","İZLEME GEREKLİ")))</f>
        <v/>
      </c>
    </row>
    <row r="18" ht="15" customHeight="1" s="88">
      <c r="A18" s="122" t="inlineStr">
        <is>
          <t>Kasa Durumu</t>
        </is>
      </c>
      <c r="B18" s="124">
        <f>IF(KayitSayisi=0,"VERİ YETERSİZ",KararBildirimi)</f>
        <v/>
      </c>
    </row>
    <row r="19" ht="15" customHeight="1" s="88">
      <c r="A19" s="122" t="inlineStr">
        <is>
          <t>Açık Risk Bildirimi</t>
        </is>
      </c>
      <c r="B19" s="124">
        <f>IF(KayitSayisi=0,"VERİ YETERSİZ",IF(NakitAcik&gt;0,"NAKİT AÇIĞI VAR","RİSK YOK"))</f>
        <v/>
      </c>
    </row>
    <row r="20"/>
    <row r="21" ht="15" customHeight="1" s="88">
      <c r="A21" s="116" t="inlineStr">
        <is>
          <t>ANOMALİ TESPİTİ</t>
        </is>
      </c>
    </row>
    <row r="22" ht="15" customHeight="1" s="88">
      <c r="A22" s="122" t="inlineStr">
        <is>
          <t>Günlük Ortalama Çıkış (₺)</t>
        </is>
      </c>
      <c r="B22" s="114">
        <f>IF(KayitSayisi=0,"VERİ YETERSİZ",IFERROR(ROUND(AVERAGEIFS(tblKasaHareket[],tblKasaHareket[],"ÇIKIŞ"),0),"VERİ YETERSİZ"))</f>
        <v/>
      </c>
    </row>
    <row r="23" ht="15" customHeight="1" s="88">
      <c r="A23" s="122" t="inlineStr">
        <is>
          <t>En Yüksek Tek Çıkış (₺)</t>
        </is>
      </c>
      <c r="B23" s="114">
        <f>IF(KayitSayisi=0,"VERİ YETERSİZ",IFERROR(_xlfn.MAXIFS(tblKasaHareket[],tblKasaHareket[],"ÇIKIŞ"),"VERİ YETERSİZ"))</f>
        <v/>
      </c>
    </row>
    <row r="24" ht="15" customHeight="1" s="88">
      <c r="A24" s="122" t="inlineStr">
        <is>
          <t>Anomali Değerlendirmesi</t>
        </is>
      </c>
      <c r="B24" s="124">
        <f>IF(KayitSayisi=0,"VERİ YETERSİZ",IF(AND(ISNUMBER(B22),ISNUMBER(B23)),IF(B23&gt;B22*AnomaliKatsayisi,"ANOMALİ VAR","NORMAL"),"VERİ YETERSİZ"))</f>
        <v/>
      </c>
    </row>
    <row r="25"/>
    <row r="26" ht="42.75" customHeight="1" s="88">
      <c r="A26" s="125" t="inlineStr">
        <is>
          <t>NOT: B5-B12 ve B28-B39 hücreleri canlı formüller içerir; buradaki sonuçlar KARAR_MOTORU, PANO ve RAPOR sayfalarını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B28">
    <cfRule type="cellIs" rank="0" priority="2" equalAverage="0" operator="lessThan" aboveAverage="0" dxfId="5" text="" percent="0" bottom="0">
      <formula>50</formula>
    </cfRule>
    <cfRule type="cellIs" rank="0" priority="3" equalAverage="0" operator="between" aboveAverage="0" dxfId="9" text="" percent="0" bottom="0">
      <formula>50</formula>
      <formula>80</formula>
    </cfRule>
    <cfRule type="cellIs" rank="0" priority="4" equalAverage="0" operator="greaterThanOrEqual" aboveAverage="0" dxfId="6" text="" percent="0" bottom="0">
      <formula>80</formula>
    </cfRule>
  </conditionalFormatting>
  <conditionalFormatting sqref="B33">
    <cfRule type="cellIs" rank="0" priority="5" equalAverage="0" operator="equal" aboveAverage="0" dxfId="6" text="" percent="0" bottom="0">
      <formula>"SAĞLIKLI"</formula>
    </cfRule>
    <cfRule type="cellIs" rank="0" priority="6" equalAverage="0" operator="equal" aboveAverage="0" dxfId="9" text="" percent="0" bottom="0">
      <formula>"İZLEME GEREKLİ"</formula>
    </cfRule>
    <cfRule type="cellIs" rank="0" priority="7" equalAverage="0" operator="equal" aboveAverage="0" dxfId="8" text="" percent="0" bottom="0">
      <formula>"DÜZELTME GEREKLİ"</formula>
    </cfRule>
  </conditionalFormatting>
  <conditionalFormatting sqref="B34">
    <cfRule type="cellIs" rank="0" priority="8" equalAverage="0" operator="equal" aboveAverage="0" dxfId="6" text="" percent="0" bottom="0">
      <formula>"UYGUN"</formula>
    </cfRule>
    <cfRule type="cellIs" rank="0" priority="9" equalAverage="0" operator="equal" aboveAverage="0" dxfId="9" text="" percent="0" bottom="0">
      <formula>"İNCELE"</formula>
    </cfRule>
    <cfRule type="cellIs" rank="0" priority="10" equalAverage="0" operator="equal" aboveAverage="0" dxfId="5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6.5" customWidth="1" style="87" min="1" max="1"/>
    <col width="84.5" customWidth="1" style="87" min="2" max="2"/>
    <col width="14" customWidth="1" style="87" min="3" max="4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KARAR MOTORU — AKILLI KASA DEFTERİ VE NAKİT KONTROL SİSTEMİ</t>
        </is>
      </c>
    </row>
    <row r="2" ht="19.5" customHeight="1" s="88">
      <c r="A2" s="99" t="inlineStr">
        <is>
          <t>Sistemin kalbi: kasadaki kullanılabilir para, açık riski ve ödeme önerisi burada üretilir. Tüm değerler giriş sayfalarından canlı hesaplanır.</t>
        </is>
      </c>
    </row>
    <row r="3"/>
    <row r="4" ht="15" customHeight="1" s="88">
      <c r="A4" s="116" t="inlineStr">
        <is>
          <t>KASA GÖRÜNÜMÜ</t>
        </is>
      </c>
    </row>
    <row r="5" ht="15" customHeight="1" s="88">
      <c r="A5" s="122" t="inlineStr">
        <is>
          <t>Toplam Hesap Bakiyesi (₺)</t>
        </is>
      </c>
      <c r="B5" s="126">
        <f>IF(KayitSayisi=0,"VERİ YETERSİZ",SUMIFS(tblKasaHesap[],tblKasaHesap[],"AKTİF"))</f>
        <v/>
      </c>
    </row>
    <row r="6" ht="15" customHeight="1" s="88">
      <c r="A6" s="122" t="inlineStr">
        <is>
          <t>Toplam Bloke Tutar (₺)</t>
        </is>
      </c>
      <c r="B6" s="114">
        <f>IF(KayitSayisi=0,"VERİ YETERSİZ",SUMIFS(tblKasaHesap[],tblKasaHesap[],"AKTİF"))</f>
        <v/>
      </c>
    </row>
    <row r="7" ht="15" customHeight="1" s="88">
      <c r="A7" s="122" t="inlineStr">
        <is>
          <t>Toplam Minimum Kasa Eşiği (₺)</t>
        </is>
      </c>
      <c r="B7" s="114">
        <f>IF(KayitSayisi=0,"VERİ YETERSİZ",SUMIFS(tblKasaHesap[],tblKasaHesap[],"AKTİF"))</f>
        <v/>
      </c>
    </row>
    <row r="8" ht="15" customHeight="1" s="88">
      <c r="A8" s="122" t="inlineStr">
        <is>
          <t>KULLANILABİLİR PARA (₺)</t>
        </is>
      </c>
      <c r="B8" s="127">
        <f>IF(KayitSayisi=0,"VERİ YETERSİZ",MAX(B5-B6-B7,0))</f>
        <v/>
      </c>
    </row>
    <row r="9" ht="15" customHeight="1" s="88">
      <c r="A9" s="122" t="inlineStr">
        <is>
          <t>Nakit Açığı (₺)  [Bekleyen Ödeme - (Kullanılabilir + Bekleyen Tahsilat)]</t>
        </is>
      </c>
      <c r="B9" s="126">
        <f>IF(KayitSayisi=0,"VERİ YETERSİZ",B10-B8-B11)</f>
        <v/>
      </c>
    </row>
    <row r="10" ht="15" customHeight="1" s="88">
      <c r="A10" s="122" t="inlineStr">
        <is>
          <t>Bekleyen Ödeme Yükü (₺)</t>
        </is>
      </c>
      <c r="B10" s="114">
        <f>IF(KayitSayisi=0,"VERİ YETERSİZ",SUMIFS(tblTakvim[],tblTakvim[],"ÖDEME",tblTakvim[],"BEKLEMEDE"))</f>
        <v/>
      </c>
    </row>
    <row r="11" ht="15" customHeight="1" s="88">
      <c r="A11" s="122" t="inlineStr">
        <is>
          <t>Bekleyen Tahsilat (₺)</t>
        </is>
      </c>
      <c r="B11" s="114">
        <f>IF(KayitSayisi=0,"VERİ YETERSİZ",SUMIFS(tblTakvim[],tblTakvim[],"TAHSİLAT",tblTakvim[],"BEKLEMEDE"))</f>
        <v/>
      </c>
    </row>
    <row r="12" ht="18.75" customHeight="1" s="88">
      <c r="A12" s="122" t="inlineStr">
        <is>
          <t>KARAR</t>
        </is>
      </c>
      <c r="B12" s="128">
        <f>IF(KayitSayisi=0,"VERİ YETERSİZ",IF(B9&gt;0,"DURDUR",IF(B8&lt;AsgariNakitTamponu,"İNCELE","UYGUN")))</f>
        <v/>
      </c>
    </row>
    <row r="13" ht="15" customHeight="1" s="88">
      <c r="A13" s="122" t="inlineStr">
        <is>
          <t>Risk Seviyesi</t>
        </is>
      </c>
      <c r="B13" s="124">
        <f>IF(KayitSayisi=0,"VERİ YETERSİZ",IF(B9&gt;0,"KRİTİK",IF(B9&gt;-KritikRiskEsik,"YÜKSEK",IF(B8&lt;AsgariNakitTamponu,"ORTA","DÜŞÜK"))))</f>
        <v/>
      </c>
    </row>
    <row r="14" ht="27.75" customHeight="1" s="88">
      <c r="A14" s="122" t="inlineStr">
        <is>
          <t>Karar Gerekçesi</t>
        </is>
      </c>
      <c r="B14" s="129">
        <f>IF(KayitSayisi=0,"VERİ YETERSİZ",IF(B9&gt;0,"NAKİT AÇIĞI EŞİĞİ AŞILDI; DURDUR",IF(B8&lt;AsgariNakitTamponu,"KULLANILABİLİR PARA TAMPONUN ALTINDA; İNCELE","KAYNAKLAR BEKLEYEN YÜKÜMLÜLÜĞÜ KARŞILIYOR; UYGUN")))</f>
        <v/>
      </c>
    </row>
    <row r="15"/>
    <row r="16" ht="15" customHeight="1" s="88">
      <c r="A16" s="116" t="inlineStr">
        <is>
          <t>ÖDEME ÖNERİSİ</t>
        </is>
      </c>
    </row>
    <row r="17" ht="15" customHeight="1" s="88">
      <c r="A17" s="122" t="inlineStr">
        <is>
          <t>Ödenecek Tutar Önerisi (₺)</t>
        </is>
      </c>
      <c r="B17" s="126">
        <f>IF(KayitSayisi=0,"VERİ YETERSİZ",MIN(B10,MAX(B8,0)))</f>
        <v/>
      </c>
    </row>
    <row r="18" ht="15" customHeight="1" s="88">
      <c r="A18" s="122" t="inlineStr">
        <is>
          <t>Kritik Ödemeler (₺)</t>
        </is>
      </c>
      <c r="B18" s="114">
        <f>IF(KayitSayisi=0,"VERİ YETERSİZ",SUMIFS(tblTakvim[],tblTakvim[],"KRİTİK",tblTakvim[],"BEKLEMEDE",tblTakvim[],"ÖDEME"))</f>
        <v/>
      </c>
    </row>
    <row r="19" ht="15" customHeight="1" s="88">
      <c r="A19" s="122" t="inlineStr">
        <is>
          <t>İlk Kritik Ödeme Tarihi</t>
        </is>
      </c>
      <c r="B19" s="115">
        <f>IF(KayitSayisi=0,"VERİ YETERSİZ",IFERROR(_xlfn.MINIFS(tblTakvim[],tblTakvim[],"KRİTİK",tblTakvim[],"BEKLEMEDE"),"-"))</f>
        <v/>
      </c>
    </row>
    <row r="20"/>
    <row r="21" ht="15" customHeight="1" s="88">
      <c r="A21" s="116" t="inlineStr">
        <is>
          <t>AKSİYON ÖNERİLERİ (otomatik)</t>
        </is>
      </c>
    </row>
    <row r="22" ht="27.75" customHeight="1" s="88">
      <c r="A22" s="122" t="inlineStr">
        <is>
          <t>Aksiyon 1</t>
        </is>
      </c>
      <c r="B22" s="129">
        <f>IF(KayitSayisi=0,"VERİ YETERSİZ",IF(B9&gt;0,"Nakit açığını kapatmak için tahsilatları öne çekin veya ödemeleri yeniden vadelendirin.",IF(B8&lt;AsgariNakitTamponu,"Kullanılabilir parayı asgari tamponun üzerine çıkarın; kredi/avans seçeneklerini değerlendirin.","Mevcut nakit yapısı sağlıklı; kritik ödemeleri önceliklendirerek planınızı koruyun.")))</f>
        <v/>
      </c>
    </row>
    <row r="23" ht="27.75" customHeight="1" s="88">
      <c r="A23" s="122" t="inlineStr">
        <is>
          <t>Aksiyon 2</t>
        </is>
      </c>
      <c r="B23" s="129">
        <f>IF(KayitSayisi=0,"VERİ YETERSİZ",IF(B18&gt;0,"Kritik ödemeler toplamı "&amp;TEXT(B18,"#,##0")&amp;" ₺ — bu tutar için ödeme günü planı oluşturun.","Öncelikli ödeme grubunuz yok; yükümlülük takvimini gözden geçirin."))</f>
        <v/>
      </c>
    </row>
    <row r="24" ht="27.75" customHeight="1" s="88">
      <c r="A24" s="122" t="inlineStr">
        <is>
          <t>Aksiyon 3</t>
        </is>
      </c>
      <c r="B24" s="129">
        <f>IF(KayitSayisi=0,"VERİ YETERSİZ",IF(B6&gt;0,"Bloke tutarların ("&amp;TEXT(B6,"#,##0")&amp;" ₺) serbest kalma tarihlerini takip edin.","Bloke tutar bulunmuyor; kullanılabilir para doğrudan yönetilebilir."))</f>
        <v/>
      </c>
    </row>
    <row r="25"/>
    <row r="26" ht="15" customHeight="1" s="88">
      <c r="A26" s="116" t="inlineStr">
        <is>
          <t>GÜVEN VE DURUM</t>
        </is>
      </c>
    </row>
    <row r="27" ht="15" customHeight="1" s="88">
      <c r="A27" s="122" t="inlineStr">
        <is>
          <t>Veri Kalite Skoru</t>
        </is>
      </c>
      <c r="B27" s="123">
        <f>VeriKaliteSkor</f>
        <v/>
      </c>
    </row>
    <row r="28" ht="15" customHeight="1" s="88">
      <c r="A28" s="122" t="inlineStr">
        <is>
          <t>Güven Düzeyi</t>
        </is>
      </c>
      <c r="B28" s="124">
        <f>IF(KayitSayisi=0,"VERİ YETERSİZ",IF(B27&gt;=VeriKaliteYuksek,"YÜKSEK",IF(B27&gt;=VeriKaliteOrta,"ORTA","DÜŞÜK")))</f>
        <v/>
      </c>
    </row>
    <row r="29" ht="15" customHeight="1" s="88">
      <c r="A29" s="122" t="inlineStr">
        <is>
          <t>Genel Durum</t>
        </is>
      </c>
      <c r="B29" s="124">
        <f>IF(KayitSayisi=0,"VERİ YETERSİZ",IF(B27&lt;VeriKaliteOrta,"DÜZELTME GEREKLİ",IF(B12="DURDUR","DÜZELTME GEREKLİ",IF(B12="İNCELE","İZLEME GEREKLİ","SAĞLIKLI"))))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B9">
    <cfRule type="cellIs" rank="0" priority="2" equalAverage="0" operator="lessThan" aboveAverage="0" dxfId="5" text="" percent="0" bottom="0">
      <formula>0</formula>
    </cfRule>
    <cfRule type="cellIs" rank="0" priority="3" equalAverage="0" operator="greaterThanOrEqual" aboveAverage="0" dxfId="6" text="" percent="0" bottom="0">
      <formula>0</formula>
    </cfRule>
  </conditionalFormatting>
  <conditionalFormatting sqref="B11">
    <cfRule type="cellIs" rank="0" priority="4" equalAverage="0" operator="equal" aboveAverage="0" dxfId="6" text="" percent="0" bottom="0">
      <formula>"UYGUN"</formula>
    </cfRule>
    <cfRule type="cellIs" rank="0" priority="5" equalAverage="0" operator="equal" aboveAverage="0" dxfId="9" text="" percent="0" bottom="0">
      <formula>"İNCELE"</formula>
    </cfRule>
    <cfRule type="cellIs" rank="0" priority="6" equalAverage="0" operator="equal" aboveAverage="0" dxfId="5" text="" percent="0" bottom="0">
      <formula>"DURDUR"</formula>
    </cfRule>
  </conditionalFormatting>
  <conditionalFormatting sqref="B12">
    <cfRule type="cellIs" rank="0" priority="7" equalAverage="0" operator="equal" aboveAverage="0" dxfId="8" text="" percent="0" bottom="0">
      <formula>"KRİTİK"</formula>
    </cfRule>
    <cfRule type="cellIs" rank="0" priority="8" equalAverage="0" operator="equal" aboveAverage="0" dxfId="9" text="" percent="0" bottom="0">
      <formula>"YÜKSEK"</formula>
    </cfRule>
    <cfRule type="cellIs" rank="0" priority="9" equalAverage="0" operator="equal" aboveAverage="0" dxfId="14" text="" percent="0" bottom="0">
      <formula>"ORTA"</formula>
    </cfRule>
    <cfRule type="cellIs" rank="0" priority="10" equalAverage="0" operator="equal" aboveAverage="0" dxfId="6" text="" percent="0" bottom="0">
      <formula>"DÜŞÜK"</formula>
    </cfRule>
  </conditionalFormatting>
  <conditionalFormatting sqref="B14">
    <cfRule type="cellIs" rank="0" priority="11" equalAverage="0" operator="lessThan" aboveAverage="0" dxfId="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.5" customWidth="1" style="87" min="1" max="1"/>
    <col width="24.5" customWidth="1" style="87" min="2" max="3"/>
    <col width="13" customWidth="1" style="88" min="3" max="3"/>
    <col width="12" customWidth="1" style="87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SENARYO DUYARLILIK — AKILLI KASA DEFTERİ VE NAKİT KONTROL SİSTEMİ</t>
        </is>
      </c>
    </row>
    <row r="2" ht="19.5" customHeight="1" s="88">
      <c r="A2" s="99" t="inlineStr">
        <is>
          <t>Nakit durumunun farklı koşullar altında nasıl değişeceğini test edin. Senaryo parametreleri AYARLAR sayfasından, sonuçlar canlı formülle gelir.</t>
        </is>
      </c>
    </row>
    <row r="3"/>
    <row r="4" ht="15" customHeight="1" s="88">
      <c r="A4" s="116" t="inlineStr">
        <is>
          <t>SENARYO MOTORU</t>
        </is>
      </c>
    </row>
    <row r="5" ht="15" customHeight="1" s="88">
      <c r="A5" s="122" t="inlineStr">
        <is>
          <t>Temel Senaryo Kullanılabilir Para (₺)</t>
        </is>
      </c>
      <c r="B5" s="126">
        <f>KullanilabilirNakit</f>
        <v/>
      </c>
    </row>
    <row r="6" ht="15" customHeight="1" s="88">
      <c r="A6" s="122" t="inlineStr">
        <is>
          <t>İyimser Senaryo: Tahsilat Artış Oranı</t>
        </is>
      </c>
      <c r="B6" s="135" t="n">
        <v>0.1</v>
      </c>
    </row>
    <row r="7" ht="15" customHeight="1" s="88">
      <c r="A7" s="122" t="inlineStr">
        <is>
          <t>İyimser Kullanılabilir Para (₺)</t>
        </is>
      </c>
      <c r="B7" s="126">
        <f>IF(KayitSayisi=0,"VERİ YETERSİZ",B5+B10*B6)</f>
        <v/>
      </c>
    </row>
    <row r="8" ht="15" customHeight="1" s="88">
      <c r="A8" s="122" t="inlineStr">
        <is>
          <t>Kötümser Senaryo: Ek Ödeme (₺)</t>
        </is>
      </c>
      <c r="B8" s="106" t="n">
        <v>100000</v>
      </c>
    </row>
    <row r="9" ht="15" customHeight="1" s="88">
      <c r="A9" s="122" t="inlineStr">
        <is>
          <t>Kötümser Kullanılabilir Para (₺)</t>
        </is>
      </c>
      <c r="B9" s="126">
        <f>IF(KayitSayisi=0,"VERİ YETERSİZ",B5-B8)</f>
        <v/>
      </c>
    </row>
    <row r="10" ht="15" customHeight="1" s="88">
      <c r="A10" s="122" t="inlineStr">
        <is>
          <t>Bekleyen Tahsilat (₺)</t>
        </is>
      </c>
      <c r="B10" s="114">
        <f>BekleyenTahsilat</f>
        <v/>
      </c>
    </row>
    <row r="11" ht="15" customHeight="1" s="88">
      <c r="A11" s="122" t="inlineStr">
        <is>
          <t>Bekleyen Ödeme (₺)</t>
        </is>
      </c>
      <c r="B11" s="114">
        <f>BekleyenOdeme</f>
        <v/>
      </c>
    </row>
    <row r="12"/>
    <row r="13" ht="15" customHeight="1" s="88">
      <c r="A13" s="116" t="inlineStr">
        <is>
          <t>TANNADO / DUYARLILIK SIRALAMASI</t>
        </is>
      </c>
    </row>
    <row r="14" ht="15" customHeight="1" s="88">
      <c r="A14" s="122" t="inlineStr">
        <is>
          <t>Değişken</t>
        </is>
      </c>
      <c r="B14" s="122" t="inlineStr">
        <is>
          <t>Baz Etki (₺)</t>
        </is>
      </c>
      <c r="C14" s="122" t="inlineStr">
        <is>
          <t>Marjinal Etki (₺)</t>
        </is>
      </c>
      <c r="D14" s="122" t="inlineStr">
        <is>
          <t>Yön</t>
        </is>
      </c>
    </row>
    <row r="15" ht="15" customHeight="1" s="88">
      <c r="A15" s="122" t="inlineStr">
        <is>
          <t>Bekleyen Ödeme Değişimi (+%10)</t>
        </is>
      </c>
      <c r="B15" s="114">
        <f>BekleyenOdeme</f>
        <v/>
      </c>
      <c r="C15" s="114">
        <f>IF(KayitSayisi=0,"VERİ YETERSİZ",-B11*DuyarliOran)</f>
        <v/>
      </c>
      <c r="D15" s="136" t="inlineStr">
        <is>
          <t>OLUMSUZ</t>
        </is>
      </c>
    </row>
    <row r="16" ht="15" customHeight="1" s="88">
      <c r="A16" s="122" t="inlineStr">
        <is>
          <t>Bekleyen Tahsilat Değişimi (+%10)</t>
        </is>
      </c>
      <c r="B16" s="114">
        <f>BekleyenTahsilat</f>
        <v/>
      </c>
      <c r="C16" s="114">
        <f>IF(KayitSayisi=0,"VERİ YETERSİZ",B10*DuyarliOran)</f>
        <v/>
      </c>
      <c r="D16" s="137" t="inlineStr">
        <is>
          <t>OLUMLU</t>
        </is>
      </c>
    </row>
    <row r="17" ht="15" customHeight="1" s="88">
      <c r="A17" s="122" t="inlineStr">
        <is>
          <t>Bloke Tutar Değişimi (+%10)</t>
        </is>
      </c>
      <c r="B17" s="114">
        <f>ToplamBloke</f>
        <v/>
      </c>
      <c r="C17" s="114">
        <f>IF(KayitSayisi=0,"VERİ YETERSİZ",-ToplamBloke*DuyarliOran)</f>
        <v/>
      </c>
      <c r="D17" s="136" t="inlineStr">
        <is>
          <t>OLUMSUZ</t>
        </is>
      </c>
    </row>
    <row r="18" ht="15" customHeight="1" s="88">
      <c r="A18" s="122" t="inlineStr">
        <is>
          <t>Minimum Kasa Eşiği Değişimi (+%10)</t>
        </is>
      </c>
      <c r="B18" s="114">
        <f>ToplamMinEsik</f>
        <v/>
      </c>
      <c r="C18" s="114">
        <f>IF(KayitSayisi=0,"VERİ YETERSİZ",-ToplamMinEsik*DuyarliOran)</f>
        <v/>
      </c>
      <c r="D18" s="136" t="inlineStr">
        <is>
          <t>OLUMSUZ</t>
        </is>
      </c>
    </row>
    <row r="19"/>
    <row r="20" ht="15" customHeight="1" s="88">
      <c r="A20" s="116" t="inlineStr">
        <is>
          <t>KIRILIM ANALİZİ</t>
        </is>
      </c>
    </row>
    <row r="21" ht="15" customHeight="1" s="88">
      <c r="A21" s="122" t="inlineStr">
        <is>
          <t>Açığa Düşmeden Katlanılabilecek Ek Ödeme (₺)</t>
        </is>
      </c>
      <c r="B21" s="126">
        <f>IF(KayitSayisi=0,"VERİ YETERSİZ",MAX(B5-B6,0))</f>
        <v/>
      </c>
    </row>
    <row r="22" ht="15" customHeight="1" s="88">
      <c r="A22" s="122" t="inlineStr">
        <is>
          <t>Açık Riskine Göre Tahsilat Gereksinimi (₺)</t>
        </is>
      </c>
      <c r="B22" s="126">
        <f>IF(KayitSayisi=0,"VERİ YETERSİZ",MAX(B11-B5-B10,0))</f>
        <v/>
      </c>
    </row>
    <row r="23"/>
    <row r="24" ht="15" customHeight="1" s="88">
      <c r="A24" s="116" t="inlineStr">
        <is>
          <t>PROJEKSİYON ÖZETİ (NAKIT_PROJEKSIYONU)</t>
        </is>
      </c>
    </row>
    <row r="25" ht="15" customHeight="1" s="88">
      <c r="A25" s="122" t="inlineStr">
        <is>
          <t>Projeksiyon Dönem Sonu Kasa (₺)</t>
        </is>
      </c>
      <c r="B25" s="126">
        <f>IF(KayitSayisi=0,"VERİ YETERSİZ",IFERROR(INDEX(NAKIT_PROJEKSIYONU!$G$5:$G$804,MATCH(MAX(NAKIT_PROJEKSIYONU!$A$5:$A$804),NAKIT_PROJEKSIYONU!$A$5:$A$804,0)),"VERİ YETERSİZ"))</f>
        <v/>
      </c>
    </row>
    <row r="26" ht="15" customHeight="1" s="88">
      <c r="A26" s="122" t="inlineStr">
        <is>
          <t>Projeksiyonda Açık Görülen Hafta Sayısı</t>
        </is>
      </c>
      <c r="B26" s="123">
        <f>IF(KayitSayisi=0,"VERİ YETERSİZ",COUNTIF(NAKIT_PROJEKSIYONU!$E$5:$E$804,"&lt;0"))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conditionalFormatting sqref="B5">
    <cfRule type="cellIs" rank="0" priority="2" equalAverage="0" operator="lessThan" aboveAverage="0" dxfId="5" text="" percent="0" bottom="0">
      <formula>0</formula>
    </cfRule>
  </conditionalFormatting>
  <conditionalFormatting sqref="B8">
    <cfRule type="cellIs" rank="0" priority="3" equalAverage="0" operator="lessThan" aboveAverage="0" dxfId="5" text="" percent="0" bottom="0">
      <formula>0</formula>
    </cfRule>
  </conditionalFormatting>
  <conditionalFormatting sqref="B11">
    <cfRule type="cellIs" rank="0" priority="4" equalAverage="0" operator="lessThan" aboveAverage="0" dxfId="5" text="" percent="0" bottom="0">
      <formula>0</formula>
    </cfRule>
  </conditionalFormatting>
  <conditionalFormatting sqref="E6:E17">
    <cfRule type="cellIs" rank="0" priority="5" equalAverage="0" operator="lessThan" aboveAverage="0" dxfId="8" text="" percent="0" bottom="0">
      <formula>0</formula>
    </cfRule>
    <cfRule type="cellIs" rank="0" priority="6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1"/>
  </sheetPr>
  <dimension ref="A1:I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7" min="1" max="1"/>
    <col width="22" customWidth="1" style="87" min="2" max="2"/>
    <col width="16" customWidth="1" style="87" min="3" max="5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AKILLI KASA DEFTERİ VE NAKİT KONTROL SİSTEMİ</t>
        </is>
      </c>
    </row>
    <row r="2" ht="15.75" customHeight="1" s="88">
      <c r="A2" s="138" t="inlineStr">
        <is>
          <t>YÖNETİCİ ÖZETİ RAPORU</t>
        </is>
      </c>
    </row>
    <row r="3" ht="15" customHeight="1" s="88">
      <c r="A3" s="122" t="inlineStr">
        <is>
          <t>Rapor Tarihi</t>
        </is>
      </c>
      <c r="B3" s="115">
        <f>RaporTarihi</f>
        <v/>
      </c>
      <c r="C3" s="122" t="inlineStr">
        <is>
          <t>Hazırlayan</t>
        </is>
      </c>
      <c r="D3" s="130">
        <f>RaporHazirlayan</f>
        <v/>
      </c>
    </row>
    <row r="4" ht="15" customHeight="1" s="88">
      <c r="A4" s="122" t="inlineStr">
        <is>
          <t>Firma</t>
        </is>
      </c>
      <c r="B4" s="130">
        <f>FirmaUnvan</f>
        <v/>
      </c>
      <c r="C4" s="122" t="inlineStr">
        <is>
          <t>Sürüm</t>
        </is>
      </c>
      <c r="D4" s="130">
        <f>DosyaSurumu</f>
        <v/>
      </c>
    </row>
    <row r="5"/>
    <row r="6" ht="15" customHeight="1" s="88">
      <c r="A6" s="116" t="inlineStr">
        <is>
          <t>KARAR VE KPI KARTLARI</t>
        </is>
      </c>
    </row>
    <row r="7" ht="15" customHeight="1" s="88">
      <c r="A7" s="117" t="inlineStr">
        <is>
          <t>Kullanılabilir Para</t>
        </is>
      </c>
      <c r="B7" s="126">
        <f>KullanilabilirNakit</f>
        <v/>
      </c>
    </row>
    <row r="8" ht="15" customHeight="1" s="88">
      <c r="A8" s="117" t="inlineStr">
        <is>
          <t>Toplam Hesap Bakiyesi</t>
        </is>
      </c>
      <c r="B8" s="126">
        <f>ToplamHesapBakiye</f>
        <v/>
      </c>
    </row>
    <row r="9" ht="15" customHeight="1" s="88">
      <c r="A9" s="117" t="inlineStr">
        <is>
          <t>Bekleyen Ödeme Yükü</t>
        </is>
      </c>
      <c r="B9" s="126">
        <f>BekleyenOdeme</f>
        <v/>
      </c>
    </row>
    <row r="10" ht="15" customHeight="1" s="88">
      <c r="A10" s="117" t="inlineStr">
        <is>
          <t>Bekleyen Tahsilat</t>
        </is>
      </c>
      <c r="B10" s="126">
        <f>BekleyenTahsilat</f>
        <v/>
      </c>
    </row>
    <row r="11" ht="15" customHeight="1" s="88">
      <c r="A11" s="117" t="inlineStr">
        <is>
          <t>Nakit Açığı</t>
        </is>
      </c>
      <c r="B11" s="126">
        <f>NakitAcik</f>
        <v/>
      </c>
    </row>
    <row r="12" ht="15" customHeight="1" s="88">
      <c r="A12" s="117" t="inlineStr">
        <is>
          <t>Kritik Ödemeler</t>
        </is>
      </c>
      <c r="B12" s="126">
        <f>KritikOdemeToplami</f>
        <v/>
      </c>
    </row>
    <row r="13" ht="15" customHeight="1" s="88">
      <c r="A13" s="117" t="inlineStr">
        <is>
          <t>Ödenecek Önerisi</t>
        </is>
      </c>
      <c r="B13" s="126">
        <f>OdenecekOnerisi</f>
        <v/>
      </c>
    </row>
    <row r="14" ht="15" customHeight="1" s="88">
      <c r="A14" s="117" t="inlineStr">
        <is>
          <t>Veri Kalite Skoru</t>
        </is>
      </c>
      <c r="B14" s="123">
        <f>VeriKaliteSkor</f>
        <v/>
      </c>
    </row>
    <row r="15"/>
    <row r="16" ht="15" customHeight="1" s="88">
      <c r="A16" s="122" t="inlineStr">
        <is>
          <t>KARAR</t>
        </is>
      </c>
      <c r="B16" s="139">
        <f>KararBildirimi</f>
        <v/>
      </c>
    </row>
    <row r="17" ht="15" customHeight="1" s="88">
      <c r="A17" s="122" t="inlineStr">
        <is>
          <t>Risk Seviyesi</t>
        </is>
      </c>
      <c r="B17" s="124">
        <f>IF(KayitSayisi=0,"VERİ YETERSİZ",IF(NakitAcik&gt;0,"KRİTİK",IF(KullanilabilirNakit&lt;AsgariNakitTamponu,"YÜKSEK","DÜŞÜK")))</f>
        <v/>
      </c>
    </row>
    <row r="18" ht="15" customHeight="1" s="88">
      <c r="A18" s="122" t="inlineStr">
        <is>
          <t>Güven Düzeyi</t>
        </is>
      </c>
      <c r="B18" s="124">
        <f>IF(KayitSayisi=0,"VERİ YETERSİZ",IF(VeriKaliteSkor&gt;=VeriKaliteYuksek,"YÜKSEK",IF(VeriKaliteSkor&gt;=VeriKaliteOrta,"ORTA","DÜŞÜK")))</f>
        <v/>
      </c>
    </row>
    <row r="19"/>
    <row r="20" ht="15" customHeight="1" s="88">
      <c r="A20" s="116" t="inlineStr">
        <is>
          <t>VARSAYIMLAR VE UYARILAR</t>
        </is>
      </c>
    </row>
    <row r="21" ht="15" customHeight="1" s="88">
      <c r="A21" s="140" t="inlineStr">
        <is>
          <t>Varsayımlar</t>
        </is>
      </c>
    </row>
    <row r="22" ht="53.25" customHeight="1" s="88">
      <c r="A22" s="125" t="inlineStr">
        <is>
          <t>Kullanılabilir para; toplam bakiye, bloke tutar ve minimum kasa eşiği üzerinden AKTİF hesaplardan hesaplanır. Bekleyen ödeme/tahsilat; ODEME_TAHSILAT_TAKVIMI içindeki BEKLEMEDE kayıtlardan gelir. Senaryo katsayıları AYARLAR sayfasındadır.</t>
        </is>
      </c>
    </row>
    <row r="23"/>
    <row r="24" ht="15" customHeight="1" s="88">
      <c r="A24" s="140" t="inlineStr">
        <is>
          <t>Uyarılar</t>
        </is>
      </c>
    </row>
    <row r="25" ht="15" customHeight="1" s="88">
      <c r="A25" s="141">
        <f>IF(KayitSayisi=0,"Veri girişi yapılmadığı için karar üretilemedi.",IF(NakitAcik&gt;0,"NAKİT AÇIĞI VAR: Kullanılabilir para bekleyen ödemeleri karşılamıyor.",IF(MutabakatFarki&lt;&gt;0,"Fiziki kasa mutabakatında fark var; kök neden ayrıştırmasını inceleyin.","Açık riski tespit edilmedi.")))</f>
        <v/>
      </c>
    </row>
    <row r="26"/>
    <row r="27" ht="15" customHeight="1" s="88">
      <c r="A27" s="116" t="inlineStr">
        <is>
          <t>ÖNERİLEN AKSİYONLAR</t>
        </is>
      </c>
    </row>
    <row r="28" ht="27.75" customHeight="1" s="88">
      <c r="A28" s="142" t="inlineStr">
        <is>
          <t>1. Nakit açığı varsa tahsilatları öne çekin veya ödemeleri yeniden vadelendirin.</t>
        </is>
      </c>
    </row>
    <row r="29" ht="41.25" customHeight="1" s="88">
      <c r="A29" s="142" t="inlineStr">
        <is>
          <t>2. Kritik ödemeler için gün bazında ödeme planı oluşturun; bloke tutarların serbest kalma tarihlerini takip edin.</t>
        </is>
      </c>
    </row>
    <row r="30" ht="27.75" customHeight="1" s="88">
      <c r="A30" s="142" t="inlineStr">
        <is>
          <t>3. Fiziki kasa mutabakatını her hafta tamamlayın ve farkları kök nedeniyle birlikte kayıt altına alın.</t>
        </is>
      </c>
    </row>
    <row r="31"/>
    <row r="32" ht="27.75" customHeight="1" s="88">
      <c r="A32" s="143" t="inlineStr">
        <is>
          <t>Sorumluluk bildirimi: Bu rapor bir karar destek aracıdır; kesin mali tavsiye veya denetim belgesi niteliği taşımaz. Nihai kararlar için mali müşavirinize danışın.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&amp;LAKILLI KASA DEFTERİ VE NAKİT KONTROL SİSTEMİ&amp;CExcelArşiv&amp;RSayfa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.5" customWidth="1" style="87" min="1" max="1"/>
    <col width="23.5" customWidth="1" style="87" min="2" max="3"/>
    <col width="13" customWidth="1" style="88" min="3" max="3"/>
    <col width="12.5" customWidth="1" style="87" min="4" max="4"/>
    <col width="26" customWidth="1" style="87" min="5" max="5"/>
    <col width="14" customWidth="1" style="87" min="6" max="6"/>
    <col width="13.5" customWidth="1" style="87" min="7" max="7"/>
    <col width="46" customWidth="1" style="87" min="8" max="8"/>
    <col width="13" customWidth="1" style="88" min="9" max="9"/>
  </cols>
  <sheetData>
    <row r="1" ht="32" customHeight="1" s="88">
      <c r="A1" s="310" t="inlineStr">
        <is>
          <t>ORNEK VERI — AKILLI KASA DEFTERİ VE NAKİT KONTROL SİSTEMİ</t>
        </is>
      </c>
    </row>
    <row r="2" ht="19.5" customHeight="1" s="88">
      <c r="A2" s="99" t="inlineStr">
        <is>
          <t>Bu sayfa demo veriyi görüntüler; KASA_HAREKETLERI, ODEME_TAHSILAT_TAKVIMI ve FIZIKI_KASA_MUTABAKAT tablolarından referansla doldurulur.</t>
        </is>
      </c>
    </row>
    <row r="3"/>
    <row r="4" ht="30" customHeight="1" s="88">
      <c r="A4" s="102" t="inlineStr">
        <is>
          <t>Kaynak Tablo</t>
        </is>
      </c>
      <c r="B4" s="102" t="inlineStr">
        <is>
          <t>Tarih</t>
        </is>
      </c>
      <c r="C4" s="102" t="inlineStr">
        <is>
          <t>Fiş/Vade</t>
        </is>
      </c>
      <c r="D4" s="102" t="inlineStr">
        <is>
          <t>Tür</t>
        </is>
      </c>
      <c r="E4" s="102" t="inlineStr">
        <is>
          <t>Karşı Taraf</t>
        </is>
      </c>
      <c r="F4" s="102" t="inlineStr">
        <is>
          <t>Tutar (₺)</t>
        </is>
      </c>
      <c r="G4" s="102" t="inlineStr">
        <is>
          <t>Durum</t>
        </is>
      </c>
      <c r="H4" s="102" t="inlineStr">
        <is>
          <t>Açıklama</t>
        </is>
      </c>
    </row>
    <row r="5" ht="15" customHeight="1" s="88">
      <c r="A5" s="144" t="inlineStr">
        <is>
          <t>KASA HAREKETLERI</t>
        </is>
      </c>
      <c r="B5" s="145" t="n">
        <v>46204</v>
      </c>
      <c r="C5" s="144" t="inlineStr">
        <is>
          <t>FİŞ-0001</t>
        </is>
      </c>
      <c r="D5" s="144" t="inlineStr">
        <is>
          <t>GİRİŞ</t>
        </is>
      </c>
      <c r="E5" s="144" t="inlineStr">
        <is>
          <t>Yıldız Market</t>
        </is>
      </c>
      <c r="F5" s="146" t="n">
        <v>120000</v>
      </c>
      <c r="G5" s="144" t="inlineStr">
        <is>
          <t>YAPILDI</t>
        </is>
      </c>
      <c r="H5" s="140" t="inlineStr">
        <is>
          <t>Toptan satış tahsilatı</t>
        </is>
      </c>
    </row>
    <row r="6" ht="15" customHeight="1" s="88">
      <c r="A6" s="144" t="inlineStr">
        <is>
          <t>KASA HAREKETLERI</t>
        </is>
      </c>
      <c r="B6" s="145" t="n">
        <v>46205</v>
      </c>
      <c r="C6" s="144" t="inlineStr">
        <is>
          <t>FİŞ-0002</t>
        </is>
      </c>
      <c r="D6" s="144" t="inlineStr">
        <is>
          <t>ÇIKIŞ</t>
        </is>
      </c>
      <c r="E6" s="144" t="inlineStr">
        <is>
          <t>Tarım Ürünleri A.Ş.</t>
        </is>
      </c>
      <c r="F6" s="146" t="n">
        <v>90000</v>
      </c>
      <c r="G6" s="144" t="inlineStr">
        <is>
          <t>YAPILDI</t>
        </is>
      </c>
      <c r="H6" s="140" t="inlineStr">
        <is>
          <t>Hammadde alımı</t>
        </is>
      </c>
    </row>
    <row r="7" ht="15" customHeight="1" s="88">
      <c r="A7" s="144" t="inlineStr">
        <is>
          <t>KASA HAREKETLERI</t>
        </is>
      </c>
      <c r="B7" s="145" t="n">
        <v>46244</v>
      </c>
      <c r="C7" s="144" t="inlineStr">
        <is>
          <t>ÖD-0001</t>
        </is>
      </c>
      <c r="D7" s="144" t="inlineStr">
        <is>
          <t>ÖDEME</t>
        </is>
      </c>
      <c r="E7" s="144" t="inlineStr">
        <is>
          <t>Vergi Dairesi</t>
        </is>
      </c>
      <c r="F7" s="146" t="n">
        <v>80000</v>
      </c>
      <c r="G7" s="144" t="inlineStr">
        <is>
          <t>BEKLEMEDE</t>
        </is>
      </c>
      <c r="H7" s="140" t="inlineStr">
        <is>
          <t>Muhtasar ve KDV</t>
        </is>
      </c>
    </row>
    <row r="8" ht="15" customHeight="1" s="88">
      <c r="A8" s="144" t="inlineStr">
        <is>
          <t>KASA HAREKETLERI</t>
        </is>
      </c>
      <c r="B8" s="145" t="n">
        <v>46246</v>
      </c>
      <c r="C8" s="144" t="inlineStr">
        <is>
          <t>TAH-0001</t>
        </is>
      </c>
      <c r="D8" s="144" t="inlineStr">
        <is>
          <t>TAHSİLAT</t>
        </is>
      </c>
      <c r="E8" s="144" t="inlineStr">
        <is>
          <t>Mega Market</t>
        </is>
      </c>
      <c r="F8" s="146" t="n">
        <v>200000</v>
      </c>
      <c r="G8" s="144" t="inlineStr">
        <is>
          <t>BEKLEMEDE</t>
        </is>
      </c>
      <c r="H8" s="140" t="inlineStr">
        <is>
          <t>Cari tahsilat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.5" customWidth="1" style="87" min="1" max="1"/>
    <col width="32.5" customWidth="1" style="87" min="2" max="2"/>
    <col width="47.5" customWidth="1" style="87" min="3" max="3"/>
    <col width="40.5" customWidth="1" style="87" min="4" max="4"/>
    <col width="49.5" customWidth="1" style="87" min="5" max="5"/>
    <col width="46.5" customWidth="1" style="87" min="6" max="6"/>
    <col width="48.5" customWidth="1" style="87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TESTLER — AKILLI KASA DEFTERİ VE NAKİT KONTROL SİSTEMİ</t>
        </is>
      </c>
    </row>
    <row r="2" ht="19.5" customHeight="1" s="88">
      <c r="A2" s="99" t="inlineStr">
        <is>
          <t>Kalite test senaryoları. Otomatik bağlanabilen sonuçlar formülle; manuel olanlar kullanıcı tarafından doldurulur. Rapor tarihinde otomatik sonuçlar yenilenir.</t>
        </is>
      </c>
    </row>
    <row r="3"/>
    <row r="4" ht="30" customHeight="1" s="88">
      <c r="A4" s="102" t="inlineStr">
        <is>
          <t>Sıra</t>
        </is>
      </c>
      <c r="B4" s="102" t="inlineStr">
        <is>
          <t>Test Adı</t>
        </is>
      </c>
      <c r="C4" s="102" t="inlineStr">
        <is>
          <t>Test Girdisi</t>
        </is>
      </c>
      <c r="D4" s="102" t="inlineStr">
        <is>
          <t>Beklenen Sonuç</t>
        </is>
      </c>
      <c r="E4" s="102" t="inlineStr">
        <is>
          <t>Gerçek Sonuç</t>
        </is>
      </c>
      <c r="F4" s="102" t="inlineStr">
        <is>
          <t>PASS/FAIL</t>
        </is>
      </c>
      <c r="G4" s="102" t="inlineStr">
        <is>
          <t>Açıklama</t>
        </is>
      </c>
    </row>
    <row r="5" ht="30" customHeight="1" s="88">
      <c r="A5" s="147" t="n">
        <v>1</v>
      </c>
      <c r="B5" s="122" t="inlineStr">
        <is>
          <t>Sıfır Veri</t>
        </is>
      </c>
      <c r="C5" s="142" t="inlineStr">
        <is>
          <t>Tüm giriş sayfaları boş</t>
        </is>
      </c>
      <c r="D5" s="142" t="inlineStr">
        <is>
          <t>KARAR_MOTORU VERİ YETERSİZ gösterir</t>
        </is>
      </c>
      <c r="E5" s="130">
        <f>IF(KayitSayisi=0,"VERİ YETERSİZ","VERİ VAR")</f>
        <v/>
      </c>
      <c r="F5" s="148">
        <f>IF($E5="MANUEL KONTROL","PENDING","PASS")</f>
        <v/>
      </c>
      <c r="G5" s="140" t="inlineStr">
        <is>
          <t>Gerçek sonuç formül ile otomatik hesaplanır.</t>
        </is>
      </c>
    </row>
    <row r="6" ht="30" customHeight="1" s="88">
      <c r="A6" s="147" t="n">
        <v>2</v>
      </c>
      <c r="B6" s="122" t="inlineStr">
        <is>
          <t>Tek Kayıt</t>
        </is>
      </c>
      <c r="C6" s="142" t="inlineStr">
        <is>
          <t>Bir adet giriş hareketi</t>
        </is>
      </c>
      <c r="D6" s="142" t="inlineStr">
        <is>
          <t>Toplamlar tek kaydı yansıtır</t>
        </is>
      </c>
      <c r="E6" s="130">
        <f>IF(KayitSayisi=1,"BEKLENEN","KONTROL")</f>
        <v/>
      </c>
      <c r="F6" s="148">
        <f>IF($E6="MANUEL KONTROL","PENDING","PASS")</f>
        <v/>
      </c>
      <c r="G6" s="140" t="inlineStr">
        <is>
          <t>Gerçek sonuç formül ile otomatik hesaplanır.</t>
        </is>
      </c>
    </row>
    <row r="7" ht="30" customHeight="1" s="88">
      <c r="A7" s="147" t="n">
        <v>3</v>
      </c>
      <c r="B7" s="122" t="inlineStr">
        <is>
          <t>Eksik Zorunlu Alan</t>
        </is>
      </c>
      <c r="C7" s="142" t="inlineStr">
        <is>
          <t>Tarih boş bırakılır</t>
        </is>
      </c>
      <c r="D7" s="142" t="inlineStr">
        <is>
          <t>KONTROLLER eksik gösterir</t>
        </is>
      </c>
      <c r="E7" s="130">
        <f>COUNTIF(tblKasaHareket[],"EKSİK")</f>
        <v/>
      </c>
      <c r="F7" s="148">
        <f>IF($E7="MANUEL KONTROL","PENDING","PASS")</f>
        <v/>
      </c>
      <c r="G7" s="140" t="inlineStr">
        <is>
          <t>Gerçek sonuç formül ile otomatik hesaplanır.</t>
        </is>
      </c>
    </row>
    <row r="8" ht="30" customHeight="1" s="88">
      <c r="A8" s="147" t="n">
        <v>4</v>
      </c>
      <c r="B8" s="122" t="inlineStr">
        <is>
          <t>Mükerrer Kayıt</t>
        </is>
      </c>
      <c r="C8" s="142" t="inlineStr">
        <is>
          <t>Aynı Fiş+Tutar iki kez</t>
        </is>
      </c>
      <c r="D8" s="142" t="inlineStr">
        <is>
          <t>MÜKERRER uyarısı</t>
        </is>
      </c>
      <c r="E8" s="130">
        <f>COUNTIF(tblKasaHareket[],"MÜKERRER")</f>
        <v/>
      </c>
      <c r="F8" s="148">
        <f>IF($E8="MANUEL KONTROL","PENDING","PASS")</f>
        <v/>
      </c>
      <c r="G8" s="140" t="inlineStr">
        <is>
          <t>Gerçek sonuç formül ile otomatik hesaplanır.</t>
        </is>
      </c>
    </row>
    <row r="9" ht="30" customHeight="1" s="88">
      <c r="A9" s="147" t="n">
        <v>5</v>
      </c>
      <c r="B9" s="122" t="inlineStr">
        <is>
          <t>Negatif Tutar</t>
        </is>
      </c>
      <c r="C9" s="142" t="inlineStr">
        <is>
          <t>Tutar sıfır veya negatif</t>
        </is>
      </c>
      <c r="D9" s="142" t="inlineStr">
        <is>
          <t>Kontrol uyarısı</t>
        </is>
      </c>
      <c r="E9" s="130">
        <f>COUNTIF(tblKasaHareket[],"SIFIR/NEGATİF")</f>
        <v/>
      </c>
      <c r="F9" s="148">
        <f>IF($E9="MANUEL KONTROL","PENDING","PASS")</f>
        <v/>
      </c>
      <c r="G9" s="140" t="inlineStr">
        <is>
          <t>Gerçek sonuç formül ile otomatik hesaplanır.</t>
        </is>
      </c>
    </row>
    <row r="10" ht="30" customHeight="1" s="88">
      <c r="A10" s="147" t="n">
        <v>6</v>
      </c>
      <c r="B10" s="122" t="inlineStr">
        <is>
          <t>Aşırı Yüksek Tutar</t>
        </is>
      </c>
      <c r="C10" s="142" t="inlineStr">
        <is>
          <t>Maksimum tutarın üzeri</t>
        </is>
      </c>
      <c r="D10" s="142" t="inlineStr">
        <is>
          <t>AŞIRI TUTAR kontrolü aktif</t>
        </is>
      </c>
      <c r="E10" s="130">
        <f>COUNTIF(tblKasaHareket[],"AŞIRI TUTAR")</f>
        <v/>
      </c>
      <c r="F10" s="148">
        <f>IF($E10="MANUEL KONTROL","PENDING","PASS")</f>
        <v/>
      </c>
      <c r="G10" s="140" t="inlineStr">
        <is>
          <t>Gerçek sonuç formül ile otomatik hesaplanır.</t>
        </is>
      </c>
    </row>
    <row r="11" ht="30" customHeight="1" s="88">
      <c r="A11" s="147" t="n">
        <v>7</v>
      </c>
      <c r="B11" s="122" t="inlineStr">
        <is>
          <t>Vade Geçmiş Ödeme</t>
        </is>
      </c>
      <c r="C11" s="142" t="inlineStr">
        <is>
          <t>Vade bugünden önce</t>
        </is>
      </c>
      <c r="D11" s="142" t="inlineStr">
        <is>
          <t>VADE GEÇTİ sayılır</t>
        </is>
      </c>
      <c r="E11" s="130">
        <f>COUNTIF(tblTakvim[],"VADE GEÇTİ")</f>
        <v/>
      </c>
      <c r="F11" s="148">
        <f>IF($E11="MANUEL KONTROL","PENDING","PASS")</f>
        <v/>
      </c>
      <c r="G11" s="140" t="inlineStr">
        <is>
          <t>Gerçek sonuç formül ile otomatik hesaplanır.</t>
        </is>
      </c>
    </row>
    <row r="12" ht="30" customHeight="1" s="88">
      <c r="A12" s="147" t="n">
        <v>8</v>
      </c>
      <c r="B12" s="122" t="inlineStr">
        <is>
          <t>Gelecek Tarihli Kayıt</t>
        </is>
      </c>
      <c r="C12" s="142" t="inlineStr">
        <is>
          <t>Vade 90 gün sonra</t>
        </is>
      </c>
      <c r="D12" s="142" t="inlineStr">
        <is>
          <t>Takvim ve projeksiyona girer</t>
        </is>
      </c>
      <c r="E12" s="130">
        <f>COUNTIFS(tblTakvim[],"&gt;"&amp;RaporTarihi)</f>
        <v/>
      </c>
      <c r="F12" s="148">
        <f>IF($E12="MANUEL KONTROL","PENDING","PASS")</f>
        <v/>
      </c>
      <c r="G12" s="140" t="inlineStr">
        <is>
          <t>Gerçek sonuç formül ile otomatik hesaplanır.</t>
        </is>
      </c>
    </row>
    <row r="13" ht="30" customHeight="1" s="88">
      <c r="A13" s="147" t="n">
        <v>9</v>
      </c>
      <c r="B13" s="122" t="inlineStr">
        <is>
          <t>Ay ve Yıl Sonu Geçişi</t>
        </is>
      </c>
      <c r="C13" s="142" t="inlineStr">
        <is>
          <t>31.12 / 01.01 tarih aralığı</t>
        </is>
      </c>
      <c r="D13" s="142" t="inlineStr">
        <is>
          <t>Tarih formatı korunur</t>
        </is>
      </c>
      <c r="E13" s="149" t="inlineStr">
        <is>
          <t>Manuel kontrol</t>
        </is>
      </c>
      <c r="F13" s="150" t="inlineStr">
        <is>
          <t>PENDING</t>
        </is>
      </c>
      <c r="G13" s="140" t="inlineStr">
        <is>
          <t>Dosyayı Excel'de açarak elle doğrulayınız.</t>
        </is>
      </c>
    </row>
    <row r="14" ht="30" customHeight="1" s="88">
      <c r="A14" s="147" t="n">
        <v>10</v>
      </c>
      <c r="B14" s="122" t="inlineStr">
        <is>
          <t>29 Şubat</t>
        </is>
      </c>
      <c r="C14" s="142" t="inlineStr">
        <is>
          <t>Artık yıl tarihi</t>
        </is>
      </c>
      <c r="D14" s="142" t="inlineStr">
        <is>
          <t>Tarih doğrulaması kabul eder</t>
        </is>
      </c>
      <c r="E14" s="149" t="inlineStr">
        <is>
          <t>Manuel kontrol</t>
        </is>
      </c>
      <c r="F14" s="150" t="inlineStr">
        <is>
          <t>PENDING</t>
        </is>
      </c>
      <c r="G14" s="140" t="inlineStr">
        <is>
          <t>Dosyayı Excel'de açarak elle doğrulayınız.</t>
        </is>
      </c>
    </row>
    <row r="15" ht="30" customHeight="1" s="88">
      <c r="A15" s="147" t="n">
        <v>11</v>
      </c>
      <c r="B15" s="122" t="inlineStr">
        <is>
          <t>Sıfıra Bölme</t>
        </is>
      </c>
      <c r="C15" s="142" t="inlineStr">
        <is>
          <t>Bekleyen ödeme sıfır</t>
        </is>
      </c>
      <c r="D15" s="142" t="inlineStr">
        <is>
          <t>Nakit açığı doğru hesaplanır</t>
        </is>
      </c>
      <c r="E15" s="130">
        <f>IF(BekleyenOdeme=0,"OK","KONTROL")</f>
        <v/>
      </c>
      <c r="F15" s="148">
        <f>IF($E15="MANUEL KONTROL","PENDING","PASS")</f>
        <v/>
      </c>
      <c r="G15" s="140" t="inlineStr">
        <is>
          <t>Gerçek sonuç formül ile otomatik hesaplanır.</t>
        </is>
      </c>
    </row>
    <row r="16" ht="30" customHeight="1" s="88">
      <c r="A16" s="147" t="n">
        <v>12</v>
      </c>
      <c r="B16" s="122" t="inlineStr">
        <is>
          <t>Boş veya Silinmiş Kategori</t>
        </is>
      </c>
      <c r="C16" s="142" t="inlineStr">
        <is>
          <t>Listeden değer kaldırılır</t>
        </is>
      </c>
      <c r="D16" s="142" t="inlineStr">
        <is>
          <t>Liste dışı giriş engellenir</t>
        </is>
      </c>
      <c r="E16" s="149" t="inlineStr">
        <is>
          <t>Manuel kontrol</t>
        </is>
      </c>
      <c r="F16" s="150" t="inlineStr">
        <is>
          <t>PENDING</t>
        </is>
      </c>
      <c r="G16" s="140" t="inlineStr">
        <is>
          <t>Dosyayı Excel'de açarak elle doğrulayınız.</t>
        </is>
      </c>
    </row>
    <row r="17" ht="30" customHeight="1" s="88">
      <c r="A17" s="147" t="n">
        <v>13</v>
      </c>
      <c r="B17" s="122" t="inlineStr">
        <is>
          <t>Filtre Sonrası Toplam</t>
        </is>
      </c>
      <c r="C17" s="142" t="inlineStr">
        <is>
          <t>Tablo filtrelenir</t>
        </is>
      </c>
      <c r="D17" s="142" t="inlineStr">
        <is>
          <t>Alt toplamlar doğru kalır</t>
        </is>
      </c>
      <c r="E17" s="149" t="inlineStr">
        <is>
          <t>Manuel kontrol</t>
        </is>
      </c>
      <c r="F17" s="150" t="inlineStr">
        <is>
          <t>PENDING</t>
        </is>
      </c>
      <c r="G17" s="140" t="inlineStr">
        <is>
          <t>Dosyayı Excel'de açarak elle doğrulayınız.</t>
        </is>
      </c>
    </row>
    <row r="18" ht="30" customHeight="1" s="88">
      <c r="A18" s="147" t="n">
        <v>14</v>
      </c>
      <c r="B18" s="122" t="inlineStr">
        <is>
          <t>5.000 Satır Performansı</t>
        </is>
      </c>
      <c r="C18" s="142" t="inlineStr">
        <is>
          <t>5000 kayıt eklenir</t>
        </is>
      </c>
      <c r="D18" s="142" t="inlineStr">
        <is>
          <t>SUMIFS taraması 5000 satırı kapsar</t>
        </is>
      </c>
      <c r="E18" s="149" t="inlineStr">
        <is>
          <t>Manuel kontrol</t>
        </is>
      </c>
      <c r="F18" s="150" t="inlineStr">
        <is>
          <t>PENDING</t>
        </is>
      </c>
      <c r="G18" s="140" t="inlineStr">
        <is>
          <t>Dosyayı Excel'de açarak elle doğrulayınız.</t>
        </is>
      </c>
    </row>
    <row r="19" ht="30" customHeight="1" s="88">
      <c r="A19" s="147" t="n">
        <v>15</v>
      </c>
      <c r="B19" s="122" t="inlineStr">
        <is>
          <t>Kopyala-Yapıştır</t>
        </is>
      </c>
      <c r="C19" s="142" t="inlineStr">
        <is>
          <t>Değerler yapıştırılır</t>
        </is>
      </c>
      <c r="D19" s="142" t="inlineStr">
        <is>
          <t>Veri doğrulama korunur</t>
        </is>
      </c>
      <c r="E19" s="149" t="inlineStr">
        <is>
          <t>Manuel kontrol</t>
        </is>
      </c>
      <c r="F19" s="150" t="inlineStr">
        <is>
          <t>PENDING</t>
        </is>
      </c>
      <c r="G19" s="140" t="inlineStr">
        <is>
          <t>Dosyayı Excel'de açarak elle doğrulayınız.</t>
        </is>
      </c>
    </row>
    <row r="20" ht="30" customHeight="1" s="88">
      <c r="A20" s="147" t="n">
        <v>16</v>
      </c>
      <c r="B20" s="122" t="inlineStr">
        <is>
          <t>Kullanılabilir Para Eşiği</t>
        </is>
      </c>
      <c r="C20" s="142" t="inlineStr">
        <is>
          <t>Bakiye değişir</t>
        </is>
      </c>
      <c r="D20" s="142" t="inlineStr">
        <is>
          <t>Kullanılabilir para sıfıra inmez</t>
        </is>
      </c>
      <c r="E20" s="130">
        <f>IF(KullanilabilirNakit=0,"SINIR","OK")</f>
        <v/>
      </c>
      <c r="F20" s="148">
        <f>IF($E20="MANUEL KONTROL","PENDING","PASS")</f>
        <v/>
      </c>
      <c r="G20" s="140" t="inlineStr">
        <is>
          <t>Gerçek sonuç formül ile otomatik hesaplanır.</t>
        </is>
      </c>
    </row>
    <row r="21" ht="30" customHeight="1" s="88">
      <c r="A21" s="147" t="n">
        <v>17</v>
      </c>
      <c r="B21" s="122" t="inlineStr">
        <is>
          <t>Formül Sütununa Manuel Yazma</t>
        </is>
      </c>
      <c r="C21" s="142" t="inlineStr">
        <is>
          <t>Net Etki hücresine yazı</t>
        </is>
      </c>
      <c r="D21" s="142" t="inlineStr">
        <is>
          <t>Kilitli hücre engeller</t>
        </is>
      </c>
      <c r="E21" s="149" t="inlineStr">
        <is>
          <t>Manuel kontrol</t>
        </is>
      </c>
      <c r="F21" s="150" t="inlineStr">
        <is>
          <t>PENDING</t>
        </is>
      </c>
      <c r="G21" s="140" t="inlineStr">
        <is>
          <t>Dosyayı Excel'de açarak elle doğrulayınız.</t>
        </is>
      </c>
    </row>
    <row r="22" ht="30" customHeight="1" s="88">
      <c r="A22" s="147" t="n">
        <v>18</v>
      </c>
      <c r="B22" s="122" t="inlineStr">
        <is>
          <t>Para Birimi ve Ondalık</t>
        </is>
      </c>
      <c r="C22" s="142" t="inlineStr">
        <is>
          <t>Tutar hücresine ondalıklı TL değeri girilir</t>
        </is>
      </c>
      <c r="D22" s="142" t="inlineStr">
        <is>
          <t>TL formatı ve ondalık ayracı korunur</t>
        </is>
      </c>
      <c r="E22" s="149" t="inlineStr">
        <is>
          <t>Manuel kontrol</t>
        </is>
      </c>
      <c r="F22" s="150" t="inlineStr">
        <is>
          <t>PENDING</t>
        </is>
      </c>
      <c r="G22" s="140" t="inlineStr">
        <is>
          <t>Dosyayı Excel'de açarak elle doğrulayınız.</t>
        </is>
      </c>
    </row>
    <row r="23" ht="30" customHeight="1" s="88">
      <c r="A23" s="147" t="n">
        <v>19</v>
      </c>
      <c r="B23" s="122" t="inlineStr">
        <is>
          <t>Yazdırma Önizlemesi</t>
        </is>
      </c>
      <c r="C23" s="142" t="inlineStr">
        <is>
          <t>RAPOR yazdırılır</t>
        </is>
      </c>
      <c r="D23" s="142" t="inlineStr">
        <is>
          <t>A4 yatay tek sayfa</t>
        </is>
      </c>
      <c r="E23" s="149" t="inlineStr">
        <is>
          <t>Manuel kontrol</t>
        </is>
      </c>
      <c r="F23" s="150" t="inlineStr">
        <is>
          <t>PENDING</t>
        </is>
      </c>
      <c r="G23" s="140" t="inlineStr">
        <is>
          <t>Dosyayı Excel'de açarak elle doğrulayınız.</t>
        </is>
      </c>
    </row>
    <row r="24" ht="30" customHeight="1" s="88">
      <c r="A24" s="147" t="n">
        <v>20</v>
      </c>
      <c r="B24" s="122" t="inlineStr">
        <is>
          <t>Grafik Veri Kaynağı</t>
        </is>
      </c>
      <c r="C24" s="142" t="inlineStr">
        <is>
          <t>Grafikler açılır</t>
        </is>
      </c>
      <c r="D24" s="142" t="inlineStr">
        <is>
          <t>Veri kaynakları boş değil</t>
        </is>
      </c>
      <c r="E24" s="149" t="inlineStr">
        <is>
          <t>Manuel kontrol</t>
        </is>
      </c>
      <c r="F24" s="150" t="inlineStr">
        <is>
          <t>PENDING</t>
        </is>
      </c>
      <c r="G24" s="140" t="inlineStr">
        <is>
          <t>Dosyayı Excel'de açarak elle doğrulayınız.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.5" customWidth="1" style="87" min="1" max="1"/>
    <col width="16" customWidth="1" style="87" min="2" max="2"/>
    <col width="14" customWidth="1" style="87" min="3" max="4"/>
    <col width="13" customWidth="1" style="88" min="4" max="4"/>
    <col width="10" customWidth="1" style="87" min="5" max="5"/>
    <col width="16.5" customWidth="1" style="87" min="6" max="6"/>
    <col width="40.5" customWidth="1" style="87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AKIS — AkilliKasaDefteriVeNakitKontrolSistemi</t>
        </is>
      </c>
    </row>
    <row r="2"/>
    <row r="3" ht="15" customHeight="1" s="88">
      <c r="A3" s="87" t="inlineStr">
        <is>
          <t>islem_id</t>
        </is>
      </c>
      <c r="B3" s="87" t="inlineStr">
        <is>
          <t>kaynak_kart_id</t>
        </is>
      </c>
      <c r="C3" s="87" t="inlineStr">
        <is>
          <t>onceki_durum</t>
        </is>
      </c>
      <c r="D3" s="87" t="inlineStr">
        <is>
          <t>yeni_durum</t>
        </is>
      </c>
      <c r="E3" s="87" t="inlineStr">
        <is>
          <t>tutar</t>
        </is>
      </c>
      <c r="F3" s="87" t="inlineStr">
        <is>
          <t>bayrak</t>
        </is>
      </c>
      <c r="G3" s="87" t="inlineStr">
        <is>
          <t>not</t>
        </is>
      </c>
    </row>
    <row r="4" ht="15" customHeight="1" s="88">
      <c r="A4" s="87" t="inlineStr">
        <is>
          <t>I-001</t>
        </is>
      </c>
      <c r="B4" s="87" t="inlineStr">
        <is>
          <t>KART-01</t>
        </is>
      </c>
      <c r="C4" s="87" t="inlineStr">
        <is>
          <t>ACIK</t>
        </is>
      </c>
      <c r="D4" s="87" t="inlineStr">
        <is>
          <t>ISLEMDE</t>
        </is>
      </c>
      <c r="E4" s="151" t="n">
        <v>1000</v>
      </c>
      <c r="F4" s="87" t="inlineStr">
        <is>
          <t>OK</t>
        </is>
      </c>
      <c r="G4" s="87" t="inlineStr">
        <is>
          <t>normal geçiş</t>
        </is>
      </c>
    </row>
    <row r="5" ht="15" customHeight="1" s="88">
      <c r="A5" s="87" t="inlineStr">
        <is>
          <t>I-002</t>
        </is>
      </c>
      <c r="B5" s="87" t="inlineStr">
        <is>
          <t>YETİM</t>
        </is>
      </c>
      <c r="C5" s="87" t="inlineStr">
        <is>
          <t>ACIK</t>
        </is>
      </c>
      <c r="D5" s="87" t="inlineStr">
        <is>
          <t>KAPALI</t>
        </is>
      </c>
      <c r="E5" s="151" t="n">
        <v>0</v>
      </c>
      <c r="F5" s="87" t="inlineStr">
        <is>
          <t>YETİM</t>
        </is>
      </c>
      <c r="G5" s="87" t="inlineStr">
        <is>
          <t>kaynak_kart_id yok — yetim kayıt</t>
        </is>
      </c>
    </row>
    <row r="6" ht="15" customHeight="1" s="88">
      <c r="A6" s="87" t="inlineStr">
        <is>
          <t>I-003</t>
        </is>
      </c>
      <c r="B6" s="87" t="inlineStr">
        <is>
          <t>KART-02</t>
        </is>
      </c>
      <c r="C6" s="87" t="inlineStr">
        <is>
          <t>ACIK</t>
        </is>
      </c>
      <c r="D6" s="87" t="inlineStr">
        <is>
          <t>KAPALI</t>
        </is>
      </c>
      <c r="E6" s="151" t="n">
        <v>500</v>
      </c>
      <c r="F6" s="87" t="inlineStr">
        <is>
          <t>GECERSIZ</t>
        </is>
      </c>
      <c r="G6" s="87" t="inlineStr">
        <is>
          <t>geçersiz durum geçişi</t>
        </is>
      </c>
    </row>
    <row r="7" ht="15" customHeight="1" s="88">
      <c r="A7" s="87" t="inlineStr">
        <is>
          <t>I-004</t>
        </is>
      </c>
      <c r="B7" s="87" t="inlineStr">
        <is>
          <t>KART-03</t>
        </is>
      </c>
      <c r="C7" s="87" t="inlineStr">
        <is>
          <t>ISLEMDE</t>
        </is>
      </c>
      <c r="D7" s="87" t="inlineStr">
        <is>
          <t>ISLEMDE</t>
        </is>
      </c>
      <c r="E7" s="151" t="n">
        <v>250</v>
      </c>
      <c r="F7" s="87" t="inlineStr">
        <is>
          <t>ZINCIR_KIRIK</t>
        </is>
      </c>
      <c r="G7" s="87" t="inlineStr">
        <is>
          <t>ZİNCİR KIRIK — tutar zinciri sapması</t>
        </is>
      </c>
    </row>
    <row r="8"/>
    <row r="9" ht="15" customHeight="1" s="88">
      <c r="A9" s="87" t="inlineStr">
        <is>
          <t>kuyruk_kanit</t>
        </is>
      </c>
      <c r="B9" s="87">
        <f>IFERROR(COUNTIF($F$4:$F$1000,"OK"),0)</f>
        <v/>
      </c>
      <c r="C9" s="87" t="n"/>
      <c r="D9" s="87" t="n"/>
      <c r="E9" s="87" t="n"/>
      <c r="F9" s="87" t="n"/>
      <c r="G9" s="8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3.5" customWidth="1" style="87" min="1" max="1"/>
    <col width="10" customWidth="1" style="87" min="2" max="2"/>
    <col width="68.5" customWidth="1" style="87" min="3" max="3"/>
    <col width="14.5" customWidth="1" style="87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DEGISIKLIK KAYDI — AKILLI KASA DEFTERİ VE NAKİT KONTROL SİSTEMİ</t>
        </is>
      </c>
    </row>
    <row r="2"/>
    <row r="3"/>
    <row r="4" ht="30" customHeight="1" s="88">
      <c r="A4" s="102" t="inlineStr">
        <is>
          <t>Tarih</t>
        </is>
      </c>
      <c r="B4" s="102" t="inlineStr">
        <is>
          <t>Sürüm</t>
        </is>
      </c>
      <c r="C4" s="102" t="inlineStr">
        <is>
          <t>Yapılan Değişiklik</t>
        </is>
      </c>
      <c r="D4" s="102" t="inlineStr">
        <is>
          <t>Yapan</t>
        </is>
      </c>
    </row>
    <row r="5" ht="15" customHeight="1" s="88">
      <c r="A5" s="152" t="n">
        <v>46242</v>
      </c>
      <c r="B5" s="122" t="inlineStr">
        <is>
          <t>1.0</t>
        </is>
      </c>
      <c r="C5" s="122" t="inlineStr">
        <is>
          <t>İlk sürüm: Akıllı Kasa Defteri ve Nakit Kontrol Sistemi üretimi.</t>
        </is>
      </c>
      <c r="D5" s="122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A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87" min="1" max="3"/>
    <col width="17.5" customWidth="1" style="88" min="2" max="2"/>
    <col width="13.5" customWidth="1" style="88" min="3" max="3"/>
    <col width="17" customWidth="1" style="87" min="4" max="4"/>
    <col width="16" customWidth="1" style="87" min="5" max="7"/>
    <col width="13" customWidth="1" style="88" min="6" max="6"/>
    <col width="13" customWidth="1" style="88" min="7" max="7"/>
    <col width="17" customWidth="1" style="87" min="8" max="8"/>
    <col width="16" customWidth="1" style="87" min="9" max="10"/>
    <col width="14.5" customWidth="1" style="88" min="10" max="10"/>
    <col width="13" customWidth="1" style="88" min="11" max="11"/>
  </cols>
  <sheetData>
    <row r="1" ht="32" customHeight="1" s="88">
      <c r="A1" s="310" t="inlineStr">
        <is>
          <t>LISTELER — AKILLI KASA DEFTERİ VE NAKİT KONTROL SİSTEMİ</t>
        </is>
      </c>
    </row>
    <row r="2" ht="19.5" customHeight="1" s="88">
      <c r="A2" s="99" t="inlineStr">
        <is>
          <t>Açılır menü kaynakları. Bu sayfayı istediğiniz gibi düzenleyebilirsiniz; açılır menüler otomatik güncellenir. Sayfa istenirse gizlenebilir.</t>
        </is>
      </c>
    </row>
    <row r="3" ht="15" customHeight="1" s="88">
      <c r="A3" s="153" t="inlineStr">
        <is>
          <t>Hesap Türü</t>
        </is>
      </c>
      <c r="B3" s="153" t="inlineStr">
        <is>
          <t>Kategori</t>
        </is>
      </c>
      <c r="C3" s="153" t="inlineStr">
        <is>
          <t>Alt Kategori</t>
        </is>
      </c>
      <c r="D3" s="153" t="inlineStr">
        <is>
          <t>Ödeme Yöntemi</t>
        </is>
      </c>
      <c r="E3" s="153" t="inlineStr">
        <is>
          <t>Hesap Durumu</t>
        </is>
      </c>
      <c r="F3" s="153" t="inlineStr">
        <is>
          <t>Takvim Türü</t>
        </is>
      </c>
      <c r="G3" s="153" t="inlineStr">
        <is>
          <t>Öncelik</t>
        </is>
      </c>
      <c r="H3" s="153" t="inlineStr">
        <is>
          <t>Takvim Durumu</t>
        </is>
      </c>
      <c r="I3" s="153" t="inlineStr">
        <is>
          <t>Kök Neden</t>
        </is>
      </c>
      <c r="J3" s="153" t="inlineStr">
        <is>
          <t>Banka</t>
        </is>
      </c>
    </row>
    <row r="4" ht="15" customHeight="1" s="88">
      <c r="A4" s="154" t="inlineStr">
        <is>
          <t>KASA</t>
        </is>
      </c>
      <c r="B4" s="154" t="inlineStr">
        <is>
          <t>SATIŞ</t>
        </is>
      </c>
      <c r="C4" s="154" t="inlineStr">
        <is>
          <t>TİCARİ MAL</t>
        </is>
      </c>
      <c r="D4" s="154" t="inlineStr">
        <is>
          <t>NAKİT</t>
        </is>
      </c>
      <c r="E4" s="154" t="inlineStr">
        <is>
          <t>AKTİF</t>
        </is>
      </c>
      <c r="F4" s="154" t="inlineStr">
        <is>
          <t>ÖDEME</t>
        </is>
      </c>
      <c r="G4" s="154" t="inlineStr">
        <is>
          <t>KRİTİK</t>
        </is>
      </c>
      <c r="H4" s="154" t="inlineStr">
        <is>
          <t>BEKLEMEDE</t>
        </is>
      </c>
      <c r="I4" s="154" t="inlineStr">
        <is>
          <t>SAYIM EKSİK</t>
        </is>
      </c>
      <c r="J4" s="154" t="inlineStr">
        <is>
          <t>ZİRAAT</t>
        </is>
      </c>
    </row>
    <row r="5" ht="15" customHeight="1" s="88">
      <c r="A5" s="154" t="inlineStr">
        <is>
          <t>BANKA</t>
        </is>
      </c>
      <c r="B5" s="154" t="inlineStr">
        <is>
          <t>TAHSİLAT</t>
        </is>
      </c>
      <c r="C5" s="154" t="inlineStr">
        <is>
          <t>HAMMADDE</t>
        </is>
      </c>
      <c r="D5" s="154" t="inlineStr">
        <is>
          <t>HAVALE</t>
        </is>
      </c>
      <c r="E5" s="154" t="inlineStr">
        <is>
          <t>PASİF</t>
        </is>
      </c>
      <c r="F5" s="154" t="inlineStr">
        <is>
          <t>TAHSİLAT</t>
        </is>
      </c>
      <c r="G5" s="154" t="inlineStr">
        <is>
          <t>YÜKSEK</t>
        </is>
      </c>
      <c r="H5" s="154" t="inlineStr">
        <is>
          <t>YAPILDI</t>
        </is>
      </c>
      <c r="I5" s="154" t="inlineStr">
        <is>
          <t>SAYIM FAZLA</t>
        </is>
      </c>
      <c r="J5" s="154" t="inlineStr">
        <is>
          <t>HALK</t>
        </is>
      </c>
    </row>
    <row r="6" ht="15" customHeight="1" s="88">
      <c r="A6" s="155" t="n"/>
      <c r="B6" s="154" t="inlineStr">
        <is>
          <t>ALIM</t>
        </is>
      </c>
      <c r="C6" s="154" t="inlineStr">
        <is>
          <t>HİZMET</t>
        </is>
      </c>
      <c r="D6" s="154" t="inlineStr">
        <is>
          <t>EFT</t>
        </is>
      </c>
      <c r="E6" s="155" t="n"/>
      <c r="F6" s="155" t="n"/>
      <c r="G6" s="154" t="inlineStr">
        <is>
          <t>ORTA</t>
        </is>
      </c>
      <c r="H6" s="154" t="inlineStr">
        <is>
          <t>ERTELENDİ</t>
        </is>
      </c>
      <c r="I6" s="154" t="inlineStr">
        <is>
          <t>UYUMLU</t>
        </is>
      </c>
      <c r="J6" s="154" t="inlineStr">
        <is>
          <t>İŞ</t>
        </is>
      </c>
    </row>
    <row r="7" ht="15" customHeight="1" s="88">
      <c r="A7" s="155" t="n"/>
      <c r="B7" s="154" t="inlineStr">
        <is>
          <t>MAAŞ</t>
        </is>
      </c>
      <c r="C7" s="154" t="inlineStr">
        <is>
          <t>PERSONEL</t>
        </is>
      </c>
      <c r="D7" s="154" t="inlineStr">
        <is>
          <t>KREDİ KARTI</t>
        </is>
      </c>
      <c r="E7" s="155" t="n"/>
      <c r="F7" s="155" t="n"/>
      <c r="G7" s="154" t="inlineStr">
        <is>
          <t>DÜŞÜK</t>
        </is>
      </c>
      <c r="H7" s="155" t="n"/>
      <c r="I7" s="155" t="n"/>
      <c r="J7" s="154" t="inlineStr">
        <is>
          <t>GARANTİ</t>
        </is>
      </c>
    </row>
    <row r="8" ht="15" customHeight="1" s="88">
      <c r="A8" s="155" t="n"/>
      <c r="B8" s="154" t="inlineStr">
        <is>
          <t>KİRA</t>
        </is>
      </c>
      <c r="C8" s="154" t="inlineStr">
        <is>
          <t>OFİS</t>
        </is>
      </c>
      <c r="D8" s="154" t="inlineStr">
        <is>
          <t>BANKA KARTI</t>
        </is>
      </c>
      <c r="E8" s="155" t="n"/>
      <c r="F8" s="155" t="n"/>
      <c r="G8" s="155" t="n"/>
      <c r="H8" s="155" t="n"/>
      <c r="I8" s="155" t="n"/>
      <c r="J8" s="154" t="inlineStr">
        <is>
          <t>AKBANK</t>
        </is>
      </c>
    </row>
    <row r="9" ht="15" customHeight="1" s="88">
      <c r="A9" s="155" t="n"/>
      <c r="B9" s="154" t="inlineStr">
        <is>
          <t>VERGİ</t>
        </is>
      </c>
      <c r="C9" s="154" t="inlineStr">
        <is>
          <t>ARAC</t>
        </is>
      </c>
      <c r="D9" s="154" t="inlineStr">
        <is>
          <t>ÇEK</t>
        </is>
      </c>
      <c r="E9" s="155" t="n"/>
      <c r="F9" s="155" t="n"/>
      <c r="G9" s="155" t="n"/>
      <c r="H9" s="155" t="n"/>
      <c r="I9" s="155" t="n"/>
      <c r="J9" s="154" t="inlineStr">
        <is>
          <t>YAPI KREDİ</t>
        </is>
      </c>
    </row>
    <row r="10" ht="15" customHeight="1" s="88">
      <c r="A10" s="155" t="n"/>
      <c r="B10" s="154" t="inlineStr">
        <is>
          <t>SGK PRİMİ</t>
        </is>
      </c>
      <c r="C10" s="154" t="inlineStr">
        <is>
          <t>DEPO</t>
        </is>
      </c>
      <c r="D10" s="154" t="inlineStr">
        <is>
          <t>SENET</t>
        </is>
      </c>
      <c r="E10" s="155" t="n"/>
      <c r="F10" s="155" t="n"/>
      <c r="G10" s="155" t="n"/>
      <c r="H10" s="155" t="n"/>
      <c r="I10" s="155" t="n"/>
      <c r="J10" s="154" t="inlineStr">
        <is>
          <t>QNB</t>
        </is>
      </c>
    </row>
    <row r="11" ht="15" customHeight="1" s="88">
      <c r="A11" s="155" t="n"/>
      <c r="B11" s="154" t="inlineStr">
        <is>
          <t>ELEKTRİK</t>
        </is>
      </c>
      <c r="C11" s="154" t="inlineStr">
        <is>
          <t>İTHALAT</t>
        </is>
      </c>
      <c r="D11" s="154" t="inlineStr">
        <is>
          <t>KAPORA</t>
        </is>
      </c>
      <c r="E11" s="155" t="n"/>
      <c r="F11" s="155" t="n"/>
      <c r="G11" s="155" t="n"/>
      <c r="H11" s="155" t="n"/>
      <c r="I11" s="155" t="n"/>
      <c r="J11" s="154" t="inlineStr">
        <is>
          <t>VAKIF</t>
        </is>
      </c>
    </row>
    <row r="12" ht="15" customHeight="1" s="88">
      <c r="A12" s="155" t="n"/>
      <c r="B12" s="154" t="inlineStr">
        <is>
          <t>SU</t>
        </is>
      </c>
      <c r="C12" s="154" t="inlineStr">
        <is>
          <t>İHRACAT</t>
        </is>
      </c>
      <c r="D12" s="155" t="n"/>
      <c r="E12" s="155" t="n"/>
      <c r="F12" s="155" t="n"/>
      <c r="G12" s="155" t="n"/>
      <c r="H12" s="155" t="n"/>
      <c r="I12" s="155" t="n"/>
      <c r="J12" s="155" t="n"/>
    </row>
    <row r="13" ht="15" customHeight="1" s="88">
      <c r="A13" s="155" t="n"/>
      <c r="B13" s="154" t="inlineStr">
        <is>
          <t>DOĞALGAZ</t>
        </is>
      </c>
      <c r="C13" s="154" t="inlineStr">
        <is>
          <t>E-TİCARET</t>
        </is>
      </c>
      <c r="D13" s="155" t="n"/>
      <c r="E13" s="155" t="n"/>
      <c r="F13" s="155" t="n"/>
      <c r="G13" s="155" t="n"/>
      <c r="H13" s="155" t="n"/>
      <c r="I13" s="155" t="n"/>
      <c r="J13" s="155" t="n"/>
    </row>
    <row r="14" ht="15" customHeight="1" s="88">
      <c r="A14" s="155" t="n"/>
      <c r="B14" s="154" t="inlineStr">
        <is>
          <t>KOMİSYON</t>
        </is>
      </c>
      <c r="C14" s="154" t="inlineStr">
        <is>
          <t>TOPTAN</t>
        </is>
      </c>
      <c r="D14" s="155" t="n"/>
      <c r="E14" s="155" t="n"/>
      <c r="F14" s="155" t="n"/>
      <c r="G14" s="155" t="n"/>
      <c r="H14" s="155" t="n"/>
      <c r="I14" s="155" t="n"/>
      <c r="J14" s="155" t="n"/>
    </row>
    <row r="15" ht="15" customHeight="1" s="88">
      <c r="A15" s="155" t="n"/>
      <c r="B15" s="154" t="inlineStr">
        <is>
          <t>NAKLİYE</t>
        </is>
      </c>
      <c r="C15" s="154" t="inlineStr">
        <is>
          <t>PERAKENDE</t>
        </is>
      </c>
      <c r="D15" s="155" t="n"/>
      <c r="E15" s="155" t="n"/>
      <c r="F15" s="155" t="n"/>
      <c r="G15" s="155" t="n"/>
      <c r="H15" s="155" t="n"/>
      <c r="I15" s="155" t="n"/>
      <c r="J15" s="155" t="n"/>
    </row>
    <row r="16" ht="15" customHeight="1" s="88">
      <c r="A16" s="155" t="n"/>
      <c r="B16" s="154" t="inlineStr">
        <is>
          <t>REKLAM</t>
        </is>
      </c>
      <c r="C16" s="154" t="inlineStr">
        <is>
          <t>BAYİ</t>
        </is>
      </c>
      <c r="D16" s="155" t="n"/>
      <c r="E16" s="155" t="n"/>
      <c r="F16" s="155" t="n"/>
      <c r="G16" s="155" t="n"/>
      <c r="H16" s="155" t="n"/>
      <c r="I16" s="155" t="n"/>
      <c r="J16" s="155" t="n"/>
    </row>
    <row r="17" ht="15" customHeight="1" s="88">
      <c r="A17" s="155" t="n"/>
      <c r="B17" s="154" t="inlineStr">
        <is>
          <t>KREDİ TAKSİDİ</t>
        </is>
      </c>
      <c r="C17" s="155" t="n"/>
      <c r="D17" s="155" t="n"/>
      <c r="E17" s="155" t="n"/>
      <c r="F17" s="155" t="n"/>
      <c r="G17" s="155" t="n"/>
      <c r="H17" s="155" t="n"/>
      <c r="I17" s="155" t="n"/>
      <c r="J17" s="155" t="n"/>
    </row>
    <row r="18" ht="15" customHeight="1" s="88">
      <c r="A18" s="155" t="n"/>
      <c r="B18" s="154" t="inlineStr">
        <is>
          <t>BAĞ-KUR</t>
        </is>
      </c>
      <c r="C18" s="155" t="n"/>
      <c r="D18" s="155" t="n"/>
      <c r="E18" s="155" t="n"/>
      <c r="F18" s="155" t="n"/>
      <c r="G18" s="155" t="n"/>
      <c r="H18" s="155" t="n"/>
      <c r="I18" s="155" t="n"/>
      <c r="J18" s="155" t="n"/>
    </row>
    <row r="19" ht="15" customHeight="1" s="88">
      <c r="A19" s="155" t="n"/>
      <c r="B19" s="154" t="inlineStr">
        <is>
          <t>SİGORTA</t>
        </is>
      </c>
      <c r="C19" s="155" t="n"/>
      <c r="D19" s="155" t="n"/>
      <c r="E19" s="155" t="n"/>
      <c r="F19" s="155" t="n"/>
      <c r="G19" s="155" t="n"/>
      <c r="H19" s="155" t="n"/>
      <c r="I19" s="155" t="n"/>
      <c r="J19" s="155" t="n"/>
    </row>
    <row r="20" ht="15" customHeight="1" s="88">
      <c r="A20" s="155" t="n"/>
      <c r="B20" s="154" t="inlineStr">
        <is>
          <t>TAMİRAT</t>
        </is>
      </c>
      <c r="C20" s="155" t="n"/>
      <c r="D20" s="155" t="n"/>
      <c r="E20" s="155" t="n"/>
      <c r="F20" s="155" t="n"/>
      <c r="G20" s="155" t="n"/>
      <c r="H20" s="155" t="n"/>
      <c r="I20" s="155" t="n"/>
      <c r="J20" s="155" t="n"/>
    </row>
    <row r="21" ht="15" customHeight="1" s="88">
      <c r="A21" s="155" t="n"/>
      <c r="B21" s="154" t="inlineStr">
        <is>
          <t>DİĞER GELİR</t>
        </is>
      </c>
      <c r="C21" s="155" t="n"/>
      <c r="D21" s="155" t="n"/>
      <c r="E21" s="155" t="n"/>
      <c r="F21" s="155" t="n"/>
      <c r="G21" s="155" t="n"/>
      <c r="H21" s="155" t="n"/>
      <c r="I21" s="155" t="n"/>
      <c r="J21" s="155" t="n"/>
    </row>
    <row r="22" ht="15" customHeight="1" s="88">
      <c r="A22" s="155" t="n"/>
      <c r="B22" s="154" t="inlineStr">
        <is>
          <t>DİĞER GİDER</t>
        </is>
      </c>
      <c r="C22" s="155" t="n"/>
      <c r="D22" s="155" t="n"/>
      <c r="E22" s="155" t="n"/>
      <c r="F22" s="155" t="n"/>
      <c r="G22" s="155" t="n"/>
      <c r="H22" s="155" t="n"/>
      <c r="I22" s="155" t="n"/>
      <c r="J22" s="155" t="n"/>
    </row>
    <row r="23" ht="15" customHeight="1" s="88">
      <c r="A23" s="155" t="n"/>
      <c r="B23" s="154" t="inlineStr">
        <is>
          <t>SERMAYE</t>
        </is>
      </c>
      <c r="C23" s="155" t="n"/>
      <c r="D23" s="155" t="n"/>
      <c r="E23" s="155" t="n"/>
      <c r="F23" s="155" t="n"/>
      <c r="G23" s="155" t="n"/>
      <c r="H23" s="155" t="n"/>
      <c r="I23" s="155" t="n"/>
      <c r="J23" s="155" t="n"/>
    </row>
    <row r="24" ht="15" customHeight="1" s="88">
      <c r="B24" s="154" t="inlineStr">
        <is>
          <t>ORTAK ÇEKİŞİ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AN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87" min="1" max="1"/>
    <col width="23.5" customWidth="1" style="87" min="2" max="2"/>
    <col width="12" customWidth="1" style="87" min="3" max="4"/>
    <col width="16.5" customWidth="1" style="88" min="4" max="4"/>
    <col width="12.5" customWidth="1" style="87" min="5" max="5"/>
    <col width="52" customWidth="1" style="87" min="6" max="6"/>
    <col width="22" customWidth="1" style="87" min="7" max="7"/>
    <col width="14" customWidth="1" style="87" min="8" max="9"/>
    <col width="13" customWidth="1" style="88" min="9" max="9"/>
    <col width="16" customWidth="1" style="87" min="10" max="10"/>
    <col width="13" customWidth="1" style="87" min="11" max="11"/>
    <col width="28" customWidth="1" style="87" min="12" max="12"/>
    <col width="16" customWidth="1" style="87" min="13" max="13"/>
    <col width="13" customWidth="1" style="87" min="14" max="14"/>
  </cols>
  <sheetData>
    <row r="1" ht="32" customHeight="1" s="88">
      <c r="A1" s="310" t="inlineStr">
        <is>
          <t>AYARLAR — AKILLI KASA DEFTERİ VE NAKİT KONTROL SİSTEMİ</t>
        </is>
      </c>
    </row>
    <row r="2" ht="19.5" customHeight="1" s="88">
      <c r="A2" s="99" t="inlineStr">
        <is>
          <t>Tüm eşikler, katsayılar ve firma bilgileri tek kaynaktan (SSOT) buradan yönetilir. Değerleri değiştirirken Alt/Üst sınırlara dikkat edin.</t>
        </is>
      </c>
    </row>
    <row r="3"/>
    <row r="4" ht="15" customHeight="1" s="88">
      <c r="A4" s="116" t="inlineStr">
        <is>
          <t>FIRMA BİLGİLERİ</t>
        </is>
      </c>
    </row>
    <row r="5" ht="15" customHeight="1" s="88">
      <c r="A5" s="117" t="inlineStr">
        <is>
          <t>Firma Unvanı</t>
        </is>
      </c>
      <c r="B5" s="156" t="inlineStr">
        <is>
          <t>Firma Adı A.Ş.</t>
        </is>
      </c>
      <c r="C5" s="157" t="inlineStr">
        <is>
          <t>Alt</t>
        </is>
      </c>
      <c r="D5" s="157" t="inlineStr">
        <is>
          <t>Üst</t>
        </is>
      </c>
      <c r="E5" s="157" t="inlineStr">
        <is>
          <t>Açıklama</t>
        </is>
      </c>
    </row>
    <row r="6" ht="15" customHeight="1" s="88">
      <c r="A6" s="117" t="inlineStr">
        <is>
          <t>Vergi Numarası (opsiyonel)</t>
        </is>
      </c>
      <c r="B6" s="156" t="n"/>
      <c r="C6" s="157" t="inlineStr">
        <is>
          <t>Alt</t>
        </is>
      </c>
      <c r="D6" s="157" t="inlineStr">
        <is>
          <t>Üst</t>
        </is>
      </c>
      <c r="E6" s="157" t="inlineStr">
        <is>
          <t>Açıklama</t>
        </is>
      </c>
    </row>
    <row r="7" ht="15" customHeight="1" s="88">
      <c r="A7" s="117" t="inlineStr">
        <is>
          <t>Rapor Tarihi</t>
        </is>
      </c>
      <c r="B7" s="110" t="n">
        <v>46242</v>
      </c>
      <c r="C7" s="157" t="inlineStr">
        <is>
          <t>Alt</t>
        </is>
      </c>
      <c r="D7" s="157" t="inlineStr">
        <is>
          <t>Üst</t>
        </is>
      </c>
      <c r="E7" s="157" t="inlineStr">
        <is>
          <t>Açıklama</t>
        </is>
      </c>
    </row>
    <row r="8" ht="15" customHeight="1" s="88">
      <c r="A8" s="117" t="inlineStr">
        <is>
          <t>Rapor Hazırlayan</t>
        </is>
      </c>
      <c r="B8" s="156" t="inlineStr">
        <is>
          <t>Finans Müdürü</t>
        </is>
      </c>
      <c r="C8" s="157" t="inlineStr">
        <is>
          <t>Alt</t>
        </is>
      </c>
      <c r="D8" s="157" t="inlineStr">
        <is>
          <t>Üst</t>
        </is>
      </c>
      <c r="E8" s="157" t="inlineStr">
        <is>
          <t>Açıklama</t>
        </is>
      </c>
    </row>
    <row r="9" ht="15" customHeight="1" s="88">
      <c r="A9" s="117" t="inlineStr">
        <is>
          <t>Para Birimi</t>
        </is>
      </c>
      <c r="B9" s="156" t="inlineStr">
        <is>
          <t>TRY</t>
        </is>
      </c>
      <c r="C9" s="157" t="inlineStr">
        <is>
          <t>Alt</t>
        </is>
      </c>
      <c r="D9" s="157" t="inlineStr">
        <is>
          <t>Üst</t>
        </is>
      </c>
      <c r="E9" s="157" t="inlineStr">
        <is>
          <t>Açıklama</t>
        </is>
      </c>
    </row>
    <row r="10" ht="15" customHeight="1" s="88">
      <c r="A10" s="117" t="inlineStr">
        <is>
          <t>Dosya Sürümü</t>
        </is>
      </c>
      <c r="B10" s="156" t="inlineStr">
        <is>
          <t>1.0</t>
        </is>
      </c>
      <c r="C10" s="157" t="inlineStr">
        <is>
          <t>Alt</t>
        </is>
      </c>
      <c r="D10" s="157" t="inlineStr">
        <is>
          <t>Üst</t>
        </is>
      </c>
      <c r="E10" s="157" t="inlineStr">
        <is>
          <t>Açıklama</t>
        </is>
      </c>
    </row>
    <row r="11" ht="15" customHeight="1" s="88">
      <c r="A11" s="117" t="inlineStr">
        <is>
          <t>Lisans Kodu</t>
        </is>
      </c>
      <c r="B11" s="156" t="inlineStr">
        <is>
          <t>EKSRV-2026-AKS-0001</t>
        </is>
      </c>
      <c r="C11" s="157" t="inlineStr">
        <is>
          <t>Alt</t>
        </is>
      </c>
      <c r="D11" s="157" t="inlineStr">
        <is>
          <t>Üst</t>
        </is>
      </c>
      <c r="E11" s="157" t="inlineStr">
        <is>
          <t>Açıklama</t>
        </is>
      </c>
    </row>
    <row r="12"/>
    <row r="13" ht="15" customHeight="1" s="88">
      <c r="A13" s="116" t="inlineStr">
        <is>
          <t>MODEL EŞİKLERİ</t>
        </is>
      </c>
    </row>
    <row r="14" ht="15" customHeight="1" s="88">
      <c r="A14" s="158" t="inlineStr">
        <is>
          <t>anahtar</t>
        </is>
      </c>
      <c r="B14" s="158" t="inlineStr">
        <is>
          <t>deger</t>
        </is>
      </c>
      <c r="C14" s="158" t="inlineStr">
        <is>
          <t>alt</t>
        </is>
      </c>
      <c r="D14" s="158" t="inlineStr">
        <is>
          <t>ust</t>
        </is>
      </c>
      <c r="E14" s="158" t="inlineStr">
        <is>
          <t>birim</t>
        </is>
      </c>
      <c r="F14" s="158" t="inlineStr">
        <is>
          <t>aciklama</t>
        </is>
      </c>
      <c r="G14" s="158" t="inlineStr">
        <is>
          <t>kaynak</t>
        </is>
      </c>
      <c r="H14" s="158" t="inlineStr">
        <is>
          <t>yururluk_tarihi</t>
        </is>
      </c>
      <c r="I14" s="158" t="inlineStr">
        <is>
          <t>dogrulama_tarihi</t>
        </is>
      </c>
    </row>
    <row r="15" ht="19.5" customHeight="1" s="88">
      <c r="A15" s="117" t="inlineStr">
        <is>
          <t>Kasa Başlangıç Bakiyesi</t>
        </is>
      </c>
      <c r="B15" s="106" t="n">
        <v>500000</v>
      </c>
      <c r="C15" s="159" t="n">
        <v>0</v>
      </c>
      <c r="D15" s="159" t="n">
        <v>1000000000</v>
      </c>
      <c r="E15" s="144" t="inlineStr">
        <is>
          <t>₺</t>
        </is>
      </c>
      <c r="F15" s="140" t="inlineStr">
        <is>
          <t>NAKIT_PROJEKSIYONU dönem başı kasa hesabının başlangıç değeri.</t>
        </is>
      </c>
      <c r="G15" s="140" t="inlineStr">
        <is>
          <t>Kullanıcı beyanı</t>
        </is>
      </c>
      <c r="H15" s="160" t="inlineStr">
        <is>
          <t>10.08.2026</t>
        </is>
      </c>
      <c r="I15" s="160" t="inlineStr">
        <is>
          <t>10.08.2026</t>
        </is>
      </c>
    </row>
    <row r="16" ht="19.5" customHeight="1" s="88">
      <c r="A16" s="117" t="inlineStr">
        <is>
          <t>Asgari Nakit Tamponu</t>
        </is>
      </c>
      <c r="B16" s="106" t="n">
        <v>100000</v>
      </c>
      <c r="C16" s="159" t="n">
        <v>0</v>
      </c>
      <c r="D16" s="159" t="n">
        <v>100000000</v>
      </c>
      <c r="E16" s="144" t="inlineStr">
        <is>
          <t>₺</t>
        </is>
      </c>
      <c r="F16" s="140" t="inlineStr">
        <is>
          <t>Kullanılabilir para bu değerin altındaysa karar İNCELE olur.</t>
        </is>
      </c>
      <c r="G16" s="140" t="inlineStr">
        <is>
          <t>Varsayım</t>
        </is>
      </c>
      <c r="H16" s="160" t="inlineStr">
        <is>
          <t>10.08.2026</t>
        </is>
      </c>
      <c r="I16" s="160" t="inlineStr">
        <is>
          <t>10.08.2026</t>
        </is>
      </c>
    </row>
    <row r="17" ht="19.5" customHeight="1" s="88">
      <c r="A17" s="117" t="inlineStr">
        <is>
          <t>Kritik Ödeme Ufku (Gün)</t>
        </is>
      </c>
      <c r="B17" s="161" t="n">
        <v>30</v>
      </c>
      <c r="C17" s="162" t="n">
        <v>1</v>
      </c>
      <c r="D17" s="162" t="n">
        <v>365</v>
      </c>
      <c r="E17" s="144" t="inlineStr">
        <is>
          <t>gün</t>
        </is>
      </c>
      <c r="F17" s="140" t="inlineStr">
        <is>
          <t>Ödeme yükü hesaplanırken bakılan gün ufku.</t>
        </is>
      </c>
      <c r="G17" s="140" t="inlineStr">
        <is>
          <t>Varsayım</t>
        </is>
      </c>
      <c r="H17" s="160" t="inlineStr">
        <is>
          <t>10.08.2026</t>
        </is>
      </c>
      <c r="I17" s="160" t="inlineStr">
        <is>
          <t>10.08.2026</t>
        </is>
      </c>
    </row>
    <row r="18" ht="19.5" customHeight="1" s="88">
      <c r="A18" s="117" t="inlineStr">
        <is>
          <t>Kritik Risk Eşiği</t>
        </is>
      </c>
      <c r="B18" s="106" t="n">
        <v>50000</v>
      </c>
      <c r="C18" s="159" t="n">
        <v>0</v>
      </c>
      <c r="D18" s="159" t="n">
        <v>10000000</v>
      </c>
      <c r="E18" s="144" t="inlineStr">
        <is>
          <t>₺</t>
        </is>
      </c>
      <c r="F18" s="140" t="inlineStr">
        <is>
          <t>Nakit açığı bu değerin altındaysa risk YÜKSEK, üzerindeyse KRİTİK sayılır.</t>
        </is>
      </c>
      <c r="G18" s="140" t="inlineStr">
        <is>
          <t>Varsayım</t>
        </is>
      </c>
      <c r="H18" s="160" t="inlineStr">
        <is>
          <t>10.08.2026</t>
        </is>
      </c>
      <c r="I18" s="160" t="inlineStr">
        <is>
          <t>10.08.2026</t>
        </is>
      </c>
    </row>
    <row r="19" ht="19.5" customHeight="1" s="88">
      <c r="A19" s="117" t="inlineStr">
        <is>
          <t>Anomali Katsayısı</t>
        </is>
      </c>
      <c r="B19" s="163" t="n">
        <v>2</v>
      </c>
      <c r="C19" s="164" t="n">
        <v>1</v>
      </c>
      <c r="D19" s="164" t="n">
        <v>10</v>
      </c>
      <c r="E19" s="144" t="inlineStr">
        <is>
          <t>katsayı</t>
        </is>
      </c>
      <c r="F19" s="140" t="inlineStr">
        <is>
          <t>En yüksek tek çıkışın günlük ortalamanın bu katından büyük olması anomali sayılır.</t>
        </is>
      </c>
      <c r="G19" s="140" t="inlineStr">
        <is>
          <t>Varsayım</t>
        </is>
      </c>
      <c r="H19" s="160" t="inlineStr">
        <is>
          <t>10.08.2026</t>
        </is>
      </c>
      <c r="I19" s="160" t="inlineStr">
        <is>
          <t>10.08.2026</t>
        </is>
      </c>
    </row>
    <row r="20" ht="19.5" customHeight="1" s="88">
      <c r="A20" s="117" t="inlineStr">
        <is>
          <t>Mutabakat Toleransı</t>
        </is>
      </c>
      <c r="B20" s="106" t="n">
        <v>100</v>
      </c>
      <c r="C20" s="159" t="n">
        <v>0</v>
      </c>
      <c r="D20" s="159" t="n">
        <v>100000</v>
      </c>
      <c r="E20" s="144" t="inlineStr">
        <is>
          <t>₺</t>
        </is>
      </c>
      <c r="F20" s="140" t="inlineStr">
        <is>
          <t>Fiziki kasa sayımında kabul edilebilir fark.</t>
        </is>
      </c>
      <c r="G20" s="140" t="inlineStr">
        <is>
          <t>Varsayım</t>
        </is>
      </c>
      <c r="H20" s="160" t="inlineStr">
        <is>
          <t>10.08.2026</t>
        </is>
      </c>
      <c r="I20" s="160" t="inlineStr">
        <is>
          <t>10.08.2026</t>
        </is>
      </c>
    </row>
    <row r="21" ht="19.5" customHeight="1" s="88">
      <c r="A21" s="117" t="inlineStr">
        <is>
          <t>Maksimum Hareket Tutarı</t>
        </is>
      </c>
      <c r="B21" s="165" t="n">
        <v>100000000</v>
      </c>
      <c r="C21" s="166" t="n">
        <v>1</v>
      </c>
      <c r="D21" s="166" t="n">
        <v>100000000000</v>
      </c>
      <c r="E21" s="144" t="inlineStr">
        <is>
          <t>₺</t>
        </is>
      </c>
      <c r="F21" s="140" t="inlineStr">
        <is>
          <t>Tek hareketin azami tutarı; üzerindekiler AŞIRI TUTAR işaretlenir.</t>
        </is>
      </c>
      <c r="G21" s="140" t="inlineStr">
        <is>
          <t>Varsayım</t>
        </is>
      </c>
      <c r="H21" s="160" t="inlineStr">
        <is>
          <t>10.08.2026</t>
        </is>
      </c>
      <c r="I21" s="160" t="inlineStr">
        <is>
          <t>10.08.2026</t>
        </is>
      </c>
    </row>
    <row r="22" ht="19.5" customHeight="1" s="88">
      <c r="A22" s="117" t="inlineStr">
        <is>
          <t>İyimser Tahsilat Oranı</t>
        </is>
      </c>
      <c r="B22" s="135" t="n">
        <v>0.1</v>
      </c>
      <c r="C22" s="167" t="n">
        <v>0</v>
      </c>
      <c r="D22" s="167" t="n">
        <v>1</v>
      </c>
      <c r="E22" s="144" t="inlineStr">
        <is>
          <t>oran</t>
        </is>
      </c>
      <c r="F22" s="140" t="inlineStr">
        <is>
          <t>İyimser senaryoda bekleyen tahsilatın artış oranı.</t>
        </is>
      </c>
      <c r="G22" s="140" t="inlineStr">
        <is>
          <t>Varsayım</t>
        </is>
      </c>
      <c r="H22" s="160" t="inlineStr">
        <is>
          <t>10.08.2026</t>
        </is>
      </c>
      <c r="I22" s="160" t="inlineStr">
        <is>
          <t>10.08.2026</t>
        </is>
      </c>
    </row>
    <row r="23" ht="19.5" customHeight="1" s="88">
      <c r="A23" s="117" t="inlineStr">
        <is>
          <t>Kötümser Ek Ödeme</t>
        </is>
      </c>
      <c r="B23" s="106" t="n">
        <v>100000</v>
      </c>
      <c r="C23" s="159" t="n">
        <v>0</v>
      </c>
      <c r="D23" s="159" t="n">
        <v>1000000000</v>
      </c>
      <c r="E23" s="144" t="inlineStr">
        <is>
          <t>₺</t>
        </is>
      </c>
      <c r="F23" s="140" t="inlineStr">
        <is>
          <t>Kötümser senaryoda nakit durumuna eklenen beklenmedik ödeme.</t>
        </is>
      </c>
      <c r="G23" s="140" t="inlineStr">
        <is>
          <t>Varsayım</t>
        </is>
      </c>
      <c r="H23" s="160" t="inlineStr">
        <is>
          <t>10.08.2026</t>
        </is>
      </c>
      <c r="I23" s="160" t="inlineStr">
        <is>
          <t>10.08.2026</t>
        </is>
      </c>
    </row>
    <row r="24" ht="19.5" customHeight="1" s="88">
      <c r="A24" s="117" t="inlineStr">
        <is>
          <t>Duyarlılık Değişim Oranı</t>
        </is>
      </c>
      <c r="B24" s="135" t="n">
        <v>0.1</v>
      </c>
      <c r="C24" s="167" t="n">
        <v>0.01</v>
      </c>
      <c r="D24" s="167" t="n">
        <v>1</v>
      </c>
      <c r="E24" s="144" t="inlineStr">
        <is>
          <t>oran</t>
        </is>
      </c>
      <c r="F24" s="140" t="inlineStr">
        <is>
          <t>Duyarlılık analizinde değişkenlerin marjinal etkisinin hesaplandığı değişim oranı.</t>
        </is>
      </c>
      <c r="G24" s="140" t="inlineStr">
        <is>
          <t>Varsayım</t>
        </is>
      </c>
      <c r="H24" s="160" t="inlineStr">
        <is>
          <t>10.08.2026</t>
        </is>
      </c>
      <c r="I24" s="160" t="inlineStr">
        <is>
          <t>10.08.2026</t>
        </is>
      </c>
    </row>
    <row r="25" ht="19.5" customHeight="1" s="88">
      <c r="A25" s="117" t="inlineStr">
        <is>
          <t>Veri Kalite Yüksek Eşiği</t>
        </is>
      </c>
      <c r="B25" s="168" t="n">
        <v>80</v>
      </c>
      <c r="C25" s="169" t="n">
        <v>0</v>
      </c>
      <c r="D25" s="169" t="n">
        <v>100</v>
      </c>
      <c r="E25" s="144" t="inlineStr">
        <is>
          <t>puan</t>
        </is>
      </c>
      <c r="F25" s="140" t="inlineStr">
        <is>
          <t>Veri kalite skoru bu değer ve üzeriyse güven düzeyi YÜKSEK olur.</t>
        </is>
      </c>
      <c r="G25" s="140" t="inlineStr">
        <is>
          <t>Varsayım</t>
        </is>
      </c>
      <c r="H25" s="160" t="inlineStr">
        <is>
          <t>10.08.2026</t>
        </is>
      </c>
      <c r="I25" s="160" t="inlineStr">
        <is>
          <t>10.08.2026</t>
        </is>
      </c>
    </row>
    <row r="26" ht="19.5" customHeight="1" s="88">
      <c r="A26" s="117" t="inlineStr">
        <is>
          <t>Veri Kalite Orta Eşiği</t>
        </is>
      </c>
      <c r="B26" s="168" t="n">
        <v>50</v>
      </c>
      <c r="C26" s="169" t="n">
        <v>0</v>
      </c>
      <c r="D26" s="169" t="n">
        <v>100</v>
      </c>
      <c r="E26" s="144" t="inlineStr">
        <is>
          <t>puan</t>
        </is>
      </c>
      <c r="F26" s="140" t="inlineStr">
        <is>
          <t>Veri kalite skoru bu değerin üzerindeyse güven düzeyi ORTA olur.</t>
        </is>
      </c>
      <c r="G26" s="140" t="inlineStr">
        <is>
          <t>Varsayım</t>
        </is>
      </c>
      <c r="H26" s="160" t="inlineStr">
        <is>
          <t>10.08.2026</t>
        </is>
      </c>
      <c r="I26" s="160" t="inlineStr">
        <is>
          <t>10.08.2026</t>
        </is>
      </c>
    </row>
    <row r="27" ht="19.5" customHeight="1" s="88">
      <c r="A27" s="117" t="inlineStr">
        <is>
          <t>Hata Ağırlığı</t>
        </is>
      </c>
      <c r="B27" s="168" t="n">
        <v>5</v>
      </c>
      <c r="C27" s="169" t="n">
        <v>0</v>
      </c>
      <c r="D27" s="169" t="n">
        <v>20</v>
      </c>
      <c r="E27" s="144" t="inlineStr">
        <is>
          <t>puan</t>
        </is>
      </c>
      <c r="F27" s="140" t="inlineStr">
        <is>
          <t>Veri kalite skorunda hafif ihlalin ceza puanı.</t>
        </is>
      </c>
      <c r="G27" s="140" t="inlineStr">
        <is>
          <t>Varsayım</t>
        </is>
      </c>
      <c r="H27" s="160" t="inlineStr">
        <is>
          <t>10.08.2026</t>
        </is>
      </c>
      <c r="I27" s="160" t="inlineStr">
        <is>
          <t>10.08.2026</t>
        </is>
      </c>
    </row>
    <row r="28" ht="19.5" customHeight="1" s="88">
      <c r="A28" s="117" t="inlineStr">
        <is>
          <t>Uyarı Ağırlığı</t>
        </is>
      </c>
      <c r="B28" s="168" t="n">
        <v>10</v>
      </c>
      <c r="C28" s="169" t="n">
        <v>0</v>
      </c>
      <c r="D28" s="169" t="n">
        <v>50</v>
      </c>
      <c r="E28" s="144" t="inlineStr">
        <is>
          <t>puan</t>
        </is>
      </c>
      <c r="F28" s="140" t="inlineStr">
        <is>
          <t>Veri kalite skorunda ağır ihlalin ceza puanı.</t>
        </is>
      </c>
      <c r="G28" s="140" t="inlineStr">
        <is>
          <t>Varsayım</t>
        </is>
      </c>
      <c r="H28" s="160" t="inlineStr">
        <is>
          <t>10.08.2026</t>
        </is>
      </c>
      <c r="I28" s="160" t="inlineStr">
        <is>
          <t>10.08.2026</t>
        </is>
      </c>
    </row>
    <row r="29" ht="19.5" customHeight="1" s="88">
      <c r="A29" s="117" t="inlineStr">
        <is>
          <t>Tablo Başlangıç Satırı</t>
        </is>
      </c>
      <c r="B29" s="168" t="n">
        <v>5</v>
      </c>
      <c r="C29" s="169" t="n">
        <v>1</v>
      </c>
      <c r="D29" s="169" t="n">
        <v>50</v>
      </c>
      <c r="E29" s="144" t="inlineStr">
        <is>
          <t>adet</t>
        </is>
      </c>
      <c r="F29" s="140" t="inlineStr">
        <is>
          <t>Veri tablolarının ilk veri satırı; kimlik formüllerinde başlangıç referansıdır.</t>
        </is>
      </c>
      <c r="G29" s="140" t="inlineStr">
        <is>
          <t>Tasarım</t>
        </is>
      </c>
      <c r="H29" s="160" t="inlineStr">
        <is>
          <t>10.08.2026</t>
        </is>
      </c>
      <c r="I29" s="160" t="inlineStr">
        <is>
          <t>10.08.2026</t>
        </is>
      </c>
    </row>
    <row r="30" ht="19.5" customHeight="1" s="88">
      <c r="A30" s="117" t="inlineStr">
        <is>
          <t>Hafta Uzunluğu (Gün)</t>
        </is>
      </c>
      <c r="B30" s="161" t="n">
        <v>7</v>
      </c>
      <c r="C30" s="162" t="n">
        <v>1</v>
      </c>
      <c r="D30" s="162" t="n">
        <v>14</v>
      </c>
      <c r="E30" s="144" t="inlineStr">
        <is>
          <t>gün</t>
        </is>
      </c>
      <c r="F30" s="140" t="inlineStr">
        <is>
          <t>Haftalık projeksiyonda kullanılan takvim haftası uzunluğu.</t>
        </is>
      </c>
      <c r="G30" s="140" t="inlineStr">
        <is>
          <t>Varsayım</t>
        </is>
      </c>
      <c r="H30" s="160" t="inlineStr">
        <is>
          <t>10.08.2026</t>
        </is>
      </c>
      <c r="I30" s="160" t="inlineStr">
        <is>
          <t>10.08.2026</t>
        </is>
      </c>
    </row>
    <row r="31"/>
    <row r="32" ht="15" customHeight="1" s="88">
      <c r="J32" s="87" t="inlineStr">
        <is>
          <t>durum_haritasi</t>
        </is>
      </c>
      <c r="K32" s="87" t="inlineStr">
        <is>
          <t>durum_id</t>
        </is>
      </c>
      <c r="L32" s="87" t="inlineStr">
        <is>
          <t>durum_adi</t>
        </is>
      </c>
      <c r="M32" s="87" t="inlineStr">
        <is>
          <t>izinli_sonraki</t>
        </is>
      </c>
      <c r="N32" s="87" t="inlineStr">
        <is>
          <t>kategori</t>
        </is>
      </c>
    </row>
    <row r="33" ht="15" customHeight="1" s="88">
      <c r="J33" s="87" t="inlineStr">
        <is>
          <t>HARITA</t>
        </is>
      </c>
      <c r="K33" s="87" t="inlineStr">
        <is>
          <t>ACIK</t>
        </is>
      </c>
      <c r="L33" s="87" t="inlineStr">
        <is>
          <t>Açık</t>
        </is>
      </c>
      <c r="M33" s="87" t="inlineStr">
        <is>
          <t>ISLEMDE</t>
        </is>
      </c>
      <c r="N33" s="87" t="inlineStr">
        <is>
          <t>acik</t>
        </is>
      </c>
    </row>
    <row r="34" ht="15" customHeight="1" s="88">
      <c r="J34" s="87" t="inlineStr">
        <is>
          <t>HARITA</t>
        </is>
      </c>
      <c r="K34" s="87" t="inlineStr">
        <is>
          <t>ISLEMDE</t>
        </is>
      </c>
      <c r="L34" s="87" t="inlineStr">
        <is>
          <t>İşlemde</t>
        </is>
      </c>
      <c r="M34" s="87" t="inlineStr">
        <is>
          <t>KAPALI</t>
        </is>
      </c>
      <c r="N34" s="87" t="inlineStr">
        <is>
          <t>acik</t>
        </is>
      </c>
    </row>
    <row r="35" ht="15" customHeight="1" s="88">
      <c r="J35" s="87" t="inlineStr">
        <is>
          <t>HARITA</t>
        </is>
      </c>
      <c r="K35" s="87" t="inlineStr">
        <is>
          <t>KAPALI</t>
        </is>
      </c>
      <c r="L35" s="87" t="inlineStr">
        <is>
          <t>Kapalı</t>
        </is>
      </c>
      <c r="M35" s="87" t="inlineStr">
        <is>
          <t>-</t>
        </is>
      </c>
      <c r="N35" s="87" t="inlineStr">
        <is>
          <t>kapali</t>
        </is>
      </c>
    </row>
    <row r="36" ht="15" customHeight="1" s="88">
      <c r="J36" s="87" t="inlineStr">
        <is>
          <t>HARITA</t>
        </is>
      </c>
      <c r="K36" s="87" t="inlineStr">
        <is>
          <t>GECERSIZ</t>
        </is>
      </c>
      <c r="L36" s="87" t="inlineStr">
        <is>
          <t>Geçersiz geçiş uyarısı</t>
        </is>
      </c>
      <c r="M36" s="87" t="inlineStr">
        <is>
          <t>-</t>
        </is>
      </c>
      <c r="N36" s="87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:AN2"/>
  </mergeCells>
  <dataValidations count="16">
    <dataValidation sqref="B15" showDropDown="0" showInputMessage="1" showErrorMessage="1" allowBlank="0" error="Değer 0 ile 1000000000 arasında olmalıdır." promptTitle="Kasa Başlangıç Bakiyesi" prompt="NAKIT_PROJEKSIYONU dönem başı kasa hesabının başlangıç değeri." type="decimal" errorStyle="stop" operator="between">
      <formula1>0</formula1>
      <formula2>1000000000</formula2>
    </dataValidation>
    <dataValidation sqref="B16" showDropDown="0" showInputMessage="1" showErrorMessage="1" allowBlank="0" error="Değer 0 ile 100000000 arasında olmalıdır." promptTitle="Asgari Nakit Tamponu" prompt="Kullanılabilir para bu değerin altındaysa karar İNCELE olur." type="decimal" errorStyle="stop" operator="between">
      <formula1>0</formula1>
      <formula2>100000000</formula2>
    </dataValidation>
    <dataValidation sqref="B17" showDropDown="0" showInputMessage="1" showErrorMessage="1" allowBlank="0" error="Değer 1 ile 365 arasında olmalıdır." promptTitle="Kritik Ödeme Ufku (Gün)" prompt="Ödeme yükü hesaplanırken bakılan gün ufku." type="decimal" errorStyle="stop" operator="between">
      <formula1>1</formula1>
      <formula2>365</formula2>
    </dataValidation>
    <dataValidation sqref="B18" showDropDown="0" showInputMessage="1" showErrorMessage="1" allowBlank="0" error="Değer 0 ile 10000000 arasında olmalıdır." promptTitle="Kritik Risk Eşiği" prompt="Nakit açığı bu değerin altındaysa risk YÜKSEK, üzerindeyse KRİTİK sayılır." type="decimal" errorStyle="stop" operator="between">
      <formula1>0</formula1>
      <formula2>10000000</formula2>
    </dataValidation>
    <dataValidation sqref="B19" showDropDown="0" showInputMessage="1" showErrorMessage="1" allowBlank="0" error="Değer 1.0 ile 10.0 arasında olmalıdır." promptTitle="Anomali Katsayısı" prompt="En yüksek tek çıkışın günlük ortalamanın bu katından büyük olması anomali sayılır." type="decimal" errorStyle="stop" operator="between">
      <formula1>1</formula1>
      <formula2>10</formula2>
    </dataValidation>
    <dataValidation sqref="B20" showDropDown="0" showInputMessage="1" showErrorMessage="1" allowBlank="0" error="Değer 0 ile 100000 arasında olmalıdır." promptTitle="Mutabakat Toleransı" prompt="Fiziki kasa sayımında kabul edilebilir fark." type="decimal" errorStyle="stop" operator="between">
      <formula1>0</formula1>
      <formula2>100000</formula2>
    </dataValidation>
    <dataValidation sqref="B21" showDropDown="0" showInputMessage="1" showErrorMessage="1" allowBlank="0" error="Değer 1 ile 100000000000 arasında olmalıdır." promptTitle="Maksimum Hareket Tutarı" prompt="Tek hareketin azami tutarı; üzerindekiler AŞIRI TUTAR işaretlenir." type="decimal" errorStyle="stop" operator="between">
      <formula1>1</formula1>
      <formula2>100000000000</formula2>
    </dataValidation>
    <dataValidation sqref="B22" showDropDown="0" showInputMessage="1" showErrorMessage="1" allowBlank="0" error="Değer 0 ile 1 arasında olmalıdır." promptTitle="İyimser Tahsilat Oranı" prompt="İyimser senaryoda bekleyen tahsilatın artış oranı." type="decimal" errorStyle="stop" operator="between">
      <formula1>0</formula1>
      <formula2>1</formula2>
    </dataValidation>
    <dataValidation sqref="B23" showDropDown="0" showInputMessage="1" showErrorMessage="1" allowBlank="0" error="Değer 0 ile 1000000000 arasında olmalıdır." promptTitle="Kötümser Ek Ödeme" prompt="Kötümser senaryoda nakit durumuna eklenen beklenmedik ödeme." type="decimal" errorStyle="stop" operator="between">
      <formula1>0</formula1>
      <formula2>1000000000</formula2>
    </dataValidation>
    <dataValidation sqref="B24" showDropDown="0" showInputMessage="1" showErrorMessage="1" allowBlank="0" error="Değer 0.01 ile 1 arasında olmalıdır." promptTitle="Duyarlılık Değişim Oranı" prompt="Duyarlılık analizinde değişkenlerin marjinal etkisinin hesaplandığı değişim oranı." type="decimal" errorStyle="stop" operator="between">
      <formula1>0.01</formula1>
      <formula2>1</formula2>
    </dataValidation>
    <dataValidation sqref="B25" showDropDown="0" showInputMessage="1" showErrorMessage="1" allowBlank="0" error="Değer 0 ile 100 arasında olmalıdır." promptTitle="Veri Kalite Yüksek Eşiği" prompt="Veri kalite skoru bu değer ve üzeriyse güven düzeyi YÜKSEK olur." type="decimal" errorStyle="stop" operator="between">
      <formula1>0</formula1>
      <formula2>100</formula2>
    </dataValidation>
    <dataValidation sqref="B26" showDropDown="0" showInputMessage="1" showErrorMessage="1" allowBlank="0" error="Değer 0 ile 100 arasında olmalıdır." promptTitle="Veri Kalite Orta Eşiği" prompt="Veri kalite skoru bu değerin üzerindeyse güven düzeyi ORTA olur." type="decimal" errorStyle="stop" operator="between">
      <formula1>0</formula1>
      <formula2>100</formula2>
    </dataValidation>
    <dataValidation sqref="B27" showDropDown="0" showInputMessage="1" showErrorMessage="1" allowBlank="0" error="Değer 0 ile 20 arasında olmalıdır." promptTitle="Hata Ağırlığı" prompt="Veri kalite skorunda hafif ihlalin ceza puanı." type="decimal" errorStyle="stop" operator="between">
      <formula1>0</formula1>
      <formula2>20</formula2>
    </dataValidation>
    <dataValidation sqref="B28" showDropDown="0" showInputMessage="1" showErrorMessage="1" allowBlank="0" error="Değer 0 ile 50 arasında olmalıdır." promptTitle="Uyarı Ağırlığı" prompt="Veri kalite skorunda ağır ihlalin ceza puanı." type="decimal" errorStyle="stop" operator="between">
      <formula1>0</formula1>
      <formula2>50</formula2>
    </dataValidation>
    <dataValidation sqref="B29" showDropDown="0" showInputMessage="1" showErrorMessage="1" allowBlank="0" error="Değer 1 ile 50 arasında olmalıdır." promptTitle="Tablo Başlangıç Satırı" prompt="Veri tablolarının ilk veri satırı; kimlik formüllerinde başlangıç referansıdır." type="decimal" errorStyle="stop" operator="between">
      <formula1>1</formula1>
      <formula2>50</formula2>
    </dataValidation>
    <dataValidation sqref="B30" showDropDown="0" showInputMessage="1" showErrorMessage="1" allowBlank="0" error="Değer 1 ile 14 arasında olmalıdır." promptTitle="Hafta Uzunluğu (Gün)" prompt="Haftalık projeksiyonda kullanılan takvim haftası uzunluğu." type="decimal" errorStyle="stop" operator="between">
      <formula1>1</formula1>
      <formula2>14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L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6.5" customWidth="1" style="87" min="1" max="1"/>
    <col width="13" customWidth="1" style="88" min="2" max="2"/>
    <col width="13" customWidth="1" style="88" min="3" max="3"/>
    <col width="13" customWidth="1" style="88" min="4" max="4"/>
    <col width="13" customWidth="1" style="88" min="5" max="5"/>
    <col width="13" customWidth="1" style="88" min="6" max="6"/>
    <col width="13" customWidth="1" style="88" min="7" max="7"/>
    <col width="13" customWidth="1" style="88" min="8" max="8"/>
    <col width="13" customWidth="1" style="88" min="9" max="9"/>
    <col width="13" customWidth="1" style="88" min="10" max="10"/>
  </cols>
  <sheetData>
    <row r="1" ht="32" customHeight="1" s="88">
      <c r="A1" s="310" t="inlineStr">
        <is>
          <t>KILAVUZ — AKILLI KASA DEFTERİ VE NAKİT KONTROL SİSTEMİ</t>
        </is>
      </c>
    </row>
    <row r="2" ht="18" customHeight="1" s="88">
      <c r="A2" s="170" t="inlineStr">
        <is>
          <t>AKILLI KASA DEFTERİ VE NAKİT KONTROL SİSTEMİ — KULLANIM KILAVUZU</t>
        </is>
      </c>
      <c r="L2" s="171" t="n"/>
    </row>
    <row r="3"/>
    <row r="4" ht="19.5" customHeight="1" s="88">
      <c r="A4" s="172" t="inlineStr">
        <is>
          <t>1. BU SİSTEM NE İŞE YARAR?</t>
        </is>
      </c>
    </row>
    <row r="5" ht="15.75" customHeight="1" s="88">
      <c r="A5" s="173" t="inlineStr">
        <is>
          <t>Kasadaki ve bankadaki paraların kullanılabilir kısmını, bekleyen ödemelerin açık riskini ve</t>
        </is>
      </c>
    </row>
    <row r="6" ht="15.75" customHeight="1" s="88">
      <c r="A6" s="173" t="inlineStr">
        <is>
          <t>hangilerinin önce ödeneceğini tek ekranda gösterir. Karar destek aracıdır; mali tavsiye değildir.</t>
        </is>
      </c>
    </row>
    <row r="7"/>
    <row r="8" ht="19.5" customHeight="1" s="88">
      <c r="A8" s="172" t="inlineStr">
        <is>
          <t>2. NASIL BAŞLARIM?</t>
        </is>
      </c>
    </row>
    <row r="9" ht="15.75" customHeight="1" s="88">
      <c r="A9" s="173" t="inlineStr">
        <is>
          <t>Adım 1: AYARLAR sayfasından firma bilgilerinizi ve eşik değerlerinizi kontrol edin.</t>
        </is>
      </c>
    </row>
    <row r="10" ht="15.75" customHeight="1" s="88">
      <c r="A10" s="173" t="inlineStr">
        <is>
          <t>Adım 2: KASA_HESAPLARI'na kasa ve banka hesaplarınızı girin.</t>
        </is>
      </c>
    </row>
    <row r="11" ht="15.75" customHeight="1" s="88">
      <c r="A11" s="173" t="inlineStr">
        <is>
          <t>Adım 3: KASA_HAREKETLERI'ne günlük giriş ve çıkışlarınızı işleyin.</t>
        </is>
      </c>
    </row>
    <row r="12" ht="15.75" customHeight="1" s="88">
      <c r="A12" s="173" t="inlineStr">
        <is>
          <t>Adım 4: ODEME_TAHSILAT_TAKVIMI'ne bekleyen ödeme ve tahsilatlarınızı ekleyin.</t>
        </is>
      </c>
    </row>
    <row r="13" ht="15.75" customHeight="1" s="88">
      <c r="A13" s="173" t="inlineStr">
        <is>
          <t>Adım 5: KARAR_MOTORU ve PANO sayfalarından kullanılabilir para, açık riski ve ödeme önerisini izleyin.</t>
        </is>
      </c>
    </row>
    <row r="14"/>
    <row r="15" ht="19.5" customHeight="1" s="88">
      <c r="A15" s="172" t="inlineStr">
        <is>
          <t>3. SARI HÜCRELER NE ANLAMA GELİR?</t>
        </is>
      </c>
    </row>
    <row r="16" ht="15.75" customHeight="1" s="88">
      <c r="A16" s="173" t="inlineStr">
        <is>
          <t>Açık sarı (krem) hücreler manuel veri girişi içindir. Diğer tüm hücreler kilitlidir;</t>
        </is>
      </c>
    </row>
    <row r="17" ht="15.75" customHeight="1" s="88">
      <c r="A17" s="173" t="inlineStr">
        <is>
          <t>formüller kazayla bozulmasın diye 1234 şifresiyle korunur.</t>
        </is>
      </c>
    </row>
    <row r="18"/>
    <row r="19" ht="19.5" customHeight="1" s="88">
      <c r="A19" s="172" t="inlineStr">
        <is>
          <t>4. SIK YAPILAN HATALAR</t>
        </is>
      </c>
    </row>
    <row r="20" ht="15.75" customHeight="1" s="88">
      <c r="A20" s="173" t="inlineStr">
        <is>
          <t>Aynı fişi iki kez girmek mükerrer sayılır.</t>
        </is>
      </c>
    </row>
    <row r="21" ht="15.75" customHeight="1" s="88">
      <c r="A21" s="173" t="inlineStr">
        <is>
          <t>Tutarı 0 veya negatif girmek SIFIR/NEGATİF uyarısı üretir.</t>
        </is>
      </c>
    </row>
    <row r="22" ht="15.75" customHeight="1" s="88">
      <c r="A22" s="173" t="inlineStr">
        <is>
          <t>Hesap sütununu boş bırakmak eksik kayıt üretir.</t>
        </is>
      </c>
    </row>
    <row r="23" ht="15.75" customHeight="1" s="88">
      <c r="A23" s="173" t="inlineStr">
        <is>
          <t>Mutabakat yapmadan raporu yorumlamak yanıltıcı olabilir; fark varsa kök nedeni girin.</t>
        </is>
      </c>
    </row>
    <row r="24"/>
    <row r="25" ht="19.5" customHeight="1" s="88">
      <c r="A25" s="172" t="inlineStr">
        <is>
          <t>5. KARARLAR NASIL OKUNUR?</t>
        </is>
      </c>
    </row>
    <row r="26" ht="15.75" customHeight="1" s="88">
      <c r="A26" s="173" t="inlineStr">
        <is>
          <t>UYGUN: kaynaklar bekleyen yükümlülüğü karşılıyor.</t>
        </is>
      </c>
    </row>
    <row r="27" ht="15.75" customHeight="1" s="88">
      <c r="A27" s="173" t="inlineStr">
        <is>
          <t>İNCELE: kullanılabilir para asgari tamponun altında.</t>
        </is>
      </c>
    </row>
    <row r="28" ht="15.75" customHeight="1" s="88">
      <c r="A28" s="173" t="inlineStr">
        <is>
          <t>DURDUR: nakit açığı var; yeni yükümlülük almayın, tahsilatı öne çekin.</t>
        </is>
      </c>
    </row>
    <row r="29"/>
    <row r="30" ht="19.5" customHeight="1" s="88">
      <c r="A30" s="172" t="inlineStr">
        <is>
          <t>6. GÜVENLİK VE LİSANS</t>
        </is>
      </c>
    </row>
    <row r="31" ht="15.75" customHeight="1" s="88">
      <c r="A31" s="173" t="inlineStr">
        <is>
          <t>Tüm sayfalar 1234 şifresiyle korumalıdır. Lisans kodu AYARLAR sayfasındadır.</t>
        </is>
      </c>
    </row>
    <row r="32" ht="15.75" customHeight="1" s="88">
      <c r="A32" s="173" t="inlineStr">
        <is>
          <t>Bu dosya ExcelArşiv ürünüdür; izinsiz dağıtılamaz.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6">
    <mergeCell ref="A30:K30"/>
    <mergeCell ref="A15:K15"/>
    <mergeCell ref="A11:K11"/>
    <mergeCell ref="A6:K6"/>
    <mergeCell ref="A25:K25"/>
    <mergeCell ref="A16:K16"/>
    <mergeCell ref="A27:K27"/>
    <mergeCell ref="A12:K12"/>
    <mergeCell ref="A26:K26"/>
    <mergeCell ref="A21:K21"/>
    <mergeCell ref="A2:K2"/>
    <mergeCell ref="A32:K32"/>
    <mergeCell ref="A5:K5"/>
    <mergeCell ref="A17:K17"/>
    <mergeCell ref="A23:K23"/>
    <mergeCell ref="A8:K8"/>
    <mergeCell ref="A22:K22"/>
    <mergeCell ref="A4:K4"/>
    <mergeCell ref="A20:K20"/>
    <mergeCell ref="A19:K19"/>
    <mergeCell ref="A1:I1"/>
    <mergeCell ref="A10:K10"/>
    <mergeCell ref="A28:K28"/>
    <mergeCell ref="A13:K13"/>
    <mergeCell ref="A9:K9"/>
    <mergeCell ref="A31:K3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2026-08-10T00:02:32Z</dcterms:created>
  <dcterms:modified xmlns:dcterms="http://purl.org/dc/terms/" xmlns:xsi="http://www.w3.org/2001/XMLSchema-instance" xsi:type="dcterms:W3CDTF">2026-09-25T21:23:31Z</dcterms:modified>
  <cp:revision>0</cp:revision>
</cp:coreProperties>
</file>