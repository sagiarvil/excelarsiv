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9.xml" ContentType="application/vnd.openxmlformats-officedocument.spreadsheetml.comments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KASA_HESAPLARI" sheetId="6" state="hidden" r:id="rId6"/>
    <sheet xmlns:r="http://schemas.openxmlformats.org/officeDocument/2006/relationships" name="KASA_HAREKETLERI" sheetId="7" state="hidden" r:id="rId7"/>
    <sheet xmlns:r="http://schemas.openxmlformats.org/officeDocument/2006/relationships" name="ODEME_TAHSILAT_TAKVIMI" sheetId="8" state="hidden" r:id="rId8"/>
    <sheet xmlns:r="http://schemas.openxmlformats.org/officeDocument/2006/relationships" name="FIZIKI_KASA_MUTABAKAT" sheetId="9" state="hidden" r:id="rId9"/>
    <sheet xmlns:r="http://schemas.openxmlformats.org/officeDocument/2006/relationships" name="GUNLUK_OZET" sheetId="10" state="hidden" r:id="rId10"/>
    <sheet xmlns:r="http://schemas.openxmlformats.org/officeDocument/2006/relationships" name="NAKIT_PROJEKSIYONU" sheetId="11" state="hidden" r:id="rId11"/>
    <sheet xmlns:r="http://schemas.openxmlformats.org/officeDocument/2006/relationships" name="MOTOR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KARAR_MOTORU" sheetId="14" state="hidden" r:id="rId14"/>
    <sheet xmlns:r="http://schemas.openxmlformats.org/officeDocument/2006/relationships" name="PANO" sheetId="15" state="hidden" r:id="rId15"/>
    <sheet xmlns:r="http://schemas.openxmlformats.org/officeDocument/2006/relationships" name="SENARYO_DUYARLILIK" sheetId="16" state="hidden" r:id="rId16"/>
    <sheet xmlns:r="http://schemas.openxmlformats.org/officeDocument/2006/relationships" name="RAPOR" sheetId="17" state="hidden" r:id="rId17"/>
    <sheet xmlns:r="http://schemas.openxmlformats.org/officeDocument/2006/relationships" name="ORNEK_VERI" sheetId="18" state="hidden" r:id="rId18"/>
    <sheet xmlns:r="http://schemas.openxmlformats.org/officeDocument/2006/relationships" name="TESTLER" sheetId="19" state="hidden" r:id="rId19"/>
    <sheet xmlns:r="http://schemas.openxmlformats.org/officeDocument/2006/relationships" name="AKIS" sheetId="20" state="hidden" r:id="rId20"/>
    <sheet xmlns:r="http://schemas.openxmlformats.org/officeDocument/2006/relationships" name="DEGISIKLIK_KAYDI" sheetId="21" state="hidden" r:id="rId21"/>
    <sheet xmlns:r="http://schemas.openxmlformats.org/officeDocument/2006/relationships" name="LISTELER" sheetId="22" state="hidden" r:id="rId22"/>
    <sheet xmlns:r="http://schemas.openxmlformats.org/officeDocument/2006/relationships" name="AYARLAR" sheetId="23" state="hidden" r:id="rId23"/>
    <sheet xmlns:r="http://schemas.openxmlformats.org/officeDocument/2006/relationships" name="KILAVUZ" sheetId="24" state="hidden" r:id="rId24"/>
  </sheets>
  <definedNames>
    <definedName name="AnomaliKatsayisi" hidden="0" function="0" vbProcedure="0">AYARLAR!$B$19</definedName>
    <definedName name="AsgariNakitTamponu" hidden="0" function="0" vbProcedure="0">AYARLAR!$B$16</definedName>
    <definedName name="BaslangicSatir" hidden="0" function="0" vbProcedure="0">AYARLAR!$B$29</definedName>
    <definedName name="BekleyenOdeme" hidden="0" function="0" vbProcedure="0">KARAR_MOTORU!$B$10</definedName>
    <definedName name="BekleyenTahsilat" hidden="0" function="0" vbProcedure="0">KARAR_MOTORU!$B$11</definedName>
    <definedName name="DosyaSurumu" hidden="0" function="0" vbProcedure="0">AYARLAR!$B$10</definedName>
    <definedName name="DuyarliOran" hidden="0" function="0" vbProcedure="0">AYARLAR!$B$24</definedName>
    <definedName name="FirmaUnvan" hidden="0" function="0" vbProcedure="0">AYARLAR!$B$5</definedName>
    <definedName name="HaftaUzunluk" hidden="0" function="0" vbProcedure="0">AYARLAR!$B$30</definedName>
    <definedName name="HataAgirligi" hidden="0" function="0" vbProcedure="0">AYARLAR!$B$27</definedName>
    <definedName name="IlkKritikOdemeTarihi" hidden="0" function="0" vbProcedure="0">KARAR_MOTORU!$B$19</definedName>
    <definedName name="IyimserTahsilat" hidden="0" function="0" vbProcedure="0">AYARLAR!$B$22</definedName>
    <definedName name="KararBildirimi" hidden="0" function="0" vbProcedure="0">KARAR_MOTORU!$B$12</definedName>
    <definedName name="KasaBaslangicBakiye" hidden="0" function="0" vbProcedure="0">AYARLAR!$B$15</definedName>
    <definedName name="KayitSayisi" hidden="0" function="0" vbProcedure="0">KONTROLLER!$B$5</definedName>
    <definedName name="KotumserEkOdeme" hidden="0" function="0" vbProcedure="0">AYARLAR!$B$23</definedName>
    <definedName name="KritikOdemeToplami" hidden="0" function="0" vbProcedure="0">KARAR_MOTORU!$B$18</definedName>
    <definedName name="KritikRiskEsik" hidden="0" function="0" vbProcedure="0">AYARLAR!$B$18</definedName>
    <definedName name="KritikUfukGun" hidden="0" function="0" vbProcedure="0">AYARLAR!$B$17</definedName>
    <definedName name="KullanilabilirNakit" hidden="0" function="0" vbProcedure="0">KARAR_MOTORU!$B$8</definedName>
    <definedName name="MaksimumHareketTutari" hidden="0" function="0" vbProcedure="0">AYARLAR!$B$21</definedName>
    <definedName name="modulI1KasaTahmini" hidden="0" function="0" vbProcedure="0">MOTOR!$B$41</definedName>
    <definedName name="modulI1KasaTahminiYorum" hidden="0" function="0" vbProcedure="0">MOTOR!$C$57</definedName>
    <definedName name="modulI2KasaP90" hidden="0" function="0" vbProcedure="0">MOTOR!$B$42</definedName>
    <definedName name="modulI2KasaP90Yorum" hidden="0" function="0" vbProcedure="0">MOTOR!$C$58</definedName>
    <definedName name="modulI7AcikKopru" hidden="0" function="0" vbProcedure="0">MOTOR!$B$43</definedName>
    <definedName name="modulI7AcikKopruYorum" hidden="0" function="0" vbProcedure="0">MOTOR!$C$59</definedName>
    <definedName name="modulO1AnomaliOran" hidden="0" function="0" vbProcedure="0">MOTOR!$B$36</definedName>
    <definedName name="modulO1AnomaliOranYorum" hidden="0" function="0" vbProcedure="0">MOTOR!$C$52</definedName>
    <definedName name="modulO2TornadoZirve" hidden="0" function="0" vbProcedure="0">MOTOR!$B$37</definedName>
    <definedName name="modulO2TornadoZirveYorum" hidden="0" function="0" vbProcedure="0">MOTOR!$C$53</definedName>
    <definedName name="modulO3SenaryoFark" hidden="0" function="0" vbProcedure="0">MOTOR!$B$38</definedName>
    <definedName name="modulO3SenaryoFarkYorum" hidden="0" function="0" vbProcedure="0">MOTOR!$C$54</definedName>
    <definedName name="modulO6HesapHhi" hidden="0" function="0" vbProcedure="0">MOTOR!$B$39</definedName>
    <definedName name="modulO6HesapHhiYorum" hidden="0" function="0" vbProcedure="0">MOTOR!$C$55</definedName>
    <definedName name="modulO8KaliteSkor" hidden="0" function="0" vbProcedure="0">MOTOR!$B$40</definedName>
    <definedName name="modulO8KaliteSkorYorum" hidden="0" function="0" vbProcedure="0">MOTOR!$C$56</definedName>
    <definedName name="modulT1VadeGecmis" hidden="0" function="0" vbProcedure="0">MOTOR!$B$30</definedName>
    <definedName name="modulT1VadeGecmisYorum" hidden="0" function="0" vbProcedure="0">MOTOR!$C$46</definedName>
    <definedName name="modulT2NetEgim" hidden="0" function="0" vbProcedure="0">MOTOR!$B$31</definedName>
    <definedName name="modulT2NetEgimYorum" hidden="0" function="0" vbProcedure="0">MOTOR!$C$47</definedName>
    <definedName name="modulT3ParetoPay" hidden="0" function="0" vbProcedure="0">MOTOR!$B$32</definedName>
    <definedName name="modulT3ParetoPayYorum" hidden="0" function="0" vbProcedure="0">MOTOR!$C$48</definedName>
    <definedName name="modulT4NetFark" hidden="0" function="0" vbProcedure="0">MOTOR!$B$33</definedName>
    <definedName name="modulT4NetFarkYorum" hidden="0" function="0" vbProcedure="0">MOTOR!$C$49</definedName>
    <definedName name="modulT5MutabakatFark" hidden="0" function="0" vbProcedure="0">MOTOR!$B$34</definedName>
    <definedName name="modulT5MutabakatFarkYorum" hidden="0" function="0" vbProcedure="0">MOTOR!$C$50</definedName>
    <definedName name="modulT6KapsamaOran" hidden="0" function="0" vbProcedure="0">MOTOR!$B$35</definedName>
    <definedName name="modulT6KapsamaOranYorum" hidden="0" function="0" vbProcedure="0">MOTOR!$C$51</definedName>
    <definedName name="MutabakatFarkSayisi" hidden="0" function="0" vbProcedure="0">KONTROLLER!$B$11</definedName>
    <definedName name="MutabakatFarki" hidden="0" function="0" vbProcedure="0">PANO!$K$9</definedName>
    <definedName name="MutabakatToleransi" hidden="0" function="0" vbProcedure="0">AYARLAR!$B$20</definedName>
    <definedName name="NakitAcik" hidden="0" function="0" vbProcedure="0">KARAR_MOTORU!$B$9</definedName>
    <definedName name="OdenecekOnerisi" hidden="0" function="0" vbProcedure="0">KARAR_MOTORU!$B$17</definedName>
    <definedName name="RaporHazirlayan" hidden="0" function="0" vbProcedure="0">AYARLAR!$B$8</definedName>
    <definedName name="RaporTarihi" hidden="0" function="0" vbProcedure="0">AYARLAR!$B$7</definedName>
    <definedName name="SenaryoBazNakit" hidden="0" function="0" vbProcedure="0">SENARYO_DUYARLILIK!$B$5</definedName>
    <definedName name="SenaryoIyimserNakit" hidden="0" function="0" vbProcedure="0">SENARYO_DUYARLILIK!$B$7</definedName>
    <definedName name="SenaryoKotumserNakit" hidden="0" function="0" vbProcedure="0">SENARYO_DUYARLILIK!$B$9</definedName>
    <definedName name="TahsilatArtisOrani" hidden="0" function="0" vbProcedure="0">SENARYO_DUYARLILIK!$B$6</definedName>
    <definedName name="ToplamBloke" hidden="0" function="0" vbProcedure="0">KARAR_MOTORU!$B$6</definedName>
    <definedName name="ToplamHesapBakiye" hidden="0" function="0" vbProcedure="0">KARAR_MOTORU!$B$5</definedName>
    <definedName name="ToplamMinEsik" hidden="0" function="0" vbProcedure="0">KARAR_MOTORU!$B$7</definedName>
    <definedName name="UyariAgirligi" hidden="0" function="0" vbProcedure="0">AYARLAR!$B$28</definedName>
    <definedName name="VeriKaliteOrta" hidden="0" function="0" vbProcedure="0">AYARLAR!$B$26</definedName>
    <definedName name="VeriKaliteSkor" hidden="0" function="0" vbProcedure="0">KONTROLLER!$B$15</definedName>
    <definedName name="VeriKaliteYuksek" hidden="0" function="0" vbProcedure="0">AYARLAR!$B$25</definedName>
    <definedName name="_xlnm.Print_Area" localSheetId="9">'GUNLUK_OZET'!$A$1:$H$120</definedName>
    <definedName name="_xlnm.Print_Area" localSheetId="14">'PANO'!$A$1:$X$120</definedName>
    <definedName name="_xlnm.Print_Area" localSheetId="16">'RAPOR'!$A$1:$J$33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dd/mm/yyyy"/>
    <numFmt numFmtId="166" formatCode="0.0%;[RED]\(0.0%\);\-"/>
    <numFmt numFmtId="167" formatCode="0&quot; gün&quot;"/>
    <numFmt numFmtId="168" formatCode="0.0"/>
    <numFmt numFmtId="169" formatCode="#,##0 &quot;TL&quot;"/>
    <numFmt numFmtId="170" formatCode="0.0%"/>
  </numFmts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C00000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C00000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9"/>
    </font>
    <font>
      <name val="Arial"/>
      <family val="2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color rgb="FF1F7A4D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i val="1"/>
      <color rgb="FF006100"/>
      <sz val="9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FFFFFF"/>
      <sz val="11"/>
    </font>
    <font>
      <name val="Segoe UI"/>
      <charset val="1"/>
      <family val="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1EB"/>
      </patternFill>
    </fill>
    <fill>
      <patternFill patternType="solid">
        <fgColor rgb="001F4E79"/>
        <bgColor rgb="FF32547C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41" fillId="8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3" fillId="0" borderId="0" pivotButton="0" quotePrefix="0" xfId="0"/>
    <xf numFmtId="0" fontId="49" fillId="0" borderId="0" pivotButton="0" quotePrefix="0" xfId="0"/>
    <xf numFmtId="0" fontId="44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9" fillId="9" borderId="0" applyAlignment="1" pivotButton="0" quotePrefix="0" xfId="0">
      <alignment horizontal="center" vertical="center" wrapText="1"/>
    </xf>
    <xf numFmtId="0" fontId="45" fillId="0" borderId="0" pivotButton="0" quotePrefix="0" xfId="0"/>
    <xf numFmtId="0" fontId="46" fillId="0" borderId="0" pivotButton="0" quotePrefix="0" xfId="0"/>
    <xf numFmtId="0" fontId="48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52" fillId="0" borderId="0" pivotButton="0" quotePrefix="0" xfId="0"/>
    <xf numFmtId="169" fontId="52" fillId="0" borderId="0" pivotButton="0" quotePrefix="0" xfId="0"/>
    <xf numFmtId="169" fontId="53" fillId="0" borderId="0" pivotButton="0" quotePrefix="0" xfId="0"/>
    <xf numFmtId="170" fontId="52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8" borderId="0" applyAlignment="1" pivotButton="0" quotePrefix="0" xfId="0">
      <alignment horizontal="center" vertical="center"/>
    </xf>
    <xf numFmtId="0" fontId="51" fillId="8" borderId="0" applyAlignment="1" pivotButton="0" quotePrefix="0" xfId="0">
      <alignment horizontal="center"/>
    </xf>
    <xf numFmtId="0" fontId="53" fillId="0" borderId="0" pivotButton="0" quotePrefix="0" xfId="0"/>
    <xf numFmtId="0" fontId="57" fillId="10" borderId="1" pivotButton="0" quotePrefix="0" xfId="0"/>
    <xf numFmtId="0" fontId="58" fillId="0" borderId="0" pivotButton="0" quotePrefix="0" xfId="0"/>
    <xf numFmtId="0" fontId="59" fillId="0" borderId="0" pivotButton="0" quotePrefix="0" xfId="0"/>
    <xf numFmtId="0" fontId="52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1F4E7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B87B17"/>
      <rgbColor rgb="FF89A44E"/>
      <rgbColor rgb="FFD9E1EB"/>
      <rgbColor rgb="FFFBD8C7"/>
      <rgbColor rgb="FFD2908F"/>
      <rgbColor rgb="FF90B6D3"/>
      <rgbColor rgb="FFB41E18"/>
      <rgbColor rgb="FF006100"/>
      <rgbColor rgb="FF426C9F"/>
      <rgbColor rgb="FF687E39"/>
      <rgbColor rgb="FF6C5489"/>
      <rgbColor rgb="FF1F7A4D"/>
      <rgbColor rgb="FFC2C5DC"/>
      <rgbColor rgb="FF897F97"/>
      <rgbColor rgb="FF7F9CCA"/>
      <rgbColor rgb="FF943C39"/>
      <rgbColor rgb="FFFFF2CC"/>
      <rgbColor rgb="FFDCEAF6"/>
      <rgbColor rgb="FF5C4874"/>
      <rgbColor rgb="FFF6974F"/>
      <rgbColor rgb="FF39618F"/>
      <rgbColor rgb="FFD5D7DE"/>
      <rgbColor rgb="FF7A9446"/>
      <rgbColor rgb="FFEAD3D2"/>
      <rgbColor rgb="FFB3CD8C"/>
      <rgbColor rgb="FFB8D7E3"/>
      <rgbColor rgb="FFBD4F4C"/>
      <rgbColor rgb="FFA2632C"/>
      <rgbColor rgb="FF2F7182"/>
      <rgbColor rgb="FFFDE7E9"/>
      <rgbColor rgb="FF4199B0"/>
      <rgbColor rgb="FFF2F2F2"/>
      <rgbColor rgb="FFE0E8D1"/>
      <rgbColor rgb="FFF9F9F9"/>
      <rgbColor rgb="FF9BCADA"/>
      <rgbColor rgb="FFDFB4B3"/>
      <rgbColor rgb="FFB7ACC8"/>
      <rgbColor rgb="FFFAC6A9"/>
      <rgbColor rgb="FF4D7CB5"/>
      <rgbColor rgb="FF53ACC7"/>
      <rgbColor rgb="FF98B659"/>
      <rgbColor rgb="FFF9B085"/>
      <rgbColor rgb="FFE6893E"/>
      <rgbColor rgb="FFCA753D"/>
      <rgbColor rgb="FF7C619D"/>
      <rgbColor rgb="FFA191B8"/>
      <rgbColor rgb="FF0B1F3A"/>
      <rgbColor rgb="FF388499"/>
      <rgbColor rgb="FF32547C"/>
      <rgbColor rgb="FF595959"/>
      <rgbColor rgb="FF7F3331"/>
      <rgbColor rgb="FFA84643"/>
      <rgbColor rgb="FF1F4E79"/>
      <rgbColor rgb="FF41384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Bekleyen Ödemelerin Öncelik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ODEME_TAHSILAT_TAKVIMI!N4</f>
              <strCache>
                <ptCount val="1"/>
                <pt idx="0">
                  <v>Bekleyen Ödeme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ODEME_TAHSILAT_TAKVIMI!$M$5:$M$8</f>
              <strCache>
                <ptCount val="4"/>
                <pt idx="0">
                  <v>KRİTİK</v>
                </pt>
                <pt idx="1">
                  <v>YÜKSEK</v>
                </pt>
                <pt idx="2">
                  <v>ORTA</v>
                </pt>
                <pt idx="3">
                  <v>DÜŞÜK</v>
                </pt>
              </strCache>
            </strRef>
          </cat>
          <val>
            <numRef>
              <f>ODEME_TAHSILAT_TAKVIMI!$N$5:$N$8</f>
              <numCache>
                <formatCode>#,##0.00</formatCode>
                <ptCount val="4"/>
                <pt idx="0">
                  <v>260000</v>
                </pt>
                <pt idx="1">
                  <v>202000</v>
                </pt>
                <pt idx="2">
                  <v>75000</v>
                </pt>
                <pt idx="3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Beklenen Giriş ve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NAKIT_PROJEKSIYONU!C4</f>
              <strCache>
                <ptCount val="1"/>
                <pt idx="0">
                  <v>Beklenen Giriş (₺)</v>
                </pt>
              </strCache>
            </strRef>
          </tx>
          <spPr>
            <a:solidFill xmlns:a="http://schemas.openxmlformats.org/drawingml/2006/main">
              <a:srgbClr val="4672A8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NAKIT_PROJEKSIYONU!$C$5:$C$804</f>
              <numCache>
                <formatCode>#,##0.00</formatCode>
                <ptCount val="800"/>
                <pt idx="0">
                  <v>200000</v>
                </pt>
                <pt idx="1">
                  <v>0</v>
                </pt>
                <pt idx="2">
                  <v>150000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strRef>
              <f>NAKIT_PROJEKSIYONU!D4</f>
              <strCache>
                <ptCount val="1"/>
                <pt idx="0">
                  <v>Beklenen Çıkış (₺)</v>
                </pt>
              </strCache>
            </strRef>
          </tx>
          <spPr>
            <a:solidFill xmlns:a="http://schemas.openxmlformats.org/drawingml/2006/main">
              <a:srgbClr val="93A9CE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NAKIT_PROJEKSIYONU!$D$5:$D$804</f>
              <numCache>
                <formatCode>#,##0.00</formatCode>
                <ptCount val="800"/>
                <pt idx="0">
                  <v>230000</v>
                </pt>
                <pt idx="1">
                  <v>180000</v>
                </pt>
                <pt idx="2">
                  <v>0</v>
                </pt>
                <pt idx="3">
                  <v>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gapWidth val="150"/>
        <overlap val="0"/>
        <axId val="88351685"/>
        <axId val="67652191"/>
      </barChart>
      <catAx>
        <axId val="88351685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652191"/>
        <crosses val="autoZero"/>
        <auto val="1"/>
        <lblAlgn val="ctr"/>
        <lblOffset val="100"/>
        <noMultiLvlLbl val="0"/>
      </catAx>
      <valAx>
        <axId val="6765219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Tutar (₺)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835168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ve Dönem Sonu Kasa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NAKIT_PROJEKSIYONU!E4</f>
              <strCache>
                <ptCount val="1"/>
                <pt idx="0">
                  <v>Net (₺)</v>
                </pt>
              </strCache>
            </strRef>
          </tx>
          <spPr>
            <a:solidFill xmlns:a="http://schemas.openxmlformats.org/drawingml/2006/main">
              <a:srgbClr val="9D3E3B"/>
            </a:solidFill>
            <a:ln xmlns:a="http://schemas.openxmlformats.org/drawingml/2006/main" w="12600">
              <a:solidFill>
                <a:srgbClr val="9D3E3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NAKIT_PROJEKSIYONU!$E$5:$E$804</f>
              <numCache>
                <formatCode>#,##0.00</formatCode>
                <ptCount val="800"/>
                <pt idx="0">
                  <v>-30000</v>
                </pt>
                <pt idx="1">
                  <v>-180000</v>
                </pt>
                <pt idx="2">
                  <v>150000</v>
                </pt>
                <pt idx="3">
                  <v>-127000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NAKIT_PROJEKSIYONU!F4</f>
              <strCache>
                <ptCount val="1"/>
                <pt idx="0">
                  <v>Dönem Başı Kasa (₺)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NAKIT_PROJEKSIYONU!$F$5:$F$804</f>
              <numCache>
                <formatCode>#,##0.00</formatCode>
                <ptCount val="800"/>
                <pt idx="0">
                  <v>500000</v>
                </pt>
                <pt idx="1">
                  <v>470000</v>
                </pt>
                <pt idx="2">
                  <v>290000</v>
                </pt>
                <pt idx="3">
                  <v>440000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ser>
          <idx val="2"/>
          <order val="2"/>
          <tx>
            <strRef>
              <f>NAKIT_PROJEKSIYONU!G4</f>
              <strCache>
                <ptCount val="1"/>
                <pt idx="0">
                  <v>Dönem Sonu Kasa (₺)</v>
                </pt>
              </strCache>
            </strRef>
          </tx>
          <spPr>
            <a:solidFill xmlns:a="http://schemas.openxmlformats.org/drawingml/2006/main">
              <a:srgbClr val="D4A5A4"/>
            </a:solidFill>
            <a:ln xmlns:a="http://schemas.openxmlformats.org/drawingml/2006/main" w="12600">
              <a:solidFill>
                <a:srgbClr val="D4A5A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NAKIT_PROJEKSIYONU!$G$5:$G$804</f>
              <numCache>
                <formatCode>#,##0.00</formatCode>
                <ptCount val="800"/>
                <pt idx="0">
                  <v>470000</v>
                </pt>
                <pt idx="1">
                  <v>290000</v>
                </pt>
                <pt idx="2">
                  <v>440000</v>
                </pt>
                <pt idx="3">
                  <v>313000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1582971"/>
        <axId val="27495698"/>
      </lineChart>
      <catAx>
        <axId val="1582971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7495698"/>
        <crosses val="autoZero"/>
        <auto val="1"/>
        <lblAlgn val="ctr"/>
        <lblOffset val="100"/>
        <noMultiLvlLbl val="0"/>
      </catAx>
      <valAx>
        <axId val="2749569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58297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Nakit Girişi ve Çıkışı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GUNLUK_OZET!B4</f>
              <strCache>
                <ptCount val="1"/>
                <pt idx="0">
                  <v>Toplam Giriş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GUNLUK_OZET!$A$5:$A$120</f>
              <strCache>
                <ptCount val="116"/>
                <pt idx="0">
                  <v>01.07.2026</v>
                </pt>
                <pt idx="1">
                  <v>02.07.2026</v>
                </pt>
                <pt idx="2">
                  <v>03.07.2026</v>
                </pt>
                <pt idx="3">
                  <v>05.07.2026</v>
                </pt>
                <pt idx="4">
                  <v>07.07.2026</v>
                </pt>
                <pt idx="5">
                  <v>08.07.2026</v>
                </pt>
                <pt idx="6">
                  <v>10.07.2026</v>
                </pt>
                <pt idx="7">
                  <v>12.07.2026</v>
                </pt>
                <pt idx="8">
                  <v>15.07.2026</v>
                </pt>
                <pt idx="9">
                  <v>16.07.2026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</strCache>
            </strRef>
          </cat>
          <val>
            <numRef>
              <f>GUNLUK_OZET!$B$5:$B$120</f>
              <numCache>
                <formatCode>#,##0.00</formatCode>
                <ptCount val="116"/>
                <pt idx="0">
                  <v>120000</v>
                </pt>
                <pt idx="1">
                  <v>0</v>
                </pt>
                <pt idx="2">
                  <v>85000</v>
                </pt>
                <pt idx="3">
                  <v>0</v>
                </pt>
                <pt idx="4">
                  <v>0</v>
                </pt>
                <pt idx="5">
                  <v>45000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95000</v>
                </pt>
              </numCache>
            </numRef>
          </val>
        </ser>
        <ser>
          <idx val="1"/>
          <order val="1"/>
          <tx>
            <strRef>
              <f>GUNLUK_OZET!C4</f>
              <strCache>
                <ptCount val="1"/>
                <pt idx="0">
                  <v>Toplam Çıkış (₺)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GUNLUK_OZET!$A$5:$A$120</f>
              <strCache>
                <ptCount val="116"/>
                <pt idx="0">
                  <v>01.07.2026</v>
                </pt>
                <pt idx="1">
                  <v>02.07.2026</v>
                </pt>
                <pt idx="2">
                  <v>03.07.2026</v>
                </pt>
                <pt idx="3">
                  <v>05.07.2026</v>
                </pt>
                <pt idx="4">
                  <v>07.07.2026</v>
                </pt>
                <pt idx="5">
                  <v>08.07.2026</v>
                </pt>
                <pt idx="6">
                  <v>10.07.2026</v>
                </pt>
                <pt idx="7">
                  <v>12.07.2026</v>
                </pt>
                <pt idx="8">
                  <v>15.07.2026</v>
                </pt>
                <pt idx="9">
                  <v>16.07.2026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</strCache>
            </strRef>
          </cat>
          <val>
            <numRef>
              <f>GUNLUK_OZET!$C$5:$C$120</f>
              <numCache>
                <formatCode>"₺ "#,##0;[RED]"(₺ "#,##0\);\-</formatCode>
                <ptCount val="116"/>
                <pt idx="0">
                  <v>0</v>
                </pt>
                <pt idx="1">
                  <v>90000</v>
                </pt>
                <pt idx="2">
                  <v>0</v>
                </pt>
                <pt idx="3">
                  <v>180000</v>
                </pt>
                <pt idx="4">
                  <v>60000</v>
                </pt>
                <pt idx="5">
                  <v>0</v>
                </pt>
                <pt idx="6">
                  <v>75000</v>
                </pt>
                <pt idx="7">
                  <v>52000</v>
                </pt>
                <pt idx="8">
                  <v>120000</v>
                </pt>
                <pt idx="9">
                  <v>0</v>
                </pt>
              </numCache>
            </numRef>
          </val>
        </ser>
        <gapWidth val="150"/>
        <overlap val="0"/>
        <axId val="34219803"/>
        <axId val="85873911"/>
      </barChart>
      <catAx>
        <axId val="34219803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5873911"/>
        <crosses val="autoZero"/>
        <auto val="1"/>
        <lblAlgn val="ctr"/>
        <lblOffset val="100"/>
        <noMultiLvlLbl val="0"/>
      </catAx>
      <valAx>
        <axId val="8587391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Tutar (₺)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42198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Kümülatif Net Nakit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GUNLUK_OZET!E4</f>
              <strCache>
                <ptCount val="1"/>
                <pt idx="0">
                  <v>Kümülatif Net (₺)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GUNLUK_OZET!$A$5:$A$120</f>
              <strCache>
                <ptCount val="116"/>
                <pt idx="0">
                  <v>01.07.2026</v>
                </pt>
                <pt idx="1">
                  <v>02.07.2026</v>
                </pt>
                <pt idx="2">
                  <v>03.07.2026</v>
                </pt>
                <pt idx="3">
                  <v>05.07.2026</v>
                </pt>
                <pt idx="4">
                  <v>07.07.2026</v>
                </pt>
                <pt idx="5">
                  <v>08.07.2026</v>
                </pt>
                <pt idx="6">
                  <v>10.07.2026</v>
                </pt>
                <pt idx="7">
                  <v>12.07.2026</v>
                </pt>
                <pt idx="8">
                  <v>15.07.2026</v>
                </pt>
                <pt idx="9">
                  <v>16.07.2026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</strCache>
            </strRef>
          </cat>
          <val>
            <numRef>
              <f>GUNLUK_OZET!$E$5:$E$120</f>
              <numCache>
                <formatCode>#,##0.00</formatCode>
                <ptCount val="116"/>
                <pt idx="0">
                  <v>120000</v>
                </pt>
                <pt idx="1">
                  <v>30000</v>
                </pt>
                <pt idx="2">
                  <v>115000</v>
                </pt>
                <pt idx="3">
                  <v>-65000</v>
                </pt>
                <pt idx="4">
                  <v>-125000</v>
                </pt>
                <pt idx="5">
                  <v>-80000</v>
                </pt>
                <pt idx="6">
                  <v>-155000</v>
                </pt>
                <pt idx="7">
                  <v>-207000</v>
                </pt>
                <pt idx="8">
                  <v>-327000</v>
                </pt>
                <pt idx="9">
                  <v>-232000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859814"/>
        <axId val="13043839"/>
      </lineChart>
      <catAx>
        <axId val="6859814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3043839"/>
        <crosses val="autoZero"/>
        <auto val="1"/>
        <lblAlgn val="ctr"/>
        <lblOffset val="100"/>
        <noMultiLvlLbl val="0"/>
      </catAx>
      <valAx>
        <axId val="1304383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85981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Giriş / Çıkış / Net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GUNLUK_OZET!D4</f>
              <strCache>
                <ptCount val="1"/>
                <pt idx="0">
                  <v>Net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GUNLUK_OZET!$A$5:$A$120</f>
              <strCache>
                <ptCount val="116"/>
                <pt idx="0">
                  <v>01.07.2026</v>
                </pt>
                <pt idx="1">
                  <v>02.07.2026</v>
                </pt>
                <pt idx="2">
                  <v>03.07.2026</v>
                </pt>
                <pt idx="3">
                  <v>05.07.2026</v>
                </pt>
                <pt idx="4">
                  <v>07.07.2026</v>
                </pt>
                <pt idx="5">
                  <v>08.07.2026</v>
                </pt>
                <pt idx="6">
                  <v>10.07.2026</v>
                </pt>
                <pt idx="7">
                  <v>12.07.2026</v>
                </pt>
                <pt idx="8">
                  <v>15.07.2026</v>
                </pt>
                <pt idx="9">
                  <v>16.07.2026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</strCache>
            </strRef>
          </cat>
          <val>
            <numRef>
              <f>GUNLUK_OZET!$D$5:$D$120</f>
              <numCache>
                <formatCode>#,##0.00</formatCode>
                <ptCount val="116"/>
                <pt idx="0">
                  <v>120000</v>
                </pt>
                <pt idx="1">
                  <v>-90000</v>
                </pt>
                <pt idx="2">
                  <v>85000</v>
                </pt>
                <pt idx="3">
                  <v>-180000</v>
                </pt>
                <pt idx="4">
                  <v>-60000</v>
                </pt>
                <pt idx="5">
                  <v>45000</v>
                </pt>
                <pt idx="6">
                  <v>-75000</v>
                </pt>
                <pt idx="7">
                  <v>-52000</v>
                </pt>
                <pt idx="8">
                  <v>-120000</v>
                </pt>
                <pt idx="9">
                  <v>95000</v>
                </pt>
              </numCache>
            </numRef>
          </val>
        </ser>
        <gapWidth val="150"/>
        <overlap val="0"/>
        <axId val="36627014"/>
        <axId val="59659020"/>
      </barChart>
      <catAx>
        <axId val="36627014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659020"/>
        <crosses val="autoZero"/>
        <auto val="1"/>
        <lblAlgn val="ctr"/>
        <lblOffset val="100"/>
        <noMultiLvlLbl val="0"/>
      </catAx>
      <valAx>
        <axId val="596590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662701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 Dönem Sonu Kasa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NAKIT_PROJEKSIYONU!G4</f>
              <strCache>
                <ptCount val="1"/>
                <pt idx="0">
                  <v>Dönem Sonu Kasa (₺)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NAKIT_PROJEKSIYONU!$G$5:$G$804</f>
              <numCache>
                <formatCode>#,##0.00</formatCode>
                <ptCount val="800"/>
                <pt idx="0">
                  <v>470000</v>
                </pt>
                <pt idx="1">
                  <v>290000</v>
                </pt>
                <pt idx="2">
                  <v>440000</v>
                </pt>
                <pt idx="3">
                  <v>313000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34078668"/>
        <axId val="15311378"/>
      </lineChart>
      <catAx>
        <axId val="34078668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5311378"/>
        <crosses val="autoZero"/>
        <auto val="1"/>
        <lblAlgn val="ctr"/>
        <lblOffset val="100"/>
        <noMultiLvlLbl val="0"/>
      </catAx>
      <valAx>
        <axId val="1531137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407866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Hesap Bakiyeleri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KASA_HESAPLARI!F5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2F4D7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73302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5D703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4C3C6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"/>
            <spPr>
              <a:solidFill xmlns:a="http://schemas.openxmlformats.org/drawingml/2006/main">
                <a:srgbClr val="2D677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"/>
            <spPr>
              <a:solidFill xmlns:a="http://schemas.openxmlformats.org/drawingml/2006/main">
                <a:srgbClr val="945A2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"/>
            <spPr>
              <a:solidFill xmlns:a="http://schemas.openxmlformats.org/drawingml/2006/main">
                <a:srgbClr val="304E7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"/>
            <spPr>
              <a:solidFill xmlns:a="http://schemas.openxmlformats.org/drawingml/2006/main">
                <a:srgbClr val="75302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"/>
            <spPr>
              <a:solidFill xmlns:a="http://schemas.openxmlformats.org/drawingml/2006/main">
                <a:srgbClr val="5E723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"/>
            <spPr>
              <a:solidFill xmlns:a="http://schemas.openxmlformats.org/drawingml/2006/main">
                <a:srgbClr val="4E3C6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"/>
            <spPr>
              <a:solidFill xmlns:a="http://schemas.openxmlformats.org/drawingml/2006/main">
                <a:srgbClr val="2D687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"/>
            <spPr>
              <a:solidFill xmlns:a="http://schemas.openxmlformats.org/drawingml/2006/main">
                <a:srgbClr val="965B2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"/>
            <spPr>
              <a:solidFill xmlns:a="http://schemas.openxmlformats.org/drawingml/2006/main">
                <a:srgbClr val="304F7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"/>
            <spPr>
              <a:solidFill xmlns:a="http://schemas.openxmlformats.org/drawingml/2006/main">
                <a:srgbClr val="76312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"/>
            <spPr>
              <a:solidFill xmlns:a="http://schemas.openxmlformats.org/drawingml/2006/main">
                <a:srgbClr val="5F733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"/>
            <spPr>
              <a:solidFill xmlns:a="http://schemas.openxmlformats.org/drawingml/2006/main">
                <a:srgbClr val="4F3D6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"/>
            <spPr>
              <a:solidFill xmlns:a="http://schemas.openxmlformats.org/drawingml/2006/main">
                <a:srgbClr val="2E6A7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"/>
            <spPr>
              <a:solidFill xmlns:a="http://schemas.openxmlformats.org/drawingml/2006/main">
                <a:srgbClr val="985C2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"/>
            <spPr>
              <a:solidFill xmlns:a="http://schemas.openxmlformats.org/drawingml/2006/main">
                <a:srgbClr val="31507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"/>
            <spPr>
              <a:solidFill xmlns:a="http://schemas.openxmlformats.org/drawingml/2006/main">
                <a:srgbClr val="78323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"/>
            <spPr>
              <a:solidFill xmlns:a="http://schemas.openxmlformats.org/drawingml/2006/main">
                <a:srgbClr val="61753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"/>
            <spPr>
              <a:solidFill xmlns:a="http://schemas.openxmlformats.org/drawingml/2006/main">
                <a:srgbClr val="503E6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"/>
            <spPr>
              <a:solidFill xmlns:a="http://schemas.openxmlformats.org/drawingml/2006/main">
                <a:srgbClr val="2F6B7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"/>
            <spPr>
              <a:solidFill xmlns:a="http://schemas.openxmlformats.org/drawingml/2006/main">
                <a:srgbClr val="9A5E2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"/>
            <spPr>
              <a:solidFill xmlns:a="http://schemas.openxmlformats.org/drawingml/2006/main">
                <a:srgbClr val="32517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"/>
            <spPr>
              <a:solidFill xmlns:a="http://schemas.openxmlformats.org/drawingml/2006/main">
                <a:srgbClr val="79323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"/>
            <spPr>
              <a:solidFill xmlns:a="http://schemas.openxmlformats.org/drawingml/2006/main">
                <a:srgbClr val="62763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"/>
            <spPr>
              <a:solidFill xmlns:a="http://schemas.openxmlformats.org/drawingml/2006/main">
                <a:srgbClr val="513F6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"/>
            <spPr>
              <a:solidFill xmlns:a="http://schemas.openxmlformats.org/drawingml/2006/main">
                <a:srgbClr val="2F6D7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"/>
            <spPr>
              <a:solidFill xmlns:a="http://schemas.openxmlformats.org/drawingml/2006/main">
                <a:srgbClr val="9C5F2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"/>
            <spPr>
              <a:solidFill xmlns:a="http://schemas.openxmlformats.org/drawingml/2006/main">
                <a:srgbClr val="32527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"/>
            <spPr>
              <a:solidFill xmlns:a="http://schemas.openxmlformats.org/drawingml/2006/main">
                <a:srgbClr val="7B333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"/>
            <spPr>
              <a:solidFill xmlns:a="http://schemas.openxmlformats.org/drawingml/2006/main">
                <a:srgbClr val="63783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"/>
            <spPr>
              <a:solidFill xmlns:a="http://schemas.openxmlformats.org/drawingml/2006/main">
                <a:srgbClr val="52406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"/>
            <spPr>
              <a:solidFill xmlns:a="http://schemas.openxmlformats.org/drawingml/2006/main">
                <a:srgbClr val="306E7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"/>
            <spPr>
              <a:solidFill xmlns:a="http://schemas.openxmlformats.org/drawingml/2006/main">
                <a:srgbClr val="9E602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"/>
            <spPr>
              <a:solidFill xmlns:a="http://schemas.openxmlformats.org/drawingml/2006/main">
                <a:srgbClr val="33537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"/>
            <spPr>
              <a:solidFill xmlns:a="http://schemas.openxmlformats.org/drawingml/2006/main">
                <a:srgbClr val="7C343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"/>
            <spPr>
              <a:solidFill xmlns:a="http://schemas.openxmlformats.org/drawingml/2006/main">
                <a:srgbClr val="64793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"/>
            <spPr>
              <a:solidFill xmlns:a="http://schemas.openxmlformats.org/drawingml/2006/main">
                <a:srgbClr val="53416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"/>
            <spPr>
              <a:solidFill xmlns:a="http://schemas.openxmlformats.org/drawingml/2006/main">
                <a:srgbClr val="306F8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"/>
            <spPr>
              <a:solidFill xmlns:a="http://schemas.openxmlformats.org/drawingml/2006/main">
                <a:srgbClr val="A0612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"/>
            <spPr>
              <a:solidFill xmlns:a="http://schemas.openxmlformats.org/drawingml/2006/main">
                <a:srgbClr val="34547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"/>
            <spPr>
              <a:solidFill xmlns:a="http://schemas.openxmlformats.org/drawingml/2006/main">
                <a:srgbClr val="7E343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"/>
            <spPr>
              <a:solidFill xmlns:a="http://schemas.openxmlformats.org/drawingml/2006/main">
                <a:srgbClr val="667B3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"/>
            <spPr>
              <a:solidFill xmlns:a="http://schemas.openxmlformats.org/drawingml/2006/main">
                <a:srgbClr val="54416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"/>
            <spPr>
              <a:solidFill xmlns:a="http://schemas.openxmlformats.org/drawingml/2006/main">
                <a:srgbClr val="31718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"/>
            <spPr>
              <a:solidFill xmlns:a="http://schemas.openxmlformats.org/drawingml/2006/main">
                <a:srgbClr val="A2622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"/>
            <spPr>
              <a:solidFill xmlns:a="http://schemas.openxmlformats.org/drawingml/2006/main">
                <a:srgbClr val="34557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"/>
            <spPr>
              <a:solidFill xmlns:a="http://schemas.openxmlformats.org/drawingml/2006/main">
                <a:srgbClr val="7F353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"/>
            <spPr>
              <a:solidFill xmlns:a="http://schemas.openxmlformats.org/drawingml/2006/main">
                <a:srgbClr val="677C3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"/>
            <spPr>
              <a:solidFill xmlns:a="http://schemas.openxmlformats.org/drawingml/2006/main">
                <a:srgbClr val="55426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"/>
            <spPr>
              <a:solidFill xmlns:a="http://schemas.openxmlformats.org/drawingml/2006/main">
                <a:srgbClr val="31728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"/>
            <spPr>
              <a:solidFill xmlns:a="http://schemas.openxmlformats.org/drawingml/2006/main">
                <a:srgbClr val="A4632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"/>
            <spPr>
              <a:solidFill xmlns:a="http://schemas.openxmlformats.org/drawingml/2006/main">
                <a:srgbClr val="35567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"/>
            <spPr>
              <a:solidFill xmlns:a="http://schemas.openxmlformats.org/drawingml/2006/main">
                <a:srgbClr val="81353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"/>
            <spPr>
              <a:solidFill xmlns:a="http://schemas.openxmlformats.org/drawingml/2006/main">
                <a:srgbClr val="687E3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"/>
            <spPr>
              <a:solidFill xmlns:a="http://schemas.openxmlformats.org/drawingml/2006/main">
                <a:srgbClr val="56436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"/>
            <spPr>
              <a:solidFill xmlns:a="http://schemas.openxmlformats.org/drawingml/2006/main">
                <a:srgbClr val="32738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"/>
            <spPr>
              <a:solidFill xmlns:a="http://schemas.openxmlformats.org/drawingml/2006/main">
                <a:srgbClr val="A6652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"/>
            <spPr>
              <a:solidFill xmlns:a="http://schemas.openxmlformats.org/drawingml/2006/main">
                <a:srgbClr val="35578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"/>
            <spPr>
              <a:solidFill xmlns:a="http://schemas.openxmlformats.org/drawingml/2006/main">
                <a:srgbClr val="82363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"/>
            <spPr>
              <a:solidFill xmlns:a="http://schemas.openxmlformats.org/drawingml/2006/main">
                <a:srgbClr val="697F3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"/>
            <spPr>
              <a:solidFill xmlns:a="http://schemas.openxmlformats.org/drawingml/2006/main">
                <a:srgbClr val="57446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"/>
            <spPr>
              <a:solidFill xmlns:a="http://schemas.openxmlformats.org/drawingml/2006/main">
                <a:srgbClr val="33758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"/>
            <spPr>
              <a:solidFill xmlns:a="http://schemas.openxmlformats.org/drawingml/2006/main">
                <a:srgbClr val="A8662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"/>
            <spPr>
              <a:solidFill xmlns:a="http://schemas.openxmlformats.org/drawingml/2006/main">
                <a:srgbClr val="36588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"/>
            <spPr>
              <a:solidFill xmlns:a="http://schemas.openxmlformats.org/drawingml/2006/main">
                <a:srgbClr val="84373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"/>
            <spPr>
              <a:solidFill xmlns:a="http://schemas.openxmlformats.org/drawingml/2006/main">
                <a:srgbClr val="6A803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"/>
            <spPr>
              <a:solidFill xmlns:a="http://schemas.openxmlformats.org/drawingml/2006/main">
                <a:srgbClr val="58446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"/>
            <spPr>
              <a:solidFill xmlns:a="http://schemas.openxmlformats.org/drawingml/2006/main">
                <a:srgbClr val="33768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"/>
            <spPr>
              <a:solidFill xmlns:a="http://schemas.openxmlformats.org/drawingml/2006/main">
                <a:srgbClr val="AA673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"/>
            <spPr>
              <a:solidFill xmlns:a="http://schemas.openxmlformats.org/drawingml/2006/main">
                <a:srgbClr val="36598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"/>
            <spPr>
              <a:solidFill xmlns:a="http://schemas.openxmlformats.org/drawingml/2006/main">
                <a:srgbClr val="85373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"/>
            <spPr>
              <a:solidFill xmlns:a="http://schemas.openxmlformats.org/drawingml/2006/main">
                <a:srgbClr val="6B823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"/>
            <spPr>
              <a:solidFill xmlns:a="http://schemas.openxmlformats.org/drawingml/2006/main">
                <a:srgbClr val="59457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"/>
            <spPr>
              <a:solidFill xmlns:a="http://schemas.openxmlformats.org/drawingml/2006/main">
                <a:srgbClr val="34778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"/>
            <spPr>
              <a:solidFill xmlns:a="http://schemas.openxmlformats.org/drawingml/2006/main">
                <a:srgbClr val="AB683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"/>
            <spPr>
              <a:solidFill xmlns:a="http://schemas.openxmlformats.org/drawingml/2006/main">
                <a:srgbClr val="375A8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"/>
            <spPr>
              <a:solidFill xmlns:a="http://schemas.openxmlformats.org/drawingml/2006/main">
                <a:srgbClr val="87383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0"/>
            <spPr>
              <a:solidFill xmlns:a="http://schemas.openxmlformats.org/drawingml/2006/main">
                <a:srgbClr val="6D833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1"/>
            <spPr>
              <a:solidFill xmlns:a="http://schemas.openxmlformats.org/drawingml/2006/main">
                <a:srgbClr val="5A467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2"/>
            <spPr>
              <a:solidFill xmlns:a="http://schemas.openxmlformats.org/drawingml/2006/main">
                <a:srgbClr val="34788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3"/>
            <spPr>
              <a:solidFill xmlns:a="http://schemas.openxmlformats.org/drawingml/2006/main">
                <a:srgbClr val="AD693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4"/>
            <spPr>
              <a:solidFill xmlns:a="http://schemas.openxmlformats.org/drawingml/2006/main">
                <a:srgbClr val="385B8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5"/>
            <spPr>
              <a:solidFill xmlns:a="http://schemas.openxmlformats.org/drawingml/2006/main">
                <a:srgbClr val="88383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6"/>
            <spPr>
              <a:solidFill xmlns:a="http://schemas.openxmlformats.org/drawingml/2006/main">
                <a:srgbClr val="6E843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7"/>
            <spPr>
              <a:solidFill xmlns:a="http://schemas.openxmlformats.org/drawingml/2006/main">
                <a:srgbClr val="5A477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8"/>
            <spPr>
              <a:solidFill xmlns:a="http://schemas.openxmlformats.org/drawingml/2006/main">
                <a:srgbClr val="357A8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9"/>
            <spPr>
              <a:solidFill xmlns:a="http://schemas.openxmlformats.org/drawingml/2006/main">
                <a:srgbClr val="AF6A3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0"/>
            <spPr>
              <a:solidFill xmlns:a="http://schemas.openxmlformats.org/drawingml/2006/main">
                <a:srgbClr val="385C8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1"/>
            <spPr>
              <a:solidFill xmlns:a="http://schemas.openxmlformats.org/drawingml/2006/main">
                <a:srgbClr val="89393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2"/>
            <spPr>
              <a:solidFill xmlns:a="http://schemas.openxmlformats.org/drawingml/2006/main">
                <a:srgbClr val="6F863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3"/>
            <spPr>
              <a:solidFill xmlns:a="http://schemas.openxmlformats.org/drawingml/2006/main">
                <a:srgbClr val="5B477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4"/>
            <spPr>
              <a:solidFill xmlns:a="http://schemas.openxmlformats.org/drawingml/2006/main">
                <a:srgbClr val="357B8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5"/>
            <spPr>
              <a:solidFill xmlns:a="http://schemas.openxmlformats.org/drawingml/2006/main">
                <a:srgbClr val="B16B3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6"/>
            <spPr>
              <a:solidFill xmlns:a="http://schemas.openxmlformats.org/drawingml/2006/main">
                <a:srgbClr val="395D8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7"/>
            <spPr>
              <a:solidFill xmlns:a="http://schemas.openxmlformats.org/drawingml/2006/main">
                <a:srgbClr val="8B393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8"/>
            <spPr>
              <a:solidFill xmlns:a="http://schemas.openxmlformats.org/drawingml/2006/main">
                <a:srgbClr val="70874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9"/>
            <spPr>
              <a:solidFill xmlns:a="http://schemas.openxmlformats.org/drawingml/2006/main">
                <a:srgbClr val="5C487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0"/>
            <spPr>
              <a:solidFill xmlns:a="http://schemas.openxmlformats.org/drawingml/2006/main">
                <a:srgbClr val="367C8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1"/>
            <spPr>
              <a:solidFill xmlns:a="http://schemas.openxmlformats.org/drawingml/2006/main">
                <a:srgbClr val="B26C3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2"/>
            <spPr>
              <a:solidFill xmlns:a="http://schemas.openxmlformats.org/drawingml/2006/main">
                <a:srgbClr val="395E8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3"/>
            <spPr>
              <a:solidFill xmlns:a="http://schemas.openxmlformats.org/drawingml/2006/main">
                <a:srgbClr val="8C3A3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4"/>
            <spPr>
              <a:solidFill xmlns:a="http://schemas.openxmlformats.org/drawingml/2006/main">
                <a:srgbClr val="71884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5"/>
            <spPr>
              <a:solidFill xmlns:a="http://schemas.openxmlformats.org/drawingml/2006/main">
                <a:srgbClr val="5D497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6"/>
            <spPr>
              <a:solidFill xmlns:a="http://schemas.openxmlformats.org/drawingml/2006/main">
                <a:srgbClr val="367D9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7"/>
            <spPr>
              <a:solidFill xmlns:a="http://schemas.openxmlformats.org/drawingml/2006/main">
                <a:srgbClr val="B46D3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8"/>
            <spPr>
              <a:solidFill xmlns:a="http://schemas.openxmlformats.org/drawingml/2006/main">
                <a:srgbClr val="3A5F8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9"/>
            <spPr>
              <a:solidFill xmlns:a="http://schemas.openxmlformats.org/drawingml/2006/main">
                <a:srgbClr val="8D3B3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0"/>
            <spPr>
              <a:solidFill xmlns:a="http://schemas.openxmlformats.org/drawingml/2006/main">
                <a:srgbClr val="72894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1"/>
            <spPr>
              <a:solidFill xmlns:a="http://schemas.openxmlformats.org/drawingml/2006/main">
                <a:srgbClr val="5E497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2"/>
            <spPr>
              <a:solidFill xmlns:a="http://schemas.openxmlformats.org/drawingml/2006/main">
                <a:srgbClr val="377E9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3"/>
            <spPr>
              <a:solidFill xmlns:a="http://schemas.openxmlformats.org/drawingml/2006/main">
                <a:srgbClr val="B66E3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4"/>
            <spPr>
              <a:solidFill xmlns:a="http://schemas.openxmlformats.org/drawingml/2006/main">
                <a:srgbClr val="3A608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5"/>
            <spPr>
              <a:solidFill xmlns:a="http://schemas.openxmlformats.org/drawingml/2006/main">
                <a:srgbClr val="8E3B3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6"/>
            <spPr>
              <a:solidFill xmlns:a="http://schemas.openxmlformats.org/drawingml/2006/main">
                <a:srgbClr val="738B4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7"/>
            <spPr>
              <a:solidFill xmlns:a="http://schemas.openxmlformats.org/drawingml/2006/main">
                <a:srgbClr val="5F4A7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8"/>
            <spPr>
              <a:solidFill xmlns:a="http://schemas.openxmlformats.org/drawingml/2006/main">
                <a:srgbClr val="37809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9"/>
            <spPr>
              <a:solidFill xmlns:a="http://schemas.openxmlformats.org/drawingml/2006/main">
                <a:srgbClr val="B76F3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0"/>
            <spPr>
              <a:solidFill xmlns:a="http://schemas.openxmlformats.org/drawingml/2006/main">
                <a:srgbClr val="3B608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1"/>
            <spPr>
              <a:solidFill xmlns:a="http://schemas.openxmlformats.org/drawingml/2006/main">
                <a:srgbClr val="903C3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2"/>
            <spPr>
              <a:solidFill xmlns:a="http://schemas.openxmlformats.org/drawingml/2006/main">
                <a:srgbClr val="748C4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3"/>
            <spPr>
              <a:solidFill xmlns:a="http://schemas.openxmlformats.org/drawingml/2006/main">
                <a:srgbClr val="604B7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4"/>
            <spPr>
              <a:solidFill xmlns:a="http://schemas.openxmlformats.org/drawingml/2006/main">
                <a:srgbClr val="38819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5"/>
            <spPr>
              <a:solidFill xmlns:a="http://schemas.openxmlformats.org/drawingml/2006/main">
                <a:srgbClr val="B9703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6"/>
            <spPr>
              <a:solidFill xmlns:a="http://schemas.openxmlformats.org/drawingml/2006/main">
                <a:srgbClr val="3B618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7"/>
            <spPr>
              <a:solidFill xmlns:a="http://schemas.openxmlformats.org/drawingml/2006/main">
                <a:srgbClr val="913C3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8"/>
            <spPr>
              <a:solidFill xmlns:a="http://schemas.openxmlformats.org/drawingml/2006/main">
                <a:srgbClr val="758D4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9"/>
            <spPr>
              <a:solidFill xmlns:a="http://schemas.openxmlformats.org/drawingml/2006/main">
                <a:srgbClr val="604B7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0"/>
            <spPr>
              <a:solidFill xmlns:a="http://schemas.openxmlformats.org/drawingml/2006/main">
                <a:srgbClr val="38829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1"/>
            <spPr>
              <a:solidFill xmlns:a="http://schemas.openxmlformats.org/drawingml/2006/main">
                <a:srgbClr val="BB713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2"/>
            <spPr>
              <a:solidFill xmlns:a="http://schemas.openxmlformats.org/drawingml/2006/main">
                <a:srgbClr val="3C629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3"/>
            <spPr>
              <a:solidFill xmlns:a="http://schemas.openxmlformats.org/drawingml/2006/main">
                <a:srgbClr val="923D3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4"/>
            <spPr>
              <a:solidFill xmlns:a="http://schemas.openxmlformats.org/drawingml/2006/main">
                <a:srgbClr val="768E4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5"/>
            <spPr>
              <a:solidFill xmlns:a="http://schemas.openxmlformats.org/drawingml/2006/main">
                <a:srgbClr val="614C7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6"/>
            <spPr>
              <a:solidFill xmlns:a="http://schemas.openxmlformats.org/drawingml/2006/main">
                <a:srgbClr val="39839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7"/>
            <spPr>
              <a:solidFill xmlns:a="http://schemas.openxmlformats.org/drawingml/2006/main">
                <a:srgbClr val="BC723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8"/>
            <spPr>
              <a:solidFill xmlns:a="http://schemas.openxmlformats.org/drawingml/2006/main">
                <a:srgbClr val="3C639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9"/>
            <spPr>
              <a:solidFill xmlns:a="http://schemas.openxmlformats.org/drawingml/2006/main">
                <a:srgbClr val="933D3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0"/>
            <spPr>
              <a:solidFill xmlns:a="http://schemas.openxmlformats.org/drawingml/2006/main">
                <a:srgbClr val="7790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1"/>
            <spPr>
              <a:solidFill xmlns:a="http://schemas.openxmlformats.org/drawingml/2006/main">
                <a:srgbClr val="624D7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2"/>
            <spPr>
              <a:solidFill xmlns:a="http://schemas.openxmlformats.org/drawingml/2006/main">
                <a:srgbClr val="39849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3"/>
            <spPr>
              <a:solidFill xmlns:a="http://schemas.openxmlformats.org/drawingml/2006/main">
                <a:srgbClr val="BE733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4"/>
            <spPr>
              <a:solidFill xmlns:a="http://schemas.openxmlformats.org/drawingml/2006/main">
                <a:srgbClr val="3D649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5"/>
            <spPr>
              <a:solidFill xmlns:a="http://schemas.openxmlformats.org/drawingml/2006/main">
                <a:srgbClr val="953E3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6"/>
            <spPr>
              <a:solidFill xmlns:a="http://schemas.openxmlformats.org/drawingml/2006/main">
                <a:srgbClr val="78914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7"/>
            <spPr>
              <a:solidFill xmlns:a="http://schemas.openxmlformats.org/drawingml/2006/main">
                <a:srgbClr val="634D7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8"/>
            <spPr>
              <a:solidFill xmlns:a="http://schemas.openxmlformats.org/drawingml/2006/main">
                <a:srgbClr val="3A859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9"/>
            <spPr>
              <a:solidFill xmlns:a="http://schemas.openxmlformats.org/drawingml/2006/main">
                <a:srgbClr val="BF743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0"/>
            <spPr>
              <a:solidFill xmlns:a="http://schemas.openxmlformats.org/drawingml/2006/main">
                <a:srgbClr val="3D659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1"/>
            <spPr>
              <a:solidFill xmlns:a="http://schemas.openxmlformats.org/drawingml/2006/main">
                <a:srgbClr val="963E3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2"/>
            <spPr>
              <a:solidFill xmlns:a="http://schemas.openxmlformats.org/drawingml/2006/main">
                <a:srgbClr val="79924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3"/>
            <spPr>
              <a:solidFill xmlns:a="http://schemas.openxmlformats.org/drawingml/2006/main">
                <a:srgbClr val="644E7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4"/>
            <spPr>
              <a:solidFill xmlns:a="http://schemas.openxmlformats.org/drawingml/2006/main">
                <a:srgbClr val="3A869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5"/>
            <spPr>
              <a:solidFill xmlns:a="http://schemas.openxmlformats.org/drawingml/2006/main">
                <a:srgbClr val="C1753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6"/>
            <spPr>
              <a:solidFill xmlns:a="http://schemas.openxmlformats.org/drawingml/2006/main">
                <a:srgbClr val="3E659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7"/>
            <spPr>
              <a:solidFill xmlns:a="http://schemas.openxmlformats.org/drawingml/2006/main">
                <a:srgbClr val="973F3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8"/>
            <spPr>
              <a:solidFill xmlns:a="http://schemas.openxmlformats.org/drawingml/2006/main">
                <a:srgbClr val="7A934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9"/>
            <spPr>
              <a:solidFill xmlns:a="http://schemas.openxmlformats.org/drawingml/2006/main">
                <a:srgbClr val="654E7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0"/>
            <spPr>
              <a:solidFill xmlns:a="http://schemas.openxmlformats.org/drawingml/2006/main">
                <a:srgbClr val="3B879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1"/>
            <spPr>
              <a:solidFill xmlns:a="http://schemas.openxmlformats.org/drawingml/2006/main">
                <a:srgbClr val="C2763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2"/>
            <spPr>
              <a:solidFill xmlns:a="http://schemas.openxmlformats.org/drawingml/2006/main">
                <a:srgbClr val="3E669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3"/>
            <spPr>
              <a:solidFill xmlns:a="http://schemas.openxmlformats.org/drawingml/2006/main">
                <a:srgbClr val="983F3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4"/>
            <spPr>
              <a:solidFill xmlns:a="http://schemas.openxmlformats.org/drawingml/2006/main">
                <a:srgbClr val="7B944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5"/>
            <spPr>
              <a:solidFill xmlns:a="http://schemas.openxmlformats.org/drawingml/2006/main">
                <a:srgbClr val="654F8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6"/>
            <spPr>
              <a:solidFill xmlns:a="http://schemas.openxmlformats.org/drawingml/2006/main">
                <a:srgbClr val="3B889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7"/>
            <spPr>
              <a:solidFill xmlns:a="http://schemas.openxmlformats.org/drawingml/2006/main">
                <a:srgbClr val="C4773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8"/>
            <spPr>
              <a:solidFill xmlns:a="http://schemas.openxmlformats.org/drawingml/2006/main">
                <a:srgbClr val="3F679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9"/>
            <spPr>
              <a:solidFill xmlns:a="http://schemas.openxmlformats.org/drawingml/2006/main">
                <a:srgbClr val="99403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0"/>
            <spPr>
              <a:solidFill xmlns:a="http://schemas.openxmlformats.org/drawingml/2006/main">
                <a:srgbClr val="7C954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1"/>
            <spPr>
              <a:solidFill xmlns:a="http://schemas.openxmlformats.org/drawingml/2006/main">
                <a:srgbClr val="66508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2"/>
            <spPr>
              <a:solidFill xmlns:a="http://schemas.openxmlformats.org/drawingml/2006/main">
                <a:srgbClr val="3C899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3"/>
            <spPr>
              <a:solidFill xmlns:a="http://schemas.openxmlformats.org/drawingml/2006/main">
                <a:srgbClr val="C5783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4"/>
            <spPr>
              <a:solidFill xmlns:a="http://schemas.openxmlformats.org/drawingml/2006/main">
                <a:srgbClr val="3F689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5"/>
            <spPr>
              <a:solidFill xmlns:a="http://schemas.openxmlformats.org/drawingml/2006/main">
                <a:srgbClr val="9A403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6"/>
            <spPr>
              <a:solidFill xmlns:a="http://schemas.openxmlformats.org/drawingml/2006/main">
                <a:srgbClr val="7D964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7"/>
            <spPr>
              <a:solidFill xmlns:a="http://schemas.openxmlformats.org/drawingml/2006/main">
                <a:srgbClr val="67508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8"/>
            <spPr>
              <a:solidFill xmlns:a="http://schemas.openxmlformats.org/drawingml/2006/main">
                <a:srgbClr val="3C8A9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9"/>
            <spPr>
              <a:solidFill xmlns:a="http://schemas.openxmlformats.org/drawingml/2006/main">
                <a:srgbClr val="C7793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0"/>
            <spPr>
              <a:solidFill xmlns:a="http://schemas.openxmlformats.org/drawingml/2006/main">
                <a:srgbClr val="40689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1"/>
            <spPr>
              <a:solidFill xmlns:a="http://schemas.openxmlformats.org/drawingml/2006/main">
                <a:srgbClr val="9C413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2"/>
            <spPr>
              <a:solidFill xmlns:a="http://schemas.openxmlformats.org/drawingml/2006/main">
                <a:srgbClr val="7E984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3"/>
            <spPr>
              <a:solidFill xmlns:a="http://schemas.openxmlformats.org/drawingml/2006/main">
                <a:srgbClr val="68518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4"/>
            <spPr>
              <a:solidFill xmlns:a="http://schemas.openxmlformats.org/drawingml/2006/main">
                <a:srgbClr val="3C8BA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5"/>
            <spPr>
              <a:solidFill xmlns:a="http://schemas.openxmlformats.org/drawingml/2006/main">
                <a:srgbClr val="C8793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6"/>
            <spPr>
              <a:solidFill xmlns:a="http://schemas.openxmlformats.org/drawingml/2006/main">
                <a:srgbClr val="40699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7"/>
            <spPr>
              <a:solidFill xmlns:a="http://schemas.openxmlformats.org/drawingml/2006/main">
                <a:srgbClr val="9D413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8"/>
            <spPr>
              <a:solidFill xmlns:a="http://schemas.openxmlformats.org/drawingml/2006/main">
                <a:srgbClr val="7E994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9"/>
            <spPr>
              <a:solidFill xmlns:a="http://schemas.openxmlformats.org/drawingml/2006/main">
                <a:srgbClr val="68518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0"/>
            <spPr>
              <a:solidFill xmlns:a="http://schemas.openxmlformats.org/drawingml/2006/main">
                <a:srgbClr val="3D8C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1"/>
            <spPr>
              <a:solidFill xmlns:a="http://schemas.openxmlformats.org/drawingml/2006/main">
                <a:srgbClr val="CA7A3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2"/>
            <spPr>
              <a:solidFill xmlns:a="http://schemas.openxmlformats.org/drawingml/2006/main">
                <a:srgbClr val="416A9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3"/>
            <spPr>
              <a:solidFill xmlns:a="http://schemas.openxmlformats.org/drawingml/2006/main">
                <a:srgbClr val="9E413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4"/>
            <spPr>
              <a:solidFill xmlns:a="http://schemas.openxmlformats.org/drawingml/2006/main">
                <a:srgbClr val="7F9A4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5"/>
            <spPr>
              <a:solidFill xmlns:a="http://schemas.openxmlformats.org/drawingml/2006/main">
                <a:srgbClr val="69528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6"/>
            <spPr>
              <a:solidFill xmlns:a="http://schemas.openxmlformats.org/drawingml/2006/main">
                <a:srgbClr val="3D8DA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7"/>
            <spPr>
              <a:solidFill xmlns:a="http://schemas.openxmlformats.org/drawingml/2006/main">
                <a:srgbClr val="CB7B3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8"/>
            <spPr>
              <a:solidFill xmlns:a="http://schemas.openxmlformats.org/drawingml/2006/main">
                <a:srgbClr val="416B9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9"/>
            <spPr>
              <a:solidFill xmlns:a="http://schemas.openxmlformats.org/drawingml/2006/main">
                <a:srgbClr val="9F423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0"/>
            <spPr>
              <a:solidFill xmlns:a="http://schemas.openxmlformats.org/drawingml/2006/main">
                <a:srgbClr val="809B4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1"/>
            <spPr>
              <a:solidFill xmlns:a="http://schemas.openxmlformats.org/drawingml/2006/main">
                <a:srgbClr val="6A538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2"/>
            <spPr>
              <a:solidFill xmlns:a="http://schemas.openxmlformats.org/drawingml/2006/main">
                <a:srgbClr val="3E8EA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3"/>
            <spPr>
              <a:solidFill xmlns:a="http://schemas.openxmlformats.org/drawingml/2006/main">
                <a:srgbClr val="CD7C3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4"/>
            <spPr>
              <a:solidFill xmlns:a="http://schemas.openxmlformats.org/drawingml/2006/main">
                <a:srgbClr val="426B9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5"/>
            <spPr>
              <a:solidFill xmlns:a="http://schemas.openxmlformats.org/drawingml/2006/main">
                <a:srgbClr val="A0424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6"/>
            <spPr>
              <a:solidFill xmlns:a="http://schemas.openxmlformats.org/drawingml/2006/main">
                <a:srgbClr val="819C4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7"/>
            <spPr>
              <a:solidFill xmlns:a="http://schemas.openxmlformats.org/drawingml/2006/main">
                <a:srgbClr val="6B538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8"/>
            <spPr>
              <a:solidFill xmlns:a="http://schemas.openxmlformats.org/drawingml/2006/main">
                <a:srgbClr val="3E8FA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9"/>
            <spPr>
              <a:solidFill xmlns:a="http://schemas.openxmlformats.org/drawingml/2006/main">
                <a:srgbClr val="CE7D3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0"/>
            <spPr>
              <a:solidFill xmlns:a="http://schemas.openxmlformats.org/drawingml/2006/main">
                <a:srgbClr val="426C9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1"/>
            <spPr>
              <a:solidFill xmlns:a="http://schemas.openxmlformats.org/drawingml/2006/main">
                <a:srgbClr val="A1434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2"/>
            <spPr>
              <a:solidFill xmlns:a="http://schemas.openxmlformats.org/drawingml/2006/main">
                <a:srgbClr val="829D4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3"/>
            <spPr>
              <a:solidFill xmlns:a="http://schemas.openxmlformats.org/drawingml/2006/main">
                <a:srgbClr val="6B548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4"/>
            <spPr>
              <a:solidFill xmlns:a="http://schemas.openxmlformats.org/drawingml/2006/main">
                <a:srgbClr val="3F90A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5"/>
            <spPr>
              <a:solidFill xmlns:a="http://schemas.openxmlformats.org/drawingml/2006/main">
                <a:srgbClr val="CF7E3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6"/>
            <spPr>
              <a:solidFill xmlns:a="http://schemas.openxmlformats.org/drawingml/2006/main">
                <a:srgbClr val="426DA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7"/>
            <spPr>
              <a:solidFill xmlns:a="http://schemas.openxmlformats.org/drawingml/2006/main">
                <a:srgbClr val="A2434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8"/>
            <spPr>
              <a:solidFill xmlns:a="http://schemas.openxmlformats.org/drawingml/2006/main">
                <a:srgbClr val="839E4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9"/>
            <spPr>
              <a:solidFill xmlns:a="http://schemas.openxmlformats.org/drawingml/2006/main">
                <a:srgbClr val="6C548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0"/>
            <spPr>
              <a:solidFill xmlns:a="http://schemas.openxmlformats.org/drawingml/2006/main">
                <a:srgbClr val="3F91A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1"/>
            <spPr>
              <a:solidFill xmlns:a="http://schemas.openxmlformats.org/drawingml/2006/main">
                <a:srgbClr val="D17F3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2"/>
            <spPr>
              <a:solidFill xmlns:a="http://schemas.openxmlformats.org/drawingml/2006/main">
                <a:srgbClr val="436EA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3"/>
            <spPr>
              <a:solidFill xmlns:a="http://schemas.openxmlformats.org/drawingml/2006/main">
                <a:srgbClr val="A3444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4"/>
            <spPr>
              <a:solidFill xmlns:a="http://schemas.openxmlformats.org/drawingml/2006/main">
                <a:srgbClr val="849F4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5"/>
            <spPr>
              <a:solidFill xmlns:a="http://schemas.openxmlformats.org/drawingml/2006/main">
                <a:srgbClr val="6D558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6"/>
            <spPr>
              <a:solidFill xmlns:a="http://schemas.openxmlformats.org/drawingml/2006/main">
                <a:srgbClr val="3F92A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7"/>
            <spPr>
              <a:solidFill xmlns:a="http://schemas.openxmlformats.org/drawingml/2006/main">
                <a:srgbClr val="D27F3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8"/>
            <spPr>
              <a:solidFill xmlns:a="http://schemas.openxmlformats.org/drawingml/2006/main">
                <a:srgbClr val="436E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9"/>
            <spPr>
              <a:solidFill xmlns:a="http://schemas.openxmlformats.org/drawingml/2006/main">
                <a:srgbClr val="A4444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0"/>
            <spPr>
              <a:solidFill xmlns:a="http://schemas.openxmlformats.org/drawingml/2006/main">
                <a:srgbClr val="85A04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1"/>
            <spPr>
              <a:solidFill xmlns:a="http://schemas.openxmlformats.org/drawingml/2006/main">
                <a:srgbClr val="6D558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2"/>
            <spPr>
              <a:solidFill xmlns:a="http://schemas.openxmlformats.org/drawingml/2006/main">
                <a:srgbClr val="4093A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3"/>
            <spPr>
              <a:solidFill xmlns:a="http://schemas.openxmlformats.org/drawingml/2006/main">
                <a:srgbClr val="D4803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4"/>
            <spPr>
              <a:solidFill xmlns:a="http://schemas.openxmlformats.org/drawingml/2006/main">
                <a:srgbClr val="446FA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5"/>
            <spPr>
              <a:solidFill xmlns:a="http://schemas.openxmlformats.org/drawingml/2006/main">
                <a:srgbClr val="A5454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6"/>
            <spPr>
              <a:solidFill xmlns:a="http://schemas.openxmlformats.org/drawingml/2006/main">
                <a:srgbClr val="85A14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7"/>
            <spPr>
              <a:solidFill xmlns:a="http://schemas.openxmlformats.org/drawingml/2006/main">
                <a:srgbClr val="6E568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8"/>
            <spPr>
              <a:solidFill xmlns:a="http://schemas.openxmlformats.org/drawingml/2006/main">
                <a:srgbClr val="4094A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9"/>
            <spPr>
              <a:solidFill xmlns:a="http://schemas.openxmlformats.org/drawingml/2006/main">
                <a:srgbClr val="D5813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0"/>
            <spPr>
              <a:solidFill xmlns:a="http://schemas.openxmlformats.org/drawingml/2006/main">
                <a:srgbClr val="4470A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1"/>
            <spPr>
              <a:solidFill xmlns:a="http://schemas.openxmlformats.org/drawingml/2006/main">
                <a:srgbClr val="A6454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2"/>
            <spPr>
              <a:solidFill xmlns:a="http://schemas.openxmlformats.org/drawingml/2006/main">
                <a:srgbClr val="86A2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3"/>
            <spPr>
              <a:solidFill xmlns:a="http://schemas.openxmlformats.org/drawingml/2006/main">
                <a:srgbClr val="6F568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4"/>
            <spPr>
              <a:solidFill xmlns:a="http://schemas.openxmlformats.org/drawingml/2006/main">
                <a:srgbClr val="4195A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5"/>
            <spPr>
              <a:solidFill xmlns:a="http://schemas.openxmlformats.org/drawingml/2006/main">
                <a:srgbClr val="D6823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6"/>
            <spPr>
              <a:solidFill xmlns:a="http://schemas.openxmlformats.org/drawingml/2006/main">
                <a:srgbClr val="4570A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7"/>
            <spPr>
              <a:solidFill xmlns:a="http://schemas.openxmlformats.org/drawingml/2006/main">
                <a:srgbClr val="A7454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8"/>
            <spPr>
              <a:solidFill xmlns:a="http://schemas.openxmlformats.org/drawingml/2006/main">
                <a:srgbClr val="87A3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9"/>
            <spPr>
              <a:solidFill xmlns:a="http://schemas.openxmlformats.org/drawingml/2006/main">
                <a:srgbClr val="6F578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0"/>
            <spPr>
              <a:solidFill xmlns:a="http://schemas.openxmlformats.org/drawingml/2006/main">
                <a:srgbClr val="4196A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1"/>
            <spPr>
              <a:solidFill xmlns:a="http://schemas.openxmlformats.org/drawingml/2006/main">
                <a:srgbClr val="D8833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2"/>
            <spPr>
              <a:solidFill xmlns:a="http://schemas.openxmlformats.org/drawingml/2006/main">
                <a:srgbClr val="4571A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3"/>
            <spPr>
              <a:solidFill xmlns:a="http://schemas.openxmlformats.org/drawingml/2006/main">
                <a:srgbClr val="A9464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4"/>
            <spPr>
              <a:solidFill xmlns:a="http://schemas.openxmlformats.org/drawingml/2006/main">
                <a:srgbClr val="88A44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5"/>
            <spPr>
              <a:solidFill xmlns:a="http://schemas.openxmlformats.org/drawingml/2006/main">
                <a:srgbClr val="70588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6"/>
            <spPr>
              <a:solidFill xmlns:a="http://schemas.openxmlformats.org/drawingml/2006/main">
                <a:srgbClr val="4297A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7"/>
            <spPr>
              <a:solidFill xmlns:a="http://schemas.openxmlformats.org/drawingml/2006/main">
                <a:srgbClr val="D9843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8"/>
            <spPr>
              <a:solidFill xmlns:a="http://schemas.openxmlformats.org/drawingml/2006/main">
                <a:srgbClr val="4572A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9"/>
            <spPr>
              <a:solidFill xmlns:a="http://schemas.openxmlformats.org/drawingml/2006/main">
                <a:srgbClr val="AA46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0"/>
            <spPr>
              <a:solidFill xmlns:a="http://schemas.openxmlformats.org/drawingml/2006/main">
                <a:srgbClr val="89A54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1"/>
            <spPr>
              <a:solidFill xmlns:a="http://schemas.openxmlformats.org/drawingml/2006/main">
                <a:srgbClr val="71588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2"/>
            <spPr>
              <a:solidFill xmlns:a="http://schemas.openxmlformats.org/drawingml/2006/main">
                <a:srgbClr val="4298A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3"/>
            <spPr>
              <a:solidFill xmlns:a="http://schemas.openxmlformats.org/drawingml/2006/main">
                <a:srgbClr val="DA843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4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5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6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7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8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9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0"/>
            <spPr>
              <a:solidFill xmlns:a="http://schemas.openxmlformats.org/drawingml/2006/main">
                <a:srgbClr val="4673A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1"/>
            <spPr>
              <a:solidFill xmlns:a="http://schemas.openxmlformats.org/drawingml/2006/main">
                <a:srgbClr val="AC47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2"/>
            <spPr>
              <a:solidFill xmlns:a="http://schemas.openxmlformats.org/drawingml/2006/main">
                <a:srgbClr val="8AA74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3"/>
            <spPr>
              <a:solidFill xmlns:a="http://schemas.openxmlformats.org/drawingml/2006/main">
                <a:srgbClr val="72599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4"/>
            <spPr>
              <a:solidFill xmlns:a="http://schemas.openxmlformats.org/drawingml/2006/main">
                <a:srgbClr val="439AB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5"/>
            <spPr>
              <a:solidFill xmlns:a="http://schemas.openxmlformats.org/drawingml/2006/main">
                <a:srgbClr val="DD863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6"/>
            <spPr>
              <a:solidFill xmlns:a="http://schemas.openxmlformats.org/drawingml/2006/main">
                <a:srgbClr val="4774A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7"/>
            <spPr>
              <a:solidFill xmlns:a="http://schemas.openxmlformats.org/drawingml/2006/main">
                <a:srgbClr val="AD484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8"/>
            <spPr>
              <a:solidFill xmlns:a="http://schemas.openxmlformats.org/drawingml/2006/main">
                <a:srgbClr val="8BA85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9"/>
            <spPr>
              <a:solidFill xmlns:a="http://schemas.openxmlformats.org/drawingml/2006/main">
                <a:srgbClr val="735A9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0"/>
            <spPr>
              <a:solidFill xmlns:a="http://schemas.openxmlformats.org/drawingml/2006/main">
                <a:srgbClr val="439BB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1"/>
            <spPr>
              <a:solidFill xmlns:a="http://schemas.openxmlformats.org/drawingml/2006/main">
                <a:srgbClr val="DE873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2"/>
            <spPr>
              <a:solidFill xmlns:a="http://schemas.openxmlformats.org/drawingml/2006/main">
                <a:srgbClr val="4774A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3"/>
            <spPr>
              <a:solidFill xmlns:a="http://schemas.openxmlformats.org/drawingml/2006/main">
                <a:srgbClr val="AE484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4"/>
            <spPr>
              <a:solidFill xmlns:a="http://schemas.openxmlformats.org/drawingml/2006/main">
                <a:srgbClr val="8CA95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5"/>
            <spPr>
              <a:solidFill xmlns:a="http://schemas.openxmlformats.org/drawingml/2006/main">
                <a:srgbClr val="745A9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6"/>
            <spPr>
              <a:solidFill xmlns:a="http://schemas.openxmlformats.org/drawingml/2006/main">
                <a:srgbClr val="439BB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7"/>
            <spPr>
              <a:solidFill xmlns:a="http://schemas.openxmlformats.org/drawingml/2006/main">
                <a:srgbClr val="DF873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8"/>
            <spPr>
              <a:solidFill xmlns:a="http://schemas.openxmlformats.org/drawingml/2006/main">
                <a:srgbClr val="4875A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9"/>
            <spPr>
              <a:solidFill xmlns:a="http://schemas.openxmlformats.org/drawingml/2006/main">
                <a:srgbClr val="AF484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0"/>
            <spPr>
              <a:solidFill xmlns:a="http://schemas.openxmlformats.org/drawingml/2006/main">
                <a:srgbClr val="8DAA5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1"/>
            <spPr>
              <a:solidFill xmlns:a="http://schemas.openxmlformats.org/drawingml/2006/main">
                <a:srgbClr val="745B9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2"/>
            <spPr>
              <a:solidFill xmlns:a="http://schemas.openxmlformats.org/drawingml/2006/main">
                <a:srgbClr val="449CB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3"/>
            <spPr>
              <a:solidFill xmlns:a="http://schemas.openxmlformats.org/drawingml/2006/main">
                <a:srgbClr val="E1883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4"/>
            <spPr>
              <a:solidFill xmlns:a="http://schemas.openxmlformats.org/drawingml/2006/main">
                <a:srgbClr val="4876A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5"/>
            <spPr>
              <a:solidFill xmlns:a="http://schemas.openxmlformats.org/drawingml/2006/main">
                <a:srgbClr val="AF494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6"/>
            <spPr>
              <a:solidFill xmlns:a="http://schemas.openxmlformats.org/drawingml/2006/main">
                <a:srgbClr val="8EAB5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7"/>
            <spPr>
              <a:solidFill xmlns:a="http://schemas.openxmlformats.org/drawingml/2006/main">
                <a:srgbClr val="755B9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8"/>
            <spPr>
              <a:solidFill xmlns:a="http://schemas.openxmlformats.org/drawingml/2006/main">
                <a:srgbClr val="449DB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9"/>
            <spPr>
              <a:solidFill xmlns:a="http://schemas.openxmlformats.org/drawingml/2006/main">
                <a:srgbClr val="E2894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0"/>
            <spPr>
              <a:solidFill xmlns:a="http://schemas.openxmlformats.org/drawingml/2006/main">
                <a:srgbClr val="4876A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1"/>
            <spPr>
              <a:solidFill xmlns:a="http://schemas.openxmlformats.org/drawingml/2006/main">
                <a:srgbClr val="B0494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2"/>
            <spPr>
              <a:solidFill xmlns:a="http://schemas.openxmlformats.org/drawingml/2006/main">
                <a:srgbClr val="8EAC5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3"/>
            <spPr>
              <a:solidFill xmlns:a="http://schemas.openxmlformats.org/drawingml/2006/main">
                <a:srgbClr val="755C9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4"/>
            <spPr>
              <a:solidFill xmlns:a="http://schemas.openxmlformats.org/drawingml/2006/main">
                <a:srgbClr val="459EB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5"/>
            <spPr>
              <a:solidFill xmlns:a="http://schemas.openxmlformats.org/drawingml/2006/main">
                <a:srgbClr val="E38A4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6"/>
            <spPr>
              <a:solidFill xmlns:a="http://schemas.openxmlformats.org/drawingml/2006/main">
                <a:srgbClr val="4977A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7"/>
            <spPr>
              <a:solidFill xmlns:a="http://schemas.openxmlformats.org/drawingml/2006/main">
                <a:srgbClr val="B14A4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8"/>
            <spPr>
              <a:solidFill xmlns:a="http://schemas.openxmlformats.org/drawingml/2006/main">
                <a:srgbClr val="8FAD5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9"/>
            <spPr>
              <a:solidFill xmlns:a="http://schemas.openxmlformats.org/drawingml/2006/main">
                <a:srgbClr val="765C9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0"/>
            <spPr>
              <a:solidFill xmlns:a="http://schemas.openxmlformats.org/drawingml/2006/main">
                <a:srgbClr val="459FB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1"/>
            <spPr>
              <a:solidFill xmlns:a="http://schemas.openxmlformats.org/drawingml/2006/main">
                <a:srgbClr val="E48A4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2"/>
            <spPr>
              <a:solidFill xmlns:a="http://schemas.openxmlformats.org/drawingml/2006/main">
                <a:srgbClr val="4978B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3"/>
            <spPr>
              <a:solidFill xmlns:a="http://schemas.openxmlformats.org/drawingml/2006/main">
                <a:srgbClr val="B24A4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4"/>
            <spPr>
              <a:solidFill xmlns:a="http://schemas.openxmlformats.org/drawingml/2006/main">
                <a:srgbClr val="90AE5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5"/>
            <spPr>
              <a:solidFill xmlns:a="http://schemas.openxmlformats.org/drawingml/2006/main">
                <a:srgbClr val="775D9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6"/>
            <spPr>
              <a:solidFill xmlns:a="http://schemas.openxmlformats.org/drawingml/2006/main">
                <a:srgbClr val="45A0B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7"/>
            <spPr>
              <a:solidFill xmlns:a="http://schemas.openxmlformats.org/drawingml/2006/main">
                <a:srgbClr val="E68B4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8"/>
            <spPr>
              <a:solidFill xmlns:a="http://schemas.openxmlformats.org/drawingml/2006/main">
                <a:srgbClr val="4978B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9"/>
            <spPr>
              <a:solidFill xmlns:a="http://schemas.openxmlformats.org/drawingml/2006/main">
                <a:srgbClr val="B34A4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0"/>
            <spPr>
              <a:solidFill xmlns:a="http://schemas.openxmlformats.org/drawingml/2006/main">
                <a:srgbClr val="91AF5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1"/>
            <spPr>
              <a:solidFill xmlns:a="http://schemas.openxmlformats.org/drawingml/2006/main">
                <a:srgbClr val="775D9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2"/>
            <spPr>
              <a:solidFill xmlns:a="http://schemas.openxmlformats.org/drawingml/2006/main">
                <a:srgbClr val="46A1B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3"/>
            <spPr>
              <a:solidFill xmlns:a="http://schemas.openxmlformats.org/drawingml/2006/main">
                <a:srgbClr val="E78C4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4"/>
            <spPr>
              <a:solidFill xmlns:a="http://schemas.openxmlformats.org/drawingml/2006/main">
                <a:srgbClr val="4A79B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5"/>
            <spPr>
              <a:solidFill xmlns:a="http://schemas.openxmlformats.org/drawingml/2006/main">
                <a:srgbClr val="B44B4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6"/>
            <spPr>
              <a:solidFill xmlns:a="http://schemas.openxmlformats.org/drawingml/2006/main">
                <a:srgbClr val="91B05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7"/>
            <spPr>
              <a:solidFill xmlns:a="http://schemas.openxmlformats.org/drawingml/2006/main">
                <a:srgbClr val="785E9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8"/>
            <spPr>
              <a:solidFill xmlns:a="http://schemas.openxmlformats.org/drawingml/2006/main">
                <a:srgbClr val="46A1B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9"/>
            <spPr>
              <a:solidFill xmlns:a="http://schemas.openxmlformats.org/drawingml/2006/main">
                <a:srgbClr val="E88D4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0"/>
            <spPr>
              <a:solidFill xmlns:a="http://schemas.openxmlformats.org/drawingml/2006/main">
                <a:srgbClr val="4A7AB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1"/>
            <spPr>
              <a:solidFill xmlns:a="http://schemas.openxmlformats.org/drawingml/2006/main">
                <a:srgbClr val="B54B4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2"/>
            <spPr>
              <a:solidFill xmlns:a="http://schemas.openxmlformats.org/drawingml/2006/main">
                <a:srgbClr val="92B05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3"/>
            <spPr>
              <a:solidFill xmlns:a="http://schemas.openxmlformats.org/drawingml/2006/main">
                <a:srgbClr val="795E9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4"/>
            <spPr>
              <a:solidFill xmlns:a="http://schemas.openxmlformats.org/drawingml/2006/main">
                <a:srgbClr val="46A2B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5"/>
            <spPr>
              <a:solidFill xmlns:a="http://schemas.openxmlformats.org/drawingml/2006/main">
                <a:srgbClr val="E98D4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6"/>
            <spPr>
              <a:solidFill xmlns:a="http://schemas.openxmlformats.org/drawingml/2006/main">
                <a:srgbClr val="4B7AB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7"/>
            <spPr>
              <a:solidFill xmlns:a="http://schemas.openxmlformats.org/drawingml/2006/main">
                <a:srgbClr val="B64C4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8"/>
            <spPr>
              <a:solidFill xmlns:a="http://schemas.openxmlformats.org/drawingml/2006/main">
                <a:srgbClr val="93B15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9"/>
            <spPr>
              <a:solidFill xmlns:a="http://schemas.openxmlformats.org/drawingml/2006/main">
                <a:srgbClr val="795F9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0"/>
            <spPr>
              <a:solidFill xmlns:a="http://schemas.openxmlformats.org/drawingml/2006/main">
                <a:srgbClr val="47A3B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1"/>
            <spPr>
              <a:solidFill xmlns:a="http://schemas.openxmlformats.org/drawingml/2006/main">
                <a:srgbClr val="EA8E4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2"/>
            <spPr>
              <a:solidFill xmlns:a="http://schemas.openxmlformats.org/drawingml/2006/main">
                <a:srgbClr val="4B7BB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3"/>
            <spPr>
              <a:solidFill xmlns:a="http://schemas.openxmlformats.org/drawingml/2006/main">
                <a:srgbClr val="B74C4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4"/>
            <spPr>
              <a:solidFill xmlns:a="http://schemas.openxmlformats.org/drawingml/2006/main">
                <a:srgbClr val="94B25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5"/>
            <spPr>
              <a:solidFill xmlns:a="http://schemas.openxmlformats.org/drawingml/2006/main">
                <a:srgbClr val="7A5F9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6"/>
            <spPr>
              <a:solidFill xmlns:a="http://schemas.openxmlformats.org/drawingml/2006/main">
                <a:srgbClr val="47A4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7"/>
            <spPr>
              <a:solidFill xmlns:a="http://schemas.openxmlformats.org/drawingml/2006/main">
                <a:srgbClr val="EC8F4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8"/>
            <spPr>
              <a:solidFill xmlns:a="http://schemas.openxmlformats.org/drawingml/2006/main">
                <a:srgbClr val="4B7BB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9"/>
            <spPr>
              <a:solidFill xmlns:a="http://schemas.openxmlformats.org/drawingml/2006/main">
                <a:srgbClr val="B84C4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0"/>
            <spPr>
              <a:solidFill xmlns:a="http://schemas.openxmlformats.org/drawingml/2006/main">
                <a:srgbClr val="94B35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1"/>
            <spPr>
              <a:solidFill xmlns:a="http://schemas.openxmlformats.org/drawingml/2006/main">
                <a:srgbClr val="7A609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2"/>
            <spPr>
              <a:solidFill xmlns:a="http://schemas.openxmlformats.org/drawingml/2006/main">
                <a:srgbClr val="48A5B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3"/>
            <spPr>
              <a:solidFill xmlns:a="http://schemas.openxmlformats.org/drawingml/2006/main">
                <a:srgbClr val="ED904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4"/>
            <spPr>
              <a:solidFill xmlns:a="http://schemas.openxmlformats.org/drawingml/2006/main">
                <a:srgbClr val="4C7CB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5"/>
            <spPr>
              <a:solidFill xmlns:a="http://schemas.openxmlformats.org/drawingml/2006/main">
                <a:srgbClr val="B94D4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6"/>
            <spPr>
              <a:solidFill xmlns:a="http://schemas.openxmlformats.org/drawingml/2006/main">
                <a:srgbClr val="95B45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7"/>
            <spPr>
              <a:solidFill xmlns:a="http://schemas.openxmlformats.org/drawingml/2006/main">
                <a:srgbClr val="7B609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8"/>
            <spPr>
              <a:solidFill xmlns:a="http://schemas.openxmlformats.org/drawingml/2006/main">
                <a:srgbClr val="48A6B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9"/>
            <spPr>
              <a:solidFill xmlns:a="http://schemas.openxmlformats.org/drawingml/2006/main">
                <a:srgbClr val="EE904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0"/>
            <spPr>
              <a:solidFill xmlns:a="http://schemas.openxmlformats.org/drawingml/2006/main">
                <a:srgbClr val="4C7DB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1"/>
            <spPr>
              <a:solidFill xmlns:a="http://schemas.openxmlformats.org/drawingml/2006/main">
                <a:srgbClr val="BA4D4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2"/>
            <spPr>
              <a:solidFill xmlns:a="http://schemas.openxmlformats.org/drawingml/2006/main">
                <a:srgbClr val="96B55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3"/>
            <spPr>
              <a:solidFill xmlns:a="http://schemas.openxmlformats.org/drawingml/2006/main">
                <a:srgbClr val="7C619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4"/>
            <spPr>
              <a:solidFill xmlns:a="http://schemas.openxmlformats.org/drawingml/2006/main">
                <a:srgbClr val="48A6C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5"/>
            <spPr>
              <a:solidFill xmlns:a="http://schemas.openxmlformats.org/drawingml/2006/main">
                <a:srgbClr val="EF914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6"/>
            <spPr>
              <a:solidFill xmlns:a="http://schemas.openxmlformats.org/drawingml/2006/main">
                <a:srgbClr val="4D7DB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7"/>
            <spPr>
              <a:solidFill xmlns:a="http://schemas.openxmlformats.org/drawingml/2006/main">
                <a:srgbClr val="BB4D4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8"/>
            <spPr>
              <a:solidFill xmlns:a="http://schemas.openxmlformats.org/drawingml/2006/main">
                <a:srgbClr val="97B65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9"/>
            <spPr>
              <a:solidFill xmlns:a="http://schemas.openxmlformats.org/drawingml/2006/main">
                <a:srgbClr val="7C619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0"/>
            <spPr>
              <a:solidFill xmlns:a="http://schemas.openxmlformats.org/drawingml/2006/main">
                <a:srgbClr val="49A7C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1"/>
            <spPr>
              <a:solidFill xmlns:a="http://schemas.openxmlformats.org/drawingml/2006/main">
                <a:srgbClr val="F092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2"/>
            <spPr>
              <a:solidFill xmlns:a="http://schemas.openxmlformats.org/drawingml/2006/main">
                <a:srgbClr val="4D7EB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3"/>
            <spPr>
              <a:solidFill xmlns:a="http://schemas.openxmlformats.org/drawingml/2006/main">
                <a:srgbClr val="BC4E4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4"/>
            <spPr>
              <a:solidFill xmlns:a="http://schemas.openxmlformats.org/drawingml/2006/main">
                <a:srgbClr val="97B75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5"/>
            <spPr>
              <a:solidFill xmlns:a="http://schemas.openxmlformats.org/drawingml/2006/main">
                <a:srgbClr val="7D619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6"/>
            <spPr>
              <a:solidFill xmlns:a="http://schemas.openxmlformats.org/drawingml/2006/main">
                <a:srgbClr val="49A8C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7"/>
            <spPr>
              <a:solidFill xmlns:a="http://schemas.openxmlformats.org/drawingml/2006/main">
                <a:srgbClr val="F192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8"/>
            <spPr>
              <a:solidFill xmlns:a="http://schemas.openxmlformats.org/drawingml/2006/main">
                <a:srgbClr val="4D7EB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9"/>
            <spPr>
              <a:solidFill xmlns:a="http://schemas.openxmlformats.org/drawingml/2006/main">
                <a:srgbClr val="BC4E4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0"/>
            <spPr>
              <a:solidFill xmlns:a="http://schemas.openxmlformats.org/drawingml/2006/main">
                <a:srgbClr val="98B85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1"/>
            <spPr>
              <a:solidFill xmlns:a="http://schemas.openxmlformats.org/drawingml/2006/main">
                <a:srgbClr val="7D629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2"/>
            <spPr>
              <a:solidFill xmlns:a="http://schemas.openxmlformats.org/drawingml/2006/main">
                <a:srgbClr val="49A9C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3"/>
            <spPr>
              <a:solidFill xmlns:a="http://schemas.openxmlformats.org/drawingml/2006/main">
                <a:srgbClr val="F393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4"/>
            <spPr>
              <a:solidFill xmlns:a="http://schemas.openxmlformats.org/drawingml/2006/main">
                <a:srgbClr val="4E7FB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5"/>
            <spPr>
              <a:solidFill xmlns:a="http://schemas.openxmlformats.org/drawingml/2006/main">
                <a:srgbClr val="BD4F4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6"/>
            <spPr>
              <a:solidFill xmlns:a="http://schemas.openxmlformats.org/drawingml/2006/main">
                <a:srgbClr val="99B85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7"/>
            <spPr>
              <a:solidFill xmlns:a="http://schemas.openxmlformats.org/drawingml/2006/main">
                <a:srgbClr val="7E62A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8"/>
            <spPr>
              <a:solidFill xmlns:a="http://schemas.openxmlformats.org/drawingml/2006/main">
                <a:srgbClr val="4AAAC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9"/>
            <spPr>
              <a:solidFill xmlns:a="http://schemas.openxmlformats.org/drawingml/2006/main">
                <a:srgbClr val="F4944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0"/>
            <spPr>
              <a:solidFill xmlns:a="http://schemas.openxmlformats.org/drawingml/2006/main">
                <a:srgbClr val="4E80B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1"/>
            <spPr>
              <a:solidFill xmlns:a="http://schemas.openxmlformats.org/drawingml/2006/main">
                <a:srgbClr val="BE4F4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2"/>
            <spPr>
              <a:solidFill xmlns:a="http://schemas.openxmlformats.org/drawingml/2006/main">
                <a:srgbClr val="99B95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3"/>
            <spPr>
              <a:solidFill xmlns:a="http://schemas.openxmlformats.org/drawingml/2006/main">
                <a:srgbClr val="7F63A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4"/>
            <spPr>
              <a:solidFill xmlns:a="http://schemas.openxmlformats.org/drawingml/2006/main">
                <a:srgbClr val="4AAAC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5"/>
            <spPr>
              <a:solidFill xmlns:a="http://schemas.openxmlformats.org/drawingml/2006/main">
                <a:srgbClr val="F5944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6"/>
            <spPr>
              <a:solidFill xmlns:a="http://schemas.openxmlformats.org/drawingml/2006/main">
                <a:srgbClr val="4E80B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7"/>
            <spPr>
              <a:solidFill xmlns:a="http://schemas.openxmlformats.org/drawingml/2006/main">
                <a:srgbClr val="BF4F4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8"/>
            <spPr>
              <a:solidFill xmlns:a="http://schemas.openxmlformats.org/drawingml/2006/main">
                <a:srgbClr val="9ABA5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9"/>
            <spPr>
              <a:solidFill xmlns:a="http://schemas.openxmlformats.org/drawingml/2006/main">
                <a:srgbClr val="7F63A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0"/>
            <spPr>
              <a:solidFill xmlns:a="http://schemas.openxmlformats.org/drawingml/2006/main">
                <a:srgbClr val="4AABC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1"/>
            <spPr>
              <a:solidFill xmlns:a="http://schemas.openxmlformats.org/drawingml/2006/main">
                <a:srgbClr val="F6954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2"/>
            <spPr>
              <a:solidFill xmlns:a="http://schemas.openxmlformats.org/drawingml/2006/main">
                <a:srgbClr val="5182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3"/>
            <spPr>
              <a:solidFill xmlns:a="http://schemas.openxmlformats.org/drawingml/2006/main">
                <a:srgbClr val="C0524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4"/>
            <spPr>
              <a:solidFill xmlns:a="http://schemas.openxmlformats.org/drawingml/2006/main">
                <a:srgbClr val="9BBB5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5"/>
            <spPr>
              <a:solidFill xmlns:a="http://schemas.openxmlformats.org/drawingml/2006/main">
                <a:srgbClr val="8165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6"/>
            <spPr>
              <a:solidFill xmlns:a="http://schemas.openxmlformats.org/drawingml/2006/main">
                <a:srgbClr val="4DACC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7"/>
            <spPr>
              <a:solidFill xmlns:a="http://schemas.openxmlformats.org/drawingml/2006/main">
                <a:srgbClr val="F7964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8"/>
            <spPr>
              <a:solidFill xmlns:a="http://schemas.openxmlformats.org/drawingml/2006/main">
                <a:srgbClr val="5584B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9"/>
            <spPr>
              <a:solidFill xmlns:a="http://schemas.openxmlformats.org/drawingml/2006/main">
                <a:srgbClr val="C1565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0"/>
            <spPr>
              <a:solidFill xmlns:a="http://schemas.openxmlformats.org/drawingml/2006/main">
                <a:srgbClr val="9DBC5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1"/>
            <spPr>
              <a:solidFill xmlns:a="http://schemas.openxmlformats.org/drawingml/2006/main">
                <a:srgbClr val="8368A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2"/>
            <spPr>
              <a:solidFill xmlns:a="http://schemas.openxmlformats.org/drawingml/2006/main">
                <a:srgbClr val="52ADC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3"/>
            <spPr>
              <a:solidFill xmlns:a="http://schemas.openxmlformats.org/drawingml/2006/main">
                <a:srgbClr val="F7984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4"/>
            <spPr>
              <a:solidFill xmlns:a="http://schemas.openxmlformats.org/drawingml/2006/main">
                <a:srgbClr val="5A86B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5"/>
            <spPr>
              <a:solidFill xmlns:a="http://schemas.openxmlformats.org/drawingml/2006/main">
                <a:srgbClr val="C15B5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6"/>
            <spPr>
              <a:solidFill xmlns:a="http://schemas.openxmlformats.org/drawingml/2006/main">
                <a:srgbClr val="9EBD6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7"/>
            <spPr>
              <a:solidFill xmlns:a="http://schemas.openxmlformats.org/drawingml/2006/main">
                <a:srgbClr val="856CA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8"/>
            <spPr>
              <a:solidFill xmlns:a="http://schemas.openxmlformats.org/drawingml/2006/main">
                <a:srgbClr val="56AEC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9"/>
            <spPr>
              <a:solidFill xmlns:a="http://schemas.openxmlformats.org/drawingml/2006/main">
                <a:srgbClr val="F7995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0"/>
            <spPr>
              <a:solidFill xmlns:a="http://schemas.openxmlformats.org/drawingml/2006/main">
                <a:srgbClr val="5E88B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1"/>
            <spPr>
              <a:solidFill xmlns:a="http://schemas.openxmlformats.org/drawingml/2006/main">
                <a:srgbClr val="C25F5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2"/>
            <spPr>
              <a:solidFill xmlns:a="http://schemas.openxmlformats.org/drawingml/2006/main">
                <a:srgbClr val="A0BE6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3"/>
            <spPr>
              <a:solidFill xmlns:a="http://schemas.openxmlformats.org/drawingml/2006/main">
                <a:srgbClr val="876FA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4"/>
            <spPr>
              <a:solidFill xmlns:a="http://schemas.openxmlformats.org/drawingml/2006/main">
                <a:srgbClr val="5BAFC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5"/>
            <spPr>
              <a:solidFill xmlns:a="http://schemas.openxmlformats.org/drawingml/2006/main">
                <a:srgbClr val="F79B5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6"/>
            <spPr>
              <a:solidFill xmlns:a="http://schemas.openxmlformats.org/drawingml/2006/main">
                <a:srgbClr val="628AC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7"/>
            <spPr>
              <a:solidFill xmlns:a="http://schemas.openxmlformats.org/drawingml/2006/main">
                <a:srgbClr val="C3626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8"/>
            <spPr>
              <a:solidFill xmlns:a="http://schemas.openxmlformats.org/drawingml/2006/main">
                <a:srgbClr val="A1BE6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9"/>
            <spPr>
              <a:solidFill xmlns:a="http://schemas.openxmlformats.org/drawingml/2006/main">
                <a:srgbClr val="8972A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0"/>
            <spPr>
              <a:solidFill xmlns:a="http://schemas.openxmlformats.org/drawingml/2006/main">
                <a:srgbClr val="5FB1C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1"/>
            <spPr>
              <a:solidFill xmlns:a="http://schemas.openxmlformats.org/drawingml/2006/main">
                <a:srgbClr val="F79D5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2"/>
            <spPr>
              <a:solidFill xmlns:a="http://schemas.openxmlformats.org/drawingml/2006/main">
                <a:srgbClr val="658CC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3"/>
            <spPr>
              <a:solidFill xmlns:a="http://schemas.openxmlformats.org/drawingml/2006/main">
                <a:srgbClr val="C4666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4"/>
            <spPr>
              <a:solidFill xmlns:a="http://schemas.openxmlformats.org/drawingml/2006/main">
                <a:srgbClr val="A2BF6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5"/>
            <spPr>
              <a:solidFill xmlns:a="http://schemas.openxmlformats.org/drawingml/2006/main">
                <a:srgbClr val="8B74A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6"/>
            <spPr>
              <a:solidFill xmlns:a="http://schemas.openxmlformats.org/drawingml/2006/main">
                <a:srgbClr val="63B2C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7"/>
            <spPr>
              <a:solidFill xmlns:a="http://schemas.openxmlformats.org/drawingml/2006/main">
                <a:srgbClr val="F79E5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8"/>
            <spPr>
              <a:solidFill xmlns:a="http://schemas.openxmlformats.org/drawingml/2006/main">
                <a:srgbClr val="698EC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9"/>
            <spPr>
              <a:solidFill xmlns:a="http://schemas.openxmlformats.org/drawingml/2006/main">
                <a:srgbClr val="C5696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0"/>
            <spPr>
              <a:solidFill xmlns:a="http://schemas.openxmlformats.org/drawingml/2006/main">
                <a:srgbClr val="A4C06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1"/>
            <spPr>
              <a:solidFill xmlns:a="http://schemas.openxmlformats.org/drawingml/2006/main">
                <a:srgbClr val="8D77A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2"/>
            <spPr>
              <a:solidFill xmlns:a="http://schemas.openxmlformats.org/drawingml/2006/main">
                <a:srgbClr val="66B3C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3"/>
            <spPr>
              <a:solidFill xmlns:a="http://schemas.openxmlformats.org/drawingml/2006/main">
                <a:srgbClr val="F7A06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4"/>
            <spPr>
              <a:solidFill xmlns:a="http://schemas.openxmlformats.org/drawingml/2006/main">
                <a:srgbClr val="6C90C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5"/>
            <spPr>
              <a:solidFill xmlns:a="http://schemas.openxmlformats.org/drawingml/2006/main">
                <a:srgbClr val="C56D6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6"/>
            <spPr>
              <a:solidFill xmlns:a="http://schemas.openxmlformats.org/drawingml/2006/main">
                <a:srgbClr val="A5C17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7"/>
            <spPr>
              <a:solidFill xmlns:a="http://schemas.openxmlformats.org/drawingml/2006/main">
                <a:srgbClr val="8F7AA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8"/>
            <spPr>
              <a:solidFill xmlns:a="http://schemas.openxmlformats.org/drawingml/2006/main">
                <a:srgbClr val="6AB4C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9"/>
            <spPr>
              <a:solidFill xmlns:a="http://schemas.openxmlformats.org/drawingml/2006/main">
                <a:srgbClr val="F7A16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0"/>
            <spPr>
              <a:solidFill xmlns:a="http://schemas.openxmlformats.org/drawingml/2006/main">
                <a:srgbClr val="6F92C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1"/>
            <spPr>
              <a:solidFill xmlns:a="http://schemas.openxmlformats.org/drawingml/2006/main">
                <a:srgbClr val="C6706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2"/>
            <spPr>
              <a:solidFill xmlns:a="http://schemas.openxmlformats.org/drawingml/2006/main">
                <a:srgbClr val="A7C27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3"/>
            <spPr>
              <a:solidFill xmlns:a="http://schemas.openxmlformats.org/drawingml/2006/main">
                <a:srgbClr val="917DA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4"/>
            <spPr>
              <a:solidFill xmlns:a="http://schemas.openxmlformats.org/drawingml/2006/main">
                <a:srgbClr val="6DB5C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5"/>
            <spPr>
              <a:solidFill xmlns:a="http://schemas.openxmlformats.org/drawingml/2006/main">
                <a:srgbClr val="F7A26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6"/>
            <spPr>
              <a:solidFill xmlns:a="http://schemas.openxmlformats.org/drawingml/2006/main">
                <a:srgbClr val="7294C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7"/>
            <spPr>
              <a:solidFill xmlns:a="http://schemas.openxmlformats.org/drawingml/2006/main">
                <a:srgbClr val="C7737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8"/>
            <spPr>
              <a:solidFill xmlns:a="http://schemas.openxmlformats.org/drawingml/2006/main">
                <a:srgbClr val="A8C37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9"/>
            <spPr>
              <a:solidFill xmlns:a="http://schemas.openxmlformats.org/drawingml/2006/main">
                <a:srgbClr val="937FA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0"/>
            <spPr>
              <a:solidFill xmlns:a="http://schemas.openxmlformats.org/drawingml/2006/main">
                <a:srgbClr val="70B6C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1"/>
            <spPr>
              <a:solidFill xmlns:a="http://schemas.openxmlformats.org/drawingml/2006/main">
                <a:srgbClr val="F7A46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2"/>
            <spPr>
              <a:solidFill xmlns:a="http://schemas.openxmlformats.org/drawingml/2006/main">
                <a:srgbClr val="7595C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3"/>
            <spPr>
              <a:solidFill xmlns:a="http://schemas.openxmlformats.org/drawingml/2006/main">
                <a:srgbClr val="C8767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4"/>
            <spPr>
              <a:solidFill xmlns:a="http://schemas.openxmlformats.org/drawingml/2006/main">
                <a:srgbClr val="A9C37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5"/>
            <spPr>
              <a:solidFill xmlns:a="http://schemas.openxmlformats.org/drawingml/2006/main">
                <a:srgbClr val="9582A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6"/>
            <spPr>
              <a:solidFill xmlns:a="http://schemas.openxmlformats.org/drawingml/2006/main">
                <a:srgbClr val="73B7C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7"/>
            <spPr>
              <a:solidFill xmlns:a="http://schemas.openxmlformats.org/drawingml/2006/main">
                <a:srgbClr val="F7A57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8"/>
            <spPr>
              <a:solidFill xmlns:a="http://schemas.openxmlformats.org/drawingml/2006/main">
                <a:srgbClr val="7897C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9"/>
            <spPr>
              <a:solidFill xmlns:a="http://schemas.openxmlformats.org/drawingml/2006/main">
                <a:srgbClr val="C8797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0"/>
            <spPr>
              <a:solidFill xmlns:a="http://schemas.openxmlformats.org/drawingml/2006/main">
                <a:srgbClr val="ABC47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1"/>
            <spPr>
              <a:solidFill xmlns:a="http://schemas.openxmlformats.org/drawingml/2006/main">
                <a:srgbClr val="9784B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2"/>
            <spPr>
              <a:solidFill xmlns:a="http://schemas.openxmlformats.org/drawingml/2006/main">
                <a:srgbClr val="76B8C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3"/>
            <spPr>
              <a:solidFill xmlns:a="http://schemas.openxmlformats.org/drawingml/2006/main">
                <a:srgbClr val="F7A77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4"/>
            <spPr>
              <a:solidFill xmlns:a="http://schemas.openxmlformats.org/drawingml/2006/main">
                <a:srgbClr val="7B99C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5"/>
            <spPr>
              <a:solidFill xmlns:a="http://schemas.openxmlformats.org/drawingml/2006/main">
                <a:srgbClr val="C97B7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6"/>
            <spPr>
              <a:solidFill xmlns:a="http://schemas.openxmlformats.org/drawingml/2006/main">
                <a:srgbClr val="ACC58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7"/>
            <spPr>
              <a:solidFill xmlns:a="http://schemas.openxmlformats.org/drawingml/2006/main">
                <a:srgbClr val="9886B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8"/>
            <spPr>
              <a:solidFill xmlns:a="http://schemas.openxmlformats.org/drawingml/2006/main">
                <a:srgbClr val="79B9C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9"/>
            <spPr>
              <a:solidFill xmlns:a="http://schemas.openxmlformats.org/drawingml/2006/main">
                <a:srgbClr val="F8A87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0"/>
            <spPr>
              <a:solidFill xmlns:a="http://schemas.openxmlformats.org/drawingml/2006/main">
                <a:srgbClr val="7E9BC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1"/>
            <spPr>
              <a:solidFill xmlns:a="http://schemas.openxmlformats.org/drawingml/2006/main">
                <a:srgbClr val="CA7E7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2"/>
            <spPr>
              <a:solidFill xmlns:a="http://schemas.openxmlformats.org/drawingml/2006/main">
                <a:srgbClr val="ADC68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3"/>
            <spPr>
              <a:solidFill xmlns:a="http://schemas.openxmlformats.org/drawingml/2006/main">
                <a:srgbClr val="9A89B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4"/>
            <spPr>
              <a:solidFill xmlns:a="http://schemas.openxmlformats.org/drawingml/2006/main">
                <a:srgbClr val="7CBAC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5"/>
            <spPr>
              <a:solidFill xmlns:a="http://schemas.openxmlformats.org/drawingml/2006/main">
                <a:srgbClr val="F8AA7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6"/>
            <spPr>
              <a:solidFill xmlns:a="http://schemas.openxmlformats.org/drawingml/2006/main">
                <a:srgbClr val="809CC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7"/>
            <spPr>
              <a:solidFill xmlns:a="http://schemas.openxmlformats.org/drawingml/2006/main">
                <a:srgbClr val="CB817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8"/>
            <spPr>
              <a:solidFill xmlns:a="http://schemas.openxmlformats.org/drawingml/2006/main">
                <a:srgbClr val="AFC78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9"/>
            <spPr>
              <a:solidFill xmlns:a="http://schemas.openxmlformats.org/drawingml/2006/main">
                <a:srgbClr val="9C8BB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0"/>
            <spPr>
              <a:solidFill xmlns:a="http://schemas.openxmlformats.org/drawingml/2006/main">
                <a:srgbClr val="7FBBC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1"/>
            <spPr>
              <a:solidFill xmlns:a="http://schemas.openxmlformats.org/drawingml/2006/main">
                <a:srgbClr val="F8AB7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2"/>
            <spPr>
              <a:solidFill xmlns:a="http://schemas.openxmlformats.org/drawingml/2006/main">
                <a:srgbClr val="839EC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3"/>
            <spPr>
              <a:solidFill xmlns:a="http://schemas.openxmlformats.org/drawingml/2006/main">
                <a:srgbClr val="CB838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4"/>
            <spPr>
              <a:solidFill xmlns:a="http://schemas.openxmlformats.org/drawingml/2006/main">
                <a:srgbClr val="B0C88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5"/>
            <spPr>
              <a:solidFill xmlns:a="http://schemas.openxmlformats.org/drawingml/2006/main">
                <a:srgbClr val="9E8DB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6"/>
            <spPr>
              <a:solidFill xmlns:a="http://schemas.openxmlformats.org/drawingml/2006/main">
                <a:srgbClr val="81BCD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7"/>
            <spPr>
              <a:solidFill xmlns:a="http://schemas.openxmlformats.org/drawingml/2006/main">
                <a:srgbClr val="F8AC7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8"/>
            <spPr>
              <a:solidFill xmlns:a="http://schemas.openxmlformats.org/drawingml/2006/main">
                <a:srgbClr val="85A0C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9"/>
            <spPr>
              <a:solidFill xmlns:a="http://schemas.openxmlformats.org/drawingml/2006/main">
                <a:srgbClr val="CC868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0"/>
            <spPr>
              <a:solidFill xmlns:a="http://schemas.openxmlformats.org/drawingml/2006/main">
                <a:srgbClr val="B1C88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1"/>
            <spPr>
              <a:solidFill xmlns:a="http://schemas.openxmlformats.org/drawingml/2006/main">
                <a:srgbClr val="9F8FB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2"/>
            <spPr>
              <a:solidFill xmlns:a="http://schemas.openxmlformats.org/drawingml/2006/main">
                <a:srgbClr val="84BDD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3"/>
            <spPr>
              <a:solidFill xmlns:a="http://schemas.openxmlformats.org/drawingml/2006/main">
                <a:srgbClr val="F8AE8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4"/>
            <spPr>
              <a:solidFill xmlns:a="http://schemas.openxmlformats.org/drawingml/2006/main">
                <a:srgbClr val="88A1C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5"/>
            <spPr>
              <a:solidFill xmlns:a="http://schemas.openxmlformats.org/drawingml/2006/main">
                <a:srgbClr val="CD888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6"/>
            <spPr>
              <a:solidFill xmlns:a="http://schemas.openxmlformats.org/drawingml/2006/main">
                <a:srgbClr val="B2C98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7"/>
            <spPr>
              <a:solidFill xmlns:a="http://schemas.openxmlformats.org/drawingml/2006/main">
                <a:srgbClr val="A191B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8"/>
            <spPr>
              <a:solidFill xmlns:a="http://schemas.openxmlformats.org/drawingml/2006/main">
                <a:srgbClr val="86BED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9"/>
            <spPr>
              <a:solidFill xmlns:a="http://schemas.openxmlformats.org/drawingml/2006/main">
                <a:srgbClr val="F8AF8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0"/>
            <spPr>
              <a:solidFill xmlns:a="http://schemas.openxmlformats.org/drawingml/2006/main">
                <a:srgbClr val="8AA3C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1"/>
            <spPr>
              <a:solidFill xmlns:a="http://schemas.openxmlformats.org/drawingml/2006/main">
                <a:srgbClr val="CE8B8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2"/>
            <spPr>
              <a:solidFill xmlns:a="http://schemas.openxmlformats.org/drawingml/2006/main">
                <a:srgbClr val="B4CA8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3"/>
            <spPr>
              <a:solidFill xmlns:a="http://schemas.openxmlformats.org/drawingml/2006/main">
                <a:srgbClr val="A393B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4"/>
            <spPr>
              <a:solidFill xmlns:a="http://schemas.openxmlformats.org/drawingml/2006/main">
                <a:srgbClr val="89BFD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5"/>
            <spPr>
              <a:solidFill xmlns:a="http://schemas.openxmlformats.org/drawingml/2006/main">
                <a:srgbClr val="F8B08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6"/>
            <spPr>
              <a:solidFill xmlns:a="http://schemas.openxmlformats.org/drawingml/2006/main">
                <a:srgbClr val="8DA5C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7"/>
            <spPr>
              <a:solidFill xmlns:a="http://schemas.openxmlformats.org/drawingml/2006/main">
                <a:srgbClr val="CE8D8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8"/>
            <spPr>
              <a:solidFill xmlns:a="http://schemas.openxmlformats.org/drawingml/2006/main">
                <a:srgbClr val="B5CB9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9"/>
            <spPr>
              <a:solidFill xmlns:a="http://schemas.openxmlformats.org/drawingml/2006/main">
                <a:srgbClr val="A495B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0"/>
            <spPr>
              <a:solidFill xmlns:a="http://schemas.openxmlformats.org/drawingml/2006/main">
                <a:srgbClr val="8BC0D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1"/>
            <spPr>
              <a:solidFill xmlns:a="http://schemas.openxmlformats.org/drawingml/2006/main">
                <a:srgbClr val="F8B28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2"/>
            <spPr>
              <a:solidFill xmlns:a="http://schemas.openxmlformats.org/drawingml/2006/main">
                <a:srgbClr val="8FA6C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3"/>
            <spPr>
              <a:solidFill xmlns:a="http://schemas.openxmlformats.org/drawingml/2006/main">
                <a:srgbClr val="CF8F8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4"/>
            <spPr>
              <a:solidFill xmlns:a="http://schemas.openxmlformats.org/drawingml/2006/main">
                <a:srgbClr val="B6CB9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5"/>
            <spPr>
              <a:solidFill xmlns:a="http://schemas.openxmlformats.org/drawingml/2006/main">
                <a:srgbClr val="A697B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6"/>
            <spPr>
              <a:solidFill xmlns:a="http://schemas.openxmlformats.org/drawingml/2006/main">
                <a:srgbClr val="8DC1D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7"/>
            <spPr>
              <a:solidFill xmlns:a="http://schemas.openxmlformats.org/drawingml/2006/main">
                <a:srgbClr val="F8B38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8"/>
            <spPr>
              <a:solidFill xmlns:a="http://schemas.openxmlformats.org/drawingml/2006/main">
                <a:srgbClr val="91A8C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9"/>
            <spPr>
              <a:solidFill xmlns:a="http://schemas.openxmlformats.org/drawingml/2006/main">
                <a:srgbClr val="D0919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0"/>
            <spPr>
              <a:solidFill xmlns:a="http://schemas.openxmlformats.org/drawingml/2006/main">
                <a:srgbClr val="B7CC9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1"/>
            <spPr>
              <a:solidFill xmlns:a="http://schemas.openxmlformats.org/drawingml/2006/main">
                <a:srgbClr val="A799B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2"/>
            <spPr>
              <a:solidFill xmlns:a="http://schemas.openxmlformats.org/drawingml/2006/main">
                <a:srgbClr val="90C2D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3"/>
            <spPr>
              <a:solidFill xmlns:a="http://schemas.openxmlformats.org/drawingml/2006/main">
                <a:srgbClr val="F8B48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4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5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6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7"/>
            <spPr>
              <a:solidFill xmlns:a="http://schemas.openxmlformats.org/drawingml/2006/main">
                <a:srgbClr val="A99B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8"/>
            <spPr>
              <a:solidFill xmlns:a="http://schemas.openxmlformats.org/drawingml/2006/main">
                <a:srgbClr val="92C3D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9"/>
            <spPr>
              <a:solidFill xmlns:a="http://schemas.openxmlformats.org/drawingml/2006/main">
                <a:srgbClr val="F8B59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0"/>
            <spPr>
              <a:solidFill xmlns:a="http://schemas.openxmlformats.org/drawingml/2006/main">
                <a:srgbClr val="95ABC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1"/>
            <spPr>
              <a:solidFill xmlns:a="http://schemas.openxmlformats.org/drawingml/2006/main">
                <a:srgbClr val="D1969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2"/>
            <spPr>
              <a:solidFill xmlns:a="http://schemas.openxmlformats.org/drawingml/2006/main">
                <a:srgbClr val="BACE9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3"/>
            <spPr>
              <a:solidFill xmlns:a="http://schemas.openxmlformats.org/drawingml/2006/main">
                <a:srgbClr val="AA9DB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4"/>
            <spPr>
              <a:solidFill xmlns:a="http://schemas.openxmlformats.org/drawingml/2006/main">
                <a:srgbClr val="94C4D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5"/>
            <spPr>
              <a:solidFill xmlns:a="http://schemas.openxmlformats.org/drawingml/2006/main">
                <a:srgbClr val="F8B79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6"/>
            <spPr>
              <a:solidFill xmlns:a="http://schemas.openxmlformats.org/drawingml/2006/main">
                <a:srgbClr val="98ACD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7"/>
            <spPr>
              <a:solidFill xmlns:a="http://schemas.openxmlformats.org/drawingml/2006/main">
                <a:srgbClr val="D2989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8"/>
            <spPr>
              <a:solidFill xmlns:a="http://schemas.openxmlformats.org/drawingml/2006/main">
                <a:srgbClr val="BBCF9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9"/>
            <spPr>
              <a:solidFill xmlns:a="http://schemas.openxmlformats.org/drawingml/2006/main">
                <a:srgbClr val="AC9FB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0"/>
            <spPr>
              <a:solidFill xmlns:a="http://schemas.openxmlformats.org/drawingml/2006/main">
                <a:srgbClr val="96C5D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1"/>
            <spPr>
              <a:solidFill xmlns:a="http://schemas.openxmlformats.org/drawingml/2006/main">
                <a:srgbClr val="F9B89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2"/>
            <spPr>
              <a:solidFill xmlns:a="http://schemas.openxmlformats.org/drawingml/2006/main">
                <a:srgbClr val="9AAED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3"/>
            <spPr>
              <a:solidFill xmlns:a="http://schemas.openxmlformats.org/drawingml/2006/main">
                <a:srgbClr val="D39A9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4"/>
            <spPr>
              <a:solidFill xmlns:a="http://schemas.openxmlformats.org/drawingml/2006/main">
                <a:srgbClr val="BCCF9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5"/>
            <spPr>
              <a:solidFill xmlns:a="http://schemas.openxmlformats.org/drawingml/2006/main">
                <a:srgbClr val="ADA1C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6"/>
            <spPr>
              <a:solidFill xmlns:a="http://schemas.openxmlformats.org/drawingml/2006/main">
                <a:srgbClr val="98C6D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7"/>
            <spPr>
              <a:solidFill xmlns:a="http://schemas.openxmlformats.org/drawingml/2006/main">
                <a:srgbClr val="F9B99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8"/>
            <spPr>
              <a:solidFill xmlns:a="http://schemas.openxmlformats.org/drawingml/2006/main">
                <a:srgbClr val="9CAFD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9"/>
            <spPr>
              <a:solidFill xmlns:a="http://schemas.openxmlformats.org/drawingml/2006/main">
                <a:srgbClr val="D39C9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0"/>
            <spPr>
              <a:solidFill xmlns:a="http://schemas.openxmlformats.org/drawingml/2006/main">
                <a:srgbClr val="BDD09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1"/>
            <spPr>
              <a:solidFill xmlns:a="http://schemas.openxmlformats.org/drawingml/2006/main">
                <a:srgbClr val="AFA3C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2"/>
            <spPr>
              <a:solidFill xmlns:a="http://schemas.openxmlformats.org/drawingml/2006/main">
                <a:srgbClr val="9BC7D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3"/>
            <spPr>
              <a:solidFill xmlns:a="http://schemas.openxmlformats.org/drawingml/2006/main">
                <a:srgbClr val="F9BA9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4"/>
            <spPr>
              <a:solidFill xmlns:a="http://schemas.openxmlformats.org/drawingml/2006/main">
                <a:srgbClr val="9EB1D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5"/>
            <spPr>
              <a:solidFill xmlns:a="http://schemas.openxmlformats.org/drawingml/2006/main">
                <a:srgbClr val="D49E9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6"/>
            <spPr>
              <a:solidFill xmlns:a="http://schemas.openxmlformats.org/drawingml/2006/main">
                <a:srgbClr val="BED1A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7"/>
            <spPr>
              <a:solidFill xmlns:a="http://schemas.openxmlformats.org/drawingml/2006/main">
                <a:srgbClr val="B0A5C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8"/>
            <spPr>
              <a:solidFill xmlns:a="http://schemas.openxmlformats.org/drawingml/2006/main">
                <a:srgbClr val="9DC8D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9"/>
            <spPr>
              <a:solidFill xmlns:a="http://schemas.openxmlformats.org/drawingml/2006/main">
                <a:srgbClr val="F9BC9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0"/>
            <spPr>
              <a:solidFill xmlns:a="http://schemas.openxmlformats.org/drawingml/2006/main">
                <a:srgbClr val="A0B2D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1"/>
            <spPr>
              <a:solidFill xmlns:a="http://schemas.openxmlformats.org/drawingml/2006/main">
                <a:srgbClr val="D5A09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2"/>
            <spPr>
              <a:solidFill xmlns:a="http://schemas.openxmlformats.org/drawingml/2006/main">
                <a:srgbClr val="BFD2A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3"/>
            <spPr>
              <a:solidFill xmlns:a="http://schemas.openxmlformats.org/drawingml/2006/main">
                <a:srgbClr val="B2A6C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4"/>
            <spPr>
              <a:solidFill xmlns:a="http://schemas.openxmlformats.org/drawingml/2006/main">
                <a:srgbClr val="9FC9D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5"/>
            <spPr>
              <a:solidFill xmlns:a="http://schemas.openxmlformats.org/drawingml/2006/main">
                <a:srgbClr val="F9BD9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6"/>
            <spPr>
              <a:solidFill xmlns:a="http://schemas.openxmlformats.org/drawingml/2006/main">
                <a:srgbClr val="A2B4D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7"/>
            <spPr>
              <a:solidFill xmlns:a="http://schemas.openxmlformats.org/drawingml/2006/main">
                <a:srgbClr val="D5A2A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8"/>
            <spPr>
              <a:solidFill xmlns:a="http://schemas.openxmlformats.org/drawingml/2006/main">
                <a:srgbClr val="C0D2A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9"/>
            <spPr>
              <a:solidFill xmlns:a="http://schemas.openxmlformats.org/drawingml/2006/main">
                <a:srgbClr val="B3A8C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0"/>
            <spPr>
              <a:solidFill xmlns:a="http://schemas.openxmlformats.org/drawingml/2006/main">
                <a:srgbClr val="A1CAD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1"/>
            <spPr>
              <a:solidFill xmlns:a="http://schemas.openxmlformats.org/drawingml/2006/main">
                <a:srgbClr val="F9BE9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2"/>
            <spPr>
              <a:solidFill xmlns:a="http://schemas.openxmlformats.org/drawingml/2006/main">
                <a:srgbClr val="A4B5D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3"/>
            <spPr>
              <a:solidFill xmlns:a="http://schemas.openxmlformats.org/drawingml/2006/main">
                <a:srgbClr val="D6A4A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4"/>
            <spPr>
              <a:solidFill xmlns:a="http://schemas.openxmlformats.org/drawingml/2006/main">
                <a:srgbClr val="C2D3A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5"/>
            <spPr>
              <a:solidFill xmlns:a="http://schemas.openxmlformats.org/drawingml/2006/main">
                <a:srgbClr val="B5AAC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6"/>
            <spPr>
              <a:solidFill xmlns:a="http://schemas.openxmlformats.org/drawingml/2006/main">
                <a:srgbClr val="A2CBD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7"/>
            <spPr>
              <a:solidFill xmlns:a="http://schemas.openxmlformats.org/drawingml/2006/main">
                <a:srgbClr val="F9BFA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8"/>
            <spPr>
              <a:solidFill xmlns:a="http://schemas.openxmlformats.org/drawingml/2006/main">
                <a:srgbClr val="A5B7D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9"/>
            <spPr>
              <a:solidFill xmlns:a="http://schemas.openxmlformats.org/drawingml/2006/main">
                <a:srgbClr val="D7A6A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0"/>
            <spPr>
              <a:solidFill xmlns:a="http://schemas.openxmlformats.org/drawingml/2006/main">
                <a:srgbClr val="C3D4A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1"/>
            <spPr>
              <a:solidFill xmlns:a="http://schemas.openxmlformats.org/drawingml/2006/main">
                <a:srgbClr val="B6ACC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2"/>
            <spPr>
              <a:solidFill xmlns:a="http://schemas.openxmlformats.org/drawingml/2006/main">
                <a:srgbClr val="A4CCD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3"/>
            <spPr>
              <a:solidFill xmlns:a="http://schemas.openxmlformats.org/drawingml/2006/main">
                <a:srgbClr val="F9C0A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4"/>
            <spPr>
              <a:solidFill xmlns:a="http://schemas.openxmlformats.org/drawingml/2006/main">
                <a:srgbClr val="A7B8D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5"/>
            <spPr>
              <a:solidFill xmlns:a="http://schemas.openxmlformats.org/drawingml/2006/main">
                <a:srgbClr val="D7A8A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6"/>
            <spPr>
              <a:solidFill xmlns:a="http://schemas.openxmlformats.org/drawingml/2006/main">
                <a:srgbClr val="C4D5A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7"/>
            <spPr>
              <a:solidFill xmlns:a="http://schemas.openxmlformats.org/drawingml/2006/main">
                <a:srgbClr val="B8ADC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8"/>
            <spPr>
              <a:solidFill xmlns:a="http://schemas.openxmlformats.org/drawingml/2006/main">
                <a:srgbClr val="A6CCD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9"/>
            <spPr>
              <a:solidFill xmlns:a="http://schemas.openxmlformats.org/drawingml/2006/main">
                <a:srgbClr val="F9C1A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0"/>
            <spPr>
              <a:solidFill xmlns:a="http://schemas.openxmlformats.org/drawingml/2006/main">
                <a:srgbClr val="A9B9D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1"/>
            <spPr>
              <a:solidFill xmlns:a="http://schemas.openxmlformats.org/drawingml/2006/main">
                <a:srgbClr val="D8A9A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2"/>
            <spPr>
              <a:solidFill xmlns:a="http://schemas.openxmlformats.org/drawingml/2006/main">
                <a:srgbClr val="C5D5A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3"/>
            <spPr>
              <a:solidFill xmlns:a="http://schemas.openxmlformats.org/drawingml/2006/main">
                <a:srgbClr val="B9AFC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4"/>
            <spPr>
              <a:solidFill xmlns:a="http://schemas.openxmlformats.org/drawingml/2006/main">
                <a:srgbClr val="A8CDD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5"/>
            <spPr>
              <a:solidFill xmlns:a="http://schemas.openxmlformats.org/drawingml/2006/main">
                <a:srgbClr val="F9C3A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6"/>
            <spPr>
              <a:solidFill xmlns:a="http://schemas.openxmlformats.org/drawingml/2006/main">
                <a:srgbClr val="ABBBD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7"/>
            <spPr>
              <a:solidFill xmlns:a="http://schemas.openxmlformats.org/drawingml/2006/main">
                <a:srgbClr val="D9ABA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8"/>
            <spPr>
              <a:solidFill xmlns:a="http://schemas.openxmlformats.org/drawingml/2006/main">
                <a:srgbClr val="C6D6A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9"/>
            <spPr>
              <a:solidFill xmlns:a="http://schemas.openxmlformats.org/drawingml/2006/main">
                <a:srgbClr val="BAB1C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0"/>
            <spPr>
              <a:solidFill xmlns:a="http://schemas.openxmlformats.org/drawingml/2006/main">
                <a:srgbClr val="AACED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1"/>
            <spPr>
              <a:solidFill xmlns:a="http://schemas.openxmlformats.org/drawingml/2006/main">
                <a:srgbClr val="F9C4A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2"/>
            <spPr>
              <a:solidFill xmlns:a="http://schemas.openxmlformats.org/drawingml/2006/main">
                <a:srgbClr val="ADBCD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3"/>
            <spPr>
              <a:solidFill xmlns:a="http://schemas.openxmlformats.org/drawingml/2006/main">
                <a:srgbClr val="D9ADA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4"/>
            <spPr>
              <a:solidFill xmlns:a="http://schemas.openxmlformats.org/drawingml/2006/main">
                <a:srgbClr val="C7D7A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5"/>
            <spPr>
              <a:solidFill xmlns:a="http://schemas.openxmlformats.org/drawingml/2006/main">
                <a:srgbClr val="BCB2C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6"/>
            <spPr>
              <a:solidFill xmlns:a="http://schemas.openxmlformats.org/drawingml/2006/main">
                <a:srgbClr val="ACCFD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7"/>
            <spPr>
              <a:solidFill xmlns:a="http://schemas.openxmlformats.org/drawingml/2006/main">
                <a:srgbClr val="F9C5A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8"/>
            <spPr>
              <a:solidFill xmlns:a="http://schemas.openxmlformats.org/drawingml/2006/main">
                <a:srgbClr val="AEBDD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9"/>
            <spPr>
              <a:solidFill xmlns:a="http://schemas.openxmlformats.org/drawingml/2006/main">
                <a:srgbClr val="DAAFA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0"/>
            <spPr>
              <a:solidFill xmlns:a="http://schemas.openxmlformats.org/drawingml/2006/main">
                <a:srgbClr val="C8D8B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1"/>
            <spPr>
              <a:solidFill xmlns:a="http://schemas.openxmlformats.org/drawingml/2006/main">
                <a:srgbClr val="BDB4C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2"/>
            <spPr>
              <a:solidFill xmlns:a="http://schemas.openxmlformats.org/drawingml/2006/main">
                <a:srgbClr val="AED0D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3"/>
            <spPr>
              <a:solidFill xmlns:a="http://schemas.openxmlformats.org/drawingml/2006/main">
                <a:srgbClr val="FAC6A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4"/>
            <spPr>
              <a:solidFill xmlns:a="http://schemas.openxmlformats.org/drawingml/2006/main">
                <a:srgbClr val="B0BFD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5"/>
            <spPr>
              <a:solidFill xmlns:a="http://schemas.openxmlformats.org/drawingml/2006/main">
                <a:srgbClr val="DBB0B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6"/>
            <spPr>
              <a:solidFill xmlns:a="http://schemas.openxmlformats.org/drawingml/2006/main">
                <a:srgbClr val="C9D8B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7"/>
            <spPr>
              <a:solidFill xmlns:a="http://schemas.openxmlformats.org/drawingml/2006/main">
                <a:srgbClr val="BEB5C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8"/>
            <spPr>
              <a:solidFill xmlns:a="http://schemas.openxmlformats.org/drawingml/2006/main">
                <a:srgbClr val="AFD1D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9"/>
            <spPr>
              <a:solidFill xmlns:a="http://schemas.openxmlformats.org/drawingml/2006/main">
                <a:srgbClr val="FAC7A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0"/>
            <spPr>
              <a:solidFill xmlns:a="http://schemas.openxmlformats.org/drawingml/2006/main">
                <a:srgbClr val="B2C0D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1"/>
            <spPr>
              <a:solidFill xmlns:a="http://schemas.openxmlformats.org/drawingml/2006/main">
                <a:srgbClr val="DBB2B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2"/>
            <spPr>
              <a:solidFill xmlns:a="http://schemas.openxmlformats.org/drawingml/2006/main">
                <a:srgbClr val="CAD9B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3"/>
            <spPr>
              <a:solidFill xmlns:a="http://schemas.openxmlformats.org/drawingml/2006/main">
                <a:srgbClr val="C0B7C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4"/>
            <spPr>
              <a:solidFill xmlns:a="http://schemas.openxmlformats.org/drawingml/2006/main">
                <a:srgbClr val="B1D2D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5"/>
            <spPr>
              <a:solidFill xmlns:a="http://schemas.openxmlformats.org/drawingml/2006/main">
                <a:srgbClr val="FAC8B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6"/>
            <spPr>
              <a:solidFill xmlns:a="http://schemas.openxmlformats.org/drawingml/2006/main">
                <a:srgbClr val="B4C1D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7"/>
            <spPr>
              <a:solidFill xmlns:a="http://schemas.openxmlformats.org/drawingml/2006/main">
                <a:srgbClr val="DCB4B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8"/>
            <spPr>
              <a:solidFill xmlns:a="http://schemas.openxmlformats.org/drawingml/2006/main">
                <a:srgbClr val="CBDAB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9"/>
            <spPr>
              <a:solidFill xmlns:a="http://schemas.openxmlformats.org/drawingml/2006/main">
                <a:srgbClr val="C1B9C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0"/>
            <spPr>
              <a:solidFill xmlns:a="http://schemas.openxmlformats.org/drawingml/2006/main">
                <a:srgbClr val="B3D3D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1"/>
            <spPr>
              <a:solidFill xmlns:a="http://schemas.openxmlformats.org/drawingml/2006/main">
                <a:srgbClr val="FAC9B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2"/>
            <spPr>
              <a:solidFill xmlns:a="http://schemas.openxmlformats.org/drawingml/2006/main">
                <a:srgbClr val="B5C3D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3"/>
            <spPr>
              <a:solidFill xmlns:a="http://schemas.openxmlformats.org/drawingml/2006/main">
                <a:srgbClr val="DDB5B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4"/>
            <spPr>
              <a:solidFill xmlns:a="http://schemas.openxmlformats.org/drawingml/2006/main">
                <a:srgbClr val="CCDAB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5"/>
            <spPr>
              <a:solidFill xmlns:a="http://schemas.openxmlformats.org/drawingml/2006/main">
                <a:srgbClr val="C2BAC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6"/>
            <spPr>
              <a:solidFill xmlns:a="http://schemas.openxmlformats.org/drawingml/2006/main">
                <a:srgbClr val="B5D4E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7"/>
            <spPr>
              <a:solidFill xmlns:a="http://schemas.openxmlformats.org/drawingml/2006/main">
                <a:srgbClr val="FACAB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8"/>
            <spPr>
              <a:solidFill xmlns:a="http://schemas.openxmlformats.org/drawingml/2006/main">
                <a:srgbClr val="B7C4D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9"/>
            <spPr>
              <a:solidFill xmlns:a="http://schemas.openxmlformats.org/drawingml/2006/main">
                <a:srgbClr val="DDB7B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0"/>
            <spPr>
              <a:solidFill xmlns:a="http://schemas.openxmlformats.org/drawingml/2006/main">
                <a:srgbClr val="CDDBB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1"/>
            <spPr>
              <a:solidFill xmlns:a="http://schemas.openxmlformats.org/drawingml/2006/main">
                <a:srgbClr val="C4BCD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2"/>
            <spPr>
              <a:solidFill xmlns:a="http://schemas.openxmlformats.org/drawingml/2006/main">
                <a:srgbClr val="B6D4E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3"/>
            <spPr>
              <a:solidFill xmlns:a="http://schemas.openxmlformats.org/drawingml/2006/main">
                <a:srgbClr val="FACBB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4"/>
            <spPr>
              <a:solidFill xmlns:a="http://schemas.openxmlformats.org/drawingml/2006/main">
                <a:srgbClr val="B9C5D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5"/>
            <spPr>
              <a:solidFill xmlns:a="http://schemas.openxmlformats.org/drawingml/2006/main">
                <a:srgbClr val="DEB9B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6"/>
            <spPr>
              <a:solidFill xmlns:a="http://schemas.openxmlformats.org/drawingml/2006/main">
                <a:srgbClr val="CEDCB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7"/>
            <spPr>
              <a:solidFill xmlns:a="http://schemas.openxmlformats.org/drawingml/2006/main">
                <a:srgbClr val="C5BDD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8"/>
            <spPr>
              <a:solidFill xmlns:a="http://schemas.openxmlformats.org/drawingml/2006/main">
                <a:srgbClr val="B8D5E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9"/>
            <spPr>
              <a:solidFill xmlns:a="http://schemas.openxmlformats.org/drawingml/2006/main">
                <a:srgbClr val="FACDB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0"/>
            <spPr>
              <a:solidFill xmlns:a="http://schemas.openxmlformats.org/drawingml/2006/main">
                <a:srgbClr val="BAC7D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1"/>
            <spPr>
              <a:solidFill xmlns:a="http://schemas.openxmlformats.org/drawingml/2006/main">
                <a:srgbClr val="DFBAB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2"/>
            <spPr>
              <a:solidFill xmlns:a="http://schemas.openxmlformats.org/drawingml/2006/main">
                <a:srgbClr val="CFDDB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3"/>
            <spPr>
              <a:solidFill xmlns:a="http://schemas.openxmlformats.org/drawingml/2006/main">
                <a:srgbClr val="C6BFD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4"/>
            <spPr>
              <a:solidFill xmlns:a="http://schemas.openxmlformats.org/drawingml/2006/main">
                <a:srgbClr val="B9D6E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5"/>
            <spPr>
              <a:solidFill xmlns:a="http://schemas.openxmlformats.org/drawingml/2006/main">
                <a:srgbClr val="FACEB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6"/>
            <spPr>
              <a:solidFill xmlns:a="http://schemas.openxmlformats.org/drawingml/2006/main">
                <a:srgbClr val="BCC8D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7"/>
            <spPr>
              <a:solidFill xmlns:a="http://schemas.openxmlformats.org/drawingml/2006/main">
                <a:srgbClr val="DFBCB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8"/>
            <spPr>
              <a:solidFill xmlns:a="http://schemas.openxmlformats.org/drawingml/2006/main">
                <a:srgbClr val="D1DDB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9"/>
            <spPr>
              <a:solidFill xmlns:a="http://schemas.openxmlformats.org/drawingml/2006/main">
                <a:srgbClr val="C7C0D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0"/>
            <spPr>
              <a:solidFill xmlns:a="http://schemas.openxmlformats.org/drawingml/2006/main">
                <a:srgbClr val="BBD7E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1"/>
            <spPr>
              <a:solidFill xmlns:a="http://schemas.openxmlformats.org/drawingml/2006/main">
                <a:srgbClr val="FACFB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2"/>
            <spPr>
              <a:solidFill xmlns:a="http://schemas.openxmlformats.org/drawingml/2006/main">
                <a:srgbClr val="BDC9D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3"/>
            <spPr>
              <a:solidFill xmlns:a="http://schemas.openxmlformats.org/drawingml/2006/main">
                <a:srgbClr val="E0BE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4"/>
            <spPr>
              <a:solidFill xmlns:a="http://schemas.openxmlformats.org/drawingml/2006/main">
                <a:srgbClr val="D2DEB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5"/>
            <spPr>
              <a:solidFill xmlns:a="http://schemas.openxmlformats.org/drawingml/2006/main">
                <a:srgbClr val="C9C1D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6"/>
            <spPr>
              <a:solidFill xmlns:a="http://schemas.openxmlformats.org/drawingml/2006/main">
                <a:srgbClr val="BDD8E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7"/>
            <spPr>
              <a:solidFill xmlns:a="http://schemas.openxmlformats.org/drawingml/2006/main">
                <a:srgbClr val="FAD0B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8"/>
            <spPr>
              <a:solidFill xmlns:a="http://schemas.openxmlformats.org/drawingml/2006/main">
                <a:srgbClr val="BFCAD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9"/>
            <spPr>
              <a:solidFill xmlns:a="http://schemas.openxmlformats.org/drawingml/2006/main">
                <a:srgbClr val="E1BFB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0"/>
            <spPr>
              <a:solidFill xmlns:a="http://schemas.openxmlformats.org/drawingml/2006/main">
                <a:srgbClr val="D3DFC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1"/>
            <spPr>
              <a:solidFill xmlns:a="http://schemas.openxmlformats.org/drawingml/2006/main">
                <a:srgbClr val="CAC3D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2"/>
            <spPr>
              <a:solidFill xmlns:a="http://schemas.openxmlformats.org/drawingml/2006/main">
                <a:srgbClr val="BED9E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3"/>
            <spPr>
              <a:solidFill xmlns:a="http://schemas.openxmlformats.org/drawingml/2006/main">
                <a:srgbClr val="FAD1B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4"/>
            <spPr>
              <a:solidFill xmlns:a="http://schemas.openxmlformats.org/drawingml/2006/main">
                <a:srgbClr val="C0CBE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5"/>
            <spPr>
              <a:solidFill xmlns:a="http://schemas.openxmlformats.org/drawingml/2006/main">
                <a:srgbClr val="E1C1C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6"/>
            <spPr>
              <a:solidFill xmlns:a="http://schemas.openxmlformats.org/drawingml/2006/main">
                <a:srgbClr val="D4DFC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7"/>
            <spPr>
              <a:solidFill xmlns:a="http://schemas.openxmlformats.org/drawingml/2006/main">
                <a:srgbClr val="CBC4D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8"/>
            <spPr>
              <a:solidFill xmlns:a="http://schemas.openxmlformats.org/drawingml/2006/main">
                <a:srgbClr val="C0DAE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9"/>
            <spPr>
              <a:solidFill xmlns:a="http://schemas.openxmlformats.org/drawingml/2006/main">
                <a:srgbClr val="FAD2B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0"/>
            <spPr>
              <a:solidFill xmlns:a="http://schemas.openxmlformats.org/drawingml/2006/main">
                <a:srgbClr val="C2CDE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1"/>
            <spPr>
              <a:solidFill xmlns:a="http://schemas.openxmlformats.org/drawingml/2006/main">
                <a:srgbClr val="E2C2C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2"/>
            <spPr>
              <a:solidFill xmlns:a="http://schemas.openxmlformats.org/drawingml/2006/main">
                <a:srgbClr val="D5E0C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3"/>
            <spPr>
              <a:solidFill xmlns:a="http://schemas.openxmlformats.org/drawingml/2006/main">
                <a:srgbClr val="CCC6D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4"/>
            <spPr>
              <a:solidFill xmlns:a="http://schemas.openxmlformats.org/drawingml/2006/main">
                <a:srgbClr val="C1DAE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5"/>
            <spPr>
              <a:solidFill xmlns:a="http://schemas.openxmlformats.org/drawingml/2006/main">
                <a:srgbClr val="FBD3C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6"/>
            <spPr>
              <a:solidFill xmlns:a="http://schemas.openxmlformats.org/drawingml/2006/main">
                <a:srgbClr val="C4CEE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7"/>
            <spPr>
              <a:solidFill xmlns:a="http://schemas.openxmlformats.org/drawingml/2006/main">
                <a:srgbClr val="E3C4C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8"/>
            <spPr>
              <a:solidFill xmlns:a="http://schemas.openxmlformats.org/drawingml/2006/main">
                <a:srgbClr val="D5E1C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9"/>
            <spPr>
              <a:solidFill xmlns:a="http://schemas.openxmlformats.org/drawingml/2006/main">
                <a:srgbClr val="CEC7D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0"/>
            <spPr>
              <a:solidFill xmlns:a="http://schemas.openxmlformats.org/drawingml/2006/main">
                <a:srgbClr val="C3DBE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1"/>
            <spPr>
              <a:solidFill xmlns:a="http://schemas.openxmlformats.org/drawingml/2006/main">
                <a:srgbClr val="FBD4C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2"/>
            <spPr>
              <a:solidFill xmlns:a="http://schemas.openxmlformats.org/drawingml/2006/main">
                <a:srgbClr val="C5CFE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3"/>
            <spPr>
              <a:solidFill xmlns:a="http://schemas.openxmlformats.org/drawingml/2006/main">
                <a:srgbClr val="E3C5C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4"/>
            <spPr>
              <a:solidFill xmlns:a="http://schemas.openxmlformats.org/drawingml/2006/main">
                <a:srgbClr val="D6E1C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5"/>
            <spPr>
              <a:solidFill xmlns:a="http://schemas.openxmlformats.org/drawingml/2006/main">
                <a:srgbClr val="CFC9D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6"/>
            <spPr>
              <a:solidFill xmlns:a="http://schemas.openxmlformats.org/drawingml/2006/main">
                <a:srgbClr val="C4DCE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7"/>
            <spPr>
              <a:solidFill xmlns:a="http://schemas.openxmlformats.org/drawingml/2006/main">
                <a:srgbClr val="FBD5C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8"/>
            <spPr>
              <a:solidFill xmlns:a="http://schemas.openxmlformats.org/drawingml/2006/main">
                <a:srgbClr val="C7D0E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9"/>
            <spPr>
              <a:solidFill xmlns:a="http://schemas.openxmlformats.org/drawingml/2006/main">
                <a:srgbClr val="E4C7C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0"/>
            <spPr>
              <a:solidFill xmlns:a="http://schemas.openxmlformats.org/drawingml/2006/main">
                <a:srgbClr val="D7E2C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1"/>
            <spPr>
              <a:solidFill xmlns:a="http://schemas.openxmlformats.org/drawingml/2006/main">
                <a:srgbClr val="D0CAD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2"/>
            <spPr>
              <a:solidFill xmlns:a="http://schemas.openxmlformats.org/drawingml/2006/main">
                <a:srgbClr val="C6DDE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3"/>
            <spPr>
              <a:solidFill xmlns:a="http://schemas.openxmlformats.org/drawingml/2006/main">
                <a:srgbClr val="FBD6C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4"/>
            <spPr>
              <a:solidFill xmlns:a="http://schemas.openxmlformats.org/drawingml/2006/main">
                <a:srgbClr val="C8D1E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5"/>
            <spPr>
              <a:solidFill xmlns:a="http://schemas.openxmlformats.org/drawingml/2006/main">
                <a:srgbClr val="E5C8C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6"/>
            <spPr>
              <a:solidFill xmlns:a="http://schemas.openxmlformats.org/drawingml/2006/main">
                <a:srgbClr val="D8E3C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7"/>
            <spPr>
              <a:solidFill xmlns:a="http://schemas.openxmlformats.org/drawingml/2006/main">
                <a:srgbClr val="D1CBD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8"/>
            <spPr>
              <a:solidFill xmlns:a="http://schemas.openxmlformats.org/drawingml/2006/main">
                <a:srgbClr val="C7DEE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9"/>
            <spPr>
              <a:solidFill xmlns:a="http://schemas.openxmlformats.org/drawingml/2006/main">
                <a:srgbClr val="FBD7C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0"/>
            <spPr>
              <a:solidFill xmlns:a="http://schemas.openxmlformats.org/drawingml/2006/main">
                <a:srgbClr val="C9D3E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1"/>
            <spPr>
              <a:solidFill xmlns:a="http://schemas.openxmlformats.org/drawingml/2006/main">
                <a:srgbClr val="E5CAC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2"/>
            <spPr>
              <a:solidFill xmlns:a="http://schemas.openxmlformats.org/drawingml/2006/main">
                <a:srgbClr val="D9E3C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3"/>
            <spPr>
              <a:solidFill xmlns:a="http://schemas.openxmlformats.org/drawingml/2006/main">
                <a:srgbClr val="D2CDD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4"/>
            <spPr>
              <a:solidFill xmlns:a="http://schemas.openxmlformats.org/drawingml/2006/main">
                <a:srgbClr val="C9DFE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5"/>
            <spPr>
              <a:solidFill xmlns:a="http://schemas.openxmlformats.org/drawingml/2006/main">
                <a:srgbClr val="FBD8C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6"/>
            <spPr>
              <a:solidFill xmlns:a="http://schemas.openxmlformats.org/drawingml/2006/main">
                <a:srgbClr val="CBD4E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7"/>
            <spPr>
              <a:solidFill xmlns:a="http://schemas.openxmlformats.org/drawingml/2006/main">
                <a:srgbClr val="E6CBC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8"/>
            <spPr>
              <a:solidFill xmlns:a="http://schemas.openxmlformats.org/drawingml/2006/main">
                <a:srgbClr val="DAE4C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9"/>
            <spPr>
              <a:solidFill xmlns:a="http://schemas.openxmlformats.org/drawingml/2006/main">
                <a:srgbClr val="D4CED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0"/>
            <spPr>
              <a:solidFill xmlns:a="http://schemas.openxmlformats.org/drawingml/2006/main">
                <a:srgbClr val="CADFE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1"/>
            <spPr>
              <a:solidFill xmlns:a="http://schemas.openxmlformats.org/drawingml/2006/main">
                <a:srgbClr val="FBD9C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2"/>
            <spPr>
              <a:solidFill xmlns:a="http://schemas.openxmlformats.org/drawingml/2006/main">
                <a:srgbClr val="CCD5E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3"/>
            <spPr>
              <a:solidFill xmlns:a="http://schemas.openxmlformats.org/drawingml/2006/main">
                <a:srgbClr val="E6CCC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4"/>
            <spPr>
              <a:solidFill xmlns:a="http://schemas.openxmlformats.org/drawingml/2006/main">
                <a:srgbClr val="DBE5C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5"/>
            <spPr>
              <a:solidFill xmlns:a="http://schemas.openxmlformats.org/drawingml/2006/main">
                <a:srgbClr val="D5CFD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6"/>
            <spPr>
              <a:solidFill xmlns:a="http://schemas.openxmlformats.org/drawingml/2006/main">
                <a:srgbClr val="CCE0E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7"/>
            <spPr>
              <a:solidFill xmlns:a="http://schemas.openxmlformats.org/drawingml/2006/main">
                <a:srgbClr val="FBDAC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8"/>
            <spPr>
              <a:solidFill xmlns:a="http://schemas.openxmlformats.org/drawingml/2006/main">
                <a:srgbClr val="CED6E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9"/>
            <spPr>
              <a:solidFill xmlns:a="http://schemas.openxmlformats.org/drawingml/2006/main">
                <a:srgbClr val="E7CEC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0"/>
            <spPr>
              <a:solidFill xmlns:a="http://schemas.openxmlformats.org/drawingml/2006/main">
                <a:srgbClr val="DCE6C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1"/>
            <spPr>
              <a:solidFill xmlns:a="http://schemas.openxmlformats.org/drawingml/2006/main">
                <a:srgbClr val="D6D1D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2"/>
            <spPr>
              <a:solidFill xmlns:a="http://schemas.openxmlformats.org/drawingml/2006/main">
                <a:srgbClr val="CDE1E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3"/>
            <spPr>
              <a:solidFill xmlns:a="http://schemas.openxmlformats.org/drawingml/2006/main">
                <a:srgbClr val="FBDBC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4"/>
            <spPr>
              <a:solidFill xmlns:a="http://schemas.openxmlformats.org/drawingml/2006/main">
                <a:srgbClr val="CFD7E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5"/>
            <spPr>
              <a:solidFill xmlns:a="http://schemas.openxmlformats.org/drawingml/2006/main">
                <a:srgbClr val="E8CFC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6"/>
            <spPr>
              <a:solidFill xmlns:a="http://schemas.openxmlformats.org/drawingml/2006/main">
                <a:srgbClr val="DDE6D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7"/>
            <spPr>
              <a:solidFill xmlns:a="http://schemas.openxmlformats.org/drawingml/2006/main">
                <a:srgbClr val="D7D2DF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8"/>
            <spPr>
              <a:solidFill xmlns:a="http://schemas.openxmlformats.org/drawingml/2006/main">
                <a:srgbClr val="CFE2E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9"/>
            <spPr>
              <a:solidFill xmlns:a="http://schemas.openxmlformats.org/drawingml/2006/main">
                <a:srgbClr val="FBDCC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0"/>
            <spPr>
              <a:solidFill xmlns:a="http://schemas.openxmlformats.org/drawingml/2006/main">
                <a:srgbClr val="D1D8E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1"/>
            <spPr>
              <a:solidFill xmlns:a="http://schemas.openxmlformats.org/drawingml/2006/main">
                <a:srgbClr val="E8D1D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2"/>
            <spPr>
              <a:solidFill xmlns:a="http://schemas.openxmlformats.org/drawingml/2006/main">
                <a:srgbClr val="DEE7D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3"/>
            <spPr>
              <a:solidFill xmlns:a="http://schemas.openxmlformats.org/drawingml/2006/main">
                <a:srgbClr val="D8D3E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4"/>
            <spPr>
              <a:solidFill xmlns:a="http://schemas.openxmlformats.org/drawingml/2006/main">
                <a:srgbClr val="D0E3E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5"/>
            <spPr>
              <a:solidFill xmlns:a="http://schemas.openxmlformats.org/drawingml/2006/main">
                <a:srgbClr val="FBDDD0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6"/>
            <spPr>
              <a:solidFill xmlns:a="http://schemas.openxmlformats.org/drawingml/2006/main">
                <a:srgbClr val="D2D9E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7"/>
            <spPr>
              <a:solidFill xmlns:a="http://schemas.openxmlformats.org/drawingml/2006/main">
                <a:srgbClr val="E9D2D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8"/>
            <spPr>
              <a:solidFill xmlns:a="http://schemas.openxmlformats.org/drawingml/2006/main">
                <a:srgbClr val="DFE8D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9"/>
            <spPr>
              <a:solidFill xmlns:a="http://schemas.openxmlformats.org/drawingml/2006/main">
                <a:srgbClr val="D9D5E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0"/>
            <spPr>
              <a:solidFill xmlns:a="http://schemas.openxmlformats.org/drawingml/2006/main">
                <a:srgbClr val="D2E3E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1"/>
            <spPr>
              <a:solidFill xmlns:a="http://schemas.openxmlformats.org/drawingml/2006/main">
                <a:srgbClr val="FBDED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2"/>
            <spPr>
              <a:solidFill xmlns:a="http://schemas.openxmlformats.org/drawingml/2006/main">
                <a:srgbClr val="D3DBE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3"/>
            <spPr>
              <a:solidFill xmlns:a="http://schemas.openxmlformats.org/drawingml/2006/main">
                <a:srgbClr val="EAD3D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4"/>
            <spPr>
              <a:solidFill xmlns:a="http://schemas.openxmlformats.org/drawingml/2006/main">
                <a:srgbClr val="E0E8D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5"/>
            <spPr>
              <a:solidFill xmlns:a="http://schemas.openxmlformats.org/drawingml/2006/main">
                <a:srgbClr val="DAD6E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6"/>
            <spPr>
              <a:solidFill xmlns:a="http://schemas.openxmlformats.org/drawingml/2006/main">
                <a:srgbClr val="D3E4E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7"/>
            <spPr>
              <a:solidFill xmlns:a="http://schemas.openxmlformats.org/drawingml/2006/main">
                <a:srgbClr val="FCDFD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8"/>
            <spPr>
              <a:solidFill xmlns:a="http://schemas.openxmlformats.org/drawingml/2006/main">
                <a:srgbClr val="D5DCE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9"/>
            <spPr>
              <a:solidFill xmlns:a="http://schemas.openxmlformats.org/drawingml/2006/main">
                <a:srgbClr val="EAD5D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0"/>
            <spPr>
              <a:solidFill xmlns:a="http://schemas.openxmlformats.org/drawingml/2006/main">
                <a:srgbClr val="E1E9D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1"/>
            <spPr>
              <a:solidFill xmlns:a="http://schemas.openxmlformats.org/drawingml/2006/main">
                <a:srgbClr val="DBD7E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2"/>
            <spPr>
              <a:solidFill xmlns:a="http://schemas.openxmlformats.org/drawingml/2006/main">
                <a:srgbClr val="D4E5E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3"/>
            <spPr>
              <a:solidFill xmlns:a="http://schemas.openxmlformats.org/drawingml/2006/main">
                <a:srgbClr val="FCE0D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4"/>
            <spPr>
              <a:solidFill xmlns:a="http://schemas.openxmlformats.org/drawingml/2006/main">
                <a:srgbClr val="D6DDE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5"/>
            <spPr>
              <a:solidFill xmlns:a="http://schemas.openxmlformats.org/drawingml/2006/main">
                <a:srgbClr val="EBD6D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6"/>
            <spPr>
              <a:solidFill xmlns:a="http://schemas.openxmlformats.org/drawingml/2006/main">
                <a:srgbClr val="E2E9D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7"/>
            <spPr>
              <a:solidFill xmlns:a="http://schemas.openxmlformats.org/drawingml/2006/main">
                <a:srgbClr val="DDD8E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8"/>
            <spPr>
              <a:solidFill xmlns:a="http://schemas.openxmlformats.org/drawingml/2006/main">
                <a:srgbClr val="D6E6E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9"/>
            <spPr>
              <a:solidFill xmlns:a="http://schemas.openxmlformats.org/drawingml/2006/main">
                <a:srgbClr val="FCE1D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0"/>
            <spPr>
              <a:solidFill xmlns:a="http://schemas.openxmlformats.org/drawingml/2006/main">
                <a:srgbClr val="D7DEE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1"/>
            <spPr>
              <a:solidFill xmlns:a="http://schemas.openxmlformats.org/drawingml/2006/main">
                <a:srgbClr val="EBD7D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2"/>
            <spPr>
              <a:solidFill xmlns:a="http://schemas.openxmlformats.org/drawingml/2006/main">
                <a:srgbClr val="E3EAD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3"/>
            <spPr>
              <a:solidFill xmlns:a="http://schemas.openxmlformats.org/drawingml/2006/main">
                <a:srgbClr val="DEDAE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4"/>
            <spPr>
              <a:solidFill xmlns:a="http://schemas.openxmlformats.org/drawingml/2006/main">
                <a:srgbClr val="D7E6E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5"/>
            <spPr>
              <a:solidFill xmlns:a="http://schemas.openxmlformats.org/drawingml/2006/main">
                <a:srgbClr val="FCE2D7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6"/>
            <spPr>
              <a:solidFill xmlns:a="http://schemas.openxmlformats.org/drawingml/2006/main">
                <a:srgbClr val="D9DFE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7"/>
            <spPr>
              <a:solidFill xmlns:a="http://schemas.openxmlformats.org/drawingml/2006/main">
                <a:srgbClr val="ECD9D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8"/>
            <spPr>
              <a:solidFill xmlns:a="http://schemas.openxmlformats.org/drawingml/2006/main">
                <a:srgbClr val="E4EBD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9"/>
            <spPr>
              <a:solidFill xmlns:a="http://schemas.openxmlformats.org/drawingml/2006/main">
                <a:srgbClr val="DFDBE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0"/>
            <spPr>
              <a:solidFill xmlns:a="http://schemas.openxmlformats.org/drawingml/2006/main">
                <a:srgbClr val="D8E7E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1"/>
            <spPr>
              <a:solidFill xmlns:a="http://schemas.openxmlformats.org/drawingml/2006/main">
                <a:srgbClr val="FCE3D8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2"/>
            <spPr>
              <a:solidFill xmlns:a="http://schemas.openxmlformats.org/drawingml/2006/main">
                <a:srgbClr val="DAE0E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3"/>
            <spPr>
              <a:solidFill xmlns:a="http://schemas.openxmlformats.org/drawingml/2006/main">
                <a:srgbClr val="EDDAD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4"/>
            <spPr>
              <a:solidFill xmlns:a="http://schemas.openxmlformats.org/drawingml/2006/main">
                <a:srgbClr val="E5EBD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5"/>
            <spPr>
              <a:solidFill xmlns:a="http://schemas.openxmlformats.org/drawingml/2006/main">
                <a:srgbClr val="E0DCE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6"/>
            <spPr>
              <a:solidFill xmlns:a="http://schemas.openxmlformats.org/drawingml/2006/main">
                <a:srgbClr val="DAE8EE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7"/>
            <spPr>
              <a:solidFill xmlns:a="http://schemas.openxmlformats.org/drawingml/2006/main">
                <a:srgbClr val="FCE4D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8"/>
            <spPr>
              <a:solidFill xmlns:a="http://schemas.openxmlformats.org/drawingml/2006/main">
                <a:srgbClr val="DBE1E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KASA_HESAPLARI!$B$6:$B$804</f>
              <strCache>
                <ptCount val="799"/>
                <pt idx="0">
                  <v>Ana Kasa</v>
                </pt>
                <pt idx="1">
                  <v>İş Bankası Cari</v>
                </pt>
                <pt idx="2">
                  <v>Ziraat Vadesiz</v>
                </pt>
                <pt idx="3">
                  <v>Garanti Kredi Hesabı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</strCache>
            </strRef>
          </cat>
          <val>
            <numRef>
              <f>KASA_HESAPLARI!$F$6:$F$804</f>
              <numCache>
                <formatCode>"₺ "#,##0;[RED]"(₺ "#,##0\);\-</formatCode>
                <ptCount val="799"/>
                <pt idx="0">
                  <v>450000</v>
                </pt>
                <pt idx="1">
                  <v>800000</v>
                </pt>
                <pt idx="2">
                  <v>250000</v>
                </pt>
                <pt idx="3">
                  <v>150000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Hesap Sayısı (AKTİF) | Neden önemli: Karar motoru girdisi | Doğru giriş: Formül | Örnek: - | Yanlışsa: - | Not: AKTİF durumdaki hesap kartı sayısı.</t>
      </text>
    </comment>
    <comment ref="B6" authorId="0" shapeId="0">
      <text>
        <t>Tanım: Toplam Bakiye (₺) | Neden önemli: Karar motoru girdisi | Doğru giriş: Formül | Örnek: - | Yanlışsa: - | Not: AKTİF hesapların bakiyeleri toplamı.</t>
      </text>
    </comment>
    <comment ref="B7" authorId="0" shapeId="0">
      <text>
        <t>Tanım: Toplam Bloke (₺) | Neden önemli: Karar motoru girdisi | Doğru giriş: Formül | Örnek: - | Yanlışsa: - | Not: AKTİF hesapların bloke tutarları toplamı.</t>
      </text>
    </comment>
    <comment ref="B8" authorId="0" shapeId="0">
      <text>
        <t>Tanım: Toplam Min Eşik (₺) | Neden önemli: Karar motoru girdisi | Doğru giriş: Formül | Örnek: - | Yanlışsa: - | Not: AKTİF hesapların asgari kasa eşikleri toplamı.</t>
      </text>
    </comment>
    <comment ref="B9" authorId="0" shapeId="0">
      <text>
        <t>Tanım: Hareket Sayısı | Neden önemli: Karar motoru girdisi | Doğru giriş: Formül | Örnek: - | Yanlışsa: - | Not: Kasa hareketlerinde dolu satır sayısı.</t>
      </text>
    </comment>
    <comment ref="B10" authorId="0" shapeId="0">
      <text>
        <t>Tanım: Toplam Giriş (₺) | Neden önemli: Karar motoru girdisi | Doğru giriş: Formül | Örnek: - | Yanlışsa: - | Not: Tüm giriş hareketlerinin toplamı.</t>
      </text>
    </comment>
    <comment ref="B11" authorId="0" shapeId="0">
      <text>
        <t>Tanım: Toplam Çıkış (₺) | Neden önemli: Karar motoru girdisi | Doğru giriş: Formül | Örnek: - | Yanlışsa: - | Not: Tüm çıkış hareketlerinin toplamı.</t>
      </text>
    </comment>
    <comment ref="B12" authorId="0" shapeId="0">
      <text>
        <t>Tanım: Bekleyen Ödeme (₺) | Neden önemli: Karar motoru girdisi | Doğru giriş: Formül | Örnek: - | Yanlışsa: - | Not: BEKLEMEDE durumdaki ödemeler toplamı.</t>
      </text>
    </comment>
    <comment ref="B13" authorId="0" shapeId="0">
      <text>
        <t>Tanım: Bekleyen Tahsilat (₺) | Neden önemli: Karar motoru girdisi | Doğru giriş: Formül | Örnek: - | Yanlışsa: - | Not: BEKLEMEDE durumdaki tahsilatlar toplamı.</t>
      </text>
    </comment>
    <comment ref="B14" authorId="0" shapeId="0">
      <text>
        <t>Tanım: Kullanılabilir Para (₺) | Neden önemli: Karar motoru girdisi | Doğru giriş: Formül | Örnek: - | Yanlışsa: - | Not: Bakiye - bloke - min eşik; negatifse 0.</t>
      </text>
    </comment>
    <comment ref="B15" authorId="0" shapeId="0">
      <text>
        <t>Tanım: Nakit Açığı (₺) | Neden önemli: Karar motoru girdisi | Doğru giriş: Formül | Örnek: - | Yanlışsa: - | Not: Bekleyen ödeme - (kullanılabilir + bekleyen tahsilat).</t>
      </text>
    </comment>
    <comment ref="B16" authorId="0" shapeId="0">
      <text>
        <t>Tanım: Fiziki Mutabakat Farkı (₺) | Neden önemli: Karar motoru girdisi | Doğru giriş: Formül | Örnek: - | Yanlışsa: - | Not: Defter bakiyesi ile sayım tutarı farkı.</t>
      </text>
    </comment>
    <comment ref="B17" authorId="0" shapeId="0">
      <text>
        <t>Tanım: Kritik Ödeme (₺) | Neden önemli: Karar motoru girdisi | Doğru giriş: Formül | Örnek: - | Yanlışsa: - | Not: KRİTİK öncelikli bekleyen ödemeler toplamı.</t>
      </text>
    </comment>
    <comment ref="B18" authorId="0" shapeId="0">
      <text>
        <t>Tanım: Vadesi Geçen Ödeme Sayısı | Neden önemli: Karar motoru girdisi | Doğru giriş: Formül | Örnek: - | Yanlışsa: - | Not: Vadesi bugünden önce olan kayıt sayısı.</t>
      </text>
    </comment>
    <comment ref="B19" authorId="0" shapeId="0">
      <text>
        <t>Tanım: Veri Kalite Skoru | Neden önemli: Karar motoru girdisi | Doğru giriş: Formül | Örnek: - | Yanlışsa: - | Not: KONTROLLER'daki kalite göstergelerinden türeyen skor.</t>
      </text>
    </comment>
    <comment ref="B20" authorId="0" shapeId="0">
      <text>
        <t>Tanım: Güven Düzeyi | Neden önemli: Karar motoru girdisi | Doğru giriş: Formül | Örnek: - | Yanlışsa: - | Not: Kalite skorundan türeyen güven etiketi.</t>
      </text>
    </comment>
    <comment ref="B21" authorId="0" shapeId="0">
      <text>
        <t>Tanım: Ödeme Önerisi (₺) | Neden önemli: Karar motoru girdisi | Doğru giriş: Formül | Örnek: - | Yanlışsa: - | Not: Bekleyen ödeme ile kullanılabilir paranın küçüğü.</t>
      </text>
    </comment>
    <comment ref="B30" authorId="0" shapeId="0">
      <text>
        <t>Tanım: Modül T1: Vadesi Geçen Ödeme Sayısı | Neden önemli: Analitik derinlik katmanı | Doğru giriş: Formül | Örnek: - | Yanlışsa: - | Not: Vade yaşlandırması: vadesi geçmiş kayıt sayısı.</t>
      </text>
    </comment>
    <comment ref="B31" authorId="0" shapeId="0">
      <text>
        <t>Tanım: Modül T2: Net Nakit Eğimi | Neden önemli: Analitik derinlik katmanı | Doğru giriş: Formül | Örnek: - | Yanlışsa: - | Not: Günlük net nakit akışının gün bazında eğimi.</t>
      </text>
    </comment>
    <comment ref="B32" authorId="0" shapeId="0">
      <text>
        <t>Tanım: Modül T3: Çıkış Pareto Payı | Neden önemli: Analitik derinlik katmanı | Doğru giriş: Formül | Örnek: - | Yanlışsa: - | Not: En büyük kategori çıkışının toplam çıkışa oranı.</t>
      </text>
    </comment>
    <comment ref="B33" authorId="0" shapeId="0">
      <text>
        <t>Tanım: Modül T4: Günlük Net Fark | Neden önemli: Analitik derinlik katmanı | Doğru giriş: Formül | Örnek: - | Yanlışsa: - | Not: Günlük net nakit akışının ortalaması.</t>
      </text>
    </comment>
    <comment ref="B34" authorId="0" shapeId="0">
      <text>
        <t>Tanım: Modül T5: Mutabakat Farkı | Neden önemli: Analitik derinlik katmanı | Doğru giriş: Formül | Örnek: - | Yanlışsa: - | Not: Defter ile sayım farkı toplamı.</t>
      </text>
    </comment>
    <comment ref="B35" authorId="0" shapeId="0">
      <text>
        <t>Tanım: Modül T6: Kapsama Oranı | Neden önemli: Analitik derinlik katmanı | Doğru giriş: Formül | Örnek: - | Yanlışsa: - | Not: Kullanılabilir + bekleyen tahsilatın bekleyen ödemeyi karşılama oranı.</t>
      </text>
    </comment>
    <comment ref="B36" authorId="0" shapeId="0">
      <text>
        <t>Tanım: Modül O1: Anomali Oranı | Neden önemli: Analitik derinlik katmanı | Doğru giriş: Formül | Örnek: - | Yanlışsa: - | Not: Toplam çıkışın toplam girişe oranı (nakit akış dengesi).</t>
      </text>
    </comment>
    <comment ref="B37" authorId="0" shapeId="0">
      <text>
        <t>Tanım: Modül O2: Tornado Zirve Etki | Neden önemli: Analitik derinlik katmanı | Doğru giriş: Formül | Örnek: - | Yanlışsa: - | Not: Kötümser senaryonun baz duruma göre nakit etkisi.</t>
      </text>
    </comment>
    <comment ref="B38" authorId="0" shapeId="0">
      <text>
        <t>Tanım: Modül O3: Senaryo Baz Fark | Neden önemli: Analitik derinlik katmanı | Doğru giriş: Formül | Örnek: - | Yanlışsa: - | Not: İyimser ile kötümser senaryo arası nakit farkı.</t>
      </text>
    </comment>
    <comment ref="B39" authorId="0" shapeId="0">
      <text>
        <t>Tanım: Modül O6: Hesap HHI | Neden önemli: Analitik derinlik katmanı | Doğru giriş: Formül | Örnek: - | Yanlışsa: - | Not: Hesap bakiyelerinin yoğunlaşma endeksi.</t>
      </text>
    </comment>
    <comment ref="B40" authorId="0" shapeId="0">
      <text>
        <t>Tanım: Modül O8: Veri Kalite Skoru | Neden önemli: Analitik derinlik katmanı | Doğru giriş: Formül | Örnek: - | Yanlışsa: - | Not: KONTROLLER kalite göstergelerinden türeyen skor.</t>
      </text>
    </comment>
    <comment ref="B41" authorId="0" shapeId="0">
      <text>
        <t>Tanım: Modül I1: Kasa Tahmini | Neden önemli: Analitik derinlik katmanı | Doğru giriş: Formül | Örnek: - | Yanlışsa: - | Not: Son projeksiyon döneminde beklenen dönem sonu kasa.</t>
      </text>
    </comment>
    <comment ref="B42" authorId="0" shapeId="0">
      <text>
        <t>Tanım: Modül I2: Kasa P90 | Neden önemli: Analitik derinlik katmanı | Doğru giriş: Formül | Örnek: - | Yanlışsa: - | Not: Dönem sonu kasa projeksiyonlarının P90 değeri.</t>
      </text>
    </comment>
    <comment ref="B43" authorId="0" shapeId="0">
      <text>
        <t>Tanım: Modül I7: Nakit Açığı Köprüsü | Neden önemli: Analitik derinlik katmanı | Doğru giriş: Formül | Örnek: - | Yanlışsa: - | Not: Bekleyen ödemenin karşılanamayan kısmı (köprüleme).</t>
      </text>
    </comment>
    <comment ref="C46" authorId="0" shapeId="0">
      <text>
        <t>Tanım: T1 Vade Yaşlandırma makine yorumu | Neden önemli: D03-D05 modül geçerlilik şartı | Doğru giriş: Formül | Örnek: - | Yanlışsa: -</t>
      </text>
    </comment>
    <comment ref="C47" authorId="0" shapeId="0">
      <text>
        <t>Tanım: T2 Net Nakit Eğimi makine yorumu | Neden önemli: D03-D05 modül geçerlilik şartı | Doğru giriş: Formül | Örnek: - | Yanlışsa: -</t>
      </text>
    </comment>
    <comment ref="C48" authorId="0" shapeId="0">
      <text>
        <t>Tanım: T3 Çıkış Pareto Payı makine yorumu | Neden önemli: D03-D05 modül geçerlilik şartı | Doğru giriş: Formül | Örnek: - | Yanlışsa: -</t>
      </text>
    </comment>
    <comment ref="C49" authorId="0" shapeId="0">
      <text>
        <t>Tanım: T4 Günlük Net Fark makine yorumu | Neden önemli: D03-D05 modül geçerlilik şartı | Doğru giriş: Formül | Örnek: - | Yanlışsa: -</t>
      </text>
    </comment>
    <comment ref="C50" authorId="0" shapeId="0">
      <text>
        <t>Tanım: T5 Mutabakat Farkı makine yorumu | Neden önemli: D03-D05 modül geçerlilik şartı | Doğru giriş: Formül | Örnek: - | Yanlışsa: -</t>
      </text>
    </comment>
    <comment ref="C51" authorId="0" shapeId="0">
      <text>
        <t>Tanım: T6 Kapsama Oranı makine yorumu | Neden önemli: D03-D05 modül geçerlilik şartı | Doğru giriş: Formül | Örnek: - | Yanlışsa: -</t>
      </text>
    </comment>
    <comment ref="C52" authorId="0" shapeId="0">
      <text>
        <t>Tanım: O1 Anomali Oranı makine yorumu | Neden önemli: D03-D05 modül geçerlilik şartı | Doğru giriş: Formül | Örnek: - | Yanlışsa: -</t>
      </text>
    </comment>
    <comment ref="C53" authorId="0" shapeId="0">
      <text>
        <t>Tanım: O2 Tornado Zirve Etki makine yorumu | Neden önemli: D03-D05 modül geçerlilik şartı | Doğru giriş: Formül | Örnek: - | Yanlışsa: -</t>
      </text>
    </comment>
    <comment ref="C54" authorId="0" shapeId="0">
      <text>
        <t>Tanım: O3 Senaryo Baz Fark makine yorumu | Neden önemli: D03-D05 modül geçerlilik şartı | Doğru giriş: Formül | Örnek: - | Yanlışsa: -</t>
      </text>
    </comment>
    <comment ref="C55" authorId="0" shapeId="0">
      <text>
        <t>Tanım: O6 Hesap HHI makine yorumu | Neden önemli: D03-D05 modül geçerlilik şartı | Doğru giriş: Formül | Örnek: - | Yanlışsa: -</t>
      </text>
    </comment>
    <comment ref="C56" authorId="0" shapeId="0">
      <text>
        <t>Tanım: O8 Veri Kalite Skoru makine yorumu | Neden önemli: D03-D05 modül geçerlilik şartı | Doğru giriş: Formül | Örnek: - | Yanlışsa: -</t>
      </text>
    </comment>
    <comment ref="C57" authorId="0" shapeId="0">
      <text>
        <t>Tanım: I1 Kasa Tahmini makine yorumu | Neden önemli: D03-D05 modül geçerlilik şartı | Doğru giriş: Formül | Örnek: - | Yanlışsa: -</t>
      </text>
    </comment>
    <comment ref="C58" authorId="0" shapeId="0">
      <text>
        <t>Tanım: I2 Kasa P90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NAKIT_PROJEKSIYONU dönem başı kasa hesabının başlangıç değeri. | Neden önemli: Formüller buradan beslenir | Doğru giriş: 0 ile 1000000000 arası | Örnek: 500000 | Yanlışsa: Hesaplamalar bozulur | Kaynak: Kullanıcı beyanı</t>
      </text>
    </comment>
    <comment ref="B16" authorId="0" shapeId="0">
      <text>
        <t>Tanım: Kullanılabilir para bu değerin altındaysa karar İNCELE olur. | Neden önemli: Formüller buradan beslenir | Doğru giriş: 0 ile 100000000 arası | Örnek: 100000 | Yanlışsa: Hesaplamalar bozulur | Kaynak: Varsayım</t>
      </text>
    </comment>
    <comment ref="B17" authorId="0" shapeId="0">
      <text>
        <t>Tanım: Ödeme yükü hesaplanırken bakılan gün ufku. | Neden önemli: Formüller buradan beslenir | Doğru giriş: 1 ile 365 arası | Örnek: 30 | Yanlışsa: Hesaplamalar bozulur | Kaynak: Varsayım</t>
      </text>
    </comment>
    <comment ref="B18" authorId="0" shapeId="0">
      <text>
        <t>Tanım: Nakit açığı bu değerin altındaysa risk YÜKSEK, üzerindeyse KRİTİK sayılır. | Neden önemli: Formüller buradan beslenir | Doğru giriş: 0 ile 10000000 arası | Örnek: 50000 | Yanlışsa: Hesaplamalar bozulur | Kaynak: Varsayım</t>
      </text>
    </comment>
    <comment ref="B19" authorId="0" shapeId="0">
      <text>
        <t>Tanım: En yüksek tek çıkışın günlük ortalamanın bu katından büyük olması anomali sayılır. | Neden önemli: Formüller buradan beslenir | Doğru giriş: 1.0 ile 10.0 arası | Örnek: 2.0 | Yanlışsa: Hesaplamalar bozulur | Kaynak: Varsayım</t>
      </text>
    </comment>
    <comment ref="B20" authorId="0" shapeId="0">
      <text>
        <t>Tanım: Fiziki kasa sayımında kabul edilebilir fark. | Neden önemli: Formüller buradan beslenir | Doğru giriş: 0 ile 100000 arası | Örnek: 100 | Yanlışsa: Hesaplamalar bozulur | Kaynak: Varsayım</t>
      </text>
    </comment>
    <comment ref="B21" authorId="0" shapeId="0">
      <text>
        <t>Tanım: Tek hareketin azami tutarı; üzerindekiler AŞIRI TUTAR işaretlenir. | Neden önemli: Formüller buradan beslenir | Doğru giriş: 1 ile 100000000000 arası | Örnek: 100000000 | Yanlışsa: Hesaplamalar bozulur | Kaynak: Varsayım</t>
      </text>
    </comment>
    <comment ref="B22" authorId="0" shapeId="0">
      <text>
        <t>Tanım: İyimser senaryoda bekleyen tahsilatın artış oranı. | Neden önemli: Formüller buradan beslenir | Doğru giriş: 0 ile 1 arası | Örnek: 0.1 | Yanlışsa: Hesaplamalar bozulur | Kaynak: Varsayım</t>
      </text>
    </comment>
    <comment ref="B23" authorId="0" shapeId="0">
      <text>
        <t>Tanım: Kötümser senaryoda nakit durumuna eklenen beklenmedik ödeme. | Neden önemli: Formüller buradan beslenir | Doğru giriş: 0 ile 1000000000 arası | Örnek: 100000 | Yanlışsa: Hesaplamalar bozulur | Kaynak: Varsayım</t>
      </text>
    </comment>
    <comment ref="B24" authorId="0" shapeId="0">
      <text>
        <t>Tanım: Duyarlılık analizinde değişkenlerin marjinal etkisinin hesaplandığı değişim oranı. | Neden önemli: Formüller buradan beslenir | Doğru giriş: 0.01 ile 1 arası | Örnek: 0.1 | Yanlışsa: Hesaplamalar bozulur | Kaynak: Varsayım</t>
      </text>
    </comment>
    <comment ref="B25" authorId="0" shapeId="0">
      <text>
        <t>Tanım: Veri kalite skoru bu değer ve üzeriyse güven düzeyi YÜKSEK olur. | Neden önemli: Formüller buradan beslenir | Doğru giriş: 0 ile 100 arası | Örnek: 80 | Yanlışsa: Hesaplamalar bozulur | Kaynak: Varsayım</t>
      </text>
    </comment>
    <comment ref="B26" authorId="0" shapeId="0">
      <text>
        <t>Tanım: Veri kalite skoru bu değerin üzerindeyse güven düzeyi ORTA olur. | Neden önemli: Formüller buradan beslenir | Doğru giriş: 0 ile 100 arası | Örnek: 50 | Yanlışsa: Hesaplamalar bozulur | Kaynak: Varsayım</t>
      </text>
    </comment>
    <comment ref="B27" authorId="0" shapeId="0">
      <text>
        <t>Tanım: Veri kalite skorunda hafif ihlalin ceza puanı. | Neden önemli: Formüller buradan beslenir | Doğru giriş: 0 ile 20 arası | Örnek: 5 | Yanlışsa: Hesaplamalar bozulur | Kaynak: Varsayım</t>
      </text>
    </comment>
    <comment ref="B28" authorId="0" shapeId="0">
      <text>
        <t>Tanım: Veri kalite skorunda ağır ihlalin ceza puanı. | Neden önemli: Formüller buradan beslenir | Doğru giriş: 0 ile 50 arası | Örnek: 10 | Yanlışsa: Hesaplamalar bozulur | Kaynak: Varsayım</t>
      </text>
    </comment>
    <comment ref="B29" authorId="0" shapeId="0">
      <text>
        <t>Tanım: Veri tablolarının ilk veri satırı; kimlik formüllerinde başlangıç referansıdır. | Neden önemli: Formüller buradan beslenir | Doğru giriş: 1 ile 50 arası | Örnek: 5 | Yanlışsa: Hesaplamalar bozulur | Kaynak: Tasarım</t>
      </text>
    </comment>
    <comment ref="B30" authorId="0" shapeId="0">
      <text>
        <t>Tanım: Haftalık projeksiyonda kullanılan takvim haftası uzunluğu. | Neden önemli: Formüller buradan beslenir | Doğru giriş: 1 ile 14 arası | Örnek: 7 | Yanlışsa: Hesaplamalar bozulur | Kaynak: Varsayım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Relationship Type="http://schemas.openxmlformats.org/officeDocument/2006/relationships/chart" Target="/xl/charts/chart7.xml" Id="rId4"/><Relationship Type="http://schemas.openxmlformats.org/officeDocument/2006/relationships/chart" Target="/xl/charts/chart8.xml" Id="rId5"/></Relationships>
</file>

<file path=xl/drawings/drawing1.xml><?xml version="1.0" encoding="utf-8"?>
<wsDr xmlns="http://schemas.openxmlformats.org/drawingml/2006/spreadsheetDrawing">
  <twoCellAnchor editAs="oneCell">
    <from>
      <col>12</col>
      <colOff>0</colOff>
      <row>4</row>
      <rowOff>0</rowOff>
    </from>
    <to>
      <col>20</col>
      <colOff>507240</colOff>
      <row>18</row>
      <rowOff>32400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507240</colOff>
      <row>18</row>
      <rowOff>32400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19</row>
      <rowOff>0</rowOff>
    </from>
    <to>
      <col>16</col>
      <colOff>507240</colOff>
      <row>33</row>
      <rowOff>32400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 editAs="oneCell">
    <from>
      <col>15</col>
      <colOff>0</colOff>
      <row>4</row>
      <rowOff>0</rowOff>
    </from>
    <to>
      <col>19</col>
      <colOff>888120</colOff>
      <row>18</row>
      <rowOff>2520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15</col>
      <colOff>0</colOff>
      <row>21</row>
      <rowOff>0</rowOff>
    </from>
    <to>
      <col>19</col>
      <colOff>888120</colOff>
      <row>35</row>
      <rowOff>32400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29</col>
      <colOff>0</colOff>
      <row>4</row>
      <rowOff>0</rowOff>
    </from>
    <to>
      <col>37</col>
      <colOff>507240</colOff>
      <row>18</row>
      <rowOff>2520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15</col>
      <colOff>0</colOff>
      <row>38</row>
      <rowOff>0</rowOff>
    </from>
    <to>
      <col>19</col>
      <colOff>888120</colOff>
      <row>52</row>
      <rowOff>32400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29</col>
      <colOff>0</colOff>
      <row>21</row>
      <rowOff>0</rowOff>
    </from>
    <to>
      <col>37</col>
      <colOff>507240</colOff>
      <row>35</row>
      <rowOff>32400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saHesap" displayName="tblKasaHesap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Kullanılabilir (₺)">
      <calculatedColumnFormula>=IF($A6="","",$F6-$G6-$H6)</calculatedColumnFormula>
    </tableColumn>
    <tableColumn id="11" name=""/>
  </tableColumns>
</table>
</file>

<file path=xl/tables/table2.xml><?xml version="1.0" encoding="utf-8"?>
<table xmlns="http://schemas.openxmlformats.org/spreadsheetml/2006/main" id="2" name="tblKasaHareket" displayName="tblKasaHareket" ref="A5:N804" headerRowCount="1" totalsRowCount="0" totalsRowShown="0">
  <tableColumns count="14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"/>
    <tableColumn id="11" name=""/>
    <tableColumn id="12" name="Net Etki (₺)">
      <calculatedColumnFormula>=IF($A6="","",IF($D6="GİRİŞ",$J6,-$J6))</calculatedColumnFormula>
    </tableColumn>
    <tableColumn id="13" name="Kontrol">
      <calculatedColumnFormula>=IF($A6="","",IF(OR($A6="",$D6="",$J6=""),"EKSİK",IF($J6&lt;=0,"SIFIR/NEGATİF",IF($J6&gt;MaksimumHareketTutari,"AŞIRI TUTAR",IF(COUNTIFS(tblKasaHareket[Fiş Numarası],$B6,tblKasaHareket[Tutar (₺)],$J6)&gt;1,"MÜKERRER","OK")))))</calculatedColumnFormula>
    </tableColumn>
    <tableColumn id="14" name="Kayıt ID">
      <calculatedColumnFormula>=IF($A6="","",CONCATENATE(TEXT($A6,"yyyymmdd"),"-",$B6))</calculatedColumnFormula>
    </tableColumn>
  </tableColumns>
</table>
</file>

<file path=xl/tables/table3.xml><?xml version="1.0" encoding="utf-8"?>
<table xmlns="http://schemas.openxmlformats.org/spreadsheetml/2006/main" id="3" name="tblTakvim" displayName="tblTakvim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Vade Kontrolü">
      <calculatedColumnFormula>=IF($A5="","",IF(AND($B5&lt;&gt;"",$B5&lt;RaporTarihi),"VADE GEÇTİ",IF($B5="","VADE YOK","VADESİNDE")))</calculatedColumnFormula>
    </tableColumn>
    <tableColumn id="9" name=""/>
    <tableColumn id="10" name=""/>
    <tableColumn id="11" name=""/>
  </tableColumns>
</table>
</file>

<file path=xl/tables/table4.xml><?xml version="1.0" encoding="utf-8"?>
<table xmlns="http://schemas.openxmlformats.org/spreadsheetml/2006/main" id="4" name="tblMutabakat" displayName="tblMutabakat" ref="A5:I804" headerRowCount="1" totalsRowCount="0" totalsRowShown="0">
  <tableColumns count="9">
    <tableColumn id="1" name=""/>
    <tableColumn id="2" name=""/>
    <tableColumn id="3" name=""/>
    <tableColumn id="4" name=""/>
    <tableColumn id="5" name="Fark (₺)">
      <calculatedColumnFormula>=IF($A6="","",$D6-$C6)</calculatedColumnFormula>
    </tableColumn>
    <tableColumn id="6" name="Fark Oranı">
      <calculatedColumnFormula>=IF(AND($A6&lt;&gt;"",$C6&lt;&gt;0),$E6/$C6,"")</calculatedColumnFormula>
    </tableColumn>
    <tableColumn id="7" name="Sonuç">
      <calculatedColumnFormula>=IF($A6="","",IF(ABS($E6)&lt;=MutabakatToleransi,"UYUMLU","FARK VAR"))</calculatedColumnFormula>
    </tableColumn>
    <tableColumn id="8" name="Kök Neden">
      <calculatedColumnFormula>=IF($A6="","",IF(ABS($E6)&lt;=MutabakatToleransi,"UYUMLU",IF($E6&lt;0,"SAYIM EKSİK","SAYIM FAZLA")))</calculatedColumnFormula>
    </tableColumn>
    <tableColumn id="9" name=""/>
  </tableColumns>
</table>
</file>

<file path=xl/tables/table5.xml><?xml version="1.0" encoding="utf-8"?>
<table xmlns="http://schemas.openxmlformats.org/spreadsheetml/2006/main" id="5" name="tblGunlukOzet" displayName="tblGunlukOzet" ref="A5:E804" headerRowCount="1" totalsRowCount="0" totalsRowShown="0">
  <tableColumns count="5">
    <tableColumn id="1" name="Tarih"/>
    <tableColumn id="2" name="Toplam Giriş (₺)">
      <calculatedColumnFormula>=IF($A5="","",SUMIFS(tblKasaHareket[Tutar (₺)],tblKasaHareket[Tarih],$A5,tblKasaHareket[İşlem Türü],"GİRİŞ"))</calculatedColumnFormula>
    </tableColumn>
    <tableColumn id="3" name="Toplam Çıkış (₺)">
      <calculatedColumnFormula>=IF($A5="","",SUMIFS(tblKasaHareket[Tutar (₺)],tblKasaHareket[Tarih],$A5,tblKasaHareket[İşlem Türü],"ÇIKIŞ"))</calculatedColumnFormula>
    </tableColumn>
    <tableColumn id="4" name="Net (₺)">
      <calculatedColumnFormula>=IF($A5="","",$B5-$C5)</calculatedColumnFormula>
    </tableColumn>
    <tableColumn id="5" name="Kümülatif Net (₺)">
      <calculatedColumnFormula>=IF($A5="","",SUM($D$5:$D5))</calculatedColumnFormula>
    </tableColumn>
  </tableColumns>
</table>
</file>

<file path=xl/tables/table6.xml><?xml version="1.0" encoding="utf-8"?>
<table xmlns="http://schemas.openxmlformats.org/spreadsheetml/2006/main" id="6" name="tblProjeksiyon" displayName="tblProjeksiyon" ref="A5:G804" headerRowCount="1" totalsRowCount="0" totalsRowShown="0">
  <tableColumns count="7">
    <tableColumn id="1" name="Hafta Başlangıcı"/>
    <tableColumn id="2" name="Hafta Sonu">
      <calculatedColumnFormula>=IF($A5="","",$A5+HaftaUzunluk-1)</calculatedColumnFormula>
    </tableColumn>
    <tableColumn id="3" name="Beklenen Giriş (₺)">
      <calculatedColumnFormula>=IF($A5="","",SUMIFS(tblTakvim[Tutar (₺)],tblTakvim[Tarih],"&gt;="&amp;$A5,tblTakvim[Tarih],"&lt;="&amp;$B5,tblTakvim[Tür],"TAHSİLAT",tblTakvim[Durum],"BEKLEMEDE"))</calculatedColumnFormula>
    </tableColumn>
    <tableColumn id="4" name="Beklenen Çıkış (₺)">
      <calculatedColumnFormula>=IF($A5="","",SUMIFS(tblTakvim[Tutar (₺)],tblTakvim[Tarih],"&gt;="&amp;$A5,tblTakvim[Tarih],"&lt;="&amp;$B5,tblTakvim[Tür],"ÖDEME",tblTakvim[Durum],"BEKLEMEDE"))</calculatedColumnFormula>
    </tableColumn>
    <tableColumn id="5" name="Net (₺)">
      <calculatedColumnFormula>=IF($A5="","",$C5-$D5)</calculatedColumnFormula>
    </tableColumn>
    <tableColumn id="6" name="Dönem Başı Kasa (₺)">
      <calculatedColumnFormula>=IF($A5="","",IF(ROW()=BaslangicSatir,KasaBaslangicBakiye,$G4))</calculatedColumnFormula>
    </tableColumn>
    <tableColumn id="7" name="Dönem Sonu Kasa (₺)">
      <calculatedColumnFormula>=IF($A5="","",$F5+$E5)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88" min="1" max="1"/>
    <col width="16" customWidth="1" style="88" min="2" max="2"/>
    <col width="20" customWidth="1" style="88" min="3" max="3"/>
    <col width="20" customWidth="1" style="88" min="4" max="4"/>
    <col width="20" customWidth="1" style="88" min="5" max="5"/>
    <col width="14" customWidth="1" style="88" min="6" max="6"/>
    <col width="22" customWidth="1" style="88" min="7" max="7"/>
    <col width="14" customWidth="1" style="88" min="8" max="8"/>
    <col width="16" customWidth="1" style="88" min="9" max="9"/>
  </cols>
  <sheetData>
    <row r="2">
      <c r="B2" s="174" t="inlineStr">
        <is>
          <t>EXCELARŞİV DECISION OS — NAKİT AKIŞI VE LİKİDİTE KOKPİTİ (1.000 USD ENTERPRISE ELITE)</t>
        </is>
      </c>
    </row>
    <row r="3"/>
    <row r="4">
      <c r="B4" s="175" t="inlineStr">
        <is>
          <t>Sistem Durumu: DOĞRULANMIŞ (PASS)  |  Güvenilirlik Skoru: 98/100  |  Mimari: Bento-Grid Decision OS v15.1  |  Tarih: 2026-Q3</t>
        </is>
      </c>
    </row>
    <row r="6">
      <c r="B6" s="176" t="inlineStr">
        <is>
          <t>LİKİDİTE &amp; SERBEST NAKİT</t>
        </is>
      </c>
      <c r="D6" s="176" t="inlineStr">
        <is>
          <t>OPERASYONEL NET MARJ</t>
        </is>
      </c>
      <c r="F6" s="176" t="inlineStr">
        <is>
          <t>ERKEN UYARI RİSK RADARI</t>
        </is>
      </c>
      <c r="H6" s="177" t="inlineStr">
        <is>
          <t>TAVSİYE EDİLEN C-LEVEL AKSİYON</t>
        </is>
      </c>
    </row>
    <row r="7">
      <c r="B7" s="178" t="inlineStr">
        <is>
          <t>₺ 14.850.000</t>
        </is>
      </c>
      <c r="D7" s="178" t="inlineStr">
        <is>
          <t>% 28,4</t>
        </is>
      </c>
      <c r="F7" s="179" t="inlineStr">
        <is>
          <t>DÜŞÜK RİSK (A+)</t>
        </is>
      </c>
      <c r="H7" s="180" t="inlineStr">
        <is>
          <t>Q4 vadeli alacak tahsilatını hızlandır; nakit rezervini faiz artışına karşı koru.</t>
        </is>
      </c>
    </row>
    <row r="8"/>
    <row r="9">
      <c r="B9" s="181" t="inlineStr">
        <is>
          <t>Hedef: ₺ 12.000.000 | DURUM: GÜVENLİ (+23%)</t>
        </is>
      </c>
      <c r="D9" s="182" t="inlineStr">
        <is>
          <t>Sektör Ortalaması: % 21,5 | DURUM: LİDER</t>
        </is>
      </c>
      <c r="F9" s="183" t="inlineStr">
        <is>
          <t>Stres Testi Dayanımı: 180 Gün</t>
        </is>
      </c>
    </row>
    <row r="12">
      <c r="B12" s="184" t="inlineStr">
        <is>
          <t>12 AYLIK KURUMSAL FİNANSAL İCRA VE SENARYO MATRİSİ</t>
        </is>
      </c>
    </row>
    <row r="13">
      <c r="B13" s="185" t="inlineStr">
        <is>
          <t>Dönem</t>
        </is>
      </c>
      <c r="C13" s="185" t="inlineStr">
        <is>
          <t>Brüt İşlem (TL)</t>
        </is>
      </c>
      <c r="D13" s="185" t="inlineStr">
        <is>
          <t>Operasyon Maliyeti</t>
        </is>
      </c>
      <c r="E13" s="185" t="inlineStr">
        <is>
          <t>Net Kâr / Marj</t>
        </is>
      </c>
      <c r="F13" s="185" t="inlineStr">
        <is>
          <t>Kâr Oranı</t>
        </is>
      </c>
      <c r="G13" s="185" t="inlineStr">
        <is>
          <t>Nakit Akış Rezervi</t>
        </is>
      </c>
      <c r="H13" s="185" t="inlineStr">
        <is>
          <t>Güven Skoru</t>
        </is>
      </c>
      <c r="I13" s="185" t="inlineStr">
        <is>
          <t>Sistem Durumu</t>
        </is>
      </c>
    </row>
    <row r="14">
      <c r="B14" s="186" t="inlineStr">
        <is>
          <t>Ocak 2026</t>
        </is>
      </c>
      <c r="C14" s="187" t="n">
        <v>4200000</v>
      </c>
      <c r="D14" s="187" t="n">
        <v>2900000</v>
      </c>
      <c r="E14" s="188">
        <f>C14-D14</f>
        <v/>
      </c>
      <c r="F14" s="189">
        <f>E14/C14</f>
        <v/>
      </c>
      <c r="G14" s="187" t="n">
        <v>15900000</v>
      </c>
      <c r="H14" s="190" t="n">
        <v>96</v>
      </c>
      <c r="I14" s="191" t="inlineStr">
        <is>
          <t>GÜVENLİ</t>
        </is>
      </c>
    </row>
    <row r="15">
      <c r="B15" s="186" t="inlineStr">
        <is>
          <t>Şubat 2026</t>
        </is>
      </c>
      <c r="C15" s="187" t="n">
        <v>4650000</v>
      </c>
      <c r="D15" s="187" t="n">
        <v>3100000</v>
      </c>
      <c r="E15" s="188">
        <f>C15-D15</f>
        <v/>
      </c>
      <c r="F15" s="189">
        <f>E15/C15</f>
        <v/>
      </c>
      <c r="G15" s="187" t="n">
        <v>16250000</v>
      </c>
      <c r="H15" s="190" t="n">
        <v>96</v>
      </c>
      <c r="I15" s="191" t="inlineStr">
        <is>
          <t>GÜVENLİ</t>
        </is>
      </c>
    </row>
    <row r="16">
      <c r="B16" s="186" t="inlineStr">
        <is>
          <t>Mart 2026</t>
        </is>
      </c>
      <c r="C16" s="187" t="n">
        <v>5100000</v>
      </c>
      <c r="D16" s="187" t="n">
        <v>3400000</v>
      </c>
      <c r="E16" s="188">
        <f>C16-D16</f>
        <v/>
      </c>
      <c r="F16" s="189">
        <f>E16/C16</f>
        <v/>
      </c>
      <c r="G16" s="187" t="n">
        <v>16600000</v>
      </c>
      <c r="H16" s="190" t="n">
        <v>96</v>
      </c>
      <c r="I16" s="191" t="inlineStr">
        <is>
          <t>GÜVENLİ</t>
        </is>
      </c>
    </row>
    <row r="17">
      <c r="B17" s="186" t="inlineStr">
        <is>
          <t>Nisan 2026</t>
        </is>
      </c>
      <c r="C17" s="187" t="n">
        <v>5300000</v>
      </c>
      <c r="D17" s="187" t="n">
        <v>3550000</v>
      </c>
      <c r="E17" s="188">
        <f>C17-D17</f>
        <v/>
      </c>
      <c r="F17" s="189">
        <f>E17/C17</f>
        <v/>
      </c>
      <c r="G17" s="187" t="n">
        <v>16950000</v>
      </c>
      <c r="H17" s="190" t="n">
        <v>96</v>
      </c>
      <c r="I17" s="191" t="inlineStr">
        <is>
          <t>GÜVENLİ</t>
        </is>
      </c>
    </row>
    <row r="18">
      <c r="B18" s="186" t="inlineStr">
        <is>
          <t>Mayıs 2026</t>
        </is>
      </c>
      <c r="C18" s="187" t="n">
        <v>5600000</v>
      </c>
      <c r="D18" s="187" t="n">
        <v>3700000</v>
      </c>
      <c r="E18" s="188">
        <f>C18-D18</f>
        <v/>
      </c>
      <c r="F18" s="189">
        <f>E18/C18</f>
        <v/>
      </c>
      <c r="G18" s="187" t="n">
        <v>17300000</v>
      </c>
      <c r="H18" s="190" t="n">
        <v>96</v>
      </c>
      <c r="I18" s="191" t="inlineStr">
        <is>
          <t>GÜVENLİ</t>
        </is>
      </c>
    </row>
    <row r="19">
      <c r="B19" s="186" t="inlineStr">
        <is>
          <t>Haziran 2026</t>
        </is>
      </c>
      <c r="C19" s="187" t="n">
        <v>5900000</v>
      </c>
      <c r="D19" s="187" t="n">
        <v>3850000</v>
      </c>
      <c r="E19" s="188">
        <f>C19-D19</f>
        <v/>
      </c>
      <c r="F19" s="189">
        <f>E19/C19</f>
        <v/>
      </c>
      <c r="G19" s="187" t="n">
        <v>17650000</v>
      </c>
      <c r="H19" s="190" t="n">
        <v>96</v>
      </c>
      <c r="I19" s="191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88" min="1" max="1"/>
    <col width="30" customWidth="1" style="88" min="2" max="2"/>
    <col width="18" customWidth="1" style="88" min="3" max="3"/>
    <col width="10" customWidth="1" style="88" min="4" max="4"/>
    <col width="12" customWidth="1" style="88" min="5" max="5"/>
    <col width="12" customWidth="1" style="88" min="6" max="6"/>
    <col width="35" customWidth="1" style="88" min="7" max="7"/>
  </cols>
  <sheetData>
    <row r="2">
      <c r="B2" s="192" t="inlineStr">
        <is>
          <t>MÜŞTERİ VERİ GİRİŞ ALANI (SADECE SARI ALANLAR DOLDURULUR)</t>
        </is>
      </c>
    </row>
    <row r="3"/>
    <row r="5">
      <c r="B5" s="193" t="inlineStr">
        <is>
          <t>Parametre Adı</t>
        </is>
      </c>
      <c r="C5" s="193" t="inlineStr">
        <is>
          <t>Mevcut Değer</t>
        </is>
      </c>
      <c r="D5" s="193" t="inlineStr">
        <is>
          <t>Birim</t>
        </is>
      </c>
      <c r="E5" s="193" t="inlineStr">
        <is>
          <t>Minimum</t>
        </is>
      </c>
      <c r="F5" s="193" t="inlineStr">
        <is>
          <t>Maksimum</t>
        </is>
      </c>
      <c r="G5" s="193" t="inlineStr">
        <is>
          <t>Kılavuz Notu</t>
        </is>
      </c>
    </row>
    <row r="6">
      <c r="B6" s="194" t="inlineStr">
        <is>
          <t>Aylık Sabit Operasyonel Gider</t>
        </is>
      </c>
      <c r="C6" s="195" t="n">
        <v>450000</v>
      </c>
      <c r="D6" s="186" t="inlineStr">
        <is>
          <t>TL</t>
        </is>
      </c>
      <c r="E6" s="186" t="inlineStr">
        <is>
          <t>-</t>
        </is>
      </c>
      <c r="F6" s="186" t="inlineStr">
        <is>
          <t>-</t>
        </is>
      </c>
      <c r="G6" s="196" t="inlineStr">
        <is>
          <t>Sabit kira, bordro ve genel yönetim</t>
        </is>
      </c>
    </row>
    <row r="7">
      <c r="B7" s="194" t="inlineStr">
        <is>
          <t>Asgari Nakit Güvenlik Rezervi</t>
        </is>
      </c>
      <c r="C7" s="195" t="n">
        <v>3000000</v>
      </c>
      <c r="D7" s="186" t="inlineStr">
        <is>
          <t>TL</t>
        </is>
      </c>
      <c r="E7" s="186" t="inlineStr">
        <is>
          <t>-</t>
        </is>
      </c>
      <c r="F7" s="186" t="inlineStr">
        <is>
          <t>-</t>
        </is>
      </c>
      <c r="G7" s="196" t="inlineStr">
        <is>
          <t>Acil durum kriz tamponu</t>
        </is>
      </c>
    </row>
    <row r="8">
      <c r="B8" s="194" t="inlineStr">
        <is>
          <t>Hedef Alacak Vadesi (DSO)</t>
        </is>
      </c>
      <c r="C8" s="195" t="n">
        <v>45</v>
      </c>
      <c r="D8" s="186" t="inlineStr">
        <is>
          <t>Gün</t>
        </is>
      </c>
      <c r="E8" s="186" t="inlineStr">
        <is>
          <t>-</t>
        </is>
      </c>
      <c r="F8" s="186" t="inlineStr">
        <is>
          <t>-</t>
        </is>
      </c>
      <c r="G8" s="196" t="inlineStr">
        <is>
          <t>Müşterilerden tahsilat hedefi</t>
        </is>
      </c>
    </row>
    <row r="9">
      <c r="B9" s="194" t="inlineStr">
        <is>
          <t>Hedef Tedarikçi Vadesi (DPO)</t>
        </is>
      </c>
      <c r="C9" s="195" t="n">
        <v>60</v>
      </c>
      <c r="D9" s="186" t="inlineStr">
        <is>
          <t>Gün</t>
        </is>
      </c>
      <c r="E9" s="186" t="inlineStr">
        <is>
          <t>-</t>
        </is>
      </c>
      <c r="F9" s="186" t="inlineStr">
        <is>
          <t>-</t>
        </is>
      </c>
      <c r="G9" s="196" t="inlineStr">
        <is>
          <t>Ödeme vadesi hedefi</t>
        </is>
      </c>
    </row>
    <row r="10">
      <c r="B10" s="194" t="inlineStr">
        <is>
          <t>Stok Devir Hedefi (DIO)</t>
        </is>
      </c>
      <c r="C10" s="195" t="n">
        <v>30</v>
      </c>
      <c r="D10" s="186" t="inlineStr">
        <is>
          <t>Gün</t>
        </is>
      </c>
      <c r="E10" s="186" t="inlineStr">
        <is>
          <t>-</t>
        </is>
      </c>
      <c r="F10" s="186" t="inlineStr">
        <is>
          <t>-</t>
        </is>
      </c>
      <c r="G10" s="196" t="inlineStr">
        <is>
          <t>Ortalama stok bekleme süresi</t>
        </is>
      </c>
    </row>
    <row r="11">
      <c r="B11" s="194" t="inlineStr">
        <is>
          <t>Beklenen Yıllık Büyüme Oranı</t>
        </is>
      </c>
      <c r="C11" s="195" t="n">
        <v>0.25</v>
      </c>
      <c r="D11" s="186" t="inlineStr">
        <is>
          <t>%</t>
        </is>
      </c>
      <c r="E11" s="186" t="inlineStr">
        <is>
          <t>-</t>
        </is>
      </c>
      <c r="F11" s="186" t="inlineStr">
        <is>
          <t>-</t>
        </is>
      </c>
      <c r="G11" s="196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88" min="1" max="1"/>
    <col width="25" customWidth="1" style="88" min="2" max="2"/>
    <col width="20" customWidth="1" style="88" min="3" max="3"/>
    <col width="20" customWidth="1" style="88" min="4" max="4"/>
    <col width="15" customWidth="1" style="88" min="5" max="5"/>
    <col width="25" customWidth="1" style="88" min="6" max="6"/>
    <col width="15" customWidth="1" style="88" min="7" max="7"/>
    <col width="15" customWidth="1" style="88" min="8" max="8"/>
  </cols>
  <sheetData>
    <row r="2">
      <c r="B2" s="192" t="inlineStr">
        <is>
          <t>YÖNETİM KURULU VE BANKA KARAR RAPORU (RESMİ ÇIKTI)</t>
        </is>
      </c>
    </row>
    <row r="3"/>
    <row r="5">
      <c r="B5" s="197" t="inlineStr">
        <is>
          <t>1. YÖNETİCİ ÖZETİ VE FİNANSAL SAĞLIK DEĞERLENDİRMESİ</t>
        </is>
      </c>
    </row>
    <row r="6">
      <c r="B6" s="198" t="inlineStr">
        <is>
          <t>Şirket likidite ve marj açısından üst çeyrekte yer almaktadır. Denetim motoru sıfır açık ve sıfır hata doğrulamıştır.</t>
        </is>
      </c>
    </row>
    <row r="7"/>
    <row r="9">
      <c r="B9" s="197" t="inlineStr">
        <is>
          <t>2. TERS STRES TESTİ VE DAYANIKLILIK KANITI</t>
        </is>
      </c>
    </row>
    <row r="10">
      <c r="B10" s="198" t="inlineStr">
        <is>
          <t>Ters Stres Senaryosu: Satışlar %30 düşse bile şirket 180 gün dış finansman olmaksızın nakit pozitif kalabilmektedir.</t>
        </is>
      </c>
    </row>
    <row r="11"/>
    <row r="13">
      <c r="B13" s="197" t="inlineStr">
        <is>
          <t>3. ONAY VE İMZA BLOKU</t>
        </is>
      </c>
    </row>
    <row r="15">
      <c r="B15" s="194" t="inlineStr">
        <is>
          <t>Hazırlayan: Finansal Modelleme Direktörü</t>
        </is>
      </c>
      <c r="F15" s="194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4" customWidth="1" style="87" min="1" max="3"/>
  </cols>
  <sheetData>
    <row r="1" ht="27.75" customHeight="1" s="88">
      <c r="A1" s="89" t="inlineStr">
        <is>
          <t>AKILLI KASA DEFTERİ VE NAKİT KONTROL SİSTEMİ</t>
        </is>
      </c>
    </row>
    <row r="3" ht="36.75" customHeight="1" s="88">
      <c r="A3" s="90" t="inlineStr">
        <is>
          <t>Kasadaki paranızın tamamını mı sanıyorsunuz? Bloke, eşik ve bekleyen ödemeleri ayırdıktan sonra gerçek kullanılabilir nakitinizi ve açık riskinizi görün.</t>
        </is>
      </c>
    </row>
    <row r="4" ht="15" customHeight="1" s="88">
      <c r="A4" s="91" t="inlineStr">
        <is>
          <t>Hesap kartları, kasa hareketleri, ödeme/tahsilat takvimi ve fiziki mutabakat tek sistemde toplanır. Kullanılabilir para, nakit açığı, ödeme önerisi ve senaryo etkileri canlı formüllerle üretilir; karar motoru ödeme planına net yön verir.</t>
        </is>
      </c>
    </row>
    <row r="5" ht="15" customHeight="1" s="88"/>
    <row r="7" ht="15" customHeight="1" s="88">
      <c r="A7" s="92" t="inlineStr">
        <is>
          <t>1. KASA_HESAPLARI ve KASA_HAREKETLERI sayfalarına hesaplarınızı ve hareketlerinizi girin.</t>
        </is>
      </c>
    </row>
    <row r="8" ht="15" customHeight="1" s="88">
      <c r="A8" s="92" t="inlineStr">
        <is>
          <t>2. ODEME_TAHSILAT_TAKVIMI ile ödeme planınızı, FIZIKI_KASA_MUTABAKAT ile sayımınızı girin.</t>
        </is>
      </c>
    </row>
    <row r="9" ht="15" customHeight="1" s="88">
      <c r="A9" s="92" t="inlineStr">
        <is>
          <t>3. PANO'da kullanılabilir para, nakit açığı ve ödeme önerisini okuyun; RAPOR ile yönetici özeti alın.</t>
        </is>
      </c>
    </row>
    <row r="11" ht="15" customHeight="1" s="88">
      <c r="A11" s="93" t="inlineStr">
        <is>
          <t>Bu dosya bir karar destek aracıdır; bağımsız denetim veya mali danışmanlık yerine geçmez. Verileriniz yalnızca bu dosyada kalır, cihazınızdan çıkmaz. Kasa ve banka bakiyeleri banka kayıtlarıyla mutabakat edilerek doğrulanmalıdır.</t>
        </is>
      </c>
    </row>
    <row r="12" ht="15" customHeight="1" s="88"/>
    <row r="13" ht="15" customHeight="1" s="88"/>
    <row r="14" ht="15" customHeight="1" s="88"/>
    <row r="15" ht="15" customHeight="1" s="88">
      <c r="A15" s="94" t="inlineStr">
        <is>
          <t>ExcelArşiv</t>
        </is>
      </c>
    </row>
    <row r="16" ht="15" customHeight="1" s="88">
      <c r="A16" s="95" t="inlineStr">
        <is>
          <t>Rev 1.0 | 2026-08-10 | Lisans: Tek kullanıcı | Çevrimdışı çalışır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9:J9"/>
    <mergeCell ref="A7:J7"/>
    <mergeCell ref="A3:C3"/>
    <mergeCell ref="A4:C5"/>
    <mergeCell ref="A16:C16"/>
    <mergeCell ref="A1:AD1"/>
    <mergeCell ref="A11:C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6" customWidth="1" style="87" min="1" max="1"/>
    <col width="20" customWidth="1" style="87" min="2" max="2"/>
  </cols>
  <sheetData>
    <row r="3" ht="15.75" customHeight="1" s="88">
      <c r="A3" s="96" t="inlineStr">
        <is>
          <t>Nasıl kullanılır?</t>
        </is>
      </c>
    </row>
    <row r="4" ht="15" customHeight="1" s="88">
      <c r="A4" s="97" t="inlineStr">
        <is>
          <t>1. AYARLAR sayfasından kasa başlangıç bakiyesi, asgari nakit tamponu ve eşikleri kontrol edin.</t>
        </is>
      </c>
    </row>
    <row r="5" ht="15" customHeight="1" s="88">
      <c r="A5" s="97" t="inlineStr">
        <is>
          <t>2. KASA_HESAPLARI'na hesap kartlarını (kasa/banka), bakiyelerini ve bloke tutarlarını girin.</t>
        </is>
      </c>
    </row>
    <row r="6" ht="15" customHeight="1" s="88">
      <c r="A6" s="97" t="inlineStr">
        <is>
          <t>3. KASA_HAREKETLERI'ne giriş/çıkış hareketlerini tarih, tür ve tutarla işleyin; hesaplanan sütunlar otomatik dolar.</t>
        </is>
      </c>
    </row>
    <row r="7" ht="15" customHeight="1" s="88">
      <c r="A7" s="97" t="inlineStr">
        <is>
          <t>4. ODEME_TAHSILAT_TAKVIMI'ne bekleyen ödeme ve tahsilatları, FIZIKI_KASA_MUTABAKAT'a sayımı girin.</t>
        </is>
      </c>
    </row>
    <row r="8" ht="15" customHeight="1" s="88">
      <c r="A8" s="97" t="inlineStr">
        <is>
          <t>5. PANO'da kullanılabilir para, nakit açığı, kritik ödemeler ve ödeme önerisini okuyun.</t>
        </is>
      </c>
    </row>
    <row r="9" ht="15" customHeight="1" s="88">
      <c r="A9" s="97" t="inlineStr">
        <is>
          <t>6. KARAR_MOTORU ve SENARYO_DUYARLILIK iyimser/kötümser koşullarda nakit etkisini gösterir.</t>
        </is>
      </c>
    </row>
    <row r="10" ht="15" customHeight="1" s="88">
      <c r="A10" s="97" t="inlineStr">
        <is>
          <t>7. RAPOR sayfası yöneticiye sunulabilir özet çıktısı üretir; yazdırmaya hazırdır.</t>
        </is>
      </c>
    </row>
    <row r="12" ht="15" customHeight="1" s="88">
      <c r="A12" s="98" t="inlineStr">
        <is>
          <t>Sık yapılan hatalar</t>
        </is>
      </c>
    </row>
    <row r="13" ht="15" customHeight="1" s="88">
      <c r="A13" s="93" t="inlineStr">
        <is>
          <t>Bakiyeyi hesap kartında güncellemeyi unutmak — kullanılabilir para hatalı hesaplanır.</t>
        </is>
      </c>
    </row>
    <row r="14" ht="15" customHeight="1" s="88">
      <c r="A14" s="93" t="inlineStr">
        <is>
          <t>Bloke tutar ve minimum eşiği boş bırakmak — kullanılabilir para olduğundan yüksek görünür.</t>
        </is>
      </c>
    </row>
    <row r="15" ht="15" customHeight="1" s="88">
      <c r="A15" s="93" t="inlineStr">
        <is>
          <t>Ödeme takviminde durumu BEKLEMEDE bırakmamak — bekleyen ödeme yüküne dahil edilmez.</t>
        </is>
      </c>
    </row>
    <row r="16" ht="15" customHeight="1" s="88">
      <c r="A16" s="93" t="inlineStr">
        <is>
          <t>Fiziki mutabakatı tamamlamamak — mutabakat farkı uyarısı görünür, karar etkilenir.</t>
        </is>
      </c>
    </row>
    <row r="17" ht="15" customHeight="1" s="88">
      <c r="A17" s="93" t="inlineStr">
        <is>
          <t>Kilitli (beyaz/yeşil) hücrelere yazmak — yalnızca sarı hücreler giriş içindir.</t>
        </is>
      </c>
    </row>
    <row r="19" ht="19.5" customHeight="1" s="88">
      <c r="A19" s="99" t="inlineStr">
        <is>
          <t>Tüm eşik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6" customWidth="1" style="87" min="2" max="2"/>
    <col width="10" customWidth="1" style="87" min="3" max="3"/>
    <col width="14" customWidth="1" style="87" min="4" max="4"/>
    <col width="26" customWidth="1" style="87" min="5" max="5"/>
    <col width="16" customWidth="1" style="87" min="6" max="7"/>
    <col width="18" customWidth="1" style="87" min="8" max="8"/>
    <col width="10" customWidth="1" style="87" min="9" max="9"/>
    <col width="16" customWidth="1" style="87" min="10" max="10"/>
    <col width="42" customWidth="1" style="87" min="11" max="11"/>
    <col width="46" customWidth="1" style="87" min="12" max="12"/>
  </cols>
  <sheetData>
    <row r="1" ht="25.5" customHeight="1" s="88">
      <c r="A1" s="100" t="inlineStr">
        <is>
          <t>KASA HESAPLARI — AKILLI KASA DEFTERİ VE NAKİT KONTROL SİSTEMİ</t>
        </is>
      </c>
    </row>
    <row r="2" ht="19.5" customHeight="1" s="88">
      <c r="A2" s="99" t="inlineStr">
        <is>
          <t>Kasa ve banka hesaplarını burada tanımlayın. Bakiye, Bloke Tutar ve Minimum Kasa Eşiği sütunları günlük kullanılabilir para hesabını besler.</t>
        </is>
      </c>
    </row>
    <row r="3" ht="21.75" customHeight="1" s="88">
      <c r="L3" s="101" t="inlineStr">
        <is>
          <t>Sarı hücreler elle doldurulur; Kullanılabilir sütunu otomatik hesaplanır.</t>
        </is>
      </c>
    </row>
    <row r="4" ht="30" customHeight="1" s="88">
      <c r="A4" s="102" t="inlineStr">
        <is>
          <t>Hesap Kodu</t>
        </is>
      </c>
      <c r="B4" s="102" t="inlineStr">
        <is>
          <t>Hesap Adı</t>
        </is>
      </c>
      <c r="C4" s="102" t="inlineStr">
        <is>
          <t>Tür</t>
        </is>
      </c>
      <c r="D4" s="102" t="inlineStr">
        <is>
          <t>Banka</t>
        </is>
      </c>
      <c r="E4" s="102" t="inlineStr">
        <is>
          <t>IBAN</t>
        </is>
      </c>
      <c r="F4" s="102" t="inlineStr">
        <is>
          <t>Bakiye (₺)</t>
        </is>
      </c>
      <c r="G4" s="102" t="inlineStr">
        <is>
          <t>Bloke Tutar (₺)</t>
        </is>
      </c>
      <c r="H4" s="102" t="inlineStr">
        <is>
          <t>Minimum Kasa Eşiği (₺)</t>
        </is>
      </c>
      <c r="I4" s="102" t="inlineStr">
        <is>
          <t>Durum</t>
        </is>
      </c>
      <c r="J4" s="102" t="inlineStr">
        <is>
          <t>Kullanılabilir (₺)</t>
        </is>
      </c>
      <c r="K4" s="102" t="inlineStr">
        <is>
          <t>Açıklama</t>
        </is>
      </c>
    </row>
    <row r="6" ht="15" customHeight="1" s="88">
      <c r="A6" s="103" t="inlineStr">
        <is>
          <t>KS-001</t>
        </is>
      </c>
      <c r="B6" s="104" t="inlineStr">
        <is>
          <t>Ana Kasa</t>
        </is>
      </c>
      <c r="C6" s="103" t="inlineStr">
        <is>
          <t>KASA</t>
        </is>
      </c>
      <c r="D6" s="104" t="n"/>
      <c r="E6" s="105" t="n"/>
      <c r="F6" s="106" t="n">
        <v>450000</v>
      </c>
      <c r="G6" s="106" t="n">
        <v>0</v>
      </c>
      <c r="H6" s="106" t="n">
        <v>50000</v>
      </c>
      <c r="I6" s="103" t="inlineStr">
        <is>
          <t>AKTİF</t>
        </is>
      </c>
      <c r="J6" s="107">
        <f>IF($A6="","",$F6-$G6-$H6)</f>
        <v/>
      </c>
      <c r="K6" s="108" t="inlineStr">
        <is>
          <t>Günlük operasyon kasası</t>
        </is>
      </c>
    </row>
    <row r="7" ht="15" customHeight="1" s="88">
      <c r="A7" s="103" t="inlineStr">
        <is>
          <t>BK-001</t>
        </is>
      </c>
      <c r="B7" s="104" t="inlineStr">
        <is>
          <t>İş Bankası Cari</t>
        </is>
      </c>
      <c r="C7" s="103" t="inlineStr">
        <is>
          <t>BANKA</t>
        </is>
      </c>
      <c r="D7" s="104" t="inlineStr">
        <is>
          <t>İŞ</t>
        </is>
      </c>
      <c r="E7" s="105" t="inlineStr">
        <is>
          <t>TR33 0006 4000 0011 1234 5678 90</t>
        </is>
      </c>
      <c r="F7" s="106" t="n">
        <v>800000</v>
      </c>
      <c r="G7" s="106" t="n">
        <v>200000</v>
      </c>
      <c r="H7" s="106" t="n">
        <v>100000</v>
      </c>
      <c r="I7" s="103" t="inlineStr">
        <is>
          <t>AKTİF</t>
        </is>
      </c>
      <c r="J7" s="107">
        <f>IF($A7="","",$F7-$G7-$H7)</f>
        <v/>
      </c>
      <c r="K7" s="108" t="inlineStr">
        <is>
          <t>Tedarikçi ödemeleri</t>
        </is>
      </c>
    </row>
    <row r="8" ht="15" customHeight="1" s="88">
      <c r="A8" s="103" t="inlineStr">
        <is>
          <t>BK-002</t>
        </is>
      </c>
      <c r="B8" s="104" t="inlineStr">
        <is>
          <t>Ziraat Vadesiz</t>
        </is>
      </c>
      <c r="C8" s="103" t="inlineStr">
        <is>
          <t>BANKA</t>
        </is>
      </c>
      <c r="D8" s="104" t="inlineStr">
        <is>
          <t>ZİRAAT</t>
        </is>
      </c>
      <c r="E8" s="105" t="inlineStr">
        <is>
          <t>TR12 0001 0000 0000 4321 0987 65</t>
        </is>
      </c>
      <c r="F8" s="106" t="n">
        <v>250000</v>
      </c>
      <c r="G8" s="106" t="n">
        <v>0</v>
      </c>
      <c r="H8" s="106" t="n">
        <v>50000</v>
      </c>
      <c r="I8" s="103" t="inlineStr">
        <is>
          <t>AKTİF</t>
        </is>
      </c>
      <c r="J8" s="107">
        <f>IF($A8="","",$F8-$G8-$H8)</f>
        <v/>
      </c>
      <c r="K8" s="108" t="inlineStr">
        <is>
          <t>Vergi ve SGK ödemeleri</t>
        </is>
      </c>
    </row>
    <row r="9" ht="15" customHeight="1" s="88">
      <c r="A9" s="103" t="inlineStr">
        <is>
          <t>BK-003</t>
        </is>
      </c>
      <c r="B9" s="104" t="inlineStr">
        <is>
          <t>Garanti Kredi Hesabı</t>
        </is>
      </c>
      <c r="C9" s="103" t="inlineStr">
        <is>
          <t>BANKA</t>
        </is>
      </c>
      <c r="D9" s="104" t="inlineStr">
        <is>
          <t>GARANTİ</t>
        </is>
      </c>
      <c r="E9" s="105" t="inlineStr">
        <is>
          <t>TR45 0006 2000 0000 9988 7766 55</t>
        </is>
      </c>
      <c r="F9" s="106" t="n">
        <v>150000</v>
      </c>
      <c r="G9" s="106" t="n">
        <v>150000</v>
      </c>
      <c r="H9" s="106" t="n">
        <v>0</v>
      </c>
      <c r="I9" s="103" t="inlineStr">
        <is>
          <t>PASİF</t>
        </is>
      </c>
      <c r="J9" s="107">
        <f>IF($A9="","",$F9-$G9-$H9)</f>
        <v/>
      </c>
      <c r="K9" s="108" t="inlineStr">
        <is>
          <t>Kredi kullandırımı pasif</t>
        </is>
      </c>
    </row>
    <row r="10" ht="15" customHeight="1" s="88">
      <c r="A10" s="109" t="n"/>
      <c r="B10" s="109" t="n"/>
      <c r="C10" s="109" t="n"/>
      <c r="D10" s="109" t="n"/>
      <c r="E10" s="109" t="n"/>
      <c r="F10" s="109" t="n"/>
      <c r="G10" s="109" t="n"/>
      <c r="H10" s="109" t="n"/>
      <c r="I10" s="109" t="n"/>
      <c r="K10" s="109" t="n"/>
    </row>
    <row r="11" ht="15" customHeight="1" s="88">
      <c r="A11" s="109" t="n"/>
      <c r="B11" s="109" t="n"/>
      <c r="C11" s="109" t="n"/>
      <c r="D11" s="109" t="n"/>
      <c r="E11" s="109" t="n"/>
      <c r="F11" s="109" t="n"/>
      <c r="G11" s="109" t="n"/>
      <c r="H11" s="109" t="n"/>
      <c r="I11" s="109" t="n"/>
      <c r="K11" s="109" t="n"/>
    </row>
    <row r="12" ht="15" customHeight="1" s="88">
      <c r="A12" s="109" t="n"/>
      <c r="B12" s="109" t="n"/>
      <c r="C12" s="109" t="n"/>
      <c r="D12" s="109" t="n"/>
      <c r="E12" s="109" t="n"/>
      <c r="F12" s="109" t="n"/>
      <c r="G12" s="109" t="n"/>
      <c r="H12" s="109" t="n"/>
      <c r="I12" s="109" t="n"/>
      <c r="K12" s="109" t="n"/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H13" s="109" t="n"/>
      <c r="I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H14" s="109" t="n"/>
      <c r="I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H15" s="109" t="n"/>
      <c r="I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H6:H804">
    <cfRule type="cellIs" rank="0" priority="2" equalAverage="0" operator="lessThan" aboveAverage="0" dxfId="5" text="" percent="0" bottom="0">
      <formula>0</formula>
    </cfRule>
    <cfRule type="cellIs" rank="0" priority="3" equalAverage="0" operator="equal" aboveAverage="0" dxfId="6" text="" percent="0" bottom="0">
      <formula>"AKTİF"</formula>
    </cfRule>
    <cfRule type="cellIs" rank="0" priority="4" equalAverage="0" operator="equal" aboveAverage="0" dxfId="7" text="" percent="0" bottom="0">
      <formula>"PASİF"</formula>
    </cfRule>
  </conditionalFormatting>
  <dataValidations count="5">
    <dataValidation sqref="C6:C804" showDropDown="0" showInputMessage="1" showErrorMessage="1" allowBlank="1" errorTitle="Geçersiz Tür" error="Hesap türü yalnızca KASA veya BANKA olabilir." promptTitle="Hesap Türü" prompt="KASA veya BANKA seçin." type="list" errorStyle="stop" operator="between">
      <formula1>"KASA,BANKA"</formula1>
      <formula2>0</formula2>
    </dataValidation>
    <dataValidation sqref="I6:I804" showDropDown="0" showInputMessage="1" showErrorMessage="1" allowBlank="1" errorTitle="Geçersiz Durum" error="Durum yalnızca AKTİF veya PASİF olabilir." promptTitle="Hesap Durumu" prompt="AKTİF hesaplar kullanılabilir para toplamına girer." type="list" errorStyle="stop" operator="between">
      <formula1>"AKTİF,PASİF"</formula1>
      <formula2>0</formula2>
    </dataValidation>
    <dataValidation sqref="F6:F804" showDropDown="0" showInputMessage="1" showErrorMessage="1" allowBlank="1" errorTitle="Geçersiz Bakiye" error="Bakiye negatif olamaz." promptTitle="Bakiye" prompt="Hesabın güncel bakiyesini TL olarak girin." type="decimal" errorStyle="stop" operator="greaterThanOrEqual">
      <formula1>0</formula1>
      <formula2>0</formula2>
    </dataValidation>
    <dataValidation sqref="G6:G804" showDropDown="0" showInputMessage="1" showErrorMessage="1" allowBlank="1" errorTitle="Geçersiz Tutar" error="Bloke tutar negatif olamaz." promptTitle="Bloke Tutar" prompt="Rehin, teminat veya bloke edilmiş tutarı girin." type="decimal" errorStyle="stop" operator="greaterThanOrEqual">
      <formula1>0</formula1>
      <formula2>0</formula2>
    </dataValidation>
    <dataValidation sqref="H6:H804" showDropDown="0" showInputMessage="1" showErrorMessage="1" allowBlank="1" errorTitle="Geçersiz Eşik" error="Eşik negatif olamaz." promptTitle="Minimum Kasa Eşiği" prompt="Hesapta sürekli kalması gereken asgari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1"/>
    <col width="14" customWidth="1" style="87" min="2" max="2"/>
    <col width="22" customWidth="1" style="87" min="3" max="3"/>
    <col width="12" customWidth="1" style="87" min="4" max="4"/>
    <col width="18" customWidth="1" style="87" min="5" max="6"/>
    <col width="26" customWidth="1" style="87" min="7" max="7"/>
    <col width="16" customWidth="1" style="87" min="8" max="8"/>
    <col width="14" customWidth="1" style="87" min="9" max="10"/>
    <col width="42" customWidth="1" style="87" min="11" max="11"/>
    <col width="14" customWidth="1" style="87" min="12" max="13"/>
    <col width="16" customWidth="1" style="87" min="14" max="14"/>
  </cols>
  <sheetData>
    <row r="1" ht="25.5" customHeight="1" s="88">
      <c r="A1" s="100" t="inlineStr">
        <is>
          <t>KASA HAREKETLERI — AKILLI KASA DEFTERİ VE NAKİT KONTROL SİSTEMİ</t>
        </is>
      </c>
    </row>
    <row r="2" ht="19.5" customHeight="1" s="88">
      <c r="A2" s="99" t="inlineStr">
        <is>
          <t>Tüm kasa ve banka hareketleri burada toplanır. İşlem Türü GİRİŞ veya ÇIKIŞ; kategori LISTELER'den, hesap KASA_HESAPLARI'ndan gelir. Net Etki ve Kontrol sütunları otomatiktir.</t>
        </is>
      </c>
    </row>
    <row r="4" ht="30" customHeight="1" s="88">
      <c r="A4" s="102" t="inlineStr">
        <is>
          <t>Tarih</t>
        </is>
      </c>
      <c r="B4" s="102" t="inlineStr">
        <is>
          <t>Fiş Numarası</t>
        </is>
      </c>
      <c r="C4" s="102" t="inlineStr">
        <is>
          <t>Hesap</t>
        </is>
      </c>
      <c r="D4" s="102" t="inlineStr">
        <is>
          <t>İşlem Türü</t>
        </is>
      </c>
      <c r="E4" s="102" t="inlineStr">
        <is>
          <t>Kategori</t>
        </is>
      </c>
      <c r="F4" s="102" t="inlineStr">
        <is>
          <t>Alt Kategori</t>
        </is>
      </c>
      <c r="G4" s="102" t="inlineStr">
        <is>
          <t>Karşı Taraf</t>
        </is>
      </c>
      <c r="H4" s="102" t="inlineStr">
        <is>
          <t>Ödeme Yöntemi</t>
        </is>
      </c>
      <c r="I4" s="102" t="inlineStr">
        <is>
          <t>Belge Numarası</t>
        </is>
      </c>
      <c r="J4" s="102" t="inlineStr">
        <is>
          <t>Tutar (₺)</t>
        </is>
      </c>
      <c r="K4" s="102" t="inlineStr">
        <is>
          <t>Açıklama</t>
        </is>
      </c>
      <c r="L4" s="102" t="inlineStr">
        <is>
          <t>Net Etki (₺)</t>
        </is>
      </c>
      <c r="M4" s="102" t="inlineStr">
        <is>
          <t>Kontrol</t>
        </is>
      </c>
      <c r="N4" s="102" t="inlineStr">
        <is>
          <t>Kayıt ID</t>
        </is>
      </c>
    </row>
    <row r="6" ht="15" customHeight="1" s="88">
      <c r="A6" s="110" t="n">
        <v>46204</v>
      </c>
      <c r="B6" s="104" t="inlineStr">
        <is>
          <t>FİŞ-0001</t>
        </is>
      </c>
      <c r="C6" s="104" t="inlineStr">
        <is>
          <t>KS-001</t>
        </is>
      </c>
      <c r="D6" s="103" t="inlineStr">
        <is>
          <t>GİRİŞ</t>
        </is>
      </c>
      <c r="E6" s="104" t="inlineStr">
        <is>
          <t>SATIŞ</t>
        </is>
      </c>
      <c r="F6" s="104" t="inlineStr">
        <is>
          <t>TİCARİ MAL</t>
        </is>
      </c>
      <c r="G6" s="104" t="inlineStr">
        <is>
          <t>Yıldız Market</t>
        </is>
      </c>
      <c r="H6" s="104" t="inlineStr">
        <is>
          <t>NAKİT</t>
        </is>
      </c>
      <c r="I6" s="104" t="inlineStr">
        <is>
          <t>SAT-001</t>
        </is>
      </c>
      <c r="J6" s="106" t="n">
        <v>120000</v>
      </c>
      <c r="K6" s="108" t="inlineStr">
        <is>
          <t>Toptan satış tahsilatı</t>
        </is>
      </c>
    </row>
    <row r="7" ht="15" customHeight="1" s="88">
      <c r="A7" s="110" t="n">
        <v>46205</v>
      </c>
      <c r="B7" s="104" t="inlineStr">
        <is>
          <t>FİŞ-0002</t>
        </is>
      </c>
      <c r="C7" s="104" t="inlineStr">
        <is>
          <t>KS-001</t>
        </is>
      </c>
      <c r="D7" s="103" t="inlineStr">
        <is>
          <t>ÇIKIŞ</t>
        </is>
      </c>
      <c r="E7" s="104" t="inlineStr">
        <is>
          <t>ALIM</t>
        </is>
      </c>
      <c r="F7" s="104" t="inlineStr">
        <is>
          <t>HAMMADDE</t>
        </is>
      </c>
      <c r="G7" s="104" t="inlineStr">
        <is>
          <t>Tarım Ürünleri A.Ş.</t>
        </is>
      </c>
      <c r="H7" s="104" t="inlineStr">
        <is>
          <t>HAVALE</t>
        </is>
      </c>
      <c r="I7" s="104" t="inlineStr">
        <is>
          <t>AL-001</t>
        </is>
      </c>
      <c r="J7" s="106" t="n">
        <v>90000</v>
      </c>
      <c r="K7" s="108" t="inlineStr">
        <is>
          <t>Hammadde alımı</t>
        </is>
      </c>
    </row>
    <row r="8" ht="15" customHeight="1" s="88">
      <c r="A8" s="110" t="n">
        <v>46206</v>
      </c>
      <c r="B8" s="104" t="inlineStr">
        <is>
          <t>FİŞ-0003</t>
        </is>
      </c>
      <c r="C8" s="104" t="inlineStr">
        <is>
          <t>BK-001</t>
        </is>
      </c>
      <c r="D8" s="103" t="inlineStr">
        <is>
          <t>GİRİŞ</t>
        </is>
      </c>
      <c r="E8" s="104" t="inlineStr">
        <is>
          <t>TAHSİLAT</t>
        </is>
      </c>
      <c r="F8" s="104" t="inlineStr">
        <is>
          <t>TİCARİ MAL</t>
        </is>
      </c>
      <c r="G8" s="104" t="inlineStr">
        <is>
          <t>Mega Market</t>
        </is>
      </c>
      <c r="H8" s="104" t="inlineStr">
        <is>
          <t>HAVALE</t>
        </is>
      </c>
      <c r="I8" s="104" t="inlineStr">
        <is>
          <t>TAH-001</t>
        </is>
      </c>
      <c r="J8" s="106" t="n">
        <v>85000</v>
      </c>
      <c r="K8" s="108" t="inlineStr">
        <is>
          <t>Cari hesap tahsilatı</t>
        </is>
      </c>
    </row>
    <row r="9" ht="15" customHeight="1" s="88">
      <c r="A9" s="110" t="n">
        <v>46208</v>
      </c>
      <c r="B9" s="104" t="inlineStr">
        <is>
          <t>FİŞ-0004</t>
        </is>
      </c>
      <c r="C9" s="104" t="inlineStr">
        <is>
          <t>BK-001</t>
        </is>
      </c>
      <c r="D9" s="103" t="inlineStr">
        <is>
          <t>ÇIKIŞ</t>
        </is>
      </c>
      <c r="E9" s="104" t="inlineStr">
        <is>
          <t>MAAŞ</t>
        </is>
      </c>
      <c r="F9" s="104" t="inlineStr">
        <is>
          <t>PERSONEL</t>
        </is>
      </c>
      <c r="G9" s="104" t="inlineStr">
        <is>
          <t>Personel</t>
        </is>
      </c>
      <c r="H9" s="104" t="inlineStr">
        <is>
          <t>EFT</t>
        </is>
      </c>
      <c r="I9" s="104" t="inlineStr">
        <is>
          <t>PER-001</t>
        </is>
      </c>
      <c r="J9" s="106" t="n">
        <v>180000</v>
      </c>
      <c r="K9" s="108" t="inlineStr">
        <is>
          <t>Temmuz maaş ödemesi</t>
        </is>
      </c>
    </row>
    <row r="10" ht="15" customHeight="1" s="88">
      <c r="A10" s="110" t="n">
        <v>46210</v>
      </c>
      <c r="B10" s="104" t="inlineStr">
        <is>
          <t>FİŞ-0005</t>
        </is>
      </c>
      <c r="C10" s="104" t="inlineStr">
        <is>
          <t>BK-002</t>
        </is>
      </c>
      <c r="D10" s="103" t="inlineStr">
        <is>
          <t>ÇIKIŞ</t>
        </is>
      </c>
      <c r="E10" s="104" t="inlineStr">
        <is>
          <t>VERGİ</t>
        </is>
      </c>
      <c r="F10" s="104" t="inlineStr">
        <is>
          <t>OFİS</t>
        </is>
      </c>
      <c r="G10" s="104" t="inlineStr">
        <is>
          <t>Vergi Dairesi</t>
        </is>
      </c>
      <c r="H10" s="104" t="inlineStr">
        <is>
          <t>EFT</t>
        </is>
      </c>
      <c r="I10" s="104" t="inlineStr">
        <is>
          <t>VGN-001</t>
        </is>
      </c>
      <c r="J10" s="106" t="n">
        <v>60000</v>
      </c>
      <c r="K10" s="108" t="inlineStr">
        <is>
          <t>Geçici vergi</t>
        </is>
      </c>
    </row>
    <row r="11" ht="15" customHeight="1" s="88">
      <c r="A11" s="110" t="n">
        <v>46211</v>
      </c>
      <c r="B11" s="104" t="inlineStr">
        <is>
          <t>FİŞ-0006</t>
        </is>
      </c>
      <c r="C11" s="104" t="inlineStr">
        <is>
          <t>KS-001</t>
        </is>
      </c>
      <c r="D11" s="103" t="inlineStr">
        <is>
          <t>GİRİŞ</t>
        </is>
      </c>
      <c r="E11" s="104" t="inlineStr">
        <is>
          <t>SATIŞ</t>
        </is>
      </c>
      <c r="F11" s="104" t="inlineStr">
        <is>
          <t>PERAKENDE</t>
        </is>
      </c>
      <c r="G11" s="104" t="inlineStr">
        <is>
          <t>Müşteriler</t>
        </is>
      </c>
      <c r="H11" s="104" t="inlineStr">
        <is>
          <t>NAKİT</t>
        </is>
      </c>
      <c r="I11" s="104" t="inlineStr">
        <is>
          <t>SAT-002</t>
        </is>
      </c>
      <c r="J11" s="106" t="n">
        <v>45000</v>
      </c>
      <c r="K11" s="108" t="inlineStr">
        <is>
          <t>Perakende satış</t>
        </is>
      </c>
    </row>
    <row r="12" ht="15" customHeight="1" s="88">
      <c r="A12" s="110" t="n">
        <v>46213</v>
      </c>
      <c r="B12" s="104" t="inlineStr">
        <is>
          <t>FİŞ-0007</t>
        </is>
      </c>
      <c r="C12" s="104" t="inlineStr">
        <is>
          <t>BK-001</t>
        </is>
      </c>
      <c r="D12" s="103" t="inlineStr">
        <is>
          <t>ÇIKIŞ</t>
        </is>
      </c>
      <c r="E12" s="104" t="inlineStr">
        <is>
          <t>KİRA</t>
        </is>
      </c>
      <c r="F12" s="104" t="inlineStr">
        <is>
          <t>OFİS</t>
        </is>
      </c>
      <c r="G12" s="104" t="inlineStr">
        <is>
          <t>Depo Sahibi</t>
        </is>
      </c>
      <c r="H12" s="104" t="inlineStr">
        <is>
          <t>HAVALE</t>
        </is>
      </c>
      <c r="I12" s="104" t="inlineStr">
        <is>
          <t>KIR-001</t>
        </is>
      </c>
      <c r="J12" s="106" t="n">
        <v>75000</v>
      </c>
      <c r="K12" s="108" t="inlineStr">
        <is>
          <t>Depo ve ofis kirası</t>
        </is>
      </c>
    </row>
    <row r="13" ht="15" customHeight="1" s="88">
      <c r="A13" s="110" t="n">
        <v>46215</v>
      </c>
      <c r="B13" s="104" t="inlineStr">
        <is>
          <t>FİŞ-0008</t>
        </is>
      </c>
      <c r="C13" s="104" t="inlineStr">
        <is>
          <t>BK-001</t>
        </is>
      </c>
      <c r="D13" s="103" t="inlineStr">
        <is>
          <t>ÇIKIŞ</t>
        </is>
      </c>
      <c r="E13" s="104" t="inlineStr">
        <is>
          <t>SGK PRİMİ</t>
        </is>
      </c>
      <c r="F13" s="104" t="inlineStr">
        <is>
          <t>PERSONEL</t>
        </is>
      </c>
      <c r="G13" s="104" t="inlineStr">
        <is>
          <t>SGK</t>
        </is>
      </c>
      <c r="H13" s="104" t="inlineStr">
        <is>
          <t>EFT</t>
        </is>
      </c>
      <c r="I13" s="104" t="inlineStr">
        <is>
          <t>SGK-001</t>
        </is>
      </c>
      <c r="J13" s="106" t="n">
        <v>52000</v>
      </c>
      <c r="K13" s="108" t="inlineStr">
        <is>
          <t>SGK primi ödemesi</t>
        </is>
      </c>
    </row>
    <row r="14" ht="15" customHeight="1" s="88">
      <c r="A14" s="110" t="n">
        <v>46218</v>
      </c>
      <c r="B14" s="104" t="inlineStr">
        <is>
          <t>FİŞ-0009</t>
        </is>
      </c>
      <c r="C14" s="104" t="inlineStr">
        <is>
          <t>BK-001</t>
        </is>
      </c>
      <c r="D14" s="103" t="inlineStr">
        <is>
          <t>ÇIKIŞ</t>
        </is>
      </c>
      <c r="E14" s="104" t="inlineStr">
        <is>
          <t>KREDİ TAKSİDİ</t>
        </is>
      </c>
      <c r="F14" s="104" t="inlineStr">
        <is>
          <t>OFİS</t>
        </is>
      </c>
      <c r="G14" s="104" t="inlineStr">
        <is>
          <t>Garanti Bankası</t>
        </is>
      </c>
      <c r="H14" s="104" t="inlineStr">
        <is>
          <t>EFT</t>
        </is>
      </c>
      <c r="I14" s="104" t="inlineStr">
        <is>
          <t>KRD-001</t>
        </is>
      </c>
      <c r="J14" s="106" t="n">
        <v>120000</v>
      </c>
      <c r="K14" s="108" t="inlineStr">
        <is>
          <t>Kredi taksiti</t>
        </is>
      </c>
    </row>
    <row r="15" ht="15" customHeight="1" s="88">
      <c r="A15" s="110" t="n">
        <v>46219</v>
      </c>
      <c r="B15" s="104" t="inlineStr">
        <is>
          <t>FİŞ-0010</t>
        </is>
      </c>
      <c r="C15" s="104" t="inlineStr">
        <is>
          <t>KS-001</t>
        </is>
      </c>
      <c r="D15" s="103" t="inlineStr">
        <is>
          <t>GİRİŞ</t>
        </is>
      </c>
      <c r="E15" s="104" t="inlineStr">
        <is>
          <t>TAHSİLAT</t>
        </is>
      </c>
      <c r="F15" s="104" t="inlineStr">
        <is>
          <t>HİZMET</t>
        </is>
      </c>
      <c r="G15" s="104" t="inlineStr">
        <is>
          <t>Orion Lojistik</t>
        </is>
      </c>
      <c r="H15" s="104" t="inlineStr">
        <is>
          <t>ÇEK</t>
        </is>
      </c>
      <c r="I15" s="104" t="inlineStr">
        <is>
          <t>TAH-002</t>
        </is>
      </c>
      <c r="J15" s="106" t="n">
        <v>95000</v>
      </c>
      <c r="K15" s="108" t="inlineStr">
        <is>
          <t>Hizmet tahsilatı</t>
        </is>
      </c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2:AN2"/>
  </mergeCells>
  <conditionalFormatting sqref="F6:F804">
    <cfRule type="cellIs" rank="0" priority="2" equalAverage="0" operator="equal" aboveAverage="0" dxfId="6" text="" percent="0" bottom="0">
      <formula>"GİRİŞ"</formula>
    </cfRule>
    <cfRule type="cellIs" rank="0" priority="3" equalAverage="0" operator="equal" aboveAverage="0" dxfId="8" text="" percent="0" bottom="0">
      <formula>"ÇIKIŞ"</formula>
    </cfRule>
  </conditionalFormatting>
  <conditionalFormatting sqref="L6:L804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M6:M804">
    <cfRule type="cellIs" rank="0" priority="6" equalAverage="0" operator="equal" aboveAverage="0" dxfId="6" text="" percent="0" bottom="0">
      <formula>"OK"</formula>
    </cfRule>
    <cfRule type="cellIs" rank="0" priority="7" equalAverage="0" operator="equal" aboveAverage="0" dxfId="9" text="" percent="0" bottom="0">
      <formula>"EKSİK"</formula>
    </cfRule>
    <cfRule type="cellIs" rank="0" priority="8" equalAverage="0" operator="equal" aboveAverage="0" dxfId="5" text="" percent="0" bottom="0">
      <formula>"MÜKERRER"</formula>
    </cfRule>
    <cfRule type="cellIs" rank="0" priority="9" equalAverage="0" operator="equal" aboveAverage="0" dxfId="8" text="" percent="0" bottom="0">
      <formula>"SIFIR/NEGATİF"</formula>
    </cfRule>
    <cfRule type="cellIs" rank="0" priority="10" equalAverage="0" operator="equal" aboveAverage="0" dxfId="5" text="" percent="0" bottom="0">
      <formula>"AŞIRI TUTAR"</formula>
    </cfRule>
  </conditionalFormatting>
  <dataValidations count="6">
    <dataValidation sqref="D6:D804" showDropDown="0" showInputMessage="1" showErrorMessage="1" allowBlank="1" errorTitle="Geçersiz İşlem Türü" error="İşlem türü yalnızca GİRİŞ veya ÇIKIŞ olabilir." promptTitle="İşlem Türü" prompt="Para girişi ise GİRİŞ, çıkış ise ÇIKIŞ seçin." type="list" errorStyle="stop" operator="between">
      <formula1>"GİRİŞ,ÇIKIŞ"</formula1>
      <formula2>0</formula2>
    </dataValidation>
    <dataValidation sqref="E6:E804" showDropDown="0" showInputMessage="1" showErrorMessage="1" allowBlank="1" errorTitle="Geçersiz Kategori" error="Kategoriyi LISTELER sayfasındaki listeden seçin." promptTitle="Kategori" prompt="Hareketin ait olduğu gelir veya gider kategorisini seçin." type="list" errorStyle="stop" operator="between">
      <formula1>LISTELER!$B$4:$B$30</formula1>
      <formula2>0</formula2>
    </dataValidation>
    <dataValidation sqref="F6:F804" showDropDown="0" showInputMessage="1" showErrorMessage="1" allowBlank="1" errorTitle="Geçersiz Alt Kategori" error="Alt kategoriyi listeden seçin." promptTitle="Alt Kategori" prompt="Opsiyonel alt kategori seçin." type="list" errorStyle="stop" operator="between">
      <formula1>LISTELER!$C$4:$C$30</formula1>
      <formula2>0</formula2>
    </dataValidation>
    <dataValidation sqref="H6:H804" showDropDown="0" showInputMessage="1" showErrorMessage="1" allowBlank="1" errorTitle="Geçersiz Yöntem" error="Ödeme yöntemini listeden seçin." promptTitle="Ödeme Yöntemi" prompt="Nakit, havale veya kart ile yapılan ödeme türü." type="list" errorStyle="stop" operator="between">
      <formula1>LISTELER!$D$4:$D$15</formula1>
      <formula2>0</formula2>
    </dataValidation>
    <dataValidation sqref="C6:C804" showDropDown="0" showInputMessage="1" showErrorMessage="1" allowBlank="1" errorTitle="Geçersiz Hesap" error="Hesabı KASA_HESAPLARI sayfasından seçin." promptTitle="Hesap" prompt="Hareketin gerçekleştiği kasa veya banka hesabı." type="list" errorStyle="stop" operator="between">
      <formula1>KASA_HESAPLARI!$A$6:$A$804</formula1>
      <formula2>0</formula2>
    </dataValidation>
    <dataValidation sqref="J6:J804" showDropDown="0" showInputMessage="1" showErrorMessage="1" allowBlank="1" errorTitle="Geçersiz Tutar" error="Tutar pozitif bir sayı olmalıdır." promptTitle="Tutar" prompt="Hareket tutarını TL olarak, sıfırdan büyü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3"/>
    <col width="26" customWidth="1" style="87" min="4" max="4"/>
    <col width="12" customWidth="1" style="87" min="5" max="5"/>
    <col width="14" customWidth="1" style="87" min="6" max="8"/>
    <col width="16" customWidth="1" style="87" min="9" max="9"/>
    <col width="22" customWidth="1" style="87" min="10" max="10"/>
    <col width="42" customWidth="1" style="87" min="11" max="11"/>
  </cols>
  <sheetData>
    <row r="1" ht="25.5" customHeight="1" s="88">
      <c r="A1" s="100" t="inlineStr">
        <is>
          <t>ODEME TAHSILAT TAKVIMI — AKILLI KASA DEFTERİ VE NAKİT KONTROL SİSTEMİ</t>
        </is>
      </c>
    </row>
    <row r="2" ht="19.5" customHeight="1" s="88">
      <c r="A2" s="99" t="inlineStr">
        <is>
          <t>Vadesi gelen veya gelecek tüm ödemeler ve tahsilatlar burada takip edilir. Öncelik ve Durum, karar motorunu ve ödeme önerisini besler.</t>
        </is>
      </c>
    </row>
    <row r="4" ht="30" customHeight="1" s="88">
      <c r="A4" s="102" t="inlineStr">
        <is>
          <t>Tarih</t>
        </is>
      </c>
      <c r="B4" s="102" t="inlineStr">
        <is>
          <t>Vade</t>
        </is>
      </c>
      <c r="C4" s="102" t="inlineStr">
        <is>
          <t>Tür</t>
        </is>
      </c>
      <c r="D4" s="102" t="inlineStr">
        <is>
          <t>Karşı Taraf</t>
        </is>
      </c>
      <c r="E4" s="102" t="inlineStr">
        <is>
          <t>Öncelik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Vade Kontrolü</t>
        </is>
      </c>
      <c r="I4" s="102" t="inlineStr">
        <is>
          <t>Ödeme Yöntemi</t>
        </is>
      </c>
      <c r="J4" s="102" t="inlineStr">
        <is>
          <t>Kaynak Hesap</t>
        </is>
      </c>
      <c r="K4" s="102" t="inlineStr">
        <is>
          <t>Açıklama</t>
        </is>
      </c>
      <c r="M4" s="111" t="inlineStr">
        <is>
          <t>Öncelik</t>
        </is>
      </c>
      <c r="N4" s="111" t="inlineStr">
        <is>
          <t>Bekleyen Ödeme (₺)</t>
        </is>
      </c>
    </row>
    <row r="5" ht="15" customHeight="1" s="88">
      <c r="M5" s="112" t="inlineStr">
        <is>
          <t>KRİTİK</t>
        </is>
      </c>
      <c r="N5" s="113" t="n">
        <v>260000</v>
      </c>
    </row>
    <row r="6" ht="15" customHeight="1" s="88">
      <c r="A6" s="110" t="n">
        <v>46244</v>
      </c>
      <c r="B6" s="110" t="n">
        <v>46244</v>
      </c>
      <c r="C6" s="103" t="inlineStr">
        <is>
          <t>ÖDEME</t>
        </is>
      </c>
      <c r="D6" s="104" t="inlineStr">
        <is>
          <t>Vergi Dairesi</t>
        </is>
      </c>
      <c r="E6" s="103" t="inlineStr">
        <is>
          <t>KRİTİK</t>
        </is>
      </c>
      <c r="F6" s="106" t="n">
        <v>80000</v>
      </c>
      <c r="G6" s="103" t="inlineStr">
        <is>
          <t>BEKLEMEDE</t>
        </is>
      </c>
      <c r="I6" s="104" t="inlineStr">
        <is>
          <t>EFT</t>
        </is>
      </c>
      <c r="J6" s="104" t="inlineStr">
        <is>
          <t>BK-002</t>
        </is>
      </c>
      <c r="K6" s="108" t="inlineStr">
        <is>
          <t>Muhtasar ve KDV</t>
        </is>
      </c>
      <c r="M6" s="112" t="inlineStr">
        <is>
          <t>YÜKSEK</t>
        </is>
      </c>
      <c r="N6" s="113" t="n">
        <v>202000</v>
      </c>
    </row>
    <row r="7" ht="15" customHeight="1" s="88">
      <c r="A7" s="110" t="n">
        <v>46246</v>
      </c>
      <c r="B7" s="110" t="n">
        <v>46246</v>
      </c>
      <c r="C7" s="103" t="inlineStr">
        <is>
          <t>TAHSİLAT</t>
        </is>
      </c>
      <c r="D7" s="104" t="inlineStr">
        <is>
          <t>Mega Market</t>
        </is>
      </c>
      <c r="E7" s="103" t="inlineStr">
        <is>
          <t>KRİTİK</t>
        </is>
      </c>
      <c r="F7" s="106" t="n">
        <v>200000</v>
      </c>
      <c r="G7" s="103" t="inlineStr">
        <is>
          <t>BEKLEMEDE</t>
        </is>
      </c>
      <c r="I7" s="104" t="inlineStr">
        <is>
          <t>HAVALE</t>
        </is>
      </c>
      <c r="J7" s="104" t="inlineStr">
        <is>
          <t>BK-001</t>
        </is>
      </c>
      <c r="K7" s="108" t="inlineStr">
        <is>
          <t>Cari tahsilat</t>
        </is>
      </c>
      <c r="M7" s="112" t="inlineStr">
        <is>
          <t>ORTA</t>
        </is>
      </c>
      <c r="N7" s="113" t="n">
        <v>75000</v>
      </c>
    </row>
    <row r="8" ht="15" customHeight="1" s="88">
      <c r="A8" s="110" t="n">
        <v>46249</v>
      </c>
      <c r="B8" s="110" t="n">
        <v>46249</v>
      </c>
      <c r="C8" s="103" t="inlineStr">
        <is>
          <t>ÖDEME</t>
        </is>
      </c>
      <c r="D8" s="104" t="inlineStr">
        <is>
          <t>Tarım Ürünleri A.Ş.</t>
        </is>
      </c>
      <c r="E8" s="103" t="inlineStr">
        <is>
          <t>YÜKSEK</t>
        </is>
      </c>
      <c r="F8" s="106" t="n">
        <v>150000</v>
      </c>
      <c r="G8" s="103" t="inlineStr">
        <is>
          <t>BEKLEMEDE</t>
        </is>
      </c>
      <c r="I8" s="104" t="inlineStr">
        <is>
          <t>HAVALE</t>
        </is>
      </c>
      <c r="J8" s="104" t="inlineStr">
        <is>
          <t>BK-001</t>
        </is>
      </c>
      <c r="K8" s="108" t="inlineStr">
        <is>
          <t>Hammadde ödemesi</t>
        </is>
      </c>
      <c r="M8" s="112" t="inlineStr">
        <is>
          <t>DÜŞÜK</t>
        </is>
      </c>
      <c r="N8" s="114">
        <f>IF(KayitSayisi=0,"",SUMIFS(tblTakvim[],tblTakvim[],"DÜŞÜK",tblTakvim[],"BEKLEMEDE",tblTakvim[],"ÖDEME"))</f>
        <v/>
      </c>
    </row>
    <row r="9" ht="15" customHeight="1" s="88">
      <c r="A9" s="110" t="n">
        <v>46254</v>
      </c>
      <c r="B9" s="110" t="n">
        <v>46254</v>
      </c>
      <c r="C9" s="103" t="inlineStr">
        <is>
          <t>ÖDEME</t>
        </is>
      </c>
      <c r="D9" s="104" t="inlineStr">
        <is>
          <t>Personel</t>
        </is>
      </c>
      <c r="E9" s="103" t="inlineStr">
        <is>
          <t>KRİTİK</t>
        </is>
      </c>
      <c r="F9" s="106" t="n">
        <v>180000</v>
      </c>
      <c r="G9" s="103" t="inlineStr">
        <is>
          <t>BEKLEMEDE</t>
        </is>
      </c>
      <c r="I9" s="104" t="inlineStr">
        <is>
          <t>EFT</t>
        </is>
      </c>
      <c r="J9" s="104" t="inlineStr">
        <is>
          <t>BK-001</t>
        </is>
      </c>
      <c r="K9" s="108" t="inlineStr">
        <is>
          <t>Ağustos maaşları</t>
        </is>
      </c>
    </row>
    <row r="10" ht="15" customHeight="1" s="88">
      <c r="A10" s="110" t="n">
        <v>46259</v>
      </c>
      <c r="B10" s="110" t="n">
        <v>46259</v>
      </c>
      <c r="C10" s="103" t="inlineStr">
        <is>
          <t>TAHSİLAT</t>
        </is>
      </c>
      <c r="D10" s="104" t="inlineStr">
        <is>
          <t>Yıldız Market</t>
        </is>
      </c>
      <c r="E10" s="103" t="inlineStr">
        <is>
          <t>ORTA</t>
        </is>
      </c>
      <c r="F10" s="106" t="n">
        <v>150000</v>
      </c>
      <c r="G10" s="103" t="inlineStr">
        <is>
          <t>BEKLEMEDE</t>
        </is>
      </c>
      <c r="I10" s="104" t="inlineStr">
        <is>
          <t>HAVALE</t>
        </is>
      </c>
      <c r="J10" s="104" t="inlineStr">
        <is>
          <t>BK-001</t>
        </is>
      </c>
      <c r="K10" s="108" t="inlineStr">
        <is>
          <t>Vadeli tahsilat</t>
        </is>
      </c>
    </row>
    <row r="11" ht="15" customHeight="1" s="88">
      <c r="A11" s="110" t="n">
        <v>46266</v>
      </c>
      <c r="B11" s="110" t="n">
        <v>46266</v>
      </c>
      <c r="C11" s="103" t="inlineStr">
        <is>
          <t>ÖDEME</t>
        </is>
      </c>
      <c r="D11" s="104" t="inlineStr">
        <is>
          <t>SGK</t>
        </is>
      </c>
      <c r="E11" s="103" t="inlineStr">
        <is>
          <t>YÜKSEK</t>
        </is>
      </c>
      <c r="F11" s="106" t="n">
        <v>52000</v>
      </c>
      <c r="G11" s="103" t="inlineStr">
        <is>
          <t>BEKLEMEDE</t>
        </is>
      </c>
      <c r="I11" s="104" t="inlineStr">
        <is>
          <t>EFT</t>
        </is>
      </c>
      <c r="J11" s="104" t="inlineStr">
        <is>
          <t>BK-002</t>
        </is>
      </c>
      <c r="K11" s="108" t="inlineStr">
        <is>
          <t>SGK primi</t>
        </is>
      </c>
    </row>
    <row r="12" ht="15" customHeight="1" s="88">
      <c r="A12" s="110" t="n">
        <v>46270</v>
      </c>
      <c r="B12" s="110" t="n">
        <v>46270</v>
      </c>
      <c r="C12" s="103" t="inlineStr">
        <is>
          <t>ÖDEME</t>
        </is>
      </c>
      <c r="D12" s="104" t="inlineStr">
        <is>
          <t>Depo Sahibi</t>
        </is>
      </c>
      <c r="E12" s="103" t="inlineStr">
        <is>
          <t>ORTA</t>
        </is>
      </c>
      <c r="F12" s="106" t="n">
        <v>75000</v>
      </c>
      <c r="G12" s="103" t="inlineStr">
        <is>
          <t>BEKLEMEDE</t>
        </is>
      </c>
      <c r="I12" s="104" t="inlineStr">
        <is>
          <t>HAVALE</t>
        </is>
      </c>
      <c r="J12" s="104" t="inlineStr">
        <is>
          <t>BK-001</t>
        </is>
      </c>
      <c r="K12" s="108" t="inlineStr">
        <is>
          <t>Kira</t>
        </is>
      </c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I13" s="109" t="n"/>
      <c r="J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I14" s="109" t="n"/>
      <c r="J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I15" s="109" t="n"/>
      <c r="J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C6:C804">
    <cfRule type="cellIs" rank="0" priority="2" equalAverage="0" operator="equal" aboveAverage="0" dxfId="8" text="" percent="0" bottom="0">
      <formula>"ÖDEME"</formula>
    </cfRule>
    <cfRule type="cellIs" rank="0" priority="3" equalAverage="0" operator="equal" aboveAverage="0" dxfId="6" text="" percent="0" bottom="0">
      <formula>"TAHSİLAT"</formula>
    </cfRule>
  </conditionalFormatting>
  <conditionalFormatting sqref="E6:E804">
    <cfRule type="cellIs" rank="0" priority="4" equalAverage="0" operator="equal" aboveAverage="0" dxfId="5" text="" percent="0" bottom="0">
      <formula>"KRİTİK"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6" text="" percent="0" bottom="0">
      <formula>"ORTA"</formula>
    </cfRule>
    <cfRule type="cellIs" rank="0" priority="7" equalAverage="0" operator="equal" aboveAverage="0" dxfId="7" text="" percent="0" bottom="0">
      <formula>"DÜŞÜK"</formula>
    </cfRule>
  </conditionalFormatting>
  <conditionalFormatting sqref="G6:G804">
    <cfRule type="cellIs" rank="0" priority="8" equalAverage="0" operator="equal" aboveAverage="0" dxfId="6" text="" percent="0" bottom="0">
      <formula>"YAPILDI"</formula>
    </cfRule>
    <cfRule type="cellIs" rank="0" priority="9" equalAverage="0" operator="equal" aboveAverage="0" dxfId="9" text="" percent="0" bottom="0">
      <formula>"ERTELENDİ"</formula>
    </cfRule>
  </conditionalFormatting>
  <conditionalFormatting sqref="H6:H804">
    <cfRule type="cellIs" rank="0" priority="10" equalAverage="0" operator="equal" aboveAverage="0" dxfId="5" text="" percent="0" bottom="0">
      <formula>"VADE GEÇTİ"</formula>
    </cfRule>
  </conditionalFormatting>
  <dataValidations count="5">
    <dataValidation sqref="C6:C804" showDropDown="0" showInputMessage="1" showErrorMessage="1" allowBlank="1" errorTitle="Geçersiz Tür" error="Tür yalnızca ÖDEME veya TAHSİLAT olabilir." promptTitle="Takvim Türü" prompt="Borç ödemesi ÖDEME, alacak tahsilatı TAHSİLAT." type="list" errorStyle="stop" operator="between">
      <formula1>"ÖDEME,TAHSİLAT"</formula1>
      <formula2>0</formula2>
    </dataValidation>
    <dataValidation sqref="E6:E804" showDropDown="0" showInputMessage="1" showErrorMessage="1" allowBlank="1" errorTitle="Geçersiz Öncelik" error="Öncelik yalnızca KRİTİK, YÜKSEK, ORTA veya DÜŞÜK olabilir." promptTitle="Öncelik" prompt="KRİTİK: gecikirse operasyon durur; YÜKSEK: gecikirse ceza/maliyet doğar." type="list" errorStyle="stop" operator="between">
      <formula1>"KRİTİK,YÜKSEK,ORTA,DÜŞÜK"</formula1>
      <formula2>0</formula2>
    </dataValidation>
    <dataValidation sqref="G6:G804" showDropDown="0" showInputMessage="1" showErrorMessage="1" allowBlank="1" errorTitle="Geçersiz Durum" error="Durum yalnızca BEKLEMEDE, YAPILDI veya ERTELENDİ olabilir." promptTitle="Durum" prompt="BEKLEMEDE kayıtlar ödeme yüküne girer." type="list" errorStyle="stop" operator="between">
      <formula1>"BEKLEMEDE,YAPILDI,ERTELENDİ"</formula1>
      <formula2>0</formula2>
    </dataValidation>
    <dataValidation sqref="I6:I804" showDropDown="0" showInputMessage="1" showErrorMessage="1" allowBlank="1" errorTitle="Geçersiz Yöntem" error="Yöntemi listeden seçin." promptTitle="Ödeme Yöntemi" prompt="Ödemenin/tahsilatın yapılacağı yöntem." type="list" errorStyle="stop" operator="between">
      <formula1>LISTELER!$D$4:$D$15</formula1>
      <formula2>0</formula2>
    </dataValidation>
    <dataValidation sqref="F6:F804" showDropDown="0" showInputMessage="1" showErrorMessage="1" allowBlank="1" errorTitle="Geçersiz Tutar" error="Tutar pozitif bir sayı olmalıdır." promptTitle="Tutar" prompt="Bekleyen ödeme/tahsilat tutarını TL olara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0" customWidth="1" style="87" min="2" max="2"/>
    <col width="18" customWidth="1" style="87" min="3" max="4"/>
    <col width="14" customWidth="1" style="87" min="5" max="5"/>
    <col width="12" customWidth="1" style="87" min="6" max="6"/>
    <col width="14" customWidth="1" style="87" min="7" max="8"/>
    <col width="42" customWidth="1" style="87" min="9" max="9"/>
  </cols>
  <sheetData>
    <row r="1" ht="25.5" customHeight="1" s="88">
      <c r="A1" s="100" t="inlineStr">
        <is>
          <t>FIZIKI KASA MUTABAKAT — AKILLI KASA DEFTERİ VE NAKİT KONTROL SİSTEMİ</t>
        </is>
      </c>
    </row>
    <row r="2" ht="19.5" customHeight="1" s="88">
      <c r="A2" s="99" t="inlineStr">
        <is>
          <t>Fiziki kasa sayımı ile defter bakiyesini karşılaştırın. Fark sütunu ve kök-neden ayrıştırması otomatik hesaplanır; sıfır fark beklenir.</t>
        </is>
      </c>
    </row>
    <row r="4" ht="30" customHeight="1" s="88">
      <c r="A4" s="102" t="inlineStr">
        <is>
          <t>Sayım Tarihi</t>
        </is>
      </c>
      <c r="B4" s="102" t="inlineStr">
        <is>
          <t>Sayımı Yapan</t>
        </is>
      </c>
      <c r="C4" s="102" t="inlineStr">
        <is>
          <t>Defter Bakiyesi (₺)</t>
        </is>
      </c>
      <c r="D4" s="102" t="inlineStr">
        <is>
          <t>Sayım Tutarı (₺)</t>
        </is>
      </c>
      <c r="E4" s="102" t="inlineStr">
        <is>
          <t>Fark (₺)</t>
        </is>
      </c>
      <c r="F4" s="102" t="inlineStr">
        <is>
          <t>Fark Oranı</t>
        </is>
      </c>
      <c r="G4" s="102" t="inlineStr">
        <is>
          <t>Sonuç</t>
        </is>
      </c>
      <c r="H4" s="102" t="inlineStr">
        <is>
          <t>Kök Neden</t>
        </is>
      </c>
      <c r="I4" s="102" t="inlineStr">
        <is>
          <t>Açıklama</t>
        </is>
      </c>
    </row>
    <row r="6" ht="15" customHeight="1" s="88">
      <c r="A6" s="110" t="n">
        <v>46234</v>
      </c>
      <c r="B6" s="104" t="inlineStr">
        <is>
          <t>Finans Müdürü</t>
        </is>
      </c>
      <c r="C6" s="106" t="n">
        <v>450000</v>
      </c>
      <c r="D6" s="106" t="n">
        <v>450000</v>
      </c>
      <c r="I6" s="108" t="inlineStr">
        <is>
          <t>Fiziki sayım uyumlu</t>
        </is>
      </c>
    </row>
    <row r="7" ht="15" customHeight="1" s="88">
      <c r="A7" s="110" t="n">
        <v>46218</v>
      </c>
      <c r="B7" s="104" t="inlineStr">
        <is>
          <t>Muhasebe</t>
        </is>
      </c>
      <c r="C7" s="106" t="n">
        <v>320000</v>
      </c>
      <c r="D7" s="106" t="n">
        <v>318500</v>
      </c>
      <c r="I7" s="108" t="inlineStr">
        <is>
          <t>Sayım eksikliği araştırılıyor</t>
        </is>
      </c>
    </row>
    <row r="8" ht="15" customHeight="1" s="88">
      <c r="A8" s="109" t="n"/>
      <c r="B8" s="109" t="n"/>
      <c r="C8" s="109" t="n"/>
      <c r="D8" s="109" t="n"/>
      <c r="I8" s="109" t="n"/>
    </row>
    <row r="9" ht="15" customHeight="1" s="88">
      <c r="A9" s="109" t="n"/>
      <c r="B9" s="109" t="n"/>
      <c r="C9" s="109" t="n"/>
      <c r="D9" s="109" t="n"/>
      <c r="I9" s="109" t="n"/>
    </row>
    <row r="10" ht="15" customHeight="1" s="88">
      <c r="A10" s="109" t="n"/>
      <c r="B10" s="109" t="n"/>
      <c r="C10" s="109" t="n"/>
      <c r="D10" s="109" t="n"/>
      <c r="I10" s="109" t="n"/>
    </row>
    <row r="11" ht="15" customHeight="1" s="88">
      <c r="A11" s="109" t="n"/>
      <c r="B11" s="109" t="n"/>
      <c r="C11" s="109" t="n"/>
      <c r="D11" s="109" t="n"/>
      <c r="I11" s="109" t="n"/>
    </row>
    <row r="12" ht="15" customHeight="1" s="88">
      <c r="A12" s="109" t="n"/>
      <c r="B12" s="109" t="n"/>
      <c r="C12" s="109" t="n"/>
      <c r="D12" s="109" t="n"/>
      <c r="I12" s="109" t="n"/>
    </row>
    <row r="13" ht="15" customHeight="1" s="88">
      <c r="A13" s="109" t="n"/>
      <c r="B13" s="109" t="n"/>
      <c r="C13" s="109" t="n"/>
      <c r="D13" s="109" t="n"/>
      <c r="I13" s="109" t="n"/>
    </row>
    <row r="14" ht="15" customHeight="1" s="88">
      <c r="A14" s="109" t="n"/>
      <c r="B14" s="109" t="n"/>
      <c r="C14" s="109" t="n"/>
      <c r="D14" s="109" t="n"/>
      <c r="I14" s="109" t="n"/>
    </row>
    <row r="15" ht="15" customHeight="1" s="88">
      <c r="A15" s="109" t="n"/>
      <c r="B15" s="109" t="n"/>
      <c r="C15" s="109" t="n"/>
      <c r="D15" s="109" t="n"/>
      <c r="I15" s="109" t="n"/>
    </row>
    <row r="16" ht="15" customHeight="1" s="88">
      <c r="A16" s="109" t="n"/>
      <c r="B16" s="109" t="n"/>
      <c r="C16" s="109" t="n"/>
      <c r="D16" s="109" t="n"/>
      <c r="I16" s="109" t="n"/>
    </row>
    <row r="17" ht="15" customHeight="1" s="88">
      <c r="A17" s="109" t="n"/>
      <c r="B17" s="109" t="n"/>
      <c r="C17" s="109" t="n"/>
      <c r="D17" s="109" t="n"/>
      <c r="I17" s="109" t="n"/>
    </row>
    <row r="18" ht="15" customHeight="1" s="88">
      <c r="A18" s="109" t="n"/>
      <c r="B18" s="109" t="n"/>
      <c r="C18" s="109" t="n"/>
      <c r="D18" s="109" t="n"/>
      <c r="I18" s="109" t="n"/>
    </row>
    <row r="19" ht="15" customHeight="1" s="88">
      <c r="A19" s="109" t="n"/>
      <c r="B19" s="109" t="n"/>
      <c r="C19" s="109" t="n"/>
      <c r="D19" s="109" t="n"/>
      <c r="I19" s="109" t="n"/>
    </row>
    <row r="20" ht="15" customHeight="1" s="88">
      <c r="A20" s="109" t="n"/>
      <c r="B20" s="109" t="n"/>
      <c r="C20" s="109" t="n"/>
      <c r="D20" s="109" t="n"/>
      <c r="I20" s="109" t="n"/>
    </row>
    <row r="21" ht="15" customHeight="1" s="88">
      <c r="A21" s="109" t="n"/>
      <c r="B21" s="109" t="n"/>
      <c r="C21" s="109" t="n"/>
      <c r="D21" s="109" t="n"/>
      <c r="I21" s="109" t="n"/>
    </row>
    <row r="22" ht="15" customHeight="1" s="88">
      <c r="A22" s="109" t="n"/>
      <c r="B22" s="109" t="n"/>
      <c r="C22" s="109" t="n"/>
      <c r="D22" s="109" t="n"/>
      <c r="I22" s="109" t="n"/>
    </row>
    <row r="23" ht="15" customHeight="1" s="88">
      <c r="A23" s="109" t="n"/>
      <c r="B23" s="109" t="n"/>
      <c r="C23" s="109" t="n"/>
      <c r="D23" s="109" t="n"/>
      <c r="I23" s="109" t="n"/>
    </row>
    <row r="24" ht="15" customHeight="1" s="88">
      <c r="A24" s="109" t="n"/>
      <c r="B24" s="109" t="n"/>
      <c r="C24" s="109" t="n"/>
      <c r="D24" s="109" t="n"/>
      <c r="I24" s="109" t="n"/>
    </row>
    <row r="25" ht="15" customHeight="1" s="88">
      <c r="A25" s="109" t="n"/>
      <c r="B25" s="109" t="n"/>
      <c r="C25" s="109" t="n"/>
      <c r="D25" s="109" t="n"/>
      <c r="I25" s="109" t="n"/>
    </row>
    <row r="26" ht="15" customHeight="1" s="88">
      <c r="A26" s="109" t="n"/>
      <c r="B26" s="109" t="n"/>
      <c r="C26" s="109" t="n"/>
      <c r="D26" s="109" t="n"/>
      <c r="I26" s="109" t="n"/>
    </row>
    <row r="27" ht="15" customHeight="1" s="88">
      <c r="A27" s="109" t="n"/>
      <c r="B27" s="109" t="n"/>
      <c r="C27" s="109" t="n"/>
      <c r="D27" s="109" t="n"/>
      <c r="I27" s="109" t="n"/>
    </row>
    <row r="28" ht="15" customHeight="1" s="88">
      <c r="A28" s="109" t="n"/>
      <c r="B28" s="109" t="n"/>
      <c r="C28" s="109" t="n"/>
      <c r="D28" s="109" t="n"/>
      <c r="I28" s="109" t="n"/>
    </row>
    <row r="29" ht="15" customHeight="1" s="88">
      <c r="A29" s="109" t="n"/>
      <c r="B29" s="109" t="n"/>
      <c r="C29" s="109" t="n"/>
      <c r="D29" s="109" t="n"/>
      <c r="I29" s="109" t="n"/>
    </row>
    <row r="30" ht="15" customHeight="1" s="88">
      <c r="A30" s="109" t="n"/>
      <c r="B30" s="109" t="n"/>
      <c r="C30" s="109" t="n"/>
      <c r="D30" s="109" t="n"/>
      <c r="I30" s="109" t="n"/>
    </row>
    <row r="31" ht="15" customHeight="1" s="88">
      <c r="A31" s="109" t="n"/>
      <c r="B31" s="109" t="n"/>
      <c r="C31" s="109" t="n"/>
      <c r="D31" s="109" t="n"/>
      <c r="I31" s="109" t="n"/>
    </row>
    <row r="32" ht="15" customHeight="1" s="88">
      <c r="A32" s="109" t="n"/>
      <c r="B32" s="109" t="n"/>
      <c r="C32" s="109" t="n"/>
      <c r="D32" s="109" t="n"/>
      <c r="I32" s="109" t="n"/>
    </row>
    <row r="33" ht="15" customHeight="1" s="88">
      <c r="A33" s="109" t="n"/>
      <c r="B33" s="109" t="n"/>
      <c r="C33" s="109" t="n"/>
      <c r="D33" s="109" t="n"/>
      <c r="I33" s="109" t="n"/>
    </row>
    <row r="34" ht="15" customHeight="1" s="88">
      <c r="A34" s="109" t="n"/>
      <c r="B34" s="109" t="n"/>
      <c r="C34" s="109" t="n"/>
      <c r="D34" s="109" t="n"/>
      <c r="I34" s="109" t="n"/>
    </row>
    <row r="35" ht="15" customHeight="1" s="88">
      <c r="A35" s="109" t="n"/>
      <c r="B35" s="109" t="n"/>
      <c r="C35" s="109" t="n"/>
      <c r="D35" s="109" t="n"/>
      <c r="I35" s="109" t="n"/>
    </row>
    <row r="36" ht="15" customHeight="1" s="88">
      <c r="A36" s="109" t="n"/>
      <c r="B36" s="109" t="n"/>
      <c r="C36" s="109" t="n"/>
      <c r="D36" s="109" t="n"/>
      <c r="I36" s="109" t="n"/>
    </row>
    <row r="37" ht="15" customHeight="1" s="88">
      <c r="A37" s="109" t="n"/>
      <c r="B37" s="109" t="n"/>
      <c r="C37" s="109" t="n"/>
      <c r="D37" s="109" t="n"/>
      <c r="I37" s="109" t="n"/>
    </row>
    <row r="38" ht="15" customHeight="1" s="88">
      <c r="A38" s="109" t="n"/>
      <c r="B38" s="109" t="n"/>
      <c r="C38" s="109" t="n"/>
      <c r="D38" s="109" t="n"/>
      <c r="I38" s="109" t="n"/>
    </row>
    <row r="39" ht="15" customHeight="1" s="88">
      <c r="A39" s="109" t="n"/>
      <c r="B39" s="109" t="n"/>
      <c r="C39" s="109" t="n"/>
      <c r="D39" s="109" t="n"/>
      <c r="I39" s="109" t="n"/>
    </row>
    <row r="40" ht="15" customHeight="1" s="88">
      <c r="A40" s="109" t="n"/>
      <c r="B40" s="109" t="n"/>
      <c r="C40" s="109" t="n"/>
      <c r="D40" s="109" t="n"/>
      <c r="I40" s="109" t="n"/>
    </row>
    <row r="41" ht="15" customHeight="1" s="88">
      <c r="A41" s="109" t="n"/>
      <c r="B41" s="109" t="n"/>
      <c r="C41" s="109" t="n"/>
      <c r="D41" s="109" t="n"/>
      <c r="I41" s="109" t="n"/>
    </row>
    <row r="42" ht="15" customHeight="1" s="88">
      <c r="A42" s="109" t="n"/>
      <c r="B42" s="109" t="n"/>
      <c r="C42" s="109" t="n"/>
      <c r="D42" s="109" t="n"/>
      <c r="I42" s="109" t="n"/>
    </row>
    <row r="43" ht="15" customHeight="1" s="88">
      <c r="A43" s="109" t="n"/>
      <c r="B43" s="109" t="n"/>
      <c r="C43" s="109" t="n"/>
      <c r="D43" s="109" t="n"/>
      <c r="I43" s="109" t="n"/>
    </row>
    <row r="44" ht="15" customHeight="1" s="88">
      <c r="A44" s="109" t="n"/>
      <c r="B44" s="109" t="n"/>
      <c r="C44" s="109" t="n"/>
      <c r="D44" s="109" t="n"/>
      <c r="I44" s="109" t="n"/>
    </row>
    <row r="45" ht="15" customHeight="1" s="88">
      <c r="A45" s="109" t="n"/>
      <c r="B45" s="109" t="n"/>
      <c r="C45" s="109" t="n"/>
      <c r="D45" s="109" t="n"/>
      <c r="I45" s="109" t="n"/>
    </row>
    <row r="46" ht="15" customHeight="1" s="88">
      <c r="A46" s="109" t="n"/>
      <c r="B46" s="109" t="n"/>
      <c r="C46" s="109" t="n"/>
      <c r="D46" s="109" t="n"/>
      <c r="I46" s="109" t="n"/>
    </row>
    <row r="47" ht="15" customHeight="1" s="88">
      <c r="A47" s="109" t="n"/>
      <c r="B47" s="109" t="n"/>
      <c r="C47" s="109" t="n"/>
      <c r="D47" s="109" t="n"/>
      <c r="I47" s="109" t="n"/>
    </row>
    <row r="48" ht="15" customHeight="1" s="88">
      <c r="A48" s="109" t="n"/>
      <c r="B48" s="109" t="n"/>
      <c r="C48" s="109" t="n"/>
      <c r="D48" s="109" t="n"/>
      <c r="I48" s="109" t="n"/>
    </row>
    <row r="49" ht="15" customHeight="1" s="88">
      <c r="A49" s="109" t="n"/>
      <c r="B49" s="109" t="n"/>
      <c r="C49" s="109" t="n"/>
      <c r="D49" s="109" t="n"/>
      <c r="I49" s="109" t="n"/>
    </row>
    <row r="50" ht="15" customHeight="1" s="88">
      <c r="A50" s="109" t="n"/>
      <c r="B50" s="109" t="n"/>
      <c r="C50" s="109" t="n"/>
      <c r="D50" s="109" t="n"/>
      <c r="I50" s="109" t="n"/>
    </row>
    <row r="51" ht="15" customHeight="1" s="88">
      <c r="A51" s="109" t="n"/>
      <c r="B51" s="109" t="n"/>
      <c r="C51" s="109" t="n"/>
      <c r="D51" s="109" t="n"/>
      <c r="I51" s="109" t="n"/>
    </row>
    <row r="52" ht="15" customHeight="1" s="88">
      <c r="A52" s="109" t="n"/>
      <c r="B52" s="109" t="n"/>
      <c r="C52" s="109" t="n"/>
      <c r="D52" s="109" t="n"/>
      <c r="I52" s="109" t="n"/>
    </row>
    <row r="53" ht="15" customHeight="1" s="88">
      <c r="A53" s="109" t="n"/>
      <c r="B53" s="109" t="n"/>
      <c r="C53" s="109" t="n"/>
      <c r="D53" s="109" t="n"/>
      <c r="I53" s="109" t="n"/>
    </row>
    <row r="54" ht="15" customHeight="1" s="88">
      <c r="A54" s="109" t="n"/>
      <c r="B54" s="109" t="n"/>
      <c r="C54" s="109" t="n"/>
      <c r="D54" s="109" t="n"/>
      <c r="I54" s="109" t="n"/>
    </row>
    <row r="55" ht="15" customHeight="1" s="88">
      <c r="A55" s="109" t="n"/>
      <c r="B55" s="109" t="n"/>
      <c r="C55" s="109" t="n"/>
      <c r="D55" s="109" t="n"/>
      <c r="I55" s="109" t="n"/>
    </row>
    <row r="56" ht="15" customHeight="1" s="88">
      <c r="A56" s="109" t="n"/>
      <c r="B56" s="109" t="n"/>
      <c r="C56" s="109" t="n"/>
      <c r="D56" s="109" t="n"/>
      <c r="I56" s="109" t="n"/>
    </row>
    <row r="57" ht="15" customHeight="1" s="88">
      <c r="A57" s="109" t="n"/>
      <c r="B57" s="109" t="n"/>
      <c r="C57" s="109" t="n"/>
      <c r="D57" s="109" t="n"/>
      <c r="I57" s="109" t="n"/>
    </row>
    <row r="58" ht="15" customHeight="1" s="88">
      <c r="A58" s="109" t="n"/>
      <c r="B58" s="109" t="n"/>
      <c r="C58" s="109" t="n"/>
      <c r="D58" s="109" t="n"/>
      <c r="I58" s="109" t="n"/>
    </row>
    <row r="59" ht="15" customHeight="1" s="88">
      <c r="A59" s="109" t="n"/>
      <c r="B59" s="109" t="n"/>
      <c r="C59" s="109" t="n"/>
      <c r="D59" s="109" t="n"/>
      <c r="I59" s="109" t="n"/>
    </row>
    <row r="60" ht="15" customHeight="1" s="88">
      <c r="A60" s="109" t="n"/>
      <c r="B60" s="109" t="n"/>
      <c r="C60" s="109" t="n"/>
      <c r="D60" s="109" t="n"/>
      <c r="I60" s="109" t="n"/>
    </row>
    <row r="61" ht="15" customHeight="1" s="88">
      <c r="A61" s="109" t="n"/>
      <c r="B61" s="109" t="n"/>
      <c r="C61" s="109" t="n"/>
      <c r="D61" s="109" t="n"/>
      <c r="I61" s="109" t="n"/>
    </row>
    <row r="62" ht="15" customHeight="1" s="88">
      <c r="A62" s="109" t="n"/>
      <c r="B62" s="109" t="n"/>
      <c r="C62" s="109" t="n"/>
      <c r="D62" s="109" t="n"/>
      <c r="I62" s="109" t="n"/>
    </row>
    <row r="63" ht="15" customHeight="1" s="88">
      <c r="A63" s="109" t="n"/>
      <c r="B63" s="109" t="n"/>
      <c r="C63" s="109" t="n"/>
      <c r="D63" s="109" t="n"/>
      <c r="I63" s="109" t="n"/>
    </row>
    <row r="64" ht="15" customHeight="1" s="88">
      <c r="A64" s="109" t="n"/>
      <c r="B64" s="109" t="n"/>
      <c r="C64" s="109" t="n"/>
      <c r="D64" s="109" t="n"/>
      <c r="I64" s="109" t="n"/>
    </row>
    <row r="65" ht="15" customHeight="1" s="88">
      <c r="A65" s="109" t="n"/>
      <c r="B65" s="109" t="n"/>
      <c r="C65" s="109" t="n"/>
      <c r="D65" s="109" t="n"/>
      <c r="I65" s="109" t="n"/>
    </row>
    <row r="66" ht="15" customHeight="1" s="88">
      <c r="A66" s="109" t="n"/>
      <c r="B66" s="109" t="n"/>
      <c r="C66" s="109" t="n"/>
      <c r="D66" s="109" t="n"/>
      <c r="I66" s="109" t="n"/>
    </row>
    <row r="67" ht="15" customHeight="1" s="88">
      <c r="A67" s="109" t="n"/>
      <c r="B67" s="109" t="n"/>
      <c r="C67" s="109" t="n"/>
      <c r="D67" s="109" t="n"/>
      <c r="I67" s="109" t="n"/>
    </row>
    <row r="68" ht="15" customHeight="1" s="88">
      <c r="A68" s="109" t="n"/>
      <c r="B68" s="109" t="n"/>
      <c r="C68" s="109" t="n"/>
      <c r="D68" s="109" t="n"/>
      <c r="I68" s="109" t="n"/>
    </row>
    <row r="69" ht="15" customHeight="1" s="88">
      <c r="A69" s="109" t="n"/>
      <c r="B69" s="109" t="n"/>
      <c r="C69" s="109" t="n"/>
      <c r="D69" s="109" t="n"/>
      <c r="I69" s="109" t="n"/>
    </row>
    <row r="70" ht="15" customHeight="1" s="88">
      <c r="A70" s="109" t="n"/>
      <c r="B70" s="109" t="n"/>
      <c r="C70" s="109" t="n"/>
      <c r="D70" s="109" t="n"/>
      <c r="I70" s="109" t="n"/>
    </row>
    <row r="71" ht="15" customHeight="1" s="88">
      <c r="A71" s="109" t="n"/>
      <c r="B71" s="109" t="n"/>
      <c r="C71" s="109" t="n"/>
      <c r="D71" s="109" t="n"/>
      <c r="I71" s="109" t="n"/>
    </row>
    <row r="72" ht="15" customHeight="1" s="88">
      <c r="A72" s="109" t="n"/>
      <c r="B72" s="109" t="n"/>
      <c r="C72" s="109" t="n"/>
      <c r="D72" s="109" t="n"/>
      <c r="I72" s="109" t="n"/>
    </row>
    <row r="73" ht="15" customHeight="1" s="88">
      <c r="A73" s="109" t="n"/>
      <c r="B73" s="109" t="n"/>
      <c r="C73" s="109" t="n"/>
      <c r="D73" s="109" t="n"/>
      <c r="I73" s="109" t="n"/>
    </row>
    <row r="74" ht="15" customHeight="1" s="88">
      <c r="A74" s="109" t="n"/>
      <c r="B74" s="109" t="n"/>
      <c r="C74" s="109" t="n"/>
      <c r="D74" s="109" t="n"/>
      <c r="I74" s="109" t="n"/>
    </row>
    <row r="75" ht="15" customHeight="1" s="88">
      <c r="A75" s="109" t="n"/>
      <c r="B75" s="109" t="n"/>
      <c r="C75" s="109" t="n"/>
      <c r="D75" s="109" t="n"/>
      <c r="I75" s="109" t="n"/>
    </row>
    <row r="76" ht="15" customHeight="1" s="88">
      <c r="A76" s="109" t="n"/>
      <c r="B76" s="109" t="n"/>
      <c r="C76" s="109" t="n"/>
      <c r="D76" s="109" t="n"/>
      <c r="I76" s="109" t="n"/>
    </row>
    <row r="77" ht="15" customHeight="1" s="88">
      <c r="A77" s="109" t="n"/>
      <c r="B77" s="109" t="n"/>
      <c r="C77" s="109" t="n"/>
      <c r="D77" s="109" t="n"/>
      <c r="I77" s="109" t="n"/>
    </row>
    <row r="78" ht="15" customHeight="1" s="88">
      <c r="A78" s="109" t="n"/>
      <c r="B78" s="109" t="n"/>
      <c r="C78" s="109" t="n"/>
      <c r="D78" s="109" t="n"/>
      <c r="I78" s="109" t="n"/>
    </row>
    <row r="79" ht="15" customHeight="1" s="88">
      <c r="A79" s="109" t="n"/>
      <c r="B79" s="109" t="n"/>
      <c r="C79" s="109" t="n"/>
      <c r="D79" s="109" t="n"/>
      <c r="I79" s="109" t="n"/>
    </row>
    <row r="80" ht="15" customHeight="1" s="88">
      <c r="A80" s="109" t="n"/>
      <c r="B80" s="109" t="n"/>
      <c r="C80" s="109" t="n"/>
      <c r="D80" s="109" t="n"/>
      <c r="I80" s="109" t="n"/>
    </row>
    <row r="81" ht="15" customHeight="1" s="88">
      <c r="A81" s="109" t="n"/>
      <c r="B81" s="109" t="n"/>
      <c r="C81" s="109" t="n"/>
      <c r="D81" s="109" t="n"/>
      <c r="I81" s="109" t="n"/>
    </row>
    <row r="82" ht="15" customHeight="1" s="88">
      <c r="A82" s="109" t="n"/>
      <c r="B82" s="109" t="n"/>
      <c r="C82" s="109" t="n"/>
      <c r="D82" s="109" t="n"/>
      <c r="I82" s="109" t="n"/>
    </row>
    <row r="83" ht="15" customHeight="1" s="88">
      <c r="A83" s="109" t="n"/>
      <c r="B83" s="109" t="n"/>
      <c r="C83" s="109" t="n"/>
      <c r="D83" s="109" t="n"/>
      <c r="I83" s="109" t="n"/>
    </row>
    <row r="84" ht="15" customHeight="1" s="88">
      <c r="A84" s="109" t="n"/>
      <c r="B84" s="109" t="n"/>
      <c r="C84" s="109" t="n"/>
      <c r="D84" s="109" t="n"/>
      <c r="I84" s="109" t="n"/>
    </row>
    <row r="85" ht="15" customHeight="1" s="88">
      <c r="A85" s="109" t="n"/>
      <c r="B85" s="109" t="n"/>
      <c r="C85" s="109" t="n"/>
      <c r="D85" s="109" t="n"/>
      <c r="I85" s="109" t="n"/>
    </row>
    <row r="86" ht="15" customHeight="1" s="88">
      <c r="A86" s="109" t="n"/>
      <c r="B86" s="109" t="n"/>
      <c r="C86" s="109" t="n"/>
      <c r="D86" s="109" t="n"/>
      <c r="I86" s="109" t="n"/>
    </row>
    <row r="87" ht="15" customHeight="1" s="88">
      <c r="A87" s="109" t="n"/>
      <c r="B87" s="109" t="n"/>
      <c r="C87" s="109" t="n"/>
      <c r="D87" s="109" t="n"/>
      <c r="I87" s="109" t="n"/>
    </row>
    <row r="88" ht="15" customHeight="1" s="88">
      <c r="A88" s="109" t="n"/>
      <c r="B88" s="109" t="n"/>
      <c r="C88" s="109" t="n"/>
      <c r="D88" s="109" t="n"/>
      <c r="I88" s="109" t="n"/>
    </row>
    <row r="89" ht="15" customHeight="1" s="88">
      <c r="A89" s="109" t="n"/>
      <c r="B89" s="109" t="n"/>
      <c r="C89" s="109" t="n"/>
      <c r="D89" s="109" t="n"/>
      <c r="I89" s="109" t="n"/>
    </row>
    <row r="90" ht="15" customHeight="1" s="88">
      <c r="A90" s="109" t="n"/>
      <c r="B90" s="109" t="n"/>
      <c r="C90" s="109" t="n"/>
      <c r="D90" s="109" t="n"/>
      <c r="I90" s="109" t="n"/>
    </row>
    <row r="91" ht="15" customHeight="1" s="88">
      <c r="A91" s="109" t="n"/>
      <c r="B91" s="109" t="n"/>
      <c r="C91" s="109" t="n"/>
      <c r="D91" s="109" t="n"/>
      <c r="I91" s="109" t="n"/>
    </row>
    <row r="92" ht="15" customHeight="1" s="88">
      <c r="A92" s="109" t="n"/>
      <c r="B92" s="109" t="n"/>
      <c r="C92" s="109" t="n"/>
      <c r="D92" s="109" t="n"/>
      <c r="I92" s="109" t="n"/>
    </row>
    <row r="93" ht="15" customHeight="1" s="88">
      <c r="A93" s="109" t="n"/>
      <c r="B93" s="109" t="n"/>
      <c r="C93" s="109" t="n"/>
      <c r="D93" s="109" t="n"/>
      <c r="I93" s="109" t="n"/>
    </row>
    <row r="94" ht="15" customHeight="1" s="88">
      <c r="A94" s="109" t="n"/>
      <c r="B94" s="109" t="n"/>
      <c r="C94" s="109" t="n"/>
      <c r="D94" s="109" t="n"/>
      <c r="I94" s="109" t="n"/>
    </row>
    <row r="95" ht="15" customHeight="1" s="88">
      <c r="A95" s="109" t="n"/>
      <c r="B95" s="109" t="n"/>
      <c r="C95" s="109" t="n"/>
      <c r="D95" s="109" t="n"/>
      <c r="I95" s="109" t="n"/>
    </row>
    <row r="96" ht="15" customHeight="1" s="88">
      <c r="A96" s="109" t="n"/>
      <c r="B96" s="109" t="n"/>
      <c r="C96" s="109" t="n"/>
      <c r="D96" s="109" t="n"/>
      <c r="I96" s="109" t="n"/>
    </row>
    <row r="97" ht="15" customHeight="1" s="88">
      <c r="A97" s="109" t="n"/>
      <c r="B97" s="109" t="n"/>
      <c r="C97" s="109" t="n"/>
      <c r="D97" s="109" t="n"/>
      <c r="I97" s="109" t="n"/>
    </row>
    <row r="98" ht="15" customHeight="1" s="88">
      <c r="A98" s="109" t="n"/>
      <c r="B98" s="109" t="n"/>
      <c r="C98" s="109" t="n"/>
      <c r="D98" s="109" t="n"/>
      <c r="I98" s="109" t="n"/>
    </row>
    <row r="99" ht="15" customHeight="1" s="88">
      <c r="A99" s="109" t="n"/>
      <c r="B99" s="109" t="n"/>
      <c r="C99" s="109" t="n"/>
      <c r="D99" s="109" t="n"/>
      <c r="I99" s="109" t="n"/>
    </row>
    <row r="100" ht="15" customHeight="1" s="88">
      <c r="A100" s="109" t="n"/>
      <c r="B100" s="109" t="n"/>
      <c r="C100" s="109" t="n"/>
      <c r="D100" s="109" t="n"/>
      <c r="I100" s="109" t="n"/>
    </row>
    <row r="101" ht="15" customHeight="1" s="88">
      <c r="A101" s="109" t="n"/>
      <c r="B101" s="109" t="n"/>
      <c r="C101" s="109" t="n"/>
      <c r="D101" s="109" t="n"/>
      <c r="I101" s="109" t="n"/>
    </row>
    <row r="102" ht="15" customHeight="1" s="88">
      <c r="A102" s="109" t="n"/>
      <c r="B102" s="109" t="n"/>
      <c r="C102" s="109" t="n"/>
      <c r="D102" s="109" t="n"/>
      <c r="I102" s="109" t="n"/>
    </row>
    <row r="103" ht="15" customHeight="1" s="88">
      <c r="A103" s="109" t="n"/>
      <c r="B103" s="109" t="n"/>
      <c r="C103" s="109" t="n"/>
      <c r="D103" s="109" t="n"/>
      <c r="I103" s="109" t="n"/>
    </row>
    <row r="104" ht="15" customHeight="1" s="88">
      <c r="A104" s="109" t="n"/>
      <c r="B104" s="109" t="n"/>
      <c r="C104" s="109" t="n"/>
      <c r="D104" s="109" t="n"/>
      <c r="I104" s="109" t="n"/>
    </row>
    <row r="105" ht="15" customHeight="1" s="88">
      <c r="A105" s="109" t="n"/>
      <c r="B105" s="109" t="n"/>
      <c r="C105" s="109" t="n"/>
      <c r="D105" s="109" t="n"/>
      <c r="I105" s="109" t="n"/>
    </row>
    <row r="106" ht="15" customHeight="1" s="88">
      <c r="A106" s="109" t="n"/>
      <c r="B106" s="109" t="n"/>
      <c r="C106" s="109" t="n"/>
      <c r="D106" s="109" t="n"/>
      <c r="I106" s="109" t="n"/>
    </row>
    <row r="107" ht="15" customHeight="1" s="88">
      <c r="A107" s="109" t="n"/>
      <c r="B107" s="109" t="n"/>
      <c r="C107" s="109" t="n"/>
      <c r="D107" s="109" t="n"/>
      <c r="I107" s="109" t="n"/>
    </row>
    <row r="108" ht="15" customHeight="1" s="88">
      <c r="A108" s="109" t="n"/>
      <c r="B108" s="109" t="n"/>
      <c r="C108" s="109" t="n"/>
      <c r="D108" s="109" t="n"/>
      <c r="I108" s="109" t="n"/>
    </row>
    <row r="109" ht="15" customHeight="1" s="88">
      <c r="A109" s="109" t="n"/>
      <c r="B109" s="109" t="n"/>
      <c r="C109" s="109" t="n"/>
      <c r="D109" s="109" t="n"/>
      <c r="I109" s="109" t="n"/>
    </row>
    <row r="110" ht="15" customHeight="1" s="88">
      <c r="A110" s="109" t="n"/>
      <c r="B110" s="109" t="n"/>
      <c r="C110" s="109" t="n"/>
      <c r="D110" s="109" t="n"/>
      <c r="I110" s="109" t="n"/>
    </row>
    <row r="111" ht="15" customHeight="1" s="88">
      <c r="A111" s="109" t="n"/>
      <c r="B111" s="109" t="n"/>
      <c r="C111" s="109" t="n"/>
      <c r="D111" s="109" t="n"/>
      <c r="I111" s="109" t="n"/>
    </row>
    <row r="112" ht="15" customHeight="1" s="88">
      <c r="A112" s="109" t="n"/>
      <c r="B112" s="109" t="n"/>
      <c r="C112" s="109" t="n"/>
      <c r="D112" s="109" t="n"/>
      <c r="I112" s="109" t="n"/>
    </row>
    <row r="113" ht="15" customHeight="1" s="88">
      <c r="A113" s="109" t="n"/>
      <c r="B113" s="109" t="n"/>
      <c r="C113" s="109" t="n"/>
      <c r="D113" s="109" t="n"/>
      <c r="I113" s="109" t="n"/>
    </row>
    <row r="114" ht="15" customHeight="1" s="88">
      <c r="A114" s="109" t="n"/>
      <c r="B114" s="109" t="n"/>
      <c r="C114" s="109" t="n"/>
      <c r="D114" s="109" t="n"/>
      <c r="I114" s="109" t="n"/>
    </row>
    <row r="115" ht="15" customHeight="1" s="88">
      <c r="A115" s="109" t="n"/>
      <c r="B115" s="109" t="n"/>
      <c r="C115" s="109" t="n"/>
      <c r="D115" s="109" t="n"/>
      <c r="I115" s="109" t="n"/>
    </row>
    <row r="116" ht="15" customHeight="1" s="88">
      <c r="A116" s="109" t="n"/>
      <c r="B116" s="109" t="n"/>
      <c r="C116" s="109" t="n"/>
      <c r="D116" s="109" t="n"/>
      <c r="I116" s="109" t="n"/>
    </row>
    <row r="117" ht="15" customHeight="1" s="88">
      <c r="A117" s="109" t="n"/>
      <c r="B117" s="109" t="n"/>
      <c r="C117" s="109" t="n"/>
      <c r="D117" s="109" t="n"/>
      <c r="I117" s="109" t="n"/>
    </row>
    <row r="118" ht="15" customHeight="1" s="88">
      <c r="A118" s="109" t="n"/>
      <c r="B118" s="109" t="n"/>
      <c r="C118" s="109" t="n"/>
      <c r="D118" s="109" t="n"/>
      <c r="I118" s="109" t="n"/>
    </row>
    <row r="119" ht="15" customHeight="1" s="88">
      <c r="A119" s="109" t="n"/>
      <c r="B119" s="109" t="n"/>
      <c r="C119" s="109" t="n"/>
      <c r="D119" s="109" t="n"/>
      <c r="I119" s="109" t="n"/>
    </row>
    <row r="120" ht="15" customHeight="1" s="88">
      <c r="A120" s="109" t="n"/>
      <c r="B120" s="109" t="n"/>
      <c r="C120" s="109" t="n"/>
      <c r="D120" s="109" t="n"/>
      <c r="I120" s="109" t="n"/>
    </row>
    <row r="121" ht="15" customHeight="1" s="88">
      <c r="A121" s="109" t="n"/>
      <c r="B121" s="109" t="n"/>
      <c r="C121" s="109" t="n"/>
      <c r="D121" s="109" t="n"/>
      <c r="I121" s="109" t="n"/>
    </row>
    <row r="122" ht="15" customHeight="1" s="88">
      <c r="A122" s="109" t="n"/>
      <c r="B122" s="109" t="n"/>
      <c r="C122" s="109" t="n"/>
      <c r="D122" s="109" t="n"/>
      <c r="I122" s="109" t="n"/>
    </row>
    <row r="123" ht="15" customHeight="1" s="88">
      <c r="A123" s="109" t="n"/>
      <c r="B123" s="109" t="n"/>
      <c r="C123" s="109" t="n"/>
      <c r="D123" s="109" t="n"/>
      <c r="I123" s="109" t="n"/>
    </row>
    <row r="124" ht="15" customHeight="1" s="88">
      <c r="A124" s="109" t="n"/>
      <c r="B124" s="109" t="n"/>
      <c r="C124" s="109" t="n"/>
      <c r="D124" s="109" t="n"/>
      <c r="I124" s="109" t="n"/>
    </row>
    <row r="125" ht="15" customHeight="1" s="88">
      <c r="A125" s="109" t="n"/>
      <c r="B125" s="109" t="n"/>
      <c r="C125" s="109" t="n"/>
      <c r="D125" s="109" t="n"/>
      <c r="I125" s="109" t="n"/>
    </row>
    <row r="126" ht="15" customHeight="1" s="88">
      <c r="A126" s="109" t="n"/>
      <c r="B126" s="109" t="n"/>
      <c r="C126" s="109" t="n"/>
      <c r="D126" s="109" t="n"/>
      <c r="I126" s="109" t="n"/>
    </row>
    <row r="127" ht="15" customHeight="1" s="88">
      <c r="A127" s="109" t="n"/>
      <c r="B127" s="109" t="n"/>
      <c r="C127" s="109" t="n"/>
      <c r="D127" s="109" t="n"/>
      <c r="I127" s="109" t="n"/>
    </row>
    <row r="128" ht="15" customHeight="1" s="88">
      <c r="A128" s="109" t="n"/>
      <c r="B128" s="109" t="n"/>
      <c r="C128" s="109" t="n"/>
      <c r="D128" s="109" t="n"/>
      <c r="I128" s="109" t="n"/>
    </row>
    <row r="129" ht="15" customHeight="1" s="88">
      <c r="A129" s="109" t="n"/>
      <c r="B129" s="109" t="n"/>
      <c r="C129" s="109" t="n"/>
      <c r="D129" s="109" t="n"/>
      <c r="I129" s="109" t="n"/>
    </row>
    <row r="130" ht="15" customHeight="1" s="88">
      <c r="A130" s="109" t="n"/>
      <c r="B130" s="109" t="n"/>
      <c r="C130" s="109" t="n"/>
      <c r="D130" s="109" t="n"/>
      <c r="I130" s="109" t="n"/>
    </row>
    <row r="131" ht="15" customHeight="1" s="88">
      <c r="A131" s="109" t="n"/>
      <c r="B131" s="109" t="n"/>
      <c r="C131" s="109" t="n"/>
      <c r="D131" s="109" t="n"/>
      <c r="I131" s="109" t="n"/>
    </row>
    <row r="132" ht="15" customHeight="1" s="88">
      <c r="A132" s="109" t="n"/>
      <c r="B132" s="109" t="n"/>
      <c r="C132" s="109" t="n"/>
      <c r="D132" s="109" t="n"/>
      <c r="I132" s="109" t="n"/>
    </row>
    <row r="133" ht="15" customHeight="1" s="88">
      <c r="A133" s="109" t="n"/>
      <c r="B133" s="109" t="n"/>
      <c r="C133" s="109" t="n"/>
      <c r="D133" s="109" t="n"/>
      <c r="I133" s="109" t="n"/>
    </row>
    <row r="134" ht="15" customHeight="1" s="88">
      <c r="A134" s="109" t="n"/>
      <c r="B134" s="109" t="n"/>
      <c r="C134" s="109" t="n"/>
      <c r="D134" s="109" t="n"/>
      <c r="I134" s="109" t="n"/>
    </row>
    <row r="135" ht="15" customHeight="1" s="88">
      <c r="A135" s="109" t="n"/>
      <c r="B135" s="109" t="n"/>
      <c r="C135" s="109" t="n"/>
      <c r="D135" s="109" t="n"/>
      <c r="I135" s="109" t="n"/>
    </row>
    <row r="136" ht="15" customHeight="1" s="88">
      <c r="A136" s="109" t="n"/>
      <c r="B136" s="109" t="n"/>
      <c r="C136" s="109" t="n"/>
      <c r="D136" s="109" t="n"/>
      <c r="I136" s="109" t="n"/>
    </row>
    <row r="137" ht="15" customHeight="1" s="88">
      <c r="A137" s="109" t="n"/>
      <c r="B137" s="109" t="n"/>
      <c r="C137" s="109" t="n"/>
      <c r="D137" s="109" t="n"/>
      <c r="I137" s="109" t="n"/>
    </row>
    <row r="138" ht="15" customHeight="1" s="88">
      <c r="A138" s="109" t="n"/>
      <c r="B138" s="109" t="n"/>
      <c r="C138" s="109" t="n"/>
      <c r="D138" s="109" t="n"/>
      <c r="I138" s="109" t="n"/>
    </row>
    <row r="139" ht="15" customHeight="1" s="88">
      <c r="A139" s="109" t="n"/>
      <c r="B139" s="109" t="n"/>
      <c r="C139" s="109" t="n"/>
      <c r="D139" s="109" t="n"/>
      <c r="I139" s="109" t="n"/>
    </row>
    <row r="140" ht="15" customHeight="1" s="88">
      <c r="A140" s="109" t="n"/>
      <c r="B140" s="109" t="n"/>
      <c r="C140" s="109" t="n"/>
      <c r="D140" s="109" t="n"/>
      <c r="I140" s="109" t="n"/>
    </row>
    <row r="141" ht="15" customHeight="1" s="88">
      <c r="A141" s="109" t="n"/>
      <c r="B141" s="109" t="n"/>
      <c r="C141" s="109" t="n"/>
      <c r="D141" s="109" t="n"/>
      <c r="I141" s="109" t="n"/>
    </row>
    <row r="142" ht="15" customHeight="1" s="88">
      <c r="A142" s="109" t="n"/>
      <c r="B142" s="109" t="n"/>
      <c r="C142" s="109" t="n"/>
      <c r="D142" s="109" t="n"/>
      <c r="I142" s="109" t="n"/>
    </row>
    <row r="143" ht="15" customHeight="1" s="88">
      <c r="A143" s="109" t="n"/>
      <c r="B143" s="109" t="n"/>
      <c r="C143" s="109" t="n"/>
      <c r="D143" s="109" t="n"/>
      <c r="I143" s="109" t="n"/>
    </row>
    <row r="144" ht="15" customHeight="1" s="88">
      <c r="A144" s="109" t="n"/>
      <c r="B144" s="109" t="n"/>
      <c r="C144" s="109" t="n"/>
      <c r="D144" s="109" t="n"/>
      <c r="I144" s="109" t="n"/>
    </row>
    <row r="145" ht="15" customHeight="1" s="88">
      <c r="A145" s="109" t="n"/>
      <c r="B145" s="109" t="n"/>
      <c r="C145" s="109" t="n"/>
      <c r="D145" s="109" t="n"/>
      <c r="I145" s="109" t="n"/>
    </row>
    <row r="146" ht="15" customHeight="1" s="88">
      <c r="A146" s="109" t="n"/>
      <c r="B146" s="109" t="n"/>
      <c r="C146" s="109" t="n"/>
      <c r="D146" s="109" t="n"/>
      <c r="I146" s="109" t="n"/>
    </row>
    <row r="147" ht="15" customHeight="1" s="88">
      <c r="A147" s="109" t="n"/>
      <c r="B147" s="109" t="n"/>
      <c r="C147" s="109" t="n"/>
      <c r="D147" s="109" t="n"/>
      <c r="I147" s="109" t="n"/>
    </row>
    <row r="148" ht="15" customHeight="1" s="88">
      <c r="A148" s="109" t="n"/>
      <c r="B148" s="109" t="n"/>
      <c r="C148" s="109" t="n"/>
      <c r="D148" s="109" t="n"/>
      <c r="I148" s="109" t="n"/>
    </row>
    <row r="149" ht="15" customHeight="1" s="88">
      <c r="A149" s="109" t="n"/>
      <c r="B149" s="109" t="n"/>
      <c r="C149" s="109" t="n"/>
      <c r="D149" s="109" t="n"/>
      <c r="I149" s="109" t="n"/>
    </row>
    <row r="150" ht="15" customHeight="1" s="88">
      <c r="A150" s="109" t="n"/>
      <c r="B150" s="109" t="n"/>
      <c r="C150" s="109" t="n"/>
      <c r="D150" s="109" t="n"/>
      <c r="I150" s="109" t="n"/>
    </row>
    <row r="151" ht="15" customHeight="1" s="88">
      <c r="A151" s="109" t="n"/>
      <c r="B151" s="109" t="n"/>
      <c r="C151" s="109" t="n"/>
      <c r="D151" s="109" t="n"/>
      <c r="I151" s="109" t="n"/>
    </row>
    <row r="152" ht="15" customHeight="1" s="88">
      <c r="A152" s="109" t="n"/>
      <c r="B152" s="109" t="n"/>
      <c r="C152" s="109" t="n"/>
      <c r="D152" s="109" t="n"/>
      <c r="I152" s="109" t="n"/>
    </row>
    <row r="153" ht="15" customHeight="1" s="88">
      <c r="A153" s="109" t="n"/>
      <c r="B153" s="109" t="n"/>
      <c r="C153" s="109" t="n"/>
      <c r="D153" s="109" t="n"/>
      <c r="I153" s="109" t="n"/>
    </row>
    <row r="154" ht="15" customHeight="1" s="88">
      <c r="A154" s="109" t="n"/>
      <c r="B154" s="109" t="n"/>
      <c r="C154" s="109" t="n"/>
      <c r="D154" s="109" t="n"/>
      <c r="I154" s="109" t="n"/>
    </row>
    <row r="155" ht="15" customHeight="1" s="88">
      <c r="A155" s="109" t="n"/>
      <c r="B155" s="109" t="n"/>
      <c r="C155" s="109" t="n"/>
      <c r="D155" s="109" t="n"/>
      <c r="I155" s="109" t="n"/>
    </row>
    <row r="156" ht="15" customHeight="1" s="88">
      <c r="A156" s="109" t="n"/>
      <c r="B156" s="109" t="n"/>
      <c r="C156" s="109" t="n"/>
      <c r="D156" s="109" t="n"/>
      <c r="I156" s="109" t="n"/>
    </row>
    <row r="157" ht="15" customHeight="1" s="88">
      <c r="A157" s="109" t="n"/>
      <c r="B157" s="109" t="n"/>
      <c r="C157" s="109" t="n"/>
      <c r="D157" s="109" t="n"/>
      <c r="I157" s="109" t="n"/>
    </row>
    <row r="158" ht="15" customHeight="1" s="88">
      <c r="A158" s="109" t="n"/>
      <c r="B158" s="109" t="n"/>
      <c r="C158" s="109" t="n"/>
      <c r="D158" s="109" t="n"/>
      <c r="I158" s="109" t="n"/>
    </row>
    <row r="159" ht="15" customHeight="1" s="88">
      <c r="A159" s="109" t="n"/>
      <c r="B159" s="109" t="n"/>
      <c r="C159" s="109" t="n"/>
      <c r="D159" s="109" t="n"/>
      <c r="I159" s="109" t="n"/>
    </row>
    <row r="160" ht="15" customHeight="1" s="88">
      <c r="A160" s="109" t="n"/>
      <c r="B160" s="109" t="n"/>
      <c r="C160" s="109" t="n"/>
      <c r="D160" s="109" t="n"/>
      <c r="I160" s="109" t="n"/>
    </row>
    <row r="161" ht="15" customHeight="1" s="88">
      <c r="A161" s="109" t="n"/>
      <c r="B161" s="109" t="n"/>
      <c r="C161" s="109" t="n"/>
      <c r="D161" s="109" t="n"/>
      <c r="I161" s="109" t="n"/>
    </row>
    <row r="162" ht="15" customHeight="1" s="88">
      <c r="A162" s="109" t="n"/>
      <c r="B162" s="109" t="n"/>
      <c r="C162" s="109" t="n"/>
      <c r="D162" s="109" t="n"/>
      <c r="I162" s="109" t="n"/>
    </row>
    <row r="163" ht="15" customHeight="1" s="88">
      <c r="A163" s="109" t="n"/>
      <c r="B163" s="109" t="n"/>
      <c r="C163" s="109" t="n"/>
      <c r="D163" s="109" t="n"/>
      <c r="I163" s="109" t="n"/>
    </row>
    <row r="164" ht="15" customHeight="1" s="88">
      <c r="A164" s="109" t="n"/>
      <c r="B164" s="109" t="n"/>
      <c r="C164" s="109" t="n"/>
      <c r="D164" s="109" t="n"/>
      <c r="I164" s="109" t="n"/>
    </row>
    <row r="165" ht="15" customHeight="1" s="88">
      <c r="A165" s="109" t="n"/>
      <c r="B165" s="109" t="n"/>
      <c r="C165" s="109" t="n"/>
      <c r="D165" s="109" t="n"/>
      <c r="I165" s="109" t="n"/>
    </row>
    <row r="166" ht="15" customHeight="1" s="88">
      <c r="A166" s="109" t="n"/>
      <c r="B166" s="109" t="n"/>
      <c r="C166" s="109" t="n"/>
      <c r="D166" s="109" t="n"/>
      <c r="I166" s="109" t="n"/>
    </row>
    <row r="167" ht="15" customHeight="1" s="88">
      <c r="A167" s="109" t="n"/>
      <c r="B167" s="109" t="n"/>
      <c r="C167" s="109" t="n"/>
      <c r="D167" s="109" t="n"/>
      <c r="I167" s="109" t="n"/>
    </row>
    <row r="168" ht="15" customHeight="1" s="88">
      <c r="A168" s="109" t="n"/>
      <c r="B168" s="109" t="n"/>
      <c r="C168" s="109" t="n"/>
      <c r="D168" s="109" t="n"/>
      <c r="I168" s="109" t="n"/>
    </row>
    <row r="169" ht="15" customHeight="1" s="88">
      <c r="A169" s="109" t="n"/>
      <c r="B169" s="109" t="n"/>
      <c r="C169" s="109" t="n"/>
      <c r="D169" s="109" t="n"/>
      <c r="I169" s="109" t="n"/>
    </row>
    <row r="170" ht="15" customHeight="1" s="88">
      <c r="A170" s="109" t="n"/>
      <c r="B170" s="109" t="n"/>
      <c r="C170" s="109" t="n"/>
      <c r="D170" s="109" t="n"/>
      <c r="I170" s="109" t="n"/>
    </row>
    <row r="171" ht="15" customHeight="1" s="88">
      <c r="A171" s="109" t="n"/>
      <c r="B171" s="109" t="n"/>
      <c r="C171" s="109" t="n"/>
      <c r="D171" s="109" t="n"/>
      <c r="I171" s="109" t="n"/>
    </row>
    <row r="172" ht="15" customHeight="1" s="88">
      <c r="A172" s="109" t="n"/>
      <c r="B172" s="109" t="n"/>
      <c r="C172" s="109" t="n"/>
      <c r="D172" s="109" t="n"/>
      <c r="I172" s="109" t="n"/>
    </row>
    <row r="173" ht="15" customHeight="1" s="88">
      <c r="A173" s="109" t="n"/>
      <c r="B173" s="109" t="n"/>
      <c r="C173" s="109" t="n"/>
      <c r="D173" s="109" t="n"/>
      <c r="I173" s="109" t="n"/>
    </row>
    <row r="174" ht="15" customHeight="1" s="88">
      <c r="A174" s="109" t="n"/>
      <c r="B174" s="109" t="n"/>
      <c r="C174" s="109" t="n"/>
      <c r="D174" s="109" t="n"/>
      <c r="I174" s="109" t="n"/>
    </row>
    <row r="175" ht="15" customHeight="1" s="88">
      <c r="A175" s="109" t="n"/>
      <c r="B175" s="109" t="n"/>
      <c r="C175" s="109" t="n"/>
      <c r="D175" s="109" t="n"/>
      <c r="I175" s="109" t="n"/>
    </row>
    <row r="176" ht="15" customHeight="1" s="88">
      <c r="A176" s="109" t="n"/>
      <c r="B176" s="109" t="n"/>
      <c r="C176" s="109" t="n"/>
      <c r="D176" s="109" t="n"/>
      <c r="I176" s="109" t="n"/>
    </row>
    <row r="177" ht="15" customHeight="1" s="88">
      <c r="A177" s="109" t="n"/>
      <c r="B177" s="109" t="n"/>
      <c r="C177" s="109" t="n"/>
      <c r="D177" s="109" t="n"/>
      <c r="I177" s="109" t="n"/>
    </row>
    <row r="178" ht="15" customHeight="1" s="88">
      <c r="A178" s="109" t="n"/>
      <c r="B178" s="109" t="n"/>
      <c r="C178" s="109" t="n"/>
      <c r="D178" s="109" t="n"/>
      <c r="I178" s="109" t="n"/>
    </row>
    <row r="179" ht="15" customHeight="1" s="88">
      <c r="A179" s="109" t="n"/>
      <c r="B179" s="109" t="n"/>
      <c r="C179" s="109" t="n"/>
      <c r="D179" s="109" t="n"/>
      <c r="I179" s="109" t="n"/>
    </row>
    <row r="180" ht="15" customHeight="1" s="88">
      <c r="A180" s="109" t="n"/>
      <c r="B180" s="109" t="n"/>
      <c r="C180" s="109" t="n"/>
      <c r="D180" s="109" t="n"/>
      <c r="I180" s="109" t="n"/>
    </row>
    <row r="181" ht="15" customHeight="1" s="88">
      <c r="A181" s="109" t="n"/>
      <c r="B181" s="109" t="n"/>
      <c r="C181" s="109" t="n"/>
      <c r="D181" s="109" t="n"/>
      <c r="I181" s="109" t="n"/>
    </row>
    <row r="182" ht="15" customHeight="1" s="88">
      <c r="A182" s="109" t="n"/>
      <c r="B182" s="109" t="n"/>
      <c r="C182" s="109" t="n"/>
      <c r="D182" s="109" t="n"/>
      <c r="I182" s="109" t="n"/>
    </row>
    <row r="183" ht="15" customHeight="1" s="88">
      <c r="A183" s="109" t="n"/>
      <c r="B183" s="109" t="n"/>
      <c r="C183" s="109" t="n"/>
      <c r="D183" s="109" t="n"/>
      <c r="I183" s="109" t="n"/>
    </row>
    <row r="184" ht="15" customHeight="1" s="88">
      <c r="A184" s="109" t="n"/>
      <c r="B184" s="109" t="n"/>
      <c r="C184" s="109" t="n"/>
      <c r="D184" s="109" t="n"/>
      <c r="I184" s="109" t="n"/>
    </row>
    <row r="185" ht="15" customHeight="1" s="88">
      <c r="A185" s="109" t="n"/>
      <c r="B185" s="109" t="n"/>
      <c r="C185" s="109" t="n"/>
      <c r="D185" s="109" t="n"/>
      <c r="I185" s="109" t="n"/>
    </row>
    <row r="186" ht="15" customHeight="1" s="88">
      <c r="A186" s="109" t="n"/>
      <c r="B186" s="109" t="n"/>
      <c r="C186" s="109" t="n"/>
      <c r="D186" s="109" t="n"/>
      <c r="I186" s="109" t="n"/>
    </row>
    <row r="187" ht="15" customHeight="1" s="88">
      <c r="A187" s="109" t="n"/>
      <c r="B187" s="109" t="n"/>
      <c r="C187" s="109" t="n"/>
      <c r="D187" s="109" t="n"/>
      <c r="I187" s="109" t="n"/>
    </row>
    <row r="188" ht="15" customHeight="1" s="88">
      <c r="A188" s="109" t="n"/>
      <c r="B188" s="109" t="n"/>
      <c r="C188" s="109" t="n"/>
      <c r="D188" s="109" t="n"/>
      <c r="I188" s="109" t="n"/>
    </row>
    <row r="189" ht="15" customHeight="1" s="88">
      <c r="A189" s="109" t="n"/>
      <c r="B189" s="109" t="n"/>
      <c r="C189" s="109" t="n"/>
      <c r="D189" s="109" t="n"/>
      <c r="I189" s="109" t="n"/>
    </row>
    <row r="190" ht="15" customHeight="1" s="88">
      <c r="A190" s="109" t="n"/>
      <c r="B190" s="109" t="n"/>
      <c r="C190" s="109" t="n"/>
      <c r="D190" s="109" t="n"/>
      <c r="I190" s="109" t="n"/>
    </row>
    <row r="191" ht="15" customHeight="1" s="88">
      <c r="A191" s="109" t="n"/>
      <c r="B191" s="109" t="n"/>
      <c r="C191" s="109" t="n"/>
      <c r="D191" s="109" t="n"/>
      <c r="I191" s="109" t="n"/>
    </row>
    <row r="192" ht="15" customHeight="1" s="88">
      <c r="A192" s="109" t="n"/>
      <c r="B192" s="109" t="n"/>
      <c r="C192" s="109" t="n"/>
      <c r="D192" s="109" t="n"/>
      <c r="I192" s="109" t="n"/>
    </row>
    <row r="193" ht="15" customHeight="1" s="88">
      <c r="A193" s="109" t="n"/>
      <c r="B193" s="109" t="n"/>
      <c r="C193" s="109" t="n"/>
      <c r="D193" s="109" t="n"/>
      <c r="I193" s="109" t="n"/>
    </row>
    <row r="194" ht="15" customHeight="1" s="88">
      <c r="A194" s="109" t="n"/>
      <c r="B194" s="109" t="n"/>
      <c r="C194" s="109" t="n"/>
      <c r="D194" s="109" t="n"/>
      <c r="I194" s="109" t="n"/>
    </row>
    <row r="195" ht="15" customHeight="1" s="88">
      <c r="A195" s="109" t="n"/>
      <c r="B195" s="109" t="n"/>
      <c r="C195" s="109" t="n"/>
      <c r="D195" s="109" t="n"/>
      <c r="I195" s="109" t="n"/>
    </row>
    <row r="196" ht="15" customHeight="1" s="88">
      <c r="A196" s="109" t="n"/>
      <c r="B196" s="109" t="n"/>
      <c r="C196" s="109" t="n"/>
      <c r="D196" s="109" t="n"/>
      <c r="I196" s="109" t="n"/>
    </row>
    <row r="197" ht="15" customHeight="1" s="88">
      <c r="A197" s="109" t="n"/>
      <c r="B197" s="109" t="n"/>
      <c r="C197" s="109" t="n"/>
      <c r="D197" s="109" t="n"/>
      <c r="I197" s="109" t="n"/>
    </row>
    <row r="198" ht="15" customHeight="1" s="88">
      <c r="A198" s="109" t="n"/>
      <c r="B198" s="109" t="n"/>
      <c r="C198" s="109" t="n"/>
      <c r="D198" s="109" t="n"/>
      <c r="I198" s="109" t="n"/>
    </row>
    <row r="199" ht="15" customHeight="1" s="88">
      <c r="A199" s="109" t="n"/>
      <c r="B199" s="109" t="n"/>
      <c r="C199" s="109" t="n"/>
      <c r="D199" s="109" t="n"/>
      <c r="I199" s="109" t="n"/>
    </row>
    <row r="200" ht="15" customHeight="1" s="88">
      <c r="A200" s="109" t="n"/>
      <c r="B200" s="109" t="n"/>
      <c r="C200" s="109" t="n"/>
      <c r="D200" s="109" t="n"/>
      <c r="I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E6:E804">
    <cfRule type="cellIs" rank="0" priority="2" equalAverage="0" operator="notEqual" aboveAverage="0" dxfId="5" text="" percent="0" bottom="0">
      <formula>0</formula>
    </cfRule>
  </conditionalFormatting>
  <conditionalFormatting sqref="G6:G804">
    <cfRule type="cellIs" rank="0" priority="3" equalAverage="0" operator="equal" aboveAverage="0" dxfId="6" text="" percent="0" bottom="0">
      <formula>"UYUMLU"</formula>
    </cfRule>
    <cfRule type="cellIs" rank="0" priority="4" equalAverage="0" operator="equal" aboveAverage="0" dxfId="8" text="" percent="0" bottom="0">
      <formula>"FARK VAR"</formula>
    </cfRule>
  </conditionalFormatting>
  <conditionalFormatting sqref="H6:H804">
    <cfRule type="cellIs" rank="0" priority="5" equalAverage="0" operator="equal" aboveAverage="0" dxfId="8" text="" percent="0" bottom="0">
      <formula>"SAYIM EKSİK"</formula>
    </cfRule>
    <cfRule type="cellIs" rank="0" priority="6" equalAverage="0" operator="equal" aboveAverage="0" dxfId="9" text="" percent="0" bottom="0">
      <formula>"SAYIM FAZLA"</formula>
    </cfRule>
  </conditionalFormatting>
  <dataValidations count="2">
    <dataValidation sqref="C6:C804" showDropDown="0" showInputMessage="1" showErrorMessage="1" allowBlank="1" errorTitle="Geçersiz Bakiye" error="Defter bakiyesi negatif olamaz." promptTitle="Defter Bakiyesi" prompt="KASA_HAREKETLERI'ne göre hesaplanan kasa bakiyesi." type="decimal" errorStyle="stop" operator="greaterThanOrEqual">
      <formula1>0</formula1>
      <formula2>0</formula2>
    </dataValidation>
    <dataValidation sqref="D6:D804" showDropDown="0" showInputMessage="1" showErrorMessage="1" allowBlank="1" errorTitle="Geçersiz Sayım" error="Sayım tutarı negatif olamaz." promptTitle="Sayım Tutarı" prompt="Fiziki olarak sayılan para tutarı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18" customWidth="1" style="87" min="2" max="5"/>
  </cols>
  <sheetData>
    <row r="1" ht="25.5" customHeight="1" s="88">
      <c r="A1" s="100" t="inlineStr">
        <is>
          <t>GUNLUK OZET — AKILLI KASA DEFTERİ VE NAKİT KONTROL SİSTEMİ</t>
        </is>
      </c>
    </row>
    <row r="2" ht="19.5" customHeight="1" s="88">
      <c r="A2" s="99" t="inlineStr">
        <is>
          <t>Günlük nakit hareketlerinin özeti. Tarih listesine bir gün yazmanız yeterli; giriş, çıkış ve net değerler KASA_HAREKETLERI'nden otomatik gelir.</t>
        </is>
      </c>
    </row>
    <row r="4" ht="30" customHeight="1" s="88">
      <c r="A4" s="102" t="inlineStr">
        <is>
          <t>Tarih</t>
        </is>
      </c>
      <c r="B4" s="102" t="inlineStr">
        <is>
          <t>Toplam Giriş (₺)</t>
        </is>
      </c>
      <c r="C4" s="102" t="inlineStr">
        <is>
          <t>Toplam Çıkış (₺)</t>
        </is>
      </c>
      <c r="D4" s="102" t="inlineStr">
        <is>
          <t>Net (₺)</t>
        </is>
      </c>
      <c r="E4" s="102" t="inlineStr">
        <is>
          <t>Kümülatif Net (₺)</t>
        </is>
      </c>
    </row>
    <row r="5" ht="15" customHeight="1" s="88">
      <c r="A5" s="110" t="n">
        <v>46204</v>
      </c>
      <c r="B5" s="113" t="n">
        <v>120000</v>
      </c>
      <c r="C5" s="114">
        <f>IF($A5="","",SUMIFS(tblKasaHareket[],tblKasaHareket[],$A5,tblKasaHareket[],"ÇIKIŞ"))</f>
        <v/>
      </c>
      <c r="D5" s="113" t="n">
        <v>120000</v>
      </c>
      <c r="E5" s="113" t="n">
        <v>120000</v>
      </c>
    </row>
    <row r="6" ht="15" customHeight="1" s="88">
      <c r="A6" s="110" t="n">
        <v>46205</v>
      </c>
      <c r="B6" s="114">
        <f>IF($A6="","",SUMIFS(tblKasaHareket[],tblKasaHareket[],$A6,tblKasaHareket[],"GİRİŞ"))</f>
        <v/>
      </c>
      <c r="C6" s="113" t="n">
        <v>90000</v>
      </c>
      <c r="D6" s="113" t="n">
        <v>-90000</v>
      </c>
      <c r="E6" s="113" t="n">
        <v>30000</v>
      </c>
    </row>
    <row r="7" ht="15" customHeight="1" s="88">
      <c r="A7" s="110" t="n">
        <v>46206</v>
      </c>
      <c r="B7" s="113" t="n">
        <v>85000</v>
      </c>
      <c r="C7" s="114">
        <f>IF($A7="","",SUMIFS(tblKasaHareket[],tblKasaHareket[],$A7,tblKasaHareket[],"ÇIKIŞ"))</f>
        <v/>
      </c>
      <c r="D7" s="113" t="n">
        <v>85000</v>
      </c>
      <c r="E7" s="113" t="n">
        <v>115000</v>
      </c>
    </row>
    <row r="8" ht="15" customHeight="1" s="88">
      <c r="A8" s="110" t="n">
        <v>46208</v>
      </c>
      <c r="B8" s="114">
        <f>IF($A8="","",SUMIFS(tblKasaHareket[],tblKasaHareket[],$A8,tblKasaHareket[],"GİRİŞ"))</f>
        <v/>
      </c>
      <c r="C8" s="113" t="n">
        <v>180000</v>
      </c>
      <c r="D8" s="113" t="n">
        <v>-180000</v>
      </c>
      <c r="E8" s="113" t="n">
        <v>-65000</v>
      </c>
    </row>
    <row r="9" ht="15" customHeight="1" s="88">
      <c r="A9" s="110" t="n">
        <v>46210</v>
      </c>
      <c r="B9" s="114">
        <f>IF($A9="","",SUMIFS(tblKasaHareket[],tblKasaHareket[],$A9,tblKasaHareket[],"GİRİŞ"))</f>
        <v/>
      </c>
      <c r="C9" s="113" t="n">
        <v>60000</v>
      </c>
      <c r="D9" s="113" t="n">
        <v>-60000</v>
      </c>
      <c r="E9" s="113" t="n">
        <v>-125000</v>
      </c>
    </row>
    <row r="10" ht="15" customHeight="1" s="88">
      <c r="A10" s="110" t="n">
        <v>46211</v>
      </c>
      <c r="B10" s="113" t="n">
        <v>45000</v>
      </c>
      <c r="C10" s="114">
        <f>IF($A10="","",SUMIFS(tblKasaHareket[],tblKasaHareket[],$A10,tblKasaHareket[],"ÇIKIŞ"))</f>
        <v/>
      </c>
      <c r="D10" s="113" t="n">
        <v>45000</v>
      </c>
      <c r="E10" s="113" t="n">
        <v>-80000</v>
      </c>
    </row>
    <row r="11" ht="15" customHeight="1" s="88">
      <c r="A11" s="110" t="n">
        <v>46213</v>
      </c>
      <c r="B11" s="114">
        <f>IF($A11="","",SUMIFS(tblKasaHareket[],tblKasaHareket[],$A11,tblKasaHareket[],"GİRİŞ"))</f>
        <v/>
      </c>
      <c r="C11" s="113" t="n">
        <v>75000</v>
      </c>
      <c r="D11" s="113" t="n">
        <v>-75000</v>
      </c>
      <c r="E11" s="113" t="n">
        <v>-155000</v>
      </c>
    </row>
    <row r="12" ht="15" customHeight="1" s="88">
      <c r="A12" s="110" t="n">
        <v>46215</v>
      </c>
      <c r="B12" s="114">
        <f>IF($A12="","",SUMIFS(tblKasaHareket[],tblKasaHareket[],$A12,tblKasaHareket[],"GİRİŞ"))</f>
        <v/>
      </c>
      <c r="C12" s="113" t="n">
        <v>52000</v>
      </c>
      <c r="D12" s="113" t="n">
        <v>-52000</v>
      </c>
      <c r="E12" s="113" t="n">
        <v>-207000</v>
      </c>
    </row>
    <row r="13" ht="15" customHeight="1" s="88">
      <c r="A13" s="110" t="n">
        <v>46218</v>
      </c>
      <c r="B13" s="114">
        <f>IF($A13="","",SUMIFS(tblKasaHareket[],tblKasaHareket[],$A13,tblKasaHareket[],"GİRİŞ"))</f>
        <v/>
      </c>
      <c r="C13" s="113" t="n">
        <v>120000</v>
      </c>
      <c r="D13" s="113" t="n">
        <v>-120000</v>
      </c>
      <c r="E13" s="113" t="n">
        <v>-327000</v>
      </c>
    </row>
    <row r="14" ht="15" customHeight="1" s="88">
      <c r="A14" s="110" t="n">
        <v>46219</v>
      </c>
      <c r="B14" s="113" t="n">
        <v>95000</v>
      </c>
      <c r="C14" s="114">
        <f>IF($A14="","",SUMIFS(tblKasaHareket[],tblKasaHareket[],$A14,tblKasaHareket[],"ÇIKIŞ"))</f>
        <v/>
      </c>
      <c r="D14" s="113" t="n">
        <v>95000</v>
      </c>
      <c r="E14" s="113" t="n">
        <v>-232000</v>
      </c>
    </row>
    <row r="15" ht="15" customHeight="1" s="88">
      <c r="A15" s="109" t="n"/>
      <c r="B15" s="114">
        <f>IF($A15="","",SUMIFS(tblKasaHareket[],tblKasaHareket[],$A15,tblKasaHareket[],"GİRİŞ"))</f>
        <v/>
      </c>
      <c r="C15" s="114">
        <f>IF($A15="","",SUMIFS(tblKasaHareket[],tblKasaHareket[],$A15,tblKasaHareket[],"ÇIKIŞ"))</f>
        <v/>
      </c>
      <c r="D15" s="114">
        <f>IF($A15="","",$B15-$C15)</f>
        <v/>
      </c>
      <c r="E15" s="114">
        <f>IF($A15="","",SUM($D$5:$D15))</f>
        <v/>
      </c>
    </row>
    <row r="16" ht="15" customHeight="1" s="88">
      <c r="A16" s="109" t="n"/>
      <c r="B16" s="114">
        <f>IF($A16="","",SUMIFS(tblKasaHareket[],tblKasaHareket[],$A16,tblKasaHareket[],"GİRİŞ"))</f>
        <v/>
      </c>
      <c r="C16" s="114">
        <f>IF($A16="","",SUMIFS(tblKasaHareket[],tblKasaHareket[],$A16,tblKasaHareket[],"ÇIKIŞ"))</f>
        <v/>
      </c>
      <c r="D16" s="114">
        <f>IF($A16="","",$B16-$C16)</f>
        <v/>
      </c>
      <c r="E16" s="114">
        <f>IF($A16="","",SUM($D$5:$D16))</f>
        <v/>
      </c>
    </row>
    <row r="17" ht="15" customHeight="1" s="88">
      <c r="A17" s="109" t="n"/>
      <c r="B17" s="114">
        <f>IF($A17="","",SUMIFS(tblKasaHareket[],tblKasaHareket[],$A17,tblKasaHareket[],"GİRİŞ"))</f>
        <v/>
      </c>
      <c r="C17" s="114">
        <f>IF($A17="","",SUMIFS(tblKasaHareket[],tblKasaHareket[],$A17,tblKasaHareket[],"ÇIKIŞ"))</f>
        <v/>
      </c>
      <c r="D17" s="114">
        <f>IF($A17="","",$B17-$C17)</f>
        <v/>
      </c>
      <c r="E17" s="114">
        <f>IF($A17="","",SUM($D$5:$D17))</f>
        <v/>
      </c>
    </row>
    <row r="18" ht="15" customHeight="1" s="88">
      <c r="A18" s="109" t="n"/>
      <c r="B18" s="114">
        <f>IF($A18="","",SUMIFS(tblKasaHareket[],tblKasaHareket[],$A18,tblKasaHareket[],"GİRİŞ"))</f>
        <v/>
      </c>
      <c r="C18" s="114">
        <f>IF($A18="","",SUMIFS(tblKasaHareket[],tblKasaHareket[],$A18,tblKasaHareket[],"ÇIKIŞ"))</f>
        <v/>
      </c>
      <c r="D18" s="114">
        <f>IF($A18="","",$B18-$C18)</f>
        <v/>
      </c>
      <c r="E18" s="114">
        <f>IF($A18="","",SUM($D$5:$D18))</f>
        <v/>
      </c>
    </row>
    <row r="19" ht="15" customHeight="1" s="88">
      <c r="A19" s="109" t="n"/>
      <c r="B19" s="114">
        <f>IF($A19="","",SUMIFS(tblKasaHareket[],tblKasaHareket[],$A19,tblKasaHareket[],"GİRİŞ"))</f>
        <v/>
      </c>
      <c r="C19" s="114">
        <f>IF($A19="","",SUMIFS(tblKasaHareket[],tblKasaHareket[],$A19,tblKasaHareket[],"ÇIKIŞ"))</f>
        <v/>
      </c>
      <c r="D19" s="114">
        <f>IF($A19="","",$B19-$C19)</f>
        <v/>
      </c>
      <c r="E19" s="114">
        <f>IF($A19="","",SUM($D$5:$D19))</f>
        <v/>
      </c>
    </row>
    <row r="20" ht="15" customHeight="1" s="88">
      <c r="A20" s="109" t="n"/>
      <c r="B20" s="114">
        <f>IF($A20="","",SUMIFS(tblKasaHareket[],tblKasaHareket[],$A20,tblKasaHareket[],"GİRİŞ"))</f>
        <v/>
      </c>
      <c r="C20" s="114">
        <f>IF($A20="","",SUMIFS(tblKasaHareket[],tblKasaHareket[],$A20,tblKasaHareket[],"ÇIKIŞ"))</f>
        <v/>
      </c>
      <c r="D20" s="114">
        <f>IF($A20="","",$B20-$C20)</f>
        <v/>
      </c>
      <c r="E20" s="114">
        <f>IF($A20="","",SUM($D$5:$D20))</f>
        <v/>
      </c>
    </row>
    <row r="21" ht="15" customHeight="1" s="88">
      <c r="A21" s="109" t="n"/>
      <c r="B21" s="114">
        <f>IF($A21="","",SUMIFS(tblKasaHareket[],tblKasaHareket[],$A21,tblKasaHareket[],"GİRİŞ"))</f>
        <v/>
      </c>
      <c r="C21" s="114">
        <f>IF($A21="","",SUMIFS(tblKasaHareket[],tblKasaHareket[],$A21,tblKasaHareket[],"ÇIKIŞ"))</f>
        <v/>
      </c>
      <c r="D21" s="114">
        <f>IF($A21="","",$B21-$C21)</f>
        <v/>
      </c>
      <c r="E21" s="114">
        <f>IF($A21="","",SUM($D$5:$D21))</f>
        <v/>
      </c>
    </row>
    <row r="22" ht="15" customHeight="1" s="88">
      <c r="A22" s="109" t="n"/>
      <c r="B22" s="114">
        <f>IF($A22="","",SUMIFS(tblKasaHareket[],tblKasaHareket[],$A22,tblKasaHareket[],"GİRİŞ"))</f>
        <v/>
      </c>
      <c r="C22" s="114">
        <f>IF($A22="","",SUMIFS(tblKasaHareket[],tblKasaHareket[],$A22,tblKasaHareket[],"ÇIKIŞ"))</f>
        <v/>
      </c>
      <c r="D22" s="114">
        <f>IF($A22="","",$B22-$C22)</f>
        <v/>
      </c>
      <c r="E22" s="114">
        <f>IF($A22="","",SUM($D$5:$D22))</f>
        <v/>
      </c>
    </row>
    <row r="23" ht="15" customHeight="1" s="88">
      <c r="A23" s="109" t="n"/>
      <c r="B23" s="114">
        <f>IF($A23="","",SUMIFS(tblKasaHareket[],tblKasaHareket[],$A23,tblKasaHareket[],"GİRİŞ"))</f>
        <v/>
      </c>
      <c r="C23" s="114">
        <f>IF($A23="","",SUMIFS(tblKasaHareket[],tblKasaHareket[],$A23,tblKasaHareket[],"ÇIKIŞ"))</f>
        <v/>
      </c>
      <c r="D23" s="114">
        <f>IF($A23="","",$B23-$C23)</f>
        <v/>
      </c>
      <c r="E23" s="114">
        <f>IF($A23="","",SUM($D$5:$D23))</f>
        <v/>
      </c>
    </row>
    <row r="24" ht="15" customHeight="1" s="88">
      <c r="A24" s="109" t="n"/>
      <c r="B24" s="114">
        <f>IF($A24="","",SUMIFS(tblKasaHareket[],tblKasaHareket[],$A24,tblKasaHareket[],"GİRİŞ"))</f>
        <v/>
      </c>
      <c r="C24" s="114">
        <f>IF($A24="","",SUMIFS(tblKasaHareket[],tblKasaHareket[],$A24,tblKasaHareket[],"ÇIKIŞ"))</f>
        <v/>
      </c>
      <c r="D24" s="114">
        <f>IF($A24="","",$B24-$C24)</f>
        <v/>
      </c>
      <c r="E24" s="114">
        <f>IF($A24="","",SUM($D$5:$D24))</f>
        <v/>
      </c>
    </row>
    <row r="25" ht="15" customHeight="1" s="88">
      <c r="A25" s="109" t="n"/>
      <c r="B25" s="114">
        <f>IF($A25="","",SUMIFS(tblKasaHareket[],tblKasaHareket[],$A25,tblKasaHareket[],"GİRİŞ"))</f>
        <v/>
      </c>
      <c r="C25" s="114">
        <f>IF($A25="","",SUMIFS(tblKasaHareket[],tblKasaHareket[],$A25,tblKasaHareket[],"ÇIKIŞ"))</f>
        <v/>
      </c>
      <c r="D25" s="114">
        <f>IF($A25="","",$B25-$C25)</f>
        <v/>
      </c>
      <c r="E25" s="114">
        <f>IF($A25="","",SUM($D$5:$D25))</f>
        <v/>
      </c>
    </row>
    <row r="26" ht="15" customHeight="1" s="88">
      <c r="A26" s="109" t="n"/>
      <c r="B26" s="114">
        <f>IF($A26="","",SUMIFS(tblKasaHareket[],tblKasaHareket[],$A26,tblKasaHareket[],"GİRİŞ"))</f>
        <v/>
      </c>
      <c r="C26" s="114">
        <f>IF($A26="","",SUMIFS(tblKasaHareket[],tblKasaHareket[],$A26,tblKasaHareket[],"ÇIKIŞ"))</f>
        <v/>
      </c>
      <c r="D26" s="114">
        <f>IF($A26="","",$B26-$C26)</f>
        <v/>
      </c>
      <c r="E26" s="114">
        <f>IF($A26="","",SUM($D$5:$D26))</f>
        <v/>
      </c>
    </row>
    <row r="27" ht="15" customHeight="1" s="88">
      <c r="A27" s="109" t="n"/>
      <c r="B27" s="114">
        <f>IF($A27="","",SUMIFS(tblKasaHareket[],tblKasaHareket[],$A27,tblKasaHareket[],"GİRİŞ"))</f>
        <v/>
      </c>
      <c r="C27" s="114">
        <f>IF($A27="","",SUMIFS(tblKasaHareket[],tblKasaHareket[],$A27,tblKasaHareket[],"ÇIKIŞ"))</f>
        <v/>
      </c>
      <c r="D27" s="114">
        <f>IF($A27="","",$B27-$C27)</f>
        <v/>
      </c>
      <c r="E27" s="114">
        <f>IF($A27="","",SUM($D$5:$D27))</f>
        <v/>
      </c>
    </row>
    <row r="28" ht="15" customHeight="1" s="88">
      <c r="A28" s="109" t="n"/>
      <c r="B28" s="114">
        <f>IF($A28="","",SUMIFS(tblKasaHareket[],tblKasaHareket[],$A28,tblKasaHareket[],"GİRİŞ"))</f>
        <v/>
      </c>
      <c r="C28" s="114">
        <f>IF($A28="","",SUMIFS(tblKasaHareket[],tblKasaHareket[],$A28,tblKasaHareket[],"ÇIKIŞ"))</f>
        <v/>
      </c>
      <c r="D28" s="114">
        <f>IF($A28="","",$B28-$C28)</f>
        <v/>
      </c>
      <c r="E28" s="114">
        <f>IF($A28="","",SUM($D$5:$D28))</f>
        <v/>
      </c>
    </row>
    <row r="29" ht="15" customHeight="1" s="88">
      <c r="A29" s="109" t="n"/>
      <c r="B29" s="114">
        <f>IF($A29="","",SUMIFS(tblKasaHareket[],tblKasaHareket[],$A29,tblKasaHareket[],"GİRİŞ"))</f>
        <v/>
      </c>
      <c r="C29" s="114">
        <f>IF($A29="","",SUMIFS(tblKasaHareket[],tblKasaHareket[],$A29,tblKasaHareket[],"ÇIKIŞ"))</f>
        <v/>
      </c>
      <c r="D29" s="114">
        <f>IF($A29="","",$B29-$C29)</f>
        <v/>
      </c>
      <c r="E29" s="114">
        <f>IF($A29="","",SUM($D$5:$D29))</f>
        <v/>
      </c>
    </row>
    <row r="30" ht="15" customHeight="1" s="88">
      <c r="A30" s="109" t="n"/>
      <c r="B30" s="114">
        <f>IF($A30="","",SUMIFS(tblKasaHareket[],tblKasaHareket[],$A30,tblKasaHareket[],"GİRİŞ"))</f>
        <v/>
      </c>
      <c r="C30" s="114">
        <f>IF($A30="","",SUMIFS(tblKasaHareket[],tblKasaHareket[],$A30,tblKasaHareket[],"ÇIKIŞ"))</f>
        <v/>
      </c>
      <c r="D30" s="114">
        <f>IF($A30="","",$B30-$C30)</f>
        <v/>
      </c>
      <c r="E30" s="114">
        <f>IF($A30="","",SUM($D$5:$D30))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conditionalFormatting sqref="F6:F804">
    <cfRule type="cellIs" rank="0" priority="6" equalAverage="0" operator="lessThan" aboveAverage="0" dxfId="8" text="" percent="0" bottom="0">
      <formula>0</formula>
    </cfRule>
    <cfRule type="cellIs" rank="0" priority="7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87" min="1" max="1"/>
    <col width="14" customWidth="1" style="87" min="2" max="2"/>
    <col width="18" customWidth="1" style="87" min="3" max="7"/>
  </cols>
  <sheetData>
    <row r="1" ht="25.5" customHeight="1" s="88">
      <c r="A1" s="100" t="inlineStr">
        <is>
          <t>NAKIT PROJEKSIYONU — AKILLI KASA DEFTERİ VE NAKİT KONTROL SİSTEMİ</t>
        </is>
      </c>
    </row>
    <row r="2" ht="19.5" customHeight="1" s="88">
      <c r="A2" s="99" t="inlineStr">
        <is>
          <t>Önümüzdeki haftalar için nakit projeksiyonu. Hafta başlangıç tarihlerini girin; beklenen giriş/çıkış ODEME_TAHSILAT_TAKVIMI ve günlük ortalamadan hesaplanır.</t>
        </is>
      </c>
    </row>
    <row r="4" ht="30" customHeight="1" s="88">
      <c r="A4" s="102" t="inlineStr">
        <is>
          <t>Hafta Başlangıcı</t>
        </is>
      </c>
      <c r="B4" s="102" t="inlineStr">
        <is>
          <t>Hafta Sonu</t>
        </is>
      </c>
      <c r="C4" s="102" t="inlineStr">
        <is>
          <t>Beklenen Giriş (₺)</t>
        </is>
      </c>
      <c r="D4" s="102" t="inlineStr">
        <is>
          <t>Beklenen Çıkış (₺)</t>
        </is>
      </c>
      <c r="E4" s="102" t="inlineStr">
        <is>
          <t>Net (₺)</t>
        </is>
      </c>
      <c r="F4" s="102" t="inlineStr">
        <is>
          <t>Dönem Başı Kasa (₺)</t>
        </is>
      </c>
      <c r="G4" s="102" t="inlineStr">
        <is>
          <t>Dönem Sonu Kasa (₺)</t>
        </is>
      </c>
    </row>
    <row r="5" ht="15" customHeight="1" s="88">
      <c r="A5" s="110" t="n">
        <v>46244</v>
      </c>
      <c r="B5" s="115">
        <f>IF($A5="","",$A5+HaftaUzunluk-1)</f>
        <v/>
      </c>
      <c r="C5" s="113" t="n">
        <v>200000</v>
      </c>
      <c r="D5" s="113" t="n">
        <v>230000</v>
      </c>
      <c r="E5" s="113" t="n">
        <v>-30000</v>
      </c>
      <c r="F5" s="113" t="n">
        <v>500000</v>
      </c>
      <c r="G5" s="113" t="n">
        <v>470000</v>
      </c>
    </row>
    <row r="6" ht="15" customHeight="1" s="88">
      <c r="A6" s="110" t="n">
        <v>46251</v>
      </c>
      <c r="B6" s="115">
        <f>IF($A6="","",$A6+HaftaUzunluk-1)</f>
        <v/>
      </c>
      <c r="C6" s="114">
        <f>IF($A6="","",SUMIFS(tblTakvim[],tblTakvim[],"&gt;="&amp;$A6,tblTakvim[],"&lt;="&amp;$B6,tblTakvim[],"TAHSİLAT",tblTakvim[],"BEKLEMEDE"))</f>
        <v/>
      </c>
      <c r="D6" s="113" t="n">
        <v>180000</v>
      </c>
      <c r="E6" s="113" t="n">
        <v>-180000</v>
      </c>
      <c r="F6" s="113" t="n">
        <v>470000</v>
      </c>
      <c r="G6" s="113" t="n">
        <v>290000</v>
      </c>
    </row>
    <row r="7" ht="15" customHeight="1" s="88">
      <c r="A7" s="110" t="n">
        <v>46258</v>
      </c>
      <c r="B7" s="115">
        <f>IF($A7="","",$A7+HaftaUzunluk-1)</f>
        <v/>
      </c>
      <c r="C7" s="113" t="n">
        <v>150000</v>
      </c>
      <c r="D7" s="114">
        <f>IF($A7="","",SUMIFS(tblTakvim[],tblTakvim[],"&gt;="&amp;$A7,tblTakvim[],"&lt;="&amp;$B7,tblTakvim[],"ÖDEME",tblTakvim[],"BEKLEMEDE"))</f>
        <v/>
      </c>
      <c r="E7" s="113" t="n">
        <v>150000</v>
      </c>
      <c r="F7" s="113" t="n">
        <v>290000</v>
      </c>
      <c r="G7" s="113" t="n">
        <v>440000</v>
      </c>
    </row>
    <row r="8" ht="15" customHeight="1" s="88">
      <c r="A8" s="110" t="n">
        <v>46265</v>
      </c>
      <c r="B8" s="115">
        <f>IF($A8="","",$A8+HaftaUzunluk-1)</f>
        <v/>
      </c>
      <c r="C8" s="114">
        <f>IF($A8="","",SUMIFS(tblTakvim[],tblTakvim[],"&gt;="&amp;$A8,tblTakvim[],"&lt;="&amp;$B8,tblTakvim[],"TAHSİLAT",tblTakvim[],"BEKLEMEDE"))</f>
        <v/>
      </c>
      <c r="D8" s="113" t="n">
        <v>127000</v>
      </c>
      <c r="E8" s="113" t="n">
        <v>-127000</v>
      </c>
      <c r="F8" s="113" t="n">
        <v>440000</v>
      </c>
      <c r="G8" s="113" t="n">
        <v>313000</v>
      </c>
    </row>
    <row r="9" ht="15" customHeight="1" s="88">
      <c r="A9" s="110" t="n">
        <v>46272</v>
      </c>
      <c r="B9" s="115">
        <f>IF($A9="","",$A9+HaftaUzunluk-1)</f>
        <v/>
      </c>
      <c r="C9" s="114">
        <f>IF($A9="","",SUMIFS(tblTakvim[],tblTakvim[],"&gt;="&amp;$A9,tblTakvim[],"&lt;="&amp;$B9,tblTakvim[],"TAHSİLAT",tblTakvim[],"BEKLEMEDE"))</f>
        <v/>
      </c>
      <c r="D9" s="114">
        <f>IF($A9="","",SUMIFS(tblTakvim[],tblTakvim[],"&gt;="&amp;$A9,tblTakvim[],"&lt;="&amp;$B9,tblTakvim[],"ÖDEME",tblTakvim[],"BEKLEMEDE"))</f>
        <v/>
      </c>
      <c r="E9" s="114">
        <f>IF($A9="","",$C9-$D9)</f>
        <v/>
      </c>
      <c r="F9" s="113" t="n">
        <v>313000</v>
      </c>
      <c r="G9" s="113" t="n">
        <v>313000</v>
      </c>
    </row>
    <row r="10" ht="15" customHeight="1" s="88">
      <c r="A10" s="110" t="n">
        <v>46279</v>
      </c>
      <c r="B10" s="115">
        <f>IF($A10="","",$A10+HaftaUzunluk-1)</f>
        <v/>
      </c>
      <c r="C10" s="114">
        <f>IF($A10="","",SUMIFS(tblTakvim[],tblTakvim[],"&gt;="&amp;$A10,tblTakvim[],"&lt;="&amp;$B10,tblTakvim[],"TAHSİLAT",tblTakvim[],"BEKLEMEDE"))</f>
        <v/>
      </c>
      <c r="D10" s="114">
        <f>IF($A10="","",SUMIFS(tblTakvim[],tblTakvim[],"&gt;="&amp;$A10,tblTakvim[],"&lt;="&amp;$B10,tblTakvim[],"ÖDEME",tblTakvim[],"BEKLEMEDE"))</f>
        <v/>
      </c>
      <c r="E10" s="114">
        <f>IF($A10="","",$C10-$D10)</f>
        <v/>
      </c>
      <c r="F10" s="113" t="n">
        <v>313000</v>
      </c>
      <c r="G10" s="113" t="n">
        <v>313000</v>
      </c>
    </row>
    <row r="11" ht="15" customHeight="1" s="88">
      <c r="A11" s="110" t="n">
        <v>46286</v>
      </c>
      <c r="B11" s="115">
        <f>IF($A11="","",$A11+HaftaUzunluk-1)</f>
        <v/>
      </c>
      <c r="C11" s="114">
        <f>IF($A11="","",SUMIFS(tblTakvim[],tblTakvim[],"&gt;="&amp;$A11,tblTakvim[],"&lt;="&amp;$B11,tblTakvim[],"TAHSİLAT",tblTakvim[],"BEKLEMEDE"))</f>
        <v/>
      </c>
      <c r="D11" s="114">
        <f>IF($A11="","",SUMIFS(tblTakvim[],tblTakvim[],"&gt;="&amp;$A11,tblTakvim[],"&lt;="&amp;$B11,tblTakvim[],"ÖDEME",tblTakvim[],"BEKLEMEDE"))</f>
        <v/>
      </c>
      <c r="E11" s="114">
        <f>IF($A11="","",$C11-$D11)</f>
        <v/>
      </c>
      <c r="F11" s="113" t="n">
        <v>313000</v>
      </c>
      <c r="G11" s="113" t="n">
        <v>313000</v>
      </c>
    </row>
    <row r="12" ht="15" customHeight="1" s="88">
      <c r="A12" s="110" t="n">
        <v>46293</v>
      </c>
      <c r="B12" s="115">
        <f>IF($A12="","",$A12+HaftaUzunluk-1)</f>
        <v/>
      </c>
      <c r="C12" s="114">
        <f>IF($A12="","",SUMIFS(tblTakvim[],tblTakvim[],"&gt;="&amp;$A12,tblTakvim[],"&lt;="&amp;$B12,tblTakvim[],"TAHSİLAT",tblTakvim[],"BEKLEMEDE"))</f>
        <v/>
      </c>
      <c r="D12" s="114">
        <f>IF($A12="","",SUMIFS(tblTakvim[],tblTakvim[],"&gt;="&amp;$A12,tblTakvim[],"&lt;="&amp;$B12,tblTakvim[],"ÖDEME",tblTakvim[],"BEKLEMEDE"))</f>
        <v/>
      </c>
      <c r="E12" s="114">
        <f>IF($A12="","",$C12-$D12)</f>
        <v/>
      </c>
      <c r="F12" s="113" t="n">
        <v>313000</v>
      </c>
      <c r="G12" s="113" t="n">
        <v>313000</v>
      </c>
    </row>
    <row r="13" ht="15" customHeight="1" s="88">
      <c r="A13" s="110" t="n">
        <v>46300</v>
      </c>
      <c r="B13" s="115">
        <f>IF($A13="","",$A13+HaftaUzunluk-1)</f>
        <v/>
      </c>
      <c r="C13" s="114">
        <f>IF($A13="","",SUMIFS(tblTakvim[],tblTakvim[],"&gt;="&amp;$A13,tblTakvim[],"&lt;="&amp;$B13,tblTakvim[],"TAHSİLAT",tblTakvim[],"BEKLEMEDE"))</f>
        <v/>
      </c>
      <c r="D13" s="114">
        <f>IF($A13="","",SUMIFS(tblTakvim[],tblTakvim[],"&gt;="&amp;$A13,tblTakvim[],"&lt;="&amp;$B13,tblTakvim[],"ÖDEME",tblTakvim[],"BEKLEMEDE"))</f>
        <v/>
      </c>
      <c r="E13" s="114">
        <f>IF($A13="","",$C13-$D13)</f>
        <v/>
      </c>
      <c r="F13" s="113" t="n">
        <v>313000</v>
      </c>
      <c r="G13" s="113" t="n">
        <v>313000</v>
      </c>
    </row>
    <row r="14" ht="15" customHeight="1" s="88">
      <c r="A14" s="110" t="n">
        <v>46307</v>
      </c>
      <c r="B14" s="115">
        <f>IF($A14="","",$A14+HaftaUzunluk-1)</f>
        <v/>
      </c>
      <c r="C14" s="114">
        <f>IF($A14="","",SUMIFS(tblTakvim[],tblTakvim[],"&gt;="&amp;$A14,tblTakvim[],"&lt;="&amp;$B14,tblTakvim[],"TAHSİLAT",tblTakvim[],"BEKLEMEDE"))</f>
        <v/>
      </c>
      <c r="D14" s="114">
        <f>IF($A14="","",SUMIFS(tblTakvim[],tblTakvim[],"&gt;="&amp;$A14,tblTakvim[],"&lt;="&amp;$B14,tblTakvim[],"ÖDEME",tblTakvim[],"BEKLEMEDE"))</f>
        <v/>
      </c>
      <c r="E14" s="114">
        <f>IF($A14="","",$C14-$D14)</f>
        <v/>
      </c>
      <c r="F14" s="113" t="n">
        <v>313000</v>
      </c>
      <c r="G14" s="113" t="n">
        <v>313000</v>
      </c>
    </row>
    <row r="15" ht="15" customHeight="1" s="88">
      <c r="A15" s="110" t="n">
        <v>46314</v>
      </c>
      <c r="B15" s="115">
        <f>IF($A15="","",$A15+HaftaUzunluk-1)</f>
        <v/>
      </c>
      <c r="C15" s="114">
        <f>IF($A15="","",SUMIFS(tblTakvim[],tblTakvim[],"&gt;="&amp;$A15,tblTakvim[],"&lt;="&amp;$B15,tblTakvim[],"TAHSİLAT",tblTakvim[],"BEKLEMEDE"))</f>
        <v/>
      </c>
      <c r="D15" s="114">
        <f>IF($A15="","",SUMIFS(tblTakvim[],tblTakvim[],"&gt;="&amp;$A15,tblTakvim[],"&lt;="&amp;$B15,tblTakvim[],"ÖDEME",tblTakvim[],"BEKLEMEDE"))</f>
        <v/>
      </c>
      <c r="E15" s="114">
        <f>IF($A15="","",$C15-$D15)</f>
        <v/>
      </c>
      <c r="F15" s="113" t="n">
        <v>313000</v>
      </c>
      <c r="G15" s="113" t="n">
        <v>313000</v>
      </c>
    </row>
    <row r="16" ht="15" customHeight="1" s="88">
      <c r="A16" s="110" t="n">
        <v>46321</v>
      </c>
      <c r="B16" s="115">
        <f>IF($A16="","",$A16+HaftaUzunluk-1)</f>
        <v/>
      </c>
      <c r="C16" s="114">
        <f>IF($A16="","",SUMIFS(tblTakvim[],tblTakvim[],"&gt;="&amp;$A16,tblTakvim[],"&lt;="&amp;$B16,tblTakvim[],"TAHSİLAT",tblTakvim[],"BEKLEMEDE"))</f>
        <v/>
      </c>
      <c r="D16" s="114">
        <f>IF($A16="","",SUMIFS(tblTakvim[],tblTakvim[],"&gt;="&amp;$A16,tblTakvim[],"&lt;="&amp;$B16,tblTakvim[],"ÖDEME",tblTakvim[],"BEKLEMEDE"))</f>
        <v/>
      </c>
      <c r="E16" s="114">
        <f>IF($A16="","",$C16-$D16)</f>
        <v/>
      </c>
      <c r="F16" s="113" t="n">
        <v>313000</v>
      </c>
      <c r="G16" s="113" t="n">
        <v>313000</v>
      </c>
    </row>
    <row r="17" ht="15" customHeight="1" s="88">
      <c r="A17" s="109" t="n"/>
      <c r="B17" s="115">
        <f>IF($A17="","",$A17+HaftaUzunluk-1)</f>
        <v/>
      </c>
      <c r="C17" s="114">
        <f>IF($A17="","",SUMIFS(tblTakvim[],tblTakvim[],"&gt;="&amp;$A17,tblTakvim[],"&lt;="&amp;$B17,tblTakvim[],"TAHSİLAT",tblTakvim[],"BEKLEMEDE"))</f>
        <v/>
      </c>
      <c r="D17" s="114">
        <f>IF($A17="","",SUMIFS(tblTakvim[],tblTakvim[],"&gt;="&amp;$A17,tblTakvim[],"&lt;="&amp;$B17,tblTakvim[],"ÖDEME",tblTakvim[],"BEKLEMEDE"))</f>
        <v/>
      </c>
      <c r="E17" s="114">
        <f>IF($A17="","",$C17-$D17)</f>
        <v/>
      </c>
      <c r="F17" s="114">
        <f>IF($A17="","",IF(ROW()=BaslangicSatir,KasaBaslangicBakiye,$G16))</f>
        <v/>
      </c>
      <c r="G17" s="114">
        <f>IF($A17="","",$F17+$E17)</f>
        <v/>
      </c>
    </row>
    <row r="18" ht="15" customHeight="1" s="88">
      <c r="A18" s="109" t="n"/>
      <c r="B18" s="115">
        <f>IF($A18="","",$A18+HaftaUzunluk-1)</f>
        <v/>
      </c>
      <c r="C18" s="114">
        <f>IF($A18="","",SUMIFS(tblTakvim[],tblTakvim[],"&gt;="&amp;$A18,tblTakvim[],"&lt;="&amp;$B18,tblTakvim[],"TAHSİLAT",tblTakvim[],"BEKLEMEDE"))</f>
        <v/>
      </c>
      <c r="D18" s="114">
        <f>IF($A18="","",SUMIFS(tblTakvim[],tblTakvim[],"&gt;="&amp;$A18,tblTakvim[],"&lt;="&amp;$B18,tblTakvim[],"ÖDEME",tblTakvim[],"BEKLEMEDE"))</f>
        <v/>
      </c>
      <c r="E18" s="114">
        <f>IF($A18="","",$C18-$D18)</f>
        <v/>
      </c>
      <c r="F18" s="114">
        <f>IF($A18="","",IF(ROW()=BaslangicSatir,KasaBaslangicBakiye,$G17))</f>
        <v/>
      </c>
      <c r="G18" s="114">
        <f>IF($A18="","",$F18+$E18)</f>
        <v/>
      </c>
    </row>
    <row r="19" ht="15" customHeight="1" s="88">
      <c r="A19" s="109" t="n"/>
      <c r="B19" s="115">
        <f>IF($A19="","",$A19+HaftaUzunluk-1)</f>
        <v/>
      </c>
      <c r="C19" s="114">
        <f>IF($A19="","",SUMIFS(tblTakvim[],tblTakvim[],"&gt;="&amp;$A19,tblTakvim[],"&lt;="&amp;$B19,tblTakvim[],"TAHSİLAT",tblTakvim[],"BEKLEMEDE"))</f>
        <v/>
      </c>
      <c r="D19" s="114">
        <f>IF($A19="","",SUMIFS(tblTakvim[],tblTakvim[],"&gt;="&amp;$A19,tblTakvim[],"&lt;="&amp;$B19,tblTakvim[],"ÖDEME",tblTakvim[],"BEKLEMEDE"))</f>
        <v/>
      </c>
      <c r="E19" s="114">
        <f>IF($A19="","",$C19-$D19)</f>
        <v/>
      </c>
      <c r="F19" s="114">
        <f>IF($A19="","",IF(ROW()=BaslangicSatir,KasaBaslangicBakiye,$G18))</f>
        <v/>
      </c>
      <c r="G19" s="114">
        <f>IF($A19="","",$F19+$E19)</f>
        <v/>
      </c>
    </row>
    <row r="20" ht="15" customHeight="1" s="88">
      <c r="A20" s="109" t="n"/>
      <c r="B20" s="115">
        <f>IF($A20="","",$A20+HaftaUzunluk-1)</f>
        <v/>
      </c>
      <c r="C20" s="114">
        <f>IF($A20="","",SUMIFS(tblTakvim[],tblTakvim[],"&gt;="&amp;$A20,tblTakvim[],"&lt;="&amp;$B20,tblTakvim[],"TAHSİLAT",tblTakvim[],"BEKLEMEDE"))</f>
        <v/>
      </c>
      <c r="D20" s="114">
        <f>IF($A20="","",SUMIFS(tblTakvim[],tblTakvim[],"&gt;="&amp;$A20,tblTakvim[],"&lt;="&amp;$B20,tblTakvim[],"ÖDEME",tblTakvim[],"BEKLEMEDE"))</f>
        <v/>
      </c>
      <c r="E20" s="114">
        <f>IF($A20="","",$C20-$D20)</f>
        <v/>
      </c>
      <c r="F20" s="114">
        <f>IF($A20="","",IF(ROW()=BaslangicSatir,KasaBaslangicBakiye,$G19))</f>
        <v/>
      </c>
      <c r="G20" s="114">
        <f>IF($A20="","",$F20+$E20)</f>
        <v/>
      </c>
    </row>
    <row r="21" ht="15" customHeight="1" s="88">
      <c r="A21" s="109" t="n"/>
      <c r="B21" s="115">
        <f>IF($A21="","",$A21+HaftaUzunluk-1)</f>
        <v/>
      </c>
      <c r="C21" s="114">
        <f>IF($A21="","",SUMIFS(tblTakvim[],tblTakvim[],"&gt;="&amp;$A21,tblTakvim[],"&lt;="&amp;$B21,tblTakvim[],"TAHSİLAT",tblTakvim[],"BEKLEMEDE"))</f>
        <v/>
      </c>
      <c r="D21" s="114">
        <f>IF($A21="","",SUMIFS(tblTakvim[],tblTakvim[],"&gt;="&amp;$A21,tblTakvim[],"&lt;="&amp;$B21,tblTakvim[],"ÖDEME",tblTakvim[],"BEKLEMEDE"))</f>
        <v/>
      </c>
      <c r="E21" s="114">
        <f>IF($A21="","",$C21-$D21)</f>
        <v/>
      </c>
      <c r="F21" s="114">
        <f>IF($A21="","",IF(ROW()=BaslangicSatir,KasaBaslangicBakiye,$G20))</f>
        <v/>
      </c>
      <c r="G21" s="114">
        <f>IF($A21="","",$F21+$E21)</f>
        <v/>
      </c>
    </row>
    <row r="22" ht="15" customHeight="1" s="88">
      <c r="A22" s="109" t="n"/>
      <c r="B22" s="115">
        <f>IF($A22="","",$A22+HaftaUzunluk-1)</f>
        <v/>
      </c>
      <c r="C22" s="114">
        <f>IF($A22="","",SUMIFS(tblTakvim[],tblTakvim[],"&gt;="&amp;$A22,tblTakvim[],"&lt;="&amp;$B22,tblTakvim[],"TAHSİLAT",tblTakvim[],"BEKLEMEDE"))</f>
        <v/>
      </c>
      <c r="D22" s="114">
        <f>IF($A22="","",SUMIFS(tblTakvim[],tblTakvim[],"&gt;="&amp;$A22,tblTakvim[],"&lt;="&amp;$B22,tblTakvim[],"ÖDEME",tblTakvim[],"BEKLEMEDE"))</f>
        <v/>
      </c>
      <c r="E22" s="114">
        <f>IF($A22="","",$C22-$D22)</f>
        <v/>
      </c>
      <c r="F22" s="114">
        <f>IF($A22="","",IF(ROW()=BaslangicSatir,KasaBaslangicBakiye,$G21))</f>
        <v/>
      </c>
      <c r="G22" s="114">
        <f>IF($A22="","",$F22+$E22)</f>
        <v/>
      </c>
    </row>
    <row r="23" ht="15" customHeight="1" s="88">
      <c r="A23" s="109" t="n"/>
      <c r="B23" s="115">
        <f>IF($A23="","",$A23+HaftaUzunluk-1)</f>
        <v/>
      </c>
      <c r="C23" s="114">
        <f>IF($A23="","",SUMIFS(tblTakvim[],tblTakvim[],"&gt;="&amp;$A23,tblTakvim[],"&lt;="&amp;$B23,tblTakvim[],"TAHSİLAT",tblTakvim[],"BEKLEMEDE"))</f>
        <v/>
      </c>
      <c r="D23" s="114">
        <f>IF($A23="","",SUMIFS(tblTakvim[],tblTakvim[],"&gt;="&amp;$A23,tblTakvim[],"&lt;="&amp;$B23,tblTakvim[],"ÖDEME",tblTakvim[],"BEKLEMEDE"))</f>
        <v/>
      </c>
      <c r="E23" s="114">
        <f>IF($A23="","",$C23-$D23)</f>
        <v/>
      </c>
      <c r="F23" s="114">
        <f>IF($A23="","",IF(ROW()=BaslangicSatir,KasaBaslangicBakiye,$G22))</f>
        <v/>
      </c>
      <c r="G23" s="114">
        <f>IF($A23="","",$F23+$E23)</f>
        <v/>
      </c>
    </row>
    <row r="24" ht="15" customHeight="1" s="88">
      <c r="A24" s="109" t="n"/>
      <c r="B24" s="115">
        <f>IF($A24="","",$A24+HaftaUzunluk-1)</f>
        <v/>
      </c>
      <c r="C24" s="114">
        <f>IF($A24="","",SUMIFS(tblTakvim[],tblTakvim[],"&gt;="&amp;$A24,tblTakvim[],"&lt;="&amp;$B24,tblTakvim[],"TAHSİLAT",tblTakvim[],"BEKLEMEDE"))</f>
        <v/>
      </c>
      <c r="D24" s="114">
        <f>IF($A24="","",SUMIFS(tblTakvim[],tblTakvim[],"&gt;="&amp;$A24,tblTakvim[],"&lt;="&amp;$B24,tblTakvim[],"ÖDEME",tblTakvim[],"BEKLEMEDE"))</f>
        <v/>
      </c>
      <c r="E24" s="114">
        <f>IF($A24="","",$C24-$D24)</f>
        <v/>
      </c>
      <c r="F24" s="114">
        <f>IF($A24="","",IF(ROW()=BaslangicSatir,KasaBaslangicBakiye,$G23))</f>
        <v/>
      </c>
      <c r="G24" s="114">
        <f>IF($A24="","",$F24+$E24)</f>
        <v/>
      </c>
    </row>
    <row r="25" ht="15" customHeight="1" s="88">
      <c r="A25" s="109" t="n"/>
      <c r="B25" s="115">
        <f>IF($A25="","",$A25+HaftaUzunluk-1)</f>
        <v/>
      </c>
      <c r="C25" s="114">
        <f>IF($A25="","",SUMIFS(tblTakvim[],tblTakvim[],"&gt;="&amp;$A25,tblTakvim[],"&lt;="&amp;$B25,tblTakvim[],"TAHSİLAT",tblTakvim[],"BEKLEMEDE"))</f>
        <v/>
      </c>
      <c r="D25" s="114">
        <f>IF($A25="","",SUMIFS(tblTakvim[],tblTakvim[],"&gt;="&amp;$A25,tblTakvim[],"&lt;="&amp;$B25,tblTakvim[],"ÖDEME",tblTakvim[],"BEKLEMEDE"))</f>
        <v/>
      </c>
      <c r="E25" s="114">
        <f>IF($A25="","",$C25-$D25)</f>
        <v/>
      </c>
      <c r="F25" s="114">
        <f>IF($A25="","",IF(ROW()=BaslangicSatir,KasaBaslangicBakiye,$G24))</f>
        <v/>
      </c>
      <c r="G25" s="114">
        <f>IF($A25="","",$F25+$E25)</f>
        <v/>
      </c>
    </row>
    <row r="26" ht="15" customHeight="1" s="88">
      <c r="A26" s="109" t="n"/>
      <c r="B26" s="115">
        <f>IF($A26="","",$A26+HaftaUzunluk-1)</f>
        <v/>
      </c>
      <c r="C26" s="114">
        <f>IF($A26="","",SUMIFS(tblTakvim[],tblTakvim[],"&gt;="&amp;$A26,tblTakvim[],"&lt;="&amp;$B26,tblTakvim[],"TAHSİLAT",tblTakvim[],"BEKLEMEDE"))</f>
        <v/>
      </c>
      <c r="D26" s="114">
        <f>IF($A26="","",SUMIFS(tblTakvim[],tblTakvim[],"&gt;="&amp;$A26,tblTakvim[],"&lt;="&amp;$B26,tblTakvim[],"ÖDEME",tblTakvim[],"BEKLEMEDE"))</f>
        <v/>
      </c>
      <c r="E26" s="114">
        <f>IF($A26="","",$C26-$D26)</f>
        <v/>
      </c>
      <c r="F26" s="114">
        <f>IF($A26="","",IF(ROW()=BaslangicSatir,KasaBaslangicBakiye,$G25))</f>
        <v/>
      </c>
      <c r="G26" s="114">
        <f>IF($A26="","",$F26+$E26)</f>
        <v/>
      </c>
    </row>
    <row r="27" ht="15" customHeight="1" s="88">
      <c r="A27" s="109" t="n"/>
      <c r="B27" s="115">
        <f>IF($A27="","",$A27+HaftaUzunluk-1)</f>
        <v/>
      </c>
      <c r="C27" s="114">
        <f>IF($A27="","",SUMIFS(tblTakvim[],tblTakvim[],"&gt;="&amp;$A27,tblTakvim[],"&lt;="&amp;$B27,tblTakvim[],"TAHSİLAT",tblTakvim[],"BEKLEMEDE"))</f>
        <v/>
      </c>
      <c r="D27" s="114">
        <f>IF($A27="","",SUMIFS(tblTakvim[],tblTakvim[],"&gt;="&amp;$A27,tblTakvim[],"&lt;="&amp;$B27,tblTakvim[],"ÖDEME",tblTakvim[],"BEKLEMEDE"))</f>
        <v/>
      </c>
      <c r="E27" s="114">
        <f>IF($A27="","",$C27-$D27)</f>
        <v/>
      </c>
      <c r="F27" s="114">
        <f>IF($A27="","",IF(ROW()=BaslangicSatir,KasaBaslangicBakiye,$G26))</f>
        <v/>
      </c>
      <c r="G27" s="114">
        <f>IF($A27="","",$F27+$E27)</f>
        <v/>
      </c>
    </row>
    <row r="28" ht="15" customHeight="1" s="88">
      <c r="A28" s="109" t="n"/>
      <c r="B28" s="115">
        <f>IF($A28="","",$A28+HaftaUzunluk-1)</f>
        <v/>
      </c>
      <c r="C28" s="114">
        <f>IF($A28="","",SUMIFS(tblTakvim[],tblTakvim[],"&gt;="&amp;$A28,tblTakvim[],"&lt;="&amp;$B28,tblTakvim[],"TAHSİLAT",tblTakvim[],"BEKLEMEDE"))</f>
        <v/>
      </c>
      <c r="D28" s="114">
        <f>IF($A28="","",SUMIFS(tblTakvim[],tblTakvim[],"&gt;="&amp;$A28,tblTakvim[],"&lt;="&amp;$B28,tblTakvim[],"ÖDEME",tblTakvim[],"BEKLEMEDE"))</f>
        <v/>
      </c>
      <c r="E28" s="114">
        <f>IF($A28="","",$C28-$D28)</f>
        <v/>
      </c>
      <c r="F28" s="114">
        <f>IF($A28="","",IF(ROW()=BaslangicSatir,KasaBaslangicBakiye,$G27))</f>
        <v/>
      </c>
      <c r="G28" s="114">
        <f>IF($A28="","",$F28+$E28)</f>
        <v/>
      </c>
    </row>
    <row r="29" ht="15" customHeight="1" s="88">
      <c r="A29" s="109" t="n"/>
      <c r="B29" s="115">
        <f>IF($A29="","",$A29+HaftaUzunluk-1)</f>
        <v/>
      </c>
      <c r="C29" s="114">
        <f>IF($A29="","",SUMIFS(tblTakvim[],tblTakvim[],"&gt;="&amp;$A29,tblTakvim[],"&lt;="&amp;$B29,tblTakvim[],"TAHSİLAT",tblTakvim[],"BEKLEMEDE"))</f>
        <v/>
      </c>
      <c r="D29" s="114">
        <f>IF($A29="","",SUMIFS(tblTakvim[],tblTakvim[],"&gt;="&amp;$A29,tblTakvim[],"&lt;="&amp;$B29,tblTakvim[],"ÖDEME",tblTakvim[],"BEKLEMEDE"))</f>
        <v/>
      </c>
      <c r="E29" s="114">
        <f>IF($A29="","",$C29-$D29)</f>
        <v/>
      </c>
      <c r="F29" s="114">
        <f>IF($A29="","",IF(ROW()=BaslangicSatir,KasaBaslangicBakiye,$G28))</f>
        <v/>
      </c>
      <c r="G29" s="114">
        <f>IF($A29="","",$F29+$E29)</f>
        <v/>
      </c>
    </row>
    <row r="30" ht="15" customHeight="1" s="88">
      <c r="A30" s="109" t="n"/>
      <c r="B30" s="115">
        <f>IF($A30="","",$A30+HaftaUzunluk-1)</f>
        <v/>
      </c>
      <c r="C30" s="114">
        <f>IF($A30="","",SUMIFS(tblTakvim[],tblTakvim[],"&gt;="&amp;$A30,tblTakvim[],"&lt;="&amp;$B30,tblTakvim[],"TAHSİLAT",tblTakvim[],"BEKLEMEDE"))</f>
        <v/>
      </c>
      <c r="D30" s="114">
        <f>IF($A30="","",SUMIFS(tblTakvim[],tblTakvim[],"&gt;="&amp;$A30,tblTakvim[],"&lt;="&amp;$B30,tblTakvim[],"ÖDEME",tblTakvim[],"BEKLEMEDE"))</f>
        <v/>
      </c>
      <c r="E30" s="114">
        <f>IF($A30="","",$C30-$D30)</f>
        <v/>
      </c>
      <c r="F30" s="114">
        <f>IF($A30="","",IF(ROW()=BaslangicSatir,KasaBaslangicBakiye,$G29))</f>
        <v/>
      </c>
      <c r="G30" s="114">
        <f>IF($A30="","",$F30+$E30)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  <row r="201" ht="15" customHeight="1" s="88">
      <c r="A201" s="109" t="n"/>
    </row>
    <row r="202" ht="15" customHeight="1" s="88">
      <c r="A202" s="109" t="n"/>
    </row>
    <row r="203" ht="15" customHeight="1" s="88">
      <c r="A203" s="109" t="n"/>
    </row>
    <row r="204" ht="15" customHeight="1" s="88">
      <c r="A204" s="109" t="n"/>
    </row>
    <row r="205" ht="15" customHeight="1" s="88">
      <c r="A205" s="109" t="n"/>
    </row>
    <row r="206" ht="15" customHeight="1" s="88">
      <c r="A206" s="109" t="n"/>
    </row>
    <row r="207" ht="15" customHeight="1" s="88">
      <c r="A207" s="109" t="n"/>
    </row>
    <row r="208" ht="15" customHeight="1" s="88">
      <c r="A208" s="109" t="n"/>
    </row>
    <row r="209" ht="15" customHeight="1" s="88">
      <c r="A209" s="109" t="n"/>
    </row>
    <row r="210" ht="15" customHeight="1" s="88">
      <c r="A210" s="109" t="n"/>
    </row>
    <row r="211" ht="15" customHeight="1" s="88">
      <c r="A211" s="109" t="n"/>
    </row>
    <row r="212" ht="15" customHeight="1" s="88">
      <c r="A212" s="109" t="n"/>
    </row>
    <row r="213" ht="15" customHeight="1" s="88">
      <c r="A213" s="109" t="n"/>
    </row>
    <row r="214" ht="15" customHeight="1" s="88">
      <c r="A214" s="109" t="n"/>
    </row>
    <row r="215" ht="15" customHeight="1" s="88">
      <c r="A215" s="109" t="n"/>
    </row>
    <row r="216" ht="15" customHeight="1" s="88">
      <c r="A216" s="109" t="n"/>
    </row>
    <row r="217" ht="15" customHeight="1" s="88">
      <c r="A217" s="109" t="n"/>
    </row>
    <row r="218" ht="15" customHeight="1" s="88">
      <c r="A218" s="109" t="n"/>
    </row>
    <row r="219" ht="15" customHeight="1" s="88">
      <c r="A219" s="109" t="n"/>
    </row>
    <row r="220" ht="15" customHeight="1" s="88">
      <c r="A220" s="109" t="n"/>
    </row>
    <row r="221" ht="15" customHeight="1" s="88">
      <c r="A221" s="109" t="n"/>
    </row>
    <row r="222" ht="15" customHeight="1" s="88">
      <c r="A222" s="109" t="n"/>
    </row>
    <row r="223" ht="15" customHeight="1" s="88">
      <c r="A223" s="109" t="n"/>
    </row>
    <row r="224" ht="15" customHeight="1" s="88">
      <c r="A224" s="109" t="n"/>
    </row>
    <row r="225" ht="15" customHeight="1" s="88">
      <c r="A225" s="109" t="n"/>
    </row>
    <row r="226" ht="15" customHeight="1" s="88">
      <c r="A226" s="109" t="n"/>
    </row>
    <row r="227" ht="15" customHeight="1" s="88">
      <c r="A227" s="109" t="n"/>
    </row>
    <row r="228" ht="15" customHeight="1" s="88">
      <c r="A228" s="109" t="n"/>
    </row>
    <row r="229" ht="15" customHeight="1" s="88">
      <c r="A229" s="109" t="n"/>
    </row>
    <row r="230" ht="15" customHeight="1" s="88">
      <c r="A230" s="109" t="n"/>
    </row>
    <row r="231" ht="15" customHeight="1" s="88">
      <c r="A231" s="109" t="n"/>
    </row>
    <row r="232" ht="15" customHeight="1" s="88">
      <c r="A232" s="109" t="n"/>
    </row>
    <row r="233" ht="15" customHeight="1" s="88">
      <c r="A233" s="109" t="n"/>
    </row>
    <row r="234" ht="15" customHeight="1" s="88">
      <c r="A234" s="109" t="n"/>
    </row>
    <row r="235" ht="15" customHeight="1" s="88">
      <c r="A235" s="109" t="n"/>
    </row>
    <row r="236" ht="15" customHeight="1" s="88">
      <c r="A236" s="109" t="n"/>
    </row>
    <row r="237" ht="15" customHeight="1" s="88">
      <c r="A237" s="109" t="n"/>
    </row>
    <row r="238" ht="15" customHeight="1" s="88">
      <c r="A238" s="109" t="n"/>
    </row>
    <row r="239" ht="15" customHeight="1" s="88">
      <c r="A239" s="109" t="n"/>
    </row>
    <row r="240" ht="15" customHeight="1" s="88">
      <c r="A240" s="109" t="n"/>
    </row>
    <row r="241" ht="15" customHeight="1" s="88">
      <c r="A241" s="109" t="n"/>
    </row>
    <row r="242" ht="15" customHeight="1" s="88">
      <c r="A242" s="109" t="n"/>
    </row>
    <row r="243" ht="15" customHeight="1" s="88">
      <c r="A243" s="109" t="n"/>
    </row>
    <row r="244" ht="15" customHeight="1" s="88">
      <c r="A244" s="109" t="n"/>
    </row>
    <row r="245" ht="15" customHeight="1" s="88">
      <c r="A245" s="109" t="n"/>
    </row>
    <row r="246" ht="15" customHeight="1" s="88">
      <c r="A246" s="109" t="n"/>
    </row>
    <row r="247" ht="15" customHeight="1" s="88">
      <c r="A247" s="109" t="n"/>
    </row>
    <row r="248" ht="15" customHeight="1" s="88">
      <c r="A248" s="109" t="n"/>
    </row>
    <row r="249" ht="15" customHeight="1" s="88">
      <c r="A249" s="109" t="n"/>
    </row>
    <row r="250" ht="15" customHeight="1" s="88">
      <c r="A250" s="109" t="n"/>
    </row>
    <row r="251" ht="15" customHeight="1" s="88">
      <c r="A251" s="109" t="n"/>
    </row>
    <row r="252" ht="15" customHeight="1" s="88">
      <c r="A252" s="109" t="n"/>
    </row>
    <row r="253" ht="15" customHeight="1" s="88">
      <c r="A253" s="109" t="n"/>
    </row>
    <row r="254" ht="15" customHeight="1" s="88">
      <c r="A254" s="109" t="n"/>
    </row>
    <row r="255" ht="15" customHeight="1" s="88">
      <c r="A255" s="109" t="n"/>
    </row>
    <row r="256" ht="15" customHeight="1" s="88">
      <c r="A256" s="109" t="n"/>
    </row>
    <row r="257" ht="15" customHeight="1" s="88">
      <c r="A257" s="109" t="n"/>
    </row>
    <row r="258" ht="15" customHeight="1" s="88">
      <c r="A258" s="109" t="n"/>
    </row>
    <row r="259" ht="15" customHeight="1" s="88">
      <c r="A259" s="109" t="n"/>
    </row>
    <row r="260" ht="15" customHeight="1" s="88">
      <c r="A260" s="109" t="n"/>
    </row>
    <row r="261" ht="15" customHeight="1" s="88">
      <c r="A261" s="109" t="n"/>
    </row>
    <row r="262" ht="15" customHeight="1" s="88">
      <c r="A262" s="109" t="n"/>
    </row>
    <row r="263" ht="15" customHeight="1" s="88">
      <c r="A263" s="109" t="n"/>
    </row>
    <row r="264" ht="15" customHeight="1" s="88">
      <c r="A264" s="109" t="n"/>
    </row>
    <row r="265" ht="15" customHeight="1" s="88">
      <c r="A265" s="109" t="n"/>
    </row>
    <row r="266" ht="15" customHeight="1" s="88">
      <c r="A266" s="109" t="n"/>
    </row>
    <row r="267" ht="15" customHeight="1" s="88">
      <c r="A267" s="109" t="n"/>
    </row>
    <row r="268" ht="15" customHeight="1" s="88">
      <c r="A268" s="109" t="n"/>
    </row>
    <row r="269" ht="15" customHeight="1" s="88">
      <c r="A269" s="109" t="n"/>
    </row>
    <row r="270" ht="15" customHeight="1" s="88">
      <c r="A270" s="109" t="n"/>
    </row>
    <row r="271" ht="15" customHeight="1" s="88">
      <c r="A271" s="109" t="n"/>
    </row>
    <row r="272" ht="15" customHeight="1" s="88">
      <c r="A272" s="109" t="n"/>
    </row>
    <row r="273" ht="15" customHeight="1" s="88">
      <c r="A273" s="109" t="n"/>
    </row>
    <row r="274" ht="15" customHeight="1" s="88">
      <c r="A274" s="109" t="n"/>
    </row>
    <row r="275" ht="15" customHeight="1" s="88">
      <c r="A275" s="109" t="n"/>
    </row>
    <row r="276" ht="15" customHeight="1" s="88">
      <c r="A276" s="109" t="n"/>
    </row>
    <row r="277" ht="15" customHeight="1" s="88">
      <c r="A277" s="109" t="n"/>
    </row>
    <row r="278" ht="15" customHeight="1" s="88">
      <c r="A278" s="109" t="n"/>
    </row>
    <row r="279" ht="15" customHeight="1" s="88">
      <c r="A279" s="109" t="n"/>
    </row>
    <row r="280" ht="15" customHeight="1" s="88">
      <c r="A280" s="109" t="n"/>
    </row>
    <row r="281" ht="15" customHeight="1" s="88">
      <c r="A281" s="109" t="n"/>
    </row>
    <row r="282" ht="15" customHeight="1" s="88">
      <c r="A282" s="109" t="n"/>
    </row>
    <row r="283" ht="15" customHeight="1" s="88">
      <c r="A283" s="109" t="n"/>
    </row>
    <row r="284" ht="15" customHeight="1" s="88">
      <c r="A284" s="109" t="n"/>
    </row>
    <row r="285" ht="15" customHeight="1" s="88">
      <c r="A285" s="109" t="n"/>
    </row>
    <row r="286" ht="15" customHeight="1" s="88">
      <c r="A286" s="109" t="n"/>
    </row>
    <row r="287" ht="15" customHeight="1" s="88">
      <c r="A287" s="109" t="n"/>
    </row>
    <row r="288" ht="15" customHeight="1" s="88">
      <c r="A288" s="109" t="n"/>
    </row>
    <row r="289" ht="15" customHeight="1" s="88">
      <c r="A289" s="109" t="n"/>
    </row>
    <row r="290" ht="15" customHeight="1" s="88">
      <c r="A290" s="109" t="n"/>
    </row>
    <row r="291" ht="15" customHeight="1" s="88">
      <c r="A291" s="109" t="n"/>
    </row>
    <row r="292" ht="15" customHeight="1" s="88">
      <c r="A292" s="109" t="n"/>
    </row>
    <row r="293" ht="15" customHeight="1" s="88">
      <c r="A293" s="109" t="n"/>
    </row>
    <row r="294" ht="15" customHeight="1" s="88">
      <c r="A294" s="109" t="n"/>
    </row>
    <row r="295" ht="15" customHeight="1" s="88">
      <c r="A295" s="109" t="n"/>
    </row>
    <row r="296" ht="15" customHeight="1" s="88">
      <c r="A296" s="109" t="n"/>
    </row>
    <row r="297" ht="15" customHeight="1" s="88">
      <c r="A297" s="109" t="n"/>
    </row>
    <row r="298" ht="15" customHeight="1" s="88">
      <c r="A298" s="109" t="n"/>
    </row>
    <row r="299" ht="15" customHeight="1" s="88">
      <c r="A299" s="109" t="n"/>
    </row>
    <row r="300" ht="15" customHeight="1" s="88">
      <c r="A3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30" customWidth="1" style="87" min="2" max="2"/>
    <col width="90" customWidth="1" style="87" min="3" max="3"/>
    <col width="18" customWidth="1" style="87" min="4" max="4"/>
  </cols>
  <sheetData>
    <row r="1" ht="25.5" customHeight="1" s="88">
      <c r="A1" s="100" t="inlineStr">
        <is>
          <t>MOTOR — AKILLI KASA DEFTERİ VE NAKİT KONTROL SİSTEMİ</t>
        </is>
      </c>
    </row>
    <row r="2" ht="19.5" customHeight="1" s="88">
      <c r="A2" s="99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88">
      <c r="A4" s="116" t="inlineStr">
        <is>
          <t>TEMEL ARA HESAPLAR</t>
        </is>
      </c>
    </row>
    <row r="5" ht="15" customHeight="1" s="88">
      <c r="A5" s="117" t="inlineStr">
        <is>
          <t>Hesap Sayısı (AKTİF)</t>
        </is>
      </c>
      <c r="B5" s="118">
        <f>IFERROR(COUNTIFS(tblKasaHesap[],"AKTİF"),0)</f>
        <v/>
      </c>
    </row>
    <row r="6" ht="15" customHeight="1" s="88">
      <c r="A6" s="117" t="inlineStr">
        <is>
          <t>Toplam Bakiye (₺)</t>
        </is>
      </c>
      <c r="B6" s="114">
        <f>IFERROR(SUMIFS(tblKasaHesap[],tblKasaHesap[],"AKTİF"),0)</f>
        <v/>
      </c>
    </row>
    <row r="7" ht="15" customHeight="1" s="88">
      <c r="A7" s="117" t="inlineStr">
        <is>
          <t>Toplam Bloke (₺)</t>
        </is>
      </c>
      <c r="B7" s="114">
        <f>IFERROR(SUMIFS(tblKasaHesap[],tblKasaHesap[],"AKTİF"),0)</f>
        <v/>
      </c>
    </row>
    <row r="8" ht="15" customHeight="1" s="88">
      <c r="A8" s="117" t="inlineStr">
        <is>
          <t>Toplam Min Eşik (₺)</t>
        </is>
      </c>
      <c r="B8" s="114">
        <f>IFERROR(SUMIFS(tblKasaHesap[],tblKasaHesap[],"AKTİF"),0)</f>
        <v/>
      </c>
    </row>
    <row r="9" ht="15" customHeight="1" s="88">
      <c r="A9" s="117" t="inlineStr">
        <is>
          <t>Hareket Sayısı</t>
        </is>
      </c>
      <c r="B9" s="118">
        <f>IFERROR(COUNTA(tblKasaHareket[]),0)</f>
        <v/>
      </c>
    </row>
    <row r="10" ht="15" customHeight="1" s="88">
      <c r="A10" s="117" t="inlineStr">
        <is>
          <t>Toplam Giriş (₺)</t>
        </is>
      </c>
      <c r="B10" s="114">
        <f>IFERROR(SUMIFS(tblKasaHareket[],tblKasaHareket[],"GİRİŞ"),0)</f>
        <v/>
      </c>
    </row>
    <row r="11" ht="15" customHeight="1" s="88">
      <c r="A11" s="117" t="inlineStr">
        <is>
          <t>Toplam Çıkış (₺)</t>
        </is>
      </c>
      <c r="B11" s="114">
        <f>IFERROR(SUMIFS(tblKasaHareket[],tblKasaHareket[],"ÇIKIŞ"),0)</f>
        <v/>
      </c>
    </row>
    <row r="12" ht="15" customHeight="1" s="88">
      <c r="A12" s="117" t="inlineStr">
        <is>
          <t>Bekleyen Ödeme (₺)</t>
        </is>
      </c>
      <c r="B12" s="114">
        <f>IFERROR(SUMIFS(tblTakvim[],tblTakvim[],"ÖDEME",tblTakvim[],"BEKLEMEDE"),0)</f>
        <v/>
      </c>
    </row>
    <row r="13" ht="15" customHeight="1" s="88">
      <c r="A13" s="117" t="inlineStr">
        <is>
          <t>Bekleyen Tahsilat (₺)</t>
        </is>
      </c>
      <c r="B13" s="114">
        <f>IFERROR(SUMIFS(tblTakvim[],tblTakvim[],"TAHSİLAT",tblTakvim[],"BEKLEMEDE"),0)</f>
        <v/>
      </c>
    </row>
    <row r="14" ht="15" customHeight="1" s="88">
      <c r="A14" s="117" t="inlineStr">
        <is>
          <t>Kullanılabilir Para (₺)</t>
        </is>
      </c>
      <c r="B14" s="114">
        <f>IFERROR(MAX(B6-B7-B8,0),0)</f>
        <v/>
      </c>
    </row>
    <row r="15" ht="15" customHeight="1" s="88">
      <c r="A15" s="117" t="inlineStr">
        <is>
          <t>Nakit Açığı (₺)</t>
        </is>
      </c>
      <c r="B15" s="114">
        <f>IFERROR(B12-B14-B13,0)</f>
        <v/>
      </c>
    </row>
    <row r="16" ht="15" customHeight="1" s="88">
      <c r="A16" s="117" t="inlineStr">
        <is>
          <t>Fiziki Mutabakat Farkı (₺)</t>
        </is>
      </c>
      <c r="B16" s="114">
        <f>IFERROR(SUM(tblMutabakat[]),0)</f>
        <v/>
      </c>
    </row>
    <row r="17" ht="15" customHeight="1" s="88">
      <c r="A17" s="117" t="inlineStr">
        <is>
          <t>Kritik Ödeme (₺)</t>
        </is>
      </c>
      <c r="B17" s="114">
        <f>IFERROR(SUMIFS(tblTakvim[],tblTakvim[],"KRİTİK",tblTakvim[],"BEKLEMEDE",tblTakvim[],"ÖDEME"),0)</f>
        <v/>
      </c>
    </row>
    <row r="18" ht="15" customHeight="1" s="88">
      <c r="A18" s="117" t="inlineStr">
        <is>
          <t>Vadesi Geçen Ödeme Sayısı</t>
        </is>
      </c>
      <c r="B18" s="118">
        <f>IFERROR(COUNTIF(tblTakvim[],"VADE GEÇTİ"),0)</f>
        <v/>
      </c>
    </row>
    <row r="19" ht="15" customHeight="1" s="88">
      <c r="A19" s="117" t="inlineStr">
        <is>
          <t>Veri Kalite Skoru</t>
        </is>
      </c>
      <c r="B19" s="118">
        <f>IFERROR(MAX(0,100-(B22+B23+B24+B25+B26)*HataAgirligi-B27*UyariAgirligi),0)</f>
        <v/>
      </c>
    </row>
    <row r="20" ht="15" customHeight="1" s="88">
      <c r="A20" s="117" t="inlineStr">
        <is>
          <t>Güven Düzeyi</t>
        </is>
      </c>
      <c r="B20" s="119">
        <f>IFERROR(IF(B19&gt;=VeriKaliteYuksek,"YÜKSEK",IF(B19&gt;=VeriKaliteOrta,"ORTA","DÜŞÜK")),"VERİ YETERSİZ")</f>
        <v/>
      </c>
    </row>
    <row r="21" ht="15" customHeight="1" s="88">
      <c r="A21" s="117" t="inlineStr">
        <is>
          <t>Ödeme Önerisi (₺)</t>
        </is>
      </c>
      <c r="B21" s="114">
        <f>IFERROR(MIN(B12,MAX(B14,0)),0)</f>
        <v/>
      </c>
    </row>
    <row r="22" ht="15" customHeight="1" s="88">
      <c r="A22" s="117" t="inlineStr">
        <is>
          <t>Eksik Zorunlu Alan</t>
        </is>
      </c>
      <c r="B22" s="118">
        <f>IFERROR(COUNTIF(tblKasaHareket[],"EKSİK"),0)</f>
        <v/>
      </c>
    </row>
    <row r="23" ht="15" customHeight="1" s="88">
      <c r="A23" s="117" t="inlineStr">
        <is>
          <t>Mükerrer Kayıt</t>
        </is>
      </c>
      <c r="B23" s="118">
        <f>IFERROR(COUNTIF(tblKasaHareket[],"MÜKERRER"),0)</f>
        <v/>
      </c>
    </row>
    <row r="24" ht="15" customHeight="1" s="88">
      <c r="A24" s="117" t="inlineStr">
        <is>
          <t>Sıfır/Negatif Tutar</t>
        </is>
      </c>
      <c r="B24" s="118">
        <f>IFERROR(COUNTIF(tblKasaHareket[],"SIFIR/NEGATİF"),0)</f>
        <v/>
      </c>
    </row>
    <row r="25" ht="15" customHeight="1" s="88">
      <c r="A25" s="117" t="inlineStr">
        <is>
          <t>Aşırı Tutar</t>
        </is>
      </c>
      <c r="B25" s="118">
        <f>IFERROR(COUNTIF(tblKasaHareket[],"AŞIRI TUTAR"),0)</f>
        <v/>
      </c>
    </row>
    <row r="26" ht="15" customHeight="1" s="88">
      <c r="A26" s="117" t="inlineStr">
        <is>
          <t>Vadesi Geçmiş Ödeme</t>
        </is>
      </c>
      <c r="B26" s="118">
        <f>IFERROR(COUNTIF(tblTakvim[],"VADE GEÇTİ"),0)</f>
        <v/>
      </c>
    </row>
    <row r="27" ht="15" customHeight="1" s="88">
      <c r="A27" s="117" t="inlineStr">
        <is>
          <t>Mutabakat Farkı Var</t>
        </is>
      </c>
      <c r="B27" s="118">
        <f>IFERROR(COUNTIF(tblMutabakat[],"FARK VAR"),0)</f>
        <v/>
      </c>
    </row>
    <row r="29" ht="15" customHeight="1" s="88">
      <c r="A29" s="116" t="inlineStr">
        <is>
          <t>ANALİTİK MODÜL HESAPLARI</t>
        </is>
      </c>
    </row>
    <row r="30" ht="15" customHeight="1" s="88">
      <c r="A30" s="117" t="inlineStr">
        <is>
          <t>Modül T1: Vadesi Geçen Ödeme Sayısı</t>
        </is>
      </c>
      <c r="B30" s="118">
        <f>IFERROR(COUNTIF(tblTakvim[],"VADE GEÇTİ"),0)</f>
        <v/>
      </c>
    </row>
    <row r="31" ht="15" customHeight="1" s="88">
      <c r="A31" s="117" t="inlineStr">
        <is>
          <t>Modül T2: Net Nakit Eğimi</t>
        </is>
      </c>
      <c r="B31" s="114">
        <f>IFERROR(SLOPE(tblGunlukOzet[Net (₺)],tblGunlukOzet[Tarih]),0)</f>
        <v/>
      </c>
    </row>
    <row r="32" ht="15" customHeight="1" s="88">
      <c r="A32" s="117" t="inlineStr">
        <is>
          <t>Modül T3: Çıkış Pareto Payı</t>
        </is>
      </c>
      <c r="B32" s="120">
        <f>IFERROR(IF(B11=0,0,SUMIFS(tblKasaHareket[],tblKasaHareket[],"ÇIKIŞ",tblKasaHareket[],LISTELER!$B$4)/B11),0)</f>
        <v/>
      </c>
    </row>
    <row r="33" ht="15" customHeight="1" s="88">
      <c r="A33" s="117" t="inlineStr">
        <is>
          <t>Modül T4: Günlük Net Fark</t>
        </is>
      </c>
      <c r="B33" s="114">
        <f>IFERROR(AVERAGE(tblGunlukOzet[Net (₺)]),0)</f>
        <v/>
      </c>
    </row>
    <row r="34" ht="15" customHeight="1" s="88">
      <c r="A34" s="117" t="inlineStr">
        <is>
          <t>Modül T5: Mutabakat Farkı</t>
        </is>
      </c>
      <c r="B34" s="114">
        <f>IFERROR(SUM(tblMutabakat[]),0)</f>
        <v/>
      </c>
    </row>
    <row r="35" ht="15" customHeight="1" s="88">
      <c r="A35" s="117" t="inlineStr">
        <is>
          <t>Modül T6: Kapsama Oranı</t>
        </is>
      </c>
      <c r="B35" s="120">
        <f>IFERROR(IF(B12=0,0,(B14+B13)/B12),0)</f>
        <v/>
      </c>
    </row>
    <row r="36" ht="15" customHeight="1" s="88">
      <c r="A36" s="117" t="inlineStr">
        <is>
          <t>Modül O1: Anomali Oranı</t>
        </is>
      </c>
      <c r="B36" s="120">
        <f>IFERROR(IF(B10=0,0,B11/MAX(B10,1)),0)</f>
        <v/>
      </c>
    </row>
    <row r="37" ht="15" customHeight="1" s="88">
      <c r="A37" s="117" t="inlineStr">
        <is>
          <t>Modül O2: Tornado Zirve Etki</t>
        </is>
      </c>
      <c r="B37" s="114">
        <f>IFERROR(ABS(SenaryoBazNakit-SenaryoKotumserNakit),0)</f>
        <v/>
      </c>
    </row>
    <row r="38" ht="15" customHeight="1" s="88">
      <c r="A38" s="117" t="inlineStr">
        <is>
          <t>Modül O3: Senaryo Baz Fark</t>
        </is>
      </c>
      <c r="B38" s="114">
        <f>IFERROR(SenaryoIyimserNakit-SenaryoKotumserNakit,0)</f>
        <v/>
      </c>
    </row>
    <row r="39" ht="15" customHeight="1" s="88">
      <c r="A39" s="117" t="inlineStr">
        <is>
          <t>Modül O6: Hesap HHI</t>
        </is>
      </c>
      <c r="B39" s="118">
        <f>IFERROR(IF(SUMIFS(tblKasaHesap[],tblKasaHesap[],"AKTİF")=0,0,SUMPRODUCT(IF(tblKasaHesap[]="AKTİF",tblKasaHesap[],0),IF(tblKasaHesap[]="AKTİF",tblKasaHesap[],0))/MAX(1,SUMIFS(tblKasaHesap[],tblKasaHesap[],"AKTİF")^2)),0)</f>
        <v/>
      </c>
    </row>
    <row r="40" ht="15" customHeight="1" s="88">
      <c r="A40" s="117" t="inlineStr">
        <is>
          <t>Modül O8: Veri Kalite Skoru</t>
        </is>
      </c>
      <c r="B40" s="118">
        <f>B19</f>
        <v/>
      </c>
    </row>
    <row r="41" ht="15" customHeight="1" s="88">
      <c r="A41" s="117" t="inlineStr">
        <is>
          <t>Modül I1: Kasa Tahmini</t>
        </is>
      </c>
      <c r="B41" s="114">
        <f>IFERROR(_xlfn.FORECAST.LINEAR(MAX(tblProjeksiyon[Hafta Başlangıcı]),tblProjeksiyon[Dönem Sonu Kasa (₺)],tblProjeksiyon[Hafta Başlangıcı]),0)</f>
        <v/>
      </c>
    </row>
    <row r="42" ht="15" customHeight="1" s="88">
      <c r="A42" s="117" t="inlineStr">
        <is>
          <t>Modül I2: Kasa P90</t>
        </is>
      </c>
      <c r="B42" s="114">
        <f>IFERROR(_xlfn.PERCENTILE.INC(tblProjeksiyon[Dönem Sonu Kasa (₺)],0.9),0)</f>
        <v/>
      </c>
    </row>
    <row r="43" ht="15" customHeight="1" s="88">
      <c r="A43" s="117" t="inlineStr">
        <is>
          <t>Modül I7: Nakit Açığı Köprüsü</t>
        </is>
      </c>
      <c r="B43" s="114">
        <f>IFERROR(MAX(0,B15),0)</f>
        <v/>
      </c>
    </row>
    <row r="45" ht="15" customHeight="1" s="88">
      <c r="A45" s="116" t="inlineStr">
        <is>
          <t>MODÜL MAKİNE YORUMLARI</t>
        </is>
      </c>
    </row>
    <row r="46" ht="15" customHeight="1" s="88">
      <c r="A46" s="117" t="inlineStr">
        <is>
          <t>T1 Vade Yaşlandırma</t>
        </is>
      </c>
      <c r="B46" s="118">
        <f>modulT1VadeGecmis</f>
        <v/>
      </c>
      <c r="C46" s="121">
        <f>_xlfn.TEXTJOIN(" | ",TRUE(),"T1: Vadesi geçmiş ödeme sayısı "&amp;modulT1VadeGecmis,IF(modulT1VadeGecmis&gt;0,"vade yönetimi riskli, gecikmiş ödemeleri önceliklendirin","vadesi geçmiş ödeme yok"))</f>
        <v/>
      </c>
    </row>
    <row r="47" ht="15" customHeight="1" s="88">
      <c r="A47" s="117" t="inlineStr">
        <is>
          <t>T2 Net Nakit Eğimi</t>
        </is>
      </c>
      <c r="B47" s="114">
        <f>modulT2NetEgim</f>
        <v/>
      </c>
      <c r="C47" s="121">
        <f>_xlfn.TEXTJOIN(" | ",TRUE(),"T2: Net nakit eğimi "&amp;TEXT(modulT2NetEgim,"#,##0")&amp;" ₺/gün",IF(modulT2NetEgim&gt;0,"nakit akışı iyileşiyor","nakit akışı geriliyor"))</f>
        <v/>
      </c>
    </row>
    <row r="48" ht="15" customHeight="1" s="88">
      <c r="A48" s="117" t="inlineStr">
        <is>
          <t>T3 Çıkış Pareto Payı</t>
        </is>
      </c>
      <c r="B48" s="120">
        <f>modulT3ParetoPay</f>
        <v/>
      </c>
      <c r="C48" s="121">
        <f>_xlfn.TEXTJOIN(" | ",TRUE(),"T3: En büyük çıkış kategorisinin payı %"&amp;TEXT(modulT3ParetoPay*100,"0")&amp;"",IF(modulT3ParetoPay&gt;0.4,"çıkışlar tek kategoride yoğun, dağılımı denetleyin","çıkış dağılımı dengeli"))</f>
        <v/>
      </c>
    </row>
    <row r="49" ht="15" customHeight="1" s="88">
      <c r="A49" s="117" t="inlineStr">
        <is>
          <t>T4 Günlük Net Fark</t>
        </is>
      </c>
      <c r="B49" s="114">
        <f>modulT4NetFark</f>
        <v/>
      </c>
      <c r="C49" s="121">
        <f>_xlfn.TEXTJOIN(" | ",TRUE(),"T4: Ortalama günlük net nakit "&amp;TEXT(modulT4NetFark,"#,##0")&amp;" ₺",IF(modulT4NetFark&lt;0,"günlük net akış negatif, nakit yapısını gözden geçirin","günlük net akış pozitif"))</f>
        <v/>
      </c>
    </row>
    <row r="50" ht="15" customHeight="1" s="88">
      <c r="A50" s="117" t="inlineStr">
        <is>
          <t>T5 Mutabakat Farkı</t>
        </is>
      </c>
      <c r="B50" s="114">
        <f>modulT5MutabakatFark</f>
        <v/>
      </c>
      <c r="C50" s="121">
        <f>_xlfn.TEXTJOIN(" | ",TRUE(),"T5: Defter-sayım farkı "&amp;TEXT(modulT5MutabakatFark,"#,##0")&amp;" ₺",IF(ABS(modulT5MutabakatFark)&gt;MutabakatToleransi,"mutabakat farkı var, kök nedeni inceleyin","mutabakat uyumlu"))</f>
        <v/>
      </c>
    </row>
    <row r="51" ht="15" customHeight="1" s="88">
      <c r="A51" s="117" t="inlineStr">
        <is>
          <t>T6 Kapsama Oranı</t>
        </is>
      </c>
      <c r="B51" s="120">
        <f>modulT6KapsamaOran</f>
        <v/>
      </c>
      <c r="C51" s="121">
        <f>_xlfn.TEXTJOIN(" | ",TRUE(),"T6: Ödeme kapsama oranı %"&amp;TEXT(modulT6KapsamaOran*100,"0")&amp;"",IF(modulT6KapsamaOran&lt;1,"kaynaklar bekleyen ödemeyi karşılamıyor","kaynaklar ödemeyi karşılıyor"))</f>
        <v/>
      </c>
    </row>
    <row r="52" ht="15" customHeight="1" s="88">
      <c r="A52" s="117" t="inlineStr">
        <is>
          <t>O1 Anomali Oranı</t>
        </is>
      </c>
      <c r="B52" s="120">
        <f>modulO1AnomaliOran</f>
        <v/>
      </c>
      <c r="C52" s="121">
        <f>_xlfn.TEXTJOIN(" | ",TRUE(),"O1: Çıkış/giriş dengesi %"&amp;TEXT(modulO1AnomaliOran*100,"0.0")&amp;"",IF(modulO1AnomaliOran&gt;1,"çıkışlar girişleri aşıyor, nakit erime riski","giriş-çıkış dengesi korunuyor"))</f>
        <v/>
      </c>
    </row>
    <row r="53" ht="15" customHeight="1" s="88">
      <c r="A53" s="117" t="inlineStr">
        <is>
          <t>O2 Tornado Zirve Etki</t>
        </is>
      </c>
      <c r="B53" s="114">
        <f>modulO2TornadoZirve</f>
        <v/>
      </c>
      <c r="C53" s="121">
        <f>_xlfn.TEXTJOIN(" | ",TRUE(),"O2: Kötümser senaryo nakit etkisi "&amp;TEXT(modulO2TornadoZirve,"#,##0")&amp;" ₺",IF(modulO2TornadoZirve&gt;KritikRiskEsik,"kötümser senaryoda nakit açığı derinleşiyor","senaryo aralığı yönetilebilir"))</f>
        <v/>
      </c>
    </row>
    <row r="54" ht="15" customHeight="1" s="88">
      <c r="A54" s="117" t="inlineStr">
        <is>
          <t>O3 Senaryo Baz Fark</t>
        </is>
      </c>
      <c r="B54" s="114">
        <f>modulO3SenaryoFark</f>
        <v/>
      </c>
      <c r="C54" s="121">
        <f>_xlfn.TEXTJOIN(" | ",TRUE(),"O3: İyimser-kötümser nakit farkı "&amp;TEXT(modulO3SenaryoFark,"#,##0")&amp;" ₺",IF(modulO3SenaryoFark&gt;KritikRiskEsik*2,"senaryo belirsizliği yüksek","senaryo aralığı kabul edilebilir"))</f>
        <v/>
      </c>
    </row>
    <row r="55" ht="15" customHeight="1" s="88">
      <c r="A55" s="117" t="inlineStr">
        <is>
          <t>O6 Hesap HHI</t>
        </is>
      </c>
      <c r="B55" s="118">
        <f>modulO6HesapHhi</f>
        <v/>
      </c>
      <c r="C55" s="121">
        <f>_xlfn.TEXTJOIN(" | ",TRUE(),"O6: Hesap yoğunlaşma endeksi "&amp;TEXT(modulO6HesapHhi,"0.00")&amp;"",IF(modulO6HesapHhi&gt;0.5,"nakit tek hesapta yoğun, dağıtın","hesap dağılımı dengeli"))</f>
        <v/>
      </c>
    </row>
    <row r="56" ht="15" customHeight="1" s="88">
      <c r="A56" s="117" t="inlineStr">
        <is>
          <t>O8 Veri Kalite Skoru</t>
        </is>
      </c>
      <c r="B56" s="118">
        <f>modulO8KaliteSkor</f>
        <v/>
      </c>
      <c r="C56" s="121">
        <f>_xlfn.TEXTJOIN(" | ",TRUE(),"O8: Veri kalite skoru "&amp;TEXT(modulO8KaliteSkor,"0")&amp;"/100",IF(modulO8KaliteSkor&gt;=VeriKaliteYuksek,"girdi kalitesi yüksek","kalite düşük, girişleri tamamlayın"))</f>
        <v/>
      </c>
    </row>
    <row r="57" ht="15" customHeight="1" s="88">
      <c r="A57" s="117" t="inlineStr">
        <is>
          <t>I1 Kasa Tahmini</t>
        </is>
      </c>
      <c r="B57" s="114">
        <f>modulI1KasaTahmini</f>
        <v/>
      </c>
      <c r="C57" s="121">
        <f>_xlfn.TEXTJOIN(" | ",TRUE(),"I1: Projeksiyon sonunda beklenen kasa "&amp;TEXT(modulI1KasaTahmini,"#,##0")&amp;" ₺",IF(modulI1KasaTahmini&lt;KasaBaslangicBakiye*0.5,"projeksiyon kasa erimesi öngörüyor","projeksiyon kasa seviyesini koruyor"))</f>
        <v/>
      </c>
    </row>
    <row r="58" ht="15" customHeight="1" s="88">
      <c r="A58" s="117" t="inlineStr">
        <is>
          <t>I2 Kasa P90</t>
        </is>
      </c>
      <c r="B58" s="114">
        <f>modulI2KasaP90</f>
        <v/>
      </c>
      <c r="C58" s="121">
        <f>_xlfn.TEXTJOIN(" | ",TRUE(),"I2: Dönem sonu kasa P90 "&amp;TEXT(modulI2KasaP90,"#,##0")&amp;" ₺",IF(modulI2KasaP90&lt;AsgariNakitTamponu,"P90 senaryoda bile kasa tamponun altında","P90 senaryoda kasa tamponun üzerinde"))</f>
        <v/>
      </c>
    </row>
    <row r="59" ht="15" customHeight="1" s="88">
      <c r="A59" s="117" t="inlineStr">
        <is>
          <t>I7 Açık Köprüsü</t>
        </is>
      </c>
      <c r="B59" s="114">
        <f>modulI7AcikKopru</f>
        <v/>
      </c>
      <c r="C59" s="121">
        <f>_xlfn.TEXTJOIN(" | ",TRUE(),"I7: Nakit açığı köprüsü "&amp;TEXT(modulI7AcikKopru,"#,##0")&amp;" ₺",IF(modulI7AcikKopru&gt;0,"bekleyen ödemenin karşılanamayan kısmı var, tahsilatı hızlandırın","nakit açığı yok"))</f>
        <v/>
      </c>
    </row>
    <row r="61" ht="19.5" customHeight="1" s="88">
      <c r="A61" s="99" t="inlineStr">
        <is>
          <t>Tüm hesaplar AYARLAR parametrelerinden beslenir; veri yokken 0 ve VERİ YETERSİZ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61:AN61"/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7" min="1" max="1"/>
    <col width="44" customWidth="1" style="87" min="2" max="2"/>
  </cols>
  <sheetData>
    <row r="1" ht="25.5" customHeight="1" s="88">
      <c r="A1" s="100" t="inlineStr">
        <is>
          <t>KONTROLLER — AKILLI KASA DEFTERİ VE NAKİT KONTROL SİSTEMİ</t>
        </is>
      </c>
    </row>
    <row r="2" ht="19.5" customHeight="1" s="88">
      <c r="A2" s="99" t="inlineStr">
        <is>
          <t>Veri giriş kalitesi ve nakit anomalileri burada denetlenir. Veri kalite skoru 0-100 arasıdır; skor ve kararlar formülle canlı hesaplanır.</t>
        </is>
      </c>
    </row>
    <row r="4" ht="15" customHeight="1" s="88">
      <c r="A4" s="116" t="inlineStr">
        <is>
          <t>VERİ KALİTE GÖSTERGELERİ</t>
        </is>
      </c>
    </row>
    <row r="5" ht="15" customHeight="1" s="88">
      <c r="A5" s="117" t="inlineStr">
        <is>
          <t>Kayıt Sayısı</t>
        </is>
      </c>
      <c r="B5" s="118">
        <f>COUNTA(tblKasaHareket[])</f>
        <v/>
      </c>
    </row>
    <row r="6" ht="15" customHeight="1" s="88">
      <c r="A6" s="117" t="inlineStr">
        <is>
          <t>Eksik Zorunlu Alan</t>
        </is>
      </c>
      <c r="B6" s="118">
        <f>COUNTIF(tblKasaHareket[],"EKSİK")</f>
        <v/>
      </c>
    </row>
    <row r="7" ht="15" customHeight="1" s="88">
      <c r="A7" s="117" t="inlineStr">
        <is>
          <t>Mükerrer Kayıt</t>
        </is>
      </c>
      <c r="B7" s="118">
        <f>COUNTIF(tblKasaHareket[],"MÜKERRER")</f>
        <v/>
      </c>
    </row>
    <row r="8" ht="15" customHeight="1" s="88">
      <c r="A8" s="117" t="inlineStr">
        <is>
          <t>Sıfır/Negatif Tutar</t>
        </is>
      </c>
      <c r="B8" s="118">
        <f>COUNTIF(tblKasaHareket[],"SIFIR/NEGATİF")</f>
        <v/>
      </c>
    </row>
    <row r="9" ht="15" customHeight="1" s="88">
      <c r="A9" s="117" t="inlineStr">
        <is>
          <t>Aşırı Tutar</t>
        </is>
      </c>
      <c r="B9" s="118">
        <f>COUNTIF(tblKasaHareket[],"AŞIRI TUTAR")</f>
        <v/>
      </c>
    </row>
    <row r="10" ht="15" customHeight="1" s="88">
      <c r="A10" s="117" t="inlineStr">
        <is>
          <t>Vadesi Geçmiş Ödeme</t>
        </is>
      </c>
      <c r="B10" s="118">
        <f>COUNTIF(tblTakvim[],"VADE GEÇTİ")</f>
        <v/>
      </c>
    </row>
    <row r="11" ht="15" customHeight="1" s="88">
      <c r="A11" s="117" t="inlineStr">
        <is>
          <t>Mutabakat Farkı Var</t>
        </is>
      </c>
      <c r="B11" s="118">
        <f>COUNTIF(tblMutabakat[],"FARK VAR")</f>
        <v/>
      </c>
    </row>
    <row r="12" ht="15" customHeight="1" s="88">
      <c r="A12" s="117" t="inlineStr">
        <is>
          <t>Bekleyen Ödeme Sayısı</t>
        </is>
      </c>
      <c r="B12" s="118">
        <f>COUNTIFS(tblTakvim[],"BEKLEMEDE",tblTakvim[],"ÖDEME")</f>
        <v/>
      </c>
    </row>
    <row r="14" ht="15" customHeight="1" s="88">
      <c r="A14" s="116" t="inlineStr">
        <is>
          <t>VERİ KALİTE SKORU VE KARAR</t>
        </is>
      </c>
    </row>
    <row r="15" ht="15" customHeight="1" s="88">
      <c r="A15" s="122" t="inlineStr">
        <is>
          <t>Veri Kalite Skoru (0-100)</t>
        </is>
      </c>
      <c r="B15" s="123">
        <f>IF(KayitSayisi=0,0,MAX(100-(B6+B7+B8+B9+B10)*HataAgirligi-B11*UyariAgirligi,0))</f>
        <v/>
      </c>
    </row>
    <row r="16" ht="15" customHeight="1" s="88">
      <c r="A16" s="122" t="inlineStr">
        <is>
          <t>Güven Düzeyi</t>
        </is>
      </c>
      <c r="B16" s="124">
        <f>IF(KayitSayisi=0,"VERİ YETERSİZ",IF(B15&gt;=VeriKaliteYuksek,"YÜKSEK",IF(B15&gt;=VeriKaliteOrta,"ORTA","DÜŞÜK")))</f>
        <v/>
      </c>
    </row>
    <row r="17" ht="15" customHeight="1" s="88">
      <c r="A17" s="122" t="inlineStr">
        <is>
          <t>Genel Durum</t>
        </is>
      </c>
      <c r="B17" s="124">
        <f>IF(KayitSayisi=0,"VERİ YETERSİZ",IF(B16="DÜŞÜK","DÜZELTME GEREKLİ",IF(B15&gt;=VeriKaliteYuksek,"SAĞLIKLI","İZLEME GEREKLİ")))</f>
        <v/>
      </c>
    </row>
    <row r="18" ht="15" customHeight="1" s="88">
      <c r="A18" s="122" t="inlineStr">
        <is>
          <t>Kasa Durumu</t>
        </is>
      </c>
      <c r="B18" s="124">
        <f>IF(KayitSayisi=0,"VERİ YETERSİZ",KararBildirimi)</f>
        <v/>
      </c>
    </row>
    <row r="19" ht="15" customHeight="1" s="88">
      <c r="A19" s="122" t="inlineStr">
        <is>
          <t>Açık Risk Bildirimi</t>
        </is>
      </c>
      <c r="B19" s="124">
        <f>IF(KayitSayisi=0,"VERİ YETERSİZ",IF(NakitAcik&gt;0,"NAKİT AÇIĞI VAR","RİSK YOK"))</f>
        <v/>
      </c>
    </row>
    <row r="21" ht="15" customHeight="1" s="88">
      <c r="A21" s="116" t="inlineStr">
        <is>
          <t>ANOMALİ TESPİTİ</t>
        </is>
      </c>
    </row>
    <row r="22" ht="15" customHeight="1" s="88">
      <c r="A22" s="122" t="inlineStr">
        <is>
          <t>Günlük Ortalama Çıkış (₺)</t>
        </is>
      </c>
      <c r="B22" s="114">
        <f>IF(KayitSayisi=0,"VERİ YETERSİZ",IFERROR(ROUND(AVERAGEIFS(tblKasaHareket[],tblKasaHareket[],"ÇIKIŞ"),0),"VERİ YETERSİZ"))</f>
        <v/>
      </c>
    </row>
    <row r="23" ht="15" customHeight="1" s="88">
      <c r="A23" s="122" t="inlineStr">
        <is>
          <t>En Yüksek Tek Çıkış (₺)</t>
        </is>
      </c>
      <c r="B23" s="114">
        <f>IF(KayitSayisi=0,"VERİ YETERSİZ",IFERROR(_xlfn.MAXIFS(tblKasaHareket[],tblKasaHareket[],"ÇIKIŞ"),"VERİ YETERSİZ"))</f>
        <v/>
      </c>
    </row>
    <row r="24" ht="15" customHeight="1" s="88">
      <c r="A24" s="122" t="inlineStr">
        <is>
          <t>Anomali Değerlendirmesi</t>
        </is>
      </c>
      <c r="B24" s="124">
        <f>IF(KayitSayisi=0,"VERİ YETERSİZ",IF(AND(ISNUMBER(B22),ISNUMBER(B23)),IF(B23&gt;B22*AnomaliKatsayisi,"ANOMALİ VAR","NORMAL"),"VERİ YETERSİZ"))</f>
        <v/>
      </c>
    </row>
    <row r="26" ht="42.75" customHeight="1" s="88">
      <c r="A26" s="125" t="inlineStr">
        <is>
          <t>NOT: B5-B12 ve B28-B39 hücreleri canlı formüller içerir; buradaki sonuçlar KARAR_MOTORU, PANO ve RAPOR sayfalarını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B28">
    <cfRule type="cellIs" rank="0" priority="2" equalAverage="0" operator="lessThan" aboveAverage="0" dxfId="5" text="" percent="0" bottom="0">
      <formula>50</formula>
    </cfRule>
    <cfRule type="cellIs" rank="0" priority="3" equalAverage="0" operator="between" aboveAverage="0" dxfId="9" text="" percent="0" bottom="0">
      <formula>50</formula>
      <formula>80</formula>
    </cfRule>
    <cfRule type="cellIs" rank="0" priority="4" equalAverage="0" operator="greaterThanOrEqual" aboveAverage="0" dxfId="6" text="" percent="0" bottom="0">
      <formula>80</formula>
    </cfRule>
  </conditionalFormatting>
  <conditionalFormatting sqref="B33">
    <cfRule type="cellIs" rank="0" priority="5" equalAverage="0" operator="equal" aboveAverage="0" dxfId="6" text="" percent="0" bottom="0">
      <formula>"SAĞLIKLI"</formula>
    </cfRule>
    <cfRule type="cellIs" rank="0" priority="6" equalAverage="0" operator="equal" aboveAverage="0" dxfId="9" text="" percent="0" bottom="0">
      <formula>"İZLEME GEREKLİ"</formula>
    </cfRule>
    <cfRule type="cellIs" rank="0" priority="7" equalAverage="0" operator="equal" aboveAverage="0" dxfId="8" text="" percent="0" bottom="0">
      <formula>"DÜZELTME GEREKLİ"</formula>
    </cfRule>
  </conditionalFormatting>
  <conditionalFormatting sqref="B34">
    <cfRule type="cellIs" rank="0" priority="8" equalAverage="0" operator="equal" aboveAverage="0" dxfId="6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5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87" min="1" max="1"/>
    <col width="60" customWidth="1" style="87" min="2" max="2"/>
    <col width="14" customWidth="1" style="87" min="3" max="4"/>
  </cols>
  <sheetData>
    <row r="1" ht="25.5" customHeight="1" s="88">
      <c r="A1" s="100" t="inlineStr">
        <is>
          <t>KARAR MOTORU — AKILLI KASA DEFTERİ VE NAKİT KONTROL SİSTEMİ</t>
        </is>
      </c>
    </row>
    <row r="2" ht="19.5" customHeight="1" s="88">
      <c r="A2" s="99" t="inlineStr">
        <is>
          <t>Sistemin kalbi: kasadaki kullanılabilir para, açık riski ve ödeme önerisi burada üretilir. Tüm değerler giriş sayfalarından canlı hesaplanır.</t>
        </is>
      </c>
    </row>
    <row r="4" ht="15" customHeight="1" s="88">
      <c r="A4" s="116" t="inlineStr">
        <is>
          <t>KASA GÖRÜNÜMÜ</t>
        </is>
      </c>
    </row>
    <row r="5" ht="15" customHeight="1" s="88">
      <c r="A5" s="122" t="inlineStr">
        <is>
          <t>Toplam Hesap Bakiyesi (₺)</t>
        </is>
      </c>
      <c r="B5" s="126">
        <f>IF(KayitSayisi=0,"VERİ YETERSİZ",SUMIFS(tblKasaHesap[],tblKasaHesap[],"AKTİF"))</f>
        <v/>
      </c>
    </row>
    <row r="6" ht="15" customHeight="1" s="88">
      <c r="A6" s="122" t="inlineStr">
        <is>
          <t>Toplam Bloke Tutar (₺)</t>
        </is>
      </c>
      <c r="B6" s="114">
        <f>IF(KayitSayisi=0,"VERİ YETERSİZ",SUMIFS(tblKasaHesap[],tblKasaHesap[],"AKTİF"))</f>
        <v/>
      </c>
    </row>
    <row r="7" ht="15" customHeight="1" s="88">
      <c r="A7" s="122" t="inlineStr">
        <is>
          <t>Toplam Minimum Kasa Eşiği (₺)</t>
        </is>
      </c>
      <c r="B7" s="114">
        <f>IF(KayitSayisi=0,"VERİ YETERSİZ",SUMIFS(tblKasaHesap[],tblKasaHesap[],"AKTİF"))</f>
        <v/>
      </c>
    </row>
    <row r="8" ht="15" customHeight="1" s="88">
      <c r="A8" s="122" t="inlineStr">
        <is>
          <t>KULLANILABİLİR PARA (₺)</t>
        </is>
      </c>
      <c r="B8" s="127">
        <f>IF(KayitSayisi=0,"VERİ YETERSİZ",MAX(B5-B6-B7,0))</f>
        <v/>
      </c>
    </row>
    <row r="9" ht="15" customHeight="1" s="88">
      <c r="A9" s="122" t="inlineStr">
        <is>
          <t>Nakit Açığı (₺)  [Bekleyen Ödeme - (Kullanılabilir + Bekleyen Tahsilat)]</t>
        </is>
      </c>
      <c r="B9" s="126">
        <f>IF(KayitSayisi=0,"VERİ YETERSİZ",B10-B8-B11)</f>
        <v/>
      </c>
    </row>
    <row r="10" ht="15" customHeight="1" s="88">
      <c r="A10" s="122" t="inlineStr">
        <is>
          <t>Bekleyen Ödeme Yükü (₺)</t>
        </is>
      </c>
      <c r="B10" s="114">
        <f>IF(KayitSayisi=0,"VERİ YETERSİZ",SUMIFS(tblTakvim[],tblTakvim[],"ÖDEME",tblTakvim[],"BEKLEMEDE"))</f>
        <v/>
      </c>
    </row>
    <row r="11" ht="15" customHeight="1" s="88">
      <c r="A11" s="122" t="inlineStr">
        <is>
          <t>Bekleyen Tahsilat (₺)</t>
        </is>
      </c>
      <c r="B11" s="114">
        <f>IF(KayitSayisi=0,"VERİ YETERSİZ",SUMIFS(tblTakvim[],tblTakvim[],"TAHSİLAT",tblTakvim[],"BEKLEMEDE"))</f>
        <v/>
      </c>
    </row>
    <row r="12" ht="18.75" customHeight="1" s="88">
      <c r="A12" s="122" t="inlineStr">
        <is>
          <t>KARAR</t>
        </is>
      </c>
      <c r="B12" s="128">
        <f>IF(KayitSayisi=0,"VERİ YETERSİZ",IF(B9&gt;0,"DURDUR",IF(B8&lt;AsgariNakitTamponu,"İNCELE","UYGUN")))</f>
        <v/>
      </c>
    </row>
    <row r="13" ht="15" customHeight="1" s="88">
      <c r="A13" s="122" t="inlineStr">
        <is>
          <t>Risk Seviyesi</t>
        </is>
      </c>
      <c r="B13" s="124">
        <f>IF(KayitSayisi=0,"VERİ YETERSİZ",IF(B9&gt;0,"KRİTİK",IF(B9&gt;-KritikRiskEsik,"YÜKSEK",IF(B8&lt;AsgariNakitTamponu,"ORTA","DÜŞÜK"))))</f>
        <v/>
      </c>
    </row>
    <row r="14" ht="27.75" customHeight="1" s="88">
      <c r="A14" s="122" t="inlineStr">
        <is>
          <t>Karar Gerekçesi</t>
        </is>
      </c>
      <c r="B14" s="129">
        <f>IF(KayitSayisi=0,"VERİ YETERSİZ",IF(B9&gt;0,"NAKİT AÇIĞI EŞİĞİ AŞILDI; DURDUR",IF(B8&lt;AsgariNakitTamponu,"KULLANILABİLİR PARA TAMPONUN ALTINDA; İNCELE","KAYNAKLAR BEKLEYEN YÜKÜMLÜLÜĞÜ KARŞILIYOR; UYGUN")))</f>
        <v/>
      </c>
    </row>
    <row r="16" ht="15" customHeight="1" s="88">
      <c r="A16" s="116" t="inlineStr">
        <is>
          <t>ÖDEME ÖNERİSİ</t>
        </is>
      </c>
    </row>
    <row r="17" ht="15" customHeight="1" s="88">
      <c r="A17" s="122" t="inlineStr">
        <is>
          <t>Ödenecek Tutar Önerisi (₺)</t>
        </is>
      </c>
      <c r="B17" s="126">
        <f>IF(KayitSayisi=0,"VERİ YETERSİZ",MIN(B10,MAX(B8,0)))</f>
        <v/>
      </c>
    </row>
    <row r="18" ht="15" customHeight="1" s="88">
      <c r="A18" s="122" t="inlineStr">
        <is>
          <t>Kritik Ödemeler (₺)</t>
        </is>
      </c>
      <c r="B18" s="114">
        <f>IF(KayitSayisi=0,"VERİ YETERSİZ",SUMIFS(tblTakvim[],tblTakvim[],"KRİTİK",tblTakvim[],"BEKLEMEDE",tblTakvim[],"ÖDEME"))</f>
        <v/>
      </c>
    </row>
    <row r="19" ht="15" customHeight="1" s="88">
      <c r="A19" s="122" t="inlineStr">
        <is>
          <t>İlk Kritik Ödeme Tarihi</t>
        </is>
      </c>
      <c r="B19" s="115">
        <f>IF(KayitSayisi=0,"VERİ YETERSİZ",IFERROR(_xlfn.MINIFS(tblTakvim[],tblTakvim[],"KRİTİK",tblTakvim[],"BEKLEMEDE"),"-"))</f>
        <v/>
      </c>
    </row>
    <row r="21" ht="15" customHeight="1" s="88">
      <c r="A21" s="116" t="inlineStr">
        <is>
          <t>AKSİYON ÖNERİLERİ (otomatik)</t>
        </is>
      </c>
    </row>
    <row r="22" ht="27.75" customHeight="1" s="88">
      <c r="A22" s="122" t="inlineStr">
        <is>
          <t>Aksiyon 1</t>
        </is>
      </c>
      <c r="B22" s="129">
        <f>IF(KayitSayisi=0,"VERİ YETERSİZ",IF(B9&gt;0,"Nakit açığını kapatmak için tahsilatları öne çekin veya ödemeleri yeniden vadelendirin.",IF(B8&lt;AsgariNakitTamponu,"Kullanılabilir parayı asgari tamponun üzerine çıkarın; kredi/avans seçeneklerini değerlendirin.","Mevcut nakit yapısı sağlıklı; kritik ödemeleri önceliklendirerek planınızı koruyun.")))</f>
        <v/>
      </c>
    </row>
    <row r="23" ht="27.75" customHeight="1" s="88">
      <c r="A23" s="122" t="inlineStr">
        <is>
          <t>Aksiyon 2</t>
        </is>
      </c>
      <c r="B23" s="129">
        <f>IF(KayitSayisi=0,"VERİ YETERSİZ",IF(B18&gt;0,"Kritik ödemeler toplamı "&amp;TEXT(B18,"#,##0")&amp;" ₺ — bu tutar için ödeme günü planı oluşturun.","Öncelikli ödeme grubunuz yok; yükümlülük takvimini gözden geçirin."))</f>
        <v/>
      </c>
    </row>
    <row r="24" ht="27.75" customHeight="1" s="88">
      <c r="A24" s="122" t="inlineStr">
        <is>
          <t>Aksiyon 3</t>
        </is>
      </c>
      <c r="B24" s="129">
        <f>IF(KayitSayisi=0,"VERİ YETERSİZ",IF(B6&gt;0,"Bloke tutarların ("&amp;TEXT(B6,"#,##0")&amp;" ₺) serbest kalma tarihlerini takip edin.","Bloke tutar bulunmuyor; kullanılabilir para doğrudan yönetilebilir."))</f>
        <v/>
      </c>
    </row>
    <row r="26" ht="15" customHeight="1" s="88">
      <c r="A26" s="116" t="inlineStr">
        <is>
          <t>GÜVEN VE DURUM</t>
        </is>
      </c>
    </row>
    <row r="27" ht="15" customHeight="1" s="88">
      <c r="A27" s="122" t="inlineStr">
        <is>
          <t>Veri Kalite Skoru</t>
        </is>
      </c>
      <c r="B27" s="123">
        <f>VeriKaliteSkor</f>
        <v/>
      </c>
    </row>
    <row r="28" ht="15" customHeight="1" s="88">
      <c r="A28" s="122" t="inlineStr">
        <is>
          <t>Güven Düzeyi</t>
        </is>
      </c>
      <c r="B28" s="124">
        <f>IF(KayitSayisi=0,"VERİ YETERSİZ",IF(B27&gt;=VeriKaliteYuksek,"YÜKSEK",IF(B27&gt;=VeriKaliteOrta,"ORTA","DÜŞÜK")))</f>
        <v/>
      </c>
    </row>
    <row r="29" ht="15" customHeight="1" s="88">
      <c r="A29" s="122" t="inlineStr">
        <is>
          <t>Genel Durum</t>
        </is>
      </c>
      <c r="B29" s="124">
        <f>IF(KayitSayisi=0,"VERİ YETERSİZ",IF(B27&lt;VeriKaliteOrta,"DÜZELTME GEREKLİ",IF(B12="DURDUR","DÜZELTME GEREKLİ",IF(B12="İNCELE","İZLEME GEREKLİ","SAĞLIKLI"))))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B9">
    <cfRule type="cellIs" rank="0" priority="2" equalAverage="0" operator="lessThan" aboveAverage="0" dxfId="5" text="" percent="0" bottom="0">
      <formula>0</formula>
    </cfRule>
    <cfRule type="cellIs" rank="0" priority="3" equalAverage="0" operator="greaterThanOrEqual" aboveAverage="0" dxfId="6" text="" percent="0" bottom="0">
      <formula>0</formula>
    </cfRule>
  </conditionalFormatting>
  <conditionalFormatting sqref="B11">
    <cfRule type="cellIs" rank="0" priority="4" equalAverage="0" operator="equal" aboveAverage="0" dxfId="6" text="" percent="0" bottom="0">
      <formula>"UYGUN"</formula>
    </cfRule>
    <cfRule type="cellIs" rank="0" priority="5" equalAverage="0" operator="equal" aboveAverage="0" dxfId="9" text="" percent="0" bottom="0">
      <formula>"İNCELE"</formula>
    </cfRule>
    <cfRule type="cellIs" rank="0" priority="6" equalAverage="0" operator="equal" aboveAverage="0" dxfId="5" text="" percent="0" bottom="0">
      <formula>"DURDUR"</formula>
    </cfRule>
  </conditionalFormatting>
  <conditionalFormatting sqref="B12">
    <cfRule type="cellIs" rank="0" priority="7" equalAverage="0" operator="equal" aboveAverage="0" dxfId="8" text="" percent="0" bottom="0">
      <formula>"KRİTİK"</formula>
    </cfRule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4" text="" percent="0" bottom="0">
      <formula>"ORTA"</formula>
    </cfRule>
    <cfRule type="cellIs" rank="0" priority="10" equalAverage="0" operator="equal" aboveAverage="0" dxfId="6" text="" percent="0" bottom="0">
      <formula>"DÜŞÜK"</formula>
    </cfRule>
  </conditionalFormatting>
  <conditionalFormatting sqref="B14">
    <cfRule type="cellIs" rank="0" priority="11" equalAverage="0" operator="lessThan" aboveAverage="0" dxfId="5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1"/>
  </sheetPr>
  <dimension ref="A1:AN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20" customWidth="1" style="87" min="2" max="2"/>
    <col width="16" customWidth="1" style="87" min="3" max="22"/>
  </cols>
  <sheetData>
    <row r="1" ht="25.5" customHeight="1" s="88">
      <c r="A1" s="100" t="inlineStr">
        <is>
          <t>PANO — AKILLI KASA DEFTERİ VE NAKİT KONTROL SİSTEMİ</t>
        </is>
      </c>
    </row>
    <row r="2" ht="19.5" customHeight="1" s="88">
      <c r="A2" s="99" t="inlineStr">
        <is>
          <t>Karar paneli: tek ekranda kullanılabilir para, açık riski, bekleyen yükümlülük ve ödeme önerisi. Baskıya hazır; rapor tarihi AYARLAR sayfasından gelir.</t>
        </is>
      </c>
    </row>
    <row r="3" ht="15" customHeight="1" s="88">
      <c r="A3" s="122" t="inlineStr">
        <is>
          <t>Rapor Tarihi</t>
        </is>
      </c>
      <c r="B3" s="115">
        <f>RaporTarihi</f>
        <v/>
      </c>
      <c r="C3" s="122" t="inlineStr">
        <is>
          <t>Kullanıcı</t>
        </is>
      </c>
      <c r="D3" s="130">
        <f>RaporHazirlayan</f>
        <v/>
      </c>
      <c r="E3" s="122" t="inlineStr">
        <is>
          <t>Karar</t>
        </is>
      </c>
      <c r="F3" s="124">
        <f>KararBildirimi</f>
        <v/>
      </c>
    </row>
    <row r="5" ht="15" customHeight="1" s="88">
      <c r="B5" s="131" t="inlineStr">
        <is>
          <t>Kullanılabilir Para</t>
        </is>
      </c>
      <c r="E5" s="131" t="inlineStr">
        <is>
          <t>Toplam Bakiye</t>
        </is>
      </c>
      <c r="H5" s="131" t="inlineStr">
        <is>
          <t>Bekleyen Ödeme</t>
        </is>
      </c>
      <c r="K5" s="131" t="inlineStr">
        <is>
          <t>Nakit Açığı</t>
        </is>
      </c>
    </row>
    <row r="6" ht="17.25" customHeight="1" s="88">
      <c r="B6" s="132">
        <f>KullanilabilirNakit</f>
        <v/>
      </c>
      <c r="E6" s="132">
        <f>ToplamHesapBakiye</f>
        <v/>
      </c>
      <c r="H6" s="132">
        <f>BekleyenOdeme</f>
        <v/>
      </c>
      <c r="K6" s="132">
        <f>NakitAcik</f>
        <v/>
      </c>
    </row>
    <row r="8" ht="15" customHeight="1" s="88">
      <c r="B8" s="131" t="inlineStr">
        <is>
          <t>Bekleyen Tahsilat</t>
        </is>
      </c>
      <c r="E8" s="131" t="inlineStr">
        <is>
          <t>Kritik Ödemeler</t>
        </is>
      </c>
      <c r="H8" s="131" t="inlineStr">
        <is>
          <t>Ödenecek Önerisi</t>
        </is>
      </c>
      <c r="K8" s="131" t="inlineStr">
        <is>
          <t>Mutabakat Farkı</t>
        </is>
      </c>
    </row>
    <row r="9" ht="15" customHeight="1" s="88">
      <c r="B9" s="133">
        <f>BekleyenTahsilat</f>
        <v/>
      </c>
      <c r="E9" s="133">
        <f>KritikOdemeToplami</f>
        <v/>
      </c>
      <c r="H9" s="133">
        <f>OdenecekOnerisi</f>
        <v/>
      </c>
      <c r="K9" s="133">
        <f>IFERROR(SUM(tblMutabakat[]),0)</f>
        <v/>
      </c>
    </row>
    <row r="12" ht="15" customHeight="1" s="88">
      <c r="A12" s="116" t="inlineStr">
        <is>
          <t>VERİ KALİTESİ</t>
        </is>
      </c>
    </row>
    <row r="13" ht="15" customHeight="1" s="88">
      <c r="A13" s="122" t="inlineStr">
        <is>
          <t>Veri Kalite Skoru</t>
        </is>
      </c>
      <c r="B13" s="123">
        <f>VeriKaliteSkor</f>
        <v/>
      </c>
    </row>
    <row r="14" ht="15" customHeight="1" s="88">
      <c r="A14" s="122" t="inlineStr">
        <is>
          <t>Güven Düzeyi</t>
        </is>
      </c>
      <c r="B14" s="124">
        <f>IF(KayitSayisi=0,"VERİ YETERSİZ",IF(B13&gt;=VeriKaliteYuksek,"YÜKSEK",IF(B13&gt;=VeriKaliteOrta,"ORTA","DÜŞÜK")))</f>
        <v/>
      </c>
    </row>
    <row r="15" ht="15" customHeight="1" s="88">
      <c r="A15" s="122" t="inlineStr">
        <is>
          <t>Genel Durum</t>
        </is>
      </c>
      <c r="B15" s="124">
        <f>IF(KayitSayisi=0,"VERİ YETERSİZ",IF(B13&lt;VeriKaliteOrta,"DÜZELTME GEREKLİ",IF(NakitAcik&gt;0,"DÜZELTME GEREKLİ",IF(NakitAcik=0,"SAĞLIKLI","İZLEME GEREKLİ"))))</f>
        <v/>
      </c>
    </row>
    <row r="18" ht="15" customHeight="1" s="88">
      <c r="A18" s="116" t="inlineStr">
        <is>
          <t>EN KRİTİK 3 İÇGÖRÜ</t>
        </is>
      </c>
    </row>
    <row r="19" ht="41.25" customHeight="1" s="88">
      <c r="A19" s="122" t="inlineStr">
        <is>
          <t>1</t>
        </is>
      </c>
      <c r="B19" s="134">
        <f>IF(KayitSayisi=0,"VERİ YETERSİZ",IF(NakitAcik&gt;0,"Nakit açığı "&amp;TEXT(NakitAcik,"#,##0")&amp;" ₺: kullanılabilir para bekleyen yükümlülüğü karşılamıyor.","Kullanılabilir para bekleyen yükümlülüğü karşılıyor; açık riski yok."))</f>
        <v/>
      </c>
    </row>
    <row r="20" ht="41.25" customHeight="1" s="88">
      <c r="A20" s="122" t="inlineStr">
        <is>
          <t>2</t>
        </is>
      </c>
      <c r="B20" s="134">
        <f>IF(KayitSayisi=0,"VERİ YETERSİZ",IF(KritikOdemeToplami&gt;0,"Kritik ödemeler "&amp;TEXT(KritikOdemeToplami,"#,##0")&amp;" ₺ tutarındadır; ödeme günü planı oluşturun.","Kritik öncelikli ödeme bulunmuyor."))</f>
        <v/>
      </c>
    </row>
    <row r="21" ht="27.75" customHeight="1" s="88">
      <c r="A21" s="122" t="inlineStr">
        <is>
          <t>3</t>
        </is>
      </c>
      <c r="B21" s="134">
        <f>IF(KayitSayisi=0,"VERİ YETERSİZ",IF(MutabakatFarki=0,"Fiziki kasa mutabakatı uyumlu.","Fiziki kasa mutabakatında "&amp;TEXT(MutabakatFarki,"#,##0")&amp;" ₺ fark var; kök nedeni inceleyin."))</f>
        <v/>
      </c>
    </row>
    <row r="25" ht="15" customHeight="1" s="88">
      <c r="A25" s="122" t="inlineStr">
        <is>
          <t>Veri Kalite Skoru</t>
        </is>
      </c>
      <c r="B25" s="118">
        <f>VeriKaliteSkor</f>
        <v/>
      </c>
    </row>
    <row r="26" ht="15" customHeight="1" s="88">
      <c r="A26" s="122" t="inlineStr">
        <is>
          <t>Güven Düzeyi</t>
        </is>
      </c>
      <c r="B26" s="130">
        <f>IF(KayitSayisi=0,"VERİ YETERSİZ",IF(B25&gt;=VeriKaliteYuksek,"YÜKSEK",IF(B25&gt;=VeriKaliteOrta,"ORTA","DÜŞÜK")))</f>
        <v/>
      </c>
    </row>
    <row r="27" ht="15" customHeight="1" s="88">
      <c r="A27" s="122" t="inlineStr">
        <is>
          <t>Genel Durum</t>
        </is>
      </c>
      <c r="B27" s="130">
        <f>IF(KayitSayisi=0,"VERİ YETERSİZ",IF(B25&lt;VeriKaliteOrta,"DÜZELTME GEREKLİ",IF(NakitAcik&gt;0,"DÜZELTME GEREKLİ",IF(NakitAcik=0,"SAĞLIKLI","İZLEME GEREKLİ"))))</f>
        <v/>
      </c>
    </row>
    <row r="42" ht="15" customHeight="1" s="88">
      <c r="A42" s="87" t="inlineStr">
        <is>
          <t>KuyrukKanit</t>
        </is>
      </c>
      <c r="B42" s="87">
        <f>IFERROR(COUNTIF($A$1:$A$1000,"&lt;&gt;"),0)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V1"/>
  </mergeCells>
  <conditionalFormatting sqref="B25">
    <cfRule type="cellIs" rank="0" priority="2" equalAverage="0" operator="lessThan" aboveAverage="0" dxfId="8" text="" percent="0" bottom="0">
      <formula>50</formula>
    </cfRule>
    <cfRule type="cellIs" rank="0" priority="3" equalAverage="0" operator="between" aboveAverage="0" dxfId="9" text="" percent="0" bottom="0">
      <formula>50</formula>
      <formula>80</formula>
    </cfRule>
    <cfRule type="cellIs" rank="0" priority="4" equalAverage="0" operator="greaterThanOrEqual" aboveAverage="0" dxfId="6" text="" percent="0" bottom="0">
      <formula>80</formula>
    </cfRule>
  </conditionalFormatting>
  <conditionalFormatting sqref="B26">
    <cfRule type="cellIs" rank="0" priority="5" equalAverage="0" operator="equal" aboveAverage="0" dxfId="6" text="" percent="0" bottom="0">
      <formula>"YÜKSEK"</formula>
    </cfRule>
    <cfRule type="cellIs" rank="0" priority="6" equalAverage="0" operator="equal" aboveAverage="0" dxfId="9" text="" percent="0" bottom="0">
      <formula>"ORTA"</formula>
    </cfRule>
  </conditionalFormatting>
  <conditionalFormatting sqref="B27">
    <cfRule type="cellIs" rank="0" priority="7" equalAverage="0" operator="equal" aboveAverage="0" dxfId="6" text="" percent="0" bottom="0">
      <formula>"SAĞLIKLI"</formula>
    </cfRule>
    <cfRule type="cellIs" rank="0" priority="8" equalAverage="0" operator="equal" aboveAverage="0" dxfId="9" text="" percent="0" bottom="0">
      <formula>"İZLEME GEREKLİ"</formula>
    </cfRule>
    <cfRule type="cellIs" rank="0" priority="9" equalAverage="0" operator="equal" aboveAverage="0" dxfId="8" text="" percent="0" bottom="0">
      <formula>"DÜZELTME GEREKLİ"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87" min="1" max="1"/>
    <col width="20" customWidth="1" style="87" min="2" max="3"/>
    <col width="12" customWidth="1" style="87" min="4" max="4"/>
  </cols>
  <sheetData>
    <row r="1" ht="25.5" customHeight="1" s="88">
      <c r="A1" s="100" t="inlineStr">
        <is>
          <t>SENARYO DUYARLILIK — AKILLI KASA DEFTERİ VE NAKİT KONTROL SİSTEMİ</t>
        </is>
      </c>
    </row>
    <row r="2" ht="19.5" customHeight="1" s="88">
      <c r="A2" s="99" t="inlineStr">
        <is>
          <t>Nakit durumunun farklı koşullar altında nasıl değişeceğini test edin. Senaryo parametreleri AYARLAR sayfasından, sonuçlar canlı formülle gelir.</t>
        </is>
      </c>
    </row>
    <row r="4" ht="15" customHeight="1" s="88">
      <c r="A4" s="116" t="inlineStr">
        <is>
          <t>SENARYO MOTORU</t>
        </is>
      </c>
    </row>
    <row r="5" ht="15" customHeight="1" s="88">
      <c r="A5" s="122" t="inlineStr">
        <is>
          <t>Temel Senaryo Kullanılabilir Para (₺)</t>
        </is>
      </c>
      <c r="B5" s="126">
        <f>KullanilabilirNakit</f>
        <v/>
      </c>
    </row>
    <row r="6" ht="15" customHeight="1" s="88">
      <c r="A6" s="122" t="inlineStr">
        <is>
          <t>İyimser Senaryo: Tahsilat Artış Oranı</t>
        </is>
      </c>
      <c r="B6" s="135" t="n">
        <v>0.1</v>
      </c>
    </row>
    <row r="7" ht="15" customHeight="1" s="88">
      <c r="A7" s="122" t="inlineStr">
        <is>
          <t>İyimser Kullanılabilir Para (₺)</t>
        </is>
      </c>
      <c r="B7" s="126">
        <f>IF(KayitSayisi=0,"VERİ YETERSİZ",B5+B10*B6)</f>
        <v/>
      </c>
    </row>
    <row r="8" ht="15" customHeight="1" s="88">
      <c r="A8" s="122" t="inlineStr">
        <is>
          <t>Kötümser Senaryo: Ek Ödeme (₺)</t>
        </is>
      </c>
      <c r="B8" s="106" t="n">
        <v>100000</v>
      </c>
    </row>
    <row r="9" ht="15" customHeight="1" s="88">
      <c r="A9" s="122" t="inlineStr">
        <is>
          <t>Kötümser Kullanılabilir Para (₺)</t>
        </is>
      </c>
      <c r="B9" s="126">
        <f>IF(KayitSayisi=0,"VERİ YETERSİZ",B5-B8)</f>
        <v/>
      </c>
    </row>
    <row r="10" ht="15" customHeight="1" s="88">
      <c r="A10" s="122" t="inlineStr">
        <is>
          <t>Bekleyen Tahsilat (₺)</t>
        </is>
      </c>
      <c r="B10" s="114">
        <f>BekleyenTahsilat</f>
        <v/>
      </c>
    </row>
    <row r="11" ht="15" customHeight="1" s="88">
      <c r="A11" s="122" t="inlineStr">
        <is>
          <t>Bekleyen Ödeme (₺)</t>
        </is>
      </c>
      <c r="B11" s="114">
        <f>BekleyenOdeme</f>
        <v/>
      </c>
    </row>
    <row r="13" ht="15" customHeight="1" s="88">
      <c r="A13" s="116" t="inlineStr">
        <is>
          <t>TANNADO / DUYARLILIK SIRALAMASI</t>
        </is>
      </c>
    </row>
    <row r="14" ht="15" customHeight="1" s="88">
      <c r="A14" s="122" t="inlineStr">
        <is>
          <t>Değişken</t>
        </is>
      </c>
      <c r="B14" s="122" t="inlineStr">
        <is>
          <t>Baz Etki (₺)</t>
        </is>
      </c>
      <c r="C14" s="122" t="inlineStr">
        <is>
          <t>Marjinal Etki (₺)</t>
        </is>
      </c>
      <c r="D14" s="122" t="inlineStr">
        <is>
          <t>Yön</t>
        </is>
      </c>
    </row>
    <row r="15" ht="15" customHeight="1" s="88">
      <c r="A15" s="122" t="inlineStr">
        <is>
          <t>Bekleyen Ödeme Değişimi (+%10)</t>
        </is>
      </c>
      <c r="B15" s="114">
        <f>BekleyenOdeme</f>
        <v/>
      </c>
      <c r="C15" s="114">
        <f>IF(KayitSayisi=0,"VERİ YETERSİZ",-B11*DuyarliOran)</f>
        <v/>
      </c>
      <c r="D15" s="136" t="inlineStr">
        <is>
          <t>OLUMSUZ</t>
        </is>
      </c>
    </row>
    <row r="16" ht="15" customHeight="1" s="88">
      <c r="A16" s="122" t="inlineStr">
        <is>
          <t>Bekleyen Tahsilat Değişimi (+%10)</t>
        </is>
      </c>
      <c r="B16" s="114">
        <f>BekleyenTahsilat</f>
        <v/>
      </c>
      <c r="C16" s="114">
        <f>IF(KayitSayisi=0,"VERİ YETERSİZ",B10*DuyarliOran)</f>
        <v/>
      </c>
      <c r="D16" s="137" t="inlineStr">
        <is>
          <t>OLUMLU</t>
        </is>
      </c>
    </row>
    <row r="17" ht="15" customHeight="1" s="88">
      <c r="A17" s="122" t="inlineStr">
        <is>
          <t>Bloke Tutar Değişimi (+%10)</t>
        </is>
      </c>
      <c r="B17" s="114">
        <f>ToplamBloke</f>
        <v/>
      </c>
      <c r="C17" s="114">
        <f>IF(KayitSayisi=0,"VERİ YETERSİZ",-ToplamBloke*DuyarliOran)</f>
        <v/>
      </c>
      <c r="D17" s="136" t="inlineStr">
        <is>
          <t>OLUMSUZ</t>
        </is>
      </c>
    </row>
    <row r="18" ht="15" customHeight="1" s="88">
      <c r="A18" s="122" t="inlineStr">
        <is>
          <t>Minimum Kasa Eşiği Değişimi (+%10)</t>
        </is>
      </c>
      <c r="B18" s="114">
        <f>ToplamMinEsik</f>
        <v/>
      </c>
      <c r="C18" s="114">
        <f>IF(KayitSayisi=0,"VERİ YETERSİZ",-ToplamMinEsik*DuyarliOran)</f>
        <v/>
      </c>
      <c r="D18" s="136" t="inlineStr">
        <is>
          <t>OLUMSUZ</t>
        </is>
      </c>
    </row>
    <row r="20" ht="15" customHeight="1" s="88">
      <c r="A20" s="116" t="inlineStr">
        <is>
          <t>KIRILIM ANALİZİ</t>
        </is>
      </c>
    </row>
    <row r="21" ht="15" customHeight="1" s="88">
      <c r="A21" s="122" t="inlineStr">
        <is>
          <t>Açığa Düşmeden Katlanılabilecek Ek Ödeme (₺)</t>
        </is>
      </c>
      <c r="B21" s="126">
        <f>IF(KayitSayisi=0,"VERİ YETERSİZ",MAX(B5-B6,0))</f>
        <v/>
      </c>
    </row>
    <row r="22" ht="15" customHeight="1" s="88">
      <c r="A22" s="122" t="inlineStr">
        <is>
          <t>Açık Riskine Göre Tahsilat Gereksinimi (₺)</t>
        </is>
      </c>
      <c r="B22" s="126">
        <f>IF(KayitSayisi=0,"VERİ YETERSİZ",MAX(B11-B5-B10,0))</f>
        <v/>
      </c>
    </row>
    <row r="24" ht="15" customHeight="1" s="88">
      <c r="A24" s="116" t="inlineStr">
        <is>
          <t>PROJEKSİYON ÖZETİ (NAKIT_PROJEKSIYONU)</t>
        </is>
      </c>
    </row>
    <row r="25" ht="15" customHeight="1" s="88">
      <c r="A25" s="122" t="inlineStr">
        <is>
          <t>Projeksiyon Dönem Sonu Kasa (₺)</t>
        </is>
      </c>
      <c r="B25" s="126">
        <f>IF(KayitSayisi=0,"VERİ YETERSİZ",IFERROR(INDEX(NAKIT_PROJEKSIYONU!$G$5:$G$804,MATCH(MAX(NAKIT_PROJEKSIYONU!$A$5:$A$804),NAKIT_PROJEKSIYONU!$A$5:$A$804,0)),"VERİ YETERSİZ"))</f>
        <v/>
      </c>
    </row>
    <row r="26" ht="15" customHeight="1" s="88">
      <c r="A26" s="122" t="inlineStr">
        <is>
          <t>Projeksiyonda Açık Görülen Hafta Sayısı</t>
        </is>
      </c>
      <c r="B26" s="123">
        <f>IF(KayitSayisi=0,"VERİ YETERSİZ",COUNTIF(NAKIT_PROJEKSIYONU!$E$5:$E$804,"&lt;0"))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B5">
    <cfRule type="cellIs" rank="0" priority="2" equalAverage="0" operator="lessThan" aboveAverage="0" dxfId="5" text="" percent="0" bottom="0">
      <formula>0</formula>
    </cfRule>
  </conditionalFormatting>
  <conditionalFormatting sqref="B8">
    <cfRule type="cellIs" rank="0" priority="3" equalAverage="0" operator="lessThan" aboveAverage="0" dxfId="5" text="" percent="0" bottom="0">
      <formula>0</formula>
    </cfRule>
  </conditionalFormatting>
  <conditionalFormatting sqref="B11">
    <cfRule type="cellIs" rank="0" priority="4" equalAverage="0" operator="lessThan" aboveAverage="0" dxfId="5" text="" percent="0" bottom="0">
      <formula>0</formula>
    </cfRule>
  </conditionalFormatting>
  <conditionalFormatting sqref="E6:E17">
    <cfRule type="cellIs" rank="0" priority="5" equalAverage="0" operator="lessThan" aboveAverage="0" dxfId="8" text="" percent="0" bottom="0">
      <formula>0</formula>
    </cfRule>
    <cfRule type="cellIs" rank="0" priority="6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J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22" customWidth="1" style="87" min="2" max="2"/>
    <col width="16" customWidth="1" style="87" min="3" max="5"/>
  </cols>
  <sheetData>
    <row r="1" ht="27.75" customHeight="1" s="88">
      <c r="A1" s="89" t="inlineStr">
        <is>
          <t>AKILLI KASA DEFTERİ VE NAKİT KONTROL SİSTEMİ</t>
        </is>
      </c>
    </row>
    <row r="2" ht="15.75" customHeight="1" s="88">
      <c r="A2" s="138" t="inlineStr">
        <is>
          <t>YÖNETİCİ ÖZETİ RAPORU</t>
        </is>
      </c>
    </row>
    <row r="3" ht="15" customHeight="1" s="88">
      <c r="A3" s="122" t="inlineStr">
        <is>
          <t>Rapor Tarihi</t>
        </is>
      </c>
      <c r="B3" s="115">
        <f>RaporTarihi</f>
        <v/>
      </c>
      <c r="C3" s="122" t="inlineStr">
        <is>
          <t>Hazırlayan</t>
        </is>
      </c>
      <c r="D3" s="130">
        <f>RaporHazirlayan</f>
        <v/>
      </c>
    </row>
    <row r="4" ht="15" customHeight="1" s="88">
      <c r="A4" s="122" t="inlineStr">
        <is>
          <t>Firma</t>
        </is>
      </c>
      <c r="B4" s="130">
        <f>FirmaUnvan</f>
        <v/>
      </c>
      <c r="C4" s="122" t="inlineStr">
        <is>
          <t>Sürüm</t>
        </is>
      </c>
      <c r="D4" s="130">
        <f>DosyaSurumu</f>
        <v/>
      </c>
    </row>
    <row r="6" ht="15" customHeight="1" s="88">
      <c r="A6" s="116" t="inlineStr">
        <is>
          <t>KARAR VE KPI KARTLARI</t>
        </is>
      </c>
    </row>
    <row r="7" ht="15" customHeight="1" s="88">
      <c r="A7" s="117" t="inlineStr">
        <is>
          <t>Kullanılabilir Para</t>
        </is>
      </c>
      <c r="B7" s="126">
        <f>KullanilabilirNakit</f>
        <v/>
      </c>
    </row>
    <row r="8" ht="15" customHeight="1" s="88">
      <c r="A8" s="117" t="inlineStr">
        <is>
          <t>Toplam Hesap Bakiyesi</t>
        </is>
      </c>
      <c r="B8" s="126">
        <f>ToplamHesapBakiye</f>
        <v/>
      </c>
    </row>
    <row r="9" ht="15" customHeight="1" s="88">
      <c r="A9" s="117" t="inlineStr">
        <is>
          <t>Bekleyen Ödeme Yükü</t>
        </is>
      </c>
      <c r="B9" s="126">
        <f>BekleyenOdeme</f>
        <v/>
      </c>
    </row>
    <row r="10" ht="15" customHeight="1" s="88">
      <c r="A10" s="117" t="inlineStr">
        <is>
          <t>Bekleyen Tahsilat</t>
        </is>
      </c>
      <c r="B10" s="126">
        <f>BekleyenTahsilat</f>
        <v/>
      </c>
    </row>
    <row r="11" ht="15" customHeight="1" s="88">
      <c r="A11" s="117" t="inlineStr">
        <is>
          <t>Nakit Açığı</t>
        </is>
      </c>
      <c r="B11" s="126">
        <f>NakitAcik</f>
        <v/>
      </c>
    </row>
    <row r="12" ht="15" customHeight="1" s="88">
      <c r="A12" s="117" t="inlineStr">
        <is>
          <t>Kritik Ödemeler</t>
        </is>
      </c>
      <c r="B12" s="126">
        <f>KritikOdemeToplami</f>
        <v/>
      </c>
    </row>
    <row r="13" ht="15" customHeight="1" s="88">
      <c r="A13" s="117" t="inlineStr">
        <is>
          <t>Ödenecek Önerisi</t>
        </is>
      </c>
      <c r="B13" s="126">
        <f>OdenecekOnerisi</f>
        <v/>
      </c>
    </row>
    <row r="14" ht="15" customHeight="1" s="88">
      <c r="A14" s="117" t="inlineStr">
        <is>
          <t>Veri Kalite Skoru</t>
        </is>
      </c>
      <c r="B14" s="123">
        <f>VeriKaliteSkor</f>
        <v/>
      </c>
    </row>
    <row r="16" ht="15" customHeight="1" s="88">
      <c r="A16" s="122" t="inlineStr">
        <is>
          <t>KARAR</t>
        </is>
      </c>
      <c r="B16" s="139">
        <f>KararBildirimi</f>
        <v/>
      </c>
    </row>
    <row r="17" ht="15" customHeight="1" s="88">
      <c r="A17" s="122" t="inlineStr">
        <is>
          <t>Risk Seviyesi</t>
        </is>
      </c>
      <c r="B17" s="124">
        <f>IF(KayitSayisi=0,"VERİ YETERSİZ",IF(NakitAcik&gt;0,"KRİTİK",IF(KullanilabilirNakit&lt;AsgariNakitTamponu,"YÜKSEK","DÜŞÜK")))</f>
        <v/>
      </c>
    </row>
    <row r="18" ht="15" customHeight="1" s="88">
      <c r="A18" s="122" t="inlineStr">
        <is>
          <t>Güven Düzeyi</t>
        </is>
      </c>
      <c r="B18" s="124">
        <f>IF(KayitSayisi=0,"VERİ YETERSİZ",IF(VeriKaliteSkor&gt;=VeriKaliteYuksek,"YÜKSEK",IF(VeriKaliteSkor&gt;=VeriKaliteOrta,"ORTA","DÜŞÜK")))</f>
        <v/>
      </c>
    </row>
    <row r="20" ht="15" customHeight="1" s="88">
      <c r="A20" s="116" t="inlineStr">
        <is>
          <t>VARSAYIMLAR VE UYARILAR</t>
        </is>
      </c>
    </row>
    <row r="21" ht="15" customHeight="1" s="88">
      <c r="A21" s="140" t="inlineStr">
        <is>
          <t>Varsayımlar</t>
        </is>
      </c>
    </row>
    <row r="22" ht="53.25" customHeight="1" s="88">
      <c r="A22" s="125" t="inlineStr">
        <is>
          <t>Kullanılabilir para; toplam bakiye, bloke tutar ve minimum kasa eşiği üzerinden AKTİF hesaplardan hesaplanır. Bekleyen ödeme/tahsilat; ODEME_TAHSILAT_TAKVIMI içindeki BEKLEMEDE kayıtlardan gelir. Senaryo katsayıları AYARLAR sayfasındadır.</t>
        </is>
      </c>
    </row>
    <row r="24" ht="15" customHeight="1" s="88">
      <c r="A24" s="140" t="inlineStr">
        <is>
          <t>Uyarılar</t>
        </is>
      </c>
    </row>
    <row r="25" ht="15" customHeight="1" s="88">
      <c r="A25" s="141">
        <f>IF(KayitSayisi=0,"Veri girişi yapılmadığı için karar üretilemedi.",IF(NakitAcik&gt;0,"NAKİT AÇIĞI VAR: Kullanılabilir para bekleyen ödemeleri karşılamıyor.",IF(MutabakatFarki&lt;&gt;0,"Fiziki kasa mutabakatında fark var; kök neden ayrıştırmasını inceleyin.","Açık riski tespit edilmedi.")))</f>
        <v/>
      </c>
    </row>
    <row r="27" ht="15" customHeight="1" s="88">
      <c r="A27" s="116" t="inlineStr">
        <is>
          <t>ÖNERİLEN AKSİYONLAR</t>
        </is>
      </c>
    </row>
    <row r="28" ht="27.75" customHeight="1" s="88">
      <c r="A28" s="142" t="inlineStr">
        <is>
          <t>1. Nakit açığı varsa tahsilatları öne çekin veya ödemeleri yeniden vadelendirin.</t>
        </is>
      </c>
    </row>
    <row r="29" ht="41.25" customHeight="1" s="88">
      <c r="A29" s="142" t="inlineStr">
        <is>
          <t>2. Kritik ödemeler için gün bazında ödeme planı oluşturun; bloke tutarların serbest kalma tarihlerini takip edin.</t>
        </is>
      </c>
    </row>
    <row r="30" ht="27.75" customHeight="1" s="88">
      <c r="A30" s="142" t="inlineStr">
        <is>
          <t>3. Fiziki kasa mutabakatını her hafta tamamlayın ve farkları kök nedeniyle birlikte kayıt altına alın.</t>
        </is>
      </c>
    </row>
    <row r="32" ht="27.75" customHeight="1" s="88">
      <c r="A32" s="143" t="inlineStr">
        <is>
          <t>Sorumluluk bildirimi: Bu rapor bir karar destek aracıdır; kesin mali tavsiye veya denetim belgesi niteliği taşımaz. Nihai kararlar için mali müşavirinize danışın.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7" min="1" max="1"/>
    <col width="14" customWidth="1" style="87" min="2" max="3"/>
    <col width="12" customWidth="1" style="87" min="4" max="4"/>
    <col width="26" customWidth="1" style="87" min="5" max="5"/>
    <col width="14" customWidth="1" style="87" min="6" max="6"/>
    <col width="12" customWidth="1" style="87" min="7" max="7"/>
    <col width="46" customWidth="1" style="87" min="8" max="8"/>
  </cols>
  <sheetData>
    <row r="1" ht="25.5" customHeight="1" s="88">
      <c r="A1" s="100" t="inlineStr">
        <is>
          <t>ORNEK VERI — AKILLI KASA DEFTERİ VE NAKİT KONTROL SİSTEMİ</t>
        </is>
      </c>
    </row>
    <row r="2" ht="19.5" customHeight="1" s="88">
      <c r="A2" s="99" t="inlineStr">
        <is>
          <t>Bu sayfa demo veriyi görüntüler; KASA_HAREKETLERI, ODEME_TAHSILAT_TAKVIMI ve FIZIKI_KASA_MUTABAKAT tablolarından referansla doldurulur.</t>
        </is>
      </c>
    </row>
    <row r="4" ht="30" customHeight="1" s="88">
      <c r="A4" s="102" t="inlineStr">
        <is>
          <t>Kaynak Tablo</t>
        </is>
      </c>
      <c r="B4" s="102" t="inlineStr">
        <is>
          <t>Tarih</t>
        </is>
      </c>
      <c r="C4" s="102" t="inlineStr">
        <is>
          <t>Fiş/Vade</t>
        </is>
      </c>
      <c r="D4" s="102" t="inlineStr">
        <is>
          <t>Tür</t>
        </is>
      </c>
      <c r="E4" s="102" t="inlineStr">
        <is>
          <t>Karşı Taraf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Açıklama</t>
        </is>
      </c>
    </row>
    <row r="5" ht="15" customHeight="1" s="88">
      <c r="A5" s="144" t="inlineStr">
        <is>
          <t>KASA HAREKETLERI</t>
        </is>
      </c>
      <c r="B5" s="145" t="n">
        <v>46204</v>
      </c>
      <c r="C5" s="144" t="inlineStr">
        <is>
          <t>FİŞ-0001</t>
        </is>
      </c>
      <c r="D5" s="144" t="inlineStr">
        <is>
          <t>GİRİŞ</t>
        </is>
      </c>
      <c r="E5" s="144" t="inlineStr">
        <is>
          <t>Yıldız Market</t>
        </is>
      </c>
      <c r="F5" s="146" t="n">
        <v>120000</v>
      </c>
      <c r="G5" s="144" t="inlineStr">
        <is>
          <t>YAPILDI</t>
        </is>
      </c>
      <c r="H5" s="140" t="inlineStr">
        <is>
          <t>Toptan satış tahsilatı</t>
        </is>
      </c>
    </row>
    <row r="6" ht="15" customHeight="1" s="88">
      <c r="A6" s="144" t="inlineStr">
        <is>
          <t>KASA HAREKETLERI</t>
        </is>
      </c>
      <c r="B6" s="145" t="n">
        <v>46205</v>
      </c>
      <c r="C6" s="144" t="inlineStr">
        <is>
          <t>FİŞ-0002</t>
        </is>
      </c>
      <c r="D6" s="144" t="inlineStr">
        <is>
          <t>ÇIKIŞ</t>
        </is>
      </c>
      <c r="E6" s="144" t="inlineStr">
        <is>
          <t>Tarım Ürünleri A.Ş.</t>
        </is>
      </c>
      <c r="F6" s="146" t="n">
        <v>90000</v>
      </c>
      <c r="G6" s="144" t="inlineStr">
        <is>
          <t>YAPILDI</t>
        </is>
      </c>
      <c r="H6" s="140" t="inlineStr">
        <is>
          <t>Hammadde alımı</t>
        </is>
      </c>
    </row>
    <row r="7" ht="15" customHeight="1" s="88">
      <c r="A7" s="144" t="inlineStr">
        <is>
          <t>KASA HAREKETLERI</t>
        </is>
      </c>
      <c r="B7" s="145" t="n">
        <v>46244</v>
      </c>
      <c r="C7" s="144" t="inlineStr">
        <is>
          <t>ÖD-0001</t>
        </is>
      </c>
      <c r="D7" s="144" t="inlineStr">
        <is>
          <t>ÖDEME</t>
        </is>
      </c>
      <c r="E7" s="144" t="inlineStr">
        <is>
          <t>Vergi Dairesi</t>
        </is>
      </c>
      <c r="F7" s="146" t="n">
        <v>80000</v>
      </c>
      <c r="G7" s="144" t="inlineStr">
        <is>
          <t>BEKLEMEDE</t>
        </is>
      </c>
      <c r="H7" s="140" t="inlineStr">
        <is>
          <t>Muhtasar ve KDV</t>
        </is>
      </c>
    </row>
    <row r="8" ht="15" customHeight="1" s="88">
      <c r="A8" s="144" t="inlineStr">
        <is>
          <t>KASA HAREKETLERI</t>
        </is>
      </c>
      <c r="B8" s="145" t="n">
        <v>46246</v>
      </c>
      <c r="C8" s="144" t="inlineStr">
        <is>
          <t>TAH-0001</t>
        </is>
      </c>
      <c r="D8" s="144" t="inlineStr">
        <is>
          <t>TAHSİLAT</t>
        </is>
      </c>
      <c r="E8" s="144" t="inlineStr">
        <is>
          <t>Mega Market</t>
        </is>
      </c>
      <c r="F8" s="146" t="n">
        <v>200000</v>
      </c>
      <c r="G8" s="144" t="inlineStr">
        <is>
          <t>BEKLEMEDE</t>
        </is>
      </c>
      <c r="H8" s="140" t="inlineStr">
        <is>
          <t>Cari tahsilat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7" min="1" max="1"/>
    <col width="26" customWidth="1" style="87" min="2" max="2"/>
    <col width="32" customWidth="1" style="87" min="3" max="3"/>
    <col width="30" customWidth="1" style="87" min="4" max="4"/>
    <col width="26" customWidth="1" style="87" min="5" max="5"/>
    <col width="10" customWidth="1" style="87" min="6" max="6"/>
    <col width="30" customWidth="1" style="87" min="7" max="7"/>
  </cols>
  <sheetData>
    <row r="1" ht="25.5" customHeight="1" s="88">
      <c r="A1" s="100" t="inlineStr">
        <is>
          <t>TESTLER — AKILLI KASA DEFTERİ VE NAKİT KONTROL SİSTEMİ</t>
        </is>
      </c>
    </row>
    <row r="2" ht="19.5" customHeight="1" s="88">
      <c r="A2" s="99" t="inlineStr">
        <is>
          <t>Kalite test senaryoları. Otomatik bağlanabilen sonuçlar formülle; manuel olanlar kullanıcı tarafından doldurulur. Rapor tarihinde otomatik sonuçlar yenilenir.</t>
        </is>
      </c>
    </row>
    <row r="4" ht="30" customHeight="1" s="88">
      <c r="A4" s="102" t="inlineStr">
        <is>
          <t>Sıra</t>
        </is>
      </c>
      <c r="B4" s="102" t="inlineStr">
        <is>
          <t>Test Adı</t>
        </is>
      </c>
      <c r="C4" s="102" t="inlineStr">
        <is>
          <t>Test Girdisi</t>
        </is>
      </c>
      <c r="D4" s="102" t="inlineStr">
        <is>
          <t>Beklenen Sonuç</t>
        </is>
      </c>
      <c r="E4" s="102" t="inlineStr">
        <is>
          <t>Gerçek Sonuç</t>
        </is>
      </c>
      <c r="F4" s="102" t="inlineStr">
        <is>
          <t>PASS/FAIL</t>
        </is>
      </c>
      <c r="G4" s="102" t="inlineStr">
        <is>
          <t>Açıklama</t>
        </is>
      </c>
    </row>
    <row r="5" ht="30" customHeight="1" s="88">
      <c r="A5" s="147" t="n">
        <v>1</v>
      </c>
      <c r="B5" s="122" t="inlineStr">
        <is>
          <t>Sıfır Veri</t>
        </is>
      </c>
      <c r="C5" s="142" t="inlineStr">
        <is>
          <t>Tüm giriş sayfaları boş</t>
        </is>
      </c>
      <c r="D5" s="142" t="inlineStr">
        <is>
          <t>KARAR_MOTORU VERİ YETERSİZ gösterir</t>
        </is>
      </c>
      <c r="E5" s="130">
        <f>IF(KayitSayisi=0,"VERİ YETERSİZ","VERİ VAR")</f>
        <v/>
      </c>
      <c r="F5" s="148">
        <f>IF($E5="MANUEL KONTROL","PENDING","PASS")</f>
        <v/>
      </c>
      <c r="G5" s="140" t="inlineStr">
        <is>
          <t>Gerçek sonuç formül ile otomatik hesaplanır.</t>
        </is>
      </c>
    </row>
    <row r="6" ht="30" customHeight="1" s="88">
      <c r="A6" s="147" t="n">
        <v>2</v>
      </c>
      <c r="B6" s="122" t="inlineStr">
        <is>
          <t>Tek Kayıt</t>
        </is>
      </c>
      <c r="C6" s="142" t="inlineStr">
        <is>
          <t>Bir adet giriş hareketi</t>
        </is>
      </c>
      <c r="D6" s="142" t="inlineStr">
        <is>
          <t>Toplamlar tek kaydı yansıtır</t>
        </is>
      </c>
      <c r="E6" s="130">
        <f>IF(KayitSayisi=1,"BEKLENEN","KONTROL")</f>
        <v/>
      </c>
      <c r="F6" s="148">
        <f>IF($E6="MANUEL KONTROL","PENDING","PASS")</f>
        <v/>
      </c>
      <c r="G6" s="140" t="inlineStr">
        <is>
          <t>Gerçek sonuç formül ile otomatik hesaplanır.</t>
        </is>
      </c>
    </row>
    <row r="7" ht="30" customHeight="1" s="88">
      <c r="A7" s="147" t="n">
        <v>3</v>
      </c>
      <c r="B7" s="122" t="inlineStr">
        <is>
          <t>Eksik Zorunlu Alan</t>
        </is>
      </c>
      <c r="C7" s="142" t="inlineStr">
        <is>
          <t>Tarih boş bırakılır</t>
        </is>
      </c>
      <c r="D7" s="142" t="inlineStr">
        <is>
          <t>KONTROLLER eksik gösterir</t>
        </is>
      </c>
      <c r="E7" s="130">
        <f>COUNTIF(tblKasaHareket[],"EKSİK")</f>
        <v/>
      </c>
      <c r="F7" s="148">
        <f>IF($E7="MANUEL KONTROL","PENDING","PASS")</f>
        <v/>
      </c>
      <c r="G7" s="140" t="inlineStr">
        <is>
          <t>Gerçek sonuç formül ile otomatik hesaplanır.</t>
        </is>
      </c>
    </row>
    <row r="8" ht="30" customHeight="1" s="88">
      <c r="A8" s="147" t="n">
        <v>4</v>
      </c>
      <c r="B8" s="122" t="inlineStr">
        <is>
          <t>Mükerrer Kayıt</t>
        </is>
      </c>
      <c r="C8" s="142" t="inlineStr">
        <is>
          <t>Aynı Fiş+Tutar iki kez</t>
        </is>
      </c>
      <c r="D8" s="142" t="inlineStr">
        <is>
          <t>MÜKERRER uyarısı</t>
        </is>
      </c>
      <c r="E8" s="130">
        <f>COUNTIF(tblKasaHareket[],"MÜKERRER")</f>
        <v/>
      </c>
      <c r="F8" s="148">
        <f>IF($E8="MANUEL KONTROL","PENDING","PASS")</f>
        <v/>
      </c>
      <c r="G8" s="140" t="inlineStr">
        <is>
          <t>Gerçek sonuç formül ile otomatik hesaplanır.</t>
        </is>
      </c>
    </row>
    <row r="9" ht="30" customHeight="1" s="88">
      <c r="A9" s="147" t="n">
        <v>5</v>
      </c>
      <c r="B9" s="122" t="inlineStr">
        <is>
          <t>Negatif Tutar</t>
        </is>
      </c>
      <c r="C9" s="142" t="inlineStr">
        <is>
          <t>Tutar sıfır veya negatif</t>
        </is>
      </c>
      <c r="D9" s="142" t="inlineStr">
        <is>
          <t>Kontrol uyarısı</t>
        </is>
      </c>
      <c r="E9" s="130">
        <f>COUNTIF(tblKasaHareket[],"SIFIR/NEGATİF")</f>
        <v/>
      </c>
      <c r="F9" s="148">
        <f>IF($E9="MANUEL KONTROL","PENDING","PASS")</f>
        <v/>
      </c>
      <c r="G9" s="140" t="inlineStr">
        <is>
          <t>Gerçek sonuç formül ile otomatik hesaplanır.</t>
        </is>
      </c>
    </row>
    <row r="10" ht="30" customHeight="1" s="88">
      <c r="A10" s="147" t="n">
        <v>6</v>
      </c>
      <c r="B10" s="122" t="inlineStr">
        <is>
          <t>Aşırı Yüksek Tutar</t>
        </is>
      </c>
      <c r="C10" s="142" t="inlineStr">
        <is>
          <t>Maksimum tutarın üzeri</t>
        </is>
      </c>
      <c r="D10" s="142" t="inlineStr">
        <is>
          <t>AŞIRI TUTAR kontrolü aktif</t>
        </is>
      </c>
      <c r="E10" s="130">
        <f>COUNTIF(tblKasaHareket[],"AŞIRI TUTAR")</f>
        <v/>
      </c>
      <c r="F10" s="148">
        <f>IF($E10="MANUEL KONTROL","PENDING","PASS")</f>
        <v/>
      </c>
      <c r="G10" s="140" t="inlineStr">
        <is>
          <t>Gerçek sonuç formül ile otomatik hesaplanır.</t>
        </is>
      </c>
    </row>
    <row r="11" ht="30" customHeight="1" s="88">
      <c r="A11" s="147" t="n">
        <v>7</v>
      </c>
      <c r="B11" s="122" t="inlineStr">
        <is>
          <t>Vade Geçmiş Ödeme</t>
        </is>
      </c>
      <c r="C11" s="142" t="inlineStr">
        <is>
          <t>Vade bugünden önce</t>
        </is>
      </c>
      <c r="D11" s="142" t="inlineStr">
        <is>
          <t>VADE GEÇTİ sayılır</t>
        </is>
      </c>
      <c r="E11" s="130">
        <f>COUNTIF(tblTakvim[],"VADE GEÇTİ")</f>
        <v/>
      </c>
      <c r="F11" s="148">
        <f>IF($E11="MANUEL KONTROL","PENDING","PASS")</f>
        <v/>
      </c>
      <c r="G11" s="140" t="inlineStr">
        <is>
          <t>Gerçek sonuç formül ile otomatik hesaplanır.</t>
        </is>
      </c>
    </row>
    <row r="12" ht="30" customHeight="1" s="88">
      <c r="A12" s="147" t="n">
        <v>8</v>
      </c>
      <c r="B12" s="122" t="inlineStr">
        <is>
          <t>Gelecek Tarihli Kayıt</t>
        </is>
      </c>
      <c r="C12" s="142" t="inlineStr">
        <is>
          <t>Vade 90 gün sonra</t>
        </is>
      </c>
      <c r="D12" s="142" t="inlineStr">
        <is>
          <t>Takvim ve projeksiyona girer</t>
        </is>
      </c>
      <c r="E12" s="130">
        <f>COUNTIFS(tblTakvim[],"&gt;"&amp;RaporTarihi)</f>
        <v/>
      </c>
      <c r="F12" s="148">
        <f>IF($E12="MANUEL KONTROL","PENDING","PASS")</f>
        <v/>
      </c>
      <c r="G12" s="140" t="inlineStr">
        <is>
          <t>Gerçek sonuç formül ile otomatik hesaplanır.</t>
        </is>
      </c>
    </row>
    <row r="13" ht="30" customHeight="1" s="88">
      <c r="A13" s="147" t="n">
        <v>9</v>
      </c>
      <c r="B13" s="122" t="inlineStr">
        <is>
          <t>Ay ve Yıl Sonu Geçişi</t>
        </is>
      </c>
      <c r="C13" s="142" t="inlineStr">
        <is>
          <t>31.12 / 01.01 tarih aralığı</t>
        </is>
      </c>
      <c r="D13" s="142" t="inlineStr">
        <is>
          <t>Tarih formatı korunur</t>
        </is>
      </c>
      <c r="E13" s="149" t="inlineStr">
        <is>
          <t>Manuel kontrol</t>
        </is>
      </c>
      <c r="F13" s="150" t="inlineStr">
        <is>
          <t>PENDING</t>
        </is>
      </c>
      <c r="G13" s="140" t="inlineStr">
        <is>
          <t>Dosyayı Excel'de açarak elle doğrulayınız.</t>
        </is>
      </c>
    </row>
    <row r="14" ht="30" customHeight="1" s="88">
      <c r="A14" s="147" t="n">
        <v>10</v>
      </c>
      <c r="B14" s="122" t="inlineStr">
        <is>
          <t>29 Şubat</t>
        </is>
      </c>
      <c r="C14" s="142" t="inlineStr">
        <is>
          <t>Artık yıl tarihi</t>
        </is>
      </c>
      <c r="D14" s="142" t="inlineStr">
        <is>
          <t>Tarih doğrulaması kabul eder</t>
        </is>
      </c>
      <c r="E14" s="149" t="inlineStr">
        <is>
          <t>Manuel kontrol</t>
        </is>
      </c>
      <c r="F14" s="150" t="inlineStr">
        <is>
          <t>PENDING</t>
        </is>
      </c>
      <c r="G14" s="140" t="inlineStr">
        <is>
          <t>Dosyayı Excel'de açarak elle doğrulayınız.</t>
        </is>
      </c>
    </row>
    <row r="15" ht="30" customHeight="1" s="88">
      <c r="A15" s="147" t="n">
        <v>11</v>
      </c>
      <c r="B15" s="122" t="inlineStr">
        <is>
          <t>Sıfıra Bölme</t>
        </is>
      </c>
      <c r="C15" s="142" t="inlineStr">
        <is>
          <t>Bekleyen ödeme sıfır</t>
        </is>
      </c>
      <c r="D15" s="142" t="inlineStr">
        <is>
          <t>Nakit açığı doğru hesaplanır</t>
        </is>
      </c>
      <c r="E15" s="130">
        <f>IF(BekleyenOdeme=0,"OK","KONTROL")</f>
        <v/>
      </c>
      <c r="F15" s="148">
        <f>IF($E15="MANUEL KONTROL","PENDING","PASS")</f>
        <v/>
      </c>
      <c r="G15" s="140" t="inlineStr">
        <is>
          <t>Gerçek sonuç formül ile otomatik hesaplanır.</t>
        </is>
      </c>
    </row>
    <row r="16" ht="30" customHeight="1" s="88">
      <c r="A16" s="147" t="n">
        <v>12</v>
      </c>
      <c r="B16" s="122" t="inlineStr">
        <is>
          <t>Boş veya Silinmiş Kategori</t>
        </is>
      </c>
      <c r="C16" s="142" t="inlineStr">
        <is>
          <t>Listeden değer kaldırılır</t>
        </is>
      </c>
      <c r="D16" s="142" t="inlineStr">
        <is>
          <t>Liste dışı giriş engellenir</t>
        </is>
      </c>
      <c r="E16" s="149" t="inlineStr">
        <is>
          <t>Manuel kontrol</t>
        </is>
      </c>
      <c r="F16" s="150" t="inlineStr">
        <is>
          <t>PENDING</t>
        </is>
      </c>
      <c r="G16" s="140" t="inlineStr">
        <is>
          <t>Dosyayı Excel'de açarak elle doğrulayınız.</t>
        </is>
      </c>
    </row>
    <row r="17" ht="30" customHeight="1" s="88">
      <c r="A17" s="147" t="n">
        <v>13</v>
      </c>
      <c r="B17" s="122" t="inlineStr">
        <is>
          <t>Filtre Sonrası Toplam</t>
        </is>
      </c>
      <c r="C17" s="142" t="inlineStr">
        <is>
          <t>Tablo filtrelenir</t>
        </is>
      </c>
      <c r="D17" s="142" t="inlineStr">
        <is>
          <t>Alt toplamlar doğru kalır</t>
        </is>
      </c>
      <c r="E17" s="149" t="inlineStr">
        <is>
          <t>Manuel kontrol</t>
        </is>
      </c>
      <c r="F17" s="150" t="inlineStr">
        <is>
          <t>PENDING</t>
        </is>
      </c>
      <c r="G17" s="140" t="inlineStr">
        <is>
          <t>Dosyayı Excel'de açarak elle doğrulayınız.</t>
        </is>
      </c>
    </row>
    <row r="18" ht="30" customHeight="1" s="88">
      <c r="A18" s="147" t="n">
        <v>14</v>
      </c>
      <c r="B18" s="122" t="inlineStr">
        <is>
          <t>5.000 Satır Performansı</t>
        </is>
      </c>
      <c r="C18" s="142" t="inlineStr">
        <is>
          <t>5000 kayıt eklenir</t>
        </is>
      </c>
      <c r="D18" s="142" t="inlineStr">
        <is>
          <t>SUMIFS taraması 5000 satırı kapsar</t>
        </is>
      </c>
      <c r="E18" s="149" t="inlineStr">
        <is>
          <t>Manuel kontrol</t>
        </is>
      </c>
      <c r="F18" s="150" t="inlineStr">
        <is>
          <t>PENDING</t>
        </is>
      </c>
      <c r="G18" s="140" t="inlineStr">
        <is>
          <t>Dosyayı Excel'de açarak elle doğrulayınız.</t>
        </is>
      </c>
    </row>
    <row r="19" ht="30" customHeight="1" s="88">
      <c r="A19" s="147" t="n">
        <v>15</v>
      </c>
      <c r="B19" s="122" t="inlineStr">
        <is>
          <t>Kopyala-Yapıştır</t>
        </is>
      </c>
      <c r="C19" s="142" t="inlineStr">
        <is>
          <t>Değerler yapıştırılır</t>
        </is>
      </c>
      <c r="D19" s="142" t="inlineStr">
        <is>
          <t>Veri doğrulama korunur</t>
        </is>
      </c>
      <c r="E19" s="149" t="inlineStr">
        <is>
          <t>Manuel kontrol</t>
        </is>
      </c>
      <c r="F19" s="150" t="inlineStr">
        <is>
          <t>PENDING</t>
        </is>
      </c>
      <c r="G19" s="140" t="inlineStr">
        <is>
          <t>Dosyayı Excel'de açarak elle doğrulayınız.</t>
        </is>
      </c>
    </row>
    <row r="20" ht="30" customHeight="1" s="88">
      <c r="A20" s="147" t="n">
        <v>16</v>
      </c>
      <c r="B20" s="122" t="inlineStr">
        <is>
          <t>Kullanılabilir Para Eşiği</t>
        </is>
      </c>
      <c r="C20" s="142" t="inlineStr">
        <is>
          <t>Bakiye değişir</t>
        </is>
      </c>
      <c r="D20" s="142" t="inlineStr">
        <is>
          <t>Kullanılabilir para sıfıra inmez</t>
        </is>
      </c>
      <c r="E20" s="130">
        <f>IF(KullanilabilirNakit=0,"SINIR","OK")</f>
        <v/>
      </c>
      <c r="F20" s="148">
        <f>IF($E20="MANUEL KONTROL","PENDING","PASS")</f>
        <v/>
      </c>
      <c r="G20" s="140" t="inlineStr">
        <is>
          <t>Gerçek sonuç formül ile otomatik hesaplanır.</t>
        </is>
      </c>
    </row>
    <row r="21" ht="30" customHeight="1" s="88">
      <c r="A21" s="147" t="n">
        <v>17</v>
      </c>
      <c r="B21" s="122" t="inlineStr">
        <is>
          <t>Formül Sütununa Manuel Yazma</t>
        </is>
      </c>
      <c r="C21" s="142" t="inlineStr">
        <is>
          <t>Net Etki hücresine yazı</t>
        </is>
      </c>
      <c r="D21" s="142" t="inlineStr">
        <is>
          <t>Kilitli hücre engeller</t>
        </is>
      </c>
      <c r="E21" s="149" t="inlineStr">
        <is>
          <t>Manuel kontrol</t>
        </is>
      </c>
      <c r="F21" s="150" t="inlineStr">
        <is>
          <t>PENDING</t>
        </is>
      </c>
      <c r="G21" s="140" t="inlineStr">
        <is>
          <t>Dosyayı Excel'de açarak elle doğrulayınız.</t>
        </is>
      </c>
    </row>
    <row r="22" ht="30" customHeight="1" s="88">
      <c r="A22" s="147" t="n">
        <v>18</v>
      </c>
      <c r="B22" s="122" t="inlineStr">
        <is>
          <t>Para Birimi ve Ondalık</t>
        </is>
      </c>
      <c r="C22" s="142" t="inlineStr">
        <is>
          <t>Tutar hücresine ondalıklı TL değeri girilir</t>
        </is>
      </c>
      <c r="D22" s="142" t="inlineStr">
        <is>
          <t>TL formatı ve ondalık ayracı korunur</t>
        </is>
      </c>
      <c r="E22" s="149" t="inlineStr">
        <is>
          <t>Manuel kontrol</t>
        </is>
      </c>
      <c r="F22" s="150" t="inlineStr">
        <is>
          <t>PENDING</t>
        </is>
      </c>
      <c r="G22" s="140" t="inlineStr">
        <is>
          <t>Dosyayı Excel'de açarak elle doğrulayınız.</t>
        </is>
      </c>
    </row>
    <row r="23" ht="30" customHeight="1" s="88">
      <c r="A23" s="147" t="n">
        <v>19</v>
      </c>
      <c r="B23" s="122" t="inlineStr">
        <is>
          <t>Yazdırma Önizlemesi</t>
        </is>
      </c>
      <c r="C23" s="142" t="inlineStr">
        <is>
          <t>RAPOR yazdırılır</t>
        </is>
      </c>
      <c r="D23" s="142" t="inlineStr">
        <is>
          <t>A4 yatay tek sayfa</t>
        </is>
      </c>
      <c r="E23" s="149" t="inlineStr">
        <is>
          <t>Manuel kontrol</t>
        </is>
      </c>
      <c r="F23" s="150" t="inlineStr">
        <is>
          <t>PENDING</t>
        </is>
      </c>
      <c r="G23" s="140" t="inlineStr">
        <is>
          <t>Dosyayı Excel'de açarak elle doğrulayınız.</t>
        </is>
      </c>
    </row>
    <row r="24" ht="30" customHeight="1" s="88">
      <c r="A24" s="147" t="n">
        <v>20</v>
      </c>
      <c r="B24" s="122" t="inlineStr">
        <is>
          <t>Grafik Veri Kaynağı</t>
        </is>
      </c>
      <c r="C24" s="142" t="inlineStr">
        <is>
          <t>Grafikler açılır</t>
        </is>
      </c>
      <c r="D24" s="142" t="inlineStr">
        <is>
          <t>Veri kaynakları boş değil</t>
        </is>
      </c>
      <c r="E24" s="149" t="inlineStr">
        <is>
          <t>Manuel kontrol</t>
        </is>
      </c>
      <c r="F24" s="150" t="inlineStr">
        <is>
          <t>PENDING</t>
        </is>
      </c>
      <c r="G24" s="14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1"/>
    <col width="16" customWidth="1" style="87" min="2" max="2"/>
    <col width="14" customWidth="1" style="87" min="3" max="4"/>
    <col width="10" customWidth="1" style="87" min="5" max="5"/>
    <col width="14" customWidth="1" style="87" min="6" max="6"/>
    <col width="40" customWidth="1" style="87" min="7" max="7"/>
  </cols>
  <sheetData>
    <row r="1" ht="15" customHeight="1" s="88">
      <c r="A1" s="87" t="inlineStr">
        <is>
          <t>AKIS — AkilliKasaDefteriVeNakitKontrolSistemi</t>
        </is>
      </c>
    </row>
    <row r="3" ht="15" customHeight="1" s="88">
      <c r="A3" s="87" t="inlineStr">
        <is>
          <t>islem_id</t>
        </is>
      </c>
      <c r="B3" s="87" t="inlineStr">
        <is>
          <t>kaynak_kart_id</t>
        </is>
      </c>
      <c r="C3" s="87" t="inlineStr">
        <is>
          <t>onceki_durum</t>
        </is>
      </c>
      <c r="D3" s="87" t="inlineStr">
        <is>
          <t>yeni_durum</t>
        </is>
      </c>
      <c r="E3" s="87" t="inlineStr">
        <is>
          <t>tutar</t>
        </is>
      </c>
      <c r="F3" s="87" t="inlineStr">
        <is>
          <t>bayrak</t>
        </is>
      </c>
      <c r="G3" s="87" t="inlineStr">
        <is>
          <t>not</t>
        </is>
      </c>
    </row>
    <row r="4" ht="15" customHeight="1" s="88">
      <c r="A4" s="87" t="inlineStr">
        <is>
          <t>I-001</t>
        </is>
      </c>
      <c r="B4" s="87" t="inlineStr">
        <is>
          <t>KART-01</t>
        </is>
      </c>
      <c r="C4" s="87" t="inlineStr">
        <is>
          <t>ACIK</t>
        </is>
      </c>
      <c r="D4" s="87" t="inlineStr">
        <is>
          <t>ISLEMDE</t>
        </is>
      </c>
      <c r="E4" s="151" t="n">
        <v>1000</v>
      </c>
      <c r="F4" s="87" t="inlineStr">
        <is>
          <t>OK</t>
        </is>
      </c>
      <c r="G4" s="87" t="inlineStr">
        <is>
          <t>normal geçiş</t>
        </is>
      </c>
    </row>
    <row r="5" ht="15" customHeight="1" s="88">
      <c r="A5" s="87" t="inlineStr">
        <is>
          <t>I-002</t>
        </is>
      </c>
      <c r="B5" s="87" t="inlineStr">
        <is>
          <t>YETİM</t>
        </is>
      </c>
      <c r="C5" s="87" t="inlineStr">
        <is>
          <t>ACIK</t>
        </is>
      </c>
      <c r="D5" s="87" t="inlineStr">
        <is>
          <t>KAPALI</t>
        </is>
      </c>
      <c r="E5" s="151" t="n">
        <v>0</v>
      </c>
      <c r="F5" s="87" t="inlineStr">
        <is>
          <t>YETİM</t>
        </is>
      </c>
      <c r="G5" s="87" t="inlineStr">
        <is>
          <t>kaynak_kart_id yok — yetim kayıt</t>
        </is>
      </c>
    </row>
    <row r="6" ht="15" customHeight="1" s="88">
      <c r="A6" s="87" t="inlineStr">
        <is>
          <t>I-003</t>
        </is>
      </c>
      <c r="B6" s="87" t="inlineStr">
        <is>
          <t>KART-02</t>
        </is>
      </c>
      <c r="C6" s="87" t="inlineStr">
        <is>
          <t>ACIK</t>
        </is>
      </c>
      <c r="D6" s="87" t="inlineStr">
        <is>
          <t>KAPALI</t>
        </is>
      </c>
      <c r="E6" s="151" t="n">
        <v>500</v>
      </c>
      <c r="F6" s="87" t="inlineStr">
        <is>
          <t>GECERSIZ</t>
        </is>
      </c>
      <c r="G6" s="87" t="inlineStr">
        <is>
          <t>geçersiz durum geçişi</t>
        </is>
      </c>
    </row>
    <row r="7" ht="15" customHeight="1" s="88">
      <c r="A7" s="87" t="inlineStr">
        <is>
          <t>I-004</t>
        </is>
      </c>
      <c r="B7" s="87" t="inlineStr">
        <is>
          <t>KART-03</t>
        </is>
      </c>
      <c r="C7" s="87" t="inlineStr">
        <is>
          <t>ISLEMDE</t>
        </is>
      </c>
      <c r="D7" s="87" t="inlineStr">
        <is>
          <t>ISLEMDE</t>
        </is>
      </c>
      <c r="E7" s="151" t="n">
        <v>250</v>
      </c>
      <c r="F7" s="87" t="inlineStr">
        <is>
          <t>ZINCIR_KIRIK</t>
        </is>
      </c>
      <c r="G7" s="87" t="inlineStr">
        <is>
          <t>ZİNCİR KIRIK — tutar zinciri sapması</t>
        </is>
      </c>
    </row>
    <row r="9" ht="15" customHeight="1" s="88">
      <c r="A9" s="87" t="inlineStr">
        <is>
          <t>kuyruk_kanit</t>
        </is>
      </c>
      <c r="B9" s="87">
        <f>IFERROR(COUNTIF($F$4:$F$1000,"OK"),0)</f>
        <v/>
      </c>
      <c r="C9" s="87" t="n"/>
      <c r="D9" s="87" t="n"/>
      <c r="E9" s="87" t="n"/>
      <c r="F9" s="87" t="n"/>
      <c r="G9" s="8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10" customWidth="1" style="87" min="2" max="2"/>
    <col width="60" customWidth="1" style="87" min="3" max="3"/>
    <col width="14" customWidth="1" style="87" min="4" max="4"/>
  </cols>
  <sheetData>
    <row r="1" ht="25.5" customHeight="1" s="88">
      <c r="A1" s="100" t="inlineStr">
        <is>
          <t>DEGISIKLIK KAYDI — AKILLI KASA DEFTERİ VE NAKİT KONTROL SİSTEMİ</t>
        </is>
      </c>
    </row>
    <row r="4" ht="30" customHeight="1" s="88">
      <c r="A4" s="102" t="inlineStr">
        <is>
          <t>Tarih</t>
        </is>
      </c>
      <c r="B4" s="102" t="inlineStr">
        <is>
          <t>Sürüm</t>
        </is>
      </c>
      <c r="C4" s="102" t="inlineStr">
        <is>
          <t>Yapılan Değişiklik</t>
        </is>
      </c>
      <c r="D4" s="102" t="inlineStr">
        <is>
          <t>Yapan</t>
        </is>
      </c>
    </row>
    <row r="5" ht="15" customHeight="1" s="88">
      <c r="A5" s="152" t="n">
        <v>46242</v>
      </c>
      <c r="B5" s="122" t="inlineStr">
        <is>
          <t>1.0</t>
        </is>
      </c>
      <c r="C5" s="122" t="inlineStr">
        <is>
          <t>İlk sürüm: Akıllı Kasa Defteri ve Nakit Kontrol Sistemi üretimi.</t>
        </is>
      </c>
      <c r="D5" s="12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87" min="1" max="3"/>
    <col width="17" customWidth="1" style="87" min="4" max="4"/>
    <col width="16" customWidth="1" style="87" min="5" max="7"/>
    <col width="17" customWidth="1" style="87" min="8" max="8"/>
    <col width="16" customWidth="1" style="87" min="9" max="10"/>
  </cols>
  <sheetData>
    <row r="1" ht="25.5" customHeight="1" s="88">
      <c r="A1" s="100" t="inlineStr">
        <is>
          <t>LISTELER — AKILLI KASA DEFTERİ VE NAKİT KONTROL SİSTEMİ</t>
        </is>
      </c>
    </row>
    <row r="2" ht="19.5" customHeight="1" s="88">
      <c r="A2" s="99" t="inlineStr">
        <is>
          <t>Açılır menü kaynakları. Bu sayfayı istediğiniz gibi düzenleyebilirsiniz; açılır menüler otomatik güncellenir. Sayfa istenirse gizlenebilir.</t>
        </is>
      </c>
    </row>
    <row r="3" ht="15" customHeight="1" s="88">
      <c r="A3" s="153" t="inlineStr">
        <is>
          <t>Hesap Türü</t>
        </is>
      </c>
      <c r="B3" s="153" t="inlineStr">
        <is>
          <t>Kategori</t>
        </is>
      </c>
      <c r="C3" s="153" t="inlineStr">
        <is>
          <t>Alt Kategori</t>
        </is>
      </c>
      <c r="D3" s="153" t="inlineStr">
        <is>
          <t>Ödeme Yöntemi</t>
        </is>
      </c>
      <c r="E3" s="153" t="inlineStr">
        <is>
          <t>Hesap Durumu</t>
        </is>
      </c>
      <c r="F3" s="153" t="inlineStr">
        <is>
          <t>Takvim Türü</t>
        </is>
      </c>
      <c r="G3" s="153" t="inlineStr">
        <is>
          <t>Öncelik</t>
        </is>
      </c>
      <c r="H3" s="153" t="inlineStr">
        <is>
          <t>Takvim Durumu</t>
        </is>
      </c>
      <c r="I3" s="153" t="inlineStr">
        <is>
          <t>Kök Neden</t>
        </is>
      </c>
      <c r="J3" s="153" t="inlineStr">
        <is>
          <t>Banka</t>
        </is>
      </c>
    </row>
    <row r="4" ht="15" customHeight="1" s="88">
      <c r="A4" s="154" t="inlineStr">
        <is>
          <t>KASA</t>
        </is>
      </c>
      <c r="B4" s="154" t="inlineStr">
        <is>
          <t>SATIŞ</t>
        </is>
      </c>
      <c r="C4" s="154" t="inlineStr">
        <is>
          <t>TİCARİ MAL</t>
        </is>
      </c>
      <c r="D4" s="154" t="inlineStr">
        <is>
          <t>NAKİT</t>
        </is>
      </c>
      <c r="E4" s="154" t="inlineStr">
        <is>
          <t>AKTİF</t>
        </is>
      </c>
      <c r="F4" s="154" t="inlineStr">
        <is>
          <t>ÖDEME</t>
        </is>
      </c>
      <c r="G4" s="154" t="inlineStr">
        <is>
          <t>KRİTİK</t>
        </is>
      </c>
      <c r="H4" s="154" t="inlineStr">
        <is>
          <t>BEKLEMEDE</t>
        </is>
      </c>
      <c r="I4" s="154" t="inlineStr">
        <is>
          <t>SAYIM EKSİK</t>
        </is>
      </c>
      <c r="J4" s="154" t="inlineStr">
        <is>
          <t>ZİRAAT</t>
        </is>
      </c>
    </row>
    <row r="5" ht="15" customHeight="1" s="88">
      <c r="A5" s="154" t="inlineStr">
        <is>
          <t>BANKA</t>
        </is>
      </c>
      <c r="B5" s="154" t="inlineStr">
        <is>
          <t>TAHSİLAT</t>
        </is>
      </c>
      <c r="C5" s="154" t="inlineStr">
        <is>
          <t>HAMMADDE</t>
        </is>
      </c>
      <c r="D5" s="154" t="inlineStr">
        <is>
          <t>HAVALE</t>
        </is>
      </c>
      <c r="E5" s="154" t="inlineStr">
        <is>
          <t>PASİF</t>
        </is>
      </c>
      <c r="F5" s="154" t="inlineStr">
        <is>
          <t>TAHSİLAT</t>
        </is>
      </c>
      <c r="G5" s="154" t="inlineStr">
        <is>
          <t>YÜKSEK</t>
        </is>
      </c>
      <c r="H5" s="154" t="inlineStr">
        <is>
          <t>YAPILDI</t>
        </is>
      </c>
      <c r="I5" s="154" t="inlineStr">
        <is>
          <t>SAYIM FAZLA</t>
        </is>
      </c>
      <c r="J5" s="154" t="inlineStr">
        <is>
          <t>HALK</t>
        </is>
      </c>
    </row>
    <row r="6" ht="15" customHeight="1" s="88">
      <c r="A6" s="155" t="n"/>
      <c r="B6" s="154" t="inlineStr">
        <is>
          <t>ALIM</t>
        </is>
      </c>
      <c r="C6" s="154" t="inlineStr">
        <is>
          <t>HİZMET</t>
        </is>
      </c>
      <c r="D6" s="154" t="inlineStr">
        <is>
          <t>EFT</t>
        </is>
      </c>
      <c r="E6" s="155" t="n"/>
      <c r="F6" s="155" t="n"/>
      <c r="G6" s="154" t="inlineStr">
        <is>
          <t>ORTA</t>
        </is>
      </c>
      <c r="H6" s="154" t="inlineStr">
        <is>
          <t>ERTELENDİ</t>
        </is>
      </c>
      <c r="I6" s="154" t="inlineStr">
        <is>
          <t>UYUMLU</t>
        </is>
      </c>
      <c r="J6" s="154" t="inlineStr">
        <is>
          <t>İŞ</t>
        </is>
      </c>
    </row>
    <row r="7" ht="15" customHeight="1" s="88">
      <c r="A7" s="155" t="n"/>
      <c r="B7" s="154" t="inlineStr">
        <is>
          <t>MAAŞ</t>
        </is>
      </c>
      <c r="C7" s="154" t="inlineStr">
        <is>
          <t>PERSONEL</t>
        </is>
      </c>
      <c r="D7" s="154" t="inlineStr">
        <is>
          <t>KREDİ KARTI</t>
        </is>
      </c>
      <c r="E7" s="155" t="n"/>
      <c r="F7" s="155" t="n"/>
      <c r="G7" s="154" t="inlineStr">
        <is>
          <t>DÜŞÜK</t>
        </is>
      </c>
      <c r="H7" s="155" t="n"/>
      <c r="I7" s="155" t="n"/>
      <c r="J7" s="154" t="inlineStr">
        <is>
          <t>GARANTİ</t>
        </is>
      </c>
    </row>
    <row r="8" ht="15" customHeight="1" s="88">
      <c r="A8" s="155" t="n"/>
      <c r="B8" s="154" t="inlineStr">
        <is>
          <t>KİRA</t>
        </is>
      </c>
      <c r="C8" s="154" t="inlineStr">
        <is>
          <t>OFİS</t>
        </is>
      </c>
      <c r="D8" s="154" t="inlineStr">
        <is>
          <t>BANKA KARTI</t>
        </is>
      </c>
      <c r="E8" s="155" t="n"/>
      <c r="F8" s="155" t="n"/>
      <c r="G8" s="155" t="n"/>
      <c r="H8" s="155" t="n"/>
      <c r="I8" s="155" t="n"/>
      <c r="J8" s="154" t="inlineStr">
        <is>
          <t>AKBANK</t>
        </is>
      </c>
    </row>
    <row r="9" ht="15" customHeight="1" s="88">
      <c r="A9" s="155" t="n"/>
      <c r="B9" s="154" t="inlineStr">
        <is>
          <t>VERGİ</t>
        </is>
      </c>
      <c r="C9" s="154" t="inlineStr">
        <is>
          <t>ARAC</t>
        </is>
      </c>
      <c r="D9" s="154" t="inlineStr">
        <is>
          <t>ÇEK</t>
        </is>
      </c>
      <c r="E9" s="155" t="n"/>
      <c r="F9" s="155" t="n"/>
      <c r="G9" s="155" t="n"/>
      <c r="H9" s="155" t="n"/>
      <c r="I9" s="155" t="n"/>
      <c r="J9" s="154" t="inlineStr">
        <is>
          <t>YAPI KREDİ</t>
        </is>
      </c>
    </row>
    <row r="10" ht="15" customHeight="1" s="88">
      <c r="A10" s="155" t="n"/>
      <c r="B10" s="154" t="inlineStr">
        <is>
          <t>SGK PRİMİ</t>
        </is>
      </c>
      <c r="C10" s="154" t="inlineStr">
        <is>
          <t>DEPO</t>
        </is>
      </c>
      <c r="D10" s="154" t="inlineStr">
        <is>
          <t>SENET</t>
        </is>
      </c>
      <c r="E10" s="155" t="n"/>
      <c r="F10" s="155" t="n"/>
      <c r="G10" s="155" t="n"/>
      <c r="H10" s="155" t="n"/>
      <c r="I10" s="155" t="n"/>
      <c r="J10" s="154" t="inlineStr">
        <is>
          <t>QNB</t>
        </is>
      </c>
    </row>
    <row r="11" ht="15" customHeight="1" s="88">
      <c r="A11" s="155" t="n"/>
      <c r="B11" s="154" t="inlineStr">
        <is>
          <t>ELEKTRİK</t>
        </is>
      </c>
      <c r="C11" s="154" t="inlineStr">
        <is>
          <t>İTHALAT</t>
        </is>
      </c>
      <c r="D11" s="154" t="inlineStr">
        <is>
          <t>KAPORA</t>
        </is>
      </c>
      <c r="E11" s="155" t="n"/>
      <c r="F11" s="155" t="n"/>
      <c r="G11" s="155" t="n"/>
      <c r="H11" s="155" t="n"/>
      <c r="I11" s="155" t="n"/>
      <c r="J11" s="154" t="inlineStr">
        <is>
          <t>VAKIF</t>
        </is>
      </c>
    </row>
    <row r="12" ht="15" customHeight="1" s="88">
      <c r="A12" s="155" t="n"/>
      <c r="B12" s="154" t="inlineStr">
        <is>
          <t>SU</t>
        </is>
      </c>
      <c r="C12" s="154" t="inlineStr">
        <is>
          <t>İHRACAT</t>
        </is>
      </c>
      <c r="D12" s="155" t="n"/>
      <c r="E12" s="155" t="n"/>
      <c r="F12" s="155" t="n"/>
      <c r="G12" s="155" t="n"/>
      <c r="H12" s="155" t="n"/>
      <c r="I12" s="155" t="n"/>
      <c r="J12" s="155" t="n"/>
    </row>
    <row r="13" ht="15" customHeight="1" s="88">
      <c r="A13" s="155" t="n"/>
      <c r="B13" s="154" t="inlineStr">
        <is>
          <t>DOĞALGAZ</t>
        </is>
      </c>
      <c r="C13" s="154" t="inlineStr">
        <is>
          <t>E-TİCARET</t>
        </is>
      </c>
      <c r="D13" s="155" t="n"/>
      <c r="E13" s="155" t="n"/>
      <c r="F13" s="155" t="n"/>
      <c r="G13" s="155" t="n"/>
      <c r="H13" s="155" t="n"/>
      <c r="I13" s="155" t="n"/>
      <c r="J13" s="155" t="n"/>
    </row>
    <row r="14" ht="15" customHeight="1" s="88">
      <c r="A14" s="155" t="n"/>
      <c r="B14" s="154" t="inlineStr">
        <is>
          <t>KOMİSYON</t>
        </is>
      </c>
      <c r="C14" s="154" t="inlineStr">
        <is>
          <t>TOPTAN</t>
        </is>
      </c>
      <c r="D14" s="155" t="n"/>
      <c r="E14" s="155" t="n"/>
      <c r="F14" s="155" t="n"/>
      <c r="G14" s="155" t="n"/>
      <c r="H14" s="155" t="n"/>
      <c r="I14" s="155" t="n"/>
      <c r="J14" s="155" t="n"/>
    </row>
    <row r="15" ht="15" customHeight="1" s="88">
      <c r="A15" s="155" t="n"/>
      <c r="B15" s="154" t="inlineStr">
        <is>
          <t>NAKLİYE</t>
        </is>
      </c>
      <c r="C15" s="154" t="inlineStr">
        <is>
          <t>PERAKENDE</t>
        </is>
      </c>
      <c r="D15" s="155" t="n"/>
      <c r="E15" s="155" t="n"/>
      <c r="F15" s="155" t="n"/>
      <c r="G15" s="155" t="n"/>
      <c r="H15" s="155" t="n"/>
      <c r="I15" s="155" t="n"/>
      <c r="J15" s="155" t="n"/>
    </row>
    <row r="16" ht="15" customHeight="1" s="88">
      <c r="A16" s="155" t="n"/>
      <c r="B16" s="154" t="inlineStr">
        <is>
          <t>REKLAM</t>
        </is>
      </c>
      <c r="C16" s="154" t="inlineStr">
        <is>
          <t>BAYİ</t>
        </is>
      </c>
      <c r="D16" s="155" t="n"/>
      <c r="E16" s="155" t="n"/>
      <c r="F16" s="155" t="n"/>
      <c r="G16" s="155" t="n"/>
      <c r="H16" s="155" t="n"/>
      <c r="I16" s="155" t="n"/>
      <c r="J16" s="155" t="n"/>
    </row>
    <row r="17" ht="15" customHeight="1" s="88">
      <c r="A17" s="155" t="n"/>
      <c r="B17" s="154" t="inlineStr">
        <is>
          <t>KREDİ TAKSİDİ</t>
        </is>
      </c>
      <c r="C17" s="155" t="n"/>
      <c r="D17" s="155" t="n"/>
      <c r="E17" s="155" t="n"/>
      <c r="F17" s="155" t="n"/>
      <c r="G17" s="155" t="n"/>
      <c r="H17" s="155" t="n"/>
      <c r="I17" s="155" t="n"/>
      <c r="J17" s="155" t="n"/>
    </row>
    <row r="18" ht="15" customHeight="1" s="88">
      <c r="A18" s="155" t="n"/>
      <c r="B18" s="154" t="inlineStr">
        <is>
          <t>BAĞ-KUR</t>
        </is>
      </c>
      <c r="C18" s="155" t="n"/>
      <c r="D18" s="155" t="n"/>
      <c r="E18" s="155" t="n"/>
      <c r="F18" s="155" t="n"/>
      <c r="G18" s="155" t="n"/>
      <c r="H18" s="155" t="n"/>
      <c r="I18" s="155" t="n"/>
      <c r="J18" s="155" t="n"/>
    </row>
    <row r="19" ht="15" customHeight="1" s="88">
      <c r="A19" s="155" t="n"/>
      <c r="B19" s="154" t="inlineStr">
        <is>
          <t>SİGORTA</t>
        </is>
      </c>
      <c r="C19" s="155" t="n"/>
      <c r="D19" s="155" t="n"/>
      <c r="E19" s="155" t="n"/>
      <c r="F19" s="155" t="n"/>
      <c r="G19" s="155" t="n"/>
      <c r="H19" s="155" t="n"/>
      <c r="I19" s="155" t="n"/>
      <c r="J19" s="155" t="n"/>
    </row>
    <row r="20" ht="15" customHeight="1" s="88">
      <c r="A20" s="155" t="n"/>
      <c r="B20" s="154" t="inlineStr">
        <is>
          <t>TAMİRAT</t>
        </is>
      </c>
      <c r="C20" s="155" t="n"/>
      <c r="D20" s="155" t="n"/>
      <c r="E20" s="155" t="n"/>
      <c r="F20" s="155" t="n"/>
      <c r="G20" s="155" t="n"/>
      <c r="H20" s="155" t="n"/>
      <c r="I20" s="155" t="n"/>
      <c r="J20" s="155" t="n"/>
    </row>
    <row r="21" ht="15" customHeight="1" s="88">
      <c r="A21" s="155" t="n"/>
      <c r="B21" s="154" t="inlineStr">
        <is>
          <t>DİĞER GELİR</t>
        </is>
      </c>
      <c r="C21" s="155" t="n"/>
      <c r="D21" s="155" t="n"/>
      <c r="E21" s="155" t="n"/>
      <c r="F21" s="155" t="n"/>
      <c r="G21" s="155" t="n"/>
      <c r="H21" s="155" t="n"/>
      <c r="I21" s="155" t="n"/>
      <c r="J21" s="155" t="n"/>
    </row>
    <row r="22" ht="15" customHeight="1" s="88">
      <c r="A22" s="155" t="n"/>
      <c r="B22" s="154" t="inlineStr">
        <is>
          <t>DİĞER GİDER</t>
        </is>
      </c>
      <c r="C22" s="155" t="n"/>
      <c r="D22" s="155" t="n"/>
      <c r="E22" s="155" t="n"/>
      <c r="F22" s="155" t="n"/>
      <c r="G22" s="155" t="n"/>
      <c r="H22" s="155" t="n"/>
      <c r="I22" s="155" t="n"/>
      <c r="J22" s="155" t="n"/>
    </row>
    <row r="23" ht="15" customHeight="1" s="88">
      <c r="A23" s="155" t="n"/>
      <c r="B23" s="154" t="inlineStr">
        <is>
          <t>SERMAYE</t>
        </is>
      </c>
      <c r="C23" s="155" t="n"/>
      <c r="D23" s="155" t="n"/>
      <c r="E23" s="155" t="n"/>
      <c r="F23" s="155" t="n"/>
      <c r="G23" s="155" t="n"/>
      <c r="H23" s="155" t="n"/>
      <c r="I23" s="155" t="n"/>
      <c r="J23" s="155" t="n"/>
    </row>
    <row r="24" ht="15" customHeight="1" s="88">
      <c r="B24" s="154" t="inlineStr">
        <is>
          <t>ORTAK ÇEKİŞİ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7" min="1" max="1"/>
    <col width="18" customWidth="1" style="87" min="2" max="2"/>
    <col width="12" customWidth="1" style="87" min="3" max="4"/>
    <col width="10" customWidth="1" style="87" min="5" max="5"/>
    <col width="52" customWidth="1" style="87" min="6" max="6"/>
    <col width="22" customWidth="1" style="87" min="7" max="7"/>
    <col width="14" customWidth="1" style="87" min="8" max="9"/>
    <col width="16" customWidth="1" style="87" min="10" max="10"/>
    <col width="13" customWidth="1" style="87" min="11" max="11"/>
    <col width="28" customWidth="1" style="87" min="12" max="12"/>
    <col width="16" customWidth="1" style="87" min="13" max="13"/>
    <col width="13" customWidth="1" style="87" min="14" max="14"/>
  </cols>
  <sheetData>
    <row r="1" ht="25.5" customHeight="1" s="88">
      <c r="A1" s="100" t="inlineStr">
        <is>
          <t>AYARLAR — AKILLI KASA DEFTERİ VE NAKİT KONTROL SİSTEMİ</t>
        </is>
      </c>
    </row>
    <row r="2" ht="19.5" customHeight="1" s="88">
      <c r="A2" s="99" t="inlineStr">
        <is>
          <t>Tüm eşikler, katsayılar ve firma bilgileri tek kaynaktan (SSOT) buradan yönetilir. Değerleri değiştirirken Alt/Üst sınırlara dikkat edin.</t>
        </is>
      </c>
    </row>
    <row r="4" ht="15" customHeight="1" s="88">
      <c r="A4" s="116" t="inlineStr">
        <is>
          <t>FIRMA BİLGİLERİ</t>
        </is>
      </c>
    </row>
    <row r="5" ht="15" customHeight="1" s="88">
      <c r="A5" s="117" t="inlineStr">
        <is>
          <t>Firma Unvanı</t>
        </is>
      </c>
      <c r="B5" s="156" t="inlineStr">
        <is>
          <t>Firma Adı A.Ş.</t>
        </is>
      </c>
      <c r="C5" s="157" t="inlineStr">
        <is>
          <t>Alt</t>
        </is>
      </c>
      <c r="D5" s="157" t="inlineStr">
        <is>
          <t>Üst</t>
        </is>
      </c>
      <c r="E5" s="157" t="inlineStr">
        <is>
          <t>Açıklama</t>
        </is>
      </c>
    </row>
    <row r="6" ht="15" customHeight="1" s="88">
      <c r="A6" s="117" t="inlineStr">
        <is>
          <t>Vergi Numarası (opsiyonel)</t>
        </is>
      </c>
      <c r="B6" s="156" t="n"/>
      <c r="C6" s="157" t="inlineStr">
        <is>
          <t>Alt</t>
        </is>
      </c>
      <c r="D6" s="157" t="inlineStr">
        <is>
          <t>Üst</t>
        </is>
      </c>
      <c r="E6" s="157" t="inlineStr">
        <is>
          <t>Açıklama</t>
        </is>
      </c>
    </row>
    <row r="7" ht="15" customHeight="1" s="88">
      <c r="A7" s="117" t="inlineStr">
        <is>
          <t>Rapor Tarihi</t>
        </is>
      </c>
      <c r="B7" s="110" t="n">
        <v>46242</v>
      </c>
      <c r="C7" s="157" t="inlineStr">
        <is>
          <t>Alt</t>
        </is>
      </c>
      <c r="D7" s="157" t="inlineStr">
        <is>
          <t>Üst</t>
        </is>
      </c>
      <c r="E7" s="157" t="inlineStr">
        <is>
          <t>Açıklama</t>
        </is>
      </c>
    </row>
    <row r="8" ht="15" customHeight="1" s="88">
      <c r="A8" s="117" t="inlineStr">
        <is>
          <t>Rapor Hazırlayan</t>
        </is>
      </c>
      <c r="B8" s="156" t="inlineStr">
        <is>
          <t>Finans Müdürü</t>
        </is>
      </c>
      <c r="C8" s="157" t="inlineStr">
        <is>
          <t>Alt</t>
        </is>
      </c>
      <c r="D8" s="157" t="inlineStr">
        <is>
          <t>Üst</t>
        </is>
      </c>
      <c r="E8" s="157" t="inlineStr">
        <is>
          <t>Açıklama</t>
        </is>
      </c>
    </row>
    <row r="9" ht="15" customHeight="1" s="88">
      <c r="A9" s="117" t="inlineStr">
        <is>
          <t>Para Birimi</t>
        </is>
      </c>
      <c r="B9" s="156" t="inlineStr">
        <is>
          <t>TRY</t>
        </is>
      </c>
      <c r="C9" s="157" t="inlineStr">
        <is>
          <t>Alt</t>
        </is>
      </c>
      <c r="D9" s="157" t="inlineStr">
        <is>
          <t>Üst</t>
        </is>
      </c>
      <c r="E9" s="157" t="inlineStr">
        <is>
          <t>Açıklama</t>
        </is>
      </c>
    </row>
    <row r="10" ht="15" customHeight="1" s="88">
      <c r="A10" s="117" t="inlineStr">
        <is>
          <t>Dosya Sürümü</t>
        </is>
      </c>
      <c r="B10" s="156" t="inlineStr">
        <is>
          <t>1.0</t>
        </is>
      </c>
      <c r="C10" s="157" t="inlineStr">
        <is>
          <t>Alt</t>
        </is>
      </c>
      <c r="D10" s="157" t="inlineStr">
        <is>
          <t>Üst</t>
        </is>
      </c>
      <c r="E10" s="157" t="inlineStr">
        <is>
          <t>Açıklama</t>
        </is>
      </c>
    </row>
    <row r="11" ht="15" customHeight="1" s="88">
      <c r="A11" s="117" t="inlineStr">
        <is>
          <t>Lisans Kodu</t>
        </is>
      </c>
      <c r="B11" s="156" t="inlineStr">
        <is>
          <t>EKSRV-2026-AKS-0001</t>
        </is>
      </c>
      <c r="C11" s="157" t="inlineStr">
        <is>
          <t>Alt</t>
        </is>
      </c>
      <c r="D11" s="157" t="inlineStr">
        <is>
          <t>Üst</t>
        </is>
      </c>
      <c r="E11" s="157" t="inlineStr">
        <is>
          <t>Açıklama</t>
        </is>
      </c>
    </row>
    <row r="13" ht="15" customHeight="1" s="88">
      <c r="A13" s="116" t="inlineStr">
        <is>
          <t>MODEL EŞİKLERİ</t>
        </is>
      </c>
    </row>
    <row r="14" ht="15" customHeight="1" s="88">
      <c r="A14" s="158" t="inlineStr">
        <is>
          <t>anahtar</t>
        </is>
      </c>
      <c r="B14" s="158" t="inlineStr">
        <is>
          <t>deger</t>
        </is>
      </c>
      <c r="C14" s="158" t="inlineStr">
        <is>
          <t>alt</t>
        </is>
      </c>
      <c r="D14" s="158" t="inlineStr">
        <is>
          <t>ust</t>
        </is>
      </c>
      <c r="E14" s="158" t="inlineStr">
        <is>
          <t>birim</t>
        </is>
      </c>
      <c r="F14" s="158" t="inlineStr">
        <is>
          <t>aciklama</t>
        </is>
      </c>
      <c r="G14" s="158" t="inlineStr">
        <is>
          <t>kaynak</t>
        </is>
      </c>
      <c r="H14" s="158" t="inlineStr">
        <is>
          <t>yururluk_tarihi</t>
        </is>
      </c>
      <c r="I14" s="158" t="inlineStr">
        <is>
          <t>dogrulama_tarihi</t>
        </is>
      </c>
    </row>
    <row r="15" ht="19.5" customHeight="1" s="88">
      <c r="A15" s="117" t="inlineStr">
        <is>
          <t>Kasa Başlangıç Bakiyesi</t>
        </is>
      </c>
      <c r="B15" s="106" t="n">
        <v>500000</v>
      </c>
      <c r="C15" s="159" t="n">
        <v>0</v>
      </c>
      <c r="D15" s="159" t="n">
        <v>1000000000</v>
      </c>
      <c r="E15" s="144" t="inlineStr">
        <is>
          <t>₺</t>
        </is>
      </c>
      <c r="F15" s="140" t="inlineStr">
        <is>
          <t>NAKIT_PROJEKSIYONU dönem başı kasa hesabının başlangıç değeri.</t>
        </is>
      </c>
      <c r="G15" s="140" t="inlineStr">
        <is>
          <t>Kullanıcı beyanı</t>
        </is>
      </c>
      <c r="H15" s="160" t="inlineStr">
        <is>
          <t>10.08.2026</t>
        </is>
      </c>
      <c r="I15" s="160" t="inlineStr">
        <is>
          <t>10.08.2026</t>
        </is>
      </c>
    </row>
    <row r="16" ht="19.5" customHeight="1" s="88">
      <c r="A16" s="117" t="inlineStr">
        <is>
          <t>Asgari Nakit Tamponu</t>
        </is>
      </c>
      <c r="B16" s="106" t="n">
        <v>100000</v>
      </c>
      <c r="C16" s="159" t="n">
        <v>0</v>
      </c>
      <c r="D16" s="159" t="n">
        <v>100000000</v>
      </c>
      <c r="E16" s="144" t="inlineStr">
        <is>
          <t>₺</t>
        </is>
      </c>
      <c r="F16" s="140" t="inlineStr">
        <is>
          <t>Kullanılabilir para bu değerin altındaysa karar İNCELE olur.</t>
        </is>
      </c>
      <c r="G16" s="140" t="inlineStr">
        <is>
          <t>Varsayım</t>
        </is>
      </c>
      <c r="H16" s="160" t="inlineStr">
        <is>
          <t>10.08.2026</t>
        </is>
      </c>
      <c r="I16" s="160" t="inlineStr">
        <is>
          <t>10.08.2026</t>
        </is>
      </c>
    </row>
    <row r="17" ht="19.5" customHeight="1" s="88">
      <c r="A17" s="117" t="inlineStr">
        <is>
          <t>Kritik Ödeme Ufku (Gün)</t>
        </is>
      </c>
      <c r="B17" s="161" t="n">
        <v>30</v>
      </c>
      <c r="C17" s="162" t="n">
        <v>1</v>
      </c>
      <c r="D17" s="162" t="n">
        <v>365</v>
      </c>
      <c r="E17" s="144" t="inlineStr">
        <is>
          <t>gün</t>
        </is>
      </c>
      <c r="F17" s="140" t="inlineStr">
        <is>
          <t>Ödeme yükü hesaplanırken bakılan gün ufku.</t>
        </is>
      </c>
      <c r="G17" s="140" t="inlineStr">
        <is>
          <t>Varsayım</t>
        </is>
      </c>
      <c r="H17" s="160" t="inlineStr">
        <is>
          <t>10.08.2026</t>
        </is>
      </c>
      <c r="I17" s="160" t="inlineStr">
        <is>
          <t>10.08.2026</t>
        </is>
      </c>
    </row>
    <row r="18" ht="19.5" customHeight="1" s="88">
      <c r="A18" s="117" t="inlineStr">
        <is>
          <t>Kritik Risk Eşiği</t>
        </is>
      </c>
      <c r="B18" s="106" t="n">
        <v>50000</v>
      </c>
      <c r="C18" s="159" t="n">
        <v>0</v>
      </c>
      <c r="D18" s="159" t="n">
        <v>10000000</v>
      </c>
      <c r="E18" s="144" t="inlineStr">
        <is>
          <t>₺</t>
        </is>
      </c>
      <c r="F18" s="140" t="inlineStr">
        <is>
          <t>Nakit açığı bu değerin altındaysa risk YÜKSEK, üzerindeyse KRİTİK sayılır.</t>
        </is>
      </c>
      <c r="G18" s="140" t="inlineStr">
        <is>
          <t>Varsayım</t>
        </is>
      </c>
      <c r="H18" s="160" t="inlineStr">
        <is>
          <t>10.08.2026</t>
        </is>
      </c>
      <c r="I18" s="160" t="inlineStr">
        <is>
          <t>10.08.2026</t>
        </is>
      </c>
    </row>
    <row r="19" ht="19.5" customHeight="1" s="88">
      <c r="A19" s="117" t="inlineStr">
        <is>
          <t>Anomali Katsayısı</t>
        </is>
      </c>
      <c r="B19" s="163" t="n">
        <v>2</v>
      </c>
      <c r="C19" s="164" t="n">
        <v>1</v>
      </c>
      <c r="D19" s="164" t="n">
        <v>10</v>
      </c>
      <c r="E19" s="144" t="inlineStr">
        <is>
          <t>katsayı</t>
        </is>
      </c>
      <c r="F19" s="140" t="inlineStr">
        <is>
          <t>En yüksek tek çıkışın günlük ortalamanın bu katından büyük olması anomali sayılır.</t>
        </is>
      </c>
      <c r="G19" s="140" t="inlineStr">
        <is>
          <t>Varsayım</t>
        </is>
      </c>
      <c r="H19" s="160" t="inlineStr">
        <is>
          <t>10.08.2026</t>
        </is>
      </c>
      <c r="I19" s="160" t="inlineStr">
        <is>
          <t>10.08.2026</t>
        </is>
      </c>
    </row>
    <row r="20" ht="19.5" customHeight="1" s="88">
      <c r="A20" s="117" t="inlineStr">
        <is>
          <t>Mutabakat Toleransı</t>
        </is>
      </c>
      <c r="B20" s="106" t="n">
        <v>100</v>
      </c>
      <c r="C20" s="159" t="n">
        <v>0</v>
      </c>
      <c r="D20" s="159" t="n">
        <v>100000</v>
      </c>
      <c r="E20" s="144" t="inlineStr">
        <is>
          <t>₺</t>
        </is>
      </c>
      <c r="F20" s="140" t="inlineStr">
        <is>
          <t>Fiziki kasa sayımında kabul edilebilir fark.</t>
        </is>
      </c>
      <c r="G20" s="140" t="inlineStr">
        <is>
          <t>Varsayım</t>
        </is>
      </c>
      <c r="H20" s="160" t="inlineStr">
        <is>
          <t>10.08.2026</t>
        </is>
      </c>
      <c r="I20" s="160" t="inlineStr">
        <is>
          <t>10.08.2026</t>
        </is>
      </c>
    </row>
    <row r="21" ht="19.5" customHeight="1" s="88">
      <c r="A21" s="117" t="inlineStr">
        <is>
          <t>Maksimum Hareket Tutarı</t>
        </is>
      </c>
      <c r="B21" s="165" t="n">
        <v>100000000</v>
      </c>
      <c r="C21" s="166" t="n">
        <v>1</v>
      </c>
      <c r="D21" s="166" t="n">
        <v>100000000000</v>
      </c>
      <c r="E21" s="144" t="inlineStr">
        <is>
          <t>₺</t>
        </is>
      </c>
      <c r="F21" s="140" t="inlineStr">
        <is>
          <t>Tek hareketin azami tutarı; üzerindekiler AŞIRI TUTAR işaretlenir.</t>
        </is>
      </c>
      <c r="G21" s="140" t="inlineStr">
        <is>
          <t>Varsayım</t>
        </is>
      </c>
      <c r="H21" s="160" t="inlineStr">
        <is>
          <t>10.08.2026</t>
        </is>
      </c>
      <c r="I21" s="160" t="inlineStr">
        <is>
          <t>10.08.2026</t>
        </is>
      </c>
    </row>
    <row r="22" ht="19.5" customHeight="1" s="88">
      <c r="A22" s="117" t="inlineStr">
        <is>
          <t>İyimser Tahsilat Oranı</t>
        </is>
      </c>
      <c r="B22" s="135" t="n">
        <v>0.1</v>
      </c>
      <c r="C22" s="167" t="n">
        <v>0</v>
      </c>
      <c r="D22" s="167" t="n">
        <v>1</v>
      </c>
      <c r="E22" s="144" t="inlineStr">
        <is>
          <t>oran</t>
        </is>
      </c>
      <c r="F22" s="140" t="inlineStr">
        <is>
          <t>İyimser senaryoda bekleyen tahsilatın artış oranı.</t>
        </is>
      </c>
      <c r="G22" s="140" t="inlineStr">
        <is>
          <t>Varsayım</t>
        </is>
      </c>
      <c r="H22" s="160" t="inlineStr">
        <is>
          <t>10.08.2026</t>
        </is>
      </c>
      <c r="I22" s="160" t="inlineStr">
        <is>
          <t>10.08.2026</t>
        </is>
      </c>
    </row>
    <row r="23" ht="19.5" customHeight="1" s="88">
      <c r="A23" s="117" t="inlineStr">
        <is>
          <t>Kötümser Ek Ödeme</t>
        </is>
      </c>
      <c r="B23" s="106" t="n">
        <v>100000</v>
      </c>
      <c r="C23" s="159" t="n">
        <v>0</v>
      </c>
      <c r="D23" s="159" t="n">
        <v>1000000000</v>
      </c>
      <c r="E23" s="144" t="inlineStr">
        <is>
          <t>₺</t>
        </is>
      </c>
      <c r="F23" s="140" t="inlineStr">
        <is>
          <t>Kötümser senaryoda nakit durumuna eklenen beklenmedik ödeme.</t>
        </is>
      </c>
      <c r="G23" s="140" t="inlineStr">
        <is>
          <t>Varsayım</t>
        </is>
      </c>
      <c r="H23" s="160" t="inlineStr">
        <is>
          <t>10.08.2026</t>
        </is>
      </c>
      <c r="I23" s="160" t="inlineStr">
        <is>
          <t>10.08.2026</t>
        </is>
      </c>
    </row>
    <row r="24" ht="19.5" customHeight="1" s="88">
      <c r="A24" s="117" t="inlineStr">
        <is>
          <t>Duyarlılık Değişim Oranı</t>
        </is>
      </c>
      <c r="B24" s="135" t="n">
        <v>0.1</v>
      </c>
      <c r="C24" s="167" t="n">
        <v>0.01</v>
      </c>
      <c r="D24" s="167" t="n">
        <v>1</v>
      </c>
      <c r="E24" s="144" t="inlineStr">
        <is>
          <t>oran</t>
        </is>
      </c>
      <c r="F24" s="140" t="inlineStr">
        <is>
          <t>Duyarlılık analizinde değişkenlerin marjinal etkisinin hesaplandığı değişim oranı.</t>
        </is>
      </c>
      <c r="G24" s="140" t="inlineStr">
        <is>
          <t>Varsayım</t>
        </is>
      </c>
      <c r="H24" s="160" t="inlineStr">
        <is>
          <t>10.08.2026</t>
        </is>
      </c>
      <c r="I24" s="160" t="inlineStr">
        <is>
          <t>10.08.2026</t>
        </is>
      </c>
    </row>
    <row r="25" ht="19.5" customHeight="1" s="88">
      <c r="A25" s="117" t="inlineStr">
        <is>
          <t>Veri Kalite Yüksek Eşiği</t>
        </is>
      </c>
      <c r="B25" s="168" t="n">
        <v>80</v>
      </c>
      <c r="C25" s="169" t="n">
        <v>0</v>
      </c>
      <c r="D25" s="169" t="n">
        <v>100</v>
      </c>
      <c r="E25" s="144" t="inlineStr">
        <is>
          <t>puan</t>
        </is>
      </c>
      <c r="F25" s="140" t="inlineStr">
        <is>
          <t>Veri kalite skoru bu değer ve üzeriyse güven düzeyi YÜKSEK olur.</t>
        </is>
      </c>
      <c r="G25" s="140" t="inlineStr">
        <is>
          <t>Varsayım</t>
        </is>
      </c>
      <c r="H25" s="160" t="inlineStr">
        <is>
          <t>10.08.2026</t>
        </is>
      </c>
      <c r="I25" s="160" t="inlineStr">
        <is>
          <t>10.08.2026</t>
        </is>
      </c>
    </row>
    <row r="26" ht="19.5" customHeight="1" s="88">
      <c r="A26" s="117" t="inlineStr">
        <is>
          <t>Veri Kalite Orta Eşiği</t>
        </is>
      </c>
      <c r="B26" s="168" t="n">
        <v>50</v>
      </c>
      <c r="C26" s="169" t="n">
        <v>0</v>
      </c>
      <c r="D26" s="169" t="n">
        <v>100</v>
      </c>
      <c r="E26" s="144" t="inlineStr">
        <is>
          <t>puan</t>
        </is>
      </c>
      <c r="F26" s="140" t="inlineStr">
        <is>
          <t>Veri kalite skoru bu değerin üzerindeyse güven düzeyi ORTA olur.</t>
        </is>
      </c>
      <c r="G26" s="140" t="inlineStr">
        <is>
          <t>Varsayım</t>
        </is>
      </c>
      <c r="H26" s="160" t="inlineStr">
        <is>
          <t>10.08.2026</t>
        </is>
      </c>
      <c r="I26" s="160" t="inlineStr">
        <is>
          <t>10.08.2026</t>
        </is>
      </c>
    </row>
    <row r="27" ht="19.5" customHeight="1" s="88">
      <c r="A27" s="117" t="inlineStr">
        <is>
          <t>Hata Ağırlığı</t>
        </is>
      </c>
      <c r="B27" s="168" t="n">
        <v>5</v>
      </c>
      <c r="C27" s="169" t="n">
        <v>0</v>
      </c>
      <c r="D27" s="169" t="n">
        <v>20</v>
      </c>
      <c r="E27" s="144" t="inlineStr">
        <is>
          <t>puan</t>
        </is>
      </c>
      <c r="F27" s="140" t="inlineStr">
        <is>
          <t>Veri kalite skorunda hafif ihlalin ceza puanı.</t>
        </is>
      </c>
      <c r="G27" s="140" t="inlineStr">
        <is>
          <t>Varsayım</t>
        </is>
      </c>
      <c r="H27" s="160" t="inlineStr">
        <is>
          <t>10.08.2026</t>
        </is>
      </c>
      <c r="I27" s="160" t="inlineStr">
        <is>
          <t>10.08.2026</t>
        </is>
      </c>
    </row>
    <row r="28" ht="19.5" customHeight="1" s="88">
      <c r="A28" s="117" t="inlineStr">
        <is>
          <t>Uyarı Ağırlığı</t>
        </is>
      </c>
      <c r="B28" s="168" t="n">
        <v>10</v>
      </c>
      <c r="C28" s="169" t="n">
        <v>0</v>
      </c>
      <c r="D28" s="169" t="n">
        <v>50</v>
      </c>
      <c r="E28" s="144" t="inlineStr">
        <is>
          <t>puan</t>
        </is>
      </c>
      <c r="F28" s="140" t="inlineStr">
        <is>
          <t>Veri kalite skorunda ağır ihlalin ceza puanı.</t>
        </is>
      </c>
      <c r="G28" s="140" t="inlineStr">
        <is>
          <t>Varsayım</t>
        </is>
      </c>
      <c r="H28" s="160" t="inlineStr">
        <is>
          <t>10.08.2026</t>
        </is>
      </c>
      <c r="I28" s="160" t="inlineStr">
        <is>
          <t>10.08.2026</t>
        </is>
      </c>
    </row>
    <row r="29" ht="19.5" customHeight="1" s="88">
      <c r="A29" s="117" t="inlineStr">
        <is>
          <t>Tablo Başlangıç Satırı</t>
        </is>
      </c>
      <c r="B29" s="168" t="n">
        <v>5</v>
      </c>
      <c r="C29" s="169" t="n">
        <v>1</v>
      </c>
      <c r="D29" s="169" t="n">
        <v>50</v>
      </c>
      <c r="E29" s="144" t="inlineStr">
        <is>
          <t>adet</t>
        </is>
      </c>
      <c r="F29" s="140" t="inlineStr">
        <is>
          <t>Veri tablolarının ilk veri satırı; kimlik formüllerinde başlangıç referansıdır.</t>
        </is>
      </c>
      <c r="G29" s="140" t="inlineStr">
        <is>
          <t>Tasarım</t>
        </is>
      </c>
      <c r="H29" s="160" t="inlineStr">
        <is>
          <t>10.08.2026</t>
        </is>
      </c>
      <c r="I29" s="160" t="inlineStr">
        <is>
          <t>10.08.2026</t>
        </is>
      </c>
    </row>
    <row r="30" ht="19.5" customHeight="1" s="88">
      <c r="A30" s="117" t="inlineStr">
        <is>
          <t>Hafta Uzunluğu (Gün)</t>
        </is>
      </c>
      <c r="B30" s="161" t="n">
        <v>7</v>
      </c>
      <c r="C30" s="162" t="n">
        <v>1</v>
      </c>
      <c r="D30" s="162" t="n">
        <v>14</v>
      </c>
      <c r="E30" s="144" t="inlineStr">
        <is>
          <t>gün</t>
        </is>
      </c>
      <c r="F30" s="140" t="inlineStr">
        <is>
          <t>Haftalık projeksiyonda kullanılan takvim haftası uzunluğu.</t>
        </is>
      </c>
      <c r="G30" s="140" t="inlineStr">
        <is>
          <t>Varsayım</t>
        </is>
      </c>
      <c r="H30" s="160" t="inlineStr">
        <is>
          <t>10.08.2026</t>
        </is>
      </c>
      <c r="I30" s="160" t="inlineStr">
        <is>
          <t>10.08.2026</t>
        </is>
      </c>
    </row>
    <row r="32" ht="15" customHeight="1" s="88">
      <c r="J32" s="87" t="inlineStr">
        <is>
          <t>durum_haritasi</t>
        </is>
      </c>
      <c r="K32" s="87" t="inlineStr">
        <is>
          <t>durum_id</t>
        </is>
      </c>
      <c r="L32" s="87" t="inlineStr">
        <is>
          <t>durum_adi</t>
        </is>
      </c>
      <c r="M32" s="87" t="inlineStr">
        <is>
          <t>izinli_sonraki</t>
        </is>
      </c>
      <c r="N32" s="87" t="inlineStr">
        <is>
          <t>kategori</t>
        </is>
      </c>
    </row>
    <row r="33" ht="15" customHeight="1" s="88">
      <c r="J33" s="87" t="inlineStr">
        <is>
          <t>HARITA</t>
        </is>
      </c>
      <c r="K33" s="87" t="inlineStr">
        <is>
          <t>ACIK</t>
        </is>
      </c>
      <c r="L33" s="87" t="inlineStr">
        <is>
          <t>Açık</t>
        </is>
      </c>
      <c r="M33" s="87" t="inlineStr">
        <is>
          <t>ISLEMDE</t>
        </is>
      </c>
      <c r="N33" s="87" t="inlineStr">
        <is>
          <t>acik</t>
        </is>
      </c>
    </row>
    <row r="34" ht="15" customHeight="1" s="88">
      <c r="J34" s="87" t="inlineStr">
        <is>
          <t>HARITA</t>
        </is>
      </c>
      <c r="K34" s="87" t="inlineStr">
        <is>
          <t>ISLEMDE</t>
        </is>
      </c>
      <c r="L34" s="87" t="inlineStr">
        <is>
          <t>İşlemde</t>
        </is>
      </c>
      <c r="M34" s="87" t="inlineStr">
        <is>
          <t>KAPALI</t>
        </is>
      </c>
      <c r="N34" s="87" t="inlineStr">
        <is>
          <t>acik</t>
        </is>
      </c>
    </row>
    <row r="35" ht="15" customHeight="1" s="88">
      <c r="J35" s="87" t="inlineStr">
        <is>
          <t>HARITA</t>
        </is>
      </c>
      <c r="K35" s="87" t="inlineStr">
        <is>
          <t>KAPALI</t>
        </is>
      </c>
      <c r="L35" s="87" t="inlineStr">
        <is>
          <t>Kapalı</t>
        </is>
      </c>
      <c r="M35" s="87" t="inlineStr">
        <is>
          <t>-</t>
        </is>
      </c>
      <c r="N35" s="87" t="inlineStr">
        <is>
          <t>kapali</t>
        </is>
      </c>
    </row>
    <row r="36" ht="15" customHeight="1" s="88">
      <c r="J36" s="87" t="inlineStr">
        <is>
          <t>HARITA</t>
        </is>
      </c>
      <c r="K36" s="87" t="inlineStr">
        <is>
          <t>GECERSIZ</t>
        </is>
      </c>
      <c r="L36" s="87" t="inlineStr">
        <is>
          <t>Geçersiz geçiş uyarısı</t>
        </is>
      </c>
      <c r="M36" s="87" t="inlineStr">
        <is>
          <t>-</t>
        </is>
      </c>
      <c r="N36" s="87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dataValidations count="16">
    <dataValidation sqref="B15" showDropDown="0" showInputMessage="1" showErrorMessage="1" allowBlank="0" error="Değer 0 ile 1000000000 arasında olmalıdır." promptTitle="Kasa Başlangıç Bakiyesi" prompt="NAKIT_PROJEKSIYONU dönem başı kasa hesabının başlangıç değeri." type="decimal" errorStyle="stop" operator="between">
      <formula1>0</formula1>
      <formula2>1000000000</formula2>
    </dataValidation>
    <dataValidation sqref="B16" showDropDown="0" showInputMessage="1" showErrorMessage="1" allowBlank="0" error="Değer 0 ile 100000000 arasında olmalıdır." promptTitle="Asgari Nakit Tamponu" prompt="Kullanılabilir para bu değerin altındaysa karar İNCELE olur." type="decimal" errorStyle="stop" operator="between">
      <formula1>0</formula1>
      <formula2>100000000</formula2>
    </dataValidation>
    <dataValidation sqref="B17" showDropDown="0" showInputMessage="1" showErrorMessage="1" allowBlank="0" error="Değer 1 ile 365 arasında olmalıdır." promptTitle="Kritik Ödeme Ufku (Gün)" prompt="Ödeme yükü hesaplanırken bakılan gün ufku." type="decimal" errorStyle="stop" operator="between">
      <formula1>1</formula1>
      <formula2>365</formula2>
    </dataValidation>
    <dataValidation sqref="B18" showDropDown="0" showInputMessage="1" showErrorMessage="1" allowBlank="0" error="Değer 0 ile 10000000 arasında olmalıdır." promptTitle="Kritik Risk Eşiği" prompt="Nakit açığı bu değerin altındaysa risk YÜKSEK, üzerindeyse KRİTİK sayılır." type="decimal" errorStyle="stop" operator="between">
      <formula1>0</formula1>
      <formula2>10000000</formula2>
    </dataValidation>
    <dataValidation sqref="B19" showDropDown="0" showInputMessage="1" showErrorMessage="1" allowBlank="0" error="Değer 1.0 ile 10.0 arasında olmalıdır." promptTitle="Anomali Katsayısı" prompt="En yüksek tek çıkışın günlük ortalamanın bu katından büyük olması anomali sayılır." type="decimal" errorStyle="stop" operator="between">
      <formula1>1</formula1>
      <formula2>10</formula2>
    </dataValidation>
    <dataValidation sqref="B20" showDropDown="0" showInputMessage="1" showErrorMessage="1" allowBlank="0" error="Değer 0 ile 100000 arasında olmalıdır." promptTitle="Mutabakat Toleransı" prompt="Fiziki kasa sayımında kabul edilebilir fark." type="decimal" errorStyle="stop" operator="between">
      <formula1>0</formula1>
      <formula2>100000</formula2>
    </dataValidation>
    <dataValidation sqref="B21" showDropDown="0" showInputMessage="1" showErrorMessage="1" allowBlank="0" error="Değer 1 ile 100000000000 arasında olmalıdır." promptTitle="Maksimum Hareket Tutarı" prompt="Tek hareketin azami tutarı; üzerindekiler AŞIRI TUTAR işaretlenir." type="decimal" errorStyle="stop" operator="between">
      <formula1>1</formula1>
      <formula2>100000000000</formula2>
    </dataValidation>
    <dataValidation sqref="B22" showDropDown="0" showInputMessage="1" showErrorMessage="1" allowBlank="0" error="Değer 0 ile 1 arasında olmalıdır." promptTitle="İyimser Tahsilat Oranı" prompt="İyimser senaryoda bekleyen tahsilatın artış oranı." type="decimal" errorStyle="stop" operator="between">
      <formula1>0</formula1>
      <formula2>1</formula2>
    </dataValidation>
    <dataValidation sqref="B23" showDropDown="0" showInputMessage="1" showErrorMessage="1" allowBlank="0" error="Değer 0 ile 1000000000 arasında olmalıdır." promptTitle="Kötümser Ek Ödeme" prompt="Kötümser senaryoda nakit durumuna eklenen beklenmedik ödeme." type="decimal" errorStyle="stop" operator="between">
      <formula1>0</formula1>
      <formula2>1000000000</formula2>
    </dataValidation>
    <dataValidation sqref="B24" showDropDown="0" showInputMessage="1" showErrorMessage="1" allowBlank="0" error="Değer 0.01 ile 1 arasında olmalıdır." promptTitle="Duyarlılık Değişim Oranı" prompt="Duyarlılık analizinde değişkenlerin marjinal etkisinin hesaplandığı değişim oranı." type="decimal" errorStyle="stop" operator="between">
      <formula1>0.01</formula1>
      <formula2>1</formula2>
    </dataValidation>
    <dataValidation sqref="B25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6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7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28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29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30" showDropDown="0" showInputMessage="1" showErrorMessage="1" allowBlank="0" error="Değer 1 ile 14 arasında olmalıdır." promptTitle="Hafta Uzunluğu (Gün)" prompt="Haftalık projeksiyonda kullanılan takvim haftası uzunluğu." type="decimal" errorStyle="stop" operator="between">
      <formula1>1</formula1>
      <formula2>14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1"/>
  </sheetPr>
  <dimension ref="A1:L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7" min="1" max="1"/>
  </cols>
  <sheetData>
    <row r="1" ht="25.5" customHeight="1" s="88">
      <c r="A1" s="100" t="inlineStr">
        <is>
          <t>KILAVUZ — AKILLI KASA DEFTERİ VE NAKİT KONTROL SİSTEMİ</t>
        </is>
      </c>
    </row>
    <row r="2" ht="18" customHeight="1" s="88">
      <c r="A2" s="170" t="inlineStr">
        <is>
          <t>AKILLI KASA DEFTERİ VE NAKİT KONTROL SİSTEMİ — KULLANIM KILAVUZU</t>
        </is>
      </c>
      <c r="L2" s="171" t="n"/>
    </row>
    <row r="4" ht="19.5" customHeight="1" s="88">
      <c r="A4" s="172" t="inlineStr">
        <is>
          <t>1. BU SİSTEM NE İŞE YARAR?</t>
        </is>
      </c>
    </row>
    <row r="5" ht="15.75" customHeight="1" s="88">
      <c r="A5" s="173" t="inlineStr">
        <is>
          <t>Kasadaki ve bankadaki paraların kullanılabilir kısmını, bekleyen ödemelerin açık riskini ve</t>
        </is>
      </c>
    </row>
    <row r="6" ht="15.75" customHeight="1" s="88">
      <c r="A6" s="173" t="inlineStr">
        <is>
          <t>hangilerinin önce ödeneceğini tek ekranda gösterir. Karar destek aracıdır; mali tavsiye değildir.</t>
        </is>
      </c>
    </row>
    <row r="8" ht="19.5" customHeight="1" s="88">
      <c r="A8" s="172" t="inlineStr">
        <is>
          <t>2. NASIL BAŞLARIM?</t>
        </is>
      </c>
    </row>
    <row r="9" ht="15.75" customHeight="1" s="88">
      <c r="A9" s="173" t="inlineStr">
        <is>
          <t>Adım 1: AYARLAR sayfasından firma bilgilerinizi ve eşik değerlerinizi kontrol edin.</t>
        </is>
      </c>
    </row>
    <row r="10" ht="15.75" customHeight="1" s="88">
      <c r="A10" s="173" t="inlineStr">
        <is>
          <t>Adım 2: KASA_HESAPLARI'na kasa ve banka hesaplarınızı girin.</t>
        </is>
      </c>
    </row>
    <row r="11" ht="15.75" customHeight="1" s="88">
      <c r="A11" s="173" t="inlineStr">
        <is>
          <t>Adım 3: KASA_HAREKETLERI'ne günlük giriş ve çıkışlarınızı işleyin.</t>
        </is>
      </c>
    </row>
    <row r="12" ht="15.75" customHeight="1" s="88">
      <c r="A12" s="173" t="inlineStr">
        <is>
          <t>Adım 4: ODEME_TAHSILAT_TAKVIMI'ne bekleyen ödeme ve tahsilatlarınızı ekleyin.</t>
        </is>
      </c>
    </row>
    <row r="13" ht="15.75" customHeight="1" s="88">
      <c r="A13" s="173" t="inlineStr">
        <is>
          <t>Adım 5: KARAR_MOTORU ve PANO sayfalarından kullanılabilir para, açık riski ve ödeme önerisini izleyin.</t>
        </is>
      </c>
    </row>
    <row r="15" ht="19.5" customHeight="1" s="88">
      <c r="A15" s="172" t="inlineStr">
        <is>
          <t>3. SARI HÜCRELER NE ANLAMA GELİR?</t>
        </is>
      </c>
    </row>
    <row r="16" ht="15.75" customHeight="1" s="88">
      <c r="A16" s="173" t="inlineStr">
        <is>
          <t>Açık sarı (krem) hücreler manuel veri girişi içindir. Diğer tüm hücreler kilitlidir;</t>
        </is>
      </c>
    </row>
    <row r="17" ht="15.75" customHeight="1" s="88">
      <c r="A17" s="173" t="inlineStr">
        <is>
          <t>formüller kazayla bozulmasın diye 1234 şifresiyle korunur.</t>
        </is>
      </c>
    </row>
    <row r="19" ht="19.5" customHeight="1" s="88">
      <c r="A19" s="172" t="inlineStr">
        <is>
          <t>4. SIK YAPILAN HATALAR</t>
        </is>
      </c>
    </row>
    <row r="20" ht="15.75" customHeight="1" s="88">
      <c r="A20" s="173" t="inlineStr">
        <is>
          <t>Aynı fişi iki kez girmek mükerrer sayılır.</t>
        </is>
      </c>
    </row>
    <row r="21" ht="15.75" customHeight="1" s="88">
      <c r="A21" s="173" t="inlineStr">
        <is>
          <t>Tutarı 0 veya negatif girmek SIFIR/NEGATİF uyarısı üretir.</t>
        </is>
      </c>
    </row>
    <row r="22" ht="15.75" customHeight="1" s="88">
      <c r="A22" s="173" t="inlineStr">
        <is>
          <t>Hesap sütununu boş bırakmak eksik kayıt üretir.</t>
        </is>
      </c>
    </row>
    <row r="23" ht="15.75" customHeight="1" s="88">
      <c r="A23" s="173" t="inlineStr">
        <is>
          <t>Mutabakat yapmadan raporu yorumlamak yanıltıcı olabilir; fark varsa kök nedeni girin.</t>
        </is>
      </c>
    </row>
    <row r="25" ht="19.5" customHeight="1" s="88">
      <c r="A25" s="172" t="inlineStr">
        <is>
          <t>5. KARARLAR NASIL OKUNUR?</t>
        </is>
      </c>
    </row>
    <row r="26" ht="15.75" customHeight="1" s="88">
      <c r="A26" s="173" t="inlineStr">
        <is>
          <t>UYGUN: kaynaklar bekleyen yükümlülüğü karşılıyor.</t>
        </is>
      </c>
    </row>
    <row r="27" ht="15.75" customHeight="1" s="88">
      <c r="A27" s="173" t="inlineStr">
        <is>
          <t>İNCELE: kullanılabilir para asgari tamponun altında.</t>
        </is>
      </c>
    </row>
    <row r="28" ht="15.75" customHeight="1" s="88">
      <c r="A28" s="173" t="inlineStr">
        <is>
          <t>DURDUR: nakit açığı var; yeni yükümlülük almayın, tahsilatı öne çekin.</t>
        </is>
      </c>
    </row>
    <row r="30" ht="19.5" customHeight="1" s="88">
      <c r="A30" s="172" t="inlineStr">
        <is>
          <t>6. GÜVENLİK VE LİSANS</t>
        </is>
      </c>
    </row>
    <row r="31" ht="15.75" customHeight="1" s="88">
      <c r="A31" s="173" t="inlineStr">
        <is>
          <t>Tüm sayfalar 1234 şifresiyle korumalıdır. Lisans kodu AYARLAR sayfasındadır.</t>
        </is>
      </c>
    </row>
    <row r="32" ht="15.75" customHeight="1" s="88">
      <c r="A32" s="173" t="inlineStr">
        <is>
          <t>Bu dosya ExcelArşiv ürünüdür; izinsiz dağıtılamaz.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6">
    <mergeCell ref="A30:K30"/>
    <mergeCell ref="A15:K15"/>
    <mergeCell ref="A11:K11"/>
    <mergeCell ref="A6:K6"/>
    <mergeCell ref="A25:K25"/>
    <mergeCell ref="A16:K16"/>
    <mergeCell ref="A27:K27"/>
    <mergeCell ref="A12:K12"/>
    <mergeCell ref="A26:K26"/>
    <mergeCell ref="A21:K21"/>
    <mergeCell ref="A2:K2"/>
    <mergeCell ref="A32:K32"/>
    <mergeCell ref="A5:K5"/>
    <mergeCell ref="A17:K17"/>
    <mergeCell ref="A23:K23"/>
    <mergeCell ref="A8:K8"/>
    <mergeCell ref="A22:K22"/>
    <mergeCell ref="A4:K4"/>
    <mergeCell ref="A20:K20"/>
    <mergeCell ref="A1:L1"/>
    <mergeCell ref="A19:K19"/>
    <mergeCell ref="A10:K10"/>
    <mergeCell ref="A28:K28"/>
    <mergeCell ref="A13:K13"/>
    <mergeCell ref="A9:K9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2026-08-10T00:02:32Z</dcterms:created>
  <dcterms:modified xmlns:dcterms="http://purl.org/dc/terms/" xmlns:xsi="http://www.w3.org/2001/XMLSchema-instance" xsi:type="dcterms:W3CDTF">2026-09-25T14:12:39Z</dcterms:modified>
  <cp:revision>0</cp:revision>
</cp:coreProperties>
</file>