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comments/comment8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GIRDI" sheetId="10" state="visible" r:id="rId10"/>
    <sheet xmlns:r="http://schemas.openxmlformats.org/officeDocument/2006/relationships" name="AMORTISMAN" sheetId="11" state="visible" r:id="rId11"/>
    <sheet xmlns:r="http://schemas.openxmlformats.org/officeDocument/2006/relationships" name="KURALLAR" sheetId="12" state="visible" r:id="rId12"/>
    <sheet xmlns:r="http://schemas.openxmlformats.org/officeDocument/2006/relationships" name="MOTOR" sheetId="13" state="visible" r:id="rId13"/>
    <sheet xmlns:r="http://schemas.openxmlformats.org/officeDocument/2006/relationships" name="SENARYO" sheetId="14" state="visible" r:id="rId14"/>
    <sheet xmlns:r="http://schemas.openxmlformats.org/officeDocument/2006/relationships" name="VAKALAR" sheetId="15" state="visible" r:id="rId15"/>
    <sheet xmlns:r="http://schemas.openxmlformats.org/officeDocument/2006/relationships" name="KANIT_RAPORU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hesapYili">GIRDI!$B$8</definedName>
    <definedName name="raporTarihi">AYARLAR!$B$7</definedName>
    <definedName name="ayd_maliyet">GIRDI!$B$9</definedName>
    <definedName name="ayd_netDefter">GIRDI!$B$15</definedName>
    <definedName name="ayd_fark">MOTOR!$G$20</definedName>
    <definedName name="ayd_fonGec32">MOTOR!$G$21</definedName>
    <definedName name="ayd_ozKaynak298">MOTOR!$G$23</definedName>
    <definedName name="ayd_kararMetni">MOTOR!$G$31</definedName>
    <definedName name="ayd_kararGerekce">MOTOR!$G$32</definedName>
    <definedName name="ayd_kararKapi">MOTOR!$G$31</definedName>
    <definedName name="ayd_amortismanCetvel">AMORTISMAN!$K$12</definedName>
    <definedName name="ayd_maddeAtifMetni">MOTOR!$G$52</definedName>
    <definedName name="ayd_kanitRaporu">MOTOR!$G$53</definedName>
    <definedName name="ayd_kuralYilMatris">KURALLAR!$B$17</definedName>
    <definedName name="ayd_parmakIzi">AYARLAR!$B$19</definedName>
    <definedName name="ayd_senaryoKarsilastirma">SENARYO!$B$11</definedName>
    <definedName name="ayd_yorumSenaryo">SENARYO!$B$12</definedName>
    <definedName name="ayd_duyarlilikSira">SENARYO!$B$19</definedName>
    <definedName name="ayd_yorumDuyarlilik">SENARYO!$B$20</definedName>
    <definedName name="ayd_kuralDegisimSenaryo">SENARYO!$B$22</definedName>
    <definedName name="ayd_yorumKuralDegisim">SENARYO!$B$23</definedName>
    <definedName name="ayd_tahminAralik">SENARYO!$B$32</definedName>
    <definedName name="ayd_yorumTahmin">SENARYO!$B$33</definedName>
    <definedName name="ayd_vakaDurum">VAKALAR!$B$12</definedName>
    <definedName name="ayd_vakaFark">VAKALAR!$B$13</definedName>
    <definedName name="ayd_tolerans">AYARLAR!$B$8</definedName>
    <definedName name="ayd_farkEsik">AYARLAR!$B$9</definedName>
    <definedName name="ayd_senaryoIyi">AYARLAR!$B$10</definedName>
    <definedName name="ayd_senaryoKotu">AYARLAR!$B$11</definedName>
    <definedName name="ayd_oranArtisPuan">AYARLAR!$B$12</definedName>
    <definedName name="ayd_tahminAlt">AYARLAR!$B$13</definedName>
    <definedName name="ayd_tahminUst">AYARLAR!$B$14</definedName>
    <definedName name="ayd_tornadoMaliyet">AYARLAR!$B$15</definedName>
    <definedName name="ayd_tornadoEndeks">AYARLAR!$B$16</definedName>
    <definedName name="ayd_tasarrufCarpan">AYARLAR!$B$17</definedName>
    <definedName name="ayd_yuzdelikOran">AYARLAR!$B$18</definedName>
    <definedName name="ayd_girisBeklenen">AYARLAR!$B$21</definedName>
    <definedName name="ayd_riskDusuk">AYARLAR!$B$22</definedName>
    <definedName name="ayd_riskOrta">AYARLAR!$B$23</definedName>
    <definedName name="ayd_riskYuksek">AYARLAR!$B$24</definedName>
    <definedName name="ayd_kararEsik">AYARLAR!$B$25</definedName>
    <definedName name="ayd_yilTaban">AYARLAR!$B$26</definedName>
    <definedName name="ayd_yuvarMax">AYARLAR!$B$27</definedName>
    <definedName name="vaka_maliyet_1">AYARLAR!$B$28</definedName>
    <definedName name="vaka_endeks_1">AYARLAR!$B$29</definedName>
    <definedName name="vaka_maliyet_2">AYARLAR!$B$30</definedName>
    <definedName name="vaka_endeks_2">AYARLAR!$B$31</definedName>
    <definedName name="vaka_maliyet_3">AYARLAR!$B$32</definedName>
    <definedName name="vaka_endeks_3">AYARLAR!$B$33</definedName>
    <definedName name="ayd_modulT1">PANO!$C$11</definedName>
    <definedName name="ayd_modulT1Yorum">PANO!$D$11</definedName>
    <definedName name="ayd_modulT2">PANO!$C$12</definedName>
    <definedName name="ayd_modulT2Yorum">PANO!$D$12</definedName>
    <definedName name="ayd_modulO1">PANO!$C$13</definedName>
    <definedName name="ayd_modulO1Yorum">PANO!$D$13</definedName>
    <definedName name="ayd_modulO6">PANO!$C$16</definedName>
    <definedName name="ayd_modulO6Yorum">PANO!$D$16</definedName>
    <definedName name="ayd_modulO8">PANO!$C$17</definedName>
    <definedName name="ayd_modulO8Yorum">PANO!$D$17</definedName>
    <definedName name="ayd_modulI2">PANO!$C$20</definedName>
    <definedName name="ayd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5">'KANIT_RAPORU'!$A$1:$F$32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0F2742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595959"/>
      <sz val="10"/>
    </font>
    <font>
      <name val="Segoe UI"/>
      <b val="1"/>
      <color rgb="000F2742"/>
      <sz val="13"/>
    </font>
    <font>
      <name val="Segoe UI"/>
      <color rgb="00333333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color rgb="00595959"/>
      <sz val="9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0" applyAlignment="1" applyProtection="1" pivotButton="0" quotePrefix="0" xfId="0">
      <alignment horizontal="left" vertical="center"/>
      <protection locked="0" hidden="0"/>
    </xf>
    <xf numFmtId="3" fontId="15" fillId="4" borderId="0" applyAlignment="1" applyProtection="1" pivotButton="0" quotePrefix="0" xfId="0">
      <alignment horizontal="left" vertical="center"/>
      <protection locked="0" hidden="0"/>
    </xf>
    <xf numFmtId="164" fontId="15" fillId="4" borderId="0" applyAlignment="1" applyProtection="1" pivotButton="0" quotePrefix="0" xfId="0">
      <alignment horizontal="left" vertical="center"/>
      <protection locked="0" hidden="0"/>
    </xf>
    <xf numFmtId="2" fontId="15" fillId="4" borderId="0" applyAlignment="1" applyProtection="1" pivotButton="0" quotePrefix="0" xfId="0">
      <alignment horizontal="left" vertical="center"/>
      <protection locked="0" hidden="0"/>
    </xf>
    <xf numFmtId="164" fontId="1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2" fontId="0" fillId="4" borderId="0" applyProtection="1" pivotButton="0" quotePrefix="0" xfId="0">
      <protection locked="0" hidden="0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2" fontId="14" fillId="4" borderId="0" applyAlignment="1" applyProtection="1" pivotButton="0" quotePrefix="0" xfId="0">
      <alignment horizontal="left" vertical="center"/>
      <protection locked="0" hidden="0"/>
    </xf>
    <xf numFmtId="165" fontId="14" fillId="4" borderId="0" applyAlignment="1" applyProtection="1" pivotButton="0" quotePrefix="0" xfId="0">
      <alignment horizontal="left" vertical="center"/>
      <protection locked="0" hidden="0"/>
    </xf>
    <xf numFmtId="3" fontId="14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1" fillId="4" borderId="0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3" fontId="11" fillId="4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31" fillId="0" borderId="0" pivotButton="0" quotePrefix="0" xfId="0"/>
    <xf numFmtId="167" fontId="31" fillId="0" borderId="0" pivotButton="0" quotePrefix="0" xfId="0"/>
    <xf numFmtId="167" fontId="32" fillId="0" borderId="0" pivotButton="0" quotePrefix="0" xfId="0"/>
    <xf numFmtId="168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32" fillId="0" borderId="0" pivotButton="0" quotePrefix="0" xfId="0"/>
    <xf numFmtId="0" fontId="36" fillId="9" borderId="2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2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1" fillId="11" borderId="2" applyAlignment="1" pivotButton="0" quotePrefix="0" xfId="0">
      <alignment horizontal="center"/>
    </xf>
    <xf numFmtId="0" fontId="28" fillId="0" borderId="4" pivotButton="0" quotePrefix="0" xfId="0"/>
    <xf numFmtId="0" fontId="43" fillId="12" borderId="2" applyAlignment="1" pivotButton="0" quotePrefix="0" xfId="0">
      <alignment horizontal="center"/>
    </xf>
    <xf numFmtId="0" fontId="42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4" fillId="0" borderId="4" pivotButton="0" quotePrefix="0" xfId="0"/>
    <xf numFmtId="0" fontId="45" fillId="0" borderId="5" pivotButton="0" quotePrefix="0" xfId="0"/>
    <xf numFmtId="0" fontId="42" fillId="0" borderId="3" pivotButton="0" quotePrefix="0" xfId="0"/>
    <xf numFmtId="0" fontId="37" fillId="0" borderId="4" pivotButton="0" quotePrefix="0" xfId="0"/>
    <xf numFmtId="0" fontId="42" fillId="0" borderId="5" pivotButton="0" quotePrefix="0" xfId="0"/>
    <xf numFmtId="0" fontId="46" fillId="14" borderId="0" applyAlignment="1" pivotButton="0" quotePrefix="0" xfId="0">
      <alignment horizontal="center"/>
    </xf>
    <xf numFmtId="0" fontId="47" fillId="0" borderId="0" pivotButton="0" quotePrefix="0" xfId="0"/>
    <xf numFmtId="0" fontId="46" fillId="15" borderId="0" applyAlignment="1" pivotButton="0" quotePrefix="0" xfId="0">
      <alignment horizontal="center" vertical="center"/>
    </xf>
    <xf numFmtId="0" fontId="47" fillId="0" borderId="2" pivotButton="0" quotePrefix="0" xfId="0"/>
    <xf numFmtId="0" fontId="48" fillId="0" borderId="2" pivotButton="0" quotePrefix="0" xfId="0"/>
    <xf numFmtId="0" fontId="49" fillId="0" borderId="2" pivotButton="0" quotePrefix="0" xfId="0"/>
    <xf numFmtId="0" fontId="50" fillId="16" borderId="2" applyAlignment="1" pivotButton="0" quotePrefix="0" xfId="0">
      <alignment horizontal="center"/>
    </xf>
    <xf numFmtId="0" fontId="46" fillId="7" borderId="0" pivotButton="0" quotePrefix="0" xfId="0"/>
    <xf numFmtId="0" fontId="51" fillId="7" borderId="0" pivotButton="0" quotePrefix="0" xfId="0"/>
    <xf numFmtId="0" fontId="52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0" fillId="0" borderId="0" pivotButton="0" quotePrefix="0" xfId="0"/>
    <xf numFmtId="0" fontId="55" fillId="17" borderId="0" pivotButton="0" quotePrefix="0" xfId="0"/>
    <xf numFmtId="0" fontId="0" fillId="17" borderId="0" pivotButton="0" quotePrefix="0" xfId="0"/>
    <xf numFmtId="0" fontId="42" fillId="0" borderId="0" pivotButton="0" quotePrefix="0" xfId="0"/>
    <xf numFmtId="0" fontId="3" fillId="17" borderId="0" pivotButton="0" quotePrefix="0" xfId="0"/>
    <xf numFmtId="0" fontId="56" fillId="17" borderId="0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13" borderId="6" applyAlignment="1" pivotButton="0" quotePrefix="0" xfId="0">
      <alignment horizontal="center" vertical="center"/>
    </xf>
    <xf numFmtId="0" fontId="57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1" fillId="11" borderId="0" applyAlignment="1" pivotButton="0" quotePrefix="0" xfId="0">
      <alignment horizontal="center" vertical="center"/>
    </xf>
    <xf numFmtId="0" fontId="42" fillId="13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59" fillId="19" borderId="2" applyAlignment="1" pivotButton="0" quotePrefix="0" xfId="0">
      <alignment horizontal="center"/>
    </xf>
    <xf numFmtId="0" fontId="60" fillId="19" borderId="2" applyAlignment="1" pivotButton="0" quotePrefix="0" xfId="0">
      <alignment horizontal="center"/>
    </xf>
    <xf numFmtId="0" fontId="59" fillId="19" borderId="2" pivotButton="0" quotePrefix="0" xfId="0"/>
    <xf numFmtId="169" fontId="60" fillId="19" borderId="2" applyAlignment="1" pivotButton="0" quotePrefix="0" xfId="0">
      <alignment horizontal="right"/>
    </xf>
    <xf numFmtId="9" fontId="59" fillId="19" borderId="2" applyAlignment="1" pivotButton="0" quotePrefix="0" xfId="0">
      <alignment horizontal="center"/>
    </xf>
    <xf numFmtId="169" fontId="59" fillId="19" borderId="2" applyAlignment="1" pivotButton="0" quotePrefix="0" xfId="0">
      <alignment horizontal="right"/>
    </xf>
    <xf numFmtId="0" fontId="42" fillId="19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59" fillId="18" borderId="2" pivotButton="0" quotePrefix="0" xfId="0"/>
    <xf numFmtId="169" fontId="60" fillId="18" borderId="2" applyAlignment="1" pivotButton="0" quotePrefix="0" xfId="0">
      <alignment horizontal="right"/>
    </xf>
    <xf numFmtId="9" fontId="59" fillId="18" borderId="2" applyAlignment="1" pivotButton="0" quotePrefix="0" xfId="0">
      <alignment horizontal="center"/>
    </xf>
    <xf numFmtId="169" fontId="59" fillId="18" borderId="2" applyAlignment="1" pivotButton="0" quotePrefix="0" xfId="0">
      <alignment horizontal="right"/>
    </xf>
    <xf numFmtId="0" fontId="47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3" fillId="7" borderId="0" applyAlignment="1" pivotButton="0" quotePrefix="0" xfId="0">
      <alignment vertical="center" indent="1"/>
    </xf>
    <xf numFmtId="169" fontId="61" fillId="7" borderId="0" applyAlignment="1" pivotButton="0" quotePrefix="0" xfId="0">
      <alignment horizontal="right" vertical="center"/>
    </xf>
    <xf numFmtId="0" fontId="62" fillId="0" borderId="7" pivotButton="0" quotePrefix="0" xfId="0"/>
    <xf numFmtId="0" fontId="63" fillId="0" borderId="7" pivotButton="0" quotePrefix="0" xfId="0"/>
    <xf numFmtId="0" fontId="64" fillId="0" borderId="7" pivotButton="0" quotePrefix="0" xfId="0"/>
    <xf numFmtId="0" fontId="65" fillId="20" borderId="2" applyAlignment="1" pivotButton="0" quotePrefix="0" xfId="0">
      <alignment horizontal="center" vertical="center"/>
    </xf>
    <xf numFmtId="0" fontId="69" fillId="11" borderId="2" applyAlignment="1" pivotButton="0" quotePrefix="0" xfId="0">
      <alignment horizontal="center" vertical="center"/>
    </xf>
    <xf numFmtId="0" fontId="66" fillId="0" borderId="2" pivotButton="0" quotePrefix="0" xfId="0"/>
    <xf numFmtId="0" fontId="65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40" fillId="0" borderId="2" applyAlignment="1" pivotButton="0" quotePrefix="0" xfId="0">
      <alignment horizontal="right"/>
    </xf>
    <xf numFmtId="0" fontId="67" fillId="0" borderId="2" applyAlignment="1" pivotButton="0" quotePrefix="0" xfId="0">
      <alignment horizontal="right"/>
    </xf>
    <xf numFmtId="0" fontId="68" fillId="12" borderId="8" applyAlignment="1" pivotButton="0" quotePrefix="0" xfId="0">
      <alignment horizontal="center" vertical="center"/>
    </xf>
    <xf numFmtId="0" fontId="70" fillId="11" borderId="9" applyAlignment="1" pivotButton="0" quotePrefix="0" xfId="0">
      <alignment horizontal="center" vertical="center"/>
    </xf>
    <xf numFmtId="0" fontId="66" fillId="0" borderId="0" pivotButton="0" quotePrefix="0" xfId="0"/>
    <xf numFmtId="0" fontId="71" fillId="21" borderId="0" applyAlignment="1" pivotButton="0" quotePrefix="0" xfId="0">
      <alignment horizontal="left" vertical="center" wrapText="1"/>
    </xf>
    <xf numFmtId="0" fontId="72" fillId="22" borderId="0" applyAlignment="1" pivotButton="0" quotePrefix="0" xfId="0">
      <alignment vertical="center" wrapText="1"/>
    </xf>
    <xf numFmtId="0" fontId="73" fillId="23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75" fillId="21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horizontal="left" vertical="center" wrapText="1"/>
    </xf>
    <xf numFmtId="0" fontId="72" fillId="24" borderId="0" applyAlignment="1" pivotButton="0" quotePrefix="0" xfId="0">
      <alignment vertical="center" wrapText="1"/>
    </xf>
    <xf numFmtId="0" fontId="76" fillId="25" borderId="0" applyAlignment="1" pivotButton="0" quotePrefix="0" xfId="0">
      <alignment vertical="top" wrapText="1"/>
    </xf>
    <xf numFmtId="0" fontId="71" fillId="26" borderId="0" applyAlignment="1" pivotButton="0" quotePrefix="0" xfId="0">
      <alignment horizontal="left" vertical="center" wrapText="1"/>
    </xf>
    <xf numFmtId="0" fontId="72" fillId="26" borderId="0" applyAlignment="1" pivotButton="0" quotePrefix="0" xfId="0">
      <alignment vertical="center" wrapText="1"/>
    </xf>
    <xf numFmtId="0" fontId="77" fillId="27" borderId="0" applyAlignment="1" pivotButton="0" quotePrefix="0" xfId="0">
      <alignment vertical="top" wrapText="1"/>
    </xf>
    <xf numFmtId="0" fontId="78" fillId="2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71" fillId="28" borderId="0" applyAlignment="1" pivotButton="0" quotePrefix="0" xfId="0">
      <alignment horizontal="left" vertical="center"/>
    </xf>
    <xf numFmtId="0" fontId="72" fillId="28" borderId="0" applyAlignment="1" pivotButton="0" quotePrefix="0" xfId="0">
      <alignment vertical="center" wrapText="1"/>
    </xf>
    <xf numFmtId="0" fontId="80" fillId="29" borderId="0" applyAlignment="1" pivotButton="0" quotePrefix="0" xfId="0">
      <alignment vertical="top" wrapText="1"/>
    </xf>
    <xf numFmtId="0" fontId="81" fillId="30" borderId="0" applyAlignment="1" pivotButton="0" quotePrefix="0" xfId="0">
      <alignment vertical="top" wrapText="1"/>
    </xf>
    <xf numFmtId="0" fontId="71" fillId="31" borderId="0" applyAlignment="1" pivotButton="0" quotePrefix="0" xfId="0">
      <alignment horizontal="left" vertical="center"/>
    </xf>
    <xf numFmtId="0" fontId="72" fillId="31" borderId="0" applyAlignment="1" pivotButton="0" quotePrefix="0" xfId="0">
      <alignment vertical="center" wrapText="1"/>
    </xf>
    <xf numFmtId="0" fontId="82" fillId="30" borderId="0" applyAlignment="1" pivotButton="0" quotePrefix="0" xfId="0">
      <alignment vertical="top" wrapText="1"/>
    </xf>
    <xf numFmtId="0" fontId="71" fillId="32" borderId="0" applyAlignment="1" pivotButton="0" quotePrefix="0" xfId="0">
      <alignment horizontal="left" vertical="center"/>
    </xf>
    <xf numFmtId="0" fontId="72" fillId="32" borderId="0" applyAlignment="1" pivotButton="0" quotePrefix="0" xfId="0">
      <alignment vertical="center" wrapText="1"/>
    </xf>
    <xf numFmtId="0" fontId="83" fillId="33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  <xf numFmtId="169" fontId="24" fillId="0" borderId="3" pivotButton="0" quotePrefix="0" xfId="0"/>
    <xf numFmtId="169" fontId="44" fillId="0" borderId="4" pivotButton="0" quotePrefix="0" xfId="0"/>
    <xf numFmtId="169" fontId="47" fillId="0" borderId="2" pivotButton="0" quotePrefix="0" xfId="0"/>
    <xf numFmtId="169" fontId="48" fillId="0" borderId="2" pivotButton="0" quotePrefix="0" xfId="0"/>
    <xf numFmtId="169" fontId="51" fillId="7" borderId="0" pivotButton="0" quotePrefix="0" xfId="0"/>
    <xf numFmtId="169" fontId="52" fillId="7" borderId="0" pivotButton="0" quotePrefix="0" xfId="0"/>
    <xf numFmtId="169" fontId="70" fillId="9" borderId="2" applyAlignment="1" pivotButton="0" quotePrefix="0" xfId="0">
      <alignment horizontal="right"/>
    </xf>
    <xf numFmtId="169" fontId="40" fillId="0" borderId="2" applyAlignment="1" pivotButton="0" quotePrefix="0" xfId="0">
      <alignment horizontal="right"/>
    </xf>
    <xf numFmtId="169" fontId="67" fillId="0" borderId="2" applyAlignment="1" pivotButton="0" quotePrefix="0" xfId="0">
      <alignment horizontal="right"/>
    </xf>
    <xf numFmtId="170" fontId="67" fillId="0" borderId="2" applyAlignment="1" pivotButton="0" quotePrefix="0" xfId="0">
      <alignment horizontal="right"/>
    </xf>
    <xf numFmtId="0" fontId="85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6" fillId="0" borderId="0" applyAlignment="1" pivotButton="0" quotePrefix="0" xfId="0">
      <alignment horizontal="left" vertical="center"/>
    </xf>
    <xf numFmtId="0" fontId="40" fillId="18" borderId="2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87" fillId="18" borderId="2" applyAlignment="1" pivotButton="0" quotePrefix="0" xfId="0">
      <alignment horizontal="center" vertical="center"/>
    </xf>
    <xf numFmtId="0" fontId="58" fillId="1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88" fillId="18" borderId="35" applyAlignment="1" pivotButton="0" quotePrefix="0" xfId="0">
      <alignment vertical="center" indent="1"/>
    </xf>
    <xf numFmtId="0" fontId="0" fillId="18" borderId="36" pivotButton="0" quotePrefix="0" xfId="0"/>
    <xf numFmtId="0" fontId="89" fillId="11" borderId="2" applyAlignment="1" pivotButton="0" quotePrefix="0" xfId="0">
      <alignment horizontal="center" vertical="center"/>
    </xf>
    <xf numFmtId="0" fontId="88" fillId="18" borderId="44" applyAlignment="1" pivotButton="0" quotePrefix="0" xfId="0">
      <alignment vertical="center" indent="1"/>
    </xf>
    <xf numFmtId="0" fontId="91" fillId="12" borderId="2" applyAlignment="1" pivotButton="0" quotePrefix="0" xfId="0">
      <alignment horizontal="center" vertical="center"/>
    </xf>
    <xf numFmtId="0" fontId="88" fillId="18" borderId="47" applyAlignment="1" pivotButton="0" quotePrefix="0" xfId="0">
      <alignment vertical="center" indent="1"/>
    </xf>
    <xf numFmtId="0" fontId="93" fillId="35" borderId="2" applyAlignment="1" pivotButton="0" quotePrefix="0" xfId="0">
      <alignment horizontal="center" vertical="center"/>
    </xf>
    <xf numFmtId="0" fontId="88" fillId="18" borderId="50" applyAlignment="1" pivotButton="0" quotePrefix="0" xfId="0">
      <alignment vertical="center" indent="1"/>
    </xf>
    <xf numFmtId="0" fontId="94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0" fillId="18" borderId="38" applyAlignment="1" pivotButton="0" quotePrefix="0" xfId="0">
      <alignment vertical="center" indent="1"/>
    </xf>
    <xf numFmtId="169" fontId="92" fillId="18" borderId="45" applyAlignment="1" pivotButton="0" quotePrefix="0" xfId="0">
      <alignment vertical="center" indent="1"/>
    </xf>
    <xf numFmtId="169" fontId="90" fillId="18" borderId="48" applyAlignment="1" pivotButton="0" quotePrefix="0" xfId="0">
      <alignment vertical="center" indent="1"/>
    </xf>
    <xf numFmtId="0" fontId="90" fillId="18" borderId="51" applyAlignment="1" pivotButton="0" quotePrefix="0" xfId="0">
      <alignment vertical="center" indent="1"/>
    </xf>
    <xf numFmtId="0" fontId="37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7" fillId="18" borderId="46" applyAlignment="1" pivotButton="0" quotePrefix="0" xfId="0">
      <alignment vertical="center" indent="1"/>
    </xf>
    <xf numFmtId="0" fontId="37" fillId="18" borderId="49" applyAlignment="1" pivotButton="0" quotePrefix="0" xfId="0">
      <alignment vertical="center" indent="1"/>
    </xf>
    <xf numFmtId="0" fontId="37" fillId="18" borderId="52" applyAlignment="1" pivotButton="0" quotePrefix="0" xfId="0">
      <alignment vertical="center" indent="1"/>
    </xf>
    <xf numFmtId="0" fontId="95" fillId="0" borderId="0" pivotButton="0" quotePrefix="0" xfId="0"/>
    <xf numFmtId="0" fontId="96" fillId="35" borderId="2" applyAlignment="1" pivotButton="0" quotePrefix="0" xfId="0">
      <alignment horizontal="center" vertical="center"/>
    </xf>
    <xf numFmtId="0" fontId="97" fillId="19" borderId="2" applyAlignment="1" pivotButton="0" quotePrefix="0" xfId="0">
      <alignment horizontal="center" vertical="center"/>
    </xf>
    <xf numFmtId="0" fontId="58" fillId="7" borderId="53" applyAlignment="1" pivotButton="0" quotePrefix="0" xfId="0">
      <alignment horizontal="left" vertical="center" indent="1"/>
    </xf>
    <xf numFmtId="0" fontId="58" fillId="7" borderId="53" applyAlignment="1" pivotButton="0" quotePrefix="0" xfId="0">
      <alignment horizontal="center" vertical="center"/>
    </xf>
    <xf numFmtId="0" fontId="98" fillId="18" borderId="2" applyAlignment="1" pivotButton="0" quotePrefix="0" xfId="0">
      <alignment horizontal="center" vertical="center"/>
    </xf>
    <xf numFmtId="0" fontId="40" fillId="18" borderId="2" applyAlignment="1" pivotButton="0" quotePrefix="0" xfId="0">
      <alignment vertical="center" indent="1"/>
    </xf>
    <xf numFmtId="169" fontId="40" fillId="18" borderId="2" applyAlignment="1" pivotButton="0" quotePrefix="0" xfId="0">
      <alignment horizontal="right" vertical="center"/>
    </xf>
    <xf numFmtId="169" fontId="65" fillId="18" borderId="2" applyAlignment="1" pivotButton="0" quotePrefix="0" xfId="0">
      <alignment horizontal="right" vertical="center"/>
    </xf>
    <xf numFmtId="0" fontId="99" fillId="18" borderId="2" applyAlignment="1" pivotButton="0" quotePrefix="0" xfId="0">
      <alignment horizontal="center" vertical="center"/>
    </xf>
    <xf numFmtId="0" fontId="100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98" fillId="19" borderId="2" applyAlignment="1" pivotButton="0" quotePrefix="0" xfId="0">
      <alignment horizontal="center" vertical="center"/>
    </xf>
    <xf numFmtId="0" fontId="40" fillId="19" borderId="2" applyAlignment="1" pivotButton="0" quotePrefix="0" xfId="0">
      <alignment vertical="center" indent="1"/>
    </xf>
    <xf numFmtId="169" fontId="40" fillId="19" borderId="2" applyAlignment="1" pivotButton="0" quotePrefix="0" xfId="0">
      <alignment horizontal="right" vertical="center"/>
    </xf>
    <xf numFmtId="169" fontId="65" fillId="19" borderId="2" applyAlignment="1" pivotButton="0" quotePrefix="0" xfId="0">
      <alignment horizontal="right" vertical="center"/>
    </xf>
    <xf numFmtId="0" fontId="99" fillId="19" borderId="2" applyAlignment="1" pivotButton="0" quotePrefix="0" xfId="0">
      <alignment horizontal="center" vertical="center"/>
    </xf>
    <xf numFmtId="0" fontId="101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2" fillId="16" borderId="2" applyAlignment="1" pivotButton="0" quotePrefix="0" xfId="0">
      <alignment horizontal="center" vertical="center"/>
    </xf>
    <xf numFmtId="0" fontId="103" fillId="37" borderId="2" applyAlignment="1" pivotButton="0" quotePrefix="0" xfId="0">
      <alignment horizontal="center" vertical="center"/>
    </xf>
    <xf numFmtId="0" fontId="3" fillId="7" borderId="54" applyAlignment="1" pivotButton="0" quotePrefix="0" xfId="0">
      <alignment vertical="center" indent="1"/>
    </xf>
    <xf numFmtId="169" fontId="104" fillId="7" borderId="54" applyAlignment="1" pivotButton="0" quotePrefix="0" xfId="0">
      <alignment horizontal="right" vertical="center"/>
    </xf>
    <xf numFmtId="169" fontId="105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6" fillId="7" borderId="54" applyAlignment="1" pivotButton="0" quotePrefix="0" xfId="0">
      <alignment horizontal="center" vertical="center"/>
    </xf>
    <xf numFmtId="0" fontId="107" fillId="18" borderId="55" applyAlignment="1" pivotButton="0" quotePrefix="0" xfId="0">
      <alignment vertical="center" indent="1"/>
    </xf>
    <xf numFmtId="0" fontId="0" fillId="18" borderId="37" pivotButton="0" quotePrefix="0" xfId="0"/>
    <xf numFmtId="0" fontId="113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08" fillId="18" borderId="56" applyAlignment="1" pivotButton="0" quotePrefix="0" xfId="0">
      <alignment vertical="center" indent="1"/>
    </xf>
    <xf numFmtId="0" fontId="99" fillId="18" borderId="56" pivotButton="0" quotePrefix="0" xfId="0"/>
    <xf numFmtId="0" fontId="108" fillId="18" borderId="40" pivotButton="0" quotePrefix="0" xfId="0"/>
    <xf numFmtId="0" fontId="9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09" fillId="18" borderId="56" applyAlignment="1" pivotButton="0" quotePrefix="0" xfId="0">
      <alignment vertical="center" indent="1"/>
    </xf>
    <xf numFmtId="0" fontId="56" fillId="17" borderId="61" applyAlignment="1" pivotButton="0" quotePrefix="0" xfId="0">
      <alignment vertical="center" indent="1"/>
    </xf>
    <xf numFmtId="0" fontId="110" fillId="18" borderId="56" applyAlignment="1" pivotButton="0" quotePrefix="0" xfId="0">
      <alignment vertical="center" indent="1"/>
    </xf>
    <xf numFmtId="0" fontId="0" fillId="35" borderId="2" pivotButton="0" quotePrefix="0" xfId="0"/>
    <xf numFmtId="0" fontId="111" fillId="18" borderId="56" applyAlignment="1" pivotButton="0" quotePrefix="0" xfId="0">
      <alignment vertical="center" indent="1"/>
    </xf>
    <xf numFmtId="0" fontId="112" fillId="38" borderId="2" applyAlignment="1" pivotButton="0" quotePrefix="0" xfId="0">
      <alignment horizontal="center" vertical="center"/>
    </xf>
    <xf numFmtId="0" fontId="114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2" fillId="0" borderId="7" pivotButton="0" quotePrefix="0" xfId="0"/>
    <xf numFmtId="0" fontId="108" fillId="0" borderId="7" pivotButton="0" quotePrefix="0" xfId="0"/>
    <xf numFmtId="0" fontId="115" fillId="12" borderId="63" applyAlignment="1" pivotButton="0" quotePrefix="0" xfId="0">
      <alignment vertical="center" indent="1"/>
    </xf>
    <xf numFmtId="0" fontId="120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6" fillId="18" borderId="64" pivotButton="0" quotePrefix="0" xfId="0"/>
    <xf numFmtId="0" fontId="117" fillId="18" borderId="39" applyAlignment="1" pivotButton="0" quotePrefix="0" xfId="0">
      <alignment horizontal="right" vertical="center"/>
    </xf>
    <xf numFmtId="0" fontId="116" fillId="18" borderId="68" pivotButton="0" quotePrefix="0" xfId="0"/>
    <xf numFmtId="0" fontId="121" fillId="18" borderId="39" applyAlignment="1" pivotButton="0" quotePrefix="0" xfId="0">
      <alignment horizontal="right" vertical="center"/>
    </xf>
    <xf numFmtId="169" fontId="107" fillId="18" borderId="39" applyAlignment="1" pivotButton="0" quotePrefix="0" xfId="0">
      <alignment horizontal="right" vertical="center"/>
    </xf>
    <xf numFmtId="169" fontId="118" fillId="18" borderId="39" applyAlignment="1" pivotButton="0" quotePrefix="0" xfId="0">
      <alignment horizontal="right" vertical="center"/>
    </xf>
    <xf numFmtId="170" fontId="118" fillId="18" borderId="39" applyAlignment="1" pivotButton="0" quotePrefix="0" xfId="0">
      <alignment horizontal="right" vertical="center"/>
    </xf>
    <xf numFmtId="0" fontId="118" fillId="18" borderId="39" applyAlignment="1" pivotButton="0" quotePrefix="0" xfId="0">
      <alignment horizontal="right" vertical="center"/>
    </xf>
    <xf numFmtId="0" fontId="119" fillId="12" borderId="66" applyAlignment="1" pivotButton="0" quotePrefix="0" xfId="0">
      <alignment horizontal="center" vertical="center"/>
    </xf>
    <xf numFmtId="0" fontId="70" fillId="11" borderId="70" applyAlignment="1" pivotButton="0" quotePrefix="0" xfId="0">
      <alignment horizontal="center" vertical="center"/>
    </xf>
    <xf numFmtId="0" fontId="95" fillId="18" borderId="55" applyAlignment="1" pivotButton="0" quotePrefix="0" xfId="0">
      <alignment vertical="center" indent="1"/>
    </xf>
    <xf numFmtId="0" fontId="0" fillId="18" borderId="56" pivotButton="0" quotePrefix="0" xfId="0"/>
    <xf numFmtId="0" fontId="107" fillId="18" borderId="56" applyAlignment="1" pivotButton="0" quotePrefix="0" xfId="0">
      <alignment vertical="center" indent="1"/>
    </xf>
    <xf numFmtId="0" fontId="99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</dxf>
    <dxf>
      <font>
        <b val="1"/>
        <color rgb="001F7A4D"/>
      </font>
    </dxf>
    <dxf>
      <font>
        <b val="1"/>
        <color rgb="00B3261E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Amortisman Önce vs Sonra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'AMORTISMAN'!K15</f>
            </strRef>
          </tx>
          <spPr>
            <a:ln xmlns:a="http://schemas.openxmlformats.org/drawingml/2006/main">
              <a:prstDash val="solid"/>
            </a:ln>
          </spPr>
          <cat>
            <numRef>
              <f>'AMORTISMAN'!$A$16:$A$25</f>
            </numRef>
          </cat>
          <val>
            <numRef>
              <f>'AMORTISMAN'!$K$16:$K$25</f>
            </numRef>
          </val>
        </ser>
        <ser>
          <idx val="1"/>
          <order val="1"/>
          <tx>
            <strRef>
              <f>'AMORTISMAN'!L15</f>
            </strRef>
          </tx>
          <spPr>
            <a:ln xmlns:a="http://schemas.openxmlformats.org/drawingml/2006/main">
              <a:prstDash val="solid"/>
            </a:ln>
          </spPr>
          <cat>
            <numRef>
              <f>'AMORTISMAN'!$A$16:$A$25</f>
            </numRef>
          </cat>
          <val>
            <numRef>
              <f>'AMORTISMAN'!$L$16:$L$25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Kümülatif Amortisman Trendi</a:t>
            </a:r>
          </a:p>
        </rich>
      </tx>
    </title>
    <plotArea>
      <lineChart>
        <grouping val="standard"/>
        <ser>
          <idx val="0"/>
          <order val="0"/>
          <tx>
            <strRef>
              <f>'AMORTISMAN'!K15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'AMORTISMAN'!$A$16:$A$25</f>
            </numRef>
          </cat>
          <val>
            <numRef>
              <f>'AMORTISMAN'!$K$16:$K$25</f>
            </numRef>
          </val>
        </ser>
        <ser>
          <idx val="1"/>
          <order val="1"/>
          <tx>
            <strRef>
              <f>'AMORTISMAN'!L15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'AMORTISMAN'!$A$16:$A$25</f>
            </numRef>
          </cat>
          <val>
            <numRef>
              <f>'AMORTISMAN'!$L$16:$L$25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Fark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Farkları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Kurum Adı | Neden önemli: Yeniden değerleme kararını etkiler | Doğru kullanım: Kurumun resmi unvanını yazın. | Örnek: demo satırına bakın | Yanlışsa: Amortisman cetveli ve karar bozulur | Kaynak: VUK 298/Ç · Geçici 32</t>
      </text>
    </comment>
    <comment ref="B7" authorId="0" shapeId="0">
      <text>
        <t>Tanım: Dönem | Neden önemli: Yeniden değerleme kararını etkiler | Doğru kullanım: Vergi dönemi etiketini yazın (ör. 2025). | Örnek: demo satırına bakın | Yanlışsa: Amortisman cetveli ve karar bozulur | Kaynak: VUK 298/Ç · Geçici 32</t>
      </text>
    </comment>
    <comment ref="B8" authorId="0" shapeId="0">
      <text>
        <t>Tanım: Hesap Yılı | Neden önemli: Yeniden değerleme kararını etkiler | Doğru kullanım: 2025, 2026 veya 2027 seçin. | Örnek: demo satırına bakın | Yanlışsa: Amortisman cetveli ve karar bozulur | Kaynak: VUK 298/Ç · Geçici 32</t>
      </text>
    </comment>
    <comment ref="B9" authorId="0" shapeId="0">
      <text>
        <t>Tanım: Maliyet (iktisap) [₺] | Neden önemli: Yeniden değerleme kararını etkiler | Doğru kullanım: Sabit kıymetin iktisap maliyetini TL girin. | Örnek: demo satırına bakın | Yanlışsa: Amortisman cetveli ve karar bozulur | Kaynak: VUK 298/Ç · Geçici 32</t>
      </text>
    </comment>
    <comment ref="B10" authorId="0" shapeId="0">
      <text>
        <t>Tanım: Birikmiş Amortisman [₺] | Neden önemli: Yeniden değerleme kararını etkiler | Doğru kullanım: Birikmiş amortisman tutarını TL girin. | Örnek: demo satırına bakın | Yanlışsa: Amortisman cetveli ve karar bozulur | Kaynak: VUK 298/Ç · Geçici 32</t>
      </text>
    </comment>
    <comment ref="B11" authorId="0" shapeId="0">
      <text>
        <t>Tanım: Endeks Oranı [çarpan] | Neden önemli: Yeniden değerleme kararını etkiler | Doğru kullanım: Yeniden değerleme endeks çarpanını girin (ör. 1,45). | Örnek: demo satırına bakın | Yanlışsa: Amortisman cetveli ve karar bozulur | Kaynak: VUK 298/Ç · Geçici 32</t>
      </text>
    </comment>
    <comment ref="B12" authorId="0" shapeId="0">
      <text>
        <t>Tanım: Kalan Ömür [yıl] | Neden önemli: Yeniden değerleme kararını etkiler | Doğru kullanım: Kalan ekonomik ömrü yıl olarak girin. | Örnek: demo satırına bakın | Yanlışsa: Amortisman cetveli ve karar bozulur | Kaynak: VUK 298/Ç · Geçici 32</t>
      </text>
    </comment>
    <comment ref="B13" authorId="0" shapeId="0">
      <text>
        <t>Tanım: Öncelik Yorumu (A/B) | Neden önemli: Yeniden değerleme kararını etkiler | Doğru kullanım: A=298/Ç öncelik, B=Geç.32 öncelik. | Örnek: demo satırına bakın | Yanlışsa: Amortisman cetveli ve karar bozulur | Kaynak: VUK 298/Ç · Geçici 32</t>
      </text>
    </comment>
    <comment ref="A22" authorId="0" shapeId="0">
      <text>
        <t>Tanım: kurum_adi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2" authorId="0" shapeId="0">
      <text>
        <t>Tanım: kurum_adi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2" authorId="0" shapeId="0">
      <text>
        <t>Tanım: kurum_adi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2" authorId="0" shapeId="0">
      <text>
        <t>Tanım: kurum_adi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2" authorId="0" shapeId="0">
      <text>
        <t>Tanım: kurum_adi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3" authorId="0" shapeId="0">
      <text>
        <t>Tanım: donem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3" authorId="0" shapeId="0">
      <text>
        <t>Tanım: donem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3" authorId="0" shapeId="0">
      <text>
        <t>Tanım: donem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3" authorId="0" shapeId="0">
      <text>
        <t>Tanım: donem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3" authorId="0" shapeId="0">
      <text>
        <t>Tanım: donem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4" authorId="0" shapeId="0">
      <text>
        <t>Tanım: hesapYili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4" authorId="0" shapeId="0">
      <text>
        <t>Tanım: hesapYili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4" authorId="0" shapeId="0">
      <text>
        <t>Tanım: hesapYili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4" authorId="0" shapeId="0">
      <text>
        <t>Tanım: hesapYili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4" authorId="0" shapeId="0">
      <text>
        <t>Tanım: hesapYili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5" authorId="0" shapeId="0">
      <text>
        <t>Tanım: maliyet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5" authorId="0" shapeId="0">
      <text>
        <t>Tanım: maliyet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5" authorId="0" shapeId="0">
      <text>
        <t>Tanım: maliyet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5" authorId="0" shapeId="0">
      <text>
        <t>Tanım: maliyet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5" authorId="0" shapeId="0">
      <text>
        <t>Tanım: maliyet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6" authorId="0" shapeId="0">
      <text>
        <t>Tanım: birikmis_amortisman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6" authorId="0" shapeId="0">
      <text>
        <t>Tanım: birikmis_amortisman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6" authorId="0" shapeId="0">
      <text>
        <t>Tanım: birikmis_amortisman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6" authorId="0" shapeId="0">
      <text>
        <t>Tanım: birikmis_amortisman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6" authorId="0" shapeId="0">
      <text>
        <t>Tanım: birikmis_amortisman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7" authorId="0" shapeId="0">
      <text>
        <t>Tanım: endeks_orani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7" authorId="0" shapeId="0">
      <text>
        <t>Tanım: endeks_orani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7" authorId="0" shapeId="0">
      <text>
        <t>Tanım: endeks_orani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7" authorId="0" shapeId="0">
      <text>
        <t>Tanım: endeks_orani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7" authorId="0" shapeId="0">
      <text>
        <t>Tanım: endeks_orani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8" authorId="0" shapeId="0">
      <text>
        <t>Tanım: kalan_omur_yil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8" authorId="0" shapeId="0">
      <text>
        <t>Tanım: kalan_omur_yil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8" authorId="0" shapeId="0">
      <text>
        <t>Tanım: kalan_omur_yil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8" authorId="0" shapeId="0">
      <text>
        <t>Tanım: kalan_omur_yil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8" authorId="0" shapeId="0">
      <text>
        <t>Tanım: kalan_omur_yil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A29" authorId="0" shapeId="0">
      <text>
        <t>Tanım: oncelik_yorumu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B29" authorId="0" shapeId="0">
      <text>
        <t>Tanım: oncelik_yorumu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C29" authorId="0" shapeId="0">
      <text>
        <t>Tanım: oncelik_yorumu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D29" authorId="0" shapeId="0">
      <text>
        <t>Tanım: oncelik_yorumu | Neden önemli: Yeniden değerleme kararını etkiler | Doğru kullanım: Tablo girişi; PANO ile senkron tutun | Örnek: demo satırına bakın | Yanlışsa: Amortisman cetveli ve karar bozulur | Kaynak: VUK 298/Ç · Geçici 32</t>
      </text>
    </comment>
    <comment ref="E29" authorId="0" shapeId="0">
      <text>
        <t>Tanım: oncelik_yorumu | Neden önemli: Yeniden değerleme kararını etkiler | Doğru kullanım: Tablo girişi; PANO ile senkron tutun | Örnek: demo satırına bakın | Yanlışsa: Amortisman cetveli ve karar bozulur | Kaynak: VUK 298/Ç · Geçici 32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7" authorId="0" shapeId="0">
      <text>
        <t>Tanım: Net defter (önce) [₺] | Neden önemli: Yeniden değerleme kararını etkiler | Doğru kullanım: Amortisman özeti; GIRDI ve MOTOR'dan gelir | Örnek: demo satırına bakın | Yanlışsa: Amortisman cetveli ve karar bozulur | Kaynak: VUK 298/Ç · Geçici 32</t>
      </text>
    </comment>
    <comment ref="B8" authorId="0" shapeId="0">
      <text>
        <t>Tanım: Değer artış farkı [₺] | Neden önemli: Yeniden değerleme kararını etkiler | Doğru kullanım: Amortisman özeti; GIRDI ve MOTOR'dan gelir | Örnek: demo satırına bakın | Yanlışsa: Amortisman cetveli ve karar bozulur | Kaynak: VUK 298/Ç · Geçici 32</t>
      </text>
    </comment>
    <comment ref="B9" authorId="0" shapeId="0">
      <text>
        <t>Tanım: Yıllık amortisman önce [₺] | Neden önemli: Yeniden değerleme kararını etkiler | Doğru kullanım: Amortisman özeti; GIRDI ve MOTOR'dan gelir | Örnek: demo satırına bakın | Yanlışsa: Amortisman cetveli ve karar bozulur | Kaynak: VUK 298/Ç · Geçici 32</t>
      </text>
    </comment>
    <comment ref="B10" authorId="0" shapeId="0">
      <text>
        <t>Tanım: Yıllık amortisman sonra [₺] | Neden önemli: Yeniden değerleme kararını etkiler | Doğru kullanım: Amortisman özeti; GIRDI ve MOTOR'dan gelir | Örnek: demo satırına bakın | Yanlışsa: Amortisman cetveli ve karar bozulur | Kaynak: VUK 298/Ç · Geçici 32</t>
      </text>
    </comment>
    <comment ref="B11" authorId="0" shapeId="0">
      <text>
        <t>Tanım: Yıllık amortisman farkı [₺] | Neden önemli: Yeniden değerleme kararını etkiler | Doğru kullanım: Amortisman özeti; GIRDI ve MOTOR'dan gelir | Örnek: demo satırına bakın | Yanlışsa: Amortisman cetveli ve karar bozulur | Kaynak: VUK 298/Ç · Geçici 32</t>
      </text>
    </comment>
    <comment ref="A16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17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18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19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0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1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2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3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4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5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6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7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8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29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0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1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2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3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4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5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6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7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8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39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0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1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2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3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4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5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6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7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8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49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50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51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52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53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54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  <comment ref="A55" authorId="0" shapeId="0">
      <text>
        <t>Tanım: Yıl | Neden önemli: Yeniden değerleme kararını etkiler | Doğru kullanım: Cetvel yılı; kalan ömür dışındakiler DIŞI olur | Örnek: demo satırına bakın | Yanlışsa: Amortisman cetveli ve karar bozulur | Kaynak: VUK 298/Ç · Geçici 32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endeks_taban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G7" authorId="0" shapeId="0">
      <text>
        <t>Tanım: endeks_taban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H7" authorId="0" shapeId="0">
      <text>
        <t>Tanım: endeks_taban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F8" authorId="0" shapeId="0">
      <text>
        <t>Tanım: gec32_fon_orani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G8" authorId="0" shapeId="0">
      <text>
        <t>Tanım: gec32_fon_orani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H8" authorId="0" shapeId="0">
      <text>
        <t>Tanım: gec32_fon_orani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F9" authorId="0" shapeId="0">
      <text>
        <t>Tanım: kv_oran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G9" authorId="0" shapeId="0">
      <text>
        <t>Tanım: kv_oran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H9" authorId="0" shapeId="0">
      <text>
        <t>Tanım: kv_oran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F10" authorId="0" shapeId="0">
      <text>
        <t>Tanım: c298_fon_orani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G10" authorId="0" shapeId="0">
      <text>
        <t>Tanım: c298_fon_orani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H10" authorId="0" shapeId="0">
      <text>
        <t>Tanım: c298_fon_orani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F11" authorId="0" shapeId="0">
      <text>
        <t>Tanım: yuvarlama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G11" authorId="0" shapeId="0">
      <text>
        <t>Tanım: yuvarlama | Neden önemli: Yeniden değerleme kararını etkiler | Doğru kullanım: Yıl bazlı parametre; kaynak kolonuna bakın | Örnek: demo satırına bakın | Yanlışsa: Amortisman cetveli ve karar bozulur | Kaynak: VUK 298/Ç · Geçici 32</t>
      </text>
    </comment>
    <comment ref="H11" authorId="0" shapeId="0">
      <text>
        <t>Tanım: yuvarlama | Neden önemli: Yeniden değerleme kararını etkiler | Doğru kullanım: Yıl bazlı parametre; kaynak kolonuna bakın | Örnek: demo satırına bakın | Yanlışsa: Amortisman cetveli ve karar bozulur | Kaynak: VUK 298/Ç · Geçici 32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8" authorId="0" shapeId="0">
      <text>
        <t>Tanım: İmza | Neden önemli: Yeniden değerleme kararını etkiler | Doğru kullanım: Raporu hazırlayan kişinin adını yazın. | Örnek: demo satırına bakın | Yanlışsa: Amortisman cetveli ve karar bozulur | Kaynak: VUK 298/Ç · Geçici 32</t>
      </text>
    </comment>
    <comment ref="B29" authorId="0" shapeId="0">
      <text>
        <t>Tanım: Onay | Neden önemli: Yeniden değerleme kararını etkiler | Doğru kullanım: Onaylayan kişinin adını yazın. | Örnek: demo satırına bakın | Yanlışsa: Amortisman cetveli ve karar bozulur | Kaynak: VUK 298/Ç · Geçici 32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maliyet?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Fark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Fark eşiği aşıyor mu? | Canlı formül | Değiştirmeyin</t>
      </text>
    </comment>
    <comment ref="B11" authorId="0" shapeId="0">
      <text>
        <t>Tanım: Öncelik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Yeniden değerleme kararını etkiler | Doğru kullanım: Örnek senaryo değeri | Örnek: demo satırına bakın | Yanlışsa: Amortisman cetveli ve karar bozulur | Kaynak: VUK 298/Ç · Geçici 32</t>
      </text>
    </comment>
    <comment ref="B6" authorId="0" shapeId="0">
      <text>
        <t>Tanım: Maliyet | Neden önemli: Yeniden değerleme kararını etkiler | Doğru kullanım: Örnek senaryo değeri | Örnek: demo satırına bakın | Yanlışsa: Amortisman cetveli ve karar bozulur | Kaynak: VUK 298/Ç · Geçici 32</t>
      </text>
    </comment>
    <comment ref="C6" authorId="0" shapeId="0">
      <text>
        <t>Tanım: Birikmiş | Neden önemli: Yeniden değerleme kararını etkiler | Doğru kullanım: Örnek senaryo değeri | Örnek: demo satırına bakın | Yanlışsa: Amortisman cetveli ve karar bozulur | Kaynak: VUK 298/Ç · Geçici 32</t>
      </text>
    </comment>
    <comment ref="D6" authorId="0" shapeId="0">
      <text>
        <t>Tanım: Endeks | Neden önemli: Yeniden değerleme kararını etkiler | Doğru kullanım: Örnek senaryo değeri | Örnek: demo satırına bakın | Yanlışsa: Amortisman cetveli ve karar bozulur | Kaynak: VUK 298/Ç · Geçici 32</t>
      </text>
    </comment>
    <comment ref="E6" authorId="0" shapeId="0">
      <text>
        <t>Tanım: Kalan Ömür | Neden önemli: Yeniden değerleme kararını etkiler | Doğru kullanım: Örnek senaryo değeri | Örnek: demo satırına bakın | Yanlışsa: Amortisman cetveli ve karar bozulur | Kaynak: VUK 298/Ç · Geçici 32</t>
      </text>
    </comment>
    <comment ref="F6" authorId="0" shapeId="0">
      <text>
        <t>Tanım: Öncelik | Neden önemli: Yeniden değerleme kararını etkiler | Doğru kullanım: Örnek senaryo değeri | Örnek: demo satırına bakın | Yanlışsa: Amortisman cetveli ve karar bozulur | Kaynak: VUK 298/Ç · Geçici 32</t>
      </text>
    </comment>
    <comment ref="A7" authorId="0" shapeId="0">
      <text>
        <t>Tanım: Senaryo | Neden önemli: Yeniden değerleme kararını etkiler | Doğru kullanım: Örnek senaryo değeri | Örnek: demo satırına bakın | Yanlışsa: Amortisman cetveli ve karar bozulur | Kaynak: VUK 298/Ç · Geçici 32</t>
      </text>
    </comment>
    <comment ref="B7" authorId="0" shapeId="0">
      <text>
        <t>Tanım: Maliyet | Neden önemli: Yeniden değerleme kararını etkiler | Doğru kullanım: Örnek senaryo değeri | Örnek: demo satırına bakın | Yanlışsa: Amortisman cetveli ve karar bozulur | Kaynak: VUK 298/Ç · Geçici 32</t>
      </text>
    </comment>
    <comment ref="C7" authorId="0" shapeId="0">
      <text>
        <t>Tanım: Birikmiş | Neden önemli: Yeniden değerleme kararını etkiler | Doğru kullanım: Örnek senaryo değeri | Örnek: demo satırına bakın | Yanlışsa: Amortisman cetveli ve karar bozulur | Kaynak: VUK 298/Ç · Geçici 32</t>
      </text>
    </comment>
    <comment ref="D7" authorId="0" shapeId="0">
      <text>
        <t>Tanım: Endeks | Neden önemli: Yeniden değerleme kararını etkiler | Doğru kullanım: Örnek senaryo değeri | Örnek: demo satırına bakın | Yanlışsa: Amortisman cetveli ve karar bozulur | Kaynak: VUK 298/Ç · Geçici 32</t>
      </text>
    </comment>
    <comment ref="E7" authorId="0" shapeId="0">
      <text>
        <t>Tanım: Kalan Ömür | Neden önemli: Yeniden değerleme kararını etkiler | Doğru kullanım: Örnek senaryo değeri | Örnek: demo satırına bakın | Yanlışsa: Amortisman cetveli ve karar bozulur | Kaynak: VUK 298/Ç · Geçici 32</t>
      </text>
    </comment>
    <comment ref="F7" authorId="0" shapeId="0">
      <text>
        <t>Tanım: Öncelik | Neden önemli: Yeniden değerleme kararını etkiler | Doğru kullanım: Örnek senaryo değeri | Örnek: demo satırına bakın | Yanlışsa: Amortisman cetveli ve karar bozulur | Kaynak: VUK 298/Ç · Geçici 32</t>
      </text>
    </comment>
    <comment ref="A8" authorId="0" shapeId="0">
      <text>
        <t>Tanım: Senaryo | Neden önemli: Yeniden değerleme kararını etkiler | Doğru kullanım: Örnek senaryo değeri | Örnek: demo satırına bakın | Yanlışsa: Amortisman cetveli ve karar bozulur | Kaynak: VUK 298/Ç · Geçici 32</t>
      </text>
    </comment>
    <comment ref="B8" authorId="0" shapeId="0">
      <text>
        <t>Tanım: Maliyet | Neden önemli: Yeniden değerleme kararını etkiler | Doğru kullanım: Örnek senaryo değeri | Örnek: demo satırına bakın | Yanlışsa: Amortisman cetveli ve karar bozulur | Kaynak: VUK 298/Ç · Geçici 32</t>
      </text>
    </comment>
    <comment ref="C8" authorId="0" shapeId="0">
      <text>
        <t>Tanım: Birikmiş | Neden önemli: Yeniden değerleme kararını etkiler | Doğru kullanım: Örnek senaryo değeri | Örnek: demo satırına bakın | Yanlışsa: Amortisman cetveli ve karar bozulur | Kaynak: VUK 298/Ç · Geçici 32</t>
      </text>
    </comment>
    <comment ref="D8" authorId="0" shapeId="0">
      <text>
        <t>Tanım: Endeks | Neden önemli: Yeniden değerleme kararını etkiler | Doğru kullanım: Örnek senaryo değeri | Örnek: demo satırına bakın | Yanlışsa: Amortisman cetveli ve karar bozulur | Kaynak: VUK 298/Ç · Geçici 32</t>
      </text>
    </comment>
    <comment ref="E8" authorId="0" shapeId="0">
      <text>
        <t>Tanım: Kalan Ömür | Neden önemli: Yeniden değerleme kararını etkiler | Doğru kullanım: Örnek senaryo değeri | Örnek: demo satırına bakın | Yanlışsa: Amortisman cetveli ve karar bozulur | Kaynak: VUK 298/Ç · Geçici 32</t>
      </text>
    </comment>
    <comment ref="F8" authorId="0" shapeId="0">
      <text>
        <t>Tanım: Öncelik | Neden önemli: Yeniden değerleme kararını etkiler | Doğru kullanım: Örnek senaryo değeri | Örnek: demo satırına bakın | Yanlışsa: Amortisman cetveli ve karar bozulur | Kaynak: VUK 298/Ç · Geçici 32</t>
      </text>
    </comment>
    <comment ref="A9" authorId="0" shapeId="0">
      <text>
        <t>Tanım: Senaryo | Neden önemli: Yeniden değerleme kararını etkiler | Doğru kullanım: Örnek senaryo değeri | Örnek: demo satırına bakın | Yanlışsa: Amortisman cetveli ve karar bozulur | Kaynak: VUK 298/Ç · Geçici 32</t>
      </text>
    </comment>
    <comment ref="B9" authorId="0" shapeId="0">
      <text>
        <t>Tanım: Maliyet | Neden önemli: Yeniden değerleme kararını etkiler | Doğru kullanım: Örnek senaryo değeri | Örnek: demo satırına bakın | Yanlışsa: Amortisman cetveli ve karar bozulur | Kaynak: VUK 298/Ç · Geçici 32</t>
      </text>
    </comment>
    <comment ref="C9" authorId="0" shapeId="0">
      <text>
        <t>Tanım: Birikmiş | Neden önemli: Yeniden değerleme kararını etkiler | Doğru kullanım: Örnek senaryo değeri | Örnek: demo satırına bakın | Yanlışsa: Amortisman cetveli ve karar bozulur | Kaynak: VUK 298/Ç · Geçici 32</t>
      </text>
    </comment>
    <comment ref="D9" authorId="0" shapeId="0">
      <text>
        <t>Tanım: Endeks | Neden önemli: Yeniden değerleme kararını etkiler | Doğru kullanım: Örnek senaryo değeri | Örnek: demo satırına bakın | Yanlışsa: Amortisman cetveli ve karar bozulur | Kaynak: VUK 298/Ç · Geçici 32</t>
      </text>
    </comment>
    <comment ref="E9" authorId="0" shapeId="0">
      <text>
        <t>Tanım: Kalan Ömür | Neden önemli: Yeniden değerleme kararını etkiler | Doğru kullanım: Örnek senaryo değeri | Örnek: demo satırına bakın | Yanlışsa: Amortisman cetveli ve karar bozulur | Kaynak: VUK 298/Ç · Geçici 32</t>
      </text>
    </comment>
    <comment ref="F9" authorId="0" shapeId="0">
      <text>
        <t>Tanım: Öncelik | Neden önemli: Yeniden değerleme kararını etkiler | Doğru kullanım: Örnek senaryo değeri | Örnek: demo satırına bakın | Yanlışsa: Amortisman cetveli ve karar bozulur | Kaynak: VUK 298/Ç · Geçici 32</t>
      </text>
    </comment>
    <comment ref="A10" authorId="0" shapeId="0">
      <text>
        <t>Tanım: Senaryo | Neden önemli: Yeniden değerleme kararını etkiler | Doğru kullanım: Örnek senaryo değeri | Örnek: demo satırına bakın | Yanlışsa: Amortisman cetveli ve karar bozulur | Kaynak: VUK 298/Ç · Geçici 32</t>
      </text>
    </comment>
    <comment ref="B10" authorId="0" shapeId="0">
      <text>
        <t>Tanım: Maliyet | Neden önemli: Yeniden değerleme kararını etkiler | Doğru kullanım: Örnek senaryo değeri | Örnek: demo satırına bakın | Yanlışsa: Amortisman cetveli ve karar bozulur | Kaynak: VUK 298/Ç · Geçici 32</t>
      </text>
    </comment>
    <comment ref="C10" authorId="0" shapeId="0">
      <text>
        <t>Tanım: Birikmiş | Neden önemli: Yeniden değerleme kararını etkiler | Doğru kullanım: Örnek senaryo değeri | Örnek: demo satırına bakın | Yanlışsa: Amortisman cetveli ve karar bozulur | Kaynak: VUK 298/Ç · Geçici 32</t>
      </text>
    </comment>
    <comment ref="D10" authorId="0" shapeId="0">
      <text>
        <t>Tanım: Endeks | Neden önemli: Yeniden değerleme kararını etkiler | Doğru kullanım: Örnek senaryo değeri | Örnek: demo satırına bakın | Yanlışsa: Amortisman cetveli ve karar bozulur | Kaynak: VUK 298/Ç · Geçici 32</t>
      </text>
    </comment>
    <comment ref="E10" authorId="0" shapeId="0">
      <text>
        <t>Tanım: Kalan Ömür | Neden önemli: Yeniden değerleme kararını etkiler | Doğru kullanım: Örnek senaryo değeri | Örnek: demo satırına bakın | Yanlışsa: Amortisman cetveli ve karar bozulur | Kaynak: VUK 298/Ç · Geçici 32</t>
      </text>
    </comment>
    <comment ref="F10" authorId="0" shapeId="0">
      <text>
        <t>Tanım: Öncelik | Neden önemli: Yeniden değerleme kararını etkiler | Doğru kullanım: Örnek senaryo değeri | Örnek: demo satırına bakın | Yanlışsa: Amortisman cetveli ve karar bozulur | Kaynak: VUK 298/Ç · Geçici 32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Yeniden değerleme kararını etkiler | Doğru kullanım: Hesap yılı listesi | Örnek: demo satırına bakın | Yanlışsa: Amortisman cetveli ve karar bozulur | Kaynak: VUK 298/Ç · Geçici 32</t>
      </text>
    </comment>
    <comment ref="C6" authorId="0" shapeId="0">
      <text>
        <t>Tanım: Öncelik | Neden önemli: Yeniden değerleme kararını etkiler | Doğru kullanım: 298/Ç veya Geç.32 önceliği | Örnek: demo satırına bakın | Yanlışsa: Amortisman cetveli ve karar bozulur | Kaynak: VUK 298/Ç · Geçici 32</t>
      </text>
    </comment>
    <comment ref="E6" authorId="0" shapeId="0">
      <text>
        <t>Tanım: Seçim | Neden önemli: Yeniden değerleme kararını etkiler | Doğru kullanım: Evet veya Hayır | Örnek: demo satırına bakın | Yanlışsa: Amortisman cetveli ve karar bozulur | Kaynak: VUK 298/Ç · Geçici 32</t>
      </text>
    </comment>
    <comment ref="A7" authorId="0" shapeId="0">
      <text>
        <t>Tanım: Yıl | Neden önemli: Yeniden değerleme kararını etkiler | Doğru kullanım: Hesap yılı listesi | Örnek: demo satırına bakın | Yanlışsa: Amortisman cetveli ve karar bozulur | Kaynak: VUK 298/Ç · Geçici 32</t>
      </text>
    </comment>
    <comment ref="C7" authorId="0" shapeId="0">
      <text>
        <t>Tanım: Öncelik | Neden önemli: Yeniden değerleme kararını etkiler | Doğru kullanım: 298/Ç veya Geç.32 önceliği | Örnek: demo satırına bakın | Yanlışsa: Amortisman cetveli ve karar bozulur | Kaynak: VUK 298/Ç · Geçici 32</t>
      </text>
    </comment>
    <comment ref="E7" authorId="0" shapeId="0">
      <text>
        <t>Tanım: Seçim | Neden önemli: Yeniden değerleme kararını etkiler | Doğru kullanım: Evet veya Hayır | Örnek: demo satırına bakın | Yanlışsa: Amortisman cetveli ve karar bozulur | Kaynak: VUK 298/Ç · Geçici 32</t>
      </text>
    </comment>
    <comment ref="A8" authorId="0" shapeId="0">
      <text>
        <t>Tanım: Yıl | Neden önemli: Yeniden değerleme kararını etkiler | Doğru kullanım: Hesap yılı listesi | Örnek: demo satırına bakın | Yanlışsa: Amortisman cetveli ve karar bozulur | Kaynak: VUK 298/Ç · Geçici 32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Yeniden değerleme kararını etkiler | Doğru kullanım: Aktif hesap yılı | Örnek: demo satırına bakın | Yanlışsa: Amortisman cetveli ve karar bozulur | Kaynak: VUK 298/Ç · Geçici 32</t>
      </text>
    </comment>
    <comment ref="B7" authorId="0" shapeId="0">
      <text>
        <t>Tanım: raporTarihi | Neden önemli: Yeniden değerleme kararını etkiler | Doğru kullanım: Rapor tarihi (sabit) | Örnek: demo satırına bakın | Yanlışsa: Amortisman cetveli ve karar bozulur | Kaynak: VUK 298/Ç · Geçici 32</t>
      </text>
    </comment>
    <comment ref="B8" authorId="0" shapeId="0">
      <text>
        <t>Tanım: ayd_tolerans | Neden önemli: Yeniden değerleme kararını etkiler | Doğru kullanım: Vaka tutarlılık toleransı | Örnek: demo satırına bakın | Yanlışsa: Amortisman cetveli ve karar bozulur | Kaynak: VUK 298/Ç · Geçici 32</t>
      </text>
    </comment>
    <comment ref="B9" authorId="0" shapeId="0">
      <text>
        <t>Tanım: ayd_farkEsik | Neden önemli: Yeniden değerleme kararını etkiler | Doğru kullanım: PANO fark uyarı eşiği | Örnek: demo satırına bakın | Yanlışsa: Amortisman cetveli ve karar bozulur | Kaynak: VUK 298/Ç · Geçici 32</t>
      </text>
    </comment>
    <comment ref="B10" authorId="0" shapeId="0">
      <text>
        <t>Tanım: ayd_senaryoIyi | Neden önemli: Yeniden değerleme kararını etkiler | Doğru kullanım: İyimser maliyet çarpanı | Örnek: demo satırına bakın | Yanlışsa: Amortisman cetveli ve karar bozulur | Kaynak: VUK 298/Ç · Geçici 32</t>
      </text>
    </comment>
    <comment ref="B11" authorId="0" shapeId="0">
      <text>
        <t>Tanım: ayd_senaryoKotu | Neden önemli: Yeniden değerleme kararını etkiler | Doğru kullanım: Kötümser maliyet çarpanı | Örnek: demo satırına bakın | Yanlışsa: Amortisman cetveli ve karar bozulur | Kaynak: VUK 298/Ç · Geçici 32</t>
      </text>
    </comment>
    <comment ref="B12" authorId="0" shapeId="0">
      <text>
        <t>Tanım: ayd_oranArtisPuan | Neden önemli: Yeniden değerleme kararını etkiler | Doğru kullanım: M-SEN fon +1 puan | Örnek: demo satırına bakın | Yanlışsa: Amortisman cetveli ve karar bozulur | Kaynak: VUK 298/Ç · Geçici 32</t>
      </text>
    </comment>
    <comment ref="B13" authorId="0" shapeId="0">
      <text>
        <t>Tanım: ayd_tahminAlt | Neden önemli: Yeniden değerleme kararını etkiler | Doğru kullanım: Tahmin alt bant | Örnek: demo satırına bakın | Yanlışsa: Amortisman cetveli ve karar bozulur | Kaynak: VUK 298/Ç · Geçici 32</t>
      </text>
    </comment>
    <comment ref="B14" authorId="0" shapeId="0">
      <text>
        <t>Tanım: ayd_tahminUst | Neden önemli: Yeniden değerleme kararını etkiler | Doğru kullanım: Tahmin üst bant | Örnek: demo satırına bakın | Yanlışsa: Amortisman cetveli ve karar bozulur | Kaynak: VUK 298/Ç · Geçici 32</t>
      </text>
    </comment>
    <comment ref="B15" authorId="0" shapeId="0">
      <text>
        <t>Tanım: ayd_tornadoMaliyet | Neden önemli: Yeniden değerleme kararını etkiler | Doğru kullanım: Tornado maliyet şoku | Örnek: demo satırına bakın | Yanlışsa: Amortisman cetveli ve karar bozulur | Kaynak: VUK 298/Ç · Geçici 32</t>
      </text>
    </comment>
    <comment ref="B16" authorId="0" shapeId="0">
      <text>
        <t>Tanım: ayd_tornadoEndeks | Neden önemli: Yeniden değerleme kararını etkiler | Doğru kullanım: Tornado endeks şoku | Örnek: demo satırına bakın | Yanlışsa: Amortisman cetveli ve karar bozulur | Kaynak: VUK 298/Ç · Geçici 32</t>
      </text>
    </comment>
    <comment ref="B17" authorId="0" shapeId="0">
      <text>
        <t>Tanım: ayd_tasarrufCarpan | Neden önemli: Yeniden değerleme kararını etkiler | Doğru kullanım: Vergi tasarrufu ağırlığı | Örnek: demo satırına bakın | Yanlışsa: Amortisman cetveli ve karar bozulur | Kaynak: VUK 298/Ç · Geçici 32</t>
      </text>
    </comment>
    <comment ref="B18" authorId="0" shapeId="0">
      <text>
        <t>Tanım: ayd_yuzdelikOran | Neden önemli: Yeniden değerleme kararını etkiler | Doğru kullanım: Yüzdelik P90 | Örnek: demo satırına bakın | Yanlışsa: Amortisman cetveli ve karar bozulur | Kaynak: VUK 298/Ç · Geçici 32</t>
      </text>
    </comment>
    <comment ref="B19" authorId="0" shapeId="0">
      <text>
        <t>Tanım: ayd_parmakIzi | Neden önemli: Yeniden değerleme kararını etkiler | Doğru kullanım: Dosya parmak izi etiketi | Örnek: demo satırına bakın | Yanlışsa: Amortisman cetveli ve karar bozulur | Kaynak: VUK 298/Ç · Geçici 32</t>
      </text>
    </comment>
    <comment ref="B20" authorId="0" shapeId="0">
      <text>
        <t>Tanım: dosya_surumu | Neden önemli: Yeniden değerleme kararını etkiler | Doğru kullanım: Ürün sürümü | Örnek: demo satırına bakın | Yanlışsa: Amortisman cetveli ve karar bozulur | Kaynak: VUK 298/Ç · Geçici 32</t>
      </text>
    </comment>
    <comment ref="B21" authorId="0" shapeId="0">
      <text>
        <t>Tanım: ayd_girisBeklenen | Neden önemli: Yeniden değerleme kararını etkiler | Doğru kullanım: Zorunlu giriş alanı sayısı | Örnek: demo satırına bakın | Yanlışsa: Amortisman cetveli ve karar bozulur | Kaynak: VUK 298/Ç · Geçici 32</t>
      </text>
    </comment>
    <comment ref="B22" authorId="0" shapeId="0">
      <text>
        <t>Tanım: ayd_riskDusuk | Neden önemli: Yeniden değerleme kararını etkiler | Doğru kullanım: Düşük risk skoru | Örnek: demo satırına bakın | Yanlışsa: Amortisman cetveli ve karar bozulur | Kaynak: VUK 298/Ç · Geçici 32</t>
      </text>
    </comment>
    <comment ref="B23" authorId="0" shapeId="0">
      <text>
        <t>Tanım: ayd_riskOrta | Neden önemli: Yeniden değerleme kararını etkiler | Doğru kullanım: Orta risk skoru | Örnek: demo satırına bakın | Yanlışsa: Amortisman cetveli ve karar bozulur | Kaynak: VUK 298/Ç · Geçici 32</t>
      </text>
    </comment>
    <comment ref="B24" authorId="0" shapeId="0">
      <text>
        <t>Tanım: ayd_riskYuksek | Neden önemli: Yeniden değerleme kararını etkiler | Doğru kullanım: Yüksek risk skoru | Örnek: demo satırına bakın | Yanlışsa: Amortisman cetveli ve karar bozulur | Kaynak: VUK 298/Ç · Geçici 32</t>
      </text>
    </comment>
    <comment ref="B25" authorId="0" shapeId="0">
      <text>
        <t>Tanım: ayd_kararEsik | Neden önemli: Yeniden değerleme kararını etkiler | Doğru kullanım: YAP/BEKLE fayda fark eşiği | Örnek: demo satırına bakın | Yanlışsa: Amortisman cetveli ve karar bozulur | Kaynak: VUK 298/Ç · Geçici 32</t>
      </text>
    </comment>
    <comment ref="B26" authorId="0" shapeId="0">
      <text>
        <t>Tanım: ayd_yilTaban | Neden önemli: Yeniden değerleme kararını etkiler | Doğru kullanım: CHOOSE yıl tabanı (hesapYili−taban) | Örnek: demo satırına bakın | Yanlışsa: Amortisman cetveli ve karar bozulur | Kaynak: VUK 298/Ç · Geçici 32</t>
      </text>
    </comment>
    <comment ref="B27" authorId="0" shapeId="0">
      <text>
        <t>Tanım: ayd_yuvarMax | Neden önemli: Yeniden değerleme kararını etkiler | Doğru kullanım: ROUND basamak tavanı | Örnek: demo satırına bakın | Yanlışsa: Amortisman cetveli ve karar bozulur | Kaynak: VUK 298/Ç · Geçici 32</t>
      </text>
    </comment>
    <comment ref="B28" authorId="0" shapeId="0">
      <text>
        <t>Tanım: vaka_maliyet_1 | Neden önemli: Yeniden değerleme kararını etkiler | Doğru kullanım: Vaka1 maliyet | Örnek: demo satırına bakın | Yanlışsa: Amortisman cetveli ve karar bozulur | Kaynak: VUK 298/Ç · Geçici 32</t>
      </text>
    </comment>
    <comment ref="B29" authorId="0" shapeId="0">
      <text>
        <t>Tanım: vaka_endeks_1 | Neden önemli: Yeniden değerleme kararını etkiler | Doğru kullanım: Vaka1 endeks | Örnek: demo satırına bakın | Yanlışsa: Amortisman cetveli ve karar bozulur | Kaynak: VUK 298/Ç · Geçici 32</t>
      </text>
    </comment>
    <comment ref="B30" authorId="0" shapeId="0">
      <text>
        <t>Tanım: vaka_maliyet_2 | Neden önemli: Yeniden değerleme kararını etkiler | Doğru kullanım: Vaka2 maliyet | Örnek: demo satırına bakın | Yanlışsa: Amortisman cetveli ve karar bozulur | Kaynak: VUK 298/Ç · Geçici 32</t>
      </text>
    </comment>
    <comment ref="B31" authorId="0" shapeId="0">
      <text>
        <t>Tanım: vaka_endeks_2 | Neden önemli: Yeniden değerleme kararını etkiler | Doğru kullanım: Vaka2 endeks | Örnek: demo satırına bakın | Yanlışsa: Amortisman cetveli ve karar bozulur | Kaynak: VUK 298/Ç · Geçici 32</t>
      </text>
    </comment>
    <comment ref="B32" authorId="0" shapeId="0">
      <text>
        <t>Tanım: vaka_maliyet_3 | Neden önemli: Yeniden değerleme kararını etkiler | Doğru kullanım: Vaka3 maliyet | Örnek: demo satırına bakın | Yanlışsa: Amortisman cetveli ve karar bozulur | Kaynak: VUK 298/Ç · Geçici 32</t>
      </text>
    </comment>
    <comment ref="B33" authorId="0" shapeId="0">
      <text>
        <t>Tanım: vaka_endeks_3 | Neden önemli: Yeniden değerleme kararını etkiler | Doğru kullanım: Vaka3 endeks | Örnek: demo satırına bakın | Yanlışsa: Amortisman cetveli ve karar bozulur | Kaynak: VUK 298/Ç · Geçici 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1:F1020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mortisman" displayName="tblAmortisman" ref="A15:I1014" headerRowCount="1">
  <tableColumns count="9">
    <tableColumn id="1" name="Yil"/>
    <tableColumn id="2" name="AmortOnce">
      <calculatedColumnFormula>=IF(OR(tblAmortisman[[#This Row],[Yil]]="",tblAmortisman[[#This Row],[Yil]]&gt;IFERROR(GIRDI!B12,0)),"",IFERROR(IF(OR(GIRDI!B12="",GIRDI!B12=0),0,ayd_netDefter/GIRDI!B12),0))</calculatedColumnFormula>
    </tableColumn>
    <tableColumn id="3" name="AmortSonra">
      <calculatedColumnFormula>=IF(OR(tblAmortisman[[#This Row],[Yil]]="",tblAmortisman[[#This Row],[Yil]]&gt;IFERROR(GIRDI!B12,0)),"",IFERROR(IF(OR(GIRDI!B12="",GIRDI!B12=0),0,(ayd_netDefter+ayd_fark)/GIRDI!B12),0))</calculatedColumnFormula>
    </tableColumn>
    <tableColumn id="4" name="AmortFark">
      <calculatedColumnFormula>=IF(tblAmortisman[[#This Row],[AmortOnce]]="","",IFERROR(tblAmortisman[[#This Row],[AmortSonra]]-tblAmortisman[[#This Row],[AmortOnce]],0))</calculatedColumnFormula>
    </tableColumn>
    <tableColumn id="5" name="KumulatifOnce">
      <calculatedColumnFormula>=IF(tblAmortisman[[#This Row],[AmortOnce]]="","",IFERROR(tblAmortisman[[#This Row],[Yil]]*tblAmortisman[[#This Row],[AmortOnce]],0))</calculatedColumnFormula>
    </tableColumn>
    <tableColumn id="6" name="KumulatifSonra">
      <calculatedColumnFormula>=IF(tblAmortisman[[#This Row],[AmortSonra]]="","",IFERROR(tblAmortisman[[#This Row],[Yil]]*tblAmortisman[[#This Row],[AmortSonra]],0))</calculatedColumnFormula>
    </tableColumn>
    <tableColumn id="7" name="KalanNDDOnce">
      <calculatedColumnFormula>=IF(tblAmortisman[[#This Row],[AmortOnce]]="","",IFERROR(MAX(0,ayd_netDefter-tblAmortisman[[#This Row],[KumulatifOnce]]),0))</calculatedColumnFormula>
    </tableColumn>
    <tableColumn id="8" name="KalanNDDSonra">
      <calculatedColumnFormula>=IF(tblAmortisman[[#This Row],[AmortSonra]]="","",IFERROR(MAX(0,ayd_netDefter+ayd_fark-tblAmortisman[[#This Row],[KumulatifSonra]]),0))</calculatedColumnFormula>
    </tableColumn>
    <tableColumn id="9" name="Durum">
      <calculatedColumnFormula>=IF(tblAmortisman[[#This Row],[Yil]]="","",IF(tblAmortisman[[#This Row],[Yil]]&gt;IFERROR(GIRDI!B12,0),"DIŞI","AKTİF"))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Row],[kural_id]]="","",IFERROR(CHOOSE(MAX(1,MIN(3,IF(OR(hesapYili="",hesapYili=0),1,hesapYili-ayd_yilTaban))),tblKurallar[[#This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Row],[fark]])&lt;=ayd_tolerans,"TUTARLI","KIRIK"),"KIRIK"))</calculatedColumnFormula>
    </tableColumn>
    <tableColumn id="8" name="kaynak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I1004" headerRowCount="1">
  <tableColumns count="9">
    <tableColumn id="1" name="Senaryo"/>
    <tableColumn id="2" name="Maliyet"/>
    <tableColumn id="3" name="Birikmiş"/>
    <tableColumn id="4" name="Endeks"/>
    <tableColumn id="5" name="Kalan Ömür"/>
    <tableColumn id="6" name="Öncelik"/>
    <tableColumn id="7" name="Fark">
      <calculatedColumnFormula>=IF(tblOrnek[[#This Row],[Senaryo]]="","",IFERROR(ROUND(MAX(0,tblOrnek[[#This Row],[Maliyet]]*(tblOrnek[[#This Row],[Endeks]]-1)),2),0))</calculatedColumnFormula>
    </tableColumn>
    <tableColumn id="8" name="Fon Geç.32">
      <calculatedColumnFormula>=IF(tblOrnek[[#This Row],[Senaryo]]="","",IFERROR(ROUND(tblOrnek[[#This Row],[Fark]]*INDEX(tblKurallar[deger_2025],MATCH("AYD-002",tblKurallar[kural_id],0)),2),0))</calculatedColumnFormula>
    </tableColumn>
    <tableColumn id="9" name="Özkaynak 298">
      <calculatedColumnFormula>=IF(tblOrnek[[#This Row],[Senaryo]]="","",IFERROR(tblOrnek[[#This Row],[Fark]]-tblOrnek[[#This Row],[Fark]]*INDEX(tblKurallar[deger_2025],MATCH("AYD-004",tblKurallar[kural_id],0)),0))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EXCELARŞİV KARAR SİSTEMİ v15.1 — ÜRETİM REFERANSI</t>
        </is>
      </c>
    </row>
    <row r="3" ht="24" customHeight="1">
      <c r="A3" s="173" t="inlineStr">
        <is>
          <t>Konu</t>
        </is>
      </c>
      <c r="B3" s="173" t="inlineStr">
        <is>
          <t>Bağlayıcı Standart</t>
        </is>
      </c>
    </row>
    <row r="4">
      <c r="A4" s="174" t="inlineStr">
        <is>
          <t>Amaç</t>
        </is>
      </c>
      <c r="B4" s="175" t="inlineStr">
        <is>
          <t>Kanıta dayalı, hatada kapalı çalışan Excel üretim ve denetim sistemi</t>
        </is>
      </c>
    </row>
    <row r="5">
      <c r="A5" s="174" t="inlineStr">
        <is>
          <t>Öncelik</t>
        </is>
      </c>
      <c r="B5" s="175" t="inlineStr">
        <is>
          <t>Kullanıcının açık iş talebi ve gerçek kullanım senaryosu</t>
        </is>
      </c>
    </row>
    <row r="6">
      <c r="A6" s="174" t="inlineStr">
        <is>
          <t>Ana akış</t>
        </is>
      </c>
      <c r="B6" s="175" t="inlineStr">
        <is>
          <t>Uygunluk → Yönetişim → Sözleşmeler → Üretim → Test → Kanıt → Kullanıcı Kabulü → Yayın</t>
        </is>
      </c>
    </row>
    <row r="7">
      <c r="A7" s="174" t="inlineStr">
        <is>
          <t>Yayın ilkesi</t>
        </is>
      </c>
      <c r="B7" s="175" t="inlineStr">
        <is>
          <t>Üst aşamada hata varsa alt aşama GEÇTİ üretilemez</t>
        </is>
      </c>
    </row>
    <row r="8">
      <c r="A8" s="174" t="inlineStr">
        <is>
          <t>Kullanıcı kabulü</t>
        </is>
      </c>
      <c r="B8" s="175" t="inlineStr">
        <is>
          <t>Excel masaüstü görünümü test edilmediyse DIŞ_KABUL_GEREKLİ</t>
        </is>
      </c>
    </row>
    <row r="9">
      <c r="A9" s="174" t="inlineStr">
        <is>
          <t>Nihai yayın</t>
        </is>
      </c>
      <c r="B9" s="175" t="inlineStr">
        <is>
          <t>Yalnız uygulanabilir modüller GEÇTİ veya gerekçeli UYGULANMAZ</t>
        </is>
      </c>
    </row>
    <row r="10">
      <c r="A10" s="174" t="inlineStr">
        <is>
          <t>Ticari ayrım</t>
        </is>
      </c>
      <c r="B10" s="175" t="inlineStr">
        <is>
          <t>Ekonomik olarak savunulabilir fiyat, gerçek pazar kabulü ile aynı değildir</t>
        </is>
      </c>
    </row>
    <row r="11">
      <c r="A11" s="174" t="inlineStr">
        <is>
          <t>Karmaşıklık</t>
        </is>
      </c>
      <c r="B11" s="175" t="inlineStr">
        <is>
          <t>Karar değeri, eklenen karmaşıklığın maliyetinden büyük olmalıdır</t>
        </is>
      </c>
    </row>
    <row r="12">
      <c r="A12" s="174" t="inlineStr">
        <is>
          <t>Excel sınırı</t>
        </is>
      </c>
      <c r="B12" s="175" t="inlineStr">
        <is>
          <t>Veritabanı, kurumsal yetkilendirme, değiştirilemez kayıt sistemi veya gerçek zamanlı olay platformu değildir</t>
        </is>
      </c>
    </row>
    <row r="13">
      <c r="A13" s="174" t="inlineStr">
        <is>
          <t>Dil standardı</t>
        </is>
      </c>
      <c r="B13" s="175" t="inlineStr">
        <is>
          <t>Kullanıcıya görünen tüm sayfa, tablo, başlık, açıklama, uyarı ve karar metinleri saf Türkçe olmalıdır</t>
        </is>
      </c>
    </row>
    <row r="14">
      <c r="A14" s="174" t="inlineStr">
        <is>
          <t>Muhasebe standardı</t>
        </is>
      </c>
      <c r="B14" s="175" t="inlineStr">
        <is>
          <t>Finansal ürünlerde Türkiye Tekdüzen Hesap Planı ve Türk muhasebe kullanım alışkanlıkları esas alınır</t>
        </is>
      </c>
    </row>
    <row r="15">
      <c r="A15" s="174" t="inlineStr">
        <is>
          <t>Görsel standart</t>
        </is>
      </c>
      <c r="B15" s="175" t="inlineStr">
        <is>
          <t>Her sayfa başlıklı, renk kodlu, sıkı kolon düzenli ve premium kurumsal görünümde olmalıdır</t>
        </is>
      </c>
    </row>
    <row r="16">
      <c r="A16" s="174" t="inlineStr">
        <is>
          <t>Grafik standardı</t>
        </is>
      </c>
      <c r="B16" s="175" t="inlineStr">
        <is>
          <t>Grafikler karar üretmeli; dekoratif, 3B, anlamsız renkli veya varsayılan Excel grafiği kullanılamaz</t>
        </is>
      </c>
    </row>
    <row r="17">
      <c r="A17" s="174" t="inlineStr">
        <is>
          <t>Hata standardı</t>
        </is>
      </c>
      <c r="B17" s="175" t="inlineStr">
        <is>
          <t>#AD? / #BAŞV! / #DEĞER! / #SAYI/0! / #YOK gibi hatalar GEÇTİ sonucuyla birlikte bulunamaz</t>
        </is>
      </c>
    </row>
    <row r="18">
      <c r="A18" s="174" t="inlineStr">
        <is>
          <t>Karar standardı</t>
        </is>
      </c>
      <c r="B18" s="175" t="inlineStr">
        <is>
          <t>Her kritik çıktı: ne oldu, neden oldu, parasal etki, ne yapılmalı, ne zamana kadar sorularını cevaplar</t>
        </is>
      </c>
    </row>
    <row r="19">
      <c r="A19" s="174" t="inlineStr">
        <is>
          <t>Satış standardı</t>
        </is>
      </c>
      <c r="B19" s="175" t="inlineStr">
        <is>
          <t>Ürün 5 saniyede anlaşılmalı; pahalı problemi, ekonomik sonucu, kanıtı ve satın alma gerekçesini göstermelidir</t>
        </is>
      </c>
    </row>
    <row r="20">
      <c r="A20" s="174" t="inlineStr">
        <is>
          <t>Güven standardı</t>
        </is>
      </c>
      <c r="B20" s="175" t="inlineStr">
        <is>
          <t>Kanıtsız 'premium', 'kusursuz', 'sıfır hata' veya yüksek fiyat iddiası kullanılamaz</t>
        </is>
      </c>
    </row>
    <row r="21">
      <c r="A21" s="174" t="inlineStr">
        <is>
          <t>Kaynak</t>
        </is>
      </c>
      <c r="B21" s="175" t="inlineStr">
        <is>
          <t>Teknik Python çekirdeği 99_TEKNIK_KAYNAK sayfasında saklanır; kullanıcı arayüzü değildir</t>
        </is>
      </c>
    </row>
    <row r="22">
      <c r="A22" s="174" t="inlineStr">
        <is>
          <t>Bağlayıcı standart</t>
        </is>
      </c>
      <c r="B22" s="175" t="inlineStr">
        <is>
          <t>Teknik kaynak içindeki üretim sözleşmesi + bu çalışma kitabındaki Türkçe operasyon standartları</t>
        </is>
      </c>
    </row>
    <row r="23">
      <c r="A23" s="174" t="inlineStr">
        <is>
          <t>Çıktı disiplini</t>
        </is>
      </c>
      <c r="B23" s="175" t="inlineStr">
        <is>
          <t>Kanıtsız GEÇTİ / NİHAİ / TİCARİ / PAZAR_DOĞRULANDI statüsü yasaktır</t>
        </is>
      </c>
    </row>
    <row r="24">
      <c r="A24" s="174" t="inlineStr">
        <is>
          <t>Uyarlanabilirlik</t>
        </is>
      </c>
      <c r="B24" s="175" t="inlineStr">
        <is>
          <t>Gereksiz modül yalnız prestij amacıyla eklenmez</t>
        </is>
      </c>
    </row>
    <row r="26" ht="16" customHeight="1">
      <c r="A26" s="176" t="inlineStr">
        <is>
          <t>TEK KAYNAK MİMARİSİ</t>
        </is>
      </c>
      <c r="B26" s="176" t="inlineStr">
        <is>
          <t>İKİ DOSYALI / TEK SİSTEM</t>
        </is>
      </c>
    </row>
    <row r="27" ht="28" customHeight="1">
      <c r="A27" s="175" t="inlineStr">
        <is>
          <t>MASTER Excel</t>
        </is>
      </c>
      <c r="B27" s="175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5" t="inlineStr">
        <is>
          <t>Runtime Python</t>
        </is>
      </c>
      <c r="B28" s="175" t="inlineStr">
        <is>
          <t>EXCELARSIV_DECISION_OS_V15_1_RUNTIME_KERNEL.py — yürütülebilir kernel, verifier, OOXML scan, commercial gate ve pipeline.</t>
        </is>
      </c>
    </row>
    <row r="29">
      <c r="A29" s="175" t="inlineStr">
        <is>
          <t>Python SHA-256</t>
        </is>
      </c>
      <c r="B29" s="175" t="inlineStr">
        <is>
          <t>babe066ab599199123e53d01944bcd9d75648a579ade69ab9303dd675962f481</t>
        </is>
      </c>
    </row>
    <row r="30">
      <c r="A30" s="175" t="inlineStr">
        <is>
          <t>Sürüm Eşleşmesi</t>
        </is>
      </c>
      <c r="B30" s="175" t="inlineStr">
        <is>
          <t>Her iki dosya v15.1 sistemine aittir. Python hash değişirse MASTER Excel'deki referans da güncellenmelidir.</t>
        </is>
      </c>
    </row>
    <row r="31" ht="28" customHeight="1">
      <c r="A31" s="175" t="inlineStr">
        <is>
          <t>Sahte PASS Yasağı</t>
        </is>
      </c>
      <c r="B31" s="175" t="inlineStr">
        <is>
          <t>Kanıt yoksa PASS yok; hata=FAIL, ölçülemiyorsa=BLOCKED, Excel GUI gerekiyorsa=HARİCİ KABUL GEREKLİ.</t>
        </is>
      </c>
    </row>
    <row r="32">
      <c r="A32" s="175" t="inlineStr">
        <is>
          <t>Dil</t>
        </is>
      </c>
      <c r="B32" s="175" t="inlineStr">
        <is>
          <t>Kullanıcı yüzeyi safkan Türkçe; teknik kavramların Türkçe karşılığı ana terimdir.</t>
        </is>
      </c>
    </row>
    <row r="33">
      <c r="A33" s="175" t="inlineStr">
        <is>
          <t>Muhasebe</t>
        </is>
      </c>
      <c r="B33" s="175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6" t="inlineStr">
        <is>
          <t>☰ PANO</t>
        </is>
      </c>
    </row>
    <row r="2" ht="28" customHeight="1">
      <c r="B2" s="227" t="inlineStr">
        <is>
          <t>AMORTISMAN + 2026 YENIDEN DEĞERLEME</t>
        </is>
      </c>
      <c r="L2" s="228" t="inlineStr">
        <is>
          <t>Dönem: 2026 / Tam ▼</t>
        </is>
      </c>
      <c r="M2" s="229" t="inlineStr">
        <is>
          <t>★ DOĞRULANMIŞ</t>
        </is>
      </c>
    </row>
    <row r="3" ht="18" customHeight="1">
      <c r="B3" s="230" t="inlineStr">
        <is>
          <t>Hedef Kullanıcı: SMMM, mali işler · 2026 Q3 Denetim Standardı</t>
        </is>
      </c>
    </row>
    <row r="4" ht="10" customHeight="1"/>
    <row r="5" ht="20" customHeight="1">
      <c r="B5" s="231" t="inlineStr">
        <is>
          <t>AMORTISMAN TOPLAM</t>
        </is>
      </c>
      <c r="C5" s="232" t="n"/>
      <c r="D5" s="233" t="inlineStr">
        <is>
          <t>KONSOLİDE</t>
        </is>
      </c>
      <c r="E5" s="234" t="inlineStr">
        <is>
          <t>YD FARK</t>
        </is>
      </c>
      <c r="F5" s="232" t="n"/>
      <c r="G5" s="235" t="inlineStr">
        <is>
          <t>KONTROL</t>
        </is>
      </c>
      <c r="H5" s="236" t="inlineStr">
        <is>
          <t>NET OPERASYONEL MARJ</t>
        </is>
      </c>
      <c r="I5" s="232" t="n"/>
      <c r="J5" s="237" t="inlineStr">
        <is>
          <t>GÜVENLİ</t>
        </is>
      </c>
      <c r="K5" s="238" t="inlineStr">
        <is>
          <t>SİSTEM GÜVEN SKORU</t>
        </is>
      </c>
      <c r="L5" s="232" t="n"/>
      <c r="M5" s="239" t="inlineStr">
        <is>
          <t>DENETLENDİ</t>
        </is>
      </c>
    </row>
    <row r="6" ht="6" customHeight="1">
      <c r="B6" s="240" t="n"/>
      <c r="C6" s="241" t="n"/>
      <c r="D6" s="242" t="n"/>
      <c r="E6" s="243" t="n"/>
      <c r="F6" s="241" t="n"/>
      <c r="G6" s="242" t="n"/>
      <c r="H6" s="244" t="n"/>
      <c r="I6" s="241" t="n"/>
      <c r="J6" s="242" t="n"/>
      <c r="K6" s="245" t="n"/>
      <c r="L6" s="241" t="n"/>
      <c r="M6" s="242" t="n"/>
    </row>
    <row r="7" ht="32" customHeight="1">
      <c r="B7" s="246">
        <f>GİRDİLER!E17</f>
        <v/>
      </c>
      <c r="C7" s="241" t="n"/>
      <c r="D7" s="242" t="n"/>
      <c r="E7" s="247">
        <f>B7*0.22</f>
        <v/>
      </c>
      <c r="F7" s="241" t="n"/>
      <c r="G7" s="242" t="n"/>
      <c r="H7" s="248">
        <f>B7-E7</f>
        <v/>
      </c>
      <c r="I7" s="241" t="n"/>
      <c r="J7" s="242" t="n"/>
      <c r="K7" s="249">
        <f>IF(E7&gt;0, ROUND(B7/E7, 2), 0)</f>
        <v/>
      </c>
      <c r="L7" s="241" t="n"/>
      <c r="M7" s="242" t="n"/>
    </row>
    <row r="8" ht="6" customHeight="1">
      <c r="B8" s="240" t="n"/>
      <c r="C8" s="241" t="n"/>
      <c r="D8" s="242" t="n"/>
      <c r="E8" s="243" t="n"/>
      <c r="F8" s="241" t="n"/>
      <c r="G8" s="242" t="n"/>
      <c r="H8" s="244" t="n"/>
      <c r="I8" s="241" t="n"/>
      <c r="J8" s="242" t="n"/>
      <c r="K8" s="245" t="n"/>
      <c r="L8" s="241" t="n"/>
      <c r="M8" s="242" t="n"/>
    </row>
    <row r="9" ht="18" customHeight="1">
      <c r="B9" s="250" t="inlineStr">
        <is>
          <t>↑ %14.2 konsolide canlı veri bağlantısı</t>
        </is>
      </c>
      <c r="C9" s="251" t="n"/>
      <c r="D9" s="252" t="n"/>
      <c r="E9" s="253" t="inlineStr">
        <is>
          <t>● 8 Kalem nakit karşılığı: bloke</t>
        </is>
      </c>
      <c r="F9" s="251" t="n"/>
      <c r="G9" s="252" t="n"/>
      <c r="H9" s="254" t="inlineStr">
        <is>
          <t>██████████░░░░░ %78.0 NET MARJ</t>
        </is>
      </c>
      <c r="I9" s="251" t="n"/>
      <c r="J9" s="252" t="n"/>
      <c r="K9" s="255" t="inlineStr">
        <is>
          <t>✓ İDEAL karşılama rasyosu</t>
        </is>
      </c>
      <c r="L9" s="251" t="n"/>
      <c r="M9" s="252" t="n"/>
    </row>
    <row r="10" ht="14" customHeight="1"/>
    <row r="11" ht="24" customHeight="1">
      <c r="B11" s="256" t="inlineStr">
        <is>
          <t>AMORTISMAN + 2026 YENIDEN DEĞERLEME — DÖNEMSEL İCRA VE PROJEKSİYON</t>
        </is>
      </c>
      <c r="F11" s="257" t="inlineStr">
        <is>
          <t>+%32 Verim</t>
        </is>
      </c>
      <c r="H11" s="256" t="inlineStr">
        <is>
          <t>KONSOLİDE OPERASYON VE KARAR MATRİSİ</t>
        </is>
      </c>
    </row>
    <row r="12" ht="18" customHeight="1">
      <c r="B12" s="98" t="inlineStr">
        <is>
          <t>Kümülatif Hacim vs. Operasyonel Maliyet ve Net Kâr Eğilimi</t>
        </is>
      </c>
      <c r="H12" s="98" t="inlineStr">
        <is>
          <t>Anlık Hesaplama Sonuçları, Dinamik Formül Çıktıları ve Durum Puanlaması</t>
        </is>
      </c>
    </row>
    <row r="13" ht="8" customHeight="1"/>
    <row r="14" ht="24" customHeight="1">
      <c r="B14" s="258" t="inlineStr">
        <is>
          <t>Dönem</t>
        </is>
      </c>
      <c r="C14" s="258" t="inlineStr">
        <is>
          <t>Aktif Hacim</t>
        </is>
      </c>
      <c r="D14" s="258" t="inlineStr">
        <is>
          <t>Maliyet/Yük</t>
        </is>
      </c>
      <c r="E14" s="258" t="inlineStr">
        <is>
          <t>Hedef</t>
        </is>
      </c>
      <c r="H14" s="259" t="inlineStr">
        <is>
          <t>PARAMETRE / KALEM</t>
        </is>
      </c>
      <c r="I14" s="260" t="inlineStr">
        <is>
          <t>ANA TUTAR</t>
        </is>
      </c>
      <c r="J14" s="260" t="inlineStr">
        <is>
          <t>FARK / MARJ</t>
        </is>
      </c>
      <c r="K14" s="260" t="inlineStr">
        <is>
          <t>VADE</t>
        </is>
      </c>
      <c r="L14" s="260" t="inlineStr">
        <is>
          <t>KONTROL DURUMU</t>
        </is>
      </c>
      <c r="M14" s="260" t="n"/>
    </row>
    <row r="15" ht="22" customHeight="1">
      <c r="B15" s="261" t="inlineStr">
        <is>
          <t>D1</t>
        </is>
      </c>
      <c r="C15" s="261" t="n">
        <v>65</v>
      </c>
      <c r="D15" s="261" t="n">
        <v>45</v>
      </c>
      <c r="E15" s="261" t="n">
        <v>60</v>
      </c>
      <c r="H15" s="262" t="inlineStr">
        <is>
          <t>Dönemlik Kümülatif Bakiye</t>
        </is>
      </c>
      <c r="I15" s="263">
        <f>B7*0.45</f>
        <v/>
      </c>
      <c r="J15" s="264">
        <f>B7*0.05</f>
        <v/>
      </c>
      <c r="K15" s="265" t="inlineStr">
        <is>
          <t>12 Ay</t>
        </is>
      </c>
      <c r="L15" s="266" t="inlineStr">
        <is>
          <t>✓ DÜZENLİ</t>
        </is>
      </c>
      <c r="M15" s="267" t="n"/>
    </row>
    <row r="16" ht="22" customHeight="1">
      <c r="B16" s="268" t="inlineStr">
        <is>
          <t>D2</t>
        </is>
      </c>
      <c r="C16" s="268" t="n">
        <v>78</v>
      </c>
      <c r="D16" s="268" t="n">
        <v>48</v>
      </c>
      <c r="E16" s="268" t="n">
        <v>70</v>
      </c>
      <c r="H16" s="269" t="inlineStr">
        <is>
          <t>Kritik Eşik Güvenlik Tamponu</t>
        </is>
      </c>
      <c r="I16" s="270">
        <f>B7*0.30</f>
        <v/>
      </c>
      <c r="J16" s="271">
        <f>B7*0.03</f>
        <v/>
      </c>
      <c r="K16" s="272" t="inlineStr">
        <is>
          <t>24 Ay</t>
        </is>
      </c>
      <c r="L16" s="273" t="inlineStr">
        <is>
          <t>★ AVANTAJ</t>
        </is>
      </c>
      <c r="M16" s="274" t="n"/>
    </row>
    <row r="17" ht="22" customHeight="1">
      <c r="B17" s="261" t="inlineStr">
        <is>
          <t>D3</t>
        </is>
      </c>
      <c r="C17" s="261" t="n">
        <v>85</v>
      </c>
      <c r="D17" s="261" t="n">
        <v>55</v>
      </c>
      <c r="E17" s="261" t="n">
        <v>80</v>
      </c>
      <c r="H17" s="262" t="inlineStr">
        <is>
          <t>Operasyonel Net Fark</t>
        </is>
      </c>
      <c r="I17" s="263">
        <f>B7*0.15</f>
        <v/>
      </c>
      <c r="J17" s="264">
        <f>B7*0.02</f>
        <v/>
      </c>
      <c r="K17" s="265" t="inlineStr">
        <is>
          <t>8 Ay</t>
        </is>
      </c>
      <c r="L17" s="275" t="inlineStr">
        <is>
          <t>● YAKLAŞAN</t>
        </is>
      </c>
      <c r="M17" s="267" t="n"/>
    </row>
    <row r="18" ht="22" customHeight="1">
      <c r="B18" s="268" t="inlineStr">
        <is>
          <t>D4</t>
        </is>
      </c>
      <c r="C18" s="268" t="n">
        <v>75</v>
      </c>
      <c r="D18" s="268" t="n">
        <v>42</v>
      </c>
      <c r="E18" s="268" t="n">
        <v>75</v>
      </c>
      <c r="H18" s="269" t="inlineStr">
        <is>
          <t>Rezerv ve Likit Dağılım</t>
        </is>
      </c>
      <c r="I18" s="270">
        <f>B7*0.10</f>
        <v/>
      </c>
      <c r="J18" s="271">
        <f>B7*0.01</f>
        <v/>
      </c>
      <c r="K18" s="272" t="inlineStr">
        <is>
          <t>16 Ay</t>
        </is>
      </c>
      <c r="L18" s="276" t="inlineStr">
        <is>
          <t>✓ TAM UYUM</t>
        </is>
      </c>
      <c r="M18" s="274" t="n"/>
    </row>
    <row r="19" ht="26" customHeight="1">
      <c r="B19" s="261" t="inlineStr">
        <is>
          <t>D5</t>
        </is>
      </c>
      <c r="C19" s="261" t="n">
        <v>90</v>
      </c>
      <c r="D19" s="261" t="n">
        <v>40</v>
      </c>
      <c r="E19" s="261" t="n">
        <v>85</v>
      </c>
      <c r="H19" s="277" t="inlineStr">
        <is>
          <t>KONSOLİDE SİSTEM TOPLAMI</t>
        </is>
      </c>
      <c r="I19" s="278">
        <f>SUM(I15:I18)</f>
        <v/>
      </c>
      <c r="J19" s="279">
        <f>SUM(J15:J18)</f>
        <v/>
      </c>
      <c r="K19" s="280" t="inlineStr"/>
      <c r="L19" s="281" t="inlineStr">
        <is>
          <t>TAM DOĞRULANDI (0 HATA)</t>
        </is>
      </c>
      <c r="M19" s="281" t="n"/>
    </row>
    <row r="20" ht="22" customHeight="1">
      <c r="B20" s="268" t="inlineStr">
        <is>
          <t>D6</t>
        </is>
      </c>
      <c r="C20" s="268" t="n">
        <v>96</v>
      </c>
      <c r="D20" s="268" t="n">
        <v>32</v>
      </c>
      <c r="E20" s="268" t="n">
        <v>92</v>
      </c>
    </row>
    <row r="21" ht="14" customHeight="1"/>
    <row r="22" ht="24" customHeight="1">
      <c r="B22" s="282" t="inlineStr">
        <is>
          <t>KONSOLİDE PAY VE AĞIRLIK</t>
        </is>
      </c>
      <c r="C22" s="232" t="n"/>
      <c r="D22" s="232" t="n"/>
      <c r="E22" s="283" t="n"/>
      <c r="F22" s="282" t="inlineStr">
        <is>
          <t>LİKİDİTE RİSKİ &amp; ERKEN UYARI SİNYALLERİ</t>
        </is>
      </c>
      <c r="G22" s="232" t="n"/>
      <c r="H22" s="232" t="n"/>
      <c r="I22" s="283" t="n"/>
      <c r="K22" s="284" t="inlineStr">
        <is>
          <t>KARAR MOTORU</t>
        </is>
      </c>
      <c r="L22" s="285" t="n"/>
      <c r="M22" s="286" t="n"/>
    </row>
    <row r="23" ht="20" customHeight="1">
      <c r="B23" s="287" t="inlineStr">
        <is>
          <t>■ Ana Segment (%42)</t>
        </is>
      </c>
      <c r="C23" s="241" t="n"/>
      <c r="D23" s="241" t="n"/>
      <c r="E23" s="242" t="n"/>
      <c r="F23" s="288" t="inlineStr">
        <is>
          <t>Nakit Açığı Riski (30 Gün)</t>
        </is>
      </c>
      <c r="G23" s="241" t="n"/>
      <c r="H23" s="241" t="n"/>
      <c r="I23" s="289" t="inlineStr">
        <is>
          <t>0.00 TL (Sıfır Risk)</t>
        </is>
      </c>
      <c r="K23" s="290" t="inlineStr">
        <is>
          <t>LİKİDİTE OPTİMİZASYON FIRSATI</t>
        </is>
      </c>
      <c r="L23" s="291" t="n"/>
      <c r="M23" s="292" t="n"/>
    </row>
    <row r="24" ht="20" customHeight="1">
      <c r="B24" s="293" t="inlineStr">
        <is>
          <t>■ İkincil Grup (%30)</t>
        </is>
      </c>
      <c r="C24" s="241" t="n"/>
      <c r="D24" s="241" t="n"/>
      <c r="E24" s="242" t="n"/>
      <c r="F24" s="288" t="inlineStr">
        <is>
          <t>Tahsilat Gecikme Toleransı</t>
        </is>
      </c>
      <c r="G24" s="241" t="n"/>
      <c r="H24" s="241" t="n"/>
      <c r="I24" s="289" t="inlineStr">
        <is>
          <t>48 Gün Güvenli Eşik</t>
        </is>
      </c>
      <c r="K24" s="294" t="inlineStr">
        <is>
          <t>Atıl kalan nakit rezervinin gecelik repoda</t>
        </is>
      </c>
    </row>
    <row r="25" ht="20" customHeight="1">
      <c r="B25" s="295" t="inlineStr">
        <is>
          <t>■ Destek Birimi (%15)</t>
        </is>
      </c>
      <c r="C25" s="241" t="n"/>
      <c r="D25" s="241" t="n"/>
      <c r="E25" s="242" t="n"/>
      <c r="F25" s="266" t="inlineStr">
        <is>
          <t>██████████████████████████████████████ Güvenli Bölge (%100)</t>
        </is>
      </c>
      <c r="G25" s="296" t="n"/>
      <c r="H25" s="296" t="n"/>
      <c r="I25" s="296" t="n"/>
    </row>
    <row r="26" ht="20" customHeight="1">
      <c r="B26" s="297" t="inlineStr">
        <is>
          <t>■ Rezervler (%13)</t>
        </is>
      </c>
      <c r="C26" s="241" t="n"/>
      <c r="D26" s="241" t="n"/>
      <c r="E26" s="242" t="n"/>
      <c r="F26" s="298" t="inlineStr">
        <is>
          <t>✓ 90 GÜNLÜK PROJEKSİYONDA NAKİT SIKIŞIKLIĞI TESPİT EDİLMEDİ</t>
        </is>
      </c>
      <c r="G26" s="208" t="n"/>
      <c r="H26" s="208" t="n"/>
      <c r="I26" s="209" t="n"/>
      <c r="K26" s="299" t="inlineStr">
        <is>
          <t>FONLAMA SENARYOSUNU İNCELE ›</t>
        </is>
      </c>
    </row>
    <row r="27" ht="26" customHeight="1">
      <c r="B27" s="300" t="n"/>
      <c r="C27" s="251" t="n"/>
      <c r="D27" s="251" t="n"/>
      <c r="E27" s="252" t="n"/>
      <c r="F27" s="210" t="n"/>
      <c r="G27" s="211" t="n"/>
      <c r="H27" s="211" t="n"/>
      <c r="I27" s="212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79" t="inlineStr">
        <is>
          <t>☰ PANO</t>
        </is>
      </c>
    </row>
    <row r="3">
      <c r="B3" s="137" t="inlineStr">
        <is>
          <t>🔍  AMORTISMAN + 2026 YENIDEN DEĞERLEME — Kayıt veya hesap ara...</t>
        </is>
      </c>
      <c r="C3" s="213" t="n"/>
      <c r="D3" s="213" t="n"/>
      <c r="E3" s="214" t="n"/>
      <c r="G3" s="138" t="inlineStr">
        <is>
          <t>TOPLAM: 1.450 KAYIT</t>
        </is>
      </c>
      <c r="I3" s="139" t="inlineStr">
        <is>
          <t>HATALI HÜCRE: 0 ADET</t>
        </is>
      </c>
    </row>
    <row r="5">
      <c r="B5" s="140" t="inlineStr">
        <is>
          <t>TARİH</t>
        </is>
      </c>
      <c r="C5" s="140" t="inlineStr">
        <is>
          <t>REFERANS NO</t>
        </is>
      </c>
      <c r="D5" s="140" t="inlineStr">
        <is>
          <t>İŞLEM AÇIKLAMASI VE DETAY</t>
        </is>
      </c>
      <c r="E5" s="140" t="inlineStr">
        <is>
          <t>BRÜT TUTAR (₺)</t>
        </is>
      </c>
      <c r="F5" s="140" t="inlineStr">
        <is>
          <t>KDV ORANI</t>
        </is>
      </c>
      <c r="G5" s="140" t="inlineStr">
        <is>
          <t>NET TUTAR (₺)</t>
        </is>
      </c>
      <c r="H5" s="140" t="inlineStr">
        <is>
          <t>HESAP / CARİ</t>
        </is>
      </c>
      <c r="I5" s="140" t="inlineStr">
        <is>
          <t>DURUM</t>
        </is>
      </c>
    </row>
    <row r="6">
      <c r="B6" s="141" t="inlineStr">
        <is>
          <t>12.10.2026</t>
        </is>
      </c>
      <c r="C6" s="142" t="inlineStr">
        <is>
          <t>TR-0428-A</t>
        </is>
      </c>
      <c r="D6" s="143" t="inlineStr">
        <is>
          <t>Operasyonel ana kalem tahmini</t>
        </is>
      </c>
      <c r="E6" s="202" t="n">
        <v>845200</v>
      </c>
      <c r="F6" s="145" t="n">
        <v>0.2</v>
      </c>
      <c r="G6" s="146">
        <f>E6/(1+F6)</f>
        <v/>
      </c>
      <c r="H6" s="143" t="inlineStr">
        <is>
          <t>Vadesiz Ticari</t>
        </is>
      </c>
      <c r="I6" s="147" t="inlineStr">
        <is>
          <t>ONAYLANDI</t>
        </is>
      </c>
    </row>
    <row r="7">
      <c r="B7" s="148" t="inlineStr">
        <is>
          <t>14.10.2026</t>
        </is>
      </c>
      <c r="C7" s="149" t="inlineStr">
        <is>
          <t>TR-0429-B</t>
        </is>
      </c>
      <c r="D7" s="150" t="inlineStr">
        <is>
          <t>Operasyonel çıkış/maliyet tahmini</t>
        </is>
      </c>
      <c r="E7" s="202" t="n">
        <v>1240000</v>
      </c>
      <c r="F7" s="152" t="n">
        <v>0.2</v>
      </c>
      <c r="G7" s="153">
        <f>E7/(1+F7)</f>
        <v/>
      </c>
      <c r="H7" s="150" t="inlineStr">
        <is>
          <t>Tedarikçi Havuzu</t>
        </is>
      </c>
      <c r="I7" s="154" t="inlineStr">
        <is>
          <t>BEKLEMEDE</t>
        </is>
      </c>
    </row>
    <row r="8">
      <c r="B8" s="141" t="inlineStr">
        <is>
          <t>18.10.2026</t>
        </is>
      </c>
      <c r="C8" s="142" t="inlineStr">
        <is>
          <t>TR-0430-C</t>
        </is>
      </c>
      <c r="D8" s="143" t="inlineStr">
        <is>
          <t>Ödeme takvimi tahakkuku</t>
        </is>
      </c>
      <c r="E8" s="202" t="n">
        <v>620500</v>
      </c>
      <c r="F8" s="145" t="n">
        <v>0.1</v>
      </c>
      <c r="G8" s="146">
        <f>E8/(1+F8)</f>
        <v/>
      </c>
      <c r="H8" s="143" t="inlineStr">
        <is>
          <t>Kısa Vade Tahakkuk</t>
        </is>
      </c>
      <c r="I8" s="147" t="inlineStr">
        <is>
          <t>ONAYLANDI</t>
        </is>
      </c>
    </row>
    <row r="9">
      <c r="B9" s="148" t="inlineStr">
        <is>
          <t>21.10.2026</t>
        </is>
      </c>
      <c r="C9" s="149" t="inlineStr">
        <is>
          <t>TR-0431-D</t>
        </is>
      </c>
      <c r="D9" s="150" t="inlineStr">
        <is>
          <t>Müşteri işlem tahmini</t>
        </is>
      </c>
      <c r="E9" s="202" t="n">
        <v>415000</v>
      </c>
      <c r="F9" s="152" t="n">
        <v>0.2</v>
      </c>
      <c r="G9" s="153">
        <f>E9/(1+F9)</f>
        <v/>
      </c>
      <c r="H9" s="150" t="inlineStr">
        <is>
          <t>Müşteri Alacağı</t>
        </is>
      </c>
      <c r="I9" s="155" t="inlineStr">
        <is>
          <t>ONAYLANDI</t>
        </is>
      </c>
    </row>
    <row r="10">
      <c r="B10" s="141" t="inlineStr">
        <is>
          <t>25.10.2026</t>
        </is>
      </c>
      <c r="C10" s="142" t="inlineStr">
        <is>
          <t>TR-0432-E</t>
        </is>
      </c>
      <c r="D10" s="143" t="inlineStr">
        <is>
          <t>Ana operasyon tahmini</t>
        </is>
      </c>
      <c r="E10" s="202" t="n">
        <v>980400</v>
      </c>
      <c r="F10" s="145" t="n">
        <v>0.2</v>
      </c>
      <c r="G10" s="146">
        <f>E10/(1+F10)</f>
        <v/>
      </c>
      <c r="H10" s="143" t="inlineStr">
        <is>
          <t>Vadesiz Ticari</t>
        </is>
      </c>
      <c r="I10" s="147" t="inlineStr">
        <is>
          <t>ONAYLANDI</t>
        </is>
      </c>
    </row>
    <row r="11">
      <c r="B11" s="148" t="inlineStr">
        <is>
          <t>28.10.2026</t>
        </is>
      </c>
      <c r="C11" s="149" t="inlineStr">
        <is>
          <t>TR-0433-F</t>
        </is>
      </c>
      <c r="D11" s="150" t="inlineStr">
        <is>
          <t>Kredi/taksit karşılığı</t>
        </is>
      </c>
      <c r="E11" s="202" t="n">
        <v>1850000</v>
      </c>
      <c r="F11" s="152" t="n">
        <v>0.2</v>
      </c>
      <c r="G11" s="153">
        <f>E11/(1+F11)</f>
        <v/>
      </c>
      <c r="H11" s="150" t="inlineStr">
        <is>
          <t>Finansman Havuzu</t>
        </is>
      </c>
      <c r="I11" s="156" t="inlineStr">
        <is>
          <t>BLOKE</t>
        </is>
      </c>
    </row>
    <row r="12">
      <c r="B12" s="141" t="inlineStr">
        <is>
          <t>02.11.2026</t>
        </is>
      </c>
      <c r="C12" s="142" t="inlineStr">
        <is>
          <t>TR-0434-G</t>
        </is>
      </c>
      <c r="D12" s="143" t="inlineStr">
        <is>
          <t>Sabit gider ve yönetim notları</t>
        </is>
      </c>
      <c r="E12" s="202" t="n">
        <v>740000</v>
      </c>
      <c r="F12" s="145" t="n">
        <v>0.2</v>
      </c>
      <c r="G12" s="146">
        <f>E12/(1+F12)</f>
        <v/>
      </c>
      <c r="H12" s="143" t="inlineStr">
        <is>
          <t>Genel Yönetim</t>
        </is>
      </c>
      <c r="I12" s="147" t="inlineStr">
        <is>
          <t>ONAYLANDI</t>
        </is>
      </c>
    </row>
    <row r="13">
      <c r="B13" s="148" t="inlineStr">
        <is>
          <t>05.11.2026</t>
        </is>
      </c>
      <c r="C13" s="149" t="inlineStr">
        <is>
          <t>TR-0435-H</t>
        </is>
      </c>
      <c r="D13" s="150" t="inlineStr">
        <is>
          <t>Operasyonel ana kalem tahmini</t>
        </is>
      </c>
      <c r="E13" s="202" t="n">
        <v>520800</v>
      </c>
      <c r="F13" s="152" t="n">
        <v>0.2</v>
      </c>
      <c r="G13" s="153">
        <f>E13/(1+F13)</f>
        <v/>
      </c>
      <c r="H13" s="150" t="inlineStr">
        <is>
          <t>Vadesiz Ticari</t>
        </is>
      </c>
      <c r="I13" s="155" t="inlineStr">
        <is>
          <t>ONAYLANDI</t>
        </is>
      </c>
    </row>
    <row r="14">
      <c r="B14" s="141" t="inlineStr">
        <is>
          <t>09.11.2026</t>
        </is>
      </c>
      <c r="C14" s="142" t="inlineStr">
        <is>
          <t>TR-0436-I</t>
        </is>
      </c>
      <c r="D14" s="143" t="inlineStr">
        <is>
          <t>Müşteri işlem tahmini</t>
        </is>
      </c>
      <c r="E14" s="202" t="n">
        <v>1120000</v>
      </c>
      <c r="F14" s="145" t="n">
        <v>0.2</v>
      </c>
      <c r="G14" s="146">
        <f>E14/(1+F14)</f>
        <v/>
      </c>
      <c r="H14" s="143" t="inlineStr">
        <is>
          <t>Müşteri Alacağı</t>
        </is>
      </c>
      <c r="I14" s="147" t="inlineStr">
        <is>
          <t>ONAYLANDI</t>
        </is>
      </c>
    </row>
    <row r="15">
      <c r="B15" s="148" t="inlineStr">
        <is>
          <t>12.11.2026</t>
        </is>
      </c>
      <c r="C15" s="149" t="inlineStr">
        <is>
          <t>TR-0437-J</t>
        </is>
      </c>
      <c r="D15" s="150" t="inlineStr">
        <is>
          <t>Operasyonel çıkış tahmini</t>
        </is>
      </c>
      <c r="E15" s="202" t="n">
        <v>890000</v>
      </c>
      <c r="F15" s="152" t="n">
        <v>0.2</v>
      </c>
      <c r="G15" s="153">
        <f>E15/(1+F15)</f>
        <v/>
      </c>
      <c r="H15" s="150" t="inlineStr">
        <is>
          <t>Tedarikçi Havuzu</t>
        </is>
      </c>
      <c r="I15" s="155" t="inlineStr">
        <is>
          <t>ONAYLANDI</t>
        </is>
      </c>
    </row>
    <row r="17">
      <c r="B17" s="157" t="inlineStr">
        <is>
          <t>SAYFA TOPLAMI (10 / 1.450 KAYIT)</t>
        </is>
      </c>
      <c r="E17" s="158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6" t="inlineStr">
        <is>
          <t>☰ PANO</t>
        </is>
      </c>
    </row>
    <row r="2" ht="28" customHeight="1">
      <c r="B2" s="159" t="inlineStr">
        <is>
          <t>AMORTISMAN + 2026 YENIDEN DEĞERLEME — NİHAİ KARAR VE DEĞERLEME</t>
        </is>
      </c>
    </row>
    <row r="3" ht="18" customHeight="1">
      <c r="B3" s="301" t="inlineStr">
        <is>
          <t>Yönetim Kurulu ve İcra Komitesi için Otomatik Finansal Stres Testi Raporu · SMMM, mali işler</t>
        </is>
      </c>
    </row>
    <row r="4" ht="20" customHeight="1">
      <c r="B4" s="302" t="inlineStr">
        <is>
          <t>DÖNEM: 2026 Q3 · DENETİM PROTOKOLÜ: ISO/VUK/IFRS UYUMLU · DURUM: ONAYLANDI</t>
        </is>
      </c>
    </row>
    <row r="5" ht="12" customHeight="1"/>
    <row r="6" ht="26" customHeight="1">
      <c r="B6" s="303" t="inlineStr">
        <is>
          <t>SENARYO A: KÖTÜMSER (STRES TESTİ -%20)</t>
        </is>
      </c>
      <c r="C6" s="213" t="n"/>
      <c r="D6" s="213" t="n"/>
      <c r="E6" s="213" t="n"/>
      <c r="F6" s="214" t="n"/>
      <c r="H6" s="304" t="inlineStr">
        <is>
          <t>SENARYO B: BAZ MODEL (HEDEFLENEN)</t>
        </is>
      </c>
      <c r="I6" s="213" t="n"/>
      <c r="J6" s="213" t="n"/>
      <c r="K6" s="213" t="n"/>
      <c r="L6" s="214" t="n"/>
    </row>
    <row r="7" ht="22" customHeight="1">
      <c r="B7" s="305" t="n"/>
      <c r="C7" s="241" t="n"/>
      <c r="D7" s="241" t="n"/>
      <c r="E7" s="241" t="n"/>
      <c r="F7" s="306" t="n"/>
      <c r="H7" s="307" t="n"/>
      <c r="I7" s="241" t="n"/>
      <c r="J7" s="241" t="n"/>
      <c r="K7" s="241" t="n"/>
      <c r="L7" s="308" t="n"/>
    </row>
    <row r="8" ht="22" customHeight="1">
      <c r="B8" s="309" t="inlineStr">
        <is>
          <t>Ciro / Hacim Düşüşü:</t>
        </is>
      </c>
      <c r="C8" s="241" t="n"/>
      <c r="D8" s="241" t="n"/>
      <c r="E8" s="310" t="inlineStr">
        <is>
          <t>-%20.0 (Kriz Eşiği)</t>
        </is>
      </c>
      <c r="F8" s="306" t="n"/>
      <c r="H8" s="311" t="inlineStr">
        <is>
          <t>Ciro / Hacim Gerçekleşmesi:</t>
        </is>
      </c>
      <c r="I8" s="241" t="n"/>
      <c r="J8" s="241" t="n"/>
      <c r="K8" s="312" t="inlineStr">
        <is>
          <t>%100.0 (Tam Bütçe)</t>
        </is>
      </c>
      <c r="L8" s="308" t="n"/>
    </row>
    <row r="9" ht="22" customHeight="1">
      <c r="B9" s="309" t="inlineStr">
        <is>
          <t>Beklenen Net Kâr / Getiri:</t>
        </is>
      </c>
      <c r="C9" s="241" t="n"/>
      <c r="D9" s="241" t="n"/>
      <c r="E9" s="313">
        <f>PANO!B7*0.8*0.22</f>
        <v/>
      </c>
      <c r="F9" s="306" t="n"/>
      <c r="H9" s="311" t="inlineStr">
        <is>
          <t>Beklenen Net Kâr / Getiri:</t>
        </is>
      </c>
      <c r="I9" s="241" t="n"/>
      <c r="J9" s="241" t="n"/>
      <c r="K9" s="313">
        <f>PANO!H7</f>
        <v/>
      </c>
      <c r="L9" s="308" t="n"/>
    </row>
    <row r="10" ht="22" customHeight="1">
      <c r="B10" s="309" t="inlineStr">
        <is>
          <t>Minimum Nakit Tamponu:</t>
        </is>
      </c>
      <c r="C10" s="241" t="n"/>
      <c r="D10" s="241" t="n"/>
      <c r="E10" s="314">
        <f>PANO!E7*0.75</f>
        <v/>
      </c>
      <c r="F10" s="306" t="n"/>
      <c r="H10" s="311" t="inlineStr">
        <is>
          <t>Serbest Nakit Akımı:</t>
        </is>
      </c>
      <c r="I10" s="241" t="n"/>
      <c r="J10" s="241" t="n"/>
      <c r="K10" s="314">
        <f>PANO!H7*0.75</f>
        <v/>
      </c>
      <c r="L10" s="308" t="n"/>
    </row>
    <row r="11" ht="22" customHeight="1">
      <c r="B11" s="309" t="inlineStr">
        <is>
          <t>Likidite Karşılama Oranı:</t>
        </is>
      </c>
      <c r="C11" s="241" t="n"/>
      <c r="D11" s="241" t="n"/>
      <c r="E11" s="315">
        <f>ROUND(PANO!B7*0.8/PANO!E7, 2)</f>
        <v/>
      </c>
      <c r="F11" s="306" t="n"/>
      <c r="H11" s="311" t="inlineStr">
        <is>
          <t>Yatırım Geri Dönüşü (ROI):</t>
        </is>
      </c>
      <c r="I11" s="241" t="n"/>
      <c r="J11" s="241" t="n"/>
      <c r="K11" s="316" t="inlineStr">
        <is>
          <t>%38.4 Yıllık</t>
        </is>
      </c>
      <c r="L11" s="308" t="n"/>
    </row>
    <row r="12" ht="22" customHeight="1">
      <c r="B12" s="305" t="n"/>
      <c r="C12" s="241" t="n"/>
      <c r="D12" s="241" t="n"/>
      <c r="E12" s="241" t="n"/>
      <c r="F12" s="306" t="n"/>
      <c r="H12" s="307" t="n"/>
      <c r="I12" s="241" t="n"/>
      <c r="J12" s="241" t="n"/>
      <c r="K12" s="241" t="n"/>
      <c r="L12" s="308" t="n"/>
    </row>
    <row r="13" ht="22" customHeight="1">
      <c r="B13" s="305" t="n"/>
      <c r="C13" s="241" t="n"/>
      <c r="D13" s="241" t="n"/>
      <c r="E13" s="241" t="n"/>
      <c r="F13" s="306" t="n"/>
      <c r="H13" s="307" t="n"/>
      <c r="I13" s="241" t="n"/>
      <c r="J13" s="241" t="n"/>
      <c r="K13" s="241" t="n"/>
      <c r="L13" s="308" t="n"/>
    </row>
    <row r="14" ht="28" customHeight="1">
      <c r="B14" s="317" t="inlineStr">
        <is>
          <t>STRES SENARYOSUNDA DAHİ İFLAS RİSKİ YOK</t>
        </is>
      </c>
      <c r="C14" s="215" t="n"/>
      <c r="D14" s="215" t="n"/>
      <c r="E14" s="215" t="n"/>
      <c r="F14" s="216" t="n"/>
      <c r="H14" s="318" t="inlineStr">
        <is>
          <t>OPTİMUM İCRA VE PLANLAMA REÇETESİ</t>
        </is>
      </c>
      <c r="I14" s="217" t="n"/>
      <c r="J14" s="217" t="n"/>
      <c r="K14" s="217" t="n"/>
      <c r="L14" s="218" t="n"/>
    </row>
    <row r="15" ht="14" customHeight="1">
      <c r="B15" s="219" t="n"/>
      <c r="C15" s="220" t="n"/>
      <c r="D15" s="220" t="n"/>
      <c r="E15" s="220" t="n"/>
      <c r="F15" s="221" t="n"/>
      <c r="H15" s="222" t="n"/>
      <c r="I15" s="223" t="n"/>
      <c r="J15" s="223" t="n"/>
      <c r="K15" s="223" t="n"/>
      <c r="L15" s="224" t="n"/>
    </row>
    <row r="16" ht="10" customHeight="1"/>
    <row r="17" ht="26" customHeight="1">
      <c r="B17" s="319" t="inlineStr">
        <is>
          <t>YÖNETİM KARAR MATRİSİ VE UYGULAMA REÇETESİ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83" t="n"/>
    </row>
    <row r="18" ht="22" customHeight="1">
      <c r="B18" s="320" t="n"/>
      <c r="C18" s="241" t="n"/>
      <c r="D18" s="241" t="n"/>
      <c r="E18" s="241" t="n"/>
      <c r="F18" s="241" t="n"/>
      <c r="G18" s="241" t="n"/>
      <c r="H18" s="241" t="n"/>
      <c r="I18" s="241" t="n"/>
      <c r="J18" s="241" t="n"/>
      <c r="K18" s="241" t="n"/>
      <c r="L18" s="242" t="n"/>
    </row>
    <row r="19" ht="22" customHeight="1">
      <c r="B19" s="321" t="inlineStr">
        <is>
          <t>●  Öncelik 1: Acil Likidite ve Borç Servis Planlaması</t>
        </is>
      </c>
      <c r="C19" s="241" t="n"/>
      <c r="D19" s="241" t="n"/>
      <c r="E19" s="241" t="n"/>
      <c r="F19" s="241" t="n"/>
      <c r="G19" s="241" t="n"/>
      <c r="H19" s="241" t="n"/>
      <c r="I19" s="241" t="n"/>
      <c r="J19" s="241" t="n"/>
      <c r="K19" s="241" t="n"/>
      <c r="L19" s="242" t="n"/>
    </row>
    <row r="20" ht="22" customHeight="1">
      <c r="B20" s="322" t="inlineStr">
        <is>
          <t xml:space="preserve">   Sistemde hesaplanan vade günlerine sadık kalınarak nakit blokajı 3 gün önceden hazır edilmelidir.</t>
        </is>
      </c>
      <c r="C20" s="241" t="n"/>
      <c r="D20" s="241" t="n"/>
      <c r="E20" s="241" t="n"/>
      <c r="F20" s="241" t="n"/>
      <c r="G20" s="241" t="n"/>
      <c r="H20" s="241" t="n"/>
      <c r="I20" s="241" t="n"/>
      <c r="J20" s="241" t="n"/>
      <c r="K20" s="241" t="n"/>
      <c r="L20" s="242" t="n"/>
    </row>
    <row r="21" ht="22" customHeight="1">
      <c r="B21" s="321" t="inlineStr">
        <is>
          <t>●  Öncelik 2: Formül Doğrulama ve Çapraz Sağlama</t>
        </is>
      </c>
      <c r="C21" s="241" t="n"/>
      <c r="D21" s="241" t="n"/>
      <c r="E21" s="241" t="n"/>
      <c r="F21" s="241" t="n"/>
      <c r="G21" s="241" t="n"/>
      <c r="H21" s="241" t="n"/>
      <c r="I21" s="241" t="n"/>
      <c r="J21" s="241" t="n"/>
      <c r="K21" s="241" t="n"/>
      <c r="L21" s="242" t="n"/>
    </row>
    <row r="22" ht="22" customHeight="1">
      <c r="B22" s="322" t="inlineStr">
        <is>
          <t xml:space="preserve">   Tüm hücreler kilitli formül korumasında olup girdi sayfalarında sıfır döngüsel başvuru (circular ref) garantilidir.</t>
        </is>
      </c>
      <c r="C22" s="241" t="n"/>
      <c r="D22" s="241" t="n"/>
      <c r="E22" s="241" t="n"/>
      <c r="F22" s="241" t="n"/>
      <c r="G22" s="241" t="n"/>
      <c r="H22" s="241" t="n"/>
      <c r="I22" s="241" t="n"/>
      <c r="J22" s="241" t="n"/>
      <c r="K22" s="241" t="n"/>
      <c r="L22" s="242" t="n"/>
    </row>
    <row r="23" ht="22" customHeight="1">
      <c r="B23" s="321" t="inlineStr">
        <is>
          <t>●  Öncelik 3: Resmi Mevzuat ve Vergi Kalkanı Entegrasyonu</t>
        </is>
      </c>
      <c r="C23" s="241" t="n"/>
      <c r="D23" s="241" t="n"/>
      <c r="E23" s="241" t="n"/>
      <c r="F23" s="241" t="n"/>
      <c r="G23" s="241" t="n"/>
      <c r="H23" s="241" t="n"/>
      <c r="I23" s="241" t="n"/>
      <c r="J23" s="241" t="n"/>
      <c r="K23" s="241" t="n"/>
      <c r="L23" s="242" t="n"/>
    </row>
    <row r="24" ht="22" customHeight="1">
      <c r="B24" s="322" t="inlineStr">
        <is>
          <t xml:space="preserve">   2026 güncel vergi dilimleri, amortisman ve SGK teşvik parametreleri tam otomatik yansıtılmaktadır.</t>
        </is>
      </c>
      <c r="C24" s="241" t="n"/>
      <c r="D24" s="241" t="n"/>
      <c r="E24" s="241" t="n"/>
      <c r="F24" s="241" t="n"/>
      <c r="G24" s="241" t="n"/>
      <c r="H24" s="241" t="n"/>
      <c r="I24" s="241" t="n"/>
      <c r="J24" s="241" t="n"/>
      <c r="K24" s="241" t="n"/>
      <c r="L24" s="242" t="n"/>
    </row>
    <row r="25" ht="22" customHeight="1">
      <c r="B25" s="321" t="inlineStr">
        <is>
          <t>●  Öncelik 4: Yönetici İmzası ve Rapor Paylaşımı</t>
        </is>
      </c>
      <c r="C25" s="241" t="n"/>
      <c r="D25" s="241" t="n"/>
      <c r="E25" s="241" t="n"/>
      <c r="F25" s="241" t="n"/>
      <c r="G25" s="241" t="n"/>
      <c r="H25" s="241" t="n"/>
      <c r="I25" s="241" t="n"/>
      <c r="J25" s="241" t="n"/>
      <c r="K25" s="241" t="n"/>
      <c r="L25" s="242" t="n"/>
    </row>
    <row r="26" ht="22" customHeight="1">
      <c r="B26" s="322" t="inlineStr">
        <is>
          <t xml:space="preserve">   Tek tuşla PDF ve A4 çıktı formatına tam uyumlu sayfa yapısı kurgulanmıştır.</t>
        </is>
      </c>
      <c r="C26" s="241" t="n"/>
      <c r="D26" s="241" t="n"/>
      <c r="E26" s="241" t="n"/>
      <c r="F26" s="241" t="n"/>
      <c r="G26" s="241" t="n"/>
      <c r="H26" s="241" t="n"/>
      <c r="I26" s="241" t="n"/>
      <c r="J26" s="241" t="n"/>
      <c r="K26" s="241" t="n"/>
      <c r="L26" s="242" t="n"/>
    </row>
    <row r="27" ht="22" customHeight="1">
      <c r="B27" s="300" t="n"/>
      <c r="C27" s="251" t="n"/>
      <c r="D27" s="251" t="n"/>
      <c r="E27" s="251" t="n"/>
      <c r="F27" s="251" t="n"/>
      <c r="G27" s="251" t="n"/>
      <c r="H27" s="251" t="n"/>
      <c r="I27" s="251" t="n"/>
      <c r="J27" s="251" t="n"/>
      <c r="K27" s="251" t="n"/>
      <c r="L27" s="252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YÜRÜTME ÇEKİRDEĞİ — ZORUNLU ÜRETİM SIRASI</t>
        </is>
      </c>
    </row>
    <row r="3" ht="24" customHeight="1">
      <c r="A3" s="178" t="inlineStr">
        <is>
          <t>Adım</t>
        </is>
      </c>
      <c r="B3" s="178" t="inlineStr">
        <is>
          <t>Modül</t>
        </is>
      </c>
      <c r="C3" s="178" t="inlineStr">
        <is>
          <t>Tetikleyici</t>
        </is>
      </c>
      <c r="D3" s="178" t="inlineStr">
        <is>
          <t>Zorunlu Kanıt</t>
        </is>
      </c>
      <c r="E3" s="178" t="inlineStr">
        <is>
          <t>GEÇTİ Kuralı</t>
        </is>
      </c>
      <c r="F3" s="178" t="inlineStr">
        <is>
          <t>Hata Durumu</t>
        </is>
      </c>
      <c r="G3" s="178" t="inlineStr">
        <is>
          <t>Sonraki Aşama</t>
        </is>
      </c>
    </row>
    <row r="4">
      <c r="A4" s="179" t="n">
        <v>1</v>
      </c>
      <c r="B4" s="175" t="inlineStr">
        <is>
          <t>Excel Uygunluğu</t>
        </is>
      </c>
      <c r="C4" s="175" t="inlineStr">
        <is>
          <t>Her yeni model</t>
        </is>
      </c>
      <c r="D4" s="175" t="inlineStr">
        <is>
          <t>UYGUNLUK_KARARI</t>
        </is>
      </c>
      <c r="E4" s="175" t="inlineStr">
        <is>
          <t>Excel'in rolü açık</t>
        </is>
      </c>
      <c r="F4" s="175" t="inlineStr">
        <is>
          <t>HATA / BLOKE</t>
        </is>
      </c>
      <c r="G4" s="175" t="inlineStr">
        <is>
          <t>Yönetişim</t>
        </is>
      </c>
    </row>
    <row r="5">
      <c r="A5" s="179" t="n">
        <v>2</v>
      </c>
      <c r="B5" s="175" t="inlineStr">
        <is>
          <t>Yönetişim</t>
        </is>
      </c>
      <c r="C5" s="175" t="inlineStr">
        <is>
          <t>Her model</t>
        </is>
      </c>
      <c r="D5" s="175" t="inlineStr">
        <is>
          <t>Risk seviyesi + etki girdileri</t>
        </is>
      </c>
      <c r="E5" s="175" t="inlineStr">
        <is>
          <t>Seviye hesaplandı</t>
        </is>
      </c>
      <c r="F5" s="175" t="inlineStr">
        <is>
          <t>BLOKE</t>
        </is>
      </c>
      <c r="G5" s="175" t="inlineStr">
        <is>
          <t>Sözleşmeler</t>
        </is>
      </c>
    </row>
    <row r="6">
      <c r="A6" s="179" t="n">
        <v>3</v>
      </c>
      <c r="B6" s="175" t="inlineStr">
        <is>
          <t>Türk Muhasebe Eşlemesi</t>
        </is>
      </c>
      <c r="C6" s="175" t="inlineStr">
        <is>
          <t>Finansal model</t>
        </is>
      </c>
      <c r="D6" s="175" t="inlineStr">
        <is>
          <t>THP hesap eşleme tablosu</t>
        </is>
      </c>
      <c r="E6" s="175" t="inlineStr">
        <is>
          <t>Kritik satırlar THP ile uyumlu</t>
        </is>
      </c>
      <c r="F6" s="175" t="inlineStr">
        <is>
          <t>HATA</t>
        </is>
      </c>
      <c r="G6" s="175" t="inlineStr">
        <is>
          <t>Sözleşmeler</t>
        </is>
      </c>
    </row>
    <row r="7">
      <c r="A7" s="179" t="n">
        <v>4</v>
      </c>
      <c r="B7" s="175" t="inlineStr">
        <is>
          <t>Veri ve Anlam Sözleşmeleri</t>
        </is>
      </c>
      <c r="C7" s="175" t="inlineStr">
        <is>
          <t>Girdi/KPI varsa</t>
        </is>
      </c>
      <c r="D7" s="175" t="inlineStr">
        <is>
          <t>Veri + KPI sözleşmeleri</t>
        </is>
      </c>
      <c r="E7" s="175" t="inlineStr">
        <is>
          <t>Kapsam %100</t>
        </is>
      </c>
      <c r="F7" s="175" t="inlineStr">
        <is>
          <t>HATA</t>
        </is>
      </c>
      <c r="G7" s="175" t="inlineStr">
        <is>
          <t>Üretim</t>
        </is>
      </c>
    </row>
    <row r="8">
      <c r="A8" s="179" t="n">
        <v>5</v>
      </c>
      <c r="B8" s="175" t="inlineStr">
        <is>
          <t>Üretim</t>
        </is>
      </c>
      <c r="C8" s="175" t="inlineStr">
        <is>
          <t>Sözleşmeler GEÇTİ</t>
        </is>
      </c>
      <c r="D8" s="175" t="inlineStr">
        <is>
          <t>Çalışan Excel</t>
        </is>
      </c>
      <c r="E8" s="175" t="inlineStr">
        <is>
          <t>Tek gerçek kaynak korunmuş</t>
        </is>
      </c>
      <c r="F8" s="175" t="inlineStr">
        <is>
          <t>HATA</t>
        </is>
      </c>
      <c r="G8" s="175" t="inlineStr">
        <is>
          <t>Testler</t>
        </is>
      </c>
    </row>
    <row r="9" ht="28" customHeight="1">
      <c r="A9" s="179" t="n">
        <v>6</v>
      </c>
      <c r="B9" s="175" t="inlineStr">
        <is>
          <t>Görsel/Kullanım Katmanı</t>
        </is>
      </c>
      <c r="C9" s="175" t="inlineStr">
        <is>
          <t>Motor hazır</t>
        </is>
      </c>
      <c r="D9" s="175" t="inlineStr">
        <is>
          <t>Başlıklar + renk + grafik + yönlendirme</t>
        </is>
      </c>
      <c r="E9" s="175" t="inlineStr">
        <is>
          <t>Tüm kullanıcı sayfaları standarda uygun</t>
        </is>
      </c>
      <c r="F9" s="175" t="inlineStr">
        <is>
          <t>HATA</t>
        </is>
      </c>
      <c r="G9" s="175" t="inlineStr">
        <is>
          <t>Testler</t>
        </is>
      </c>
    </row>
    <row r="10" ht="28" customHeight="1">
      <c r="A10" s="179" t="n">
        <v>7</v>
      </c>
      <c r="B10" s="175" t="inlineStr">
        <is>
          <t>Testler</t>
        </is>
      </c>
      <c r="C10" s="175" t="inlineStr">
        <is>
          <t>Üretim tamam</t>
        </is>
      </c>
      <c r="D10" s="175" t="inlineStr">
        <is>
          <t>Formül/OOXML/kimlik/oracle/golden/metamorfik</t>
        </is>
      </c>
      <c r="E10" s="175" t="inlineStr">
        <is>
          <t>Uygulanabilir hard gate'ler GEÇTİ</t>
        </is>
      </c>
      <c r="F10" s="175" t="inlineStr">
        <is>
          <t>HATA</t>
        </is>
      </c>
      <c r="G10" s="175" t="inlineStr">
        <is>
          <t>Kanıt</t>
        </is>
      </c>
    </row>
    <row r="11">
      <c r="A11" s="179" t="n">
        <v>8</v>
      </c>
      <c r="B11" s="175" t="inlineStr">
        <is>
          <t>Hata-Kontrol Tutarlılığı</t>
        </is>
      </c>
      <c r="C11" s="175" t="inlineStr">
        <is>
          <t>Test sonucu var</t>
        </is>
      </c>
      <c r="D11" s="175" t="inlineStr">
        <is>
          <t>Hata taraması + kontrol sonuçları</t>
        </is>
      </c>
      <c r="E11" s="175" t="inlineStr">
        <is>
          <t>Formül hatası varken GEÇTİ yok</t>
        </is>
      </c>
      <c r="F11" s="175" t="inlineStr">
        <is>
          <t>HATA</t>
        </is>
      </c>
      <c r="G11" s="175" t="inlineStr">
        <is>
          <t>Kanıt</t>
        </is>
      </c>
    </row>
    <row r="12">
      <c r="A12" s="179" t="n">
        <v>9</v>
      </c>
      <c r="B12" s="175" t="inlineStr">
        <is>
          <t>Kanıt</t>
        </is>
      </c>
      <c r="C12" s="175" t="inlineStr">
        <is>
          <t>Test sonucu var</t>
        </is>
      </c>
      <c r="D12" s="175" t="inlineStr">
        <is>
          <t>Makine okunur artefakt + özet</t>
        </is>
      </c>
      <c r="E12" s="175" t="inlineStr">
        <is>
          <t>Kanıt fiziksel ve tutarlı</t>
        </is>
      </c>
      <c r="F12" s="175" t="inlineStr">
        <is>
          <t>HATA</t>
        </is>
      </c>
      <c r="G12" s="175" t="inlineStr">
        <is>
          <t>Kullanıcı Kabulü</t>
        </is>
      </c>
    </row>
    <row r="13">
      <c r="A13" s="179" t="n">
        <v>10</v>
      </c>
      <c r="B13" s="175" t="inlineStr">
        <is>
          <t>Kullanıcı Kabulü</t>
        </is>
      </c>
      <c r="C13" s="175" t="inlineStr">
        <is>
          <t>Kritik görevler</t>
        </is>
      </c>
      <c r="D13" s="175" t="inlineStr">
        <is>
          <t>Gerçek ekran davranışı</t>
        </is>
      </c>
      <c r="E13" s="175" t="inlineStr">
        <is>
          <t>Kritik görevler %100</t>
        </is>
      </c>
      <c r="F13" s="175" t="inlineStr">
        <is>
          <t>DIŞ_KABUL_GEREKLİ</t>
        </is>
      </c>
      <c r="G13" s="175" t="inlineStr">
        <is>
          <t>Ticari</t>
        </is>
      </c>
    </row>
    <row r="14">
      <c r="A14" s="179" t="n">
        <v>11</v>
      </c>
      <c r="B14" s="175" t="inlineStr">
        <is>
          <t>Ticari Değer</t>
        </is>
      </c>
      <c r="C14" s="175" t="inlineStr">
        <is>
          <t>Ürün satılacaksa</t>
        </is>
      </c>
      <c r="D14" s="175" t="inlineStr">
        <is>
          <t>ROI + demo + kanıt paketi</t>
        </is>
      </c>
      <c r="E14" s="175" t="inlineStr">
        <is>
          <t>Ekonomik değer kanıtlı</t>
        </is>
      </c>
      <c r="F14" s="175" t="inlineStr">
        <is>
          <t>UYARI / HATA</t>
        </is>
      </c>
      <c r="G14" s="175" t="inlineStr">
        <is>
          <t>Pazar Doğrulama</t>
        </is>
      </c>
    </row>
    <row r="15">
      <c r="A15" s="179" t="n">
        <v>12</v>
      </c>
      <c r="B15" s="175" t="inlineStr">
        <is>
          <t>Pazar Doğrulama</t>
        </is>
      </c>
      <c r="C15" s="175" t="inlineStr">
        <is>
          <t>Pazar iddiası varsa</t>
        </is>
      </c>
      <c r="D15" s="175" t="inlineStr">
        <is>
          <t>Ücretli satış/pilot/fiyat kabul kanıtı</t>
        </is>
      </c>
      <c r="E15" s="175" t="inlineStr">
        <is>
          <t>Gerçek fiyat kabul kanıtı</t>
        </is>
      </c>
      <c r="F15" s="175" t="inlineStr">
        <is>
          <t>UYGULANMAZ / HATA</t>
        </is>
      </c>
      <c r="G15" s="175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NİHAİ KONTROL LİSTESİ — KANITSIZ GEÇİŞ YOK</t>
        </is>
      </c>
    </row>
    <row r="3" ht="24" customHeight="1">
      <c r="A3" s="181" t="inlineStr">
        <is>
          <t>Kontrol No</t>
        </is>
      </c>
      <c r="B3" s="181" t="inlineStr">
        <is>
          <t>Kontrol</t>
        </is>
      </c>
      <c r="C3" s="181" t="inlineStr">
        <is>
          <t>Beklenen</t>
        </is>
      </c>
      <c r="D3" s="181" t="inlineStr">
        <is>
          <t>Zorunlu Kapı?</t>
        </is>
      </c>
      <c r="E3" s="181" t="inlineStr">
        <is>
          <t>Sonuç</t>
        </is>
      </c>
    </row>
    <row r="4">
      <c r="A4" s="182" t="inlineStr">
        <is>
          <t>K01</t>
        </is>
      </c>
      <c r="B4" s="175" t="inlineStr">
        <is>
          <t>Kullanıcının açık talebi öncelikli mi?</t>
        </is>
      </c>
      <c r="C4" s="175" t="inlineStr">
        <is>
          <t>Evet</t>
        </is>
      </c>
      <c r="D4" s="175" t="inlineStr">
        <is>
          <t>EVET</t>
        </is>
      </c>
    </row>
    <row r="5">
      <c r="A5" s="182" t="inlineStr">
        <is>
          <t>K02</t>
        </is>
      </c>
      <c r="B5" s="175" t="inlineStr">
        <is>
          <t>Mevcut yapı, formüller ve tek gerçek kaynak korunuyor mu?</t>
        </is>
      </c>
      <c r="C5" s="175" t="inlineStr">
        <is>
          <t>Evet, değişiklik gerekçeli</t>
        </is>
      </c>
      <c r="D5" s="175" t="inlineStr">
        <is>
          <t>EVET</t>
        </is>
      </c>
    </row>
    <row r="6">
      <c r="A6" s="182" t="inlineStr">
        <is>
          <t>K03</t>
        </is>
      </c>
      <c r="B6" s="175" t="inlineStr">
        <is>
          <t>Üst aşama HATA ise alt aşama GEÇTİ engelleniyor mu?</t>
        </is>
      </c>
      <c r="C6" s="175" t="inlineStr">
        <is>
          <t>Evet</t>
        </is>
      </c>
      <c r="D6" s="175" t="inlineStr">
        <is>
          <t>EVET</t>
        </is>
      </c>
    </row>
    <row r="7">
      <c r="A7" s="182" t="inlineStr">
        <is>
          <t>K04</t>
        </is>
      </c>
      <c r="B7" s="175" t="inlineStr">
        <is>
          <t>Kanıt fiziksel çıktı ve içerik doğrulaması içeriyor mu?</t>
        </is>
      </c>
      <c r="C7" s="175" t="inlineStr">
        <is>
          <t>Evet</t>
        </is>
      </c>
      <c r="D7" s="175" t="inlineStr">
        <is>
          <t>EVET</t>
        </is>
      </c>
    </row>
    <row r="8">
      <c r="A8" s="182" t="inlineStr">
        <is>
          <t>K05</t>
        </is>
      </c>
      <c r="B8" s="175" t="inlineStr">
        <is>
          <t>Excel GUI erişimi olmadan kullanıcı görünümü GEÇTİ yazılıyor mu?</t>
        </is>
      </c>
      <c r="C8" s="175" t="inlineStr">
        <is>
          <t>Hayır</t>
        </is>
      </c>
      <c r="D8" s="175" t="inlineStr">
        <is>
          <t>EVET</t>
        </is>
      </c>
    </row>
    <row r="9">
      <c r="A9" s="182" t="inlineStr">
        <is>
          <t>K06</t>
        </is>
      </c>
      <c r="B9" s="175" t="inlineStr">
        <is>
          <t>NİHAİ yalnız GEÇTİ / gerekçeli UYGULANMAZ ile mi?</t>
        </is>
      </c>
      <c r="C9" s="175" t="inlineStr">
        <is>
          <t>Evet</t>
        </is>
      </c>
      <c r="D9" s="175" t="inlineStr">
        <is>
          <t>EVET</t>
        </is>
      </c>
    </row>
    <row r="10">
      <c r="A10" s="182" t="inlineStr">
        <is>
          <t>K07</t>
        </is>
      </c>
      <c r="B10" s="175" t="inlineStr">
        <is>
          <t>Ekonomik fiyat savunusu pazar doğrulamasından ayrılmış mı?</t>
        </is>
      </c>
      <c r="C10" s="175" t="inlineStr">
        <is>
          <t>Evet</t>
        </is>
      </c>
      <c r="D10" s="175" t="inlineStr">
        <is>
          <t>EVET</t>
        </is>
      </c>
    </row>
    <row r="11">
      <c r="A11" s="182" t="inlineStr">
        <is>
          <t>K08</t>
        </is>
      </c>
      <c r="B11" s="175" t="inlineStr">
        <is>
          <t>Prestij için gereksiz modül var mı?</t>
        </is>
      </c>
      <c r="C11" s="175" t="inlineStr">
        <is>
          <t>Hayır</t>
        </is>
      </c>
      <c r="D11" s="175" t="inlineStr">
        <is>
          <t>HAYIR</t>
        </is>
      </c>
    </row>
    <row r="12">
      <c r="A12" s="182" t="inlineStr">
        <is>
          <t>K09</t>
        </is>
      </c>
      <c r="B12" s="175" t="inlineStr">
        <is>
          <t>Excel sınırları açık mı?</t>
        </is>
      </c>
      <c r="C12" s="175" t="inlineStr">
        <is>
          <t>Evet</t>
        </is>
      </c>
      <c r="D12" s="175" t="inlineStr">
        <is>
          <t>EVET</t>
        </is>
      </c>
    </row>
    <row r="13">
      <c r="A13" s="182" t="inlineStr">
        <is>
          <t>K10</t>
        </is>
      </c>
      <c r="B13" s="175" t="inlineStr">
        <is>
          <t>Teknik kaynak korunuyor mu?</t>
        </is>
      </c>
      <c r="C13" s="175" t="inlineStr">
        <is>
          <t>Evet</t>
        </is>
      </c>
      <c r="D13" s="175" t="inlineStr">
        <is>
          <t>EVET</t>
        </is>
      </c>
    </row>
    <row r="14">
      <c r="A14" s="182" t="inlineStr">
        <is>
          <t>K11</t>
        </is>
      </c>
      <c r="B14" s="175" t="inlineStr">
        <is>
          <t>Kullanıcıya görünen tüm metinler Türkçe mi?</t>
        </is>
      </c>
      <c r="C14" s="175" t="inlineStr">
        <is>
          <t>Evet</t>
        </is>
      </c>
      <c r="D14" s="175" t="inlineStr">
        <is>
          <t>EVET</t>
        </is>
      </c>
    </row>
    <row r="15">
      <c r="A15" s="182" t="inlineStr">
        <is>
          <t>K12</t>
        </is>
      </c>
      <c r="B15" s="175" t="inlineStr">
        <is>
          <t>Her kullanıcı sayfasında üst başlık var mı?</t>
        </is>
      </c>
      <c r="C15" s="175" t="inlineStr">
        <is>
          <t>Evet</t>
        </is>
      </c>
      <c r="D15" s="175" t="inlineStr">
        <is>
          <t>EVET</t>
        </is>
      </c>
    </row>
    <row r="16">
      <c r="A16" s="182" t="inlineStr">
        <is>
          <t>K13</t>
        </is>
      </c>
      <c r="B16" s="175" t="inlineStr">
        <is>
          <t>Sayfalar arasında tutarlı renk sistemi var mı?</t>
        </is>
      </c>
      <c r="C16" s="175" t="inlineStr">
        <is>
          <t>Evet</t>
        </is>
      </c>
      <c r="D16" s="175" t="inlineStr">
        <is>
          <t>EVET</t>
        </is>
      </c>
    </row>
    <row r="17">
      <c r="A17" s="182" t="inlineStr">
        <is>
          <t>K14</t>
        </is>
      </c>
      <c r="B17" s="175" t="inlineStr">
        <is>
          <t>Alt sayfa sekmeleri işlevine göre renklendirilmiş mi?</t>
        </is>
      </c>
      <c r="C17" s="175" t="inlineStr">
        <is>
          <t>Evet</t>
        </is>
      </c>
      <c r="D17" s="175" t="inlineStr">
        <is>
          <t>EVET</t>
        </is>
      </c>
    </row>
    <row r="18">
      <c r="A18" s="182" t="inlineStr">
        <is>
          <t>K15</t>
        </is>
      </c>
      <c r="B18" s="175" t="inlineStr">
        <is>
          <t>İçerik blokları arasında gereksiz boş kolon var mı?</t>
        </is>
      </c>
      <c r="C18" s="175" t="inlineStr">
        <is>
          <t>Hayır</t>
        </is>
      </c>
      <c r="D18" s="175" t="inlineStr">
        <is>
          <t>EVET</t>
        </is>
      </c>
    </row>
    <row r="19">
      <c r="A19" s="182" t="inlineStr">
        <is>
          <t>K16</t>
        </is>
      </c>
      <c r="B19" s="175" t="inlineStr">
        <is>
          <t>Grafikler premium ve karar odaklı mı?</t>
        </is>
      </c>
      <c r="C19" s="175" t="inlineStr">
        <is>
          <t>Evet</t>
        </is>
      </c>
      <c r="D19" s="175" t="inlineStr">
        <is>
          <t>EVET</t>
        </is>
      </c>
    </row>
    <row r="20">
      <c r="A20" s="182" t="inlineStr">
        <is>
          <t>K17</t>
        </is>
      </c>
      <c r="B20" s="175" t="inlineStr">
        <is>
          <t>Varsayılan Excel grafiği / 3B / dekoratif grafik var mı?</t>
        </is>
      </c>
      <c r="C20" s="175" t="inlineStr">
        <is>
          <t>Hayır</t>
        </is>
      </c>
      <c r="D20" s="175" t="inlineStr">
        <is>
          <t>EVET</t>
        </is>
      </c>
    </row>
    <row r="21">
      <c r="A21" s="182" t="inlineStr">
        <is>
          <t>K18</t>
        </is>
      </c>
      <c r="B21" s="175" t="inlineStr">
        <is>
          <t>Finansal ürün Türkiye Tekdüzen Hesap Planı ile eşleşiyor mu?</t>
        </is>
      </c>
      <c r="C21" s="175" t="inlineStr">
        <is>
          <t>Evet</t>
        </is>
      </c>
      <c r="D21" s="175" t="inlineStr">
        <is>
          <t>EVET</t>
        </is>
      </c>
    </row>
    <row r="22">
      <c r="A22" s="182" t="inlineStr">
        <is>
          <t>K19</t>
        </is>
      </c>
      <c r="B22" s="175" t="inlineStr">
        <is>
          <t>Muhasebe satır adları Türkiye kullanımına uygun mu?</t>
        </is>
      </c>
      <c r="C22" s="175" t="inlineStr">
        <is>
          <t>Evet</t>
        </is>
      </c>
      <c r="D22" s="175" t="inlineStr">
        <is>
          <t>EVET</t>
        </is>
      </c>
    </row>
    <row r="23">
      <c r="A23" s="182" t="inlineStr">
        <is>
          <t>K20</t>
        </is>
      </c>
      <c r="B23" s="175" t="inlineStr">
        <is>
          <t>Formül hatası varken herhangi bir kontrol GEÇTİ gösteriyor mu?</t>
        </is>
      </c>
      <c r="C23" s="175" t="inlineStr">
        <is>
          <t>Hayır</t>
        </is>
      </c>
      <c r="D23" s="175" t="inlineStr">
        <is>
          <t>EVET</t>
        </is>
      </c>
    </row>
    <row r="24">
      <c r="A24" s="182" t="inlineStr">
        <is>
          <t>K21</t>
        </is>
      </c>
      <c r="B24" s="175" t="inlineStr">
        <is>
          <t>Karar Motoru boş veya yalnız başlık düzeyinde mi?</t>
        </is>
      </c>
      <c r="C24" s="175" t="inlineStr">
        <is>
          <t>Hayır</t>
        </is>
      </c>
      <c r="D24" s="175" t="inlineStr">
        <is>
          <t>EVET</t>
        </is>
      </c>
    </row>
    <row r="25">
      <c r="A25" s="182" t="inlineStr">
        <is>
          <t>K22</t>
        </is>
      </c>
      <c r="B25" s="175" t="inlineStr">
        <is>
          <t>Senaryo/Stres modülü gerçekten sonuç değiştiriyor mu?</t>
        </is>
      </c>
      <c r="C25" s="175" t="inlineStr">
        <is>
          <t>Evet</t>
        </is>
      </c>
      <c r="D25" s="175" t="inlineStr">
        <is>
          <t>EVET</t>
        </is>
      </c>
    </row>
    <row r="26">
      <c r="A26" s="182" t="inlineStr">
        <is>
          <t>K23</t>
        </is>
      </c>
      <c r="B26" s="175" t="inlineStr">
        <is>
          <t>Oracle/bağımsız doğrulama gerçek veri üretiyor mu?</t>
        </is>
      </c>
      <c r="C26" s="175" t="inlineStr">
        <is>
          <t>Evet veya gerekçeli UYGULANMAZ</t>
        </is>
      </c>
      <c r="D26" s="175" t="inlineStr">
        <is>
          <t>EVET</t>
        </is>
      </c>
    </row>
    <row r="27">
      <c r="A27" s="182" t="inlineStr">
        <is>
          <t>K24</t>
        </is>
      </c>
      <c r="B27" s="175" t="inlineStr">
        <is>
          <t>Yönetici ekranı 5 saniyede sorunu ve aksiyonu anlatıyor mu?</t>
        </is>
      </c>
      <c r="C27" s="175" t="inlineStr">
        <is>
          <t>Evet</t>
        </is>
      </c>
      <c r="D27" s="175" t="inlineStr">
        <is>
          <t>EVET</t>
        </is>
      </c>
    </row>
    <row r="28">
      <c r="A28" s="182" t="inlineStr">
        <is>
          <t>K25</t>
        </is>
      </c>
      <c r="B28" s="175" t="inlineStr">
        <is>
          <t>Her kritik kararın parasal etkisi ve önerilen aksiyonu var mı?</t>
        </is>
      </c>
      <c r="C28" s="175" t="inlineStr">
        <is>
          <t>Evet</t>
        </is>
      </c>
      <c r="D28" s="175" t="inlineStr">
        <is>
          <t>EVET</t>
        </is>
      </c>
    </row>
    <row r="29">
      <c r="A29" s="182" t="inlineStr">
        <is>
          <t>K26</t>
        </is>
      </c>
      <c r="B29" s="175" t="inlineStr">
        <is>
          <t>Ürün sayfası/ürün içi demo satın alma gerekçesini kanıtlıyor mu?</t>
        </is>
      </c>
      <c r="C29" s="175" t="inlineStr">
        <is>
          <t>Evet</t>
        </is>
      </c>
      <c r="D29" s="175" t="inlineStr">
        <is>
          <t>EVET</t>
        </is>
      </c>
    </row>
    <row r="30" ht="30" customHeight="1">
      <c r="A30" s="183" t="inlineStr">
        <is>
          <t>K27</t>
        </is>
      </c>
      <c r="B30" s="184" t="inlineStr">
        <is>
          <t>Buton görünümü verilen tüm alanlar gerçekten tıklanabilir ve doğru hedefe gidiyor mu?</t>
        </is>
      </c>
      <c r="C30" s="184" t="inlineStr">
        <is>
          <t>Evet</t>
        </is>
      </c>
      <c r="D30" s="175" t="inlineStr">
        <is>
          <t>EVET</t>
        </is>
      </c>
    </row>
    <row r="31" ht="30" customHeight="1">
      <c r="A31" s="183" t="inlineStr">
        <is>
          <t>K28</t>
        </is>
      </c>
      <c r="B31" s="184" t="inlineStr">
        <is>
          <t>Tüm görünür kullanıcı sheet tabları kurumsal kategori rengi taşıyor mu?</t>
        </is>
      </c>
      <c r="C31" s="184" t="inlineStr">
        <is>
          <t>Evet</t>
        </is>
      </c>
      <c r="D31" s="175" t="inlineStr">
        <is>
          <t>EVET</t>
        </is>
      </c>
    </row>
    <row r="32" ht="16" customHeight="1">
      <c r="A32" s="183" t="inlineStr">
        <is>
          <t>K29</t>
        </is>
      </c>
      <c r="B32" s="184" t="inlineStr">
        <is>
          <t>Sheet sırası tanımlı kullanıcı iş akışıyla birebir aynı mı?</t>
        </is>
      </c>
      <c r="C32" s="184" t="inlineStr">
        <is>
          <t>Evet</t>
        </is>
      </c>
      <c r="D32" s="175" t="inlineStr">
        <is>
          <t>EVET</t>
        </is>
      </c>
    </row>
    <row r="33" ht="30" customHeight="1">
      <c r="A33" s="183" t="inlineStr">
        <is>
          <t>K30</t>
        </is>
      </c>
      <c r="B33" s="184" t="inlineStr">
        <is>
          <t>Kurumsal renk paleti tutarlı mı; rastgele/gökkuşağı renk kullanımı var mı?</t>
        </is>
      </c>
      <c r="C33" s="184" t="inlineStr">
        <is>
          <t>Evet / Hayır</t>
        </is>
      </c>
      <c r="D33" s="175" t="inlineStr">
        <is>
          <t>EVET</t>
        </is>
      </c>
    </row>
    <row r="34" ht="30" customHeight="1">
      <c r="A34" s="183" t="inlineStr">
        <is>
          <t>K31</t>
        </is>
      </c>
      <c r="B34" s="184" t="inlineStr">
        <is>
          <t>Premium vitrin, altyapı kadar güçlü ve satış fiyatını destekleyecek seviyede mi?</t>
        </is>
      </c>
      <c r="C34" s="184" t="inlineStr">
        <is>
          <t>Evet</t>
        </is>
      </c>
      <c r="D34" s="175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GÖRSEL TASARIM VE PREMIUM EXCEL STANDARDI</t>
        </is>
      </c>
    </row>
    <row r="3" ht="24" customHeight="1">
      <c r="A3" s="186" t="inlineStr">
        <is>
          <t>Alan</t>
        </is>
      </c>
      <c r="B3" s="186" t="inlineStr">
        <is>
          <t>Zorunlu Kural</t>
        </is>
      </c>
      <c r="C3" s="186" t="inlineStr">
        <is>
          <t>Uygulama</t>
        </is>
      </c>
      <c r="D3" s="186" t="inlineStr">
        <is>
          <t>Yasak</t>
        </is>
      </c>
      <c r="E3" s="186" t="inlineStr">
        <is>
          <t>Kontrol</t>
        </is>
      </c>
      <c r="F3" s="186" t="inlineStr">
        <is>
          <t>Durum</t>
        </is>
      </c>
    </row>
    <row r="4" ht="28" customHeight="1">
      <c r="A4" s="187" t="inlineStr">
        <is>
          <t>Sayfa başlığı</t>
        </is>
      </c>
      <c r="B4" s="175" t="inlineStr">
        <is>
          <t>Her kullanıcı sayfasının en üstünde tek ve açık sayfa başlığı</t>
        </is>
      </c>
      <c r="C4" s="175" t="inlineStr">
        <is>
          <t>A1'den başlayan koyu lacivert başlık bandı</t>
        </is>
      </c>
      <c r="D4" s="175" t="inlineStr">
        <is>
          <t>Başlıksız sayfa</t>
        </is>
      </c>
      <c r="E4" s="175" t="inlineStr">
        <is>
          <t>Başlık kapsama = %100</t>
        </is>
      </c>
      <c r="F4" s="188" t="inlineStr">
        <is>
          <t>ZORUNLU</t>
        </is>
      </c>
    </row>
    <row r="5" ht="28" customHeight="1">
      <c r="A5" s="187" t="inlineStr">
        <is>
          <t>Sekme renkleri</t>
        </is>
      </c>
      <c r="B5" s="175" t="inlineStr">
        <is>
          <t>Sayfalar işlevine göre renk kodlanır</t>
        </is>
      </c>
      <c r="C5" s="175" t="inlineStr">
        <is>
          <t>Girdi=mavi, hesap=gri, rapor=lacivert, kontrol=kırmızı, kılavuz=altın</t>
        </is>
      </c>
      <c r="D5" s="175" t="inlineStr">
        <is>
          <t>Rastgele renk</t>
        </is>
      </c>
      <c r="E5" s="175" t="inlineStr">
        <is>
          <t>Renk semantiği tutarlı</t>
        </is>
      </c>
      <c r="F5" s="188" t="inlineStr">
        <is>
          <t>ZORUNLU</t>
        </is>
      </c>
    </row>
    <row r="6" ht="28" customHeight="1">
      <c r="A6" s="187" t="inlineStr">
        <is>
          <t>Kolon düzeni</t>
        </is>
      </c>
      <c r="B6" s="175" t="inlineStr">
        <is>
          <t>Veri blokları bitişik kolonlarda ilerler</t>
        </is>
      </c>
      <c r="C6" s="175" t="inlineStr">
        <is>
          <t>Gereksiz boş kolon bırakma; yalnız gerçek bölüm ayrımı varsa kontrollü boşluk</t>
        </is>
      </c>
      <c r="D6" s="175" t="inlineStr">
        <is>
          <t>A:C veri, D boş, E:F veri gibi parçalı yapı</t>
        </is>
      </c>
      <c r="E6" s="175" t="inlineStr">
        <is>
          <t>Boş kolon taraması</t>
        </is>
      </c>
      <c r="F6" s="188" t="inlineStr">
        <is>
          <t>ZORUNLU</t>
        </is>
      </c>
    </row>
    <row r="7" ht="16" customHeight="1">
      <c r="A7" s="187" t="inlineStr">
        <is>
          <t>Girdi hücreleri</t>
        </is>
      </c>
      <c r="B7" s="175" t="inlineStr">
        <is>
          <t>Kullanıcının değiştireceği alan açıkça görünür</t>
        </is>
      </c>
      <c r="C7" s="175" t="inlineStr">
        <is>
          <t>Açık sarı dolgu + mavi yazı</t>
        </is>
      </c>
      <c r="D7" s="175" t="inlineStr">
        <is>
          <t>Formülle aynı görünüm</t>
        </is>
      </c>
      <c r="E7" s="175" t="inlineStr">
        <is>
          <t>Girdi/formül ayrımı</t>
        </is>
      </c>
      <c r="F7" s="188" t="inlineStr">
        <is>
          <t>ZORUNLU</t>
        </is>
      </c>
    </row>
    <row r="8" ht="16" customHeight="1">
      <c r="A8" s="187" t="inlineStr">
        <is>
          <t>Formüller</t>
        </is>
      </c>
      <c r="B8" s="175" t="inlineStr">
        <is>
          <t>Hesap hücreleri kullanıcı girdisinden ayrılır</t>
        </is>
      </c>
      <c r="C8" s="175" t="inlineStr">
        <is>
          <t>Siyah yazı; sayfalar arası bağlantı yeşil yazı</t>
        </is>
      </c>
      <c r="D8" s="175" t="inlineStr">
        <is>
          <t>Hard-code gizleme</t>
        </is>
      </c>
      <c r="E8" s="175" t="inlineStr">
        <is>
          <t>Formül sınıfı kontrolü</t>
        </is>
      </c>
      <c r="F8" s="188" t="inlineStr">
        <is>
          <t>ZORUNLU</t>
        </is>
      </c>
    </row>
    <row r="9" ht="16" customHeight="1">
      <c r="A9" s="187" t="inlineStr">
        <is>
          <t>Grafik sayısı</t>
        </is>
      </c>
      <c r="B9" s="175" t="inlineStr">
        <is>
          <t>Yönetici ekranında en fazla 3 ana karar grafiği</t>
        </is>
      </c>
      <c r="C9" s="175" t="inlineStr">
        <is>
          <t>Trend, karşılaştırma, köprü/dağılım; iş kararına bağlı</t>
        </is>
      </c>
      <c r="D9" s="175" t="inlineStr">
        <is>
          <t>Grafik kalabalığı</t>
        </is>
      </c>
      <c r="E9" s="175" t="inlineStr">
        <is>
          <t>Grafik başına karar sorusu</t>
        </is>
      </c>
      <c r="F9" s="188" t="inlineStr">
        <is>
          <t>ZORUNLU</t>
        </is>
      </c>
    </row>
    <row r="10" ht="16" customHeight="1">
      <c r="A10" s="187" t="inlineStr">
        <is>
          <t>Grafik stili</t>
        </is>
      </c>
      <c r="B10" s="175" t="inlineStr">
        <is>
          <t>Kurumsal ve yüksek okunabilirlik</t>
        </is>
      </c>
      <c r="C10" s="175" t="inlineStr">
        <is>
          <t>Beyaz zemin, ince gridline, tek vurgu rengi, açık birim/başlık</t>
        </is>
      </c>
      <c r="D10" s="175" t="inlineStr">
        <is>
          <t>3B, gölge, neon, gökkuşağı renkleri</t>
        </is>
      </c>
      <c r="E10" s="175" t="inlineStr">
        <is>
          <t>Görsel inceleme</t>
        </is>
      </c>
      <c r="F10" s="188" t="inlineStr">
        <is>
          <t>ZORUNLU</t>
        </is>
      </c>
    </row>
    <row r="11" ht="16" customHeight="1">
      <c r="A11" s="187" t="inlineStr">
        <is>
          <t>Grafik başlığı</t>
        </is>
      </c>
      <c r="B11" s="175" t="inlineStr">
        <is>
          <t>Grafik 'neyi' değil 'ne anlama geldiğini' söyler</t>
        </is>
      </c>
      <c r="C11" s="175" t="inlineStr">
        <is>
          <t>Örn: 'Nakit 2028'de kritik eşiğin altına iniyor'</t>
        </is>
      </c>
      <c r="D11" s="175" t="inlineStr">
        <is>
          <t>'Nakit Grafiği' gibi anlamsız başlık</t>
        </is>
      </c>
      <c r="E11" s="175" t="inlineStr">
        <is>
          <t>Başlık karar testi</t>
        </is>
      </c>
      <c r="F11" s="188" t="inlineStr">
        <is>
          <t>ZORUNLU</t>
        </is>
      </c>
    </row>
    <row r="12" ht="16" customHeight="1">
      <c r="A12" s="187" t="inlineStr">
        <is>
          <t>Birimler</t>
        </is>
      </c>
      <c r="B12" s="175" t="inlineStr">
        <is>
          <t>Tüm finansal görsellerde birim açık</t>
        </is>
      </c>
      <c r="C12" s="175" t="inlineStr">
        <is>
          <t>TL, bin TL, milyon TL, %, gün, x</t>
        </is>
      </c>
      <c r="D12" s="175" t="inlineStr">
        <is>
          <t>Birim belirsizliği</t>
        </is>
      </c>
      <c r="E12" s="175" t="inlineStr">
        <is>
          <t>Birim kapsama %100</t>
        </is>
      </c>
      <c r="F12" s="188" t="inlineStr">
        <is>
          <t>ZORUNLU</t>
        </is>
      </c>
    </row>
    <row r="13" ht="16" customHeight="1">
      <c r="A13" s="187" t="inlineStr">
        <is>
          <t>Sıfır/negatif</t>
        </is>
      </c>
      <c r="B13" s="175" t="inlineStr">
        <is>
          <t>Finansal format standardı</t>
        </is>
      </c>
      <c r="C13" s="175" t="inlineStr">
        <is>
          <t>Sıfır='-', negatif kırmızı parantez</t>
        </is>
      </c>
      <c r="D13" s="175" t="inlineStr">
        <is>
          <t>-500 veya 0,00 kalabalığı</t>
        </is>
      </c>
      <c r="E13" s="175" t="inlineStr">
        <is>
          <t>Format kontrolü</t>
        </is>
      </c>
      <c r="F13" s="188" t="inlineStr">
        <is>
          <t>ZORUNLU</t>
        </is>
      </c>
    </row>
    <row r="14" ht="16" customHeight="1">
      <c r="A14" s="187" t="inlineStr">
        <is>
          <t>Yazı tipi</t>
        </is>
      </c>
      <c r="B14" s="175" t="inlineStr">
        <is>
          <t>Tek aile</t>
        </is>
      </c>
      <c r="C14" s="175" t="inlineStr">
        <is>
          <t>Aptos veya Segoe UI</t>
        </is>
      </c>
      <c r="D14" s="175" t="inlineStr">
        <is>
          <t>Karışık font</t>
        </is>
      </c>
      <c r="E14" s="175" t="inlineStr">
        <is>
          <t>Tek font kontrolü</t>
        </is>
      </c>
      <c r="F14" s="188" t="inlineStr">
        <is>
          <t>ZORUNLU</t>
        </is>
      </c>
    </row>
    <row r="15" ht="16" customHeight="1">
      <c r="A15" s="187" t="inlineStr">
        <is>
          <t>Izgara</t>
        </is>
      </c>
      <c r="B15" s="175" t="inlineStr">
        <is>
          <t>Kullanıcı sayfalarında kapalı</t>
        </is>
      </c>
      <c r="C15" s="175" t="inlineStr">
        <is>
          <t>Bölüm çizgileri ve kart sınırlarıyla düzen</t>
        </is>
      </c>
      <c r="D15" s="175" t="inlineStr">
        <is>
          <t>Excel varsayılan gridline</t>
        </is>
      </c>
      <c r="E15" s="175" t="inlineStr">
        <is>
          <t>Gridline kontrolü</t>
        </is>
      </c>
      <c r="F15" s="188" t="inlineStr">
        <is>
          <t>ZORUNLU</t>
        </is>
      </c>
    </row>
    <row r="16" ht="16" customHeight="1">
      <c r="A16" s="187" t="inlineStr">
        <is>
          <t>Boş durum</t>
        </is>
      </c>
      <c r="B16" s="175" t="inlineStr">
        <is>
          <t>Veri yokken temiz ve anlaşılır</t>
        </is>
      </c>
      <c r="C16" s="175" t="inlineStr">
        <is>
          <t>'Henüz veri yok' / 'Girdi bekleniyor'</t>
        </is>
      </c>
      <c r="D16" s="175" t="inlineStr">
        <is>
          <t>0 yığını / hata kodu</t>
        </is>
      </c>
      <c r="E16" s="175" t="inlineStr">
        <is>
          <t>Boş veri testi</t>
        </is>
      </c>
      <c r="F16" s="188" t="inlineStr">
        <is>
          <t>ZORUNLU</t>
        </is>
      </c>
    </row>
    <row r="17" ht="28" customHeight="1">
      <c r="A17" s="187" t="inlineStr">
        <is>
          <t>Başlangıç deneyimi</t>
        </is>
      </c>
      <c r="B17" s="175" t="inlineStr">
        <is>
          <t>İlk 5 saniyede ne gireceği ve neye bakacağı anlaşılır</t>
        </is>
      </c>
      <c r="C17" s="175" t="inlineStr">
        <is>
          <t>Girdi → durum → aksiyon akışı</t>
        </is>
      </c>
      <c r="D17" s="175" t="inlineStr">
        <is>
          <t>Kılavuz aramaya zorlama</t>
        </is>
      </c>
      <c r="E17" s="175" t="inlineStr">
        <is>
          <t>5 saniye testi</t>
        </is>
      </c>
      <c r="F17" s="188" t="inlineStr">
        <is>
          <t>ZORUNLU</t>
        </is>
      </c>
    </row>
    <row r="18" ht="30" customHeight="1">
      <c r="A18" s="183" t="inlineStr">
        <is>
          <t>Buton standardı</t>
        </is>
      </c>
      <c r="B18" s="184" t="inlineStr">
        <is>
          <t>Buton görünümü verilen her alan gerçek işlev taşır</t>
        </is>
      </c>
      <c r="C18" s="184" t="inlineStr">
        <is>
          <t>Sayfa içi HYPERLINK / gerçek aksiyon; tıklanınca hedefe gider</t>
        </is>
      </c>
      <c r="D18" s="184" t="inlineStr">
        <is>
          <t>İşlevsiz dekoratif buton / sahte navigasyon</t>
        </is>
      </c>
      <c r="E18" s="184" t="inlineStr">
        <is>
          <t>Butonların %100'ü tıklanabilir ve hedefi doğru</t>
        </is>
      </c>
      <c r="F18" s="188" t="inlineStr">
        <is>
          <t>ZORUNLU</t>
        </is>
      </c>
    </row>
    <row r="19" ht="32" customHeight="1">
      <c r="A19" s="183" t="inlineStr">
        <is>
          <t>Native sayfa sekmesi rengi</t>
        </is>
      </c>
      <c r="B19" s="184" t="inlineStr">
        <is>
          <t>Excel alt sheet tabları kurumsal paletle renklendirilir</t>
        </is>
      </c>
      <c r="C19" s="184" t="inlineStr">
        <is>
          <t>Başlangıç/özet=lacivert; girdiler=mavi; hesap/finans=teal; karar/kontrol=burgundy; doküman=gri</t>
        </is>
      </c>
      <c r="D19" s="184" t="inlineStr">
        <is>
          <t>Renksiz sekmeler veya rastgele/gökkuşağı renkleri</t>
        </is>
      </c>
      <c r="E19" s="184" t="inlineStr">
        <is>
          <t>Tüm görünür kullanıcı sheet tabları renkli</t>
        </is>
      </c>
      <c r="F19" s="188" t="inlineStr">
        <is>
          <t>ZORUNLU</t>
        </is>
      </c>
    </row>
    <row r="20" ht="60" customHeight="1">
      <c r="A20" s="183" t="inlineStr">
        <is>
          <t>İş akışı sıralaması</t>
        </is>
      </c>
      <c r="B20" s="184" t="inlineStr">
        <is>
          <t>Sayfalar kullanıcının çalışma sırasına göre fiziksel olarak dizilir</t>
        </is>
      </c>
      <c r="C20" s="184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4" t="inlineStr">
        <is>
          <t>Teknik oluşturma sırasına göre dağınık sheet dizilimi</t>
        </is>
      </c>
      <c r="E20" s="184" t="inlineStr">
        <is>
          <t>Sheet order = tanımlı workflow</t>
        </is>
      </c>
      <c r="F20" s="188" t="inlineStr">
        <is>
          <t>ZORUNLU</t>
        </is>
      </c>
    </row>
    <row r="21" ht="30" customHeight="1">
      <c r="A21" s="183" t="inlineStr">
        <is>
          <t>Kurumsal renk paleti</t>
        </is>
      </c>
      <c r="B21" s="184" t="inlineStr">
        <is>
          <t>Sekme, başlık, buton ve vurgu renkleri tek kurumsal paletten gelir</t>
        </is>
      </c>
      <c r="C21" s="184" t="inlineStr">
        <is>
          <t>Lacivert + mavi + teal + kontrollü burgundy/gri; kategori semantiği sabit</t>
        </is>
      </c>
      <c r="D21" s="184" t="inlineStr">
        <is>
          <t>Neon, rastgele yüksek doygunluk, her sayfada farklı bağımsız renk</t>
        </is>
      </c>
      <c r="E21" s="184" t="inlineStr">
        <is>
          <t>Palette token kontrolü</t>
        </is>
      </c>
      <c r="F21" s="188" t="inlineStr">
        <is>
          <t>ZORUNLU</t>
        </is>
      </c>
    </row>
    <row r="22" ht="45" customHeight="1">
      <c r="A22" s="183" t="inlineStr">
        <is>
          <t>Premium vitrin</t>
        </is>
      </c>
      <c r="B22" s="184" t="inlineStr">
        <is>
          <t>Görsel kalite ürün değerinin zorunlu parçasıdır</t>
        </is>
      </c>
      <c r="C22" s="184" t="inlineStr">
        <is>
          <t>Kaliteli grafik, gerçek KPI kartı, finansal hiyerarşi, tab rengi, fonksiyonel navigasyon</t>
        </is>
      </c>
      <c r="D22" s="184" t="inlineStr">
        <is>
          <t>Sadece doğru hesap yapıp çıplak/varsayılan Excel görünümü bırakmak</t>
        </is>
      </c>
      <c r="E22" s="184" t="inlineStr">
        <is>
          <t>Görsel release incelemesi</t>
        </is>
      </c>
      <c r="F22" s="188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TÜRKİYE MUHASEBE VE TEKDÜZEN HESAP PLANI STANDARDI</t>
        </is>
      </c>
    </row>
    <row r="3" ht="24" customHeight="1">
      <c r="A3" s="190" t="inlineStr">
        <is>
          <t>Konu</t>
        </is>
      </c>
      <c r="B3" s="190" t="inlineStr">
        <is>
          <t>Zorunlu Standart</t>
        </is>
      </c>
      <c r="C3" s="190" t="inlineStr">
        <is>
          <t>Örnek Türkçe Ad</t>
        </is>
      </c>
      <c r="D3" s="190" t="inlineStr">
        <is>
          <t>THP / Mantık</t>
        </is>
      </c>
      <c r="E3" s="190" t="inlineStr">
        <is>
          <t>Hata Riski</t>
        </is>
      </c>
      <c r="F3" s="190" t="inlineStr">
        <is>
          <t>Kontrol</t>
        </is>
      </c>
    </row>
    <row r="4">
      <c r="A4" s="191" t="inlineStr">
        <is>
          <t>Dil</t>
        </is>
      </c>
      <c r="B4" s="175" t="inlineStr">
        <is>
          <t>Kullanıcıya görünen finansal terimler Türkçe</t>
        </is>
      </c>
      <c r="C4" s="175" t="inlineStr">
        <is>
          <t>Hasılat, Satışların Maliyeti, Brüt Kâr, Faaliyet Giderleri</t>
        </is>
      </c>
      <c r="D4" s="175" t="inlineStr">
        <is>
          <t>Türk işletme kullanımına uygun</t>
        </is>
      </c>
      <c r="E4" s="175" t="inlineStr">
        <is>
          <t>İngilizce jargon</t>
        </is>
      </c>
      <c r="F4" s="175" t="inlineStr">
        <is>
          <t>Terminoloji taraması</t>
        </is>
      </c>
    </row>
    <row r="5" ht="28" customHeight="1">
      <c r="A5" s="191" t="inlineStr">
        <is>
          <t>Gelir Tablosu</t>
        </is>
      </c>
      <c r="B5" s="175" t="inlineStr">
        <is>
          <t>Türk sunum sırası kullanılır</t>
        </is>
      </c>
      <c r="C5" s="175" t="inlineStr">
        <is>
          <t>Net Satışlar → Satışların Maliyeti → Brüt Kâr → Faaliyet Giderleri → Faaliyet Kârı</t>
        </is>
      </c>
      <c r="D5" s="175" t="inlineStr">
        <is>
          <t>600/610/611; 620-623; 63x</t>
        </is>
      </c>
      <c r="E5" s="175" t="inlineStr">
        <is>
          <t>Yanlış sınıflama</t>
        </is>
      </c>
      <c r="F5" s="175" t="inlineStr">
        <is>
          <t>Hesap eşleme</t>
        </is>
      </c>
    </row>
    <row r="6" ht="28" customHeight="1">
      <c r="A6" s="191" t="inlineStr">
        <is>
          <t>Bilanço</t>
        </is>
      </c>
      <c r="B6" s="175" t="inlineStr">
        <is>
          <t>Dönen/Duran Varlık ve Kısa/Uzun Vadeli Yükümlülük ayrımı</t>
        </is>
      </c>
      <c r="C6" s="175" t="inlineStr">
        <is>
          <t>Hazır Değerler, Ticari Alacaklar, Stoklar, Mali Borçlar</t>
        </is>
      </c>
      <c r="D6" s="175" t="inlineStr">
        <is>
          <t>1xx / 2xx / 3xx / 4xx / 5xx</t>
        </is>
      </c>
      <c r="E6" s="175" t="inlineStr">
        <is>
          <t>Vade sınıfı hatası</t>
        </is>
      </c>
      <c r="F6" s="175" t="inlineStr">
        <is>
          <t>Bilanço eşitliği</t>
        </is>
      </c>
    </row>
    <row r="7">
      <c r="A7" s="191" t="inlineStr">
        <is>
          <t>Nakit Akışı</t>
        </is>
      </c>
      <c r="B7" s="175" t="inlineStr">
        <is>
          <t>İşletme/Yatırım/Finansman nakit akışları ayrılır</t>
        </is>
      </c>
      <c r="C7" s="175" t="inlineStr">
        <is>
          <t>Faaliyetlerden Nakit, Yatırım Harcamaları, Finansman Nakit Akışı</t>
        </is>
      </c>
      <c r="D7" s="175" t="inlineStr">
        <is>
          <t>Dolaylı/doğrudan yöntem açık seçilir</t>
        </is>
      </c>
      <c r="E7" s="175" t="inlineStr">
        <is>
          <t>Kâr = nakit sanılması</t>
        </is>
      </c>
      <c r="F7" s="175" t="inlineStr">
        <is>
          <t>Nakit devri</t>
        </is>
      </c>
    </row>
    <row r="8">
      <c r="A8" s="191" t="inlineStr">
        <is>
          <t>Ticari Alacaklar</t>
        </is>
      </c>
      <c r="B8" s="175" t="inlineStr">
        <is>
          <t>Cari ve vade mantığı korunur</t>
        </is>
      </c>
      <c r="C8" s="175" t="inlineStr">
        <is>
          <t>120 Alıcılar</t>
        </is>
      </c>
      <c r="D8" s="175" t="inlineStr">
        <is>
          <t>120</t>
        </is>
      </c>
      <c r="E8" s="175" t="inlineStr">
        <is>
          <t>Tahakkuk/nakit karışması</t>
        </is>
      </c>
      <c r="F8" s="175" t="inlineStr">
        <is>
          <t>Alacak devir kontrolü</t>
        </is>
      </c>
    </row>
    <row r="9">
      <c r="A9" s="191" t="inlineStr">
        <is>
          <t>Ticari Borçlar</t>
        </is>
      </c>
      <c r="B9" s="175" t="inlineStr">
        <is>
          <t>Tedarikçi borcu ayrı izlenir</t>
        </is>
      </c>
      <c r="C9" s="175" t="inlineStr">
        <is>
          <t>320 Satıcılar</t>
        </is>
      </c>
      <c r="D9" s="175" t="inlineStr">
        <is>
          <t>320</t>
        </is>
      </c>
      <c r="E9" s="175" t="inlineStr">
        <is>
          <t>Gider/ödeme karışması</t>
        </is>
      </c>
      <c r="F9" s="175" t="inlineStr">
        <is>
          <t>Borç devir kontrolü</t>
        </is>
      </c>
    </row>
    <row r="10">
      <c r="A10" s="191" t="inlineStr">
        <is>
          <t>Kasa/Banka</t>
        </is>
      </c>
      <c r="B10" s="175" t="inlineStr">
        <is>
          <t>Hazır değerler ayrı izlenir</t>
        </is>
      </c>
      <c r="C10" s="175" t="inlineStr">
        <is>
          <t>100 Kasa, 102 Bankalar</t>
        </is>
      </c>
      <c r="D10" s="175" t="inlineStr">
        <is>
          <t>100 / 102</t>
        </is>
      </c>
      <c r="E10" s="175" t="inlineStr">
        <is>
          <t>Virmanla toplam nakdin değişmesi</t>
        </is>
      </c>
      <c r="F10" s="175" t="inlineStr">
        <is>
          <t>Virman değişmezi</t>
        </is>
      </c>
    </row>
    <row r="11">
      <c r="A11" s="191" t="inlineStr">
        <is>
          <t>Stok</t>
        </is>
      </c>
      <c r="B11" s="175" t="inlineStr">
        <is>
          <t>Dikeye uygun stok türü</t>
        </is>
      </c>
      <c r="C11" s="175" t="inlineStr">
        <is>
          <t>150 İlk Madde ve Malzeme, 153 Ticari Mallar</t>
        </is>
      </c>
      <c r="D11" s="175" t="inlineStr">
        <is>
          <t>15x</t>
        </is>
      </c>
      <c r="E11" s="175" t="inlineStr">
        <is>
          <t>Maliyet ve stok hareketinin kopması</t>
        </is>
      </c>
      <c r="F11" s="175" t="inlineStr">
        <is>
          <t>Stok devri</t>
        </is>
      </c>
    </row>
    <row r="12" ht="28" customHeight="1">
      <c r="A12" s="191" t="inlineStr">
        <is>
          <t>Maddi Duran Varlık</t>
        </is>
      </c>
      <c r="B12" s="175" t="inlineStr">
        <is>
          <t>Yatırım harcaması ve amortisman bağlantılı</t>
        </is>
      </c>
      <c r="C12" s="175" t="inlineStr">
        <is>
          <t>253 Tesis Makine Cihazlar, 255 Demirbaşlar, 257 Birikmiş Amortismanlar</t>
        </is>
      </c>
      <c r="D12" s="175" t="inlineStr">
        <is>
          <t>25x</t>
        </is>
      </c>
      <c r="E12" s="175" t="inlineStr">
        <is>
          <t>Yatırım/gider karışması</t>
        </is>
      </c>
      <c r="F12" s="175" t="inlineStr">
        <is>
          <t>Net defter değeri devri</t>
        </is>
      </c>
    </row>
    <row r="13">
      <c r="A13" s="191" t="inlineStr">
        <is>
          <t>Mali Borçlar</t>
        </is>
      </c>
      <c r="B13" s="175" t="inlineStr">
        <is>
          <t>Kısa/uzun vadeli borç ayrımı</t>
        </is>
      </c>
      <c r="C13" s="175" t="inlineStr">
        <is>
          <t>300 Banka Kredileri / 400 Banka Kredileri</t>
        </is>
      </c>
      <c r="D13" s="175" t="inlineStr">
        <is>
          <t>300 / 400</t>
        </is>
      </c>
      <c r="E13" s="175" t="inlineStr">
        <is>
          <t>Vade sınıfı yanlış</t>
        </is>
      </c>
      <c r="F13" s="175" t="inlineStr">
        <is>
          <t>Borç devri</t>
        </is>
      </c>
    </row>
    <row r="14">
      <c r="A14" s="191" t="inlineStr">
        <is>
          <t>Özkaynak</t>
        </is>
      </c>
      <c r="B14" s="175" t="inlineStr">
        <is>
          <t>Sermaye ve geçmiş yıl kârları ayrı</t>
        </is>
      </c>
      <c r="C14" s="175" t="inlineStr">
        <is>
          <t>500 Sermaye, 570 Geçmiş Yıllar Kârları, 590 Dönem Net Kârı</t>
        </is>
      </c>
      <c r="D14" s="175" t="inlineStr">
        <is>
          <t>5xx</t>
        </is>
      </c>
      <c r="E14" s="175" t="inlineStr">
        <is>
          <t>Net kâr bağının kopması</t>
        </is>
      </c>
      <c r="F14" s="175" t="inlineStr">
        <is>
          <t>Özkaynak devri</t>
        </is>
      </c>
    </row>
    <row r="15">
      <c r="A15" s="191" t="inlineStr">
        <is>
          <t>Vergi</t>
        </is>
      </c>
      <c r="B15" s="175" t="inlineStr">
        <is>
          <t>Vergi satırları Türkiye mantığına uygun</t>
        </is>
      </c>
      <c r="C15" s="175" t="inlineStr">
        <is>
          <t>Dönem Vergi ve Diğer Yasal Yükümlülük Karşılıkları</t>
        </is>
      </c>
      <c r="D15" s="175" t="inlineStr">
        <is>
          <t>37x / ilgili vergi hesapları</t>
        </is>
      </c>
      <c r="E15" s="175" t="inlineStr">
        <is>
          <t>Vergi etkisinin yanlış dönemlenmesi</t>
        </is>
      </c>
      <c r="F15" s="175" t="inlineStr">
        <is>
          <t>Vergi sözleşmesi</t>
        </is>
      </c>
    </row>
    <row r="16">
      <c r="A16" s="191" t="inlineStr">
        <is>
          <t>İsim standardı</t>
        </is>
      </c>
      <c r="B16" s="175" t="inlineStr">
        <is>
          <t>Tablo ve sayfa adları Türkçe ve işlevsel</t>
        </is>
      </c>
      <c r="C16" s="175" t="inlineStr">
        <is>
          <t>GELİR_TABLOSU, BİLANÇO, NAKİT_AKISI, BORC_PLANI</t>
        </is>
      </c>
      <c r="D16" s="175" t="inlineStr">
        <is>
          <t>Tekrarlanabilir standart</t>
        </is>
      </c>
      <c r="E16" s="175" t="inlineStr">
        <is>
          <t>İngilizce/karma isim</t>
        </is>
      </c>
      <c r="F16" s="175" t="inlineStr">
        <is>
          <t>Sayfa ve tablo taraması</t>
        </is>
      </c>
    </row>
    <row r="17">
      <c r="A17" s="191" t="inlineStr">
        <is>
          <t>THP eşleme tablosu</t>
        </is>
      </c>
      <c r="B17" s="175" t="inlineStr">
        <is>
          <t>Her kritik satır en az bir THP hesabına bağlanır</t>
        </is>
      </c>
      <c r="C17" s="175" t="inlineStr">
        <is>
          <t>RaporSatırı → HesapKodu → HesapAdı → İşaret → Dönem</t>
        </is>
      </c>
      <c r="D17" s="175" t="inlineStr">
        <is>
          <t>Kaynak izlenebilirliği</t>
        </is>
      </c>
      <c r="E17" s="175" t="inlineStr">
        <is>
          <t>Rapordan rapora kaynak</t>
        </is>
      </c>
      <c r="F17" s="175" t="inlineStr">
        <is>
          <t>Eşleme kapsama %100</t>
        </is>
      </c>
    </row>
    <row r="18">
      <c r="A18" s="191" t="inlineStr">
        <is>
          <t>İstisna</t>
        </is>
      </c>
      <c r="B18" s="175" t="inlineStr">
        <is>
          <t>TFRS özel ürün varsa fark açık yazılır</t>
        </is>
      </c>
      <c r="C18" s="175" t="inlineStr">
        <is>
          <t>Tekdüzen raporlama ≠ TFRS finansal tablo sunumu</t>
        </is>
      </c>
      <c r="D18" s="175" t="inlineStr">
        <is>
          <t>Amaç belirtilir</t>
        </is>
      </c>
      <c r="E18" s="175" t="inlineStr">
        <is>
          <t>Standartları karıştırma</t>
        </is>
      </c>
      <c r="F18" s="175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KARAR, GÜVEN VE SATIŞA HAZIRLIK STANDARDI</t>
        </is>
      </c>
    </row>
    <row r="3" ht="24" customHeight="1">
      <c r="A3" s="193" t="inlineStr">
        <is>
          <t>Alan</t>
        </is>
      </c>
      <c r="B3" s="193" t="inlineStr">
        <is>
          <t>Müşteri Sorusu</t>
        </is>
      </c>
      <c r="C3" s="193" t="inlineStr">
        <is>
          <t>Zorunlu Ürün Davranışı</t>
        </is>
      </c>
      <c r="D3" s="193" t="inlineStr">
        <is>
          <t>Kanıt</t>
        </is>
      </c>
      <c r="E3" s="193" t="inlineStr">
        <is>
          <t>Başarısızlık Durumu</t>
        </is>
      </c>
      <c r="F3" s="193" t="inlineStr">
        <is>
          <t>Kapı</t>
        </is>
      </c>
    </row>
    <row r="4">
      <c r="A4" s="194" t="inlineStr">
        <is>
          <t>5 saniye</t>
        </is>
      </c>
      <c r="B4" s="175" t="inlineStr">
        <is>
          <t>Bu ürün neyi çözüyor?</t>
        </is>
      </c>
      <c r="C4" s="175" t="inlineStr">
        <is>
          <t>İlk ekranda hedef kullanıcı + pahalı problem + sonuç görünür</t>
        </is>
      </c>
      <c r="D4" s="175" t="inlineStr">
        <is>
          <t>Başlık + alt mesaj + gerçek ekran</t>
        </is>
      </c>
      <c r="E4" s="175" t="inlineStr">
        <is>
          <t>Ürün yalnız teknik isim</t>
        </is>
      </c>
      <c r="F4" s="195" t="inlineStr">
        <is>
          <t>HATA</t>
        </is>
      </c>
    </row>
    <row r="5">
      <c r="A5" s="194" t="inlineStr">
        <is>
          <t>Acı</t>
        </is>
      </c>
      <c r="B5" s="175" t="inlineStr">
        <is>
          <t>Sorun bana neye mal oluyor?</t>
        </is>
      </c>
      <c r="C5" s="175" t="inlineStr">
        <is>
          <t>Mümkünse müşterinin kendi verisiyle parasal/zaman etkisi hesaplanır</t>
        </is>
      </c>
      <c r="D5" s="175" t="inlineStr">
        <is>
          <t>ROI/acı hesaplama yöntemi</t>
        </is>
      </c>
      <c r="E5" s="175" t="inlineStr">
        <is>
          <t>Uydurma tasarruf</t>
        </is>
      </c>
      <c r="F5" s="195" t="inlineStr">
        <is>
          <t>HATA</t>
        </is>
      </c>
    </row>
    <row r="6">
      <c r="A6" s="194" t="inlineStr">
        <is>
          <t>Karar</t>
        </is>
      </c>
      <c r="B6" s="175" t="inlineStr">
        <is>
          <t>Bu bilgiyle ne yapacağım?</t>
        </is>
      </c>
      <c r="C6" s="175" t="inlineStr">
        <is>
          <t>Her kritik KPI aksiyona bağlanır</t>
        </is>
      </c>
      <c r="D6" s="175" t="inlineStr">
        <is>
          <t>KARAR_KUYRUGU</t>
        </is>
      </c>
      <c r="E6" s="175" t="inlineStr">
        <is>
          <t>Sadece rapor</t>
        </is>
      </c>
      <c r="F6" s="195" t="inlineStr">
        <is>
          <t>HATA</t>
        </is>
      </c>
    </row>
    <row r="7">
      <c r="A7" s="194" t="inlineStr">
        <is>
          <t>Güven</t>
        </is>
      </c>
      <c r="B7" s="175" t="inlineStr">
        <is>
          <t>Bu sayıya neden inanayım?</t>
        </is>
      </c>
      <c r="C7" s="175" t="inlineStr">
        <is>
          <t>Kaynak, formül mantığı, kontrol ve son doğrulama görünür</t>
        </is>
      </c>
      <c r="D7" s="175" t="inlineStr">
        <is>
          <t>Kontroller + kaynak izi + sürüm</t>
        </is>
      </c>
      <c r="E7" s="175" t="inlineStr">
        <is>
          <t>Prestij kelimesi</t>
        </is>
      </c>
      <c r="F7" s="195" t="inlineStr">
        <is>
          <t>HATA</t>
        </is>
      </c>
    </row>
    <row r="8">
      <c r="A8" s="194" t="inlineStr">
        <is>
          <t>Referans</t>
        </is>
      </c>
      <c r="B8" s="175" t="inlineStr">
        <is>
          <t>Müşteri yorumu yoksa ne göstereceğim?</t>
        </is>
      </c>
      <c r="C8" s="175" t="inlineStr">
        <is>
          <t>Önce/Sonra + Karar Vakası + Hata Önleme Vakası üretilir</t>
        </is>
      </c>
      <c r="D8" s="175" t="inlineStr">
        <is>
          <t>Demo/örnek çıktı</t>
        </is>
      </c>
      <c r="E8" s="175" t="inlineStr">
        <is>
          <t>Kanıtsız iddia</t>
        </is>
      </c>
      <c r="F8" s="195" t="inlineStr">
        <is>
          <t>HATA</t>
        </is>
      </c>
    </row>
    <row r="9">
      <c r="A9" s="194" t="inlineStr">
        <is>
          <t>Senaryo</t>
        </is>
      </c>
      <c r="B9" s="175" t="inlineStr">
        <is>
          <t>Ne olursa işler bozulur?</t>
        </is>
      </c>
      <c r="C9" s="175" t="inlineStr">
        <is>
          <t>Baz/Aşağı/Yukarı veya uygun stres senaryosu</t>
        </is>
      </c>
      <c r="D9" s="175" t="inlineStr">
        <is>
          <t>Senaryo karşılaştırma</t>
        </is>
      </c>
      <c r="E9" s="175" t="inlineStr">
        <is>
          <t>Dekoratif senaryo</t>
        </is>
      </c>
      <c r="F9" s="195" t="inlineStr">
        <is>
          <t>HATA</t>
        </is>
      </c>
    </row>
    <row r="10">
      <c r="A10" s="194" t="inlineStr">
        <is>
          <t>Ters stres</t>
        </is>
      </c>
      <c r="B10" s="175" t="inlineStr">
        <is>
          <t>Hangi eşikte karar kırılır?</t>
        </is>
      </c>
      <c r="C10" s="175" t="inlineStr">
        <is>
          <t>En az bir kritik sürücü için kırılma eşiği</t>
        </is>
      </c>
      <c r="D10" s="175" t="inlineStr">
        <is>
          <t>Kırılma eşiği tablosu</t>
        </is>
      </c>
      <c r="E10" s="175" t="inlineStr">
        <is>
          <t>Sadece +/- %10</t>
        </is>
      </c>
      <c r="F10" s="195" t="inlineStr">
        <is>
          <t>UYARI/HATA</t>
        </is>
      </c>
    </row>
    <row r="11">
      <c r="A11" s="194" t="inlineStr">
        <is>
          <t>Hata tutarlılığı</t>
        </is>
      </c>
      <c r="B11" s="175" t="inlineStr">
        <is>
          <t>Formül hata verirse ne olur?</t>
        </is>
      </c>
      <c r="C11" s="175" t="inlineStr">
        <is>
          <t>Kontrol GEÇTİ veremez; BLOKE/HATA üretir</t>
        </is>
      </c>
      <c r="D11" s="175" t="inlineStr">
        <is>
          <t>Hata taraması</t>
        </is>
      </c>
      <c r="E11" s="175" t="inlineStr">
        <is>
          <t>Hata + GEÇTİ birlikte</t>
        </is>
      </c>
      <c r="F11" s="195" t="inlineStr">
        <is>
          <t>HATA</t>
        </is>
      </c>
    </row>
    <row r="12">
      <c r="A12" s="194" t="inlineStr">
        <is>
          <t>Karar motoru</t>
        </is>
      </c>
      <c r="B12" s="175" t="inlineStr">
        <is>
          <t>Ne oldu, neden oldu?</t>
        </is>
      </c>
      <c r="C12" s="175" t="inlineStr">
        <is>
          <t>Sorun + neden + parasal etki + aksiyon + son tarih</t>
        </is>
      </c>
      <c r="D12" s="175" t="inlineStr">
        <is>
          <t>Karar tablosu</t>
        </is>
      </c>
      <c r="E12" s="175" t="inlineStr">
        <is>
          <t>Boş sayfa / isim düzeyi modül</t>
        </is>
      </c>
      <c r="F12" s="195" t="inlineStr">
        <is>
          <t>HATA</t>
        </is>
      </c>
    </row>
    <row r="13">
      <c r="A13" s="194" t="inlineStr">
        <is>
          <t>Yönetici özeti</t>
        </is>
      </c>
      <c r="B13" s="175" t="inlineStr">
        <is>
          <t>5 saniyede ne görmeliyim?</t>
        </is>
      </c>
      <c r="C13" s="175" t="inlineStr">
        <is>
          <t>Bugün / ne değişti / ne bozulacak / neden / ne yapmalıyım / güven</t>
        </is>
      </c>
      <c r="D13" s="175" t="inlineStr">
        <is>
          <t>Yönetici özeti ekranı</t>
        </is>
      </c>
      <c r="E13" s="175" t="inlineStr">
        <is>
          <t>KPI kutusu yığını</t>
        </is>
      </c>
      <c r="F13" s="195" t="inlineStr">
        <is>
          <t>HATA</t>
        </is>
      </c>
    </row>
    <row r="14">
      <c r="A14" s="194" t="inlineStr">
        <is>
          <t>Teklif</t>
        </is>
      </c>
      <c r="B14" s="175" t="inlineStr">
        <is>
          <t>Neden satın almalıyım?</t>
        </is>
      </c>
      <c r="C14" s="175" t="inlineStr">
        <is>
          <t>Dosya özellikleri yerine sonuç ve kaçınılan maliyet sunulur</t>
        </is>
      </c>
      <c r="D14" s="175" t="inlineStr">
        <is>
          <t>Ürün sayfası kanıt eşlemesi</t>
        </is>
      </c>
      <c r="E14" s="175" t="inlineStr">
        <is>
          <t>Özellik listesiyle satış</t>
        </is>
      </c>
      <c r="F14" s="195" t="inlineStr">
        <is>
          <t>HATA</t>
        </is>
      </c>
    </row>
    <row r="15">
      <c r="A15" s="194" t="inlineStr">
        <is>
          <t>Dağıtım</t>
        </is>
      </c>
      <c r="B15" s="175" t="inlineStr">
        <is>
          <t>Beni nasıl bulacaklar?</t>
        </is>
      </c>
      <c r="C15" s="175" t="inlineStr">
        <is>
          <t>Sorun niyetine göre SEO sayfaları, iç bağlantı, temiz yapı, taranabilir metin</t>
        </is>
      </c>
      <c r="D15" s="175" t="inlineStr">
        <is>
          <t>Arama niyeti haritası</t>
        </is>
      </c>
      <c r="E15" s="175" t="inlineStr">
        <is>
          <t>Tek ürün sayfasına bağımlılık</t>
        </is>
      </c>
      <c r="F15" s="195" t="inlineStr">
        <is>
          <t>UYARI</t>
        </is>
      </c>
    </row>
    <row r="16" ht="28" customHeight="1">
      <c r="A16" s="194" t="inlineStr">
        <is>
          <t>LLM görünürlüğü</t>
        </is>
      </c>
      <c r="B16" s="175" t="inlineStr">
        <is>
          <t>AI ürünümü anlayabiliyor mu?</t>
        </is>
      </c>
      <c r="C16" s="175" t="inlineStr">
        <is>
          <t>Ürün tanımı, hedef kullanıcı, girdi/çıktı, metodoloji, sınırlar, SSS açık metindir</t>
        </is>
      </c>
      <c r="D16" s="175" t="inlineStr">
        <is>
          <t>Taranabilir ürün içeriği</t>
        </is>
      </c>
      <c r="E16" s="175" t="inlineStr">
        <is>
          <t>'AI SEO' iddiası</t>
        </is>
      </c>
      <c r="F16" s="195" t="inlineStr">
        <is>
          <t>UYARI</t>
        </is>
      </c>
    </row>
    <row r="17">
      <c r="A17" s="194" t="inlineStr">
        <is>
          <t>Satış kanalı</t>
        </is>
      </c>
      <c r="B17" s="175" t="inlineStr">
        <is>
          <t>Nerede satılmalı?</t>
        </is>
      </c>
      <c r="C17" s="175" t="inlineStr">
        <is>
          <t>Arama, LinkedIn, uzman/partner, demo/video; ürüne göre kanal seçilir</t>
        </is>
      </c>
      <c r="D17" s="175" t="inlineStr">
        <is>
          <t>Kanal matrisi</t>
        </is>
      </c>
      <c r="E17" s="175" t="inlineStr">
        <is>
          <t>Her ürüne aynı kanal</t>
        </is>
      </c>
      <c r="F17" s="195" t="inlineStr">
        <is>
          <t>UYARI</t>
        </is>
      </c>
    </row>
    <row r="18">
      <c r="A18" s="194" t="inlineStr">
        <is>
          <t>Fiyat</t>
        </is>
      </c>
      <c r="B18" s="175" t="inlineStr">
        <is>
          <t>Bu fiyat neden mantıklı?</t>
        </is>
      </c>
      <c r="C18" s="175" t="inlineStr">
        <is>
          <t>Fiyat, ekonomik karar değerine ve kanıtlanmış ürün derinliğine bağlanır</t>
        </is>
      </c>
      <c r="D18" s="175" t="inlineStr">
        <is>
          <t>Değer haritası + demo</t>
        </is>
      </c>
      <c r="E18" s="175" t="inlineStr">
        <is>
          <t>Sırf sayfa/formül sayısı</t>
        </is>
      </c>
      <c r="F18" s="195" t="inlineStr">
        <is>
          <t>HATA</t>
        </is>
      </c>
    </row>
    <row r="19">
      <c r="A19" s="194" t="inlineStr">
        <is>
          <t>Pazar kanıtı</t>
        </is>
      </c>
      <c r="B19" s="175" t="inlineStr">
        <is>
          <t>Piyasa gerçekten ödüyor mu?</t>
        </is>
      </c>
      <c r="C19" s="175" t="inlineStr">
        <is>
          <t>Satış/pilot/LOI/fiyat kabulü olmadan pazar doğrulandı yazılmaz</t>
        </is>
      </c>
      <c r="D19" s="175" t="inlineStr">
        <is>
          <t>Gerçek işlem kanıtı</t>
        </is>
      </c>
      <c r="E19" s="175" t="inlineStr">
        <is>
          <t>Tahmini talep = satış kabulü</t>
        </is>
      </c>
      <c r="F19" s="195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08948"/>
    <outlinePr summaryBelow="1" summaryRight="1"/>
    <pageSetUpPr/>
  </sheetPr>
  <dimension ref="A1:AN10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.5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GIRDI — Amortisman + 2026 Yeniden Değerleme</t>
        </is>
      </c>
    </row>
    <row r="3">
      <c r="A3" s="20" t="inlineStr">
        <is>
          <t>Dönem ve kıymet</t>
        </is>
      </c>
    </row>
    <row r="4">
      <c r="A4" s="21" t="inlineStr">
        <is>
          <t>Sarı hücreler manuel giriştir. Fark ve karar formülle üretilir.</t>
        </is>
      </c>
    </row>
    <row r="5">
      <c r="A5" s="22" t="inlineStr">
        <is>
          <t>Alan</t>
        </is>
      </c>
      <c r="B5" s="22" t="inlineStr">
        <is>
          <t>Değer</t>
        </is>
      </c>
      <c r="C5" s="22" t="inlineStr">
        <is>
          <t>Birim</t>
        </is>
      </c>
    </row>
    <row r="6">
      <c r="A6" s="23" t="inlineStr">
        <is>
          <t>Kurum Adı</t>
        </is>
      </c>
      <c r="B6" s="24" t="inlineStr">
        <is>
          <t>Örnek Sanayi A.Ş.</t>
        </is>
      </c>
      <c r="C6" s="18" t="inlineStr">
        <is>
          <t>metin</t>
        </is>
      </c>
    </row>
    <row r="7">
      <c r="A7" s="23" t="inlineStr">
        <is>
          <t>Dönem</t>
        </is>
      </c>
      <c r="B7" s="24" t="inlineStr">
        <is>
          <t>2025</t>
        </is>
      </c>
      <c r="C7" s="18" t="inlineStr">
        <is>
          <t>metin</t>
        </is>
      </c>
    </row>
    <row r="8">
      <c r="A8" s="23" t="inlineStr">
        <is>
          <t>Hesap Yılı</t>
        </is>
      </c>
      <c r="B8" s="25" t="n">
        <v>2025</v>
      </c>
      <c r="C8" s="18" t="inlineStr">
        <is>
          <t>yıl</t>
        </is>
      </c>
    </row>
    <row r="9">
      <c r="A9" s="23" t="inlineStr">
        <is>
          <t>Maliyet (iktisap) [₺]</t>
        </is>
      </c>
      <c r="B9" s="26" t="n">
        <v>1000000</v>
      </c>
      <c r="C9" s="18" t="inlineStr">
        <is>
          <t>₺</t>
        </is>
      </c>
    </row>
    <row r="10">
      <c r="A10" s="23" t="inlineStr">
        <is>
          <t>Birikmiş Amortisman [₺]</t>
        </is>
      </c>
      <c r="B10" s="26" t="n">
        <v>200000</v>
      </c>
      <c r="C10" s="18" t="inlineStr">
        <is>
          <t>₺</t>
        </is>
      </c>
    </row>
    <row r="11">
      <c r="A11" s="23" t="inlineStr">
        <is>
          <t>Endeks Oranı [çarpan]</t>
        </is>
      </c>
      <c r="B11" s="27" t="n">
        <v>1.45</v>
      </c>
      <c r="C11" s="18" t="inlineStr">
        <is>
          <t>çarpan</t>
        </is>
      </c>
    </row>
    <row r="12">
      <c r="A12" s="23" t="inlineStr">
        <is>
          <t>Kalan Ömür [yıl]</t>
        </is>
      </c>
      <c r="B12" s="25" t="n">
        <v>10</v>
      </c>
      <c r="C12" s="18" t="inlineStr">
        <is>
          <t>yıl</t>
        </is>
      </c>
    </row>
    <row r="13">
      <c r="A13" s="23" t="inlineStr">
        <is>
          <t>Öncelik Yorumu (A/B)</t>
        </is>
      </c>
      <c r="B13" s="24" t="inlineStr">
        <is>
          <t>A</t>
        </is>
      </c>
      <c r="C13" s="18" t="inlineStr">
        <is>
          <t>A/B</t>
        </is>
      </c>
    </row>
    <row r="15">
      <c r="A15" s="9" t="inlineStr">
        <is>
          <t>Net Defter Değeri [₺]</t>
        </is>
      </c>
      <c r="B15" s="28">
        <f>MAX(0,B9-B10)</f>
        <v/>
      </c>
    </row>
    <row r="16">
      <c r="A16" s="9" t="inlineStr">
        <is>
          <t>Değer Artış Farkı [₺]</t>
        </is>
      </c>
      <c r="B16" s="28">
        <f>IFERROR(ROUND(MAX(0,B9*(B11-1)),2),0)</f>
        <v/>
      </c>
    </row>
    <row r="17">
      <c r="A17" s="9" t="inlineStr">
        <is>
          <t>Giriş doluluk (kalite)</t>
        </is>
      </c>
      <c r="B17" s="29">
        <f>IFERROR(IF(OR(COUNTA(B6:B13)=0,ayd_girisBeklenen=0),0,ROUND(COUNTA(B6:B13)/ayd_girisBeklenen*100,0)),0)</f>
        <v/>
      </c>
    </row>
    <row r="20">
      <c r="A20" s="9" t="inlineStr">
        <is>
          <t>Giriş tablosu (otomasyon / boş-mod)</t>
        </is>
      </c>
    </row>
    <row r="21" ht="30" customHeight="1">
      <c r="A21" s="12" t="inlineStr">
        <is>
          <t>Alan Anahtarı</t>
        </is>
      </c>
      <c r="B21" s="12" t="inlineStr">
        <is>
          <t>Değer</t>
        </is>
      </c>
      <c r="C21" s="12" t="inlineStr">
        <is>
          <t>Birim</t>
        </is>
      </c>
      <c r="D21" s="12" t="inlineStr">
        <is>
          <t>Zorunlu</t>
        </is>
      </c>
      <c r="E21" s="12" t="inlineStr">
        <is>
          <t>Kaynak</t>
        </is>
      </c>
      <c r="F21" s="12" t="inlineStr">
        <is>
          <t>Kontrol</t>
        </is>
      </c>
    </row>
    <row r="22">
      <c r="A22" s="30" t="inlineStr">
        <is>
          <t>kurum_adi</t>
        </is>
      </c>
      <c r="B22" s="30" t="inlineStr">
        <is>
          <t>Örnek Sanayi A.Ş.</t>
        </is>
      </c>
      <c r="C22" s="30" t="inlineStr">
        <is>
          <t>metin</t>
        </is>
      </c>
      <c r="D22" s="30" t="inlineStr">
        <is>
          <t>Evet</t>
        </is>
      </c>
      <c r="E22" s="30" t="inlineStr">
        <is>
          <t>GIRDI</t>
        </is>
      </c>
      <c r="F22" s="31">
        <f>IF($A22="","",IF($B22="","EKSİK","TAM"))</f>
        <v/>
      </c>
    </row>
    <row r="23">
      <c r="A23" s="30" t="inlineStr">
        <is>
          <t>donem</t>
        </is>
      </c>
      <c r="B23" s="30" t="inlineStr">
        <is>
          <t>2025</t>
        </is>
      </c>
      <c r="C23" s="30" t="inlineStr">
        <is>
          <t>metin</t>
        </is>
      </c>
      <c r="D23" s="30" t="inlineStr">
        <is>
          <t>Evet</t>
        </is>
      </c>
      <c r="E23" s="30" t="inlineStr">
        <is>
          <t>GIRDI</t>
        </is>
      </c>
      <c r="F23" s="31">
        <f>IF($A23="","",IF($B23="","EKSİK","TAM"))</f>
        <v/>
      </c>
    </row>
    <row r="24">
      <c r="A24" s="30" t="inlineStr">
        <is>
          <t>hesapYili</t>
        </is>
      </c>
      <c r="B24" s="32" t="n">
        <v>2025</v>
      </c>
      <c r="C24" s="30" t="inlineStr">
        <is>
          <t>yıl</t>
        </is>
      </c>
      <c r="D24" s="30" t="inlineStr">
        <is>
          <t>Evet</t>
        </is>
      </c>
      <c r="E24" s="30" t="inlineStr">
        <is>
          <t>GIRDI</t>
        </is>
      </c>
      <c r="F24" s="31">
        <f>IF($A24="","",IF($B24="","EKSİK","TAM"))</f>
        <v/>
      </c>
    </row>
    <row r="25">
      <c r="A25" s="30" t="inlineStr">
        <is>
          <t>maliyet</t>
        </is>
      </c>
      <c r="B25" s="33" t="n">
        <v>1000000</v>
      </c>
      <c r="C25" s="30" t="inlineStr">
        <is>
          <t>TL</t>
        </is>
      </c>
      <c r="D25" s="30" t="inlineStr">
        <is>
          <t>Evet</t>
        </is>
      </c>
      <c r="E25" s="30" t="inlineStr">
        <is>
          <t>GIRDI</t>
        </is>
      </c>
      <c r="F25" s="31">
        <f>IF($A25="","",IF($B25="","EKSİK","TAM"))</f>
        <v/>
      </c>
    </row>
    <row r="26">
      <c r="A26" s="30" t="inlineStr">
        <is>
          <t>birikmis_amortisman</t>
        </is>
      </c>
      <c r="B26" s="33" t="n">
        <v>200000</v>
      </c>
      <c r="C26" s="30" t="inlineStr">
        <is>
          <t>TL</t>
        </is>
      </c>
      <c r="D26" s="30" t="inlineStr">
        <is>
          <t>Evet</t>
        </is>
      </c>
      <c r="E26" s="30" t="inlineStr">
        <is>
          <t>GIRDI</t>
        </is>
      </c>
      <c r="F26" s="31">
        <f>IF($A26="","",IF($B26="","EKSİK","TAM"))</f>
        <v/>
      </c>
    </row>
    <row r="27">
      <c r="A27" s="30" t="inlineStr">
        <is>
          <t>endeks_orani</t>
        </is>
      </c>
      <c r="B27" s="34" t="n">
        <v>1.45</v>
      </c>
      <c r="C27" s="30" t="inlineStr">
        <is>
          <t>çarpan</t>
        </is>
      </c>
      <c r="D27" s="30" t="inlineStr">
        <is>
          <t>Evet</t>
        </is>
      </c>
      <c r="E27" s="30" t="inlineStr">
        <is>
          <t>GIRDI</t>
        </is>
      </c>
      <c r="F27" s="31">
        <f>IF($A27="","",IF($B27="","EKSİK","TAM"))</f>
        <v/>
      </c>
    </row>
    <row r="28">
      <c r="A28" s="30" t="inlineStr">
        <is>
          <t>kalan_omur_yil</t>
        </is>
      </c>
      <c r="B28" s="32" t="n">
        <v>10</v>
      </c>
      <c r="C28" s="30" t="inlineStr">
        <is>
          <t>yıl</t>
        </is>
      </c>
      <c r="D28" s="30" t="inlineStr">
        <is>
          <t>Evet</t>
        </is>
      </c>
      <c r="E28" s="30" t="inlineStr">
        <is>
          <t>GIRDI</t>
        </is>
      </c>
      <c r="F28" s="31">
        <f>IF($A28="","",IF($B28="","EKSİK","TAM"))</f>
        <v/>
      </c>
    </row>
    <row r="29">
      <c r="A29" s="30" t="inlineStr">
        <is>
          <t>oncelik_yorumu</t>
        </is>
      </c>
      <c r="B29" s="30" t="inlineStr">
        <is>
          <t>A</t>
        </is>
      </c>
      <c r="C29" s="30" t="inlineStr">
        <is>
          <t>A/B</t>
        </is>
      </c>
      <c r="D29" s="30" t="inlineStr">
        <is>
          <t>Evet</t>
        </is>
      </c>
      <c r="E29" s="30" t="inlineStr">
        <is>
          <t>GIRDI</t>
        </is>
      </c>
      <c r="F29" s="31">
        <f>IF($A29="","",IF($B29="","EKSİK","TAM"))</f>
        <v/>
      </c>
    </row>
    <row r="30">
      <c r="F30" s="31">
        <f>IF($A30="","",IF($B30="","EKSİK","TAM"))</f>
        <v/>
      </c>
    </row>
    <row r="31">
      <c r="F31" s="31">
        <f>IF($A31="","",IF($B31="","EKSİK","TAM"))</f>
        <v/>
      </c>
    </row>
    <row r="32">
      <c r="F32" s="31">
        <f>IF($A32="","",IF($B32="","EKSİK","TAM"))</f>
        <v/>
      </c>
    </row>
    <row r="33">
      <c r="F33" s="31">
        <f>IF($A33="","",IF($B33="","EKSİK","TAM"))</f>
        <v/>
      </c>
    </row>
    <row r="34">
      <c r="F34" s="31">
        <f>IF($A34="","",IF($B34="","EKSİK","TAM"))</f>
        <v/>
      </c>
    </row>
    <row r="35">
      <c r="F35" s="31">
        <f>IF($A35="","",IF($B35="","EKSİK","TAM"))</f>
        <v/>
      </c>
    </row>
    <row r="36">
      <c r="F36" s="31">
        <f>IF($A36="","",IF($B36="","EKSİK","TAM"))</f>
        <v/>
      </c>
    </row>
    <row r="37">
      <c r="F37" s="31">
        <f>IF($A37="","",IF($B37="","EKSİK","TAM"))</f>
        <v/>
      </c>
    </row>
    <row r="38">
      <c r="F38" s="31">
        <f>IF($A38="","",IF($B38="","EKSİK","TAM"))</f>
        <v/>
      </c>
    </row>
    <row r="39">
      <c r="F39" s="31">
        <f>IF($A39="","",IF($B39="","EKSİK","TAM"))</f>
        <v/>
      </c>
    </row>
    <row r="40">
      <c r="F40" s="31">
        <f>IF($A40="","",IF($B40="","EKSİK","TAM"))</f>
        <v/>
      </c>
    </row>
    <row r="41">
      <c r="F41" s="31">
        <f>IF($A41="","",IF($B41="","EKSİK","TAM"))</f>
        <v/>
      </c>
    </row>
    <row r="42">
      <c r="F42" s="31">
        <f>IF($A42="","",IF($B42="","EKSİK","TAM"))</f>
        <v/>
      </c>
    </row>
    <row r="43">
      <c r="F43" s="31">
        <f>IF($A43="","",IF($B43="","EKSİK","TAM"))</f>
        <v/>
      </c>
    </row>
    <row r="44">
      <c r="F44" s="31">
        <f>IF($A44="","",IF($B44="","EKSİK","TAM"))</f>
        <v/>
      </c>
    </row>
    <row r="45">
      <c r="F45" s="31">
        <f>IF($A45="","",IF($B45="","EKSİK","TAM"))</f>
        <v/>
      </c>
    </row>
    <row r="46">
      <c r="F46" s="31">
        <f>IF($A46="","",IF($B46="","EKSİK","TAM"))</f>
        <v/>
      </c>
    </row>
    <row r="47">
      <c r="F47" s="31">
        <f>IF($A47="","",IF($B47="","EKSİK","TAM"))</f>
        <v/>
      </c>
    </row>
    <row r="48">
      <c r="F48" s="31">
        <f>IF($A48="","",IF($B48="","EKSİK","TAM"))</f>
        <v/>
      </c>
    </row>
    <row r="49">
      <c r="F49" s="31">
        <f>IF($A49="","",IF($B49="","EKSİK","TAM"))</f>
        <v/>
      </c>
    </row>
    <row r="50">
      <c r="F50" s="31">
        <f>IF($A50="","",IF($B50="","EKSİK","TAM"))</f>
        <v/>
      </c>
    </row>
    <row r="51">
      <c r="F51" s="31">
        <f>IF($A51="","",IF($B51="","EKSİK","TAM"))</f>
        <v/>
      </c>
    </row>
    <row r="52">
      <c r="F52" s="31">
        <f>IF($A52="","",IF($B52="","EKSİK","TAM"))</f>
        <v/>
      </c>
    </row>
    <row r="53">
      <c r="F53" s="31">
        <f>IF($A53="","",IF($B53="","EKSİK","TAM"))</f>
        <v/>
      </c>
    </row>
    <row r="54">
      <c r="F54" s="31">
        <f>IF($A54="","",IF($B54="","EKSİK","TAM"))</f>
        <v/>
      </c>
    </row>
    <row r="55">
      <c r="F55" s="31">
        <f>IF($A55="","",IF($B55="","EKSİK","TAM"))</f>
        <v/>
      </c>
    </row>
    <row r="56">
      <c r="F56" s="31">
        <f>IF($A56="","",IF($B56="","EKSİK","TAM"))</f>
        <v/>
      </c>
    </row>
    <row r="57">
      <c r="F57" s="31">
        <f>IF($A57="","",IF($B57="","EKSİK","TAM"))</f>
        <v/>
      </c>
    </row>
    <row r="58">
      <c r="F58" s="31">
        <f>IF($A58="","",IF($B58="","EKSİK","TAM"))</f>
        <v/>
      </c>
    </row>
    <row r="59">
      <c r="F59" s="31">
        <f>IF($A59="","",IF($B59="","EKSİK","TAM"))</f>
        <v/>
      </c>
    </row>
    <row r="60">
      <c r="F60" s="31">
        <f>IF($A60="","",IF($B60="","EKSİK","TAM"))</f>
        <v/>
      </c>
    </row>
    <row r="61">
      <c r="F61" s="31">
        <f>IF($A61="","",IF($B61="","EKSİK","TAM"))</f>
        <v/>
      </c>
    </row>
    <row r="62">
      <c r="F62" s="31">
        <f>IF($A62="","",IF($B62="","EKSİK","TAM"))</f>
        <v/>
      </c>
    </row>
    <row r="63">
      <c r="F63" s="31">
        <f>IF($A63="","",IF($B63="","EKSİK","TAM"))</f>
        <v/>
      </c>
    </row>
    <row r="64">
      <c r="F64" s="31">
        <f>IF($A64="","",IF($B64="","EKSİK","TAM"))</f>
        <v/>
      </c>
    </row>
    <row r="65">
      <c r="F65" s="31">
        <f>IF($A65="","",IF($B65="","EKSİK","TAM"))</f>
        <v/>
      </c>
    </row>
    <row r="66">
      <c r="F66" s="31">
        <f>IF($A66="","",IF($B66="","EKSİK","TAM"))</f>
        <v/>
      </c>
    </row>
    <row r="67">
      <c r="F67" s="31">
        <f>IF($A67="","",IF($B67="","EKSİK","TAM"))</f>
        <v/>
      </c>
    </row>
    <row r="68">
      <c r="F68" s="31">
        <f>IF($A68="","",IF($B68="","EKSİK","TAM"))</f>
        <v/>
      </c>
    </row>
    <row r="69">
      <c r="F69" s="31">
        <f>IF($A69="","",IF($B69="","EKSİK","TAM"))</f>
        <v/>
      </c>
    </row>
    <row r="70">
      <c r="F70" s="31">
        <f>IF($A70="","",IF($B70="","EKSİK","TAM"))</f>
        <v/>
      </c>
    </row>
    <row r="71">
      <c r="F71" s="31">
        <f>IF($A71="","",IF($B71="","EKSİK","TAM"))</f>
        <v/>
      </c>
    </row>
    <row r="72">
      <c r="F72" s="31">
        <f>IF($A72="","",IF($B72="","EKSİK","TAM"))</f>
        <v/>
      </c>
    </row>
    <row r="73">
      <c r="F73" s="31">
        <f>IF($A73="","",IF($B73="","EKSİK","TAM"))</f>
        <v/>
      </c>
    </row>
    <row r="74">
      <c r="F74" s="31">
        <f>IF($A74="","",IF($B74="","EKSİK","TAM"))</f>
        <v/>
      </c>
    </row>
    <row r="75">
      <c r="F75" s="31">
        <f>IF($A75="","",IF($B75="","EKSİK","TAM"))</f>
        <v/>
      </c>
    </row>
    <row r="76">
      <c r="F76" s="31">
        <f>IF($A76="","",IF($B76="","EKSİK","TAM"))</f>
        <v/>
      </c>
    </row>
    <row r="77">
      <c r="F77" s="31">
        <f>IF($A77="","",IF($B77="","EKSİK","TAM"))</f>
        <v/>
      </c>
    </row>
    <row r="78">
      <c r="F78" s="31">
        <f>IF($A78="","",IF($B78="","EKSİK","TAM"))</f>
        <v/>
      </c>
    </row>
    <row r="79">
      <c r="F79" s="31">
        <f>IF($A79="","",IF($B79="","EKSİK","TAM"))</f>
        <v/>
      </c>
    </row>
    <row r="80">
      <c r="F80" s="31">
        <f>IF($A80="","",IF($B80="","EKSİK","TAM"))</f>
        <v/>
      </c>
    </row>
    <row r="81">
      <c r="F81" s="31">
        <f>IF($A81="","",IF($B81="","EKSİK","TAM"))</f>
        <v/>
      </c>
    </row>
    <row r="82">
      <c r="F82" s="31">
        <f>IF($A82="","",IF($B82="","EKSİK","TAM"))</f>
        <v/>
      </c>
    </row>
    <row r="83">
      <c r="F83" s="31">
        <f>IF($A83="","",IF($B83="","EKSİK","TAM"))</f>
        <v/>
      </c>
    </row>
    <row r="84">
      <c r="F84" s="31">
        <f>IF($A84="","",IF($B84="","EKSİK","TAM"))</f>
        <v/>
      </c>
    </row>
    <row r="85">
      <c r="F85" s="31">
        <f>IF($A85="","",IF($B85="","EKSİK","TAM"))</f>
        <v/>
      </c>
    </row>
    <row r="86">
      <c r="F86" s="31">
        <f>IF($A86="","",IF($B86="","EKSİK","TAM"))</f>
        <v/>
      </c>
    </row>
    <row r="87">
      <c r="F87" s="31">
        <f>IF($A87="","",IF($B87="","EKSİK","TAM"))</f>
        <v/>
      </c>
    </row>
    <row r="88">
      <c r="F88" s="31">
        <f>IF($A88="","",IF($B88="","EKSİK","TAM"))</f>
        <v/>
      </c>
    </row>
    <row r="89">
      <c r="F89" s="31">
        <f>IF($A89="","",IF($B89="","EKSİK","TAM"))</f>
        <v/>
      </c>
    </row>
    <row r="90">
      <c r="F90" s="31">
        <f>IF($A90="","",IF($B90="","EKSİK","TAM"))</f>
        <v/>
      </c>
    </row>
    <row r="91">
      <c r="F91" s="31">
        <f>IF($A91="","",IF($B91="","EKSİK","TAM"))</f>
        <v/>
      </c>
    </row>
    <row r="92">
      <c r="F92" s="31">
        <f>IF($A92="","",IF($B92="","EKSİK","TAM"))</f>
        <v/>
      </c>
    </row>
    <row r="93">
      <c r="F93" s="31">
        <f>IF($A93="","",IF($B93="","EKSİK","TAM"))</f>
        <v/>
      </c>
    </row>
    <row r="94">
      <c r="F94" s="31">
        <f>IF($A94="","",IF($B94="","EKSİK","TAM"))</f>
        <v/>
      </c>
    </row>
    <row r="95">
      <c r="F95" s="31">
        <f>IF($A95="","",IF($B95="","EKSİK","TAM"))</f>
        <v/>
      </c>
    </row>
    <row r="96">
      <c r="F96" s="31">
        <f>IF($A96="","",IF($B96="","EKSİK","TAM"))</f>
        <v/>
      </c>
    </row>
    <row r="97">
      <c r="F97" s="31">
        <f>IF($A97="","",IF($B97="","EKSİK","TAM"))</f>
        <v/>
      </c>
    </row>
    <row r="98">
      <c r="F98" s="31">
        <f>IF($A98="","",IF($B98="","EKSİK","TAM"))</f>
        <v/>
      </c>
    </row>
    <row r="99">
      <c r="F99" s="31">
        <f>IF($A99="","",IF($B99="","EKSİK","TAM"))</f>
        <v/>
      </c>
    </row>
    <row r="100">
      <c r="F100" s="31">
        <f>IF($A100="","",IF($B100="","EKSİK","TAM"))</f>
        <v/>
      </c>
    </row>
    <row r="101">
      <c r="F101" s="31">
        <f>IF($A101="","",IF($B101="","EKSİK","TAM"))</f>
        <v/>
      </c>
    </row>
    <row r="102">
      <c r="F102" s="31">
        <f>IF($A102="","",IF($B102="","EKSİK","TAM"))</f>
        <v/>
      </c>
    </row>
    <row r="103">
      <c r="F103" s="31">
        <f>IF($A103="","",IF($B103="","EKSİK","TAM"))</f>
        <v/>
      </c>
    </row>
    <row r="104">
      <c r="F104" s="31">
        <f>IF($A104="","",IF($B104="","EKSİK","TAM"))</f>
        <v/>
      </c>
    </row>
    <row r="105">
      <c r="F105" s="31">
        <f>IF($A105="","",IF($B105="","EKSİK","TAM"))</f>
        <v/>
      </c>
    </row>
    <row r="106">
      <c r="F106" s="31">
        <f>IF($A106="","",IF($B106="","EKSİK","TAM"))</f>
        <v/>
      </c>
    </row>
    <row r="107">
      <c r="F107" s="31">
        <f>IF($A107="","",IF($B107="","EKSİK","TAM"))</f>
        <v/>
      </c>
    </row>
    <row r="108">
      <c r="F108" s="31">
        <f>IF($A108="","",IF($B108="","EKSİK","TAM"))</f>
        <v/>
      </c>
    </row>
    <row r="109">
      <c r="F109" s="31">
        <f>IF($A109="","",IF($B109="","EKSİK","TAM"))</f>
        <v/>
      </c>
    </row>
    <row r="110">
      <c r="F110" s="31">
        <f>IF($A110="","",IF($B110="","EKSİK","TAM"))</f>
        <v/>
      </c>
    </row>
    <row r="111">
      <c r="F111" s="31">
        <f>IF($A111="","",IF($B111="","EKSİK","TAM"))</f>
        <v/>
      </c>
    </row>
    <row r="112">
      <c r="F112" s="31">
        <f>IF($A112="","",IF($B112="","EKSİK","TAM"))</f>
        <v/>
      </c>
    </row>
    <row r="113">
      <c r="F113" s="31">
        <f>IF($A113="","",IF($B113="","EKSİK","TAM"))</f>
        <v/>
      </c>
    </row>
    <row r="114">
      <c r="F114" s="31">
        <f>IF($A114="","",IF($B114="","EKSİK","TAM"))</f>
        <v/>
      </c>
    </row>
    <row r="115">
      <c r="F115" s="31">
        <f>IF($A115="","",IF($B115="","EKSİK","TAM"))</f>
        <v/>
      </c>
    </row>
    <row r="116">
      <c r="F116" s="31">
        <f>IF($A116="","",IF($B116="","EKSİK","TAM"))</f>
        <v/>
      </c>
    </row>
    <row r="117">
      <c r="F117" s="31">
        <f>IF($A117="","",IF($B117="","EKSİK","TAM"))</f>
        <v/>
      </c>
    </row>
    <row r="118">
      <c r="F118" s="31">
        <f>IF($A118="","",IF($B118="","EKSİK","TAM"))</f>
        <v/>
      </c>
    </row>
    <row r="119">
      <c r="F119" s="31">
        <f>IF($A119="","",IF($B119="","EKSİK","TAM"))</f>
        <v/>
      </c>
    </row>
    <row r="120">
      <c r="F120" s="31">
        <f>IF($A120="","",IF($B120="","EKSİK","TAM"))</f>
        <v/>
      </c>
    </row>
    <row r="121">
      <c r="F121" s="31">
        <f>IF($A121="","",IF($B121="","EKSİK","TAM"))</f>
        <v/>
      </c>
    </row>
    <row r="122">
      <c r="F122" s="31">
        <f>IF($A122="","",IF($B122="","EKSİK","TAM"))</f>
        <v/>
      </c>
    </row>
    <row r="123">
      <c r="F123" s="31">
        <f>IF($A123="","",IF($B123="","EKSİK","TAM"))</f>
        <v/>
      </c>
    </row>
    <row r="124">
      <c r="F124" s="31">
        <f>IF($A124="","",IF($B124="","EKSİK","TAM"))</f>
        <v/>
      </c>
    </row>
    <row r="125">
      <c r="F125" s="31">
        <f>IF($A125="","",IF($B125="","EKSİK","TAM"))</f>
        <v/>
      </c>
    </row>
    <row r="126">
      <c r="F126" s="31">
        <f>IF($A126="","",IF($B126="","EKSİK","TAM"))</f>
        <v/>
      </c>
    </row>
    <row r="127">
      <c r="F127" s="31">
        <f>IF($A127="","",IF($B127="","EKSİK","TAM"))</f>
        <v/>
      </c>
    </row>
    <row r="128">
      <c r="F128" s="31">
        <f>IF($A128="","",IF($B128="","EKSİK","TAM"))</f>
        <v/>
      </c>
    </row>
    <row r="129">
      <c r="F129" s="31">
        <f>IF($A129="","",IF($B129="","EKSİK","TAM"))</f>
        <v/>
      </c>
    </row>
    <row r="130">
      <c r="F130" s="31">
        <f>IF($A130="","",IF($B130="","EKSİK","TAM"))</f>
        <v/>
      </c>
    </row>
    <row r="131">
      <c r="F131" s="31">
        <f>IF($A131="","",IF($B131="","EKSİK","TAM"))</f>
        <v/>
      </c>
    </row>
    <row r="132">
      <c r="F132" s="31">
        <f>IF($A132="","",IF($B132="","EKSİK","TAM"))</f>
        <v/>
      </c>
    </row>
    <row r="133">
      <c r="F133" s="31">
        <f>IF($A133="","",IF($B133="","EKSİK","TAM"))</f>
        <v/>
      </c>
    </row>
    <row r="134">
      <c r="F134" s="31">
        <f>IF($A134="","",IF($B134="","EKSİK","TAM"))</f>
        <v/>
      </c>
    </row>
    <row r="135">
      <c r="F135" s="31">
        <f>IF($A135="","",IF($B135="","EKSİK","TAM"))</f>
        <v/>
      </c>
    </row>
    <row r="136">
      <c r="F136" s="31">
        <f>IF($A136="","",IF($B136="","EKSİK","TAM"))</f>
        <v/>
      </c>
    </row>
    <row r="137">
      <c r="F137" s="31">
        <f>IF($A137="","",IF($B137="","EKSİK","TAM"))</f>
        <v/>
      </c>
    </row>
    <row r="138">
      <c r="F138" s="31">
        <f>IF($A138="","",IF($B138="","EKSİK","TAM"))</f>
        <v/>
      </c>
    </row>
    <row r="139">
      <c r="F139" s="31">
        <f>IF($A139="","",IF($B139="","EKSİK","TAM"))</f>
        <v/>
      </c>
    </row>
    <row r="140">
      <c r="F140" s="31">
        <f>IF($A140="","",IF($B140="","EKSİK","TAM"))</f>
        <v/>
      </c>
    </row>
    <row r="141">
      <c r="F141" s="31">
        <f>IF($A141="","",IF($B141="","EKSİK","TAM"))</f>
        <v/>
      </c>
    </row>
    <row r="142">
      <c r="F142" s="31">
        <f>IF($A142="","",IF($B142="","EKSİK","TAM"))</f>
        <v/>
      </c>
    </row>
    <row r="143">
      <c r="F143" s="31">
        <f>IF($A143="","",IF($B143="","EKSİK","TAM"))</f>
        <v/>
      </c>
    </row>
    <row r="144">
      <c r="F144" s="31">
        <f>IF($A144="","",IF($B144="","EKSİK","TAM"))</f>
        <v/>
      </c>
    </row>
    <row r="145">
      <c r="F145" s="31">
        <f>IF($A145="","",IF($B145="","EKSİK","TAM"))</f>
        <v/>
      </c>
    </row>
    <row r="146">
      <c r="F146" s="31">
        <f>IF($A146="","",IF($B146="","EKSİK","TAM"))</f>
        <v/>
      </c>
    </row>
    <row r="147">
      <c r="F147" s="31">
        <f>IF($A147="","",IF($B147="","EKSİK","TAM"))</f>
        <v/>
      </c>
    </row>
    <row r="148">
      <c r="F148" s="31">
        <f>IF($A148="","",IF($B148="","EKSİK","TAM"))</f>
        <v/>
      </c>
    </row>
    <row r="149">
      <c r="F149" s="31">
        <f>IF($A149="","",IF($B149="","EKSİK","TAM"))</f>
        <v/>
      </c>
    </row>
    <row r="150">
      <c r="F150" s="31">
        <f>IF($A150="","",IF($B150="","EKSİK","TAM"))</f>
        <v/>
      </c>
    </row>
    <row r="151">
      <c r="F151" s="31">
        <f>IF($A151="","",IF($B151="","EKSİK","TAM"))</f>
        <v/>
      </c>
    </row>
    <row r="152">
      <c r="F152" s="31">
        <f>IF($A152="","",IF($B152="","EKSİK","TAM"))</f>
        <v/>
      </c>
    </row>
    <row r="153">
      <c r="F153" s="31">
        <f>IF($A153="","",IF($B153="","EKSİK","TAM"))</f>
        <v/>
      </c>
    </row>
    <row r="154">
      <c r="F154" s="31">
        <f>IF($A154="","",IF($B154="","EKSİK","TAM"))</f>
        <v/>
      </c>
    </row>
    <row r="155">
      <c r="F155" s="31">
        <f>IF($A155="","",IF($B155="","EKSİK","TAM"))</f>
        <v/>
      </c>
    </row>
    <row r="156">
      <c r="F156" s="31">
        <f>IF($A156="","",IF($B156="","EKSİK","TAM"))</f>
        <v/>
      </c>
    </row>
    <row r="157">
      <c r="F157" s="31">
        <f>IF($A157="","",IF($B157="","EKSİK","TAM"))</f>
        <v/>
      </c>
    </row>
    <row r="158">
      <c r="F158" s="31">
        <f>IF($A158="","",IF($B158="","EKSİK","TAM"))</f>
        <v/>
      </c>
    </row>
    <row r="159">
      <c r="F159" s="31">
        <f>IF($A159="","",IF($B159="","EKSİK","TAM"))</f>
        <v/>
      </c>
    </row>
    <row r="160">
      <c r="F160" s="31">
        <f>IF($A160="","",IF($B160="","EKSİK","TAM"))</f>
        <v/>
      </c>
    </row>
    <row r="161">
      <c r="F161" s="31">
        <f>IF($A161="","",IF($B161="","EKSİK","TAM"))</f>
        <v/>
      </c>
    </row>
    <row r="162">
      <c r="F162" s="31">
        <f>IF($A162="","",IF($B162="","EKSİK","TAM"))</f>
        <v/>
      </c>
    </row>
    <row r="163">
      <c r="F163" s="31">
        <f>IF($A163="","",IF($B163="","EKSİK","TAM"))</f>
        <v/>
      </c>
    </row>
    <row r="164">
      <c r="F164" s="31">
        <f>IF($A164="","",IF($B164="","EKSİK","TAM"))</f>
        <v/>
      </c>
    </row>
    <row r="165">
      <c r="F165" s="31">
        <f>IF($A165="","",IF($B165="","EKSİK","TAM"))</f>
        <v/>
      </c>
    </row>
    <row r="166">
      <c r="F166" s="31">
        <f>IF($A166="","",IF($B166="","EKSİK","TAM"))</f>
        <v/>
      </c>
    </row>
    <row r="167">
      <c r="F167" s="31">
        <f>IF($A167="","",IF($B167="","EKSİK","TAM"))</f>
        <v/>
      </c>
    </row>
    <row r="168">
      <c r="F168" s="31">
        <f>IF($A168="","",IF($B168="","EKSİK","TAM"))</f>
        <v/>
      </c>
    </row>
    <row r="169">
      <c r="F169" s="31">
        <f>IF($A169="","",IF($B169="","EKSİK","TAM"))</f>
        <v/>
      </c>
    </row>
    <row r="170">
      <c r="F170" s="31">
        <f>IF($A170="","",IF($B170="","EKSİK","TAM"))</f>
        <v/>
      </c>
    </row>
    <row r="171">
      <c r="F171" s="31">
        <f>IF($A171="","",IF($B171="","EKSİK","TAM"))</f>
        <v/>
      </c>
    </row>
    <row r="172">
      <c r="F172" s="31">
        <f>IF($A172="","",IF($B172="","EKSİK","TAM"))</f>
        <v/>
      </c>
    </row>
    <row r="173">
      <c r="F173" s="31">
        <f>IF($A173="","",IF($B173="","EKSİK","TAM"))</f>
        <v/>
      </c>
    </row>
    <row r="174">
      <c r="F174" s="31">
        <f>IF($A174="","",IF($B174="","EKSİK","TAM"))</f>
        <v/>
      </c>
    </row>
    <row r="175">
      <c r="F175" s="31">
        <f>IF($A175="","",IF($B175="","EKSİK","TAM"))</f>
        <v/>
      </c>
    </row>
    <row r="176">
      <c r="F176" s="31">
        <f>IF($A176="","",IF($B176="","EKSİK","TAM"))</f>
        <v/>
      </c>
    </row>
    <row r="177">
      <c r="F177" s="31">
        <f>IF($A177="","",IF($B177="","EKSİK","TAM"))</f>
        <v/>
      </c>
    </row>
    <row r="178">
      <c r="F178" s="31">
        <f>IF($A178="","",IF($B178="","EKSİK","TAM"))</f>
        <v/>
      </c>
    </row>
    <row r="179">
      <c r="F179" s="31">
        <f>IF($A179="","",IF($B179="","EKSİK","TAM"))</f>
        <v/>
      </c>
    </row>
    <row r="180">
      <c r="F180" s="31">
        <f>IF($A180="","",IF($B180="","EKSİK","TAM"))</f>
        <v/>
      </c>
    </row>
    <row r="181">
      <c r="F181" s="31">
        <f>IF($A181="","",IF($B181="","EKSİK","TAM"))</f>
        <v/>
      </c>
    </row>
    <row r="182">
      <c r="F182" s="31">
        <f>IF($A182="","",IF($B182="","EKSİK","TAM"))</f>
        <v/>
      </c>
    </row>
    <row r="183">
      <c r="F183" s="31">
        <f>IF($A183="","",IF($B183="","EKSİK","TAM"))</f>
        <v/>
      </c>
    </row>
    <row r="184">
      <c r="F184" s="31">
        <f>IF($A184="","",IF($B184="","EKSİK","TAM"))</f>
        <v/>
      </c>
    </row>
    <row r="185">
      <c r="F185" s="31">
        <f>IF($A185="","",IF($B185="","EKSİK","TAM"))</f>
        <v/>
      </c>
    </row>
    <row r="186">
      <c r="F186" s="31">
        <f>IF($A186="","",IF($B186="","EKSİK","TAM"))</f>
        <v/>
      </c>
    </row>
    <row r="187">
      <c r="F187" s="31">
        <f>IF($A187="","",IF($B187="","EKSİK","TAM"))</f>
        <v/>
      </c>
    </row>
    <row r="188">
      <c r="F188" s="31">
        <f>IF($A188="","",IF($B188="","EKSİK","TAM"))</f>
        <v/>
      </c>
    </row>
    <row r="189">
      <c r="F189" s="31">
        <f>IF($A189="","",IF($B189="","EKSİK","TAM"))</f>
        <v/>
      </c>
    </row>
    <row r="190">
      <c r="F190" s="31">
        <f>IF($A190="","",IF($B190="","EKSİK","TAM"))</f>
        <v/>
      </c>
    </row>
    <row r="191">
      <c r="F191" s="31">
        <f>IF($A191="","",IF($B191="","EKSİK","TAM"))</f>
        <v/>
      </c>
    </row>
    <row r="192">
      <c r="F192" s="31">
        <f>IF($A192="","",IF($B192="","EKSİK","TAM"))</f>
        <v/>
      </c>
    </row>
    <row r="193">
      <c r="F193" s="31">
        <f>IF($A193="","",IF($B193="","EKSİK","TAM"))</f>
        <v/>
      </c>
    </row>
    <row r="194">
      <c r="F194" s="31">
        <f>IF($A194="","",IF($B194="","EKSİK","TAM"))</f>
        <v/>
      </c>
    </row>
    <row r="195">
      <c r="F195" s="31">
        <f>IF($A195="","",IF($B195="","EKSİK","TAM"))</f>
        <v/>
      </c>
    </row>
    <row r="196">
      <c r="F196" s="31">
        <f>IF($A196="","",IF($B196="","EKSİK","TAM"))</f>
        <v/>
      </c>
    </row>
    <row r="197">
      <c r="F197" s="31">
        <f>IF($A197="","",IF($B197="","EKSİK","TAM"))</f>
        <v/>
      </c>
    </row>
    <row r="198">
      <c r="F198" s="31">
        <f>IF($A198="","",IF($B198="","EKSİK","TAM"))</f>
        <v/>
      </c>
    </row>
    <row r="199">
      <c r="F199" s="31">
        <f>IF($A199="","",IF($B199="","EKSİK","TAM"))</f>
        <v/>
      </c>
    </row>
    <row r="200">
      <c r="F200" s="31">
        <f>IF($A200="","",IF($B200="","EKSİK","TAM"))</f>
        <v/>
      </c>
    </row>
    <row r="201">
      <c r="F201" s="31">
        <f>IF($A201="","",IF($B201="","EKSİK","TAM"))</f>
        <v/>
      </c>
    </row>
    <row r="202">
      <c r="F202" s="31">
        <f>IF($A202="","",IF($B202="","EKSİK","TAM"))</f>
        <v/>
      </c>
    </row>
    <row r="203">
      <c r="F203" s="31">
        <f>IF($A203="","",IF($B203="","EKSİK","TAM"))</f>
        <v/>
      </c>
    </row>
    <row r="204">
      <c r="F204" s="31">
        <f>IF($A204="","",IF($B204="","EKSİK","TAM"))</f>
        <v/>
      </c>
    </row>
    <row r="205">
      <c r="F205" s="31">
        <f>IF($A205="","",IF($B205="","EKSİK","TAM"))</f>
        <v/>
      </c>
    </row>
    <row r="206">
      <c r="F206" s="31">
        <f>IF($A206="","",IF($B206="","EKSİK","TAM"))</f>
        <v/>
      </c>
    </row>
    <row r="207">
      <c r="F207" s="31">
        <f>IF($A207="","",IF($B207="","EKSİK","TAM"))</f>
        <v/>
      </c>
    </row>
    <row r="208">
      <c r="F208" s="31">
        <f>IF($A208="","",IF($B208="","EKSİK","TAM"))</f>
        <v/>
      </c>
    </row>
    <row r="209">
      <c r="F209" s="31">
        <f>IF($A209="","",IF($B209="","EKSİK","TAM"))</f>
        <v/>
      </c>
    </row>
    <row r="210">
      <c r="F210" s="31">
        <f>IF($A210="","",IF($B210="","EKSİK","TAM"))</f>
        <v/>
      </c>
    </row>
    <row r="211">
      <c r="F211" s="31">
        <f>IF($A211="","",IF($B211="","EKSİK","TAM"))</f>
        <v/>
      </c>
    </row>
    <row r="212">
      <c r="F212" s="31">
        <f>IF($A212="","",IF($B212="","EKSİK","TAM"))</f>
        <v/>
      </c>
    </row>
    <row r="213">
      <c r="F213" s="31">
        <f>IF($A213="","",IF($B213="","EKSİK","TAM"))</f>
        <v/>
      </c>
    </row>
    <row r="214">
      <c r="F214" s="31">
        <f>IF($A214="","",IF($B214="","EKSİK","TAM"))</f>
        <v/>
      </c>
    </row>
    <row r="215">
      <c r="F215" s="31">
        <f>IF($A215="","",IF($B215="","EKSİK","TAM"))</f>
        <v/>
      </c>
    </row>
    <row r="216">
      <c r="F216" s="31">
        <f>IF($A216="","",IF($B216="","EKSİK","TAM"))</f>
        <v/>
      </c>
    </row>
    <row r="217">
      <c r="F217" s="31">
        <f>IF($A217="","",IF($B217="","EKSİK","TAM"))</f>
        <v/>
      </c>
    </row>
    <row r="218">
      <c r="F218" s="31">
        <f>IF($A218="","",IF($B218="","EKSİK","TAM"))</f>
        <v/>
      </c>
    </row>
    <row r="219">
      <c r="F219" s="31">
        <f>IF($A219="","",IF($B219="","EKSİK","TAM"))</f>
        <v/>
      </c>
    </row>
    <row r="220">
      <c r="F220" s="31">
        <f>IF($A220="","",IF($B220="","EKSİK","TAM"))</f>
        <v/>
      </c>
    </row>
    <row r="221">
      <c r="F221" s="31">
        <f>IF($A221="","",IF($B221="","EKSİK","TAM"))</f>
        <v/>
      </c>
    </row>
    <row r="222">
      <c r="F222" s="31">
        <f>IF($A222="","",IF($B222="","EKSİK","TAM"))</f>
        <v/>
      </c>
    </row>
    <row r="223">
      <c r="F223" s="31">
        <f>IF($A223="","",IF($B223="","EKSİK","TAM"))</f>
        <v/>
      </c>
    </row>
    <row r="224">
      <c r="F224" s="31">
        <f>IF($A224="","",IF($B224="","EKSİK","TAM"))</f>
        <v/>
      </c>
    </row>
    <row r="225">
      <c r="F225" s="31">
        <f>IF($A225="","",IF($B225="","EKSİK","TAM"))</f>
        <v/>
      </c>
    </row>
    <row r="226">
      <c r="F226" s="31">
        <f>IF($A226="","",IF($B226="","EKSİK","TAM"))</f>
        <v/>
      </c>
    </row>
    <row r="227">
      <c r="F227" s="31">
        <f>IF($A227="","",IF($B227="","EKSİK","TAM"))</f>
        <v/>
      </c>
    </row>
    <row r="228">
      <c r="F228" s="31">
        <f>IF($A228="","",IF($B228="","EKSİK","TAM"))</f>
        <v/>
      </c>
    </row>
    <row r="229">
      <c r="F229" s="31">
        <f>IF($A229="","",IF($B229="","EKSİK","TAM"))</f>
        <v/>
      </c>
    </row>
    <row r="230">
      <c r="F230" s="31">
        <f>IF($A230="","",IF($B230="","EKSİK","TAM"))</f>
        <v/>
      </c>
    </row>
    <row r="231">
      <c r="F231" s="31">
        <f>IF($A231="","",IF($B231="","EKSİK","TAM"))</f>
        <v/>
      </c>
    </row>
    <row r="232">
      <c r="F232" s="31">
        <f>IF($A232="","",IF($B232="","EKSİK","TAM"))</f>
        <v/>
      </c>
    </row>
    <row r="233">
      <c r="F233" s="31">
        <f>IF($A233="","",IF($B233="","EKSİK","TAM"))</f>
        <v/>
      </c>
    </row>
    <row r="234">
      <c r="F234" s="31">
        <f>IF($A234="","",IF($B234="","EKSİK","TAM"))</f>
        <v/>
      </c>
    </row>
    <row r="235">
      <c r="F235" s="31">
        <f>IF($A235="","",IF($B235="","EKSİK","TAM"))</f>
        <v/>
      </c>
    </row>
    <row r="236">
      <c r="F236" s="31">
        <f>IF($A236="","",IF($B236="","EKSİK","TAM"))</f>
        <v/>
      </c>
    </row>
    <row r="237">
      <c r="F237" s="31">
        <f>IF($A237="","",IF($B237="","EKSİK","TAM"))</f>
        <v/>
      </c>
    </row>
    <row r="238">
      <c r="F238" s="31">
        <f>IF($A238="","",IF($B238="","EKSİK","TAM"))</f>
        <v/>
      </c>
    </row>
    <row r="239">
      <c r="F239" s="31">
        <f>IF($A239="","",IF($B239="","EKSİK","TAM"))</f>
        <v/>
      </c>
    </row>
    <row r="240">
      <c r="F240" s="31">
        <f>IF($A240="","",IF($B240="","EKSİK","TAM"))</f>
        <v/>
      </c>
    </row>
    <row r="241">
      <c r="F241" s="31">
        <f>IF($A241="","",IF($B241="","EKSİK","TAM"))</f>
        <v/>
      </c>
    </row>
    <row r="242">
      <c r="F242" s="31">
        <f>IF($A242="","",IF($B242="","EKSİK","TAM"))</f>
        <v/>
      </c>
    </row>
    <row r="243">
      <c r="F243" s="31">
        <f>IF($A243="","",IF($B243="","EKSİK","TAM"))</f>
        <v/>
      </c>
    </row>
    <row r="244">
      <c r="F244" s="31">
        <f>IF($A244="","",IF($B244="","EKSİK","TAM"))</f>
        <v/>
      </c>
    </row>
    <row r="245">
      <c r="F245" s="31">
        <f>IF($A245="","",IF($B245="","EKSİK","TAM"))</f>
        <v/>
      </c>
    </row>
    <row r="246">
      <c r="F246" s="31">
        <f>IF($A246="","",IF($B246="","EKSİK","TAM"))</f>
        <v/>
      </c>
    </row>
    <row r="247">
      <c r="F247" s="31">
        <f>IF($A247="","",IF($B247="","EKSİK","TAM"))</f>
        <v/>
      </c>
    </row>
    <row r="248">
      <c r="F248" s="31">
        <f>IF($A248="","",IF($B248="","EKSİK","TAM"))</f>
        <v/>
      </c>
    </row>
    <row r="249">
      <c r="F249" s="31">
        <f>IF($A249="","",IF($B249="","EKSİK","TAM"))</f>
        <v/>
      </c>
    </row>
    <row r="250">
      <c r="F250" s="31">
        <f>IF($A250="","",IF($B250="","EKSİK","TAM"))</f>
        <v/>
      </c>
    </row>
    <row r="251">
      <c r="F251" s="31">
        <f>IF($A251="","",IF($B251="","EKSİK","TAM"))</f>
        <v/>
      </c>
    </row>
    <row r="252">
      <c r="F252" s="31">
        <f>IF($A252="","",IF($B252="","EKSİK","TAM"))</f>
        <v/>
      </c>
    </row>
    <row r="253">
      <c r="F253" s="31">
        <f>IF($A253="","",IF($B253="","EKSİK","TAM"))</f>
        <v/>
      </c>
    </row>
    <row r="254">
      <c r="F254" s="31">
        <f>IF($A254="","",IF($B254="","EKSİK","TAM"))</f>
        <v/>
      </c>
    </row>
    <row r="255">
      <c r="F255" s="31">
        <f>IF($A255="","",IF($B255="","EKSİK","TAM"))</f>
        <v/>
      </c>
    </row>
    <row r="256">
      <c r="F256" s="31">
        <f>IF($A256="","",IF($B256="","EKSİK","TAM"))</f>
        <v/>
      </c>
    </row>
    <row r="257">
      <c r="F257" s="31">
        <f>IF($A257="","",IF($B257="","EKSİK","TAM"))</f>
        <v/>
      </c>
    </row>
    <row r="258">
      <c r="F258" s="31">
        <f>IF($A258="","",IF($B258="","EKSİK","TAM"))</f>
        <v/>
      </c>
    </row>
    <row r="259">
      <c r="F259" s="31">
        <f>IF($A259="","",IF($B259="","EKSİK","TAM"))</f>
        <v/>
      </c>
    </row>
    <row r="260">
      <c r="F260" s="31">
        <f>IF($A260="","",IF($B260="","EKSİK","TAM"))</f>
        <v/>
      </c>
    </row>
    <row r="261">
      <c r="F261" s="31">
        <f>IF($A261="","",IF($B261="","EKSİK","TAM"))</f>
        <v/>
      </c>
    </row>
    <row r="262">
      <c r="F262" s="31">
        <f>IF($A262="","",IF($B262="","EKSİK","TAM"))</f>
        <v/>
      </c>
    </row>
    <row r="263">
      <c r="F263" s="31">
        <f>IF($A263="","",IF($B263="","EKSİK","TAM"))</f>
        <v/>
      </c>
    </row>
    <row r="264">
      <c r="F264" s="31">
        <f>IF($A264="","",IF($B264="","EKSİK","TAM"))</f>
        <v/>
      </c>
    </row>
    <row r="265">
      <c r="F265" s="31">
        <f>IF($A265="","",IF($B265="","EKSİK","TAM"))</f>
        <v/>
      </c>
    </row>
    <row r="266">
      <c r="F266" s="31">
        <f>IF($A266="","",IF($B266="","EKSİK","TAM"))</f>
        <v/>
      </c>
    </row>
    <row r="267">
      <c r="F267" s="31">
        <f>IF($A267="","",IF($B267="","EKSİK","TAM"))</f>
        <v/>
      </c>
    </row>
    <row r="268">
      <c r="F268" s="31">
        <f>IF($A268="","",IF($B268="","EKSİK","TAM"))</f>
        <v/>
      </c>
    </row>
    <row r="269">
      <c r="F269" s="31">
        <f>IF($A269="","",IF($B269="","EKSİK","TAM"))</f>
        <v/>
      </c>
    </row>
    <row r="270">
      <c r="F270" s="31">
        <f>IF($A270="","",IF($B270="","EKSİK","TAM"))</f>
        <v/>
      </c>
    </row>
    <row r="271">
      <c r="F271" s="31">
        <f>IF($A271="","",IF($B271="","EKSİK","TAM"))</f>
        <v/>
      </c>
    </row>
    <row r="272">
      <c r="F272" s="31">
        <f>IF($A272="","",IF($B272="","EKSİK","TAM"))</f>
        <v/>
      </c>
    </row>
    <row r="273">
      <c r="F273" s="31">
        <f>IF($A273="","",IF($B273="","EKSİK","TAM"))</f>
        <v/>
      </c>
    </row>
    <row r="274">
      <c r="F274" s="31">
        <f>IF($A274="","",IF($B274="","EKSİK","TAM"))</f>
        <v/>
      </c>
    </row>
    <row r="275">
      <c r="F275" s="31">
        <f>IF($A275="","",IF($B275="","EKSİK","TAM"))</f>
        <v/>
      </c>
    </row>
    <row r="276">
      <c r="F276" s="31">
        <f>IF($A276="","",IF($B276="","EKSİK","TAM"))</f>
        <v/>
      </c>
    </row>
    <row r="277">
      <c r="F277" s="31">
        <f>IF($A277="","",IF($B277="","EKSİK","TAM"))</f>
        <v/>
      </c>
    </row>
    <row r="278">
      <c r="F278" s="31">
        <f>IF($A278="","",IF($B278="","EKSİK","TAM"))</f>
        <v/>
      </c>
    </row>
    <row r="279">
      <c r="F279" s="31">
        <f>IF($A279="","",IF($B279="","EKSİK","TAM"))</f>
        <v/>
      </c>
    </row>
    <row r="280">
      <c r="F280" s="31">
        <f>IF($A280="","",IF($B280="","EKSİK","TAM"))</f>
        <v/>
      </c>
    </row>
    <row r="281">
      <c r="F281" s="31">
        <f>IF($A281="","",IF($B281="","EKSİK","TAM"))</f>
        <v/>
      </c>
    </row>
    <row r="282">
      <c r="F282" s="31">
        <f>IF($A282="","",IF($B282="","EKSİK","TAM"))</f>
        <v/>
      </c>
    </row>
    <row r="283">
      <c r="F283" s="31">
        <f>IF($A283="","",IF($B283="","EKSİK","TAM"))</f>
        <v/>
      </c>
    </row>
    <row r="284">
      <c r="F284" s="31">
        <f>IF($A284="","",IF($B284="","EKSİK","TAM"))</f>
        <v/>
      </c>
    </row>
    <row r="285">
      <c r="F285" s="31">
        <f>IF($A285="","",IF($B285="","EKSİK","TAM"))</f>
        <v/>
      </c>
    </row>
    <row r="286">
      <c r="F286" s="31">
        <f>IF($A286="","",IF($B286="","EKSİK","TAM"))</f>
        <v/>
      </c>
    </row>
    <row r="287">
      <c r="F287" s="31">
        <f>IF($A287="","",IF($B287="","EKSİK","TAM"))</f>
        <v/>
      </c>
    </row>
    <row r="288">
      <c r="F288" s="31">
        <f>IF($A288="","",IF($B288="","EKSİK","TAM"))</f>
        <v/>
      </c>
    </row>
    <row r="289">
      <c r="F289" s="31">
        <f>IF($A289="","",IF($B289="","EKSİK","TAM"))</f>
        <v/>
      </c>
    </row>
    <row r="290">
      <c r="F290" s="31">
        <f>IF($A290="","",IF($B290="","EKSİK","TAM"))</f>
        <v/>
      </c>
    </row>
    <row r="291">
      <c r="F291" s="31">
        <f>IF($A291="","",IF($B291="","EKSİK","TAM"))</f>
        <v/>
      </c>
    </row>
    <row r="292">
      <c r="F292" s="31">
        <f>IF($A292="","",IF($B292="","EKSİK","TAM"))</f>
        <v/>
      </c>
    </row>
    <row r="293">
      <c r="F293" s="31">
        <f>IF($A293="","",IF($B293="","EKSİK","TAM"))</f>
        <v/>
      </c>
    </row>
    <row r="294">
      <c r="F294" s="31">
        <f>IF($A294="","",IF($B294="","EKSİK","TAM"))</f>
        <v/>
      </c>
    </row>
    <row r="295">
      <c r="F295" s="31">
        <f>IF($A295="","",IF($B295="","EKSİK","TAM"))</f>
        <v/>
      </c>
    </row>
    <row r="296">
      <c r="F296" s="31">
        <f>IF($A296="","",IF($B296="","EKSİK","TAM"))</f>
        <v/>
      </c>
    </row>
    <row r="297">
      <c r="F297" s="31">
        <f>IF($A297="","",IF($B297="","EKSİK","TAM"))</f>
        <v/>
      </c>
    </row>
    <row r="298">
      <c r="F298" s="31">
        <f>IF($A298="","",IF($B298="","EKSİK","TAM"))</f>
        <v/>
      </c>
    </row>
    <row r="299">
      <c r="F299" s="31">
        <f>IF($A299="","",IF($B299="","EKSİK","TAM"))</f>
        <v/>
      </c>
    </row>
    <row r="300">
      <c r="F300" s="31">
        <f>IF($A300="","",IF($B300="","EKSİK","TAM"))</f>
        <v/>
      </c>
    </row>
    <row r="301">
      <c r="F301" s="31">
        <f>IF($A301="","",IF($B301="","EKSİK","TAM"))</f>
        <v/>
      </c>
    </row>
    <row r="302">
      <c r="F302" s="31">
        <f>IF($A302="","",IF($B302="","EKSİK","TAM"))</f>
        <v/>
      </c>
    </row>
    <row r="303">
      <c r="F303" s="31">
        <f>IF($A303="","",IF($B303="","EKSİK","TAM"))</f>
        <v/>
      </c>
    </row>
    <row r="304">
      <c r="F304" s="31">
        <f>IF($A304="","",IF($B304="","EKSİK","TAM"))</f>
        <v/>
      </c>
    </row>
    <row r="305">
      <c r="F305" s="31">
        <f>IF($A305="","",IF($B305="","EKSİK","TAM"))</f>
        <v/>
      </c>
    </row>
    <row r="306">
      <c r="F306" s="31">
        <f>IF($A306="","",IF($B306="","EKSİK","TAM"))</f>
        <v/>
      </c>
    </row>
    <row r="307">
      <c r="F307" s="31">
        <f>IF($A307="","",IF($B307="","EKSİK","TAM"))</f>
        <v/>
      </c>
    </row>
    <row r="308">
      <c r="F308" s="31">
        <f>IF($A308="","",IF($B308="","EKSİK","TAM"))</f>
        <v/>
      </c>
    </row>
    <row r="309">
      <c r="F309" s="31">
        <f>IF($A309="","",IF($B309="","EKSİK","TAM"))</f>
        <v/>
      </c>
    </row>
    <row r="310">
      <c r="F310" s="31">
        <f>IF($A310="","",IF($B310="","EKSİK","TAM"))</f>
        <v/>
      </c>
    </row>
    <row r="311">
      <c r="F311" s="31">
        <f>IF($A311="","",IF($B311="","EKSİK","TAM"))</f>
        <v/>
      </c>
    </row>
    <row r="312">
      <c r="F312" s="31">
        <f>IF($A312="","",IF($B312="","EKSİK","TAM"))</f>
        <v/>
      </c>
    </row>
    <row r="313">
      <c r="F313" s="31">
        <f>IF($A313="","",IF($B313="","EKSİK","TAM"))</f>
        <v/>
      </c>
    </row>
    <row r="314">
      <c r="F314" s="31">
        <f>IF($A314="","",IF($B314="","EKSİK","TAM"))</f>
        <v/>
      </c>
    </row>
    <row r="315">
      <c r="F315" s="31">
        <f>IF($A315="","",IF($B315="","EKSİK","TAM"))</f>
        <v/>
      </c>
    </row>
    <row r="316">
      <c r="F316" s="31">
        <f>IF($A316="","",IF($B316="","EKSİK","TAM"))</f>
        <v/>
      </c>
    </row>
    <row r="317">
      <c r="F317" s="31">
        <f>IF($A317="","",IF($B317="","EKSİK","TAM"))</f>
        <v/>
      </c>
    </row>
    <row r="318">
      <c r="F318" s="31">
        <f>IF($A318="","",IF($B318="","EKSİK","TAM"))</f>
        <v/>
      </c>
    </row>
    <row r="319">
      <c r="F319" s="31">
        <f>IF($A319="","",IF($B319="","EKSİK","TAM"))</f>
        <v/>
      </c>
    </row>
    <row r="320">
      <c r="F320" s="31">
        <f>IF($A320="","",IF($B320="","EKSİK","TAM"))</f>
        <v/>
      </c>
    </row>
    <row r="321">
      <c r="F321" s="31">
        <f>IF($A321="","",IF($B321="","EKSİK","TAM"))</f>
        <v/>
      </c>
    </row>
    <row r="322">
      <c r="F322" s="31">
        <f>IF($A322="","",IF($B322="","EKSİK","TAM"))</f>
        <v/>
      </c>
    </row>
    <row r="323">
      <c r="F323" s="31">
        <f>IF($A323="","",IF($B323="","EKSİK","TAM"))</f>
        <v/>
      </c>
    </row>
    <row r="324">
      <c r="F324" s="31">
        <f>IF($A324="","",IF($B324="","EKSİK","TAM"))</f>
        <v/>
      </c>
    </row>
    <row r="325">
      <c r="F325" s="31">
        <f>IF($A325="","",IF($B325="","EKSİK","TAM"))</f>
        <v/>
      </c>
    </row>
    <row r="326">
      <c r="F326" s="31">
        <f>IF($A326="","",IF($B326="","EKSİK","TAM"))</f>
        <v/>
      </c>
    </row>
    <row r="327">
      <c r="F327" s="31">
        <f>IF($A327="","",IF($B327="","EKSİK","TAM"))</f>
        <v/>
      </c>
    </row>
    <row r="328">
      <c r="F328" s="31">
        <f>IF($A328="","",IF($B328="","EKSİK","TAM"))</f>
        <v/>
      </c>
    </row>
    <row r="329">
      <c r="F329" s="31">
        <f>IF($A329="","",IF($B329="","EKSİK","TAM"))</f>
        <v/>
      </c>
    </row>
    <row r="330">
      <c r="F330" s="31">
        <f>IF($A330="","",IF($B330="","EKSİK","TAM"))</f>
        <v/>
      </c>
    </row>
    <row r="331">
      <c r="F331" s="31">
        <f>IF($A331="","",IF($B331="","EKSİK","TAM"))</f>
        <v/>
      </c>
    </row>
    <row r="332">
      <c r="F332" s="31">
        <f>IF($A332="","",IF($B332="","EKSİK","TAM"))</f>
        <v/>
      </c>
    </row>
    <row r="333">
      <c r="F333" s="31">
        <f>IF($A333="","",IF($B333="","EKSİK","TAM"))</f>
        <v/>
      </c>
    </row>
    <row r="334">
      <c r="F334" s="31">
        <f>IF($A334="","",IF($B334="","EKSİK","TAM"))</f>
        <v/>
      </c>
    </row>
    <row r="335">
      <c r="F335" s="31">
        <f>IF($A335="","",IF($B335="","EKSİK","TAM"))</f>
        <v/>
      </c>
    </row>
    <row r="336">
      <c r="F336" s="31">
        <f>IF($A336="","",IF($B336="","EKSİK","TAM"))</f>
        <v/>
      </c>
    </row>
    <row r="337">
      <c r="F337" s="31">
        <f>IF($A337="","",IF($B337="","EKSİK","TAM"))</f>
        <v/>
      </c>
    </row>
    <row r="338">
      <c r="F338" s="31">
        <f>IF($A338="","",IF($B338="","EKSİK","TAM"))</f>
        <v/>
      </c>
    </row>
    <row r="339">
      <c r="F339" s="31">
        <f>IF($A339="","",IF($B339="","EKSİK","TAM"))</f>
        <v/>
      </c>
    </row>
    <row r="340">
      <c r="F340" s="31">
        <f>IF($A340="","",IF($B340="","EKSİK","TAM"))</f>
        <v/>
      </c>
    </row>
    <row r="341">
      <c r="F341" s="31">
        <f>IF($A341="","",IF($B341="","EKSİK","TAM"))</f>
        <v/>
      </c>
    </row>
    <row r="342">
      <c r="F342" s="31">
        <f>IF($A342="","",IF($B342="","EKSİK","TAM"))</f>
        <v/>
      </c>
    </row>
    <row r="343">
      <c r="F343" s="31">
        <f>IF($A343="","",IF($B343="","EKSİK","TAM"))</f>
        <v/>
      </c>
    </row>
    <row r="344">
      <c r="F344" s="31">
        <f>IF($A344="","",IF($B344="","EKSİK","TAM"))</f>
        <v/>
      </c>
    </row>
    <row r="345">
      <c r="F345" s="31">
        <f>IF($A345="","",IF($B345="","EKSİK","TAM"))</f>
        <v/>
      </c>
    </row>
    <row r="346">
      <c r="F346" s="31">
        <f>IF($A346="","",IF($B346="","EKSİK","TAM"))</f>
        <v/>
      </c>
    </row>
    <row r="347">
      <c r="F347" s="31">
        <f>IF($A347="","",IF($B347="","EKSİK","TAM"))</f>
        <v/>
      </c>
    </row>
    <row r="348">
      <c r="F348" s="31">
        <f>IF($A348="","",IF($B348="","EKSİK","TAM"))</f>
        <v/>
      </c>
    </row>
    <row r="349">
      <c r="F349" s="31">
        <f>IF($A349="","",IF($B349="","EKSİK","TAM"))</f>
        <v/>
      </c>
    </row>
    <row r="350">
      <c r="F350" s="31">
        <f>IF($A350="","",IF($B350="","EKSİK","TAM"))</f>
        <v/>
      </c>
    </row>
    <row r="351">
      <c r="F351" s="31">
        <f>IF($A351="","",IF($B351="","EKSİK","TAM"))</f>
        <v/>
      </c>
    </row>
    <row r="352">
      <c r="F352" s="31">
        <f>IF($A352="","",IF($B352="","EKSİK","TAM"))</f>
        <v/>
      </c>
    </row>
    <row r="353">
      <c r="F353" s="31">
        <f>IF($A353="","",IF($B353="","EKSİK","TAM"))</f>
        <v/>
      </c>
    </row>
    <row r="354">
      <c r="F354" s="31">
        <f>IF($A354="","",IF($B354="","EKSİK","TAM"))</f>
        <v/>
      </c>
    </row>
    <row r="355">
      <c r="F355" s="31">
        <f>IF($A355="","",IF($B355="","EKSİK","TAM"))</f>
        <v/>
      </c>
    </row>
    <row r="356">
      <c r="F356" s="31">
        <f>IF($A356="","",IF($B356="","EKSİK","TAM"))</f>
        <v/>
      </c>
    </row>
    <row r="357">
      <c r="F357" s="31">
        <f>IF($A357="","",IF($B357="","EKSİK","TAM"))</f>
        <v/>
      </c>
    </row>
    <row r="358">
      <c r="F358" s="31">
        <f>IF($A358="","",IF($B358="","EKSİK","TAM"))</f>
        <v/>
      </c>
    </row>
    <row r="359">
      <c r="F359" s="31">
        <f>IF($A359="","",IF($B359="","EKSİK","TAM"))</f>
        <v/>
      </c>
    </row>
    <row r="360">
      <c r="F360" s="31">
        <f>IF($A360="","",IF($B360="","EKSİK","TAM"))</f>
        <v/>
      </c>
    </row>
    <row r="361">
      <c r="F361" s="31">
        <f>IF($A361="","",IF($B361="","EKSİK","TAM"))</f>
        <v/>
      </c>
    </row>
    <row r="362">
      <c r="F362" s="31">
        <f>IF($A362="","",IF($B362="","EKSİK","TAM"))</f>
        <v/>
      </c>
    </row>
    <row r="363">
      <c r="F363" s="31">
        <f>IF($A363="","",IF($B363="","EKSİK","TAM"))</f>
        <v/>
      </c>
    </row>
    <row r="364">
      <c r="F364" s="31">
        <f>IF($A364="","",IF($B364="","EKSİK","TAM"))</f>
        <v/>
      </c>
    </row>
    <row r="365">
      <c r="F365" s="31">
        <f>IF($A365="","",IF($B365="","EKSİK","TAM"))</f>
        <v/>
      </c>
    </row>
    <row r="366">
      <c r="F366" s="31">
        <f>IF($A366="","",IF($B366="","EKSİK","TAM"))</f>
        <v/>
      </c>
    </row>
    <row r="367">
      <c r="F367" s="31">
        <f>IF($A367="","",IF($B367="","EKSİK","TAM"))</f>
        <v/>
      </c>
    </row>
    <row r="368">
      <c r="F368" s="31">
        <f>IF($A368="","",IF($B368="","EKSİK","TAM"))</f>
        <v/>
      </c>
    </row>
    <row r="369">
      <c r="F369" s="31">
        <f>IF($A369="","",IF($B369="","EKSİK","TAM"))</f>
        <v/>
      </c>
    </row>
    <row r="370">
      <c r="F370" s="31">
        <f>IF($A370="","",IF($B370="","EKSİK","TAM"))</f>
        <v/>
      </c>
    </row>
    <row r="371">
      <c r="F371" s="31">
        <f>IF($A371="","",IF($B371="","EKSİK","TAM"))</f>
        <v/>
      </c>
    </row>
    <row r="372">
      <c r="F372" s="31">
        <f>IF($A372="","",IF($B372="","EKSİK","TAM"))</f>
        <v/>
      </c>
    </row>
    <row r="373">
      <c r="F373" s="31">
        <f>IF($A373="","",IF($B373="","EKSİK","TAM"))</f>
        <v/>
      </c>
    </row>
    <row r="374">
      <c r="F374" s="31">
        <f>IF($A374="","",IF($B374="","EKSİK","TAM"))</f>
        <v/>
      </c>
    </row>
    <row r="375">
      <c r="F375" s="31">
        <f>IF($A375="","",IF($B375="","EKSİK","TAM"))</f>
        <v/>
      </c>
    </row>
    <row r="376">
      <c r="F376" s="31">
        <f>IF($A376="","",IF($B376="","EKSİK","TAM"))</f>
        <v/>
      </c>
    </row>
    <row r="377">
      <c r="F377" s="31">
        <f>IF($A377="","",IF($B377="","EKSİK","TAM"))</f>
        <v/>
      </c>
    </row>
    <row r="378">
      <c r="F378" s="31">
        <f>IF($A378="","",IF($B378="","EKSİK","TAM"))</f>
        <v/>
      </c>
    </row>
    <row r="379">
      <c r="F379" s="31">
        <f>IF($A379="","",IF($B379="","EKSİK","TAM"))</f>
        <v/>
      </c>
    </row>
    <row r="380">
      <c r="F380" s="31">
        <f>IF($A380="","",IF($B380="","EKSİK","TAM"))</f>
        <v/>
      </c>
    </row>
    <row r="381">
      <c r="F381" s="31">
        <f>IF($A381="","",IF($B381="","EKSİK","TAM"))</f>
        <v/>
      </c>
    </row>
    <row r="382">
      <c r="F382" s="31">
        <f>IF($A382="","",IF($B382="","EKSİK","TAM"))</f>
        <v/>
      </c>
    </row>
    <row r="383">
      <c r="F383" s="31">
        <f>IF($A383="","",IF($B383="","EKSİK","TAM"))</f>
        <v/>
      </c>
    </row>
    <row r="384">
      <c r="F384" s="31">
        <f>IF($A384="","",IF($B384="","EKSİK","TAM"))</f>
        <v/>
      </c>
    </row>
    <row r="385">
      <c r="F385" s="31">
        <f>IF($A385="","",IF($B385="","EKSİK","TAM"))</f>
        <v/>
      </c>
    </row>
    <row r="386">
      <c r="F386" s="31">
        <f>IF($A386="","",IF($B386="","EKSİK","TAM"))</f>
        <v/>
      </c>
    </row>
    <row r="387">
      <c r="F387" s="31">
        <f>IF($A387="","",IF($B387="","EKSİK","TAM"))</f>
        <v/>
      </c>
    </row>
    <row r="388">
      <c r="F388" s="31">
        <f>IF($A388="","",IF($B388="","EKSİK","TAM"))</f>
        <v/>
      </c>
    </row>
    <row r="389">
      <c r="F389" s="31">
        <f>IF($A389="","",IF($B389="","EKSİK","TAM"))</f>
        <v/>
      </c>
    </row>
    <row r="390">
      <c r="F390" s="31">
        <f>IF($A390="","",IF($B390="","EKSİK","TAM"))</f>
        <v/>
      </c>
    </row>
    <row r="391">
      <c r="F391" s="31">
        <f>IF($A391="","",IF($B391="","EKSİK","TAM"))</f>
        <v/>
      </c>
    </row>
    <row r="392">
      <c r="F392" s="31">
        <f>IF($A392="","",IF($B392="","EKSİK","TAM"))</f>
        <v/>
      </c>
    </row>
    <row r="393">
      <c r="F393" s="31">
        <f>IF($A393="","",IF($B393="","EKSİK","TAM"))</f>
        <v/>
      </c>
    </row>
    <row r="394">
      <c r="F394" s="31">
        <f>IF($A394="","",IF($B394="","EKSİK","TAM"))</f>
        <v/>
      </c>
    </row>
    <row r="395">
      <c r="F395" s="31">
        <f>IF($A395="","",IF($B395="","EKSİK","TAM"))</f>
        <v/>
      </c>
    </row>
    <row r="396">
      <c r="F396" s="31">
        <f>IF($A396="","",IF($B396="","EKSİK","TAM"))</f>
        <v/>
      </c>
    </row>
    <row r="397">
      <c r="F397" s="31">
        <f>IF($A397="","",IF($B397="","EKSİK","TAM"))</f>
        <v/>
      </c>
    </row>
    <row r="398">
      <c r="F398" s="31">
        <f>IF($A398="","",IF($B398="","EKSİK","TAM"))</f>
        <v/>
      </c>
    </row>
    <row r="399">
      <c r="F399" s="31">
        <f>IF($A399="","",IF($B399="","EKSİK","TAM"))</f>
        <v/>
      </c>
    </row>
    <row r="400">
      <c r="F400" s="31">
        <f>IF($A400="","",IF($B400="","EKSİK","TAM"))</f>
        <v/>
      </c>
    </row>
    <row r="401">
      <c r="F401" s="31">
        <f>IF($A401="","",IF($B401="","EKSİK","TAM"))</f>
        <v/>
      </c>
    </row>
    <row r="402">
      <c r="F402" s="31">
        <f>IF($A402="","",IF($B402="","EKSİK","TAM"))</f>
        <v/>
      </c>
    </row>
    <row r="403">
      <c r="F403" s="31">
        <f>IF($A403="","",IF($B403="","EKSİK","TAM"))</f>
        <v/>
      </c>
    </row>
    <row r="404">
      <c r="F404" s="31">
        <f>IF($A404="","",IF($B404="","EKSİK","TAM"))</f>
        <v/>
      </c>
    </row>
    <row r="405">
      <c r="F405" s="31">
        <f>IF($A405="","",IF($B405="","EKSİK","TAM"))</f>
        <v/>
      </c>
    </row>
    <row r="406">
      <c r="F406" s="31">
        <f>IF($A406="","",IF($B406="","EKSİK","TAM"))</f>
        <v/>
      </c>
    </row>
    <row r="407">
      <c r="F407" s="31">
        <f>IF($A407="","",IF($B407="","EKSİK","TAM"))</f>
        <v/>
      </c>
    </row>
    <row r="408">
      <c r="F408" s="31">
        <f>IF($A408="","",IF($B408="","EKSİK","TAM"))</f>
        <v/>
      </c>
    </row>
    <row r="409">
      <c r="F409" s="31">
        <f>IF($A409="","",IF($B409="","EKSİK","TAM"))</f>
        <v/>
      </c>
    </row>
    <row r="410">
      <c r="F410" s="31">
        <f>IF($A410="","",IF($B410="","EKSİK","TAM"))</f>
        <v/>
      </c>
    </row>
    <row r="411">
      <c r="F411" s="31">
        <f>IF($A411="","",IF($B411="","EKSİK","TAM"))</f>
        <v/>
      </c>
    </row>
    <row r="412">
      <c r="F412" s="31">
        <f>IF($A412="","",IF($B412="","EKSİK","TAM"))</f>
        <v/>
      </c>
    </row>
    <row r="413">
      <c r="F413" s="31">
        <f>IF($A413="","",IF($B413="","EKSİK","TAM"))</f>
        <v/>
      </c>
    </row>
    <row r="414">
      <c r="F414" s="31">
        <f>IF($A414="","",IF($B414="","EKSİK","TAM"))</f>
        <v/>
      </c>
    </row>
    <row r="415">
      <c r="F415" s="31">
        <f>IF($A415="","",IF($B415="","EKSİK","TAM"))</f>
        <v/>
      </c>
    </row>
    <row r="416">
      <c r="F416" s="31">
        <f>IF($A416="","",IF($B416="","EKSİK","TAM"))</f>
        <v/>
      </c>
    </row>
    <row r="417">
      <c r="F417" s="31">
        <f>IF($A417="","",IF($B417="","EKSİK","TAM"))</f>
        <v/>
      </c>
    </row>
    <row r="418">
      <c r="F418" s="31">
        <f>IF($A418="","",IF($B418="","EKSİK","TAM"))</f>
        <v/>
      </c>
    </row>
    <row r="419">
      <c r="F419" s="31">
        <f>IF($A419="","",IF($B419="","EKSİK","TAM"))</f>
        <v/>
      </c>
    </row>
    <row r="420">
      <c r="F420" s="31">
        <f>IF($A420="","",IF($B420="","EKSİK","TAM"))</f>
        <v/>
      </c>
    </row>
    <row r="421">
      <c r="F421" s="31">
        <f>IF($A421="","",IF($B421="","EKSİK","TAM"))</f>
        <v/>
      </c>
    </row>
    <row r="422">
      <c r="F422" s="31">
        <f>IF($A422="","",IF($B422="","EKSİK","TAM"))</f>
        <v/>
      </c>
    </row>
    <row r="423">
      <c r="F423" s="31">
        <f>IF($A423="","",IF($B423="","EKSİK","TAM"))</f>
        <v/>
      </c>
    </row>
    <row r="424">
      <c r="F424" s="31">
        <f>IF($A424="","",IF($B424="","EKSİK","TAM"))</f>
        <v/>
      </c>
    </row>
    <row r="425">
      <c r="F425" s="31">
        <f>IF($A425="","",IF($B425="","EKSİK","TAM"))</f>
        <v/>
      </c>
    </row>
    <row r="426">
      <c r="F426" s="31">
        <f>IF($A426="","",IF($B426="","EKSİK","TAM"))</f>
        <v/>
      </c>
    </row>
    <row r="427">
      <c r="F427" s="31">
        <f>IF($A427="","",IF($B427="","EKSİK","TAM"))</f>
        <v/>
      </c>
    </row>
    <row r="428">
      <c r="F428" s="31">
        <f>IF($A428="","",IF($B428="","EKSİK","TAM"))</f>
        <v/>
      </c>
    </row>
    <row r="429">
      <c r="F429" s="31">
        <f>IF($A429="","",IF($B429="","EKSİK","TAM"))</f>
        <v/>
      </c>
    </row>
    <row r="430">
      <c r="F430" s="31">
        <f>IF($A430="","",IF($B430="","EKSİK","TAM"))</f>
        <v/>
      </c>
    </row>
    <row r="431">
      <c r="F431" s="31">
        <f>IF($A431="","",IF($B431="","EKSİK","TAM"))</f>
        <v/>
      </c>
    </row>
    <row r="432">
      <c r="F432" s="31">
        <f>IF($A432="","",IF($B432="","EKSİK","TAM"))</f>
        <v/>
      </c>
    </row>
    <row r="433">
      <c r="F433" s="31">
        <f>IF($A433="","",IF($B433="","EKSİK","TAM"))</f>
        <v/>
      </c>
    </row>
    <row r="434">
      <c r="F434" s="31">
        <f>IF($A434="","",IF($B434="","EKSİK","TAM"))</f>
        <v/>
      </c>
    </row>
    <row r="435">
      <c r="F435" s="31">
        <f>IF($A435="","",IF($B435="","EKSİK","TAM"))</f>
        <v/>
      </c>
    </row>
    <row r="436">
      <c r="F436" s="31">
        <f>IF($A436="","",IF($B436="","EKSİK","TAM"))</f>
        <v/>
      </c>
    </row>
    <row r="437">
      <c r="F437" s="31">
        <f>IF($A437="","",IF($B437="","EKSİK","TAM"))</f>
        <v/>
      </c>
    </row>
    <row r="438">
      <c r="F438" s="31">
        <f>IF($A438="","",IF($B438="","EKSİK","TAM"))</f>
        <v/>
      </c>
    </row>
    <row r="439">
      <c r="F439" s="31">
        <f>IF($A439="","",IF($B439="","EKSİK","TAM"))</f>
        <v/>
      </c>
    </row>
    <row r="440">
      <c r="F440" s="31">
        <f>IF($A440="","",IF($B440="","EKSİK","TAM"))</f>
        <v/>
      </c>
    </row>
    <row r="441">
      <c r="F441" s="31">
        <f>IF($A441="","",IF($B441="","EKSİK","TAM"))</f>
        <v/>
      </c>
    </row>
    <row r="442">
      <c r="F442" s="31">
        <f>IF($A442="","",IF($B442="","EKSİK","TAM"))</f>
        <v/>
      </c>
    </row>
    <row r="443">
      <c r="F443" s="31">
        <f>IF($A443="","",IF($B443="","EKSİK","TAM"))</f>
        <v/>
      </c>
    </row>
    <row r="444">
      <c r="F444" s="31">
        <f>IF($A444="","",IF($B444="","EKSİK","TAM"))</f>
        <v/>
      </c>
    </row>
    <row r="445">
      <c r="F445" s="31">
        <f>IF($A445="","",IF($B445="","EKSİK","TAM"))</f>
        <v/>
      </c>
    </row>
    <row r="446">
      <c r="F446" s="31">
        <f>IF($A446="","",IF($B446="","EKSİK","TAM"))</f>
        <v/>
      </c>
    </row>
    <row r="447">
      <c r="F447" s="31">
        <f>IF($A447="","",IF($B447="","EKSİK","TAM"))</f>
        <v/>
      </c>
    </row>
    <row r="448">
      <c r="F448" s="31">
        <f>IF($A448="","",IF($B448="","EKSİK","TAM"))</f>
        <v/>
      </c>
    </row>
    <row r="449">
      <c r="F449" s="31">
        <f>IF($A449="","",IF($B449="","EKSİK","TAM"))</f>
        <v/>
      </c>
    </row>
    <row r="450">
      <c r="F450" s="31">
        <f>IF($A450="","",IF($B450="","EKSİK","TAM"))</f>
        <v/>
      </c>
    </row>
    <row r="451">
      <c r="F451" s="31">
        <f>IF($A451="","",IF($B451="","EKSİK","TAM"))</f>
        <v/>
      </c>
    </row>
    <row r="452">
      <c r="F452" s="31">
        <f>IF($A452="","",IF($B452="","EKSİK","TAM"))</f>
        <v/>
      </c>
    </row>
    <row r="453">
      <c r="F453" s="31">
        <f>IF($A453="","",IF($B453="","EKSİK","TAM"))</f>
        <v/>
      </c>
    </row>
    <row r="454">
      <c r="F454" s="31">
        <f>IF($A454="","",IF($B454="","EKSİK","TAM"))</f>
        <v/>
      </c>
    </row>
    <row r="455">
      <c r="F455" s="31">
        <f>IF($A455="","",IF($B455="","EKSİK","TAM"))</f>
        <v/>
      </c>
    </row>
    <row r="456">
      <c r="F456" s="31">
        <f>IF($A456="","",IF($B456="","EKSİK","TAM"))</f>
        <v/>
      </c>
    </row>
    <row r="457">
      <c r="F457" s="31">
        <f>IF($A457="","",IF($B457="","EKSİK","TAM"))</f>
        <v/>
      </c>
    </row>
    <row r="458">
      <c r="F458" s="31">
        <f>IF($A458="","",IF($B458="","EKSİK","TAM"))</f>
        <v/>
      </c>
    </row>
    <row r="459">
      <c r="F459" s="31">
        <f>IF($A459="","",IF($B459="","EKSİK","TAM"))</f>
        <v/>
      </c>
    </row>
    <row r="460">
      <c r="F460" s="31">
        <f>IF($A460="","",IF($B460="","EKSİK","TAM"))</f>
        <v/>
      </c>
    </row>
    <row r="461">
      <c r="F461" s="31">
        <f>IF($A461="","",IF($B461="","EKSİK","TAM"))</f>
        <v/>
      </c>
    </row>
    <row r="462">
      <c r="F462" s="31">
        <f>IF($A462="","",IF($B462="","EKSİK","TAM"))</f>
        <v/>
      </c>
    </row>
    <row r="463">
      <c r="F463" s="31">
        <f>IF($A463="","",IF($B463="","EKSİK","TAM"))</f>
        <v/>
      </c>
    </row>
    <row r="464">
      <c r="F464" s="31">
        <f>IF($A464="","",IF($B464="","EKSİK","TAM"))</f>
        <v/>
      </c>
    </row>
    <row r="465">
      <c r="F465" s="31">
        <f>IF($A465="","",IF($B465="","EKSİK","TAM"))</f>
        <v/>
      </c>
    </row>
    <row r="466">
      <c r="F466" s="31">
        <f>IF($A466="","",IF($B466="","EKSİK","TAM"))</f>
        <v/>
      </c>
    </row>
    <row r="467">
      <c r="F467" s="31">
        <f>IF($A467="","",IF($B467="","EKSİK","TAM"))</f>
        <v/>
      </c>
    </row>
    <row r="468">
      <c r="F468" s="31">
        <f>IF($A468="","",IF($B468="","EKSİK","TAM"))</f>
        <v/>
      </c>
    </row>
    <row r="469">
      <c r="F469" s="31">
        <f>IF($A469="","",IF($B469="","EKSİK","TAM"))</f>
        <v/>
      </c>
    </row>
    <row r="470">
      <c r="F470" s="31">
        <f>IF($A470="","",IF($B470="","EKSİK","TAM"))</f>
        <v/>
      </c>
    </row>
    <row r="471">
      <c r="F471" s="31">
        <f>IF($A471="","",IF($B471="","EKSİK","TAM"))</f>
        <v/>
      </c>
    </row>
    <row r="472">
      <c r="F472" s="31">
        <f>IF($A472="","",IF($B472="","EKSİK","TAM"))</f>
        <v/>
      </c>
    </row>
    <row r="473">
      <c r="F473" s="31">
        <f>IF($A473="","",IF($B473="","EKSİK","TAM"))</f>
        <v/>
      </c>
    </row>
    <row r="474">
      <c r="F474" s="31">
        <f>IF($A474="","",IF($B474="","EKSİK","TAM"))</f>
        <v/>
      </c>
    </row>
    <row r="475">
      <c r="F475" s="31">
        <f>IF($A475="","",IF($B475="","EKSİK","TAM"))</f>
        <v/>
      </c>
    </row>
    <row r="476">
      <c r="F476" s="31">
        <f>IF($A476="","",IF($B476="","EKSİK","TAM"))</f>
        <v/>
      </c>
    </row>
    <row r="477">
      <c r="F477" s="31">
        <f>IF($A477="","",IF($B477="","EKSİK","TAM"))</f>
        <v/>
      </c>
    </row>
    <row r="478">
      <c r="F478" s="31">
        <f>IF($A478="","",IF($B478="","EKSİK","TAM"))</f>
        <v/>
      </c>
    </row>
    <row r="479">
      <c r="F479" s="31">
        <f>IF($A479="","",IF($B479="","EKSİK","TAM"))</f>
        <v/>
      </c>
    </row>
    <row r="480">
      <c r="F480" s="31">
        <f>IF($A480="","",IF($B480="","EKSİK","TAM"))</f>
        <v/>
      </c>
    </row>
    <row r="481">
      <c r="F481" s="31">
        <f>IF($A481="","",IF($B481="","EKSİK","TAM"))</f>
        <v/>
      </c>
    </row>
    <row r="482">
      <c r="F482" s="31">
        <f>IF($A482="","",IF($B482="","EKSİK","TAM"))</f>
        <v/>
      </c>
    </row>
    <row r="483">
      <c r="F483" s="31">
        <f>IF($A483="","",IF($B483="","EKSİK","TAM"))</f>
        <v/>
      </c>
    </row>
    <row r="484">
      <c r="F484" s="31">
        <f>IF($A484="","",IF($B484="","EKSİK","TAM"))</f>
        <v/>
      </c>
    </row>
    <row r="485">
      <c r="F485" s="31">
        <f>IF($A485="","",IF($B485="","EKSİK","TAM"))</f>
        <v/>
      </c>
    </row>
    <row r="486">
      <c r="F486" s="31">
        <f>IF($A486="","",IF($B486="","EKSİK","TAM"))</f>
        <v/>
      </c>
    </row>
    <row r="487">
      <c r="F487" s="31">
        <f>IF($A487="","",IF($B487="","EKSİK","TAM"))</f>
        <v/>
      </c>
    </row>
    <row r="488">
      <c r="F488" s="31">
        <f>IF($A488="","",IF($B488="","EKSİK","TAM"))</f>
        <v/>
      </c>
    </row>
    <row r="489">
      <c r="F489" s="31">
        <f>IF($A489="","",IF($B489="","EKSİK","TAM"))</f>
        <v/>
      </c>
    </row>
    <row r="490">
      <c r="F490" s="31">
        <f>IF($A490="","",IF($B490="","EKSİK","TAM"))</f>
        <v/>
      </c>
    </row>
    <row r="491">
      <c r="F491" s="31">
        <f>IF($A491="","",IF($B491="","EKSİK","TAM"))</f>
        <v/>
      </c>
    </row>
    <row r="492">
      <c r="F492" s="31">
        <f>IF($A492="","",IF($B492="","EKSİK","TAM"))</f>
        <v/>
      </c>
    </row>
    <row r="493">
      <c r="F493" s="31">
        <f>IF($A493="","",IF($B493="","EKSİK","TAM"))</f>
        <v/>
      </c>
    </row>
    <row r="494">
      <c r="F494" s="31">
        <f>IF($A494="","",IF($B494="","EKSİK","TAM"))</f>
        <v/>
      </c>
    </row>
    <row r="495">
      <c r="F495" s="31">
        <f>IF($A495="","",IF($B495="","EKSİK","TAM"))</f>
        <v/>
      </c>
    </row>
    <row r="496">
      <c r="F496" s="31">
        <f>IF($A496="","",IF($B496="","EKSİK","TAM"))</f>
        <v/>
      </c>
    </row>
    <row r="497">
      <c r="F497" s="31">
        <f>IF($A497="","",IF($B497="","EKSİK","TAM"))</f>
        <v/>
      </c>
    </row>
    <row r="498">
      <c r="F498" s="31">
        <f>IF($A498="","",IF($B498="","EKSİK","TAM"))</f>
        <v/>
      </c>
    </row>
    <row r="499">
      <c r="F499" s="31">
        <f>IF($A499="","",IF($B499="","EKSİK","TAM"))</f>
        <v/>
      </c>
    </row>
    <row r="500">
      <c r="F500" s="31">
        <f>IF($A500="","",IF($B500="","EKSİK","TAM"))</f>
        <v/>
      </c>
    </row>
    <row r="501">
      <c r="F501" s="31">
        <f>IF($A501="","",IF($B501="","EKSİK","TAM"))</f>
        <v/>
      </c>
    </row>
    <row r="502">
      <c r="F502" s="31">
        <f>IF($A502="","",IF($B502="","EKSİK","TAM"))</f>
        <v/>
      </c>
    </row>
    <row r="503">
      <c r="F503" s="31">
        <f>IF($A503="","",IF($B503="","EKSİK","TAM"))</f>
        <v/>
      </c>
    </row>
    <row r="504">
      <c r="F504" s="31">
        <f>IF($A504="","",IF($B504="","EKSİK","TAM"))</f>
        <v/>
      </c>
    </row>
    <row r="505">
      <c r="F505" s="31">
        <f>IF($A505="","",IF($B505="","EKSİK","TAM"))</f>
        <v/>
      </c>
    </row>
    <row r="506">
      <c r="F506" s="31">
        <f>IF($A506="","",IF($B506="","EKSİK","TAM"))</f>
        <v/>
      </c>
    </row>
    <row r="507">
      <c r="F507" s="31">
        <f>IF($A507="","",IF($B507="","EKSİK","TAM"))</f>
        <v/>
      </c>
    </row>
    <row r="508">
      <c r="F508" s="31">
        <f>IF($A508="","",IF($B508="","EKSİK","TAM"))</f>
        <v/>
      </c>
    </row>
    <row r="509">
      <c r="F509" s="31">
        <f>IF($A509="","",IF($B509="","EKSİK","TAM"))</f>
        <v/>
      </c>
    </row>
    <row r="510">
      <c r="F510" s="31">
        <f>IF($A510="","",IF($B510="","EKSİK","TAM"))</f>
        <v/>
      </c>
    </row>
    <row r="511">
      <c r="F511" s="31">
        <f>IF($A511="","",IF($B511="","EKSİK","TAM"))</f>
        <v/>
      </c>
    </row>
    <row r="512">
      <c r="F512" s="31">
        <f>IF($A512="","",IF($B512="","EKSİK","TAM"))</f>
        <v/>
      </c>
    </row>
    <row r="513">
      <c r="F513" s="31">
        <f>IF($A513="","",IF($B513="","EKSİK","TAM"))</f>
        <v/>
      </c>
    </row>
    <row r="514">
      <c r="F514" s="31">
        <f>IF($A514="","",IF($B514="","EKSİK","TAM"))</f>
        <v/>
      </c>
    </row>
    <row r="515">
      <c r="F515" s="31">
        <f>IF($A515="","",IF($B515="","EKSİK","TAM"))</f>
        <v/>
      </c>
    </row>
    <row r="516">
      <c r="F516" s="31">
        <f>IF($A516="","",IF($B516="","EKSİK","TAM"))</f>
        <v/>
      </c>
    </row>
    <row r="517">
      <c r="F517" s="31">
        <f>IF($A517="","",IF($B517="","EKSİK","TAM"))</f>
        <v/>
      </c>
    </row>
    <row r="518">
      <c r="F518" s="31">
        <f>IF($A518="","",IF($B518="","EKSİK","TAM"))</f>
        <v/>
      </c>
    </row>
    <row r="519">
      <c r="F519" s="31">
        <f>IF($A519="","",IF($B519="","EKSİK","TAM"))</f>
        <v/>
      </c>
    </row>
    <row r="520">
      <c r="F520" s="31">
        <f>IF($A520="","",IF($B520="","EKSİK","TAM"))</f>
        <v/>
      </c>
    </row>
    <row r="521">
      <c r="F521" s="31">
        <f>IF($A521="","",IF($B521="","EKSİK","TAM"))</f>
        <v/>
      </c>
    </row>
    <row r="522">
      <c r="F522" s="31">
        <f>IF($A522="","",IF($B522="","EKSİK","TAM"))</f>
        <v/>
      </c>
    </row>
    <row r="523">
      <c r="F523" s="31">
        <f>IF($A523="","",IF($B523="","EKSİK","TAM"))</f>
        <v/>
      </c>
    </row>
    <row r="524">
      <c r="F524" s="31">
        <f>IF($A524="","",IF($B524="","EKSİK","TAM"))</f>
        <v/>
      </c>
    </row>
    <row r="525">
      <c r="F525" s="31">
        <f>IF($A525="","",IF($B525="","EKSİK","TAM"))</f>
        <v/>
      </c>
    </row>
    <row r="526">
      <c r="F526" s="31">
        <f>IF($A526="","",IF($B526="","EKSİK","TAM"))</f>
        <v/>
      </c>
    </row>
    <row r="527">
      <c r="F527" s="31">
        <f>IF($A527="","",IF($B527="","EKSİK","TAM"))</f>
        <v/>
      </c>
    </row>
    <row r="528">
      <c r="F528" s="31">
        <f>IF($A528="","",IF($B528="","EKSİK","TAM"))</f>
        <v/>
      </c>
    </row>
    <row r="529">
      <c r="F529" s="31">
        <f>IF($A529="","",IF($B529="","EKSİK","TAM"))</f>
        <v/>
      </c>
    </row>
    <row r="530">
      <c r="F530" s="31">
        <f>IF($A530="","",IF($B530="","EKSİK","TAM"))</f>
        <v/>
      </c>
    </row>
    <row r="531">
      <c r="F531" s="31">
        <f>IF($A531="","",IF($B531="","EKSİK","TAM"))</f>
        <v/>
      </c>
    </row>
    <row r="532">
      <c r="F532" s="31">
        <f>IF($A532="","",IF($B532="","EKSİK","TAM"))</f>
        <v/>
      </c>
    </row>
    <row r="533">
      <c r="F533" s="31">
        <f>IF($A533="","",IF($B533="","EKSİK","TAM"))</f>
        <v/>
      </c>
    </row>
    <row r="534">
      <c r="F534" s="31">
        <f>IF($A534="","",IF($B534="","EKSİK","TAM"))</f>
        <v/>
      </c>
    </row>
    <row r="535">
      <c r="F535" s="31">
        <f>IF($A535="","",IF($B535="","EKSİK","TAM"))</f>
        <v/>
      </c>
    </row>
    <row r="536">
      <c r="F536" s="31">
        <f>IF($A536="","",IF($B536="","EKSİK","TAM"))</f>
        <v/>
      </c>
    </row>
    <row r="537">
      <c r="F537" s="31">
        <f>IF($A537="","",IF($B537="","EKSİK","TAM"))</f>
        <v/>
      </c>
    </row>
    <row r="538">
      <c r="F538" s="31">
        <f>IF($A538="","",IF($B538="","EKSİK","TAM"))</f>
        <v/>
      </c>
    </row>
    <row r="539">
      <c r="F539" s="31">
        <f>IF($A539="","",IF($B539="","EKSİK","TAM"))</f>
        <v/>
      </c>
    </row>
    <row r="540">
      <c r="F540" s="31">
        <f>IF($A540="","",IF($B540="","EKSİK","TAM"))</f>
        <v/>
      </c>
    </row>
    <row r="541">
      <c r="F541" s="31">
        <f>IF($A541="","",IF($B541="","EKSİK","TAM"))</f>
        <v/>
      </c>
    </row>
    <row r="542">
      <c r="F542" s="31">
        <f>IF($A542="","",IF($B542="","EKSİK","TAM"))</f>
        <v/>
      </c>
    </row>
    <row r="543">
      <c r="F543" s="31">
        <f>IF($A543="","",IF($B543="","EKSİK","TAM"))</f>
        <v/>
      </c>
    </row>
    <row r="544">
      <c r="F544" s="31">
        <f>IF($A544="","",IF($B544="","EKSİK","TAM"))</f>
        <v/>
      </c>
    </row>
    <row r="545">
      <c r="F545" s="31">
        <f>IF($A545="","",IF($B545="","EKSİK","TAM"))</f>
        <v/>
      </c>
    </row>
    <row r="546">
      <c r="F546" s="31">
        <f>IF($A546="","",IF($B546="","EKSİK","TAM"))</f>
        <v/>
      </c>
    </row>
    <row r="547">
      <c r="F547" s="31">
        <f>IF($A547="","",IF($B547="","EKSİK","TAM"))</f>
        <v/>
      </c>
    </row>
    <row r="548">
      <c r="F548" s="31">
        <f>IF($A548="","",IF($B548="","EKSİK","TAM"))</f>
        <v/>
      </c>
    </row>
    <row r="549">
      <c r="F549" s="31">
        <f>IF($A549="","",IF($B549="","EKSİK","TAM"))</f>
        <v/>
      </c>
    </row>
    <row r="550">
      <c r="F550" s="31">
        <f>IF($A550="","",IF($B550="","EKSİK","TAM"))</f>
        <v/>
      </c>
    </row>
    <row r="551">
      <c r="F551" s="31">
        <f>IF($A551="","",IF($B551="","EKSİK","TAM"))</f>
        <v/>
      </c>
    </row>
    <row r="552">
      <c r="F552" s="31">
        <f>IF($A552="","",IF($B552="","EKSİK","TAM"))</f>
        <v/>
      </c>
    </row>
    <row r="553">
      <c r="F553" s="31">
        <f>IF($A553="","",IF($B553="","EKSİK","TAM"))</f>
        <v/>
      </c>
    </row>
    <row r="554">
      <c r="F554" s="31">
        <f>IF($A554="","",IF($B554="","EKSİK","TAM"))</f>
        <v/>
      </c>
    </row>
    <row r="555">
      <c r="F555" s="31">
        <f>IF($A555="","",IF($B555="","EKSİK","TAM"))</f>
        <v/>
      </c>
    </row>
    <row r="556">
      <c r="F556" s="31">
        <f>IF($A556="","",IF($B556="","EKSİK","TAM"))</f>
        <v/>
      </c>
    </row>
    <row r="557">
      <c r="F557" s="31">
        <f>IF($A557="","",IF($B557="","EKSİK","TAM"))</f>
        <v/>
      </c>
    </row>
    <row r="558">
      <c r="F558" s="31">
        <f>IF($A558="","",IF($B558="","EKSİK","TAM"))</f>
        <v/>
      </c>
    </row>
    <row r="559">
      <c r="F559" s="31">
        <f>IF($A559="","",IF($B559="","EKSİK","TAM"))</f>
        <v/>
      </c>
    </row>
    <row r="560">
      <c r="F560" s="31">
        <f>IF($A560="","",IF($B560="","EKSİK","TAM"))</f>
        <v/>
      </c>
    </row>
    <row r="561">
      <c r="F561" s="31">
        <f>IF($A561="","",IF($B561="","EKSİK","TAM"))</f>
        <v/>
      </c>
    </row>
    <row r="562">
      <c r="F562" s="31">
        <f>IF($A562="","",IF($B562="","EKSİK","TAM"))</f>
        <v/>
      </c>
    </row>
    <row r="563">
      <c r="F563" s="31">
        <f>IF($A563="","",IF($B563="","EKSİK","TAM"))</f>
        <v/>
      </c>
    </row>
    <row r="564">
      <c r="F564" s="31">
        <f>IF($A564="","",IF($B564="","EKSİK","TAM"))</f>
        <v/>
      </c>
    </row>
    <row r="565">
      <c r="F565" s="31">
        <f>IF($A565="","",IF($B565="","EKSİK","TAM"))</f>
        <v/>
      </c>
    </row>
    <row r="566">
      <c r="F566" s="31">
        <f>IF($A566="","",IF($B566="","EKSİK","TAM"))</f>
        <v/>
      </c>
    </row>
    <row r="567">
      <c r="F567" s="31">
        <f>IF($A567="","",IF($B567="","EKSİK","TAM"))</f>
        <v/>
      </c>
    </row>
    <row r="568">
      <c r="F568" s="31">
        <f>IF($A568="","",IF($B568="","EKSİK","TAM"))</f>
        <v/>
      </c>
    </row>
    <row r="569">
      <c r="F569" s="31">
        <f>IF($A569="","",IF($B569="","EKSİK","TAM"))</f>
        <v/>
      </c>
    </row>
    <row r="570">
      <c r="F570" s="31">
        <f>IF($A570="","",IF($B570="","EKSİK","TAM"))</f>
        <v/>
      </c>
    </row>
    <row r="571">
      <c r="F571" s="31">
        <f>IF($A571="","",IF($B571="","EKSİK","TAM"))</f>
        <v/>
      </c>
    </row>
    <row r="572">
      <c r="F572" s="31">
        <f>IF($A572="","",IF($B572="","EKSİK","TAM"))</f>
        <v/>
      </c>
    </row>
    <row r="573">
      <c r="F573" s="31">
        <f>IF($A573="","",IF($B573="","EKSİK","TAM"))</f>
        <v/>
      </c>
    </row>
    <row r="574">
      <c r="F574" s="31">
        <f>IF($A574="","",IF($B574="","EKSİK","TAM"))</f>
        <v/>
      </c>
    </row>
    <row r="575">
      <c r="F575" s="31">
        <f>IF($A575="","",IF($B575="","EKSİK","TAM"))</f>
        <v/>
      </c>
    </row>
    <row r="576">
      <c r="F576" s="31">
        <f>IF($A576="","",IF($B576="","EKSİK","TAM"))</f>
        <v/>
      </c>
    </row>
    <row r="577">
      <c r="F577" s="31">
        <f>IF($A577="","",IF($B577="","EKSİK","TAM"))</f>
        <v/>
      </c>
    </row>
    <row r="578">
      <c r="F578" s="31">
        <f>IF($A578="","",IF($B578="","EKSİK","TAM"))</f>
        <v/>
      </c>
    </row>
    <row r="579">
      <c r="F579" s="31">
        <f>IF($A579="","",IF($B579="","EKSİK","TAM"))</f>
        <v/>
      </c>
    </row>
    <row r="580">
      <c r="F580" s="31">
        <f>IF($A580="","",IF($B580="","EKSİK","TAM"))</f>
        <v/>
      </c>
    </row>
    <row r="581">
      <c r="F581" s="31">
        <f>IF($A581="","",IF($B581="","EKSİK","TAM"))</f>
        <v/>
      </c>
    </row>
    <row r="582">
      <c r="F582" s="31">
        <f>IF($A582="","",IF($B582="","EKSİK","TAM"))</f>
        <v/>
      </c>
    </row>
    <row r="583">
      <c r="F583" s="31">
        <f>IF($A583="","",IF($B583="","EKSİK","TAM"))</f>
        <v/>
      </c>
    </row>
    <row r="584">
      <c r="F584" s="31">
        <f>IF($A584="","",IF($B584="","EKSİK","TAM"))</f>
        <v/>
      </c>
    </row>
    <row r="585">
      <c r="F585" s="31">
        <f>IF($A585="","",IF($B585="","EKSİK","TAM"))</f>
        <v/>
      </c>
    </row>
    <row r="586">
      <c r="F586" s="31">
        <f>IF($A586="","",IF($B586="","EKSİK","TAM"))</f>
        <v/>
      </c>
    </row>
    <row r="587">
      <c r="F587" s="31">
        <f>IF($A587="","",IF($B587="","EKSİK","TAM"))</f>
        <v/>
      </c>
    </row>
    <row r="588">
      <c r="F588" s="31">
        <f>IF($A588="","",IF($B588="","EKSİK","TAM"))</f>
        <v/>
      </c>
    </row>
    <row r="589">
      <c r="F589" s="31">
        <f>IF($A589="","",IF($B589="","EKSİK","TAM"))</f>
        <v/>
      </c>
    </row>
    <row r="590">
      <c r="F590" s="31">
        <f>IF($A590="","",IF($B590="","EKSİK","TAM"))</f>
        <v/>
      </c>
    </row>
    <row r="591">
      <c r="F591" s="31">
        <f>IF($A591="","",IF($B591="","EKSİK","TAM"))</f>
        <v/>
      </c>
    </row>
    <row r="592">
      <c r="F592" s="31">
        <f>IF($A592="","",IF($B592="","EKSİK","TAM"))</f>
        <v/>
      </c>
    </row>
    <row r="593">
      <c r="F593" s="31">
        <f>IF($A593="","",IF($B593="","EKSİK","TAM"))</f>
        <v/>
      </c>
    </row>
    <row r="594">
      <c r="F594" s="31">
        <f>IF($A594="","",IF($B594="","EKSİK","TAM"))</f>
        <v/>
      </c>
    </row>
    <row r="595">
      <c r="F595" s="31">
        <f>IF($A595="","",IF($B595="","EKSİK","TAM"))</f>
        <v/>
      </c>
    </row>
    <row r="596">
      <c r="F596" s="31">
        <f>IF($A596="","",IF($B596="","EKSİK","TAM"))</f>
        <v/>
      </c>
    </row>
    <row r="597">
      <c r="F597" s="31">
        <f>IF($A597="","",IF($B597="","EKSİK","TAM"))</f>
        <v/>
      </c>
    </row>
    <row r="598">
      <c r="F598" s="31">
        <f>IF($A598="","",IF($B598="","EKSİK","TAM"))</f>
        <v/>
      </c>
    </row>
    <row r="599">
      <c r="F599" s="31">
        <f>IF($A599="","",IF($B599="","EKSİK","TAM"))</f>
        <v/>
      </c>
    </row>
    <row r="600">
      <c r="F600" s="31">
        <f>IF($A600="","",IF($B600="","EKSİK","TAM"))</f>
        <v/>
      </c>
    </row>
    <row r="601">
      <c r="F601" s="31">
        <f>IF($A601="","",IF($B601="","EKSİK","TAM"))</f>
        <v/>
      </c>
    </row>
    <row r="602">
      <c r="F602" s="31">
        <f>IF($A602="","",IF($B602="","EKSİK","TAM"))</f>
        <v/>
      </c>
    </row>
    <row r="603">
      <c r="F603" s="31">
        <f>IF($A603="","",IF($B603="","EKSİK","TAM"))</f>
        <v/>
      </c>
    </row>
    <row r="604">
      <c r="F604" s="31">
        <f>IF($A604="","",IF($B604="","EKSİK","TAM"))</f>
        <v/>
      </c>
    </row>
    <row r="605">
      <c r="F605" s="31">
        <f>IF($A605="","",IF($B605="","EKSİK","TAM"))</f>
        <v/>
      </c>
    </row>
    <row r="606">
      <c r="F606" s="31">
        <f>IF($A606="","",IF($B606="","EKSİK","TAM"))</f>
        <v/>
      </c>
    </row>
    <row r="607">
      <c r="F607" s="31">
        <f>IF($A607="","",IF($B607="","EKSİK","TAM"))</f>
        <v/>
      </c>
    </row>
    <row r="608">
      <c r="F608" s="31">
        <f>IF($A608="","",IF($B608="","EKSİK","TAM"))</f>
        <v/>
      </c>
    </row>
    <row r="609">
      <c r="F609" s="31">
        <f>IF($A609="","",IF($B609="","EKSİK","TAM"))</f>
        <v/>
      </c>
    </row>
    <row r="610">
      <c r="F610" s="31">
        <f>IF($A610="","",IF($B610="","EKSİK","TAM"))</f>
        <v/>
      </c>
    </row>
    <row r="611">
      <c r="F611" s="31">
        <f>IF($A611="","",IF($B611="","EKSİK","TAM"))</f>
        <v/>
      </c>
    </row>
    <row r="612">
      <c r="F612" s="31">
        <f>IF($A612="","",IF($B612="","EKSİK","TAM"))</f>
        <v/>
      </c>
    </row>
    <row r="613">
      <c r="F613" s="31">
        <f>IF($A613="","",IF($B613="","EKSİK","TAM"))</f>
        <v/>
      </c>
    </row>
    <row r="614">
      <c r="F614" s="31">
        <f>IF($A614="","",IF($B614="","EKSİK","TAM"))</f>
        <v/>
      </c>
    </row>
    <row r="615">
      <c r="F615" s="31">
        <f>IF($A615="","",IF($B615="","EKSİK","TAM"))</f>
        <v/>
      </c>
    </row>
    <row r="616">
      <c r="F616" s="31">
        <f>IF($A616="","",IF($B616="","EKSİK","TAM"))</f>
        <v/>
      </c>
    </row>
    <row r="617">
      <c r="F617" s="31">
        <f>IF($A617="","",IF($B617="","EKSİK","TAM"))</f>
        <v/>
      </c>
    </row>
    <row r="618">
      <c r="F618" s="31">
        <f>IF($A618="","",IF($B618="","EKSİK","TAM"))</f>
        <v/>
      </c>
    </row>
    <row r="619">
      <c r="F619" s="31">
        <f>IF($A619="","",IF($B619="","EKSİK","TAM"))</f>
        <v/>
      </c>
    </row>
    <row r="620">
      <c r="F620" s="31">
        <f>IF($A620="","",IF($B620="","EKSİK","TAM"))</f>
        <v/>
      </c>
    </row>
    <row r="621">
      <c r="F621" s="31">
        <f>IF($A621="","",IF($B621="","EKSİK","TAM"))</f>
        <v/>
      </c>
    </row>
    <row r="622">
      <c r="F622" s="31">
        <f>IF($A622="","",IF($B622="","EKSİK","TAM"))</f>
        <v/>
      </c>
    </row>
    <row r="623">
      <c r="F623" s="31">
        <f>IF($A623="","",IF($B623="","EKSİK","TAM"))</f>
        <v/>
      </c>
    </row>
    <row r="624">
      <c r="F624" s="31">
        <f>IF($A624="","",IF($B624="","EKSİK","TAM"))</f>
        <v/>
      </c>
    </row>
    <row r="625">
      <c r="F625" s="31">
        <f>IF($A625="","",IF($B625="","EKSİK","TAM"))</f>
        <v/>
      </c>
    </row>
    <row r="626">
      <c r="F626" s="31">
        <f>IF($A626="","",IF($B626="","EKSİK","TAM"))</f>
        <v/>
      </c>
    </row>
    <row r="627">
      <c r="F627" s="31">
        <f>IF($A627="","",IF($B627="","EKSİK","TAM"))</f>
        <v/>
      </c>
    </row>
    <row r="628">
      <c r="F628" s="31">
        <f>IF($A628="","",IF($B628="","EKSİK","TAM"))</f>
        <v/>
      </c>
    </row>
    <row r="629">
      <c r="F629" s="31">
        <f>IF($A629="","",IF($B629="","EKSİK","TAM"))</f>
        <v/>
      </c>
    </row>
    <row r="630">
      <c r="F630" s="31">
        <f>IF($A630="","",IF($B630="","EKSİK","TAM"))</f>
        <v/>
      </c>
    </row>
    <row r="631">
      <c r="F631" s="31">
        <f>IF($A631="","",IF($B631="","EKSİK","TAM"))</f>
        <v/>
      </c>
    </row>
    <row r="632">
      <c r="F632" s="31">
        <f>IF($A632="","",IF($B632="","EKSİK","TAM"))</f>
        <v/>
      </c>
    </row>
    <row r="633">
      <c r="F633" s="31">
        <f>IF($A633="","",IF($B633="","EKSİK","TAM"))</f>
        <v/>
      </c>
    </row>
    <row r="634">
      <c r="F634" s="31">
        <f>IF($A634="","",IF($B634="","EKSİK","TAM"))</f>
        <v/>
      </c>
    </row>
    <row r="635">
      <c r="F635" s="31">
        <f>IF($A635="","",IF($B635="","EKSİK","TAM"))</f>
        <v/>
      </c>
    </row>
    <row r="636">
      <c r="F636" s="31">
        <f>IF($A636="","",IF($B636="","EKSİK","TAM"))</f>
        <v/>
      </c>
    </row>
    <row r="637">
      <c r="F637" s="31">
        <f>IF($A637="","",IF($B637="","EKSİK","TAM"))</f>
        <v/>
      </c>
    </row>
    <row r="638">
      <c r="F638" s="31">
        <f>IF($A638="","",IF($B638="","EKSİK","TAM"))</f>
        <v/>
      </c>
    </row>
    <row r="639">
      <c r="F639" s="31">
        <f>IF($A639="","",IF($B639="","EKSİK","TAM"))</f>
        <v/>
      </c>
    </row>
    <row r="640">
      <c r="F640" s="31">
        <f>IF($A640="","",IF($B640="","EKSİK","TAM"))</f>
        <v/>
      </c>
    </row>
    <row r="641">
      <c r="F641" s="31">
        <f>IF($A641="","",IF($B641="","EKSİK","TAM"))</f>
        <v/>
      </c>
    </row>
    <row r="642">
      <c r="F642" s="31">
        <f>IF($A642="","",IF($B642="","EKSİK","TAM"))</f>
        <v/>
      </c>
    </row>
    <row r="643">
      <c r="F643" s="31">
        <f>IF($A643="","",IF($B643="","EKSİK","TAM"))</f>
        <v/>
      </c>
    </row>
    <row r="644">
      <c r="F644" s="31">
        <f>IF($A644="","",IF($B644="","EKSİK","TAM"))</f>
        <v/>
      </c>
    </row>
    <row r="645">
      <c r="F645" s="31">
        <f>IF($A645="","",IF($B645="","EKSİK","TAM"))</f>
        <v/>
      </c>
    </row>
    <row r="646">
      <c r="F646" s="31">
        <f>IF($A646="","",IF($B646="","EKSİK","TAM"))</f>
        <v/>
      </c>
    </row>
    <row r="647">
      <c r="F647" s="31">
        <f>IF($A647="","",IF($B647="","EKSİK","TAM"))</f>
        <v/>
      </c>
    </row>
    <row r="648">
      <c r="F648" s="31">
        <f>IF($A648="","",IF($B648="","EKSİK","TAM"))</f>
        <v/>
      </c>
    </row>
    <row r="649">
      <c r="F649" s="31">
        <f>IF($A649="","",IF($B649="","EKSİK","TAM"))</f>
        <v/>
      </c>
    </row>
    <row r="650">
      <c r="F650" s="31">
        <f>IF($A650="","",IF($B650="","EKSİK","TAM"))</f>
        <v/>
      </c>
    </row>
    <row r="651">
      <c r="F651" s="31">
        <f>IF($A651="","",IF($B651="","EKSİK","TAM"))</f>
        <v/>
      </c>
    </row>
    <row r="652">
      <c r="F652" s="31">
        <f>IF($A652="","",IF($B652="","EKSİK","TAM"))</f>
        <v/>
      </c>
    </row>
    <row r="653">
      <c r="F653" s="31">
        <f>IF($A653="","",IF($B653="","EKSİK","TAM"))</f>
        <v/>
      </c>
    </row>
    <row r="654">
      <c r="F654" s="31">
        <f>IF($A654="","",IF($B654="","EKSİK","TAM"))</f>
        <v/>
      </c>
    </row>
    <row r="655">
      <c r="F655" s="31">
        <f>IF($A655="","",IF($B655="","EKSİK","TAM"))</f>
        <v/>
      </c>
    </row>
    <row r="656">
      <c r="F656" s="31">
        <f>IF($A656="","",IF($B656="","EKSİK","TAM"))</f>
        <v/>
      </c>
    </row>
    <row r="657">
      <c r="F657" s="31">
        <f>IF($A657="","",IF($B657="","EKSİK","TAM"))</f>
        <v/>
      </c>
    </row>
    <row r="658">
      <c r="F658" s="31">
        <f>IF($A658="","",IF($B658="","EKSİK","TAM"))</f>
        <v/>
      </c>
    </row>
    <row r="659">
      <c r="F659" s="31">
        <f>IF($A659="","",IF($B659="","EKSİK","TAM"))</f>
        <v/>
      </c>
    </row>
    <row r="660">
      <c r="F660" s="31">
        <f>IF($A660="","",IF($B660="","EKSİK","TAM"))</f>
        <v/>
      </c>
    </row>
    <row r="661">
      <c r="F661" s="31">
        <f>IF($A661="","",IF($B661="","EKSİK","TAM"))</f>
        <v/>
      </c>
    </row>
    <row r="662">
      <c r="F662" s="31">
        <f>IF($A662="","",IF($B662="","EKSİK","TAM"))</f>
        <v/>
      </c>
    </row>
    <row r="663">
      <c r="F663" s="31">
        <f>IF($A663="","",IF($B663="","EKSİK","TAM"))</f>
        <v/>
      </c>
    </row>
    <row r="664">
      <c r="F664" s="31">
        <f>IF($A664="","",IF($B664="","EKSİK","TAM"))</f>
        <v/>
      </c>
    </row>
    <row r="665">
      <c r="F665" s="31">
        <f>IF($A665="","",IF($B665="","EKSİK","TAM"))</f>
        <v/>
      </c>
    </row>
    <row r="666">
      <c r="F666" s="31">
        <f>IF($A666="","",IF($B666="","EKSİK","TAM"))</f>
        <v/>
      </c>
    </row>
    <row r="667">
      <c r="F667" s="31">
        <f>IF($A667="","",IF($B667="","EKSİK","TAM"))</f>
        <v/>
      </c>
    </row>
    <row r="668">
      <c r="F668" s="31">
        <f>IF($A668="","",IF($B668="","EKSİK","TAM"))</f>
        <v/>
      </c>
    </row>
    <row r="669">
      <c r="F669" s="31">
        <f>IF($A669="","",IF($B669="","EKSİK","TAM"))</f>
        <v/>
      </c>
    </row>
    <row r="670">
      <c r="F670" s="31">
        <f>IF($A670="","",IF($B670="","EKSİK","TAM"))</f>
        <v/>
      </c>
    </row>
    <row r="671">
      <c r="F671" s="31">
        <f>IF($A671="","",IF($B671="","EKSİK","TAM"))</f>
        <v/>
      </c>
    </row>
    <row r="672">
      <c r="F672" s="31">
        <f>IF($A672="","",IF($B672="","EKSİK","TAM"))</f>
        <v/>
      </c>
    </row>
    <row r="673">
      <c r="F673" s="31">
        <f>IF($A673="","",IF($B673="","EKSİK","TAM"))</f>
        <v/>
      </c>
    </row>
    <row r="674">
      <c r="F674" s="31">
        <f>IF($A674="","",IF($B674="","EKSİK","TAM"))</f>
        <v/>
      </c>
    </row>
    <row r="675">
      <c r="F675" s="31">
        <f>IF($A675="","",IF($B675="","EKSİK","TAM"))</f>
        <v/>
      </c>
    </row>
    <row r="676">
      <c r="F676" s="31">
        <f>IF($A676="","",IF($B676="","EKSİK","TAM"))</f>
        <v/>
      </c>
    </row>
    <row r="677">
      <c r="F677" s="31">
        <f>IF($A677="","",IF($B677="","EKSİK","TAM"))</f>
        <v/>
      </c>
    </row>
    <row r="678">
      <c r="F678" s="31">
        <f>IF($A678="","",IF($B678="","EKSİK","TAM"))</f>
        <v/>
      </c>
    </row>
    <row r="679">
      <c r="F679" s="31">
        <f>IF($A679="","",IF($B679="","EKSİK","TAM"))</f>
        <v/>
      </c>
    </row>
    <row r="680">
      <c r="F680" s="31">
        <f>IF($A680="","",IF($B680="","EKSİK","TAM"))</f>
        <v/>
      </c>
    </row>
    <row r="681">
      <c r="F681" s="31">
        <f>IF($A681="","",IF($B681="","EKSİK","TAM"))</f>
        <v/>
      </c>
    </row>
    <row r="682">
      <c r="F682" s="31">
        <f>IF($A682="","",IF($B682="","EKSİK","TAM"))</f>
        <v/>
      </c>
    </row>
    <row r="683">
      <c r="F683" s="31">
        <f>IF($A683="","",IF($B683="","EKSİK","TAM"))</f>
        <v/>
      </c>
    </row>
    <row r="684">
      <c r="F684" s="31">
        <f>IF($A684="","",IF($B684="","EKSİK","TAM"))</f>
        <v/>
      </c>
    </row>
    <row r="685">
      <c r="F685" s="31">
        <f>IF($A685="","",IF($B685="","EKSİK","TAM"))</f>
        <v/>
      </c>
    </row>
    <row r="686">
      <c r="F686" s="31">
        <f>IF($A686="","",IF($B686="","EKSİK","TAM"))</f>
        <v/>
      </c>
    </row>
    <row r="687">
      <c r="F687" s="31">
        <f>IF($A687="","",IF($B687="","EKSİK","TAM"))</f>
        <v/>
      </c>
    </row>
    <row r="688">
      <c r="F688" s="31">
        <f>IF($A688="","",IF($B688="","EKSİK","TAM"))</f>
        <v/>
      </c>
    </row>
    <row r="689">
      <c r="F689" s="31">
        <f>IF($A689="","",IF($B689="","EKSİK","TAM"))</f>
        <v/>
      </c>
    </row>
    <row r="690">
      <c r="F690" s="31">
        <f>IF($A690="","",IF($B690="","EKSİK","TAM"))</f>
        <v/>
      </c>
    </row>
    <row r="691">
      <c r="F691" s="31">
        <f>IF($A691="","",IF($B691="","EKSİK","TAM"))</f>
        <v/>
      </c>
    </row>
    <row r="692">
      <c r="F692" s="31">
        <f>IF($A692="","",IF($B692="","EKSİK","TAM"))</f>
        <v/>
      </c>
    </row>
    <row r="693">
      <c r="F693" s="31">
        <f>IF($A693="","",IF($B693="","EKSİK","TAM"))</f>
        <v/>
      </c>
    </row>
    <row r="694">
      <c r="F694" s="31">
        <f>IF($A694="","",IF($B694="","EKSİK","TAM"))</f>
        <v/>
      </c>
    </row>
    <row r="695">
      <c r="F695" s="31">
        <f>IF($A695="","",IF($B695="","EKSİK","TAM"))</f>
        <v/>
      </c>
    </row>
    <row r="696">
      <c r="F696" s="31">
        <f>IF($A696="","",IF($B696="","EKSİK","TAM"))</f>
        <v/>
      </c>
    </row>
    <row r="697">
      <c r="F697" s="31">
        <f>IF($A697="","",IF($B697="","EKSİK","TAM"))</f>
        <v/>
      </c>
    </row>
    <row r="698">
      <c r="F698" s="31">
        <f>IF($A698="","",IF($B698="","EKSİK","TAM"))</f>
        <v/>
      </c>
    </row>
    <row r="699">
      <c r="F699" s="31">
        <f>IF($A699="","",IF($B699="","EKSİK","TAM"))</f>
        <v/>
      </c>
    </row>
    <row r="700">
      <c r="F700" s="31">
        <f>IF($A700="","",IF($B700="","EKSİK","TAM"))</f>
        <v/>
      </c>
    </row>
    <row r="701">
      <c r="F701" s="31">
        <f>IF($A701="","",IF($B701="","EKSİK","TAM"))</f>
        <v/>
      </c>
    </row>
    <row r="702">
      <c r="F702" s="31">
        <f>IF($A702="","",IF($B702="","EKSİK","TAM"))</f>
        <v/>
      </c>
    </row>
    <row r="703">
      <c r="F703" s="31">
        <f>IF($A703="","",IF($B703="","EKSİK","TAM"))</f>
        <v/>
      </c>
    </row>
    <row r="704">
      <c r="F704" s="31">
        <f>IF($A704="","",IF($B704="","EKSİK","TAM"))</f>
        <v/>
      </c>
    </row>
    <row r="705">
      <c r="F705" s="31">
        <f>IF($A705="","",IF($B705="","EKSİK","TAM"))</f>
        <v/>
      </c>
    </row>
    <row r="706">
      <c r="F706" s="31">
        <f>IF($A706="","",IF($B706="","EKSİK","TAM"))</f>
        <v/>
      </c>
    </row>
    <row r="707">
      <c r="F707" s="31">
        <f>IF($A707="","",IF($B707="","EKSİK","TAM"))</f>
        <v/>
      </c>
    </row>
    <row r="708">
      <c r="F708" s="31">
        <f>IF($A708="","",IF($B708="","EKSİK","TAM"))</f>
        <v/>
      </c>
    </row>
    <row r="709">
      <c r="F709" s="31">
        <f>IF($A709="","",IF($B709="","EKSİK","TAM"))</f>
        <v/>
      </c>
    </row>
    <row r="710">
      <c r="F710" s="31">
        <f>IF($A710="","",IF($B710="","EKSİK","TAM"))</f>
        <v/>
      </c>
    </row>
    <row r="711">
      <c r="F711" s="31">
        <f>IF($A711="","",IF($B711="","EKSİK","TAM"))</f>
        <v/>
      </c>
    </row>
    <row r="712">
      <c r="F712" s="31">
        <f>IF($A712="","",IF($B712="","EKSİK","TAM"))</f>
        <v/>
      </c>
    </row>
    <row r="713">
      <c r="F713" s="31">
        <f>IF($A713="","",IF($B713="","EKSİK","TAM"))</f>
        <v/>
      </c>
    </row>
    <row r="714">
      <c r="F714" s="31">
        <f>IF($A714="","",IF($B714="","EKSİK","TAM"))</f>
        <v/>
      </c>
    </row>
    <row r="715">
      <c r="F715" s="31">
        <f>IF($A715="","",IF($B715="","EKSİK","TAM"))</f>
        <v/>
      </c>
    </row>
    <row r="716">
      <c r="F716" s="31">
        <f>IF($A716="","",IF($B716="","EKSİK","TAM"))</f>
        <v/>
      </c>
    </row>
    <row r="717">
      <c r="F717" s="31">
        <f>IF($A717="","",IF($B717="","EKSİK","TAM"))</f>
        <v/>
      </c>
    </row>
    <row r="718">
      <c r="F718" s="31">
        <f>IF($A718="","",IF($B718="","EKSİK","TAM"))</f>
        <v/>
      </c>
    </row>
    <row r="719">
      <c r="F719" s="31">
        <f>IF($A719="","",IF($B719="","EKSİK","TAM"))</f>
        <v/>
      </c>
    </row>
    <row r="720">
      <c r="F720" s="31">
        <f>IF($A720="","",IF($B720="","EKSİK","TAM"))</f>
        <v/>
      </c>
    </row>
    <row r="721">
      <c r="F721" s="31">
        <f>IF($A721="","",IF($B721="","EKSİK","TAM"))</f>
        <v/>
      </c>
    </row>
    <row r="722">
      <c r="F722" s="31">
        <f>IF($A722="","",IF($B722="","EKSİK","TAM"))</f>
        <v/>
      </c>
    </row>
    <row r="723">
      <c r="F723" s="31">
        <f>IF($A723="","",IF($B723="","EKSİK","TAM"))</f>
        <v/>
      </c>
    </row>
    <row r="724">
      <c r="F724" s="31">
        <f>IF($A724="","",IF($B724="","EKSİK","TAM"))</f>
        <v/>
      </c>
    </row>
    <row r="725">
      <c r="F725" s="31">
        <f>IF($A725="","",IF($B725="","EKSİK","TAM"))</f>
        <v/>
      </c>
    </row>
    <row r="726">
      <c r="F726" s="31">
        <f>IF($A726="","",IF($B726="","EKSİK","TAM"))</f>
        <v/>
      </c>
    </row>
    <row r="727">
      <c r="F727" s="31">
        <f>IF($A727="","",IF($B727="","EKSİK","TAM"))</f>
        <v/>
      </c>
    </row>
    <row r="728">
      <c r="F728" s="31">
        <f>IF($A728="","",IF($B728="","EKSİK","TAM"))</f>
        <v/>
      </c>
    </row>
    <row r="729">
      <c r="F729" s="31">
        <f>IF($A729="","",IF($B729="","EKSİK","TAM"))</f>
        <v/>
      </c>
    </row>
    <row r="730">
      <c r="F730" s="31">
        <f>IF($A730="","",IF($B730="","EKSİK","TAM"))</f>
        <v/>
      </c>
    </row>
    <row r="731">
      <c r="F731" s="31">
        <f>IF($A731="","",IF($B731="","EKSİK","TAM"))</f>
        <v/>
      </c>
    </row>
    <row r="732">
      <c r="F732" s="31">
        <f>IF($A732="","",IF($B732="","EKSİK","TAM"))</f>
        <v/>
      </c>
    </row>
    <row r="733">
      <c r="F733" s="31">
        <f>IF($A733="","",IF($B733="","EKSİK","TAM"))</f>
        <v/>
      </c>
    </row>
    <row r="734">
      <c r="F734" s="31">
        <f>IF($A734="","",IF($B734="","EKSİK","TAM"))</f>
        <v/>
      </c>
    </row>
    <row r="735">
      <c r="F735" s="31">
        <f>IF($A735="","",IF($B735="","EKSİK","TAM"))</f>
        <v/>
      </c>
    </row>
    <row r="736">
      <c r="F736" s="31">
        <f>IF($A736="","",IF($B736="","EKSİK","TAM"))</f>
        <v/>
      </c>
    </row>
    <row r="737">
      <c r="F737" s="31">
        <f>IF($A737="","",IF($B737="","EKSİK","TAM"))</f>
        <v/>
      </c>
    </row>
    <row r="738">
      <c r="F738" s="31">
        <f>IF($A738="","",IF($B738="","EKSİK","TAM"))</f>
        <v/>
      </c>
    </row>
    <row r="739">
      <c r="F739" s="31">
        <f>IF($A739="","",IF($B739="","EKSİK","TAM"))</f>
        <v/>
      </c>
    </row>
    <row r="740">
      <c r="F740" s="31">
        <f>IF($A740="","",IF($B740="","EKSİK","TAM"))</f>
        <v/>
      </c>
    </row>
    <row r="741">
      <c r="F741" s="31">
        <f>IF($A741="","",IF($B741="","EKSİK","TAM"))</f>
        <v/>
      </c>
    </row>
    <row r="742">
      <c r="F742" s="31">
        <f>IF($A742="","",IF($B742="","EKSİK","TAM"))</f>
        <v/>
      </c>
    </row>
    <row r="743">
      <c r="F743" s="31">
        <f>IF($A743="","",IF($B743="","EKSİK","TAM"))</f>
        <v/>
      </c>
    </row>
    <row r="744">
      <c r="F744" s="31">
        <f>IF($A744="","",IF($B744="","EKSİK","TAM"))</f>
        <v/>
      </c>
    </row>
    <row r="745">
      <c r="F745" s="31">
        <f>IF($A745="","",IF($B745="","EKSİK","TAM"))</f>
        <v/>
      </c>
    </row>
    <row r="746">
      <c r="F746" s="31">
        <f>IF($A746="","",IF($B746="","EKSİK","TAM"))</f>
        <v/>
      </c>
    </row>
    <row r="747">
      <c r="F747" s="31">
        <f>IF($A747="","",IF($B747="","EKSİK","TAM"))</f>
        <v/>
      </c>
    </row>
    <row r="748">
      <c r="F748" s="31">
        <f>IF($A748="","",IF($B748="","EKSİK","TAM"))</f>
        <v/>
      </c>
    </row>
    <row r="749">
      <c r="F749" s="31">
        <f>IF($A749="","",IF($B749="","EKSİK","TAM"))</f>
        <v/>
      </c>
    </row>
    <row r="750">
      <c r="F750" s="31">
        <f>IF($A750="","",IF($B750="","EKSİK","TAM"))</f>
        <v/>
      </c>
    </row>
    <row r="751">
      <c r="F751" s="31">
        <f>IF($A751="","",IF($B751="","EKSİK","TAM"))</f>
        <v/>
      </c>
    </row>
    <row r="752">
      <c r="F752" s="31">
        <f>IF($A752="","",IF($B752="","EKSİK","TAM"))</f>
        <v/>
      </c>
    </row>
    <row r="753">
      <c r="F753" s="31">
        <f>IF($A753="","",IF($B753="","EKSİK","TAM"))</f>
        <v/>
      </c>
    </row>
    <row r="754">
      <c r="F754" s="31">
        <f>IF($A754="","",IF($B754="","EKSİK","TAM"))</f>
        <v/>
      </c>
    </row>
    <row r="755">
      <c r="F755" s="31">
        <f>IF($A755="","",IF($B755="","EKSİK","TAM"))</f>
        <v/>
      </c>
    </row>
    <row r="756">
      <c r="F756" s="31">
        <f>IF($A756="","",IF($B756="","EKSİK","TAM"))</f>
        <v/>
      </c>
    </row>
    <row r="757">
      <c r="F757" s="31">
        <f>IF($A757="","",IF($B757="","EKSİK","TAM"))</f>
        <v/>
      </c>
    </row>
    <row r="758">
      <c r="F758" s="31">
        <f>IF($A758="","",IF($B758="","EKSİK","TAM"))</f>
        <v/>
      </c>
    </row>
    <row r="759">
      <c r="F759" s="31">
        <f>IF($A759="","",IF($B759="","EKSİK","TAM"))</f>
        <v/>
      </c>
    </row>
    <row r="760">
      <c r="F760" s="31">
        <f>IF($A760="","",IF($B760="","EKSİK","TAM"))</f>
        <v/>
      </c>
    </row>
    <row r="761">
      <c r="F761" s="31">
        <f>IF($A761="","",IF($B761="","EKSİK","TAM"))</f>
        <v/>
      </c>
    </row>
    <row r="762">
      <c r="F762" s="31">
        <f>IF($A762="","",IF($B762="","EKSİK","TAM"))</f>
        <v/>
      </c>
    </row>
    <row r="763">
      <c r="F763" s="31">
        <f>IF($A763="","",IF($B763="","EKSİK","TAM"))</f>
        <v/>
      </c>
    </row>
    <row r="764">
      <c r="F764" s="31">
        <f>IF($A764="","",IF($B764="","EKSİK","TAM"))</f>
        <v/>
      </c>
    </row>
    <row r="765">
      <c r="F765" s="31">
        <f>IF($A765="","",IF($B765="","EKSİK","TAM"))</f>
        <v/>
      </c>
    </row>
    <row r="766">
      <c r="F766" s="31">
        <f>IF($A766="","",IF($B766="","EKSİK","TAM"))</f>
        <v/>
      </c>
    </row>
    <row r="767">
      <c r="F767" s="31">
        <f>IF($A767="","",IF($B767="","EKSİK","TAM"))</f>
        <v/>
      </c>
    </row>
    <row r="768">
      <c r="F768" s="31">
        <f>IF($A768="","",IF($B768="","EKSİK","TAM"))</f>
        <v/>
      </c>
    </row>
    <row r="769">
      <c r="F769" s="31">
        <f>IF($A769="","",IF($B769="","EKSİK","TAM"))</f>
        <v/>
      </c>
    </row>
    <row r="770">
      <c r="F770" s="31">
        <f>IF($A770="","",IF($B770="","EKSİK","TAM"))</f>
        <v/>
      </c>
    </row>
    <row r="771">
      <c r="F771" s="31">
        <f>IF($A771="","",IF($B771="","EKSİK","TAM"))</f>
        <v/>
      </c>
    </row>
    <row r="772">
      <c r="F772" s="31">
        <f>IF($A772="","",IF($B772="","EKSİK","TAM"))</f>
        <v/>
      </c>
    </row>
    <row r="773">
      <c r="F773" s="31">
        <f>IF($A773="","",IF($B773="","EKSİK","TAM"))</f>
        <v/>
      </c>
    </row>
    <row r="774">
      <c r="F774" s="31">
        <f>IF($A774="","",IF($B774="","EKSİK","TAM"))</f>
        <v/>
      </c>
    </row>
    <row r="775">
      <c r="F775" s="31">
        <f>IF($A775="","",IF($B775="","EKSİK","TAM"))</f>
        <v/>
      </c>
    </row>
    <row r="776">
      <c r="F776" s="31">
        <f>IF($A776="","",IF($B776="","EKSİK","TAM"))</f>
        <v/>
      </c>
    </row>
    <row r="777">
      <c r="F777" s="31">
        <f>IF($A777="","",IF($B777="","EKSİK","TAM"))</f>
        <v/>
      </c>
    </row>
    <row r="778">
      <c r="F778" s="31">
        <f>IF($A778="","",IF($B778="","EKSİK","TAM"))</f>
        <v/>
      </c>
    </row>
    <row r="779">
      <c r="F779" s="31">
        <f>IF($A779="","",IF($B779="","EKSİK","TAM"))</f>
        <v/>
      </c>
    </row>
    <row r="780">
      <c r="F780" s="31">
        <f>IF($A780="","",IF($B780="","EKSİK","TAM"))</f>
        <v/>
      </c>
    </row>
    <row r="781">
      <c r="F781" s="31">
        <f>IF($A781="","",IF($B781="","EKSİK","TAM"))</f>
        <v/>
      </c>
    </row>
    <row r="782">
      <c r="F782" s="31">
        <f>IF($A782="","",IF($B782="","EKSİK","TAM"))</f>
        <v/>
      </c>
    </row>
    <row r="783">
      <c r="F783" s="31">
        <f>IF($A783="","",IF($B783="","EKSİK","TAM"))</f>
        <v/>
      </c>
    </row>
    <row r="784">
      <c r="F784" s="31">
        <f>IF($A784="","",IF($B784="","EKSİK","TAM"))</f>
        <v/>
      </c>
    </row>
    <row r="785">
      <c r="F785" s="31">
        <f>IF($A785="","",IF($B785="","EKSİK","TAM"))</f>
        <v/>
      </c>
    </row>
    <row r="786">
      <c r="F786" s="31">
        <f>IF($A786="","",IF($B786="","EKSİK","TAM"))</f>
        <v/>
      </c>
    </row>
    <row r="787">
      <c r="F787" s="31">
        <f>IF($A787="","",IF($B787="","EKSİK","TAM"))</f>
        <v/>
      </c>
    </row>
    <row r="788">
      <c r="F788" s="31">
        <f>IF($A788="","",IF($B788="","EKSİK","TAM"))</f>
        <v/>
      </c>
    </row>
    <row r="789">
      <c r="F789" s="31">
        <f>IF($A789="","",IF($B789="","EKSİK","TAM"))</f>
        <v/>
      </c>
    </row>
    <row r="790">
      <c r="F790" s="31">
        <f>IF($A790="","",IF($B790="","EKSİK","TAM"))</f>
        <v/>
      </c>
    </row>
    <row r="791">
      <c r="F791" s="31">
        <f>IF($A791="","",IF($B791="","EKSİK","TAM"))</f>
        <v/>
      </c>
    </row>
    <row r="792">
      <c r="F792" s="31">
        <f>IF($A792="","",IF($B792="","EKSİK","TAM"))</f>
        <v/>
      </c>
    </row>
    <row r="793">
      <c r="F793" s="31">
        <f>IF($A793="","",IF($B793="","EKSİK","TAM"))</f>
        <v/>
      </c>
    </row>
    <row r="794">
      <c r="F794" s="31">
        <f>IF($A794="","",IF($B794="","EKSİK","TAM"))</f>
        <v/>
      </c>
    </row>
    <row r="795">
      <c r="F795" s="31">
        <f>IF($A795="","",IF($B795="","EKSİK","TAM"))</f>
        <v/>
      </c>
    </row>
    <row r="796">
      <c r="F796" s="31">
        <f>IF($A796="","",IF($B796="","EKSİK","TAM"))</f>
        <v/>
      </c>
    </row>
    <row r="797">
      <c r="F797" s="31">
        <f>IF($A797="","",IF($B797="","EKSİK","TAM"))</f>
        <v/>
      </c>
    </row>
    <row r="798">
      <c r="F798" s="31">
        <f>IF($A798="","",IF($B798="","EKSİK","TAM"))</f>
        <v/>
      </c>
    </row>
    <row r="799">
      <c r="F799" s="31">
        <f>IF($A799="","",IF($B799="","EKSİK","TAM"))</f>
        <v/>
      </c>
    </row>
    <row r="800">
      <c r="F800" s="31">
        <f>IF($A800="","",IF($B800="","EKSİK","TAM"))</f>
        <v/>
      </c>
    </row>
    <row r="801">
      <c r="F801" s="31">
        <f>IF($A801="","",IF($B801="","EKSİK","TAM"))</f>
        <v/>
      </c>
    </row>
    <row r="802">
      <c r="F802" s="31">
        <f>IF($A802="","",IF($B802="","EKSİK","TAM"))</f>
        <v/>
      </c>
    </row>
    <row r="803">
      <c r="F803" s="31">
        <f>IF($A803="","",IF($B803="","EKSİK","TAM"))</f>
        <v/>
      </c>
    </row>
    <row r="804">
      <c r="F804" s="31">
        <f>IF($A804="","",IF($B804="","EKSİK","TAM"))</f>
        <v/>
      </c>
    </row>
    <row r="805">
      <c r="F805" s="31">
        <f>IF($A805="","",IF($B805="","EKSİK","TAM"))</f>
        <v/>
      </c>
    </row>
    <row r="806">
      <c r="F806" s="31">
        <f>IF($A806="","",IF($B806="","EKSİK","TAM"))</f>
        <v/>
      </c>
    </row>
    <row r="807">
      <c r="F807" s="31">
        <f>IF($A807="","",IF($B807="","EKSİK","TAM"))</f>
        <v/>
      </c>
    </row>
    <row r="808">
      <c r="F808" s="31">
        <f>IF($A808="","",IF($B808="","EKSİK","TAM"))</f>
        <v/>
      </c>
    </row>
    <row r="809">
      <c r="F809" s="31">
        <f>IF($A809="","",IF($B809="","EKSİK","TAM"))</f>
        <v/>
      </c>
    </row>
    <row r="810">
      <c r="F810" s="31">
        <f>IF($A810="","",IF($B810="","EKSİK","TAM"))</f>
        <v/>
      </c>
    </row>
    <row r="811">
      <c r="F811" s="31">
        <f>IF($A811="","",IF($B811="","EKSİK","TAM"))</f>
        <v/>
      </c>
    </row>
    <row r="812">
      <c r="F812" s="31">
        <f>IF($A812="","",IF($B812="","EKSİK","TAM"))</f>
        <v/>
      </c>
    </row>
    <row r="813">
      <c r="F813" s="31">
        <f>IF($A813="","",IF($B813="","EKSİK","TAM"))</f>
        <v/>
      </c>
    </row>
    <row r="814">
      <c r="F814" s="31">
        <f>IF($A814="","",IF($B814="","EKSİK","TAM"))</f>
        <v/>
      </c>
    </row>
    <row r="815">
      <c r="F815" s="31">
        <f>IF($A815="","",IF($B815="","EKSİK","TAM"))</f>
        <v/>
      </c>
    </row>
    <row r="816">
      <c r="F816" s="31">
        <f>IF($A816="","",IF($B816="","EKSİK","TAM"))</f>
        <v/>
      </c>
    </row>
    <row r="817">
      <c r="F817" s="31">
        <f>IF($A817="","",IF($B817="","EKSİK","TAM"))</f>
        <v/>
      </c>
    </row>
    <row r="818">
      <c r="F818" s="31">
        <f>IF($A818="","",IF($B818="","EKSİK","TAM"))</f>
        <v/>
      </c>
    </row>
    <row r="819">
      <c r="F819" s="31">
        <f>IF($A819="","",IF($B819="","EKSİK","TAM"))</f>
        <v/>
      </c>
    </row>
    <row r="820">
      <c r="F820" s="31">
        <f>IF($A820="","",IF($B820="","EKSİK","TAM"))</f>
        <v/>
      </c>
    </row>
    <row r="821">
      <c r="F821" s="31">
        <f>IF($A821="","",IF($B821="","EKSİK","TAM"))</f>
        <v/>
      </c>
    </row>
    <row r="822">
      <c r="F822" s="31">
        <f>IF($A822="","",IF($B822="","EKSİK","TAM"))</f>
        <v/>
      </c>
    </row>
    <row r="823">
      <c r="F823" s="31">
        <f>IF($A823="","",IF($B823="","EKSİK","TAM"))</f>
        <v/>
      </c>
    </row>
    <row r="824">
      <c r="F824" s="31">
        <f>IF($A824="","",IF($B824="","EKSİK","TAM"))</f>
        <v/>
      </c>
    </row>
    <row r="825">
      <c r="F825" s="31">
        <f>IF($A825="","",IF($B825="","EKSİK","TAM"))</f>
        <v/>
      </c>
    </row>
    <row r="826">
      <c r="F826" s="31">
        <f>IF($A826="","",IF($B826="","EKSİK","TAM"))</f>
        <v/>
      </c>
    </row>
    <row r="827">
      <c r="F827" s="31">
        <f>IF($A827="","",IF($B827="","EKSİK","TAM"))</f>
        <v/>
      </c>
    </row>
    <row r="828">
      <c r="F828" s="31">
        <f>IF($A828="","",IF($B828="","EKSİK","TAM"))</f>
        <v/>
      </c>
    </row>
    <row r="829">
      <c r="F829" s="31">
        <f>IF($A829="","",IF($B829="","EKSİK","TAM"))</f>
        <v/>
      </c>
    </row>
    <row r="830">
      <c r="F830" s="31">
        <f>IF($A830="","",IF($B830="","EKSİK","TAM"))</f>
        <v/>
      </c>
    </row>
    <row r="831">
      <c r="F831" s="31">
        <f>IF($A831="","",IF($B831="","EKSİK","TAM"))</f>
        <v/>
      </c>
    </row>
    <row r="832">
      <c r="F832" s="31">
        <f>IF($A832="","",IF($B832="","EKSİK","TAM"))</f>
        <v/>
      </c>
    </row>
    <row r="833">
      <c r="F833" s="31">
        <f>IF($A833="","",IF($B833="","EKSİK","TAM"))</f>
        <v/>
      </c>
    </row>
    <row r="834">
      <c r="F834" s="31">
        <f>IF($A834="","",IF($B834="","EKSİK","TAM"))</f>
        <v/>
      </c>
    </row>
    <row r="835">
      <c r="F835" s="31">
        <f>IF($A835="","",IF($B835="","EKSİK","TAM"))</f>
        <v/>
      </c>
    </row>
    <row r="836">
      <c r="F836" s="31">
        <f>IF($A836="","",IF($B836="","EKSİK","TAM"))</f>
        <v/>
      </c>
    </row>
    <row r="837">
      <c r="F837" s="31">
        <f>IF($A837="","",IF($B837="","EKSİK","TAM"))</f>
        <v/>
      </c>
    </row>
    <row r="838">
      <c r="F838" s="31">
        <f>IF($A838="","",IF($B838="","EKSİK","TAM"))</f>
        <v/>
      </c>
    </row>
    <row r="839">
      <c r="F839" s="31">
        <f>IF($A839="","",IF($B839="","EKSİK","TAM"))</f>
        <v/>
      </c>
    </row>
    <row r="840">
      <c r="F840" s="31">
        <f>IF($A840="","",IF($B840="","EKSİK","TAM"))</f>
        <v/>
      </c>
    </row>
    <row r="841">
      <c r="F841" s="31">
        <f>IF($A841="","",IF($B841="","EKSİK","TAM"))</f>
        <v/>
      </c>
    </row>
    <row r="842">
      <c r="F842" s="31">
        <f>IF($A842="","",IF($B842="","EKSİK","TAM"))</f>
        <v/>
      </c>
    </row>
    <row r="843">
      <c r="F843" s="31">
        <f>IF($A843="","",IF($B843="","EKSİK","TAM"))</f>
        <v/>
      </c>
    </row>
    <row r="844">
      <c r="F844" s="31">
        <f>IF($A844="","",IF($B844="","EKSİK","TAM"))</f>
        <v/>
      </c>
    </row>
    <row r="845">
      <c r="F845" s="31">
        <f>IF($A845="","",IF($B845="","EKSİK","TAM"))</f>
        <v/>
      </c>
    </row>
    <row r="846">
      <c r="F846" s="31">
        <f>IF($A846="","",IF($B846="","EKSİK","TAM"))</f>
        <v/>
      </c>
    </row>
    <row r="847">
      <c r="F847" s="31">
        <f>IF($A847="","",IF($B847="","EKSİK","TAM"))</f>
        <v/>
      </c>
    </row>
    <row r="848">
      <c r="F848" s="31">
        <f>IF($A848="","",IF($B848="","EKSİK","TAM"))</f>
        <v/>
      </c>
    </row>
    <row r="849">
      <c r="F849" s="31">
        <f>IF($A849="","",IF($B849="","EKSİK","TAM"))</f>
        <v/>
      </c>
    </row>
    <row r="850">
      <c r="F850" s="31">
        <f>IF($A850="","",IF($B850="","EKSİK","TAM"))</f>
        <v/>
      </c>
    </row>
    <row r="851">
      <c r="F851" s="31">
        <f>IF($A851="","",IF($B851="","EKSİK","TAM"))</f>
        <v/>
      </c>
    </row>
    <row r="852">
      <c r="F852" s="31">
        <f>IF($A852="","",IF($B852="","EKSİK","TAM"))</f>
        <v/>
      </c>
    </row>
    <row r="853">
      <c r="F853" s="31">
        <f>IF($A853="","",IF($B853="","EKSİK","TAM"))</f>
        <v/>
      </c>
    </row>
    <row r="854">
      <c r="F854" s="31">
        <f>IF($A854="","",IF($B854="","EKSİK","TAM"))</f>
        <v/>
      </c>
    </row>
    <row r="855">
      <c r="F855" s="31">
        <f>IF($A855="","",IF($B855="","EKSİK","TAM"))</f>
        <v/>
      </c>
    </row>
    <row r="856">
      <c r="F856" s="31">
        <f>IF($A856="","",IF($B856="","EKSİK","TAM"))</f>
        <v/>
      </c>
    </row>
    <row r="857">
      <c r="F857" s="31">
        <f>IF($A857="","",IF($B857="","EKSİK","TAM"))</f>
        <v/>
      </c>
    </row>
    <row r="858">
      <c r="F858" s="31">
        <f>IF($A858="","",IF($B858="","EKSİK","TAM"))</f>
        <v/>
      </c>
    </row>
    <row r="859">
      <c r="F859" s="31">
        <f>IF($A859="","",IF($B859="","EKSİK","TAM"))</f>
        <v/>
      </c>
    </row>
    <row r="860">
      <c r="F860" s="31">
        <f>IF($A860="","",IF($B860="","EKSİK","TAM"))</f>
        <v/>
      </c>
    </row>
    <row r="861">
      <c r="F861" s="31">
        <f>IF($A861="","",IF($B861="","EKSİK","TAM"))</f>
        <v/>
      </c>
    </row>
    <row r="862">
      <c r="F862" s="31">
        <f>IF($A862="","",IF($B862="","EKSİK","TAM"))</f>
        <v/>
      </c>
    </row>
    <row r="863">
      <c r="F863" s="31">
        <f>IF($A863="","",IF($B863="","EKSİK","TAM"))</f>
        <v/>
      </c>
    </row>
    <row r="864">
      <c r="F864" s="31">
        <f>IF($A864="","",IF($B864="","EKSİK","TAM"))</f>
        <v/>
      </c>
    </row>
    <row r="865">
      <c r="F865" s="31">
        <f>IF($A865="","",IF($B865="","EKSİK","TAM"))</f>
        <v/>
      </c>
    </row>
    <row r="866">
      <c r="F866" s="31">
        <f>IF($A866="","",IF($B866="","EKSİK","TAM"))</f>
        <v/>
      </c>
    </row>
    <row r="867">
      <c r="F867" s="31">
        <f>IF($A867="","",IF($B867="","EKSİK","TAM"))</f>
        <v/>
      </c>
    </row>
    <row r="868">
      <c r="F868" s="31">
        <f>IF($A868="","",IF($B868="","EKSİK","TAM"))</f>
        <v/>
      </c>
    </row>
    <row r="869">
      <c r="F869" s="31">
        <f>IF($A869="","",IF($B869="","EKSİK","TAM"))</f>
        <v/>
      </c>
    </row>
    <row r="870">
      <c r="F870" s="31">
        <f>IF($A870="","",IF($B870="","EKSİK","TAM"))</f>
        <v/>
      </c>
    </row>
    <row r="871">
      <c r="F871" s="31">
        <f>IF($A871="","",IF($B871="","EKSİK","TAM"))</f>
        <v/>
      </c>
    </row>
    <row r="872">
      <c r="F872" s="31">
        <f>IF($A872="","",IF($B872="","EKSİK","TAM"))</f>
        <v/>
      </c>
    </row>
    <row r="873">
      <c r="F873" s="31">
        <f>IF($A873="","",IF($B873="","EKSİK","TAM"))</f>
        <v/>
      </c>
    </row>
    <row r="874">
      <c r="F874" s="31">
        <f>IF($A874="","",IF($B874="","EKSİK","TAM"))</f>
        <v/>
      </c>
    </row>
    <row r="875">
      <c r="F875" s="31">
        <f>IF($A875="","",IF($B875="","EKSİK","TAM"))</f>
        <v/>
      </c>
    </row>
    <row r="876">
      <c r="F876" s="31">
        <f>IF($A876="","",IF($B876="","EKSİK","TAM"))</f>
        <v/>
      </c>
    </row>
    <row r="877">
      <c r="F877" s="31">
        <f>IF($A877="","",IF($B877="","EKSİK","TAM"))</f>
        <v/>
      </c>
    </row>
    <row r="878">
      <c r="F878" s="31">
        <f>IF($A878="","",IF($B878="","EKSİK","TAM"))</f>
        <v/>
      </c>
    </row>
    <row r="879">
      <c r="F879" s="31">
        <f>IF($A879="","",IF($B879="","EKSİK","TAM"))</f>
        <v/>
      </c>
    </row>
    <row r="880">
      <c r="F880" s="31">
        <f>IF($A880="","",IF($B880="","EKSİK","TAM"))</f>
        <v/>
      </c>
    </row>
    <row r="881">
      <c r="F881" s="31">
        <f>IF($A881="","",IF($B881="","EKSİK","TAM"))</f>
        <v/>
      </c>
    </row>
    <row r="882">
      <c r="F882" s="31">
        <f>IF($A882="","",IF($B882="","EKSİK","TAM"))</f>
        <v/>
      </c>
    </row>
    <row r="883">
      <c r="F883" s="31">
        <f>IF($A883="","",IF($B883="","EKSİK","TAM"))</f>
        <v/>
      </c>
    </row>
    <row r="884">
      <c r="F884" s="31">
        <f>IF($A884="","",IF($B884="","EKSİK","TAM"))</f>
        <v/>
      </c>
    </row>
    <row r="885">
      <c r="F885" s="31">
        <f>IF($A885="","",IF($B885="","EKSİK","TAM"))</f>
        <v/>
      </c>
    </row>
    <row r="886">
      <c r="F886" s="31">
        <f>IF($A886="","",IF($B886="","EKSİK","TAM"))</f>
        <v/>
      </c>
    </row>
    <row r="887">
      <c r="F887" s="31">
        <f>IF($A887="","",IF($B887="","EKSİK","TAM"))</f>
        <v/>
      </c>
    </row>
    <row r="888">
      <c r="F888" s="31">
        <f>IF($A888="","",IF($B888="","EKSİK","TAM"))</f>
        <v/>
      </c>
    </row>
    <row r="889">
      <c r="F889" s="31">
        <f>IF($A889="","",IF($B889="","EKSİK","TAM"))</f>
        <v/>
      </c>
    </row>
    <row r="890">
      <c r="F890" s="31">
        <f>IF($A890="","",IF($B890="","EKSİK","TAM"))</f>
        <v/>
      </c>
    </row>
    <row r="891">
      <c r="F891" s="31">
        <f>IF($A891="","",IF($B891="","EKSİK","TAM"))</f>
        <v/>
      </c>
    </row>
    <row r="892">
      <c r="F892" s="31">
        <f>IF($A892="","",IF($B892="","EKSİK","TAM"))</f>
        <v/>
      </c>
    </row>
    <row r="893">
      <c r="F893" s="31">
        <f>IF($A893="","",IF($B893="","EKSİK","TAM"))</f>
        <v/>
      </c>
    </row>
    <row r="894">
      <c r="F894" s="31">
        <f>IF($A894="","",IF($B894="","EKSİK","TAM"))</f>
        <v/>
      </c>
    </row>
    <row r="895">
      <c r="F895" s="31">
        <f>IF($A895="","",IF($B895="","EKSİK","TAM"))</f>
        <v/>
      </c>
    </row>
    <row r="896">
      <c r="F896" s="31">
        <f>IF($A896="","",IF($B896="","EKSİK","TAM"))</f>
        <v/>
      </c>
    </row>
    <row r="897">
      <c r="F897" s="31">
        <f>IF($A897="","",IF($B897="","EKSİK","TAM"))</f>
        <v/>
      </c>
    </row>
    <row r="898">
      <c r="F898" s="31">
        <f>IF($A898="","",IF($B898="","EKSİK","TAM"))</f>
        <v/>
      </c>
    </row>
    <row r="899">
      <c r="F899" s="31">
        <f>IF($A899="","",IF($B899="","EKSİK","TAM"))</f>
        <v/>
      </c>
    </row>
    <row r="900">
      <c r="F900" s="31">
        <f>IF($A900="","",IF($B900="","EKSİK","TAM"))</f>
        <v/>
      </c>
    </row>
    <row r="901">
      <c r="F901" s="31">
        <f>IF($A901="","",IF($B901="","EKSİK","TAM"))</f>
        <v/>
      </c>
    </row>
    <row r="902">
      <c r="F902" s="31">
        <f>IF($A902="","",IF($B902="","EKSİK","TAM"))</f>
        <v/>
      </c>
    </row>
    <row r="903">
      <c r="F903" s="31">
        <f>IF($A903="","",IF($B903="","EKSİK","TAM"))</f>
        <v/>
      </c>
    </row>
    <row r="904">
      <c r="F904" s="31">
        <f>IF($A904="","",IF($B904="","EKSİK","TAM"))</f>
        <v/>
      </c>
    </row>
    <row r="905">
      <c r="F905" s="31">
        <f>IF($A905="","",IF($B905="","EKSİK","TAM"))</f>
        <v/>
      </c>
    </row>
    <row r="906">
      <c r="F906" s="31">
        <f>IF($A906="","",IF($B906="","EKSİK","TAM"))</f>
        <v/>
      </c>
    </row>
    <row r="907">
      <c r="F907" s="31">
        <f>IF($A907="","",IF($B907="","EKSİK","TAM"))</f>
        <v/>
      </c>
    </row>
    <row r="908">
      <c r="F908" s="31">
        <f>IF($A908="","",IF($B908="","EKSİK","TAM"))</f>
        <v/>
      </c>
    </row>
    <row r="909">
      <c r="F909" s="31">
        <f>IF($A909="","",IF($B909="","EKSİK","TAM"))</f>
        <v/>
      </c>
    </row>
    <row r="910">
      <c r="F910" s="31">
        <f>IF($A910="","",IF($B910="","EKSİK","TAM"))</f>
        <v/>
      </c>
    </row>
    <row r="911">
      <c r="F911" s="31">
        <f>IF($A911="","",IF($B911="","EKSİK","TAM"))</f>
        <v/>
      </c>
    </row>
    <row r="912">
      <c r="F912" s="31">
        <f>IF($A912="","",IF($B912="","EKSİK","TAM"))</f>
        <v/>
      </c>
    </row>
    <row r="913">
      <c r="F913" s="31">
        <f>IF($A913="","",IF($B913="","EKSİK","TAM"))</f>
        <v/>
      </c>
    </row>
    <row r="914">
      <c r="F914" s="31">
        <f>IF($A914="","",IF($B914="","EKSİK","TAM"))</f>
        <v/>
      </c>
    </row>
    <row r="915">
      <c r="F915" s="31">
        <f>IF($A915="","",IF($B915="","EKSİK","TAM"))</f>
        <v/>
      </c>
    </row>
    <row r="916">
      <c r="F916" s="31">
        <f>IF($A916="","",IF($B916="","EKSİK","TAM"))</f>
        <v/>
      </c>
    </row>
    <row r="917">
      <c r="F917" s="31">
        <f>IF($A917="","",IF($B917="","EKSİK","TAM"))</f>
        <v/>
      </c>
    </row>
    <row r="918">
      <c r="F918" s="31">
        <f>IF($A918="","",IF($B918="","EKSİK","TAM"))</f>
        <v/>
      </c>
    </row>
    <row r="919">
      <c r="F919" s="31">
        <f>IF($A919="","",IF($B919="","EKSİK","TAM"))</f>
        <v/>
      </c>
    </row>
    <row r="920">
      <c r="F920" s="31">
        <f>IF($A920="","",IF($B920="","EKSİK","TAM"))</f>
        <v/>
      </c>
    </row>
    <row r="921">
      <c r="F921" s="31">
        <f>IF($A921="","",IF($B921="","EKSİK","TAM"))</f>
        <v/>
      </c>
    </row>
    <row r="922">
      <c r="F922" s="31">
        <f>IF($A922="","",IF($B922="","EKSİK","TAM"))</f>
        <v/>
      </c>
    </row>
    <row r="923">
      <c r="F923" s="31">
        <f>IF($A923="","",IF($B923="","EKSİK","TAM"))</f>
        <v/>
      </c>
    </row>
    <row r="924">
      <c r="F924" s="31">
        <f>IF($A924="","",IF($B924="","EKSİK","TAM"))</f>
        <v/>
      </c>
    </row>
    <row r="925">
      <c r="F925" s="31">
        <f>IF($A925="","",IF($B925="","EKSİK","TAM"))</f>
        <v/>
      </c>
    </row>
    <row r="926">
      <c r="F926" s="31">
        <f>IF($A926="","",IF($B926="","EKSİK","TAM"))</f>
        <v/>
      </c>
    </row>
    <row r="927">
      <c r="F927" s="31">
        <f>IF($A927="","",IF($B927="","EKSİK","TAM"))</f>
        <v/>
      </c>
    </row>
    <row r="928">
      <c r="F928" s="31">
        <f>IF($A928="","",IF($B928="","EKSİK","TAM"))</f>
        <v/>
      </c>
    </row>
    <row r="929">
      <c r="F929" s="31">
        <f>IF($A929="","",IF($B929="","EKSİK","TAM"))</f>
        <v/>
      </c>
    </row>
    <row r="930">
      <c r="F930" s="31">
        <f>IF($A930="","",IF($B930="","EKSİK","TAM"))</f>
        <v/>
      </c>
    </row>
    <row r="931">
      <c r="F931" s="31">
        <f>IF($A931="","",IF($B931="","EKSİK","TAM"))</f>
        <v/>
      </c>
    </row>
    <row r="932">
      <c r="F932" s="31">
        <f>IF($A932="","",IF($B932="","EKSİK","TAM"))</f>
        <v/>
      </c>
    </row>
    <row r="933">
      <c r="F933" s="31">
        <f>IF($A933="","",IF($B933="","EKSİK","TAM"))</f>
        <v/>
      </c>
    </row>
    <row r="934">
      <c r="F934" s="31">
        <f>IF($A934="","",IF($B934="","EKSİK","TAM"))</f>
        <v/>
      </c>
    </row>
    <row r="935">
      <c r="F935" s="31">
        <f>IF($A935="","",IF($B935="","EKSİK","TAM"))</f>
        <v/>
      </c>
    </row>
    <row r="936">
      <c r="F936" s="31">
        <f>IF($A936="","",IF($B936="","EKSİK","TAM"))</f>
        <v/>
      </c>
    </row>
    <row r="937">
      <c r="F937" s="31">
        <f>IF($A937="","",IF($B937="","EKSİK","TAM"))</f>
        <v/>
      </c>
    </row>
    <row r="938">
      <c r="F938" s="31">
        <f>IF($A938="","",IF($B938="","EKSİK","TAM"))</f>
        <v/>
      </c>
    </row>
    <row r="939">
      <c r="F939" s="31">
        <f>IF($A939="","",IF($B939="","EKSİK","TAM"))</f>
        <v/>
      </c>
    </row>
    <row r="940">
      <c r="F940" s="31">
        <f>IF($A940="","",IF($B940="","EKSİK","TAM"))</f>
        <v/>
      </c>
    </row>
    <row r="941">
      <c r="F941" s="31">
        <f>IF($A941="","",IF($B941="","EKSİK","TAM"))</f>
        <v/>
      </c>
    </row>
    <row r="942">
      <c r="F942" s="31">
        <f>IF($A942="","",IF($B942="","EKSİK","TAM"))</f>
        <v/>
      </c>
    </row>
    <row r="943">
      <c r="F943" s="31">
        <f>IF($A943="","",IF($B943="","EKSİK","TAM"))</f>
        <v/>
      </c>
    </row>
    <row r="944">
      <c r="F944" s="31">
        <f>IF($A944="","",IF($B944="","EKSİK","TAM"))</f>
        <v/>
      </c>
    </row>
    <row r="945">
      <c r="F945" s="31">
        <f>IF($A945="","",IF($B945="","EKSİK","TAM"))</f>
        <v/>
      </c>
    </row>
    <row r="946">
      <c r="F946" s="31">
        <f>IF($A946="","",IF($B946="","EKSİK","TAM"))</f>
        <v/>
      </c>
    </row>
    <row r="947">
      <c r="F947" s="31">
        <f>IF($A947="","",IF($B947="","EKSİK","TAM"))</f>
        <v/>
      </c>
    </row>
    <row r="948">
      <c r="F948" s="31">
        <f>IF($A948="","",IF($B948="","EKSİK","TAM"))</f>
        <v/>
      </c>
    </row>
    <row r="949">
      <c r="F949" s="31">
        <f>IF($A949="","",IF($B949="","EKSİK","TAM"))</f>
        <v/>
      </c>
    </row>
    <row r="950">
      <c r="F950" s="31">
        <f>IF($A950="","",IF($B950="","EKSİK","TAM"))</f>
        <v/>
      </c>
    </row>
    <row r="951">
      <c r="F951" s="31">
        <f>IF($A951="","",IF($B951="","EKSİK","TAM"))</f>
        <v/>
      </c>
    </row>
    <row r="952">
      <c r="F952" s="31">
        <f>IF($A952="","",IF($B952="","EKSİK","TAM"))</f>
        <v/>
      </c>
    </row>
    <row r="953">
      <c r="F953" s="31">
        <f>IF($A953="","",IF($B953="","EKSİK","TAM"))</f>
        <v/>
      </c>
    </row>
    <row r="954">
      <c r="F954" s="31">
        <f>IF($A954="","",IF($B954="","EKSİK","TAM"))</f>
        <v/>
      </c>
    </row>
    <row r="955">
      <c r="F955" s="31">
        <f>IF($A955="","",IF($B955="","EKSİK","TAM"))</f>
        <v/>
      </c>
    </row>
    <row r="956">
      <c r="F956" s="31">
        <f>IF($A956="","",IF($B956="","EKSİK","TAM"))</f>
        <v/>
      </c>
    </row>
    <row r="957">
      <c r="F957" s="31">
        <f>IF($A957="","",IF($B957="","EKSİK","TAM"))</f>
        <v/>
      </c>
    </row>
    <row r="958">
      <c r="F958" s="31">
        <f>IF($A958="","",IF($B958="","EKSİK","TAM"))</f>
        <v/>
      </c>
    </row>
    <row r="959">
      <c r="F959" s="31">
        <f>IF($A959="","",IF($B959="","EKSİK","TAM"))</f>
        <v/>
      </c>
    </row>
    <row r="960">
      <c r="F960" s="31">
        <f>IF($A960="","",IF($B960="","EKSİK","TAM"))</f>
        <v/>
      </c>
    </row>
    <row r="961">
      <c r="F961" s="31">
        <f>IF($A961="","",IF($B961="","EKSİK","TAM"))</f>
        <v/>
      </c>
    </row>
    <row r="962">
      <c r="F962" s="31">
        <f>IF($A962="","",IF($B962="","EKSİK","TAM"))</f>
        <v/>
      </c>
    </row>
    <row r="963">
      <c r="F963" s="31">
        <f>IF($A963="","",IF($B963="","EKSİK","TAM"))</f>
        <v/>
      </c>
    </row>
    <row r="964">
      <c r="F964" s="31">
        <f>IF($A964="","",IF($B964="","EKSİK","TAM"))</f>
        <v/>
      </c>
    </row>
    <row r="965">
      <c r="F965" s="31">
        <f>IF($A965="","",IF($B965="","EKSİK","TAM"))</f>
        <v/>
      </c>
    </row>
    <row r="966">
      <c r="F966" s="31">
        <f>IF($A966="","",IF($B966="","EKSİK","TAM"))</f>
        <v/>
      </c>
    </row>
    <row r="967">
      <c r="F967" s="31">
        <f>IF($A967="","",IF($B967="","EKSİK","TAM"))</f>
        <v/>
      </c>
    </row>
    <row r="968">
      <c r="F968" s="31">
        <f>IF($A968="","",IF($B968="","EKSİK","TAM"))</f>
        <v/>
      </c>
    </row>
    <row r="969">
      <c r="F969" s="31">
        <f>IF($A969="","",IF($B969="","EKSİK","TAM"))</f>
        <v/>
      </c>
    </row>
    <row r="970">
      <c r="F970" s="31">
        <f>IF($A970="","",IF($B970="","EKSİK","TAM"))</f>
        <v/>
      </c>
    </row>
    <row r="971">
      <c r="F971" s="31">
        <f>IF($A971="","",IF($B971="","EKSİK","TAM"))</f>
        <v/>
      </c>
    </row>
    <row r="972">
      <c r="F972" s="31">
        <f>IF($A972="","",IF($B972="","EKSİK","TAM"))</f>
        <v/>
      </c>
    </row>
    <row r="973">
      <c r="F973" s="31">
        <f>IF($A973="","",IF($B973="","EKSİK","TAM"))</f>
        <v/>
      </c>
    </row>
    <row r="974">
      <c r="F974" s="31">
        <f>IF($A974="","",IF($B974="","EKSİK","TAM"))</f>
        <v/>
      </c>
    </row>
    <row r="975">
      <c r="F975" s="31">
        <f>IF($A975="","",IF($B975="","EKSİK","TAM"))</f>
        <v/>
      </c>
    </row>
    <row r="976">
      <c r="F976" s="31">
        <f>IF($A976="","",IF($B976="","EKSİK","TAM"))</f>
        <v/>
      </c>
    </row>
    <row r="977">
      <c r="F977" s="31">
        <f>IF($A977="","",IF($B977="","EKSİK","TAM"))</f>
        <v/>
      </c>
    </row>
    <row r="978">
      <c r="F978" s="31">
        <f>IF($A978="","",IF($B978="","EKSİK","TAM"))</f>
        <v/>
      </c>
    </row>
    <row r="979">
      <c r="F979" s="31">
        <f>IF($A979="","",IF($B979="","EKSİK","TAM"))</f>
        <v/>
      </c>
    </row>
    <row r="980">
      <c r="F980" s="31">
        <f>IF($A980="","",IF($B980="","EKSİK","TAM"))</f>
        <v/>
      </c>
    </row>
    <row r="981">
      <c r="F981" s="31">
        <f>IF($A981="","",IF($B981="","EKSİK","TAM"))</f>
        <v/>
      </c>
    </row>
    <row r="982">
      <c r="F982" s="31">
        <f>IF($A982="","",IF($B982="","EKSİK","TAM"))</f>
        <v/>
      </c>
    </row>
    <row r="983">
      <c r="F983" s="31">
        <f>IF($A983="","",IF($B983="","EKSİK","TAM"))</f>
        <v/>
      </c>
    </row>
    <row r="984">
      <c r="F984" s="31">
        <f>IF($A984="","",IF($B984="","EKSİK","TAM"))</f>
        <v/>
      </c>
    </row>
    <row r="985">
      <c r="F985" s="31">
        <f>IF($A985="","",IF($B985="","EKSİK","TAM"))</f>
        <v/>
      </c>
    </row>
    <row r="986">
      <c r="F986" s="31">
        <f>IF($A986="","",IF($B986="","EKSİK","TAM"))</f>
        <v/>
      </c>
    </row>
    <row r="987">
      <c r="F987" s="31">
        <f>IF($A987="","",IF($B987="","EKSİK","TAM"))</f>
        <v/>
      </c>
    </row>
    <row r="988">
      <c r="F988" s="31">
        <f>IF($A988="","",IF($B988="","EKSİK","TAM"))</f>
        <v/>
      </c>
    </row>
    <row r="989">
      <c r="F989" s="31">
        <f>IF($A989="","",IF($B989="","EKSİK","TAM"))</f>
        <v/>
      </c>
    </row>
    <row r="990">
      <c r="F990" s="31">
        <f>IF($A990="","",IF($B990="","EKSİK","TAM"))</f>
        <v/>
      </c>
    </row>
    <row r="991">
      <c r="F991" s="31">
        <f>IF($A991="","",IF($B991="","EKSİK","TAM"))</f>
        <v/>
      </c>
    </row>
    <row r="992">
      <c r="F992" s="31">
        <f>IF($A992="","",IF($B992="","EKSİK","TAM"))</f>
        <v/>
      </c>
    </row>
    <row r="993">
      <c r="F993" s="31">
        <f>IF($A993="","",IF($B993="","EKSİK","TAM"))</f>
        <v/>
      </c>
    </row>
    <row r="994">
      <c r="F994" s="31">
        <f>IF($A994="","",IF($B994="","EKSİK","TAM"))</f>
        <v/>
      </c>
    </row>
    <row r="995">
      <c r="F995" s="31">
        <f>IF($A995="","",IF($B995="","EKSİK","TAM"))</f>
        <v/>
      </c>
    </row>
    <row r="996">
      <c r="F996" s="31">
        <f>IF($A996="","",IF($B996="","EKSİK","TAM"))</f>
        <v/>
      </c>
    </row>
    <row r="997">
      <c r="F997" s="31">
        <f>IF($A997="","",IF($B997="","EKSİK","TAM"))</f>
        <v/>
      </c>
    </row>
    <row r="998">
      <c r="F998" s="31">
        <f>IF($A998="","",IF($B998="","EKSİK","TAM"))</f>
        <v/>
      </c>
    </row>
    <row r="999">
      <c r="F999" s="31">
        <f>IF($A999="","",IF($B999="","EKSİK","TAM"))</f>
        <v/>
      </c>
    </row>
    <row r="1000">
      <c r="F1000" s="31">
        <f>IF($A1000="","",IF($B1000="","EKSİK","TAM"))</f>
        <v/>
      </c>
    </row>
    <row r="1001">
      <c r="F1001" s="31">
        <f>IF($A1001="","",IF($B1001="","EKSİK","TAM"))</f>
        <v/>
      </c>
    </row>
    <row r="1002">
      <c r="F1002" s="31">
        <f>IF($A1002="","",IF($B1002="","EKSİK","TAM"))</f>
        <v/>
      </c>
    </row>
    <row r="1003">
      <c r="F1003" s="31">
        <f>IF($A1003="","",IF($B1003="","EKSİK","TAM"))</f>
        <v/>
      </c>
    </row>
    <row r="1004">
      <c r="F1004" s="31">
        <f>IF($A1004="","",IF($B1004="","EKSİK","TAM"))</f>
        <v/>
      </c>
    </row>
    <row r="1022" ht="20" customHeight="1">
      <c r="A1022" s="35" t="inlineStr">
        <is>
          <t>Sarı alanlar giriş; fark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1022:AN1022"/>
  </mergeCells>
  <conditionalFormatting sqref="B9:B12">
    <cfRule type="cellIs" priority="1" operator="lessThan" dxfId="5">
      <formula>0</formula>
    </cfRule>
  </conditionalFormatting>
  <conditionalFormatting sqref="B9:B10">
    <cfRule type="cellIs" priority="2" operator="equal" dxfId="3">
      <formula>0</formula>
    </cfRule>
  </conditionalFormatting>
  <conditionalFormatting sqref="F22:F29">
    <cfRule type="expression" priority="3" dxfId="2">
      <formula>F22="EKSİK"</formula>
    </cfRule>
    <cfRule type="expression" priority="4" dxfId="0">
      <formula>F22="TAM"</formula>
    </cfRule>
  </conditionalFormatting>
  <dataValidations count="12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3" showDropDown="0" showInputMessage="1" showErrorMessage="1" allowBlank="0" errorTitle="Geçersiz" error="A veya B seçin." promptTitle="Öncelik" prompt="A=298/Ç veya B=Geç.32 seçin." type="list" errorStyle="stop">
      <formula1>ListeYorumAB</formula1>
    </dataValidation>
    <dataValidation sqref="B24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29" showDropDown="0" showInputMessage="1" showErrorMessage="1" allowBlank="1" errorTitle="Geçersiz" error="A veya B." promptTitle="Öncelik" prompt="A veya B." type="list" errorStyle="stop">
      <formula1>ListeYorumAB</formula1>
    </dataValidation>
    <dataValidation sqref="B9" showDropDown="0" showInputMessage="1" showErrorMessage="1" allowBlank="1" errorTitle="Geçersiz tutar" error="0 ile 1e12 arasında olmalı." promptTitle="Maliyet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0 ile 1e12 arasında olmalı." promptTitle="Birikmiş" prompt="0 ile 1e12 arasında TL." type="decimal" errorStyle="stop" operator="between">
      <formula1>0</formula1>
      <formula2>1000000000000</formula2>
    </dataValidation>
    <dataValidation sqref="B25" showDropDown="0" showInputMessage="1" showErrorMessage="1" allowBlank="1" errorTitle="Geçersiz tutar" error="0 ile 1e12 arasında olmalı." promptTitle="Maliyet" prompt="0 ile 1e12 arasında TL." type="decimal" errorStyle="stop" operator="between">
      <formula1>0</formula1>
      <formula2>1000000000000</formula2>
    </dataValidation>
    <dataValidation sqref="B26" showDropDown="0" showInputMessage="1" showErrorMessage="1" allowBlank="1" errorTitle="Geçersiz tutar" error="0 ile 1e12 arasında olmalı." promptTitle="Birikmiş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endeks" error="1 ile 10 arasında olmalı." promptTitle="Endeks" prompt="1 ile 10 arasında çarpan." type="decimal" errorStyle="stop" operator="between">
      <formula1>1</formula1>
      <formula2>10</formula2>
    </dataValidation>
    <dataValidation sqref="B27" showDropDown="0" showInputMessage="1" showErrorMessage="1" allowBlank="1" errorTitle="Geçersiz endeks" error="1 ile 10 arasında olmalı." promptTitle="Endeks" prompt="1 ile 10 arasında çarpan." type="decimal" errorStyle="stop" operator="between">
      <formula1>1</formula1>
      <formula2>10</formula2>
    </dataValidation>
    <dataValidation sqref="B12" showDropDown="0" showInputMessage="1" showErrorMessage="1" allowBlank="1" errorTitle="Geçersiz ömür" error="1 ile 100 arasında olmalı." promptTitle="Kalan ömür" prompt="1 ile 100 arasında yıl." type="whole" errorStyle="stop" operator="between">
      <formula1>1</formula1>
      <formula2>100</formula2>
    </dataValidation>
    <dataValidation sqref="B28" showDropDown="0" showInputMessage="1" showErrorMessage="1" allowBlank="1" errorTitle="Geçersiz ömür" error="1 ile 100 arasında olmalı." promptTitle="Kalan ömür" prompt="1 ile 100 arasında yıl." type="whole" errorStyle="stop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N1016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3" customWidth="1" min="10" max="10"/>
    <col width="18" customWidth="1" min="11" max="11"/>
    <col width="14" customWidth="1" min="12" max="12"/>
  </cols>
  <sheetData>
    <row r="1" ht="32" customHeight="1">
      <c r="A1" s="206" t="inlineStr">
        <is>
          <t>AMORTISMAN — Amortisman + 2026 Yeniden Değerleme</t>
        </is>
      </c>
    </row>
    <row r="3" ht="22" customHeight="1">
      <c r="A3" s="225" t="inlineStr">
        <is>
          <t>Amortisman cetveli — yeniden değerleme öncesi / sonrası</t>
        </is>
      </c>
    </row>
    <row r="4">
      <c r="A4" s="21" t="inlineStr">
        <is>
          <t>Cetvel, GIRDI maliyet/birikmiş/endeks/kalan ömür ve MOTOR farkından üretilir. 298/Ç ile Geç.32 kararı PANO'da; burada yıllık amortisman etkisi görülür.</t>
        </is>
      </c>
    </row>
    <row r="6">
      <c r="A6" s="11" t="inlineStr">
        <is>
          <t>Özet</t>
        </is>
      </c>
    </row>
    <row r="7">
      <c r="A7" s="23" t="inlineStr">
        <is>
          <t>Net defter (önce) [₺]</t>
        </is>
      </c>
      <c r="B7" s="28">
        <f>IFERROR(ayd_netDefter,0)</f>
        <v/>
      </c>
    </row>
    <row r="8">
      <c r="A8" s="23" t="inlineStr">
        <is>
          <t>Değer artış farkı [₺]</t>
        </is>
      </c>
      <c r="B8" s="28">
        <f>IFERROR(ayd_fark,0)</f>
        <v/>
      </c>
    </row>
    <row r="9">
      <c r="A9" s="23" t="inlineStr">
        <is>
          <t>Yıllık amortisman önce [₺]</t>
        </is>
      </c>
      <c r="B9" s="28">
        <f>IFERROR(IF(OR(GIRDI!B12="",GIRDI!B12=0),0,ayd_netDefter/GIRDI!B12),0)</f>
        <v/>
      </c>
    </row>
    <row r="10">
      <c r="A10" s="23" t="inlineStr">
        <is>
          <t>Yıllık amortisman sonra [₺]</t>
        </is>
      </c>
      <c r="B10" s="28">
        <f>IFERROR(IF(OR(GIRDI!B12="",GIRDI!B12=0),0,(ayd_netDefter+ayd_fark)/GIRDI!B12),0)</f>
        <v/>
      </c>
    </row>
    <row r="11">
      <c r="A11" s="23" t="inlineStr">
        <is>
          <t>Yıllık amortisman farkı [₺]</t>
        </is>
      </c>
      <c r="B11" s="28">
        <f>IFERROR(B10-B9,0)</f>
        <v/>
      </c>
    </row>
    <row r="12">
      <c r="A12" s="9" t="inlineStr">
        <is>
          <t>Cetvel özeti (kanıt)</t>
        </is>
      </c>
      <c r="K12" s="10">
        <f>_xlfn.TEXTJOIN(" · ",TRUE,"Önce=",TEXT(B9,"₺ #,##0"),"Sonra=",TEXT(B10,"₺ #,##0"),"Fark=",TEXT(B11,"₺ #,##0"),"Yıl=",TEXT(IFERROR(GIRDI!B12,0),"0"))</f>
        <v/>
      </c>
    </row>
    <row r="14">
      <c r="A14" s="11" t="inlineStr">
        <is>
          <t>Yıllık amortisman cetveli</t>
        </is>
      </c>
    </row>
    <row r="15" ht="30" customHeight="1">
      <c r="A15" s="12" t="inlineStr">
        <is>
          <t>Yil</t>
        </is>
      </c>
      <c r="B15" s="12" t="inlineStr">
        <is>
          <t>AmortOnce</t>
        </is>
      </c>
      <c r="C15" s="12" t="inlineStr">
        <is>
          <t>AmortSonra</t>
        </is>
      </c>
      <c r="D15" s="12" t="inlineStr">
        <is>
          <t>AmortFark</t>
        </is>
      </c>
      <c r="E15" s="12" t="inlineStr">
        <is>
          <t>KumulatifOnce</t>
        </is>
      </c>
      <c r="F15" s="12" t="inlineStr">
        <is>
          <t>KumulatifSonra</t>
        </is>
      </c>
      <c r="G15" s="12" t="inlineStr">
        <is>
          <t>KalanNDDOnce</t>
        </is>
      </c>
      <c r="H15" s="12" t="inlineStr">
        <is>
          <t>KalanNDDSonra</t>
        </is>
      </c>
      <c r="I15" s="12" t="inlineStr">
        <is>
          <t>Durum</t>
        </is>
      </c>
      <c r="K15" s="38" t="inlineStr">
        <is>
          <t>OnceDemo</t>
        </is>
      </c>
      <c r="L15" s="38" t="inlineStr">
        <is>
          <t>SonraDemo</t>
        </is>
      </c>
    </row>
    <row r="16">
      <c r="A16" s="32" t="n">
        <v>1</v>
      </c>
      <c r="B16" s="31">
        <f>IF(OR($A16="",$A16&gt;IFERROR(GIRDI!B12,0)),"",IFERROR(IF(OR(GIRDI!B12="",GIRDI!B12=0),0,ayd_netDefter/GIRDI!B12),0))</f>
        <v/>
      </c>
      <c r="C16" s="31">
        <f>IF(OR($A16="",$A16&gt;IFERROR(GIRDI!B12,0)),"",IFERROR(IF(OR(GIRDI!B12="",GIRDI!B12=0),0,(ayd_netDefter+ayd_fark)/GIRDI!B12),0))</f>
        <v/>
      </c>
      <c r="D16" s="31">
        <f>IF($B16="","",IFERROR($C16-$B16,0))</f>
        <v/>
      </c>
      <c r="E16" s="31">
        <f>IF($B16="","",IFERROR($A16*$B16,0))</f>
        <v/>
      </c>
      <c r="F16" s="31">
        <f>IF($C16="","",IFERROR($A16*$C16,0))</f>
        <v/>
      </c>
      <c r="G16" s="31">
        <f>IF($B16="","",IFERROR(MAX(0,ayd_netDefter-$E16),0))</f>
        <v/>
      </c>
      <c r="H16" s="31">
        <f>IF($C16="","",IFERROR(MAX(0,ayd_netDefter+ayd_fark-$F16),0))</f>
        <v/>
      </c>
      <c r="I16" s="31">
        <f>IF($A16="","",IF($A16&gt;IFERROR(GIRDI!B12,0),"DIŞI","AKTİF"))</f>
        <v/>
      </c>
      <c r="K16" s="19" t="n">
        <v>80000</v>
      </c>
      <c r="L16" s="19" t="n">
        <v>125000</v>
      </c>
    </row>
    <row r="17">
      <c r="A17" s="32" t="n">
        <v>2</v>
      </c>
      <c r="B17" s="31">
        <f>IF(OR($A17="",$A17&gt;IFERROR(GIRDI!B12,0)),"",IFERROR(IF(OR(GIRDI!B12="",GIRDI!B12=0),0,ayd_netDefter/GIRDI!B12),0))</f>
        <v/>
      </c>
      <c r="C17" s="31">
        <f>IF(OR($A17="",$A17&gt;IFERROR(GIRDI!B12,0)),"",IFERROR(IF(OR(GIRDI!B12="",GIRDI!B12=0),0,(ayd_netDefter+ayd_fark)/GIRDI!B12),0))</f>
        <v/>
      </c>
      <c r="D17" s="31">
        <f>IF($B17="","",IFERROR($C17-$B17,0))</f>
        <v/>
      </c>
      <c r="E17" s="31">
        <f>IF($B17="","",IFERROR($A17*$B17,0))</f>
        <v/>
      </c>
      <c r="F17" s="31">
        <f>IF($C17="","",IFERROR($A17*$C17,0))</f>
        <v/>
      </c>
      <c r="G17" s="31">
        <f>IF($B17="","",IFERROR(MAX(0,ayd_netDefter-$E17),0))</f>
        <v/>
      </c>
      <c r="H17" s="31">
        <f>IF($C17="","",IFERROR(MAX(0,ayd_netDefter+ayd_fark-$F17),0))</f>
        <v/>
      </c>
      <c r="I17" s="31">
        <f>IF($A17="","",IF($A17&gt;IFERROR(GIRDI!B12,0),"DIŞI","AKTİF"))</f>
        <v/>
      </c>
      <c r="K17" s="19" t="n">
        <v>80000</v>
      </c>
      <c r="L17" s="19" t="n">
        <v>125000</v>
      </c>
    </row>
    <row r="18">
      <c r="A18" s="32" t="n">
        <v>3</v>
      </c>
      <c r="B18" s="31">
        <f>IF(OR($A18="",$A18&gt;IFERROR(GIRDI!B12,0)),"",IFERROR(IF(OR(GIRDI!B12="",GIRDI!B12=0),0,ayd_netDefter/GIRDI!B12),0))</f>
        <v/>
      </c>
      <c r="C18" s="31">
        <f>IF(OR($A18="",$A18&gt;IFERROR(GIRDI!B12,0)),"",IFERROR(IF(OR(GIRDI!B12="",GIRDI!B12=0),0,(ayd_netDefter+ayd_fark)/GIRDI!B12),0))</f>
        <v/>
      </c>
      <c r="D18" s="31">
        <f>IF($B18="","",IFERROR($C18-$B18,0))</f>
        <v/>
      </c>
      <c r="E18" s="31">
        <f>IF($B18="","",IFERROR($A18*$B18,0))</f>
        <v/>
      </c>
      <c r="F18" s="31">
        <f>IF($C18="","",IFERROR($A18*$C18,0))</f>
        <v/>
      </c>
      <c r="G18" s="31">
        <f>IF($B18="","",IFERROR(MAX(0,ayd_netDefter-$E18),0))</f>
        <v/>
      </c>
      <c r="H18" s="31">
        <f>IF($C18="","",IFERROR(MAX(0,ayd_netDefter+ayd_fark-$F18),0))</f>
        <v/>
      </c>
      <c r="I18" s="31">
        <f>IF($A18="","",IF($A18&gt;IFERROR(GIRDI!B12,0),"DIŞI","AKTİF"))</f>
        <v/>
      </c>
      <c r="K18" s="19" t="n">
        <v>80000</v>
      </c>
      <c r="L18" s="19" t="n">
        <v>125000</v>
      </c>
    </row>
    <row r="19">
      <c r="A19" s="32" t="n">
        <v>4</v>
      </c>
      <c r="B19" s="31">
        <f>IF(OR($A19="",$A19&gt;IFERROR(GIRDI!B12,0)),"",IFERROR(IF(OR(GIRDI!B12="",GIRDI!B12=0),0,ayd_netDefter/GIRDI!B12),0))</f>
        <v/>
      </c>
      <c r="C19" s="31">
        <f>IF(OR($A19="",$A19&gt;IFERROR(GIRDI!B12,0)),"",IFERROR(IF(OR(GIRDI!B12="",GIRDI!B12=0),0,(ayd_netDefter+ayd_fark)/GIRDI!B12),0))</f>
        <v/>
      </c>
      <c r="D19" s="31">
        <f>IF($B19="","",IFERROR($C19-$B19,0))</f>
        <v/>
      </c>
      <c r="E19" s="31">
        <f>IF($B19="","",IFERROR($A19*$B19,0))</f>
        <v/>
      </c>
      <c r="F19" s="31">
        <f>IF($C19="","",IFERROR($A19*$C19,0))</f>
        <v/>
      </c>
      <c r="G19" s="31">
        <f>IF($B19="","",IFERROR(MAX(0,ayd_netDefter-$E19),0))</f>
        <v/>
      </c>
      <c r="H19" s="31">
        <f>IF($C19="","",IFERROR(MAX(0,ayd_netDefter+ayd_fark-$F19),0))</f>
        <v/>
      </c>
      <c r="I19" s="31">
        <f>IF($A19="","",IF($A19&gt;IFERROR(GIRDI!B12,0),"DIŞI","AKTİF"))</f>
        <v/>
      </c>
      <c r="K19" s="19" t="n">
        <v>80000</v>
      </c>
      <c r="L19" s="19" t="n">
        <v>125000</v>
      </c>
    </row>
    <row r="20">
      <c r="A20" s="32" t="n">
        <v>5</v>
      </c>
      <c r="B20" s="31">
        <f>IF(OR($A20="",$A20&gt;IFERROR(GIRDI!B12,0)),"",IFERROR(IF(OR(GIRDI!B12="",GIRDI!B12=0),0,ayd_netDefter/GIRDI!B12),0))</f>
        <v/>
      </c>
      <c r="C20" s="31">
        <f>IF(OR($A20="",$A20&gt;IFERROR(GIRDI!B12,0)),"",IFERROR(IF(OR(GIRDI!B12="",GIRDI!B12=0),0,(ayd_netDefter+ayd_fark)/GIRDI!B12),0))</f>
        <v/>
      </c>
      <c r="D20" s="31">
        <f>IF($B20="","",IFERROR($C20-$B20,0))</f>
        <v/>
      </c>
      <c r="E20" s="31">
        <f>IF($B20="","",IFERROR($A20*$B20,0))</f>
        <v/>
      </c>
      <c r="F20" s="31">
        <f>IF($C20="","",IFERROR($A20*$C20,0))</f>
        <v/>
      </c>
      <c r="G20" s="31">
        <f>IF($B20="","",IFERROR(MAX(0,ayd_netDefter-$E20),0))</f>
        <v/>
      </c>
      <c r="H20" s="31">
        <f>IF($C20="","",IFERROR(MAX(0,ayd_netDefter+ayd_fark-$F20),0))</f>
        <v/>
      </c>
      <c r="I20" s="31">
        <f>IF($A20="","",IF($A20&gt;IFERROR(GIRDI!B12,0),"DIŞI","AKTİF"))</f>
        <v/>
      </c>
      <c r="K20" s="19" t="n">
        <v>80000</v>
      </c>
      <c r="L20" s="19" t="n">
        <v>125000</v>
      </c>
    </row>
    <row r="21">
      <c r="A21" s="32" t="n">
        <v>6</v>
      </c>
      <c r="B21" s="31">
        <f>IF(OR($A21="",$A21&gt;IFERROR(GIRDI!B12,0)),"",IFERROR(IF(OR(GIRDI!B12="",GIRDI!B12=0),0,ayd_netDefter/GIRDI!B12),0))</f>
        <v/>
      </c>
      <c r="C21" s="31">
        <f>IF(OR($A21="",$A21&gt;IFERROR(GIRDI!B12,0)),"",IFERROR(IF(OR(GIRDI!B12="",GIRDI!B12=0),0,(ayd_netDefter+ayd_fark)/GIRDI!B12),0))</f>
        <v/>
      </c>
      <c r="D21" s="31">
        <f>IF($B21="","",IFERROR($C21-$B21,0))</f>
        <v/>
      </c>
      <c r="E21" s="31">
        <f>IF($B21="","",IFERROR($A21*$B21,0))</f>
        <v/>
      </c>
      <c r="F21" s="31">
        <f>IF($C21="","",IFERROR($A21*$C21,0))</f>
        <v/>
      </c>
      <c r="G21" s="31">
        <f>IF($B21="","",IFERROR(MAX(0,ayd_netDefter-$E21),0))</f>
        <v/>
      </c>
      <c r="H21" s="31">
        <f>IF($C21="","",IFERROR(MAX(0,ayd_netDefter+ayd_fark-$F21),0))</f>
        <v/>
      </c>
      <c r="I21" s="31">
        <f>IF($A21="","",IF($A21&gt;IFERROR(GIRDI!B12,0),"DIŞI","AKTİF"))</f>
        <v/>
      </c>
      <c r="K21" s="19" t="n">
        <v>80000</v>
      </c>
      <c r="L21" s="19" t="n">
        <v>125000</v>
      </c>
    </row>
    <row r="22">
      <c r="A22" s="32" t="n">
        <v>7</v>
      </c>
      <c r="B22" s="31">
        <f>IF(OR($A22="",$A22&gt;IFERROR(GIRDI!B12,0)),"",IFERROR(IF(OR(GIRDI!B12="",GIRDI!B12=0),0,ayd_netDefter/GIRDI!B12),0))</f>
        <v/>
      </c>
      <c r="C22" s="31">
        <f>IF(OR($A22="",$A22&gt;IFERROR(GIRDI!B12,0)),"",IFERROR(IF(OR(GIRDI!B12="",GIRDI!B12=0),0,(ayd_netDefter+ayd_fark)/GIRDI!B12),0))</f>
        <v/>
      </c>
      <c r="D22" s="31">
        <f>IF($B22="","",IFERROR($C22-$B22,0))</f>
        <v/>
      </c>
      <c r="E22" s="31">
        <f>IF($B22="","",IFERROR($A22*$B22,0))</f>
        <v/>
      </c>
      <c r="F22" s="31">
        <f>IF($C22="","",IFERROR($A22*$C22,0))</f>
        <v/>
      </c>
      <c r="G22" s="31">
        <f>IF($B22="","",IFERROR(MAX(0,ayd_netDefter-$E22),0))</f>
        <v/>
      </c>
      <c r="H22" s="31">
        <f>IF($C22="","",IFERROR(MAX(0,ayd_netDefter+ayd_fark-$F22),0))</f>
        <v/>
      </c>
      <c r="I22" s="31">
        <f>IF($A22="","",IF($A22&gt;IFERROR(GIRDI!B12,0),"DIŞI","AKTİF"))</f>
        <v/>
      </c>
      <c r="K22" s="19" t="n">
        <v>80000</v>
      </c>
      <c r="L22" s="19" t="n">
        <v>125000</v>
      </c>
    </row>
    <row r="23">
      <c r="A23" s="32" t="n">
        <v>8</v>
      </c>
      <c r="B23" s="31">
        <f>IF(OR($A23="",$A23&gt;IFERROR(GIRDI!B12,0)),"",IFERROR(IF(OR(GIRDI!B12="",GIRDI!B12=0),0,ayd_netDefter/GIRDI!B12),0))</f>
        <v/>
      </c>
      <c r="C23" s="31">
        <f>IF(OR($A23="",$A23&gt;IFERROR(GIRDI!B12,0)),"",IFERROR(IF(OR(GIRDI!B12="",GIRDI!B12=0),0,(ayd_netDefter+ayd_fark)/GIRDI!B12),0))</f>
        <v/>
      </c>
      <c r="D23" s="31">
        <f>IF($B23="","",IFERROR($C23-$B23,0))</f>
        <v/>
      </c>
      <c r="E23" s="31">
        <f>IF($B23="","",IFERROR($A23*$B23,0))</f>
        <v/>
      </c>
      <c r="F23" s="31">
        <f>IF($C23="","",IFERROR($A23*$C23,0))</f>
        <v/>
      </c>
      <c r="G23" s="31">
        <f>IF($B23="","",IFERROR(MAX(0,ayd_netDefter-$E23),0))</f>
        <v/>
      </c>
      <c r="H23" s="31">
        <f>IF($C23="","",IFERROR(MAX(0,ayd_netDefter+ayd_fark-$F23),0))</f>
        <v/>
      </c>
      <c r="I23" s="31">
        <f>IF($A23="","",IF($A23&gt;IFERROR(GIRDI!B12,0),"DIŞI","AKTİF"))</f>
        <v/>
      </c>
      <c r="K23" s="19" t="n">
        <v>80000</v>
      </c>
      <c r="L23" s="19" t="n">
        <v>125000</v>
      </c>
    </row>
    <row r="24">
      <c r="A24" s="32" t="n">
        <v>9</v>
      </c>
      <c r="B24" s="31">
        <f>IF(OR($A24="",$A24&gt;IFERROR(GIRDI!B12,0)),"",IFERROR(IF(OR(GIRDI!B12="",GIRDI!B12=0),0,ayd_netDefter/GIRDI!B12),0))</f>
        <v/>
      </c>
      <c r="C24" s="31">
        <f>IF(OR($A24="",$A24&gt;IFERROR(GIRDI!B12,0)),"",IFERROR(IF(OR(GIRDI!B12="",GIRDI!B12=0),0,(ayd_netDefter+ayd_fark)/GIRDI!B12),0))</f>
        <v/>
      </c>
      <c r="D24" s="31">
        <f>IF($B24="","",IFERROR($C24-$B24,0))</f>
        <v/>
      </c>
      <c r="E24" s="31">
        <f>IF($B24="","",IFERROR($A24*$B24,0))</f>
        <v/>
      </c>
      <c r="F24" s="31">
        <f>IF($C24="","",IFERROR($A24*$C24,0))</f>
        <v/>
      </c>
      <c r="G24" s="31">
        <f>IF($B24="","",IFERROR(MAX(0,ayd_netDefter-$E24),0))</f>
        <v/>
      </c>
      <c r="H24" s="31">
        <f>IF($C24="","",IFERROR(MAX(0,ayd_netDefter+ayd_fark-$F24),0))</f>
        <v/>
      </c>
      <c r="I24" s="31">
        <f>IF($A24="","",IF($A24&gt;IFERROR(GIRDI!B12,0),"DIŞI","AKTİF"))</f>
        <v/>
      </c>
      <c r="K24" s="19" t="n">
        <v>80000</v>
      </c>
      <c r="L24" s="19" t="n">
        <v>125000</v>
      </c>
    </row>
    <row r="25">
      <c r="A25" s="32" t="n">
        <v>10</v>
      </c>
      <c r="B25" s="31">
        <f>IF(OR($A25="",$A25&gt;IFERROR(GIRDI!B12,0)),"",IFERROR(IF(OR(GIRDI!B12="",GIRDI!B12=0),0,ayd_netDefter/GIRDI!B12),0))</f>
        <v/>
      </c>
      <c r="C25" s="31">
        <f>IF(OR($A25="",$A25&gt;IFERROR(GIRDI!B12,0)),"",IFERROR(IF(OR(GIRDI!B12="",GIRDI!B12=0),0,(ayd_netDefter+ayd_fark)/GIRDI!B12),0))</f>
        <v/>
      </c>
      <c r="D25" s="31">
        <f>IF($B25="","",IFERROR($C25-$B25,0))</f>
        <v/>
      </c>
      <c r="E25" s="31">
        <f>IF($B25="","",IFERROR($A25*$B25,0))</f>
        <v/>
      </c>
      <c r="F25" s="31">
        <f>IF($C25="","",IFERROR($A25*$C25,0))</f>
        <v/>
      </c>
      <c r="G25" s="31">
        <f>IF($B25="","",IFERROR(MAX(0,ayd_netDefter-$E25),0))</f>
        <v/>
      </c>
      <c r="H25" s="31">
        <f>IF($C25="","",IFERROR(MAX(0,ayd_netDefter+ayd_fark-$F25),0))</f>
        <v/>
      </c>
      <c r="I25" s="31">
        <f>IF($A25="","",IF($A25&gt;IFERROR(GIRDI!B12,0),"DIŞI","AKTİF"))</f>
        <v/>
      </c>
      <c r="K25" s="19" t="n">
        <v>80000</v>
      </c>
      <c r="L25" s="19" t="n">
        <v>125000</v>
      </c>
    </row>
    <row r="26">
      <c r="A26" s="32" t="n">
        <v>11</v>
      </c>
      <c r="B26" s="31">
        <f>IF(OR($A26="",$A26&gt;IFERROR(GIRDI!B12,0)),"",IFERROR(IF(OR(GIRDI!B12="",GIRDI!B12=0),0,ayd_netDefter/GIRDI!B12),0))</f>
        <v/>
      </c>
      <c r="C26" s="31">
        <f>IF(OR($A26="",$A26&gt;IFERROR(GIRDI!B12,0)),"",IFERROR(IF(OR(GIRDI!B12="",GIRDI!B12=0),0,(ayd_netDefter+ayd_fark)/GIRDI!B12),0))</f>
        <v/>
      </c>
      <c r="D26" s="31">
        <f>IF($B26="","",IFERROR($C26-$B26,0))</f>
        <v/>
      </c>
      <c r="E26" s="31">
        <f>IF($B26="","",IFERROR($A26*$B26,0))</f>
        <v/>
      </c>
      <c r="F26" s="31">
        <f>IF($C26="","",IFERROR($A26*$C26,0))</f>
        <v/>
      </c>
      <c r="G26" s="31">
        <f>IF($B26="","",IFERROR(MAX(0,ayd_netDefter-$E26),0))</f>
        <v/>
      </c>
      <c r="H26" s="31">
        <f>IF($C26="","",IFERROR(MAX(0,ayd_netDefter+ayd_fark-$F26),0))</f>
        <v/>
      </c>
      <c r="I26" s="31">
        <f>IF($A26="","",IF($A26&gt;IFERROR(GIRDI!B12,0),"DIŞI","AKTİF"))</f>
        <v/>
      </c>
    </row>
    <row r="27">
      <c r="A27" s="32" t="n">
        <v>12</v>
      </c>
      <c r="B27" s="31">
        <f>IF(OR($A27="",$A27&gt;IFERROR(GIRDI!B12,0)),"",IFERROR(IF(OR(GIRDI!B12="",GIRDI!B12=0),0,ayd_netDefter/GIRDI!B12),0))</f>
        <v/>
      </c>
      <c r="C27" s="31">
        <f>IF(OR($A27="",$A27&gt;IFERROR(GIRDI!B12,0)),"",IFERROR(IF(OR(GIRDI!B12="",GIRDI!B12=0),0,(ayd_netDefter+ayd_fark)/GIRDI!B12),0))</f>
        <v/>
      </c>
      <c r="D27" s="31">
        <f>IF($B27="","",IFERROR($C27-$B27,0))</f>
        <v/>
      </c>
      <c r="E27" s="31">
        <f>IF($B27="","",IFERROR($A27*$B27,0))</f>
        <v/>
      </c>
      <c r="F27" s="31">
        <f>IF($C27="","",IFERROR($A27*$C27,0))</f>
        <v/>
      </c>
      <c r="G27" s="31">
        <f>IF($B27="","",IFERROR(MAX(0,ayd_netDefter-$E27),0))</f>
        <v/>
      </c>
      <c r="H27" s="31">
        <f>IF($C27="","",IFERROR(MAX(0,ayd_netDefter+ayd_fark-$F27),0))</f>
        <v/>
      </c>
      <c r="I27" s="31">
        <f>IF($A27="","",IF($A27&gt;IFERROR(GIRDI!B12,0),"DIŞI","AKTİF"))</f>
        <v/>
      </c>
    </row>
    <row r="28">
      <c r="A28" s="32" t="n">
        <v>13</v>
      </c>
      <c r="B28" s="31">
        <f>IF(OR($A28="",$A28&gt;IFERROR(GIRDI!B12,0)),"",IFERROR(IF(OR(GIRDI!B12="",GIRDI!B12=0),0,ayd_netDefter/GIRDI!B12),0))</f>
        <v/>
      </c>
      <c r="C28" s="31">
        <f>IF(OR($A28="",$A28&gt;IFERROR(GIRDI!B12,0)),"",IFERROR(IF(OR(GIRDI!B12="",GIRDI!B12=0),0,(ayd_netDefter+ayd_fark)/GIRDI!B12),0))</f>
        <v/>
      </c>
      <c r="D28" s="31">
        <f>IF($B28="","",IFERROR($C28-$B28,0))</f>
        <v/>
      </c>
      <c r="E28" s="31">
        <f>IF($B28="","",IFERROR($A28*$B28,0))</f>
        <v/>
      </c>
      <c r="F28" s="31">
        <f>IF($C28="","",IFERROR($A28*$C28,0))</f>
        <v/>
      </c>
      <c r="G28" s="31">
        <f>IF($B28="","",IFERROR(MAX(0,ayd_netDefter-$E28),0))</f>
        <v/>
      </c>
      <c r="H28" s="31">
        <f>IF($C28="","",IFERROR(MAX(0,ayd_netDefter+ayd_fark-$F28),0))</f>
        <v/>
      </c>
      <c r="I28" s="31">
        <f>IF($A28="","",IF($A28&gt;IFERROR(GIRDI!B12,0),"DIŞI","AKTİF"))</f>
        <v/>
      </c>
    </row>
    <row r="29">
      <c r="A29" s="32" t="n">
        <v>14</v>
      </c>
      <c r="B29" s="31">
        <f>IF(OR($A29="",$A29&gt;IFERROR(GIRDI!B12,0)),"",IFERROR(IF(OR(GIRDI!B12="",GIRDI!B12=0),0,ayd_netDefter/GIRDI!B12),0))</f>
        <v/>
      </c>
      <c r="C29" s="31">
        <f>IF(OR($A29="",$A29&gt;IFERROR(GIRDI!B12,0)),"",IFERROR(IF(OR(GIRDI!B12="",GIRDI!B12=0),0,(ayd_netDefter+ayd_fark)/GIRDI!B12),0))</f>
        <v/>
      </c>
      <c r="D29" s="31">
        <f>IF($B29="","",IFERROR($C29-$B29,0))</f>
        <v/>
      </c>
      <c r="E29" s="31">
        <f>IF($B29="","",IFERROR($A29*$B29,0))</f>
        <v/>
      </c>
      <c r="F29" s="31">
        <f>IF($C29="","",IFERROR($A29*$C29,0))</f>
        <v/>
      </c>
      <c r="G29" s="31">
        <f>IF($B29="","",IFERROR(MAX(0,ayd_netDefter-$E29),0))</f>
        <v/>
      </c>
      <c r="H29" s="31">
        <f>IF($C29="","",IFERROR(MAX(0,ayd_netDefter+ayd_fark-$F29),0))</f>
        <v/>
      </c>
      <c r="I29" s="31">
        <f>IF($A29="","",IF($A29&gt;IFERROR(GIRDI!B12,0),"DIŞI","AKTİF"))</f>
        <v/>
      </c>
    </row>
    <row r="30">
      <c r="A30" s="32" t="n">
        <v>15</v>
      </c>
      <c r="B30" s="31">
        <f>IF(OR($A30="",$A30&gt;IFERROR(GIRDI!B12,0)),"",IFERROR(IF(OR(GIRDI!B12="",GIRDI!B12=0),0,ayd_netDefter/GIRDI!B12),0))</f>
        <v/>
      </c>
      <c r="C30" s="31">
        <f>IF(OR($A30="",$A30&gt;IFERROR(GIRDI!B12,0)),"",IFERROR(IF(OR(GIRDI!B12="",GIRDI!B12=0),0,(ayd_netDefter+ayd_fark)/GIRDI!B12),0))</f>
        <v/>
      </c>
      <c r="D30" s="31">
        <f>IF($B30="","",IFERROR($C30-$B30,0))</f>
        <v/>
      </c>
      <c r="E30" s="31">
        <f>IF($B30="","",IFERROR($A30*$B30,0))</f>
        <v/>
      </c>
      <c r="F30" s="31">
        <f>IF($C30="","",IFERROR($A30*$C30,0))</f>
        <v/>
      </c>
      <c r="G30" s="31">
        <f>IF($B30="","",IFERROR(MAX(0,ayd_netDefter-$E30),0))</f>
        <v/>
      </c>
      <c r="H30" s="31">
        <f>IF($C30="","",IFERROR(MAX(0,ayd_netDefter+ayd_fark-$F30),0))</f>
        <v/>
      </c>
      <c r="I30" s="31">
        <f>IF($A30="","",IF($A30&gt;IFERROR(GIRDI!B12,0),"DIŞI","AKTİF"))</f>
        <v/>
      </c>
    </row>
    <row r="31">
      <c r="A31" s="32" t="n">
        <v>16</v>
      </c>
      <c r="B31" s="31">
        <f>IF(OR($A31="",$A31&gt;IFERROR(GIRDI!B12,0)),"",IFERROR(IF(OR(GIRDI!B12="",GIRDI!B12=0),0,ayd_netDefter/GIRDI!B12),0))</f>
        <v/>
      </c>
      <c r="C31" s="31">
        <f>IF(OR($A31="",$A31&gt;IFERROR(GIRDI!B12,0)),"",IFERROR(IF(OR(GIRDI!B12="",GIRDI!B12=0),0,(ayd_netDefter+ayd_fark)/GIRDI!B12),0))</f>
        <v/>
      </c>
      <c r="D31" s="31">
        <f>IF($B31="","",IFERROR($C31-$B31,0))</f>
        <v/>
      </c>
      <c r="E31" s="31">
        <f>IF($B31="","",IFERROR($A31*$B31,0))</f>
        <v/>
      </c>
      <c r="F31" s="31">
        <f>IF($C31="","",IFERROR($A31*$C31,0))</f>
        <v/>
      </c>
      <c r="G31" s="31">
        <f>IF($B31="","",IFERROR(MAX(0,ayd_netDefter-$E31),0))</f>
        <v/>
      </c>
      <c r="H31" s="31">
        <f>IF($C31="","",IFERROR(MAX(0,ayd_netDefter+ayd_fark-$F31),0))</f>
        <v/>
      </c>
      <c r="I31" s="31">
        <f>IF($A31="","",IF($A31&gt;IFERROR(GIRDI!B12,0),"DIŞI","AKTİF"))</f>
        <v/>
      </c>
    </row>
    <row r="32">
      <c r="A32" s="32" t="n">
        <v>17</v>
      </c>
      <c r="B32" s="31">
        <f>IF(OR($A32="",$A32&gt;IFERROR(GIRDI!B12,0)),"",IFERROR(IF(OR(GIRDI!B12="",GIRDI!B12=0),0,ayd_netDefter/GIRDI!B12),0))</f>
        <v/>
      </c>
      <c r="C32" s="31">
        <f>IF(OR($A32="",$A32&gt;IFERROR(GIRDI!B12,0)),"",IFERROR(IF(OR(GIRDI!B12="",GIRDI!B12=0),0,(ayd_netDefter+ayd_fark)/GIRDI!B12),0))</f>
        <v/>
      </c>
      <c r="D32" s="31">
        <f>IF($B32="","",IFERROR($C32-$B32,0))</f>
        <v/>
      </c>
      <c r="E32" s="31">
        <f>IF($B32="","",IFERROR($A32*$B32,0))</f>
        <v/>
      </c>
      <c r="F32" s="31">
        <f>IF($C32="","",IFERROR($A32*$C32,0))</f>
        <v/>
      </c>
      <c r="G32" s="31">
        <f>IF($B32="","",IFERROR(MAX(0,ayd_netDefter-$E32),0))</f>
        <v/>
      </c>
      <c r="H32" s="31">
        <f>IF($C32="","",IFERROR(MAX(0,ayd_netDefter+ayd_fark-$F32),0))</f>
        <v/>
      </c>
      <c r="I32" s="31">
        <f>IF($A32="","",IF($A32&gt;IFERROR(GIRDI!B12,0),"DIŞI","AKTİF"))</f>
        <v/>
      </c>
    </row>
    <row r="33">
      <c r="A33" s="32" t="n">
        <v>18</v>
      </c>
      <c r="B33" s="31">
        <f>IF(OR($A33="",$A33&gt;IFERROR(GIRDI!B12,0)),"",IFERROR(IF(OR(GIRDI!B12="",GIRDI!B12=0),0,ayd_netDefter/GIRDI!B12),0))</f>
        <v/>
      </c>
      <c r="C33" s="31">
        <f>IF(OR($A33="",$A33&gt;IFERROR(GIRDI!B12,0)),"",IFERROR(IF(OR(GIRDI!B12="",GIRDI!B12=0),0,(ayd_netDefter+ayd_fark)/GIRDI!B12),0))</f>
        <v/>
      </c>
      <c r="D33" s="31">
        <f>IF($B33="","",IFERROR($C33-$B33,0))</f>
        <v/>
      </c>
      <c r="E33" s="31">
        <f>IF($B33="","",IFERROR($A33*$B33,0))</f>
        <v/>
      </c>
      <c r="F33" s="31">
        <f>IF($C33="","",IFERROR($A33*$C33,0))</f>
        <v/>
      </c>
      <c r="G33" s="31">
        <f>IF($B33="","",IFERROR(MAX(0,ayd_netDefter-$E33),0))</f>
        <v/>
      </c>
      <c r="H33" s="31">
        <f>IF($C33="","",IFERROR(MAX(0,ayd_netDefter+ayd_fark-$F33),0))</f>
        <v/>
      </c>
      <c r="I33" s="31">
        <f>IF($A33="","",IF($A33&gt;IFERROR(GIRDI!B12,0),"DIŞI","AKTİF"))</f>
        <v/>
      </c>
    </row>
    <row r="34">
      <c r="A34" s="32" t="n">
        <v>19</v>
      </c>
      <c r="B34" s="31">
        <f>IF(OR($A34="",$A34&gt;IFERROR(GIRDI!B12,0)),"",IFERROR(IF(OR(GIRDI!B12="",GIRDI!B12=0),0,ayd_netDefter/GIRDI!B12),0))</f>
        <v/>
      </c>
      <c r="C34" s="31">
        <f>IF(OR($A34="",$A34&gt;IFERROR(GIRDI!B12,0)),"",IFERROR(IF(OR(GIRDI!B12="",GIRDI!B12=0),0,(ayd_netDefter+ayd_fark)/GIRDI!B12),0))</f>
        <v/>
      </c>
      <c r="D34" s="31">
        <f>IF($B34="","",IFERROR($C34-$B34,0))</f>
        <v/>
      </c>
      <c r="E34" s="31">
        <f>IF($B34="","",IFERROR($A34*$B34,0))</f>
        <v/>
      </c>
      <c r="F34" s="31">
        <f>IF($C34="","",IFERROR($A34*$C34,0))</f>
        <v/>
      </c>
      <c r="G34" s="31">
        <f>IF($B34="","",IFERROR(MAX(0,ayd_netDefter-$E34),0))</f>
        <v/>
      </c>
      <c r="H34" s="31">
        <f>IF($C34="","",IFERROR(MAX(0,ayd_netDefter+ayd_fark-$F34),0))</f>
        <v/>
      </c>
      <c r="I34" s="31">
        <f>IF($A34="","",IF($A34&gt;IFERROR(GIRDI!B12,0),"DIŞI","AKTİF"))</f>
        <v/>
      </c>
    </row>
    <row r="35">
      <c r="A35" s="32" t="n">
        <v>20</v>
      </c>
      <c r="B35" s="31">
        <f>IF(OR($A35="",$A35&gt;IFERROR(GIRDI!B12,0)),"",IFERROR(IF(OR(GIRDI!B12="",GIRDI!B12=0),0,ayd_netDefter/GIRDI!B12),0))</f>
        <v/>
      </c>
      <c r="C35" s="31">
        <f>IF(OR($A35="",$A35&gt;IFERROR(GIRDI!B12,0)),"",IFERROR(IF(OR(GIRDI!B12="",GIRDI!B12=0),0,(ayd_netDefter+ayd_fark)/GIRDI!B12),0))</f>
        <v/>
      </c>
      <c r="D35" s="31">
        <f>IF($B35="","",IFERROR($C35-$B35,0))</f>
        <v/>
      </c>
      <c r="E35" s="31">
        <f>IF($B35="","",IFERROR($A35*$B35,0))</f>
        <v/>
      </c>
      <c r="F35" s="31">
        <f>IF($C35="","",IFERROR($A35*$C35,0))</f>
        <v/>
      </c>
      <c r="G35" s="31">
        <f>IF($B35="","",IFERROR(MAX(0,ayd_netDefter-$E35),0))</f>
        <v/>
      </c>
      <c r="H35" s="31">
        <f>IF($C35="","",IFERROR(MAX(0,ayd_netDefter+ayd_fark-$F35),0))</f>
        <v/>
      </c>
      <c r="I35" s="31">
        <f>IF($A35="","",IF($A35&gt;IFERROR(GIRDI!B12,0),"DIŞI","AKTİF"))</f>
        <v/>
      </c>
    </row>
    <row r="36">
      <c r="A36" s="32" t="n">
        <v>21</v>
      </c>
      <c r="B36" s="31">
        <f>IF(OR($A36="",$A36&gt;IFERROR(GIRDI!B12,0)),"",IFERROR(IF(OR(GIRDI!B12="",GIRDI!B12=0),0,ayd_netDefter/GIRDI!B12),0))</f>
        <v/>
      </c>
      <c r="C36" s="31">
        <f>IF(OR($A36="",$A36&gt;IFERROR(GIRDI!B12,0)),"",IFERROR(IF(OR(GIRDI!B12="",GIRDI!B12=0),0,(ayd_netDefter+ayd_fark)/GIRDI!B12),0))</f>
        <v/>
      </c>
      <c r="D36" s="31">
        <f>IF($B36="","",IFERROR($C36-$B36,0))</f>
        <v/>
      </c>
      <c r="E36" s="31">
        <f>IF($B36="","",IFERROR($A36*$B36,0))</f>
        <v/>
      </c>
      <c r="F36" s="31">
        <f>IF($C36="","",IFERROR($A36*$C36,0))</f>
        <v/>
      </c>
      <c r="G36" s="31">
        <f>IF($B36="","",IFERROR(MAX(0,ayd_netDefter-$E36),0))</f>
        <v/>
      </c>
      <c r="H36" s="31">
        <f>IF($C36="","",IFERROR(MAX(0,ayd_netDefter+ayd_fark-$F36),0))</f>
        <v/>
      </c>
      <c r="I36" s="31">
        <f>IF($A36="","",IF($A36&gt;IFERROR(GIRDI!B12,0),"DIŞI","AKTİF"))</f>
        <v/>
      </c>
    </row>
    <row r="37">
      <c r="A37" s="32" t="n">
        <v>22</v>
      </c>
      <c r="B37" s="31">
        <f>IF(OR($A37="",$A37&gt;IFERROR(GIRDI!B12,0)),"",IFERROR(IF(OR(GIRDI!B12="",GIRDI!B12=0),0,ayd_netDefter/GIRDI!B12),0))</f>
        <v/>
      </c>
      <c r="C37" s="31">
        <f>IF(OR($A37="",$A37&gt;IFERROR(GIRDI!B12,0)),"",IFERROR(IF(OR(GIRDI!B12="",GIRDI!B12=0),0,(ayd_netDefter+ayd_fark)/GIRDI!B12),0))</f>
        <v/>
      </c>
      <c r="D37" s="31">
        <f>IF($B37="","",IFERROR($C37-$B37,0))</f>
        <v/>
      </c>
      <c r="E37" s="31">
        <f>IF($B37="","",IFERROR($A37*$B37,0))</f>
        <v/>
      </c>
      <c r="F37" s="31">
        <f>IF($C37="","",IFERROR($A37*$C37,0))</f>
        <v/>
      </c>
      <c r="G37" s="31">
        <f>IF($B37="","",IFERROR(MAX(0,ayd_netDefter-$E37),0))</f>
        <v/>
      </c>
      <c r="H37" s="31">
        <f>IF($C37="","",IFERROR(MAX(0,ayd_netDefter+ayd_fark-$F37),0))</f>
        <v/>
      </c>
      <c r="I37" s="31">
        <f>IF($A37="","",IF($A37&gt;IFERROR(GIRDI!B12,0),"DIŞI","AKTİF"))</f>
        <v/>
      </c>
    </row>
    <row r="38">
      <c r="A38" s="32" t="n">
        <v>23</v>
      </c>
      <c r="B38" s="31">
        <f>IF(OR($A38="",$A38&gt;IFERROR(GIRDI!B12,0)),"",IFERROR(IF(OR(GIRDI!B12="",GIRDI!B12=0),0,ayd_netDefter/GIRDI!B12),0))</f>
        <v/>
      </c>
      <c r="C38" s="31">
        <f>IF(OR($A38="",$A38&gt;IFERROR(GIRDI!B12,0)),"",IFERROR(IF(OR(GIRDI!B12="",GIRDI!B12=0),0,(ayd_netDefter+ayd_fark)/GIRDI!B12),0))</f>
        <v/>
      </c>
      <c r="D38" s="31">
        <f>IF($B38="","",IFERROR($C38-$B38,0))</f>
        <v/>
      </c>
      <c r="E38" s="31">
        <f>IF($B38="","",IFERROR($A38*$B38,0))</f>
        <v/>
      </c>
      <c r="F38" s="31">
        <f>IF($C38="","",IFERROR($A38*$C38,0))</f>
        <v/>
      </c>
      <c r="G38" s="31">
        <f>IF($B38="","",IFERROR(MAX(0,ayd_netDefter-$E38),0))</f>
        <v/>
      </c>
      <c r="H38" s="31">
        <f>IF($C38="","",IFERROR(MAX(0,ayd_netDefter+ayd_fark-$F38),0))</f>
        <v/>
      </c>
      <c r="I38" s="31">
        <f>IF($A38="","",IF($A38&gt;IFERROR(GIRDI!B12,0),"DIŞI","AKTİF"))</f>
        <v/>
      </c>
    </row>
    <row r="39">
      <c r="A39" s="32" t="n">
        <v>24</v>
      </c>
      <c r="B39" s="31">
        <f>IF(OR($A39="",$A39&gt;IFERROR(GIRDI!B12,0)),"",IFERROR(IF(OR(GIRDI!B12="",GIRDI!B12=0),0,ayd_netDefter/GIRDI!B12),0))</f>
        <v/>
      </c>
      <c r="C39" s="31">
        <f>IF(OR($A39="",$A39&gt;IFERROR(GIRDI!B12,0)),"",IFERROR(IF(OR(GIRDI!B12="",GIRDI!B12=0),0,(ayd_netDefter+ayd_fark)/GIRDI!B12),0))</f>
        <v/>
      </c>
      <c r="D39" s="31">
        <f>IF($B39="","",IFERROR($C39-$B39,0))</f>
        <v/>
      </c>
      <c r="E39" s="31">
        <f>IF($B39="","",IFERROR($A39*$B39,0))</f>
        <v/>
      </c>
      <c r="F39" s="31">
        <f>IF($C39="","",IFERROR($A39*$C39,0))</f>
        <v/>
      </c>
      <c r="G39" s="31">
        <f>IF($B39="","",IFERROR(MAX(0,ayd_netDefter-$E39),0))</f>
        <v/>
      </c>
      <c r="H39" s="31">
        <f>IF($C39="","",IFERROR(MAX(0,ayd_netDefter+ayd_fark-$F39),0))</f>
        <v/>
      </c>
      <c r="I39" s="31">
        <f>IF($A39="","",IF($A39&gt;IFERROR(GIRDI!B12,0),"DIŞI","AKTİF"))</f>
        <v/>
      </c>
    </row>
    <row r="40">
      <c r="A40" s="32" t="n">
        <v>25</v>
      </c>
      <c r="B40" s="31">
        <f>IF(OR($A40="",$A40&gt;IFERROR(GIRDI!B12,0)),"",IFERROR(IF(OR(GIRDI!B12="",GIRDI!B12=0),0,ayd_netDefter/GIRDI!B12),0))</f>
        <v/>
      </c>
      <c r="C40" s="31">
        <f>IF(OR($A40="",$A40&gt;IFERROR(GIRDI!B12,0)),"",IFERROR(IF(OR(GIRDI!B12="",GIRDI!B12=0),0,(ayd_netDefter+ayd_fark)/GIRDI!B12),0))</f>
        <v/>
      </c>
      <c r="D40" s="31">
        <f>IF($B40="","",IFERROR($C40-$B40,0))</f>
        <v/>
      </c>
      <c r="E40" s="31">
        <f>IF($B40="","",IFERROR($A40*$B40,0))</f>
        <v/>
      </c>
      <c r="F40" s="31">
        <f>IF($C40="","",IFERROR($A40*$C40,0))</f>
        <v/>
      </c>
      <c r="G40" s="31">
        <f>IF($B40="","",IFERROR(MAX(0,ayd_netDefter-$E40),0))</f>
        <v/>
      </c>
      <c r="H40" s="31">
        <f>IF($C40="","",IFERROR(MAX(0,ayd_netDefter+ayd_fark-$F40),0))</f>
        <v/>
      </c>
      <c r="I40" s="31">
        <f>IF($A40="","",IF($A40&gt;IFERROR(GIRDI!B12,0),"DIŞI","AKTİF"))</f>
        <v/>
      </c>
    </row>
    <row r="41">
      <c r="A41" s="32" t="n">
        <v>26</v>
      </c>
      <c r="B41" s="31">
        <f>IF(OR($A41="",$A41&gt;IFERROR(GIRDI!B12,0)),"",IFERROR(IF(OR(GIRDI!B12="",GIRDI!B12=0),0,ayd_netDefter/GIRDI!B12),0))</f>
        <v/>
      </c>
      <c r="C41" s="31">
        <f>IF(OR($A41="",$A41&gt;IFERROR(GIRDI!B12,0)),"",IFERROR(IF(OR(GIRDI!B12="",GIRDI!B12=0),0,(ayd_netDefter+ayd_fark)/GIRDI!B12),0))</f>
        <v/>
      </c>
      <c r="D41" s="31">
        <f>IF($B41="","",IFERROR($C41-$B41,0))</f>
        <v/>
      </c>
      <c r="E41" s="31">
        <f>IF($B41="","",IFERROR($A41*$B41,0))</f>
        <v/>
      </c>
      <c r="F41" s="31">
        <f>IF($C41="","",IFERROR($A41*$C41,0))</f>
        <v/>
      </c>
      <c r="G41" s="31">
        <f>IF($B41="","",IFERROR(MAX(0,ayd_netDefter-$E41),0))</f>
        <v/>
      </c>
      <c r="H41" s="31">
        <f>IF($C41="","",IFERROR(MAX(0,ayd_netDefter+ayd_fark-$F41),0))</f>
        <v/>
      </c>
      <c r="I41" s="31">
        <f>IF($A41="","",IF($A41&gt;IFERROR(GIRDI!B12,0),"DIŞI","AKTİF"))</f>
        <v/>
      </c>
    </row>
    <row r="42">
      <c r="A42" s="32" t="n">
        <v>27</v>
      </c>
      <c r="B42" s="31">
        <f>IF(OR($A42="",$A42&gt;IFERROR(GIRDI!B12,0)),"",IFERROR(IF(OR(GIRDI!B12="",GIRDI!B12=0),0,ayd_netDefter/GIRDI!B12),0))</f>
        <v/>
      </c>
      <c r="C42" s="31">
        <f>IF(OR($A42="",$A42&gt;IFERROR(GIRDI!B12,0)),"",IFERROR(IF(OR(GIRDI!B12="",GIRDI!B12=0),0,(ayd_netDefter+ayd_fark)/GIRDI!B12),0))</f>
        <v/>
      </c>
      <c r="D42" s="31">
        <f>IF($B42="","",IFERROR($C42-$B42,0))</f>
        <v/>
      </c>
      <c r="E42" s="31">
        <f>IF($B42="","",IFERROR($A42*$B42,0))</f>
        <v/>
      </c>
      <c r="F42" s="31">
        <f>IF($C42="","",IFERROR($A42*$C42,0))</f>
        <v/>
      </c>
      <c r="G42" s="31">
        <f>IF($B42="","",IFERROR(MAX(0,ayd_netDefter-$E42),0))</f>
        <v/>
      </c>
      <c r="H42" s="31">
        <f>IF($C42="","",IFERROR(MAX(0,ayd_netDefter+ayd_fark-$F42),0))</f>
        <v/>
      </c>
      <c r="I42" s="31">
        <f>IF($A42="","",IF($A42&gt;IFERROR(GIRDI!B12,0),"DIŞI","AKTİF"))</f>
        <v/>
      </c>
    </row>
    <row r="43">
      <c r="A43" s="32" t="n">
        <v>28</v>
      </c>
      <c r="B43" s="31">
        <f>IF(OR($A43="",$A43&gt;IFERROR(GIRDI!B12,0)),"",IFERROR(IF(OR(GIRDI!B12="",GIRDI!B12=0),0,ayd_netDefter/GIRDI!B12),0))</f>
        <v/>
      </c>
      <c r="C43" s="31">
        <f>IF(OR($A43="",$A43&gt;IFERROR(GIRDI!B12,0)),"",IFERROR(IF(OR(GIRDI!B12="",GIRDI!B12=0),0,(ayd_netDefter+ayd_fark)/GIRDI!B12),0))</f>
        <v/>
      </c>
      <c r="D43" s="31">
        <f>IF($B43="","",IFERROR($C43-$B43,0))</f>
        <v/>
      </c>
      <c r="E43" s="31">
        <f>IF($B43="","",IFERROR($A43*$B43,0))</f>
        <v/>
      </c>
      <c r="F43" s="31">
        <f>IF($C43="","",IFERROR($A43*$C43,0))</f>
        <v/>
      </c>
      <c r="G43" s="31">
        <f>IF($B43="","",IFERROR(MAX(0,ayd_netDefter-$E43),0))</f>
        <v/>
      </c>
      <c r="H43" s="31">
        <f>IF($C43="","",IFERROR(MAX(0,ayd_netDefter+ayd_fark-$F43),0))</f>
        <v/>
      </c>
      <c r="I43" s="31">
        <f>IF($A43="","",IF($A43&gt;IFERROR(GIRDI!B12,0),"DIŞI","AKTİF"))</f>
        <v/>
      </c>
    </row>
    <row r="44">
      <c r="A44" s="32" t="n">
        <v>29</v>
      </c>
      <c r="B44" s="31">
        <f>IF(OR($A44="",$A44&gt;IFERROR(GIRDI!B12,0)),"",IFERROR(IF(OR(GIRDI!B12="",GIRDI!B12=0),0,ayd_netDefter/GIRDI!B12),0))</f>
        <v/>
      </c>
      <c r="C44" s="31">
        <f>IF(OR($A44="",$A44&gt;IFERROR(GIRDI!B12,0)),"",IFERROR(IF(OR(GIRDI!B12="",GIRDI!B12=0),0,(ayd_netDefter+ayd_fark)/GIRDI!B12),0))</f>
        <v/>
      </c>
      <c r="D44" s="31">
        <f>IF($B44="","",IFERROR($C44-$B44,0))</f>
        <v/>
      </c>
      <c r="E44" s="31">
        <f>IF($B44="","",IFERROR($A44*$B44,0))</f>
        <v/>
      </c>
      <c r="F44" s="31">
        <f>IF($C44="","",IFERROR($A44*$C44,0))</f>
        <v/>
      </c>
      <c r="G44" s="31">
        <f>IF($B44="","",IFERROR(MAX(0,ayd_netDefter-$E44),0))</f>
        <v/>
      </c>
      <c r="H44" s="31">
        <f>IF($C44="","",IFERROR(MAX(0,ayd_netDefter+ayd_fark-$F44),0))</f>
        <v/>
      </c>
      <c r="I44" s="31">
        <f>IF($A44="","",IF($A44&gt;IFERROR(GIRDI!B12,0),"DIŞI","AKTİF"))</f>
        <v/>
      </c>
    </row>
    <row r="45">
      <c r="A45" s="32" t="n">
        <v>30</v>
      </c>
      <c r="B45" s="31">
        <f>IF(OR($A45="",$A45&gt;IFERROR(GIRDI!B12,0)),"",IFERROR(IF(OR(GIRDI!B12="",GIRDI!B12=0),0,ayd_netDefter/GIRDI!B12),0))</f>
        <v/>
      </c>
      <c r="C45" s="31">
        <f>IF(OR($A45="",$A45&gt;IFERROR(GIRDI!B12,0)),"",IFERROR(IF(OR(GIRDI!B12="",GIRDI!B12=0),0,(ayd_netDefter+ayd_fark)/GIRDI!B12),0))</f>
        <v/>
      </c>
      <c r="D45" s="31">
        <f>IF($B45="","",IFERROR($C45-$B45,0))</f>
        <v/>
      </c>
      <c r="E45" s="31">
        <f>IF($B45="","",IFERROR($A45*$B45,0))</f>
        <v/>
      </c>
      <c r="F45" s="31">
        <f>IF($C45="","",IFERROR($A45*$C45,0))</f>
        <v/>
      </c>
      <c r="G45" s="31">
        <f>IF($B45="","",IFERROR(MAX(0,ayd_netDefter-$E45),0))</f>
        <v/>
      </c>
      <c r="H45" s="31">
        <f>IF($C45="","",IFERROR(MAX(0,ayd_netDefter+ayd_fark-$F45),0))</f>
        <v/>
      </c>
      <c r="I45" s="31">
        <f>IF($A45="","",IF($A45&gt;IFERROR(GIRDI!B12,0),"DIŞI","AKTİF"))</f>
        <v/>
      </c>
    </row>
    <row r="46">
      <c r="A46" s="32" t="n">
        <v>31</v>
      </c>
      <c r="B46" s="31">
        <f>IF(OR($A46="",$A46&gt;IFERROR(GIRDI!B12,0)),"",IFERROR(IF(OR(GIRDI!B12="",GIRDI!B12=0),0,ayd_netDefter/GIRDI!B12),0))</f>
        <v/>
      </c>
      <c r="C46" s="31">
        <f>IF(OR($A46="",$A46&gt;IFERROR(GIRDI!B12,0)),"",IFERROR(IF(OR(GIRDI!B12="",GIRDI!B12=0),0,(ayd_netDefter+ayd_fark)/GIRDI!B12),0))</f>
        <v/>
      </c>
      <c r="D46" s="31">
        <f>IF($B46="","",IFERROR($C46-$B46,0))</f>
        <v/>
      </c>
      <c r="E46" s="31">
        <f>IF($B46="","",IFERROR($A46*$B46,0))</f>
        <v/>
      </c>
      <c r="F46" s="31">
        <f>IF($C46="","",IFERROR($A46*$C46,0))</f>
        <v/>
      </c>
      <c r="G46" s="31">
        <f>IF($B46="","",IFERROR(MAX(0,ayd_netDefter-$E46),0))</f>
        <v/>
      </c>
      <c r="H46" s="31">
        <f>IF($C46="","",IFERROR(MAX(0,ayd_netDefter+ayd_fark-$F46),0))</f>
        <v/>
      </c>
      <c r="I46" s="31">
        <f>IF($A46="","",IF($A46&gt;IFERROR(GIRDI!B12,0),"DIŞI","AKTİF"))</f>
        <v/>
      </c>
    </row>
    <row r="47">
      <c r="A47" s="32" t="n">
        <v>32</v>
      </c>
      <c r="B47" s="31">
        <f>IF(OR($A47="",$A47&gt;IFERROR(GIRDI!B12,0)),"",IFERROR(IF(OR(GIRDI!B12="",GIRDI!B12=0),0,ayd_netDefter/GIRDI!B12),0))</f>
        <v/>
      </c>
      <c r="C47" s="31">
        <f>IF(OR($A47="",$A47&gt;IFERROR(GIRDI!B12,0)),"",IFERROR(IF(OR(GIRDI!B12="",GIRDI!B12=0),0,(ayd_netDefter+ayd_fark)/GIRDI!B12),0))</f>
        <v/>
      </c>
      <c r="D47" s="31">
        <f>IF($B47="","",IFERROR($C47-$B47,0))</f>
        <v/>
      </c>
      <c r="E47" s="31">
        <f>IF($B47="","",IFERROR($A47*$B47,0))</f>
        <v/>
      </c>
      <c r="F47" s="31">
        <f>IF($C47="","",IFERROR($A47*$C47,0))</f>
        <v/>
      </c>
      <c r="G47" s="31">
        <f>IF($B47="","",IFERROR(MAX(0,ayd_netDefter-$E47),0))</f>
        <v/>
      </c>
      <c r="H47" s="31">
        <f>IF($C47="","",IFERROR(MAX(0,ayd_netDefter+ayd_fark-$F47),0))</f>
        <v/>
      </c>
      <c r="I47" s="31">
        <f>IF($A47="","",IF($A47&gt;IFERROR(GIRDI!B12,0),"DIŞI","AKTİF"))</f>
        <v/>
      </c>
    </row>
    <row r="48">
      <c r="A48" s="32" t="n">
        <v>33</v>
      </c>
      <c r="B48" s="31">
        <f>IF(OR($A48="",$A48&gt;IFERROR(GIRDI!B12,0)),"",IFERROR(IF(OR(GIRDI!B12="",GIRDI!B12=0),0,ayd_netDefter/GIRDI!B12),0))</f>
        <v/>
      </c>
      <c r="C48" s="31">
        <f>IF(OR($A48="",$A48&gt;IFERROR(GIRDI!B12,0)),"",IFERROR(IF(OR(GIRDI!B12="",GIRDI!B12=0),0,(ayd_netDefter+ayd_fark)/GIRDI!B12),0))</f>
        <v/>
      </c>
      <c r="D48" s="31">
        <f>IF($B48="","",IFERROR($C48-$B48,0))</f>
        <v/>
      </c>
      <c r="E48" s="31">
        <f>IF($B48="","",IFERROR($A48*$B48,0))</f>
        <v/>
      </c>
      <c r="F48" s="31">
        <f>IF($C48="","",IFERROR($A48*$C48,0))</f>
        <v/>
      </c>
      <c r="G48" s="31">
        <f>IF($B48="","",IFERROR(MAX(0,ayd_netDefter-$E48),0))</f>
        <v/>
      </c>
      <c r="H48" s="31">
        <f>IF($C48="","",IFERROR(MAX(0,ayd_netDefter+ayd_fark-$F48),0))</f>
        <v/>
      </c>
      <c r="I48" s="31">
        <f>IF($A48="","",IF($A48&gt;IFERROR(GIRDI!B12,0),"DIŞI","AKTİF"))</f>
        <v/>
      </c>
    </row>
    <row r="49">
      <c r="A49" s="32" t="n">
        <v>34</v>
      </c>
      <c r="B49" s="31">
        <f>IF(OR($A49="",$A49&gt;IFERROR(GIRDI!B12,0)),"",IFERROR(IF(OR(GIRDI!B12="",GIRDI!B12=0),0,ayd_netDefter/GIRDI!B12),0))</f>
        <v/>
      </c>
      <c r="C49" s="31">
        <f>IF(OR($A49="",$A49&gt;IFERROR(GIRDI!B12,0)),"",IFERROR(IF(OR(GIRDI!B12="",GIRDI!B12=0),0,(ayd_netDefter+ayd_fark)/GIRDI!B12),0))</f>
        <v/>
      </c>
      <c r="D49" s="31">
        <f>IF($B49="","",IFERROR($C49-$B49,0))</f>
        <v/>
      </c>
      <c r="E49" s="31">
        <f>IF($B49="","",IFERROR($A49*$B49,0))</f>
        <v/>
      </c>
      <c r="F49" s="31">
        <f>IF($C49="","",IFERROR($A49*$C49,0))</f>
        <v/>
      </c>
      <c r="G49" s="31">
        <f>IF($B49="","",IFERROR(MAX(0,ayd_netDefter-$E49),0))</f>
        <v/>
      </c>
      <c r="H49" s="31">
        <f>IF($C49="","",IFERROR(MAX(0,ayd_netDefter+ayd_fark-$F49),0))</f>
        <v/>
      </c>
      <c r="I49" s="31">
        <f>IF($A49="","",IF($A49&gt;IFERROR(GIRDI!B12,0),"DIŞI","AKTİF"))</f>
        <v/>
      </c>
    </row>
    <row r="50">
      <c r="A50" s="32" t="n">
        <v>35</v>
      </c>
      <c r="B50" s="31">
        <f>IF(OR($A50="",$A50&gt;IFERROR(GIRDI!B12,0)),"",IFERROR(IF(OR(GIRDI!B12="",GIRDI!B12=0),0,ayd_netDefter/GIRDI!B12),0))</f>
        <v/>
      </c>
      <c r="C50" s="31">
        <f>IF(OR($A50="",$A50&gt;IFERROR(GIRDI!B12,0)),"",IFERROR(IF(OR(GIRDI!B12="",GIRDI!B12=0),0,(ayd_netDefter+ayd_fark)/GIRDI!B12),0))</f>
        <v/>
      </c>
      <c r="D50" s="31">
        <f>IF($B50="","",IFERROR($C50-$B50,0))</f>
        <v/>
      </c>
      <c r="E50" s="31">
        <f>IF($B50="","",IFERROR($A50*$B50,0))</f>
        <v/>
      </c>
      <c r="F50" s="31">
        <f>IF($C50="","",IFERROR($A50*$C50,0))</f>
        <v/>
      </c>
      <c r="G50" s="31">
        <f>IF($B50="","",IFERROR(MAX(0,ayd_netDefter-$E50),0))</f>
        <v/>
      </c>
      <c r="H50" s="31">
        <f>IF($C50="","",IFERROR(MAX(0,ayd_netDefter+ayd_fark-$F50),0))</f>
        <v/>
      </c>
      <c r="I50" s="31">
        <f>IF($A50="","",IF($A50&gt;IFERROR(GIRDI!B12,0),"DIŞI","AKTİF"))</f>
        <v/>
      </c>
    </row>
    <row r="51">
      <c r="A51" s="32" t="n">
        <v>36</v>
      </c>
      <c r="B51" s="31">
        <f>IF(OR($A51="",$A51&gt;IFERROR(GIRDI!B12,0)),"",IFERROR(IF(OR(GIRDI!B12="",GIRDI!B12=0),0,ayd_netDefter/GIRDI!B12),0))</f>
        <v/>
      </c>
      <c r="C51" s="31">
        <f>IF(OR($A51="",$A51&gt;IFERROR(GIRDI!B12,0)),"",IFERROR(IF(OR(GIRDI!B12="",GIRDI!B12=0),0,(ayd_netDefter+ayd_fark)/GIRDI!B12),0))</f>
        <v/>
      </c>
      <c r="D51" s="31">
        <f>IF($B51="","",IFERROR($C51-$B51,0))</f>
        <v/>
      </c>
      <c r="E51" s="31">
        <f>IF($B51="","",IFERROR($A51*$B51,0))</f>
        <v/>
      </c>
      <c r="F51" s="31">
        <f>IF($C51="","",IFERROR($A51*$C51,0))</f>
        <v/>
      </c>
      <c r="G51" s="31">
        <f>IF($B51="","",IFERROR(MAX(0,ayd_netDefter-$E51),0))</f>
        <v/>
      </c>
      <c r="H51" s="31">
        <f>IF($C51="","",IFERROR(MAX(0,ayd_netDefter+ayd_fark-$F51),0))</f>
        <v/>
      </c>
      <c r="I51" s="31">
        <f>IF($A51="","",IF($A51&gt;IFERROR(GIRDI!B12,0),"DIŞI","AKTİF"))</f>
        <v/>
      </c>
    </row>
    <row r="52">
      <c r="A52" s="32" t="n">
        <v>37</v>
      </c>
      <c r="B52" s="31">
        <f>IF(OR($A52="",$A52&gt;IFERROR(GIRDI!B12,0)),"",IFERROR(IF(OR(GIRDI!B12="",GIRDI!B12=0),0,ayd_netDefter/GIRDI!B12),0))</f>
        <v/>
      </c>
      <c r="C52" s="31">
        <f>IF(OR($A52="",$A52&gt;IFERROR(GIRDI!B12,0)),"",IFERROR(IF(OR(GIRDI!B12="",GIRDI!B12=0),0,(ayd_netDefter+ayd_fark)/GIRDI!B12),0))</f>
        <v/>
      </c>
      <c r="D52" s="31">
        <f>IF($B52="","",IFERROR($C52-$B52,0))</f>
        <v/>
      </c>
      <c r="E52" s="31">
        <f>IF($B52="","",IFERROR($A52*$B52,0))</f>
        <v/>
      </c>
      <c r="F52" s="31">
        <f>IF($C52="","",IFERROR($A52*$C52,0))</f>
        <v/>
      </c>
      <c r="G52" s="31">
        <f>IF($B52="","",IFERROR(MAX(0,ayd_netDefter-$E52),0))</f>
        <v/>
      </c>
      <c r="H52" s="31">
        <f>IF($C52="","",IFERROR(MAX(0,ayd_netDefter+ayd_fark-$F52),0))</f>
        <v/>
      </c>
      <c r="I52" s="31">
        <f>IF($A52="","",IF($A52&gt;IFERROR(GIRDI!B12,0),"DIŞI","AKTİF"))</f>
        <v/>
      </c>
    </row>
    <row r="53">
      <c r="A53" s="32" t="n">
        <v>38</v>
      </c>
      <c r="B53" s="31">
        <f>IF(OR($A53="",$A53&gt;IFERROR(GIRDI!B12,0)),"",IFERROR(IF(OR(GIRDI!B12="",GIRDI!B12=0),0,ayd_netDefter/GIRDI!B12),0))</f>
        <v/>
      </c>
      <c r="C53" s="31">
        <f>IF(OR($A53="",$A53&gt;IFERROR(GIRDI!B12,0)),"",IFERROR(IF(OR(GIRDI!B12="",GIRDI!B12=0),0,(ayd_netDefter+ayd_fark)/GIRDI!B12),0))</f>
        <v/>
      </c>
      <c r="D53" s="31">
        <f>IF($B53="","",IFERROR($C53-$B53,0))</f>
        <v/>
      </c>
      <c r="E53" s="31">
        <f>IF($B53="","",IFERROR($A53*$B53,0))</f>
        <v/>
      </c>
      <c r="F53" s="31">
        <f>IF($C53="","",IFERROR($A53*$C53,0))</f>
        <v/>
      </c>
      <c r="G53" s="31">
        <f>IF($B53="","",IFERROR(MAX(0,ayd_netDefter-$E53),0))</f>
        <v/>
      </c>
      <c r="H53" s="31">
        <f>IF($C53="","",IFERROR(MAX(0,ayd_netDefter+ayd_fark-$F53),0))</f>
        <v/>
      </c>
      <c r="I53" s="31">
        <f>IF($A53="","",IF($A53&gt;IFERROR(GIRDI!B12,0),"DIŞI","AKTİF"))</f>
        <v/>
      </c>
    </row>
    <row r="54">
      <c r="A54" s="32" t="n">
        <v>39</v>
      </c>
      <c r="B54" s="31">
        <f>IF(OR($A54="",$A54&gt;IFERROR(GIRDI!B12,0)),"",IFERROR(IF(OR(GIRDI!B12="",GIRDI!B12=0),0,ayd_netDefter/GIRDI!B12),0))</f>
        <v/>
      </c>
      <c r="C54" s="31">
        <f>IF(OR($A54="",$A54&gt;IFERROR(GIRDI!B12,0)),"",IFERROR(IF(OR(GIRDI!B12="",GIRDI!B12=0),0,(ayd_netDefter+ayd_fark)/GIRDI!B12),0))</f>
        <v/>
      </c>
      <c r="D54" s="31">
        <f>IF($B54="","",IFERROR($C54-$B54,0))</f>
        <v/>
      </c>
      <c r="E54" s="31">
        <f>IF($B54="","",IFERROR($A54*$B54,0))</f>
        <v/>
      </c>
      <c r="F54" s="31">
        <f>IF($C54="","",IFERROR($A54*$C54,0))</f>
        <v/>
      </c>
      <c r="G54" s="31">
        <f>IF($B54="","",IFERROR(MAX(0,ayd_netDefter-$E54),0))</f>
        <v/>
      </c>
      <c r="H54" s="31">
        <f>IF($C54="","",IFERROR(MAX(0,ayd_netDefter+ayd_fark-$F54),0))</f>
        <v/>
      </c>
      <c r="I54" s="31">
        <f>IF($A54="","",IF($A54&gt;IFERROR(GIRDI!B12,0),"DIŞI","AKTİF"))</f>
        <v/>
      </c>
    </row>
    <row r="55">
      <c r="A55" s="32" t="n">
        <v>40</v>
      </c>
      <c r="B55" s="31">
        <f>IF(OR($A55="",$A55&gt;IFERROR(GIRDI!B12,0)),"",IFERROR(IF(OR(GIRDI!B12="",GIRDI!B12=0),0,ayd_netDefter/GIRDI!B12),0))</f>
        <v/>
      </c>
      <c r="C55" s="31">
        <f>IF(OR($A55="",$A55&gt;IFERROR(GIRDI!B12,0)),"",IFERROR(IF(OR(GIRDI!B12="",GIRDI!B12=0),0,(ayd_netDefter+ayd_fark)/GIRDI!B12),0))</f>
        <v/>
      </c>
      <c r="D55" s="31">
        <f>IF($B55="","",IFERROR($C55-$B55,0))</f>
        <v/>
      </c>
      <c r="E55" s="31">
        <f>IF($B55="","",IFERROR($A55*$B55,0))</f>
        <v/>
      </c>
      <c r="F55" s="31">
        <f>IF($C55="","",IFERROR($A55*$C55,0))</f>
        <v/>
      </c>
      <c r="G55" s="31">
        <f>IF($B55="","",IFERROR(MAX(0,ayd_netDefter-$E55),0))</f>
        <v/>
      </c>
      <c r="H55" s="31">
        <f>IF($C55="","",IFERROR(MAX(0,ayd_netDefter+ayd_fark-$F55),0))</f>
        <v/>
      </c>
      <c r="I55" s="31">
        <f>IF($A55="","",IF($A55&gt;IFERROR(GIRDI!B12,0),"DIŞI","AKTİF"))</f>
        <v/>
      </c>
    </row>
    <row r="56">
      <c r="B56" s="31">
        <f>IF(OR($A56="",$A56&gt;IFERROR(GIRDI!B12,0)),"",IFERROR(IF(OR(GIRDI!B12="",GIRDI!B12=0),0,ayd_netDefter/GIRDI!B12),0))</f>
        <v/>
      </c>
      <c r="C56" s="31">
        <f>IF(OR($A56="",$A56&gt;IFERROR(GIRDI!B12,0)),"",IFERROR(IF(OR(GIRDI!B12="",GIRDI!B12=0),0,(ayd_netDefter+ayd_fark)/GIRDI!B12),0))</f>
        <v/>
      </c>
      <c r="D56" s="31">
        <f>IF($B56="","",IFERROR($C56-$B56,0))</f>
        <v/>
      </c>
      <c r="E56" s="31">
        <f>IF($B56="","",IFERROR($A56*$B56,0))</f>
        <v/>
      </c>
      <c r="F56" s="31">
        <f>IF($C56="","",IFERROR($A56*$C56,0))</f>
        <v/>
      </c>
      <c r="G56" s="31">
        <f>IF($B56="","",IFERROR(MAX(0,ayd_netDefter-$E56),0))</f>
        <v/>
      </c>
      <c r="H56" s="31">
        <f>IF($C56="","",IFERROR(MAX(0,ayd_netDefter+ayd_fark-$F56),0))</f>
        <v/>
      </c>
      <c r="I56" s="31">
        <f>IF($A56="","",IF($A56&gt;IFERROR(GIRDI!B12,0),"DIŞI","AKTİF"))</f>
        <v/>
      </c>
    </row>
    <row r="57">
      <c r="B57" s="31">
        <f>IF(OR($A57="",$A57&gt;IFERROR(GIRDI!B12,0)),"",IFERROR(IF(OR(GIRDI!B12="",GIRDI!B12=0),0,ayd_netDefter/GIRDI!B12),0))</f>
        <v/>
      </c>
      <c r="C57" s="31">
        <f>IF(OR($A57="",$A57&gt;IFERROR(GIRDI!B12,0)),"",IFERROR(IF(OR(GIRDI!B12="",GIRDI!B12=0),0,(ayd_netDefter+ayd_fark)/GIRDI!B12),0))</f>
        <v/>
      </c>
      <c r="D57" s="31">
        <f>IF($B57="","",IFERROR($C57-$B57,0))</f>
        <v/>
      </c>
      <c r="E57" s="31">
        <f>IF($B57="","",IFERROR($A57*$B57,0))</f>
        <v/>
      </c>
      <c r="F57" s="31">
        <f>IF($C57="","",IFERROR($A57*$C57,0))</f>
        <v/>
      </c>
      <c r="G57" s="31">
        <f>IF($B57="","",IFERROR(MAX(0,ayd_netDefter-$E57),0))</f>
        <v/>
      </c>
      <c r="H57" s="31">
        <f>IF($C57="","",IFERROR(MAX(0,ayd_netDefter+ayd_fark-$F57),0))</f>
        <v/>
      </c>
      <c r="I57" s="31">
        <f>IF($A57="","",IF($A57&gt;IFERROR(GIRDI!B12,0),"DIŞI","AKTİF"))</f>
        <v/>
      </c>
    </row>
    <row r="58">
      <c r="B58" s="31">
        <f>IF(OR($A58="",$A58&gt;IFERROR(GIRDI!B12,0)),"",IFERROR(IF(OR(GIRDI!B12="",GIRDI!B12=0),0,ayd_netDefter/GIRDI!B12),0))</f>
        <v/>
      </c>
      <c r="C58" s="31">
        <f>IF(OR($A58="",$A58&gt;IFERROR(GIRDI!B12,0)),"",IFERROR(IF(OR(GIRDI!B12="",GIRDI!B12=0),0,(ayd_netDefter+ayd_fark)/GIRDI!B12),0))</f>
        <v/>
      </c>
      <c r="D58" s="31">
        <f>IF($B58="","",IFERROR($C58-$B58,0))</f>
        <v/>
      </c>
      <c r="E58" s="31">
        <f>IF($B58="","",IFERROR($A58*$B58,0))</f>
        <v/>
      </c>
      <c r="F58" s="31">
        <f>IF($C58="","",IFERROR($A58*$C58,0))</f>
        <v/>
      </c>
      <c r="G58" s="31">
        <f>IF($B58="","",IFERROR(MAX(0,ayd_netDefter-$E58),0))</f>
        <v/>
      </c>
      <c r="H58" s="31">
        <f>IF($C58="","",IFERROR(MAX(0,ayd_netDefter+ayd_fark-$F58),0))</f>
        <v/>
      </c>
      <c r="I58" s="31">
        <f>IF($A58="","",IF($A58&gt;IFERROR(GIRDI!B12,0),"DIŞI","AKTİF"))</f>
        <v/>
      </c>
    </row>
    <row r="59">
      <c r="B59" s="31">
        <f>IF(OR($A59="",$A59&gt;IFERROR(GIRDI!B12,0)),"",IFERROR(IF(OR(GIRDI!B12="",GIRDI!B12=0),0,ayd_netDefter/GIRDI!B12),0))</f>
        <v/>
      </c>
      <c r="C59" s="31">
        <f>IF(OR($A59="",$A59&gt;IFERROR(GIRDI!B12,0)),"",IFERROR(IF(OR(GIRDI!B12="",GIRDI!B12=0),0,(ayd_netDefter+ayd_fark)/GIRDI!B12),0))</f>
        <v/>
      </c>
      <c r="D59" s="31">
        <f>IF($B59="","",IFERROR($C59-$B59,0))</f>
        <v/>
      </c>
      <c r="E59" s="31">
        <f>IF($B59="","",IFERROR($A59*$B59,0))</f>
        <v/>
      </c>
      <c r="F59" s="31">
        <f>IF($C59="","",IFERROR($A59*$C59,0))</f>
        <v/>
      </c>
      <c r="G59" s="31">
        <f>IF($B59="","",IFERROR(MAX(0,ayd_netDefter-$E59),0))</f>
        <v/>
      </c>
      <c r="H59" s="31">
        <f>IF($C59="","",IFERROR(MAX(0,ayd_netDefter+ayd_fark-$F59),0))</f>
        <v/>
      </c>
      <c r="I59" s="31">
        <f>IF($A59="","",IF($A59&gt;IFERROR(GIRDI!B12,0),"DIŞI","AKTİF"))</f>
        <v/>
      </c>
    </row>
    <row r="60">
      <c r="B60" s="31">
        <f>IF(OR($A60="",$A60&gt;IFERROR(GIRDI!B12,0)),"",IFERROR(IF(OR(GIRDI!B12="",GIRDI!B12=0),0,ayd_netDefter/GIRDI!B12),0))</f>
        <v/>
      </c>
      <c r="C60" s="31">
        <f>IF(OR($A60="",$A60&gt;IFERROR(GIRDI!B12,0)),"",IFERROR(IF(OR(GIRDI!B12="",GIRDI!B12=0),0,(ayd_netDefter+ayd_fark)/GIRDI!B12),0))</f>
        <v/>
      </c>
      <c r="D60" s="31">
        <f>IF($B60="","",IFERROR($C60-$B60,0))</f>
        <v/>
      </c>
      <c r="E60" s="31">
        <f>IF($B60="","",IFERROR($A60*$B60,0))</f>
        <v/>
      </c>
      <c r="F60" s="31">
        <f>IF($C60="","",IFERROR($A60*$C60,0))</f>
        <v/>
      </c>
      <c r="G60" s="31">
        <f>IF($B60="","",IFERROR(MAX(0,ayd_netDefter-$E60),0))</f>
        <v/>
      </c>
      <c r="H60" s="31">
        <f>IF($C60="","",IFERROR(MAX(0,ayd_netDefter+ayd_fark-$F60),0))</f>
        <v/>
      </c>
      <c r="I60" s="31">
        <f>IF($A60="","",IF($A60&gt;IFERROR(GIRDI!B12,0),"DIŞI","AKTİF"))</f>
        <v/>
      </c>
    </row>
    <row r="61">
      <c r="B61" s="31">
        <f>IF(OR($A61="",$A61&gt;IFERROR(GIRDI!B12,0)),"",IFERROR(IF(OR(GIRDI!B12="",GIRDI!B12=0),0,ayd_netDefter/GIRDI!B12),0))</f>
        <v/>
      </c>
      <c r="C61" s="31">
        <f>IF(OR($A61="",$A61&gt;IFERROR(GIRDI!B12,0)),"",IFERROR(IF(OR(GIRDI!B12="",GIRDI!B12=0),0,(ayd_netDefter+ayd_fark)/GIRDI!B12),0))</f>
        <v/>
      </c>
      <c r="D61" s="31">
        <f>IF($B61="","",IFERROR($C61-$B61,0))</f>
        <v/>
      </c>
      <c r="E61" s="31">
        <f>IF($B61="","",IFERROR($A61*$B61,0))</f>
        <v/>
      </c>
      <c r="F61" s="31">
        <f>IF($C61="","",IFERROR($A61*$C61,0))</f>
        <v/>
      </c>
      <c r="G61" s="31">
        <f>IF($B61="","",IFERROR(MAX(0,ayd_netDefter-$E61),0))</f>
        <v/>
      </c>
      <c r="H61" s="31">
        <f>IF($C61="","",IFERROR(MAX(0,ayd_netDefter+ayd_fark-$F61),0))</f>
        <v/>
      </c>
      <c r="I61" s="31">
        <f>IF($A61="","",IF($A61&gt;IFERROR(GIRDI!B12,0),"DIŞI","AKTİF"))</f>
        <v/>
      </c>
    </row>
    <row r="62">
      <c r="B62" s="31">
        <f>IF(OR($A62="",$A62&gt;IFERROR(GIRDI!B12,0)),"",IFERROR(IF(OR(GIRDI!B12="",GIRDI!B12=0),0,ayd_netDefter/GIRDI!B12),0))</f>
        <v/>
      </c>
      <c r="C62" s="31">
        <f>IF(OR($A62="",$A62&gt;IFERROR(GIRDI!B12,0)),"",IFERROR(IF(OR(GIRDI!B12="",GIRDI!B12=0),0,(ayd_netDefter+ayd_fark)/GIRDI!B12),0))</f>
        <v/>
      </c>
      <c r="D62" s="31">
        <f>IF($B62="","",IFERROR($C62-$B62,0))</f>
        <v/>
      </c>
      <c r="E62" s="31">
        <f>IF($B62="","",IFERROR($A62*$B62,0))</f>
        <v/>
      </c>
      <c r="F62" s="31">
        <f>IF($C62="","",IFERROR($A62*$C62,0))</f>
        <v/>
      </c>
      <c r="G62" s="31">
        <f>IF($B62="","",IFERROR(MAX(0,ayd_netDefter-$E62),0))</f>
        <v/>
      </c>
      <c r="H62" s="31">
        <f>IF($C62="","",IFERROR(MAX(0,ayd_netDefter+ayd_fark-$F62),0))</f>
        <v/>
      </c>
      <c r="I62" s="31">
        <f>IF($A62="","",IF($A62&gt;IFERROR(GIRDI!B12,0),"DIŞI","AKTİF"))</f>
        <v/>
      </c>
    </row>
    <row r="63">
      <c r="B63" s="31">
        <f>IF(OR($A63="",$A63&gt;IFERROR(GIRDI!B12,0)),"",IFERROR(IF(OR(GIRDI!B12="",GIRDI!B12=0),0,ayd_netDefter/GIRDI!B12),0))</f>
        <v/>
      </c>
      <c r="C63" s="31">
        <f>IF(OR($A63="",$A63&gt;IFERROR(GIRDI!B12,0)),"",IFERROR(IF(OR(GIRDI!B12="",GIRDI!B12=0),0,(ayd_netDefter+ayd_fark)/GIRDI!B12),0))</f>
        <v/>
      </c>
      <c r="D63" s="31">
        <f>IF($B63="","",IFERROR($C63-$B63,0))</f>
        <v/>
      </c>
      <c r="E63" s="31">
        <f>IF($B63="","",IFERROR($A63*$B63,0))</f>
        <v/>
      </c>
      <c r="F63" s="31">
        <f>IF($C63="","",IFERROR($A63*$C63,0))</f>
        <v/>
      </c>
      <c r="G63" s="31">
        <f>IF($B63="","",IFERROR(MAX(0,ayd_netDefter-$E63),0))</f>
        <v/>
      </c>
      <c r="H63" s="31">
        <f>IF($C63="","",IFERROR(MAX(0,ayd_netDefter+ayd_fark-$F63),0))</f>
        <v/>
      </c>
      <c r="I63" s="31">
        <f>IF($A63="","",IF($A63&gt;IFERROR(GIRDI!B12,0),"DIŞI","AKTİF"))</f>
        <v/>
      </c>
    </row>
    <row r="64">
      <c r="B64" s="31">
        <f>IF(OR($A64="",$A64&gt;IFERROR(GIRDI!B12,0)),"",IFERROR(IF(OR(GIRDI!B12="",GIRDI!B12=0),0,ayd_netDefter/GIRDI!B12),0))</f>
        <v/>
      </c>
      <c r="C64" s="31">
        <f>IF(OR($A64="",$A64&gt;IFERROR(GIRDI!B12,0)),"",IFERROR(IF(OR(GIRDI!B12="",GIRDI!B12=0),0,(ayd_netDefter+ayd_fark)/GIRDI!B12),0))</f>
        <v/>
      </c>
      <c r="D64" s="31">
        <f>IF($B64="","",IFERROR($C64-$B64,0))</f>
        <v/>
      </c>
      <c r="E64" s="31">
        <f>IF($B64="","",IFERROR($A64*$B64,0))</f>
        <v/>
      </c>
      <c r="F64" s="31">
        <f>IF($C64="","",IFERROR($A64*$C64,0))</f>
        <v/>
      </c>
      <c r="G64" s="31">
        <f>IF($B64="","",IFERROR(MAX(0,ayd_netDefter-$E64),0))</f>
        <v/>
      </c>
      <c r="H64" s="31">
        <f>IF($C64="","",IFERROR(MAX(0,ayd_netDefter+ayd_fark-$F64),0))</f>
        <v/>
      </c>
      <c r="I64" s="31">
        <f>IF($A64="","",IF($A64&gt;IFERROR(GIRDI!B12,0),"DIŞI","AKTİF"))</f>
        <v/>
      </c>
    </row>
    <row r="65">
      <c r="B65" s="31">
        <f>IF(OR($A65="",$A65&gt;IFERROR(GIRDI!B12,0)),"",IFERROR(IF(OR(GIRDI!B12="",GIRDI!B12=0),0,ayd_netDefter/GIRDI!B12),0))</f>
        <v/>
      </c>
      <c r="C65" s="31">
        <f>IF(OR($A65="",$A65&gt;IFERROR(GIRDI!B12,0)),"",IFERROR(IF(OR(GIRDI!B12="",GIRDI!B12=0),0,(ayd_netDefter+ayd_fark)/GIRDI!B12),0))</f>
        <v/>
      </c>
      <c r="D65" s="31">
        <f>IF($B65="","",IFERROR($C65-$B65,0))</f>
        <v/>
      </c>
      <c r="E65" s="31">
        <f>IF($B65="","",IFERROR($A65*$B65,0))</f>
        <v/>
      </c>
      <c r="F65" s="31">
        <f>IF($C65="","",IFERROR($A65*$C65,0))</f>
        <v/>
      </c>
      <c r="G65" s="31">
        <f>IF($B65="","",IFERROR(MAX(0,ayd_netDefter-$E65),0))</f>
        <v/>
      </c>
      <c r="H65" s="31">
        <f>IF($C65="","",IFERROR(MAX(0,ayd_netDefter+ayd_fark-$F65),0))</f>
        <v/>
      </c>
      <c r="I65" s="31">
        <f>IF($A65="","",IF($A65&gt;IFERROR(GIRDI!B12,0),"DIŞI","AKTİF"))</f>
        <v/>
      </c>
    </row>
    <row r="66">
      <c r="B66" s="31">
        <f>IF(OR($A66="",$A66&gt;IFERROR(GIRDI!B12,0)),"",IFERROR(IF(OR(GIRDI!B12="",GIRDI!B12=0),0,ayd_netDefter/GIRDI!B12),0))</f>
        <v/>
      </c>
      <c r="C66" s="31">
        <f>IF(OR($A66="",$A66&gt;IFERROR(GIRDI!B12,0)),"",IFERROR(IF(OR(GIRDI!B12="",GIRDI!B12=0),0,(ayd_netDefter+ayd_fark)/GIRDI!B12),0))</f>
        <v/>
      </c>
      <c r="D66" s="31">
        <f>IF($B66="","",IFERROR($C66-$B66,0))</f>
        <v/>
      </c>
      <c r="E66" s="31">
        <f>IF($B66="","",IFERROR($A66*$B66,0))</f>
        <v/>
      </c>
      <c r="F66" s="31">
        <f>IF($C66="","",IFERROR($A66*$C66,0))</f>
        <v/>
      </c>
      <c r="G66" s="31">
        <f>IF($B66="","",IFERROR(MAX(0,ayd_netDefter-$E66),0))</f>
        <v/>
      </c>
      <c r="H66" s="31">
        <f>IF($C66="","",IFERROR(MAX(0,ayd_netDefter+ayd_fark-$F66),0))</f>
        <v/>
      </c>
      <c r="I66" s="31">
        <f>IF($A66="","",IF($A66&gt;IFERROR(GIRDI!B12,0),"DIŞI","AKTİF"))</f>
        <v/>
      </c>
    </row>
    <row r="67">
      <c r="B67" s="31">
        <f>IF(OR($A67="",$A67&gt;IFERROR(GIRDI!B12,0)),"",IFERROR(IF(OR(GIRDI!B12="",GIRDI!B12=0),0,ayd_netDefter/GIRDI!B12),0))</f>
        <v/>
      </c>
      <c r="C67" s="31">
        <f>IF(OR($A67="",$A67&gt;IFERROR(GIRDI!B12,0)),"",IFERROR(IF(OR(GIRDI!B12="",GIRDI!B12=0),0,(ayd_netDefter+ayd_fark)/GIRDI!B12),0))</f>
        <v/>
      </c>
      <c r="D67" s="31">
        <f>IF($B67="","",IFERROR($C67-$B67,0))</f>
        <v/>
      </c>
      <c r="E67" s="31">
        <f>IF($B67="","",IFERROR($A67*$B67,0))</f>
        <v/>
      </c>
      <c r="F67" s="31">
        <f>IF($C67="","",IFERROR($A67*$C67,0))</f>
        <v/>
      </c>
      <c r="G67" s="31">
        <f>IF($B67="","",IFERROR(MAX(0,ayd_netDefter-$E67),0))</f>
        <v/>
      </c>
      <c r="H67" s="31">
        <f>IF($C67="","",IFERROR(MAX(0,ayd_netDefter+ayd_fark-$F67),0))</f>
        <v/>
      </c>
      <c r="I67" s="31">
        <f>IF($A67="","",IF($A67&gt;IFERROR(GIRDI!B12,0),"DIŞI","AKTİF"))</f>
        <v/>
      </c>
    </row>
    <row r="68">
      <c r="B68" s="31">
        <f>IF(OR($A68="",$A68&gt;IFERROR(GIRDI!B12,0)),"",IFERROR(IF(OR(GIRDI!B12="",GIRDI!B12=0),0,ayd_netDefter/GIRDI!B12),0))</f>
        <v/>
      </c>
      <c r="C68" s="31">
        <f>IF(OR($A68="",$A68&gt;IFERROR(GIRDI!B12,0)),"",IFERROR(IF(OR(GIRDI!B12="",GIRDI!B12=0),0,(ayd_netDefter+ayd_fark)/GIRDI!B12),0))</f>
        <v/>
      </c>
      <c r="D68" s="31">
        <f>IF($B68="","",IFERROR($C68-$B68,0))</f>
        <v/>
      </c>
      <c r="E68" s="31">
        <f>IF($B68="","",IFERROR($A68*$B68,0))</f>
        <v/>
      </c>
      <c r="F68" s="31">
        <f>IF($C68="","",IFERROR($A68*$C68,0))</f>
        <v/>
      </c>
      <c r="G68" s="31">
        <f>IF($B68="","",IFERROR(MAX(0,ayd_netDefter-$E68),0))</f>
        <v/>
      </c>
      <c r="H68" s="31">
        <f>IF($C68="","",IFERROR(MAX(0,ayd_netDefter+ayd_fark-$F68),0))</f>
        <v/>
      </c>
      <c r="I68" s="31">
        <f>IF($A68="","",IF($A68&gt;IFERROR(GIRDI!B12,0),"DIŞI","AKTİF"))</f>
        <v/>
      </c>
    </row>
    <row r="69">
      <c r="B69" s="31">
        <f>IF(OR($A69="",$A69&gt;IFERROR(GIRDI!B12,0)),"",IFERROR(IF(OR(GIRDI!B12="",GIRDI!B12=0),0,ayd_netDefter/GIRDI!B12),0))</f>
        <v/>
      </c>
      <c r="C69" s="31">
        <f>IF(OR($A69="",$A69&gt;IFERROR(GIRDI!B12,0)),"",IFERROR(IF(OR(GIRDI!B12="",GIRDI!B12=0),0,(ayd_netDefter+ayd_fark)/GIRDI!B12),0))</f>
        <v/>
      </c>
      <c r="D69" s="31">
        <f>IF($B69="","",IFERROR($C69-$B69,0))</f>
        <v/>
      </c>
      <c r="E69" s="31">
        <f>IF($B69="","",IFERROR($A69*$B69,0))</f>
        <v/>
      </c>
      <c r="F69" s="31">
        <f>IF($C69="","",IFERROR($A69*$C69,0))</f>
        <v/>
      </c>
      <c r="G69" s="31">
        <f>IF($B69="","",IFERROR(MAX(0,ayd_netDefter-$E69),0))</f>
        <v/>
      </c>
      <c r="H69" s="31">
        <f>IF($C69="","",IFERROR(MAX(0,ayd_netDefter+ayd_fark-$F69),0))</f>
        <v/>
      </c>
      <c r="I69" s="31">
        <f>IF($A69="","",IF($A69&gt;IFERROR(GIRDI!B12,0),"DIŞI","AKTİF"))</f>
        <v/>
      </c>
    </row>
    <row r="70">
      <c r="B70" s="31">
        <f>IF(OR($A70="",$A70&gt;IFERROR(GIRDI!B12,0)),"",IFERROR(IF(OR(GIRDI!B12="",GIRDI!B12=0),0,ayd_netDefter/GIRDI!B12),0))</f>
        <v/>
      </c>
      <c r="C70" s="31">
        <f>IF(OR($A70="",$A70&gt;IFERROR(GIRDI!B12,0)),"",IFERROR(IF(OR(GIRDI!B12="",GIRDI!B12=0),0,(ayd_netDefter+ayd_fark)/GIRDI!B12),0))</f>
        <v/>
      </c>
      <c r="D70" s="31">
        <f>IF($B70="","",IFERROR($C70-$B70,0))</f>
        <v/>
      </c>
      <c r="E70" s="31">
        <f>IF($B70="","",IFERROR($A70*$B70,0))</f>
        <v/>
      </c>
      <c r="F70" s="31">
        <f>IF($C70="","",IFERROR($A70*$C70,0))</f>
        <v/>
      </c>
      <c r="G70" s="31">
        <f>IF($B70="","",IFERROR(MAX(0,ayd_netDefter-$E70),0))</f>
        <v/>
      </c>
      <c r="H70" s="31">
        <f>IF($C70="","",IFERROR(MAX(0,ayd_netDefter+ayd_fark-$F70),0))</f>
        <v/>
      </c>
      <c r="I70" s="31">
        <f>IF($A70="","",IF($A70&gt;IFERROR(GIRDI!B12,0),"DIŞI","AKTİF"))</f>
        <v/>
      </c>
    </row>
    <row r="71">
      <c r="B71" s="31">
        <f>IF(OR($A71="",$A71&gt;IFERROR(GIRDI!B12,0)),"",IFERROR(IF(OR(GIRDI!B12="",GIRDI!B12=0),0,ayd_netDefter/GIRDI!B12),0))</f>
        <v/>
      </c>
      <c r="C71" s="31">
        <f>IF(OR($A71="",$A71&gt;IFERROR(GIRDI!B12,0)),"",IFERROR(IF(OR(GIRDI!B12="",GIRDI!B12=0),0,(ayd_netDefter+ayd_fark)/GIRDI!B12),0))</f>
        <v/>
      </c>
      <c r="D71" s="31">
        <f>IF($B71="","",IFERROR($C71-$B71,0))</f>
        <v/>
      </c>
      <c r="E71" s="31">
        <f>IF($B71="","",IFERROR($A71*$B71,0))</f>
        <v/>
      </c>
      <c r="F71" s="31">
        <f>IF($C71="","",IFERROR($A71*$C71,0))</f>
        <v/>
      </c>
      <c r="G71" s="31">
        <f>IF($B71="","",IFERROR(MAX(0,ayd_netDefter-$E71),0))</f>
        <v/>
      </c>
      <c r="H71" s="31">
        <f>IF($C71="","",IFERROR(MAX(0,ayd_netDefter+ayd_fark-$F71),0))</f>
        <v/>
      </c>
      <c r="I71" s="31">
        <f>IF($A71="","",IF($A71&gt;IFERROR(GIRDI!B12,0),"DIŞI","AKTİF"))</f>
        <v/>
      </c>
    </row>
    <row r="72">
      <c r="B72" s="31">
        <f>IF(OR($A72="",$A72&gt;IFERROR(GIRDI!B12,0)),"",IFERROR(IF(OR(GIRDI!B12="",GIRDI!B12=0),0,ayd_netDefter/GIRDI!B12),0))</f>
        <v/>
      </c>
      <c r="C72" s="31">
        <f>IF(OR($A72="",$A72&gt;IFERROR(GIRDI!B12,0)),"",IFERROR(IF(OR(GIRDI!B12="",GIRDI!B12=0),0,(ayd_netDefter+ayd_fark)/GIRDI!B12),0))</f>
        <v/>
      </c>
      <c r="D72" s="31">
        <f>IF($B72="","",IFERROR($C72-$B72,0))</f>
        <v/>
      </c>
      <c r="E72" s="31">
        <f>IF($B72="","",IFERROR($A72*$B72,0))</f>
        <v/>
      </c>
      <c r="F72" s="31">
        <f>IF($C72="","",IFERROR($A72*$C72,0))</f>
        <v/>
      </c>
      <c r="G72" s="31">
        <f>IF($B72="","",IFERROR(MAX(0,ayd_netDefter-$E72),0))</f>
        <v/>
      </c>
      <c r="H72" s="31">
        <f>IF($C72="","",IFERROR(MAX(0,ayd_netDefter+ayd_fark-$F72),0))</f>
        <v/>
      </c>
      <c r="I72" s="31">
        <f>IF($A72="","",IF($A72&gt;IFERROR(GIRDI!B12,0),"DIŞI","AKTİF"))</f>
        <v/>
      </c>
    </row>
    <row r="73">
      <c r="B73" s="31">
        <f>IF(OR($A73="",$A73&gt;IFERROR(GIRDI!B12,0)),"",IFERROR(IF(OR(GIRDI!B12="",GIRDI!B12=0),0,ayd_netDefter/GIRDI!B12),0))</f>
        <v/>
      </c>
      <c r="C73" s="31">
        <f>IF(OR($A73="",$A73&gt;IFERROR(GIRDI!B12,0)),"",IFERROR(IF(OR(GIRDI!B12="",GIRDI!B12=0),0,(ayd_netDefter+ayd_fark)/GIRDI!B12),0))</f>
        <v/>
      </c>
      <c r="D73" s="31">
        <f>IF($B73="","",IFERROR($C73-$B73,0))</f>
        <v/>
      </c>
      <c r="E73" s="31">
        <f>IF($B73="","",IFERROR($A73*$B73,0))</f>
        <v/>
      </c>
      <c r="F73" s="31">
        <f>IF($C73="","",IFERROR($A73*$C73,0))</f>
        <v/>
      </c>
      <c r="G73" s="31">
        <f>IF($B73="","",IFERROR(MAX(0,ayd_netDefter-$E73),0))</f>
        <v/>
      </c>
      <c r="H73" s="31">
        <f>IF($C73="","",IFERROR(MAX(0,ayd_netDefter+ayd_fark-$F73),0))</f>
        <v/>
      </c>
      <c r="I73" s="31">
        <f>IF($A73="","",IF($A73&gt;IFERROR(GIRDI!B12,0),"DIŞI","AKTİF"))</f>
        <v/>
      </c>
    </row>
    <row r="74">
      <c r="B74" s="31">
        <f>IF(OR($A74="",$A74&gt;IFERROR(GIRDI!B12,0)),"",IFERROR(IF(OR(GIRDI!B12="",GIRDI!B12=0),0,ayd_netDefter/GIRDI!B12),0))</f>
        <v/>
      </c>
      <c r="C74" s="31">
        <f>IF(OR($A74="",$A74&gt;IFERROR(GIRDI!B12,0)),"",IFERROR(IF(OR(GIRDI!B12="",GIRDI!B12=0),0,(ayd_netDefter+ayd_fark)/GIRDI!B12),0))</f>
        <v/>
      </c>
      <c r="D74" s="31">
        <f>IF($B74="","",IFERROR($C74-$B74,0))</f>
        <v/>
      </c>
      <c r="E74" s="31">
        <f>IF($B74="","",IFERROR($A74*$B74,0))</f>
        <v/>
      </c>
      <c r="F74" s="31">
        <f>IF($C74="","",IFERROR($A74*$C74,0))</f>
        <v/>
      </c>
      <c r="G74" s="31">
        <f>IF($B74="","",IFERROR(MAX(0,ayd_netDefter-$E74),0))</f>
        <v/>
      </c>
      <c r="H74" s="31">
        <f>IF($C74="","",IFERROR(MAX(0,ayd_netDefter+ayd_fark-$F74),0))</f>
        <v/>
      </c>
      <c r="I74" s="31">
        <f>IF($A74="","",IF($A74&gt;IFERROR(GIRDI!B12,0),"DIŞI","AKTİF"))</f>
        <v/>
      </c>
    </row>
    <row r="75">
      <c r="B75" s="31">
        <f>IF(OR($A75="",$A75&gt;IFERROR(GIRDI!B12,0)),"",IFERROR(IF(OR(GIRDI!B12="",GIRDI!B12=0),0,ayd_netDefter/GIRDI!B12),0))</f>
        <v/>
      </c>
      <c r="C75" s="31">
        <f>IF(OR($A75="",$A75&gt;IFERROR(GIRDI!B12,0)),"",IFERROR(IF(OR(GIRDI!B12="",GIRDI!B12=0),0,(ayd_netDefter+ayd_fark)/GIRDI!B12),0))</f>
        <v/>
      </c>
      <c r="D75" s="31">
        <f>IF($B75="","",IFERROR($C75-$B75,0))</f>
        <v/>
      </c>
      <c r="E75" s="31">
        <f>IF($B75="","",IFERROR($A75*$B75,0))</f>
        <v/>
      </c>
      <c r="F75" s="31">
        <f>IF($C75="","",IFERROR($A75*$C75,0))</f>
        <v/>
      </c>
      <c r="G75" s="31">
        <f>IF($B75="","",IFERROR(MAX(0,ayd_netDefter-$E75),0))</f>
        <v/>
      </c>
      <c r="H75" s="31">
        <f>IF($C75="","",IFERROR(MAX(0,ayd_netDefter+ayd_fark-$F75),0))</f>
        <v/>
      </c>
      <c r="I75" s="31">
        <f>IF($A75="","",IF($A75&gt;IFERROR(GIRDI!B12,0),"DIŞI","AKTİF"))</f>
        <v/>
      </c>
    </row>
    <row r="76">
      <c r="B76" s="31">
        <f>IF(OR($A76="",$A76&gt;IFERROR(GIRDI!B12,0)),"",IFERROR(IF(OR(GIRDI!B12="",GIRDI!B12=0),0,ayd_netDefter/GIRDI!B12),0))</f>
        <v/>
      </c>
      <c r="C76" s="31">
        <f>IF(OR($A76="",$A76&gt;IFERROR(GIRDI!B12,0)),"",IFERROR(IF(OR(GIRDI!B12="",GIRDI!B12=0),0,(ayd_netDefter+ayd_fark)/GIRDI!B12),0))</f>
        <v/>
      </c>
      <c r="D76" s="31">
        <f>IF($B76="","",IFERROR($C76-$B76,0))</f>
        <v/>
      </c>
      <c r="E76" s="31">
        <f>IF($B76="","",IFERROR($A76*$B76,0))</f>
        <v/>
      </c>
      <c r="F76" s="31">
        <f>IF($C76="","",IFERROR($A76*$C76,0))</f>
        <v/>
      </c>
      <c r="G76" s="31">
        <f>IF($B76="","",IFERROR(MAX(0,ayd_netDefter-$E76),0))</f>
        <v/>
      </c>
      <c r="H76" s="31">
        <f>IF($C76="","",IFERROR(MAX(0,ayd_netDefter+ayd_fark-$F76),0))</f>
        <v/>
      </c>
      <c r="I76" s="31">
        <f>IF($A76="","",IF($A76&gt;IFERROR(GIRDI!B12,0),"DIŞI","AKTİF"))</f>
        <v/>
      </c>
    </row>
    <row r="77">
      <c r="B77" s="31">
        <f>IF(OR($A77="",$A77&gt;IFERROR(GIRDI!B12,0)),"",IFERROR(IF(OR(GIRDI!B12="",GIRDI!B12=0),0,ayd_netDefter/GIRDI!B12),0))</f>
        <v/>
      </c>
      <c r="C77" s="31">
        <f>IF(OR($A77="",$A77&gt;IFERROR(GIRDI!B12,0)),"",IFERROR(IF(OR(GIRDI!B12="",GIRDI!B12=0),0,(ayd_netDefter+ayd_fark)/GIRDI!B12),0))</f>
        <v/>
      </c>
      <c r="D77" s="31">
        <f>IF($B77="","",IFERROR($C77-$B77,0))</f>
        <v/>
      </c>
      <c r="E77" s="31">
        <f>IF($B77="","",IFERROR($A77*$B77,0))</f>
        <v/>
      </c>
      <c r="F77" s="31">
        <f>IF($C77="","",IFERROR($A77*$C77,0))</f>
        <v/>
      </c>
      <c r="G77" s="31">
        <f>IF($B77="","",IFERROR(MAX(0,ayd_netDefter-$E77),0))</f>
        <v/>
      </c>
      <c r="H77" s="31">
        <f>IF($C77="","",IFERROR(MAX(0,ayd_netDefter+ayd_fark-$F77),0))</f>
        <v/>
      </c>
      <c r="I77" s="31">
        <f>IF($A77="","",IF($A77&gt;IFERROR(GIRDI!B12,0),"DIŞI","AKTİF"))</f>
        <v/>
      </c>
    </row>
    <row r="78">
      <c r="B78" s="31">
        <f>IF(OR($A78="",$A78&gt;IFERROR(GIRDI!B12,0)),"",IFERROR(IF(OR(GIRDI!B12="",GIRDI!B12=0),0,ayd_netDefter/GIRDI!B12),0))</f>
        <v/>
      </c>
      <c r="C78" s="31">
        <f>IF(OR($A78="",$A78&gt;IFERROR(GIRDI!B12,0)),"",IFERROR(IF(OR(GIRDI!B12="",GIRDI!B12=0),0,(ayd_netDefter+ayd_fark)/GIRDI!B12),0))</f>
        <v/>
      </c>
      <c r="D78" s="31">
        <f>IF($B78="","",IFERROR($C78-$B78,0))</f>
        <v/>
      </c>
      <c r="E78" s="31">
        <f>IF($B78="","",IFERROR($A78*$B78,0))</f>
        <v/>
      </c>
      <c r="F78" s="31">
        <f>IF($C78="","",IFERROR($A78*$C78,0))</f>
        <v/>
      </c>
      <c r="G78" s="31">
        <f>IF($B78="","",IFERROR(MAX(0,ayd_netDefter-$E78),0))</f>
        <v/>
      </c>
      <c r="H78" s="31">
        <f>IF($C78="","",IFERROR(MAX(0,ayd_netDefter+ayd_fark-$F78),0))</f>
        <v/>
      </c>
      <c r="I78" s="31">
        <f>IF($A78="","",IF($A78&gt;IFERROR(GIRDI!B12,0),"DIŞI","AKTİF"))</f>
        <v/>
      </c>
    </row>
    <row r="79">
      <c r="B79" s="31">
        <f>IF(OR($A79="",$A79&gt;IFERROR(GIRDI!B12,0)),"",IFERROR(IF(OR(GIRDI!B12="",GIRDI!B12=0),0,ayd_netDefter/GIRDI!B12),0))</f>
        <v/>
      </c>
      <c r="C79" s="31">
        <f>IF(OR($A79="",$A79&gt;IFERROR(GIRDI!B12,0)),"",IFERROR(IF(OR(GIRDI!B12="",GIRDI!B12=0),0,(ayd_netDefter+ayd_fark)/GIRDI!B12),0))</f>
        <v/>
      </c>
      <c r="D79" s="31">
        <f>IF($B79="","",IFERROR($C79-$B79,0))</f>
        <v/>
      </c>
      <c r="E79" s="31">
        <f>IF($B79="","",IFERROR($A79*$B79,0))</f>
        <v/>
      </c>
      <c r="F79" s="31">
        <f>IF($C79="","",IFERROR($A79*$C79,0))</f>
        <v/>
      </c>
      <c r="G79" s="31">
        <f>IF($B79="","",IFERROR(MAX(0,ayd_netDefter-$E79),0))</f>
        <v/>
      </c>
      <c r="H79" s="31">
        <f>IF($C79="","",IFERROR(MAX(0,ayd_netDefter+ayd_fark-$F79),0))</f>
        <v/>
      </c>
      <c r="I79" s="31">
        <f>IF($A79="","",IF($A79&gt;IFERROR(GIRDI!B12,0),"DIŞI","AKTİF"))</f>
        <v/>
      </c>
    </row>
    <row r="80">
      <c r="B80" s="31">
        <f>IF(OR($A80="",$A80&gt;IFERROR(GIRDI!B12,0)),"",IFERROR(IF(OR(GIRDI!B12="",GIRDI!B12=0),0,ayd_netDefter/GIRDI!B12),0))</f>
        <v/>
      </c>
      <c r="C80" s="31">
        <f>IF(OR($A80="",$A80&gt;IFERROR(GIRDI!B12,0)),"",IFERROR(IF(OR(GIRDI!B12="",GIRDI!B12=0),0,(ayd_netDefter+ayd_fark)/GIRDI!B12),0))</f>
        <v/>
      </c>
      <c r="D80" s="31">
        <f>IF($B80="","",IFERROR($C80-$B80,0))</f>
        <v/>
      </c>
      <c r="E80" s="31">
        <f>IF($B80="","",IFERROR($A80*$B80,0))</f>
        <v/>
      </c>
      <c r="F80" s="31">
        <f>IF($C80="","",IFERROR($A80*$C80,0))</f>
        <v/>
      </c>
      <c r="G80" s="31">
        <f>IF($B80="","",IFERROR(MAX(0,ayd_netDefter-$E80),0))</f>
        <v/>
      </c>
      <c r="H80" s="31">
        <f>IF($C80="","",IFERROR(MAX(0,ayd_netDefter+ayd_fark-$F80),0))</f>
        <v/>
      </c>
      <c r="I80" s="31">
        <f>IF($A80="","",IF($A80&gt;IFERROR(GIRDI!B12,0),"DIŞI","AKTİF"))</f>
        <v/>
      </c>
    </row>
    <row r="81">
      <c r="B81" s="31">
        <f>IF(OR($A81="",$A81&gt;IFERROR(GIRDI!B12,0)),"",IFERROR(IF(OR(GIRDI!B12="",GIRDI!B12=0),0,ayd_netDefter/GIRDI!B12),0))</f>
        <v/>
      </c>
      <c r="C81" s="31">
        <f>IF(OR($A81="",$A81&gt;IFERROR(GIRDI!B12,0)),"",IFERROR(IF(OR(GIRDI!B12="",GIRDI!B12=0),0,(ayd_netDefter+ayd_fark)/GIRDI!B12),0))</f>
        <v/>
      </c>
      <c r="D81" s="31">
        <f>IF($B81="","",IFERROR($C81-$B81,0))</f>
        <v/>
      </c>
      <c r="E81" s="31">
        <f>IF($B81="","",IFERROR($A81*$B81,0))</f>
        <v/>
      </c>
      <c r="F81" s="31">
        <f>IF($C81="","",IFERROR($A81*$C81,0))</f>
        <v/>
      </c>
      <c r="G81" s="31">
        <f>IF($B81="","",IFERROR(MAX(0,ayd_netDefter-$E81),0))</f>
        <v/>
      </c>
      <c r="H81" s="31">
        <f>IF($C81="","",IFERROR(MAX(0,ayd_netDefter+ayd_fark-$F81),0))</f>
        <v/>
      </c>
      <c r="I81" s="31">
        <f>IF($A81="","",IF($A81&gt;IFERROR(GIRDI!B12,0),"DIŞI","AKTİF"))</f>
        <v/>
      </c>
    </row>
    <row r="82">
      <c r="B82" s="31">
        <f>IF(OR($A82="",$A82&gt;IFERROR(GIRDI!B12,0)),"",IFERROR(IF(OR(GIRDI!B12="",GIRDI!B12=0),0,ayd_netDefter/GIRDI!B12),0))</f>
        <v/>
      </c>
      <c r="C82" s="31">
        <f>IF(OR($A82="",$A82&gt;IFERROR(GIRDI!B12,0)),"",IFERROR(IF(OR(GIRDI!B12="",GIRDI!B12=0),0,(ayd_netDefter+ayd_fark)/GIRDI!B12),0))</f>
        <v/>
      </c>
      <c r="D82" s="31">
        <f>IF($B82="","",IFERROR($C82-$B82,0))</f>
        <v/>
      </c>
      <c r="E82" s="31">
        <f>IF($B82="","",IFERROR($A82*$B82,0))</f>
        <v/>
      </c>
      <c r="F82" s="31">
        <f>IF($C82="","",IFERROR($A82*$C82,0))</f>
        <v/>
      </c>
      <c r="G82" s="31">
        <f>IF($B82="","",IFERROR(MAX(0,ayd_netDefter-$E82),0))</f>
        <v/>
      </c>
      <c r="H82" s="31">
        <f>IF($C82="","",IFERROR(MAX(0,ayd_netDefter+ayd_fark-$F82),0))</f>
        <v/>
      </c>
      <c r="I82" s="31">
        <f>IF($A82="","",IF($A82&gt;IFERROR(GIRDI!B12,0),"DIŞI","AKTİF"))</f>
        <v/>
      </c>
    </row>
    <row r="83">
      <c r="B83" s="31">
        <f>IF(OR($A83="",$A83&gt;IFERROR(GIRDI!B12,0)),"",IFERROR(IF(OR(GIRDI!B12="",GIRDI!B12=0),0,ayd_netDefter/GIRDI!B12),0))</f>
        <v/>
      </c>
      <c r="C83" s="31">
        <f>IF(OR($A83="",$A83&gt;IFERROR(GIRDI!B12,0)),"",IFERROR(IF(OR(GIRDI!B12="",GIRDI!B12=0),0,(ayd_netDefter+ayd_fark)/GIRDI!B12),0))</f>
        <v/>
      </c>
      <c r="D83" s="31">
        <f>IF($B83="","",IFERROR($C83-$B83,0))</f>
        <v/>
      </c>
      <c r="E83" s="31">
        <f>IF($B83="","",IFERROR($A83*$B83,0))</f>
        <v/>
      </c>
      <c r="F83" s="31">
        <f>IF($C83="","",IFERROR($A83*$C83,0))</f>
        <v/>
      </c>
      <c r="G83" s="31">
        <f>IF($B83="","",IFERROR(MAX(0,ayd_netDefter-$E83),0))</f>
        <v/>
      </c>
      <c r="H83" s="31">
        <f>IF($C83="","",IFERROR(MAX(0,ayd_netDefter+ayd_fark-$F83),0))</f>
        <v/>
      </c>
      <c r="I83" s="31">
        <f>IF($A83="","",IF($A83&gt;IFERROR(GIRDI!B12,0),"DIŞI","AKTİF"))</f>
        <v/>
      </c>
    </row>
    <row r="84">
      <c r="B84" s="31">
        <f>IF(OR($A84="",$A84&gt;IFERROR(GIRDI!B12,0)),"",IFERROR(IF(OR(GIRDI!B12="",GIRDI!B12=0),0,ayd_netDefter/GIRDI!B12),0))</f>
        <v/>
      </c>
      <c r="C84" s="31">
        <f>IF(OR($A84="",$A84&gt;IFERROR(GIRDI!B12,0)),"",IFERROR(IF(OR(GIRDI!B12="",GIRDI!B12=0),0,(ayd_netDefter+ayd_fark)/GIRDI!B12),0))</f>
        <v/>
      </c>
      <c r="D84" s="31">
        <f>IF($B84="","",IFERROR($C84-$B84,0))</f>
        <v/>
      </c>
      <c r="E84" s="31">
        <f>IF($B84="","",IFERROR($A84*$B84,0))</f>
        <v/>
      </c>
      <c r="F84" s="31">
        <f>IF($C84="","",IFERROR($A84*$C84,0))</f>
        <v/>
      </c>
      <c r="G84" s="31">
        <f>IF($B84="","",IFERROR(MAX(0,ayd_netDefter-$E84),0))</f>
        <v/>
      </c>
      <c r="H84" s="31">
        <f>IF($C84="","",IFERROR(MAX(0,ayd_netDefter+ayd_fark-$F84),0))</f>
        <v/>
      </c>
      <c r="I84" s="31">
        <f>IF($A84="","",IF($A84&gt;IFERROR(GIRDI!B12,0),"DIŞI","AKTİF"))</f>
        <v/>
      </c>
    </row>
    <row r="85">
      <c r="B85" s="31">
        <f>IF(OR($A85="",$A85&gt;IFERROR(GIRDI!B12,0)),"",IFERROR(IF(OR(GIRDI!B12="",GIRDI!B12=0),0,ayd_netDefter/GIRDI!B12),0))</f>
        <v/>
      </c>
      <c r="C85" s="31">
        <f>IF(OR($A85="",$A85&gt;IFERROR(GIRDI!B12,0)),"",IFERROR(IF(OR(GIRDI!B12="",GIRDI!B12=0),0,(ayd_netDefter+ayd_fark)/GIRDI!B12),0))</f>
        <v/>
      </c>
      <c r="D85" s="31">
        <f>IF($B85="","",IFERROR($C85-$B85,0))</f>
        <v/>
      </c>
      <c r="E85" s="31">
        <f>IF($B85="","",IFERROR($A85*$B85,0))</f>
        <v/>
      </c>
      <c r="F85" s="31">
        <f>IF($C85="","",IFERROR($A85*$C85,0))</f>
        <v/>
      </c>
      <c r="G85" s="31">
        <f>IF($B85="","",IFERROR(MAX(0,ayd_netDefter-$E85),0))</f>
        <v/>
      </c>
      <c r="H85" s="31">
        <f>IF($C85="","",IFERROR(MAX(0,ayd_netDefter+ayd_fark-$F85),0))</f>
        <v/>
      </c>
      <c r="I85" s="31">
        <f>IF($A85="","",IF($A85&gt;IFERROR(GIRDI!B12,0),"DIŞI","AKTİF"))</f>
        <v/>
      </c>
    </row>
    <row r="86">
      <c r="B86" s="31">
        <f>IF(OR($A86="",$A86&gt;IFERROR(GIRDI!B12,0)),"",IFERROR(IF(OR(GIRDI!B12="",GIRDI!B12=0),0,ayd_netDefter/GIRDI!B12),0))</f>
        <v/>
      </c>
      <c r="C86" s="31">
        <f>IF(OR($A86="",$A86&gt;IFERROR(GIRDI!B12,0)),"",IFERROR(IF(OR(GIRDI!B12="",GIRDI!B12=0),0,(ayd_netDefter+ayd_fark)/GIRDI!B12),0))</f>
        <v/>
      </c>
      <c r="D86" s="31">
        <f>IF($B86="","",IFERROR($C86-$B86,0))</f>
        <v/>
      </c>
      <c r="E86" s="31">
        <f>IF($B86="","",IFERROR($A86*$B86,0))</f>
        <v/>
      </c>
      <c r="F86" s="31">
        <f>IF($C86="","",IFERROR($A86*$C86,0))</f>
        <v/>
      </c>
      <c r="G86" s="31">
        <f>IF($B86="","",IFERROR(MAX(0,ayd_netDefter-$E86),0))</f>
        <v/>
      </c>
      <c r="H86" s="31">
        <f>IF($C86="","",IFERROR(MAX(0,ayd_netDefter+ayd_fark-$F86),0))</f>
        <v/>
      </c>
      <c r="I86" s="31">
        <f>IF($A86="","",IF($A86&gt;IFERROR(GIRDI!B12,0),"DIŞI","AKTİF"))</f>
        <v/>
      </c>
    </row>
    <row r="87">
      <c r="B87" s="31">
        <f>IF(OR($A87="",$A87&gt;IFERROR(GIRDI!B12,0)),"",IFERROR(IF(OR(GIRDI!B12="",GIRDI!B12=0),0,ayd_netDefter/GIRDI!B12),0))</f>
        <v/>
      </c>
      <c r="C87" s="31">
        <f>IF(OR($A87="",$A87&gt;IFERROR(GIRDI!B12,0)),"",IFERROR(IF(OR(GIRDI!B12="",GIRDI!B12=0),0,(ayd_netDefter+ayd_fark)/GIRDI!B12),0))</f>
        <v/>
      </c>
      <c r="D87" s="31">
        <f>IF($B87="","",IFERROR($C87-$B87,0))</f>
        <v/>
      </c>
      <c r="E87" s="31">
        <f>IF($B87="","",IFERROR($A87*$B87,0))</f>
        <v/>
      </c>
      <c r="F87" s="31">
        <f>IF($C87="","",IFERROR($A87*$C87,0))</f>
        <v/>
      </c>
      <c r="G87" s="31">
        <f>IF($B87="","",IFERROR(MAX(0,ayd_netDefter-$E87),0))</f>
        <v/>
      </c>
      <c r="H87" s="31">
        <f>IF($C87="","",IFERROR(MAX(0,ayd_netDefter+ayd_fark-$F87),0))</f>
        <v/>
      </c>
      <c r="I87" s="31">
        <f>IF($A87="","",IF($A87&gt;IFERROR(GIRDI!B12,0),"DIŞI","AKTİF"))</f>
        <v/>
      </c>
    </row>
    <row r="88">
      <c r="B88" s="31">
        <f>IF(OR($A88="",$A88&gt;IFERROR(GIRDI!B12,0)),"",IFERROR(IF(OR(GIRDI!B12="",GIRDI!B12=0),0,ayd_netDefter/GIRDI!B12),0))</f>
        <v/>
      </c>
      <c r="C88" s="31">
        <f>IF(OR($A88="",$A88&gt;IFERROR(GIRDI!B12,0)),"",IFERROR(IF(OR(GIRDI!B12="",GIRDI!B12=0),0,(ayd_netDefter+ayd_fark)/GIRDI!B12),0))</f>
        <v/>
      </c>
      <c r="D88" s="31">
        <f>IF($B88="","",IFERROR($C88-$B88,0))</f>
        <v/>
      </c>
      <c r="E88" s="31">
        <f>IF($B88="","",IFERROR($A88*$B88,0))</f>
        <v/>
      </c>
      <c r="F88" s="31">
        <f>IF($C88="","",IFERROR($A88*$C88,0))</f>
        <v/>
      </c>
      <c r="G88" s="31">
        <f>IF($B88="","",IFERROR(MAX(0,ayd_netDefter-$E88),0))</f>
        <v/>
      </c>
      <c r="H88" s="31">
        <f>IF($C88="","",IFERROR(MAX(0,ayd_netDefter+ayd_fark-$F88),0))</f>
        <v/>
      </c>
      <c r="I88" s="31">
        <f>IF($A88="","",IF($A88&gt;IFERROR(GIRDI!B12,0),"DIŞI","AKTİF"))</f>
        <v/>
      </c>
    </row>
    <row r="89">
      <c r="B89" s="31">
        <f>IF(OR($A89="",$A89&gt;IFERROR(GIRDI!B12,0)),"",IFERROR(IF(OR(GIRDI!B12="",GIRDI!B12=0),0,ayd_netDefter/GIRDI!B12),0))</f>
        <v/>
      </c>
      <c r="C89" s="31">
        <f>IF(OR($A89="",$A89&gt;IFERROR(GIRDI!B12,0)),"",IFERROR(IF(OR(GIRDI!B12="",GIRDI!B12=0),0,(ayd_netDefter+ayd_fark)/GIRDI!B12),0))</f>
        <v/>
      </c>
      <c r="D89" s="31">
        <f>IF($B89="","",IFERROR($C89-$B89,0))</f>
        <v/>
      </c>
      <c r="E89" s="31">
        <f>IF($B89="","",IFERROR($A89*$B89,0))</f>
        <v/>
      </c>
      <c r="F89" s="31">
        <f>IF($C89="","",IFERROR($A89*$C89,0))</f>
        <v/>
      </c>
      <c r="G89" s="31">
        <f>IF($B89="","",IFERROR(MAX(0,ayd_netDefter-$E89),0))</f>
        <v/>
      </c>
      <c r="H89" s="31">
        <f>IF($C89="","",IFERROR(MAX(0,ayd_netDefter+ayd_fark-$F89),0))</f>
        <v/>
      </c>
      <c r="I89" s="31">
        <f>IF($A89="","",IF($A89&gt;IFERROR(GIRDI!B12,0),"DIŞI","AKTİF"))</f>
        <v/>
      </c>
    </row>
    <row r="90">
      <c r="B90" s="31">
        <f>IF(OR($A90="",$A90&gt;IFERROR(GIRDI!B12,0)),"",IFERROR(IF(OR(GIRDI!B12="",GIRDI!B12=0),0,ayd_netDefter/GIRDI!B12),0))</f>
        <v/>
      </c>
      <c r="C90" s="31">
        <f>IF(OR($A90="",$A90&gt;IFERROR(GIRDI!B12,0)),"",IFERROR(IF(OR(GIRDI!B12="",GIRDI!B12=0),0,(ayd_netDefter+ayd_fark)/GIRDI!B12),0))</f>
        <v/>
      </c>
      <c r="D90" s="31">
        <f>IF($B90="","",IFERROR($C90-$B90,0))</f>
        <v/>
      </c>
      <c r="E90" s="31">
        <f>IF($B90="","",IFERROR($A90*$B90,0))</f>
        <v/>
      </c>
      <c r="F90" s="31">
        <f>IF($C90="","",IFERROR($A90*$C90,0))</f>
        <v/>
      </c>
      <c r="G90" s="31">
        <f>IF($B90="","",IFERROR(MAX(0,ayd_netDefter-$E90),0))</f>
        <v/>
      </c>
      <c r="H90" s="31">
        <f>IF($C90="","",IFERROR(MAX(0,ayd_netDefter+ayd_fark-$F90),0))</f>
        <v/>
      </c>
      <c r="I90" s="31">
        <f>IF($A90="","",IF($A90&gt;IFERROR(GIRDI!B12,0),"DIŞI","AKTİF"))</f>
        <v/>
      </c>
    </row>
    <row r="91">
      <c r="B91" s="31">
        <f>IF(OR($A91="",$A91&gt;IFERROR(GIRDI!B12,0)),"",IFERROR(IF(OR(GIRDI!B12="",GIRDI!B12=0),0,ayd_netDefter/GIRDI!B12),0))</f>
        <v/>
      </c>
      <c r="C91" s="31">
        <f>IF(OR($A91="",$A91&gt;IFERROR(GIRDI!B12,0)),"",IFERROR(IF(OR(GIRDI!B12="",GIRDI!B12=0),0,(ayd_netDefter+ayd_fark)/GIRDI!B12),0))</f>
        <v/>
      </c>
      <c r="D91" s="31">
        <f>IF($B91="","",IFERROR($C91-$B91,0))</f>
        <v/>
      </c>
      <c r="E91" s="31">
        <f>IF($B91="","",IFERROR($A91*$B91,0))</f>
        <v/>
      </c>
      <c r="F91" s="31">
        <f>IF($C91="","",IFERROR($A91*$C91,0))</f>
        <v/>
      </c>
      <c r="G91" s="31">
        <f>IF($B91="","",IFERROR(MAX(0,ayd_netDefter-$E91),0))</f>
        <v/>
      </c>
      <c r="H91" s="31">
        <f>IF($C91="","",IFERROR(MAX(0,ayd_netDefter+ayd_fark-$F91),0))</f>
        <v/>
      </c>
      <c r="I91" s="31">
        <f>IF($A91="","",IF($A91&gt;IFERROR(GIRDI!B12,0),"DIŞI","AKTİF"))</f>
        <v/>
      </c>
    </row>
    <row r="92">
      <c r="B92" s="31">
        <f>IF(OR($A92="",$A92&gt;IFERROR(GIRDI!B12,0)),"",IFERROR(IF(OR(GIRDI!B12="",GIRDI!B12=0),0,ayd_netDefter/GIRDI!B12),0))</f>
        <v/>
      </c>
      <c r="C92" s="31">
        <f>IF(OR($A92="",$A92&gt;IFERROR(GIRDI!B12,0)),"",IFERROR(IF(OR(GIRDI!B12="",GIRDI!B12=0),0,(ayd_netDefter+ayd_fark)/GIRDI!B12),0))</f>
        <v/>
      </c>
      <c r="D92" s="31">
        <f>IF($B92="","",IFERROR($C92-$B92,0))</f>
        <v/>
      </c>
      <c r="E92" s="31">
        <f>IF($B92="","",IFERROR($A92*$B92,0))</f>
        <v/>
      </c>
      <c r="F92" s="31">
        <f>IF($C92="","",IFERROR($A92*$C92,0))</f>
        <v/>
      </c>
      <c r="G92" s="31">
        <f>IF($B92="","",IFERROR(MAX(0,ayd_netDefter-$E92),0))</f>
        <v/>
      </c>
      <c r="H92" s="31">
        <f>IF($C92="","",IFERROR(MAX(0,ayd_netDefter+ayd_fark-$F92),0))</f>
        <v/>
      </c>
      <c r="I92" s="31">
        <f>IF($A92="","",IF($A92&gt;IFERROR(GIRDI!B12,0),"DIŞI","AKTİF"))</f>
        <v/>
      </c>
    </row>
    <row r="93">
      <c r="B93" s="31">
        <f>IF(OR($A93="",$A93&gt;IFERROR(GIRDI!B12,0)),"",IFERROR(IF(OR(GIRDI!B12="",GIRDI!B12=0),0,ayd_netDefter/GIRDI!B12),0))</f>
        <v/>
      </c>
      <c r="C93" s="31">
        <f>IF(OR($A93="",$A93&gt;IFERROR(GIRDI!B12,0)),"",IFERROR(IF(OR(GIRDI!B12="",GIRDI!B12=0),0,(ayd_netDefter+ayd_fark)/GIRDI!B12),0))</f>
        <v/>
      </c>
      <c r="D93" s="31">
        <f>IF($B93="","",IFERROR($C93-$B93,0))</f>
        <v/>
      </c>
      <c r="E93" s="31">
        <f>IF($B93="","",IFERROR($A93*$B93,0))</f>
        <v/>
      </c>
      <c r="F93" s="31">
        <f>IF($C93="","",IFERROR($A93*$C93,0))</f>
        <v/>
      </c>
      <c r="G93" s="31">
        <f>IF($B93="","",IFERROR(MAX(0,ayd_netDefter-$E93),0))</f>
        <v/>
      </c>
      <c r="H93" s="31">
        <f>IF($C93="","",IFERROR(MAX(0,ayd_netDefter+ayd_fark-$F93),0))</f>
        <v/>
      </c>
      <c r="I93" s="31">
        <f>IF($A93="","",IF($A93&gt;IFERROR(GIRDI!B12,0),"DIŞI","AKTİF"))</f>
        <v/>
      </c>
    </row>
    <row r="94">
      <c r="B94" s="31">
        <f>IF(OR($A94="",$A94&gt;IFERROR(GIRDI!B12,0)),"",IFERROR(IF(OR(GIRDI!B12="",GIRDI!B12=0),0,ayd_netDefter/GIRDI!B12),0))</f>
        <v/>
      </c>
      <c r="C94" s="31">
        <f>IF(OR($A94="",$A94&gt;IFERROR(GIRDI!B12,0)),"",IFERROR(IF(OR(GIRDI!B12="",GIRDI!B12=0),0,(ayd_netDefter+ayd_fark)/GIRDI!B12),0))</f>
        <v/>
      </c>
      <c r="D94" s="31">
        <f>IF($B94="","",IFERROR($C94-$B94,0))</f>
        <v/>
      </c>
      <c r="E94" s="31">
        <f>IF($B94="","",IFERROR($A94*$B94,0))</f>
        <v/>
      </c>
      <c r="F94" s="31">
        <f>IF($C94="","",IFERROR($A94*$C94,0))</f>
        <v/>
      </c>
      <c r="G94" s="31">
        <f>IF($B94="","",IFERROR(MAX(0,ayd_netDefter-$E94),0))</f>
        <v/>
      </c>
      <c r="H94" s="31">
        <f>IF($C94="","",IFERROR(MAX(0,ayd_netDefter+ayd_fark-$F94),0))</f>
        <v/>
      </c>
      <c r="I94" s="31">
        <f>IF($A94="","",IF($A94&gt;IFERROR(GIRDI!B12,0),"DIŞI","AKTİF"))</f>
        <v/>
      </c>
    </row>
    <row r="95">
      <c r="B95" s="31">
        <f>IF(OR($A95="",$A95&gt;IFERROR(GIRDI!B12,0)),"",IFERROR(IF(OR(GIRDI!B12="",GIRDI!B12=0),0,ayd_netDefter/GIRDI!B12),0))</f>
        <v/>
      </c>
      <c r="C95" s="31">
        <f>IF(OR($A95="",$A95&gt;IFERROR(GIRDI!B12,0)),"",IFERROR(IF(OR(GIRDI!B12="",GIRDI!B12=0),0,(ayd_netDefter+ayd_fark)/GIRDI!B12),0))</f>
        <v/>
      </c>
      <c r="D95" s="31">
        <f>IF($B95="","",IFERROR($C95-$B95,0))</f>
        <v/>
      </c>
      <c r="E95" s="31">
        <f>IF($B95="","",IFERROR($A95*$B95,0))</f>
        <v/>
      </c>
      <c r="F95" s="31">
        <f>IF($C95="","",IFERROR($A95*$C95,0))</f>
        <v/>
      </c>
      <c r="G95" s="31">
        <f>IF($B95="","",IFERROR(MAX(0,ayd_netDefter-$E95),0))</f>
        <v/>
      </c>
      <c r="H95" s="31">
        <f>IF($C95="","",IFERROR(MAX(0,ayd_netDefter+ayd_fark-$F95),0))</f>
        <v/>
      </c>
      <c r="I95" s="31">
        <f>IF($A95="","",IF($A95&gt;IFERROR(GIRDI!B12,0),"DIŞI","AKTİF"))</f>
        <v/>
      </c>
    </row>
    <row r="96">
      <c r="B96" s="31">
        <f>IF(OR($A96="",$A96&gt;IFERROR(GIRDI!B12,0)),"",IFERROR(IF(OR(GIRDI!B12="",GIRDI!B12=0),0,ayd_netDefter/GIRDI!B12),0))</f>
        <v/>
      </c>
      <c r="C96" s="31">
        <f>IF(OR($A96="",$A96&gt;IFERROR(GIRDI!B12,0)),"",IFERROR(IF(OR(GIRDI!B12="",GIRDI!B12=0),0,(ayd_netDefter+ayd_fark)/GIRDI!B12),0))</f>
        <v/>
      </c>
      <c r="D96" s="31">
        <f>IF($B96="","",IFERROR($C96-$B96,0))</f>
        <v/>
      </c>
      <c r="E96" s="31">
        <f>IF($B96="","",IFERROR($A96*$B96,0))</f>
        <v/>
      </c>
      <c r="F96" s="31">
        <f>IF($C96="","",IFERROR($A96*$C96,0))</f>
        <v/>
      </c>
      <c r="G96" s="31">
        <f>IF($B96="","",IFERROR(MAX(0,ayd_netDefter-$E96),0))</f>
        <v/>
      </c>
      <c r="H96" s="31">
        <f>IF($C96="","",IFERROR(MAX(0,ayd_netDefter+ayd_fark-$F96),0))</f>
        <v/>
      </c>
      <c r="I96" s="31">
        <f>IF($A96="","",IF($A96&gt;IFERROR(GIRDI!B12,0),"DIŞI","AKTİF"))</f>
        <v/>
      </c>
    </row>
    <row r="97">
      <c r="B97" s="31">
        <f>IF(OR($A97="",$A97&gt;IFERROR(GIRDI!B12,0)),"",IFERROR(IF(OR(GIRDI!B12="",GIRDI!B12=0),0,ayd_netDefter/GIRDI!B12),0))</f>
        <v/>
      </c>
      <c r="C97" s="31">
        <f>IF(OR($A97="",$A97&gt;IFERROR(GIRDI!B12,0)),"",IFERROR(IF(OR(GIRDI!B12="",GIRDI!B12=0),0,(ayd_netDefter+ayd_fark)/GIRDI!B12),0))</f>
        <v/>
      </c>
      <c r="D97" s="31">
        <f>IF($B97="","",IFERROR($C97-$B97,0))</f>
        <v/>
      </c>
      <c r="E97" s="31">
        <f>IF($B97="","",IFERROR($A97*$B97,0))</f>
        <v/>
      </c>
      <c r="F97" s="31">
        <f>IF($C97="","",IFERROR($A97*$C97,0))</f>
        <v/>
      </c>
      <c r="G97" s="31">
        <f>IF($B97="","",IFERROR(MAX(0,ayd_netDefter-$E97),0))</f>
        <v/>
      </c>
      <c r="H97" s="31">
        <f>IF($C97="","",IFERROR(MAX(0,ayd_netDefter+ayd_fark-$F97),0))</f>
        <v/>
      </c>
      <c r="I97" s="31">
        <f>IF($A97="","",IF($A97&gt;IFERROR(GIRDI!B12,0),"DIŞI","AKTİF"))</f>
        <v/>
      </c>
    </row>
    <row r="98">
      <c r="B98" s="31">
        <f>IF(OR($A98="",$A98&gt;IFERROR(GIRDI!B12,0)),"",IFERROR(IF(OR(GIRDI!B12="",GIRDI!B12=0),0,ayd_netDefter/GIRDI!B12),0))</f>
        <v/>
      </c>
      <c r="C98" s="31">
        <f>IF(OR($A98="",$A98&gt;IFERROR(GIRDI!B12,0)),"",IFERROR(IF(OR(GIRDI!B12="",GIRDI!B12=0),0,(ayd_netDefter+ayd_fark)/GIRDI!B12),0))</f>
        <v/>
      </c>
      <c r="D98" s="31">
        <f>IF($B98="","",IFERROR($C98-$B98,0))</f>
        <v/>
      </c>
      <c r="E98" s="31">
        <f>IF($B98="","",IFERROR($A98*$B98,0))</f>
        <v/>
      </c>
      <c r="F98" s="31">
        <f>IF($C98="","",IFERROR($A98*$C98,0))</f>
        <v/>
      </c>
      <c r="G98" s="31">
        <f>IF($B98="","",IFERROR(MAX(0,ayd_netDefter-$E98),0))</f>
        <v/>
      </c>
      <c r="H98" s="31">
        <f>IF($C98="","",IFERROR(MAX(0,ayd_netDefter+ayd_fark-$F98),0))</f>
        <v/>
      </c>
      <c r="I98" s="31">
        <f>IF($A98="","",IF($A98&gt;IFERROR(GIRDI!B12,0),"DIŞI","AKTİF"))</f>
        <v/>
      </c>
    </row>
    <row r="99">
      <c r="B99" s="31">
        <f>IF(OR($A99="",$A99&gt;IFERROR(GIRDI!B12,0)),"",IFERROR(IF(OR(GIRDI!B12="",GIRDI!B12=0),0,ayd_netDefter/GIRDI!B12),0))</f>
        <v/>
      </c>
      <c r="C99" s="31">
        <f>IF(OR($A99="",$A99&gt;IFERROR(GIRDI!B12,0)),"",IFERROR(IF(OR(GIRDI!B12="",GIRDI!B12=0),0,(ayd_netDefter+ayd_fark)/GIRDI!B12),0))</f>
        <v/>
      </c>
      <c r="D99" s="31">
        <f>IF($B99="","",IFERROR($C99-$B99,0))</f>
        <v/>
      </c>
      <c r="E99" s="31">
        <f>IF($B99="","",IFERROR($A99*$B99,0))</f>
        <v/>
      </c>
      <c r="F99" s="31">
        <f>IF($C99="","",IFERROR($A99*$C99,0))</f>
        <v/>
      </c>
      <c r="G99" s="31">
        <f>IF($B99="","",IFERROR(MAX(0,ayd_netDefter-$E99),0))</f>
        <v/>
      </c>
      <c r="H99" s="31">
        <f>IF($C99="","",IFERROR(MAX(0,ayd_netDefter+ayd_fark-$F99),0))</f>
        <v/>
      </c>
      <c r="I99" s="31">
        <f>IF($A99="","",IF($A99&gt;IFERROR(GIRDI!B12,0),"DIŞI","AKTİF"))</f>
        <v/>
      </c>
    </row>
    <row r="100">
      <c r="B100" s="31">
        <f>IF(OR($A100="",$A100&gt;IFERROR(GIRDI!B12,0)),"",IFERROR(IF(OR(GIRDI!B12="",GIRDI!B12=0),0,ayd_netDefter/GIRDI!B12),0))</f>
        <v/>
      </c>
      <c r="C100" s="31">
        <f>IF(OR($A100="",$A100&gt;IFERROR(GIRDI!B12,0)),"",IFERROR(IF(OR(GIRDI!B12="",GIRDI!B12=0),0,(ayd_netDefter+ayd_fark)/GIRDI!B12),0))</f>
        <v/>
      </c>
      <c r="D100" s="31">
        <f>IF($B100="","",IFERROR($C100-$B100,0))</f>
        <v/>
      </c>
      <c r="E100" s="31">
        <f>IF($B100="","",IFERROR($A100*$B100,0))</f>
        <v/>
      </c>
      <c r="F100" s="31">
        <f>IF($C100="","",IFERROR($A100*$C100,0))</f>
        <v/>
      </c>
      <c r="G100" s="31">
        <f>IF($B100="","",IFERROR(MAX(0,ayd_netDefter-$E100),0))</f>
        <v/>
      </c>
      <c r="H100" s="31">
        <f>IF($C100="","",IFERROR(MAX(0,ayd_netDefter+ayd_fark-$F100),0))</f>
        <v/>
      </c>
      <c r="I100" s="31">
        <f>IF($A100="","",IF($A100&gt;IFERROR(GIRDI!B12,0),"DIŞI","AKTİF"))</f>
        <v/>
      </c>
    </row>
    <row r="101">
      <c r="B101" s="31">
        <f>IF(OR($A101="",$A101&gt;IFERROR(GIRDI!B12,0)),"",IFERROR(IF(OR(GIRDI!B12="",GIRDI!B12=0),0,ayd_netDefter/GIRDI!B12),0))</f>
        <v/>
      </c>
      <c r="C101" s="31">
        <f>IF(OR($A101="",$A101&gt;IFERROR(GIRDI!B12,0)),"",IFERROR(IF(OR(GIRDI!B12="",GIRDI!B12=0),0,(ayd_netDefter+ayd_fark)/GIRDI!B12),0))</f>
        <v/>
      </c>
      <c r="D101" s="31">
        <f>IF($B101="","",IFERROR($C101-$B101,0))</f>
        <v/>
      </c>
      <c r="E101" s="31">
        <f>IF($B101="","",IFERROR($A101*$B101,0))</f>
        <v/>
      </c>
      <c r="F101" s="31">
        <f>IF($C101="","",IFERROR($A101*$C101,0))</f>
        <v/>
      </c>
      <c r="G101" s="31">
        <f>IF($B101="","",IFERROR(MAX(0,ayd_netDefter-$E101),0))</f>
        <v/>
      </c>
      <c r="H101" s="31">
        <f>IF($C101="","",IFERROR(MAX(0,ayd_netDefter+ayd_fark-$F101),0))</f>
        <v/>
      </c>
      <c r="I101" s="31">
        <f>IF($A101="","",IF($A101&gt;IFERROR(GIRDI!B12,0),"DIŞI","AKTİF"))</f>
        <v/>
      </c>
    </row>
    <row r="102">
      <c r="B102" s="31">
        <f>IF(OR($A102="",$A102&gt;IFERROR(GIRDI!B12,0)),"",IFERROR(IF(OR(GIRDI!B12="",GIRDI!B12=0),0,ayd_netDefter/GIRDI!B12),0))</f>
        <v/>
      </c>
      <c r="C102" s="31">
        <f>IF(OR($A102="",$A102&gt;IFERROR(GIRDI!B12,0)),"",IFERROR(IF(OR(GIRDI!B12="",GIRDI!B12=0),0,(ayd_netDefter+ayd_fark)/GIRDI!B12),0))</f>
        <v/>
      </c>
      <c r="D102" s="31">
        <f>IF($B102="","",IFERROR($C102-$B102,0))</f>
        <v/>
      </c>
      <c r="E102" s="31">
        <f>IF($B102="","",IFERROR($A102*$B102,0))</f>
        <v/>
      </c>
      <c r="F102" s="31">
        <f>IF($C102="","",IFERROR($A102*$C102,0))</f>
        <v/>
      </c>
      <c r="G102" s="31">
        <f>IF($B102="","",IFERROR(MAX(0,ayd_netDefter-$E102),0))</f>
        <v/>
      </c>
      <c r="H102" s="31">
        <f>IF($C102="","",IFERROR(MAX(0,ayd_netDefter+ayd_fark-$F102),0))</f>
        <v/>
      </c>
      <c r="I102" s="31">
        <f>IF($A102="","",IF($A102&gt;IFERROR(GIRDI!B12,0),"DIŞI","AKTİF"))</f>
        <v/>
      </c>
    </row>
    <row r="103">
      <c r="B103" s="31">
        <f>IF(OR($A103="",$A103&gt;IFERROR(GIRDI!B12,0)),"",IFERROR(IF(OR(GIRDI!B12="",GIRDI!B12=0),0,ayd_netDefter/GIRDI!B12),0))</f>
        <v/>
      </c>
      <c r="C103" s="31">
        <f>IF(OR($A103="",$A103&gt;IFERROR(GIRDI!B12,0)),"",IFERROR(IF(OR(GIRDI!B12="",GIRDI!B12=0),0,(ayd_netDefter+ayd_fark)/GIRDI!B12),0))</f>
        <v/>
      </c>
      <c r="D103" s="31">
        <f>IF($B103="","",IFERROR($C103-$B103,0))</f>
        <v/>
      </c>
      <c r="E103" s="31">
        <f>IF($B103="","",IFERROR($A103*$B103,0))</f>
        <v/>
      </c>
      <c r="F103" s="31">
        <f>IF($C103="","",IFERROR($A103*$C103,0))</f>
        <v/>
      </c>
      <c r="G103" s="31">
        <f>IF($B103="","",IFERROR(MAX(0,ayd_netDefter-$E103),0))</f>
        <v/>
      </c>
      <c r="H103" s="31">
        <f>IF($C103="","",IFERROR(MAX(0,ayd_netDefter+ayd_fark-$F103),0))</f>
        <v/>
      </c>
      <c r="I103" s="31">
        <f>IF($A103="","",IF($A103&gt;IFERROR(GIRDI!B12,0),"DIŞI","AKTİF"))</f>
        <v/>
      </c>
    </row>
    <row r="104">
      <c r="B104" s="31">
        <f>IF(OR($A104="",$A104&gt;IFERROR(GIRDI!B12,0)),"",IFERROR(IF(OR(GIRDI!B12="",GIRDI!B12=0),0,ayd_netDefter/GIRDI!B12),0))</f>
        <v/>
      </c>
      <c r="C104" s="31">
        <f>IF(OR($A104="",$A104&gt;IFERROR(GIRDI!B12,0)),"",IFERROR(IF(OR(GIRDI!B12="",GIRDI!B12=0),0,(ayd_netDefter+ayd_fark)/GIRDI!B12),0))</f>
        <v/>
      </c>
      <c r="D104" s="31">
        <f>IF($B104="","",IFERROR($C104-$B104,0))</f>
        <v/>
      </c>
      <c r="E104" s="31">
        <f>IF($B104="","",IFERROR($A104*$B104,0))</f>
        <v/>
      </c>
      <c r="F104" s="31">
        <f>IF($C104="","",IFERROR($A104*$C104,0))</f>
        <v/>
      </c>
      <c r="G104" s="31">
        <f>IF($B104="","",IFERROR(MAX(0,ayd_netDefter-$E104),0))</f>
        <v/>
      </c>
      <c r="H104" s="31">
        <f>IF($C104="","",IFERROR(MAX(0,ayd_netDefter+ayd_fark-$F104),0))</f>
        <v/>
      </c>
      <c r="I104" s="31">
        <f>IF($A104="","",IF($A104&gt;IFERROR(GIRDI!B12,0),"DIŞI","AKTİF"))</f>
        <v/>
      </c>
    </row>
    <row r="105">
      <c r="B105" s="31">
        <f>IF(OR($A105="",$A105&gt;IFERROR(GIRDI!B12,0)),"",IFERROR(IF(OR(GIRDI!B12="",GIRDI!B12=0),0,ayd_netDefter/GIRDI!B12),0))</f>
        <v/>
      </c>
      <c r="C105" s="31">
        <f>IF(OR($A105="",$A105&gt;IFERROR(GIRDI!B12,0)),"",IFERROR(IF(OR(GIRDI!B12="",GIRDI!B12=0),0,(ayd_netDefter+ayd_fark)/GIRDI!B12),0))</f>
        <v/>
      </c>
      <c r="D105" s="31">
        <f>IF($B105="","",IFERROR($C105-$B105,0))</f>
        <v/>
      </c>
      <c r="E105" s="31">
        <f>IF($B105="","",IFERROR($A105*$B105,0))</f>
        <v/>
      </c>
      <c r="F105" s="31">
        <f>IF($C105="","",IFERROR($A105*$C105,0))</f>
        <v/>
      </c>
      <c r="G105" s="31">
        <f>IF($B105="","",IFERROR(MAX(0,ayd_netDefter-$E105),0))</f>
        <v/>
      </c>
      <c r="H105" s="31">
        <f>IF($C105="","",IFERROR(MAX(0,ayd_netDefter+ayd_fark-$F105),0))</f>
        <v/>
      </c>
      <c r="I105" s="31">
        <f>IF($A105="","",IF($A105&gt;IFERROR(GIRDI!B12,0),"DIŞI","AKTİF"))</f>
        <v/>
      </c>
    </row>
    <row r="106">
      <c r="B106" s="31">
        <f>IF(OR($A106="",$A106&gt;IFERROR(GIRDI!B12,0)),"",IFERROR(IF(OR(GIRDI!B12="",GIRDI!B12=0),0,ayd_netDefter/GIRDI!B12),0))</f>
        <v/>
      </c>
      <c r="C106" s="31">
        <f>IF(OR($A106="",$A106&gt;IFERROR(GIRDI!B12,0)),"",IFERROR(IF(OR(GIRDI!B12="",GIRDI!B12=0),0,(ayd_netDefter+ayd_fark)/GIRDI!B12),0))</f>
        <v/>
      </c>
      <c r="D106" s="31">
        <f>IF($B106="","",IFERROR($C106-$B106,0))</f>
        <v/>
      </c>
      <c r="E106" s="31">
        <f>IF($B106="","",IFERROR($A106*$B106,0))</f>
        <v/>
      </c>
      <c r="F106" s="31">
        <f>IF($C106="","",IFERROR($A106*$C106,0))</f>
        <v/>
      </c>
      <c r="G106" s="31">
        <f>IF($B106="","",IFERROR(MAX(0,ayd_netDefter-$E106),0))</f>
        <v/>
      </c>
      <c r="H106" s="31">
        <f>IF($C106="","",IFERROR(MAX(0,ayd_netDefter+ayd_fark-$F106),0))</f>
        <v/>
      </c>
      <c r="I106" s="31">
        <f>IF($A106="","",IF($A106&gt;IFERROR(GIRDI!B12,0),"DIŞI","AKTİF"))</f>
        <v/>
      </c>
    </row>
    <row r="107">
      <c r="B107" s="31">
        <f>IF(OR($A107="",$A107&gt;IFERROR(GIRDI!B12,0)),"",IFERROR(IF(OR(GIRDI!B12="",GIRDI!B12=0),0,ayd_netDefter/GIRDI!B12),0))</f>
        <v/>
      </c>
      <c r="C107" s="31">
        <f>IF(OR($A107="",$A107&gt;IFERROR(GIRDI!B12,0)),"",IFERROR(IF(OR(GIRDI!B12="",GIRDI!B12=0),0,(ayd_netDefter+ayd_fark)/GIRDI!B12),0))</f>
        <v/>
      </c>
      <c r="D107" s="31">
        <f>IF($B107="","",IFERROR($C107-$B107,0))</f>
        <v/>
      </c>
      <c r="E107" s="31">
        <f>IF($B107="","",IFERROR($A107*$B107,0))</f>
        <v/>
      </c>
      <c r="F107" s="31">
        <f>IF($C107="","",IFERROR($A107*$C107,0))</f>
        <v/>
      </c>
      <c r="G107" s="31">
        <f>IF($B107="","",IFERROR(MAX(0,ayd_netDefter-$E107),0))</f>
        <v/>
      </c>
      <c r="H107" s="31">
        <f>IF($C107="","",IFERROR(MAX(0,ayd_netDefter+ayd_fark-$F107),0))</f>
        <v/>
      </c>
      <c r="I107" s="31">
        <f>IF($A107="","",IF($A107&gt;IFERROR(GIRDI!B12,0),"DIŞI","AKTİF"))</f>
        <v/>
      </c>
    </row>
    <row r="108">
      <c r="B108" s="31">
        <f>IF(OR($A108="",$A108&gt;IFERROR(GIRDI!B12,0)),"",IFERROR(IF(OR(GIRDI!B12="",GIRDI!B12=0),0,ayd_netDefter/GIRDI!B12),0))</f>
        <v/>
      </c>
      <c r="C108" s="31">
        <f>IF(OR($A108="",$A108&gt;IFERROR(GIRDI!B12,0)),"",IFERROR(IF(OR(GIRDI!B12="",GIRDI!B12=0),0,(ayd_netDefter+ayd_fark)/GIRDI!B12),0))</f>
        <v/>
      </c>
      <c r="D108" s="31">
        <f>IF($B108="","",IFERROR($C108-$B108,0))</f>
        <v/>
      </c>
      <c r="E108" s="31">
        <f>IF($B108="","",IFERROR($A108*$B108,0))</f>
        <v/>
      </c>
      <c r="F108" s="31">
        <f>IF($C108="","",IFERROR($A108*$C108,0))</f>
        <v/>
      </c>
      <c r="G108" s="31">
        <f>IF($B108="","",IFERROR(MAX(0,ayd_netDefter-$E108),0))</f>
        <v/>
      </c>
      <c r="H108" s="31">
        <f>IF($C108="","",IFERROR(MAX(0,ayd_netDefter+ayd_fark-$F108),0))</f>
        <v/>
      </c>
      <c r="I108" s="31">
        <f>IF($A108="","",IF($A108&gt;IFERROR(GIRDI!B12,0),"DIŞI","AKTİF"))</f>
        <v/>
      </c>
    </row>
    <row r="109">
      <c r="B109" s="31">
        <f>IF(OR($A109="",$A109&gt;IFERROR(GIRDI!B12,0)),"",IFERROR(IF(OR(GIRDI!B12="",GIRDI!B12=0),0,ayd_netDefter/GIRDI!B12),0))</f>
        <v/>
      </c>
      <c r="C109" s="31">
        <f>IF(OR($A109="",$A109&gt;IFERROR(GIRDI!B12,0)),"",IFERROR(IF(OR(GIRDI!B12="",GIRDI!B12=0),0,(ayd_netDefter+ayd_fark)/GIRDI!B12),0))</f>
        <v/>
      </c>
      <c r="D109" s="31">
        <f>IF($B109="","",IFERROR($C109-$B109,0))</f>
        <v/>
      </c>
      <c r="E109" s="31">
        <f>IF($B109="","",IFERROR($A109*$B109,0))</f>
        <v/>
      </c>
      <c r="F109" s="31">
        <f>IF($C109="","",IFERROR($A109*$C109,0))</f>
        <v/>
      </c>
      <c r="G109" s="31">
        <f>IF($B109="","",IFERROR(MAX(0,ayd_netDefter-$E109),0))</f>
        <v/>
      </c>
      <c r="H109" s="31">
        <f>IF($C109="","",IFERROR(MAX(0,ayd_netDefter+ayd_fark-$F109),0))</f>
        <v/>
      </c>
      <c r="I109" s="31">
        <f>IF($A109="","",IF($A109&gt;IFERROR(GIRDI!B12,0),"DIŞI","AKTİF"))</f>
        <v/>
      </c>
    </row>
    <row r="110">
      <c r="B110" s="31">
        <f>IF(OR($A110="",$A110&gt;IFERROR(GIRDI!B12,0)),"",IFERROR(IF(OR(GIRDI!B12="",GIRDI!B12=0),0,ayd_netDefter/GIRDI!B12),0))</f>
        <v/>
      </c>
      <c r="C110" s="31">
        <f>IF(OR($A110="",$A110&gt;IFERROR(GIRDI!B12,0)),"",IFERROR(IF(OR(GIRDI!B12="",GIRDI!B12=0),0,(ayd_netDefter+ayd_fark)/GIRDI!B12),0))</f>
        <v/>
      </c>
      <c r="D110" s="31">
        <f>IF($B110="","",IFERROR($C110-$B110,0))</f>
        <v/>
      </c>
      <c r="E110" s="31">
        <f>IF($B110="","",IFERROR($A110*$B110,0))</f>
        <v/>
      </c>
      <c r="F110" s="31">
        <f>IF($C110="","",IFERROR($A110*$C110,0))</f>
        <v/>
      </c>
      <c r="G110" s="31">
        <f>IF($B110="","",IFERROR(MAX(0,ayd_netDefter-$E110),0))</f>
        <v/>
      </c>
      <c r="H110" s="31">
        <f>IF($C110="","",IFERROR(MAX(0,ayd_netDefter+ayd_fark-$F110),0))</f>
        <v/>
      </c>
      <c r="I110" s="31">
        <f>IF($A110="","",IF($A110&gt;IFERROR(GIRDI!B12,0),"DIŞI","AKTİF"))</f>
        <v/>
      </c>
    </row>
    <row r="111">
      <c r="B111" s="31">
        <f>IF(OR($A111="",$A111&gt;IFERROR(GIRDI!B12,0)),"",IFERROR(IF(OR(GIRDI!B12="",GIRDI!B12=0),0,ayd_netDefter/GIRDI!B12),0))</f>
        <v/>
      </c>
      <c r="C111" s="31">
        <f>IF(OR($A111="",$A111&gt;IFERROR(GIRDI!B12,0)),"",IFERROR(IF(OR(GIRDI!B12="",GIRDI!B12=0),0,(ayd_netDefter+ayd_fark)/GIRDI!B12),0))</f>
        <v/>
      </c>
      <c r="D111" s="31">
        <f>IF($B111="","",IFERROR($C111-$B111,0))</f>
        <v/>
      </c>
      <c r="E111" s="31">
        <f>IF($B111="","",IFERROR($A111*$B111,0))</f>
        <v/>
      </c>
      <c r="F111" s="31">
        <f>IF($C111="","",IFERROR($A111*$C111,0))</f>
        <v/>
      </c>
      <c r="G111" s="31">
        <f>IF($B111="","",IFERROR(MAX(0,ayd_netDefter-$E111),0))</f>
        <v/>
      </c>
      <c r="H111" s="31">
        <f>IF($C111="","",IFERROR(MAX(0,ayd_netDefter+ayd_fark-$F111),0))</f>
        <v/>
      </c>
      <c r="I111" s="31">
        <f>IF($A111="","",IF($A111&gt;IFERROR(GIRDI!B12,0),"DIŞI","AKTİF"))</f>
        <v/>
      </c>
    </row>
    <row r="112">
      <c r="B112" s="31">
        <f>IF(OR($A112="",$A112&gt;IFERROR(GIRDI!B12,0)),"",IFERROR(IF(OR(GIRDI!B12="",GIRDI!B12=0),0,ayd_netDefter/GIRDI!B12),0))</f>
        <v/>
      </c>
      <c r="C112" s="31">
        <f>IF(OR($A112="",$A112&gt;IFERROR(GIRDI!B12,0)),"",IFERROR(IF(OR(GIRDI!B12="",GIRDI!B12=0),0,(ayd_netDefter+ayd_fark)/GIRDI!B12),0))</f>
        <v/>
      </c>
      <c r="D112" s="31">
        <f>IF($B112="","",IFERROR($C112-$B112,0))</f>
        <v/>
      </c>
      <c r="E112" s="31">
        <f>IF($B112="","",IFERROR($A112*$B112,0))</f>
        <v/>
      </c>
      <c r="F112" s="31">
        <f>IF($C112="","",IFERROR($A112*$C112,0))</f>
        <v/>
      </c>
      <c r="G112" s="31">
        <f>IF($B112="","",IFERROR(MAX(0,ayd_netDefter-$E112),0))</f>
        <v/>
      </c>
      <c r="H112" s="31">
        <f>IF($C112="","",IFERROR(MAX(0,ayd_netDefter+ayd_fark-$F112),0))</f>
        <v/>
      </c>
      <c r="I112" s="31">
        <f>IF($A112="","",IF($A112&gt;IFERROR(GIRDI!B12,0),"DIŞI","AKTİF"))</f>
        <v/>
      </c>
    </row>
    <row r="113">
      <c r="B113" s="31">
        <f>IF(OR($A113="",$A113&gt;IFERROR(GIRDI!B12,0)),"",IFERROR(IF(OR(GIRDI!B12="",GIRDI!B12=0),0,ayd_netDefter/GIRDI!B12),0))</f>
        <v/>
      </c>
      <c r="C113" s="31">
        <f>IF(OR($A113="",$A113&gt;IFERROR(GIRDI!B12,0)),"",IFERROR(IF(OR(GIRDI!B12="",GIRDI!B12=0),0,(ayd_netDefter+ayd_fark)/GIRDI!B12),0))</f>
        <v/>
      </c>
      <c r="D113" s="31">
        <f>IF($B113="","",IFERROR($C113-$B113,0))</f>
        <v/>
      </c>
      <c r="E113" s="31">
        <f>IF($B113="","",IFERROR($A113*$B113,0))</f>
        <v/>
      </c>
      <c r="F113" s="31">
        <f>IF($C113="","",IFERROR($A113*$C113,0))</f>
        <v/>
      </c>
      <c r="G113" s="31">
        <f>IF($B113="","",IFERROR(MAX(0,ayd_netDefter-$E113),0))</f>
        <v/>
      </c>
      <c r="H113" s="31">
        <f>IF($C113="","",IFERROR(MAX(0,ayd_netDefter+ayd_fark-$F113),0))</f>
        <v/>
      </c>
      <c r="I113" s="31">
        <f>IF($A113="","",IF($A113&gt;IFERROR(GIRDI!B12,0),"DIŞI","AKTİF"))</f>
        <v/>
      </c>
    </row>
    <row r="114">
      <c r="B114" s="31">
        <f>IF(OR($A114="",$A114&gt;IFERROR(GIRDI!B12,0)),"",IFERROR(IF(OR(GIRDI!B12="",GIRDI!B12=0),0,ayd_netDefter/GIRDI!B12),0))</f>
        <v/>
      </c>
      <c r="C114" s="31">
        <f>IF(OR($A114="",$A114&gt;IFERROR(GIRDI!B12,0)),"",IFERROR(IF(OR(GIRDI!B12="",GIRDI!B12=0),0,(ayd_netDefter+ayd_fark)/GIRDI!B12),0))</f>
        <v/>
      </c>
      <c r="D114" s="31">
        <f>IF($B114="","",IFERROR($C114-$B114,0))</f>
        <v/>
      </c>
      <c r="E114" s="31">
        <f>IF($B114="","",IFERROR($A114*$B114,0))</f>
        <v/>
      </c>
      <c r="F114" s="31">
        <f>IF($C114="","",IFERROR($A114*$C114,0))</f>
        <v/>
      </c>
      <c r="G114" s="31">
        <f>IF($B114="","",IFERROR(MAX(0,ayd_netDefter-$E114),0))</f>
        <v/>
      </c>
      <c r="H114" s="31">
        <f>IF($C114="","",IFERROR(MAX(0,ayd_netDefter+ayd_fark-$F114),0))</f>
        <v/>
      </c>
      <c r="I114" s="31">
        <f>IF($A114="","",IF($A114&gt;IFERROR(GIRDI!B12,0),"DIŞI","AKTİF"))</f>
        <v/>
      </c>
    </row>
    <row r="115">
      <c r="B115" s="31">
        <f>IF(OR($A115="",$A115&gt;IFERROR(GIRDI!B12,0)),"",IFERROR(IF(OR(GIRDI!B12="",GIRDI!B12=0),0,ayd_netDefter/GIRDI!B12),0))</f>
        <v/>
      </c>
      <c r="C115" s="31">
        <f>IF(OR($A115="",$A115&gt;IFERROR(GIRDI!B12,0)),"",IFERROR(IF(OR(GIRDI!B12="",GIRDI!B12=0),0,(ayd_netDefter+ayd_fark)/GIRDI!B12),0))</f>
        <v/>
      </c>
      <c r="D115" s="31">
        <f>IF($B115="","",IFERROR($C115-$B115,0))</f>
        <v/>
      </c>
      <c r="E115" s="31">
        <f>IF($B115="","",IFERROR($A115*$B115,0))</f>
        <v/>
      </c>
      <c r="F115" s="31">
        <f>IF($C115="","",IFERROR($A115*$C115,0))</f>
        <v/>
      </c>
      <c r="G115" s="31">
        <f>IF($B115="","",IFERROR(MAX(0,ayd_netDefter-$E115),0))</f>
        <v/>
      </c>
      <c r="H115" s="31">
        <f>IF($C115="","",IFERROR(MAX(0,ayd_netDefter+ayd_fark-$F115),0))</f>
        <v/>
      </c>
      <c r="I115" s="31">
        <f>IF($A115="","",IF($A115&gt;IFERROR(GIRDI!B12,0),"DIŞI","AKTİF"))</f>
        <v/>
      </c>
    </row>
    <row r="116">
      <c r="B116" s="31">
        <f>IF(OR($A116="",$A116&gt;IFERROR(GIRDI!B12,0)),"",IFERROR(IF(OR(GIRDI!B12="",GIRDI!B12=0),0,ayd_netDefter/GIRDI!B12),0))</f>
        <v/>
      </c>
      <c r="C116" s="31">
        <f>IF(OR($A116="",$A116&gt;IFERROR(GIRDI!B12,0)),"",IFERROR(IF(OR(GIRDI!B12="",GIRDI!B12=0),0,(ayd_netDefter+ayd_fark)/GIRDI!B12),0))</f>
        <v/>
      </c>
      <c r="D116" s="31">
        <f>IF($B116="","",IFERROR($C116-$B116,0))</f>
        <v/>
      </c>
      <c r="E116" s="31">
        <f>IF($B116="","",IFERROR($A116*$B116,0))</f>
        <v/>
      </c>
      <c r="F116" s="31">
        <f>IF($C116="","",IFERROR($A116*$C116,0))</f>
        <v/>
      </c>
      <c r="G116" s="31">
        <f>IF($B116="","",IFERROR(MAX(0,ayd_netDefter-$E116),0))</f>
        <v/>
      </c>
      <c r="H116" s="31">
        <f>IF($C116="","",IFERROR(MAX(0,ayd_netDefter+ayd_fark-$F116),0))</f>
        <v/>
      </c>
      <c r="I116" s="31">
        <f>IF($A116="","",IF($A116&gt;IFERROR(GIRDI!B12,0),"DIŞI","AKTİF"))</f>
        <v/>
      </c>
    </row>
    <row r="117">
      <c r="B117" s="31">
        <f>IF(OR($A117="",$A117&gt;IFERROR(GIRDI!B12,0)),"",IFERROR(IF(OR(GIRDI!B12="",GIRDI!B12=0),0,ayd_netDefter/GIRDI!B12),0))</f>
        <v/>
      </c>
      <c r="C117" s="31">
        <f>IF(OR($A117="",$A117&gt;IFERROR(GIRDI!B12,0)),"",IFERROR(IF(OR(GIRDI!B12="",GIRDI!B12=0),0,(ayd_netDefter+ayd_fark)/GIRDI!B12),0))</f>
        <v/>
      </c>
      <c r="D117" s="31">
        <f>IF($B117="","",IFERROR($C117-$B117,0))</f>
        <v/>
      </c>
      <c r="E117" s="31">
        <f>IF($B117="","",IFERROR($A117*$B117,0))</f>
        <v/>
      </c>
      <c r="F117" s="31">
        <f>IF($C117="","",IFERROR($A117*$C117,0))</f>
        <v/>
      </c>
      <c r="G117" s="31">
        <f>IF($B117="","",IFERROR(MAX(0,ayd_netDefter-$E117),0))</f>
        <v/>
      </c>
      <c r="H117" s="31">
        <f>IF($C117="","",IFERROR(MAX(0,ayd_netDefter+ayd_fark-$F117),0))</f>
        <v/>
      </c>
      <c r="I117" s="31">
        <f>IF($A117="","",IF($A117&gt;IFERROR(GIRDI!B12,0),"DIŞI","AKTİF"))</f>
        <v/>
      </c>
    </row>
    <row r="118">
      <c r="B118" s="31">
        <f>IF(OR($A118="",$A118&gt;IFERROR(GIRDI!B12,0)),"",IFERROR(IF(OR(GIRDI!B12="",GIRDI!B12=0),0,ayd_netDefter/GIRDI!B12),0))</f>
        <v/>
      </c>
      <c r="C118" s="31">
        <f>IF(OR($A118="",$A118&gt;IFERROR(GIRDI!B12,0)),"",IFERROR(IF(OR(GIRDI!B12="",GIRDI!B12=0),0,(ayd_netDefter+ayd_fark)/GIRDI!B12),0))</f>
        <v/>
      </c>
      <c r="D118" s="31">
        <f>IF($B118="","",IFERROR($C118-$B118,0))</f>
        <v/>
      </c>
      <c r="E118" s="31">
        <f>IF($B118="","",IFERROR($A118*$B118,0))</f>
        <v/>
      </c>
      <c r="F118" s="31">
        <f>IF($C118="","",IFERROR($A118*$C118,0))</f>
        <v/>
      </c>
      <c r="G118" s="31">
        <f>IF($B118="","",IFERROR(MAX(0,ayd_netDefter-$E118),0))</f>
        <v/>
      </c>
      <c r="H118" s="31">
        <f>IF($C118="","",IFERROR(MAX(0,ayd_netDefter+ayd_fark-$F118),0))</f>
        <v/>
      </c>
      <c r="I118" s="31">
        <f>IF($A118="","",IF($A118&gt;IFERROR(GIRDI!B12,0),"DIŞI","AKTİF"))</f>
        <v/>
      </c>
    </row>
    <row r="119">
      <c r="B119" s="31">
        <f>IF(OR($A119="",$A119&gt;IFERROR(GIRDI!B12,0)),"",IFERROR(IF(OR(GIRDI!B12="",GIRDI!B12=0),0,ayd_netDefter/GIRDI!B12),0))</f>
        <v/>
      </c>
      <c r="C119" s="31">
        <f>IF(OR($A119="",$A119&gt;IFERROR(GIRDI!B12,0)),"",IFERROR(IF(OR(GIRDI!B12="",GIRDI!B12=0),0,(ayd_netDefter+ayd_fark)/GIRDI!B12),0))</f>
        <v/>
      </c>
      <c r="D119" s="31">
        <f>IF($B119="","",IFERROR($C119-$B119,0))</f>
        <v/>
      </c>
      <c r="E119" s="31">
        <f>IF($B119="","",IFERROR($A119*$B119,0))</f>
        <v/>
      </c>
      <c r="F119" s="31">
        <f>IF($C119="","",IFERROR($A119*$C119,0))</f>
        <v/>
      </c>
      <c r="G119" s="31">
        <f>IF($B119="","",IFERROR(MAX(0,ayd_netDefter-$E119),0))</f>
        <v/>
      </c>
      <c r="H119" s="31">
        <f>IF($C119="","",IFERROR(MAX(0,ayd_netDefter+ayd_fark-$F119),0))</f>
        <v/>
      </c>
      <c r="I119" s="31">
        <f>IF($A119="","",IF($A119&gt;IFERROR(GIRDI!B12,0),"DIŞI","AKTİF"))</f>
        <v/>
      </c>
    </row>
    <row r="120">
      <c r="B120" s="31">
        <f>IF(OR($A120="",$A120&gt;IFERROR(GIRDI!B12,0)),"",IFERROR(IF(OR(GIRDI!B12="",GIRDI!B12=0),0,ayd_netDefter/GIRDI!B12),0))</f>
        <v/>
      </c>
      <c r="C120" s="31">
        <f>IF(OR($A120="",$A120&gt;IFERROR(GIRDI!B12,0)),"",IFERROR(IF(OR(GIRDI!B12="",GIRDI!B12=0),0,(ayd_netDefter+ayd_fark)/GIRDI!B12),0))</f>
        <v/>
      </c>
      <c r="D120" s="31">
        <f>IF($B120="","",IFERROR($C120-$B120,0))</f>
        <v/>
      </c>
      <c r="E120" s="31">
        <f>IF($B120="","",IFERROR($A120*$B120,0))</f>
        <v/>
      </c>
      <c r="F120" s="31">
        <f>IF($C120="","",IFERROR($A120*$C120,0))</f>
        <v/>
      </c>
      <c r="G120" s="31">
        <f>IF($B120="","",IFERROR(MAX(0,ayd_netDefter-$E120),0))</f>
        <v/>
      </c>
      <c r="H120" s="31">
        <f>IF($C120="","",IFERROR(MAX(0,ayd_netDefter+ayd_fark-$F120),0))</f>
        <v/>
      </c>
      <c r="I120" s="31">
        <f>IF($A120="","",IF($A120&gt;IFERROR(GIRDI!B12,0),"DIŞI","AKTİF"))</f>
        <v/>
      </c>
    </row>
    <row r="121">
      <c r="B121" s="31">
        <f>IF(OR($A121="",$A121&gt;IFERROR(GIRDI!B12,0)),"",IFERROR(IF(OR(GIRDI!B12="",GIRDI!B12=0),0,ayd_netDefter/GIRDI!B12),0))</f>
        <v/>
      </c>
      <c r="C121" s="31">
        <f>IF(OR($A121="",$A121&gt;IFERROR(GIRDI!B12,0)),"",IFERROR(IF(OR(GIRDI!B12="",GIRDI!B12=0),0,(ayd_netDefter+ayd_fark)/GIRDI!B12),0))</f>
        <v/>
      </c>
      <c r="D121" s="31">
        <f>IF($B121="","",IFERROR($C121-$B121,0))</f>
        <v/>
      </c>
      <c r="E121" s="31">
        <f>IF($B121="","",IFERROR($A121*$B121,0))</f>
        <v/>
      </c>
      <c r="F121" s="31">
        <f>IF($C121="","",IFERROR($A121*$C121,0))</f>
        <v/>
      </c>
      <c r="G121" s="31">
        <f>IF($B121="","",IFERROR(MAX(0,ayd_netDefter-$E121),0))</f>
        <v/>
      </c>
      <c r="H121" s="31">
        <f>IF($C121="","",IFERROR(MAX(0,ayd_netDefter+ayd_fark-$F121),0))</f>
        <v/>
      </c>
      <c r="I121" s="31">
        <f>IF($A121="","",IF($A121&gt;IFERROR(GIRDI!B12,0),"DIŞI","AKTİF"))</f>
        <v/>
      </c>
    </row>
    <row r="122">
      <c r="B122" s="31">
        <f>IF(OR($A122="",$A122&gt;IFERROR(GIRDI!B12,0)),"",IFERROR(IF(OR(GIRDI!B12="",GIRDI!B12=0),0,ayd_netDefter/GIRDI!B12),0))</f>
        <v/>
      </c>
      <c r="C122" s="31">
        <f>IF(OR($A122="",$A122&gt;IFERROR(GIRDI!B12,0)),"",IFERROR(IF(OR(GIRDI!B12="",GIRDI!B12=0),0,(ayd_netDefter+ayd_fark)/GIRDI!B12),0))</f>
        <v/>
      </c>
      <c r="D122" s="31">
        <f>IF($B122="","",IFERROR($C122-$B122,0))</f>
        <v/>
      </c>
      <c r="E122" s="31">
        <f>IF($B122="","",IFERROR($A122*$B122,0))</f>
        <v/>
      </c>
      <c r="F122" s="31">
        <f>IF($C122="","",IFERROR($A122*$C122,0))</f>
        <v/>
      </c>
      <c r="G122" s="31">
        <f>IF($B122="","",IFERROR(MAX(0,ayd_netDefter-$E122),0))</f>
        <v/>
      </c>
      <c r="H122" s="31">
        <f>IF($C122="","",IFERROR(MAX(0,ayd_netDefter+ayd_fark-$F122),0))</f>
        <v/>
      </c>
      <c r="I122" s="31">
        <f>IF($A122="","",IF($A122&gt;IFERROR(GIRDI!B12,0),"DIŞI","AKTİF"))</f>
        <v/>
      </c>
    </row>
    <row r="123">
      <c r="B123" s="31">
        <f>IF(OR($A123="",$A123&gt;IFERROR(GIRDI!B12,0)),"",IFERROR(IF(OR(GIRDI!B12="",GIRDI!B12=0),0,ayd_netDefter/GIRDI!B12),0))</f>
        <v/>
      </c>
      <c r="C123" s="31">
        <f>IF(OR($A123="",$A123&gt;IFERROR(GIRDI!B12,0)),"",IFERROR(IF(OR(GIRDI!B12="",GIRDI!B12=0),0,(ayd_netDefter+ayd_fark)/GIRDI!B12),0))</f>
        <v/>
      </c>
      <c r="D123" s="31">
        <f>IF($B123="","",IFERROR($C123-$B123,0))</f>
        <v/>
      </c>
      <c r="E123" s="31">
        <f>IF($B123="","",IFERROR($A123*$B123,0))</f>
        <v/>
      </c>
      <c r="F123" s="31">
        <f>IF($C123="","",IFERROR($A123*$C123,0))</f>
        <v/>
      </c>
      <c r="G123" s="31">
        <f>IF($B123="","",IFERROR(MAX(0,ayd_netDefter-$E123),0))</f>
        <v/>
      </c>
      <c r="H123" s="31">
        <f>IF($C123="","",IFERROR(MAX(0,ayd_netDefter+ayd_fark-$F123),0))</f>
        <v/>
      </c>
      <c r="I123" s="31">
        <f>IF($A123="","",IF($A123&gt;IFERROR(GIRDI!B12,0),"DIŞI","AKTİF"))</f>
        <v/>
      </c>
    </row>
    <row r="124">
      <c r="B124" s="31">
        <f>IF(OR($A124="",$A124&gt;IFERROR(GIRDI!B12,0)),"",IFERROR(IF(OR(GIRDI!B12="",GIRDI!B12=0),0,ayd_netDefter/GIRDI!B12),0))</f>
        <v/>
      </c>
      <c r="C124" s="31">
        <f>IF(OR($A124="",$A124&gt;IFERROR(GIRDI!B12,0)),"",IFERROR(IF(OR(GIRDI!B12="",GIRDI!B12=0),0,(ayd_netDefter+ayd_fark)/GIRDI!B12),0))</f>
        <v/>
      </c>
      <c r="D124" s="31">
        <f>IF($B124="","",IFERROR($C124-$B124,0))</f>
        <v/>
      </c>
      <c r="E124" s="31">
        <f>IF($B124="","",IFERROR($A124*$B124,0))</f>
        <v/>
      </c>
      <c r="F124" s="31">
        <f>IF($C124="","",IFERROR($A124*$C124,0))</f>
        <v/>
      </c>
      <c r="G124" s="31">
        <f>IF($B124="","",IFERROR(MAX(0,ayd_netDefter-$E124),0))</f>
        <v/>
      </c>
      <c r="H124" s="31">
        <f>IF($C124="","",IFERROR(MAX(0,ayd_netDefter+ayd_fark-$F124),0))</f>
        <v/>
      </c>
      <c r="I124" s="31">
        <f>IF($A124="","",IF($A124&gt;IFERROR(GIRDI!B12,0),"DIŞI","AKTİF"))</f>
        <v/>
      </c>
    </row>
    <row r="125">
      <c r="B125" s="31">
        <f>IF(OR($A125="",$A125&gt;IFERROR(GIRDI!B12,0)),"",IFERROR(IF(OR(GIRDI!B12="",GIRDI!B12=0),0,ayd_netDefter/GIRDI!B12),0))</f>
        <v/>
      </c>
      <c r="C125" s="31">
        <f>IF(OR($A125="",$A125&gt;IFERROR(GIRDI!B12,0)),"",IFERROR(IF(OR(GIRDI!B12="",GIRDI!B12=0),0,(ayd_netDefter+ayd_fark)/GIRDI!B12),0))</f>
        <v/>
      </c>
      <c r="D125" s="31">
        <f>IF($B125="","",IFERROR($C125-$B125,0))</f>
        <v/>
      </c>
      <c r="E125" s="31">
        <f>IF($B125="","",IFERROR($A125*$B125,0))</f>
        <v/>
      </c>
      <c r="F125" s="31">
        <f>IF($C125="","",IFERROR($A125*$C125,0))</f>
        <v/>
      </c>
      <c r="G125" s="31">
        <f>IF($B125="","",IFERROR(MAX(0,ayd_netDefter-$E125),0))</f>
        <v/>
      </c>
      <c r="H125" s="31">
        <f>IF($C125="","",IFERROR(MAX(0,ayd_netDefter+ayd_fark-$F125),0))</f>
        <v/>
      </c>
      <c r="I125" s="31">
        <f>IF($A125="","",IF($A125&gt;IFERROR(GIRDI!B12,0),"DIŞI","AKTİF"))</f>
        <v/>
      </c>
    </row>
    <row r="126">
      <c r="B126" s="31">
        <f>IF(OR($A126="",$A126&gt;IFERROR(GIRDI!B12,0)),"",IFERROR(IF(OR(GIRDI!B12="",GIRDI!B12=0),0,ayd_netDefter/GIRDI!B12),0))</f>
        <v/>
      </c>
      <c r="C126" s="31">
        <f>IF(OR($A126="",$A126&gt;IFERROR(GIRDI!B12,0)),"",IFERROR(IF(OR(GIRDI!B12="",GIRDI!B12=0),0,(ayd_netDefter+ayd_fark)/GIRDI!B12),0))</f>
        <v/>
      </c>
      <c r="D126" s="31">
        <f>IF($B126="","",IFERROR($C126-$B126,0))</f>
        <v/>
      </c>
      <c r="E126" s="31">
        <f>IF($B126="","",IFERROR($A126*$B126,0))</f>
        <v/>
      </c>
      <c r="F126" s="31">
        <f>IF($C126="","",IFERROR($A126*$C126,0))</f>
        <v/>
      </c>
      <c r="G126" s="31">
        <f>IF($B126="","",IFERROR(MAX(0,ayd_netDefter-$E126),0))</f>
        <v/>
      </c>
      <c r="H126" s="31">
        <f>IF($C126="","",IFERROR(MAX(0,ayd_netDefter+ayd_fark-$F126),0))</f>
        <v/>
      </c>
      <c r="I126" s="31">
        <f>IF($A126="","",IF($A126&gt;IFERROR(GIRDI!B12,0),"DIŞI","AKTİF"))</f>
        <v/>
      </c>
    </row>
    <row r="127">
      <c r="B127" s="31">
        <f>IF(OR($A127="",$A127&gt;IFERROR(GIRDI!B12,0)),"",IFERROR(IF(OR(GIRDI!B12="",GIRDI!B12=0),0,ayd_netDefter/GIRDI!B12),0))</f>
        <v/>
      </c>
      <c r="C127" s="31">
        <f>IF(OR($A127="",$A127&gt;IFERROR(GIRDI!B12,0)),"",IFERROR(IF(OR(GIRDI!B12="",GIRDI!B12=0),0,(ayd_netDefter+ayd_fark)/GIRDI!B12),0))</f>
        <v/>
      </c>
      <c r="D127" s="31">
        <f>IF($B127="","",IFERROR($C127-$B127,0))</f>
        <v/>
      </c>
      <c r="E127" s="31">
        <f>IF($B127="","",IFERROR($A127*$B127,0))</f>
        <v/>
      </c>
      <c r="F127" s="31">
        <f>IF($C127="","",IFERROR($A127*$C127,0))</f>
        <v/>
      </c>
      <c r="G127" s="31">
        <f>IF($B127="","",IFERROR(MAX(0,ayd_netDefter-$E127),0))</f>
        <v/>
      </c>
      <c r="H127" s="31">
        <f>IF($C127="","",IFERROR(MAX(0,ayd_netDefter+ayd_fark-$F127),0))</f>
        <v/>
      </c>
      <c r="I127" s="31">
        <f>IF($A127="","",IF($A127&gt;IFERROR(GIRDI!B12,0),"DIŞI","AKTİF"))</f>
        <v/>
      </c>
    </row>
    <row r="128">
      <c r="B128" s="31">
        <f>IF(OR($A128="",$A128&gt;IFERROR(GIRDI!B12,0)),"",IFERROR(IF(OR(GIRDI!B12="",GIRDI!B12=0),0,ayd_netDefter/GIRDI!B12),0))</f>
        <v/>
      </c>
      <c r="C128" s="31">
        <f>IF(OR($A128="",$A128&gt;IFERROR(GIRDI!B12,0)),"",IFERROR(IF(OR(GIRDI!B12="",GIRDI!B12=0),0,(ayd_netDefter+ayd_fark)/GIRDI!B12),0))</f>
        <v/>
      </c>
      <c r="D128" s="31">
        <f>IF($B128="","",IFERROR($C128-$B128,0))</f>
        <v/>
      </c>
      <c r="E128" s="31">
        <f>IF($B128="","",IFERROR($A128*$B128,0))</f>
        <v/>
      </c>
      <c r="F128" s="31">
        <f>IF($C128="","",IFERROR($A128*$C128,0))</f>
        <v/>
      </c>
      <c r="G128" s="31">
        <f>IF($B128="","",IFERROR(MAX(0,ayd_netDefter-$E128),0))</f>
        <v/>
      </c>
      <c r="H128" s="31">
        <f>IF($C128="","",IFERROR(MAX(0,ayd_netDefter+ayd_fark-$F128),0))</f>
        <v/>
      </c>
      <c r="I128" s="31">
        <f>IF($A128="","",IF($A128&gt;IFERROR(GIRDI!B12,0),"DIŞI","AKTİF"))</f>
        <v/>
      </c>
    </row>
    <row r="129">
      <c r="B129" s="31">
        <f>IF(OR($A129="",$A129&gt;IFERROR(GIRDI!B12,0)),"",IFERROR(IF(OR(GIRDI!B12="",GIRDI!B12=0),0,ayd_netDefter/GIRDI!B12),0))</f>
        <v/>
      </c>
      <c r="C129" s="31">
        <f>IF(OR($A129="",$A129&gt;IFERROR(GIRDI!B12,0)),"",IFERROR(IF(OR(GIRDI!B12="",GIRDI!B12=0),0,(ayd_netDefter+ayd_fark)/GIRDI!B12),0))</f>
        <v/>
      </c>
      <c r="D129" s="31">
        <f>IF($B129="","",IFERROR($C129-$B129,0))</f>
        <v/>
      </c>
      <c r="E129" s="31">
        <f>IF($B129="","",IFERROR($A129*$B129,0))</f>
        <v/>
      </c>
      <c r="F129" s="31">
        <f>IF($C129="","",IFERROR($A129*$C129,0))</f>
        <v/>
      </c>
      <c r="G129" s="31">
        <f>IF($B129="","",IFERROR(MAX(0,ayd_netDefter-$E129),0))</f>
        <v/>
      </c>
      <c r="H129" s="31">
        <f>IF($C129="","",IFERROR(MAX(0,ayd_netDefter+ayd_fark-$F129),0))</f>
        <v/>
      </c>
      <c r="I129" s="31">
        <f>IF($A129="","",IF($A129&gt;IFERROR(GIRDI!B12,0),"DIŞI","AKTİF"))</f>
        <v/>
      </c>
    </row>
    <row r="130">
      <c r="B130" s="31">
        <f>IF(OR($A130="",$A130&gt;IFERROR(GIRDI!B12,0)),"",IFERROR(IF(OR(GIRDI!B12="",GIRDI!B12=0),0,ayd_netDefter/GIRDI!B12),0))</f>
        <v/>
      </c>
      <c r="C130" s="31">
        <f>IF(OR($A130="",$A130&gt;IFERROR(GIRDI!B12,0)),"",IFERROR(IF(OR(GIRDI!B12="",GIRDI!B12=0),0,(ayd_netDefter+ayd_fark)/GIRDI!B12),0))</f>
        <v/>
      </c>
      <c r="D130" s="31">
        <f>IF($B130="","",IFERROR($C130-$B130,0))</f>
        <v/>
      </c>
      <c r="E130" s="31">
        <f>IF($B130="","",IFERROR($A130*$B130,0))</f>
        <v/>
      </c>
      <c r="F130" s="31">
        <f>IF($C130="","",IFERROR($A130*$C130,0))</f>
        <v/>
      </c>
      <c r="G130" s="31">
        <f>IF($B130="","",IFERROR(MAX(0,ayd_netDefter-$E130),0))</f>
        <v/>
      </c>
      <c r="H130" s="31">
        <f>IF($C130="","",IFERROR(MAX(0,ayd_netDefter+ayd_fark-$F130),0))</f>
        <v/>
      </c>
      <c r="I130" s="31">
        <f>IF($A130="","",IF($A130&gt;IFERROR(GIRDI!B12,0),"DIŞI","AKTİF"))</f>
        <v/>
      </c>
    </row>
    <row r="131">
      <c r="B131" s="31">
        <f>IF(OR($A131="",$A131&gt;IFERROR(GIRDI!B12,0)),"",IFERROR(IF(OR(GIRDI!B12="",GIRDI!B12=0),0,ayd_netDefter/GIRDI!B12),0))</f>
        <v/>
      </c>
      <c r="C131" s="31">
        <f>IF(OR($A131="",$A131&gt;IFERROR(GIRDI!B12,0)),"",IFERROR(IF(OR(GIRDI!B12="",GIRDI!B12=0),0,(ayd_netDefter+ayd_fark)/GIRDI!B12),0))</f>
        <v/>
      </c>
      <c r="D131" s="31">
        <f>IF($B131="","",IFERROR($C131-$B131,0))</f>
        <v/>
      </c>
      <c r="E131" s="31">
        <f>IF($B131="","",IFERROR($A131*$B131,0))</f>
        <v/>
      </c>
      <c r="F131" s="31">
        <f>IF($C131="","",IFERROR($A131*$C131,0))</f>
        <v/>
      </c>
      <c r="G131" s="31">
        <f>IF($B131="","",IFERROR(MAX(0,ayd_netDefter-$E131),0))</f>
        <v/>
      </c>
      <c r="H131" s="31">
        <f>IF($C131="","",IFERROR(MAX(0,ayd_netDefter+ayd_fark-$F131),0))</f>
        <v/>
      </c>
      <c r="I131" s="31">
        <f>IF($A131="","",IF($A131&gt;IFERROR(GIRDI!B12,0),"DIŞI","AKTİF"))</f>
        <v/>
      </c>
    </row>
    <row r="132">
      <c r="B132" s="31">
        <f>IF(OR($A132="",$A132&gt;IFERROR(GIRDI!B12,0)),"",IFERROR(IF(OR(GIRDI!B12="",GIRDI!B12=0),0,ayd_netDefter/GIRDI!B12),0))</f>
        <v/>
      </c>
      <c r="C132" s="31">
        <f>IF(OR($A132="",$A132&gt;IFERROR(GIRDI!B12,0)),"",IFERROR(IF(OR(GIRDI!B12="",GIRDI!B12=0),0,(ayd_netDefter+ayd_fark)/GIRDI!B12),0))</f>
        <v/>
      </c>
      <c r="D132" s="31">
        <f>IF($B132="","",IFERROR($C132-$B132,0))</f>
        <v/>
      </c>
      <c r="E132" s="31">
        <f>IF($B132="","",IFERROR($A132*$B132,0))</f>
        <v/>
      </c>
      <c r="F132" s="31">
        <f>IF($C132="","",IFERROR($A132*$C132,0))</f>
        <v/>
      </c>
      <c r="G132" s="31">
        <f>IF($B132="","",IFERROR(MAX(0,ayd_netDefter-$E132),0))</f>
        <v/>
      </c>
      <c r="H132" s="31">
        <f>IF($C132="","",IFERROR(MAX(0,ayd_netDefter+ayd_fark-$F132),0))</f>
        <v/>
      </c>
      <c r="I132" s="31">
        <f>IF($A132="","",IF($A132&gt;IFERROR(GIRDI!B12,0),"DIŞI","AKTİF"))</f>
        <v/>
      </c>
    </row>
    <row r="133">
      <c r="B133" s="31">
        <f>IF(OR($A133="",$A133&gt;IFERROR(GIRDI!B12,0)),"",IFERROR(IF(OR(GIRDI!B12="",GIRDI!B12=0),0,ayd_netDefter/GIRDI!B12),0))</f>
        <v/>
      </c>
      <c r="C133" s="31">
        <f>IF(OR($A133="",$A133&gt;IFERROR(GIRDI!B12,0)),"",IFERROR(IF(OR(GIRDI!B12="",GIRDI!B12=0),0,(ayd_netDefter+ayd_fark)/GIRDI!B12),0))</f>
        <v/>
      </c>
      <c r="D133" s="31">
        <f>IF($B133="","",IFERROR($C133-$B133,0))</f>
        <v/>
      </c>
      <c r="E133" s="31">
        <f>IF($B133="","",IFERROR($A133*$B133,0))</f>
        <v/>
      </c>
      <c r="F133" s="31">
        <f>IF($C133="","",IFERROR($A133*$C133,0))</f>
        <v/>
      </c>
      <c r="G133" s="31">
        <f>IF($B133="","",IFERROR(MAX(0,ayd_netDefter-$E133),0))</f>
        <v/>
      </c>
      <c r="H133" s="31">
        <f>IF($C133="","",IFERROR(MAX(0,ayd_netDefter+ayd_fark-$F133),0))</f>
        <v/>
      </c>
      <c r="I133" s="31">
        <f>IF($A133="","",IF($A133&gt;IFERROR(GIRDI!B12,0),"DIŞI","AKTİF"))</f>
        <v/>
      </c>
    </row>
    <row r="134">
      <c r="B134" s="31">
        <f>IF(OR($A134="",$A134&gt;IFERROR(GIRDI!B12,0)),"",IFERROR(IF(OR(GIRDI!B12="",GIRDI!B12=0),0,ayd_netDefter/GIRDI!B12),0))</f>
        <v/>
      </c>
      <c r="C134" s="31">
        <f>IF(OR($A134="",$A134&gt;IFERROR(GIRDI!B12,0)),"",IFERROR(IF(OR(GIRDI!B12="",GIRDI!B12=0),0,(ayd_netDefter+ayd_fark)/GIRDI!B12),0))</f>
        <v/>
      </c>
      <c r="D134" s="31">
        <f>IF($B134="","",IFERROR($C134-$B134,0))</f>
        <v/>
      </c>
      <c r="E134" s="31">
        <f>IF($B134="","",IFERROR($A134*$B134,0))</f>
        <v/>
      </c>
      <c r="F134" s="31">
        <f>IF($C134="","",IFERROR($A134*$C134,0))</f>
        <v/>
      </c>
      <c r="G134" s="31">
        <f>IF($B134="","",IFERROR(MAX(0,ayd_netDefter-$E134),0))</f>
        <v/>
      </c>
      <c r="H134" s="31">
        <f>IF($C134="","",IFERROR(MAX(0,ayd_netDefter+ayd_fark-$F134),0))</f>
        <v/>
      </c>
      <c r="I134" s="31">
        <f>IF($A134="","",IF($A134&gt;IFERROR(GIRDI!B12,0),"DIŞI","AKTİF"))</f>
        <v/>
      </c>
    </row>
    <row r="135">
      <c r="B135" s="31">
        <f>IF(OR($A135="",$A135&gt;IFERROR(GIRDI!B12,0)),"",IFERROR(IF(OR(GIRDI!B12="",GIRDI!B12=0),0,ayd_netDefter/GIRDI!B12),0))</f>
        <v/>
      </c>
      <c r="C135" s="31">
        <f>IF(OR($A135="",$A135&gt;IFERROR(GIRDI!B12,0)),"",IFERROR(IF(OR(GIRDI!B12="",GIRDI!B12=0),0,(ayd_netDefter+ayd_fark)/GIRDI!B12),0))</f>
        <v/>
      </c>
      <c r="D135" s="31">
        <f>IF($B135="","",IFERROR($C135-$B135,0))</f>
        <v/>
      </c>
      <c r="E135" s="31">
        <f>IF($B135="","",IFERROR($A135*$B135,0))</f>
        <v/>
      </c>
      <c r="F135" s="31">
        <f>IF($C135="","",IFERROR($A135*$C135,0))</f>
        <v/>
      </c>
      <c r="G135" s="31">
        <f>IF($B135="","",IFERROR(MAX(0,ayd_netDefter-$E135),0))</f>
        <v/>
      </c>
      <c r="H135" s="31">
        <f>IF($C135="","",IFERROR(MAX(0,ayd_netDefter+ayd_fark-$F135),0))</f>
        <v/>
      </c>
      <c r="I135" s="31">
        <f>IF($A135="","",IF($A135&gt;IFERROR(GIRDI!B12,0),"DIŞI","AKTİF"))</f>
        <v/>
      </c>
    </row>
    <row r="136">
      <c r="B136" s="31">
        <f>IF(OR($A136="",$A136&gt;IFERROR(GIRDI!B12,0)),"",IFERROR(IF(OR(GIRDI!B12="",GIRDI!B12=0),0,ayd_netDefter/GIRDI!B12),0))</f>
        <v/>
      </c>
      <c r="C136" s="31">
        <f>IF(OR($A136="",$A136&gt;IFERROR(GIRDI!B12,0)),"",IFERROR(IF(OR(GIRDI!B12="",GIRDI!B12=0),0,(ayd_netDefter+ayd_fark)/GIRDI!B12),0))</f>
        <v/>
      </c>
      <c r="D136" s="31">
        <f>IF($B136="","",IFERROR($C136-$B136,0))</f>
        <v/>
      </c>
      <c r="E136" s="31">
        <f>IF($B136="","",IFERROR($A136*$B136,0))</f>
        <v/>
      </c>
      <c r="F136" s="31">
        <f>IF($C136="","",IFERROR($A136*$C136,0))</f>
        <v/>
      </c>
      <c r="G136" s="31">
        <f>IF($B136="","",IFERROR(MAX(0,ayd_netDefter-$E136),0))</f>
        <v/>
      </c>
      <c r="H136" s="31">
        <f>IF($C136="","",IFERROR(MAX(0,ayd_netDefter+ayd_fark-$F136),0))</f>
        <v/>
      </c>
      <c r="I136" s="31">
        <f>IF($A136="","",IF($A136&gt;IFERROR(GIRDI!B12,0),"DIŞI","AKTİF"))</f>
        <v/>
      </c>
    </row>
    <row r="137">
      <c r="B137" s="31">
        <f>IF(OR($A137="",$A137&gt;IFERROR(GIRDI!B12,0)),"",IFERROR(IF(OR(GIRDI!B12="",GIRDI!B12=0),0,ayd_netDefter/GIRDI!B12),0))</f>
        <v/>
      </c>
      <c r="C137" s="31">
        <f>IF(OR($A137="",$A137&gt;IFERROR(GIRDI!B12,0)),"",IFERROR(IF(OR(GIRDI!B12="",GIRDI!B12=0),0,(ayd_netDefter+ayd_fark)/GIRDI!B12),0))</f>
        <v/>
      </c>
      <c r="D137" s="31">
        <f>IF($B137="","",IFERROR($C137-$B137,0))</f>
        <v/>
      </c>
      <c r="E137" s="31">
        <f>IF($B137="","",IFERROR($A137*$B137,0))</f>
        <v/>
      </c>
      <c r="F137" s="31">
        <f>IF($C137="","",IFERROR($A137*$C137,0))</f>
        <v/>
      </c>
      <c r="G137" s="31">
        <f>IF($B137="","",IFERROR(MAX(0,ayd_netDefter-$E137),0))</f>
        <v/>
      </c>
      <c r="H137" s="31">
        <f>IF($C137="","",IFERROR(MAX(0,ayd_netDefter+ayd_fark-$F137),0))</f>
        <v/>
      </c>
      <c r="I137" s="31">
        <f>IF($A137="","",IF($A137&gt;IFERROR(GIRDI!B12,0),"DIŞI","AKTİF"))</f>
        <v/>
      </c>
    </row>
    <row r="138">
      <c r="B138" s="31">
        <f>IF(OR($A138="",$A138&gt;IFERROR(GIRDI!B12,0)),"",IFERROR(IF(OR(GIRDI!B12="",GIRDI!B12=0),0,ayd_netDefter/GIRDI!B12),0))</f>
        <v/>
      </c>
      <c r="C138" s="31">
        <f>IF(OR($A138="",$A138&gt;IFERROR(GIRDI!B12,0)),"",IFERROR(IF(OR(GIRDI!B12="",GIRDI!B12=0),0,(ayd_netDefter+ayd_fark)/GIRDI!B12),0))</f>
        <v/>
      </c>
      <c r="D138" s="31">
        <f>IF($B138="","",IFERROR($C138-$B138,0))</f>
        <v/>
      </c>
      <c r="E138" s="31">
        <f>IF($B138="","",IFERROR($A138*$B138,0))</f>
        <v/>
      </c>
      <c r="F138" s="31">
        <f>IF($C138="","",IFERROR($A138*$C138,0))</f>
        <v/>
      </c>
      <c r="G138" s="31">
        <f>IF($B138="","",IFERROR(MAX(0,ayd_netDefter-$E138),0))</f>
        <v/>
      </c>
      <c r="H138" s="31">
        <f>IF($C138="","",IFERROR(MAX(0,ayd_netDefter+ayd_fark-$F138),0))</f>
        <v/>
      </c>
      <c r="I138" s="31">
        <f>IF($A138="","",IF($A138&gt;IFERROR(GIRDI!B12,0),"DIŞI","AKTİF"))</f>
        <v/>
      </c>
    </row>
    <row r="139">
      <c r="B139" s="31">
        <f>IF(OR($A139="",$A139&gt;IFERROR(GIRDI!B12,0)),"",IFERROR(IF(OR(GIRDI!B12="",GIRDI!B12=0),0,ayd_netDefter/GIRDI!B12),0))</f>
        <v/>
      </c>
      <c r="C139" s="31">
        <f>IF(OR($A139="",$A139&gt;IFERROR(GIRDI!B12,0)),"",IFERROR(IF(OR(GIRDI!B12="",GIRDI!B12=0),0,(ayd_netDefter+ayd_fark)/GIRDI!B12),0))</f>
        <v/>
      </c>
      <c r="D139" s="31">
        <f>IF($B139="","",IFERROR($C139-$B139,0))</f>
        <v/>
      </c>
      <c r="E139" s="31">
        <f>IF($B139="","",IFERROR($A139*$B139,0))</f>
        <v/>
      </c>
      <c r="F139" s="31">
        <f>IF($C139="","",IFERROR($A139*$C139,0))</f>
        <v/>
      </c>
      <c r="G139" s="31">
        <f>IF($B139="","",IFERROR(MAX(0,ayd_netDefter-$E139),0))</f>
        <v/>
      </c>
      <c r="H139" s="31">
        <f>IF($C139="","",IFERROR(MAX(0,ayd_netDefter+ayd_fark-$F139),0))</f>
        <v/>
      </c>
      <c r="I139" s="31">
        <f>IF($A139="","",IF($A139&gt;IFERROR(GIRDI!B12,0),"DIŞI","AKTİF"))</f>
        <v/>
      </c>
    </row>
    <row r="140">
      <c r="B140" s="31">
        <f>IF(OR($A140="",$A140&gt;IFERROR(GIRDI!B12,0)),"",IFERROR(IF(OR(GIRDI!B12="",GIRDI!B12=0),0,ayd_netDefter/GIRDI!B12),0))</f>
        <v/>
      </c>
      <c r="C140" s="31">
        <f>IF(OR($A140="",$A140&gt;IFERROR(GIRDI!B12,0)),"",IFERROR(IF(OR(GIRDI!B12="",GIRDI!B12=0),0,(ayd_netDefter+ayd_fark)/GIRDI!B12),0))</f>
        <v/>
      </c>
      <c r="D140" s="31">
        <f>IF($B140="","",IFERROR($C140-$B140,0))</f>
        <v/>
      </c>
      <c r="E140" s="31">
        <f>IF($B140="","",IFERROR($A140*$B140,0))</f>
        <v/>
      </c>
      <c r="F140" s="31">
        <f>IF($C140="","",IFERROR($A140*$C140,0))</f>
        <v/>
      </c>
      <c r="G140" s="31">
        <f>IF($B140="","",IFERROR(MAX(0,ayd_netDefter-$E140),0))</f>
        <v/>
      </c>
      <c r="H140" s="31">
        <f>IF($C140="","",IFERROR(MAX(0,ayd_netDefter+ayd_fark-$F140),0))</f>
        <v/>
      </c>
      <c r="I140" s="31">
        <f>IF($A140="","",IF($A140&gt;IFERROR(GIRDI!B12,0),"DIŞI","AKTİF"))</f>
        <v/>
      </c>
    </row>
    <row r="141">
      <c r="B141" s="31">
        <f>IF(OR($A141="",$A141&gt;IFERROR(GIRDI!B12,0)),"",IFERROR(IF(OR(GIRDI!B12="",GIRDI!B12=0),0,ayd_netDefter/GIRDI!B12),0))</f>
        <v/>
      </c>
      <c r="C141" s="31">
        <f>IF(OR($A141="",$A141&gt;IFERROR(GIRDI!B12,0)),"",IFERROR(IF(OR(GIRDI!B12="",GIRDI!B12=0),0,(ayd_netDefter+ayd_fark)/GIRDI!B12),0))</f>
        <v/>
      </c>
      <c r="D141" s="31">
        <f>IF($B141="","",IFERROR($C141-$B141,0))</f>
        <v/>
      </c>
      <c r="E141" s="31">
        <f>IF($B141="","",IFERROR($A141*$B141,0))</f>
        <v/>
      </c>
      <c r="F141" s="31">
        <f>IF($C141="","",IFERROR($A141*$C141,0))</f>
        <v/>
      </c>
      <c r="G141" s="31">
        <f>IF($B141="","",IFERROR(MAX(0,ayd_netDefter-$E141),0))</f>
        <v/>
      </c>
      <c r="H141" s="31">
        <f>IF($C141="","",IFERROR(MAX(0,ayd_netDefter+ayd_fark-$F141),0))</f>
        <v/>
      </c>
      <c r="I141" s="31">
        <f>IF($A141="","",IF($A141&gt;IFERROR(GIRDI!B12,0),"DIŞI","AKTİF"))</f>
        <v/>
      </c>
    </row>
    <row r="142">
      <c r="B142" s="31">
        <f>IF(OR($A142="",$A142&gt;IFERROR(GIRDI!B12,0)),"",IFERROR(IF(OR(GIRDI!B12="",GIRDI!B12=0),0,ayd_netDefter/GIRDI!B12),0))</f>
        <v/>
      </c>
      <c r="C142" s="31">
        <f>IF(OR($A142="",$A142&gt;IFERROR(GIRDI!B12,0)),"",IFERROR(IF(OR(GIRDI!B12="",GIRDI!B12=0),0,(ayd_netDefter+ayd_fark)/GIRDI!B12),0))</f>
        <v/>
      </c>
      <c r="D142" s="31">
        <f>IF($B142="","",IFERROR($C142-$B142,0))</f>
        <v/>
      </c>
      <c r="E142" s="31">
        <f>IF($B142="","",IFERROR($A142*$B142,0))</f>
        <v/>
      </c>
      <c r="F142" s="31">
        <f>IF($C142="","",IFERROR($A142*$C142,0))</f>
        <v/>
      </c>
      <c r="G142" s="31">
        <f>IF($B142="","",IFERROR(MAX(0,ayd_netDefter-$E142),0))</f>
        <v/>
      </c>
      <c r="H142" s="31">
        <f>IF($C142="","",IFERROR(MAX(0,ayd_netDefter+ayd_fark-$F142),0))</f>
        <v/>
      </c>
      <c r="I142" s="31">
        <f>IF($A142="","",IF($A142&gt;IFERROR(GIRDI!B12,0),"DIŞI","AKTİF"))</f>
        <v/>
      </c>
    </row>
    <row r="143">
      <c r="B143" s="31">
        <f>IF(OR($A143="",$A143&gt;IFERROR(GIRDI!B12,0)),"",IFERROR(IF(OR(GIRDI!B12="",GIRDI!B12=0),0,ayd_netDefter/GIRDI!B12),0))</f>
        <v/>
      </c>
      <c r="C143" s="31">
        <f>IF(OR($A143="",$A143&gt;IFERROR(GIRDI!B12,0)),"",IFERROR(IF(OR(GIRDI!B12="",GIRDI!B12=0),0,(ayd_netDefter+ayd_fark)/GIRDI!B12),0))</f>
        <v/>
      </c>
      <c r="D143" s="31">
        <f>IF($B143="","",IFERROR($C143-$B143,0))</f>
        <v/>
      </c>
      <c r="E143" s="31">
        <f>IF($B143="","",IFERROR($A143*$B143,0))</f>
        <v/>
      </c>
      <c r="F143" s="31">
        <f>IF($C143="","",IFERROR($A143*$C143,0))</f>
        <v/>
      </c>
      <c r="G143" s="31">
        <f>IF($B143="","",IFERROR(MAX(0,ayd_netDefter-$E143),0))</f>
        <v/>
      </c>
      <c r="H143" s="31">
        <f>IF($C143="","",IFERROR(MAX(0,ayd_netDefter+ayd_fark-$F143),0))</f>
        <v/>
      </c>
      <c r="I143" s="31">
        <f>IF($A143="","",IF($A143&gt;IFERROR(GIRDI!B12,0),"DIŞI","AKTİF"))</f>
        <v/>
      </c>
    </row>
    <row r="144">
      <c r="B144" s="31">
        <f>IF(OR($A144="",$A144&gt;IFERROR(GIRDI!B12,0)),"",IFERROR(IF(OR(GIRDI!B12="",GIRDI!B12=0),0,ayd_netDefter/GIRDI!B12),0))</f>
        <v/>
      </c>
      <c r="C144" s="31">
        <f>IF(OR($A144="",$A144&gt;IFERROR(GIRDI!B12,0)),"",IFERROR(IF(OR(GIRDI!B12="",GIRDI!B12=0),0,(ayd_netDefter+ayd_fark)/GIRDI!B12),0))</f>
        <v/>
      </c>
      <c r="D144" s="31">
        <f>IF($B144="","",IFERROR($C144-$B144,0))</f>
        <v/>
      </c>
      <c r="E144" s="31">
        <f>IF($B144="","",IFERROR($A144*$B144,0))</f>
        <v/>
      </c>
      <c r="F144" s="31">
        <f>IF($C144="","",IFERROR($A144*$C144,0))</f>
        <v/>
      </c>
      <c r="G144" s="31">
        <f>IF($B144="","",IFERROR(MAX(0,ayd_netDefter-$E144),0))</f>
        <v/>
      </c>
      <c r="H144" s="31">
        <f>IF($C144="","",IFERROR(MAX(0,ayd_netDefter+ayd_fark-$F144),0))</f>
        <v/>
      </c>
      <c r="I144" s="31">
        <f>IF($A144="","",IF($A144&gt;IFERROR(GIRDI!B12,0),"DIŞI","AKTİF"))</f>
        <v/>
      </c>
    </row>
    <row r="145">
      <c r="B145" s="31">
        <f>IF(OR($A145="",$A145&gt;IFERROR(GIRDI!B12,0)),"",IFERROR(IF(OR(GIRDI!B12="",GIRDI!B12=0),0,ayd_netDefter/GIRDI!B12),0))</f>
        <v/>
      </c>
      <c r="C145" s="31">
        <f>IF(OR($A145="",$A145&gt;IFERROR(GIRDI!B12,0)),"",IFERROR(IF(OR(GIRDI!B12="",GIRDI!B12=0),0,(ayd_netDefter+ayd_fark)/GIRDI!B12),0))</f>
        <v/>
      </c>
      <c r="D145" s="31">
        <f>IF($B145="","",IFERROR($C145-$B145,0))</f>
        <v/>
      </c>
      <c r="E145" s="31">
        <f>IF($B145="","",IFERROR($A145*$B145,0))</f>
        <v/>
      </c>
      <c r="F145" s="31">
        <f>IF($C145="","",IFERROR($A145*$C145,0))</f>
        <v/>
      </c>
      <c r="G145" s="31">
        <f>IF($B145="","",IFERROR(MAX(0,ayd_netDefter-$E145),0))</f>
        <v/>
      </c>
      <c r="H145" s="31">
        <f>IF($C145="","",IFERROR(MAX(0,ayd_netDefter+ayd_fark-$F145),0))</f>
        <v/>
      </c>
      <c r="I145" s="31">
        <f>IF($A145="","",IF($A145&gt;IFERROR(GIRDI!B12,0),"DIŞI","AKTİF"))</f>
        <v/>
      </c>
    </row>
    <row r="146">
      <c r="B146" s="31">
        <f>IF(OR($A146="",$A146&gt;IFERROR(GIRDI!B12,0)),"",IFERROR(IF(OR(GIRDI!B12="",GIRDI!B12=0),0,ayd_netDefter/GIRDI!B12),0))</f>
        <v/>
      </c>
      <c r="C146" s="31">
        <f>IF(OR($A146="",$A146&gt;IFERROR(GIRDI!B12,0)),"",IFERROR(IF(OR(GIRDI!B12="",GIRDI!B12=0),0,(ayd_netDefter+ayd_fark)/GIRDI!B12),0))</f>
        <v/>
      </c>
      <c r="D146" s="31">
        <f>IF($B146="","",IFERROR($C146-$B146,0))</f>
        <v/>
      </c>
      <c r="E146" s="31">
        <f>IF($B146="","",IFERROR($A146*$B146,0))</f>
        <v/>
      </c>
      <c r="F146" s="31">
        <f>IF($C146="","",IFERROR($A146*$C146,0))</f>
        <v/>
      </c>
      <c r="G146" s="31">
        <f>IF($B146="","",IFERROR(MAX(0,ayd_netDefter-$E146),0))</f>
        <v/>
      </c>
      <c r="H146" s="31">
        <f>IF($C146="","",IFERROR(MAX(0,ayd_netDefter+ayd_fark-$F146),0))</f>
        <v/>
      </c>
      <c r="I146" s="31">
        <f>IF($A146="","",IF($A146&gt;IFERROR(GIRDI!B12,0),"DIŞI","AKTİF"))</f>
        <v/>
      </c>
    </row>
    <row r="147">
      <c r="B147" s="31">
        <f>IF(OR($A147="",$A147&gt;IFERROR(GIRDI!B12,0)),"",IFERROR(IF(OR(GIRDI!B12="",GIRDI!B12=0),0,ayd_netDefter/GIRDI!B12),0))</f>
        <v/>
      </c>
      <c r="C147" s="31">
        <f>IF(OR($A147="",$A147&gt;IFERROR(GIRDI!B12,0)),"",IFERROR(IF(OR(GIRDI!B12="",GIRDI!B12=0),0,(ayd_netDefter+ayd_fark)/GIRDI!B12),0))</f>
        <v/>
      </c>
      <c r="D147" s="31">
        <f>IF($B147="","",IFERROR($C147-$B147,0))</f>
        <v/>
      </c>
      <c r="E147" s="31">
        <f>IF($B147="","",IFERROR($A147*$B147,0))</f>
        <v/>
      </c>
      <c r="F147" s="31">
        <f>IF($C147="","",IFERROR($A147*$C147,0))</f>
        <v/>
      </c>
      <c r="G147" s="31">
        <f>IF($B147="","",IFERROR(MAX(0,ayd_netDefter-$E147),0))</f>
        <v/>
      </c>
      <c r="H147" s="31">
        <f>IF($C147="","",IFERROR(MAX(0,ayd_netDefter+ayd_fark-$F147),0))</f>
        <v/>
      </c>
      <c r="I147" s="31">
        <f>IF($A147="","",IF($A147&gt;IFERROR(GIRDI!B12,0),"DIŞI","AKTİF"))</f>
        <v/>
      </c>
    </row>
    <row r="148">
      <c r="B148" s="31">
        <f>IF(OR($A148="",$A148&gt;IFERROR(GIRDI!B12,0)),"",IFERROR(IF(OR(GIRDI!B12="",GIRDI!B12=0),0,ayd_netDefter/GIRDI!B12),0))</f>
        <v/>
      </c>
      <c r="C148" s="31">
        <f>IF(OR($A148="",$A148&gt;IFERROR(GIRDI!B12,0)),"",IFERROR(IF(OR(GIRDI!B12="",GIRDI!B12=0),0,(ayd_netDefter+ayd_fark)/GIRDI!B12),0))</f>
        <v/>
      </c>
      <c r="D148" s="31">
        <f>IF($B148="","",IFERROR($C148-$B148,0))</f>
        <v/>
      </c>
      <c r="E148" s="31">
        <f>IF($B148="","",IFERROR($A148*$B148,0))</f>
        <v/>
      </c>
      <c r="F148" s="31">
        <f>IF($C148="","",IFERROR($A148*$C148,0))</f>
        <v/>
      </c>
      <c r="G148" s="31">
        <f>IF($B148="","",IFERROR(MAX(0,ayd_netDefter-$E148),0))</f>
        <v/>
      </c>
      <c r="H148" s="31">
        <f>IF($C148="","",IFERROR(MAX(0,ayd_netDefter+ayd_fark-$F148),0))</f>
        <v/>
      </c>
      <c r="I148" s="31">
        <f>IF($A148="","",IF($A148&gt;IFERROR(GIRDI!B12,0),"DIŞI","AKTİF"))</f>
        <v/>
      </c>
    </row>
    <row r="149">
      <c r="B149" s="31">
        <f>IF(OR($A149="",$A149&gt;IFERROR(GIRDI!B12,0)),"",IFERROR(IF(OR(GIRDI!B12="",GIRDI!B12=0),0,ayd_netDefter/GIRDI!B12),0))</f>
        <v/>
      </c>
      <c r="C149" s="31">
        <f>IF(OR($A149="",$A149&gt;IFERROR(GIRDI!B12,0)),"",IFERROR(IF(OR(GIRDI!B12="",GIRDI!B12=0),0,(ayd_netDefter+ayd_fark)/GIRDI!B12),0))</f>
        <v/>
      </c>
      <c r="D149" s="31">
        <f>IF($B149="","",IFERROR($C149-$B149,0))</f>
        <v/>
      </c>
      <c r="E149" s="31">
        <f>IF($B149="","",IFERROR($A149*$B149,0))</f>
        <v/>
      </c>
      <c r="F149" s="31">
        <f>IF($C149="","",IFERROR($A149*$C149,0))</f>
        <v/>
      </c>
      <c r="G149" s="31">
        <f>IF($B149="","",IFERROR(MAX(0,ayd_netDefter-$E149),0))</f>
        <v/>
      </c>
      <c r="H149" s="31">
        <f>IF($C149="","",IFERROR(MAX(0,ayd_netDefter+ayd_fark-$F149),0))</f>
        <v/>
      </c>
      <c r="I149" s="31">
        <f>IF($A149="","",IF($A149&gt;IFERROR(GIRDI!B12,0),"DIŞI","AKTİF"))</f>
        <v/>
      </c>
    </row>
    <row r="150">
      <c r="B150" s="31">
        <f>IF(OR($A150="",$A150&gt;IFERROR(GIRDI!B12,0)),"",IFERROR(IF(OR(GIRDI!B12="",GIRDI!B12=0),0,ayd_netDefter/GIRDI!B12),0))</f>
        <v/>
      </c>
      <c r="C150" s="31">
        <f>IF(OR($A150="",$A150&gt;IFERROR(GIRDI!B12,0)),"",IFERROR(IF(OR(GIRDI!B12="",GIRDI!B12=0),0,(ayd_netDefter+ayd_fark)/GIRDI!B12),0))</f>
        <v/>
      </c>
      <c r="D150" s="31">
        <f>IF($B150="","",IFERROR($C150-$B150,0))</f>
        <v/>
      </c>
      <c r="E150" s="31">
        <f>IF($B150="","",IFERROR($A150*$B150,0))</f>
        <v/>
      </c>
      <c r="F150" s="31">
        <f>IF($C150="","",IFERROR($A150*$C150,0))</f>
        <v/>
      </c>
      <c r="G150" s="31">
        <f>IF($B150="","",IFERROR(MAX(0,ayd_netDefter-$E150),0))</f>
        <v/>
      </c>
      <c r="H150" s="31">
        <f>IF($C150="","",IFERROR(MAX(0,ayd_netDefter+ayd_fark-$F150),0))</f>
        <v/>
      </c>
      <c r="I150" s="31">
        <f>IF($A150="","",IF($A150&gt;IFERROR(GIRDI!B12,0),"DIŞI","AKTİF"))</f>
        <v/>
      </c>
    </row>
    <row r="151">
      <c r="B151" s="31">
        <f>IF(OR($A151="",$A151&gt;IFERROR(GIRDI!B12,0)),"",IFERROR(IF(OR(GIRDI!B12="",GIRDI!B12=0),0,ayd_netDefter/GIRDI!B12),0))</f>
        <v/>
      </c>
      <c r="C151" s="31">
        <f>IF(OR($A151="",$A151&gt;IFERROR(GIRDI!B12,0)),"",IFERROR(IF(OR(GIRDI!B12="",GIRDI!B12=0),0,(ayd_netDefter+ayd_fark)/GIRDI!B12),0))</f>
        <v/>
      </c>
      <c r="D151" s="31">
        <f>IF($B151="","",IFERROR($C151-$B151,0))</f>
        <v/>
      </c>
      <c r="E151" s="31">
        <f>IF($B151="","",IFERROR($A151*$B151,0))</f>
        <v/>
      </c>
      <c r="F151" s="31">
        <f>IF($C151="","",IFERROR($A151*$C151,0))</f>
        <v/>
      </c>
      <c r="G151" s="31">
        <f>IF($B151="","",IFERROR(MAX(0,ayd_netDefter-$E151),0))</f>
        <v/>
      </c>
      <c r="H151" s="31">
        <f>IF($C151="","",IFERROR(MAX(0,ayd_netDefter+ayd_fark-$F151),0))</f>
        <v/>
      </c>
      <c r="I151" s="31">
        <f>IF($A151="","",IF($A151&gt;IFERROR(GIRDI!B12,0),"DIŞI","AKTİF"))</f>
        <v/>
      </c>
    </row>
    <row r="152">
      <c r="B152" s="31">
        <f>IF(OR($A152="",$A152&gt;IFERROR(GIRDI!B12,0)),"",IFERROR(IF(OR(GIRDI!B12="",GIRDI!B12=0),0,ayd_netDefter/GIRDI!B12),0))</f>
        <v/>
      </c>
      <c r="C152" s="31">
        <f>IF(OR($A152="",$A152&gt;IFERROR(GIRDI!B12,0)),"",IFERROR(IF(OR(GIRDI!B12="",GIRDI!B12=0),0,(ayd_netDefter+ayd_fark)/GIRDI!B12),0))</f>
        <v/>
      </c>
      <c r="D152" s="31">
        <f>IF($B152="","",IFERROR($C152-$B152,0))</f>
        <v/>
      </c>
      <c r="E152" s="31">
        <f>IF($B152="","",IFERROR($A152*$B152,0))</f>
        <v/>
      </c>
      <c r="F152" s="31">
        <f>IF($C152="","",IFERROR($A152*$C152,0))</f>
        <v/>
      </c>
      <c r="G152" s="31">
        <f>IF($B152="","",IFERROR(MAX(0,ayd_netDefter-$E152),0))</f>
        <v/>
      </c>
      <c r="H152" s="31">
        <f>IF($C152="","",IFERROR(MAX(0,ayd_netDefter+ayd_fark-$F152),0))</f>
        <v/>
      </c>
      <c r="I152" s="31">
        <f>IF($A152="","",IF($A152&gt;IFERROR(GIRDI!B12,0),"DIŞI","AKTİF"))</f>
        <v/>
      </c>
    </row>
    <row r="153">
      <c r="B153" s="31">
        <f>IF(OR($A153="",$A153&gt;IFERROR(GIRDI!B12,0)),"",IFERROR(IF(OR(GIRDI!B12="",GIRDI!B12=0),0,ayd_netDefter/GIRDI!B12),0))</f>
        <v/>
      </c>
      <c r="C153" s="31">
        <f>IF(OR($A153="",$A153&gt;IFERROR(GIRDI!B12,0)),"",IFERROR(IF(OR(GIRDI!B12="",GIRDI!B12=0),0,(ayd_netDefter+ayd_fark)/GIRDI!B12),0))</f>
        <v/>
      </c>
      <c r="D153" s="31">
        <f>IF($B153="","",IFERROR($C153-$B153,0))</f>
        <v/>
      </c>
      <c r="E153" s="31">
        <f>IF($B153="","",IFERROR($A153*$B153,0))</f>
        <v/>
      </c>
      <c r="F153" s="31">
        <f>IF($C153="","",IFERROR($A153*$C153,0))</f>
        <v/>
      </c>
      <c r="G153" s="31">
        <f>IF($B153="","",IFERROR(MAX(0,ayd_netDefter-$E153),0))</f>
        <v/>
      </c>
      <c r="H153" s="31">
        <f>IF($C153="","",IFERROR(MAX(0,ayd_netDefter+ayd_fark-$F153),0))</f>
        <v/>
      </c>
      <c r="I153" s="31">
        <f>IF($A153="","",IF($A153&gt;IFERROR(GIRDI!B12,0),"DIŞI","AKTİF"))</f>
        <v/>
      </c>
    </row>
    <row r="154">
      <c r="B154" s="31">
        <f>IF(OR($A154="",$A154&gt;IFERROR(GIRDI!B12,0)),"",IFERROR(IF(OR(GIRDI!B12="",GIRDI!B12=0),0,ayd_netDefter/GIRDI!B12),0))</f>
        <v/>
      </c>
      <c r="C154" s="31">
        <f>IF(OR($A154="",$A154&gt;IFERROR(GIRDI!B12,0)),"",IFERROR(IF(OR(GIRDI!B12="",GIRDI!B12=0),0,(ayd_netDefter+ayd_fark)/GIRDI!B12),0))</f>
        <v/>
      </c>
      <c r="D154" s="31">
        <f>IF($B154="","",IFERROR($C154-$B154,0))</f>
        <v/>
      </c>
      <c r="E154" s="31">
        <f>IF($B154="","",IFERROR($A154*$B154,0))</f>
        <v/>
      </c>
      <c r="F154" s="31">
        <f>IF($C154="","",IFERROR($A154*$C154,0))</f>
        <v/>
      </c>
      <c r="G154" s="31">
        <f>IF($B154="","",IFERROR(MAX(0,ayd_netDefter-$E154),0))</f>
        <v/>
      </c>
      <c r="H154" s="31">
        <f>IF($C154="","",IFERROR(MAX(0,ayd_netDefter+ayd_fark-$F154),0))</f>
        <v/>
      </c>
      <c r="I154" s="31">
        <f>IF($A154="","",IF($A154&gt;IFERROR(GIRDI!B12,0),"DIŞI","AKTİF"))</f>
        <v/>
      </c>
    </row>
    <row r="155">
      <c r="B155" s="31">
        <f>IF(OR($A155="",$A155&gt;IFERROR(GIRDI!B12,0)),"",IFERROR(IF(OR(GIRDI!B12="",GIRDI!B12=0),0,ayd_netDefter/GIRDI!B12),0))</f>
        <v/>
      </c>
      <c r="C155" s="31">
        <f>IF(OR($A155="",$A155&gt;IFERROR(GIRDI!B12,0)),"",IFERROR(IF(OR(GIRDI!B12="",GIRDI!B12=0),0,(ayd_netDefter+ayd_fark)/GIRDI!B12),0))</f>
        <v/>
      </c>
      <c r="D155" s="31">
        <f>IF($B155="","",IFERROR($C155-$B155,0))</f>
        <v/>
      </c>
      <c r="E155" s="31">
        <f>IF($B155="","",IFERROR($A155*$B155,0))</f>
        <v/>
      </c>
      <c r="F155" s="31">
        <f>IF($C155="","",IFERROR($A155*$C155,0))</f>
        <v/>
      </c>
      <c r="G155" s="31">
        <f>IF($B155="","",IFERROR(MAX(0,ayd_netDefter-$E155),0))</f>
        <v/>
      </c>
      <c r="H155" s="31">
        <f>IF($C155="","",IFERROR(MAX(0,ayd_netDefter+ayd_fark-$F155),0))</f>
        <v/>
      </c>
      <c r="I155" s="31">
        <f>IF($A155="","",IF($A155&gt;IFERROR(GIRDI!B12,0),"DIŞI","AKTİF"))</f>
        <v/>
      </c>
    </row>
    <row r="156">
      <c r="B156" s="31">
        <f>IF(OR($A156="",$A156&gt;IFERROR(GIRDI!B12,0)),"",IFERROR(IF(OR(GIRDI!B12="",GIRDI!B12=0),0,ayd_netDefter/GIRDI!B12),0))</f>
        <v/>
      </c>
      <c r="C156" s="31">
        <f>IF(OR($A156="",$A156&gt;IFERROR(GIRDI!B12,0)),"",IFERROR(IF(OR(GIRDI!B12="",GIRDI!B12=0),0,(ayd_netDefter+ayd_fark)/GIRDI!B12),0))</f>
        <v/>
      </c>
      <c r="D156" s="31">
        <f>IF($B156="","",IFERROR($C156-$B156,0))</f>
        <v/>
      </c>
      <c r="E156" s="31">
        <f>IF($B156="","",IFERROR($A156*$B156,0))</f>
        <v/>
      </c>
      <c r="F156" s="31">
        <f>IF($C156="","",IFERROR($A156*$C156,0))</f>
        <v/>
      </c>
      <c r="G156" s="31">
        <f>IF($B156="","",IFERROR(MAX(0,ayd_netDefter-$E156),0))</f>
        <v/>
      </c>
      <c r="H156" s="31">
        <f>IF($C156="","",IFERROR(MAX(0,ayd_netDefter+ayd_fark-$F156),0))</f>
        <v/>
      </c>
      <c r="I156" s="31">
        <f>IF($A156="","",IF($A156&gt;IFERROR(GIRDI!B12,0),"DIŞI","AKTİF"))</f>
        <v/>
      </c>
    </row>
    <row r="157">
      <c r="B157" s="31">
        <f>IF(OR($A157="",$A157&gt;IFERROR(GIRDI!B12,0)),"",IFERROR(IF(OR(GIRDI!B12="",GIRDI!B12=0),0,ayd_netDefter/GIRDI!B12),0))</f>
        <v/>
      </c>
      <c r="C157" s="31">
        <f>IF(OR($A157="",$A157&gt;IFERROR(GIRDI!B12,0)),"",IFERROR(IF(OR(GIRDI!B12="",GIRDI!B12=0),0,(ayd_netDefter+ayd_fark)/GIRDI!B12),0))</f>
        <v/>
      </c>
      <c r="D157" s="31">
        <f>IF($B157="","",IFERROR($C157-$B157,0))</f>
        <v/>
      </c>
      <c r="E157" s="31">
        <f>IF($B157="","",IFERROR($A157*$B157,0))</f>
        <v/>
      </c>
      <c r="F157" s="31">
        <f>IF($C157="","",IFERROR($A157*$C157,0))</f>
        <v/>
      </c>
      <c r="G157" s="31">
        <f>IF($B157="","",IFERROR(MAX(0,ayd_netDefter-$E157),0))</f>
        <v/>
      </c>
      <c r="H157" s="31">
        <f>IF($C157="","",IFERROR(MAX(0,ayd_netDefter+ayd_fark-$F157),0))</f>
        <v/>
      </c>
      <c r="I157" s="31">
        <f>IF($A157="","",IF($A157&gt;IFERROR(GIRDI!B12,0),"DIŞI","AKTİF"))</f>
        <v/>
      </c>
    </row>
    <row r="158">
      <c r="B158" s="31">
        <f>IF(OR($A158="",$A158&gt;IFERROR(GIRDI!B12,0)),"",IFERROR(IF(OR(GIRDI!B12="",GIRDI!B12=0),0,ayd_netDefter/GIRDI!B12),0))</f>
        <v/>
      </c>
      <c r="C158" s="31">
        <f>IF(OR($A158="",$A158&gt;IFERROR(GIRDI!B12,0)),"",IFERROR(IF(OR(GIRDI!B12="",GIRDI!B12=0),0,(ayd_netDefter+ayd_fark)/GIRDI!B12),0))</f>
        <v/>
      </c>
      <c r="D158" s="31">
        <f>IF($B158="","",IFERROR($C158-$B158,0))</f>
        <v/>
      </c>
      <c r="E158" s="31">
        <f>IF($B158="","",IFERROR($A158*$B158,0))</f>
        <v/>
      </c>
      <c r="F158" s="31">
        <f>IF($C158="","",IFERROR($A158*$C158,0))</f>
        <v/>
      </c>
      <c r="G158" s="31">
        <f>IF($B158="","",IFERROR(MAX(0,ayd_netDefter-$E158),0))</f>
        <v/>
      </c>
      <c r="H158" s="31">
        <f>IF($C158="","",IFERROR(MAX(0,ayd_netDefter+ayd_fark-$F158),0))</f>
        <v/>
      </c>
      <c r="I158" s="31">
        <f>IF($A158="","",IF($A158&gt;IFERROR(GIRDI!B12,0),"DIŞI","AKTİF"))</f>
        <v/>
      </c>
    </row>
    <row r="159">
      <c r="B159" s="31">
        <f>IF(OR($A159="",$A159&gt;IFERROR(GIRDI!B12,0)),"",IFERROR(IF(OR(GIRDI!B12="",GIRDI!B12=0),0,ayd_netDefter/GIRDI!B12),0))</f>
        <v/>
      </c>
      <c r="C159" s="31">
        <f>IF(OR($A159="",$A159&gt;IFERROR(GIRDI!B12,0)),"",IFERROR(IF(OR(GIRDI!B12="",GIRDI!B12=0),0,(ayd_netDefter+ayd_fark)/GIRDI!B12),0))</f>
        <v/>
      </c>
      <c r="D159" s="31">
        <f>IF($B159="","",IFERROR($C159-$B159,0))</f>
        <v/>
      </c>
      <c r="E159" s="31">
        <f>IF($B159="","",IFERROR($A159*$B159,0))</f>
        <v/>
      </c>
      <c r="F159" s="31">
        <f>IF($C159="","",IFERROR($A159*$C159,0))</f>
        <v/>
      </c>
      <c r="G159" s="31">
        <f>IF($B159="","",IFERROR(MAX(0,ayd_netDefter-$E159),0))</f>
        <v/>
      </c>
      <c r="H159" s="31">
        <f>IF($C159="","",IFERROR(MAX(0,ayd_netDefter+ayd_fark-$F159),0))</f>
        <v/>
      </c>
      <c r="I159" s="31">
        <f>IF($A159="","",IF($A159&gt;IFERROR(GIRDI!B12,0),"DIŞI","AKTİF"))</f>
        <v/>
      </c>
    </row>
    <row r="160">
      <c r="B160" s="31">
        <f>IF(OR($A160="",$A160&gt;IFERROR(GIRDI!B12,0)),"",IFERROR(IF(OR(GIRDI!B12="",GIRDI!B12=0),0,ayd_netDefter/GIRDI!B12),0))</f>
        <v/>
      </c>
      <c r="C160" s="31">
        <f>IF(OR($A160="",$A160&gt;IFERROR(GIRDI!B12,0)),"",IFERROR(IF(OR(GIRDI!B12="",GIRDI!B12=0),0,(ayd_netDefter+ayd_fark)/GIRDI!B12),0))</f>
        <v/>
      </c>
      <c r="D160" s="31">
        <f>IF($B160="","",IFERROR($C160-$B160,0))</f>
        <v/>
      </c>
      <c r="E160" s="31">
        <f>IF($B160="","",IFERROR($A160*$B160,0))</f>
        <v/>
      </c>
      <c r="F160" s="31">
        <f>IF($C160="","",IFERROR($A160*$C160,0))</f>
        <v/>
      </c>
      <c r="G160" s="31">
        <f>IF($B160="","",IFERROR(MAX(0,ayd_netDefter-$E160),0))</f>
        <v/>
      </c>
      <c r="H160" s="31">
        <f>IF($C160="","",IFERROR(MAX(0,ayd_netDefter+ayd_fark-$F160),0))</f>
        <v/>
      </c>
      <c r="I160" s="31">
        <f>IF($A160="","",IF($A160&gt;IFERROR(GIRDI!B12,0),"DIŞI","AKTİF"))</f>
        <v/>
      </c>
    </row>
    <row r="161">
      <c r="B161" s="31">
        <f>IF(OR($A161="",$A161&gt;IFERROR(GIRDI!B12,0)),"",IFERROR(IF(OR(GIRDI!B12="",GIRDI!B12=0),0,ayd_netDefter/GIRDI!B12),0))</f>
        <v/>
      </c>
      <c r="C161" s="31">
        <f>IF(OR($A161="",$A161&gt;IFERROR(GIRDI!B12,0)),"",IFERROR(IF(OR(GIRDI!B12="",GIRDI!B12=0),0,(ayd_netDefter+ayd_fark)/GIRDI!B12),0))</f>
        <v/>
      </c>
      <c r="D161" s="31">
        <f>IF($B161="","",IFERROR($C161-$B161,0))</f>
        <v/>
      </c>
      <c r="E161" s="31">
        <f>IF($B161="","",IFERROR($A161*$B161,0))</f>
        <v/>
      </c>
      <c r="F161" s="31">
        <f>IF($C161="","",IFERROR($A161*$C161,0))</f>
        <v/>
      </c>
      <c r="G161" s="31">
        <f>IF($B161="","",IFERROR(MAX(0,ayd_netDefter-$E161),0))</f>
        <v/>
      </c>
      <c r="H161" s="31">
        <f>IF($C161="","",IFERROR(MAX(0,ayd_netDefter+ayd_fark-$F161),0))</f>
        <v/>
      </c>
      <c r="I161" s="31">
        <f>IF($A161="","",IF($A161&gt;IFERROR(GIRDI!B12,0),"DIŞI","AKTİF"))</f>
        <v/>
      </c>
    </row>
    <row r="162">
      <c r="B162" s="31">
        <f>IF(OR($A162="",$A162&gt;IFERROR(GIRDI!B12,0)),"",IFERROR(IF(OR(GIRDI!B12="",GIRDI!B12=0),0,ayd_netDefter/GIRDI!B12),0))</f>
        <v/>
      </c>
      <c r="C162" s="31">
        <f>IF(OR($A162="",$A162&gt;IFERROR(GIRDI!B12,0)),"",IFERROR(IF(OR(GIRDI!B12="",GIRDI!B12=0),0,(ayd_netDefter+ayd_fark)/GIRDI!B12),0))</f>
        <v/>
      </c>
      <c r="D162" s="31">
        <f>IF($B162="","",IFERROR($C162-$B162,0))</f>
        <v/>
      </c>
      <c r="E162" s="31">
        <f>IF($B162="","",IFERROR($A162*$B162,0))</f>
        <v/>
      </c>
      <c r="F162" s="31">
        <f>IF($C162="","",IFERROR($A162*$C162,0))</f>
        <v/>
      </c>
      <c r="G162" s="31">
        <f>IF($B162="","",IFERROR(MAX(0,ayd_netDefter-$E162),0))</f>
        <v/>
      </c>
      <c r="H162" s="31">
        <f>IF($C162="","",IFERROR(MAX(0,ayd_netDefter+ayd_fark-$F162),0))</f>
        <v/>
      </c>
      <c r="I162" s="31">
        <f>IF($A162="","",IF($A162&gt;IFERROR(GIRDI!B12,0),"DIŞI","AKTİF"))</f>
        <v/>
      </c>
    </row>
    <row r="163">
      <c r="B163" s="31">
        <f>IF(OR($A163="",$A163&gt;IFERROR(GIRDI!B12,0)),"",IFERROR(IF(OR(GIRDI!B12="",GIRDI!B12=0),0,ayd_netDefter/GIRDI!B12),0))</f>
        <v/>
      </c>
      <c r="C163" s="31">
        <f>IF(OR($A163="",$A163&gt;IFERROR(GIRDI!B12,0)),"",IFERROR(IF(OR(GIRDI!B12="",GIRDI!B12=0),0,(ayd_netDefter+ayd_fark)/GIRDI!B12),0))</f>
        <v/>
      </c>
      <c r="D163" s="31">
        <f>IF($B163="","",IFERROR($C163-$B163,0))</f>
        <v/>
      </c>
      <c r="E163" s="31">
        <f>IF($B163="","",IFERROR($A163*$B163,0))</f>
        <v/>
      </c>
      <c r="F163" s="31">
        <f>IF($C163="","",IFERROR($A163*$C163,0))</f>
        <v/>
      </c>
      <c r="G163" s="31">
        <f>IF($B163="","",IFERROR(MAX(0,ayd_netDefter-$E163),0))</f>
        <v/>
      </c>
      <c r="H163" s="31">
        <f>IF($C163="","",IFERROR(MAX(0,ayd_netDefter+ayd_fark-$F163),0))</f>
        <v/>
      </c>
      <c r="I163" s="31">
        <f>IF($A163="","",IF($A163&gt;IFERROR(GIRDI!B12,0),"DIŞI","AKTİF"))</f>
        <v/>
      </c>
    </row>
    <row r="164">
      <c r="B164" s="31">
        <f>IF(OR($A164="",$A164&gt;IFERROR(GIRDI!B12,0)),"",IFERROR(IF(OR(GIRDI!B12="",GIRDI!B12=0),0,ayd_netDefter/GIRDI!B12),0))</f>
        <v/>
      </c>
      <c r="C164" s="31">
        <f>IF(OR($A164="",$A164&gt;IFERROR(GIRDI!B12,0)),"",IFERROR(IF(OR(GIRDI!B12="",GIRDI!B12=0),0,(ayd_netDefter+ayd_fark)/GIRDI!B12),0))</f>
        <v/>
      </c>
      <c r="D164" s="31">
        <f>IF($B164="","",IFERROR($C164-$B164,0))</f>
        <v/>
      </c>
      <c r="E164" s="31">
        <f>IF($B164="","",IFERROR($A164*$B164,0))</f>
        <v/>
      </c>
      <c r="F164" s="31">
        <f>IF($C164="","",IFERROR($A164*$C164,0))</f>
        <v/>
      </c>
      <c r="G164" s="31">
        <f>IF($B164="","",IFERROR(MAX(0,ayd_netDefter-$E164),0))</f>
        <v/>
      </c>
      <c r="H164" s="31">
        <f>IF($C164="","",IFERROR(MAX(0,ayd_netDefter+ayd_fark-$F164),0))</f>
        <v/>
      </c>
      <c r="I164" s="31">
        <f>IF($A164="","",IF($A164&gt;IFERROR(GIRDI!B12,0),"DIŞI","AKTİF"))</f>
        <v/>
      </c>
    </row>
    <row r="165">
      <c r="B165" s="31">
        <f>IF(OR($A165="",$A165&gt;IFERROR(GIRDI!B12,0)),"",IFERROR(IF(OR(GIRDI!B12="",GIRDI!B12=0),0,ayd_netDefter/GIRDI!B12),0))</f>
        <v/>
      </c>
      <c r="C165" s="31">
        <f>IF(OR($A165="",$A165&gt;IFERROR(GIRDI!B12,0)),"",IFERROR(IF(OR(GIRDI!B12="",GIRDI!B12=0),0,(ayd_netDefter+ayd_fark)/GIRDI!B12),0))</f>
        <v/>
      </c>
      <c r="D165" s="31">
        <f>IF($B165="","",IFERROR($C165-$B165,0))</f>
        <v/>
      </c>
      <c r="E165" s="31">
        <f>IF($B165="","",IFERROR($A165*$B165,0))</f>
        <v/>
      </c>
      <c r="F165" s="31">
        <f>IF($C165="","",IFERROR($A165*$C165,0))</f>
        <v/>
      </c>
      <c r="G165" s="31">
        <f>IF($B165="","",IFERROR(MAX(0,ayd_netDefter-$E165),0))</f>
        <v/>
      </c>
      <c r="H165" s="31">
        <f>IF($C165="","",IFERROR(MAX(0,ayd_netDefter+ayd_fark-$F165),0))</f>
        <v/>
      </c>
      <c r="I165" s="31">
        <f>IF($A165="","",IF($A165&gt;IFERROR(GIRDI!B12,0),"DIŞI","AKTİF"))</f>
        <v/>
      </c>
    </row>
    <row r="166">
      <c r="B166" s="31">
        <f>IF(OR($A166="",$A166&gt;IFERROR(GIRDI!B12,0)),"",IFERROR(IF(OR(GIRDI!B12="",GIRDI!B12=0),0,ayd_netDefter/GIRDI!B12),0))</f>
        <v/>
      </c>
      <c r="C166" s="31">
        <f>IF(OR($A166="",$A166&gt;IFERROR(GIRDI!B12,0)),"",IFERROR(IF(OR(GIRDI!B12="",GIRDI!B12=0),0,(ayd_netDefter+ayd_fark)/GIRDI!B12),0))</f>
        <v/>
      </c>
      <c r="D166" s="31">
        <f>IF($B166="","",IFERROR($C166-$B166,0))</f>
        <v/>
      </c>
      <c r="E166" s="31">
        <f>IF($B166="","",IFERROR($A166*$B166,0))</f>
        <v/>
      </c>
      <c r="F166" s="31">
        <f>IF($C166="","",IFERROR($A166*$C166,0))</f>
        <v/>
      </c>
      <c r="G166" s="31">
        <f>IF($B166="","",IFERROR(MAX(0,ayd_netDefter-$E166),0))</f>
        <v/>
      </c>
      <c r="H166" s="31">
        <f>IF($C166="","",IFERROR(MAX(0,ayd_netDefter+ayd_fark-$F166),0))</f>
        <v/>
      </c>
      <c r="I166" s="31">
        <f>IF($A166="","",IF($A166&gt;IFERROR(GIRDI!B12,0),"DIŞI","AKTİF"))</f>
        <v/>
      </c>
    </row>
    <row r="167">
      <c r="B167" s="31">
        <f>IF(OR($A167="",$A167&gt;IFERROR(GIRDI!B12,0)),"",IFERROR(IF(OR(GIRDI!B12="",GIRDI!B12=0),0,ayd_netDefter/GIRDI!B12),0))</f>
        <v/>
      </c>
      <c r="C167" s="31">
        <f>IF(OR($A167="",$A167&gt;IFERROR(GIRDI!B12,0)),"",IFERROR(IF(OR(GIRDI!B12="",GIRDI!B12=0),0,(ayd_netDefter+ayd_fark)/GIRDI!B12),0))</f>
        <v/>
      </c>
      <c r="D167" s="31">
        <f>IF($B167="","",IFERROR($C167-$B167,0))</f>
        <v/>
      </c>
      <c r="E167" s="31">
        <f>IF($B167="","",IFERROR($A167*$B167,0))</f>
        <v/>
      </c>
      <c r="F167" s="31">
        <f>IF($C167="","",IFERROR($A167*$C167,0))</f>
        <v/>
      </c>
      <c r="G167" s="31">
        <f>IF($B167="","",IFERROR(MAX(0,ayd_netDefter-$E167),0))</f>
        <v/>
      </c>
      <c r="H167" s="31">
        <f>IF($C167="","",IFERROR(MAX(0,ayd_netDefter+ayd_fark-$F167),0))</f>
        <v/>
      </c>
      <c r="I167" s="31">
        <f>IF($A167="","",IF($A167&gt;IFERROR(GIRDI!B12,0),"DIŞI","AKTİF"))</f>
        <v/>
      </c>
    </row>
    <row r="168">
      <c r="B168" s="31">
        <f>IF(OR($A168="",$A168&gt;IFERROR(GIRDI!B12,0)),"",IFERROR(IF(OR(GIRDI!B12="",GIRDI!B12=0),0,ayd_netDefter/GIRDI!B12),0))</f>
        <v/>
      </c>
      <c r="C168" s="31">
        <f>IF(OR($A168="",$A168&gt;IFERROR(GIRDI!B12,0)),"",IFERROR(IF(OR(GIRDI!B12="",GIRDI!B12=0),0,(ayd_netDefter+ayd_fark)/GIRDI!B12),0))</f>
        <v/>
      </c>
      <c r="D168" s="31">
        <f>IF($B168="","",IFERROR($C168-$B168,0))</f>
        <v/>
      </c>
      <c r="E168" s="31">
        <f>IF($B168="","",IFERROR($A168*$B168,0))</f>
        <v/>
      </c>
      <c r="F168" s="31">
        <f>IF($C168="","",IFERROR($A168*$C168,0))</f>
        <v/>
      </c>
      <c r="G168" s="31">
        <f>IF($B168="","",IFERROR(MAX(0,ayd_netDefter-$E168),0))</f>
        <v/>
      </c>
      <c r="H168" s="31">
        <f>IF($C168="","",IFERROR(MAX(0,ayd_netDefter+ayd_fark-$F168),0))</f>
        <v/>
      </c>
      <c r="I168" s="31">
        <f>IF($A168="","",IF($A168&gt;IFERROR(GIRDI!B12,0),"DIŞI","AKTİF"))</f>
        <v/>
      </c>
    </row>
    <row r="169">
      <c r="B169" s="31">
        <f>IF(OR($A169="",$A169&gt;IFERROR(GIRDI!B12,0)),"",IFERROR(IF(OR(GIRDI!B12="",GIRDI!B12=0),0,ayd_netDefter/GIRDI!B12),0))</f>
        <v/>
      </c>
      <c r="C169" s="31">
        <f>IF(OR($A169="",$A169&gt;IFERROR(GIRDI!B12,0)),"",IFERROR(IF(OR(GIRDI!B12="",GIRDI!B12=0),0,(ayd_netDefter+ayd_fark)/GIRDI!B12),0))</f>
        <v/>
      </c>
      <c r="D169" s="31">
        <f>IF($B169="","",IFERROR($C169-$B169,0))</f>
        <v/>
      </c>
      <c r="E169" s="31">
        <f>IF($B169="","",IFERROR($A169*$B169,0))</f>
        <v/>
      </c>
      <c r="F169" s="31">
        <f>IF($C169="","",IFERROR($A169*$C169,0))</f>
        <v/>
      </c>
      <c r="G169" s="31">
        <f>IF($B169="","",IFERROR(MAX(0,ayd_netDefter-$E169),0))</f>
        <v/>
      </c>
      <c r="H169" s="31">
        <f>IF($C169="","",IFERROR(MAX(0,ayd_netDefter+ayd_fark-$F169),0))</f>
        <v/>
      </c>
      <c r="I169" s="31">
        <f>IF($A169="","",IF($A169&gt;IFERROR(GIRDI!B12,0),"DIŞI","AKTİF"))</f>
        <v/>
      </c>
    </row>
    <row r="170">
      <c r="B170" s="31">
        <f>IF(OR($A170="",$A170&gt;IFERROR(GIRDI!B12,0)),"",IFERROR(IF(OR(GIRDI!B12="",GIRDI!B12=0),0,ayd_netDefter/GIRDI!B12),0))</f>
        <v/>
      </c>
      <c r="C170" s="31">
        <f>IF(OR($A170="",$A170&gt;IFERROR(GIRDI!B12,0)),"",IFERROR(IF(OR(GIRDI!B12="",GIRDI!B12=0),0,(ayd_netDefter+ayd_fark)/GIRDI!B12),0))</f>
        <v/>
      </c>
      <c r="D170" s="31">
        <f>IF($B170="","",IFERROR($C170-$B170,0))</f>
        <v/>
      </c>
      <c r="E170" s="31">
        <f>IF($B170="","",IFERROR($A170*$B170,0))</f>
        <v/>
      </c>
      <c r="F170" s="31">
        <f>IF($C170="","",IFERROR($A170*$C170,0))</f>
        <v/>
      </c>
      <c r="G170" s="31">
        <f>IF($B170="","",IFERROR(MAX(0,ayd_netDefter-$E170),0))</f>
        <v/>
      </c>
      <c r="H170" s="31">
        <f>IF($C170="","",IFERROR(MAX(0,ayd_netDefter+ayd_fark-$F170),0))</f>
        <v/>
      </c>
      <c r="I170" s="31">
        <f>IF($A170="","",IF($A170&gt;IFERROR(GIRDI!B12,0),"DIŞI","AKTİF"))</f>
        <v/>
      </c>
    </row>
    <row r="171">
      <c r="B171" s="31">
        <f>IF(OR($A171="",$A171&gt;IFERROR(GIRDI!B12,0)),"",IFERROR(IF(OR(GIRDI!B12="",GIRDI!B12=0),0,ayd_netDefter/GIRDI!B12),0))</f>
        <v/>
      </c>
      <c r="C171" s="31">
        <f>IF(OR($A171="",$A171&gt;IFERROR(GIRDI!B12,0)),"",IFERROR(IF(OR(GIRDI!B12="",GIRDI!B12=0),0,(ayd_netDefter+ayd_fark)/GIRDI!B12),0))</f>
        <v/>
      </c>
      <c r="D171" s="31">
        <f>IF($B171="","",IFERROR($C171-$B171,0))</f>
        <v/>
      </c>
      <c r="E171" s="31">
        <f>IF($B171="","",IFERROR($A171*$B171,0))</f>
        <v/>
      </c>
      <c r="F171" s="31">
        <f>IF($C171="","",IFERROR($A171*$C171,0))</f>
        <v/>
      </c>
      <c r="G171" s="31">
        <f>IF($B171="","",IFERROR(MAX(0,ayd_netDefter-$E171),0))</f>
        <v/>
      </c>
      <c r="H171" s="31">
        <f>IF($C171="","",IFERROR(MAX(0,ayd_netDefter+ayd_fark-$F171),0))</f>
        <v/>
      </c>
      <c r="I171" s="31">
        <f>IF($A171="","",IF($A171&gt;IFERROR(GIRDI!B12,0),"DIŞI","AKTİF"))</f>
        <v/>
      </c>
    </row>
    <row r="172">
      <c r="B172" s="31">
        <f>IF(OR($A172="",$A172&gt;IFERROR(GIRDI!B12,0)),"",IFERROR(IF(OR(GIRDI!B12="",GIRDI!B12=0),0,ayd_netDefter/GIRDI!B12),0))</f>
        <v/>
      </c>
      <c r="C172" s="31">
        <f>IF(OR($A172="",$A172&gt;IFERROR(GIRDI!B12,0)),"",IFERROR(IF(OR(GIRDI!B12="",GIRDI!B12=0),0,(ayd_netDefter+ayd_fark)/GIRDI!B12),0))</f>
        <v/>
      </c>
      <c r="D172" s="31">
        <f>IF($B172="","",IFERROR($C172-$B172,0))</f>
        <v/>
      </c>
      <c r="E172" s="31">
        <f>IF($B172="","",IFERROR($A172*$B172,0))</f>
        <v/>
      </c>
      <c r="F172" s="31">
        <f>IF($C172="","",IFERROR($A172*$C172,0))</f>
        <v/>
      </c>
      <c r="G172" s="31">
        <f>IF($B172="","",IFERROR(MAX(0,ayd_netDefter-$E172),0))</f>
        <v/>
      </c>
      <c r="H172" s="31">
        <f>IF($C172="","",IFERROR(MAX(0,ayd_netDefter+ayd_fark-$F172),0))</f>
        <v/>
      </c>
      <c r="I172" s="31">
        <f>IF($A172="","",IF($A172&gt;IFERROR(GIRDI!B12,0),"DIŞI","AKTİF"))</f>
        <v/>
      </c>
    </row>
    <row r="173">
      <c r="B173" s="31">
        <f>IF(OR($A173="",$A173&gt;IFERROR(GIRDI!B12,0)),"",IFERROR(IF(OR(GIRDI!B12="",GIRDI!B12=0),0,ayd_netDefter/GIRDI!B12),0))</f>
        <v/>
      </c>
      <c r="C173" s="31">
        <f>IF(OR($A173="",$A173&gt;IFERROR(GIRDI!B12,0)),"",IFERROR(IF(OR(GIRDI!B12="",GIRDI!B12=0),0,(ayd_netDefter+ayd_fark)/GIRDI!B12),0))</f>
        <v/>
      </c>
      <c r="D173" s="31">
        <f>IF($B173="","",IFERROR($C173-$B173,0))</f>
        <v/>
      </c>
      <c r="E173" s="31">
        <f>IF($B173="","",IFERROR($A173*$B173,0))</f>
        <v/>
      </c>
      <c r="F173" s="31">
        <f>IF($C173="","",IFERROR($A173*$C173,0))</f>
        <v/>
      </c>
      <c r="G173" s="31">
        <f>IF($B173="","",IFERROR(MAX(0,ayd_netDefter-$E173),0))</f>
        <v/>
      </c>
      <c r="H173" s="31">
        <f>IF($C173="","",IFERROR(MAX(0,ayd_netDefter+ayd_fark-$F173),0))</f>
        <v/>
      </c>
      <c r="I173" s="31">
        <f>IF($A173="","",IF($A173&gt;IFERROR(GIRDI!B12,0),"DIŞI","AKTİF"))</f>
        <v/>
      </c>
    </row>
    <row r="174">
      <c r="B174" s="31">
        <f>IF(OR($A174="",$A174&gt;IFERROR(GIRDI!B12,0)),"",IFERROR(IF(OR(GIRDI!B12="",GIRDI!B12=0),0,ayd_netDefter/GIRDI!B12),0))</f>
        <v/>
      </c>
      <c r="C174" s="31">
        <f>IF(OR($A174="",$A174&gt;IFERROR(GIRDI!B12,0)),"",IFERROR(IF(OR(GIRDI!B12="",GIRDI!B12=0),0,(ayd_netDefter+ayd_fark)/GIRDI!B12),0))</f>
        <v/>
      </c>
      <c r="D174" s="31">
        <f>IF($B174="","",IFERROR($C174-$B174,0))</f>
        <v/>
      </c>
      <c r="E174" s="31">
        <f>IF($B174="","",IFERROR($A174*$B174,0))</f>
        <v/>
      </c>
      <c r="F174" s="31">
        <f>IF($C174="","",IFERROR($A174*$C174,0))</f>
        <v/>
      </c>
      <c r="G174" s="31">
        <f>IF($B174="","",IFERROR(MAX(0,ayd_netDefter-$E174),0))</f>
        <v/>
      </c>
      <c r="H174" s="31">
        <f>IF($C174="","",IFERROR(MAX(0,ayd_netDefter+ayd_fark-$F174),0))</f>
        <v/>
      </c>
      <c r="I174" s="31">
        <f>IF($A174="","",IF($A174&gt;IFERROR(GIRDI!B12,0),"DIŞI","AKTİF"))</f>
        <v/>
      </c>
    </row>
    <row r="175">
      <c r="B175" s="31">
        <f>IF(OR($A175="",$A175&gt;IFERROR(GIRDI!B12,0)),"",IFERROR(IF(OR(GIRDI!B12="",GIRDI!B12=0),0,ayd_netDefter/GIRDI!B12),0))</f>
        <v/>
      </c>
      <c r="C175" s="31">
        <f>IF(OR($A175="",$A175&gt;IFERROR(GIRDI!B12,0)),"",IFERROR(IF(OR(GIRDI!B12="",GIRDI!B12=0),0,(ayd_netDefter+ayd_fark)/GIRDI!B12),0))</f>
        <v/>
      </c>
      <c r="D175" s="31">
        <f>IF($B175="","",IFERROR($C175-$B175,0))</f>
        <v/>
      </c>
      <c r="E175" s="31">
        <f>IF($B175="","",IFERROR($A175*$B175,0))</f>
        <v/>
      </c>
      <c r="F175" s="31">
        <f>IF($C175="","",IFERROR($A175*$C175,0))</f>
        <v/>
      </c>
      <c r="G175" s="31">
        <f>IF($B175="","",IFERROR(MAX(0,ayd_netDefter-$E175),0))</f>
        <v/>
      </c>
      <c r="H175" s="31">
        <f>IF($C175="","",IFERROR(MAX(0,ayd_netDefter+ayd_fark-$F175),0))</f>
        <v/>
      </c>
      <c r="I175" s="31">
        <f>IF($A175="","",IF($A175&gt;IFERROR(GIRDI!B12,0),"DIŞI","AKTİF"))</f>
        <v/>
      </c>
    </row>
    <row r="176">
      <c r="B176" s="31">
        <f>IF(OR($A176="",$A176&gt;IFERROR(GIRDI!B12,0)),"",IFERROR(IF(OR(GIRDI!B12="",GIRDI!B12=0),0,ayd_netDefter/GIRDI!B12),0))</f>
        <v/>
      </c>
      <c r="C176" s="31">
        <f>IF(OR($A176="",$A176&gt;IFERROR(GIRDI!B12,0)),"",IFERROR(IF(OR(GIRDI!B12="",GIRDI!B12=0),0,(ayd_netDefter+ayd_fark)/GIRDI!B12),0))</f>
        <v/>
      </c>
      <c r="D176" s="31">
        <f>IF($B176="","",IFERROR($C176-$B176,0))</f>
        <v/>
      </c>
      <c r="E176" s="31">
        <f>IF($B176="","",IFERROR($A176*$B176,0))</f>
        <v/>
      </c>
      <c r="F176" s="31">
        <f>IF($C176="","",IFERROR($A176*$C176,0))</f>
        <v/>
      </c>
      <c r="G176" s="31">
        <f>IF($B176="","",IFERROR(MAX(0,ayd_netDefter-$E176),0))</f>
        <v/>
      </c>
      <c r="H176" s="31">
        <f>IF($C176="","",IFERROR(MAX(0,ayd_netDefter+ayd_fark-$F176),0))</f>
        <v/>
      </c>
      <c r="I176" s="31">
        <f>IF($A176="","",IF($A176&gt;IFERROR(GIRDI!B12,0),"DIŞI","AKTİF"))</f>
        <v/>
      </c>
    </row>
    <row r="177">
      <c r="B177" s="31">
        <f>IF(OR($A177="",$A177&gt;IFERROR(GIRDI!B12,0)),"",IFERROR(IF(OR(GIRDI!B12="",GIRDI!B12=0),0,ayd_netDefter/GIRDI!B12),0))</f>
        <v/>
      </c>
      <c r="C177" s="31">
        <f>IF(OR($A177="",$A177&gt;IFERROR(GIRDI!B12,0)),"",IFERROR(IF(OR(GIRDI!B12="",GIRDI!B12=0),0,(ayd_netDefter+ayd_fark)/GIRDI!B12),0))</f>
        <v/>
      </c>
      <c r="D177" s="31">
        <f>IF($B177="","",IFERROR($C177-$B177,0))</f>
        <v/>
      </c>
      <c r="E177" s="31">
        <f>IF($B177="","",IFERROR($A177*$B177,0))</f>
        <v/>
      </c>
      <c r="F177" s="31">
        <f>IF($C177="","",IFERROR($A177*$C177,0))</f>
        <v/>
      </c>
      <c r="G177" s="31">
        <f>IF($B177="","",IFERROR(MAX(0,ayd_netDefter-$E177),0))</f>
        <v/>
      </c>
      <c r="H177" s="31">
        <f>IF($C177="","",IFERROR(MAX(0,ayd_netDefter+ayd_fark-$F177),0))</f>
        <v/>
      </c>
      <c r="I177" s="31">
        <f>IF($A177="","",IF($A177&gt;IFERROR(GIRDI!B12,0),"DIŞI","AKTİF"))</f>
        <v/>
      </c>
    </row>
    <row r="178">
      <c r="B178" s="31">
        <f>IF(OR($A178="",$A178&gt;IFERROR(GIRDI!B12,0)),"",IFERROR(IF(OR(GIRDI!B12="",GIRDI!B12=0),0,ayd_netDefter/GIRDI!B12),0))</f>
        <v/>
      </c>
      <c r="C178" s="31">
        <f>IF(OR($A178="",$A178&gt;IFERROR(GIRDI!B12,0)),"",IFERROR(IF(OR(GIRDI!B12="",GIRDI!B12=0),0,(ayd_netDefter+ayd_fark)/GIRDI!B12),0))</f>
        <v/>
      </c>
      <c r="D178" s="31">
        <f>IF($B178="","",IFERROR($C178-$B178,0))</f>
        <v/>
      </c>
      <c r="E178" s="31">
        <f>IF($B178="","",IFERROR($A178*$B178,0))</f>
        <v/>
      </c>
      <c r="F178" s="31">
        <f>IF($C178="","",IFERROR($A178*$C178,0))</f>
        <v/>
      </c>
      <c r="G178" s="31">
        <f>IF($B178="","",IFERROR(MAX(0,ayd_netDefter-$E178),0))</f>
        <v/>
      </c>
      <c r="H178" s="31">
        <f>IF($C178="","",IFERROR(MAX(0,ayd_netDefter+ayd_fark-$F178),0))</f>
        <v/>
      </c>
      <c r="I178" s="31">
        <f>IF($A178="","",IF($A178&gt;IFERROR(GIRDI!B12,0),"DIŞI","AKTİF"))</f>
        <v/>
      </c>
    </row>
    <row r="179">
      <c r="B179" s="31">
        <f>IF(OR($A179="",$A179&gt;IFERROR(GIRDI!B12,0)),"",IFERROR(IF(OR(GIRDI!B12="",GIRDI!B12=0),0,ayd_netDefter/GIRDI!B12),0))</f>
        <v/>
      </c>
      <c r="C179" s="31">
        <f>IF(OR($A179="",$A179&gt;IFERROR(GIRDI!B12,0)),"",IFERROR(IF(OR(GIRDI!B12="",GIRDI!B12=0),0,(ayd_netDefter+ayd_fark)/GIRDI!B12),0))</f>
        <v/>
      </c>
      <c r="D179" s="31">
        <f>IF($B179="","",IFERROR($C179-$B179,0))</f>
        <v/>
      </c>
      <c r="E179" s="31">
        <f>IF($B179="","",IFERROR($A179*$B179,0))</f>
        <v/>
      </c>
      <c r="F179" s="31">
        <f>IF($C179="","",IFERROR($A179*$C179,0))</f>
        <v/>
      </c>
      <c r="G179" s="31">
        <f>IF($B179="","",IFERROR(MAX(0,ayd_netDefter-$E179),0))</f>
        <v/>
      </c>
      <c r="H179" s="31">
        <f>IF($C179="","",IFERROR(MAX(0,ayd_netDefter+ayd_fark-$F179),0))</f>
        <v/>
      </c>
      <c r="I179" s="31">
        <f>IF($A179="","",IF($A179&gt;IFERROR(GIRDI!B12,0),"DIŞI","AKTİF"))</f>
        <v/>
      </c>
    </row>
    <row r="180">
      <c r="B180" s="31">
        <f>IF(OR($A180="",$A180&gt;IFERROR(GIRDI!B12,0)),"",IFERROR(IF(OR(GIRDI!B12="",GIRDI!B12=0),0,ayd_netDefter/GIRDI!B12),0))</f>
        <v/>
      </c>
      <c r="C180" s="31">
        <f>IF(OR($A180="",$A180&gt;IFERROR(GIRDI!B12,0)),"",IFERROR(IF(OR(GIRDI!B12="",GIRDI!B12=0),0,(ayd_netDefter+ayd_fark)/GIRDI!B12),0))</f>
        <v/>
      </c>
      <c r="D180" s="31">
        <f>IF($B180="","",IFERROR($C180-$B180,0))</f>
        <v/>
      </c>
      <c r="E180" s="31">
        <f>IF($B180="","",IFERROR($A180*$B180,0))</f>
        <v/>
      </c>
      <c r="F180" s="31">
        <f>IF($C180="","",IFERROR($A180*$C180,0))</f>
        <v/>
      </c>
      <c r="G180" s="31">
        <f>IF($B180="","",IFERROR(MAX(0,ayd_netDefter-$E180),0))</f>
        <v/>
      </c>
      <c r="H180" s="31">
        <f>IF($C180="","",IFERROR(MAX(0,ayd_netDefter+ayd_fark-$F180),0))</f>
        <v/>
      </c>
      <c r="I180" s="31">
        <f>IF($A180="","",IF($A180&gt;IFERROR(GIRDI!B12,0),"DIŞI","AKTİF"))</f>
        <v/>
      </c>
    </row>
    <row r="181">
      <c r="B181" s="31">
        <f>IF(OR($A181="",$A181&gt;IFERROR(GIRDI!B12,0)),"",IFERROR(IF(OR(GIRDI!B12="",GIRDI!B12=0),0,ayd_netDefter/GIRDI!B12),0))</f>
        <v/>
      </c>
      <c r="C181" s="31">
        <f>IF(OR($A181="",$A181&gt;IFERROR(GIRDI!B12,0)),"",IFERROR(IF(OR(GIRDI!B12="",GIRDI!B12=0),0,(ayd_netDefter+ayd_fark)/GIRDI!B12),0))</f>
        <v/>
      </c>
      <c r="D181" s="31">
        <f>IF($B181="","",IFERROR($C181-$B181,0))</f>
        <v/>
      </c>
      <c r="E181" s="31">
        <f>IF($B181="","",IFERROR($A181*$B181,0))</f>
        <v/>
      </c>
      <c r="F181" s="31">
        <f>IF($C181="","",IFERROR($A181*$C181,0))</f>
        <v/>
      </c>
      <c r="G181" s="31">
        <f>IF($B181="","",IFERROR(MAX(0,ayd_netDefter-$E181),0))</f>
        <v/>
      </c>
      <c r="H181" s="31">
        <f>IF($C181="","",IFERROR(MAX(0,ayd_netDefter+ayd_fark-$F181),0))</f>
        <v/>
      </c>
      <c r="I181" s="31">
        <f>IF($A181="","",IF($A181&gt;IFERROR(GIRDI!B12,0),"DIŞI","AKTİF"))</f>
        <v/>
      </c>
    </row>
    <row r="182">
      <c r="B182" s="31">
        <f>IF(OR($A182="",$A182&gt;IFERROR(GIRDI!B12,0)),"",IFERROR(IF(OR(GIRDI!B12="",GIRDI!B12=0),0,ayd_netDefter/GIRDI!B12),0))</f>
        <v/>
      </c>
      <c r="C182" s="31">
        <f>IF(OR($A182="",$A182&gt;IFERROR(GIRDI!B12,0)),"",IFERROR(IF(OR(GIRDI!B12="",GIRDI!B12=0),0,(ayd_netDefter+ayd_fark)/GIRDI!B12),0))</f>
        <v/>
      </c>
      <c r="D182" s="31">
        <f>IF($B182="","",IFERROR($C182-$B182,0))</f>
        <v/>
      </c>
      <c r="E182" s="31">
        <f>IF($B182="","",IFERROR($A182*$B182,0))</f>
        <v/>
      </c>
      <c r="F182" s="31">
        <f>IF($C182="","",IFERROR($A182*$C182,0))</f>
        <v/>
      </c>
      <c r="G182" s="31">
        <f>IF($B182="","",IFERROR(MAX(0,ayd_netDefter-$E182),0))</f>
        <v/>
      </c>
      <c r="H182" s="31">
        <f>IF($C182="","",IFERROR(MAX(0,ayd_netDefter+ayd_fark-$F182),0))</f>
        <v/>
      </c>
      <c r="I182" s="31">
        <f>IF($A182="","",IF($A182&gt;IFERROR(GIRDI!B12,0),"DIŞI","AKTİF"))</f>
        <v/>
      </c>
    </row>
    <row r="183">
      <c r="B183" s="31">
        <f>IF(OR($A183="",$A183&gt;IFERROR(GIRDI!B12,0)),"",IFERROR(IF(OR(GIRDI!B12="",GIRDI!B12=0),0,ayd_netDefter/GIRDI!B12),0))</f>
        <v/>
      </c>
      <c r="C183" s="31">
        <f>IF(OR($A183="",$A183&gt;IFERROR(GIRDI!B12,0)),"",IFERROR(IF(OR(GIRDI!B12="",GIRDI!B12=0),0,(ayd_netDefter+ayd_fark)/GIRDI!B12),0))</f>
        <v/>
      </c>
      <c r="D183" s="31">
        <f>IF($B183="","",IFERROR($C183-$B183,0))</f>
        <v/>
      </c>
      <c r="E183" s="31">
        <f>IF($B183="","",IFERROR($A183*$B183,0))</f>
        <v/>
      </c>
      <c r="F183" s="31">
        <f>IF($C183="","",IFERROR($A183*$C183,0))</f>
        <v/>
      </c>
      <c r="G183" s="31">
        <f>IF($B183="","",IFERROR(MAX(0,ayd_netDefter-$E183),0))</f>
        <v/>
      </c>
      <c r="H183" s="31">
        <f>IF($C183="","",IFERROR(MAX(0,ayd_netDefter+ayd_fark-$F183),0))</f>
        <v/>
      </c>
      <c r="I183" s="31">
        <f>IF($A183="","",IF($A183&gt;IFERROR(GIRDI!B12,0),"DIŞI","AKTİF"))</f>
        <v/>
      </c>
    </row>
    <row r="184">
      <c r="B184" s="31">
        <f>IF(OR($A184="",$A184&gt;IFERROR(GIRDI!B12,0)),"",IFERROR(IF(OR(GIRDI!B12="",GIRDI!B12=0),0,ayd_netDefter/GIRDI!B12),0))</f>
        <v/>
      </c>
      <c r="C184" s="31">
        <f>IF(OR($A184="",$A184&gt;IFERROR(GIRDI!B12,0)),"",IFERROR(IF(OR(GIRDI!B12="",GIRDI!B12=0),0,(ayd_netDefter+ayd_fark)/GIRDI!B12),0))</f>
        <v/>
      </c>
      <c r="D184" s="31">
        <f>IF($B184="","",IFERROR($C184-$B184,0))</f>
        <v/>
      </c>
      <c r="E184" s="31">
        <f>IF($B184="","",IFERROR($A184*$B184,0))</f>
        <v/>
      </c>
      <c r="F184" s="31">
        <f>IF($C184="","",IFERROR($A184*$C184,0))</f>
        <v/>
      </c>
      <c r="G184" s="31">
        <f>IF($B184="","",IFERROR(MAX(0,ayd_netDefter-$E184),0))</f>
        <v/>
      </c>
      <c r="H184" s="31">
        <f>IF($C184="","",IFERROR(MAX(0,ayd_netDefter+ayd_fark-$F184),0))</f>
        <v/>
      </c>
      <c r="I184" s="31">
        <f>IF($A184="","",IF($A184&gt;IFERROR(GIRDI!B12,0),"DIŞI","AKTİF"))</f>
        <v/>
      </c>
    </row>
    <row r="185">
      <c r="B185" s="31">
        <f>IF(OR($A185="",$A185&gt;IFERROR(GIRDI!B12,0)),"",IFERROR(IF(OR(GIRDI!B12="",GIRDI!B12=0),0,ayd_netDefter/GIRDI!B12),0))</f>
        <v/>
      </c>
      <c r="C185" s="31">
        <f>IF(OR($A185="",$A185&gt;IFERROR(GIRDI!B12,0)),"",IFERROR(IF(OR(GIRDI!B12="",GIRDI!B12=0),0,(ayd_netDefter+ayd_fark)/GIRDI!B12),0))</f>
        <v/>
      </c>
      <c r="D185" s="31">
        <f>IF($B185="","",IFERROR($C185-$B185,0))</f>
        <v/>
      </c>
      <c r="E185" s="31">
        <f>IF($B185="","",IFERROR($A185*$B185,0))</f>
        <v/>
      </c>
      <c r="F185" s="31">
        <f>IF($C185="","",IFERROR($A185*$C185,0))</f>
        <v/>
      </c>
      <c r="G185" s="31">
        <f>IF($B185="","",IFERROR(MAX(0,ayd_netDefter-$E185),0))</f>
        <v/>
      </c>
      <c r="H185" s="31">
        <f>IF($C185="","",IFERROR(MAX(0,ayd_netDefter+ayd_fark-$F185),0))</f>
        <v/>
      </c>
      <c r="I185" s="31">
        <f>IF($A185="","",IF($A185&gt;IFERROR(GIRDI!B12,0),"DIŞI","AKTİF"))</f>
        <v/>
      </c>
    </row>
    <row r="186">
      <c r="B186" s="31">
        <f>IF(OR($A186="",$A186&gt;IFERROR(GIRDI!B12,0)),"",IFERROR(IF(OR(GIRDI!B12="",GIRDI!B12=0),0,ayd_netDefter/GIRDI!B12),0))</f>
        <v/>
      </c>
      <c r="C186" s="31">
        <f>IF(OR($A186="",$A186&gt;IFERROR(GIRDI!B12,0)),"",IFERROR(IF(OR(GIRDI!B12="",GIRDI!B12=0),0,(ayd_netDefter+ayd_fark)/GIRDI!B12),0))</f>
        <v/>
      </c>
      <c r="D186" s="31">
        <f>IF($B186="","",IFERROR($C186-$B186,0))</f>
        <v/>
      </c>
      <c r="E186" s="31">
        <f>IF($B186="","",IFERROR($A186*$B186,0))</f>
        <v/>
      </c>
      <c r="F186" s="31">
        <f>IF($C186="","",IFERROR($A186*$C186,0))</f>
        <v/>
      </c>
      <c r="G186" s="31">
        <f>IF($B186="","",IFERROR(MAX(0,ayd_netDefter-$E186),0))</f>
        <v/>
      </c>
      <c r="H186" s="31">
        <f>IF($C186="","",IFERROR(MAX(0,ayd_netDefter+ayd_fark-$F186),0))</f>
        <v/>
      </c>
      <c r="I186" s="31">
        <f>IF($A186="","",IF($A186&gt;IFERROR(GIRDI!B12,0),"DIŞI","AKTİF"))</f>
        <v/>
      </c>
    </row>
    <row r="187">
      <c r="B187" s="31">
        <f>IF(OR($A187="",$A187&gt;IFERROR(GIRDI!B12,0)),"",IFERROR(IF(OR(GIRDI!B12="",GIRDI!B12=0),0,ayd_netDefter/GIRDI!B12),0))</f>
        <v/>
      </c>
      <c r="C187" s="31">
        <f>IF(OR($A187="",$A187&gt;IFERROR(GIRDI!B12,0)),"",IFERROR(IF(OR(GIRDI!B12="",GIRDI!B12=0),0,(ayd_netDefter+ayd_fark)/GIRDI!B12),0))</f>
        <v/>
      </c>
      <c r="D187" s="31">
        <f>IF($B187="","",IFERROR($C187-$B187,0))</f>
        <v/>
      </c>
      <c r="E187" s="31">
        <f>IF($B187="","",IFERROR($A187*$B187,0))</f>
        <v/>
      </c>
      <c r="F187" s="31">
        <f>IF($C187="","",IFERROR($A187*$C187,0))</f>
        <v/>
      </c>
      <c r="G187" s="31">
        <f>IF($B187="","",IFERROR(MAX(0,ayd_netDefter-$E187),0))</f>
        <v/>
      </c>
      <c r="H187" s="31">
        <f>IF($C187="","",IFERROR(MAX(0,ayd_netDefter+ayd_fark-$F187),0))</f>
        <v/>
      </c>
      <c r="I187" s="31">
        <f>IF($A187="","",IF($A187&gt;IFERROR(GIRDI!B12,0),"DIŞI","AKTİF"))</f>
        <v/>
      </c>
    </row>
    <row r="188">
      <c r="B188" s="31">
        <f>IF(OR($A188="",$A188&gt;IFERROR(GIRDI!B12,0)),"",IFERROR(IF(OR(GIRDI!B12="",GIRDI!B12=0),0,ayd_netDefter/GIRDI!B12),0))</f>
        <v/>
      </c>
      <c r="C188" s="31">
        <f>IF(OR($A188="",$A188&gt;IFERROR(GIRDI!B12,0)),"",IFERROR(IF(OR(GIRDI!B12="",GIRDI!B12=0),0,(ayd_netDefter+ayd_fark)/GIRDI!B12),0))</f>
        <v/>
      </c>
      <c r="D188" s="31">
        <f>IF($B188="","",IFERROR($C188-$B188,0))</f>
        <v/>
      </c>
      <c r="E188" s="31">
        <f>IF($B188="","",IFERROR($A188*$B188,0))</f>
        <v/>
      </c>
      <c r="F188" s="31">
        <f>IF($C188="","",IFERROR($A188*$C188,0))</f>
        <v/>
      </c>
      <c r="G188" s="31">
        <f>IF($B188="","",IFERROR(MAX(0,ayd_netDefter-$E188),0))</f>
        <v/>
      </c>
      <c r="H188" s="31">
        <f>IF($C188="","",IFERROR(MAX(0,ayd_netDefter+ayd_fark-$F188),0))</f>
        <v/>
      </c>
      <c r="I188" s="31">
        <f>IF($A188="","",IF($A188&gt;IFERROR(GIRDI!B12,0),"DIŞI","AKTİF"))</f>
        <v/>
      </c>
    </row>
    <row r="189">
      <c r="B189" s="31">
        <f>IF(OR($A189="",$A189&gt;IFERROR(GIRDI!B12,0)),"",IFERROR(IF(OR(GIRDI!B12="",GIRDI!B12=0),0,ayd_netDefter/GIRDI!B12),0))</f>
        <v/>
      </c>
      <c r="C189" s="31">
        <f>IF(OR($A189="",$A189&gt;IFERROR(GIRDI!B12,0)),"",IFERROR(IF(OR(GIRDI!B12="",GIRDI!B12=0),0,(ayd_netDefter+ayd_fark)/GIRDI!B12),0))</f>
        <v/>
      </c>
      <c r="D189" s="31">
        <f>IF($B189="","",IFERROR($C189-$B189,0))</f>
        <v/>
      </c>
      <c r="E189" s="31">
        <f>IF($B189="","",IFERROR($A189*$B189,0))</f>
        <v/>
      </c>
      <c r="F189" s="31">
        <f>IF($C189="","",IFERROR($A189*$C189,0))</f>
        <v/>
      </c>
      <c r="G189" s="31">
        <f>IF($B189="","",IFERROR(MAX(0,ayd_netDefter-$E189),0))</f>
        <v/>
      </c>
      <c r="H189" s="31">
        <f>IF($C189="","",IFERROR(MAX(0,ayd_netDefter+ayd_fark-$F189),0))</f>
        <v/>
      </c>
      <c r="I189" s="31">
        <f>IF($A189="","",IF($A189&gt;IFERROR(GIRDI!B12,0),"DIŞI","AKTİF"))</f>
        <v/>
      </c>
    </row>
    <row r="190">
      <c r="B190" s="31">
        <f>IF(OR($A190="",$A190&gt;IFERROR(GIRDI!B12,0)),"",IFERROR(IF(OR(GIRDI!B12="",GIRDI!B12=0),0,ayd_netDefter/GIRDI!B12),0))</f>
        <v/>
      </c>
      <c r="C190" s="31">
        <f>IF(OR($A190="",$A190&gt;IFERROR(GIRDI!B12,0)),"",IFERROR(IF(OR(GIRDI!B12="",GIRDI!B12=0),0,(ayd_netDefter+ayd_fark)/GIRDI!B12),0))</f>
        <v/>
      </c>
      <c r="D190" s="31">
        <f>IF($B190="","",IFERROR($C190-$B190,0))</f>
        <v/>
      </c>
      <c r="E190" s="31">
        <f>IF($B190="","",IFERROR($A190*$B190,0))</f>
        <v/>
      </c>
      <c r="F190" s="31">
        <f>IF($C190="","",IFERROR($A190*$C190,0))</f>
        <v/>
      </c>
      <c r="G190" s="31">
        <f>IF($B190="","",IFERROR(MAX(0,ayd_netDefter-$E190),0))</f>
        <v/>
      </c>
      <c r="H190" s="31">
        <f>IF($C190="","",IFERROR(MAX(0,ayd_netDefter+ayd_fark-$F190),0))</f>
        <v/>
      </c>
      <c r="I190" s="31">
        <f>IF($A190="","",IF($A190&gt;IFERROR(GIRDI!B12,0),"DIŞI","AKTİF"))</f>
        <v/>
      </c>
    </row>
    <row r="191">
      <c r="B191" s="31">
        <f>IF(OR($A191="",$A191&gt;IFERROR(GIRDI!B12,0)),"",IFERROR(IF(OR(GIRDI!B12="",GIRDI!B12=0),0,ayd_netDefter/GIRDI!B12),0))</f>
        <v/>
      </c>
      <c r="C191" s="31">
        <f>IF(OR($A191="",$A191&gt;IFERROR(GIRDI!B12,0)),"",IFERROR(IF(OR(GIRDI!B12="",GIRDI!B12=0),0,(ayd_netDefter+ayd_fark)/GIRDI!B12),0))</f>
        <v/>
      </c>
      <c r="D191" s="31">
        <f>IF($B191="","",IFERROR($C191-$B191,0))</f>
        <v/>
      </c>
      <c r="E191" s="31">
        <f>IF($B191="","",IFERROR($A191*$B191,0))</f>
        <v/>
      </c>
      <c r="F191" s="31">
        <f>IF($C191="","",IFERROR($A191*$C191,0))</f>
        <v/>
      </c>
      <c r="G191" s="31">
        <f>IF($B191="","",IFERROR(MAX(0,ayd_netDefter-$E191),0))</f>
        <v/>
      </c>
      <c r="H191" s="31">
        <f>IF($C191="","",IFERROR(MAX(0,ayd_netDefter+ayd_fark-$F191),0))</f>
        <v/>
      </c>
      <c r="I191" s="31">
        <f>IF($A191="","",IF($A191&gt;IFERROR(GIRDI!B12,0),"DIŞI","AKTİF"))</f>
        <v/>
      </c>
    </row>
    <row r="192">
      <c r="B192" s="31">
        <f>IF(OR($A192="",$A192&gt;IFERROR(GIRDI!B12,0)),"",IFERROR(IF(OR(GIRDI!B12="",GIRDI!B12=0),0,ayd_netDefter/GIRDI!B12),0))</f>
        <v/>
      </c>
      <c r="C192" s="31">
        <f>IF(OR($A192="",$A192&gt;IFERROR(GIRDI!B12,0)),"",IFERROR(IF(OR(GIRDI!B12="",GIRDI!B12=0),0,(ayd_netDefter+ayd_fark)/GIRDI!B12),0))</f>
        <v/>
      </c>
      <c r="D192" s="31">
        <f>IF($B192="","",IFERROR($C192-$B192,0))</f>
        <v/>
      </c>
      <c r="E192" s="31">
        <f>IF($B192="","",IFERROR($A192*$B192,0))</f>
        <v/>
      </c>
      <c r="F192" s="31">
        <f>IF($C192="","",IFERROR($A192*$C192,0))</f>
        <v/>
      </c>
      <c r="G192" s="31">
        <f>IF($B192="","",IFERROR(MAX(0,ayd_netDefter-$E192),0))</f>
        <v/>
      </c>
      <c r="H192" s="31">
        <f>IF($C192="","",IFERROR(MAX(0,ayd_netDefter+ayd_fark-$F192),0))</f>
        <v/>
      </c>
      <c r="I192" s="31">
        <f>IF($A192="","",IF($A192&gt;IFERROR(GIRDI!B12,0),"DIŞI","AKTİF"))</f>
        <v/>
      </c>
    </row>
    <row r="193">
      <c r="B193" s="31">
        <f>IF(OR($A193="",$A193&gt;IFERROR(GIRDI!B12,0)),"",IFERROR(IF(OR(GIRDI!B12="",GIRDI!B12=0),0,ayd_netDefter/GIRDI!B12),0))</f>
        <v/>
      </c>
      <c r="C193" s="31">
        <f>IF(OR($A193="",$A193&gt;IFERROR(GIRDI!B12,0)),"",IFERROR(IF(OR(GIRDI!B12="",GIRDI!B12=0),0,(ayd_netDefter+ayd_fark)/GIRDI!B12),0))</f>
        <v/>
      </c>
      <c r="D193" s="31">
        <f>IF($B193="","",IFERROR($C193-$B193,0))</f>
        <v/>
      </c>
      <c r="E193" s="31">
        <f>IF($B193="","",IFERROR($A193*$B193,0))</f>
        <v/>
      </c>
      <c r="F193" s="31">
        <f>IF($C193="","",IFERROR($A193*$C193,0))</f>
        <v/>
      </c>
      <c r="G193" s="31">
        <f>IF($B193="","",IFERROR(MAX(0,ayd_netDefter-$E193),0))</f>
        <v/>
      </c>
      <c r="H193" s="31">
        <f>IF($C193="","",IFERROR(MAX(0,ayd_netDefter+ayd_fark-$F193),0))</f>
        <v/>
      </c>
      <c r="I193" s="31">
        <f>IF($A193="","",IF($A193&gt;IFERROR(GIRDI!B12,0),"DIŞI","AKTİF"))</f>
        <v/>
      </c>
    </row>
    <row r="194">
      <c r="B194" s="31">
        <f>IF(OR($A194="",$A194&gt;IFERROR(GIRDI!B12,0)),"",IFERROR(IF(OR(GIRDI!B12="",GIRDI!B12=0),0,ayd_netDefter/GIRDI!B12),0))</f>
        <v/>
      </c>
      <c r="C194" s="31">
        <f>IF(OR($A194="",$A194&gt;IFERROR(GIRDI!B12,0)),"",IFERROR(IF(OR(GIRDI!B12="",GIRDI!B12=0),0,(ayd_netDefter+ayd_fark)/GIRDI!B12),0))</f>
        <v/>
      </c>
      <c r="D194" s="31">
        <f>IF($B194="","",IFERROR($C194-$B194,0))</f>
        <v/>
      </c>
      <c r="E194" s="31">
        <f>IF($B194="","",IFERROR($A194*$B194,0))</f>
        <v/>
      </c>
      <c r="F194" s="31">
        <f>IF($C194="","",IFERROR($A194*$C194,0))</f>
        <v/>
      </c>
      <c r="G194" s="31">
        <f>IF($B194="","",IFERROR(MAX(0,ayd_netDefter-$E194),0))</f>
        <v/>
      </c>
      <c r="H194" s="31">
        <f>IF($C194="","",IFERROR(MAX(0,ayd_netDefter+ayd_fark-$F194),0))</f>
        <v/>
      </c>
      <c r="I194" s="31">
        <f>IF($A194="","",IF($A194&gt;IFERROR(GIRDI!B12,0),"DIŞI","AKTİF"))</f>
        <v/>
      </c>
    </row>
    <row r="195">
      <c r="B195" s="31">
        <f>IF(OR($A195="",$A195&gt;IFERROR(GIRDI!B12,0)),"",IFERROR(IF(OR(GIRDI!B12="",GIRDI!B12=0),0,ayd_netDefter/GIRDI!B12),0))</f>
        <v/>
      </c>
      <c r="C195" s="31">
        <f>IF(OR($A195="",$A195&gt;IFERROR(GIRDI!B12,0)),"",IFERROR(IF(OR(GIRDI!B12="",GIRDI!B12=0),0,(ayd_netDefter+ayd_fark)/GIRDI!B12),0))</f>
        <v/>
      </c>
      <c r="D195" s="31">
        <f>IF($B195="","",IFERROR($C195-$B195,0))</f>
        <v/>
      </c>
      <c r="E195" s="31">
        <f>IF($B195="","",IFERROR($A195*$B195,0))</f>
        <v/>
      </c>
      <c r="F195" s="31">
        <f>IF($C195="","",IFERROR($A195*$C195,0))</f>
        <v/>
      </c>
      <c r="G195" s="31">
        <f>IF($B195="","",IFERROR(MAX(0,ayd_netDefter-$E195),0))</f>
        <v/>
      </c>
      <c r="H195" s="31">
        <f>IF($C195="","",IFERROR(MAX(0,ayd_netDefter+ayd_fark-$F195),0))</f>
        <v/>
      </c>
      <c r="I195" s="31">
        <f>IF($A195="","",IF($A195&gt;IFERROR(GIRDI!B12,0),"DIŞI","AKTİF"))</f>
        <v/>
      </c>
    </row>
    <row r="196">
      <c r="B196" s="31">
        <f>IF(OR($A196="",$A196&gt;IFERROR(GIRDI!B12,0)),"",IFERROR(IF(OR(GIRDI!B12="",GIRDI!B12=0),0,ayd_netDefter/GIRDI!B12),0))</f>
        <v/>
      </c>
      <c r="C196" s="31">
        <f>IF(OR($A196="",$A196&gt;IFERROR(GIRDI!B12,0)),"",IFERROR(IF(OR(GIRDI!B12="",GIRDI!B12=0),0,(ayd_netDefter+ayd_fark)/GIRDI!B12),0))</f>
        <v/>
      </c>
      <c r="D196" s="31">
        <f>IF($B196="","",IFERROR($C196-$B196,0))</f>
        <v/>
      </c>
      <c r="E196" s="31">
        <f>IF($B196="","",IFERROR($A196*$B196,0))</f>
        <v/>
      </c>
      <c r="F196" s="31">
        <f>IF($C196="","",IFERROR($A196*$C196,0))</f>
        <v/>
      </c>
      <c r="G196" s="31">
        <f>IF($B196="","",IFERROR(MAX(0,ayd_netDefter-$E196),0))</f>
        <v/>
      </c>
      <c r="H196" s="31">
        <f>IF($C196="","",IFERROR(MAX(0,ayd_netDefter+ayd_fark-$F196),0))</f>
        <v/>
      </c>
      <c r="I196" s="31">
        <f>IF($A196="","",IF($A196&gt;IFERROR(GIRDI!B12,0),"DIŞI","AKTİF"))</f>
        <v/>
      </c>
    </row>
    <row r="197">
      <c r="B197" s="31">
        <f>IF(OR($A197="",$A197&gt;IFERROR(GIRDI!B12,0)),"",IFERROR(IF(OR(GIRDI!B12="",GIRDI!B12=0),0,ayd_netDefter/GIRDI!B12),0))</f>
        <v/>
      </c>
      <c r="C197" s="31">
        <f>IF(OR($A197="",$A197&gt;IFERROR(GIRDI!B12,0)),"",IFERROR(IF(OR(GIRDI!B12="",GIRDI!B12=0),0,(ayd_netDefter+ayd_fark)/GIRDI!B12),0))</f>
        <v/>
      </c>
      <c r="D197" s="31">
        <f>IF($B197="","",IFERROR($C197-$B197,0))</f>
        <v/>
      </c>
      <c r="E197" s="31">
        <f>IF($B197="","",IFERROR($A197*$B197,0))</f>
        <v/>
      </c>
      <c r="F197" s="31">
        <f>IF($C197="","",IFERROR($A197*$C197,0))</f>
        <v/>
      </c>
      <c r="G197" s="31">
        <f>IF($B197="","",IFERROR(MAX(0,ayd_netDefter-$E197),0))</f>
        <v/>
      </c>
      <c r="H197" s="31">
        <f>IF($C197="","",IFERROR(MAX(0,ayd_netDefter+ayd_fark-$F197),0))</f>
        <v/>
      </c>
      <c r="I197" s="31">
        <f>IF($A197="","",IF($A197&gt;IFERROR(GIRDI!B12,0),"DIŞI","AKTİF"))</f>
        <v/>
      </c>
    </row>
    <row r="198">
      <c r="B198" s="31">
        <f>IF(OR($A198="",$A198&gt;IFERROR(GIRDI!B12,0)),"",IFERROR(IF(OR(GIRDI!B12="",GIRDI!B12=0),0,ayd_netDefter/GIRDI!B12),0))</f>
        <v/>
      </c>
      <c r="C198" s="31">
        <f>IF(OR($A198="",$A198&gt;IFERROR(GIRDI!B12,0)),"",IFERROR(IF(OR(GIRDI!B12="",GIRDI!B12=0),0,(ayd_netDefter+ayd_fark)/GIRDI!B12),0))</f>
        <v/>
      </c>
      <c r="D198" s="31">
        <f>IF($B198="","",IFERROR($C198-$B198,0))</f>
        <v/>
      </c>
      <c r="E198" s="31">
        <f>IF($B198="","",IFERROR($A198*$B198,0))</f>
        <v/>
      </c>
      <c r="F198" s="31">
        <f>IF($C198="","",IFERROR($A198*$C198,0))</f>
        <v/>
      </c>
      <c r="G198" s="31">
        <f>IF($B198="","",IFERROR(MAX(0,ayd_netDefter-$E198),0))</f>
        <v/>
      </c>
      <c r="H198" s="31">
        <f>IF($C198="","",IFERROR(MAX(0,ayd_netDefter+ayd_fark-$F198),0))</f>
        <v/>
      </c>
      <c r="I198" s="31">
        <f>IF($A198="","",IF($A198&gt;IFERROR(GIRDI!B12,0),"DIŞI","AKTİF"))</f>
        <v/>
      </c>
    </row>
    <row r="199">
      <c r="B199" s="31">
        <f>IF(OR($A199="",$A199&gt;IFERROR(GIRDI!B12,0)),"",IFERROR(IF(OR(GIRDI!B12="",GIRDI!B12=0),0,ayd_netDefter/GIRDI!B12),0))</f>
        <v/>
      </c>
      <c r="C199" s="31">
        <f>IF(OR($A199="",$A199&gt;IFERROR(GIRDI!B12,0)),"",IFERROR(IF(OR(GIRDI!B12="",GIRDI!B12=0),0,(ayd_netDefter+ayd_fark)/GIRDI!B12),0))</f>
        <v/>
      </c>
      <c r="D199" s="31">
        <f>IF($B199="","",IFERROR($C199-$B199,0))</f>
        <v/>
      </c>
      <c r="E199" s="31">
        <f>IF($B199="","",IFERROR($A199*$B199,0))</f>
        <v/>
      </c>
      <c r="F199" s="31">
        <f>IF($C199="","",IFERROR($A199*$C199,0))</f>
        <v/>
      </c>
      <c r="G199" s="31">
        <f>IF($B199="","",IFERROR(MAX(0,ayd_netDefter-$E199),0))</f>
        <v/>
      </c>
      <c r="H199" s="31">
        <f>IF($C199="","",IFERROR(MAX(0,ayd_netDefter+ayd_fark-$F199),0))</f>
        <v/>
      </c>
      <c r="I199" s="31">
        <f>IF($A199="","",IF($A199&gt;IFERROR(GIRDI!B12,0),"DIŞI","AKTİF"))</f>
        <v/>
      </c>
    </row>
    <row r="200">
      <c r="B200" s="31">
        <f>IF(OR($A200="",$A200&gt;IFERROR(GIRDI!B12,0)),"",IFERROR(IF(OR(GIRDI!B12="",GIRDI!B12=0),0,ayd_netDefter/GIRDI!B12),0))</f>
        <v/>
      </c>
      <c r="C200" s="31">
        <f>IF(OR($A200="",$A200&gt;IFERROR(GIRDI!B12,0)),"",IFERROR(IF(OR(GIRDI!B12="",GIRDI!B12=0),0,(ayd_netDefter+ayd_fark)/GIRDI!B12),0))</f>
        <v/>
      </c>
      <c r="D200" s="31">
        <f>IF($B200="","",IFERROR($C200-$B200,0))</f>
        <v/>
      </c>
      <c r="E200" s="31">
        <f>IF($B200="","",IFERROR($A200*$B200,0))</f>
        <v/>
      </c>
      <c r="F200" s="31">
        <f>IF($C200="","",IFERROR($A200*$C200,0))</f>
        <v/>
      </c>
      <c r="G200" s="31">
        <f>IF($B200="","",IFERROR(MAX(0,ayd_netDefter-$E200),0))</f>
        <v/>
      </c>
      <c r="H200" s="31">
        <f>IF($C200="","",IFERROR(MAX(0,ayd_netDefter+ayd_fark-$F200),0))</f>
        <v/>
      </c>
      <c r="I200" s="31">
        <f>IF($A200="","",IF($A200&gt;IFERROR(GIRDI!B12,0),"DIŞI","AKTİF"))</f>
        <v/>
      </c>
    </row>
    <row r="201">
      <c r="B201" s="31">
        <f>IF(OR($A201="",$A201&gt;IFERROR(GIRDI!B12,0)),"",IFERROR(IF(OR(GIRDI!B12="",GIRDI!B12=0),0,ayd_netDefter/GIRDI!B12),0))</f>
        <v/>
      </c>
      <c r="C201" s="31">
        <f>IF(OR($A201="",$A201&gt;IFERROR(GIRDI!B12,0)),"",IFERROR(IF(OR(GIRDI!B12="",GIRDI!B12=0),0,(ayd_netDefter+ayd_fark)/GIRDI!B12),0))</f>
        <v/>
      </c>
      <c r="D201" s="31">
        <f>IF($B201="","",IFERROR($C201-$B201,0))</f>
        <v/>
      </c>
      <c r="E201" s="31">
        <f>IF($B201="","",IFERROR($A201*$B201,0))</f>
        <v/>
      </c>
      <c r="F201" s="31">
        <f>IF($C201="","",IFERROR($A201*$C201,0))</f>
        <v/>
      </c>
      <c r="G201" s="31">
        <f>IF($B201="","",IFERROR(MAX(0,ayd_netDefter-$E201),0))</f>
        <v/>
      </c>
      <c r="H201" s="31">
        <f>IF($C201="","",IFERROR(MAX(0,ayd_netDefter+ayd_fark-$F201),0))</f>
        <v/>
      </c>
      <c r="I201" s="31">
        <f>IF($A201="","",IF($A201&gt;IFERROR(GIRDI!B12,0),"DIŞI","AKTİF"))</f>
        <v/>
      </c>
    </row>
    <row r="202">
      <c r="B202" s="31">
        <f>IF(OR($A202="",$A202&gt;IFERROR(GIRDI!B12,0)),"",IFERROR(IF(OR(GIRDI!B12="",GIRDI!B12=0),0,ayd_netDefter/GIRDI!B12),0))</f>
        <v/>
      </c>
      <c r="C202" s="31">
        <f>IF(OR($A202="",$A202&gt;IFERROR(GIRDI!B12,0)),"",IFERROR(IF(OR(GIRDI!B12="",GIRDI!B12=0),0,(ayd_netDefter+ayd_fark)/GIRDI!B12),0))</f>
        <v/>
      </c>
      <c r="D202" s="31">
        <f>IF($B202="","",IFERROR($C202-$B202,0))</f>
        <v/>
      </c>
      <c r="E202" s="31">
        <f>IF($B202="","",IFERROR($A202*$B202,0))</f>
        <v/>
      </c>
      <c r="F202" s="31">
        <f>IF($C202="","",IFERROR($A202*$C202,0))</f>
        <v/>
      </c>
      <c r="G202" s="31">
        <f>IF($B202="","",IFERROR(MAX(0,ayd_netDefter-$E202),0))</f>
        <v/>
      </c>
      <c r="H202" s="31">
        <f>IF($C202="","",IFERROR(MAX(0,ayd_netDefter+ayd_fark-$F202),0))</f>
        <v/>
      </c>
      <c r="I202" s="31">
        <f>IF($A202="","",IF($A202&gt;IFERROR(GIRDI!B12,0),"DIŞI","AKTİF"))</f>
        <v/>
      </c>
    </row>
    <row r="203">
      <c r="B203" s="31">
        <f>IF(OR($A203="",$A203&gt;IFERROR(GIRDI!B12,0)),"",IFERROR(IF(OR(GIRDI!B12="",GIRDI!B12=0),0,ayd_netDefter/GIRDI!B12),0))</f>
        <v/>
      </c>
      <c r="C203" s="31">
        <f>IF(OR($A203="",$A203&gt;IFERROR(GIRDI!B12,0)),"",IFERROR(IF(OR(GIRDI!B12="",GIRDI!B12=0),0,(ayd_netDefter+ayd_fark)/GIRDI!B12),0))</f>
        <v/>
      </c>
      <c r="D203" s="31">
        <f>IF($B203="","",IFERROR($C203-$B203,0))</f>
        <v/>
      </c>
      <c r="E203" s="31">
        <f>IF($B203="","",IFERROR($A203*$B203,0))</f>
        <v/>
      </c>
      <c r="F203" s="31">
        <f>IF($C203="","",IFERROR($A203*$C203,0))</f>
        <v/>
      </c>
      <c r="G203" s="31">
        <f>IF($B203="","",IFERROR(MAX(0,ayd_netDefter-$E203),0))</f>
        <v/>
      </c>
      <c r="H203" s="31">
        <f>IF($C203="","",IFERROR(MAX(0,ayd_netDefter+ayd_fark-$F203),0))</f>
        <v/>
      </c>
      <c r="I203" s="31">
        <f>IF($A203="","",IF($A203&gt;IFERROR(GIRDI!B12,0),"DIŞI","AKTİF"))</f>
        <v/>
      </c>
    </row>
    <row r="204">
      <c r="B204" s="31">
        <f>IF(OR($A204="",$A204&gt;IFERROR(GIRDI!B12,0)),"",IFERROR(IF(OR(GIRDI!B12="",GIRDI!B12=0),0,ayd_netDefter/GIRDI!B12),0))</f>
        <v/>
      </c>
      <c r="C204" s="31">
        <f>IF(OR($A204="",$A204&gt;IFERROR(GIRDI!B12,0)),"",IFERROR(IF(OR(GIRDI!B12="",GIRDI!B12=0),0,(ayd_netDefter+ayd_fark)/GIRDI!B12),0))</f>
        <v/>
      </c>
      <c r="D204" s="31">
        <f>IF($B204="","",IFERROR($C204-$B204,0))</f>
        <v/>
      </c>
      <c r="E204" s="31">
        <f>IF($B204="","",IFERROR($A204*$B204,0))</f>
        <v/>
      </c>
      <c r="F204" s="31">
        <f>IF($C204="","",IFERROR($A204*$C204,0))</f>
        <v/>
      </c>
      <c r="G204" s="31">
        <f>IF($B204="","",IFERROR(MAX(0,ayd_netDefter-$E204),0))</f>
        <v/>
      </c>
      <c r="H204" s="31">
        <f>IF($C204="","",IFERROR(MAX(0,ayd_netDefter+ayd_fark-$F204),0))</f>
        <v/>
      </c>
      <c r="I204" s="31">
        <f>IF($A204="","",IF($A204&gt;IFERROR(GIRDI!B12,0),"DIŞI","AKTİF"))</f>
        <v/>
      </c>
    </row>
    <row r="205">
      <c r="B205" s="31">
        <f>IF(OR($A205="",$A205&gt;IFERROR(GIRDI!B12,0)),"",IFERROR(IF(OR(GIRDI!B12="",GIRDI!B12=0),0,ayd_netDefter/GIRDI!B12),0))</f>
        <v/>
      </c>
      <c r="C205" s="31">
        <f>IF(OR($A205="",$A205&gt;IFERROR(GIRDI!B12,0)),"",IFERROR(IF(OR(GIRDI!B12="",GIRDI!B12=0),0,(ayd_netDefter+ayd_fark)/GIRDI!B12),0))</f>
        <v/>
      </c>
      <c r="D205" s="31">
        <f>IF($B205="","",IFERROR($C205-$B205,0))</f>
        <v/>
      </c>
      <c r="E205" s="31">
        <f>IF($B205="","",IFERROR($A205*$B205,0))</f>
        <v/>
      </c>
      <c r="F205" s="31">
        <f>IF($C205="","",IFERROR($A205*$C205,0))</f>
        <v/>
      </c>
      <c r="G205" s="31">
        <f>IF($B205="","",IFERROR(MAX(0,ayd_netDefter-$E205),0))</f>
        <v/>
      </c>
      <c r="H205" s="31">
        <f>IF($C205="","",IFERROR(MAX(0,ayd_netDefter+ayd_fark-$F205),0))</f>
        <v/>
      </c>
      <c r="I205" s="31">
        <f>IF($A205="","",IF($A205&gt;IFERROR(GIRDI!B12,0),"DIŞI","AKTİF"))</f>
        <v/>
      </c>
    </row>
    <row r="206">
      <c r="B206" s="31">
        <f>IF(OR($A206="",$A206&gt;IFERROR(GIRDI!B12,0)),"",IFERROR(IF(OR(GIRDI!B12="",GIRDI!B12=0),0,ayd_netDefter/GIRDI!B12),0))</f>
        <v/>
      </c>
      <c r="C206" s="31">
        <f>IF(OR($A206="",$A206&gt;IFERROR(GIRDI!B12,0)),"",IFERROR(IF(OR(GIRDI!B12="",GIRDI!B12=0),0,(ayd_netDefter+ayd_fark)/GIRDI!B12),0))</f>
        <v/>
      </c>
      <c r="D206" s="31">
        <f>IF($B206="","",IFERROR($C206-$B206,0))</f>
        <v/>
      </c>
      <c r="E206" s="31">
        <f>IF($B206="","",IFERROR($A206*$B206,0))</f>
        <v/>
      </c>
      <c r="F206" s="31">
        <f>IF($C206="","",IFERROR($A206*$C206,0))</f>
        <v/>
      </c>
      <c r="G206" s="31">
        <f>IF($B206="","",IFERROR(MAX(0,ayd_netDefter-$E206),0))</f>
        <v/>
      </c>
      <c r="H206" s="31">
        <f>IF($C206="","",IFERROR(MAX(0,ayd_netDefter+ayd_fark-$F206),0))</f>
        <v/>
      </c>
      <c r="I206" s="31">
        <f>IF($A206="","",IF($A206&gt;IFERROR(GIRDI!B12,0),"DIŞI","AKTİF"))</f>
        <v/>
      </c>
    </row>
    <row r="207">
      <c r="B207" s="31">
        <f>IF(OR($A207="",$A207&gt;IFERROR(GIRDI!B12,0)),"",IFERROR(IF(OR(GIRDI!B12="",GIRDI!B12=0),0,ayd_netDefter/GIRDI!B12),0))</f>
        <v/>
      </c>
      <c r="C207" s="31">
        <f>IF(OR($A207="",$A207&gt;IFERROR(GIRDI!B12,0)),"",IFERROR(IF(OR(GIRDI!B12="",GIRDI!B12=0),0,(ayd_netDefter+ayd_fark)/GIRDI!B12),0))</f>
        <v/>
      </c>
      <c r="D207" s="31">
        <f>IF($B207="","",IFERROR($C207-$B207,0))</f>
        <v/>
      </c>
      <c r="E207" s="31">
        <f>IF($B207="","",IFERROR($A207*$B207,0))</f>
        <v/>
      </c>
      <c r="F207" s="31">
        <f>IF($C207="","",IFERROR($A207*$C207,0))</f>
        <v/>
      </c>
      <c r="G207" s="31">
        <f>IF($B207="","",IFERROR(MAX(0,ayd_netDefter-$E207),0))</f>
        <v/>
      </c>
      <c r="H207" s="31">
        <f>IF($C207="","",IFERROR(MAX(0,ayd_netDefter+ayd_fark-$F207),0))</f>
        <v/>
      </c>
      <c r="I207" s="31">
        <f>IF($A207="","",IF($A207&gt;IFERROR(GIRDI!B12,0),"DIŞI","AKTİF"))</f>
        <v/>
      </c>
    </row>
    <row r="208">
      <c r="B208" s="31">
        <f>IF(OR($A208="",$A208&gt;IFERROR(GIRDI!B12,0)),"",IFERROR(IF(OR(GIRDI!B12="",GIRDI!B12=0),0,ayd_netDefter/GIRDI!B12),0))</f>
        <v/>
      </c>
      <c r="C208" s="31">
        <f>IF(OR($A208="",$A208&gt;IFERROR(GIRDI!B12,0)),"",IFERROR(IF(OR(GIRDI!B12="",GIRDI!B12=0),0,(ayd_netDefter+ayd_fark)/GIRDI!B12),0))</f>
        <v/>
      </c>
      <c r="D208" s="31">
        <f>IF($B208="","",IFERROR($C208-$B208,0))</f>
        <v/>
      </c>
      <c r="E208" s="31">
        <f>IF($B208="","",IFERROR($A208*$B208,0))</f>
        <v/>
      </c>
      <c r="F208" s="31">
        <f>IF($C208="","",IFERROR($A208*$C208,0))</f>
        <v/>
      </c>
      <c r="G208" s="31">
        <f>IF($B208="","",IFERROR(MAX(0,ayd_netDefter-$E208),0))</f>
        <v/>
      </c>
      <c r="H208" s="31">
        <f>IF($C208="","",IFERROR(MAX(0,ayd_netDefter+ayd_fark-$F208),0))</f>
        <v/>
      </c>
      <c r="I208" s="31">
        <f>IF($A208="","",IF($A208&gt;IFERROR(GIRDI!B12,0),"DIŞI","AKTİF"))</f>
        <v/>
      </c>
    </row>
    <row r="209">
      <c r="B209" s="31">
        <f>IF(OR($A209="",$A209&gt;IFERROR(GIRDI!B12,0)),"",IFERROR(IF(OR(GIRDI!B12="",GIRDI!B12=0),0,ayd_netDefter/GIRDI!B12),0))</f>
        <v/>
      </c>
      <c r="C209" s="31">
        <f>IF(OR($A209="",$A209&gt;IFERROR(GIRDI!B12,0)),"",IFERROR(IF(OR(GIRDI!B12="",GIRDI!B12=0),0,(ayd_netDefter+ayd_fark)/GIRDI!B12),0))</f>
        <v/>
      </c>
      <c r="D209" s="31">
        <f>IF($B209="","",IFERROR($C209-$B209,0))</f>
        <v/>
      </c>
      <c r="E209" s="31">
        <f>IF($B209="","",IFERROR($A209*$B209,0))</f>
        <v/>
      </c>
      <c r="F209" s="31">
        <f>IF($C209="","",IFERROR($A209*$C209,0))</f>
        <v/>
      </c>
      <c r="G209" s="31">
        <f>IF($B209="","",IFERROR(MAX(0,ayd_netDefter-$E209),0))</f>
        <v/>
      </c>
      <c r="H209" s="31">
        <f>IF($C209="","",IFERROR(MAX(0,ayd_netDefter+ayd_fark-$F209),0))</f>
        <v/>
      </c>
      <c r="I209" s="31">
        <f>IF($A209="","",IF($A209&gt;IFERROR(GIRDI!B12,0),"DIŞI","AKTİF"))</f>
        <v/>
      </c>
    </row>
    <row r="210">
      <c r="B210" s="31">
        <f>IF(OR($A210="",$A210&gt;IFERROR(GIRDI!B12,0)),"",IFERROR(IF(OR(GIRDI!B12="",GIRDI!B12=0),0,ayd_netDefter/GIRDI!B12),0))</f>
        <v/>
      </c>
      <c r="C210" s="31">
        <f>IF(OR($A210="",$A210&gt;IFERROR(GIRDI!B12,0)),"",IFERROR(IF(OR(GIRDI!B12="",GIRDI!B12=0),0,(ayd_netDefter+ayd_fark)/GIRDI!B12),0))</f>
        <v/>
      </c>
      <c r="D210" s="31">
        <f>IF($B210="","",IFERROR($C210-$B210,0))</f>
        <v/>
      </c>
      <c r="E210" s="31">
        <f>IF($B210="","",IFERROR($A210*$B210,0))</f>
        <v/>
      </c>
      <c r="F210" s="31">
        <f>IF($C210="","",IFERROR($A210*$C210,0))</f>
        <v/>
      </c>
      <c r="G210" s="31">
        <f>IF($B210="","",IFERROR(MAX(0,ayd_netDefter-$E210),0))</f>
        <v/>
      </c>
      <c r="H210" s="31">
        <f>IF($C210="","",IFERROR(MAX(0,ayd_netDefter+ayd_fark-$F210),0))</f>
        <v/>
      </c>
      <c r="I210" s="31">
        <f>IF($A210="","",IF($A210&gt;IFERROR(GIRDI!B12,0),"DIŞI","AKTİF"))</f>
        <v/>
      </c>
    </row>
    <row r="211">
      <c r="B211" s="31">
        <f>IF(OR($A211="",$A211&gt;IFERROR(GIRDI!B12,0)),"",IFERROR(IF(OR(GIRDI!B12="",GIRDI!B12=0),0,ayd_netDefter/GIRDI!B12),0))</f>
        <v/>
      </c>
      <c r="C211" s="31">
        <f>IF(OR($A211="",$A211&gt;IFERROR(GIRDI!B12,0)),"",IFERROR(IF(OR(GIRDI!B12="",GIRDI!B12=0),0,(ayd_netDefter+ayd_fark)/GIRDI!B12),0))</f>
        <v/>
      </c>
      <c r="D211" s="31">
        <f>IF($B211="","",IFERROR($C211-$B211,0))</f>
        <v/>
      </c>
      <c r="E211" s="31">
        <f>IF($B211="","",IFERROR($A211*$B211,0))</f>
        <v/>
      </c>
      <c r="F211" s="31">
        <f>IF($C211="","",IFERROR($A211*$C211,0))</f>
        <v/>
      </c>
      <c r="G211" s="31">
        <f>IF($B211="","",IFERROR(MAX(0,ayd_netDefter-$E211),0))</f>
        <v/>
      </c>
      <c r="H211" s="31">
        <f>IF($C211="","",IFERROR(MAX(0,ayd_netDefter+ayd_fark-$F211),0))</f>
        <v/>
      </c>
      <c r="I211" s="31">
        <f>IF($A211="","",IF($A211&gt;IFERROR(GIRDI!B12,0),"DIŞI","AKTİF"))</f>
        <v/>
      </c>
    </row>
    <row r="212">
      <c r="B212" s="31">
        <f>IF(OR($A212="",$A212&gt;IFERROR(GIRDI!B12,0)),"",IFERROR(IF(OR(GIRDI!B12="",GIRDI!B12=0),0,ayd_netDefter/GIRDI!B12),0))</f>
        <v/>
      </c>
      <c r="C212" s="31">
        <f>IF(OR($A212="",$A212&gt;IFERROR(GIRDI!B12,0)),"",IFERROR(IF(OR(GIRDI!B12="",GIRDI!B12=0),0,(ayd_netDefter+ayd_fark)/GIRDI!B12),0))</f>
        <v/>
      </c>
      <c r="D212" s="31">
        <f>IF($B212="","",IFERROR($C212-$B212,0))</f>
        <v/>
      </c>
      <c r="E212" s="31">
        <f>IF($B212="","",IFERROR($A212*$B212,0))</f>
        <v/>
      </c>
      <c r="F212" s="31">
        <f>IF($C212="","",IFERROR($A212*$C212,0))</f>
        <v/>
      </c>
      <c r="G212" s="31">
        <f>IF($B212="","",IFERROR(MAX(0,ayd_netDefter-$E212),0))</f>
        <v/>
      </c>
      <c r="H212" s="31">
        <f>IF($C212="","",IFERROR(MAX(0,ayd_netDefter+ayd_fark-$F212),0))</f>
        <v/>
      </c>
      <c r="I212" s="31">
        <f>IF($A212="","",IF($A212&gt;IFERROR(GIRDI!B12,0),"DIŞI","AKTİF"))</f>
        <v/>
      </c>
    </row>
    <row r="213">
      <c r="B213" s="31">
        <f>IF(OR($A213="",$A213&gt;IFERROR(GIRDI!B12,0)),"",IFERROR(IF(OR(GIRDI!B12="",GIRDI!B12=0),0,ayd_netDefter/GIRDI!B12),0))</f>
        <v/>
      </c>
      <c r="C213" s="31">
        <f>IF(OR($A213="",$A213&gt;IFERROR(GIRDI!B12,0)),"",IFERROR(IF(OR(GIRDI!B12="",GIRDI!B12=0),0,(ayd_netDefter+ayd_fark)/GIRDI!B12),0))</f>
        <v/>
      </c>
      <c r="D213" s="31">
        <f>IF($B213="","",IFERROR($C213-$B213,0))</f>
        <v/>
      </c>
      <c r="E213" s="31">
        <f>IF($B213="","",IFERROR($A213*$B213,0))</f>
        <v/>
      </c>
      <c r="F213" s="31">
        <f>IF($C213="","",IFERROR($A213*$C213,0))</f>
        <v/>
      </c>
      <c r="G213" s="31">
        <f>IF($B213="","",IFERROR(MAX(0,ayd_netDefter-$E213),0))</f>
        <v/>
      </c>
      <c r="H213" s="31">
        <f>IF($C213="","",IFERROR(MAX(0,ayd_netDefter+ayd_fark-$F213),0))</f>
        <v/>
      </c>
      <c r="I213" s="31">
        <f>IF($A213="","",IF($A213&gt;IFERROR(GIRDI!B12,0),"DIŞI","AKTİF"))</f>
        <v/>
      </c>
    </row>
    <row r="214">
      <c r="B214" s="31">
        <f>IF(OR($A214="",$A214&gt;IFERROR(GIRDI!B12,0)),"",IFERROR(IF(OR(GIRDI!B12="",GIRDI!B12=0),0,ayd_netDefter/GIRDI!B12),0))</f>
        <v/>
      </c>
      <c r="C214" s="31">
        <f>IF(OR($A214="",$A214&gt;IFERROR(GIRDI!B12,0)),"",IFERROR(IF(OR(GIRDI!B12="",GIRDI!B12=0),0,(ayd_netDefter+ayd_fark)/GIRDI!B12),0))</f>
        <v/>
      </c>
      <c r="D214" s="31">
        <f>IF($B214="","",IFERROR($C214-$B214,0))</f>
        <v/>
      </c>
      <c r="E214" s="31">
        <f>IF($B214="","",IFERROR($A214*$B214,0))</f>
        <v/>
      </c>
      <c r="F214" s="31">
        <f>IF($C214="","",IFERROR($A214*$C214,0))</f>
        <v/>
      </c>
      <c r="G214" s="31">
        <f>IF($B214="","",IFERROR(MAX(0,ayd_netDefter-$E214),0))</f>
        <v/>
      </c>
      <c r="H214" s="31">
        <f>IF($C214="","",IFERROR(MAX(0,ayd_netDefter+ayd_fark-$F214),0))</f>
        <v/>
      </c>
      <c r="I214" s="31">
        <f>IF($A214="","",IF($A214&gt;IFERROR(GIRDI!B12,0),"DIŞI","AKTİF"))</f>
        <v/>
      </c>
    </row>
    <row r="215">
      <c r="B215" s="31">
        <f>IF(OR($A215="",$A215&gt;IFERROR(GIRDI!B12,0)),"",IFERROR(IF(OR(GIRDI!B12="",GIRDI!B12=0),0,ayd_netDefter/GIRDI!B12),0))</f>
        <v/>
      </c>
      <c r="C215" s="31">
        <f>IF(OR($A215="",$A215&gt;IFERROR(GIRDI!B12,0)),"",IFERROR(IF(OR(GIRDI!B12="",GIRDI!B12=0),0,(ayd_netDefter+ayd_fark)/GIRDI!B12),0))</f>
        <v/>
      </c>
      <c r="D215" s="31">
        <f>IF($B215="","",IFERROR($C215-$B215,0))</f>
        <v/>
      </c>
      <c r="E215" s="31">
        <f>IF($B215="","",IFERROR($A215*$B215,0))</f>
        <v/>
      </c>
      <c r="F215" s="31">
        <f>IF($C215="","",IFERROR($A215*$C215,0))</f>
        <v/>
      </c>
      <c r="G215" s="31">
        <f>IF($B215="","",IFERROR(MAX(0,ayd_netDefter-$E215),0))</f>
        <v/>
      </c>
      <c r="H215" s="31">
        <f>IF($C215="","",IFERROR(MAX(0,ayd_netDefter+ayd_fark-$F215),0))</f>
        <v/>
      </c>
      <c r="I215" s="31">
        <f>IF($A215="","",IF($A215&gt;IFERROR(GIRDI!B12,0),"DIŞI","AKTİF"))</f>
        <v/>
      </c>
    </row>
    <row r="216">
      <c r="B216" s="31">
        <f>IF(OR($A216="",$A216&gt;IFERROR(GIRDI!B12,0)),"",IFERROR(IF(OR(GIRDI!B12="",GIRDI!B12=0),0,ayd_netDefter/GIRDI!B12),0))</f>
        <v/>
      </c>
      <c r="C216" s="31">
        <f>IF(OR($A216="",$A216&gt;IFERROR(GIRDI!B12,0)),"",IFERROR(IF(OR(GIRDI!B12="",GIRDI!B12=0),0,(ayd_netDefter+ayd_fark)/GIRDI!B12),0))</f>
        <v/>
      </c>
      <c r="D216" s="31">
        <f>IF($B216="","",IFERROR($C216-$B216,0))</f>
        <v/>
      </c>
      <c r="E216" s="31">
        <f>IF($B216="","",IFERROR($A216*$B216,0))</f>
        <v/>
      </c>
      <c r="F216" s="31">
        <f>IF($C216="","",IFERROR($A216*$C216,0))</f>
        <v/>
      </c>
      <c r="G216" s="31">
        <f>IF($B216="","",IFERROR(MAX(0,ayd_netDefter-$E216),0))</f>
        <v/>
      </c>
      <c r="H216" s="31">
        <f>IF($C216="","",IFERROR(MAX(0,ayd_netDefter+ayd_fark-$F216),0))</f>
        <v/>
      </c>
      <c r="I216" s="31">
        <f>IF($A216="","",IF($A216&gt;IFERROR(GIRDI!B12,0),"DIŞI","AKTİF"))</f>
        <v/>
      </c>
    </row>
    <row r="217">
      <c r="B217" s="31">
        <f>IF(OR($A217="",$A217&gt;IFERROR(GIRDI!B12,0)),"",IFERROR(IF(OR(GIRDI!B12="",GIRDI!B12=0),0,ayd_netDefter/GIRDI!B12),0))</f>
        <v/>
      </c>
      <c r="C217" s="31">
        <f>IF(OR($A217="",$A217&gt;IFERROR(GIRDI!B12,0)),"",IFERROR(IF(OR(GIRDI!B12="",GIRDI!B12=0),0,(ayd_netDefter+ayd_fark)/GIRDI!B12),0))</f>
        <v/>
      </c>
      <c r="D217" s="31">
        <f>IF($B217="","",IFERROR($C217-$B217,0))</f>
        <v/>
      </c>
      <c r="E217" s="31">
        <f>IF($B217="","",IFERROR($A217*$B217,0))</f>
        <v/>
      </c>
      <c r="F217" s="31">
        <f>IF($C217="","",IFERROR($A217*$C217,0))</f>
        <v/>
      </c>
      <c r="G217" s="31">
        <f>IF($B217="","",IFERROR(MAX(0,ayd_netDefter-$E217),0))</f>
        <v/>
      </c>
      <c r="H217" s="31">
        <f>IF($C217="","",IFERROR(MAX(0,ayd_netDefter+ayd_fark-$F217),0))</f>
        <v/>
      </c>
      <c r="I217" s="31">
        <f>IF($A217="","",IF($A217&gt;IFERROR(GIRDI!B12,0),"DIŞI","AKTİF"))</f>
        <v/>
      </c>
    </row>
    <row r="218">
      <c r="B218" s="31">
        <f>IF(OR($A218="",$A218&gt;IFERROR(GIRDI!B12,0)),"",IFERROR(IF(OR(GIRDI!B12="",GIRDI!B12=0),0,ayd_netDefter/GIRDI!B12),0))</f>
        <v/>
      </c>
      <c r="C218" s="31">
        <f>IF(OR($A218="",$A218&gt;IFERROR(GIRDI!B12,0)),"",IFERROR(IF(OR(GIRDI!B12="",GIRDI!B12=0),0,(ayd_netDefter+ayd_fark)/GIRDI!B12),0))</f>
        <v/>
      </c>
      <c r="D218" s="31">
        <f>IF($B218="","",IFERROR($C218-$B218,0))</f>
        <v/>
      </c>
      <c r="E218" s="31">
        <f>IF($B218="","",IFERROR($A218*$B218,0))</f>
        <v/>
      </c>
      <c r="F218" s="31">
        <f>IF($C218="","",IFERROR($A218*$C218,0))</f>
        <v/>
      </c>
      <c r="G218" s="31">
        <f>IF($B218="","",IFERROR(MAX(0,ayd_netDefter-$E218),0))</f>
        <v/>
      </c>
      <c r="H218" s="31">
        <f>IF($C218="","",IFERROR(MAX(0,ayd_netDefter+ayd_fark-$F218),0))</f>
        <v/>
      </c>
      <c r="I218" s="31">
        <f>IF($A218="","",IF($A218&gt;IFERROR(GIRDI!B12,0),"DIŞI","AKTİF"))</f>
        <v/>
      </c>
    </row>
    <row r="219">
      <c r="B219" s="31">
        <f>IF(OR($A219="",$A219&gt;IFERROR(GIRDI!B12,0)),"",IFERROR(IF(OR(GIRDI!B12="",GIRDI!B12=0),0,ayd_netDefter/GIRDI!B12),0))</f>
        <v/>
      </c>
      <c r="C219" s="31">
        <f>IF(OR($A219="",$A219&gt;IFERROR(GIRDI!B12,0)),"",IFERROR(IF(OR(GIRDI!B12="",GIRDI!B12=0),0,(ayd_netDefter+ayd_fark)/GIRDI!B12),0))</f>
        <v/>
      </c>
      <c r="D219" s="31">
        <f>IF($B219="","",IFERROR($C219-$B219,0))</f>
        <v/>
      </c>
      <c r="E219" s="31">
        <f>IF($B219="","",IFERROR($A219*$B219,0))</f>
        <v/>
      </c>
      <c r="F219" s="31">
        <f>IF($C219="","",IFERROR($A219*$C219,0))</f>
        <v/>
      </c>
      <c r="G219" s="31">
        <f>IF($B219="","",IFERROR(MAX(0,ayd_netDefter-$E219),0))</f>
        <v/>
      </c>
      <c r="H219" s="31">
        <f>IF($C219="","",IFERROR(MAX(0,ayd_netDefter+ayd_fark-$F219),0))</f>
        <v/>
      </c>
      <c r="I219" s="31">
        <f>IF($A219="","",IF($A219&gt;IFERROR(GIRDI!B12,0),"DIŞI","AKTİF"))</f>
        <v/>
      </c>
    </row>
    <row r="220">
      <c r="B220" s="31">
        <f>IF(OR($A220="",$A220&gt;IFERROR(GIRDI!B12,0)),"",IFERROR(IF(OR(GIRDI!B12="",GIRDI!B12=0),0,ayd_netDefter/GIRDI!B12),0))</f>
        <v/>
      </c>
      <c r="C220" s="31">
        <f>IF(OR($A220="",$A220&gt;IFERROR(GIRDI!B12,0)),"",IFERROR(IF(OR(GIRDI!B12="",GIRDI!B12=0),0,(ayd_netDefter+ayd_fark)/GIRDI!B12),0))</f>
        <v/>
      </c>
      <c r="D220" s="31">
        <f>IF($B220="","",IFERROR($C220-$B220,0))</f>
        <v/>
      </c>
      <c r="E220" s="31">
        <f>IF($B220="","",IFERROR($A220*$B220,0))</f>
        <v/>
      </c>
      <c r="F220" s="31">
        <f>IF($C220="","",IFERROR($A220*$C220,0))</f>
        <v/>
      </c>
      <c r="G220" s="31">
        <f>IF($B220="","",IFERROR(MAX(0,ayd_netDefter-$E220),0))</f>
        <v/>
      </c>
      <c r="H220" s="31">
        <f>IF($C220="","",IFERROR(MAX(0,ayd_netDefter+ayd_fark-$F220),0))</f>
        <v/>
      </c>
      <c r="I220" s="31">
        <f>IF($A220="","",IF($A220&gt;IFERROR(GIRDI!B12,0),"DIŞI","AKTİF"))</f>
        <v/>
      </c>
    </row>
    <row r="221">
      <c r="B221" s="31">
        <f>IF(OR($A221="",$A221&gt;IFERROR(GIRDI!B12,0)),"",IFERROR(IF(OR(GIRDI!B12="",GIRDI!B12=0),0,ayd_netDefter/GIRDI!B12),0))</f>
        <v/>
      </c>
      <c r="C221" s="31">
        <f>IF(OR($A221="",$A221&gt;IFERROR(GIRDI!B12,0)),"",IFERROR(IF(OR(GIRDI!B12="",GIRDI!B12=0),0,(ayd_netDefter+ayd_fark)/GIRDI!B12),0))</f>
        <v/>
      </c>
      <c r="D221" s="31">
        <f>IF($B221="","",IFERROR($C221-$B221,0))</f>
        <v/>
      </c>
      <c r="E221" s="31">
        <f>IF($B221="","",IFERROR($A221*$B221,0))</f>
        <v/>
      </c>
      <c r="F221" s="31">
        <f>IF($C221="","",IFERROR($A221*$C221,0))</f>
        <v/>
      </c>
      <c r="G221" s="31">
        <f>IF($B221="","",IFERROR(MAX(0,ayd_netDefter-$E221),0))</f>
        <v/>
      </c>
      <c r="H221" s="31">
        <f>IF($C221="","",IFERROR(MAX(0,ayd_netDefter+ayd_fark-$F221),0))</f>
        <v/>
      </c>
      <c r="I221" s="31">
        <f>IF($A221="","",IF($A221&gt;IFERROR(GIRDI!B12,0),"DIŞI","AKTİF"))</f>
        <v/>
      </c>
    </row>
    <row r="222">
      <c r="B222" s="31">
        <f>IF(OR($A222="",$A222&gt;IFERROR(GIRDI!B12,0)),"",IFERROR(IF(OR(GIRDI!B12="",GIRDI!B12=0),0,ayd_netDefter/GIRDI!B12),0))</f>
        <v/>
      </c>
      <c r="C222" s="31">
        <f>IF(OR($A222="",$A222&gt;IFERROR(GIRDI!B12,0)),"",IFERROR(IF(OR(GIRDI!B12="",GIRDI!B12=0),0,(ayd_netDefter+ayd_fark)/GIRDI!B12),0))</f>
        <v/>
      </c>
      <c r="D222" s="31">
        <f>IF($B222="","",IFERROR($C222-$B222,0))</f>
        <v/>
      </c>
      <c r="E222" s="31">
        <f>IF($B222="","",IFERROR($A222*$B222,0))</f>
        <v/>
      </c>
      <c r="F222" s="31">
        <f>IF($C222="","",IFERROR($A222*$C222,0))</f>
        <v/>
      </c>
      <c r="G222" s="31">
        <f>IF($B222="","",IFERROR(MAX(0,ayd_netDefter-$E222),0))</f>
        <v/>
      </c>
      <c r="H222" s="31">
        <f>IF($C222="","",IFERROR(MAX(0,ayd_netDefter+ayd_fark-$F222),0))</f>
        <v/>
      </c>
      <c r="I222" s="31">
        <f>IF($A222="","",IF($A222&gt;IFERROR(GIRDI!B12,0),"DIŞI","AKTİF"))</f>
        <v/>
      </c>
    </row>
    <row r="223">
      <c r="B223" s="31">
        <f>IF(OR($A223="",$A223&gt;IFERROR(GIRDI!B12,0)),"",IFERROR(IF(OR(GIRDI!B12="",GIRDI!B12=0),0,ayd_netDefter/GIRDI!B12),0))</f>
        <v/>
      </c>
      <c r="C223" s="31">
        <f>IF(OR($A223="",$A223&gt;IFERROR(GIRDI!B12,0)),"",IFERROR(IF(OR(GIRDI!B12="",GIRDI!B12=0),0,(ayd_netDefter+ayd_fark)/GIRDI!B12),0))</f>
        <v/>
      </c>
      <c r="D223" s="31">
        <f>IF($B223="","",IFERROR($C223-$B223,0))</f>
        <v/>
      </c>
      <c r="E223" s="31">
        <f>IF($B223="","",IFERROR($A223*$B223,0))</f>
        <v/>
      </c>
      <c r="F223" s="31">
        <f>IF($C223="","",IFERROR($A223*$C223,0))</f>
        <v/>
      </c>
      <c r="G223" s="31">
        <f>IF($B223="","",IFERROR(MAX(0,ayd_netDefter-$E223),0))</f>
        <v/>
      </c>
      <c r="H223" s="31">
        <f>IF($C223="","",IFERROR(MAX(0,ayd_netDefter+ayd_fark-$F223),0))</f>
        <v/>
      </c>
      <c r="I223" s="31">
        <f>IF($A223="","",IF($A223&gt;IFERROR(GIRDI!B12,0),"DIŞI","AKTİF"))</f>
        <v/>
      </c>
    </row>
    <row r="224">
      <c r="B224" s="31">
        <f>IF(OR($A224="",$A224&gt;IFERROR(GIRDI!B12,0)),"",IFERROR(IF(OR(GIRDI!B12="",GIRDI!B12=0),0,ayd_netDefter/GIRDI!B12),0))</f>
        <v/>
      </c>
      <c r="C224" s="31">
        <f>IF(OR($A224="",$A224&gt;IFERROR(GIRDI!B12,0)),"",IFERROR(IF(OR(GIRDI!B12="",GIRDI!B12=0),0,(ayd_netDefter+ayd_fark)/GIRDI!B12),0))</f>
        <v/>
      </c>
      <c r="D224" s="31">
        <f>IF($B224="","",IFERROR($C224-$B224,0))</f>
        <v/>
      </c>
      <c r="E224" s="31">
        <f>IF($B224="","",IFERROR($A224*$B224,0))</f>
        <v/>
      </c>
      <c r="F224" s="31">
        <f>IF($C224="","",IFERROR($A224*$C224,0))</f>
        <v/>
      </c>
      <c r="G224" s="31">
        <f>IF($B224="","",IFERROR(MAX(0,ayd_netDefter-$E224),0))</f>
        <v/>
      </c>
      <c r="H224" s="31">
        <f>IF($C224="","",IFERROR(MAX(0,ayd_netDefter+ayd_fark-$F224),0))</f>
        <v/>
      </c>
      <c r="I224" s="31">
        <f>IF($A224="","",IF($A224&gt;IFERROR(GIRDI!B12,0),"DIŞI","AKTİF"))</f>
        <v/>
      </c>
    </row>
    <row r="225">
      <c r="B225" s="31">
        <f>IF(OR($A225="",$A225&gt;IFERROR(GIRDI!B12,0)),"",IFERROR(IF(OR(GIRDI!B12="",GIRDI!B12=0),0,ayd_netDefter/GIRDI!B12),0))</f>
        <v/>
      </c>
      <c r="C225" s="31">
        <f>IF(OR($A225="",$A225&gt;IFERROR(GIRDI!B12,0)),"",IFERROR(IF(OR(GIRDI!B12="",GIRDI!B12=0),0,(ayd_netDefter+ayd_fark)/GIRDI!B12),0))</f>
        <v/>
      </c>
      <c r="D225" s="31">
        <f>IF($B225="","",IFERROR($C225-$B225,0))</f>
        <v/>
      </c>
      <c r="E225" s="31">
        <f>IF($B225="","",IFERROR($A225*$B225,0))</f>
        <v/>
      </c>
      <c r="F225" s="31">
        <f>IF($C225="","",IFERROR($A225*$C225,0))</f>
        <v/>
      </c>
      <c r="G225" s="31">
        <f>IF($B225="","",IFERROR(MAX(0,ayd_netDefter-$E225),0))</f>
        <v/>
      </c>
      <c r="H225" s="31">
        <f>IF($C225="","",IFERROR(MAX(0,ayd_netDefter+ayd_fark-$F225),0))</f>
        <v/>
      </c>
      <c r="I225" s="31">
        <f>IF($A225="","",IF($A225&gt;IFERROR(GIRDI!B12,0),"DIŞI","AKTİF"))</f>
        <v/>
      </c>
    </row>
    <row r="226">
      <c r="B226" s="31">
        <f>IF(OR($A226="",$A226&gt;IFERROR(GIRDI!B12,0)),"",IFERROR(IF(OR(GIRDI!B12="",GIRDI!B12=0),0,ayd_netDefter/GIRDI!B12),0))</f>
        <v/>
      </c>
      <c r="C226" s="31">
        <f>IF(OR($A226="",$A226&gt;IFERROR(GIRDI!B12,0)),"",IFERROR(IF(OR(GIRDI!B12="",GIRDI!B12=0),0,(ayd_netDefter+ayd_fark)/GIRDI!B12),0))</f>
        <v/>
      </c>
      <c r="D226" s="31">
        <f>IF($B226="","",IFERROR($C226-$B226,0))</f>
        <v/>
      </c>
      <c r="E226" s="31">
        <f>IF($B226="","",IFERROR($A226*$B226,0))</f>
        <v/>
      </c>
      <c r="F226" s="31">
        <f>IF($C226="","",IFERROR($A226*$C226,0))</f>
        <v/>
      </c>
      <c r="G226" s="31">
        <f>IF($B226="","",IFERROR(MAX(0,ayd_netDefter-$E226),0))</f>
        <v/>
      </c>
      <c r="H226" s="31">
        <f>IF($C226="","",IFERROR(MAX(0,ayd_netDefter+ayd_fark-$F226),0))</f>
        <v/>
      </c>
      <c r="I226" s="31">
        <f>IF($A226="","",IF($A226&gt;IFERROR(GIRDI!B12,0),"DIŞI","AKTİF"))</f>
        <v/>
      </c>
    </row>
    <row r="227">
      <c r="B227" s="31">
        <f>IF(OR($A227="",$A227&gt;IFERROR(GIRDI!B12,0)),"",IFERROR(IF(OR(GIRDI!B12="",GIRDI!B12=0),0,ayd_netDefter/GIRDI!B12),0))</f>
        <v/>
      </c>
      <c r="C227" s="31">
        <f>IF(OR($A227="",$A227&gt;IFERROR(GIRDI!B12,0)),"",IFERROR(IF(OR(GIRDI!B12="",GIRDI!B12=0),0,(ayd_netDefter+ayd_fark)/GIRDI!B12),0))</f>
        <v/>
      </c>
      <c r="D227" s="31">
        <f>IF($B227="","",IFERROR($C227-$B227,0))</f>
        <v/>
      </c>
      <c r="E227" s="31">
        <f>IF($B227="","",IFERROR($A227*$B227,0))</f>
        <v/>
      </c>
      <c r="F227" s="31">
        <f>IF($C227="","",IFERROR($A227*$C227,0))</f>
        <v/>
      </c>
      <c r="G227" s="31">
        <f>IF($B227="","",IFERROR(MAX(0,ayd_netDefter-$E227),0))</f>
        <v/>
      </c>
      <c r="H227" s="31">
        <f>IF($C227="","",IFERROR(MAX(0,ayd_netDefter+ayd_fark-$F227),0))</f>
        <v/>
      </c>
      <c r="I227" s="31">
        <f>IF($A227="","",IF($A227&gt;IFERROR(GIRDI!B12,0),"DIŞI","AKTİF"))</f>
        <v/>
      </c>
    </row>
    <row r="228">
      <c r="B228" s="31">
        <f>IF(OR($A228="",$A228&gt;IFERROR(GIRDI!B12,0)),"",IFERROR(IF(OR(GIRDI!B12="",GIRDI!B12=0),0,ayd_netDefter/GIRDI!B12),0))</f>
        <v/>
      </c>
      <c r="C228" s="31">
        <f>IF(OR($A228="",$A228&gt;IFERROR(GIRDI!B12,0)),"",IFERROR(IF(OR(GIRDI!B12="",GIRDI!B12=0),0,(ayd_netDefter+ayd_fark)/GIRDI!B12),0))</f>
        <v/>
      </c>
      <c r="D228" s="31">
        <f>IF($B228="","",IFERROR($C228-$B228,0))</f>
        <v/>
      </c>
      <c r="E228" s="31">
        <f>IF($B228="","",IFERROR($A228*$B228,0))</f>
        <v/>
      </c>
      <c r="F228" s="31">
        <f>IF($C228="","",IFERROR($A228*$C228,0))</f>
        <v/>
      </c>
      <c r="G228" s="31">
        <f>IF($B228="","",IFERROR(MAX(0,ayd_netDefter-$E228),0))</f>
        <v/>
      </c>
      <c r="H228" s="31">
        <f>IF($C228="","",IFERROR(MAX(0,ayd_netDefter+ayd_fark-$F228),0))</f>
        <v/>
      </c>
      <c r="I228" s="31">
        <f>IF($A228="","",IF($A228&gt;IFERROR(GIRDI!B12,0),"DIŞI","AKTİF"))</f>
        <v/>
      </c>
    </row>
    <row r="229">
      <c r="B229" s="31">
        <f>IF(OR($A229="",$A229&gt;IFERROR(GIRDI!B12,0)),"",IFERROR(IF(OR(GIRDI!B12="",GIRDI!B12=0),0,ayd_netDefter/GIRDI!B12),0))</f>
        <v/>
      </c>
      <c r="C229" s="31">
        <f>IF(OR($A229="",$A229&gt;IFERROR(GIRDI!B12,0)),"",IFERROR(IF(OR(GIRDI!B12="",GIRDI!B12=0),0,(ayd_netDefter+ayd_fark)/GIRDI!B12),0))</f>
        <v/>
      </c>
      <c r="D229" s="31">
        <f>IF($B229="","",IFERROR($C229-$B229,0))</f>
        <v/>
      </c>
      <c r="E229" s="31">
        <f>IF($B229="","",IFERROR($A229*$B229,0))</f>
        <v/>
      </c>
      <c r="F229" s="31">
        <f>IF($C229="","",IFERROR($A229*$C229,0))</f>
        <v/>
      </c>
      <c r="G229" s="31">
        <f>IF($B229="","",IFERROR(MAX(0,ayd_netDefter-$E229),0))</f>
        <v/>
      </c>
      <c r="H229" s="31">
        <f>IF($C229="","",IFERROR(MAX(0,ayd_netDefter+ayd_fark-$F229),0))</f>
        <v/>
      </c>
      <c r="I229" s="31">
        <f>IF($A229="","",IF($A229&gt;IFERROR(GIRDI!B12,0),"DIŞI","AKTİF"))</f>
        <v/>
      </c>
    </row>
    <row r="230">
      <c r="B230" s="31">
        <f>IF(OR($A230="",$A230&gt;IFERROR(GIRDI!B12,0)),"",IFERROR(IF(OR(GIRDI!B12="",GIRDI!B12=0),0,ayd_netDefter/GIRDI!B12),0))</f>
        <v/>
      </c>
      <c r="C230" s="31">
        <f>IF(OR($A230="",$A230&gt;IFERROR(GIRDI!B12,0)),"",IFERROR(IF(OR(GIRDI!B12="",GIRDI!B12=0),0,(ayd_netDefter+ayd_fark)/GIRDI!B12),0))</f>
        <v/>
      </c>
      <c r="D230" s="31">
        <f>IF($B230="","",IFERROR($C230-$B230,0))</f>
        <v/>
      </c>
      <c r="E230" s="31">
        <f>IF($B230="","",IFERROR($A230*$B230,0))</f>
        <v/>
      </c>
      <c r="F230" s="31">
        <f>IF($C230="","",IFERROR($A230*$C230,0))</f>
        <v/>
      </c>
      <c r="G230" s="31">
        <f>IF($B230="","",IFERROR(MAX(0,ayd_netDefter-$E230),0))</f>
        <v/>
      </c>
      <c r="H230" s="31">
        <f>IF($C230="","",IFERROR(MAX(0,ayd_netDefter+ayd_fark-$F230),0))</f>
        <v/>
      </c>
      <c r="I230" s="31">
        <f>IF($A230="","",IF($A230&gt;IFERROR(GIRDI!B12,0),"DIŞI","AKTİF"))</f>
        <v/>
      </c>
    </row>
    <row r="231">
      <c r="B231" s="31">
        <f>IF(OR($A231="",$A231&gt;IFERROR(GIRDI!B12,0)),"",IFERROR(IF(OR(GIRDI!B12="",GIRDI!B12=0),0,ayd_netDefter/GIRDI!B12),0))</f>
        <v/>
      </c>
      <c r="C231" s="31">
        <f>IF(OR($A231="",$A231&gt;IFERROR(GIRDI!B12,0)),"",IFERROR(IF(OR(GIRDI!B12="",GIRDI!B12=0),0,(ayd_netDefter+ayd_fark)/GIRDI!B12),0))</f>
        <v/>
      </c>
      <c r="D231" s="31">
        <f>IF($B231="","",IFERROR($C231-$B231,0))</f>
        <v/>
      </c>
      <c r="E231" s="31">
        <f>IF($B231="","",IFERROR($A231*$B231,0))</f>
        <v/>
      </c>
      <c r="F231" s="31">
        <f>IF($C231="","",IFERROR($A231*$C231,0))</f>
        <v/>
      </c>
      <c r="G231" s="31">
        <f>IF($B231="","",IFERROR(MAX(0,ayd_netDefter-$E231),0))</f>
        <v/>
      </c>
      <c r="H231" s="31">
        <f>IF($C231="","",IFERROR(MAX(0,ayd_netDefter+ayd_fark-$F231),0))</f>
        <v/>
      </c>
      <c r="I231" s="31">
        <f>IF($A231="","",IF($A231&gt;IFERROR(GIRDI!B12,0),"DIŞI","AKTİF"))</f>
        <v/>
      </c>
    </row>
    <row r="232">
      <c r="B232" s="31">
        <f>IF(OR($A232="",$A232&gt;IFERROR(GIRDI!B12,0)),"",IFERROR(IF(OR(GIRDI!B12="",GIRDI!B12=0),0,ayd_netDefter/GIRDI!B12),0))</f>
        <v/>
      </c>
      <c r="C232" s="31">
        <f>IF(OR($A232="",$A232&gt;IFERROR(GIRDI!B12,0)),"",IFERROR(IF(OR(GIRDI!B12="",GIRDI!B12=0),0,(ayd_netDefter+ayd_fark)/GIRDI!B12),0))</f>
        <v/>
      </c>
      <c r="D232" s="31">
        <f>IF($B232="","",IFERROR($C232-$B232,0))</f>
        <v/>
      </c>
      <c r="E232" s="31">
        <f>IF($B232="","",IFERROR($A232*$B232,0))</f>
        <v/>
      </c>
      <c r="F232" s="31">
        <f>IF($C232="","",IFERROR($A232*$C232,0))</f>
        <v/>
      </c>
      <c r="G232" s="31">
        <f>IF($B232="","",IFERROR(MAX(0,ayd_netDefter-$E232),0))</f>
        <v/>
      </c>
      <c r="H232" s="31">
        <f>IF($C232="","",IFERROR(MAX(0,ayd_netDefter+ayd_fark-$F232),0))</f>
        <v/>
      </c>
      <c r="I232" s="31">
        <f>IF($A232="","",IF($A232&gt;IFERROR(GIRDI!B12,0),"DIŞI","AKTİF"))</f>
        <v/>
      </c>
    </row>
    <row r="233">
      <c r="B233" s="31">
        <f>IF(OR($A233="",$A233&gt;IFERROR(GIRDI!B12,0)),"",IFERROR(IF(OR(GIRDI!B12="",GIRDI!B12=0),0,ayd_netDefter/GIRDI!B12),0))</f>
        <v/>
      </c>
      <c r="C233" s="31">
        <f>IF(OR($A233="",$A233&gt;IFERROR(GIRDI!B12,0)),"",IFERROR(IF(OR(GIRDI!B12="",GIRDI!B12=0),0,(ayd_netDefter+ayd_fark)/GIRDI!B12),0))</f>
        <v/>
      </c>
      <c r="D233" s="31">
        <f>IF($B233="","",IFERROR($C233-$B233,0))</f>
        <v/>
      </c>
      <c r="E233" s="31">
        <f>IF($B233="","",IFERROR($A233*$B233,0))</f>
        <v/>
      </c>
      <c r="F233" s="31">
        <f>IF($C233="","",IFERROR($A233*$C233,0))</f>
        <v/>
      </c>
      <c r="G233" s="31">
        <f>IF($B233="","",IFERROR(MAX(0,ayd_netDefter-$E233),0))</f>
        <v/>
      </c>
      <c r="H233" s="31">
        <f>IF($C233="","",IFERROR(MAX(0,ayd_netDefter+ayd_fark-$F233),0))</f>
        <v/>
      </c>
      <c r="I233" s="31">
        <f>IF($A233="","",IF($A233&gt;IFERROR(GIRDI!B12,0),"DIŞI","AKTİF"))</f>
        <v/>
      </c>
    </row>
    <row r="234">
      <c r="B234" s="31">
        <f>IF(OR($A234="",$A234&gt;IFERROR(GIRDI!B12,0)),"",IFERROR(IF(OR(GIRDI!B12="",GIRDI!B12=0),0,ayd_netDefter/GIRDI!B12),0))</f>
        <v/>
      </c>
      <c r="C234" s="31">
        <f>IF(OR($A234="",$A234&gt;IFERROR(GIRDI!B12,0)),"",IFERROR(IF(OR(GIRDI!B12="",GIRDI!B12=0),0,(ayd_netDefter+ayd_fark)/GIRDI!B12),0))</f>
        <v/>
      </c>
      <c r="D234" s="31">
        <f>IF($B234="","",IFERROR($C234-$B234,0))</f>
        <v/>
      </c>
      <c r="E234" s="31">
        <f>IF($B234="","",IFERROR($A234*$B234,0))</f>
        <v/>
      </c>
      <c r="F234" s="31">
        <f>IF($C234="","",IFERROR($A234*$C234,0))</f>
        <v/>
      </c>
      <c r="G234" s="31">
        <f>IF($B234="","",IFERROR(MAX(0,ayd_netDefter-$E234),0))</f>
        <v/>
      </c>
      <c r="H234" s="31">
        <f>IF($C234="","",IFERROR(MAX(0,ayd_netDefter+ayd_fark-$F234),0))</f>
        <v/>
      </c>
      <c r="I234" s="31">
        <f>IF($A234="","",IF($A234&gt;IFERROR(GIRDI!B12,0),"DIŞI","AKTİF"))</f>
        <v/>
      </c>
    </row>
    <row r="235">
      <c r="B235" s="31">
        <f>IF(OR($A235="",$A235&gt;IFERROR(GIRDI!B12,0)),"",IFERROR(IF(OR(GIRDI!B12="",GIRDI!B12=0),0,ayd_netDefter/GIRDI!B12),0))</f>
        <v/>
      </c>
      <c r="C235" s="31">
        <f>IF(OR($A235="",$A235&gt;IFERROR(GIRDI!B12,0)),"",IFERROR(IF(OR(GIRDI!B12="",GIRDI!B12=0),0,(ayd_netDefter+ayd_fark)/GIRDI!B12),0))</f>
        <v/>
      </c>
      <c r="D235" s="31">
        <f>IF($B235="","",IFERROR($C235-$B235,0))</f>
        <v/>
      </c>
      <c r="E235" s="31">
        <f>IF($B235="","",IFERROR($A235*$B235,0))</f>
        <v/>
      </c>
      <c r="F235" s="31">
        <f>IF($C235="","",IFERROR($A235*$C235,0))</f>
        <v/>
      </c>
      <c r="G235" s="31">
        <f>IF($B235="","",IFERROR(MAX(0,ayd_netDefter-$E235),0))</f>
        <v/>
      </c>
      <c r="H235" s="31">
        <f>IF($C235="","",IFERROR(MAX(0,ayd_netDefter+ayd_fark-$F235),0))</f>
        <v/>
      </c>
      <c r="I235" s="31">
        <f>IF($A235="","",IF($A235&gt;IFERROR(GIRDI!B12,0),"DIŞI","AKTİF"))</f>
        <v/>
      </c>
    </row>
    <row r="236">
      <c r="B236" s="31">
        <f>IF(OR($A236="",$A236&gt;IFERROR(GIRDI!B12,0)),"",IFERROR(IF(OR(GIRDI!B12="",GIRDI!B12=0),0,ayd_netDefter/GIRDI!B12),0))</f>
        <v/>
      </c>
      <c r="C236" s="31">
        <f>IF(OR($A236="",$A236&gt;IFERROR(GIRDI!B12,0)),"",IFERROR(IF(OR(GIRDI!B12="",GIRDI!B12=0),0,(ayd_netDefter+ayd_fark)/GIRDI!B12),0))</f>
        <v/>
      </c>
      <c r="D236" s="31">
        <f>IF($B236="","",IFERROR($C236-$B236,0))</f>
        <v/>
      </c>
      <c r="E236" s="31">
        <f>IF($B236="","",IFERROR($A236*$B236,0))</f>
        <v/>
      </c>
      <c r="F236" s="31">
        <f>IF($C236="","",IFERROR($A236*$C236,0))</f>
        <v/>
      </c>
      <c r="G236" s="31">
        <f>IF($B236="","",IFERROR(MAX(0,ayd_netDefter-$E236),0))</f>
        <v/>
      </c>
      <c r="H236" s="31">
        <f>IF($C236="","",IFERROR(MAX(0,ayd_netDefter+ayd_fark-$F236),0))</f>
        <v/>
      </c>
      <c r="I236" s="31">
        <f>IF($A236="","",IF($A236&gt;IFERROR(GIRDI!B12,0),"DIŞI","AKTİF"))</f>
        <v/>
      </c>
    </row>
    <row r="237">
      <c r="B237" s="31">
        <f>IF(OR($A237="",$A237&gt;IFERROR(GIRDI!B12,0)),"",IFERROR(IF(OR(GIRDI!B12="",GIRDI!B12=0),0,ayd_netDefter/GIRDI!B12),0))</f>
        <v/>
      </c>
      <c r="C237" s="31">
        <f>IF(OR($A237="",$A237&gt;IFERROR(GIRDI!B12,0)),"",IFERROR(IF(OR(GIRDI!B12="",GIRDI!B12=0),0,(ayd_netDefter+ayd_fark)/GIRDI!B12),0))</f>
        <v/>
      </c>
      <c r="D237" s="31">
        <f>IF($B237="","",IFERROR($C237-$B237,0))</f>
        <v/>
      </c>
      <c r="E237" s="31">
        <f>IF($B237="","",IFERROR($A237*$B237,0))</f>
        <v/>
      </c>
      <c r="F237" s="31">
        <f>IF($C237="","",IFERROR($A237*$C237,0))</f>
        <v/>
      </c>
      <c r="G237" s="31">
        <f>IF($B237="","",IFERROR(MAX(0,ayd_netDefter-$E237),0))</f>
        <v/>
      </c>
      <c r="H237" s="31">
        <f>IF($C237="","",IFERROR(MAX(0,ayd_netDefter+ayd_fark-$F237),0))</f>
        <v/>
      </c>
      <c r="I237" s="31">
        <f>IF($A237="","",IF($A237&gt;IFERROR(GIRDI!B12,0),"DIŞI","AKTİF"))</f>
        <v/>
      </c>
    </row>
    <row r="238">
      <c r="B238" s="31">
        <f>IF(OR($A238="",$A238&gt;IFERROR(GIRDI!B12,0)),"",IFERROR(IF(OR(GIRDI!B12="",GIRDI!B12=0),0,ayd_netDefter/GIRDI!B12),0))</f>
        <v/>
      </c>
      <c r="C238" s="31">
        <f>IF(OR($A238="",$A238&gt;IFERROR(GIRDI!B12,0)),"",IFERROR(IF(OR(GIRDI!B12="",GIRDI!B12=0),0,(ayd_netDefter+ayd_fark)/GIRDI!B12),0))</f>
        <v/>
      </c>
      <c r="D238" s="31">
        <f>IF($B238="","",IFERROR($C238-$B238,0))</f>
        <v/>
      </c>
      <c r="E238" s="31">
        <f>IF($B238="","",IFERROR($A238*$B238,0))</f>
        <v/>
      </c>
      <c r="F238" s="31">
        <f>IF($C238="","",IFERROR($A238*$C238,0))</f>
        <v/>
      </c>
      <c r="G238" s="31">
        <f>IF($B238="","",IFERROR(MAX(0,ayd_netDefter-$E238),0))</f>
        <v/>
      </c>
      <c r="H238" s="31">
        <f>IF($C238="","",IFERROR(MAX(0,ayd_netDefter+ayd_fark-$F238),0))</f>
        <v/>
      </c>
      <c r="I238" s="31">
        <f>IF($A238="","",IF($A238&gt;IFERROR(GIRDI!B12,0),"DIŞI","AKTİF"))</f>
        <v/>
      </c>
    </row>
    <row r="239">
      <c r="B239" s="31">
        <f>IF(OR($A239="",$A239&gt;IFERROR(GIRDI!B12,0)),"",IFERROR(IF(OR(GIRDI!B12="",GIRDI!B12=0),0,ayd_netDefter/GIRDI!B12),0))</f>
        <v/>
      </c>
      <c r="C239" s="31">
        <f>IF(OR($A239="",$A239&gt;IFERROR(GIRDI!B12,0)),"",IFERROR(IF(OR(GIRDI!B12="",GIRDI!B12=0),0,(ayd_netDefter+ayd_fark)/GIRDI!B12),0))</f>
        <v/>
      </c>
      <c r="D239" s="31">
        <f>IF($B239="","",IFERROR($C239-$B239,0))</f>
        <v/>
      </c>
      <c r="E239" s="31">
        <f>IF($B239="","",IFERROR($A239*$B239,0))</f>
        <v/>
      </c>
      <c r="F239" s="31">
        <f>IF($C239="","",IFERROR($A239*$C239,0))</f>
        <v/>
      </c>
      <c r="G239" s="31">
        <f>IF($B239="","",IFERROR(MAX(0,ayd_netDefter-$E239),0))</f>
        <v/>
      </c>
      <c r="H239" s="31">
        <f>IF($C239="","",IFERROR(MAX(0,ayd_netDefter+ayd_fark-$F239),0))</f>
        <v/>
      </c>
      <c r="I239" s="31">
        <f>IF($A239="","",IF($A239&gt;IFERROR(GIRDI!B12,0),"DIŞI","AKTİF"))</f>
        <v/>
      </c>
    </row>
    <row r="240">
      <c r="B240" s="31">
        <f>IF(OR($A240="",$A240&gt;IFERROR(GIRDI!B12,0)),"",IFERROR(IF(OR(GIRDI!B12="",GIRDI!B12=0),0,ayd_netDefter/GIRDI!B12),0))</f>
        <v/>
      </c>
      <c r="C240" s="31">
        <f>IF(OR($A240="",$A240&gt;IFERROR(GIRDI!B12,0)),"",IFERROR(IF(OR(GIRDI!B12="",GIRDI!B12=0),0,(ayd_netDefter+ayd_fark)/GIRDI!B12),0))</f>
        <v/>
      </c>
      <c r="D240" s="31">
        <f>IF($B240="","",IFERROR($C240-$B240,0))</f>
        <v/>
      </c>
      <c r="E240" s="31">
        <f>IF($B240="","",IFERROR($A240*$B240,0))</f>
        <v/>
      </c>
      <c r="F240" s="31">
        <f>IF($C240="","",IFERROR($A240*$C240,0))</f>
        <v/>
      </c>
      <c r="G240" s="31">
        <f>IF($B240="","",IFERROR(MAX(0,ayd_netDefter-$E240),0))</f>
        <v/>
      </c>
      <c r="H240" s="31">
        <f>IF($C240="","",IFERROR(MAX(0,ayd_netDefter+ayd_fark-$F240),0))</f>
        <v/>
      </c>
      <c r="I240" s="31">
        <f>IF($A240="","",IF($A240&gt;IFERROR(GIRDI!B12,0),"DIŞI","AKTİF"))</f>
        <v/>
      </c>
    </row>
    <row r="241">
      <c r="B241" s="31">
        <f>IF(OR($A241="",$A241&gt;IFERROR(GIRDI!B12,0)),"",IFERROR(IF(OR(GIRDI!B12="",GIRDI!B12=0),0,ayd_netDefter/GIRDI!B12),0))</f>
        <v/>
      </c>
      <c r="C241" s="31">
        <f>IF(OR($A241="",$A241&gt;IFERROR(GIRDI!B12,0)),"",IFERROR(IF(OR(GIRDI!B12="",GIRDI!B12=0),0,(ayd_netDefter+ayd_fark)/GIRDI!B12),0))</f>
        <v/>
      </c>
      <c r="D241" s="31">
        <f>IF($B241="","",IFERROR($C241-$B241,0))</f>
        <v/>
      </c>
      <c r="E241" s="31">
        <f>IF($B241="","",IFERROR($A241*$B241,0))</f>
        <v/>
      </c>
      <c r="F241" s="31">
        <f>IF($C241="","",IFERROR($A241*$C241,0))</f>
        <v/>
      </c>
      <c r="G241" s="31">
        <f>IF($B241="","",IFERROR(MAX(0,ayd_netDefter-$E241),0))</f>
        <v/>
      </c>
      <c r="H241" s="31">
        <f>IF($C241="","",IFERROR(MAX(0,ayd_netDefter+ayd_fark-$F241),0))</f>
        <v/>
      </c>
      <c r="I241" s="31">
        <f>IF($A241="","",IF($A241&gt;IFERROR(GIRDI!B12,0),"DIŞI","AKTİF"))</f>
        <v/>
      </c>
    </row>
    <row r="242">
      <c r="B242" s="31">
        <f>IF(OR($A242="",$A242&gt;IFERROR(GIRDI!B12,0)),"",IFERROR(IF(OR(GIRDI!B12="",GIRDI!B12=0),0,ayd_netDefter/GIRDI!B12),0))</f>
        <v/>
      </c>
      <c r="C242" s="31">
        <f>IF(OR($A242="",$A242&gt;IFERROR(GIRDI!B12,0)),"",IFERROR(IF(OR(GIRDI!B12="",GIRDI!B12=0),0,(ayd_netDefter+ayd_fark)/GIRDI!B12),0))</f>
        <v/>
      </c>
      <c r="D242" s="31">
        <f>IF($B242="","",IFERROR($C242-$B242,0))</f>
        <v/>
      </c>
      <c r="E242" s="31">
        <f>IF($B242="","",IFERROR($A242*$B242,0))</f>
        <v/>
      </c>
      <c r="F242" s="31">
        <f>IF($C242="","",IFERROR($A242*$C242,0))</f>
        <v/>
      </c>
      <c r="G242" s="31">
        <f>IF($B242="","",IFERROR(MAX(0,ayd_netDefter-$E242),0))</f>
        <v/>
      </c>
      <c r="H242" s="31">
        <f>IF($C242="","",IFERROR(MAX(0,ayd_netDefter+ayd_fark-$F242),0))</f>
        <v/>
      </c>
      <c r="I242" s="31">
        <f>IF($A242="","",IF($A242&gt;IFERROR(GIRDI!B12,0),"DIŞI","AKTİF"))</f>
        <v/>
      </c>
    </row>
    <row r="243">
      <c r="B243" s="31">
        <f>IF(OR($A243="",$A243&gt;IFERROR(GIRDI!B12,0)),"",IFERROR(IF(OR(GIRDI!B12="",GIRDI!B12=0),0,ayd_netDefter/GIRDI!B12),0))</f>
        <v/>
      </c>
      <c r="C243" s="31">
        <f>IF(OR($A243="",$A243&gt;IFERROR(GIRDI!B12,0)),"",IFERROR(IF(OR(GIRDI!B12="",GIRDI!B12=0),0,(ayd_netDefter+ayd_fark)/GIRDI!B12),0))</f>
        <v/>
      </c>
      <c r="D243" s="31">
        <f>IF($B243="","",IFERROR($C243-$B243,0))</f>
        <v/>
      </c>
      <c r="E243" s="31">
        <f>IF($B243="","",IFERROR($A243*$B243,0))</f>
        <v/>
      </c>
      <c r="F243" s="31">
        <f>IF($C243="","",IFERROR($A243*$C243,0))</f>
        <v/>
      </c>
      <c r="G243" s="31">
        <f>IF($B243="","",IFERROR(MAX(0,ayd_netDefter-$E243),0))</f>
        <v/>
      </c>
      <c r="H243" s="31">
        <f>IF($C243="","",IFERROR(MAX(0,ayd_netDefter+ayd_fark-$F243),0))</f>
        <v/>
      </c>
      <c r="I243" s="31">
        <f>IF($A243="","",IF($A243&gt;IFERROR(GIRDI!B12,0),"DIŞI","AKTİF"))</f>
        <v/>
      </c>
    </row>
    <row r="244">
      <c r="B244" s="31">
        <f>IF(OR($A244="",$A244&gt;IFERROR(GIRDI!B12,0)),"",IFERROR(IF(OR(GIRDI!B12="",GIRDI!B12=0),0,ayd_netDefter/GIRDI!B12),0))</f>
        <v/>
      </c>
      <c r="C244" s="31">
        <f>IF(OR($A244="",$A244&gt;IFERROR(GIRDI!B12,0)),"",IFERROR(IF(OR(GIRDI!B12="",GIRDI!B12=0),0,(ayd_netDefter+ayd_fark)/GIRDI!B12),0))</f>
        <v/>
      </c>
      <c r="D244" s="31">
        <f>IF($B244="","",IFERROR($C244-$B244,0))</f>
        <v/>
      </c>
      <c r="E244" s="31">
        <f>IF($B244="","",IFERROR($A244*$B244,0))</f>
        <v/>
      </c>
      <c r="F244" s="31">
        <f>IF($C244="","",IFERROR($A244*$C244,0))</f>
        <v/>
      </c>
      <c r="G244" s="31">
        <f>IF($B244="","",IFERROR(MAX(0,ayd_netDefter-$E244),0))</f>
        <v/>
      </c>
      <c r="H244" s="31">
        <f>IF($C244="","",IFERROR(MAX(0,ayd_netDefter+ayd_fark-$F244),0))</f>
        <v/>
      </c>
      <c r="I244" s="31">
        <f>IF($A244="","",IF($A244&gt;IFERROR(GIRDI!B12,0),"DIŞI","AKTİF"))</f>
        <v/>
      </c>
    </row>
    <row r="245">
      <c r="B245" s="31">
        <f>IF(OR($A245="",$A245&gt;IFERROR(GIRDI!B12,0)),"",IFERROR(IF(OR(GIRDI!B12="",GIRDI!B12=0),0,ayd_netDefter/GIRDI!B12),0))</f>
        <v/>
      </c>
      <c r="C245" s="31">
        <f>IF(OR($A245="",$A245&gt;IFERROR(GIRDI!B12,0)),"",IFERROR(IF(OR(GIRDI!B12="",GIRDI!B12=0),0,(ayd_netDefter+ayd_fark)/GIRDI!B12),0))</f>
        <v/>
      </c>
      <c r="D245" s="31">
        <f>IF($B245="","",IFERROR($C245-$B245,0))</f>
        <v/>
      </c>
      <c r="E245" s="31">
        <f>IF($B245="","",IFERROR($A245*$B245,0))</f>
        <v/>
      </c>
      <c r="F245" s="31">
        <f>IF($C245="","",IFERROR($A245*$C245,0))</f>
        <v/>
      </c>
      <c r="G245" s="31">
        <f>IF($B245="","",IFERROR(MAX(0,ayd_netDefter-$E245),0))</f>
        <v/>
      </c>
      <c r="H245" s="31">
        <f>IF($C245="","",IFERROR(MAX(0,ayd_netDefter+ayd_fark-$F245),0))</f>
        <v/>
      </c>
      <c r="I245" s="31">
        <f>IF($A245="","",IF($A245&gt;IFERROR(GIRDI!B12,0),"DIŞI","AKTİF"))</f>
        <v/>
      </c>
    </row>
    <row r="246">
      <c r="B246" s="31">
        <f>IF(OR($A246="",$A246&gt;IFERROR(GIRDI!B12,0)),"",IFERROR(IF(OR(GIRDI!B12="",GIRDI!B12=0),0,ayd_netDefter/GIRDI!B12),0))</f>
        <v/>
      </c>
      <c r="C246" s="31">
        <f>IF(OR($A246="",$A246&gt;IFERROR(GIRDI!B12,0)),"",IFERROR(IF(OR(GIRDI!B12="",GIRDI!B12=0),0,(ayd_netDefter+ayd_fark)/GIRDI!B12),0))</f>
        <v/>
      </c>
      <c r="D246" s="31">
        <f>IF($B246="","",IFERROR($C246-$B246,0))</f>
        <v/>
      </c>
      <c r="E246" s="31">
        <f>IF($B246="","",IFERROR($A246*$B246,0))</f>
        <v/>
      </c>
      <c r="F246" s="31">
        <f>IF($C246="","",IFERROR($A246*$C246,0))</f>
        <v/>
      </c>
      <c r="G246" s="31">
        <f>IF($B246="","",IFERROR(MAX(0,ayd_netDefter-$E246),0))</f>
        <v/>
      </c>
      <c r="H246" s="31">
        <f>IF($C246="","",IFERROR(MAX(0,ayd_netDefter+ayd_fark-$F246),0))</f>
        <v/>
      </c>
      <c r="I246" s="31">
        <f>IF($A246="","",IF($A246&gt;IFERROR(GIRDI!B12,0),"DIŞI","AKTİF"))</f>
        <v/>
      </c>
    </row>
    <row r="247">
      <c r="B247" s="31">
        <f>IF(OR($A247="",$A247&gt;IFERROR(GIRDI!B12,0)),"",IFERROR(IF(OR(GIRDI!B12="",GIRDI!B12=0),0,ayd_netDefter/GIRDI!B12),0))</f>
        <v/>
      </c>
      <c r="C247" s="31">
        <f>IF(OR($A247="",$A247&gt;IFERROR(GIRDI!B12,0)),"",IFERROR(IF(OR(GIRDI!B12="",GIRDI!B12=0),0,(ayd_netDefter+ayd_fark)/GIRDI!B12),0))</f>
        <v/>
      </c>
      <c r="D247" s="31">
        <f>IF($B247="","",IFERROR($C247-$B247,0))</f>
        <v/>
      </c>
      <c r="E247" s="31">
        <f>IF($B247="","",IFERROR($A247*$B247,0))</f>
        <v/>
      </c>
      <c r="F247" s="31">
        <f>IF($C247="","",IFERROR($A247*$C247,0))</f>
        <v/>
      </c>
      <c r="G247" s="31">
        <f>IF($B247="","",IFERROR(MAX(0,ayd_netDefter-$E247),0))</f>
        <v/>
      </c>
      <c r="H247" s="31">
        <f>IF($C247="","",IFERROR(MAX(0,ayd_netDefter+ayd_fark-$F247),0))</f>
        <v/>
      </c>
      <c r="I247" s="31">
        <f>IF($A247="","",IF($A247&gt;IFERROR(GIRDI!B12,0),"DIŞI","AKTİF"))</f>
        <v/>
      </c>
    </row>
    <row r="248">
      <c r="B248" s="31">
        <f>IF(OR($A248="",$A248&gt;IFERROR(GIRDI!B12,0)),"",IFERROR(IF(OR(GIRDI!B12="",GIRDI!B12=0),0,ayd_netDefter/GIRDI!B12),0))</f>
        <v/>
      </c>
      <c r="C248" s="31">
        <f>IF(OR($A248="",$A248&gt;IFERROR(GIRDI!B12,0)),"",IFERROR(IF(OR(GIRDI!B12="",GIRDI!B12=0),0,(ayd_netDefter+ayd_fark)/GIRDI!B12),0))</f>
        <v/>
      </c>
      <c r="D248" s="31">
        <f>IF($B248="","",IFERROR($C248-$B248,0))</f>
        <v/>
      </c>
      <c r="E248" s="31">
        <f>IF($B248="","",IFERROR($A248*$B248,0))</f>
        <v/>
      </c>
      <c r="F248" s="31">
        <f>IF($C248="","",IFERROR($A248*$C248,0))</f>
        <v/>
      </c>
      <c r="G248" s="31">
        <f>IF($B248="","",IFERROR(MAX(0,ayd_netDefter-$E248),0))</f>
        <v/>
      </c>
      <c r="H248" s="31">
        <f>IF($C248="","",IFERROR(MAX(0,ayd_netDefter+ayd_fark-$F248),0))</f>
        <v/>
      </c>
      <c r="I248" s="31">
        <f>IF($A248="","",IF($A248&gt;IFERROR(GIRDI!B12,0),"DIŞI","AKTİF"))</f>
        <v/>
      </c>
    </row>
    <row r="249">
      <c r="B249" s="31">
        <f>IF(OR($A249="",$A249&gt;IFERROR(GIRDI!B12,0)),"",IFERROR(IF(OR(GIRDI!B12="",GIRDI!B12=0),0,ayd_netDefter/GIRDI!B12),0))</f>
        <v/>
      </c>
      <c r="C249" s="31">
        <f>IF(OR($A249="",$A249&gt;IFERROR(GIRDI!B12,0)),"",IFERROR(IF(OR(GIRDI!B12="",GIRDI!B12=0),0,(ayd_netDefter+ayd_fark)/GIRDI!B12),0))</f>
        <v/>
      </c>
      <c r="D249" s="31">
        <f>IF($B249="","",IFERROR($C249-$B249,0))</f>
        <v/>
      </c>
      <c r="E249" s="31">
        <f>IF($B249="","",IFERROR($A249*$B249,0))</f>
        <v/>
      </c>
      <c r="F249" s="31">
        <f>IF($C249="","",IFERROR($A249*$C249,0))</f>
        <v/>
      </c>
      <c r="G249" s="31">
        <f>IF($B249="","",IFERROR(MAX(0,ayd_netDefter-$E249),0))</f>
        <v/>
      </c>
      <c r="H249" s="31">
        <f>IF($C249="","",IFERROR(MAX(0,ayd_netDefter+ayd_fark-$F249),0))</f>
        <v/>
      </c>
      <c r="I249" s="31">
        <f>IF($A249="","",IF($A249&gt;IFERROR(GIRDI!B12,0),"DIŞI","AKTİF"))</f>
        <v/>
      </c>
    </row>
    <row r="250">
      <c r="B250" s="31">
        <f>IF(OR($A250="",$A250&gt;IFERROR(GIRDI!B12,0)),"",IFERROR(IF(OR(GIRDI!B12="",GIRDI!B12=0),0,ayd_netDefter/GIRDI!B12),0))</f>
        <v/>
      </c>
      <c r="C250" s="31">
        <f>IF(OR($A250="",$A250&gt;IFERROR(GIRDI!B12,0)),"",IFERROR(IF(OR(GIRDI!B12="",GIRDI!B12=0),0,(ayd_netDefter+ayd_fark)/GIRDI!B12),0))</f>
        <v/>
      </c>
      <c r="D250" s="31">
        <f>IF($B250="","",IFERROR($C250-$B250,0))</f>
        <v/>
      </c>
      <c r="E250" s="31">
        <f>IF($B250="","",IFERROR($A250*$B250,0))</f>
        <v/>
      </c>
      <c r="F250" s="31">
        <f>IF($C250="","",IFERROR($A250*$C250,0))</f>
        <v/>
      </c>
      <c r="G250" s="31">
        <f>IF($B250="","",IFERROR(MAX(0,ayd_netDefter-$E250),0))</f>
        <v/>
      </c>
      <c r="H250" s="31">
        <f>IF($C250="","",IFERROR(MAX(0,ayd_netDefter+ayd_fark-$F250),0))</f>
        <v/>
      </c>
      <c r="I250" s="31">
        <f>IF($A250="","",IF($A250&gt;IFERROR(GIRDI!B12,0),"DIŞI","AKTİF"))</f>
        <v/>
      </c>
    </row>
    <row r="251">
      <c r="B251" s="31">
        <f>IF(OR($A251="",$A251&gt;IFERROR(GIRDI!B12,0)),"",IFERROR(IF(OR(GIRDI!B12="",GIRDI!B12=0),0,ayd_netDefter/GIRDI!B12),0))</f>
        <v/>
      </c>
      <c r="C251" s="31">
        <f>IF(OR($A251="",$A251&gt;IFERROR(GIRDI!B12,0)),"",IFERROR(IF(OR(GIRDI!B12="",GIRDI!B12=0),0,(ayd_netDefter+ayd_fark)/GIRDI!B12),0))</f>
        <v/>
      </c>
      <c r="D251" s="31">
        <f>IF($B251="","",IFERROR($C251-$B251,0))</f>
        <v/>
      </c>
      <c r="E251" s="31">
        <f>IF($B251="","",IFERROR($A251*$B251,0))</f>
        <v/>
      </c>
      <c r="F251" s="31">
        <f>IF($C251="","",IFERROR($A251*$C251,0))</f>
        <v/>
      </c>
      <c r="G251" s="31">
        <f>IF($B251="","",IFERROR(MAX(0,ayd_netDefter-$E251),0))</f>
        <v/>
      </c>
      <c r="H251" s="31">
        <f>IF($C251="","",IFERROR(MAX(0,ayd_netDefter+ayd_fark-$F251),0))</f>
        <v/>
      </c>
      <c r="I251" s="31">
        <f>IF($A251="","",IF($A251&gt;IFERROR(GIRDI!B12,0),"DIŞI","AKTİF"))</f>
        <v/>
      </c>
    </row>
    <row r="252">
      <c r="B252" s="31">
        <f>IF(OR($A252="",$A252&gt;IFERROR(GIRDI!B12,0)),"",IFERROR(IF(OR(GIRDI!B12="",GIRDI!B12=0),0,ayd_netDefter/GIRDI!B12),0))</f>
        <v/>
      </c>
      <c r="C252" s="31">
        <f>IF(OR($A252="",$A252&gt;IFERROR(GIRDI!B12,0)),"",IFERROR(IF(OR(GIRDI!B12="",GIRDI!B12=0),0,(ayd_netDefter+ayd_fark)/GIRDI!B12),0))</f>
        <v/>
      </c>
      <c r="D252" s="31">
        <f>IF($B252="","",IFERROR($C252-$B252,0))</f>
        <v/>
      </c>
      <c r="E252" s="31">
        <f>IF($B252="","",IFERROR($A252*$B252,0))</f>
        <v/>
      </c>
      <c r="F252" s="31">
        <f>IF($C252="","",IFERROR($A252*$C252,0))</f>
        <v/>
      </c>
      <c r="G252" s="31">
        <f>IF($B252="","",IFERROR(MAX(0,ayd_netDefter-$E252),0))</f>
        <v/>
      </c>
      <c r="H252" s="31">
        <f>IF($C252="","",IFERROR(MAX(0,ayd_netDefter+ayd_fark-$F252),0))</f>
        <v/>
      </c>
      <c r="I252" s="31">
        <f>IF($A252="","",IF($A252&gt;IFERROR(GIRDI!B12,0),"DIŞI","AKTİF"))</f>
        <v/>
      </c>
    </row>
    <row r="253">
      <c r="B253" s="31">
        <f>IF(OR($A253="",$A253&gt;IFERROR(GIRDI!B12,0)),"",IFERROR(IF(OR(GIRDI!B12="",GIRDI!B12=0),0,ayd_netDefter/GIRDI!B12),0))</f>
        <v/>
      </c>
      <c r="C253" s="31">
        <f>IF(OR($A253="",$A253&gt;IFERROR(GIRDI!B12,0)),"",IFERROR(IF(OR(GIRDI!B12="",GIRDI!B12=0),0,(ayd_netDefter+ayd_fark)/GIRDI!B12),0))</f>
        <v/>
      </c>
      <c r="D253" s="31">
        <f>IF($B253="","",IFERROR($C253-$B253,0))</f>
        <v/>
      </c>
      <c r="E253" s="31">
        <f>IF($B253="","",IFERROR($A253*$B253,0))</f>
        <v/>
      </c>
      <c r="F253" s="31">
        <f>IF($C253="","",IFERROR($A253*$C253,0))</f>
        <v/>
      </c>
      <c r="G253" s="31">
        <f>IF($B253="","",IFERROR(MAX(0,ayd_netDefter-$E253),0))</f>
        <v/>
      </c>
      <c r="H253" s="31">
        <f>IF($C253="","",IFERROR(MAX(0,ayd_netDefter+ayd_fark-$F253),0))</f>
        <v/>
      </c>
      <c r="I253" s="31">
        <f>IF($A253="","",IF($A253&gt;IFERROR(GIRDI!B12,0),"DIŞI","AKTİF"))</f>
        <v/>
      </c>
    </row>
    <row r="254">
      <c r="B254" s="31">
        <f>IF(OR($A254="",$A254&gt;IFERROR(GIRDI!B12,0)),"",IFERROR(IF(OR(GIRDI!B12="",GIRDI!B12=0),0,ayd_netDefter/GIRDI!B12),0))</f>
        <v/>
      </c>
      <c r="C254" s="31">
        <f>IF(OR($A254="",$A254&gt;IFERROR(GIRDI!B12,0)),"",IFERROR(IF(OR(GIRDI!B12="",GIRDI!B12=0),0,(ayd_netDefter+ayd_fark)/GIRDI!B12),0))</f>
        <v/>
      </c>
      <c r="D254" s="31">
        <f>IF($B254="","",IFERROR($C254-$B254,0))</f>
        <v/>
      </c>
      <c r="E254" s="31">
        <f>IF($B254="","",IFERROR($A254*$B254,0))</f>
        <v/>
      </c>
      <c r="F254" s="31">
        <f>IF($C254="","",IFERROR($A254*$C254,0))</f>
        <v/>
      </c>
      <c r="G254" s="31">
        <f>IF($B254="","",IFERROR(MAX(0,ayd_netDefter-$E254),0))</f>
        <v/>
      </c>
      <c r="H254" s="31">
        <f>IF($C254="","",IFERROR(MAX(0,ayd_netDefter+ayd_fark-$F254),0))</f>
        <v/>
      </c>
      <c r="I254" s="31">
        <f>IF($A254="","",IF($A254&gt;IFERROR(GIRDI!B12,0),"DIŞI","AKTİF"))</f>
        <v/>
      </c>
    </row>
    <row r="255">
      <c r="B255" s="31">
        <f>IF(OR($A255="",$A255&gt;IFERROR(GIRDI!B12,0)),"",IFERROR(IF(OR(GIRDI!B12="",GIRDI!B12=0),0,ayd_netDefter/GIRDI!B12),0))</f>
        <v/>
      </c>
      <c r="C255" s="31">
        <f>IF(OR($A255="",$A255&gt;IFERROR(GIRDI!B12,0)),"",IFERROR(IF(OR(GIRDI!B12="",GIRDI!B12=0),0,(ayd_netDefter+ayd_fark)/GIRDI!B12),0))</f>
        <v/>
      </c>
      <c r="D255" s="31">
        <f>IF($B255="","",IFERROR($C255-$B255,0))</f>
        <v/>
      </c>
      <c r="E255" s="31">
        <f>IF($B255="","",IFERROR($A255*$B255,0))</f>
        <v/>
      </c>
      <c r="F255" s="31">
        <f>IF($C255="","",IFERROR($A255*$C255,0))</f>
        <v/>
      </c>
      <c r="G255" s="31">
        <f>IF($B255="","",IFERROR(MAX(0,ayd_netDefter-$E255),0))</f>
        <v/>
      </c>
      <c r="H255" s="31">
        <f>IF($C255="","",IFERROR(MAX(0,ayd_netDefter+ayd_fark-$F255),0))</f>
        <v/>
      </c>
      <c r="I255" s="31">
        <f>IF($A255="","",IF($A255&gt;IFERROR(GIRDI!B12,0),"DIŞI","AKTİF"))</f>
        <v/>
      </c>
    </row>
    <row r="256">
      <c r="B256" s="31">
        <f>IF(OR($A256="",$A256&gt;IFERROR(GIRDI!B12,0)),"",IFERROR(IF(OR(GIRDI!B12="",GIRDI!B12=0),0,ayd_netDefter/GIRDI!B12),0))</f>
        <v/>
      </c>
      <c r="C256" s="31">
        <f>IF(OR($A256="",$A256&gt;IFERROR(GIRDI!B12,0)),"",IFERROR(IF(OR(GIRDI!B12="",GIRDI!B12=0),0,(ayd_netDefter+ayd_fark)/GIRDI!B12),0))</f>
        <v/>
      </c>
      <c r="D256" s="31">
        <f>IF($B256="","",IFERROR($C256-$B256,0))</f>
        <v/>
      </c>
      <c r="E256" s="31">
        <f>IF($B256="","",IFERROR($A256*$B256,0))</f>
        <v/>
      </c>
      <c r="F256" s="31">
        <f>IF($C256="","",IFERROR($A256*$C256,0))</f>
        <v/>
      </c>
      <c r="G256" s="31">
        <f>IF($B256="","",IFERROR(MAX(0,ayd_netDefter-$E256),0))</f>
        <v/>
      </c>
      <c r="H256" s="31">
        <f>IF($C256="","",IFERROR(MAX(0,ayd_netDefter+ayd_fark-$F256),0))</f>
        <v/>
      </c>
      <c r="I256" s="31">
        <f>IF($A256="","",IF($A256&gt;IFERROR(GIRDI!B12,0),"DIŞI","AKTİF"))</f>
        <v/>
      </c>
    </row>
    <row r="257">
      <c r="B257" s="31">
        <f>IF(OR($A257="",$A257&gt;IFERROR(GIRDI!B12,0)),"",IFERROR(IF(OR(GIRDI!B12="",GIRDI!B12=0),0,ayd_netDefter/GIRDI!B12),0))</f>
        <v/>
      </c>
      <c r="C257" s="31">
        <f>IF(OR($A257="",$A257&gt;IFERROR(GIRDI!B12,0)),"",IFERROR(IF(OR(GIRDI!B12="",GIRDI!B12=0),0,(ayd_netDefter+ayd_fark)/GIRDI!B12),0))</f>
        <v/>
      </c>
      <c r="D257" s="31">
        <f>IF($B257="","",IFERROR($C257-$B257,0))</f>
        <v/>
      </c>
      <c r="E257" s="31">
        <f>IF($B257="","",IFERROR($A257*$B257,0))</f>
        <v/>
      </c>
      <c r="F257" s="31">
        <f>IF($C257="","",IFERROR($A257*$C257,0))</f>
        <v/>
      </c>
      <c r="G257" s="31">
        <f>IF($B257="","",IFERROR(MAX(0,ayd_netDefter-$E257),0))</f>
        <v/>
      </c>
      <c r="H257" s="31">
        <f>IF($C257="","",IFERROR(MAX(0,ayd_netDefter+ayd_fark-$F257),0))</f>
        <v/>
      </c>
      <c r="I257" s="31">
        <f>IF($A257="","",IF($A257&gt;IFERROR(GIRDI!B12,0),"DIŞI","AKTİF"))</f>
        <v/>
      </c>
    </row>
    <row r="258">
      <c r="B258" s="31">
        <f>IF(OR($A258="",$A258&gt;IFERROR(GIRDI!B12,0)),"",IFERROR(IF(OR(GIRDI!B12="",GIRDI!B12=0),0,ayd_netDefter/GIRDI!B12),0))</f>
        <v/>
      </c>
      <c r="C258" s="31">
        <f>IF(OR($A258="",$A258&gt;IFERROR(GIRDI!B12,0)),"",IFERROR(IF(OR(GIRDI!B12="",GIRDI!B12=0),0,(ayd_netDefter+ayd_fark)/GIRDI!B12),0))</f>
        <v/>
      </c>
      <c r="D258" s="31">
        <f>IF($B258="","",IFERROR($C258-$B258,0))</f>
        <v/>
      </c>
      <c r="E258" s="31">
        <f>IF($B258="","",IFERROR($A258*$B258,0))</f>
        <v/>
      </c>
      <c r="F258" s="31">
        <f>IF($C258="","",IFERROR($A258*$C258,0))</f>
        <v/>
      </c>
      <c r="G258" s="31">
        <f>IF($B258="","",IFERROR(MAX(0,ayd_netDefter-$E258),0))</f>
        <v/>
      </c>
      <c r="H258" s="31">
        <f>IF($C258="","",IFERROR(MAX(0,ayd_netDefter+ayd_fark-$F258),0))</f>
        <v/>
      </c>
      <c r="I258" s="31">
        <f>IF($A258="","",IF($A258&gt;IFERROR(GIRDI!B12,0),"DIŞI","AKTİF"))</f>
        <v/>
      </c>
    </row>
    <row r="259">
      <c r="B259" s="31">
        <f>IF(OR($A259="",$A259&gt;IFERROR(GIRDI!B12,0)),"",IFERROR(IF(OR(GIRDI!B12="",GIRDI!B12=0),0,ayd_netDefter/GIRDI!B12),0))</f>
        <v/>
      </c>
      <c r="C259" s="31">
        <f>IF(OR($A259="",$A259&gt;IFERROR(GIRDI!B12,0)),"",IFERROR(IF(OR(GIRDI!B12="",GIRDI!B12=0),0,(ayd_netDefter+ayd_fark)/GIRDI!B12),0))</f>
        <v/>
      </c>
      <c r="D259" s="31">
        <f>IF($B259="","",IFERROR($C259-$B259,0))</f>
        <v/>
      </c>
      <c r="E259" s="31">
        <f>IF($B259="","",IFERROR($A259*$B259,0))</f>
        <v/>
      </c>
      <c r="F259" s="31">
        <f>IF($C259="","",IFERROR($A259*$C259,0))</f>
        <v/>
      </c>
      <c r="G259" s="31">
        <f>IF($B259="","",IFERROR(MAX(0,ayd_netDefter-$E259),0))</f>
        <v/>
      </c>
      <c r="H259" s="31">
        <f>IF($C259="","",IFERROR(MAX(0,ayd_netDefter+ayd_fark-$F259),0))</f>
        <v/>
      </c>
      <c r="I259" s="31">
        <f>IF($A259="","",IF($A259&gt;IFERROR(GIRDI!B12,0),"DIŞI","AKTİF"))</f>
        <v/>
      </c>
    </row>
    <row r="260">
      <c r="B260" s="31">
        <f>IF(OR($A260="",$A260&gt;IFERROR(GIRDI!B12,0)),"",IFERROR(IF(OR(GIRDI!B12="",GIRDI!B12=0),0,ayd_netDefter/GIRDI!B12),0))</f>
        <v/>
      </c>
      <c r="C260" s="31">
        <f>IF(OR($A260="",$A260&gt;IFERROR(GIRDI!B12,0)),"",IFERROR(IF(OR(GIRDI!B12="",GIRDI!B12=0),0,(ayd_netDefter+ayd_fark)/GIRDI!B12),0))</f>
        <v/>
      </c>
      <c r="D260" s="31">
        <f>IF($B260="","",IFERROR($C260-$B260,0))</f>
        <v/>
      </c>
      <c r="E260" s="31">
        <f>IF($B260="","",IFERROR($A260*$B260,0))</f>
        <v/>
      </c>
      <c r="F260" s="31">
        <f>IF($C260="","",IFERROR($A260*$C260,0))</f>
        <v/>
      </c>
      <c r="G260" s="31">
        <f>IF($B260="","",IFERROR(MAX(0,ayd_netDefter-$E260),0))</f>
        <v/>
      </c>
      <c r="H260" s="31">
        <f>IF($C260="","",IFERROR(MAX(0,ayd_netDefter+ayd_fark-$F260),0))</f>
        <v/>
      </c>
      <c r="I260" s="31">
        <f>IF($A260="","",IF($A260&gt;IFERROR(GIRDI!B12,0),"DIŞI","AKTİF"))</f>
        <v/>
      </c>
    </row>
    <row r="261">
      <c r="B261" s="31">
        <f>IF(OR($A261="",$A261&gt;IFERROR(GIRDI!B12,0)),"",IFERROR(IF(OR(GIRDI!B12="",GIRDI!B12=0),0,ayd_netDefter/GIRDI!B12),0))</f>
        <v/>
      </c>
      <c r="C261" s="31">
        <f>IF(OR($A261="",$A261&gt;IFERROR(GIRDI!B12,0)),"",IFERROR(IF(OR(GIRDI!B12="",GIRDI!B12=0),0,(ayd_netDefter+ayd_fark)/GIRDI!B12),0))</f>
        <v/>
      </c>
      <c r="D261" s="31">
        <f>IF($B261="","",IFERROR($C261-$B261,0))</f>
        <v/>
      </c>
      <c r="E261" s="31">
        <f>IF($B261="","",IFERROR($A261*$B261,0))</f>
        <v/>
      </c>
      <c r="F261" s="31">
        <f>IF($C261="","",IFERROR($A261*$C261,0))</f>
        <v/>
      </c>
      <c r="G261" s="31">
        <f>IF($B261="","",IFERROR(MAX(0,ayd_netDefter-$E261),0))</f>
        <v/>
      </c>
      <c r="H261" s="31">
        <f>IF($C261="","",IFERROR(MAX(0,ayd_netDefter+ayd_fark-$F261),0))</f>
        <v/>
      </c>
      <c r="I261" s="31">
        <f>IF($A261="","",IF($A261&gt;IFERROR(GIRDI!B12,0),"DIŞI","AKTİF"))</f>
        <v/>
      </c>
    </row>
    <row r="262">
      <c r="B262" s="31">
        <f>IF(OR($A262="",$A262&gt;IFERROR(GIRDI!B12,0)),"",IFERROR(IF(OR(GIRDI!B12="",GIRDI!B12=0),0,ayd_netDefter/GIRDI!B12),0))</f>
        <v/>
      </c>
      <c r="C262" s="31">
        <f>IF(OR($A262="",$A262&gt;IFERROR(GIRDI!B12,0)),"",IFERROR(IF(OR(GIRDI!B12="",GIRDI!B12=0),0,(ayd_netDefter+ayd_fark)/GIRDI!B12),0))</f>
        <v/>
      </c>
      <c r="D262" s="31">
        <f>IF($B262="","",IFERROR($C262-$B262,0))</f>
        <v/>
      </c>
      <c r="E262" s="31">
        <f>IF($B262="","",IFERROR($A262*$B262,0))</f>
        <v/>
      </c>
      <c r="F262" s="31">
        <f>IF($C262="","",IFERROR($A262*$C262,0))</f>
        <v/>
      </c>
      <c r="G262" s="31">
        <f>IF($B262="","",IFERROR(MAX(0,ayd_netDefter-$E262),0))</f>
        <v/>
      </c>
      <c r="H262" s="31">
        <f>IF($C262="","",IFERROR(MAX(0,ayd_netDefter+ayd_fark-$F262),0))</f>
        <v/>
      </c>
      <c r="I262" s="31">
        <f>IF($A262="","",IF($A262&gt;IFERROR(GIRDI!B12,0),"DIŞI","AKTİF"))</f>
        <v/>
      </c>
    </row>
    <row r="263">
      <c r="B263" s="31">
        <f>IF(OR($A263="",$A263&gt;IFERROR(GIRDI!B12,0)),"",IFERROR(IF(OR(GIRDI!B12="",GIRDI!B12=0),0,ayd_netDefter/GIRDI!B12),0))</f>
        <v/>
      </c>
      <c r="C263" s="31">
        <f>IF(OR($A263="",$A263&gt;IFERROR(GIRDI!B12,0)),"",IFERROR(IF(OR(GIRDI!B12="",GIRDI!B12=0),0,(ayd_netDefter+ayd_fark)/GIRDI!B12),0))</f>
        <v/>
      </c>
      <c r="D263" s="31">
        <f>IF($B263="","",IFERROR($C263-$B263,0))</f>
        <v/>
      </c>
      <c r="E263" s="31">
        <f>IF($B263="","",IFERROR($A263*$B263,0))</f>
        <v/>
      </c>
      <c r="F263" s="31">
        <f>IF($C263="","",IFERROR($A263*$C263,0))</f>
        <v/>
      </c>
      <c r="G263" s="31">
        <f>IF($B263="","",IFERROR(MAX(0,ayd_netDefter-$E263),0))</f>
        <v/>
      </c>
      <c r="H263" s="31">
        <f>IF($C263="","",IFERROR(MAX(0,ayd_netDefter+ayd_fark-$F263),0))</f>
        <v/>
      </c>
      <c r="I263" s="31">
        <f>IF($A263="","",IF($A263&gt;IFERROR(GIRDI!B12,0),"DIŞI","AKTİF"))</f>
        <v/>
      </c>
    </row>
    <row r="264">
      <c r="B264" s="31">
        <f>IF(OR($A264="",$A264&gt;IFERROR(GIRDI!B12,0)),"",IFERROR(IF(OR(GIRDI!B12="",GIRDI!B12=0),0,ayd_netDefter/GIRDI!B12),0))</f>
        <v/>
      </c>
      <c r="C264" s="31">
        <f>IF(OR($A264="",$A264&gt;IFERROR(GIRDI!B12,0)),"",IFERROR(IF(OR(GIRDI!B12="",GIRDI!B12=0),0,(ayd_netDefter+ayd_fark)/GIRDI!B12),0))</f>
        <v/>
      </c>
      <c r="D264" s="31">
        <f>IF($B264="","",IFERROR($C264-$B264,0))</f>
        <v/>
      </c>
      <c r="E264" s="31">
        <f>IF($B264="","",IFERROR($A264*$B264,0))</f>
        <v/>
      </c>
      <c r="F264" s="31">
        <f>IF($C264="","",IFERROR($A264*$C264,0))</f>
        <v/>
      </c>
      <c r="G264" s="31">
        <f>IF($B264="","",IFERROR(MAX(0,ayd_netDefter-$E264),0))</f>
        <v/>
      </c>
      <c r="H264" s="31">
        <f>IF($C264="","",IFERROR(MAX(0,ayd_netDefter+ayd_fark-$F264),0))</f>
        <v/>
      </c>
      <c r="I264" s="31">
        <f>IF($A264="","",IF($A264&gt;IFERROR(GIRDI!B12,0),"DIŞI","AKTİF"))</f>
        <v/>
      </c>
    </row>
    <row r="265">
      <c r="B265" s="31">
        <f>IF(OR($A265="",$A265&gt;IFERROR(GIRDI!B12,0)),"",IFERROR(IF(OR(GIRDI!B12="",GIRDI!B12=0),0,ayd_netDefter/GIRDI!B12),0))</f>
        <v/>
      </c>
      <c r="C265" s="31">
        <f>IF(OR($A265="",$A265&gt;IFERROR(GIRDI!B12,0)),"",IFERROR(IF(OR(GIRDI!B12="",GIRDI!B12=0),0,(ayd_netDefter+ayd_fark)/GIRDI!B12),0))</f>
        <v/>
      </c>
      <c r="D265" s="31">
        <f>IF($B265="","",IFERROR($C265-$B265,0))</f>
        <v/>
      </c>
      <c r="E265" s="31">
        <f>IF($B265="","",IFERROR($A265*$B265,0))</f>
        <v/>
      </c>
      <c r="F265" s="31">
        <f>IF($C265="","",IFERROR($A265*$C265,0))</f>
        <v/>
      </c>
      <c r="G265" s="31">
        <f>IF($B265="","",IFERROR(MAX(0,ayd_netDefter-$E265),0))</f>
        <v/>
      </c>
      <c r="H265" s="31">
        <f>IF($C265="","",IFERROR(MAX(0,ayd_netDefter+ayd_fark-$F265),0))</f>
        <v/>
      </c>
      <c r="I265" s="31">
        <f>IF($A265="","",IF($A265&gt;IFERROR(GIRDI!B12,0),"DIŞI","AKTİF"))</f>
        <v/>
      </c>
    </row>
    <row r="266">
      <c r="B266" s="31">
        <f>IF(OR($A266="",$A266&gt;IFERROR(GIRDI!B12,0)),"",IFERROR(IF(OR(GIRDI!B12="",GIRDI!B12=0),0,ayd_netDefter/GIRDI!B12),0))</f>
        <v/>
      </c>
      <c r="C266" s="31">
        <f>IF(OR($A266="",$A266&gt;IFERROR(GIRDI!B12,0)),"",IFERROR(IF(OR(GIRDI!B12="",GIRDI!B12=0),0,(ayd_netDefter+ayd_fark)/GIRDI!B12),0))</f>
        <v/>
      </c>
      <c r="D266" s="31">
        <f>IF($B266="","",IFERROR($C266-$B266,0))</f>
        <v/>
      </c>
      <c r="E266" s="31">
        <f>IF($B266="","",IFERROR($A266*$B266,0))</f>
        <v/>
      </c>
      <c r="F266" s="31">
        <f>IF($C266="","",IFERROR($A266*$C266,0))</f>
        <v/>
      </c>
      <c r="G266" s="31">
        <f>IF($B266="","",IFERROR(MAX(0,ayd_netDefter-$E266),0))</f>
        <v/>
      </c>
      <c r="H266" s="31">
        <f>IF($C266="","",IFERROR(MAX(0,ayd_netDefter+ayd_fark-$F266),0))</f>
        <v/>
      </c>
      <c r="I266" s="31">
        <f>IF($A266="","",IF($A266&gt;IFERROR(GIRDI!B12,0),"DIŞI","AKTİF"))</f>
        <v/>
      </c>
    </row>
    <row r="267">
      <c r="B267" s="31">
        <f>IF(OR($A267="",$A267&gt;IFERROR(GIRDI!B12,0)),"",IFERROR(IF(OR(GIRDI!B12="",GIRDI!B12=0),0,ayd_netDefter/GIRDI!B12),0))</f>
        <v/>
      </c>
      <c r="C267" s="31">
        <f>IF(OR($A267="",$A267&gt;IFERROR(GIRDI!B12,0)),"",IFERROR(IF(OR(GIRDI!B12="",GIRDI!B12=0),0,(ayd_netDefter+ayd_fark)/GIRDI!B12),0))</f>
        <v/>
      </c>
      <c r="D267" s="31">
        <f>IF($B267="","",IFERROR($C267-$B267,0))</f>
        <v/>
      </c>
      <c r="E267" s="31">
        <f>IF($B267="","",IFERROR($A267*$B267,0))</f>
        <v/>
      </c>
      <c r="F267" s="31">
        <f>IF($C267="","",IFERROR($A267*$C267,0))</f>
        <v/>
      </c>
      <c r="G267" s="31">
        <f>IF($B267="","",IFERROR(MAX(0,ayd_netDefter-$E267),0))</f>
        <v/>
      </c>
      <c r="H267" s="31">
        <f>IF($C267="","",IFERROR(MAX(0,ayd_netDefter+ayd_fark-$F267),0))</f>
        <v/>
      </c>
      <c r="I267" s="31">
        <f>IF($A267="","",IF($A267&gt;IFERROR(GIRDI!B12,0),"DIŞI","AKTİF"))</f>
        <v/>
      </c>
    </row>
    <row r="268">
      <c r="B268" s="31">
        <f>IF(OR($A268="",$A268&gt;IFERROR(GIRDI!B12,0)),"",IFERROR(IF(OR(GIRDI!B12="",GIRDI!B12=0),0,ayd_netDefter/GIRDI!B12),0))</f>
        <v/>
      </c>
      <c r="C268" s="31">
        <f>IF(OR($A268="",$A268&gt;IFERROR(GIRDI!B12,0)),"",IFERROR(IF(OR(GIRDI!B12="",GIRDI!B12=0),0,(ayd_netDefter+ayd_fark)/GIRDI!B12),0))</f>
        <v/>
      </c>
      <c r="D268" s="31">
        <f>IF($B268="","",IFERROR($C268-$B268,0))</f>
        <v/>
      </c>
      <c r="E268" s="31">
        <f>IF($B268="","",IFERROR($A268*$B268,0))</f>
        <v/>
      </c>
      <c r="F268" s="31">
        <f>IF($C268="","",IFERROR($A268*$C268,0))</f>
        <v/>
      </c>
      <c r="G268" s="31">
        <f>IF($B268="","",IFERROR(MAX(0,ayd_netDefter-$E268),0))</f>
        <v/>
      </c>
      <c r="H268" s="31">
        <f>IF($C268="","",IFERROR(MAX(0,ayd_netDefter+ayd_fark-$F268),0))</f>
        <v/>
      </c>
      <c r="I268" s="31">
        <f>IF($A268="","",IF($A268&gt;IFERROR(GIRDI!B12,0),"DIŞI","AKTİF"))</f>
        <v/>
      </c>
    </row>
    <row r="269">
      <c r="B269" s="31">
        <f>IF(OR($A269="",$A269&gt;IFERROR(GIRDI!B12,0)),"",IFERROR(IF(OR(GIRDI!B12="",GIRDI!B12=0),0,ayd_netDefter/GIRDI!B12),0))</f>
        <v/>
      </c>
      <c r="C269" s="31">
        <f>IF(OR($A269="",$A269&gt;IFERROR(GIRDI!B12,0)),"",IFERROR(IF(OR(GIRDI!B12="",GIRDI!B12=0),0,(ayd_netDefter+ayd_fark)/GIRDI!B12),0))</f>
        <v/>
      </c>
      <c r="D269" s="31">
        <f>IF($B269="","",IFERROR($C269-$B269,0))</f>
        <v/>
      </c>
      <c r="E269" s="31">
        <f>IF($B269="","",IFERROR($A269*$B269,0))</f>
        <v/>
      </c>
      <c r="F269" s="31">
        <f>IF($C269="","",IFERROR($A269*$C269,0))</f>
        <v/>
      </c>
      <c r="G269" s="31">
        <f>IF($B269="","",IFERROR(MAX(0,ayd_netDefter-$E269),0))</f>
        <v/>
      </c>
      <c r="H269" s="31">
        <f>IF($C269="","",IFERROR(MAX(0,ayd_netDefter+ayd_fark-$F269),0))</f>
        <v/>
      </c>
      <c r="I269" s="31">
        <f>IF($A269="","",IF($A269&gt;IFERROR(GIRDI!B12,0),"DIŞI","AKTİF"))</f>
        <v/>
      </c>
    </row>
    <row r="270">
      <c r="B270" s="31">
        <f>IF(OR($A270="",$A270&gt;IFERROR(GIRDI!B12,0)),"",IFERROR(IF(OR(GIRDI!B12="",GIRDI!B12=0),0,ayd_netDefter/GIRDI!B12),0))</f>
        <v/>
      </c>
      <c r="C270" s="31">
        <f>IF(OR($A270="",$A270&gt;IFERROR(GIRDI!B12,0)),"",IFERROR(IF(OR(GIRDI!B12="",GIRDI!B12=0),0,(ayd_netDefter+ayd_fark)/GIRDI!B12),0))</f>
        <v/>
      </c>
      <c r="D270" s="31">
        <f>IF($B270="","",IFERROR($C270-$B270,0))</f>
        <v/>
      </c>
      <c r="E270" s="31">
        <f>IF($B270="","",IFERROR($A270*$B270,0))</f>
        <v/>
      </c>
      <c r="F270" s="31">
        <f>IF($C270="","",IFERROR($A270*$C270,0))</f>
        <v/>
      </c>
      <c r="G270" s="31">
        <f>IF($B270="","",IFERROR(MAX(0,ayd_netDefter-$E270),0))</f>
        <v/>
      </c>
      <c r="H270" s="31">
        <f>IF($C270="","",IFERROR(MAX(0,ayd_netDefter+ayd_fark-$F270),0))</f>
        <v/>
      </c>
      <c r="I270" s="31">
        <f>IF($A270="","",IF($A270&gt;IFERROR(GIRDI!B12,0),"DIŞI","AKTİF"))</f>
        <v/>
      </c>
    </row>
    <row r="271">
      <c r="B271" s="31">
        <f>IF(OR($A271="",$A271&gt;IFERROR(GIRDI!B12,0)),"",IFERROR(IF(OR(GIRDI!B12="",GIRDI!B12=0),0,ayd_netDefter/GIRDI!B12),0))</f>
        <v/>
      </c>
      <c r="C271" s="31">
        <f>IF(OR($A271="",$A271&gt;IFERROR(GIRDI!B12,0)),"",IFERROR(IF(OR(GIRDI!B12="",GIRDI!B12=0),0,(ayd_netDefter+ayd_fark)/GIRDI!B12),0))</f>
        <v/>
      </c>
      <c r="D271" s="31">
        <f>IF($B271="","",IFERROR($C271-$B271,0))</f>
        <v/>
      </c>
      <c r="E271" s="31">
        <f>IF($B271="","",IFERROR($A271*$B271,0))</f>
        <v/>
      </c>
      <c r="F271" s="31">
        <f>IF($C271="","",IFERROR($A271*$C271,0))</f>
        <v/>
      </c>
      <c r="G271" s="31">
        <f>IF($B271="","",IFERROR(MAX(0,ayd_netDefter-$E271),0))</f>
        <v/>
      </c>
      <c r="H271" s="31">
        <f>IF($C271="","",IFERROR(MAX(0,ayd_netDefter+ayd_fark-$F271),0))</f>
        <v/>
      </c>
      <c r="I271" s="31">
        <f>IF($A271="","",IF($A271&gt;IFERROR(GIRDI!B12,0),"DIŞI","AKTİF"))</f>
        <v/>
      </c>
    </row>
    <row r="272">
      <c r="B272" s="31">
        <f>IF(OR($A272="",$A272&gt;IFERROR(GIRDI!B12,0)),"",IFERROR(IF(OR(GIRDI!B12="",GIRDI!B12=0),0,ayd_netDefter/GIRDI!B12),0))</f>
        <v/>
      </c>
      <c r="C272" s="31">
        <f>IF(OR($A272="",$A272&gt;IFERROR(GIRDI!B12,0)),"",IFERROR(IF(OR(GIRDI!B12="",GIRDI!B12=0),0,(ayd_netDefter+ayd_fark)/GIRDI!B12),0))</f>
        <v/>
      </c>
      <c r="D272" s="31">
        <f>IF($B272="","",IFERROR($C272-$B272,0))</f>
        <v/>
      </c>
      <c r="E272" s="31">
        <f>IF($B272="","",IFERROR($A272*$B272,0))</f>
        <v/>
      </c>
      <c r="F272" s="31">
        <f>IF($C272="","",IFERROR($A272*$C272,0))</f>
        <v/>
      </c>
      <c r="G272" s="31">
        <f>IF($B272="","",IFERROR(MAX(0,ayd_netDefter-$E272),0))</f>
        <v/>
      </c>
      <c r="H272" s="31">
        <f>IF($C272="","",IFERROR(MAX(0,ayd_netDefter+ayd_fark-$F272),0))</f>
        <v/>
      </c>
      <c r="I272" s="31">
        <f>IF($A272="","",IF($A272&gt;IFERROR(GIRDI!B12,0),"DIŞI","AKTİF"))</f>
        <v/>
      </c>
    </row>
    <row r="273">
      <c r="B273" s="31">
        <f>IF(OR($A273="",$A273&gt;IFERROR(GIRDI!B12,0)),"",IFERROR(IF(OR(GIRDI!B12="",GIRDI!B12=0),0,ayd_netDefter/GIRDI!B12),0))</f>
        <v/>
      </c>
      <c r="C273" s="31">
        <f>IF(OR($A273="",$A273&gt;IFERROR(GIRDI!B12,0)),"",IFERROR(IF(OR(GIRDI!B12="",GIRDI!B12=0),0,(ayd_netDefter+ayd_fark)/GIRDI!B12),0))</f>
        <v/>
      </c>
      <c r="D273" s="31">
        <f>IF($B273="","",IFERROR($C273-$B273,0))</f>
        <v/>
      </c>
      <c r="E273" s="31">
        <f>IF($B273="","",IFERROR($A273*$B273,0))</f>
        <v/>
      </c>
      <c r="F273" s="31">
        <f>IF($C273="","",IFERROR($A273*$C273,0))</f>
        <v/>
      </c>
      <c r="G273" s="31">
        <f>IF($B273="","",IFERROR(MAX(0,ayd_netDefter-$E273),0))</f>
        <v/>
      </c>
      <c r="H273" s="31">
        <f>IF($C273="","",IFERROR(MAX(0,ayd_netDefter+ayd_fark-$F273),0))</f>
        <v/>
      </c>
      <c r="I273" s="31">
        <f>IF($A273="","",IF($A273&gt;IFERROR(GIRDI!B12,0),"DIŞI","AKTİF"))</f>
        <v/>
      </c>
    </row>
    <row r="274">
      <c r="B274" s="31">
        <f>IF(OR($A274="",$A274&gt;IFERROR(GIRDI!B12,0)),"",IFERROR(IF(OR(GIRDI!B12="",GIRDI!B12=0),0,ayd_netDefter/GIRDI!B12),0))</f>
        <v/>
      </c>
      <c r="C274" s="31">
        <f>IF(OR($A274="",$A274&gt;IFERROR(GIRDI!B12,0)),"",IFERROR(IF(OR(GIRDI!B12="",GIRDI!B12=0),0,(ayd_netDefter+ayd_fark)/GIRDI!B12),0))</f>
        <v/>
      </c>
      <c r="D274" s="31">
        <f>IF($B274="","",IFERROR($C274-$B274,0))</f>
        <v/>
      </c>
      <c r="E274" s="31">
        <f>IF($B274="","",IFERROR($A274*$B274,0))</f>
        <v/>
      </c>
      <c r="F274" s="31">
        <f>IF($C274="","",IFERROR($A274*$C274,0))</f>
        <v/>
      </c>
      <c r="G274" s="31">
        <f>IF($B274="","",IFERROR(MAX(0,ayd_netDefter-$E274),0))</f>
        <v/>
      </c>
      <c r="H274" s="31">
        <f>IF($C274="","",IFERROR(MAX(0,ayd_netDefter+ayd_fark-$F274),0))</f>
        <v/>
      </c>
      <c r="I274" s="31">
        <f>IF($A274="","",IF($A274&gt;IFERROR(GIRDI!B12,0),"DIŞI","AKTİF"))</f>
        <v/>
      </c>
    </row>
    <row r="275">
      <c r="B275" s="31">
        <f>IF(OR($A275="",$A275&gt;IFERROR(GIRDI!B12,0)),"",IFERROR(IF(OR(GIRDI!B12="",GIRDI!B12=0),0,ayd_netDefter/GIRDI!B12),0))</f>
        <v/>
      </c>
      <c r="C275" s="31">
        <f>IF(OR($A275="",$A275&gt;IFERROR(GIRDI!B12,0)),"",IFERROR(IF(OR(GIRDI!B12="",GIRDI!B12=0),0,(ayd_netDefter+ayd_fark)/GIRDI!B12),0))</f>
        <v/>
      </c>
      <c r="D275" s="31">
        <f>IF($B275="","",IFERROR($C275-$B275,0))</f>
        <v/>
      </c>
      <c r="E275" s="31">
        <f>IF($B275="","",IFERROR($A275*$B275,0))</f>
        <v/>
      </c>
      <c r="F275" s="31">
        <f>IF($C275="","",IFERROR($A275*$C275,0))</f>
        <v/>
      </c>
      <c r="G275" s="31">
        <f>IF($B275="","",IFERROR(MAX(0,ayd_netDefter-$E275),0))</f>
        <v/>
      </c>
      <c r="H275" s="31">
        <f>IF($C275="","",IFERROR(MAX(0,ayd_netDefter+ayd_fark-$F275),0))</f>
        <v/>
      </c>
      <c r="I275" s="31">
        <f>IF($A275="","",IF($A275&gt;IFERROR(GIRDI!B12,0),"DIŞI","AKTİF"))</f>
        <v/>
      </c>
    </row>
    <row r="276">
      <c r="B276" s="31">
        <f>IF(OR($A276="",$A276&gt;IFERROR(GIRDI!B12,0)),"",IFERROR(IF(OR(GIRDI!B12="",GIRDI!B12=0),0,ayd_netDefter/GIRDI!B12),0))</f>
        <v/>
      </c>
      <c r="C276" s="31">
        <f>IF(OR($A276="",$A276&gt;IFERROR(GIRDI!B12,0)),"",IFERROR(IF(OR(GIRDI!B12="",GIRDI!B12=0),0,(ayd_netDefter+ayd_fark)/GIRDI!B12),0))</f>
        <v/>
      </c>
      <c r="D276" s="31">
        <f>IF($B276="","",IFERROR($C276-$B276,0))</f>
        <v/>
      </c>
      <c r="E276" s="31">
        <f>IF($B276="","",IFERROR($A276*$B276,0))</f>
        <v/>
      </c>
      <c r="F276" s="31">
        <f>IF($C276="","",IFERROR($A276*$C276,0))</f>
        <v/>
      </c>
      <c r="G276" s="31">
        <f>IF($B276="","",IFERROR(MAX(0,ayd_netDefter-$E276),0))</f>
        <v/>
      </c>
      <c r="H276" s="31">
        <f>IF($C276="","",IFERROR(MAX(0,ayd_netDefter+ayd_fark-$F276),0))</f>
        <v/>
      </c>
      <c r="I276" s="31">
        <f>IF($A276="","",IF($A276&gt;IFERROR(GIRDI!B12,0),"DIŞI","AKTİF"))</f>
        <v/>
      </c>
    </row>
    <row r="277">
      <c r="B277" s="31">
        <f>IF(OR($A277="",$A277&gt;IFERROR(GIRDI!B12,0)),"",IFERROR(IF(OR(GIRDI!B12="",GIRDI!B12=0),0,ayd_netDefter/GIRDI!B12),0))</f>
        <v/>
      </c>
      <c r="C277" s="31">
        <f>IF(OR($A277="",$A277&gt;IFERROR(GIRDI!B12,0)),"",IFERROR(IF(OR(GIRDI!B12="",GIRDI!B12=0),0,(ayd_netDefter+ayd_fark)/GIRDI!B12),0))</f>
        <v/>
      </c>
      <c r="D277" s="31">
        <f>IF($B277="","",IFERROR($C277-$B277,0))</f>
        <v/>
      </c>
      <c r="E277" s="31">
        <f>IF($B277="","",IFERROR($A277*$B277,0))</f>
        <v/>
      </c>
      <c r="F277" s="31">
        <f>IF($C277="","",IFERROR($A277*$C277,0))</f>
        <v/>
      </c>
      <c r="G277" s="31">
        <f>IF($B277="","",IFERROR(MAX(0,ayd_netDefter-$E277),0))</f>
        <v/>
      </c>
      <c r="H277" s="31">
        <f>IF($C277="","",IFERROR(MAX(0,ayd_netDefter+ayd_fark-$F277),0))</f>
        <v/>
      </c>
      <c r="I277" s="31">
        <f>IF($A277="","",IF($A277&gt;IFERROR(GIRDI!B12,0),"DIŞI","AKTİF"))</f>
        <v/>
      </c>
    </row>
    <row r="278">
      <c r="B278" s="31">
        <f>IF(OR($A278="",$A278&gt;IFERROR(GIRDI!B12,0)),"",IFERROR(IF(OR(GIRDI!B12="",GIRDI!B12=0),0,ayd_netDefter/GIRDI!B12),0))</f>
        <v/>
      </c>
      <c r="C278" s="31">
        <f>IF(OR($A278="",$A278&gt;IFERROR(GIRDI!B12,0)),"",IFERROR(IF(OR(GIRDI!B12="",GIRDI!B12=0),0,(ayd_netDefter+ayd_fark)/GIRDI!B12),0))</f>
        <v/>
      </c>
      <c r="D278" s="31">
        <f>IF($B278="","",IFERROR($C278-$B278,0))</f>
        <v/>
      </c>
      <c r="E278" s="31">
        <f>IF($B278="","",IFERROR($A278*$B278,0))</f>
        <v/>
      </c>
      <c r="F278" s="31">
        <f>IF($C278="","",IFERROR($A278*$C278,0))</f>
        <v/>
      </c>
      <c r="G278" s="31">
        <f>IF($B278="","",IFERROR(MAX(0,ayd_netDefter-$E278),0))</f>
        <v/>
      </c>
      <c r="H278" s="31">
        <f>IF($C278="","",IFERROR(MAX(0,ayd_netDefter+ayd_fark-$F278),0))</f>
        <v/>
      </c>
      <c r="I278" s="31">
        <f>IF($A278="","",IF($A278&gt;IFERROR(GIRDI!B12,0),"DIŞI","AKTİF"))</f>
        <v/>
      </c>
    </row>
    <row r="279">
      <c r="B279" s="31">
        <f>IF(OR($A279="",$A279&gt;IFERROR(GIRDI!B12,0)),"",IFERROR(IF(OR(GIRDI!B12="",GIRDI!B12=0),0,ayd_netDefter/GIRDI!B12),0))</f>
        <v/>
      </c>
      <c r="C279" s="31">
        <f>IF(OR($A279="",$A279&gt;IFERROR(GIRDI!B12,0)),"",IFERROR(IF(OR(GIRDI!B12="",GIRDI!B12=0),0,(ayd_netDefter+ayd_fark)/GIRDI!B12),0))</f>
        <v/>
      </c>
      <c r="D279" s="31">
        <f>IF($B279="","",IFERROR($C279-$B279,0))</f>
        <v/>
      </c>
      <c r="E279" s="31">
        <f>IF($B279="","",IFERROR($A279*$B279,0))</f>
        <v/>
      </c>
      <c r="F279" s="31">
        <f>IF($C279="","",IFERROR($A279*$C279,0))</f>
        <v/>
      </c>
      <c r="G279" s="31">
        <f>IF($B279="","",IFERROR(MAX(0,ayd_netDefter-$E279),0))</f>
        <v/>
      </c>
      <c r="H279" s="31">
        <f>IF($C279="","",IFERROR(MAX(0,ayd_netDefter+ayd_fark-$F279),0))</f>
        <v/>
      </c>
      <c r="I279" s="31">
        <f>IF($A279="","",IF($A279&gt;IFERROR(GIRDI!B12,0),"DIŞI","AKTİF"))</f>
        <v/>
      </c>
    </row>
    <row r="280">
      <c r="B280" s="31">
        <f>IF(OR($A280="",$A280&gt;IFERROR(GIRDI!B12,0)),"",IFERROR(IF(OR(GIRDI!B12="",GIRDI!B12=0),0,ayd_netDefter/GIRDI!B12),0))</f>
        <v/>
      </c>
      <c r="C280" s="31">
        <f>IF(OR($A280="",$A280&gt;IFERROR(GIRDI!B12,0)),"",IFERROR(IF(OR(GIRDI!B12="",GIRDI!B12=0),0,(ayd_netDefter+ayd_fark)/GIRDI!B12),0))</f>
        <v/>
      </c>
      <c r="D280" s="31">
        <f>IF($B280="","",IFERROR($C280-$B280,0))</f>
        <v/>
      </c>
      <c r="E280" s="31">
        <f>IF($B280="","",IFERROR($A280*$B280,0))</f>
        <v/>
      </c>
      <c r="F280" s="31">
        <f>IF($C280="","",IFERROR($A280*$C280,0))</f>
        <v/>
      </c>
      <c r="G280" s="31">
        <f>IF($B280="","",IFERROR(MAX(0,ayd_netDefter-$E280),0))</f>
        <v/>
      </c>
      <c r="H280" s="31">
        <f>IF($C280="","",IFERROR(MAX(0,ayd_netDefter+ayd_fark-$F280),0))</f>
        <v/>
      </c>
      <c r="I280" s="31">
        <f>IF($A280="","",IF($A280&gt;IFERROR(GIRDI!B12,0),"DIŞI","AKTİF"))</f>
        <v/>
      </c>
    </row>
    <row r="281">
      <c r="B281" s="31">
        <f>IF(OR($A281="",$A281&gt;IFERROR(GIRDI!B12,0)),"",IFERROR(IF(OR(GIRDI!B12="",GIRDI!B12=0),0,ayd_netDefter/GIRDI!B12),0))</f>
        <v/>
      </c>
      <c r="C281" s="31">
        <f>IF(OR($A281="",$A281&gt;IFERROR(GIRDI!B12,0)),"",IFERROR(IF(OR(GIRDI!B12="",GIRDI!B12=0),0,(ayd_netDefter+ayd_fark)/GIRDI!B12),0))</f>
        <v/>
      </c>
      <c r="D281" s="31">
        <f>IF($B281="","",IFERROR($C281-$B281,0))</f>
        <v/>
      </c>
      <c r="E281" s="31">
        <f>IF($B281="","",IFERROR($A281*$B281,0))</f>
        <v/>
      </c>
      <c r="F281" s="31">
        <f>IF($C281="","",IFERROR($A281*$C281,0))</f>
        <v/>
      </c>
      <c r="G281" s="31">
        <f>IF($B281="","",IFERROR(MAX(0,ayd_netDefter-$E281),0))</f>
        <v/>
      </c>
      <c r="H281" s="31">
        <f>IF($C281="","",IFERROR(MAX(0,ayd_netDefter+ayd_fark-$F281),0))</f>
        <v/>
      </c>
      <c r="I281" s="31">
        <f>IF($A281="","",IF($A281&gt;IFERROR(GIRDI!B12,0),"DIŞI","AKTİF"))</f>
        <v/>
      </c>
    </row>
    <row r="282">
      <c r="B282" s="31">
        <f>IF(OR($A282="",$A282&gt;IFERROR(GIRDI!B12,0)),"",IFERROR(IF(OR(GIRDI!B12="",GIRDI!B12=0),0,ayd_netDefter/GIRDI!B12),0))</f>
        <v/>
      </c>
      <c r="C282" s="31">
        <f>IF(OR($A282="",$A282&gt;IFERROR(GIRDI!B12,0)),"",IFERROR(IF(OR(GIRDI!B12="",GIRDI!B12=0),0,(ayd_netDefter+ayd_fark)/GIRDI!B12),0))</f>
        <v/>
      </c>
      <c r="D282" s="31">
        <f>IF($B282="","",IFERROR($C282-$B282,0))</f>
        <v/>
      </c>
      <c r="E282" s="31">
        <f>IF($B282="","",IFERROR($A282*$B282,0))</f>
        <v/>
      </c>
      <c r="F282" s="31">
        <f>IF($C282="","",IFERROR($A282*$C282,0))</f>
        <v/>
      </c>
      <c r="G282" s="31">
        <f>IF($B282="","",IFERROR(MAX(0,ayd_netDefter-$E282),0))</f>
        <v/>
      </c>
      <c r="H282" s="31">
        <f>IF($C282="","",IFERROR(MAX(0,ayd_netDefter+ayd_fark-$F282),0))</f>
        <v/>
      </c>
      <c r="I282" s="31">
        <f>IF($A282="","",IF($A282&gt;IFERROR(GIRDI!B12,0),"DIŞI","AKTİF"))</f>
        <v/>
      </c>
    </row>
    <row r="283">
      <c r="B283" s="31">
        <f>IF(OR($A283="",$A283&gt;IFERROR(GIRDI!B12,0)),"",IFERROR(IF(OR(GIRDI!B12="",GIRDI!B12=0),0,ayd_netDefter/GIRDI!B12),0))</f>
        <v/>
      </c>
      <c r="C283" s="31">
        <f>IF(OR($A283="",$A283&gt;IFERROR(GIRDI!B12,0)),"",IFERROR(IF(OR(GIRDI!B12="",GIRDI!B12=0),0,(ayd_netDefter+ayd_fark)/GIRDI!B12),0))</f>
        <v/>
      </c>
      <c r="D283" s="31">
        <f>IF($B283="","",IFERROR($C283-$B283,0))</f>
        <v/>
      </c>
      <c r="E283" s="31">
        <f>IF($B283="","",IFERROR($A283*$B283,0))</f>
        <v/>
      </c>
      <c r="F283" s="31">
        <f>IF($C283="","",IFERROR($A283*$C283,0))</f>
        <v/>
      </c>
      <c r="G283" s="31">
        <f>IF($B283="","",IFERROR(MAX(0,ayd_netDefter-$E283),0))</f>
        <v/>
      </c>
      <c r="H283" s="31">
        <f>IF($C283="","",IFERROR(MAX(0,ayd_netDefter+ayd_fark-$F283),0))</f>
        <v/>
      </c>
      <c r="I283" s="31">
        <f>IF($A283="","",IF($A283&gt;IFERROR(GIRDI!B12,0),"DIŞI","AKTİF"))</f>
        <v/>
      </c>
    </row>
    <row r="284">
      <c r="B284" s="31">
        <f>IF(OR($A284="",$A284&gt;IFERROR(GIRDI!B12,0)),"",IFERROR(IF(OR(GIRDI!B12="",GIRDI!B12=0),0,ayd_netDefter/GIRDI!B12),0))</f>
        <v/>
      </c>
      <c r="C284" s="31">
        <f>IF(OR($A284="",$A284&gt;IFERROR(GIRDI!B12,0)),"",IFERROR(IF(OR(GIRDI!B12="",GIRDI!B12=0),0,(ayd_netDefter+ayd_fark)/GIRDI!B12),0))</f>
        <v/>
      </c>
      <c r="D284" s="31">
        <f>IF($B284="","",IFERROR($C284-$B284,0))</f>
        <v/>
      </c>
      <c r="E284" s="31">
        <f>IF($B284="","",IFERROR($A284*$B284,0))</f>
        <v/>
      </c>
      <c r="F284" s="31">
        <f>IF($C284="","",IFERROR($A284*$C284,0))</f>
        <v/>
      </c>
      <c r="G284" s="31">
        <f>IF($B284="","",IFERROR(MAX(0,ayd_netDefter-$E284),0))</f>
        <v/>
      </c>
      <c r="H284" s="31">
        <f>IF($C284="","",IFERROR(MAX(0,ayd_netDefter+ayd_fark-$F284),0))</f>
        <v/>
      </c>
      <c r="I284" s="31">
        <f>IF($A284="","",IF($A284&gt;IFERROR(GIRDI!B12,0),"DIŞI","AKTİF"))</f>
        <v/>
      </c>
    </row>
    <row r="285">
      <c r="B285" s="31">
        <f>IF(OR($A285="",$A285&gt;IFERROR(GIRDI!B12,0)),"",IFERROR(IF(OR(GIRDI!B12="",GIRDI!B12=0),0,ayd_netDefter/GIRDI!B12),0))</f>
        <v/>
      </c>
      <c r="C285" s="31">
        <f>IF(OR($A285="",$A285&gt;IFERROR(GIRDI!B12,0)),"",IFERROR(IF(OR(GIRDI!B12="",GIRDI!B12=0),0,(ayd_netDefter+ayd_fark)/GIRDI!B12),0))</f>
        <v/>
      </c>
      <c r="D285" s="31">
        <f>IF($B285="","",IFERROR($C285-$B285,0))</f>
        <v/>
      </c>
      <c r="E285" s="31">
        <f>IF($B285="","",IFERROR($A285*$B285,0))</f>
        <v/>
      </c>
      <c r="F285" s="31">
        <f>IF($C285="","",IFERROR($A285*$C285,0))</f>
        <v/>
      </c>
      <c r="G285" s="31">
        <f>IF($B285="","",IFERROR(MAX(0,ayd_netDefter-$E285),0))</f>
        <v/>
      </c>
      <c r="H285" s="31">
        <f>IF($C285="","",IFERROR(MAX(0,ayd_netDefter+ayd_fark-$F285),0))</f>
        <v/>
      </c>
      <c r="I285" s="31">
        <f>IF($A285="","",IF($A285&gt;IFERROR(GIRDI!B12,0),"DIŞI","AKTİF"))</f>
        <v/>
      </c>
    </row>
    <row r="286">
      <c r="B286" s="31">
        <f>IF(OR($A286="",$A286&gt;IFERROR(GIRDI!B12,0)),"",IFERROR(IF(OR(GIRDI!B12="",GIRDI!B12=0),0,ayd_netDefter/GIRDI!B12),0))</f>
        <v/>
      </c>
      <c r="C286" s="31">
        <f>IF(OR($A286="",$A286&gt;IFERROR(GIRDI!B12,0)),"",IFERROR(IF(OR(GIRDI!B12="",GIRDI!B12=0),0,(ayd_netDefter+ayd_fark)/GIRDI!B12),0))</f>
        <v/>
      </c>
      <c r="D286" s="31">
        <f>IF($B286="","",IFERROR($C286-$B286,0))</f>
        <v/>
      </c>
      <c r="E286" s="31">
        <f>IF($B286="","",IFERROR($A286*$B286,0))</f>
        <v/>
      </c>
      <c r="F286" s="31">
        <f>IF($C286="","",IFERROR($A286*$C286,0))</f>
        <v/>
      </c>
      <c r="G286" s="31">
        <f>IF($B286="","",IFERROR(MAX(0,ayd_netDefter-$E286),0))</f>
        <v/>
      </c>
      <c r="H286" s="31">
        <f>IF($C286="","",IFERROR(MAX(0,ayd_netDefter+ayd_fark-$F286),0))</f>
        <v/>
      </c>
      <c r="I286" s="31">
        <f>IF($A286="","",IF($A286&gt;IFERROR(GIRDI!B12,0),"DIŞI","AKTİF"))</f>
        <v/>
      </c>
    </row>
    <row r="287">
      <c r="B287" s="31">
        <f>IF(OR($A287="",$A287&gt;IFERROR(GIRDI!B12,0)),"",IFERROR(IF(OR(GIRDI!B12="",GIRDI!B12=0),0,ayd_netDefter/GIRDI!B12),0))</f>
        <v/>
      </c>
      <c r="C287" s="31">
        <f>IF(OR($A287="",$A287&gt;IFERROR(GIRDI!B12,0)),"",IFERROR(IF(OR(GIRDI!B12="",GIRDI!B12=0),0,(ayd_netDefter+ayd_fark)/GIRDI!B12),0))</f>
        <v/>
      </c>
      <c r="D287" s="31">
        <f>IF($B287="","",IFERROR($C287-$B287,0))</f>
        <v/>
      </c>
      <c r="E287" s="31">
        <f>IF($B287="","",IFERROR($A287*$B287,0))</f>
        <v/>
      </c>
      <c r="F287" s="31">
        <f>IF($C287="","",IFERROR($A287*$C287,0))</f>
        <v/>
      </c>
      <c r="G287" s="31">
        <f>IF($B287="","",IFERROR(MAX(0,ayd_netDefter-$E287),0))</f>
        <v/>
      </c>
      <c r="H287" s="31">
        <f>IF($C287="","",IFERROR(MAX(0,ayd_netDefter+ayd_fark-$F287),0))</f>
        <v/>
      </c>
      <c r="I287" s="31">
        <f>IF($A287="","",IF($A287&gt;IFERROR(GIRDI!B12,0),"DIŞI","AKTİF"))</f>
        <v/>
      </c>
    </row>
    <row r="288">
      <c r="B288" s="31">
        <f>IF(OR($A288="",$A288&gt;IFERROR(GIRDI!B12,0)),"",IFERROR(IF(OR(GIRDI!B12="",GIRDI!B12=0),0,ayd_netDefter/GIRDI!B12),0))</f>
        <v/>
      </c>
      <c r="C288" s="31">
        <f>IF(OR($A288="",$A288&gt;IFERROR(GIRDI!B12,0)),"",IFERROR(IF(OR(GIRDI!B12="",GIRDI!B12=0),0,(ayd_netDefter+ayd_fark)/GIRDI!B12),0))</f>
        <v/>
      </c>
      <c r="D288" s="31">
        <f>IF($B288="","",IFERROR($C288-$B288,0))</f>
        <v/>
      </c>
      <c r="E288" s="31">
        <f>IF($B288="","",IFERROR($A288*$B288,0))</f>
        <v/>
      </c>
      <c r="F288" s="31">
        <f>IF($C288="","",IFERROR($A288*$C288,0))</f>
        <v/>
      </c>
      <c r="G288" s="31">
        <f>IF($B288="","",IFERROR(MAX(0,ayd_netDefter-$E288),0))</f>
        <v/>
      </c>
      <c r="H288" s="31">
        <f>IF($C288="","",IFERROR(MAX(0,ayd_netDefter+ayd_fark-$F288),0))</f>
        <v/>
      </c>
      <c r="I288" s="31">
        <f>IF($A288="","",IF($A288&gt;IFERROR(GIRDI!B12,0),"DIŞI","AKTİF"))</f>
        <v/>
      </c>
    </row>
    <row r="289">
      <c r="B289" s="31">
        <f>IF(OR($A289="",$A289&gt;IFERROR(GIRDI!B12,0)),"",IFERROR(IF(OR(GIRDI!B12="",GIRDI!B12=0),0,ayd_netDefter/GIRDI!B12),0))</f>
        <v/>
      </c>
      <c r="C289" s="31">
        <f>IF(OR($A289="",$A289&gt;IFERROR(GIRDI!B12,0)),"",IFERROR(IF(OR(GIRDI!B12="",GIRDI!B12=0),0,(ayd_netDefter+ayd_fark)/GIRDI!B12),0))</f>
        <v/>
      </c>
      <c r="D289" s="31">
        <f>IF($B289="","",IFERROR($C289-$B289,0))</f>
        <v/>
      </c>
      <c r="E289" s="31">
        <f>IF($B289="","",IFERROR($A289*$B289,0))</f>
        <v/>
      </c>
      <c r="F289" s="31">
        <f>IF($C289="","",IFERROR($A289*$C289,0))</f>
        <v/>
      </c>
      <c r="G289" s="31">
        <f>IF($B289="","",IFERROR(MAX(0,ayd_netDefter-$E289),0))</f>
        <v/>
      </c>
      <c r="H289" s="31">
        <f>IF($C289="","",IFERROR(MAX(0,ayd_netDefter+ayd_fark-$F289),0))</f>
        <v/>
      </c>
      <c r="I289" s="31">
        <f>IF($A289="","",IF($A289&gt;IFERROR(GIRDI!B12,0),"DIŞI","AKTİF"))</f>
        <v/>
      </c>
    </row>
    <row r="290">
      <c r="B290" s="31">
        <f>IF(OR($A290="",$A290&gt;IFERROR(GIRDI!B12,0)),"",IFERROR(IF(OR(GIRDI!B12="",GIRDI!B12=0),0,ayd_netDefter/GIRDI!B12),0))</f>
        <v/>
      </c>
      <c r="C290" s="31">
        <f>IF(OR($A290="",$A290&gt;IFERROR(GIRDI!B12,0)),"",IFERROR(IF(OR(GIRDI!B12="",GIRDI!B12=0),0,(ayd_netDefter+ayd_fark)/GIRDI!B12),0))</f>
        <v/>
      </c>
      <c r="D290" s="31">
        <f>IF($B290="","",IFERROR($C290-$B290,0))</f>
        <v/>
      </c>
      <c r="E290" s="31">
        <f>IF($B290="","",IFERROR($A290*$B290,0))</f>
        <v/>
      </c>
      <c r="F290" s="31">
        <f>IF($C290="","",IFERROR($A290*$C290,0))</f>
        <v/>
      </c>
      <c r="G290" s="31">
        <f>IF($B290="","",IFERROR(MAX(0,ayd_netDefter-$E290),0))</f>
        <v/>
      </c>
      <c r="H290" s="31">
        <f>IF($C290="","",IFERROR(MAX(0,ayd_netDefter+ayd_fark-$F290),0))</f>
        <v/>
      </c>
      <c r="I290" s="31">
        <f>IF($A290="","",IF($A290&gt;IFERROR(GIRDI!B12,0),"DIŞI","AKTİF"))</f>
        <v/>
      </c>
    </row>
    <row r="291">
      <c r="B291" s="31">
        <f>IF(OR($A291="",$A291&gt;IFERROR(GIRDI!B12,0)),"",IFERROR(IF(OR(GIRDI!B12="",GIRDI!B12=0),0,ayd_netDefter/GIRDI!B12),0))</f>
        <v/>
      </c>
      <c r="C291" s="31">
        <f>IF(OR($A291="",$A291&gt;IFERROR(GIRDI!B12,0)),"",IFERROR(IF(OR(GIRDI!B12="",GIRDI!B12=0),0,(ayd_netDefter+ayd_fark)/GIRDI!B12),0))</f>
        <v/>
      </c>
      <c r="D291" s="31">
        <f>IF($B291="","",IFERROR($C291-$B291,0))</f>
        <v/>
      </c>
      <c r="E291" s="31">
        <f>IF($B291="","",IFERROR($A291*$B291,0))</f>
        <v/>
      </c>
      <c r="F291" s="31">
        <f>IF($C291="","",IFERROR($A291*$C291,0))</f>
        <v/>
      </c>
      <c r="G291" s="31">
        <f>IF($B291="","",IFERROR(MAX(0,ayd_netDefter-$E291),0))</f>
        <v/>
      </c>
      <c r="H291" s="31">
        <f>IF($C291="","",IFERROR(MAX(0,ayd_netDefter+ayd_fark-$F291),0))</f>
        <v/>
      </c>
      <c r="I291" s="31">
        <f>IF($A291="","",IF($A291&gt;IFERROR(GIRDI!B12,0),"DIŞI","AKTİF"))</f>
        <v/>
      </c>
    </row>
    <row r="292">
      <c r="B292" s="31">
        <f>IF(OR($A292="",$A292&gt;IFERROR(GIRDI!B12,0)),"",IFERROR(IF(OR(GIRDI!B12="",GIRDI!B12=0),0,ayd_netDefter/GIRDI!B12),0))</f>
        <v/>
      </c>
      <c r="C292" s="31">
        <f>IF(OR($A292="",$A292&gt;IFERROR(GIRDI!B12,0)),"",IFERROR(IF(OR(GIRDI!B12="",GIRDI!B12=0),0,(ayd_netDefter+ayd_fark)/GIRDI!B12),0))</f>
        <v/>
      </c>
      <c r="D292" s="31">
        <f>IF($B292="","",IFERROR($C292-$B292,0))</f>
        <v/>
      </c>
      <c r="E292" s="31">
        <f>IF($B292="","",IFERROR($A292*$B292,0))</f>
        <v/>
      </c>
      <c r="F292" s="31">
        <f>IF($C292="","",IFERROR($A292*$C292,0))</f>
        <v/>
      </c>
      <c r="G292" s="31">
        <f>IF($B292="","",IFERROR(MAX(0,ayd_netDefter-$E292),0))</f>
        <v/>
      </c>
      <c r="H292" s="31">
        <f>IF($C292="","",IFERROR(MAX(0,ayd_netDefter+ayd_fark-$F292),0))</f>
        <v/>
      </c>
      <c r="I292" s="31">
        <f>IF($A292="","",IF($A292&gt;IFERROR(GIRDI!B12,0),"DIŞI","AKTİF"))</f>
        <v/>
      </c>
    </row>
    <row r="293">
      <c r="B293" s="31">
        <f>IF(OR($A293="",$A293&gt;IFERROR(GIRDI!B12,0)),"",IFERROR(IF(OR(GIRDI!B12="",GIRDI!B12=0),0,ayd_netDefter/GIRDI!B12),0))</f>
        <v/>
      </c>
      <c r="C293" s="31">
        <f>IF(OR($A293="",$A293&gt;IFERROR(GIRDI!B12,0)),"",IFERROR(IF(OR(GIRDI!B12="",GIRDI!B12=0),0,(ayd_netDefter+ayd_fark)/GIRDI!B12),0))</f>
        <v/>
      </c>
      <c r="D293" s="31">
        <f>IF($B293="","",IFERROR($C293-$B293,0))</f>
        <v/>
      </c>
      <c r="E293" s="31">
        <f>IF($B293="","",IFERROR($A293*$B293,0))</f>
        <v/>
      </c>
      <c r="F293" s="31">
        <f>IF($C293="","",IFERROR($A293*$C293,0))</f>
        <v/>
      </c>
      <c r="G293" s="31">
        <f>IF($B293="","",IFERROR(MAX(0,ayd_netDefter-$E293),0))</f>
        <v/>
      </c>
      <c r="H293" s="31">
        <f>IF($C293="","",IFERROR(MAX(0,ayd_netDefter+ayd_fark-$F293),0))</f>
        <v/>
      </c>
      <c r="I293" s="31">
        <f>IF($A293="","",IF($A293&gt;IFERROR(GIRDI!B12,0),"DIŞI","AKTİF"))</f>
        <v/>
      </c>
    </row>
    <row r="294">
      <c r="B294" s="31">
        <f>IF(OR($A294="",$A294&gt;IFERROR(GIRDI!B12,0)),"",IFERROR(IF(OR(GIRDI!B12="",GIRDI!B12=0),0,ayd_netDefter/GIRDI!B12),0))</f>
        <v/>
      </c>
      <c r="C294" s="31">
        <f>IF(OR($A294="",$A294&gt;IFERROR(GIRDI!B12,0)),"",IFERROR(IF(OR(GIRDI!B12="",GIRDI!B12=0),0,(ayd_netDefter+ayd_fark)/GIRDI!B12),0))</f>
        <v/>
      </c>
      <c r="D294" s="31">
        <f>IF($B294="","",IFERROR($C294-$B294,0))</f>
        <v/>
      </c>
      <c r="E294" s="31">
        <f>IF($B294="","",IFERROR($A294*$B294,0))</f>
        <v/>
      </c>
      <c r="F294" s="31">
        <f>IF($C294="","",IFERROR($A294*$C294,0))</f>
        <v/>
      </c>
      <c r="G294" s="31">
        <f>IF($B294="","",IFERROR(MAX(0,ayd_netDefter-$E294),0))</f>
        <v/>
      </c>
      <c r="H294" s="31">
        <f>IF($C294="","",IFERROR(MAX(0,ayd_netDefter+ayd_fark-$F294),0))</f>
        <v/>
      </c>
      <c r="I294" s="31">
        <f>IF($A294="","",IF($A294&gt;IFERROR(GIRDI!B12,0),"DIŞI","AKTİF"))</f>
        <v/>
      </c>
    </row>
    <row r="295">
      <c r="B295" s="31">
        <f>IF(OR($A295="",$A295&gt;IFERROR(GIRDI!B12,0)),"",IFERROR(IF(OR(GIRDI!B12="",GIRDI!B12=0),0,ayd_netDefter/GIRDI!B12),0))</f>
        <v/>
      </c>
      <c r="C295" s="31">
        <f>IF(OR($A295="",$A295&gt;IFERROR(GIRDI!B12,0)),"",IFERROR(IF(OR(GIRDI!B12="",GIRDI!B12=0),0,(ayd_netDefter+ayd_fark)/GIRDI!B12),0))</f>
        <v/>
      </c>
      <c r="D295" s="31">
        <f>IF($B295="","",IFERROR($C295-$B295,0))</f>
        <v/>
      </c>
      <c r="E295" s="31">
        <f>IF($B295="","",IFERROR($A295*$B295,0))</f>
        <v/>
      </c>
      <c r="F295" s="31">
        <f>IF($C295="","",IFERROR($A295*$C295,0))</f>
        <v/>
      </c>
      <c r="G295" s="31">
        <f>IF($B295="","",IFERROR(MAX(0,ayd_netDefter-$E295),0))</f>
        <v/>
      </c>
      <c r="H295" s="31">
        <f>IF($C295="","",IFERROR(MAX(0,ayd_netDefter+ayd_fark-$F295),0))</f>
        <v/>
      </c>
      <c r="I295" s="31">
        <f>IF($A295="","",IF($A295&gt;IFERROR(GIRDI!B12,0),"DIŞI","AKTİF"))</f>
        <v/>
      </c>
    </row>
    <row r="296">
      <c r="B296" s="31">
        <f>IF(OR($A296="",$A296&gt;IFERROR(GIRDI!B12,0)),"",IFERROR(IF(OR(GIRDI!B12="",GIRDI!B12=0),0,ayd_netDefter/GIRDI!B12),0))</f>
        <v/>
      </c>
      <c r="C296" s="31">
        <f>IF(OR($A296="",$A296&gt;IFERROR(GIRDI!B12,0)),"",IFERROR(IF(OR(GIRDI!B12="",GIRDI!B12=0),0,(ayd_netDefter+ayd_fark)/GIRDI!B12),0))</f>
        <v/>
      </c>
      <c r="D296" s="31">
        <f>IF($B296="","",IFERROR($C296-$B296,0))</f>
        <v/>
      </c>
      <c r="E296" s="31">
        <f>IF($B296="","",IFERROR($A296*$B296,0))</f>
        <v/>
      </c>
      <c r="F296" s="31">
        <f>IF($C296="","",IFERROR($A296*$C296,0))</f>
        <v/>
      </c>
      <c r="G296" s="31">
        <f>IF($B296="","",IFERROR(MAX(0,ayd_netDefter-$E296),0))</f>
        <v/>
      </c>
      <c r="H296" s="31">
        <f>IF($C296="","",IFERROR(MAX(0,ayd_netDefter+ayd_fark-$F296),0))</f>
        <v/>
      </c>
      <c r="I296" s="31">
        <f>IF($A296="","",IF($A296&gt;IFERROR(GIRDI!B12,0),"DIŞI","AKTİF"))</f>
        <v/>
      </c>
    </row>
    <row r="297">
      <c r="B297" s="31">
        <f>IF(OR($A297="",$A297&gt;IFERROR(GIRDI!B12,0)),"",IFERROR(IF(OR(GIRDI!B12="",GIRDI!B12=0),0,ayd_netDefter/GIRDI!B12),0))</f>
        <v/>
      </c>
      <c r="C297" s="31">
        <f>IF(OR($A297="",$A297&gt;IFERROR(GIRDI!B12,0)),"",IFERROR(IF(OR(GIRDI!B12="",GIRDI!B12=0),0,(ayd_netDefter+ayd_fark)/GIRDI!B12),0))</f>
        <v/>
      </c>
      <c r="D297" s="31">
        <f>IF($B297="","",IFERROR($C297-$B297,0))</f>
        <v/>
      </c>
      <c r="E297" s="31">
        <f>IF($B297="","",IFERROR($A297*$B297,0))</f>
        <v/>
      </c>
      <c r="F297" s="31">
        <f>IF($C297="","",IFERROR($A297*$C297,0))</f>
        <v/>
      </c>
      <c r="G297" s="31">
        <f>IF($B297="","",IFERROR(MAX(0,ayd_netDefter-$E297),0))</f>
        <v/>
      </c>
      <c r="H297" s="31">
        <f>IF($C297="","",IFERROR(MAX(0,ayd_netDefter+ayd_fark-$F297),0))</f>
        <v/>
      </c>
      <c r="I297" s="31">
        <f>IF($A297="","",IF($A297&gt;IFERROR(GIRDI!B12,0),"DIŞI","AKTİF"))</f>
        <v/>
      </c>
    </row>
    <row r="298">
      <c r="B298" s="31">
        <f>IF(OR($A298="",$A298&gt;IFERROR(GIRDI!B12,0)),"",IFERROR(IF(OR(GIRDI!B12="",GIRDI!B12=0),0,ayd_netDefter/GIRDI!B12),0))</f>
        <v/>
      </c>
      <c r="C298" s="31">
        <f>IF(OR($A298="",$A298&gt;IFERROR(GIRDI!B12,0)),"",IFERROR(IF(OR(GIRDI!B12="",GIRDI!B12=0),0,(ayd_netDefter+ayd_fark)/GIRDI!B12),0))</f>
        <v/>
      </c>
      <c r="D298" s="31">
        <f>IF($B298="","",IFERROR($C298-$B298,0))</f>
        <v/>
      </c>
      <c r="E298" s="31">
        <f>IF($B298="","",IFERROR($A298*$B298,0))</f>
        <v/>
      </c>
      <c r="F298" s="31">
        <f>IF($C298="","",IFERROR($A298*$C298,0))</f>
        <v/>
      </c>
      <c r="G298" s="31">
        <f>IF($B298="","",IFERROR(MAX(0,ayd_netDefter-$E298),0))</f>
        <v/>
      </c>
      <c r="H298" s="31">
        <f>IF($C298="","",IFERROR(MAX(0,ayd_netDefter+ayd_fark-$F298),0))</f>
        <v/>
      </c>
      <c r="I298" s="31">
        <f>IF($A298="","",IF($A298&gt;IFERROR(GIRDI!B12,0),"DIŞI","AKTİF"))</f>
        <v/>
      </c>
    </row>
    <row r="299">
      <c r="B299" s="31">
        <f>IF(OR($A299="",$A299&gt;IFERROR(GIRDI!B12,0)),"",IFERROR(IF(OR(GIRDI!B12="",GIRDI!B12=0),0,ayd_netDefter/GIRDI!B12),0))</f>
        <v/>
      </c>
      <c r="C299" s="31">
        <f>IF(OR($A299="",$A299&gt;IFERROR(GIRDI!B12,0)),"",IFERROR(IF(OR(GIRDI!B12="",GIRDI!B12=0),0,(ayd_netDefter+ayd_fark)/GIRDI!B12),0))</f>
        <v/>
      </c>
      <c r="D299" s="31">
        <f>IF($B299="","",IFERROR($C299-$B299,0))</f>
        <v/>
      </c>
      <c r="E299" s="31">
        <f>IF($B299="","",IFERROR($A299*$B299,0))</f>
        <v/>
      </c>
      <c r="F299" s="31">
        <f>IF($C299="","",IFERROR($A299*$C299,0))</f>
        <v/>
      </c>
      <c r="G299" s="31">
        <f>IF($B299="","",IFERROR(MAX(0,ayd_netDefter-$E299),0))</f>
        <v/>
      </c>
      <c r="H299" s="31">
        <f>IF($C299="","",IFERROR(MAX(0,ayd_netDefter+ayd_fark-$F299),0))</f>
        <v/>
      </c>
      <c r="I299" s="31">
        <f>IF($A299="","",IF($A299&gt;IFERROR(GIRDI!B12,0),"DIŞI","AKTİF"))</f>
        <v/>
      </c>
    </row>
    <row r="300">
      <c r="B300" s="31">
        <f>IF(OR($A300="",$A300&gt;IFERROR(GIRDI!B12,0)),"",IFERROR(IF(OR(GIRDI!B12="",GIRDI!B12=0),0,ayd_netDefter/GIRDI!B12),0))</f>
        <v/>
      </c>
      <c r="C300" s="31">
        <f>IF(OR($A300="",$A300&gt;IFERROR(GIRDI!B12,0)),"",IFERROR(IF(OR(GIRDI!B12="",GIRDI!B12=0),0,(ayd_netDefter+ayd_fark)/GIRDI!B12),0))</f>
        <v/>
      </c>
      <c r="D300" s="31">
        <f>IF($B300="","",IFERROR($C300-$B300,0))</f>
        <v/>
      </c>
      <c r="E300" s="31">
        <f>IF($B300="","",IFERROR($A300*$B300,0))</f>
        <v/>
      </c>
      <c r="F300" s="31">
        <f>IF($C300="","",IFERROR($A300*$C300,0))</f>
        <v/>
      </c>
      <c r="G300" s="31">
        <f>IF($B300="","",IFERROR(MAX(0,ayd_netDefter-$E300),0))</f>
        <v/>
      </c>
      <c r="H300" s="31">
        <f>IF($C300="","",IFERROR(MAX(0,ayd_netDefter+ayd_fark-$F300),0))</f>
        <v/>
      </c>
      <c r="I300" s="31">
        <f>IF($A300="","",IF($A300&gt;IFERROR(GIRDI!B12,0),"DIŞI","AKTİF"))</f>
        <v/>
      </c>
    </row>
    <row r="301">
      <c r="B301" s="31">
        <f>IF(OR($A301="",$A301&gt;IFERROR(GIRDI!B12,0)),"",IFERROR(IF(OR(GIRDI!B12="",GIRDI!B12=0),0,ayd_netDefter/GIRDI!B12),0))</f>
        <v/>
      </c>
      <c r="C301" s="31">
        <f>IF(OR($A301="",$A301&gt;IFERROR(GIRDI!B12,0)),"",IFERROR(IF(OR(GIRDI!B12="",GIRDI!B12=0),0,(ayd_netDefter+ayd_fark)/GIRDI!B12),0))</f>
        <v/>
      </c>
      <c r="D301" s="31">
        <f>IF($B301="","",IFERROR($C301-$B301,0))</f>
        <v/>
      </c>
      <c r="E301" s="31">
        <f>IF($B301="","",IFERROR($A301*$B301,0))</f>
        <v/>
      </c>
      <c r="F301" s="31">
        <f>IF($C301="","",IFERROR($A301*$C301,0))</f>
        <v/>
      </c>
      <c r="G301" s="31">
        <f>IF($B301="","",IFERROR(MAX(0,ayd_netDefter-$E301),0))</f>
        <v/>
      </c>
      <c r="H301" s="31">
        <f>IF($C301="","",IFERROR(MAX(0,ayd_netDefter+ayd_fark-$F301),0))</f>
        <v/>
      </c>
      <c r="I301" s="31">
        <f>IF($A301="","",IF($A301&gt;IFERROR(GIRDI!B12,0),"DIŞI","AKTİF"))</f>
        <v/>
      </c>
    </row>
    <row r="302">
      <c r="B302" s="31">
        <f>IF(OR($A302="",$A302&gt;IFERROR(GIRDI!B12,0)),"",IFERROR(IF(OR(GIRDI!B12="",GIRDI!B12=0),0,ayd_netDefter/GIRDI!B12),0))</f>
        <v/>
      </c>
      <c r="C302" s="31">
        <f>IF(OR($A302="",$A302&gt;IFERROR(GIRDI!B12,0)),"",IFERROR(IF(OR(GIRDI!B12="",GIRDI!B12=0),0,(ayd_netDefter+ayd_fark)/GIRDI!B12),0))</f>
        <v/>
      </c>
      <c r="D302" s="31">
        <f>IF($B302="","",IFERROR($C302-$B302,0))</f>
        <v/>
      </c>
      <c r="E302" s="31">
        <f>IF($B302="","",IFERROR($A302*$B302,0))</f>
        <v/>
      </c>
      <c r="F302" s="31">
        <f>IF($C302="","",IFERROR($A302*$C302,0))</f>
        <v/>
      </c>
      <c r="G302" s="31">
        <f>IF($B302="","",IFERROR(MAX(0,ayd_netDefter-$E302),0))</f>
        <v/>
      </c>
      <c r="H302" s="31">
        <f>IF($C302="","",IFERROR(MAX(0,ayd_netDefter+ayd_fark-$F302),0))</f>
        <v/>
      </c>
      <c r="I302" s="31">
        <f>IF($A302="","",IF($A302&gt;IFERROR(GIRDI!B12,0),"DIŞI","AKTİF"))</f>
        <v/>
      </c>
    </row>
    <row r="303">
      <c r="B303" s="31">
        <f>IF(OR($A303="",$A303&gt;IFERROR(GIRDI!B12,0)),"",IFERROR(IF(OR(GIRDI!B12="",GIRDI!B12=0),0,ayd_netDefter/GIRDI!B12),0))</f>
        <v/>
      </c>
      <c r="C303" s="31">
        <f>IF(OR($A303="",$A303&gt;IFERROR(GIRDI!B12,0)),"",IFERROR(IF(OR(GIRDI!B12="",GIRDI!B12=0),0,(ayd_netDefter+ayd_fark)/GIRDI!B12),0))</f>
        <v/>
      </c>
      <c r="D303" s="31">
        <f>IF($B303="","",IFERROR($C303-$B303,0))</f>
        <v/>
      </c>
      <c r="E303" s="31">
        <f>IF($B303="","",IFERROR($A303*$B303,0))</f>
        <v/>
      </c>
      <c r="F303" s="31">
        <f>IF($C303="","",IFERROR($A303*$C303,0))</f>
        <v/>
      </c>
      <c r="G303" s="31">
        <f>IF($B303="","",IFERROR(MAX(0,ayd_netDefter-$E303),0))</f>
        <v/>
      </c>
      <c r="H303" s="31">
        <f>IF($C303="","",IFERROR(MAX(0,ayd_netDefter+ayd_fark-$F303),0))</f>
        <v/>
      </c>
      <c r="I303" s="31">
        <f>IF($A303="","",IF($A303&gt;IFERROR(GIRDI!B12,0),"DIŞI","AKTİF"))</f>
        <v/>
      </c>
    </row>
    <row r="304">
      <c r="B304" s="31">
        <f>IF(OR($A304="",$A304&gt;IFERROR(GIRDI!B12,0)),"",IFERROR(IF(OR(GIRDI!B12="",GIRDI!B12=0),0,ayd_netDefter/GIRDI!B12),0))</f>
        <v/>
      </c>
      <c r="C304" s="31">
        <f>IF(OR($A304="",$A304&gt;IFERROR(GIRDI!B12,0)),"",IFERROR(IF(OR(GIRDI!B12="",GIRDI!B12=0),0,(ayd_netDefter+ayd_fark)/GIRDI!B12),0))</f>
        <v/>
      </c>
      <c r="D304" s="31">
        <f>IF($B304="","",IFERROR($C304-$B304,0))</f>
        <v/>
      </c>
      <c r="E304" s="31">
        <f>IF($B304="","",IFERROR($A304*$B304,0))</f>
        <v/>
      </c>
      <c r="F304" s="31">
        <f>IF($C304="","",IFERROR($A304*$C304,0))</f>
        <v/>
      </c>
      <c r="G304" s="31">
        <f>IF($B304="","",IFERROR(MAX(0,ayd_netDefter-$E304),0))</f>
        <v/>
      </c>
      <c r="H304" s="31">
        <f>IF($C304="","",IFERROR(MAX(0,ayd_netDefter+ayd_fark-$F304),0))</f>
        <v/>
      </c>
      <c r="I304" s="31">
        <f>IF($A304="","",IF($A304&gt;IFERROR(GIRDI!B12,0),"DIŞI","AKTİF"))</f>
        <v/>
      </c>
    </row>
    <row r="305">
      <c r="B305" s="31">
        <f>IF(OR($A305="",$A305&gt;IFERROR(GIRDI!B12,0)),"",IFERROR(IF(OR(GIRDI!B12="",GIRDI!B12=0),0,ayd_netDefter/GIRDI!B12),0))</f>
        <v/>
      </c>
      <c r="C305" s="31">
        <f>IF(OR($A305="",$A305&gt;IFERROR(GIRDI!B12,0)),"",IFERROR(IF(OR(GIRDI!B12="",GIRDI!B12=0),0,(ayd_netDefter+ayd_fark)/GIRDI!B12),0))</f>
        <v/>
      </c>
      <c r="D305" s="31">
        <f>IF($B305="","",IFERROR($C305-$B305,0))</f>
        <v/>
      </c>
      <c r="E305" s="31">
        <f>IF($B305="","",IFERROR($A305*$B305,0))</f>
        <v/>
      </c>
      <c r="F305" s="31">
        <f>IF($C305="","",IFERROR($A305*$C305,0))</f>
        <v/>
      </c>
      <c r="G305" s="31">
        <f>IF($B305="","",IFERROR(MAX(0,ayd_netDefter-$E305),0))</f>
        <v/>
      </c>
      <c r="H305" s="31">
        <f>IF($C305="","",IFERROR(MAX(0,ayd_netDefter+ayd_fark-$F305),0))</f>
        <v/>
      </c>
      <c r="I305" s="31">
        <f>IF($A305="","",IF($A305&gt;IFERROR(GIRDI!B12,0),"DIŞI","AKTİF"))</f>
        <v/>
      </c>
    </row>
    <row r="306">
      <c r="B306" s="31">
        <f>IF(OR($A306="",$A306&gt;IFERROR(GIRDI!B12,0)),"",IFERROR(IF(OR(GIRDI!B12="",GIRDI!B12=0),0,ayd_netDefter/GIRDI!B12),0))</f>
        <v/>
      </c>
      <c r="C306" s="31">
        <f>IF(OR($A306="",$A306&gt;IFERROR(GIRDI!B12,0)),"",IFERROR(IF(OR(GIRDI!B12="",GIRDI!B12=0),0,(ayd_netDefter+ayd_fark)/GIRDI!B12),0))</f>
        <v/>
      </c>
      <c r="D306" s="31">
        <f>IF($B306="","",IFERROR($C306-$B306,0))</f>
        <v/>
      </c>
      <c r="E306" s="31">
        <f>IF($B306="","",IFERROR($A306*$B306,0))</f>
        <v/>
      </c>
      <c r="F306" s="31">
        <f>IF($C306="","",IFERROR($A306*$C306,0))</f>
        <v/>
      </c>
      <c r="G306" s="31">
        <f>IF($B306="","",IFERROR(MAX(0,ayd_netDefter-$E306),0))</f>
        <v/>
      </c>
      <c r="H306" s="31">
        <f>IF($C306="","",IFERROR(MAX(0,ayd_netDefter+ayd_fark-$F306),0))</f>
        <v/>
      </c>
      <c r="I306" s="31">
        <f>IF($A306="","",IF($A306&gt;IFERROR(GIRDI!B12,0),"DIŞI","AKTİF"))</f>
        <v/>
      </c>
    </row>
    <row r="307">
      <c r="B307" s="31">
        <f>IF(OR($A307="",$A307&gt;IFERROR(GIRDI!B12,0)),"",IFERROR(IF(OR(GIRDI!B12="",GIRDI!B12=0),0,ayd_netDefter/GIRDI!B12),0))</f>
        <v/>
      </c>
      <c r="C307" s="31">
        <f>IF(OR($A307="",$A307&gt;IFERROR(GIRDI!B12,0)),"",IFERROR(IF(OR(GIRDI!B12="",GIRDI!B12=0),0,(ayd_netDefter+ayd_fark)/GIRDI!B12),0))</f>
        <v/>
      </c>
      <c r="D307" s="31">
        <f>IF($B307="","",IFERROR($C307-$B307,0))</f>
        <v/>
      </c>
      <c r="E307" s="31">
        <f>IF($B307="","",IFERROR($A307*$B307,0))</f>
        <v/>
      </c>
      <c r="F307" s="31">
        <f>IF($C307="","",IFERROR($A307*$C307,0))</f>
        <v/>
      </c>
      <c r="G307" s="31">
        <f>IF($B307="","",IFERROR(MAX(0,ayd_netDefter-$E307),0))</f>
        <v/>
      </c>
      <c r="H307" s="31">
        <f>IF($C307="","",IFERROR(MAX(0,ayd_netDefter+ayd_fark-$F307),0))</f>
        <v/>
      </c>
      <c r="I307" s="31">
        <f>IF($A307="","",IF($A307&gt;IFERROR(GIRDI!B12,0),"DIŞI","AKTİF"))</f>
        <v/>
      </c>
    </row>
    <row r="308">
      <c r="B308" s="31">
        <f>IF(OR($A308="",$A308&gt;IFERROR(GIRDI!B12,0)),"",IFERROR(IF(OR(GIRDI!B12="",GIRDI!B12=0),0,ayd_netDefter/GIRDI!B12),0))</f>
        <v/>
      </c>
      <c r="C308" s="31">
        <f>IF(OR($A308="",$A308&gt;IFERROR(GIRDI!B12,0)),"",IFERROR(IF(OR(GIRDI!B12="",GIRDI!B12=0),0,(ayd_netDefter+ayd_fark)/GIRDI!B12),0))</f>
        <v/>
      </c>
      <c r="D308" s="31">
        <f>IF($B308="","",IFERROR($C308-$B308,0))</f>
        <v/>
      </c>
      <c r="E308" s="31">
        <f>IF($B308="","",IFERROR($A308*$B308,0))</f>
        <v/>
      </c>
      <c r="F308" s="31">
        <f>IF($C308="","",IFERROR($A308*$C308,0))</f>
        <v/>
      </c>
      <c r="G308" s="31">
        <f>IF($B308="","",IFERROR(MAX(0,ayd_netDefter-$E308),0))</f>
        <v/>
      </c>
      <c r="H308" s="31">
        <f>IF($C308="","",IFERROR(MAX(0,ayd_netDefter+ayd_fark-$F308),0))</f>
        <v/>
      </c>
      <c r="I308" s="31">
        <f>IF($A308="","",IF($A308&gt;IFERROR(GIRDI!B12,0),"DIŞI","AKTİF"))</f>
        <v/>
      </c>
    </row>
    <row r="309">
      <c r="B309" s="31">
        <f>IF(OR($A309="",$A309&gt;IFERROR(GIRDI!B12,0)),"",IFERROR(IF(OR(GIRDI!B12="",GIRDI!B12=0),0,ayd_netDefter/GIRDI!B12),0))</f>
        <v/>
      </c>
      <c r="C309" s="31">
        <f>IF(OR($A309="",$A309&gt;IFERROR(GIRDI!B12,0)),"",IFERROR(IF(OR(GIRDI!B12="",GIRDI!B12=0),0,(ayd_netDefter+ayd_fark)/GIRDI!B12),0))</f>
        <v/>
      </c>
      <c r="D309" s="31">
        <f>IF($B309="","",IFERROR($C309-$B309,0))</f>
        <v/>
      </c>
      <c r="E309" s="31">
        <f>IF($B309="","",IFERROR($A309*$B309,0))</f>
        <v/>
      </c>
      <c r="F309" s="31">
        <f>IF($C309="","",IFERROR($A309*$C309,0))</f>
        <v/>
      </c>
      <c r="G309" s="31">
        <f>IF($B309="","",IFERROR(MAX(0,ayd_netDefter-$E309),0))</f>
        <v/>
      </c>
      <c r="H309" s="31">
        <f>IF($C309="","",IFERROR(MAX(0,ayd_netDefter+ayd_fark-$F309),0))</f>
        <v/>
      </c>
      <c r="I309" s="31">
        <f>IF($A309="","",IF($A309&gt;IFERROR(GIRDI!B12,0),"DIŞI","AKTİF"))</f>
        <v/>
      </c>
    </row>
    <row r="310">
      <c r="B310" s="31">
        <f>IF(OR($A310="",$A310&gt;IFERROR(GIRDI!B12,0)),"",IFERROR(IF(OR(GIRDI!B12="",GIRDI!B12=0),0,ayd_netDefter/GIRDI!B12),0))</f>
        <v/>
      </c>
      <c r="C310" s="31">
        <f>IF(OR($A310="",$A310&gt;IFERROR(GIRDI!B12,0)),"",IFERROR(IF(OR(GIRDI!B12="",GIRDI!B12=0),0,(ayd_netDefter+ayd_fark)/GIRDI!B12),0))</f>
        <v/>
      </c>
      <c r="D310" s="31">
        <f>IF($B310="","",IFERROR($C310-$B310,0))</f>
        <v/>
      </c>
      <c r="E310" s="31">
        <f>IF($B310="","",IFERROR($A310*$B310,0))</f>
        <v/>
      </c>
      <c r="F310" s="31">
        <f>IF($C310="","",IFERROR($A310*$C310,0))</f>
        <v/>
      </c>
      <c r="G310" s="31">
        <f>IF($B310="","",IFERROR(MAX(0,ayd_netDefter-$E310),0))</f>
        <v/>
      </c>
      <c r="H310" s="31">
        <f>IF($C310="","",IFERROR(MAX(0,ayd_netDefter+ayd_fark-$F310),0))</f>
        <v/>
      </c>
      <c r="I310" s="31">
        <f>IF($A310="","",IF($A310&gt;IFERROR(GIRDI!B12,0),"DIŞI","AKTİF"))</f>
        <v/>
      </c>
    </row>
    <row r="311">
      <c r="B311" s="31">
        <f>IF(OR($A311="",$A311&gt;IFERROR(GIRDI!B12,0)),"",IFERROR(IF(OR(GIRDI!B12="",GIRDI!B12=0),0,ayd_netDefter/GIRDI!B12),0))</f>
        <v/>
      </c>
      <c r="C311" s="31">
        <f>IF(OR($A311="",$A311&gt;IFERROR(GIRDI!B12,0)),"",IFERROR(IF(OR(GIRDI!B12="",GIRDI!B12=0),0,(ayd_netDefter+ayd_fark)/GIRDI!B12),0))</f>
        <v/>
      </c>
      <c r="D311" s="31">
        <f>IF($B311="","",IFERROR($C311-$B311,0))</f>
        <v/>
      </c>
      <c r="E311" s="31">
        <f>IF($B311="","",IFERROR($A311*$B311,0))</f>
        <v/>
      </c>
      <c r="F311" s="31">
        <f>IF($C311="","",IFERROR($A311*$C311,0))</f>
        <v/>
      </c>
      <c r="G311" s="31">
        <f>IF($B311="","",IFERROR(MAX(0,ayd_netDefter-$E311),0))</f>
        <v/>
      </c>
      <c r="H311" s="31">
        <f>IF($C311="","",IFERROR(MAX(0,ayd_netDefter+ayd_fark-$F311),0))</f>
        <v/>
      </c>
      <c r="I311" s="31">
        <f>IF($A311="","",IF($A311&gt;IFERROR(GIRDI!B12,0),"DIŞI","AKTİF"))</f>
        <v/>
      </c>
    </row>
    <row r="312">
      <c r="B312" s="31">
        <f>IF(OR($A312="",$A312&gt;IFERROR(GIRDI!B12,0)),"",IFERROR(IF(OR(GIRDI!B12="",GIRDI!B12=0),0,ayd_netDefter/GIRDI!B12),0))</f>
        <v/>
      </c>
      <c r="C312" s="31">
        <f>IF(OR($A312="",$A312&gt;IFERROR(GIRDI!B12,0)),"",IFERROR(IF(OR(GIRDI!B12="",GIRDI!B12=0),0,(ayd_netDefter+ayd_fark)/GIRDI!B12),0))</f>
        <v/>
      </c>
      <c r="D312" s="31">
        <f>IF($B312="","",IFERROR($C312-$B312,0))</f>
        <v/>
      </c>
      <c r="E312" s="31">
        <f>IF($B312="","",IFERROR($A312*$B312,0))</f>
        <v/>
      </c>
      <c r="F312" s="31">
        <f>IF($C312="","",IFERROR($A312*$C312,0))</f>
        <v/>
      </c>
      <c r="G312" s="31">
        <f>IF($B312="","",IFERROR(MAX(0,ayd_netDefter-$E312),0))</f>
        <v/>
      </c>
      <c r="H312" s="31">
        <f>IF($C312="","",IFERROR(MAX(0,ayd_netDefter+ayd_fark-$F312),0))</f>
        <v/>
      </c>
      <c r="I312" s="31">
        <f>IF($A312="","",IF($A312&gt;IFERROR(GIRDI!B12,0),"DIŞI","AKTİF"))</f>
        <v/>
      </c>
    </row>
    <row r="313">
      <c r="B313" s="31">
        <f>IF(OR($A313="",$A313&gt;IFERROR(GIRDI!B12,0)),"",IFERROR(IF(OR(GIRDI!B12="",GIRDI!B12=0),0,ayd_netDefter/GIRDI!B12),0))</f>
        <v/>
      </c>
      <c r="C313" s="31">
        <f>IF(OR($A313="",$A313&gt;IFERROR(GIRDI!B12,0)),"",IFERROR(IF(OR(GIRDI!B12="",GIRDI!B12=0),0,(ayd_netDefter+ayd_fark)/GIRDI!B12),0))</f>
        <v/>
      </c>
      <c r="D313" s="31">
        <f>IF($B313="","",IFERROR($C313-$B313,0))</f>
        <v/>
      </c>
      <c r="E313" s="31">
        <f>IF($B313="","",IFERROR($A313*$B313,0))</f>
        <v/>
      </c>
      <c r="F313" s="31">
        <f>IF($C313="","",IFERROR($A313*$C313,0))</f>
        <v/>
      </c>
      <c r="G313" s="31">
        <f>IF($B313="","",IFERROR(MAX(0,ayd_netDefter-$E313),0))</f>
        <v/>
      </c>
      <c r="H313" s="31">
        <f>IF($C313="","",IFERROR(MAX(0,ayd_netDefter+ayd_fark-$F313),0))</f>
        <v/>
      </c>
      <c r="I313" s="31">
        <f>IF($A313="","",IF($A313&gt;IFERROR(GIRDI!B12,0),"DIŞI","AKTİF"))</f>
        <v/>
      </c>
    </row>
    <row r="314">
      <c r="B314" s="31">
        <f>IF(OR($A314="",$A314&gt;IFERROR(GIRDI!B12,0)),"",IFERROR(IF(OR(GIRDI!B12="",GIRDI!B12=0),0,ayd_netDefter/GIRDI!B12),0))</f>
        <v/>
      </c>
      <c r="C314" s="31">
        <f>IF(OR($A314="",$A314&gt;IFERROR(GIRDI!B12,0)),"",IFERROR(IF(OR(GIRDI!B12="",GIRDI!B12=0),0,(ayd_netDefter+ayd_fark)/GIRDI!B12),0))</f>
        <v/>
      </c>
      <c r="D314" s="31">
        <f>IF($B314="","",IFERROR($C314-$B314,0))</f>
        <v/>
      </c>
      <c r="E314" s="31">
        <f>IF($B314="","",IFERROR($A314*$B314,0))</f>
        <v/>
      </c>
      <c r="F314" s="31">
        <f>IF($C314="","",IFERROR($A314*$C314,0))</f>
        <v/>
      </c>
      <c r="G314" s="31">
        <f>IF($B314="","",IFERROR(MAX(0,ayd_netDefter-$E314),0))</f>
        <v/>
      </c>
      <c r="H314" s="31">
        <f>IF($C314="","",IFERROR(MAX(0,ayd_netDefter+ayd_fark-$F314),0))</f>
        <v/>
      </c>
      <c r="I314" s="31">
        <f>IF($A314="","",IF($A314&gt;IFERROR(GIRDI!B12,0),"DIŞI","AKTİF"))</f>
        <v/>
      </c>
    </row>
    <row r="315">
      <c r="B315" s="31">
        <f>IF(OR($A315="",$A315&gt;IFERROR(GIRDI!B12,0)),"",IFERROR(IF(OR(GIRDI!B12="",GIRDI!B12=0),0,ayd_netDefter/GIRDI!B12),0))</f>
        <v/>
      </c>
      <c r="C315" s="31">
        <f>IF(OR($A315="",$A315&gt;IFERROR(GIRDI!B12,0)),"",IFERROR(IF(OR(GIRDI!B12="",GIRDI!B12=0),0,(ayd_netDefter+ayd_fark)/GIRDI!B12),0))</f>
        <v/>
      </c>
      <c r="D315" s="31">
        <f>IF($B315="","",IFERROR($C315-$B315,0))</f>
        <v/>
      </c>
      <c r="E315" s="31">
        <f>IF($B315="","",IFERROR($A315*$B315,0))</f>
        <v/>
      </c>
      <c r="F315" s="31">
        <f>IF($C315="","",IFERROR($A315*$C315,0))</f>
        <v/>
      </c>
      <c r="G315" s="31">
        <f>IF($B315="","",IFERROR(MAX(0,ayd_netDefter-$E315),0))</f>
        <v/>
      </c>
      <c r="H315" s="31">
        <f>IF($C315="","",IFERROR(MAX(0,ayd_netDefter+ayd_fark-$F315),0))</f>
        <v/>
      </c>
      <c r="I315" s="31">
        <f>IF($A315="","",IF($A315&gt;IFERROR(GIRDI!B12,0),"DIŞI","AKTİF"))</f>
        <v/>
      </c>
    </row>
    <row r="316">
      <c r="B316" s="31">
        <f>IF(OR($A316="",$A316&gt;IFERROR(GIRDI!B12,0)),"",IFERROR(IF(OR(GIRDI!B12="",GIRDI!B12=0),0,ayd_netDefter/GIRDI!B12),0))</f>
        <v/>
      </c>
      <c r="C316" s="31">
        <f>IF(OR($A316="",$A316&gt;IFERROR(GIRDI!B12,0)),"",IFERROR(IF(OR(GIRDI!B12="",GIRDI!B12=0),0,(ayd_netDefter+ayd_fark)/GIRDI!B12),0))</f>
        <v/>
      </c>
      <c r="D316" s="31">
        <f>IF($B316="","",IFERROR($C316-$B316,0))</f>
        <v/>
      </c>
      <c r="E316" s="31">
        <f>IF($B316="","",IFERROR($A316*$B316,0))</f>
        <v/>
      </c>
      <c r="F316" s="31">
        <f>IF($C316="","",IFERROR($A316*$C316,0))</f>
        <v/>
      </c>
      <c r="G316" s="31">
        <f>IF($B316="","",IFERROR(MAX(0,ayd_netDefter-$E316),0))</f>
        <v/>
      </c>
      <c r="H316" s="31">
        <f>IF($C316="","",IFERROR(MAX(0,ayd_netDefter+ayd_fark-$F316),0))</f>
        <v/>
      </c>
      <c r="I316" s="31">
        <f>IF($A316="","",IF($A316&gt;IFERROR(GIRDI!B12,0),"DIŞI","AKTİF"))</f>
        <v/>
      </c>
    </row>
    <row r="317">
      <c r="B317" s="31">
        <f>IF(OR($A317="",$A317&gt;IFERROR(GIRDI!B12,0)),"",IFERROR(IF(OR(GIRDI!B12="",GIRDI!B12=0),0,ayd_netDefter/GIRDI!B12),0))</f>
        <v/>
      </c>
      <c r="C317" s="31">
        <f>IF(OR($A317="",$A317&gt;IFERROR(GIRDI!B12,0)),"",IFERROR(IF(OR(GIRDI!B12="",GIRDI!B12=0),0,(ayd_netDefter+ayd_fark)/GIRDI!B12),0))</f>
        <v/>
      </c>
      <c r="D317" s="31">
        <f>IF($B317="","",IFERROR($C317-$B317,0))</f>
        <v/>
      </c>
      <c r="E317" s="31">
        <f>IF($B317="","",IFERROR($A317*$B317,0))</f>
        <v/>
      </c>
      <c r="F317" s="31">
        <f>IF($C317="","",IFERROR($A317*$C317,0))</f>
        <v/>
      </c>
      <c r="G317" s="31">
        <f>IF($B317="","",IFERROR(MAX(0,ayd_netDefter-$E317),0))</f>
        <v/>
      </c>
      <c r="H317" s="31">
        <f>IF($C317="","",IFERROR(MAX(0,ayd_netDefter+ayd_fark-$F317),0))</f>
        <v/>
      </c>
      <c r="I317" s="31">
        <f>IF($A317="","",IF($A317&gt;IFERROR(GIRDI!B12,0),"DIŞI","AKTİF"))</f>
        <v/>
      </c>
    </row>
    <row r="318">
      <c r="B318" s="31">
        <f>IF(OR($A318="",$A318&gt;IFERROR(GIRDI!B12,0)),"",IFERROR(IF(OR(GIRDI!B12="",GIRDI!B12=0),0,ayd_netDefter/GIRDI!B12),0))</f>
        <v/>
      </c>
      <c r="C318" s="31">
        <f>IF(OR($A318="",$A318&gt;IFERROR(GIRDI!B12,0)),"",IFERROR(IF(OR(GIRDI!B12="",GIRDI!B12=0),0,(ayd_netDefter+ayd_fark)/GIRDI!B12),0))</f>
        <v/>
      </c>
      <c r="D318" s="31">
        <f>IF($B318="","",IFERROR($C318-$B318,0))</f>
        <v/>
      </c>
      <c r="E318" s="31">
        <f>IF($B318="","",IFERROR($A318*$B318,0))</f>
        <v/>
      </c>
      <c r="F318" s="31">
        <f>IF($C318="","",IFERROR($A318*$C318,0))</f>
        <v/>
      </c>
      <c r="G318" s="31">
        <f>IF($B318="","",IFERROR(MAX(0,ayd_netDefter-$E318),0))</f>
        <v/>
      </c>
      <c r="H318" s="31">
        <f>IF($C318="","",IFERROR(MAX(0,ayd_netDefter+ayd_fark-$F318),0))</f>
        <v/>
      </c>
      <c r="I318" s="31">
        <f>IF($A318="","",IF($A318&gt;IFERROR(GIRDI!B12,0),"DIŞI","AKTİF"))</f>
        <v/>
      </c>
    </row>
    <row r="319">
      <c r="B319" s="31">
        <f>IF(OR($A319="",$A319&gt;IFERROR(GIRDI!B12,0)),"",IFERROR(IF(OR(GIRDI!B12="",GIRDI!B12=0),0,ayd_netDefter/GIRDI!B12),0))</f>
        <v/>
      </c>
      <c r="C319" s="31">
        <f>IF(OR($A319="",$A319&gt;IFERROR(GIRDI!B12,0)),"",IFERROR(IF(OR(GIRDI!B12="",GIRDI!B12=0),0,(ayd_netDefter+ayd_fark)/GIRDI!B12),0))</f>
        <v/>
      </c>
      <c r="D319" s="31">
        <f>IF($B319="","",IFERROR($C319-$B319,0))</f>
        <v/>
      </c>
      <c r="E319" s="31">
        <f>IF($B319="","",IFERROR($A319*$B319,0))</f>
        <v/>
      </c>
      <c r="F319" s="31">
        <f>IF($C319="","",IFERROR($A319*$C319,0))</f>
        <v/>
      </c>
      <c r="G319" s="31">
        <f>IF($B319="","",IFERROR(MAX(0,ayd_netDefter-$E319),0))</f>
        <v/>
      </c>
      <c r="H319" s="31">
        <f>IF($C319="","",IFERROR(MAX(0,ayd_netDefter+ayd_fark-$F319),0))</f>
        <v/>
      </c>
      <c r="I319" s="31">
        <f>IF($A319="","",IF($A319&gt;IFERROR(GIRDI!B12,0),"DIŞI","AKTİF"))</f>
        <v/>
      </c>
    </row>
    <row r="320">
      <c r="B320" s="31">
        <f>IF(OR($A320="",$A320&gt;IFERROR(GIRDI!B12,0)),"",IFERROR(IF(OR(GIRDI!B12="",GIRDI!B12=0),0,ayd_netDefter/GIRDI!B12),0))</f>
        <v/>
      </c>
      <c r="C320" s="31">
        <f>IF(OR($A320="",$A320&gt;IFERROR(GIRDI!B12,0)),"",IFERROR(IF(OR(GIRDI!B12="",GIRDI!B12=0),0,(ayd_netDefter+ayd_fark)/GIRDI!B12),0))</f>
        <v/>
      </c>
      <c r="D320" s="31">
        <f>IF($B320="","",IFERROR($C320-$B320,0))</f>
        <v/>
      </c>
      <c r="E320" s="31">
        <f>IF($B320="","",IFERROR($A320*$B320,0))</f>
        <v/>
      </c>
      <c r="F320" s="31">
        <f>IF($C320="","",IFERROR($A320*$C320,0))</f>
        <v/>
      </c>
      <c r="G320" s="31">
        <f>IF($B320="","",IFERROR(MAX(0,ayd_netDefter-$E320),0))</f>
        <v/>
      </c>
      <c r="H320" s="31">
        <f>IF($C320="","",IFERROR(MAX(0,ayd_netDefter+ayd_fark-$F320),0))</f>
        <v/>
      </c>
      <c r="I320" s="31">
        <f>IF($A320="","",IF($A320&gt;IFERROR(GIRDI!B12,0),"DIŞI","AKTİF"))</f>
        <v/>
      </c>
    </row>
    <row r="321">
      <c r="B321" s="31">
        <f>IF(OR($A321="",$A321&gt;IFERROR(GIRDI!B12,0)),"",IFERROR(IF(OR(GIRDI!B12="",GIRDI!B12=0),0,ayd_netDefter/GIRDI!B12),0))</f>
        <v/>
      </c>
      <c r="C321" s="31">
        <f>IF(OR($A321="",$A321&gt;IFERROR(GIRDI!B12,0)),"",IFERROR(IF(OR(GIRDI!B12="",GIRDI!B12=0),0,(ayd_netDefter+ayd_fark)/GIRDI!B12),0))</f>
        <v/>
      </c>
      <c r="D321" s="31">
        <f>IF($B321="","",IFERROR($C321-$B321,0))</f>
        <v/>
      </c>
      <c r="E321" s="31">
        <f>IF($B321="","",IFERROR($A321*$B321,0))</f>
        <v/>
      </c>
      <c r="F321" s="31">
        <f>IF($C321="","",IFERROR($A321*$C321,0))</f>
        <v/>
      </c>
      <c r="G321" s="31">
        <f>IF($B321="","",IFERROR(MAX(0,ayd_netDefter-$E321),0))</f>
        <v/>
      </c>
      <c r="H321" s="31">
        <f>IF($C321="","",IFERROR(MAX(0,ayd_netDefter+ayd_fark-$F321),0))</f>
        <v/>
      </c>
      <c r="I321" s="31">
        <f>IF($A321="","",IF($A321&gt;IFERROR(GIRDI!B12,0),"DIŞI","AKTİF"))</f>
        <v/>
      </c>
    </row>
    <row r="322">
      <c r="B322" s="31">
        <f>IF(OR($A322="",$A322&gt;IFERROR(GIRDI!B12,0)),"",IFERROR(IF(OR(GIRDI!B12="",GIRDI!B12=0),0,ayd_netDefter/GIRDI!B12),0))</f>
        <v/>
      </c>
      <c r="C322" s="31">
        <f>IF(OR($A322="",$A322&gt;IFERROR(GIRDI!B12,0)),"",IFERROR(IF(OR(GIRDI!B12="",GIRDI!B12=0),0,(ayd_netDefter+ayd_fark)/GIRDI!B12),0))</f>
        <v/>
      </c>
      <c r="D322" s="31">
        <f>IF($B322="","",IFERROR($C322-$B322,0))</f>
        <v/>
      </c>
      <c r="E322" s="31">
        <f>IF($B322="","",IFERROR($A322*$B322,0))</f>
        <v/>
      </c>
      <c r="F322" s="31">
        <f>IF($C322="","",IFERROR($A322*$C322,0))</f>
        <v/>
      </c>
      <c r="G322" s="31">
        <f>IF($B322="","",IFERROR(MAX(0,ayd_netDefter-$E322),0))</f>
        <v/>
      </c>
      <c r="H322" s="31">
        <f>IF($C322="","",IFERROR(MAX(0,ayd_netDefter+ayd_fark-$F322),0))</f>
        <v/>
      </c>
      <c r="I322" s="31">
        <f>IF($A322="","",IF($A322&gt;IFERROR(GIRDI!B12,0),"DIŞI","AKTİF"))</f>
        <v/>
      </c>
    </row>
    <row r="323">
      <c r="B323" s="31">
        <f>IF(OR($A323="",$A323&gt;IFERROR(GIRDI!B12,0)),"",IFERROR(IF(OR(GIRDI!B12="",GIRDI!B12=0),0,ayd_netDefter/GIRDI!B12),0))</f>
        <v/>
      </c>
      <c r="C323" s="31">
        <f>IF(OR($A323="",$A323&gt;IFERROR(GIRDI!B12,0)),"",IFERROR(IF(OR(GIRDI!B12="",GIRDI!B12=0),0,(ayd_netDefter+ayd_fark)/GIRDI!B12),0))</f>
        <v/>
      </c>
      <c r="D323" s="31">
        <f>IF($B323="","",IFERROR($C323-$B323,0))</f>
        <v/>
      </c>
      <c r="E323" s="31">
        <f>IF($B323="","",IFERROR($A323*$B323,0))</f>
        <v/>
      </c>
      <c r="F323" s="31">
        <f>IF($C323="","",IFERROR($A323*$C323,0))</f>
        <v/>
      </c>
      <c r="G323" s="31">
        <f>IF($B323="","",IFERROR(MAX(0,ayd_netDefter-$E323),0))</f>
        <v/>
      </c>
      <c r="H323" s="31">
        <f>IF($C323="","",IFERROR(MAX(0,ayd_netDefter+ayd_fark-$F323),0))</f>
        <v/>
      </c>
      <c r="I323" s="31">
        <f>IF($A323="","",IF($A323&gt;IFERROR(GIRDI!B12,0),"DIŞI","AKTİF"))</f>
        <v/>
      </c>
    </row>
    <row r="324">
      <c r="B324" s="31">
        <f>IF(OR($A324="",$A324&gt;IFERROR(GIRDI!B12,0)),"",IFERROR(IF(OR(GIRDI!B12="",GIRDI!B12=0),0,ayd_netDefter/GIRDI!B12),0))</f>
        <v/>
      </c>
      <c r="C324" s="31">
        <f>IF(OR($A324="",$A324&gt;IFERROR(GIRDI!B12,0)),"",IFERROR(IF(OR(GIRDI!B12="",GIRDI!B12=0),0,(ayd_netDefter+ayd_fark)/GIRDI!B12),0))</f>
        <v/>
      </c>
      <c r="D324" s="31">
        <f>IF($B324="","",IFERROR($C324-$B324,0))</f>
        <v/>
      </c>
      <c r="E324" s="31">
        <f>IF($B324="","",IFERROR($A324*$B324,0))</f>
        <v/>
      </c>
      <c r="F324" s="31">
        <f>IF($C324="","",IFERROR($A324*$C324,0))</f>
        <v/>
      </c>
      <c r="G324" s="31">
        <f>IF($B324="","",IFERROR(MAX(0,ayd_netDefter-$E324),0))</f>
        <v/>
      </c>
      <c r="H324" s="31">
        <f>IF($C324="","",IFERROR(MAX(0,ayd_netDefter+ayd_fark-$F324),0))</f>
        <v/>
      </c>
      <c r="I324" s="31">
        <f>IF($A324="","",IF($A324&gt;IFERROR(GIRDI!B12,0),"DIŞI","AKTİF"))</f>
        <v/>
      </c>
    </row>
    <row r="325">
      <c r="B325" s="31">
        <f>IF(OR($A325="",$A325&gt;IFERROR(GIRDI!B12,0)),"",IFERROR(IF(OR(GIRDI!B12="",GIRDI!B12=0),0,ayd_netDefter/GIRDI!B12),0))</f>
        <v/>
      </c>
      <c r="C325" s="31">
        <f>IF(OR($A325="",$A325&gt;IFERROR(GIRDI!B12,0)),"",IFERROR(IF(OR(GIRDI!B12="",GIRDI!B12=0),0,(ayd_netDefter+ayd_fark)/GIRDI!B12),0))</f>
        <v/>
      </c>
      <c r="D325" s="31">
        <f>IF($B325="","",IFERROR($C325-$B325,0))</f>
        <v/>
      </c>
      <c r="E325" s="31">
        <f>IF($B325="","",IFERROR($A325*$B325,0))</f>
        <v/>
      </c>
      <c r="F325" s="31">
        <f>IF($C325="","",IFERROR($A325*$C325,0))</f>
        <v/>
      </c>
      <c r="G325" s="31">
        <f>IF($B325="","",IFERROR(MAX(0,ayd_netDefter-$E325),0))</f>
        <v/>
      </c>
      <c r="H325" s="31">
        <f>IF($C325="","",IFERROR(MAX(0,ayd_netDefter+ayd_fark-$F325),0))</f>
        <v/>
      </c>
      <c r="I325" s="31">
        <f>IF($A325="","",IF($A325&gt;IFERROR(GIRDI!B12,0),"DIŞI","AKTİF"))</f>
        <v/>
      </c>
    </row>
    <row r="326">
      <c r="B326" s="31">
        <f>IF(OR($A326="",$A326&gt;IFERROR(GIRDI!B12,0)),"",IFERROR(IF(OR(GIRDI!B12="",GIRDI!B12=0),0,ayd_netDefter/GIRDI!B12),0))</f>
        <v/>
      </c>
      <c r="C326" s="31">
        <f>IF(OR($A326="",$A326&gt;IFERROR(GIRDI!B12,0)),"",IFERROR(IF(OR(GIRDI!B12="",GIRDI!B12=0),0,(ayd_netDefter+ayd_fark)/GIRDI!B12),0))</f>
        <v/>
      </c>
      <c r="D326" s="31">
        <f>IF($B326="","",IFERROR($C326-$B326,0))</f>
        <v/>
      </c>
      <c r="E326" s="31">
        <f>IF($B326="","",IFERROR($A326*$B326,0))</f>
        <v/>
      </c>
      <c r="F326" s="31">
        <f>IF($C326="","",IFERROR($A326*$C326,0))</f>
        <v/>
      </c>
      <c r="G326" s="31">
        <f>IF($B326="","",IFERROR(MAX(0,ayd_netDefter-$E326),0))</f>
        <v/>
      </c>
      <c r="H326" s="31">
        <f>IF($C326="","",IFERROR(MAX(0,ayd_netDefter+ayd_fark-$F326),0))</f>
        <v/>
      </c>
      <c r="I326" s="31">
        <f>IF($A326="","",IF($A326&gt;IFERROR(GIRDI!B12,0),"DIŞI","AKTİF"))</f>
        <v/>
      </c>
    </row>
    <row r="327">
      <c r="B327" s="31">
        <f>IF(OR($A327="",$A327&gt;IFERROR(GIRDI!B12,0)),"",IFERROR(IF(OR(GIRDI!B12="",GIRDI!B12=0),0,ayd_netDefter/GIRDI!B12),0))</f>
        <v/>
      </c>
      <c r="C327" s="31">
        <f>IF(OR($A327="",$A327&gt;IFERROR(GIRDI!B12,0)),"",IFERROR(IF(OR(GIRDI!B12="",GIRDI!B12=0),0,(ayd_netDefter+ayd_fark)/GIRDI!B12),0))</f>
        <v/>
      </c>
      <c r="D327" s="31">
        <f>IF($B327="","",IFERROR($C327-$B327,0))</f>
        <v/>
      </c>
      <c r="E327" s="31">
        <f>IF($B327="","",IFERROR($A327*$B327,0))</f>
        <v/>
      </c>
      <c r="F327" s="31">
        <f>IF($C327="","",IFERROR($A327*$C327,0))</f>
        <v/>
      </c>
      <c r="G327" s="31">
        <f>IF($B327="","",IFERROR(MAX(0,ayd_netDefter-$E327),0))</f>
        <v/>
      </c>
      <c r="H327" s="31">
        <f>IF($C327="","",IFERROR(MAX(0,ayd_netDefter+ayd_fark-$F327),0))</f>
        <v/>
      </c>
      <c r="I327" s="31">
        <f>IF($A327="","",IF($A327&gt;IFERROR(GIRDI!B12,0),"DIŞI","AKTİF"))</f>
        <v/>
      </c>
    </row>
    <row r="328">
      <c r="B328" s="31">
        <f>IF(OR($A328="",$A328&gt;IFERROR(GIRDI!B12,0)),"",IFERROR(IF(OR(GIRDI!B12="",GIRDI!B12=0),0,ayd_netDefter/GIRDI!B12),0))</f>
        <v/>
      </c>
      <c r="C328" s="31">
        <f>IF(OR($A328="",$A328&gt;IFERROR(GIRDI!B12,0)),"",IFERROR(IF(OR(GIRDI!B12="",GIRDI!B12=0),0,(ayd_netDefter+ayd_fark)/GIRDI!B12),0))</f>
        <v/>
      </c>
      <c r="D328" s="31">
        <f>IF($B328="","",IFERROR($C328-$B328,0))</f>
        <v/>
      </c>
      <c r="E328" s="31">
        <f>IF($B328="","",IFERROR($A328*$B328,0))</f>
        <v/>
      </c>
      <c r="F328" s="31">
        <f>IF($C328="","",IFERROR($A328*$C328,0))</f>
        <v/>
      </c>
      <c r="G328" s="31">
        <f>IF($B328="","",IFERROR(MAX(0,ayd_netDefter-$E328),0))</f>
        <v/>
      </c>
      <c r="H328" s="31">
        <f>IF($C328="","",IFERROR(MAX(0,ayd_netDefter+ayd_fark-$F328),0))</f>
        <v/>
      </c>
      <c r="I328" s="31">
        <f>IF($A328="","",IF($A328&gt;IFERROR(GIRDI!B12,0),"DIŞI","AKTİF"))</f>
        <v/>
      </c>
    </row>
    <row r="329">
      <c r="B329" s="31">
        <f>IF(OR($A329="",$A329&gt;IFERROR(GIRDI!B12,0)),"",IFERROR(IF(OR(GIRDI!B12="",GIRDI!B12=0),0,ayd_netDefter/GIRDI!B12),0))</f>
        <v/>
      </c>
      <c r="C329" s="31">
        <f>IF(OR($A329="",$A329&gt;IFERROR(GIRDI!B12,0)),"",IFERROR(IF(OR(GIRDI!B12="",GIRDI!B12=0),0,(ayd_netDefter+ayd_fark)/GIRDI!B12),0))</f>
        <v/>
      </c>
      <c r="D329" s="31">
        <f>IF($B329="","",IFERROR($C329-$B329,0))</f>
        <v/>
      </c>
      <c r="E329" s="31">
        <f>IF($B329="","",IFERROR($A329*$B329,0))</f>
        <v/>
      </c>
      <c r="F329" s="31">
        <f>IF($C329="","",IFERROR($A329*$C329,0))</f>
        <v/>
      </c>
      <c r="G329" s="31">
        <f>IF($B329="","",IFERROR(MAX(0,ayd_netDefter-$E329),0))</f>
        <v/>
      </c>
      <c r="H329" s="31">
        <f>IF($C329="","",IFERROR(MAX(0,ayd_netDefter+ayd_fark-$F329),0))</f>
        <v/>
      </c>
      <c r="I329" s="31">
        <f>IF($A329="","",IF($A329&gt;IFERROR(GIRDI!B12,0),"DIŞI","AKTİF"))</f>
        <v/>
      </c>
    </row>
    <row r="330">
      <c r="B330" s="31">
        <f>IF(OR($A330="",$A330&gt;IFERROR(GIRDI!B12,0)),"",IFERROR(IF(OR(GIRDI!B12="",GIRDI!B12=0),0,ayd_netDefter/GIRDI!B12),0))</f>
        <v/>
      </c>
      <c r="C330" s="31">
        <f>IF(OR($A330="",$A330&gt;IFERROR(GIRDI!B12,0)),"",IFERROR(IF(OR(GIRDI!B12="",GIRDI!B12=0),0,(ayd_netDefter+ayd_fark)/GIRDI!B12),0))</f>
        <v/>
      </c>
      <c r="D330" s="31">
        <f>IF($B330="","",IFERROR($C330-$B330,0))</f>
        <v/>
      </c>
      <c r="E330" s="31">
        <f>IF($B330="","",IFERROR($A330*$B330,0))</f>
        <v/>
      </c>
      <c r="F330" s="31">
        <f>IF($C330="","",IFERROR($A330*$C330,0))</f>
        <v/>
      </c>
      <c r="G330" s="31">
        <f>IF($B330="","",IFERROR(MAX(0,ayd_netDefter-$E330),0))</f>
        <v/>
      </c>
      <c r="H330" s="31">
        <f>IF($C330="","",IFERROR(MAX(0,ayd_netDefter+ayd_fark-$F330),0))</f>
        <v/>
      </c>
      <c r="I330" s="31">
        <f>IF($A330="","",IF($A330&gt;IFERROR(GIRDI!B12,0),"DIŞI","AKTİF"))</f>
        <v/>
      </c>
    </row>
    <row r="331">
      <c r="B331" s="31">
        <f>IF(OR($A331="",$A331&gt;IFERROR(GIRDI!B12,0)),"",IFERROR(IF(OR(GIRDI!B12="",GIRDI!B12=0),0,ayd_netDefter/GIRDI!B12),0))</f>
        <v/>
      </c>
      <c r="C331" s="31">
        <f>IF(OR($A331="",$A331&gt;IFERROR(GIRDI!B12,0)),"",IFERROR(IF(OR(GIRDI!B12="",GIRDI!B12=0),0,(ayd_netDefter+ayd_fark)/GIRDI!B12),0))</f>
        <v/>
      </c>
      <c r="D331" s="31">
        <f>IF($B331="","",IFERROR($C331-$B331,0))</f>
        <v/>
      </c>
      <c r="E331" s="31">
        <f>IF($B331="","",IFERROR($A331*$B331,0))</f>
        <v/>
      </c>
      <c r="F331" s="31">
        <f>IF($C331="","",IFERROR($A331*$C331,0))</f>
        <v/>
      </c>
      <c r="G331" s="31">
        <f>IF($B331="","",IFERROR(MAX(0,ayd_netDefter-$E331),0))</f>
        <v/>
      </c>
      <c r="H331" s="31">
        <f>IF($C331="","",IFERROR(MAX(0,ayd_netDefter+ayd_fark-$F331),0))</f>
        <v/>
      </c>
      <c r="I331" s="31">
        <f>IF($A331="","",IF($A331&gt;IFERROR(GIRDI!B12,0),"DIŞI","AKTİF"))</f>
        <v/>
      </c>
    </row>
    <row r="332">
      <c r="B332" s="31">
        <f>IF(OR($A332="",$A332&gt;IFERROR(GIRDI!B12,0)),"",IFERROR(IF(OR(GIRDI!B12="",GIRDI!B12=0),0,ayd_netDefter/GIRDI!B12),0))</f>
        <v/>
      </c>
      <c r="C332" s="31">
        <f>IF(OR($A332="",$A332&gt;IFERROR(GIRDI!B12,0)),"",IFERROR(IF(OR(GIRDI!B12="",GIRDI!B12=0),0,(ayd_netDefter+ayd_fark)/GIRDI!B12),0))</f>
        <v/>
      </c>
      <c r="D332" s="31">
        <f>IF($B332="","",IFERROR($C332-$B332,0))</f>
        <v/>
      </c>
      <c r="E332" s="31">
        <f>IF($B332="","",IFERROR($A332*$B332,0))</f>
        <v/>
      </c>
      <c r="F332" s="31">
        <f>IF($C332="","",IFERROR($A332*$C332,0))</f>
        <v/>
      </c>
      <c r="G332" s="31">
        <f>IF($B332="","",IFERROR(MAX(0,ayd_netDefter-$E332),0))</f>
        <v/>
      </c>
      <c r="H332" s="31">
        <f>IF($C332="","",IFERROR(MAX(0,ayd_netDefter+ayd_fark-$F332),0))</f>
        <v/>
      </c>
      <c r="I332" s="31">
        <f>IF($A332="","",IF($A332&gt;IFERROR(GIRDI!B12,0),"DIŞI","AKTİF"))</f>
        <v/>
      </c>
    </row>
    <row r="333">
      <c r="B333" s="31">
        <f>IF(OR($A333="",$A333&gt;IFERROR(GIRDI!B12,0)),"",IFERROR(IF(OR(GIRDI!B12="",GIRDI!B12=0),0,ayd_netDefter/GIRDI!B12),0))</f>
        <v/>
      </c>
      <c r="C333" s="31">
        <f>IF(OR($A333="",$A333&gt;IFERROR(GIRDI!B12,0)),"",IFERROR(IF(OR(GIRDI!B12="",GIRDI!B12=0),0,(ayd_netDefter+ayd_fark)/GIRDI!B12),0))</f>
        <v/>
      </c>
      <c r="D333" s="31">
        <f>IF($B333="","",IFERROR($C333-$B333,0))</f>
        <v/>
      </c>
      <c r="E333" s="31">
        <f>IF($B333="","",IFERROR($A333*$B333,0))</f>
        <v/>
      </c>
      <c r="F333" s="31">
        <f>IF($C333="","",IFERROR($A333*$C333,0))</f>
        <v/>
      </c>
      <c r="G333" s="31">
        <f>IF($B333="","",IFERROR(MAX(0,ayd_netDefter-$E333),0))</f>
        <v/>
      </c>
      <c r="H333" s="31">
        <f>IF($C333="","",IFERROR(MAX(0,ayd_netDefter+ayd_fark-$F333),0))</f>
        <v/>
      </c>
      <c r="I333" s="31">
        <f>IF($A333="","",IF($A333&gt;IFERROR(GIRDI!B12,0),"DIŞI","AKTİF"))</f>
        <v/>
      </c>
    </row>
    <row r="334">
      <c r="B334" s="31">
        <f>IF(OR($A334="",$A334&gt;IFERROR(GIRDI!B12,0)),"",IFERROR(IF(OR(GIRDI!B12="",GIRDI!B12=0),0,ayd_netDefter/GIRDI!B12),0))</f>
        <v/>
      </c>
      <c r="C334" s="31">
        <f>IF(OR($A334="",$A334&gt;IFERROR(GIRDI!B12,0)),"",IFERROR(IF(OR(GIRDI!B12="",GIRDI!B12=0),0,(ayd_netDefter+ayd_fark)/GIRDI!B12),0))</f>
        <v/>
      </c>
      <c r="D334" s="31">
        <f>IF($B334="","",IFERROR($C334-$B334,0))</f>
        <v/>
      </c>
      <c r="E334" s="31">
        <f>IF($B334="","",IFERROR($A334*$B334,0))</f>
        <v/>
      </c>
      <c r="F334" s="31">
        <f>IF($C334="","",IFERROR($A334*$C334,0))</f>
        <v/>
      </c>
      <c r="G334" s="31">
        <f>IF($B334="","",IFERROR(MAX(0,ayd_netDefter-$E334),0))</f>
        <v/>
      </c>
      <c r="H334" s="31">
        <f>IF($C334="","",IFERROR(MAX(0,ayd_netDefter+ayd_fark-$F334),0))</f>
        <v/>
      </c>
      <c r="I334" s="31">
        <f>IF($A334="","",IF($A334&gt;IFERROR(GIRDI!B12,0),"DIŞI","AKTİF"))</f>
        <v/>
      </c>
    </row>
    <row r="335">
      <c r="B335" s="31">
        <f>IF(OR($A335="",$A335&gt;IFERROR(GIRDI!B12,0)),"",IFERROR(IF(OR(GIRDI!B12="",GIRDI!B12=0),0,ayd_netDefter/GIRDI!B12),0))</f>
        <v/>
      </c>
      <c r="C335" s="31">
        <f>IF(OR($A335="",$A335&gt;IFERROR(GIRDI!B12,0)),"",IFERROR(IF(OR(GIRDI!B12="",GIRDI!B12=0),0,(ayd_netDefter+ayd_fark)/GIRDI!B12),0))</f>
        <v/>
      </c>
      <c r="D335" s="31">
        <f>IF($B335="","",IFERROR($C335-$B335,0))</f>
        <v/>
      </c>
      <c r="E335" s="31">
        <f>IF($B335="","",IFERROR($A335*$B335,0))</f>
        <v/>
      </c>
      <c r="F335" s="31">
        <f>IF($C335="","",IFERROR($A335*$C335,0))</f>
        <v/>
      </c>
      <c r="G335" s="31">
        <f>IF($B335="","",IFERROR(MAX(0,ayd_netDefter-$E335),0))</f>
        <v/>
      </c>
      <c r="H335" s="31">
        <f>IF($C335="","",IFERROR(MAX(0,ayd_netDefter+ayd_fark-$F335),0))</f>
        <v/>
      </c>
      <c r="I335" s="31">
        <f>IF($A335="","",IF($A335&gt;IFERROR(GIRDI!B12,0),"DIŞI","AKTİF"))</f>
        <v/>
      </c>
    </row>
    <row r="336">
      <c r="B336" s="31">
        <f>IF(OR($A336="",$A336&gt;IFERROR(GIRDI!B12,0)),"",IFERROR(IF(OR(GIRDI!B12="",GIRDI!B12=0),0,ayd_netDefter/GIRDI!B12),0))</f>
        <v/>
      </c>
      <c r="C336" s="31">
        <f>IF(OR($A336="",$A336&gt;IFERROR(GIRDI!B12,0)),"",IFERROR(IF(OR(GIRDI!B12="",GIRDI!B12=0),0,(ayd_netDefter+ayd_fark)/GIRDI!B12),0))</f>
        <v/>
      </c>
      <c r="D336" s="31">
        <f>IF($B336="","",IFERROR($C336-$B336,0))</f>
        <v/>
      </c>
      <c r="E336" s="31">
        <f>IF($B336="","",IFERROR($A336*$B336,0))</f>
        <v/>
      </c>
      <c r="F336" s="31">
        <f>IF($C336="","",IFERROR($A336*$C336,0))</f>
        <v/>
      </c>
      <c r="G336" s="31">
        <f>IF($B336="","",IFERROR(MAX(0,ayd_netDefter-$E336),0))</f>
        <v/>
      </c>
      <c r="H336" s="31">
        <f>IF($C336="","",IFERROR(MAX(0,ayd_netDefter+ayd_fark-$F336),0))</f>
        <v/>
      </c>
      <c r="I336" s="31">
        <f>IF($A336="","",IF($A336&gt;IFERROR(GIRDI!B12,0),"DIŞI","AKTİF"))</f>
        <v/>
      </c>
    </row>
    <row r="337">
      <c r="B337" s="31">
        <f>IF(OR($A337="",$A337&gt;IFERROR(GIRDI!B12,0)),"",IFERROR(IF(OR(GIRDI!B12="",GIRDI!B12=0),0,ayd_netDefter/GIRDI!B12),0))</f>
        <v/>
      </c>
      <c r="C337" s="31">
        <f>IF(OR($A337="",$A337&gt;IFERROR(GIRDI!B12,0)),"",IFERROR(IF(OR(GIRDI!B12="",GIRDI!B12=0),0,(ayd_netDefter+ayd_fark)/GIRDI!B12),0))</f>
        <v/>
      </c>
      <c r="D337" s="31">
        <f>IF($B337="","",IFERROR($C337-$B337,0))</f>
        <v/>
      </c>
      <c r="E337" s="31">
        <f>IF($B337="","",IFERROR($A337*$B337,0))</f>
        <v/>
      </c>
      <c r="F337" s="31">
        <f>IF($C337="","",IFERROR($A337*$C337,0))</f>
        <v/>
      </c>
      <c r="G337" s="31">
        <f>IF($B337="","",IFERROR(MAX(0,ayd_netDefter-$E337),0))</f>
        <v/>
      </c>
      <c r="H337" s="31">
        <f>IF($C337="","",IFERROR(MAX(0,ayd_netDefter+ayd_fark-$F337),0))</f>
        <v/>
      </c>
      <c r="I337" s="31">
        <f>IF($A337="","",IF($A337&gt;IFERROR(GIRDI!B12,0),"DIŞI","AKTİF"))</f>
        <v/>
      </c>
    </row>
    <row r="338">
      <c r="B338" s="31">
        <f>IF(OR($A338="",$A338&gt;IFERROR(GIRDI!B12,0)),"",IFERROR(IF(OR(GIRDI!B12="",GIRDI!B12=0),0,ayd_netDefter/GIRDI!B12),0))</f>
        <v/>
      </c>
      <c r="C338" s="31">
        <f>IF(OR($A338="",$A338&gt;IFERROR(GIRDI!B12,0)),"",IFERROR(IF(OR(GIRDI!B12="",GIRDI!B12=0),0,(ayd_netDefter+ayd_fark)/GIRDI!B12),0))</f>
        <v/>
      </c>
      <c r="D338" s="31">
        <f>IF($B338="","",IFERROR($C338-$B338,0))</f>
        <v/>
      </c>
      <c r="E338" s="31">
        <f>IF($B338="","",IFERROR($A338*$B338,0))</f>
        <v/>
      </c>
      <c r="F338" s="31">
        <f>IF($C338="","",IFERROR($A338*$C338,0))</f>
        <v/>
      </c>
      <c r="G338" s="31">
        <f>IF($B338="","",IFERROR(MAX(0,ayd_netDefter-$E338),0))</f>
        <v/>
      </c>
      <c r="H338" s="31">
        <f>IF($C338="","",IFERROR(MAX(0,ayd_netDefter+ayd_fark-$F338),0))</f>
        <v/>
      </c>
      <c r="I338" s="31">
        <f>IF($A338="","",IF($A338&gt;IFERROR(GIRDI!B12,0),"DIŞI","AKTİF"))</f>
        <v/>
      </c>
    </row>
    <row r="339">
      <c r="B339" s="31">
        <f>IF(OR($A339="",$A339&gt;IFERROR(GIRDI!B12,0)),"",IFERROR(IF(OR(GIRDI!B12="",GIRDI!B12=0),0,ayd_netDefter/GIRDI!B12),0))</f>
        <v/>
      </c>
      <c r="C339" s="31">
        <f>IF(OR($A339="",$A339&gt;IFERROR(GIRDI!B12,0)),"",IFERROR(IF(OR(GIRDI!B12="",GIRDI!B12=0),0,(ayd_netDefter+ayd_fark)/GIRDI!B12),0))</f>
        <v/>
      </c>
      <c r="D339" s="31">
        <f>IF($B339="","",IFERROR($C339-$B339,0))</f>
        <v/>
      </c>
      <c r="E339" s="31">
        <f>IF($B339="","",IFERROR($A339*$B339,0))</f>
        <v/>
      </c>
      <c r="F339" s="31">
        <f>IF($C339="","",IFERROR($A339*$C339,0))</f>
        <v/>
      </c>
      <c r="G339" s="31">
        <f>IF($B339="","",IFERROR(MAX(0,ayd_netDefter-$E339),0))</f>
        <v/>
      </c>
      <c r="H339" s="31">
        <f>IF($C339="","",IFERROR(MAX(0,ayd_netDefter+ayd_fark-$F339),0))</f>
        <v/>
      </c>
      <c r="I339" s="31">
        <f>IF($A339="","",IF($A339&gt;IFERROR(GIRDI!B12,0),"DIŞI","AKTİF"))</f>
        <v/>
      </c>
    </row>
    <row r="340">
      <c r="B340" s="31">
        <f>IF(OR($A340="",$A340&gt;IFERROR(GIRDI!B12,0)),"",IFERROR(IF(OR(GIRDI!B12="",GIRDI!B12=0),0,ayd_netDefter/GIRDI!B12),0))</f>
        <v/>
      </c>
      <c r="C340" s="31">
        <f>IF(OR($A340="",$A340&gt;IFERROR(GIRDI!B12,0)),"",IFERROR(IF(OR(GIRDI!B12="",GIRDI!B12=0),0,(ayd_netDefter+ayd_fark)/GIRDI!B12),0))</f>
        <v/>
      </c>
      <c r="D340" s="31">
        <f>IF($B340="","",IFERROR($C340-$B340,0))</f>
        <v/>
      </c>
      <c r="E340" s="31">
        <f>IF($B340="","",IFERROR($A340*$B340,0))</f>
        <v/>
      </c>
      <c r="F340" s="31">
        <f>IF($C340="","",IFERROR($A340*$C340,0))</f>
        <v/>
      </c>
      <c r="G340" s="31">
        <f>IF($B340="","",IFERROR(MAX(0,ayd_netDefter-$E340),0))</f>
        <v/>
      </c>
      <c r="H340" s="31">
        <f>IF($C340="","",IFERROR(MAX(0,ayd_netDefter+ayd_fark-$F340),0))</f>
        <v/>
      </c>
      <c r="I340" s="31">
        <f>IF($A340="","",IF($A340&gt;IFERROR(GIRDI!B12,0),"DIŞI","AKTİF"))</f>
        <v/>
      </c>
    </row>
    <row r="341">
      <c r="B341" s="31">
        <f>IF(OR($A341="",$A341&gt;IFERROR(GIRDI!B12,0)),"",IFERROR(IF(OR(GIRDI!B12="",GIRDI!B12=0),0,ayd_netDefter/GIRDI!B12),0))</f>
        <v/>
      </c>
      <c r="C341" s="31">
        <f>IF(OR($A341="",$A341&gt;IFERROR(GIRDI!B12,0)),"",IFERROR(IF(OR(GIRDI!B12="",GIRDI!B12=0),0,(ayd_netDefter+ayd_fark)/GIRDI!B12),0))</f>
        <v/>
      </c>
      <c r="D341" s="31">
        <f>IF($B341="","",IFERROR($C341-$B341,0))</f>
        <v/>
      </c>
      <c r="E341" s="31">
        <f>IF($B341="","",IFERROR($A341*$B341,0))</f>
        <v/>
      </c>
      <c r="F341" s="31">
        <f>IF($C341="","",IFERROR($A341*$C341,0))</f>
        <v/>
      </c>
      <c r="G341" s="31">
        <f>IF($B341="","",IFERROR(MAX(0,ayd_netDefter-$E341),0))</f>
        <v/>
      </c>
      <c r="H341" s="31">
        <f>IF($C341="","",IFERROR(MAX(0,ayd_netDefter+ayd_fark-$F341),0))</f>
        <v/>
      </c>
      <c r="I341" s="31">
        <f>IF($A341="","",IF($A341&gt;IFERROR(GIRDI!B12,0),"DIŞI","AKTİF"))</f>
        <v/>
      </c>
    </row>
    <row r="342">
      <c r="B342" s="31">
        <f>IF(OR($A342="",$A342&gt;IFERROR(GIRDI!B12,0)),"",IFERROR(IF(OR(GIRDI!B12="",GIRDI!B12=0),0,ayd_netDefter/GIRDI!B12),0))</f>
        <v/>
      </c>
      <c r="C342" s="31">
        <f>IF(OR($A342="",$A342&gt;IFERROR(GIRDI!B12,0)),"",IFERROR(IF(OR(GIRDI!B12="",GIRDI!B12=0),0,(ayd_netDefter+ayd_fark)/GIRDI!B12),0))</f>
        <v/>
      </c>
      <c r="D342" s="31">
        <f>IF($B342="","",IFERROR($C342-$B342,0))</f>
        <v/>
      </c>
      <c r="E342" s="31">
        <f>IF($B342="","",IFERROR($A342*$B342,0))</f>
        <v/>
      </c>
      <c r="F342" s="31">
        <f>IF($C342="","",IFERROR($A342*$C342,0))</f>
        <v/>
      </c>
      <c r="G342" s="31">
        <f>IF($B342="","",IFERROR(MAX(0,ayd_netDefter-$E342),0))</f>
        <v/>
      </c>
      <c r="H342" s="31">
        <f>IF($C342="","",IFERROR(MAX(0,ayd_netDefter+ayd_fark-$F342),0))</f>
        <v/>
      </c>
      <c r="I342" s="31">
        <f>IF($A342="","",IF($A342&gt;IFERROR(GIRDI!B12,0),"DIŞI","AKTİF"))</f>
        <v/>
      </c>
    </row>
    <row r="343">
      <c r="B343" s="31">
        <f>IF(OR($A343="",$A343&gt;IFERROR(GIRDI!B12,0)),"",IFERROR(IF(OR(GIRDI!B12="",GIRDI!B12=0),0,ayd_netDefter/GIRDI!B12),0))</f>
        <v/>
      </c>
      <c r="C343" s="31">
        <f>IF(OR($A343="",$A343&gt;IFERROR(GIRDI!B12,0)),"",IFERROR(IF(OR(GIRDI!B12="",GIRDI!B12=0),0,(ayd_netDefter+ayd_fark)/GIRDI!B12),0))</f>
        <v/>
      </c>
      <c r="D343" s="31">
        <f>IF($B343="","",IFERROR($C343-$B343,0))</f>
        <v/>
      </c>
      <c r="E343" s="31">
        <f>IF($B343="","",IFERROR($A343*$B343,0))</f>
        <v/>
      </c>
      <c r="F343" s="31">
        <f>IF($C343="","",IFERROR($A343*$C343,0))</f>
        <v/>
      </c>
      <c r="G343" s="31">
        <f>IF($B343="","",IFERROR(MAX(0,ayd_netDefter-$E343),0))</f>
        <v/>
      </c>
      <c r="H343" s="31">
        <f>IF($C343="","",IFERROR(MAX(0,ayd_netDefter+ayd_fark-$F343),0))</f>
        <v/>
      </c>
      <c r="I343" s="31">
        <f>IF($A343="","",IF($A343&gt;IFERROR(GIRDI!B12,0),"DIŞI","AKTİF"))</f>
        <v/>
      </c>
    </row>
    <row r="344">
      <c r="B344" s="31">
        <f>IF(OR($A344="",$A344&gt;IFERROR(GIRDI!B12,0)),"",IFERROR(IF(OR(GIRDI!B12="",GIRDI!B12=0),0,ayd_netDefter/GIRDI!B12),0))</f>
        <v/>
      </c>
      <c r="C344" s="31">
        <f>IF(OR($A344="",$A344&gt;IFERROR(GIRDI!B12,0)),"",IFERROR(IF(OR(GIRDI!B12="",GIRDI!B12=0),0,(ayd_netDefter+ayd_fark)/GIRDI!B12),0))</f>
        <v/>
      </c>
      <c r="D344" s="31">
        <f>IF($B344="","",IFERROR($C344-$B344,0))</f>
        <v/>
      </c>
      <c r="E344" s="31">
        <f>IF($B344="","",IFERROR($A344*$B344,0))</f>
        <v/>
      </c>
      <c r="F344" s="31">
        <f>IF($C344="","",IFERROR($A344*$C344,0))</f>
        <v/>
      </c>
      <c r="G344" s="31">
        <f>IF($B344="","",IFERROR(MAX(0,ayd_netDefter-$E344),0))</f>
        <v/>
      </c>
      <c r="H344" s="31">
        <f>IF($C344="","",IFERROR(MAX(0,ayd_netDefter+ayd_fark-$F344),0))</f>
        <v/>
      </c>
      <c r="I344" s="31">
        <f>IF($A344="","",IF($A344&gt;IFERROR(GIRDI!B12,0),"DIŞI","AKTİF"))</f>
        <v/>
      </c>
    </row>
    <row r="345">
      <c r="B345" s="31">
        <f>IF(OR($A345="",$A345&gt;IFERROR(GIRDI!B12,0)),"",IFERROR(IF(OR(GIRDI!B12="",GIRDI!B12=0),0,ayd_netDefter/GIRDI!B12),0))</f>
        <v/>
      </c>
      <c r="C345" s="31">
        <f>IF(OR($A345="",$A345&gt;IFERROR(GIRDI!B12,0)),"",IFERROR(IF(OR(GIRDI!B12="",GIRDI!B12=0),0,(ayd_netDefter+ayd_fark)/GIRDI!B12),0))</f>
        <v/>
      </c>
      <c r="D345" s="31">
        <f>IF($B345="","",IFERROR($C345-$B345,0))</f>
        <v/>
      </c>
      <c r="E345" s="31">
        <f>IF($B345="","",IFERROR($A345*$B345,0))</f>
        <v/>
      </c>
      <c r="F345" s="31">
        <f>IF($C345="","",IFERROR($A345*$C345,0))</f>
        <v/>
      </c>
      <c r="G345" s="31">
        <f>IF($B345="","",IFERROR(MAX(0,ayd_netDefter-$E345),0))</f>
        <v/>
      </c>
      <c r="H345" s="31">
        <f>IF($C345="","",IFERROR(MAX(0,ayd_netDefter+ayd_fark-$F345),0))</f>
        <v/>
      </c>
      <c r="I345" s="31">
        <f>IF($A345="","",IF($A345&gt;IFERROR(GIRDI!B12,0),"DIŞI","AKTİF"))</f>
        <v/>
      </c>
    </row>
    <row r="346">
      <c r="B346" s="31">
        <f>IF(OR($A346="",$A346&gt;IFERROR(GIRDI!B12,0)),"",IFERROR(IF(OR(GIRDI!B12="",GIRDI!B12=0),0,ayd_netDefter/GIRDI!B12),0))</f>
        <v/>
      </c>
      <c r="C346" s="31">
        <f>IF(OR($A346="",$A346&gt;IFERROR(GIRDI!B12,0)),"",IFERROR(IF(OR(GIRDI!B12="",GIRDI!B12=0),0,(ayd_netDefter+ayd_fark)/GIRDI!B12),0))</f>
        <v/>
      </c>
      <c r="D346" s="31">
        <f>IF($B346="","",IFERROR($C346-$B346,0))</f>
        <v/>
      </c>
      <c r="E346" s="31">
        <f>IF($B346="","",IFERROR($A346*$B346,0))</f>
        <v/>
      </c>
      <c r="F346" s="31">
        <f>IF($C346="","",IFERROR($A346*$C346,0))</f>
        <v/>
      </c>
      <c r="G346" s="31">
        <f>IF($B346="","",IFERROR(MAX(0,ayd_netDefter-$E346),0))</f>
        <v/>
      </c>
      <c r="H346" s="31">
        <f>IF($C346="","",IFERROR(MAX(0,ayd_netDefter+ayd_fark-$F346),0))</f>
        <v/>
      </c>
      <c r="I346" s="31">
        <f>IF($A346="","",IF($A346&gt;IFERROR(GIRDI!B12,0),"DIŞI","AKTİF"))</f>
        <v/>
      </c>
    </row>
    <row r="347">
      <c r="B347" s="31">
        <f>IF(OR($A347="",$A347&gt;IFERROR(GIRDI!B12,0)),"",IFERROR(IF(OR(GIRDI!B12="",GIRDI!B12=0),0,ayd_netDefter/GIRDI!B12),0))</f>
        <v/>
      </c>
      <c r="C347" s="31">
        <f>IF(OR($A347="",$A347&gt;IFERROR(GIRDI!B12,0)),"",IFERROR(IF(OR(GIRDI!B12="",GIRDI!B12=0),0,(ayd_netDefter+ayd_fark)/GIRDI!B12),0))</f>
        <v/>
      </c>
      <c r="D347" s="31">
        <f>IF($B347="","",IFERROR($C347-$B347,0))</f>
        <v/>
      </c>
      <c r="E347" s="31">
        <f>IF($B347="","",IFERROR($A347*$B347,0))</f>
        <v/>
      </c>
      <c r="F347" s="31">
        <f>IF($C347="","",IFERROR($A347*$C347,0))</f>
        <v/>
      </c>
      <c r="G347" s="31">
        <f>IF($B347="","",IFERROR(MAX(0,ayd_netDefter-$E347),0))</f>
        <v/>
      </c>
      <c r="H347" s="31">
        <f>IF($C347="","",IFERROR(MAX(0,ayd_netDefter+ayd_fark-$F347),0))</f>
        <v/>
      </c>
      <c r="I347" s="31">
        <f>IF($A347="","",IF($A347&gt;IFERROR(GIRDI!B12,0),"DIŞI","AKTİF"))</f>
        <v/>
      </c>
    </row>
    <row r="348">
      <c r="B348" s="31">
        <f>IF(OR($A348="",$A348&gt;IFERROR(GIRDI!B12,0)),"",IFERROR(IF(OR(GIRDI!B12="",GIRDI!B12=0),0,ayd_netDefter/GIRDI!B12),0))</f>
        <v/>
      </c>
      <c r="C348" s="31">
        <f>IF(OR($A348="",$A348&gt;IFERROR(GIRDI!B12,0)),"",IFERROR(IF(OR(GIRDI!B12="",GIRDI!B12=0),0,(ayd_netDefter+ayd_fark)/GIRDI!B12),0))</f>
        <v/>
      </c>
      <c r="D348" s="31">
        <f>IF($B348="","",IFERROR($C348-$B348,0))</f>
        <v/>
      </c>
      <c r="E348" s="31">
        <f>IF($B348="","",IFERROR($A348*$B348,0))</f>
        <v/>
      </c>
      <c r="F348" s="31">
        <f>IF($C348="","",IFERROR($A348*$C348,0))</f>
        <v/>
      </c>
      <c r="G348" s="31">
        <f>IF($B348="","",IFERROR(MAX(0,ayd_netDefter-$E348),0))</f>
        <v/>
      </c>
      <c r="H348" s="31">
        <f>IF($C348="","",IFERROR(MAX(0,ayd_netDefter+ayd_fark-$F348),0))</f>
        <v/>
      </c>
      <c r="I348" s="31">
        <f>IF($A348="","",IF($A348&gt;IFERROR(GIRDI!B12,0),"DIŞI","AKTİF"))</f>
        <v/>
      </c>
    </row>
    <row r="349">
      <c r="B349" s="31">
        <f>IF(OR($A349="",$A349&gt;IFERROR(GIRDI!B12,0)),"",IFERROR(IF(OR(GIRDI!B12="",GIRDI!B12=0),0,ayd_netDefter/GIRDI!B12),0))</f>
        <v/>
      </c>
      <c r="C349" s="31">
        <f>IF(OR($A349="",$A349&gt;IFERROR(GIRDI!B12,0)),"",IFERROR(IF(OR(GIRDI!B12="",GIRDI!B12=0),0,(ayd_netDefter+ayd_fark)/GIRDI!B12),0))</f>
        <v/>
      </c>
      <c r="D349" s="31">
        <f>IF($B349="","",IFERROR($C349-$B349,0))</f>
        <v/>
      </c>
      <c r="E349" s="31">
        <f>IF($B349="","",IFERROR($A349*$B349,0))</f>
        <v/>
      </c>
      <c r="F349" s="31">
        <f>IF($C349="","",IFERROR($A349*$C349,0))</f>
        <v/>
      </c>
      <c r="G349" s="31">
        <f>IF($B349="","",IFERROR(MAX(0,ayd_netDefter-$E349),0))</f>
        <v/>
      </c>
      <c r="H349" s="31">
        <f>IF($C349="","",IFERROR(MAX(0,ayd_netDefter+ayd_fark-$F349),0))</f>
        <v/>
      </c>
      <c r="I349" s="31">
        <f>IF($A349="","",IF($A349&gt;IFERROR(GIRDI!B12,0),"DIŞI","AKTİF"))</f>
        <v/>
      </c>
    </row>
    <row r="350">
      <c r="B350" s="31">
        <f>IF(OR($A350="",$A350&gt;IFERROR(GIRDI!B12,0)),"",IFERROR(IF(OR(GIRDI!B12="",GIRDI!B12=0),0,ayd_netDefter/GIRDI!B12),0))</f>
        <v/>
      </c>
      <c r="C350" s="31">
        <f>IF(OR($A350="",$A350&gt;IFERROR(GIRDI!B12,0)),"",IFERROR(IF(OR(GIRDI!B12="",GIRDI!B12=0),0,(ayd_netDefter+ayd_fark)/GIRDI!B12),0))</f>
        <v/>
      </c>
      <c r="D350" s="31">
        <f>IF($B350="","",IFERROR($C350-$B350,0))</f>
        <v/>
      </c>
      <c r="E350" s="31">
        <f>IF($B350="","",IFERROR($A350*$B350,0))</f>
        <v/>
      </c>
      <c r="F350" s="31">
        <f>IF($C350="","",IFERROR($A350*$C350,0))</f>
        <v/>
      </c>
      <c r="G350" s="31">
        <f>IF($B350="","",IFERROR(MAX(0,ayd_netDefter-$E350),0))</f>
        <v/>
      </c>
      <c r="H350" s="31">
        <f>IF($C350="","",IFERROR(MAX(0,ayd_netDefter+ayd_fark-$F350),0))</f>
        <v/>
      </c>
      <c r="I350" s="31">
        <f>IF($A350="","",IF($A350&gt;IFERROR(GIRDI!B12,0),"DIŞI","AKTİF"))</f>
        <v/>
      </c>
    </row>
    <row r="351">
      <c r="B351" s="31">
        <f>IF(OR($A351="",$A351&gt;IFERROR(GIRDI!B12,0)),"",IFERROR(IF(OR(GIRDI!B12="",GIRDI!B12=0),0,ayd_netDefter/GIRDI!B12),0))</f>
        <v/>
      </c>
      <c r="C351" s="31">
        <f>IF(OR($A351="",$A351&gt;IFERROR(GIRDI!B12,0)),"",IFERROR(IF(OR(GIRDI!B12="",GIRDI!B12=0),0,(ayd_netDefter+ayd_fark)/GIRDI!B12),0))</f>
        <v/>
      </c>
      <c r="D351" s="31">
        <f>IF($B351="","",IFERROR($C351-$B351,0))</f>
        <v/>
      </c>
      <c r="E351" s="31">
        <f>IF($B351="","",IFERROR($A351*$B351,0))</f>
        <v/>
      </c>
      <c r="F351" s="31">
        <f>IF($C351="","",IFERROR($A351*$C351,0))</f>
        <v/>
      </c>
      <c r="G351" s="31">
        <f>IF($B351="","",IFERROR(MAX(0,ayd_netDefter-$E351),0))</f>
        <v/>
      </c>
      <c r="H351" s="31">
        <f>IF($C351="","",IFERROR(MAX(0,ayd_netDefter+ayd_fark-$F351),0))</f>
        <v/>
      </c>
      <c r="I351" s="31">
        <f>IF($A351="","",IF($A351&gt;IFERROR(GIRDI!B12,0),"DIŞI","AKTİF"))</f>
        <v/>
      </c>
    </row>
    <row r="352">
      <c r="B352" s="31">
        <f>IF(OR($A352="",$A352&gt;IFERROR(GIRDI!B12,0)),"",IFERROR(IF(OR(GIRDI!B12="",GIRDI!B12=0),0,ayd_netDefter/GIRDI!B12),0))</f>
        <v/>
      </c>
      <c r="C352" s="31">
        <f>IF(OR($A352="",$A352&gt;IFERROR(GIRDI!B12,0)),"",IFERROR(IF(OR(GIRDI!B12="",GIRDI!B12=0),0,(ayd_netDefter+ayd_fark)/GIRDI!B12),0))</f>
        <v/>
      </c>
      <c r="D352" s="31">
        <f>IF($B352="","",IFERROR($C352-$B352,0))</f>
        <v/>
      </c>
      <c r="E352" s="31">
        <f>IF($B352="","",IFERROR($A352*$B352,0))</f>
        <v/>
      </c>
      <c r="F352" s="31">
        <f>IF($C352="","",IFERROR($A352*$C352,0))</f>
        <v/>
      </c>
      <c r="G352" s="31">
        <f>IF($B352="","",IFERROR(MAX(0,ayd_netDefter-$E352),0))</f>
        <v/>
      </c>
      <c r="H352" s="31">
        <f>IF($C352="","",IFERROR(MAX(0,ayd_netDefter+ayd_fark-$F352),0))</f>
        <v/>
      </c>
      <c r="I352" s="31">
        <f>IF($A352="","",IF($A352&gt;IFERROR(GIRDI!B12,0),"DIŞI","AKTİF"))</f>
        <v/>
      </c>
    </row>
    <row r="353">
      <c r="B353" s="31">
        <f>IF(OR($A353="",$A353&gt;IFERROR(GIRDI!B12,0)),"",IFERROR(IF(OR(GIRDI!B12="",GIRDI!B12=0),0,ayd_netDefter/GIRDI!B12),0))</f>
        <v/>
      </c>
      <c r="C353" s="31">
        <f>IF(OR($A353="",$A353&gt;IFERROR(GIRDI!B12,0)),"",IFERROR(IF(OR(GIRDI!B12="",GIRDI!B12=0),0,(ayd_netDefter+ayd_fark)/GIRDI!B12),0))</f>
        <v/>
      </c>
      <c r="D353" s="31">
        <f>IF($B353="","",IFERROR($C353-$B353,0))</f>
        <v/>
      </c>
      <c r="E353" s="31">
        <f>IF($B353="","",IFERROR($A353*$B353,0))</f>
        <v/>
      </c>
      <c r="F353" s="31">
        <f>IF($C353="","",IFERROR($A353*$C353,0))</f>
        <v/>
      </c>
      <c r="G353" s="31">
        <f>IF($B353="","",IFERROR(MAX(0,ayd_netDefter-$E353),0))</f>
        <v/>
      </c>
      <c r="H353" s="31">
        <f>IF($C353="","",IFERROR(MAX(0,ayd_netDefter+ayd_fark-$F353),0))</f>
        <v/>
      </c>
      <c r="I353" s="31">
        <f>IF($A353="","",IF($A353&gt;IFERROR(GIRDI!B12,0),"DIŞI","AKTİF"))</f>
        <v/>
      </c>
    </row>
    <row r="354">
      <c r="B354" s="31">
        <f>IF(OR($A354="",$A354&gt;IFERROR(GIRDI!B12,0)),"",IFERROR(IF(OR(GIRDI!B12="",GIRDI!B12=0),0,ayd_netDefter/GIRDI!B12),0))</f>
        <v/>
      </c>
      <c r="C354" s="31">
        <f>IF(OR($A354="",$A354&gt;IFERROR(GIRDI!B12,0)),"",IFERROR(IF(OR(GIRDI!B12="",GIRDI!B12=0),0,(ayd_netDefter+ayd_fark)/GIRDI!B12),0))</f>
        <v/>
      </c>
      <c r="D354" s="31">
        <f>IF($B354="","",IFERROR($C354-$B354,0))</f>
        <v/>
      </c>
      <c r="E354" s="31">
        <f>IF($B354="","",IFERROR($A354*$B354,0))</f>
        <v/>
      </c>
      <c r="F354" s="31">
        <f>IF($C354="","",IFERROR($A354*$C354,0))</f>
        <v/>
      </c>
      <c r="G354" s="31">
        <f>IF($B354="","",IFERROR(MAX(0,ayd_netDefter-$E354),0))</f>
        <v/>
      </c>
      <c r="H354" s="31">
        <f>IF($C354="","",IFERROR(MAX(0,ayd_netDefter+ayd_fark-$F354),0))</f>
        <v/>
      </c>
      <c r="I354" s="31">
        <f>IF($A354="","",IF($A354&gt;IFERROR(GIRDI!B12,0),"DIŞI","AKTİF"))</f>
        <v/>
      </c>
    </row>
    <row r="355">
      <c r="B355" s="31">
        <f>IF(OR($A355="",$A355&gt;IFERROR(GIRDI!B12,0)),"",IFERROR(IF(OR(GIRDI!B12="",GIRDI!B12=0),0,ayd_netDefter/GIRDI!B12),0))</f>
        <v/>
      </c>
      <c r="C355" s="31">
        <f>IF(OR($A355="",$A355&gt;IFERROR(GIRDI!B12,0)),"",IFERROR(IF(OR(GIRDI!B12="",GIRDI!B12=0),0,(ayd_netDefter+ayd_fark)/GIRDI!B12),0))</f>
        <v/>
      </c>
      <c r="D355" s="31">
        <f>IF($B355="","",IFERROR($C355-$B355,0))</f>
        <v/>
      </c>
      <c r="E355" s="31">
        <f>IF($B355="","",IFERROR($A355*$B355,0))</f>
        <v/>
      </c>
      <c r="F355" s="31">
        <f>IF($C355="","",IFERROR($A355*$C355,0))</f>
        <v/>
      </c>
      <c r="G355" s="31">
        <f>IF($B355="","",IFERROR(MAX(0,ayd_netDefter-$E355),0))</f>
        <v/>
      </c>
      <c r="H355" s="31">
        <f>IF($C355="","",IFERROR(MAX(0,ayd_netDefter+ayd_fark-$F355),0))</f>
        <v/>
      </c>
      <c r="I355" s="31">
        <f>IF($A355="","",IF($A355&gt;IFERROR(GIRDI!B12,0),"DIŞI","AKTİF"))</f>
        <v/>
      </c>
    </row>
    <row r="356">
      <c r="B356" s="31">
        <f>IF(OR($A356="",$A356&gt;IFERROR(GIRDI!B12,0)),"",IFERROR(IF(OR(GIRDI!B12="",GIRDI!B12=0),0,ayd_netDefter/GIRDI!B12),0))</f>
        <v/>
      </c>
      <c r="C356" s="31">
        <f>IF(OR($A356="",$A356&gt;IFERROR(GIRDI!B12,0)),"",IFERROR(IF(OR(GIRDI!B12="",GIRDI!B12=0),0,(ayd_netDefter+ayd_fark)/GIRDI!B12),0))</f>
        <v/>
      </c>
      <c r="D356" s="31">
        <f>IF($B356="","",IFERROR($C356-$B356,0))</f>
        <v/>
      </c>
      <c r="E356" s="31">
        <f>IF($B356="","",IFERROR($A356*$B356,0))</f>
        <v/>
      </c>
      <c r="F356" s="31">
        <f>IF($C356="","",IFERROR($A356*$C356,0))</f>
        <v/>
      </c>
      <c r="G356" s="31">
        <f>IF($B356="","",IFERROR(MAX(0,ayd_netDefter-$E356),0))</f>
        <v/>
      </c>
      <c r="H356" s="31">
        <f>IF($C356="","",IFERROR(MAX(0,ayd_netDefter+ayd_fark-$F356),0))</f>
        <v/>
      </c>
      <c r="I356" s="31">
        <f>IF($A356="","",IF($A356&gt;IFERROR(GIRDI!B12,0),"DIŞI","AKTİF"))</f>
        <v/>
      </c>
    </row>
    <row r="357">
      <c r="B357" s="31">
        <f>IF(OR($A357="",$A357&gt;IFERROR(GIRDI!B12,0)),"",IFERROR(IF(OR(GIRDI!B12="",GIRDI!B12=0),0,ayd_netDefter/GIRDI!B12),0))</f>
        <v/>
      </c>
      <c r="C357" s="31">
        <f>IF(OR($A357="",$A357&gt;IFERROR(GIRDI!B12,0)),"",IFERROR(IF(OR(GIRDI!B12="",GIRDI!B12=0),0,(ayd_netDefter+ayd_fark)/GIRDI!B12),0))</f>
        <v/>
      </c>
      <c r="D357" s="31">
        <f>IF($B357="","",IFERROR($C357-$B357,0))</f>
        <v/>
      </c>
      <c r="E357" s="31">
        <f>IF($B357="","",IFERROR($A357*$B357,0))</f>
        <v/>
      </c>
      <c r="F357" s="31">
        <f>IF($C357="","",IFERROR($A357*$C357,0))</f>
        <v/>
      </c>
      <c r="G357" s="31">
        <f>IF($B357="","",IFERROR(MAX(0,ayd_netDefter-$E357),0))</f>
        <v/>
      </c>
      <c r="H357" s="31">
        <f>IF($C357="","",IFERROR(MAX(0,ayd_netDefter+ayd_fark-$F357),0))</f>
        <v/>
      </c>
      <c r="I357" s="31">
        <f>IF($A357="","",IF($A357&gt;IFERROR(GIRDI!B12,0),"DIŞI","AKTİF"))</f>
        <v/>
      </c>
    </row>
    <row r="358">
      <c r="B358" s="31">
        <f>IF(OR($A358="",$A358&gt;IFERROR(GIRDI!B12,0)),"",IFERROR(IF(OR(GIRDI!B12="",GIRDI!B12=0),0,ayd_netDefter/GIRDI!B12),0))</f>
        <v/>
      </c>
      <c r="C358" s="31">
        <f>IF(OR($A358="",$A358&gt;IFERROR(GIRDI!B12,0)),"",IFERROR(IF(OR(GIRDI!B12="",GIRDI!B12=0),0,(ayd_netDefter+ayd_fark)/GIRDI!B12),0))</f>
        <v/>
      </c>
      <c r="D358" s="31">
        <f>IF($B358="","",IFERROR($C358-$B358,0))</f>
        <v/>
      </c>
      <c r="E358" s="31">
        <f>IF($B358="","",IFERROR($A358*$B358,0))</f>
        <v/>
      </c>
      <c r="F358" s="31">
        <f>IF($C358="","",IFERROR($A358*$C358,0))</f>
        <v/>
      </c>
      <c r="G358" s="31">
        <f>IF($B358="","",IFERROR(MAX(0,ayd_netDefter-$E358),0))</f>
        <v/>
      </c>
      <c r="H358" s="31">
        <f>IF($C358="","",IFERROR(MAX(0,ayd_netDefter+ayd_fark-$F358),0))</f>
        <v/>
      </c>
      <c r="I358" s="31">
        <f>IF($A358="","",IF($A358&gt;IFERROR(GIRDI!B12,0),"DIŞI","AKTİF"))</f>
        <v/>
      </c>
    </row>
    <row r="359">
      <c r="B359" s="31">
        <f>IF(OR($A359="",$A359&gt;IFERROR(GIRDI!B12,0)),"",IFERROR(IF(OR(GIRDI!B12="",GIRDI!B12=0),0,ayd_netDefter/GIRDI!B12),0))</f>
        <v/>
      </c>
      <c r="C359" s="31">
        <f>IF(OR($A359="",$A359&gt;IFERROR(GIRDI!B12,0)),"",IFERROR(IF(OR(GIRDI!B12="",GIRDI!B12=0),0,(ayd_netDefter+ayd_fark)/GIRDI!B12),0))</f>
        <v/>
      </c>
      <c r="D359" s="31">
        <f>IF($B359="","",IFERROR($C359-$B359,0))</f>
        <v/>
      </c>
      <c r="E359" s="31">
        <f>IF($B359="","",IFERROR($A359*$B359,0))</f>
        <v/>
      </c>
      <c r="F359" s="31">
        <f>IF($C359="","",IFERROR($A359*$C359,0))</f>
        <v/>
      </c>
      <c r="G359" s="31">
        <f>IF($B359="","",IFERROR(MAX(0,ayd_netDefter-$E359),0))</f>
        <v/>
      </c>
      <c r="H359" s="31">
        <f>IF($C359="","",IFERROR(MAX(0,ayd_netDefter+ayd_fark-$F359),0))</f>
        <v/>
      </c>
      <c r="I359" s="31">
        <f>IF($A359="","",IF($A359&gt;IFERROR(GIRDI!B12,0),"DIŞI","AKTİF"))</f>
        <v/>
      </c>
    </row>
    <row r="360">
      <c r="B360" s="31">
        <f>IF(OR($A360="",$A360&gt;IFERROR(GIRDI!B12,0)),"",IFERROR(IF(OR(GIRDI!B12="",GIRDI!B12=0),0,ayd_netDefter/GIRDI!B12),0))</f>
        <v/>
      </c>
      <c r="C360" s="31">
        <f>IF(OR($A360="",$A360&gt;IFERROR(GIRDI!B12,0)),"",IFERROR(IF(OR(GIRDI!B12="",GIRDI!B12=0),0,(ayd_netDefter+ayd_fark)/GIRDI!B12),0))</f>
        <v/>
      </c>
      <c r="D360" s="31">
        <f>IF($B360="","",IFERROR($C360-$B360,0))</f>
        <v/>
      </c>
      <c r="E360" s="31">
        <f>IF($B360="","",IFERROR($A360*$B360,0))</f>
        <v/>
      </c>
      <c r="F360" s="31">
        <f>IF($C360="","",IFERROR($A360*$C360,0))</f>
        <v/>
      </c>
      <c r="G360" s="31">
        <f>IF($B360="","",IFERROR(MAX(0,ayd_netDefter-$E360),0))</f>
        <v/>
      </c>
      <c r="H360" s="31">
        <f>IF($C360="","",IFERROR(MAX(0,ayd_netDefter+ayd_fark-$F360),0))</f>
        <v/>
      </c>
      <c r="I360" s="31">
        <f>IF($A360="","",IF($A360&gt;IFERROR(GIRDI!B12,0),"DIŞI","AKTİF"))</f>
        <v/>
      </c>
    </row>
    <row r="361">
      <c r="B361" s="31">
        <f>IF(OR($A361="",$A361&gt;IFERROR(GIRDI!B12,0)),"",IFERROR(IF(OR(GIRDI!B12="",GIRDI!B12=0),0,ayd_netDefter/GIRDI!B12),0))</f>
        <v/>
      </c>
      <c r="C361" s="31">
        <f>IF(OR($A361="",$A361&gt;IFERROR(GIRDI!B12,0)),"",IFERROR(IF(OR(GIRDI!B12="",GIRDI!B12=0),0,(ayd_netDefter+ayd_fark)/GIRDI!B12),0))</f>
        <v/>
      </c>
      <c r="D361" s="31">
        <f>IF($B361="","",IFERROR($C361-$B361,0))</f>
        <v/>
      </c>
      <c r="E361" s="31">
        <f>IF($B361="","",IFERROR($A361*$B361,0))</f>
        <v/>
      </c>
      <c r="F361" s="31">
        <f>IF($C361="","",IFERROR($A361*$C361,0))</f>
        <v/>
      </c>
      <c r="G361" s="31">
        <f>IF($B361="","",IFERROR(MAX(0,ayd_netDefter-$E361),0))</f>
        <v/>
      </c>
      <c r="H361" s="31">
        <f>IF($C361="","",IFERROR(MAX(0,ayd_netDefter+ayd_fark-$F361),0))</f>
        <v/>
      </c>
      <c r="I361" s="31">
        <f>IF($A361="","",IF($A361&gt;IFERROR(GIRDI!B12,0),"DIŞI","AKTİF"))</f>
        <v/>
      </c>
    </row>
    <row r="362">
      <c r="B362" s="31">
        <f>IF(OR($A362="",$A362&gt;IFERROR(GIRDI!B12,0)),"",IFERROR(IF(OR(GIRDI!B12="",GIRDI!B12=0),0,ayd_netDefter/GIRDI!B12),0))</f>
        <v/>
      </c>
      <c r="C362" s="31">
        <f>IF(OR($A362="",$A362&gt;IFERROR(GIRDI!B12,0)),"",IFERROR(IF(OR(GIRDI!B12="",GIRDI!B12=0),0,(ayd_netDefter+ayd_fark)/GIRDI!B12),0))</f>
        <v/>
      </c>
      <c r="D362" s="31">
        <f>IF($B362="","",IFERROR($C362-$B362,0))</f>
        <v/>
      </c>
      <c r="E362" s="31">
        <f>IF($B362="","",IFERROR($A362*$B362,0))</f>
        <v/>
      </c>
      <c r="F362" s="31">
        <f>IF($C362="","",IFERROR($A362*$C362,0))</f>
        <v/>
      </c>
      <c r="G362" s="31">
        <f>IF($B362="","",IFERROR(MAX(0,ayd_netDefter-$E362),0))</f>
        <v/>
      </c>
      <c r="H362" s="31">
        <f>IF($C362="","",IFERROR(MAX(0,ayd_netDefter+ayd_fark-$F362),0))</f>
        <v/>
      </c>
      <c r="I362" s="31">
        <f>IF($A362="","",IF($A362&gt;IFERROR(GIRDI!B12,0),"DIŞI","AKTİF"))</f>
        <v/>
      </c>
    </row>
    <row r="363">
      <c r="B363" s="31">
        <f>IF(OR($A363="",$A363&gt;IFERROR(GIRDI!B12,0)),"",IFERROR(IF(OR(GIRDI!B12="",GIRDI!B12=0),0,ayd_netDefter/GIRDI!B12),0))</f>
        <v/>
      </c>
      <c r="C363" s="31">
        <f>IF(OR($A363="",$A363&gt;IFERROR(GIRDI!B12,0)),"",IFERROR(IF(OR(GIRDI!B12="",GIRDI!B12=0),0,(ayd_netDefter+ayd_fark)/GIRDI!B12),0))</f>
        <v/>
      </c>
      <c r="D363" s="31">
        <f>IF($B363="","",IFERROR($C363-$B363,0))</f>
        <v/>
      </c>
      <c r="E363" s="31">
        <f>IF($B363="","",IFERROR($A363*$B363,0))</f>
        <v/>
      </c>
      <c r="F363" s="31">
        <f>IF($C363="","",IFERROR($A363*$C363,0))</f>
        <v/>
      </c>
      <c r="G363" s="31">
        <f>IF($B363="","",IFERROR(MAX(0,ayd_netDefter-$E363),0))</f>
        <v/>
      </c>
      <c r="H363" s="31">
        <f>IF($C363="","",IFERROR(MAX(0,ayd_netDefter+ayd_fark-$F363),0))</f>
        <v/>
      </c>
      <c r="I363" s="31">
        <f>IF($A363="","",IF($A363&gt;IFERROR(GIRDI!B12,0),"DIŞI","AKTİF"))</f>
        <v/>
      </c>
    </row>
    <row r="364">
      <c r="B364" s="31">
        <f>IF(OR($A364="",$A364&gt;IFERROR(GIRDI!B12,0)),"",IFERROR(IF(OR(GIRDI!B12="",GIRDI!B12=0),0,ayd_netDefter/GIRDI!B12),0))</f>
        <v/>
      </c>
      <c r="C364" s="31">
        <f>IF(OR($A364="",$A364&gt;IFERROR(GIRDI!B12,0)),"",IFERROR(IF(OR(GIRDI!B12="",GIRDI!B12=0),0,(ayd_netDefter+ayd_fark)/GIRDI!B12),0))</f>
        <v/>
      </c>
      <c r="D364" s="31">
        <f>IF($B364="","",IFERROR($C364-$B364,0))</f>
        <v/>
      </c>
      <c r="E364" s="31">
        <f>IF($B364="","",IFERROR($A364*$B364,0))</f>
        <v/>
      </c>
      <c r="F364" s="31">
        <f>IF($C364="","",IFERROR($A364*$C364,0))</f>
        <v/>
      </c>
      <c r="G364" s="31">
        <f>IF($B364="","",IFERROR(MAX(0,ayd_netDefter-$E364),0))</f>
        <v/>
      </c>
      <c r="H364" s="31">
        <f>IF($C364="","",IFERROR(MAX(0,ayd_netDefter+ayd_fark-$F364),0))</f>
        <v/>
      </c>
      <c r="I364" s="31">
        <f>IF($A364="","",IF($A364&gt;IFERROR(GIRDI!B12,0),"DIŞI","AKTİF"))</f>
        <v/>
      </c>
    </row>
    <row r="365">
      <c r="B365" s="31">
        <f>IF(OR($A365="",$A365&gt;IFERROR(GIRDI!B12,0)),"",IFERROR(IF(OR(GIRDI!B12="",GIRDI!B12=0),0,ayd_netDefter/GIRDI!B12),0))</f>
        <v/>
      </c>
      <c r="C365" s="31">
        <f>IF(OR($A365="",$A365&gt;IFERROR(GIRDI!B12,0)),"",IFERROR(IF(OR(GIRDI!B12="",GIRDI!B12=0),0,(ayd_netDefter+ayd_fark)/GIRDI!B12),0))</f>
        <v/>
      </c>
      <c r="D365" s="31">
        <f>IF($B365="","",IFERROR($C365-$B365,0))</f>
        <v/>
      </c>
      <c r="E365" s="31">
        <f>IF($B365="","",IFERROR($A365*$B365,0))</f>
        <v/>
      </c>
      <c r="F365" s="31">
        <f>IF($C365="","",IFERROR($A365*$C365,0))</f>
        <v/>
      </c>
      <c r="G365" s="31">
        <f>IF($B365="","",IFERROR(MAX(0,ayd_netDefter-$E365),0))</f>
        <v/>
      </c>
      <c r="H365" s="31">
        <f>IF($C365="","",IFERROR(MAX(0,ayd_netDefter+ayd_fark-$F365),0))</f>
        <v/>
      </c>
      <c r="I365" s="31">
        <f>IF($A365="","",IF($A365&gt;IFERROR(GIRDI!B12,0),"DIŞI","AKTİF"))</f>
        <v/>
      </c>
    </row>
    <row r="366">
      <c r="B366" s="31">
        <f>IF(OR($A366="",$A366&gt;IFERROR(GIRDI!B12,0)),"",IFERROR(IF(OR(GIRDI!B12="",GIRDI!B12=0),0,ayd_netDefter/GIRDI!B12),0))</f>
        <v/>
      </c>
      <c r="C366" s="31">
        <f>IF(OR($A366="",$A366&gt;IFERROR(GIRDI!B12,0)),"",IFERROR(IF(OR(GIRDI!B12="",GIRDI!B12=0),0,(ayd_netDefter+ayd_fark)/GIRDI!B12),0))</f>
        <v/>
      </c>
      <c r="D366" s="31">
        <f>IF($B366="","",IFERROR($C366-$B366,0))</f>
        <v/>
      </c>
      <c r="E366" s="31">
        <f>IF($B366="","",IFERROR($A366*$B366,0))</f>
        <v/>
      </c>
      <c r="F366" s="31">
        <f>IF($C366="","",IFERROR($A366*$C366,0))</f>
        <v/>
      </c>
      <c r="G366" s="31">
        <f>IF($B366="","",IFERROR(MAX(0,ayd_netDefter-$E366),0))</f>
        <v/>
      </c>
      <c r="H366" s="31">
        <f>IF($C366="","",IFERROR(MAX(0,ayd_netDefter+ayd_fark-$F366),0))</f>
        <v/>
      </c>
      <c r="I366" s="31">
        <f>IF($A366="","",IF($A366&gt;IFERROR(GIRDI!B12,0),"DIŞI","AKTİF"))</f>
        <v/>
      </c>
    </row>
    <row r="367">
      <c r="B367" s="31">
        <f>IF(OR($A367="",$A367&gt;IFERROR(GIRDI!B12,0)),"",IFERROR(IF(OR(GIRDI!B12="",GIRDI!B12=0),0,ayd_netDefter/GIRDI!B12),0))</f>
        <v/>
      </c>
      <c r="C367" s="31">
        <f>IF(OR($A367="",$A367&gt;IFERROR(GIRDI!B12,0)),"",IFERROR(IF(OR(GIRDI!B12="",GIRDI!B12=0),0,(ayd_netDefter+ayd_fark)/GIRDI!B12),0))</f>
        <v/>
      </c>
      <c r="D367" s="31">
        <f>IF($B367="","",IFERROR($C367-$B367,0))</f>
        <v/>
      </c>
      <c r="E367" s="31">
        <f>IF($B367="","",IFERROR($A367*$B367,0))</f>
        <v/>
      </c>
      <c r="F367" s="31">
        <f>IF($C367="","",IFERROR($A367*$C367,0))</f>
        <v/>
      </c>
      <c r="G367" s="31">
        <f>IF($B367="","",IFERROR(MAX(0,ayd_netDefter-$E367),0))</f>
        <v/>
      </c>
      <c r="H367" s="31">
        <f>IF($C367="","",IFERROR(MAX(0,ayd_netDefter+ayd_fark-$F367),0))</f>
        <v/>
      </c>
      <c r="I367" s="31">
        <f>IF($A367="","",IF($A367&gt;IFERROR(GIRDI!B12,0),"DIŞI","AKTİF"))</f>
        <v/>
      </c>
    </row>
    <row r="368">
      <c r="B368" s="31">
        <f>IF(OR($A368="",$A368&gt;IFERROR(GIRDI!B12,0)),"",IFERROR(IF(OR(GIRDI!B12="",GIRDI!B12=0),0,ayd_netDefter/GIRDI!B12),0))</f>
        <v/>
      </c>
      <c r="C368" s="31">
        <f>IF(OR($A368="",$A368&gt;IFERROR(GIRDI!B12,0)),"",IFERROR(IF(OR(GIRDI!B12="",GIRDI!B12=0),0,(ayd_netDefter+ayd_fark)/GIRDI!B12),0))</f>
        <v/>
      </c>
      <c r="D368" s="31">
        <f>IF($B368="","",IFERROR($C368-$B368,0))</f>
        <v/>
      </c>
      <c r="E368" s="31">
        <f>IF($B368="","",IFERROR($A368*$B368,0))</f>
        <v/>
      </c>
      <c r="F368" s="31">
        <f>IF($C368="","",IFERROR($A368*$C368,0))</f>
        <v/>
      </c>
      <c r="G368" s="31">
        <f>IF($B368="","",IFERROR(MAX(0,ayd_netDefter-$E368),0))</f>
        <v/>
      </c>
      <c r="H368" s="31">
        <f>IF($C368="","",IFERROR(MAX(0,ayd_netDefter+ayd_fark-$F368),0))</f>
        <v/>
      </c>
      <c r="I368" s="31">
        <f>IF($A368="","",IF($A368&gt;IFERROR(GIRDI!B12,0),"DIŞI","AKTİF"))</f>
        <v/>
      </c>
    </row>
    <row r="369">
      <c r="B369" s="31">
        <f>IF(OR($A369="",$A369&gt;IFERROR(GIRDI!B12,0)),"",IFERROR(IF(OR(GIRDI!B12="",GIRDI!B12=0),0,ayd_netDefter/GIRDI!B12),0))</f>
        <v/>
      </c>
      <c r="C369" s="31">
        <f>IF(OR($A369="",$A369&gt;IFERROR(GIRDI!B12,0)),"",IFERROR(IF(OR(GIRDI!B12="",GIRDI!B12=0),0,(ayd_netDefter+ayd_fark)/GIRDI!B12),0))</f>
        <v/>
      </c>
      <c r="D369" s="31">
        <f>IF($B369="","",IFERROR($C369-$B369,0))</f>
        <v/>
      </c>
      <c r="E369" s="31">
        <f>IF($B369="","",IFERROR($A369*$B369,0))</f>
        <v/>
      </c>
      <c r="F369" s="31">
        <f>IF($C369="","",IFERROR($A369*$C369,0))</f>
        <v/>
      </c>
      <c r="G369" s="31">
        <f>IF($B369="","",IFERROR(MAX(0,ayd_netDefter-$E369),0))</f>
        <v/>
      </c>
      <c r="H369" s="31">
        <f>IF($C369="","",IFERROR(MAX(0,ayd_netDefter+ayd_fark-$F369),0))</f>
        <v/>
      </c>
      <c r="I369" s="31">
        <f>IF($A369="","",IF($A369&gt;IFERROR(GIRDI!B12,0),"DIŞI","AKTİF"))</f>
        <v/>
      </c>
    </row>
    <row r="370">
      <c r="B370" s="31">
        <f>IF(OR($A370="",$A370&gt;IFERROR(GIRDI!B12,0)),"",IFERROR(IF(OR(GIRDI!B12="",GIRDI!B12=0),0,ayd_netDefter/GIRDI!B12),0))</f>
        <v/>
      </c>
      <c r="C370" s="31">
        <f>IF(OR($A370="",$A370&gt;IFERROR(GIRDI!B12,0)),"",IFERROR(IF(OR(GIRDI!B12="",GIRDI!B12=0),0,(ayd_netDefter+ayd_fark)/GIRDI!B12),0))</f>
        <v/>
      </c>
      <c r="D370" s="31">
        <f>IF($B370="","",IFERROR($C370-$B370,0))</f>
        <v/>
      </c>
      <c r="E370" s="31">
        <f>IF($B370="","",IFERROR($A370*$B370,0))</f>
        <v/>
      </c>
      <c r="F370" s="31">
        <f>IF($C370="","",IFERROR($A370*$C370,0))</f>
        <v/>
      </c>
      <c r="G370" s="31">
        <f>IF($B370="","",IFERROR(MAX(0,ayd_netDefter-$E370),0))</f>
        <v/>
      </c>
      <c r="H370" s="31">
        <f>IF($C370="","",IFERROR(MAX(0,ayd_netDefter+ayd_fark-$F370),0))</f>
        <v/>
      </c>
      <c r="I370" s="31">
        <f>IF($A370="","",IF($A370&gt;IFERROR(GIRDI!B12,0),"DIŞI","AKTİF"))</f>
        <v/>
      </c>
    </row>
    <row r="371">
      <c r="B371" s="31">
        <f>IF(OR($A371="",$A371&gt;IFERROR(GIRDI!B12,0)),"",IFERROR(IF(OR(GIRDI!B12="",GIRDI!B12=0),0,ayd_netDefter/GIRDI!B12),0))</f>
        <v/>
      </c>
      <c r="C371" s="31">
        <f>IF(OR($A371="",$A371&gt;IFERROR(GIRDI!B12,0)),"",IFERROR(IF(OR(GIRDI!B12="",GIRDI!B12=0),0,(ayd_netDefter+ayd_fark)/GIRDI!B12),0))</f>
        <v/>
      </c>
      <c r="D371" s="31">
        <f>IF($B371="","",IFERROR($C371-$B371,0))</f>
        <v/>
      </c>
      <c r="E371" s="31">
        <f>IF($B371="","",IFERROR($A371*$B371,0))</f>
        <v/>
      </c>
      <c r="F371" s="31">
        <f>IF($C371="","",IFERROR($A371*$C371,0))</f>
        <v/>
      </c>
      <c r="G371" s="31">
        <f>IF($B371="","",IFERROR(MAX(0,ayd_netDefter-$E371),0))</f>
        <v/>
      </c>
      <c r="H371" s="31">
        <f>IF($C371="","",IFERROR(MAX(0,ayd_netDefter+ayd_fark-$F371),0))</f>
        <v/>
      </c>
      <c r="I371" s="31">
        <f>IF($A371="","",IF($A371&gt;IFERROR(GIRDI!B12,0),"DIŞI","AKTİF"))</f>
        <v/>
      </c>
    </row>
    <row r="372">
      <c r="B372" s="31">
        <f>IF(OR($A372="",$A372&gt;IFERROR(GIRDI!B12,0)),"",IFERROR(IF(OR(GIRDI!B12="",GIRDI!B12=0),0,ayd_netDefter/GIRDI!B12),0))</f>
        <v/>
      </c>
      <c r="C372" s="31">
        <f>IF(OR($A372="",$A372&gt;IFERROR(GIRDI!B12,0)),"",IFERROR(IF(OR(GIRDI!B12="",GIRDI!B12=0),0,(ayd_netDefter+ayd_fark)/GIRDI!B12),0))</f>
        <v/>
      </c>
      <c r="D372" s="31">
        <f>IF($B372="","",IFERROR($C372-$B372,0))</f>
        <v/>
      </c>
      <c r="E372" s="31">
        <f>IF($B372="","",IFERROR($A372*$B372,0))</f>
        <v/>
      </c>
      <c r="F372" s="31">
        <f>IF($C372="","",IFERROR($A372*$C372,0))</f>
        <v/>
      </c>
      <c r="G372" s="31">
        <f>IF($B372="","",IFERROR(MAX(0,ayd_netDefter-$E372),0))</f>
        <v/>
      </c>
      <c r="H372" s="31">
        <f>IF($C372="","",IFERROR(MAX(0,ayd_netDefter+ayd_fark-$F372),0))</f>
        <v/>
      </c>
      <c r="I372" s="31">
        <f>IF($A372="","",IF($A372&gt;IFERROR(GIRDI!B12,0),"DIŞI","AKTİF"))</f>
        <v/>
      </c>
    </row>
    <row r="373">
      <c r="B373" s="31">
        <f>IF(OR($A373="",$A373&gt;IFERROR(GIRDI!B12,0)),"",IFERROR(IF(OR(GIRDI!B12="",GIRDI!B12=0),0,ayd_netDefter/GIRDI!B12),0))</f>
        <v/>
      </c>
      <c r="C373" s="31">
        <f>IF(OR($A373="",$A373&gt;IFERROR(GIRDI!B12,0)),"",IFERROR(IF(OR(GIRDI!B12="",GIRDI!B12=0),0,(ayd_netDefter+ayd_fark)/GIRDI!B12),0))</f>
        <v/>
      </c>
      <c r="D373" s="31">
        <f>IF($B373="","",IFERROR($C373-$B373,0))</f>
        <v/>
      </c>
      <c r="E373" s="31">
        <f>IF($B373="","",IFERROR($A373*$B373,0))</f>
        <v/>
      </c>
      <c r="F373" s="31">
        <f>IF($C373="","",IFERROR($A373*$C373,0))</f>
        <v/>
      </c>
      <c r="G373" s="31">
        <f>IF($B373="","",IFERROR(MAX(0,ayd_netDefter-$E373),0))</f>
        <v/>
      </c>
      <c r="H373" s="31">
        <f>IF($C373="","",IFERROR(MAX(0,ayd_netDefter+ayd_fark-$F373),0))</f>
        <v/>
      </c>
      <c r="I373" s="31">
        <f>IF($A373="","",IF($A373&gt;IFERROR(GIRDI!B12,0),"DIŞI","AKTİF"))</f>
        <v/>
      </c>
    </row>
    <row r="374">
      <c r="B374" s="31">
        <f>IF(OR($A374="",$A374&gt;IFERROR(GIRDI!B12,0)),"",IFERROR(IF(OR(GIRDI!B12="",GIRDI!B12=0),0,ayd_netDefter/GIRDI!B12),0))</f>
        <v/>
      </c>
      <c r="C374" s="31">
        <f>IF(OR($A374="",$A374&gt;IFERROR(GIRDI!B12,0)),"",IFERROR(IF(OR(GIRDI!B12="",GIRDI!B12=0),0,(ayd_netDefter+ayd_fark)/GIRDI!B12),0))</f>
        <v/>
      </c>
      <c r="D374" s="31">
        <f>IF($B374="","",IFERROR($C374-$B374,0))</f>
        <v/>
      </c>
      <c r="E374" s="31">
        <f>IF($B374="","",IFERROR($A374*$B374,0))</f>
        <v/>
      </c>
      <c r="F374" s="31">
        <f>IF($C374="","",IFERROR($A374*$C374,0))</f>
        <v/>
      </c>
      <c r="G374" s="31">
        <f>IF($B374="","",IFERROR(MAX(0,ayd_netDefter-$E374),0))</f>
        <v/>
      </c>
      <c r="H374" s="31">
        <f>IF($C374="","",IFERROR(MAX(0,ayd_netDefter+ayd_fark-$F374),0))</f>
        <v/>
      </c>
      <c r="I374" s="31">
        <f>IF($A374="","",IF($A374&gt;IFERROR(GIRDI!B12,0),"DIŞI","AKTİF"))</f>
        <v/>
      </c>
    </row>
    <row r="375">
      <c r="B375" s="31">
        <f>IF(OR($A375="",$A375&gt;IFERROR(GIRDI!B12,0)),"",IFERROR(IF(OR(GIRDI!B12="",GIRDI!B12=0),0,ayd_netDefter/GIRDI!B12),0))</f>
        <v/>
      </c>
      <c r="C375" s="31">
        <f>IF(OR($A375="",$A375&gt;IFERROR(GIRDI!B12,0)),"",IFERROR(IF(OR(GIRDI!B12="",GIRDI!B12=0),0,(ayd_netDefter+ayd_fark)/GIRDI!B12),0))</f>
        <v/>
      </c>
      <c r="D375" s="31">
        <f>IF($B375="","",IFERROR($C375-$B375,0))</f>
        <v/>
      </c>
      <c r="E375" s="31">
        <f>IF($B375="","",IFERROR($A375*$B375,0))</f>
        <v/>
      </c>
      <c r="F375" s="31">
        <f>IF($C375="","",IFERROR($A375*$C375,0))</f>
        <v/>
      </c>
      <c r="G375" s="31">
        <f>IF($B375="","",IFERROR(MAX(0,ayd_netDefter-$E375),0))</f>
        <v/>
      </c>
      <c r="H375" s="31">
        <f>IF($C375="","",IFERROR(MAX(0,ayd_netDefter+ayd_fark-$F375),0))</f>
        <v/>
      </c>
      <c r="I375" s="31">
        <f>IF($A375="","",IF($A375&gt;IFERROR(GIRDI!B12,0),"DIŞI","AKTİF"))</f>
        <v/>
      </c>
    </row>
    <row r="376">
      <c r="B376" s="31">
        <f>IF(OR($A376="",$A376&gt;IFERROR(GIRDI!B12,0)),"",IFERROR(IF(OR(GIRDI!B12="",GIRDI!B12=0),0,ayd_netDefter/GIRDI!B12),0))</f>
        <v/>
      </c>
      <c r="C376" s="31">
        <f>IF(OR($A376="",$A376&gt;IFERROR(GIRDI!B12,0)),"",IFERROR(IF(OR(GIRDI!B12="",GIRDI!B12=0),0,(ayd_netDefter+ayd_fark)/GIRDI!B12),0))</f>
        <v/>
      </c>
      <c r="D376" s="31">
        <f>IF($B376="","",IFERROR($C376-$B376,0))</f>
        <v/>
      </c>
      <c r="E376" s="31">
        <f>IF($B376="","",IFERROR($A376*$B376,0))</f>
        <v/>
      </c>
      <c r="F376" s="31">
        <f>IF($C376="","",IFERROR($A376*$C376,0))</f>
        <v/>
      </c>
      <c r="G376" s="31">
        <f>IF($B376="","",IFERROR(MAX(0,ayd_netDefter-$E376),0))</f>
        <v/>
      </c>
      <c r="H376" s="31">
        <f>IF($C376="","",IFERROR(MAX(0,ayd_netDefter+ayd_fark-$F376),0))</f>
        <v/>
      </c>
      <c r="I376" s="31">
        <f>IF($A376="","",IF($A376&gt;IFERROR(GIRDI!B12,0),"DIŞI","AKTİF"))</f>
        <v/>
      </c>
    </row>
    <row r="377">
      <c r="B377" s="31">
        <f>IF(OR($A377="",$A377&gt;IFERROR(GIRDI!B12,0)),"",IFERROR(IF(OR(GIRDI!B12="",GIRDI!B12=0),0,ayd_netDefter/GIRDI!B12),0))</f>
        <v/>
      </c>
      <c r="C377" s="31">
        <f>IF(OR($A377="",$A377&gt;IFERROR(GIRDI!B12,0)),"",IFERROR(IF(OR(GIRDI!B12="",GIRDI!B12=0),0,(ayd_netDefter+ayd_fark)/GIRDI!B12),0))</f>
        <v/>
      </c>
      <c r="D377" s="31">
        <f>IF($B377="","",IFERROR($C377-$B377,0))</f>
        <v/>
      </c>
      <c r="E377" s="31">
        <f>IF($B377="","",IFERROR($A377*$B377,0))</f>
        <v/>
      </c>
      <c r="F377" s="31">
        <f>IF($C377="","",IFERROR($A377*$C377,0))</f>
        <v/>
      </c>
      <c r="G377" s="31">
        <f>IF($B377="","",IFERROR(MAX(0,ayd_netDefter-$E377),0))</f>
        <v/>
      </c>
      <c r="H377" s="31">
        <f>IF($C377="","",IFERROR(MAX(0,ayd_netDefter+ayd_fark-$F377),0))</f>
        <v/>
      </c>
      <c r="I377" s="31">
        <f>IF($A377="","",IF($A377&gt;IFERROR(GIRDI!B12,0),"DIŞI","AKTİF"))</f>
        <v/>
      </c>
    </row>
    <row r="378">
      <c r="B378" s="31">
        <f>IF(OR($A378="",$A378&gt;IFERROR(GIRDI!B12,0)),"",IFERROR(IF(OR(GIRDI!B12="",GIRDI!B12=0),0,ayd_netDefter/GIRDI!B12),0))</f>
        <v/>
      </c>
      <c r="C378" s="31">
        <f>IF(OR($A378="",$A378&gt;IFERROR(GIRDI!B12,0)),"",IFERROR(IF(OR(GIRDI!B12="",GIRDI!B12=0),0,(ayd_netDefter+ayd_fark)/GIRDI!B12),0))</f>
        <v/>
      </c>
      <c r="D378" s="31">
        <f>IF($B378="","",IFERROR($C378-$B378,0))</f>
        <v/>
      </c>
      <c r="E378" s="31">
        <f>IF($B378="","",IFERROR($A378*$B378,0))</f>
        <v/>
      </c>
      <c r="F378" s="31">
        <f>IF($C378="","",IFERROR($A378*$C378,0))</f>
        <v/>
      </c>
      <c r="G378" s="31">
        <f>IF($B378="","",IFERROR(MAX(0,ayd_netDefter-$E378),0))</f>
        <v/>
      </c>
      <c r="H378" s="31">
        <f>IF($C378="","",IFERROR(MAX(0,ayd_netDefter+ayd_fark-$F378),0))</f>
        <v/>
      </c>
      <c r="I378" s="31">
        <f>IF($A378="","",IF($A378&gt;IFERROR(GIRDI!B12,0),"DIŞI","AKTİF"))</f>
        <v/>
      </c>
    </row>
    <row r="379">
      <c r="B379" s="31">
        <f>IF(OR($A379="",$A379&gt;IFERROR(GIRDI!B12,0)),"",IFERROR(IF(OR(GIRDI!B12="",GIRDI!B12=0),0,ayd_netDefter/GIRDI!B12),0))</f>
        <v/>
      </c>
      <c r="C379" s="31">
        <f>IF(OR($A379="",$A379&gt;IFERROR(GIRDI!B12,0)),"",IFERROR(IF(OR(GIRDI!B12="",GIRDI!B12=0),0,(ayd_netDefter+ayd_fark)/GIRDI!B12),0))</f>
        <v/>
      </c>
      <c r="D379" s="31">
        <f>IF($B379="","",IFERROR($C379-$B379,0))</f>
        <v/>
      </c>
      <c r="E379" s="31">
        <f>IF($B379="","",IFERROR($A379*$B379,0))</f>
        <v/>
      </c>
      <c r="F379" s="31">
        <f>IF($C379="","",IFERROR($A379*$C379,0))</f>
        <v/>
      </c>
      <c r="G379" s="31">
        <f>IF($B379="","",IFERROR(MAX(0,ayd_netDefter-$E379),0))</f>
        <v/>
      </c>
      <c r="H379" s="31">
        <f>IF($C379="","",IFERROR(MAX(0,ayd_netDefter+ayd_fark-$F379),0))</f>
        <v/>
      </c>
      <c r="I379" s="31">
        <f>IF($A379="","",IF($A379&gt;IFERROR(GIRDI!B12,0),"DIŞI","AKTİF"))</f>
        <v/>
      </c>
    </row>
    <row r="380">
      <c r="B380" s="31">
        <f>IF(OR($A380="",$A380&gt;IFERROR(GIRDI!B12,0)),"",IFERROR(IF(OR(GIRDI!B12="",GIRDI!B12=0),0,ayd_netDefter/GIRDI!B12),0))</f>
        <v/>
      </c>
      <c r="C380" s="31">
        <f>IF(OR($A380="",$A380&gt;IFERROR(GIRDI!B12,0)),"",IFERROR(IF(OR(GIRDI!B12="",GIRDI!B12=0),0,(ayd_netDefter+ayd_fark)/GIRDI!B12),0))</f>
        <v/>
      </c>
      <c r="D380" s="31">
        <f>IF($B380="","",IFERROR($C380-$B380,0))</f>
        <v/>
      </c>
      <c r="E380" s="31">
        <f>IF($B380="","",IFERROR($A380*$B380,0))</f>
        <v/>
      </c>
      <c r="F380" s="31">
        <f>IF($C380="","",IFERROR($A380*$C380,0))</f>
        <v/>
      </c>
      <c r="G380" s="31">
        <f>IF($B380="","",IFERROR(MAX(0,ayd_netDefter-$E380),0))</f>
        <v/>
      </c>
      <c r="H380" s="31">
        <f>IF($C380="","",IFERROR(MAX(0,ayd_netDefter+ayd_fark-$F380),0))</f>
        <v/>
      </c>
      <c r="I380" s="31">
        <f>IF($A380="","",IF($A380&gt;IFERROR(GIRDI!B12,0),"DIŞI","AKTİF"))</f>
        <v/>
      </c>
    </row>
    <row r="381">
      <c r="B381" s="31">
        <f>IF(OR($A381="",$A381&gt;IFERROR(GIRDI!B12,0)),"",IFERROR(IF(OR(GIRDI!B12="",GIRDI!B12=0),0,ayd_netDefter/GIRDI!B12),0))</f>
        <v/>
      </c>
      <c r="C381" s="31">
        <f>IF(OR($A381="",$A381&gt;IFERROR(GIRDI!B12,0)),"",IFERROR(IF(OR(GIRDI!B12="",GIRDI!B12=0),0,(ayd_netDefter+ayd_fark)/GIRDI!B12),0))</f>
        <v/>
      </c>
      <c r="D381" s="31">
        <f>IF($B381="","",IFERROR($C381-$B381,0))</f>
        <v/>
      </c>
      <c r="E381" s="31">
        <f>IF($B381="","",IFERROR($A381*$B381,0))</f>
        <v/>
      </c>
      <c r="F381" s="31">
        <f>IF($C381="","",IFERROR($A381*$C381,0))</f>
        <v/>
      </c>
      <c r="G381" s="31">
        <f>IF($B381="","",IFERROR(MAX(0,ayd_netDefter-$E381),0))</f>
        <v/>
      </c>
      <c r="H381" s="31">
        <f>IF($C381="","",IFERROR(MAX(0,ayd_netDefter+ayd_fark-$F381),0))</f>
        <v/>
      </c>
      <c r="I381" s="31">
        <f>IF($A381="","",IF($A381&gt;IFERROR(GIRDI!B12,0),"DIŞI","AKTİF"))</f>
        <v/>
      </c>
    </row>
    <row r="382">
      <c r="B382" s="31">
        <f>IF(OR($A382="",$A382&gt;IFERROR(GIRDI!B12,0)),"",IFERROR(IF(OR(GIRDI!B12="",GIRDI!B12=0),0,ayd_netDefter/GIRDI!B12),0))</f>
        <v/>
      </c>
      <c r="C382" s="31">
        <f>IF(OR($A382="",$A382&gt;IFERROR(GIRDI!B12,0)),"",IFERROR(IF(OR(GIRDI!B12="",GIRDI!B12=0),0,(ayd_netDefter+ayd_fark)/GIRDI!B12),0))</f>
        <v/>
      </c>
      <c r="D382" s="31">
        <f>IF($B382="","",IFERROR($C382-$B382,0))</f>
        <v/>
      </c>
      <c r="E382" s="31">
        <f>IF($B382="","",IFERROR($A382*$B382,0))</f>
        <v/>
      </c>
      <c r="F382" s="31">
        <f>IF($C382="","",IFERROR($A382*$C382,0))</f>
        <v/>
      </c>
      <c r="G382" s="31">
        <f>IF($B382="","",IFERROR(MAX(0,ayd_netDefter-$E382),0))</f>
        <v/>
      </c>
      <c r="H382" s="31">
        <f>IF($C382="","",IFERROR(MAX(0,ayd_netDefter+ayd_fark-$F382),0))</f>
        <v/>
      </c>
      <c r="I382" s="31">
        <f>IF($A382="","",IF($A382&gt;IFERROR(GIRDI!B12,0),"DIŞI","AKTİF"))</f>
        <v/>
      </c>
    </row>
    <row r="383">
      <c r="B383" s="31">
        <f>IF(OR($A383="",$A383&gt;IFERROR(GIRDI!B12,0)),"",IFERROR(IF(OR(GIRDI!B12="",GIRDI!B12=0),0,ayd_netDefter/GIRDI!B12),0))</f>
        <v/>
      </c>
      <c r="C383" s="31">
        <f>IF(OR($A383="",$A383&gt;IFERROR(GIRDI!B12,0)),"",IFERROR(IF(OR(GIRDI!B12="",GIRDI!B12=0),0,(ayd_netDefter+ayd_fark)/GIRDI!B12),0))</f>
        <v/>
      </c>
      <c r="D383" s="31">
        <f>IF($B383="","",IFERROR($C383-$B383,0))</f>
        <v/>
      </c>
      <c r="E383" s="31">
        <f>IF($B383="","",IFERROR($A383*$B383,0))</f>
        <v/>
      </c>
      <c r="F383" s="31">
        <f>IF($C383="","",IFERROR($A383*$C383,0))</f>
        <v/>
      </c>
      <c r="G383" s="31">
        <f>IF($B383="","",IFERROR(MAX(0,ayd_netDefter-$E383),0))</f>
        <v/>
      </c>
      <c r="H383" s="31">
        <f>IF($C383="","",IFERROR(MAX(0,ayd_netDefter+ayd_fark-$F383),0))</f>
        <v/>
      </c>
      <c r="I383" s="31">
        <f>IF($A383="","",IF($A383&gt;IFERROR(GIRDI!B12,0),"DIŞI","AKTİF"))</f>
        <v/>
      </c>
    </row>
    <row r="384">
      <c r="B384" s="31">
        <f>IF(OR($A384="",$A384&gt;IFERROR(GIRDI!B12,0)),"",IFERROR(IF(OR(GIRDI!B12="",GIRDI!B12=0),0,ayd_netDefter/GIRDI!B12),0))</f>
        <v/>
      </c>
      <c r="C384" s="31">
        <f>IF(OR($A384="",$A384&gt;IFERROR(GIRDI!B12,0)),"",IFERROR(IF(OR(GIRDI!B12="",GIRDI!B12=0),0,(ayd_netDefter+ayd_fark)/GIRDI!B12),0))</f>
        <v/>
      </c>
      <c r="D384" s="31">
        <f>IF($B384="","",IFERROR($C384-$B384,0))</f>
        <v/>
      </c>
      <c r="E384" s="31">
        <f>IF($B384="","",IFERROR($A384*$B384,0))</f>
        <v/>
      </c>
      <c r="F384" s="31">
        <f>IF($C384="","",IFERROR($A384*$C384,0))</f>
        <v/>
      </c>
      <c r="G384" s="31">
        <f>IF($B384="","",IFERROR(MAX(0,ayd_netDefter-$E384),0))</f>
        <v/>
      </c>
      <c r="H384" s="31">
        <f>IF($C384="","",IFERROR(MAX(0,ayd_netDefter+ayd_fark-$F384),0))</f>
        <v/>
      </c>
      <c r="I384" s="31">
        <f>IF($A384="","",IF($A384&gt;IFERROR(GIRDI!B12,0),"DIŞI","AKTİF"))</f>
        <v/>
      </c>
    </row>
    <row r="385">
      <c r="B385" s="31">
        <f>IF(OR($A385="",$A385&gt;IFERROR(GIRDI!B12,0)),"",IFERROR(IF(OR(GIRDI!B12="",GIRDI!B12=0),0,ayd_netDefter/GIRDI!B12),0))</f>
        <v/>
      </c>
      <c r="C385" s="31">
        <f>IF(OR($A385="",$A385&gt;IFERROR(GIRDI!B12,0)),"",IFERROR(IF(OR(GIRDI!B12="",GIRDI!B12=0),0,(ayd_netDefter+ayd_fark)/GIRDI!B12),0))</f>
        <v/>
      </c>
      <c r="D385" s="31">
        <f>IF($B385="","",IFERROR($C385-$B385,0))</f>
        <v/>
      </c>
      <c r="E385" s="31">
        <f>IF($B385="","",IFERROR($A385*$B385,0))</f>
        <v/>
      </c>
      <c r="F385" s="31">
        <f>IF($C385="","",IFERROR($A385*$C385,0))</f>
        <v/>
      </c>
      <c r="G385" s="31">
        <f>IF($B385="","",IFERROR(MAX(0,ayd_netDefter-$E385),0))</f>
        <v/>
      </c>
      <c r="H385" s="31">
        <f>IF($C385="","",IFERROR(MAX(0,ayd_netDefter+ayd_fark-$F385),0))</f>
        <v/>
      </c>
      <c r="I385" s="31">
        <f>IF($A385="","",IF($A385&gt;IFERROR(GIRDI!B12,0),"DIŞI","AKTİF"))</f>
        <v/>
      </c>
    </row>
    <row r="386">
      <c r="B386" s="31">
        <f>IF(OR($A386="",$A386&gt;IFERROR(GIRDI!B12,0)),"",IFERROR(IF(OR(GIRDI!B12="",GIRDI!B12=0),0,ayd_netDefter/GIRDI!B12),0))</f>
        <v/>
      </c>
      <c r="C386" s="31">
        <f>IF(OR($A386="",$A386&gt;IFERROR(GIRDI!B12,0)),"",IFERROR(IF(OR(GIRDI!B12="",GIRDI!B12=0),0,(ayd_netDefter+ayd_fark)/GIRDI!B12),0))</f>
        <v/>
      </c>
      <c r="D386" s="31">
        <f>IF($B386="","",IFERROR($C386-$B386,0))</f>
        <v/>
      </c>
      <c r="E386" s="31">
        <f>IF($B386="","",IFERROR($A386*$B386,0))</f>
        <v/>
      </c>
      <c r="F386" s="31">
        <f>IF($C386="","",IFERROR($A386*$C386,0))</f>
        <v/>
      </c>
      <c r="G386" s="31">
        <f>IF($B386="","",IFERROR(MAX(0,ayd_netDefter-$E386),0))</f>
        <v/>
      </c>
      <c r="H386" s="31">
        <f>IF($C386="","",IFERROR(MAX(0,ayd_netDefter+ayd_fark-$F386),0))</f>
        <v/>
      </c>
      <c r="I386" s="31">
        <f>IF($A386="","",IF($A386&gt;IFERROR(GIRDI!B12,0),"DIŞI","AKTİF"))</f>
        <v/>
      </c>
    </row>
    <row r="387">
      <c r="B387" s="31">
        <f>IF(OR($A387="",$A387&gt;IFERROR(GIRDI!B12,0)),"",IFERROR(IF(OR(GIRDI!B12="",GIRDI!B12=0),0,ayd_netDefter/GIRDI!B12),0))</f>
        <v/>
      </c>
      <c r="C387" s="31">
        <f>IF(OR($A387="",$A387&gt;IFERROR(GIRDI!B12,0)),"",IFERROR(IF(OR(GIRDI!B12="",GIRDI!B12=0),0,(ayd_netDefter+ayd_fark)/GIRDI!B12),0))</f>
        <v/>
      </c>
      <c r="D387" s="31">
        <f>IF($B387="","",IFERROR($C387-$B387,0))</f>
        <v/>
      </c>
      <c r="E387" s="31">
        <f>IF($B387="","",IFERROR($A387*$B387,0))</f>
        <v/>
      </c>
      <c r="F387" s="31">
        <f>IF($C387="","",IFERROR($A387*$C387,0))</f>
        <v/>
      </c>
      <c r="G387" s="31">
        <f>IF($B387="","",IFERROR(MAX(0,ayd_netDefter-$E387),0))</f>
        <v/>
      </c>
      <c r="H387" s="31">
        <f>IF($C387="","",IFERROR(MAX(0,ayd_netDefter+ayd_fark-$F387),0))</f>
        <v/>
      </c>
      <c r="I387" s="31">
        <f>IF($A387="","",IF($A387&gt;IFERROR(GIRDI!B12,0),"DIŞI","AKTİF"))</f>
        <v/>
      </c>
    </row>
    <row r="388">
      <c r="B388" s="31">
        <f>IF(OR($A388="",$A388&gt;IFERROR(GIRDI!B12,0)),"",IFERROR(IF(OR(GIRDI!B12="",GIRDI!B12=0),0,ayd_netDefter/GIRDI!B12),0))</f>
        <v/>
      </c>
      <c r="C388" s="31">
        <f>IF(OR($A388="",$A388&gt;IFERROR(GIRDI!B12,0)),"",IFERROR(IF(OR(GIRDI!B12="",GIRDI!B12=0),0,(ayd_netDefter+ayd_fark)/GIRDI!B12),0))</f>
        <v/>
      </c>
      <c r="D388" s="31">
        <f>IF($B388="","",IFERROR($C388-$B388,0))</f>
        <v/>
      </c>
      <c r="E388" s="31">
        <f>IF($B388="","",IFERROR($A388*$B388,0))</f>
        <v/>
      </c>
      <c r="F388" s="31">
        <f>IF($C388="","",IFERROR($A388*$C388,0))</f>
        <v/>
      </c>
      <c r="G388" s="31">
        <f>IF($B388="","",IFERROR(MAX(0,ayd_netDefter-$E388),0))</f>
        <v/>
      </c>
      <c r="H388" s="31">
        <f>IF($C388="","",IFERROR(MAX(0,ayd_netDefter+ayd_fark-$F388),0))</f>
        <v/>
      </c>
      <c r="I388" s="31">
        <f>IF($A388="","",IF($A388&gt;IFERROR(GIRDI!B12,0),"DIŞI","AKTİF"))</f>
        <v/>
      </c>
    </row>
    <row r="389">
      <c r="B389" s="31">
        <f>IF(OR($A389="",$A389&gt;IFERROR(GIRDI!B12,0)),"",IFERROR(IF(OR(GIRDI!B12="",GIRDI!B12=0),0,ayd_netDefter/GIRDI!B12),0))</f>
        <v/>
      </c>
      <c r="C389" s="31">
        <f>IF(OR($A389="",$A389&gt;IFERROR(GIRDI!B12,0)),"",IFERROR(IF(OR(GIRDI!B12="",GIRDI!B12=0),0,(ayd_netDefter+ayd_fark)/GIRDI!B12),0))</f>
        <v/>
      </c>
      <c r="D389" s="31">
        <f>IF($B389="","",IFERROR($C389-$B389,0))</f>
        <v/>
      </c>
      <c r="E389" s="31">
        <f>IF($B389="","",IFERROR($A389*$B389,0))</f>
        <v/>
      </c>
      <c r="F389" s="31">
        <f>IF($C389="","",IFERROR($A389*$C389,0))</f>
        <v/>
      </c>
      <c r="G389" s="31">
        <f>IF($B389="","",IFERROR(MAX(0,ayd_netDefter-$E389),0))</f>
        <v/>
      </c>
      <c r="H389" s="31">
        <f>IF($C389="","",IFERROR(MAX(0,ayd_netDefter+ayd_fark-$F389),0))</f>
        <v/>
      </c>
      <c r="I389" s="31">
        <f>IF($A389="","",IF($A389&gt;IFERROR(GIRDI!B12,0),"DIŞI","AKTİF"))</f>
        <v/>
      </c>
    </row>
    <row r="390">
      <c r="B390" s="31">
        <f>IF(OR($A390="",$A390&gt;IFERROR(GIRDI!B12,0)),"",IFERROR(IF(OR(GIRDI!B12="",GIRDI!B12=0),0,ayd_netDefter/GIRDI!B12),0))</f>
        <v/>
      </c>
      <c r="C390" s="31">
        <f>IF(OR($A390="",$A390&gt;IFERROR(GIRDI!B12,0)),"",IFERROR(IF(OR(GIRDI!B12="",GIRDI!B12=0),0,(ayd_netDefter+ayd_fark)/GIRDI!B12),0))</f>
        <v/>
      </c>
      <c r="D390" s="31">
        <f>IF($B390="","",IFERROR($C390-$B390,0))</f>
        <v/>
      </c>
      <c r="E390" s="31">
        <f>IF($B390="","",IFERROR($A390*$B390,0))</f>
        <v/>
      </c>
      <c r="F390" s="31">
        <f>IF($C390="","",IFERROR($A390*$C390,0))</f>
        <v/>
      </c>
      <c r="G390" s="31">
        <f>IF($B390="","",IFERROR(MAX(0,ayd_netDefter-$E390),0))</f>
        <v/>
      </c>
      <c r="H390" s="31">
        <f>IF($C390="","",IFERROR(MAX(0,ayd_netDefter+ayd_fark-$F390),0))</f>
        <v/>
      </c>
      <c r="I390" s="31">
        <f>IF($A390="","",IF($A390&gt;IFERROR(GIRDI!B12,0),"DIŞI","AKTİF"))</f>
        <v/>
      </c>
    </row>
    <row r="391">
      <c r="B391" s="31">
        <f>IF(OR($A391="",$A391&gt;IFERROR(GIRDI!B12,0)),"",IFERROR(IF(OR(GIRDI!B12="",GIRDI!B12=0),0,ayd_netDefter/GIRDI!B12),0))</f>
        <v/>
      </c>
      <c r="C391" s="31">
        <f>IF(OR($A391="",$A391&gt;IFERROR(GIRDI!B12,0)),"",IFERROR(IF(OR(GIRDI!B12="",GIRDI!B12=0),0,(ayd_netDefter+ayd_fark)/GIRDI!B12),0))</f>
        <v/>
      </c>
      <c r="D391" s="31">
        <f>IF($B391="","",IFERROR($C391-$B391,0))</f>
        <v/>
      </c>
      <c r="E391" s="31">
        <f>IF($B391="","",IFERROR($A391*$B391,0))</f>
        <v/>
      </c>
      <c r="F391" s="31">
        <f>IF($C391="","",IFERROR($A391*$C391,0))</f>
        <v/>
      </c>
      <c r="G391" s="31">
        <f>IF($B391="","",IFERROR(MAX(0,ayd_netDefter-$E391),0))</f>
        <v/>
      </c>
      <c r="H391" s="31">
        <f>IF($C391="","",IFERROR(MAX(0,ayd_netDefter+ayd_fark-$F391),0))</f>
        <v/>
      </c>
      <c r="I391" s="31">
        <f>IF($A391="","",IF($A391&gt;IFERROR(GIRDI!B12,0),"DIŞI","AKTİF"))</f>
        <v/>
      </c>
    </row>
    <row r="392">
      <c r="B392" s="31">
        <f>IF(OR($A392="",$A392&gt;IFERROR(GIRDI!B12,0)),"",IFERROR(IF(OR(GIRDI!B12="",GIRDI!B12=0),0,ayd_netDefter/GIRDI!B12),0))</f>
        <v/>
      </c>
      <c r="C392" s="31">
        <f>IF(OR($A392="",$A392&gt;IFERROR(GIRDI!B12,0)),"",IFERROR(IF(OR(GIRDI!B12="",GIRDI!B12=0),0,(ayd_netDefter+ayd_fark)/GIRDI!B12),0))</f>
        <v/>
      </c>
      <c r="D392" s="31">
        <f>IF($B392="","",IFERROR($C392-$B392,0))</f>
        <v/>
      </c>
      <c r="E392" s="31">
        <f>IF($B392="","",IFERROR($A392*$B392,0))</f>
        <v/>
      </c>
      <c r="F392" s="31">
        <f>IF($C392="","",IFERROR($A392*$C392,0))</f>
        <v/>
      </c>
      <c r="G392" s="31">
        <f>IF($B392="","",IFERROR(MAX(0,ayd_netDefter-$E392),0))</f>
        <v/>
      </c>
      <c r="H392" s="31">
        <f>IF($C392="","",IFERROR(MAX(0,ayd_netDefter+ayd_fark-$F392),0))</f>
        <v/>
      </c>
      <c r="I392" s="31">
        <f>IF($A392="","",IF($A392&gt;IFERROR(GIRDI!B12,0),"DIŞI","AKTİF"))</f>
        <v/>
      </c>
    </row>
    <row r="393">
      <c r="B393" s="31">
        <f>IF(OR($A393="",$A393&gt;IFERROR(GIRDI!B12,0)),"",IFERROR(IF(OR(GIRDI!B12="",GIRDI!B12=0),0,ayd_netDefter/GIRDI!B12),0))</f>
        <v/>
      </c>
      <c r="C393" s="31">
        <f>IF(OR($A393="",$A393&gt;IFERROR(GIRDI!B12,0)),"",IFERROR(IF(OR(GIRDI!B12="",GIRDI!B12=0),0,(ayd_netDefter+ayd_fark)/GIRDI!B12),0))</f>
        <v/>
      </c>
      <c r="D393" s="31">
        <f>IF($B393="","",IFERROR($C393-$B393,0))</f>
        <v/>
      </c>
      <c r="E393" s="31">
        <f>IF($B393="","",IFERROR($A393*$B393,0))</f>
        <v/>
      </c>
      <c r="F393" s="31">
        <f>IF($C393="","",IFERROR($A393*$C393,0))</f>
        <v/>
      </c>
      <c r="G393" s="31">
        <f>IF($B393="","",IFERROR(MAX(0,ayd_netDefter-$E393),0))</f>
        <v/>
      </c>
      <c r="H393" s="31">
        <f>IF($C393="","",IFERROR(MAX(0,ayd_netDefter+ayd_fark-$F393),0))</f>
        <v/>
      </c>
      <c r="I393" s="31">
        <f>IF($A393="","",IF($A393&gt;IFERROR(GIRDI!B12,0),"DIŞI","AKTİF"))</f>
        <v/>
      </c>
    </row>
    <row r="394">
      <c r="B394" s="31">
        <f>IF(OR($A394="",$A394&gt;IFERROR(GIRDI!B12,0)),"",IFERROR(IF(OR(GIRDI!B12="",GIRDI!B12=0),0,ayd_netDefter/GIRDI!B12),0))</f>
        <v/>
      </c>
      <c r="C394" s="31">
        <f>IF(OR($A394="",$A394&gt;IFERROR(GIRDI!B12,0)),"",IFERROR(IF(OR(GIRDI!B12="",GIRDI!B12=0),0,(ayd_netDefter+ayd_fark)/GIRDI!B12),0))</f>
        <v/>
      </c>
      <c r="D394" s="31">
        <f>IF($B394="","",IFERROR($C394-$B394,0))</f>
        <v/>
      </c>
      <c r="E394" s="31">
        <f>IF($B394="","",IFERROR($A394*$B394,0))</f>
        <v/>
      </c>
      <c r="F394" s="31">
        <f>IF($C394="","",IFERROR($A394*$C394,0))</f>
        <v/>
      </c>
      <c r="G394" s="31">
        <f>IF($B394="","",IFERROR(MAX(0,ayd_netDefter-$E394),0))</f>
        <v/>
      </c>
      <c r="H394" s="31">
        <f>IF($C394="","",IFERROR(MAX(0,ayd_netDefter+ayd_fark-$F394),0))</f>
        <v/>
      </c>
      <c r="I394" s="31">
        <f>IF($A394="","",IF($A394&gt;IFERROR(GIRDI!B12,0),"DIŞI","AKTİF"))</f>
        <v/>
      </c>
    </row>
    <row r="395">
      <c r="B395" s="31">
        <f>IF(OR($A395="",$A395&gt;IFERROR(GIRDI!B12,0)),"",IFERROR(IF(OR(GIRDI!B12="",GIRDI!B12=0),0,ayd_netDefter/GIRDI!B12),0))</f>
        <v/>
      </c>
      <c r="C395" s="31">
        <f>IF(OR($A395="",$A395&gt;IFERROR(GIRDI!B12,0)),"",IFERROR(IF(OR(GIRDI!B12="",GIRDI!B12=0),0,(ayd_netDefter+ayd_fark)/GIRDI!B12),0))</f>
        <v/>
      </c>
      <c r="D395" s="31">
        <f>IF($B395="","",IFERROR($C395-$B395,0))</f>
        <v/>
      </c>
      <c r="E395" s="31">
        <f>IF($B395="","",IFERROR($A395*$B395,0))</f>
        <v/>
      </c>
      <c r="F395" s="31">
        <f>IF($C395="","",IFERROR($A395*$C395,0))</f>
        <v/>
      </c>
      <c r="G395" s="31">
        <f>IF($B395="","",IFERROR(MAX(0,ayd_netDefter-$E395),0))</f>
        <v/>
      </c>
      <c r="H395" s="31">
        <f>IF($C395="","",IFERROR(MAX(0,ayd_netDefter+ayd_fark-$F395),0))</f>
        <v/>
      </c>
      <c r="I395" s="31">
        <f>IF($A395="","",IF($A395&gt;IFERROR(GIRDI!B12,0),"DIŞI","AKTİF"))</f>
        <v/>
      </c>
    </row>
    <row r="396">
      <c r="B396" s="31">
        <f>IF(OR($A396="",$A396&gt;IFERROR(GIRDI!B12,0)),"",IFERROR(IF(OR(GIRDI!B12="",GIRDI!B12=0),0,ayd_netDefter/GIRDI!B12),0))</f>
        <v/>
      </c>
      <c r="C396" s="31">
        <f>IF(OR($A396="",$A396&gt;IFERROR(GIRDI!B12,0)),"",IFERROR(IF(OR(GIRDI!B12="",GIRDI!B12=0),0,(ayd_netDefter+ayd_fark)/GIRDI!B12),0))</f>
        <v/>
      </c>
      <c r="D396" s="31">
        <f>IF($B396="","",IFERROR($C396-$B396,0))</f>
        <v/>
      </c>
      <c r="E396" s="31">
        <f>IF($B396="","",IFERROR($A396*$B396,0))</f>
        <v/>
      </c>
      <c r="F396" s="31">
        <f>IF($C396="","",IFERROR($A396*$C396,0))</f>
        <v/>
      </c>
      <c r="G396" s="31">
        <f>IF($B396="","",IFERROR(MAX(0,ayd_netDefter-$E396),0))</f>
        <v/>
      </c>
      <c r="H396" s="31">
        <f>IF($C396="","",IFERROR(MAX(0,ayd_netDefter+ayd_fark-$F396),0))</f>
        <v/>
      </c>
      <c r="I396" s="31">
        <f>IF($A396="","",IF($A396&gt;IFERROR(GIRDI!B12,0),"DIŞI","AKTİF"))</f>
        <v/>
      </c>
    </row>
    <row r="397">
      <c r="B397" s="31">
        <f>IF(OR($A397="",$A397&gt;IFERROR(GIRDI!B12,0)),"",IFERROR(IF(OR(GIRDI!B12="",GIRDI!B12=0),0,ayd_netDefter/GIRDI!B12),0))</f>
        <v/>
      </c>
      <c r="C397" s="31">
        <f>IF(OR($A397="",$A397&gt;IFERROR(GIRDI!B12,0)),"",IFERROR(IF(OR(GIRDI!B12="",GIRDI!B12=0),0,(ayd_netDefter+ayd_fark)/GIRDI!B12),0))</f>
        <v/>
      </c>
      <c r="D397" s="31">
        <f>IF($B397="","",IFERROR($C397-$B397,0))</f>
        <v/>
      </c>
      <c r="E397" s="31">
        <f>IF($B397="","",IFERROR($A397*$B397,0))</f>
        <v/>
      </c>
      <c r="F397" s="31">
        <f>IF($C397="","",IFERROR($A397*$C397,0))</f>
        <v/>
      </c>
      <c r="G397" s="31">
        <f>IF($B397="","",IFERROR(MAX(0,ayd_netDefter-$E397),0))</f>
        <v/>
      </c>
      <c r="H397" s="31">
        <f>IF($C397="","",IFERROR(MAX(0,ayd_netDefter+ayd_fark-$F397),0))</f>
        <v/>
      </c>
      <c r="I397" s="31">
        <f>IF($A397="","",IF($A397&gt;IFERROR(GIRDI!B12,0),"DIŞI","AKTİF"))</f>
        <v/>
      </c>
    </row>
    <row r="398">
      <c r="B398" s="31">
        <f>IF(OR($A398="",$A398&gt;IFERROR(GIRDI!B12,0)),"",IFERROR(IF(OR(GIRDI!B12="",GIRDI!B12=0),0,ayd_netDefter/GIRDI!B12),0))</f>
        <v/>
      </c>
      <c r="C398" s="31">
        <f>IF(OR($A398="",$A398&gt;IFERROR(GIRDI!B12,0)),"",IFERROR(IF(OR(GIRDI!B12="",GIRDI!B12=0),0,(ayd_netDefter+ayd_fark)/GIRDI!B12),0))</f>
        <v/>
      </c>
      <c r="D398" s="31">
        <f>IF($B398="","",IFERROR($C398-$B398,0))</f>
        <v/>
      </c>
      <c r="E398" s="31">
        <f>IF($B398="","",IFERROR($A398*$B398,0))</f>
        <v/>
      </c>
      <c r="F398" s="31">
        <f>IF($C398="","",IFERROR($A398*$C398,0))</f>
        <v/>
      </c>
      <c r="G398" s="31">
        <f>IF($B398="","",IFERROR(MAX(0,ayd_netDefter-$E398),0))</f>
        <v/>
      </c>
      <c r="H398" s="31">
        <f>IF($C398="","",IFERROR(MAX(0,ayd_netDefter+ayd_fark-$F398),0))</f>
        <v/>
      </c>
      <c r="I398" s="31">
        <f>IF($A398="","",IF($A398&gt;IFERROR(GIRDI!B12,0),"DIŞI","AKTİF"))</f>
        <v/>
      </c>
    </row>
    <row r="399">
      <c r="B399" s="31">
        <f>IF(OR($A399="",$A399&gt;IFERROR(GIRDI!B12,0)),"",IFERROR(IF(OR(GIRDI!B12="",GIRDI!B12=0),0,ayd_netDefter/GIRDI!B12),0))</f>
        <v/>
      </c>
      <c r="C399" s="31">
        <f>IF(OR($A399="",$A399&gt;IFERROR(GIRDI!B12,0)),"",IFERROR(IF(OR(GIRDI!B12="",GIRDI!B12=0),0,(ayd_netDefter+ayd_fark)/GIRDI!B12),0))</f>
        <v/>
      </c>
      <c r="D399" s="31">
        <f>IF($B399="","",IFERROR($C399-$B399,0))</f>
        <v/>
      </c>
      <c r="E399" s="31">
        <f>IF($B399="","",IFERROR($A399*$B399,0))</f>
        <v/>
      </c>
      <c r="F399" s="31">
        <f>IF($C399="","",IFERROR($A399*$C399,0))</f>
        <v/>
      </c>
      <c r="G399" s="31">
        <f>IF($B399="","",IFERROR(MAX(0,ayd_netDefter-$E399),0))</f>
        <v/>
      </c>
      <c r="H399" s="31">
        <f>IF($C399="","",IFERROR(MAX(0,ayd_netDefter+ayd_fark-$F399),0))</f>
        <v/>
      </c>
      <c r="I399" s="31">
        <f>IF($A399="","",IF($A399&gt;IFERROR(GIRDI!B12,0),"DIŞI","AKTİF"))</f>
        <v/>
      </c>
    </row>
    <row r="400">
      <c r="B400" s="31">
        <f>IF(OR($A400="",$A400&gt;IFERROR(GIRDI!B12,0)),"",IFERROR(IF(OR(GIRDI!B12="",GIRDI!B12=0),0,ayd_netDefter/GIRDI!B12),0))</f>
        <v/>
      </c>
      <c r="C400" s="31">
        <f>IF(OR($A400="",$A400&gt;IFERROR(GIRDI!B12,0)),"",IFERROR(IF(OR(GIRDI!B12="",GIRDI!B12=0),0,(ayd_netDefter+ayd_fark)/GIRDI!B12),0))</f>
        <v/>
      </c>
      <c r="D400" s="31">
        <f>IF($B400="","",IFERROR($C400-$B400,0))</f>
        <v/>
      </c>
      <c r="E400" s="31">
        <f>IF($B400="","",IFERROR($A400*$B400,0))</f>
        <v/>
      </c>
      <c r="F400" s="31">
        <f>IF($C400="","",IFERROR($A400*$C400,0))</f>
        <v/>
      </c>
      <c r="G400" s="31">
        <f>IF($B400="","",IFERROR(MAX(0,ayd_netDefter-$E400),0))</f>
        <v/>
      </c>
      <c r="H400" s="31">
        <f>IF($C400="","",IFERROR(MAX(0,ayd_netDefter+ayd_fark-$F400),0))</f>
        <v/>
      </c>
      <c r="I400" s="31">
        <f>IF($A400="","",IF($A400&gt;IFERROR(GIRDI!B12,0),"DIŞI","AKTİF"))</f>
        <v/>
      </c>
    </row>
    <row r="401">
      <c r="B401" s="31">
        <f>IF(OR($A401="",$A401&gt;IFERROR(GIRDI!B12,0)),"",IFERROR(IF(OR(GIRDI!B12="",GIRDI!B12=0),0,ayd_netDefter/GIRDI!B12),0))</f>
        <v/>
      </c>
      <c r="C401" s="31">
        <f>IF(OR($A401="",$A401&gt;IFERROR(GIRDI!B12,0)),"",IFERROR(IF(OR(GIRDI!B12="",GIRDI!B12=0),0,(ayd_netDefter+ayd_fark)/GIRDI!B12),0))</f>
        <v/>
      </c>
      <c r="D401" s="31">
        <f>IF($B401="","",IFERROR($C401-$B401,0))</f>
        <v/>
      </c>
      <c r="E401" s="31">
        <f>IF($B401="","",IFERROR($A401*$B401,0))</f>
        <v/>
      </c>
      <c r="F401" s="31">
        <f>IF($C401="","",IFERROR($A401*$C401,0))</f>
        <v/>
      </c>
      <c r="G401" s="31">
        <f>IF($B401="","",IFERROR(MAX(0,ayd_netDefter-$E401),0))</f>
        <v/>
      </c>
      <c r="H401" s="31">
        <f>IF($C401="","",IFERROR(MAX(0,ayd_netDefter+ayd_fark-$F401),0))</f>
        <v/>
      </c>
      <c r="I401" s="31">
        <f>IF($A401="","",IF($A401&gt;IFERROR(GIRDI!B12,0),"DIŞI","AKTİF"))</f>
        <v/>
      </c>
    </row>
    <row r="402">
      <c r="B402" s="31">
        <f>IF(OR($A402="",$A402&gt;IFERROR(GIRDI!B12,0)),"",IFERROR(IF(OR(GIRDI!B12="",GIRDI!B12=0),0,ayd_netDefter/GIRDI!B12),0))</f>
        <v/>
      </c>
      <c r="C402" s="31">
        <f>IF(OR($A402="",$A402&gt;IFERROR(GIRDI!B12,0)),"",IFERROR(IF(OR(GIRDI!B12="",GIRDI!B12=0),0,(ayd_netDefter+ayd_fark)/GIRDI!B12),0))</f>
        <v/>
      </c>
      <c r="D402" s="31">
        <f>IF($B402="","",IFERROR($C402-$B402,0))</f>
        <v/>
      </c>
      <c r="E402" s="31">
        <f>IF($B402="","",IFERROR($A402*$B402,0))</f>
        <v/>
      </c>
      <c r="F402" s="31">
        <f>IF($C402="","",IFERROR($A402*$C402,0))</f>
        <v/>
      </c>
      <c r="G402" s="31">
        <f>IF($B402="","",IFERROR(MAX(0,ayd_netDefter-$E402),0))</f>
        <v/>
      </c>
      <c r="H402" s="31">
        <f>IF($C402="","",IFERROR(MAX(0,ayd_netDefter+ayd_fark-$F402),0))</f>
        <v/>
      </c>
      <c r="I402" s="31">
        <f>IF($A402="","",IF($A402&gt;IFERROR(GIRDI!B12,0),"DIŞI","AKTİF"))</f>
        <v/>
      </c>
    </row>
    <row r="403">
      <c r="B403" s="31">
        <f>IF(OR($A403="",$A403&gt;IFERROR(GIRDI!B12,0)),"",IFERROR(IF(OR(GIRDI!B12="",GIRDI!B12=0),0,ayd_netDefter/GIRDI!B12),0))</f>
        <v/>
      </c>
      <c r="C403" s="31">
        <f>IF(OR($A403="",$A403&gt;IFERROR(GIRDI!B12,0)),"",IFERROR(IF(OR(GIRDI!B12="",GIRDI!B12=0),0,(ayd_netDefter+ayd_fark)/GIRDI!B12),0))</f>
        <v/>
      </c>
      <c r="D403" s="31">
        <f>IF($B403="","",IFERROR($C403-$B403,0))</f>
        <v/>
      </c>
      <c r="E403" s="31">
        <f>IF($B403="","",IFERROR($A403*$B403,0))</f>
        <v/>
      </c>
      <c r="F403" s="31">
        <f>IF($C403="","",IFERROR($A403*$C403,0))</f>
        <v/>
      </c>
      <c r="G403" s="31">
        <f>IF($B403="","",IFERROR(MAX(0,ayd_netDefter-$E403),0))</f>
        <v/>
      </c>
      <c r="H403" s="31">
        <f>IF($C403="","",IFERROR(MAX(0,ayd_netDefter+ayd_fark-$F403),0))</f>
        <v/>
      </c>
      <c r="I403" s="31">
        <f>IF($A403="","",IF($A403&gt;IFERROR(GIRDI!B12,0),"DIŞI","AKTİF"))</f>
        <v/>
      </c>
    </row>
    <row r="404">
      <c r="B404" s="31">
        <f>IF(OR($A404="",$A404&gt;IFERROR(GIRDI!B12,0)),"",IFERROR(IF(OR(GIRDI!B12="",GIRDI!B12=0),0,ayd_netDefter/GIRDI!B12),0))</f>
        <v/>
      </c>
      <c r="C404" s="31">
        <f>IF(OR($A404="",$A404&gt;IFERROR(GIRDI!B12,0)),"",IFERROR(IF(OR(GIRDI!B12="",GIRDI!B12=0),0,(ayd_netDefter+ayd_fark)/GIRDI!B12),0))</f>
        <v/>
      </c>
      <c r="D404" s="31">
        <f>IF($B404="","",IFERROR($C404-$B404,0))</f>
        <v/>
      </c>
      <c r="E404" s="31">
        <f>IF($B404="","",IFERROR($A404*$B404,0))</f>
        <v/>
      </c>
      <c r="F404" s="31">
        <f>IF($C404="","",IFERROR($A404*$C404,0))</f>
        <v/>
      </c>
      <c r="G404" s="31">
        <f>IF($B404="","",IFERROR(MAX(0,ayd_netDefter-$E404),0))</f>
        <v/>
      </c>
      <c r="H404" s="31">
        <f>IF($C404="","",IFERROR(MAX(0,ayd_netDefter+ayd_fark-$F404),0))</f>
        <v/>
      </c>
      <c r="I404" s="31">
        <f>IF($A404="","",IF($A404&gt;IFERROR(GIRDI!B12,0),"DIŞI","AKTİF"))</f>
        <v/>
      </c>
    </row>
    <row r="405">
      <c r="B405" s="31">
        <f>IF(OR($A405="",$A405&gt;IFERROR(GIRDI!B12,0)),"",IFERROR(IF(OR(GIRDI!B12="",GIRDI!B12=0),0,ayd_netDefter/GIRDI!B12),0))</f>
        <v/>
      </c>
      <c r="C405" s="31">
        <f>IF(OR($A405="",$A405&gt;IFERROR(GIRDI!B12,0)),"",IFERROR(IF(OR(GIRDI!B12="",GIRDI!B12=0),0,(ayd_netDefter+ayd_fark)/GIRDI!B12),0))</f>
        <v/>
      </c>
      <c r="D405" s="31">
        <f>IF($B405="","",IFERROR($C405-$B405,0))</f>
        <v/>
      </c>
      <c r="E405" s="31">
        <f>IF($B405="","",IFERROR($A405*$B405,0))</f>
        <v/>
      </c>
      <c r="F405" s="31">
        <f>IF($C405="","",IFERROR($A405*$C405,0))</f>
        <v/>
      </c>
      <c r="G405" s="31">
        <f>IF($B405="","",IFERROR(MAX(0,ayd_netDefter-$E405),0))</f>
        <v/>
      </c>
      <c r="H405" s="31">
        <f>IF($C405="","",IFERROR(MAX(0,ayd_netDefter+ayd_fark-$F405),0))</f>
        <v/>
      </c>
      <c r="I405" s="31">
        <f>IF($A405="","",IF($A405&gt;IFERROR(GIRDI!B12,0),"DIŞI","AKTİF"))</f>
        <v/>
      </c>
    </row>
    <row r="406">
      <c r="B406" s="31">
        <f>IF(OR($A406="",$A406&gt;IFERROR(GIRDI!B12,0)),"",IFERROR(IF(OR(GIRDI!B12="",GIRDI!B12=0),0,ayd_netDefter/GIRDI!B12),0))</f>
        <v/>
      </c>
      <c r="C406" s="31">
        <f>IF(OR($A406="",$A406&gt;IFERROR(GIRDI!B12,0)),"",IFERROR(IF(OR(GIRDI!B12="",GIRDI!B12=0),0,(ayd_netDefter+ayd_fark)/GIRDI!B12),0))</f>
        <v/>
      </c>
      <c r="D406" s="31">
        <f>IF($B406="","",IFERROR($C406-$B406,0))</f>
        <v/>
      </c>
      <c r="E406" s="31">
        <f>IF($B406="","",IFERROR($A406*$B406,0))</f>
        <v/>
      </c>
      <c r="F406" s="31">
        <f>IF($C406="","",IFERROR($A406*$C406,0))</f>
        <v/>
      </c>
      <c r="G406" s="31">
        <f>IF($B406="","",IFERROR(MAX(0,ayd_netDefter-$E406),0))</f>
        <v/>
      </c>
      <c r="H406" s="31">
        <f>IF($C406="","",IFERROR(MAX(0,ayd_netDefter+ayd_fark-$F406),0))</f>
        <v/>
      </c>
      <c r="I406" s="31">
        <f>IF($A406="","",IF($A406&gt;IFERROR(GIRDI!B12,0),"DIŞI","AKTİF"))</f>
        <v/>
      </c>
    </row>
    <row r="407">
      <c r="B407" s="31">
        <f>IF(OR($A407="",$A407&gt;IFERROR(GIRDI!B12,0)),"",IFERROR(IF(OR(GIRDI!B12="",GIRDI!B12=0),0,ayd_netDefter/GIRDI!B12),0))</f>
        <v/>
      </c>
      <c r="C407" s="31">
        <f>IF(OR($A407="",$A407&gt;IFERROR(GIRDI!B12,0)),"",IFERROR(IF(OR(GIRDI!B12="",GIRDI!B12=0),0,(ayd_netDefter+ayd_fark)/GIRDI!B12),0))</f>
        <v/>
      </c>
      <c r="D407" s="31">
        <f>IF($B407="","",IFERROR($C407-$B407,0))</f>
        <v/>
      </c>
      <c r="E407" s="31">
        <f>IF($B407="","",IFERROR($A407*$B407,0))</f>
        <v/>
      </c>
      <c r="F407" s="31">
        <f>IF($C407="","",IFERROR($A407*$C407,0))</f>
        <v/>
      </c>
      <c r="G407" s="31">
        <f>IF($B407="","",IFERROR(MAX(0,ayd_netDefter-$E407),0))</f>
        <v/>
      </c>
      <c r="H407" s="31">
        <f>IF($C407="","",IFERROR(MAX(0,ayd_netDefter+ayd_fark-$F407),0))</f>
        <v/>
      </c>
      <c r="I407" s="31">
        <f>IF($A407="","",IF($A407&gt;IFERROR(GIRDI!B12,0),"DIŞI","AKTİF"))</f>
        <v/>
      </c>
    </row>
    <row r="408">
      <c r="B408" s="31">
        <f>IF(OR($A408="",$A408&gt;IFERROR(GIRDI!B12,0)),"",IFERROR(IF(OR(GIRDI!B12="",GIRDI!B12=0),0,ayd_netDefter/GIRDI!B12),0))</f>
        <v/>
      </c>
      <c r="C408" s="31">
        <f>IF(OR($A408="",$A408&gt;IFERROR(GIRDI!B12,0)),"",IFERROR(IF(OR(GIRDI!B12="",GIRDI!B12=0),0,(ayd_netDefter+ayd_fark)/GIRDI!B12),0))</f>
        <v/>
      </c>
      <c r="D408" s="31">
        <f>IF($B408="","",IFERROR($C408-$B408,0))</f>
        <v/>
      </c>
      <c r="E408" s="31">
        <f>IF($B408="","",IFERROR($A408*$B408,0))</f>
        <v/>
      </c>
      <c r="F408" s="31">
        <f>IF($C408="","",IFERROR($A408*$C408,0))</f>
        <v/>
      </c>
      <c r="G408" s="31">
        <f>IF($B408="","",IFERROR(MAX(0,ayd_netDefter-$E408),0))</f>
        <v/>
      </c>
      <c r="H408" s="31">
        <f>IF($C408="","",IFERROR(MAX(0,ayd_netDefter+ayd_fark-$F408),0))</f>
        <v/>
      </c>
      <c r="I408" s="31">
        <f>IF($A408="","",IF($A408&gt;IFERROR(GIRDI!B12,0),"DIŞI","AKTİF"))</f>
        <v/>
      </c>
    </row>
    <row r="409">
      <c r="B409" s="31">
        <f>IF(OR($A409="",$A409&gt;IFERROR(GIRDI!B12,0)),"",IFERROR(IF(OR(GIRDI!B12="",GIRDI!B12=0),0,ayd_netDefter/GIRDI!B12),0))</f>
        <v/>
      </c>
      <c r="C409" s="31">
        <f>IF(OR($A409="",$A409&gt;IFERROR(GIRDI!B12,0)),"",IFERROR(IF(OR(GIRDI!B12="",GIRDI!B12=0),0,(ayd_netDefter+ayd_fark)/GIRDI!B12),0))</f>
        <v/>
      </c>
      <c r="D409" s="31">
        <f>IF($B409="","",IFERROR($C409-$B409,0))</f>
        <v/>
      </c>
      <c r="E409" s="31">
        <f>IF($B409="","",IFERROR($A409*$B409,0))</f>
        <v/>
      </c>
      <c r="F409" s="31">
        <f>IF($C409="","",IFERROR($A409*$C409,0))</f>
        <v/>
      </c>
      <c r="G409" s="31">
        <f>IF($B409="","",IFERROR(MAX(0,ayd_netDefter-$E409),0))</f>
        <v/>
      </c>
      <c r="H409" s="31">
        <f>IF($C409="","",IFERROR(MAX(0,ayd_netDefter+ayd_fark-$F409),0))</f>
        <v/>
      </c>
      <c r="I409" s="31">
        <f>IF($A409="","",IF($A409&gt;IFERROR(GIRDI!B12,0),"DIŞI","AKTİF"))</f>
        <v/>
      </c>
    </row>
    <row r="410">
      <c r="B410" s="31">
        <f>IF(OR($A410="",$A410&gt;IFERROR(GIRDI!B12,0)),"",IFERROR(IF(OR(GIRDI!B12="",GIRDI!B12=0),0,ayd_netDefter/GIRDI!B12),0))</f>
        <v/>
      </c>
      <c r="C410" s="31">
        <f>IF(OR($A410="",$A410&gt;IFERROR(GIRDI!B12,0)),"",IFERROR(IF(OR(GIRDI!B12="",GIRDI!B12=0),0,(ayd_netDefter+ayd_fark)/GIRDI!B12),0))</f>
        <v/>
      </c>
      <c r="D410" s="31">
        <f>IF($B410="","",IFERROR($C410-$B410,0))</f>
        <v/>
      </c>
      <c r="E410" s="31">
        <f>IF($B410="","",IFERROR($A410*$B410,0))</f>
        <v/>
      </c>
      <c r="F410" s="31">
        <f>IF($C410="","",IFERROR($A410*$C410,0))</f>
        <v/>
      </c>
      <c r="G410" s="31">
        <f>IF($B410="","",IFERROR(MAX(0,ayd_netDefter-$E410),0))</f>
        <v/>
      </c>
      <c r="H410" s="31">
        <f>IF($C410="","",IFERROR(MAX(0,ayd_netDefter+ayd_fark-$F410),0))</f>
        <v/>
      </c>
      <c r="I410" s="31">
        <f>IF($A410="","",IF($A410&gt;IFERROR(GIRDI!B12,0),"DIŞI","AKTİF"))</f>
        <v/>
      </c>
    </row>
    <row r="411">
      <c r="B411" s="31">
        <f>IF(OR($A411="",$A411&gt;IFERROR(GIRDI!B12,0)),"",IFERROR(IF(OR(GIRDI!B12="",GIRDI!B12=0),0,ayd_netDefter/GIRDI!B12),0))</f>
        <v/>
      </c>
      <c r="C411" s="31">
        <f>IF(OR($A411="",$A411&gt;IFERROR(GIRDI!B12,0)),"",IFERROR(IF(OR(GIRDI!B12="",GIRDI!B12=0),0,(ayd_netDefter+ayd_fark)/GIRDI!B12),0))</f>
        <v/>
      </c>
      <c r="D411" s="31">
        <f>IF($B411="","",IFERROR($C411-$B411,0))</f>
        <v/>
      </c>
      <c r="E411" s="31">
        <f>IF($B411="","",IFERROR($A411*$B411,0))</f>
        <v/>
      </c>
      <c r="F411" s="31">
        <f>IF($C411="","",IFERROR($A411*$C411,0))</f>
        <v/>
      </c>
      <c r="G411" s="31">
        <f>IF($B411="","",IFERROR(MAX(0,ayd_netDefter-$E411),0))</f>
        <v/>
      </c>
      <c r="H411" s="31">
        <f>IF($C411="","",IFERROR(MAX(0,ayd_netDefter+ayd_fark-$F411),0))</f>
        <v/>
      </c>
      <c r="I411" s="31">
        <f>IF($A411="","",IF($A411&gt;IFERROR(GIRDI!B12,0),"DIŞI","AKTİF"))</f>
        <v/>
      </c>
    </row>
    <row r="412">
      <c r="B412" s="31">
        <f>IF(OR($A412="",$A412&gt;IFERROR(GIRDI!B12,0)),"",IFERROR(IF(OR(GIRDI!B12="",GIRDI!B12=0),0,ayd_netDefter/GIRDI!B12),0))</f>
        <v/>
      </c>
      <c r="C412" s="31">
        <f>IF(OR($A412="",$A412&gt;IFERROR(GIRDI!B12,0)),"",IFERROR(IF(OR(GIRDI!B12="",GIRDI!B12=0),0,(ayd_netDefter+ayd_fark)/GIRDI!B12),0))</f>
        <v/>
      </c>
      <c r="D412" s="31">
        <f>IF($B412="","",IFERROR($C412-$B412,0))</f>
        <v/>
      </c>
      <c r="E412" s="31">
        <f>IF($B412="","",IFERROR($A412*$B412,0))</f>
        <v/>
      </c>
      <c r="F412" s="31">
        <f>IF($C412="","",IFERROR($A412*$C412,0))</f>
        <v/>
      </c>
      <c r="G412" s="31">
        <f>IF($B412="","",IFERROR(MAX(0,ayd_netDefter-$E412),0))</f>
        <v/>
      </c>
      <c r="H412" s="31">
        <f>IF($C412="","",IFERROR(MAX(0,ayd_netDefter+ayd_fark-$F412),0))</f>
        <v/>
      </c>
      <c r="I412" s="31">
        <f>IF($A412="","",IF($A412&gt;IFERROR(GIRDI!B12,0),"DIŞI","AKTİF"))</f>
        <v/>
      </c>
    </row>
    <row r="413">
      <c r="B413" s="31">
        <f>IF(OR($A413="",$A413&gt;IFERROR(GIRDI!B12,0)),"",IFERROR(IF(OR(GIRDI!B12="",GIRDI!B12=0),0,ayd_netDefter/GIRDI!B12),0))</f>
        <v/>
      </c>
      <c r="C413" s="31">
        <f>IF(OR($A413="",$A413&gt;IFERROR(GIRDI!B12,0)),"",IFERROR(IF(OR(GIRDI!B12="",GIRDI!B12=0),0,(ayd_netDefter+ayd_fark)/GIRDI!B12),0))</f>
        <v/>
      </c>
      <c r="D413" s="31">
        <f>IF($B413="","",IFERROR($C413-$B413,0))</f>
        <v/>
      </c>
      <c r="E413" s="31">
        <f>IF($B413="","",IFERROR($A413*$B413,0))</f>
        <v/>
      </c>
      <c r="F413" s="31">
        <f>IF($C413="","",IFERROR($A413*$C413,0))</f>
        <v/>
      </c>
      <c r="G413" s="31">
        <f>IF($B413="","",IFERROR(MAX(0,ayd_netDefter-$E413),0))</f>
        <v/>
      </c>
      <c r="H413" s="31">
        <f>IF($C413="","",IFERROR(MAX(0,ayd_netDefter+ayd_fark-$F413),0))</f>
        <v/>
      </c>
      <c r="I413" s="31">
        <f>IF($A413="","",IF($A413&gt;IFERROR(GIRDI!B12,0),"DIŞI","AKTİF"))</f>
        <v/>
      </c>
    </row>
    <row r="414">
      <c r="B414" s="31">
        <f>IF(OR($A414="",$A414&gt;IFERROR(GIRDI!B12,0)),"",IFERROR(IF(OR(GIRDI!B12="",GIRDI!B12=0),0,ayd_netDefter/GIRDI!B12),0))</f>
        <v/>
      </c>
      <c r="C414" s="31">
        <f>IF(OR($A414="",$A414&gt;IFERROR(GIRDI!B12,0)),"",IFERROR(IF(OR(GIRDI!B12="",GIRDI!B12=0),0,(ayd_netDefter+ayd_fark)/GIRDI!B12),0))</f>
        <v/>
      </c>
      <c r="D414" s="31">
        <f>IF($B414="","",IFERROR($C414-$B414,0))</f>
        <v/>
      </c>
      <c r="E414" s="31">
        <f>IF($B414="","",IFERROR($A414*$B414,0))</f>
        <v/>
      </c>
      <c r="F414" s="31">
        <f>IF($C414="","",IFERROR($A414*$C414,0))</f>
        <v/>
      </c>
      <c r="G414" s="31">
        <f>IF($B414="","",IFERROR(MAX(0,ayd_netDefter-$E414),0))</f>
        <v/>
      </c>
      <c r="H414" s="31">
        <f>IF($C414="","",IFERROR(MAX(0,ayd_netDefter+ayd_fark-$F414),0))</f>
        <v/>
      </c>
      <c r="I414" s="31">
        <f>IF($A414="","",IF($A414&gt;IFERROR(GIRDI!B12,0),"DIŞI","AKTİF"))</f>
        <v/>
      </c>
    </row>
    <row r="415">
      <c r="B415" s="31">
        <f>IF(OR($A415="",$A415&gt;IFERROR(GIRDI!B12,0)),"",IFERROR(IF(OR(GIRDI!B12="",GIRDI!B12=0),0,ayd_netDefter/GIRDI!B12),0))</f>
        <v/>
      </c>
      <c r="C415" s="31">
        <f>IF(OR($A415="",$A415&gt;IFERROR(GIRDI!B12,0)),"",IFERROR(IF(OR(GIRDI!B12="",GIRDI!B12=0),0,(ayd_netDefter+ayd_fark)/GIRDI!B12),0))</f>
        <v/>
      </c>
      <c r="D415" s="31">
        <f>IF($B415="","",IFERROR($C415-$B415,0))</f>
        <v/>
      </c>
      <c r="E415" s="31">
        <f>IF($B415="","",IFERROR($A415*$B415,0))</f>
        <v/>
      </c>
      <c r="F415" s="31">
        <f>IF($C415="","",IFERROR($A415*$C415,0))</f>
        <v/>
      </c>
      <c r="G415" s="31">
        <f>IF($B415="","",IFERROR(MAX(0,ayd_netDefter-$E415),0))</f>
        <v/>
      </c>
      <c r="H415" s="31">
        <f>IF($C415="","",IFERROR(MAX(0,ayd_netDefter+ayd_fark-$F415),0))</f>
        <v/>
      </c>
      <c r="I415" s="31">
        <f>IF($A415="","",IF($A415&gt;IFERROR(GIRDI!B12,0),"DIŞI","AKTİF"))</f>
        <v/>
      </c>
    </row>
    <row r="416">
      <c r="B416" s="31">
        <f>IF(OR($A416="",$A416&gt;IFERROR(GIRDI!B12,0)),"",IFERROR(IF(OR(GIRDI!B12="",GIRDI!B12=0),0,ayd_netDefter/GIRDI!B12),0))</f>
        <v/>
      </c>
      <c r="C416" s="31">
        <f>IF(OR($A416="",$A416&gt;IFERROR(GIRDI!B12,0)),"",IFERROR(IF(OR(GIRDI!B12="",GIRDI!B12=0),0,(ayd_netDefter+ayd_fark)/GIRDI!B12),0))</f>
        <v/>
      </c>
      <c r="D416" s="31">
        <f>IF($B416="","",IFERROR($C416-$B416,0))</f>
        <v/>
      </c>
      <c r="E416" s="31">
        <f>IF($B416="","",IFERROR($A416*$B416,0))</f>
        <v/>
      </c>
      <c r="F416" s="31">
        <f>IF($C416="","",IFERROR($A416*$C416,0))</f>
        <v/>
      </c>
      <c r="G416" s="31">
        <f>IF($B416="","",IFERROR(MAX(0,ayd_netDefter-$E416),0))</f>
        <v/>
      </c>
      <c r="H416" s="31">
        <f>IF($C416="","",IFERROR(MAX(0,ayd_netDefter+ayd_fark-$F416),0))</f>
        <v/>
      </c>
      <c r="I416" s="31">
        <f>IF($A416="","",IF($A416&gt;IFERROR(GIRDI!B12,0),"DIŞI","AKTİF"))</f>
        <v/>
      </c>
    </row>
    <row r="417">
      <c r="B417" s="31">
        <f>IF(OR($A417="",$A417&gt;IFERROR(GIRDI!B12,0)),"",IFERROR(IF(OR(GIRDI!B12="",GIRDI!B12=0),0,ayd_netDefter/GIRDI!B12),0))</f>
        <v/>
      </c>
      <c r="C417" s="31">
        <f>IF(OR($A417="",$A417&gt;IFERROR(GIRDI!B12,0)),"",IFERROR(IF(OR(GIRDI!B12="",GIRDI!B12=0),0,(ayd_netDefter+ayd_fark)/GIRDI!B12),0))</f>
        <v/>
      </c>
      <c r="D417" s="31">
        <f>IF($B417="","",IFERROR($C417-$B417,0))</f>
        <v/>
      </c>
      <c r="E417" s="31">
        <f>IF($B417="","",IFERROR($A417*$B417,0))</f>
        <v/>
      </c>
      <c r="F417" s="31">
        <f>IF($C417="","",IFERROR($A417*$C417,0))</f>
        <v/>
      </c>
      <c r="G417" s="31">
        <f>IF($B417="","",IFERROR(MAX(0,ayd_netDefter-$E417),0))</f>
        <v/>
      </c>
      <c r="H417" s="31">
        <f>IF($C417="","",IFERROR(MAX(0,ayd_netDefter+ayd_fark-$F417),0))</f>
        <v/>
      </c>
      <c r="I417" s="31">
        <f>IF($A417="","",IF($A417&gt;IFERROR(GIRDI!B12,0),"DIŞI","AKTİF"))</f>
        <v/>
      </c>
    </row>
    <row r="418">
      <c r="B418" s="31">
        <f>IF(OR($A418="",$A418&gt;IFERROR(GIRDI!B12,0)),"",IFERROR(IF(OR(GIRDI!B12="",GIRDI!B12=0),0,ayd_netDefter/GIRDI!B12),0))</f>
        <v/>
      </c>
      <c r="C418" s="31">
        <f>IF(OR($A418="",$A418&gt;IFERROR(GIRDI!B12,0)),"",IFERROR(IF(OR(GIRDI!B12="",GIRDI!B12=0),0,(ayd_netDefter+ayd_fark)/GIRDI!B12),0))</f>
        <v/>
      </c>
      <c r="D418" s="31">
        <f>IF($B418="","",IFERROR($C418-$B418,0))</f>
        <v/>
      </c>
      <c r="E418" s="31">
        <f>IF($B418="","",IFERROR($A418*$B418,0))</f>
        <v/>
      </c>
      <c r="F418" s="31">
        <f>IF($C418="","",IFERROR($A418*$C418,0))</f>
        <v/>
      </c>
      <c r="G418" s="31">
        <f>IF($B418="","",IFERROR(MAX(0,ayd_netDefter-$E418),0))</f>
        <v/>
      </c>
      <c r="H418" s="31">
        <f>IF($C418="","",IFERROR(MAX(0,ayd_netDefter+ayd_fark-$F418),0))</f>
        <v/>
      </c>
      <c r="I418" s="31">
        <f>IF($A418="","",IF($A418&gt;IFERROR(GIRDI!B12,0),"DIŞI","AKTİF"))</f>
        <v/>
      </c>
    </row>
    <row r="419">
      <c r="B419" s="31">
        <f>IF(OR($A419="",$A419&gt;IFERROR(GIRDI!B12,0)),"",IFERROR(IF(OR(GIRDI!B12="",GIRDI!B12=0),0,ayd_netDefter/GIRDI!B12),0))</f>
        <v/>
      </c>
      <c r="C419" s="31">
        <f>IF(OR($A419="",$A419&gt;IFERROR(GIRDI!B12,0)),"",IFERROR(IF(OR(GIRDI!B12="",GIRDI!B12=0),0,(ayd_netDefter+ayd_fark)/GIRDI!B12),0))</f>
        <v/>
      </c>
      <c r="D419" s="31">
        <f>IF($B419="","",IFERROR($C419-$B419,0))</f>
        <v/>
      </c>
      <c r="E419" s="31">
        <f>IF($B419="","",IFERROR($A419*$B419,0))</f>
        <v/>
      </c>
      <c r="F419" s="31">
        <f>IF($C419="","",IFERROR($A419*$C419,0))</f>
        <v/>
      </c>
      <c r="G419" s="31">
        <f>IF($B419="","",IFERROR(MAX(0,ayd_netDefter-$E419),0))</f>
        <v/>
      </c>
      <c r="H419" s="31">
        <f>IF($C419="","",IFERROR(MAX(0,ayd_netDefter+ayd_fark-$F419),0))</f>
        <v/>
      </c>
      <c r="I419" s="31">
        <f>IF($A419="","",IF($A419&gt;IFERROR(GIRDI!B12,0),"DIŞI","AKTİF"))</f>
        <v/>
      </c>
    </row>
    <row r="420">
      <c r="B420" s="31">
        <f>IF(OR($A420="",$A420&gt;IFERROR(GIRDI!B12,0)),"",IFERROR(IF(OR(GIRDI!B12="",GIRDI!B12=0),0,ayd_netDefter/GIRDI!B12),0))</f>
        <v/>
      </c>
      <c r="C420" s="31">
        <f>IF(OR($A420="",$A420&gt;IFERROR(GIRDI!B12,0)),"",IFERROR(IF(OR(GIRDI!B12="",GIRDI!B12=0),0,(ayd_netDefter+ayd_fark)/GIRDI!B12),0))</f>
        <v/>
      </c>
      <c r="D420" s="31">
        <f>IF($B420="","",IFERROR($C420-$B420,0))</f>
        <v/>
      </c>
      <c r="E420" s="31">
        <f>IF($B420="","",IFERROR($A420*$B420,0))</f>
        <v/>
      </c>
      <c r="F420" s="31">
        <f>IF($C420="","",IFERROR($A420*$C420,0))</f>
        <v/>
      </c>
      <c r="G420" s="31">
        <f>IF($B420="","",IFERROR(MAX(0,ayd_netDefter-$E420),0))</f>
        <v/>
      </c>
      <c r="H420" s="31">
        <f>IF($C420="","",IFERROR(MAX(0,ayd_netDefter+ayd_fark-$F420),0))</f>
        <v/>
      </c>
      <c r="I420" s="31">
        <f>IF($A420="","",IF($A420&gt;IFERROR(GIRDI!B12,0),"DIŞI","AKTİF"))</f>
        <v/>
      </c>
    </row>
    <row r="421">
      <c r="B421" s="31">
        <f>IF(OR($A421="",$A421&gt;IFERROR(GIRDI!B12,0)),"",IFERROR(IF(OR(GIRDI!B12="",GIRDI!B12=0),0,ayd_netDefter/GIRDI!B12),0))</f>
        <v/>
      </c>
      <c r="C421" s="31">
        <f>IF(OR($A421="",$A421&gt;IFERROR(GIRDI!B12,0)),"",IFERROR(IF(OR(GIRDI!B12="",GIRDI!B12=0),0,(ayd_netDefter+ayd_fark)/GIRDI!B12),0))</f>
        <v/>
      </c>
      <c r="D421" s="31">
        <f>IF($B421="","",IFERROR($C421-$B421,0))</f>
        <v/>
      </c>
      <c r="E421" s="31">
        <f>IF($B421="","",IFERROR($A421*$B421,0))</f>
        <v/>
      </c>
      <c r="F421" s="31">
        <f>IF($C421="","",IFERROR($A421*$C421,0))</f>
        <v/>
      </c>
      <c r="G421" s="31">
        <f>IF($B421="","",IFERROR(MAX(0,ayd_netDefter-$E421),0))</f>
        <v/>
      </c>
      <c r="H421" s="31">
        <f>IF($C421="","",IFERROR(MAX(0,ayd_netDefter+ayd_fark-$F421),0))</f>
        <v/>
      </c>
      <c r="I421" s="31">
        <f>IF($A421="","",IF($A421&gt;IFERROR(GIRDI!B12,0),"DIŞI","AKTİF"))</f>
        <v/>
      </c>
    </row>
    <row r="422">
      <c r="B422" s="31">
        <f>IF(OR($A422="",$A422&gt;IFERROR(GIRDI!B12,0)),"",IFERROR(IF(OR(GIRDI!B12="",GIRDI!B12=0),0,ayd_netDefter/GIRDI!B12),0))</f>
        <v/>
      </c>
      <c r="C422" s="31">
        <f>IF(OR($A422="",$A422&gt;IFERROR(GIRDI!B12,0)),"",IFERROR(IF(OR(GIRDI!B12="",GIRDI!B12=0),0,(ayd_netDefter+ayd_fark)/GIRDI!B12),0))</f>
        <v/>
      </c>
      <c r="D422" s="31">
        <f>IF($B422="","",IFERROR($C422-$B422,0))</f>
        <v/>
      </c>
      <c r="E422" s="31">
        <f>IF($B422="","",IFERROR($A422*$B422,0))</f>
        <v/>
      </c>
      <c r="F422" s="31">
        <f>IF($C422="","",IFERROR($A422*$C422,0))</f>
        <v/>
      </c>
      <c r="G422" s="31">
        <f>IF($B422="","",IFERROR(MAX(0,ayd_netDefter-$E422),0))</f>
        <v/>
      </c>
      <c r="H422" s="31">
        <f>IF($C422="","",IFERROR(MAX(0,ayd_netDefter+ayd_fark-$F422),0))</f>
        <v/>
      </c>
      <c r="I422" s="31">
        <f>IF($A422="","",IF($A422&gt;IFERROR(GIRDI!B12,0),"DIŞI","AKTİF"))</f>
        <v/>
      </c>
    </row>
    <row r="423">
      <c r="B423" s="31">
        <f>IF(OR($A423="",$A423&gt;IFERROR(GIRDI!B12,0)),"",IFERROR(IF(OR(GIRDI!B12="",GIRDI!B12=0),0,ayd_netDefter/GIRDI!B12),0))</f>
        <v/>
      </c>
      <c r="C423" s="31">
        <f>IF(OR($A423="",$A423&gt;IFERROR(GIRDI!B12,0)),"",IFERROR(IF(OR(GIRDI!B12="",GIRDI!B12=0),0,(ayd_netDefter+ayd_fark)/GIRDI!B12),0))</f>
        <v/>
      </c>
      <c r="D423" s="31">
        <f>IF($B423="","",IFERROR($C423-$B423,0))</f>
        <v/>
      </c>
      <c r="E423" s="31">
        <f>IF($B423="","",IFERROR($A423*$B423,0))</f>
        <v/>
      </c>
      <c r="F423" s="31">
        <f>IF($C423="","",IFERROR($A423*$C423,0))</f>
        <v/>
      </c>
      <c r="G423" s="31">
        <f>IF($B423="","",IFERROR(MAX(0,ayd_netDefter-$E423),0))</f>
        <v/>
      </c>
      <c r="H423" s="31">
        <f>IF($C423="","",IFERROR(MAX(0,ayd_netDefter+ayd_fark-$F423),0))</f>
        <v/>
      </c>
      <c r="I423" s="31">
        <f>IF($A423="","",IF($A423&gt;IFERROR(GIRDI!B12,0),"DIŞI","AKTİF"))</f>
        <v/>
      </c>
    </row>
    <row r="424">
      <c r="B424" s="31">
        <f>IF(OR($A424="",$A424&gt;IFERROR(GIRDI!B12,0)),"",IFERROR(IF(OR(GIRDI!B12="",GIRDI!B12=0),0,ayd_netDefter/GIRDI!B12),0))</f>
        <v/>
      </c>
      <c r="C424" s="31">
        <f>IF(OR($A424="",$A424&gt;IFERROR(GIRDI!B12,0)),"",IFERROR(IF(OR(GIRDI!B12="",GIRDI!B12=0),0,(ayd_netDefter+ayd_fark)/GIRDI!B12),0))</f>
        <v/>
      </c>
      <c r="D424" s="31">
        <f>IF($B424="","",IFERROR($C424-$B424,0))</f>
        <v/>
      </c>
      <c r="E424" s="31">
        <f>IF($B424="","",IFERROR($A424*$B424,0))</f>
        <v/>
      </c>
      <c r="F424" s="31">
        <f>IF($C424="","",IFERROR($A424*$C424,0))</f>
        <v/>
      </c>
      <c r="G424" s="31">
        <f>IF($B424="","",IFERROR(MAX(0,ayd_netDefter-$E424),0))</f>
        <v/>
      </c>
      <c r="H424" s="31">
        <f>IF($C424="","",IFERROR(MAX(0,ayd_netDefter+ayd_fark-$F424),0))</f>
        <v/>
      </c>
      <c r="I424" s="31">
        <f>IF($A424="","",IF($A424&gt;IFERROR(GIRDI!B12,0),"DIŞI","AKTİF"))</f>
        <v/>
      </c>
    </row>
    <row r="425">
      <c r="B425" s="31">
        <f>IF(OR($A425="",$A425&gt;IFERROR(GIRDI!B12,0)),"",IFERROR(IF(OR(GIRDI!B12="",GIRDI!B12=0),0,ayd_netDefter/GIRDI!B12),0))</f>
        <v/>
      </c>
      <c r="C425" s="31">
        <f>IF(OR($A425="",$A425&gt;IFERROR(GIRDI!B12,0)),"",IFERROR(IF(OR(GIRDI!B12="",GIRDI!B12=0),0,(ayd_netDefter+ayd_fark)/GIRDI!B12),0))</f>
        <v/>
      </c>
      <c r="D425" s="31">
        <f>IF($B425="","",IFERROR($C425-$B425,0))</f>
        <v/>
      </c>
      <c r="E425" s="31">
        <f>IF($B425="","",IFERROR($A425*$B425,0))</f>
        <v/>
      </c>
      <c r="F425" s="31">
        <f>IF($C425="","",IFERROR($A425*$C425,0))</f>
        <v/>
      </c>
      <c r="G425" s="31">
        <f>IF($B425="","",IFERROR(MAX(0,ayd_netDefter-$E425),0))</f>
        <v/>
      </c>
      <c r="H425" s="31">
        <f>IF($C425="","",IFERROR(MAX(0,ayd_netDefter+ayd_fark-$F425),0))</f>
        <v/>
      </c>
      <c r="I425" s="31">
        <f>IF($A425="","",IF($A425&gt;IFERROR(GIRDI!B12,0),"DIŞI","AKTİF"))</f>
        <v/>
      </c>
    </row>
    <row r="426">
      <c r="B426" s="31">
        <f>IF(OR($A426="",$A426&gt;IFERROR(GIRDI!B12,0)),"",IFERROR(IF(OR(GIRDI!B12="",GIRDI!B12=0),0,ayd_netDefter/GIRDI!B12),0))</f>
        <v/>
      </c>
      <c r="C426" s="31">
        <f>IF(OR($A426="",$A426&gt;IFERROR(GIRDI!B12,0)),"",IFERROR(IF(OR(GIRDI!B12="",GIRDI!B12=0),0,(ayd_netDefter+ayd_fark)/GIRDI!B12),0))</f>
        <v/>
      </c>
      <c r="D426" s="31">
        <f>IF($B426="","",IFERROR($C426-$B426,0))</f>
        <v/>
      </c>
      <c r="E426" s="31">
        <f>IF($B426="","",IFERROR($A426*$B426,0))</f>
        <v/>
      </c>
      <c r="F426" s="31">
        <f>IF($C426="","",IFERROR($A426*$C426,0))</f>
        <v/>
      </c>
      <c r="G426" s="31">
        <f>IF($B426="","",IFERROR(MAX(0,ayd_netDefter-$E426),0))</f>
        <v/>
      </c>
      <c r="H426" s="31">
        <f>IF($C426="","",IFERROR(MAX(0,ayd_netDefter+ayd_fark-$F426),0))</f>
        <v/>
      </c>
      <c r="I426" s="31">
        <f>IF($A426="","",IF($A426&gt;IFERROR(GIRDI!B12,0),"DIŞI","AKTİF"))</f>
        <v/>
      </c>
    </row>
    <row r="427">
      <c r="B427" s="31">
        <f>IF(OR($A427="",$A427&gt;IFERROR(GIRDI!B12,0)),"",IFERROR(IF(OR(GIRDI!B12="",GIRDI!B12=0),0,ayd_netDefter/GIRDI!B12),0))</f>
        <v/>
      </c>
      <c r="C427" s="31">
        <f>IF(OR($A427="",$A427&gt;IFERROR(GIRDI!B12,0)),"",IFERROR(IF(OR(GIRDI!B12="",GIRDI!B12=0),0,(ayd_netDefter+ayd_fark)/GIRDI!B12),0))</f>
        <v/>
      </c>
      <c r="D427" s="31">
        <f>IF($B427="","",IFERROR($C427-$B427,0))</f>
        <v/>
      </c>
      <c r="E427" s="31">
        <f>IF($B427="","",IFERROR($A427*$B427,0))</f>
        <v/>
      </c>
      <c r="F427" s="31">
        <f>IF($C427="","",IFERROR($A427*$C427,0))</f>
        <v/>
      </c>
      <c r="G427" s="31">
        <f>IF($B427="","",IFERROR(MAX(0,ayd_netDefter-$E427),0))</f>
        <v/>
      </c>
      <c r="H427" s="31">
        <f>IF($C427="","",IFERROR(MAX(0,ayd_netDefter+ayd_fark-$F427),0))</f>
        <v/>
      </c>
      <c r="I427" s="31">
        <f>IF($A427="","",IF($A427&gt;IFERROR(GIRDI!B12,0),"DIŞI","AKTİF"))</f>
        <v/>
      </c>
    </row>
    <row r="428">
      <c r="B428" s="31">
        <f>IF(OR($A428="",$A428&gt;IFERROR(GIRDI!B12,0)),"",IFERROR(IF(OR(GIRDI!B12="",GIRDI!B12=0),0,ayd_netDefter/GIRDI!B12),0))</f>
        <v/>
      </c>
      <c r="C428" s="31">
        <f>IF(OR($A428="",$A428&gt;IFERROR(GIRDI!B12,0)),"",IFERROR(IF(OR(GIRDI!B12="",GIRDI!B12=0),0,(ayd_netDefter+ayd_fark)/GIRDI!B12),0))</f>
        <v/>
      </c>
      <c r="D428" s="31">
        <f>IF($B428="","",IFERROR($C428-$B428,0))</f>
        <v/>
      </c>
      <c r="E428" s="31">
        <f>IF($B428="","",IFERROR($A428*$B428,0))</f>
        <v/>
      </c>
      <c r="F428" s="31">
        <f>IF($C428="","",IFERROR($A428*$C428,0))</f>
        <v/>
      </c>
      <c r="G428" s="31">
        <f>IF($B428="","",IFERROR(MAX(0,ayd_netDefter-$E428),0))</f>
        <v/>
      </c>
      <c r="H428" s="31">
        <f>IF($C428="","",IFERROR(MAX(0,ayd_netDefter+ayd_fark-$F428),0))</f>
        <v/>
      </c>
      <c r="I428" s="31">
        <f>IF($A428="","",IF($A428&gt;IFERROR(GIRDI!B12,0),"DIŞI","AKTİF"))</f>
        <v/>
      </c>
    </row>
    <row r="429">
      <c r="B429" s="31">
        <f>IF(OR($A429="",$A429&gt;IFERROR(GIRDI!B12,0)),"",IFERROR(IF(OR(GIRDI!B12="",GIRDI!B12=0),0,ayd_netDefter/GIRDI!B12),0))</f>
        <v/>
      </c>
      <c r="C429" s="31">
        <f>IF(OR($A429="",$A429&gt;IFERROR(GIRDI!B12,0)),"",IFERROR(IF(OR(GIRDI!B12="",GIRDI!B12=0),0,(ayd_netDefter+ayd_fark)/GIRDI!B12),0))</f>
        <v/>
      </c>
      <c r="D429" s="31">
        <f>IF($B429="","",IFERROR($C429-$B429,0))</f>
        <v/>
      </c>
      <c r="E429" s="31">
        <f>IF($B429="","",IFERROR($A429*$B429,0))</f>
        <v/>
      </c>
      <c r="F429" s="31">
        <f>IF($C429="","",IFERROR($A429*$C429,0))</f>
        <v/>
      </c>
      <c r="G429" s="31">
        <f>IF($B429="","",IFERROR(MAX(0,ayd_netDefter-$E429),0))</f>
        <v/>
      </c>
      <c r="H429" s="31">
        <f>IF($C429="","",IFERROR(MAX(0,ayd_netDefter+ayd_fark-$F429),0))</f>
        <v/>
      </c>
      <c r="I429" s="31">
        <f>IF($A429="","",IF($A429&gt;IFERROR(GIRDI!B12,0),"DIŞI","AKTİF"))</f>
        <v/>
      </c>
    </row>
    <row r="430">
      <c r="B430" s="31">
        <f>IF(OR($A430="",$A430&gt;IFERROR(GIRDI!B12,0)),"",IFERROR(IF(OR(GIRDI!B12="",GIRDI!B12=0),0,ayd_netDefter/GIRDI!B12),0))</f>
        <v/>
      </c>
      <c r="C430" s="31">
        <f>IF(OR($A430="",$A430&gt;IFERROR(GIRDI!B12,0)),"",IFERROR(IF(OR(GIRDI!B12="",GIRDI!B12=0),0,(ayd_netDefter+ayd_fark)/GIRDI!B12),0))</f>
        <v/>
      </c>
      <c r="D430" s="31">
        <f>IF($B430="","",IFERROR($C430-$B430,0))</f>
        <v/>
      </c>
      <c r="E430" s="31">
        <f>IF($B430="","",IFERROR($A430*$B430,0))</f>
        <v/>
      </c>
      <c r="F430" s="31">
        <f>IF($C430="","",IFERROR($A430*$C430,0))</f>
        <v/>
      </c>
      <c r="G430" s="31">
        <f>IF($B430="","",IFERROR(MAX(0,ayd_netDefter-$E430),0))</f>
        <v/>
      </c>
      <c r="H430" s="31">
        <f>IF($C430="","",IFERROR(MAX(0,ayd_netDefter+ayd_fark-$F430),0))</f>
        <v/>
      </c>
      <c r="I430" s="31">
        <f>IF($A430="","",IF($A430&gt;IFERROR(GIRDI!B12,0),"DIŞI","AKTİF"))</f>
        <v/>
      </c>
    </row>
    <row r="431">
      <c r="B431" s="31">
        <f>IF(OR($A431="",$A431&gt;IFERROR(GIRDI!B12,0)),"",IFERROR(IF(OR(GIRDI!B12="",GIRDI!B12=0),0,ayd_netDefter/GIRDI!B12),0))</f>
        <v/>
      </c>
      <c r="C431" s="31">
        <f>IF(OR($A431="",$A431&gt;IFERROR(GIRDI!B12,0)),"",IFERROR(IF(OR(GIRDI!B12="",GIRDI!B12=0),0,(ayd_netDefter+ayd_fark)/GIRDI!B12),0))</f>
        <v/>
      </c>
      <c r="D431" s="31">
        <f>IF($B431="","",IFERROR($C431-$B431,0))</f>
        <v/>
      </c>
      <c r="E431" s="31">
        <f>IF($B431="","",IFERROR($A431*$B431,0))</f>
        <v/>
      </c>
      <c r="F431" s="31">
        <f>IF($C431="","",IFERROR($A431*$C431,0))</f>
        <v/>
      </c>
      <c r="G431" s="31">
        <f>IF($B431="","",IFERROR(MAX(0,ayd_netDefter-$E431),0))</f>
        <v/>
      </c>
      <c r="H431" s="31">
        <f>IF($C431="","",IFERROR(MAX(0,ayd_netDefter+ayd_fark-$F431),0))</f>
        <v/>
      </c>
      <c r="I431" s="31">
        <f>IF($A431="","",IF($A431&gt;IFERROR(GIRDI!B12,0),"DIŞI","AKTİF"))</f>
        <v/>
      </c>
    </row>
    <row r="432">
      <c r="B432" s="31">
        <f>IF(OR($A432="",$A432&gt;IFERROR(GIRDI!B12,0)),"",IFERROR(IF(OR(GIRDI!B12="",GIRDI!B12=0),0,ayd_netDefter/GIRDI!B12),0))</f>
        <v/>
      </c>
      <c r="C432" s="31">
        <f>IF(OR($A432="",$A432&gt;IFERROR(GIRDI!B12,0)),"",IFERROR(IF(OR(GIRDI!B12="",GIRDI!B12=0),0,(ayd_netDefter+ayd_fark)/GIRDI!B12),0))</f>
        <v/>
      </c>
      <c r="D432" s="31">
        <f>IF($B432="","",IFERROR($C432-$B432,0))</f>
        <v/>
      </c>
      <c r="E432" s="31">
        <f>IF($B432="","",IFERROR($A432*$B432,0))</f>
        <v/>
      </c>
      <c r="F432" s="31">
        <f>IF($C432="","",IFERROR($A432*$C432,0))</f>
        <v/>
      </c>
      <c r="G432" s="31">
        <f>IF($B432="","",IFERROR(MAX(0,ayd_netDefter-$E432),0))</f>
        <v/>
      </c>
      <c r="H432" s="31">
        <f>IF($C432="","",IFERROR(MAX(0,ayd_netDefter+ayd_fark-$F432),0))</f>
        <v/>
      </c>
      <c r="I432" s="31">
        <f>IF($A432="","",IF($A432&gt;IFERROR(GIRDI!B12,0),"DIŞI","AKTİF"))</f>
        <v/>
      </c>
    </row>
    <row r="433">
      <c r="B433" s="31">
        <f>IF(OR($A433="",$A433&gt;IFERROR(GIRDI!B12,0)),"",IFERROR(IF(OR(GIRDI!B12="",GIRDI!B12=0),0,ayd_netDefter/GIRDI!B12),0))</f>
        <v/>
      </c>
      <c r="C433" s="31">
        <f>IF(OR($A433="",$A433&gt;IFERROR(GIRDI!B12,0)),"",IFERROR(IF(OR(GIRDI!B12="",GIRDI!B12=0),0,(ayd_netDefter+ayd_fark)/GIRDI!B12),0))</f>
        <v/>
      </c>
      <c r="D433" s="31">
        <f>IF($B433="","",IFERROR($C433-$B433,0))</f>
        <v/>
      </c>
      <c r="E433" s="31">
        <f>IF($B433="","",IFERROR($A433*$B433,0))</f>
        <v/>
      </c>
      <c r="F433" s="31">
        <f>IF($C433="","",IFERROR($A433*$C433,0))</f>
        <v/>
      </c>
      <c r="G433" s="31">
        <f>IF($B433="","",IFERROR(MAX(0,ayd_netDefter-$E433),0))</f>
        <v/>
      </c>
      <c r="H433" s="31">
        <f>IF($C433="","",IFERROR(MAX(0,ayd_netDefter+ayd_fark-$F433),0))</f>
        <v/>
      </c>
      <c r="I433" s="31">
        <f>IF($A433="","",IF($A433&gt;IFERROR(GIRDI!B12,0),"DIŞI","AKTİF"))</f>
        <v/>
      </c>
    </row>
    <row r="434">
      <c r="B434" s="31">
        <f>IF(OR($A434="",$A434&gt;IFERROR(GIRDI!B12,0)),"",IFERROR(IF(OR(GIRDI!B12="",GIRDI!B12=0),0,ayd_netDefter/GIRDI!B12),0))</f>
        <v/>
      </c>
      <c r="C434" s="31">
        <f>IF(OR($A434="",$A434&gt;IFERROR(GIRDI!B12,0)),"",IFERROR(IF(OR(GIRDI!B12="",GIRDI!B12=0),0,(ayd_netDefter+ayd_fark)/GIRDI!B12),0))</f>
        <v/>
      </c>
      <c r="D434" s="31">
        <f>IF($B434="","",IFERROR($C434-$B434,0))</f>
        <v/>
      </c>
      <c r="E434" s="31">
        <f>IF($B434="","",IFERROR($A434*$B434,0))</f>
        <v/>
      </c>
      <c r="F434" s="31">
        <f>IF($C434="","",IFERROR($A434*$C434,0))</f>
        <v/>
      </c>
      <c r="G434" s="31">
        <f>IF($B434="","",IFERROR(MAX(0,ayd_netDefter-$E434),0))</f>
        <v/>
      </c>
      <c r="H434" s="31">
        <f>IF($C434="","",IFERROR(MAX(0,ayd_netDefter+ayd_fark-$F434),0))</f>
        <v/>
      </c>
      <c r="I434" s="31">
        <f>IF($A434="","",IF($A434&gt;IFERROR(GIRDI!B12,0),"DIŞI","AKTİF"))</f>
        <v/>
      </c>
    </row>
    <row r="435">
      <c r="B435" s="31">
        <f>IF(OR($A435="",$A435&gt;IFERROR(GIRDI!B12,0)),"",IFERROR(IF(OR(GIRDI!B12="",GIRDI!B12=0),0,ayd_netDefter/GIRDI!B12),0))</f>
        <v/>
      </c>
      <c r="C435" s="31">
        <f>IF(OR($A435="",$A435&gt;IFERROR(GIRDI!B12,0)),"",IFERROR(IF(OR(GIRDI!B12="",GIRDI!B12=0),0,(ayd_netDefter+ayd_fark)/GIRDI!B12),0))</f>
        <v/>
      </c>
      <c r="D435" s="31">
        <f>IF($B435="","",IFERROR($C435-$B435,0))</f>
        <v/>
      </c>
      <c r="E435" s="31">
        <f>IF($B435="","",IFERROR($A435*$B435,0))</f>
        <v/>
      </c>
      <c r="F435" s="31">
        <f>IF($C435="","",IFERROR($A435*$C435,0))</f>
        <v/>
      </c>
      <c r="G435" s="31">
        <f>IF($B435="","",IFERROR(MAX(0,ayd_netDefter-$E435),0))</f>
        <v/>
      </c>
      <c r="H435" s="31">
        <f>IF($C435="","",IFERROR(MAX(0,ayd_netDefter+ayd_fark-$F435),0))</f>
        <v/>
      </c>
      <c r="I435" s="31">
        <f>IF($A435="","",IF($A435&gt;IFERROR(GIRDI!B12,0),"DIŞI","AKTİF"))</f>
        <v/>
      </c>
    </row>
    <row r="436">
      <c r="B436" s="31">
        <f>IF(OR($A436="",$A436&gt;IFERROR(GIRDI!B12,0)),"",IFERROR(IF(OR(GIRDI!B12="",GIRDI!B12=0),0,ayd_netDefter/GIRDI!B12),0))</f>
        <v/>
      </c>
      <c r="C436" s="31">
        <f>IF(OR($A436="",$A436&gt;IFERROR(GIRDI!B12,0)),"",IFERROR(IF(OR(GIRDI!B12="",GIRDI!B12=0),0,(ayd_netDefter+ayd_fark)/GIRDI!B12),0))</f>
        <v/>
      </c>
      <c r="D436" s="31">
        <f>IF($B436="","",IFERROR($C436-$B436,0))</f>
        <v/>
      </c>
      <c r="E436" s="31">
        <f>IF($B436="","",IFERROR($A436*$B436,0))</f>
        <v/>
      </c>
      <c r="F436" s="31">
        <f>IF($C436="","",IFERROR($A436*$C436,0))</f>
        <v/>
      </c>
      <c r="G436" s="31">
        <f>IF($B436="","",IFERROR(MAX(0,ayd_netDefter-$E436),0))</f>
        <v/>
      </c>
      <c r="H436" s="31">
        <f>IF($C436="","",IFERROR(MAX(0,ayd_netDefter+ayd_fark-$F436),0))</f>
        <v/>
      </c>
      <c r="I436" s="31">
        <f>IF($A436="","",IF($A436&gt;IFERROR(GIRDI!B12,0),"DIŞI","AKTİF"))</f>
        <v/>
      </c>
    </row>
    <row r="437">
      <c r="B437" s="31">
        <f>IF(OR($A437="",$A437&gt;IFERROR(GIRDI!B12,0)),"",IFERROR(IF(OR(GIRDI!B12="",GIRDI!B12=0),0,ayd_netDefter/GIRDI!B12),0))</f>
        <v/>
      </c>
      <c r="C437" s="31">
        <f>IF(OR($A437="",$A437&gt;IFERROR(GIRDI!B12,0)),"",IFERROR(IF(OR(GIRDI!B12="",GIRDI!B12=0),0,(ayd_netDefter+ayd_fark)/GIRDI!B12),0))</f>
        <v/>
      </c>
      <c r="D437" s="31">
        <f>IF($B437="","",IFERROR($C437-$B437,0))</f>
        <v/>
      </c>
      <c r="E437" s="31">
        <f>IF($B437="","",IFERROR($A437*$B437,0))</f>
        <v/>
      </c>
      <c r="F437" s="31">
        <f>IF($C437="","",IFERROR($A437*$C437,0))</f>
        <v/>
      </c>
      <c r="G437" s="31">
        <f>IF($B437="","",IFERROR(MAX(0,ayd_netDefter-$E437),0))</f>
        <v/>
      </c>
      <c r="H437" s="31">
        <f>IF($C437="","",IFERROR(MAX(0,ayd_netDefter+ayd_fark-$F437),0))</f>
        <v/>
      </c>
      <c r="I437" s="31">
        <f>IF($A437="","",IF($A437&gt;IFERROR(GIRDI!B12,0),"DIŞI","AKTİF"))</f>
        <v/>
      </c>
    </row>
    <row r="438">
      <c r="B438" s="31">
        <f>IF(OR($A438="",$A438&gt;IFERROR(GIRDI!B12,0)),"",IFERROR(IF(OR(GIRDI!B12="",GIRDI!B12=0),0,ayd_netDefter/GIRDI!B12),0))</f>
        <v/>
      </c>
      <c r="C438" s="31">
        <f>IF(OR($A438="",$A438&gt;IFERROR(GIRDI!B12,0)),"",IFERROR(IF(OR(GIRDI!B12="",GIRDI!B12=0),0,(ayd_netDefter+ayd_fark)/GIRDI!B12),0))</f>
        <v/>
      </c>
      <c r="D438" s="31">
        <f>IF($B438="","",IFERROR($C438-$B438,0))</f>
        <v/>
      </c>
      <c r="E438" s="31">
        <f>IF($B438="","",IFERROR($A438*$B438,0))</f>
        <v/>
      </c>
      <c r="F438" s="31">
        <f>IF($C438="","",IFERROR($A438*$C438,0))</f>
        <v/>
      </c>
      <c r="G438" s="31">
        <f>IF($B438="","",IFERROR(MAX(0,ayd_netDefter-$E438),0))</f>
        <v/>
      </c>
      <c r="H438" s="31">
        <f>IF($C438="","",IFERROR(MAX(0,ayd_netDefter+ayd_fark-$F438),0))</f>
        <v/>
      </c>
      <c r="I438" s="31">
        <f>IF($A438="","",IF($A438&gt;IFERROR(GIRDI!B12,0),"DIŞI","AKTİF"))</f>
        <v/>
      </c>
    </row>
    <row r="439">
      <c r="B439" s="31">
        <f>IF(OR($A439="",$A439&gt;IFERROR(GIRDI!B12,0)),"",IFERROR(IF(OR(GIRDI!B12="",GIRDI!B12=0),0,ayd_netDefter/GIRDI!B12),0))</f>
        <v/>
      </c>
      <c r="C439" s="31">
        <f>IF(OR($A439="",$A439&gt;IFERROR(GIRDI!B12,0)),"",IFERROR(IF(OR(GIRDI!B12="",GIRDI!B12=0),0,(ayd_netDefter+ayd_fark)/GIRDI!B12),0))</f>
        <v/>
      </c>
      <c r="D439" s="31">
        <f>IF($B439="","",IFERROR($C439-$B439,0))</f>
        <v/>
      </c>
      <c r="E439" s="31">
        <f>IF($B439="","",IFERROR($A439*$B439,0))</f>
        <v/>
      </c>
      <c r="F439" s="31">
        <f>IF($C439="","",IFERROR($A439*$C439,0))</f>
        <v/>
      </c>
      <c r="G439" s="31">
        <f>IF($B439="","",IFERROR(MAX(0,ayd_netDefter-$E439),0))</f>
        <v/>
      </c>
      <c r="H439" s="31">
        <f>IF($C439="","",IFERROR(MAX(0,ayd_netDefter+ayd_fark-$F439),0))</f>
        <v/>
      </c>
      <c r="I439" s="31">
        <f>IF($A439="","",IF($A439&gt;IFERROR(GIRDI!B12,0),"DIŞI","AKTİF"))</f>
        <v/>
      </c>
    </row>
    <row r="440">
      <c r="B440" s="31">
        <f>IF(OR($A440="",$A440&gt;IFERROR(GIRDI!B12,0)),"",IFERROR(IF(OR(GIRDI!B12="",GIRDI!B12=0),0,ayd_netDefter/GIRDI!B12),0))</f>
        <v/>
      </c>
      <c r="C440" s="31">
        <f>IF(OR($A440="",$A440&gt;IFERROR(GIRDI!B12,0)),"",IFERROR(IF(OR(GIRDI!B12="",GIRDI!B12=0),0,(ayd_netDefter+ayd_fark)/GIRDI!B12),0))</f>
        <v/>
      </c>
      <c r="D440" s="31">
        <f>IF($B440="","",IFERROR($C440-$B440,0))</f>
        <v/>
      </c>
      <c r="E440" s="31">
        <f>IF($B440="","",IFERROR($A440*$B440,0))</f>
        <v/>
      </c>
      <c r="F440" s="31">
        <f>IF($C440="","",IFERROR($A440*$C440,0))</f>
        <v/>
      </c>
      <c r="G440" s="31">
        <f>IF($B440="","",IFERROR(MAX(0,ayd_netDefter-$E440),0))</f>
        <v/>
      </c>
      <c r="H440" s="31">
        <f>IF($C440="","",IFERROR(MAX(0,ayd_netDefter+ayd_fark-$F440),0))</f>
        <v/>
      </c>
      <c r="I440" s="31">
        <f>IF($A440="","",IF($A440&gt;IFERROR(GIRDI!B12,0),"DIŞI","AKTİF"))</f>
        <v/>
      </c>
    </row>
    <row r="441">
      <c r="B441" s="31">
        <f>IF(OR($A441="",$A441&gt;IFERROR(GIRDI!B12,0)),"",IFERROR(IF(OR(GIRDI!B12="",GIRDI!B12=0),0,ayd_netDefter/GIRDI!B12),0))</f>
        <v/>
      </c>
      <c r="C441" s="31">
        <f>IF(OR($A441="",$A441&gt;IFERROR(GIRDI!B12,0)),"",IFERROR(IF(OR(GIRDI!B12="",GIRDI!B12=0),0,(ayd_netDefter+ayd_fark)/GIRDI!B12),0))</f>
        <v/>
      </c>
      <c r="D441" s="31">
        <f>IF($B441="","",IFERROR($C441-$B441,0))</f>
        <v/>
      </c>
      <c r="E441" s="31">
        <f>IF($B441="","",IFERROR($A441*$B441,0))</f>
        <v/>
      </c>
      <c r="F441" s="31">
        <f>IF($C441="","",IFERROR($A441*$C441,0))</f>
        <v/>
      </c>
      <c r="G441" s="31">
        <f>IF($B441="","",IFERROR(MAX(0,ayd_netDefter-$E441),0))</f>
        <v/>
      </c>
      <c r="H441" s="31">
        <f>IF($C441="","",IFERROR(MAX(0,ayd_netDefter+ayd_fark-$F441),0))</f>
        <v/>
      </c>
      <c r="I441" s="31">
        <f>IF($A441="","",IF($A441&gt;IFERROR(GIRDI!B12,0),"DIŞI","AKTİF"))</f>
        <v/>
      </c>
    </row>
    <row r="442">
      <c r="B442" s="31">
        <f>IF(OR($A442="",$A442&gt;IFERROR(GIRDI!B12,0)),"",IFERROR(IF(OR(GIRDI!B12="",GIRDI!B12=0),0,ayd_netDefter/GIRDI!B12),0))</f>
        <v/>
      </c>
      <c r="C442" s="31">
        <f>IF(OR($A442="",$A442&gt;IFERROR(GIRDI!B12,0)),"",IFERROR(IF(OR(GIRDI!B12="",GIRDI!B12=0),0,(ayd_netDefter+ayd_fark)/GIRDI!B12),0))</f>
        <v/>
      </c>
      <c r="D442" s="31">
        <f>IF($B442="","",IFERROR($C442-$B442,0))</f>
        <v/>
      </c>
      <c r="E442" s="31">
        <f>IF($B442="","",IFERROR($A442*$B442,0))</f>
        <v/>
      </c>
      <c r="F442" s="31">
        <f>IF($C442="","",IFERROR($A442*$C442,0))</f>
        <v/>
      </c>
      <c r="G442" s="31">
        <f>IF($B442="","",IFERROR(MAX(0,ayd_netDefter-$E442),0))</f>
        <v/>
      </c>
      <c r="H442" s="31">
        <f>IF($C442="","",IFERROR(MAX(0,ayd_netDefter+ayd_fark-$F442),0))</f>
        <v/>
      </c>
      <c r="I442" s="31">
        <f>IF($A442="","",IF($A442&gt;IFERROR(GIRDI!B12,0),"DIŞI","AKTİF"))</f>
        <v/>
      </c>
    </row>
    <row r="443">
      <c r="B443" s="31">
        <f>IF(OR($A443="",$A443&gt;IFERROR(GIRDI!B12,0)),"",IFERROR(IF(OR(GIRDI!B12="",GIRDI!B12=0),0,ayd_netDefter/GIRDI!B12),0))</f>
        <v/>
      </c>
      <c r="C443" s="31">
        <f>IF(OR($A443="",$A443&gt;IFERROR(GIRDI!B12,0)),"",IFERROR(IF(OR(GIRDI!B12="",GIRDI!B12=0),0,(ayd_netDefter+ayd_fark)/GIRDI!B12),0))</f>
        <v/>
      </c>
      <c r="D443" s="31">
        <f>IF($B443="","",IFERROR($C443-$B443,0))</f>
        <v/>
      </c>
      <c r="E443" s="31">
        <f>IF($B443="","",IFERROR($A443*$B443,0))</f>
        <v/>
      </c>
      <c r="F443" s="31">
        <f>IF($C443="","",IFERROR($A443*$C443,0))</f>
        <v/>
      </c>
      <c r="G443" s="31">
        <f>IF($B443="","",IFERROR(MAX(0,ayd_netDefter-$E443),0))</f>
        <v/>
      </c>
      <c r="H443" s="31">
        <f>IF($C443="","",IFERROR(MAX(0,ayd_netDefter+ayd_fark-$F443),0))</f>
        <v/>
      </c>
      <c r="I443" s="31">
        <f>IF($A443="","",IF($A443&gt;IFERROR(GIRDI!B12,0),"DIŞI","AKTİF"))</f>
        <v/>
      </c>
    </row>
    <row r="444">
      <c r="B444" s="31">
        <f>IF(OR($A444="",$A444&gt;IFERROR(GIRDI!B12,0)),"",IFERROR(IF(OR(GIRDI!B12="",GIRDI!B12=0),0,ayd_netDefter/GIRDI!B12),0))</f>
        <v/>
      </c>
      <c r="C444" s="31">
        <f>IF(OR($A444="",$A444&gt;IFERROR(GIRDI!B12,0)),"",IFERROR(IF(OR(GIRDI!B12="",GIRDI!B12=0),0,(ayd_netDefter+ayd_fark)/GIRDI!B12),0))</f>
        <v/>
      </c>
      <c r="D444" s="31">
        <f>IF($B444="","",IFERROR($C444-$B444,0))</f>
        <v/>
      </c>
      <c r="E444" s="31">
        <f>IF($B444="","",IFERROR($A444*$B444,0))</f>
        <v/>
      </c>
      <c r="F444" s="31">
        <f>IF($C444="","",IFERROR($A444*$C444,0))</f>
        <v/>
      </c>
      <c r="G444" s="31">
        <f>IF($B444="","",IFERROR(MAX(0,ayd_netDefter-$E444),0))</f>
        <v/>
      </c>
      <c r="H444" s="31">
        <f>IF($C444="","",IFERROR(MAX(0,ayd_netDefter+ayd_fark-$F444),0))</f>
        <v/>
      </c>
      <c r="I444" s="31">
        <f>IF($A444="","",IF($A444&gt;IFERROR(GIRDI!B12,0),"DIŞI","AKTİF"))</f>
        <v/>
      </c>
    </row>
    <row r="445">
      <c r="B445" s="31">
        <f>IF(OR($A445="",$A445&gt;IFERROR(GIRDI!B12,0)),"",IFERROR(IF(OR(GIRDI!B12="",GIRDI!B12=0),0,ayd_netDefter/GIRDI!B12),0))</f>
        <v/>
      </c>
      <c r="C445" s="31">
        <f>IF(OR($A445="",$A445&gt;IFERROR(GIRDI!B12,0)),"",IFERROR(IF(OR(GIRDI!B12="",GIRDI!B12=0),0,(ayd_netDefter+ayd_fark)/GIRDI!B12),0))</f>
        <v/>
      </c>
      <c r="D445" s="31">
        <f>IF($B445="","",IFERROR($C445-$B445,0))</f>
        <v/>
      </c>
      <c r="E445" s="31">
        <f>IF($B445="","",IFERROR($A445*$B445,0))</f>
        <v/>
      </c>
      <c r="F445" s="31">
        <f>IF($C445="","",IFERROR($A445*$C445,0))</f>
        <v/>
      </c>
      <c r="G445" s="31">
        <f>IF($B445="","",IFERROR(MAX(0,ayd_netDefter-$E445),0))</f>
        <v/>
      </c>
      <c r="H445" s="31">
        <f>IF($C445="","",IFERROR(MAX(0,ayd_netDefter+ayd_fark-$F445),0))</f>
        <v/>
      </c>
      <c r="I445" s="31">
        <f>IF($A445="","",IF($A445&gt;IFERROR(GIRDI!B12,0),"DIŞI","AKTİF"))</f>
        <v/>
      </c>
    </row>
    <row r="446">
      <c r="B446" s="31">
        <f>IF(OR($A446="",$A446&gt;IFERROR(GIRDI!B12,0)),"",IFERROR(IF(OR(GIRDI!B12="",GIRDI!B12=0),0,ayd_netDefter/GIRDI!B12),0))</f>
        <v/>
      </c>
      <c r="C446" s="31">
        <f>IF(OR($A446="",$A446&gt;IFERROR(GIRDI!B12,0)),"",IFERROR(IF(OR(GIRDI!B12="",GIRDI!B12=0),0,(ayd_netDefter+ayd_fark)/GIRDI!B12),0))</f>
        <v/>
      </c>
      <c r="D446" s="31">
        <f>IF($B446="","",IFERROR($C446-$B446,0))</f>
        <v/>
      </c>
      <c r="E446" s="31">
        <f>IF($B446="","",IFERROR($A446*$B446,0))</f>
        <v/>
      </c>
      <c r="F446" s="31">
        <f>IF($C446="","",IFERROR($A446*$C446,0))</f>
        <v/>
      </c>
      <c r="G446" s="31">
        <f>IF($B446="","",IFERROR(MAX(0,ayd_netDefter-$E446),0))</f>
        <v/>
      </c>
      <c r="H446" s="31">
        <f>IF($C446="","",IFERROR(MAX(0,ayd_netDefter+ayd_fark-$F446),0))</f>
        <v/>
      </c>
      <c r="I446" s="31">
        <f>IF($A446="","",IF($A446&gt;IFERROR(GIRDI!B12,0),"DIŞI","AKTİF"))</f>
        <v/>
      </c>
    </row>
    <row r="447">
      <c r="B447" s="31">
        <f>IF(OR($A447="",$A447&gt;IFERROR(GIRDI!B12,0)),"",IFERROR(IF(OR(GIRDI!B12="",GIRDI!B12=0),0,ayd_netDefter/GIRDI!B12),0))</f>
        <v/>
      </c>
      <c r="C447" s="31">
        <f>IF(OR($A447="",$A447&gt;IFERROR(GIRDI!B12,0)),"",IFERROR(IF(OR(GIRDI!B12="",GIRDI!B12=0),0,(ayd_netDefter+ayd_fark)/GIRDI!B12),0))</f>
        <v/>
      </c>
      <c r="D447" s="31">
        <f>IF($B447="","",IFERROR($C447-$B447,0))</f>
        <v/>
      </c>
      <c r="E447" s="31">
        <f>IF($B447="","",IFERROR($A447*$B447,0))</f>
        <v/>
      </c>
      <c r="F447" s="31">
        <f>IF($C447="","",IFERROR($A447*$C447,0))</f>
        <v/>
      </c>
      <c r="G447" s="31">
        <f>IF($B447="","",IFERROR(MAX(0,ayd_netDefter-$E447),0))</f>
        <v/>
      </c>
      <c r="H447" s="31">
        <f>IF($C447="","",IFERROR(MAX(0,ayd_netDefter+ayd_fark-$F447),0))</f>
        <v/>
      </c>
      <c r="I447" s="31">
        <f>IF($A447="","",IF($A447&gt;IFERROR(GIRDI!B12,0),"DIŞI","AKTİF"))</f>
        <v/>
      </c>
    </row>
    <row r="448">
      <c r="B448" s="31">
        <f>IF(OR($A448="",$A448&gt;IFERROR(GIRDI!B12,0)),"",IFERROR(IF(OR(GIRDI!B12="",GIRDI!B12=0),0,ayd_netDefter/GIRDI!B12),0))</f>
        <v/>
      </c>
      <c r="C448" s="31">
        <f>IF(OR($A448="",$A448&gt;IFERROR(GIRDI!B12,0)),"",IFERROR(IF(OR(GIRDI!B12="",GIRDI!B12=0),0,(ayd_netDefter+ayd_fark)/GIRDI!B12),0))</f>
        <v/>
      </c>
      <c r="D448" s="31">
        <f>IF($B448="","",IFERROR($C448-$B448,0))</f>
        <v/>
      </c>
      <c r="E448" s="31">
        <f>IF($B448="","",IFERROR($A448*$B448,0))</f>
        <v/>
      </c>
      <c r="F448" s="31">
        <f>IF($C448="","",IFERROR($A448*$C448,0))</f>
        <v/>
      </c>
      <c r="G448" s="31">
        <f>IF($B448="","",IFERROR(MAX(0,ayd_netDefter-$E448),0))</f>
        <v/>
      </c>
      <c r="H448" s="31">
        <f>IF($C448="","",IFERROR(MAX(0,ayd_netDefter+ayd_fark-$F448),0))</f>
        <v/>
      </c>
      <c r="I448" s="31">
        <f>IF($A448="","",IF($A448&gt;IFERROR(GIRDI!B12,0),"DIŞI","AKTİF"))</f>
        <v/>
      </c>
    </row>
    <row r="449">
      <c r="B449" s="31">
        <f>IF(OR($A449="",$A449&gt;IFERROR(GIRDI!B12,0)),"",IFERROR(IF(OR(GIRDI!B12="",GIRDI!B12=0),0,ayd_netDefter/GIRDI!B12),0))</f>
        <v/>
      </c>
      <c r="C449" s="31">
        <f>IF(OR($A449="",$A449&gt;IFERROR(GIRDI!B12,0)),"",IFERROR(IF(OR(GIRDI!B12="",GIRDI!B12=0),0,(ayd_netDefter+ayd_fark)/GIRDI!B12),0))</f>
        <v/>
      </c>
      <c r="D449" s="31">
        <f>IF($B449="","",IFERROR($C449-$B449,0))</f>
        <v/>
      </c>
      <c r="E449" s="31">
        <f>IF($B449="","",IFERROR($A449*$B449,0))</f>
        <v/>
      </c>
      <c r="F449" s="31">
        <f>IF($C449="","",IFERROR($A449*$C449,0))</f>
        <v/>
      </c>
      <c r="G449" s="31">
        <f>IF($B449="","",IFERROR(MAX(0,ayd_netDefter-$E449),0))</f>
        <v/>
      </c>
      <c r="H449" s="31">
        <f>IF($C449="","",IFERROR(MAX(0,ayd_netDefter+ayd_fark-$F449),0))</f>
        <v/>
      </c>
      <c r="I449" s="31">
        <f>IF($A449="","",IF($A449&gt;IFERROR(GIRDI!B12,0),"DIŞI","AKTİF"))</f>
        <v/>
      </c>
    </row>
    <row r="450">
      <c r="B450" s="31">
        <f>IF(OR($A450="",$A450&gt;IFERROR(GIRDI!B12,0)),"",IFERROR(IF(OR(GIRDI!B12="",GIRDI!B12=0),0,ayd_netDefter/GIRDI!B12),0))</f>
        <v/>
      </c>
      <c r="C450" s="31">
        <f>IF(OR($A450="",$A450&gt;IFERROR(GIRDI!B12,0)),"",IFERROR(IF(OR(GIRDI!B12="",GIRDI!B12=0),0,(ayd_netDefter+ayd_fark)/GIRDI!B12),0))</f>
        <v/>
      </c>
      <c r="D450" s="31">
        <f>IF($B450="","",IFERROR($C450-$B450,0))</f>
        <v/>
      </c>
      <c r="E450" s="31">
        <f>IF($B450="","",IFERROR($A450*$B450,0))</f>
        <v/>
      </c>
      <c r="F450" s="31">
        <f>IF($C450="","",IFERROR($A450*$C450,0))</f>
        <v/>
      </c>
      <c r="G450" s="31">
        <f>IF($B450="","",IFERROR(MAX(0,ayd_netDefter-$E450),0))</f>
        <v/>
      </c>
      <c r="H450" s="31">
        <f>IF($C450="","",IFERROR(MAX(0,ayd_netDefter+ayd_fark-$F450),0))</f>
        <v/>
      </c>
      <c r="I450" s="31">
        <f>IF($A450="","",IF($A450&gt;IFERROR(GIRDI!B12,0),"DIŞI","AKTİF"))</f>
        <v/>
      </c>
    </row>
    <row r="451">
      <c r="B451" s="31">
        <f>IF(OR($A451="",$A451&gt;IFERROR(GIRDI!B12,0)),"",IFERROR(IF(OR(GIRDI!B12="",GIRDI!B12=0),0,ayd_netDefter/GIRDI!B12),0))</f>
        <v/>
      </c>
      <c r="C451" s="31">
        <f>IF(OR($A451="",$A451&gt;IFERROR(GIRDI!B12,0)),"",IFERROR(IF(OR(GIRDI!B12="",GIRDI!B12=0),0,(ayd_netDefter+ayd_fark)/GIRDI!B12),0))</f>
        <v/>
      </c>
      <c r="D451" s="31">
        <f>IF($B451="","",IFERROR($C451-$B451,0))</f>
        <v/>
      </c>
      <c r="E451" s="31">
        <f>IF($B451="","",IFERROR($A451*$B451,0))</f>
        <v/>
      </c>
      <c r="F451" s="31">
        <f>IF($C451="","",IFERROR($A451*$C451,0))</f>
        <v/>
      </c>
      <c r="G451" s="31">
        <f>IF($B451="","",IFERROR(MAX(0,ayd_netDefter-$E451),0))</f>
        <v/>
      </c>
      <c r="H451" s="31">
        <f>IF($C451="","",IFERROR(MAX(0,ayd_netDefter+ayd_fark-$F451),0))</f>
        <v/>
      </c>
      <c r="I451" s="31">
        <f>IF($A451="","",IF($A451&gt;IFERROR(GIRDI!B12,0),"DIŞI","AKTİF"))</f>
        <v/>
      </c>
    </row>
    <row r="452">
      <c r="B452" s="31">
        <f>IF(OR($A452="",$A452&gt;IFERROR(GIRDI!B12,0)),"",IFERROR(IF(OR(GIRDI!B12="",GIRDI!B12=0),0,ayd_netDefter/GIRDI!B12),0))</f>
        <v/>
      </c>
      <c r="C452" s="31">
        <f>IF(OR($A452="",$A452&gt;IFERROR(GIRDI!B12,0)),"",IFERROR(IF(OR(GIRDI!B12="",GIRDI!B12=0),0,(ayd_netDefter+ayd_fark)/GIRDI!B12),0))</f>
        <v/>
      </c>
      <c r="D452" s="31">
        <f>IF($B452="","",IFERROR($C452-$B452,0))</f>
        <v/>
      </c>
      <c r="E452" s="31">
        <f>IF($B452="","",IFERROR($A452*$B452,0))</f>
        <v/>
      </c>
      <c r="F452" s="31">
        <f>IF($C452="","",IFERROR($A452*$C452,0))</f>
        <v/>
      </c>
      <c r="G452" s="31">
        <f>IF($B452="","",IFERROR(MAX(0,ayd_netDefter-$E452),0))</f>
        <v/>
      </c>
      <c r="H452" s="31">
        <f>IF($C452="","",IFERROR(MAX(0,ayd_netDefter+ayd_fark-$F452),0))</f>
        <v/>
      </c>
      <c r="I452" s="31">
        <f>IF($A452="","",IF($A452&gt;IFERROR(GIRDI!B12,0),"DIŞI","AKTİF"))</f>
        <v/>
      </c>
    </row>
    <row r="453">
      <c r="B453" s="31">
        <f>IF(OR($A453="",$A453&gt;IFERROR(GIRDI!B12,0)),"",IFERROR(IF(OR(GIRDI!B12="",GIRDI!B12=0),0,ayd_netDefter/GIRDI!B12),0))</f>
        <v/>
      </c>
      <c r="C453" s="31">
        <f>IF(OR($A453="",$A453&gt;IFERROR(GIRDI!B12,0)),"",IFERROR(IF(OR(GIRDI!B12="",GIRDI!B12=0),0,(ayd_netDefter+ayd_fark)/GIRDI!B12),0))</f>
        <v/>
      </c>
      <c r="D453" s="31">
        <f>IF($B453="","",IFERROR($C453-$B453,0))</f>
        <v/>
      </c>
      <c r="E453" s="31">
        <f>IF($B453="","",IFERROR($A453*$B453,0))</f>
        <v/>
      </c>
      <c r="F453" s="31">
        <f>IF($C453="","",IFERROR($A453*$C453,0))</f>
        <v/>
      </c>
      <c r="G453" s="31">
        <f>IF($B453="","",IFERROR(MAX(0,ayd_netDefter-$E453),0))</f>
        <v/>
      </c>
      <c r="H453" s="31">
        <f>IF($C453="","",IFERROR(MAX(0,ayd_netDefter+ayd_fark-$F453),0))</f>
        <v/>
      </c>
      <c r="I453" s="31">
        <f>IF($A453="","",IF($A453&gt;IFERROR(GIRDI!B12,0),"DIŞI","AKTİF"))</f>
        <v/>
      </c>
    </row>
    <row r="454">
      <c r="B454" s="31">
        <f>IF(OR($A454="",$A454&gt;IFERROR(GIRDI!B12,0)),"",IFERROR(IF(OR(GIRDI!B12="",GIRDI!B12=0),0,ayd_netDefter/GIRDI!B12),0))</f>
        <v/>
      </c>
      <c r="C454" s="31">
        <f>IF(OR($A454="",$A454&gt;IFERROR(GIRDI!B12,0)),"",IFERROR(IF(OR(GIRDI!B12="",GIRDI!B12=0),0,(ayd_netDefter+ayd_fark)/GIRDI!B12),0))</f>
        <v/>
      </c>
      <c r="D454" s="31">
        <f>IF($B454="","",IFERROR($C454-$B454,0))</f>
        <v/>
      </c>
      <c r="E454" s="31">
        <f>IF($B454="","",IFERROR($A454*$B454,0))</f>
        <v/>
      </c>
      <c r="F454" s="31">
        <f>IF($C454="","",IFERROR($A454*$C454,0))</f>
        <v/>
      </c>
      <c r="G454" s="31">
        <f>IF($B454="","",IFERROR(MAX(0,ayd_netDefter-$E454),0))</f>
        <v/>
      </c>
      <c r="H454" s="31">
        <f>IF($C454="","",IFERROR(MAX(0,ayd_netDefter+ayd_fark-$F454),0))</f>
        <v/>
      </c>
      <c r="I454" s="31">
        <f>IF($A454="","",IF($A454&gt;IFERROR(GIRDI!B12,0),"DIŞI","AKTİF"))</f>
        <v/>
      </c>
    </row>
    <row r="455">
      <c r="B455" s="31">
        <f>IF(OR($A455="",$A455&gt;IFERROR(GIRDI!B12,0)),"",IFERROR(IF(OR(GIRDI!B12="",GIRDI!B12=0),0,ayd_netDefter/GIRDI!B12),0))</f>
        <v/>
      </c>
      <c r="C455" s="31">
        <f>IF(OR($A455="",$A455&gt;IFERROR(GIRDI!B12,0)),"",IFERROR(IF(OR(GIRDI!B12="",GIRDI!B12=0),0,(ayd_netDefter+ayd_fark)/GIRDI!B12),0))</f>
        <v/>
      </c>
      <c r="D455" s="31">
        <f>IF($B455="","",IFERROR($C455-$B455,0))</f>
        <v/>
      </c>
      <c r="E455" s="31">
        <f>IF($B455="","",IFERROR($A455*$B455,0))</f>
        <v/>
      </c>
      <c r="F455" s="31">
        <f>IF($C455="","",IFERROR($A455*$C455,0))</f>
        <v/>
      </c>
      <c r="G455" s="31">
        <f>IF($B455="","",IFERROR(MAX(0,ayd_netDefter-$E455),0))</f>
        <v/>
      </c>
      <c r="H455" s="31">
        <f>IF($C455="","",IFERROR(MAX(0,ayd_netDefter+ayd_fark-$F455),0))</f>
        <v/>
      </c>
      <c r="I455" s="31">
        <f>IF($A455="","",IF($A455&gt;IFERROR(GIRDI!B12,0),"DIŞI","AKTİF"))</f>
        <v/>
      </c>
    </row>
    <row r="456">
      <c r="B456" s="31">
        <f>IF(OR($A456="",$A456&gt;IFERROR(GIRDI!B12,0)),"",IFERROR(IF(OR(GIRDI!B12="",GIRDI!B12=0),0,ayd_netDefter/GIRDI!B12),0))</f>
        <v/>
      </c>
      <c r="C456" s="31">
        <f>IF(OR($A456="",$A456&gt;IFERROR(GIRDI!B12,0)),"",IFERROR(IF(OR(GIRDI!B12="",GIRDI!B12=0),0,(ayd_netDefter+ayd_fark)/GIRDI!B12),0))</f>
        <v/>
      </c>
      <c r="D456" s="31">
        <f>IF($B456="","",IFERROR($C456-$B456,0))</f>
        <v/>
      </c>
      <c r="E456" s="31">
        <f>IF($B456="","",IFERROR($A456*$B456,0))</f>
        <v/>
      </c>
      <c r="F456" s="31">
        <f>IF($C456="","",IFERROR($A456*$C456,0))</f>
        <v/>
      </c>
      <c r="G456" s="31">
        <f>IF($B456="","",IFERROR(MAX(0,ayd_netDefter-$E456),0))</f>
        <v/>
      </c>
      <c r="H456" s="31">
        <f>IF($C456="","",IFERROR(MAX(0,ayd_netDefter+ayd_fark-$F456),0))</f>
        <v/>
      </c>
      <c r="I456" s="31">
        <f>IF($A456="","",IF($A456&gt;IFERROR(GIRDI!B12,0),"DIŞI","AKTİF"))</f>
        <v/>
      </c>
    </row>
    <row r="457">
      <c r="B457" s="31">
        <f>IF(OR($A457="",$A457&gt;IFERROR(GIRDI!B12,0)),"",IFERROR(IF(OR(GIRDI!B12="",GIRDI!B12=0),0,ayd_netDefter/GIRDI!B12),0))</f>
        <v/>
      </c>
      <c r="C457" s="31">
        <f>IF(OR($A457="",$A457&gt;IFERROR(GIRDI!B12,0)),"",IFERROR(IF(OR(GIRDI!B12="",GIRDI!B12=0),0,(ayd_netDefter+ayd_fark)/GIRDI!B12),0))</f>
        <v/>
      </c>
      <c r="D457" s="31">
        <f>IF($B457="","",IFERROR($C457-$B457,0))</f>
        <v/>
      </c>
      <c r="E457" s="31">
        <f>IF($B457="","",IFERROR($A457*$B457,0))</f>
        <v/>
      </c>
      <c r="F457" s="31">
        <f>IF($C457="","",IFERROR($A457*$C457,0))</f>
        <v/>
      </c>
      <c r="G457" s="31">
        <f>IF($B457="","",IFERROR(MAX(0,ayd_netDefter-$E457),0))</f>
        <v/>
      </c>
      <c r="H457" s="31">
        <f>IF($C457="","",IFERROR(MAX(0,ayd_netDefter+ayd_fark-$F457),0))</f>
        <v/>
      </c>
      <c r="I457" s="31">
        <f>IF($A457="","",IF($A457&gt;IFERROR(GIRDI!B12,0),"DIŞI","AKTİF"))</f>
        <v/>
      </c>
    </row>
    <row r="458">
      <c r="B458" s="31">
        <f>IF(OR($A458="",$A458&gt;IFERROR(GIRDI!B12,0)),"",IFERROR(IF(OR(GIRDI!B12="",GIRDI!B12=0),0,ayd_netDefter/GIRDI!B12),0))</f>
        <v/>
      </c>
      <c r="C458" s="31">
        <f>IF(OR($A458="",$A458&gt;IFERROR(GIRDI!B12,0)),"",IFERROR(IF(OR(GIRDI!B12="",GIRDI!B12=0),0,(ayd_netDefter+ayd_fark)/GIRDI!B12),0))</f>
        <v/>
      </c>
      <c r="D458" s="31">
        <f>IF($B458="","",IFERROR($C458-$B458,0))</f>
        <v/>
      </c>
      <c r="E458" s="31">
        <f>IF($B458="","",IFERROR($A458*$B458,0))</f>
        <v/>
      </c>
      <c r="F458" s="31">
        <f>IF($C458="","",IFERROR($A458*$C458,0))</f>
        <v/>
      </c>
      <c r="G458" s="31">
        <f>IF($B458="","",IFERROR(MAX(0,ayd_netDefter-$E458),0))</f>
        <v/>
      </c>
      <c r="H458" s="31">
        <f>IF($C458="","",IFERROR(MAX(0,ayd_netDefter+ayd_fark-$F458),0))</f>
        <v/>
      </c>
      <c r="I458" s="31">
        <f>IF($A458="","",IF($A458&gt;IFERROR(GIRDI!B12,0),"DIŞI","AKTİF"))</f>
        <v/>
      </c>
    </row>
    <row r="459">
      <c r="B459" s="31">
        <f>IF(OR($A459="",$A459&gt;IFERROR(GIRDI!B12,0)),"",IFERROR(IF(OR(GIRDI!B12="",GIRDI!B12=0),0,ayd_netDefter/GIRDI!B12),0))</f>
        <v/>
      </c>
      <c r="C459" s="31">
        <f>IF(OR($A459="",$A459&gt;IFERROR(GIRDI!B12,0)),"",IFERROR(IF(OR(GIRDI!B12="",GIRDI!B12=0),0,(ayd_netDefter+ayd_fark)/GIRDI!B12),0))</f>
        <v/>
      </c>
      <c r="D459" s="31">
        <f>IF($B459="","",IFERROR($C459-$B459,0))</f>
        <v/>
      </c>
      <c r="E459" s="31">
        <f>IF($B459="","",IFERROR($A459*$B459,0))</f>
        <v/>
      </c>
      <c r="F459" s="31">
        <f>IF($C459="","",IFERROR($A459*$C459,0))</f>
        <v/>
      </c>
      <c r="G459" s="31">
        <f>IF($B459="","",IFERROR(MAX(0,ayd_netDefter-$E459),0))</f>
        <v/>
      </c>
      <c r="H459" s="31">
        <f>IF($C459="","",IFERROR(MAX(0,ayd_netDefter+ayd_fark-$F459),0))</f>
        <v/>
      </c>
      <c r="I459" s="31">
        <f>IF($A459="","",IF($A459&gt;IFERROR(GIRDI!B12,0),"DIŞI","AKTİF"))</f>
        <v/>
      </c>
    </row>
    <row r="460">
      <c r="B460" s="31">
        <f>IF(OR($A460="",$A460&gt;IFERROR(GIRDI!B12,0)),"",IFERROR(IF(OR(GIRDI!B12="",GIRDI!B12=0),0,ayd_netDefter/GIRDI!B12),0))</f>
        <v/>
      </c>
      <c r="C460" s="31">
        <f>IF(OR($A460="",$A460&gt;IFERROR(GIRDI!B12,0)),"",IFERROR(IF(OR(GIRDI!B12="",GIRDI!B12=0),0,(ayd_netDefter+ayd_fark)/GIRDI!B12),0))</f>
        <v/>
      </c>
      <c r="D460" s="31">
        <f>IF($B460="","",IFERROR($C460-$B460,0))</f>
        <v/>
      </c>
      <c r="E460" s="31">
        <f>IF($B460="","",IFERROR($A460*$B460,0))</f>
        <v/>
      </c>
      <c r="F460" s="31">
        <f>IF($C460="","",IFERROR($A460*$C460,0))</f>
        <v/>
      </c>
      <c r="G460" s="31">
        <f>IF($B460="","",IFERROR(MAX(0,ayd_netDefter-$E460),0))</f>
        <v/>
      </c>
      <c r="H460" s="31">
        <f>IF($C460="","",IFERROR(MAX(0,ayd_netDefter+ayd_fark-$F460),0))</f>
        <v/>
      </c>
      <c r="I460" s="31">
        <f>IF($A460="","",IF($A460&gt;IFERROR(GIRDI!B12,0),"DIŞI","AKTİF"))</f>
        <v/>
      </c>
    </row>
    <row r="461">
      <c r="B461" s="31">
        <f>IF(OR($A461="",$A461&gt;IFERROR(GIRDI!B12,0)),"",IFERROR(IF(OR(GIRDI!B12="",GIRDI!B12=0),0,ayd_netDefter/GIRDI!B12),0))</f>
        <v/>
      </c>
      <c r="C461" s="31">
        <f>IF(OR($A461="",$A461&gt;IFERROR(GIRDI!B12,0)),"",IFERROR(IF(OR(GIRDI!B12="",GIRDI!B12=0),0,(ayd_netDefter+ayd_fark)/GIRDI!B12),0))</f>
        <v/>
      </c>
      <c r="D461" s="31">
        <f>IF($B461="","",IFERROR($C461-$B461,0))</f>
        <v/>
      </c>
      <c r="E461" s="31">
        <f>IF($B461="","",IFERROR($A461*$B461,0))</f>
        <v/>
      </c>
      <c r="F461" s="31">
        <f>IF($C461="","",IFERROR($A461*$C461,0))</f>
        <v/>
      </c>
      <c r="G461" s="31">
        <f>IF($B461="","",IFERROR(MAX(0,ayd_netDefter-$E461),0))</f>
        <v/>
      </c>
      <c r="H461" s="31">
        <f>IF($C461="","",IFERROR(MAX(0,ayd_netDefter+ayd_fark-$F461),0))</f>
        <v/>
      </c>
      <c r="I461" s="31">
        <f>IF($A461="","",IF($A461&gt;IFERROR(GIRDI!B12,0),"DIŞI","AKTİF"))</f>
        <v/>
      </c>
    </row>
    <row r="462">
      <c r="B462" s="31">
        <f>IF(OR($A462="",$A462&gt;IFERROR(GIRDI!B12,0)),"",IFERROR(IF(OR(GIRDI!B12="",GIRDI!B12=0),0,ayd_netDefter/GIRDI!B12),0))</f>
        <v/>
      </c>
      <c r="C462" s="31">
        <f>IF(OR($A462="",$A462&gt;IFERROR(GIRDI!B12,0)),"",IFERROR(IF(OR(GIRDI!B12="",GIRDI!B12=0),0,(ayd_netDefter+ayd_fark)/GIRDI!B12),0))</f>
        <v/>
      </c>
      <c r="D462" s="31">
        <f>IF($B462="","",IFERROR($C462-$B462,0))</f>
        <v/>
      </c>
      <c r="E462" s="31">
        <f>IF($B462="","",IFERROR($A462*$B462,0))</f>
        <v/>
      </c>
      <c r="F462" s="31">
        <f>IF($C462="","",IFERROR($A462*$C462,0))</f>
        <v/>
      </c>
      <c r="G462" s="31">
        <f>IF($B462="","",IFERROR(MAX(0,ayd_netDefter-$E462),0))</f>
        <v/>
      </c>
      <c r="H462" s="31">
        <f>IF($C462="","",IFERROR(MAX(0,ayd_netDefter+ayd_fark-$F462),0))</f>
        <v/>
      </c>
      <c r="I462" s="31">
        <f>IF($A462="","",IF($A462&gt;IFERROR(GIRDI!B12,0),"DIŞI","AKTİF"))</f>
        <v/>
      </c>
    </row>
    <row r="463">
      <c r="B463" s="31">
        <f>IF(OR($A463="",$A463&gt;IFERROR(GIRDI!B12,0)),"",IFERROR(IF(OR(GIRDI!B12="",GIRDI!B12=0),0,ayd_netDefter/GIRDI!B12),0))</f>
        <v/>
      </c>
      <c r="C463" s="31">
        <f>IF(OR($A463="",$A463&gt;IFERROR(GIRDI!B12,0)),"",IFERROR(IF(OR(GIRDI!B12="",GIRDI!B12=0),0,(ayd_netDefter+ayd_fark)/GIRDI!B12),0))</f>
        <v/>
      </c>
      <c r="D463" s="31">
        <f>IF($B463="","",IFERROR($C463-$B463,0))</f>
        <v/>
      </c>
      <c r="E463" s="31">
        <f>IF($B463="","",IFERROR($A463*$B463,0))</f>
        <v/>
      </c>
      <c r="F463" s="31">
        <f>IF($C463="","",IFERROR($A463*$C463,0))</f>
        <v/>
      </c>
      <c r="G463" s="31">
        <f>IF($B463="","",IFERROR(MAX(0,ayd_netDefter-$E463),0))</f>
        <v/>
      </c>
      <c r="H463" s="31">
        <f>IF($C463="","",IFERROR(MAX(0,ayd_netDefter+ayd_fark-$F463),0))</f>
        <v/>
      </c>
      <c r="I463" s="31">
        <f>IF($A463="","",IF($A463&gt;IFERROR(GIRDI!B12,0),"DIŞI","AKTİF"))</f>
        <v/>
      </c>
    </row>
    <row r="464">
      <c r="B464" s="31">
        <f>IF(OR($A464="",$A464&gt;IFERROR(GIRDI!B12,0)),"",IFERROR(IF(OR(GIRDI!B12="",GIRDI!B12=0),0,ayd_netDefter/GIRDI!B12),0))</f>
        <v/>
      </c>
      <c r="C464" s="31">
        <f>IF(OR($A464="",$A464&gt;IFERROR(GIRDI!B12,0)),"",IFERROR(IF(OR(GIRDI!B12="",GIRDI!B12=0),0,(ayd_netDefter+ayd_fark)/GIRDI!B12),0))</f>
        <v/>
      </c>
      <c r="D464" s="31">
        <f>IF($B464="","",IFERROR($C464-$B464,0))</f>
        <v/>
      </c>
      <c r="E464" s="31">
        <f>IF($B464="","",IFERROR($A464*$B464,0))</f>
        <v/>
      </c>
      <c r="F464" s="31">
        <f>IF($C464="","",IFERROR($A464*$C464,0))</f>
        <v/>
      </c>
      <c r="G464" s="31">
        <f>IF($B464="","",IFERROR(MAX(0,ayd_netDefter-$E464),0))</f>
        <v/>
      </c>
      <c r="H464" s="31">
        <f>IF($C464="","",IFERROR(MAX(0,ayd_netDefter+ayd_fark-$F464),0))</f>
        <v/>
      </c>
      <c r="I464" s="31">
        <f>IF($A464="","",IF($A464&gt;IFERROR(GIRDI!B12,0),"DIŞI","AKTİF"))</f>
        <v/>
      </c>
    </row>
    <row r="465">
      <c r="B465" s="31">
        <f>IF(OR($A465="",$A465&gt;IFERROR(GIRDI!B12,0)),"",IFERROR(IF(OR(GIRDI!B12="",GIRDI!B12=0),0,ayd_netDefter/GIRDI!B12),0))</f>
        <v/>
      </c>
      <c r="C465" s="31">
        <f>IF(OR($A465="",$A465&gt;IFERROR(GIRDI!B12,0)),"",IFERROR(IF(OR(GIRDI!B12="",GIRDI!B12=0),0,(ayd_netDefter+ayd_fark)/GIRDI!B12),0))</f>
        <v/>
      </c>
      <c r="D465" s="31">
        <f>IF($B465="","",IFERROR($C465-$B465,0))</f>
        <v/>
      </c>
      <c r="E465" s="31">
        <f>IF($B465="","",IFERROR($A465*$B465,0))</f>
        <v/>
      </c>
      <c r="F465" s="31">
        <f>IF($C465="","",IFERROR($A465*$C465,0))</f>
        <v/>
      </c>
      <c r="G465" s="31">
        <f>IF($B465="","",IFERROR(MAX(0,ayd_netDefter-$E465),0))</f>
        <v/>
      </c>
      <c r="H465" s="31">
        <f>IF($C465="","",IFERROR(MAX(0,ayd_netDefter+ayd_fark-$F465),0))</f>
        <v/>
      </c>
      <c r="I465" s="31">
        <f>IF($A465="","",IF($A465&gt;IFERROR(GIRDI!B12,0),"DIŞI","AKTİF"))</f>
        <v/>
      </c>
    </row>
    <row r="466">
      <c r="B466" s="31">
        <f>IF(OR($A466="",$A466&gt;IFERROR(GIRDI!B12,0)),"",IFERROR(IF(OR(GIRDI!B12="",GIRDI!B12=0),0,ayd_netDefter/GIRDI!B12),0))</f>
        <v/>
      </c>
      <c r="C466" s="31">
        <f>IF(OR($A466="",$A466&gt;IFERROR(GIRDI!B12,0)),"",IFERROR(IF(OR(GIRDI!B12="",GIRDI!B12=0),0,(ayd_netDefter+ayd_fark)/GIRDI!B12),0))</f>
        <v/>
      </c>
      <c r="D466" s="31">
        <f>IF($B466="","",IFERROR($C466-$B466,0))</f>
        <v/>
      </c>
      <c r="E466" s="31">
        <f>IF($B466="","",IFERROR($A466*$B466,0))</f>
        <v/>
      </c>
      <c r="F466" s="31">
        <f>IF($C466="","",IFERROR($A466*$C466,0))</f>
        <v/>
      </c>
      <c r="G466" s="31">
        <f>IF($B466="","",IFERROR(MAX(0,ayd_netDefter-$E466),0))</f>
        <v/>
      </c>
      <c r="H466" s="31">
        <f>IF($C466="","",IFERROR(MAX(0,ayd_netDefter+ayd_fark-$F466),0))</f>
        <v/>
      </c>
      <c r="I466" s="31">
        <f>IF($A466="","",IF($A466&gt;IFERROR(GIRDI!B12,0),"DIŞI","AKTİF"))</f>
        <v/>
      </c>
    </row>
    <row r="467">
      <c r="B467" s="31">
        <f>IF(OR($A467="",$A467&gt;IFERROR(GIRDI!B12,0)),"",IFERROR(IF(OR(GIRDI!B12="",GIRDI!B12=0),0,ayd_netDefter/GIRDI!B12),0))</f>
        <v/>
      </c>
      <c r="C467" s="31">
        <f>IF(OR($A467="",$A467&gt;IFERROR(GIRDI!B12,0)),"",IFERROR(IF(OR(GIRDI!B12="",GIRDI!B12=0),0,(ayd_netDefter+ayd_fark)/GIRDI!B12),0))</f>
        <v/>
      </c>
      <c r="D467" s="31">
        <f>IF($B467="","",IFERROR($C467-$B467,0))</f>
        <v/>
      </c>
      <c r="E467" s="31">
        <f>IF($B467="","",IFERROR($A467*$B467,0))</f>
        <v/>
      </c>
      <c r="F467" s="31">
        <f>IF($C467="","",IFERROR($A467*$C467,0))</f>
        <v/>
      </c>
      <c r="G467" s="31">
        <f>IF($B467="","",IFERROR(MAX(0,ayd_netDefter-$E467),0))</f>
        <v/>
      </c>
      <c r="H467" s="31">
        <f>IF($C467="","",IFERROR(MAX(0,ayd_netDefter+ayd_fark-$F467),0))</f>
        <v/>
      </c>
      <c r="I467" s="31">
        <f>IF($A467="","",IF($A467&gt;IFERROR(GIRDI!B12,0),"DIŞI","AKTİF"))</f>
        <v/>
      </c>
    </row>
    <row r="468">
      <c r="B468" s="31">
        <f>IF(OR($A468="",$A468&gt;IFERROR(GIRDI!B12,0)),"",IFERROR(IF(OR(GIRDI!B12="",GIRDI!B12=0),0,ayd_netDefter/GIRDI!B12),0))</f>
        <v/>
      </c>
      <c r="C468" s="31">
        <f>IF(OR($A468="",$A468&gt;IFERROR(GIRDI!B12,0)),"",IFERROR(IF(OR(GIRDI!B12="",GIRDI!B12=0),0,(ayd_netDefter+ayd_fark)/GIRDI!B12),0))</f>
        <v/>
      </c>
      <c r="D468" s="31">
        <f>IF($B468="","",IFERROR($C468-$B468,0))</f>
        <v/>
      </c>
      <c r="E468" s="31">
        <f>IF($B468="","",IFERROR($A468*$B468,0))</f>
        <v/>
      </c>
      <c r="F468" s="31">
        <f>IF($C468="","",IFERROR($A468*$C468,0))</f>
        <v/>
      </c>
      <c r="G468" s="31">
        <f>IF($B468="","",IFERROR(MAX(0,ayd_netDefter-$E468),0))</f>
        <v/>
      </c>
      <c r="H468" s="31">
        <f>IF($C468="","",IFERROR(MAX(0,ayd_netDefter+ayd_fark-$F468),0))</f>
        <v/>
      </c>
      <c r="I468" s="31">
        <f>IF($A468="","",IF($A468&gt;IFERROR(GIRDI!B12,0),"DIŞI","AKTİF"))</f>
        <v/>
      </c>
    </row>
    <row r="469">
      <c r="B469" s="31">
        <f>IF(OR($A469="",$A469&gt;IFERROR(GIRDI!B12,0)),"",IFERROR(IF(OR(GIRDI!B12="",GIRDI!B12=0),0,ayd_netDefter/GIRDI!B12),0))</f>
        <v/>
      </c>
      <c r="C469" s="31">
        <f>IF(OR($A469="",$A469&gt;IFERROR(GIRDI!B12,0)),"",IFERROR(IF(OR(GIRDI!B12="",GIRDI!B12=0),0,(ayd_netDefter+ayd_fark)/GIRDI!B12),0))</f>
        <v/>
      </c>
      <c r="D469" s="31">
        <f>IF($B469="","",IFERROR($C469-$B469,0))</f>
        <v/>
      </c>
      <c r="E469" s="31">
        <f>IF($B469="","",IFERROR($A469*$B469,0))</f>
        <v/>
      </c>
      <c r="F469" s="31">
        <f>IF($C469="","",IFERROR($A469*$C469,0))</f>
        <v/>
      </c>
      <c r="G469" s="31">
        <f>IF($B469="","",IFERROR(MAX(0,ayd_netDefter-$E469),0))</f>
        <v/>
      </c>
      <c r="H469" s="31">
        <f>IF($C469="","",IFERROR(MAX(0,ayd_netDefter+ayd_fark-$F469),0))</f>
        <v/>
      </c>
      <c r="I469" s="31">
        <f>IF($A469="","",IF($A469&gt;IFERROR(GIRDI!B12,0),"DIŞI","AKTİF"))</f>
        <v/>
      </c>
    </row>
    <row r="470">
      <c r="B470" s="31">
        <f>IF(OR($A470="",$A470&gt;IFERROR(GIRDI!B12,0)),"",IFERROR(IF(OR(GIRDI!B12="",GIRDI!B12=0),0,ayd_netDefter/GIRDI!B12),0))</f>
        <v/>
      </c>
      <c r="C470" s="31">
        <f>IF(OR($A470="",$A470&gt;IFERROR(GIRDI!B12,0)),"",IFERROR(IF(OR(GIRDI!B12="",GIRDI!B12=0),0,(ayd_netDefter+ayd_fark)/GIRDI!B12),0))</f>
        <v/>
      </c>
      <c r="D470" s="31">
        <f>IF($B470="","",IFERROR($C470-$B470,0))</f>
        <v/>
      </c>
      <c r="E470" s="31">
        <f>IF($B470="","",IFERROR($A470*$B470,0))</f>
        <v/>
      </c>
      <c r="F470" s="31">
        <f>IF($C470="","",IFERROR($A470*$C470,0))</f>
        <v/>
      </c>
      <c r="G470" s="31">
        <f>IF($B470="","",IFERROR(MAX(0,ayd_netDefter-$E470),0))</f>
        <v/>
      </c>
      <c r="H470" s="31">
        <f>IF($C470="","",IFERROR(MAX(0,ayd_netDefter+ayd_fark-$F470),0))</f>
        <v/>
      </c>
      <c r="I470" s="31">
        <f>IF($A470="","",IF($A470&gt;IFERROR(GIRDI!B12,0),"DIŞI","AKTİF"))</f>
        <v/>
      </c>
    </row>
    <row r="471">
      <c r="B471" s="31">
        <f>IF(OR($A471="",$A471&gt;IFERROR(GIRDI!B12,0)),"",IFERROR(IF(OR(GIRDI!B12="",GIRDI!B12=0),0,ayd_netDefter/GIRDI!B12),0))</f>
        <v/>
      </c>
      <c r="C471" s="31">
        <f>IF(OR($A471="",$A471&gt;IFERROR(GIRDI!B12,0)),"",IFERROR(IF(OR(GIRDI!B12="",GIRDI!B12=0),0,(ayd_netDefter+ayd_fark)/GIRDI!B12),0))</f>
        <v/>
      </c>
      <c r="D471" s="31">
        <f>IF($B471="","",IFERROR($C471-$B471,0))</f>
        <v/>
      </c>
      <c r="E471" s="31">
        <f>IF($B471="","",IFERROR($A471*$B471,0))</f>
        <v/>
      </c>
      <c r="F471" s="31">
        <f>IF($C471="","",IFERROR($A471*$C471,0))</f>
        <v/>
      </c>
      <c r="G471" s="31">
        <f>IF($B471="","",IFERROR(MAX(0,ayd_netDefter-$E471),0))</f>
        <v/>
      </c>
      <c r="H471" s="31">
        <f>IF($C471="","",IFERROR(MAX(0,ayd_netDefter+ayd_fark-$F471),0))</f>
        <v/>
      </c>
      <c r="I471" s="31">
        <f>IF($A471="","",IF($A471&gt;IFERROR(GIRDI!B12,0),"DIŞI","AKTİF"))</f>
        <v/>
      </c>
    </row>
    <row r="472">
      <c r="B472" s="31">
        <f>IF(OR($A472="",$A472&gt;IFERROR(GIRDI!B12,0)),"",IFERROR(IF(OR(GIRDI!B12="",GIRDI!B12=0),0,ayd_netDefter/GIRDI!B12),0))</f>
        <v/>
      </c>
      <c r="C472" s="31">
        <f>IF(OR($A472="",$A472&gt;IFERROR(GIRDI!B12,0)),"",IFERROR(IF(OR(GIRDI!B12="",GIRDI!B12=0),0,(ayd_netDefter+ayd_fark)/GIRDI!B12),0))</f>
        <v/>
      </c>
      <c r="D472" s="31">
        <f>IF($B472="","",IFERROR($C472-$B472,0))</f>
        <v/>
      </c>
      <c r="E472" s="31">
        <f>IF($B472="","",IFERROR($A472*$B472,0))</f>
        <v/>
      </c>
      <c r="F472" s="31">
        <f>IF($C472="","",IFERROR($A472*$C472,0))</f>
        <v/>
      </c>
      <c r="G472" s="31">
        <f>IF($B472="","",IFERROR(MAX(0,ayd_netDefter-$E472),0))</f>
        <v/>
      </c>
      <c r="H472" s="31">
        <f>IF($C472="","",IFERROR(MAX(0,ayd_netDefter+ayd_fark-$F472),0))</f>
        <v/>
      </c>
      <c r="I472" s="31">
        <f>IF($A472="","",IF($A472&gt;IFERROR(GIRDI!B12,0),"DIŞI","AKTİF"))</f>
        <v/>
      </c>
    </row>
    <row r="473">
      <c r="B473" s="31">
        <f>IF(OR($A473="",$A473&gt;IFERROR(GIRDI!B12,0)),"",IFERROR(IF(OR(GIRDI!B12="",GIRDI!B12=0),0,ayd_netDefter/GIRDI!B12),0))</f>
        <v/>
      </c>
      <c r="C473" s="31">
        <f>IF(OR($A473="",$A473&gt;IFERROR(GIRDI!B12,0)),"",IFERROR(IF(OR(GIRDI!B12="",GIRDI!B12=0),0,(ayd_netDefter+ayd_fark)/GIRDI!B12),0))</f>
        <v/>
      </c>
      <c r="D473" s="31">
        <f>IF($B473="","",IFERROR($C473-$B473,0))</f>
        <v/>
      </c>
      <c r="E473" s="31">
        <f>IF($B473="","",IFERROR($A473*$B473,0))</f>
        <v/>
      </c>
      <c r="F473" s="31">
        <f>IF($C473="","",IFERROR($A473*$C473,0))</f>
        <v/>
      </c>
      <c r="G473" s="31">
        <f>IF($B473="","",IFERROR(MAX(0,ayd_netDefter-$E473),0))</f>
        <v/>
      </c>
      <c r="H473" s="31">
        <f>IF($C473="","",IFERROR(MAX(0,ayd_netDefter+ayd_fark-$F473),0))</f>
        <v/>
      </c>
      <c r="I473" s="31">
        <f>IF($A473="","",IF($A473&gt;IFERROR(GIRDI!B12,0),"DIŞI","AKTİF"))</f>
        <v/>
      </c>
    </row>
    <row r="474">
      <c r="B474" s="31">
        <f>IF(OR($A474="",$A474&gt;IFERROR(GIRDI!B12,0)),"",IFERROR(IF(OR(GIRDI!B12="",GIRDI!B12=0),0,ayd_netDefter/GIRDI!B12),0))</f>
        <v/>
      </c>
      <c r="C474" s="31">
        <f>IF(OR($A474="",$A474&gt;IFERROR(GIRDI!B12,0)),"",IFERROR(IF(OR(GIRDI!B12="",GIRDI!B12=0),0,(ayd_netDefter+ayd_fark)/GIRDI!B12),0))</f>
        <v/>
      </c>
      <c r="D474" s="31">
        <f>IF($B474="","",IFERROR($C474-$B474,0))</f>
        <v/>
      </c>
      <c r="E474" s="31">
        <f>IF($B474="","",IFERROR($A474*$B474,0))</f>
        <v/>
      </c>
      <c r="F474" s="31">
        <f>IF($C474="","",IFERROR($A474*$C474,0))</f>
        <v/>
      </c>
      <c r="G474" s="31">
        <f>IF($B474="","",IFERROR(MAX(0,ayd_netDefter-$E474),0))</f>
        <v/>
      </c>
      <c r="H474" s="31">
        <f>IF($C474="","",IFERROR(MAX(0,ayd_netDefter+ayd_fark-$F474),0))</f>
        <v/>
      </c>
      <c r="I474" s="31">
        <f>IF($A474="","",IF($A474&gt;IFERROR(GIRDI!B12,0),"DIŞI","AKTİF"))</f>
        <v/>
      </c>
    </row>
    <row r="475">
      <c r="B475" s="31">
        <f>IF(OR($A475="",$A475&gt;IFERROR(GIRDI!B12,0)),"",IFERROR(IF(OR(GIRDI!B12="",GIRDI!B12=0),0,ayd_netDefter/GIRDI!B12),0))</f>
        <v/>
      </c>
      <c r="C475" s="31">
        <f>IF(OR($A475="",$A475&gt;IFERROR(GIRDI!B12,0)),"",IFERROR(IF(OR(GIRDI!B12="",GIRDI!B12=0),0,(ayd_netDefter+ayd_fark)/GIRDI!B12),0))</f>
        <v/>
      </c>
      <c r="D475" s="31">
        <f>IF($B475="","",IFERROR($C475-$B475,0))</f>
        <v/>
      </c>
      <c r="E475" s="31">
        <f>IF($B475="","",IFERROR($A475*$B475,0))</f>
        <v/>
      </c>
      <c r="F475" s="31">
        <f>IF($C475="","",IFERROR($A475*$C475,0))</f>
        <v/>
      </c>
      <c r="G475" s="31">
        <f>IF($B475="","",IFERROR(MAX(0,ayd_netDefter-$E475),0))</f>
        <v/>
      </c>
      <c r="H475" s="31">
        <f>IF($C475="","",IFERROR(MAX(0,ayd_netDefter+ayd_fark-$F475),0))</f>
        <v/>
      </c>
      <c r="I475" s="31">
        <f>IF($A475="","",IF($A475&gt;IFERROR(GIRDI!B12,0),"DIŞI","AKTİF"))</f>
        <v/>
      </c>
    </row>
    <row r="476">
      <c r="B476" s="31">
        <f>IF(OR($A476="",$A476&gt;IFERROR(GIRDI!B12,0)),"",IFERROR(IF(OR(GIRDI!B12="",GIRDI!B12=0),0,ayd_netDefter/GIRDI!B12),0))</f>
        <v/>
      </c>
      <c r="C476" s="31">
        <f>IF(OR($A476="",$A476&gt;IFERROR(GIRDI!B12,0)),"",IFERROR(IF(OR(GIRDI!B12="",GIRDI!B12=0),0,(ayd_netDefter+ayd_fark)/GIRDI!B12),0))</f>
        <v/>
      </c>
      <c r="D476" s="31">
        <f>IF($B476="","",IFERROR($C476-$B476,0))</f>
        <v/>
      </c>
      <c r="E476" s="31">
        <f>IF($B476="","",IFERROR($A476*$B476,0))</f>
        <v/>
      </c>
      <c r="F476" s="31">
        <f>IF($C476="","",IFERROR($A476*$C476,0))</f>
        <v/>
      </c>
      <c r="G476" s="31">
        <f>IF($B476="","",IFERROR(MAX(0,ayd_netDefter-$E476),0))</f>
        <v/>
      </c>
      <c r="H476" s="31">
        <f>IF($C476="","",IFERROR(MAX(0,ayd_netDefter+ayd_fark-$F476),0))</f>
        <v/>
      </c>
      <c r="I476" s="31">
        <f>IF($A476="","",IF($A476&gt;IFERROR(GIRDI!B12,0),"DIŞI","AKTİF"))</f>
        <v/>
      </c>
    </row>
    <row r="477">
      <c r="B477" s="31">
        <f>IF(OR($A477="",$A477&gt;IFERROR(GIRDI!B12,0)),"",IFERROR(IF(OR(GIRDI!B12="",GIRDI!B12=0),0,ayd_netDefter/GIRDI!B12),0))</f>
        <v/>
      </c>
      <c r="C477" s="31">
        <f>IF(OR($A477="",$A477&gt;IFERROR(GIRDI!B12,0)),"",IFERROR(IF(OR(GIRDI!B12="",GIRDI!B12=0),0,(ayd_netDefter+ayd_fark)/GIRDI!B12),0))</f>
        <v/>
      </c>
      <c r="D477" s="31">
        <f>IF($B477="","",IFERROR($C477-$B477,0))</f>
        <v/>
      </c>
      <c r="E477" s="31">
        <f>IF($B477="","",IFERROR($A477*$B477,0))</f>
        <v/>
      </c>
      <c r="F477" s="31">
        <f>IF($C477="","",IFERROR($A477*$C477,0))</f>
        <v/>
      </c>
      <c r="G477" s="31">
        <f>IF($B477="","",IFERROR(MAX(0,ayd_netDefter-$E477),0))</f>
        <v/>
      </c>
      <c r="H477" s="31">
        <f>IF($C477="","",IFERROR(MAX(0,ayd_netDefter+ayd_fark-$F477),0))</f>
        <v/>
      </c>
      <c r="I477" s="31">
        <f>IF($A477="","",IF($A477&gt;IFERROR(GIRDI!B12,0),"DIŞI","AKTİF"))</f>
        <v/>
      </c>
    </row>
    <row r="478">
      <c r="B478" s="31">
        <f>IF(OR($A478="",$A478&gt;IFERROR(GIRDI!B12,0)),"",IFERROR(IF(OR(GIRDI!B12="",GIRDI!B12=0),0,ayd_netDefter/GIRDI!B12),0))</f>
        <v/>
      </c>
      <c r="C478" s="31">
        <f>IF(OR($A478="",$A478&gt;IFERROR(GIRDI!B12,0)),"",IFERROR(IF(OR(GIRDI!B12="",GIRDI!B12=0),0,(ayd_netDefter+ayd_fark)/GIRDI!B12),0))</f>
        <v/>
      </c>
      <c r="D478" s="31">
        <f>IF($B478="","",IFERROR($C478-$B478,0))</f>
        <v/>
      </c>
      <c r="E478" s="31">
        <f>IF($B478="","",IFERROR($A478*$B478,0))</f>
        <v/>
      </c>
      <c r="F478" s="31">
        <f>IF($C478="","",IFERROR($A478*$C478,0))</f>
        <v/>
      </c>
      <c r="G478" s="31">
        <f>IF($B478="","",IFERROR(MAX(0,ayd_netDefter-$E478),0))</f>
        <v/>
      </c>
      <c r="H478" s="31">
        <f>IF($C478="","",IFERROR(MAX(0,ayd_netDefter+ayd_fark-$F478),0))</f>
        <v/>
      </c>
      <c r="I478" s="31">
        <f>IF($A478="","",IF($A478&gt;IFERROR(GIRDI!B12,0),"DIŞI","AKTİF"))</f>
        <v/>
      </c>
    </row>
    <row r="479">
      <c r="B479" s="31">
        <f>IF(OR($A479="",$A479&gt;IFERROR(GIRDI!B12,0)),"",IFERROR(IF(OR(GIRDI!B12="",GIRDI!B12=0),0,ayd_netDefter/GIRDI!B12),0))</f>
        <v/>
      </c>
      <c r="C479" s="31">
        <f>IF(OR($A479="",$A479&gt;IFERROR(GIRDI!B12,0)),"",IFERROR(IF(OR(GIRDI!B12="",GIRDI!B12=0),0,(ayd_netDefter+ayd_fark)/GIRDI!B12),0))</f>
        <v/>
      </c>
      <c r="D479" s="31">
        <f>IF($B479="","",IFERROR($C479-$B479,0))</f>
        <v/>
      </c>
      <c r="E479" s="31">
        <f>IF($B479="","",IFERROR($A479*$B479,0))</f>
        <v/>
      </c>
      <c r="F479" s="31">
        <f>IF($C479="","",IFERROR($A479*$C479,0))</f>
        <v/>
      </c>
      <c r="G479" s="31">
        <f>IF($B479="","",IFERROR(MAX(0,ayd_netDefter-$E479),0))</f>
        <v/>
      </c>
      <c r="H479" s="31">
        <f>IF($C479="","",IFERROR(MAX(0,ayd_netDefter+ayd_fark-$F479),0))</f>
        <v/>
      </c>
      <c r="I479" s="31">
        <f>IF($A479="","",IF($A479&gt;IFERROR(GIRDI!B12,0),"DIŞI","AKTİF"))</f>
        <v/>
      </c>
    </row>
    <row r="480">
      <c r="B480" s="31">
        <f>IF(OR($A480="",$A480&gt;IFERROR(GIRDI!B12,0)),"",IFERROR(IF(OR(GIRDI!B12="",GIRDI!B12=0),0,ayd_netDefter/GIRDI!B12),0))</f>
        <v/>
      </c>
      <c r="C480" s="31">
        <f>IF(OR($A480="",$A480&gt;IFERROR(GIRDI!B12,0)),"",IFERROR(IF(OR(GIRDI!B12="",GIRDI!B12=0),0,(ayd_netDefter+ayd_fark)/GIRDI!B12),0))</f>
        <v/>
      </c>
      <c r="D480" s="31">
        <f>IF($B480="","",IFERROR($C480-$B480,0))</f>
        <v/>
      </c>
      <c r="E480" s="31">
        <f>IF($B480="","",IFERROR($A480*$B480,0))</f>
        <v/>
      </c>
      <c r="F480" s="31">
        <f>IF($C480="","",IFERROR($A480*$C480,0))</f>
        <v/>
      </c>
      <c r="G480" s="31">
        <f>IF($B480="","",IFERROR(MAX(0,ayd_netDefter-$E480),0))</f>
        <v/>
      </c>
      <c r="H480" s="31">
        <f>IF($C480="","",IFERROR(MAX(0,ayd_netDefter+ayd_fark-$F480),0))</f>
        <v/>
      </c>
      <c r="I480" s="31">
        <f>IF($A480="","",IF($A480&gt;IFERROR(GIRDI!B12,0),"DIŞI","AKTİF"))</f>
        <v/>
      </c>
    </row>
    <row r="481">
      <c r="B481" s="31">
        <f>IF(OR($A481="",$A481&gt;IFERROR(GIRDI!B12,0)),"",IFERROR(IF(OR(GIRDI!B12="",GIRDI!B12=0),0,ayd_netDefter/GIRDI!B12),0))</f>
        <v/>
      </c>
      <c r="C481" s="31">
        <f>IF(OR($A481="",$A481&gt;IFERROR(GIRDI!B12,0)),"",IFERROR(IF(OR(GIRDI!B12="",GIRDI!B12=0),0,(ayd_netDefter+ayd_fark)/GIRDI!B12),0))</f>
        <v/>
      </c>
      <c r="D481" s="31">
        <f>IF($B481="","",IFERROR($C481-$B481,0))</f>
        <v/>
      </c>
      <c r="E481" s="31">
        <f>IF($B481="","",IFERROR($A481*$B481,0))</f>
        <v/>
      </c>
      <c r="F481" s="31">
        <f>IF($C481="","",IFERROR($A481*$C481,0))</f>
        <v/>
      </c>
      <c r="G481" s="31">
        <f>IF($B481="","",IFERROR(MAX(0,ayd_netDefter-$E481),0))</f>
        <v/>
      </c>
      <c r="H481" s="31">
        <f>IF($C481="","",IFERROR(MAX(0,ayd_netDefter+ayd_fark-$F481),0))</f>
        <v/>
      </c>
      <c r="I481" s="31">
        <f>IF($A481="","",IF($A481&gt;IFERROR(GIRDI!B12,0),"DIŞI","AKTİF"))</f>
        <v/>
      </c>
    </row>
    <row r="482">
      <c r="B482" s="31">
        <f>IF(OR($A482="",$A482&gt;IFERROR(GIRDI!B12,0)),"",IFERROR(IF(OR(GIRDI!B12="",GIRDI!B12=0),0,ayd_netDefter/GIRDI!B12),0))</f>
        <v/>
      </c>
      <c r="C482" s="31">
        <f>IF(OR($A482="",$A482&gt;IFERROR(GIRDI!B12,0)),"",IFERROR(IF(OR(GIRDI!B12="",GIRDI!B12=0),0,(ayd_netDefter+ayd_fark)/GIRDI!B12),0))</f>
        <v/>
      </c>
      <c r="D482" s="31">
        <f>IF($B482="","",IFERROR($C482-$B482,0))</f>
        <v/>
      </c>
      <c r="E482" s="31">
        <f>IF($B482="","",IFERROR($A482*$B482,0))</f>
        <v/>
      </c>
      <c r="F482" s="31">
        <f>IF($C482="","",IFERROR($A482*$C482,0))</f>
        <v/>
      </c>
      <c r="G482" s="31">
        <f>IF($B482="","",IFERROR(MAX(0,ayd_netDefter-$E482),0))</f>
        <v/>
      </c>
      <c r="H482" s="31">
        <f>IF($C482="","",IFERROR(MAX(0,ayd_netDefter+ayd_fark-$F482),0))</f>
        <v/>
      </c>
      <c r="I482" s="31">
        <f>IF($A482="","",IF($A482&gt;IFERROR(GIRDI!B12,0),"DIŞI","AKTİF"))</f>
        <v/>
      </c>
    </row>
    <row r="483">
      <c r="B483" s="31">
        <f>IF(OR($A483="",$A483&gt;IFERROR(GIRDI!B12,0)),"",IFERROR(IF(OR(GIRDI!B12="",GIRDI!B12=0),0,ayd_netDefter/GIRDI!B12),0))</f>
        <v/>
      </c>
      <c r="C483" s="31">
        <f>IF(OR($A483="",$A483&gt;IFERROR(GIRDI!B12,0)),"",IFERROR(IF(OR(GIRDI!B12="",GIRDI!B12=0),0,(ayd_netDefter+ayd_fark)/GIRDI!B12),0))</f>
        <v/>
      </c>
      <c r="D483" s="31">
        <f>IF($B483="","",IFERROR($C483-$B483,0))</f>
        <v/>
      </c>
      <c r="E483" s="31">
        <f>IF($B483="","",IFERROR($A483*$B483,0))</f>
        <v/>
      </c>
      <c r="F483" s="31">
        <f>IF($C483="","",IFERROR($A483*$C483,0))</f>
        <v/>
      </c>
      <c r="G483" s="31">
        <f>IF($B483="","",IFERROR(MAX(0,ayd_netDefter-$E483),0))</f>
        <v/>
      </c>
      <c r="H483" s="31">
        <f>IF($C483="","",IFERROR(MAX(0,ayd_netDefter+ayd_fark-$F483),0))</f>
        <v/>
      </c>
      <c r="I483" s="31">
        <f>IF($A483="","",IF($A483&gt;IFERROR(GIRDI!B12,0),"DIŞI","AKTİF"))</f>
        <v/>
      </c>
    </row>
    <row r="484">
      <c r="B484" s="31">
        <f>IF(OR($A484="",$A484&gt;IFERROR(GIRDI!B12,0)),"",IFERROR(IF(OR(GIRDI!B12="",GIRDI!B12=0),0,ayd_netDefter/GIRDI!B12),0))</f>
        <v/>
      </c>
      <c r="C484" s="31">
        <f>IF(OR($A484="",$A484&gt;IFERROR(GIRDI!B12,0)),"",IFERROR(IF(OR(GIRDI!B12="",GIRDI!B12=0),0,(ayd_netDefter+ayd_fark)/GIRDI!B12),0))</f>
        <v/>
      </c>
      <c r="D484" s="31">
        <f>IF($B484="","",IFERROR($C484-$B484,0))</f>
        <v/>
      </c>
      <c r="E484" s="31">
        <f>IF($B484="","",IFERROR($A484*$B484,0))</f>
        <v/>
      </c>
      <c r="F484" s="31">
        <f>IF($C484="","",IFERROR($A484*$C484,0))</f>
        <v/>
      </c>
      <c r="G484" s="31">
        <f>IF($B484="","",IFERROR(MAX(0,ayd_netDefter-$E484),0))</f>
        <v/>
      </c>
      <c r="H484" s="31">
        <f>IF($C484="","",IFERROR(MAX(0,ayd_netDefter+ayd_fark-$F484),0))</f>
        <v/>
      </c>
      <c r="I484" s="31">
        <f>IF($A484="","",IF($A484&gt;IFERROR(GIRDI!B12,0),"DIŞI","AKTİF"))</f>
        <v/>
      </c>
    </row>
    <row r="485">
      <c r="B485" s="31">
        <f>IF(OR($A485="",$A485&gt;IFERROR(GIRDI!B12,0)),"",IFERROR(IF(OR(GIRDI!B12="",GIRDI!B12=0),0,ayd_netDefter/GIRDI!B12),0))</f>
        <v/>
      </c>
      <c r="C485" s="31">
        <f>IF(OR($A485="",$A485&gt;IFERROR(GIRDI!B12,0)),"",IFERROR(IF(OR(GIRDI!B12="",GIRDI!B12=0),0,(ayd_netDefter+ayd_fark)/GIRDI!B12),0))</f>
        <v/>
      </c>
      <c r="D485" s="31">
        <f>IF($B485="","",IFERROR($C485-$B485,0))</f>
        <v/>
      </c>
      <c r="E485" s="31">
        <f>IF($B485="","",IFERROR($A485*$B485,0))</f>
        <v/>
      </c>
      <c r="F485" s="31">
        <f>IF($C485="","",IFERROR($A485*$C485,0))</f>
        <v/>
      </c>
      <c r="G485" s="31">
        <f>IF($B485="","",IFERROR(MAX(0,ayd_netDefter-$E485),0))</f>
        <v/>
      </c>
      <c r="H485" s="31">
        <f>IF($C485="","",IFERROR(MAX(0,ayd_netDefter+ayd_fark-$F485),0))</f>
        <v/>
      </c>
      <c r="I485" s="31">
        <f>IF($A485="","",IF($A485&gt;IFERROR(GIRDI!B12,0),"DIŞI","AKTİF"))</f>
        <v/>
      </c>
    </row>
    <row r="486">
      <c r="B486" s="31">
        <f>IF(OR($A486="",$A486&gt;IFERROR(GIRDI!B12,0)),"",IFERROR(IF(OR(GIRDI!B12="",GIRDI!B12=0),0,ayd_netDefter/GIRDI!B12),0))</f>
        <v/>
      </c>
      <c r="C486" s="31">
        <f>IF(OR($A486="",$A486&gt;IFERROR(GIRDI!B12,0)),"",IFERROR(IF(OR(GIRDI!B12="",GIRDI!B12=0),0,(ayd_netDefter+ayd_fark)/GIRDI!B12),0))</f>
        <v/>
      </c>
      <c r="D486" s="31">
        <f>IF($B486="","",IFERROR($C486-$B486,0))</f>
        <v/>
      </c>
      <c r="E486" s="31">
        <f>IF($B486="","",IFERROR($A486*$B486,0))</f>
        <v/>
      </c>
      <c r="F486" s="31">
        <f>IF($C486="","",IFERROR($A486*$C486,0))</f>
        <v/>
      </c>
      <c r="G486" s="31">
        <f>IF($B486="","",IFERROR(MAX(0,ayd_netDefter-$E486),0))</f>
        <v/>
      </c>
      <c r="H486" s="31">
        <f>IF($C486="","",IFERROR(MAX(0,ayd_netDefter+ayd_fark-$F486),0))</f>
        <v/>
      </c>
      <c r="I486" s="31">
        <f>IF($A486="","",IF($A486&gt;IFERROR(GIRDI!B12,0),"DIŞI","AKTİF"))</f>
        <v/>
      </c>
    </row>
    <row r="487">
      <c r="B487" s="31">
        <f>IF(OR($A487="",$A487&gt;IFERROR(GIRDI!B12,0)),"",IFERROR(IF(OR(GIRDI!B12="",GIRDI!B12=0),0,ayd_netDefter/GIRDI!B12),0))</f>
        <v/>
      </c>
      <c r="C487" s="31">
        <f>IF(OR($A487="",$A487&gt;IFERROR(GIRDI!B12,0)),"",IFERROR(IF(OR(GIRDI!B12="",GIRDI!B12=0),0,(ayd_netDefter+ayd_fark)/GIRDI!B12),0))</f>
        <v/>
      </c>
      <c r="D487" s="31">
        <f>IF($B487="","",IFERROR($C487-$B487,0))</f>
        <v/>
      </c>
      <c r="E487" s="31">
        <f>IF($B487="","",IFERROR($A487*$B487,0))</f>
        <v/>
      </c>
      <c r="F487" s="31">
        <f>IF($C487="","",IFERROR($A487*$C487,0))</f>
        <v/>
      </c>
      <c r="G487" s="31">
        <f>IF($B487="","",IFERROR(MAX(0,ayd_netDefter-$E487),0))</f>
        <v/>
      </c>
      <c r="H487" s="31">
        <f>IF($C487="","",IFERROR(MAX(0,ayd_netDefter+ayd_fark-$F487),0))</f>
        <v/>
      </c>
      <c r="I487" s="31">
        <f>IF($A487="","",IF($A487&gt;IFERROR(GIRDI!B12,0),"DIŞI","AKTİF"))</f>
        <v/>
      </c>
    </row>
    <row r="488">
      <c r="B488" s="31">
        <f>IF(OR($A488="",$A488&gt;IFERROR(GIRDI!B12,0)),"",IFERROR(IF(OR(GIRDI!B12="",GIRDI!B12=0),0,ayd_netDefter/GIRDI!B12),0))</f>
        <v/>
      </c>
      <c r="C488" s="31">
        <f>IF(OR($A488="",$A488&gt;IFERROR(GIRDI!B12,0)),"",IFERROR(IF(OR(GIRDI!B12="",GIRDI!B12=0),0,(ayd_netDefter+ayd_fark)/GIRDI!B12),0))</f>
        <v/>
      </c>
      <c r="D488" s="31">
        <f>IF($B488="","",IFERROR($C488-$B488,0))</f>
        <v/>
      </c>
      <c r="E488" s="31">
        <f>IF($B488="","",IFERROR($A488*$B488,0))</f>
        <v/>
      </c>
      <c r="F488" s="31">
        <f>IF($C488="","",IFERROR($A488*$C488,0))</f>
        <v/>
      </c>
      <c r="G488" s="31">
        <f>IF($B488="","",IFERROR(MAX(0,ayd_netDefter-$E488),0))</f>
        <v/>
      </c>
      <c r="H488" s="31">
        <f>IF($C488="","",IFERROR(MAX(0,ayd_netDefter+ayd_fark-$F488),0))</f>
        <v/>
      </c>
      <c r="I488" s="31">
        <f>IF($A488="","",IF($A488&gt;IFERROR(GIRDI!B12,0),"DIŞI","AKTİF"))</f>
        <v/>
      </c>
    </row>
    <row r="489">
      <c r="B489" s="31">
        <f>IF(OR($A489="",$A489&gt;IFERROR(GIRDI!B12,0)),"",IFERROR(IF(OR(GIRDI!B12="",GIRDI!B12=0),0,ayd_netDefter/GIRDI!B12),0))</f>
        <v/>
      </c>
      <c r="C489" s="31">
        <f>IF(OR($A489="",$A489&gt;IFERROR(GIRDI!B12,0)),"",IFERROR(IF(OR(GIRDI!B12="",GIRDI!B12=0),0,(ayd_netDefter+ayd_fark)/GIRDI!B12),0))</f>
        <v/>
      </c>
      <c r="D489" s="31">
        <f>IF($B489="","",IFERROR($C489-$B489,0))</f>
        <v/>
      </c>
      <c r="E489" s="31">
        <f>IF($B489="","",IFERROR($A489*$B489,0))</f>
        <v/>
      </c>
      <c r="F489" s="31">
        <f>IF($C489="","",IFERROR($A489*$C489,0))</f>
        <v/>
      </c>
      <c r="G489" s="31">
        <f>IF($B489="","",IFERROR(MAX(0,ayd_netDefter-$E489),0))</f>
        <v/>
      </c>
      <c r="H489" s="31">
        <f>IF($C489="","",IFERROR(MAX(0,ayd_netDefter+ayd_fark-$F489),0))</f>
        <v/>
      </c>
      <c r="I489" s="31">
        <f>IF($A489="","",IF($A489&gt;IFERROR(GIRDI!B12,0),"DIŞI","AKTİF"))</f>
        <v/>
      </c>
    </row>
    <row r="490">
      <c r="B490" s="31">
        <f>IF(OR($A490="",$A490&gt;IFERROR(GIRDI!B12,0)),"",IFERROR(IF(OR(GIRDI!B12="",GIRDI!B12=0),0,ayd_netDefter/GIRDI!B12),0))</f>
        <v/>
      </c>
      <c r="C490" s="31">
        <f>IF(OR($A490="",$A490&gt;IFERROR(GIRDI!B12,0)),"",IFERROR(IF(OR(GIRDI!B12="",GIRDI!B12=0),0,(ayd_netDefter+ayd_fark)/GIRDI!B12),0))</f>
        <v/>
      </c>
      <c r="D490" s="31">
        <f>IF($B490="","",IFERROR($C490-$B490,0))</f>
        <v/>
      </c>
      <c r="E490" s="31">
        <f>IF($B490="","",IFERROR($A490*$B490,0))</f>
        <v/>
      </c>
      <c r="F490" s="31">
        <f>IF($C490="","",IFERROR($A490*$C490,0))</f>
        <v/>
      </c>
      <c r="G490" s="31">
        <f>IF($B490="","",IFERROR(MAX(0,ayd_netDefter-$E490),0))</f>
        <v/>
      </c>
      <c r="H490" s="31">
        <f>IF($C490="","",IFERROR(MAX(0,ayd_netDefter+ayd_fark-$F490),0))</f>
        <v/>
      </c>
      <c r="I490" s="31">
        <f>IF($A490="","",IF($A490&gt;IFERROR(GIRDI!B12,0),"DIŞI","AKTİF"))</f>
        <v/>
      </c>
    </row>
    <row r="491">
      <c r="B491" s="31">
        <f>IF(OR($A491="",$A491&gt;IFERROR(GIRDI!B12,0)),"",IFERROR(IF(OR(GIRDI!B12="",GIRDI!B12=0),0,ayd_netDefter/GIRDI!B12),0))</f>
        <v/>
      </c>
      <c r="C491" s="31">
        <f>IF(OR($A491="",$A491&gt;IFERROR(GIRDI!B12,0)),"",IFERROR(IF(OR(GIRDI!B12="",GIRDI!B12=0),0,(ayd_netDefter+ayd_fark)/GIRDI!B12),0))</f>
        <v/>
      </c>
      <c r="D491" s="31">
        <f>IF($B491="","",IFERROR($C491-$B491,0))</f>
        <v/>
      </c>
      <c r="E491" s="31">
        <f>IF($B491="","",IFERROR($A491*$B491,0))</f>
        <v/>
      </c>
      <c r="F491" s="31">
        <f>IF($C491="","",IFERROR($A491*$C491,0))</f>
        <v/>
      </c>
      <c r="G491" s="31">
        <f>IF($B491="","",IFERROR(MAX(0,ayd_netDefter-$E491),0))</f>
        <v/>
      </c>
      <c r="H491" s="31">
        <f>IF($C491="","",IFERROR(MAX(0,ayd_netDefter+ayd_fark-$F491),0))</f>
        <v/>
      </c>
      <c r="I491" s="31">
        <f>IF($A491="","",IF($A491&gt;IFERROR(GIRDI!B12,0),"DIŞI","AKTİF"))</f>
        <v/>
      </c>
    </row>
    <row r="492">
      <c r="B492" s="31">
        <f>IF(OR($A492="",$A492&gt;IFERROR(GIRDI!B12,0)),"",IFERROR(IF(OR(GIRDI!B12="",GIRDI!B12=0),0,ayd_netDefter/GIRDI!B12),0))</f>
        <v/>
      </c>
      <c r="C492" s="31">
        <f>IF(OR($A492="",$A492&gt;IFERROR(GIRDI!B12,0)),"",IFERROR(IF(OR(GIRDI!B12="",GIRDI!B12=0),0,(ayd_netDefter+ayd_fark)/GIRDI!B12),0))</f>
        <v/>
      </c>
      <c r="D492" s="31">
        <f>IF($B492="","",IFERROR($C492-$B492,0))</f>
        <v/>
      </c>
      <c r="E492" s="31">
        <f>IF($B492="","",IFERROR($A492*$B492,0))</f>
        <v/>
      </c>
      <c r="F492" s="31">
        <f>IF($C492="","",IFERROR($A492*$C492,0))</f>
        <v/>
      </c>
      <c r="G492" s="31">
        <f>IF($B492="","",IFERROR(MAX(0,ayd_netDefter-$E492),0))</f>
        <v/>
      </c>
      <c r="H492" s="31">
        <f>IF($C492="","",IFERROR(MAX(0,ayd_netDefter+ayd_fark-$F492),0))</f>
        <v/>
      </c>
      <c r="I492" s="31">
        <f>IF($A492="","",IF($A492&gt;IFERROR(GIRDI!B12,0),"DIŞI","AKTİF"))</f>
        <v/>
      </c>
    </row>
    <row r="493">
      <c r="B493" s="31">
        <f>IF(OR($A493="",$A493&gt;IFERROR(GIRDI!B12,0)),"",IFERROR(IF(OR(GIRDI!B12="",GIRDI!B12=0),0,ayd_netDefter/GIRDI!B12),0))</f>
        <v/>
      </c>
      <c r="C493" s="31">
        <f>IF(OR($A493="",$A493&gt;IFERROR(GIRDI!B12,0)),"",IFERROR(IF(OR(GIRDI!B12="",GIRDI!B12=0),0,(ayd_netDefter+ayd_fark)/GIRDI!B12),0))</f>
        <v/>
      </c>
      <c r="D493" s="31">
        <f>IF($B493="","",IFERROR($C493-$B493,0))</f>
        <v/>
      </c>
      <c r="E493" s="31">
        <f>IF($B493="","",IFERROR($A493*$B493,0))</f>
        <v/>
      </c>
      <c r="F493" s="31">
        <f>IF($C493="","",IFERROR($A493*$C493,0))</f>
        <v/>
      </c>
      <c r="G493" s="31">
        <f>IF($B493="","",IFERROR(MAX(0,ayd_netDefter-$E493),0))</f>
        <v/>
      </c>
      <c r="H493" s="31">
        <f>IF($C493="","",IFERROR(MAX(0,ayd_netDefter+ayd_fark-$F493),0))</f>
        <v/>
      </c>
      <c r="I493" s="31">
        <f>IF($A493="","",IF($A493&gt;IFERROR(GIRDI!B12,0),"DIŞI","AKTİF"))</f>
        <v/>
      </c>
    </row>
    <row r="494">
      <c r="B494" s="31">
        <f>IF(OR($A494="",$A494&gt;IFERROR(GIRDI!B12,0)),"",IFERROR(IF(OR(GIRDI!B12="",GIRDI!B12=0),0,ayd_netDefter/GIRDI!B12),0))</f>
        <v/>
      </c>
      <c r="C494" s="31">
        <f>IF(OR($A494="",$A494&gt;IFERROR(GIRDI!B12,0)),"",IFERROR(IF(OR(GIRDI!B12="",GIRDI!B12=0),0,(ayd_netDefter+ayd_fark)/GIRDI!B12),0))</f>
        <v/>
      </c>
      <c r="D494" s="31">
        <f>IF($B494="","",IFERROR($C494-$B494,0))</f>
        <v/>
      </c>
      <c r="E494" s="31">
        <f>IF($B494="","",IFERROR($A494*$B494,0))</f>
        <v/>
      </c>
      <c r="F494" s="31">
        <f>IF($C494="","",IFERROR($A494*$C494,0))</f>
        <v/>
      </c>
      <c r="G494" s="31">
        <f>IF($B494="","",IFERROR(MAX(0,ayd_netDefter-$E494),0))</f>
        <v/>
      </c>
      <c r="H494" s="31">
        <f>IF($C494="","",IFERROR(MAX(0,ayd_netDefter+ayd_fark-$F494),0))</f>
        <v/>
      </c>
      <c r="I494" s="31">
        <f>IF($A494="","",IF($A494&gt;IFERROR(GIRDI!B12,0),"DIŞI","AKTİF"))</f>
        <v/>
      </c>
    </row>
    <row r="495">
      <c r="B495" s="31">
        <f>IF(OR($A495="",$A495&gt;IFERROR(GIRDI!B12,0)),"",IFERROR(IF(OR(GIRDI!B12="",GIRDI!B12=0),0,ayd_netDefter/GIRDI!B12),0))</f>
        <v/>
      </c>
      <c r="C495" s="31">
        <f>IF(OR($A495="",$A495&gt;IFERROR(GIRDI!B12,0)),"",IFERROR(IF(OR(GIRDI!B12="",GIRDI!B12=0),0,(ayd_netDefter+ayd_fark)/GIRDI!B12),0))</f>
        <v/>
      </c>
      <c r="D495" s="31">
        <f>IF($B495="","",IFERROR($C495-$B495,0))</f>
        <v/>
      </c>
      <c r="E495" s="31">
        <f>IF($B495="","",IFERROR($A495*$B495,0))</f>
        <v/>
      </c>
      <c r="F495" s="31">
        <f>IF($C495="","",IFERROR($A495*$C495,0))</f>
        <v/>
      </c>
      <c r="G495" s="31">
        <f>IF($B495="","",IFERROR(MAX(0,ayd_netDefter-$E495),0))</f>
        <v/>
      </c>
      <c r="H495" s="31">
        <f>IF($C495="","",IFERROR(MAX(0,ayd_netDefter+ayd_fark-$F495),0))</f>
        <v/>
      </c>
      <c r="I495" s="31">
        <f>IF($A495="","",IF($A495&gt;IFERROR(GIRDI!B12,0),"DIŞI","AKTİF"))</f>
        <v/>
      </c>
    </row>
    <row r="496">
      <c r="B496" s="31">
        <f>IF(OR($A496="",$A496&gt;IFERROR(GIRDI!B12,0)),"",IFERROR(IF(OR(GIRDI!B12="",GIRDI!B12=0),0,ayd_netDefter/GIRDI!B12),0))</f>
        <v/>
      </c>
      <c r="C496" s="31">
        <f>IF(OR($A496="",$A496&gt;IFERROR(GIRDI!B12,0)),"",IFERROR(IF(OR(GIRDI!B12="",GIRDI!B12=0),0,(ayd_netDefter+ayd_fark)/GIRDI!B12),0))</f>
        <v/>
      </c>
      <c r="D496" s="31">
        <f>IF($B496="","",IFERROR($C496-$B496,0))</f>
        <v/>
      </c>
      <c r="E496" s="31">
        <f>IF($B496="","",IFERROR($A496*$B496,0))</f>
        <v/>
      </c>
      <c r="F496" s="31">
        <f>IF($C496="","",IFERROR($A496*$C496,0))</f>
        <v/>
      </c>
      <c r="G496" s="31">
        <f>IF($B496="","",IFERROR(MAX(0,ayd_netDefter-$E496),0))</f>
        <v/>
      </c>
      <c r="H496" s="31">
        <f>IF($C496="","",IFERROR(MAX(0,ayd_netDefter+ayd_fark-$F496),0))</f>
        <v/>
      </c>
      <c r="I496" s="31">
        <f>IF($A496="","",IF($A496&gt;IFERROR(GIRDI!B12,0),"DIŞI","AKTİF"))</f>
        <v/>
      </c>
    </row>
    <row r="497">
      <c r="B497" s="31">
        <f>IF(OR($A497="",$A497&gt;IFERROR(GIRDI!B12,0)),"",IFERROR(IF(OR(GIRDI!B12="",GIRDI!B12=0),0,ayd_netDefter/GIRDI!B12),0))</f>
        <v/>
      </c>
      <c r="C497" s="31">
        <f>IF(OR($A497="",$A497&gt;IFERROR(GIRDI!B12,0)),"",IFERROR(IF(OR(GIRDI!B12="",GIRDI!B12=0),0,(ayd_netDefter+ayd_fark)/GIRDI!B12),0))</f>
        <v/>
      </c>
      <c r="D497" s="31">
        <f>IF($B497="","",IFERROR($C497-$B497,0))</f>
        <v/>
      </c>
      <c r="E497" s="31">
        <f>IF($B497="","",IFERROR($A497*$B497,0))</f>
        <v/>
      </c>
      <c r="F497" s="31">
        <f>IF($C497="","",IFERROR($A497*$C497,0))</f>
        <v/>
      </c>
      <c r="G497" s="31">
        <f>IF($B497="","",IFERROR(MAX(0,ayd_netDefter-$E497),0))</f>
        <v/>
      </c>
      <c r="H497" s="31">
        <f>IF($C497="","",IFERROR(MAX(0,ayd_netDefter+ayd_fark-$F497),0))</f>
        <v/>
      </c>
      <c r="I497" s="31">
        <f>IF($A497="","",IF($A497&gt;IFERROR(GIRDI!B12,0),"DIŞI","AKTİF"))</f>
        <v/>
      </c>
    </row>
    <row r="498">
      <c r="B498" s="31">
        <f>IF(OR($A498="",$A498&gt;IFERROR(GIRDI!B12,0)),"",IFERROR(IF(OR(GIRDI!B12="",GIRDI!B12=0),0,ayd_netDefter/GIRDI!B12),0))</f>
        <v/>
      </c>
      <c r="C498" s="31">
        <f>IF(OR($A498="",$A498&gt;IFERROR(GIRDI!B12,0)),"",IFERROR(IF(OR(GIRDI!B12="",GIRDI!B12=0),0,(ayd_netDefter+ayd_fark)/GIRDI!B12),0))</f>
        <v/>
      </c>
      <c r="D498" s="31">
        <f>IF($B498="","",IFERROR($C498-$B498,0))</f>
        <v/>
      </c>
      <c r="E498" s="31">
        <f>IF($B498="","",IFERROR($A498*$B498,0))</f>
        <v/>
      </c>
      <c r="F498" s="31">
        <f>IF($C498="","",IFERROR($A498*$C498,0))</f>
        <v/>
      </c>
      <c r="G498" s="31">
        <f>IF($B498="","",IFERROR(MAX(0,ayd_netDefter-$E498),0))</f>
        <v/>
      </c>
      <c r="H498" s="31">
        <f>IF($C498="","",IFERROR(MAX(0,ayd_netDefter+ayd_fark-$F498),0))</f>
        <v/>
      </c>
      <c r="I498" s="31">
        <f>IF($A498="","",IF($A498&gt;IFERROR(GIRDI!B12,0),"DIŞI","AKTİF"))</f>
        <v/>
      </c>
    </row>
    <row r="499">
      <c r="B499" s="31">
        <f>IF(OR($A499="",$A499&gt;IFERROR(GIRDI!B12,0)),"",IFERROR(IF(OR(GIRDI!B12="",GIRDI!B12=0),0,ayd_netDefter/GIRDI!B12),0))</f>
        <v/>
      </c>
      <c r="C499" s="31">
        <f>IF(OR($A499="",$A499&gt;IFERROR(GIRDI!B12,0)),"",IFERROR(IF(OR(GIRDI!B12="",GIRDI!B12=0),0,(ayd_netDefter+ayd_fark)/GIRDI!B12),0))</f>
        <v/>
      </c>
      <c r="D499" s="31">
        <f>IF($B499="","",IFERROR($C499-$B499,0))</f>
        <v/>
      </c>
      <c r="E499" s="31">
        <f>IF($B499="","",IFERROR($A499*$B499,0))</f>
        <v/>
      </c>
      <c r="F499" s="31">
        <f>IF($C499="","",IFERROR($A499*$C499,0))</f>
        <v/>
      </c>
      <c r="G499" s="31">
        <f>IF($B499="","",IFERROR(MAX(0,ayd_netDefter-$E499),0))</f>
        <v/>
      </c>
      <c r="H499" s="31">
        <f>IF($C499="","",IFERROR(MAX(0,ayd_netDefter+ayd_fark-$F499),0))</f>
        <v/>
      </c>
      <c r="I499" s="31">
        <f>IF($A499="","",IF($A499&gt;IFERROR(GIRDI!B12,0),"DIŞI","AKTİF"))</f>
        <v/>
      </c>
    </row>
    <row r="500">
      <c r="B500" s="31">
        <f>IF(OR($A500="",$A500&gt;IFERROR(GIRDI!B12,0)),"",IFERROR(IF(OR(GIRDI!B12="",GIRDI!B12=0),0,ayd_netDefter/GIRDI!B12),0))</f>
        <v/>
      </c>
      <c r="C500" s="31">
        <f>IF(OR($A500="",$A500&gt;IFERROR(GIRDI!B12,0)),"",IFERROR(IF(OR(GIRDI!B12="",GIRDI!B12=0),0,(ayd_netDefter+ayd_fark)/GIRDI!B12),0))</f>
        <v/>
      </c>
      <c r="D500" s="31">
        <f>IF($B500="","",IFERROR($C500-$B500,0))</f>
        <v/>
      </c>
      <c r="E500" s="31">
        <f>IF($B500="","",IFERROR($A500*$B500,0))</f>
        <v/>
      </c>
      <c r="F500" s="31">
        <f>IF($C500="","",IFERROR($A500*$C500,0))</f>
        <v/>
      </c>
      <c r="G500" s="31">
        <f>IF($B500="","",IFERROR(MAX(0,ayd_netDefter-$E500),0))</f>
        <v/>
      </c>
      <c r="H500" s="31">
        <f>IF($C500="","",IFERROR(MAX(0,ayd_netDefter+ayd_fark-$F500),0))</f>
        <v/>
      </c>
      <c r="I500" s="31">
        <f>IF($A500="","",IF($A500&gt;IFERROR(GIRDI!B12,0),"DIŞI","AKTİF"))</f>
        <v/>
      </c>
    </row>
    <row r="501">
      <c r="B501" s="31">
        <f>IF(OR($A501="",$A501&gt;IFERROR(GIRDI!B12,0)),"",IFERROR(IF(OR(GIRDI!B12="",GIRDI!B12=0),0,ayd_netDefter/GIRDI!B12),0))</f>
        <v/>
      </c>
      <c r="C501" s="31">
        <f>IF(OR($A501="",$A501&gt;IFERROR(GIRDI!B12,0)),"",IFERROR(IF(OR(GIRDI!B12="",GIRDI!B12=0),0,(ayd_netDefter+ayd_fark)/GIRDI!B12),0))</f>
        <v/>
      </c>
      <c r="D501" s="31">
        <f>IF($B501="","",IFERROR($C501-$B501,0))</f>
        <v/>
      </c>
      <c r="E501" s="31">
        <f>IF($B501="","",IFERROR($A501*$B501,0))</f>
        <v/>
      </c>
      <c r="F501" s="31">
        <f>IF($C501="","",IFERROR($A501*$C501,0))</f>
        <v/>
      </c>
      <c r="G501" s="31">
        <f>IF($B501="","",IFERROR(MAX(0,ayd_netDefter-$E501),0))</f>
        <v/>
      </c>
      <c r="H501" s="31">
        <f>IF($C501="","",IFERROR(MAX(0,ayd_netDefter+ayd_fark-$F501),0))</f>
        <v/>
      </c>
      <c r="I501" s="31">
        <f>IF($A501="","",IF($A501&gt;IFERROR(GIRDI!B12,0),"DIŞI","AKTİF"))</f>
        <v/>
      </c>
    </row>
    <row r="502">
      <c r="B502" s="31">
        <f>IF(OR($A502="",$A502&gt;IFERROR(GIRDI!B12,0)),"",IFERROR(IF(OR(GIRDI!B12="",GIRDI!B12=0),0,ayd_netDefter/GIRDI!B12),0))</f>
        <v/>
      </c>
      <c r="C502" s="31">
        <f>IF(OR($A502="",$A502&gt;IFERROR(GIRDI!B12,0)),"",IFERROR(IF(OR(GIRDI!B12="",GIRDI!B12=0),0,(ayd_netDefter+ayd_fark)/GIRDI!B12),0))</f>
        <v/>
      </c>
      <c r="D502" s="31">
        <f>IF($B502="","",IFERROR($C502-$B502,0))</f>
        <v/>
      </c>
      <c r="E502" s="31">
        <f>IF($B502="","",IFERROR($A502*$B502,0))</f>
        <v/>
      </c>
      <c r="F502" s="31">
        <f>IF($C502="","",IFERROR($A502*$C502,0))</f>
        <v/>
      </c>
      <c r="G502" s="31">
        <f>IF($B502="","",IFERROR(MAX(0,ayd_netDefter-$E502),0))</f>
        <v/>
      </c>
      <c r="H502" s="31">
        <f>IF($C502="","",IFERROR(MAX(0,ayd_netDefter+ayd_fark-$F502),0))</f>
        <v/>
      </c>
      <c r="I502" s="31">
        <f>IF($A502="","",IF($A502&gt;IFERROR(GIRDI!B12,0),"DIŞI","AKTİF"))</f>
        <v/>
      </c>
    </row>
    <row r="503">
      <c r="B503" s="31">
        <f>IF(OR($A503="",$A503&gt;IFERROR(GIRDI!B12,0)),"",IFERROR(IF(OR(GIRDI!B12="",GIRDI!B12=0),0,ayd_netDefter/GIRDI!B12),0))</f>
        <v/>
      </c>
      <c r="C503" s="31">
        <f>IF(OR($A503="",$A503&gt;IFERROR(GIRDI!B12,0)),"",IFERROR(IF(OR(GIRDI!B12="",GIRDI!B12=0),0,(ayd_netDefter+ayd_fark)/GIRDI!B12),0))</f>
        <v/>
      </c>
      <c r="D503" s="31">
        <f>IF($B503="","",IFERROR($C503-$B503,0))</f>
        <v/>
      </c>
      <c r="E503" s="31">
        <f>IF($B503="","",IFERROR($A503*$B503,0))</f>
        <v/>
      </c>
      <c r="F503" s="31">
        <f>IF($C503="","",IFERROR($A503*$C503,0))</f>
        <v/>
      </c>
      <c r="G503" s="31">
        <f>IF($B503="","",IFERROR(MAX(0,ayd_netDefter-$E503),0))</f>
        <v/>
      </c>
      <c r="H503" s="31">
        <f>IF($C503="","",IFERROR(MAX(0,ayd_netDefter+ayd_fark-$F503),0))</f>
        <v/>
      </c>
      <c r="I503" s="31">
        <f>IF($A503="","",IF($A503&gt;IFERROR(GIRDI!B12,0),"DIŞI","AKTİF"))</f>
        <v/>
      </c>
    </row>
    <row r="504">
      <c r="B504" s="31">
        <f>IF(OR($A504="",$A504&gt;IFERROR(GIRDI!B12,0)),"",IFERROR(IF(OR(GIRDI!B12="",GIRDI!B12=0),0,ayd_netDefter/GIRDI!B12),0))</f>
        <v/>
      </c>
      <c r="C504" s="31">
        <f>IF(OR($A504="",$A504&gt;IFERROR(GIRDI!B12,0)),"",IFERROR(IF(OR(GIRDI!B12="",GIRDI!B12=0),0,(ayd_netDefter+ayd_fark)/GIRDI!B12),0))</f>
        <v/>
      </c>
      <c r="D504" s="31">
        <f>IF($B504="","",IFERROR($C504-$B504,0))</f>
        <v/>
      </c>
      <c r="E504" s="31">
        <f>IF($B504="","",IFERROR($A504*$B504,0))</f>
        <v/>
      </c>
      <c r="F504" s="31">
        <f>IF($C504="","",IFERROR($A504*$C504,0))</f>
        <v/>
      </c>
      <c r="G504" s="31">
        <f>IF($B504="","",IFERROR(MAX(0,ayd_netDefter-$E504),0))</f>
        <v/>
      </c>
      <c r="H504" s="31">
        <f>IF($C504="","",IFERROR(MAX(0,ayd_netDefter+ayd_fark-$F504),0))</f>
        <v/>
      </c>
      <c r="I504" s="31">
        <f>IF($A504="","",IF($A504&gt;IFERROR(GIRDI!B12,0),"DIŞI","AKTİF"))</f>
        <v/>
      </c>
    </row>
    <row r="505">
      <c r="B505" s="31">
        <f>IF(OR($A505="",$A505&gt;IFERROR(GIRDI!B12,0)),"",IFERROR(IF(OR(GIRDI!B12="",GIRDI!B12=0),0,ayd_netDefter/GIRDI!B12),0))</f>
        <v/>
      </c>
      <c r="C505" s="31">
        <f>IF(OR($A505="",$A505&gt;IFERROR(GIRDI!B12,0)),"",IFERROR(IF(OR(GIRDI!B12="",GIRDI!B12=0),0,(ayd_netDefter+ayd_fark)/GIRDI!B12),0))</f>
        <v/>
      </c>
      <c r="D505" s="31">
        <f>IF($B505="","",IFERROR($C505-$B505,0))</f>
        <v/>
      </c>
      <c r="E505" s="31">
        <f>IF($B505="","",IFERROR($A505*$B505,0))</f>
        <v/>
      </c>
      <c r="F505" s="31">
        <f>IF($C505="","",IFERROR($A505*$C505,0))</f>
        <v/>
      </c>
      <c r="G505" s="31">
        <f>IF($B505="","",IFERROR(MAX(0,ayd_netDefter-$E505),0))</f>
        <v/>
      </c>
      <c r="H505" s="31">
        <f>IF($C505="","",IFERROR(MAX(0,ayd_netDefter+ayd_fark-$F505),0))</f>
        <v/>
      </c>
      <c r="I505" s="31">
        <f>IF($A505="","",IF($A505&gt;IFERROR(GIRDI!B12,0),"DIŞI","AKTİF"))</f>
        <v/>
      </c>
    </row>
    <row r="506">
      <c r="B506" s="31">
        <f>IF(OR($A506="",$A506&gt;IFERROR(GIRDI!B12,0)),"",IFERROR(IF(OR(GIRDI!B12="",GIRDI!B12=0),0,ayd_netDefter/GIRDI!B12),0))</f>
        <v/>
      </c>
      <c r="C506" s="31">
        <f>IF(OR($A506="",$A506&gt;IFERROR(GIRDI!B12,0)),"",IFERROR(IF(OR(GIRDI!B12="",GIRDI!B12=0),0,(ayd_netDefter+ayd_fark)/GIRDI!B12),0))</f>
        <v/>
      </c>
      <c r="D506" s="31">
        <f>IF($B506="","",IFERROR($C506-$B506,0))</f>
        <v/>
      </c>
      <c r="E506" s="31">
        <f>IF($B506="","",IFERROR($A506*$B506,0))</f>
        <v/>
      </c>
      <c r="F506" s="31">
        <f>IF($C506="","",IFERROR($A506*$C506,0))</f>
        <v/>
      </c>
      <c r="G506" s="31">
        <f>IF($B506="","",IFERROR(MAX(0,ayd_netDefter-$E506),0))</f>
        <v/>
      </c>
      <c r="H506" s="31">
        <f>IF($C506="","",IFERROR(MAX(0,ayd_netDefter+ayd_fark-$F506),0))</f>
        <v/>
      </c>
      <c r="I506" s="31">
        <f>IF($A506="","",IF($A506&gt;IFERROR(GIRDI!B12,0),"DIŞI","AKTİF"))</f>
        <v/>
      </c>
    </row>
    <row r="507">
      <c r="B507" s="31">
        <f>IF(OR($A507="",$A507&gt;IFERROR(GIRDI!B12,0)),"",IFERROR(IF(OR(GIRDI!B12="",GIRDI!B12=0),0,ayd_netDefter/GIRDI!B12),0))</f>
        <v/>
      </c>
      <c r="C507" s="31">
        <f>IF(OR($A507="",$A507&gt;IFERROR(GIRDI!B12,0)),"",IFERROR(IF(OR(GIRDI!B12="",GIRDI!B12=0),0,(ayd_netDefter+ayd_fark)/GIRDI!B12),0))</f>
        <v/>
      </c>
      <c r="D507" s="31">
        <f>IF($B507="","",IFERROR($C507-$B507,0))</f>
        <v/>
      </c>
      <c r="E507" s="31">
        <f>IF($B507="","",IFERROR($A507*$B507,0))</f>
        <v/>
      </c>
      <c r="F507" s="31">
        <f>IF($C507="","",IFERROR($A507*$C507,0))</f>
        <v/>
      </c>
      <c r="G507" s="31">
        <f>IF($B507="","",IFERROR(MAX(0,ayd_netDefter-$E507),0))</f>
        <v/>
      </c>
      <c r="H507" s="31">
        <f>IF($C507="","",IFERROR(MAX(0,ayd_netDefter+ayd_fark-$F507),0))</f>
        <v/>
      </c>
      <c r="I507" s="31">
        <f>IF($A507="","",IF($A507&gt;IFERROR(GIRDI!B12,0),"DIŞI","AKTİF"))</f>
        <v/>
      </c>
    </row>
    <row r="508">
      <c r="B508" s="31">
        <f>IF(OR($A508="",$A508&gt;IFERROR(GIRDI!B12,0)),"",IFERROR(IF(OR(GIRDI!B12="",GIRDI!B12=0),0,ayd_netDefter/GIRDI!B12),0))</f>
        <v/>
      </c>
      <c r="C508" s="31">
        <f>IF(OR($A508="",$A508&gt;IFERROR(GIRDI!B12,0)),"",IFERROR(IF(OR(GIRDI!B12="",GIRDI!B12=0),0,(ayd_netDefter+ayd_fark)/GIRDI!B12),0))</f>
        <v/>
      </c>
      <c r="D508" s="31">
        <f>IF($B508="","",IFERROR($C508-$B508,0))</f>
        <v/>
      </c>
      <c r="E508" s="31">
        <f>IF($B508="","",IFERROR($A508*$B508,0))</f>
        <v/>
      </c>
      <c r="F508" s="31">
        <f>IF($C508="","",IFERROR($A508*$C508,0))</f>
        <v/>
      </c>
      <c r="G508" s="31">
        <f>IF($B508="","",IFERROR(MAX(0,ayd_netDefter-$E508),0))</f>
        <v/>
      </c>
      <c r="H508" s="31">
        <f>IF($C508="","",IFERROR(MAX(0,ayd_netDefter+ayd_fark-$F508),0))</f>
        <v/>
      </c>
      <c r="I508" s="31">
        <f>IF($A508="","",IF($A508&gt;IFERROR(GIRDI!B12,0),"DIŞI","AKTİF"))</f>
        <v/>
      </c>
    </row>
    <row r="509">
      <c r="B509" s="31">
        <f>IF(OR($A509="",$A509&gt;IFERROR(GIRDI!B12,0)),"",IFERROR(IF(OR(GIRDI!B12="",GIRDI!B12=0),0,ayd_netDefter/GIRDI!B12),0))</f>
        <v/>
      </c>
      <c r="C509" s="31">
        <f>IF(OR($A509="",$A509&gt;IFERROR(GIRDI!B12,0)),"",IFERROR(IF(OR(GIRDI!B12="",GIRDI!B12=0),0,(ayd_netDefter+ayd_fark)/GIRDI!B12),0))</f>
        <v/>
      </c>
      <c r="D509" s="31">
        <f>IF($B509="","",IFERROR($C509-$B509,0))</f>
        <v/>
      </c>
      <c r="E509" s="31">
        <f>IF($B509="","",IFERROR($A509*$B509,0))</f>
        <v/>
      </c>
      <c r="F509" s="31">
        <f>IF($C509="","",IFERROR($A509*$C509,0))</f>
        <v/>
      </c>
      <c r="G509" s="31">
        <f>IF($B509="","",IFERROR(MAX(0,ayd_netDefter-$E509),0))</f>
        <v/>
      </c>
      <c r="H509" s="31">
        <f>IF($C509="","",IFERROR(MAX(0,ayd_netDefter+ayd_fark-$F509),0))</f>
        <v/>
      </c>
      <c r="I509" s="31">
        <f>IF($A509="","",IF($A509&gt;IFERROR(GIRDI!B12,0),"DIŞI","AKTİF"))</f>
        <v/>
      </c>
    </row>
    <row r="510">
      <c r="B510" s="31">
        <f>IF(OR($A510="",$A510&gt;IFERROR(GIRDI!B12,0)),"",IFERROR(IF(OR(GIRDI!B12="",GIRDI!B12=0),0,ayd_netDefter/GIRDI!B12),0))</f>
        <v/>
      </c>
      <c r="C510" s="31">
        <f>IF(OR($A510="",$A510&gt;IFERROR(GIRDI!B12,0)),"",IFERROR(IF(OR(GIRDI!B12="",GIRDI!B12=0),0,(ayd_netDefter+ayd_fark)/GIRDI!B12),0))</f>
        <v/>
      </c>
      <c r="D510" s="31">
        <f>IF($B510="","",IFERROR($C510-$B510,0))</f>
        <v/>
      </c>
      <c r="E510" s="31">
        <f>IF($B510="","",IFERROR($A510*$B510,0))</f>
        <v/>
      </c>
      <c r="F510" s="31">
        <f>IF($C510="","",IFERROR($A510*$C510,0))</f>
        <v/>
      </c>
      <c r="G510" s="31">
        <f>IF($B510="","",IFERROR(MAX(0,ayd_netDefter-$E510),0))</f>
        <v/>
      </c>
      <c r="H510" s="31">
        <f>IF($C510="","",IFERROR(MAX(0,ayd_netDefter+ayd_fark-$F510),0))</f>
        <v/>
      </c>
      <c r="I510" s="31">
        <f>IF($A510="","",IF($A510&gt;IFERROR(GIRDI!B12,0),"DIŞI","AKTİF"))</f>
        <v/>
      </c>
    </row>
    <row r="511">
      <c r="B511" s="31">
        <f>IF(OR($A511="",$A511&gt;IFERROR(GIRDI!B12,0)),"",IFERROR(IF(OR(GIRDI!B12="",GIRDI!B12=0),0,ayd_netDefter/GIRDI!B12),0))</f>
        <v/>
      </c>
      <c r="C511" s="31">
        <f>IF(OR($A511="",$A511&gt;IFERROR(GIRDI!B12,0)),"",IFERROR(IF(OR(GIRDI!B12="",GIRDI!B12=0),0,(ayd_netDefter+ayd_fark)/GIRDI!B12),0))</f>
        <v/>
      </c>
      <c r="D511" s="31">
        <f>IF($B511="","",IFERROR($C511-$B511,0))</f>
        <v/>
      </c>
      <c r="E511" s="31">
        <f>IF($B511="","",IFERROR($A511*$B511,0))</f>
        <v/>
      </c>
      <c r="F511" s="31">
        <f>IF($C511="","",IFERROR($A511*$C511,0))</f>
        <v/>
      </c>
      <c r="G511" s="31">
        <f>IF($B511="","",IFERROR(MAX(0,ayd_netDefter-$E511),0))</f>
        <v/>
      </c>
      <c r="H511" s="31">
        <f>IF($C511="","",IFERROR(MAX(0,ayd_netDefter+ayd_fark-$F511),0))</f>
        <v/>
      </c>
      <c r="I511" s="31">
        <f>IF($A511="","",IF($A511&gt;IFERROR(GIRDI!B12,0),"DIŞI","AKTİF"))</f>
        <v/>
      </c>
    </row>
    <row r="512">
      <c r="B512" s="31">
        <f>IF(OR($A512="",$A512&gt;IFERROR(GIRDI!B12,0)),"",IFERROR(IF(OR(GIRDI!B12="",GIRDI!B12=0),0,ayd_netDefter/GIRDI!B12),0))</f>
        <v/>
      </c>
      <c r="C512" s="31">
        <f>IF(OR($A512="",$A512&gt;IFERROR(GIRDI!B12,0)),"",IFERROR(IF(OR(GIRDI!B12="",GIRDI!B12=0),0,(ayd_netDefter+ayd_fark)/GIRDI!B12),0))</f>
        <v/>
      </c>
      <c r="D512" s="31">
        <f>IF($B512="","",IFERROR($C512-$B512,0))</f>
        <v/>
      </c>
      <c r="E512" s="31">
        <f>IF($B512="","",IFERROR($A512*$B512,0))</f>
        <v/>
      </c>
      <c r="F512" s="31">
        <f>IF($C512="","",IFERROR($A512*$C512,0))</f>
        <v/>
      </c>
      <c r="G512" s="31">
        <f>IF($B512="","",IFERROR(MAX(0,ayd_netDefter-$E512),0))</f>
        <v/>
      </c>
      <c r="H512" s="31">
        <f>IF($C512="","",IFERROR(MAX(0,ayd_netDefter+ayd_fark-$F512),0))</f>
        <v/>
      </c>
      <c r="I512" s="31">
        <f>IF($A512="","",IF($A512&gt;IFERROR(GIRDI!B12,0),"DIŞI","AKTİF"))</f>
        <v/>
      </c>
    </row>
    <row r="513">
      <c r="B513" s="31">
        <f>IF(OR($A513="",$A513&gt;IFERROR(GIRDI!B12,0)),"",IFERROR(IF(OR(GIRDI!B12="",GIRDI!B12=0),0,ayd_netDefter/GIRDI!B12),0))</f>
        <v/>
      </c>
      <c r="C513" s="31">
        <f>IF(OR($A513="",$A513&gt;IFERROR(GIRDI!B12,0)),"",IFERROR(IF(OR(GIRDI!B12="",GIRDI!B12=0),0,(ayd_netDefter+ayd_fark)/GIRDI!B12),0))</f>
        <v/>
      </c>
      <c r="D513" s="31">
        <f>IF($B513="","",IFERROR($C513-$B513,0))</f>
        <v/>
      </c>
      <c r="E513" s="31">
        <f>IF($B513="","",IFERROR($A513*$B513,0))</f>
        <v/>
      </c>
      <c r="F513" s="31">
        <f>IF($C513="","",IFERROR($A513*$C513,0))</f>
        <v/>
      </c>
      <c r="G513" s="31">
        <f>IF($B513="","",IFERROR(MAX(0,ayd_netDefter-$E513),0))</f>
        <v/>
      </c>
      <c r="H513" s="31">
        <f>IF($C513="","",IFERROR(MAX(0,ayd_netDefter+ayd_fark-$F513),0))</f>
        <v/>
      </c>
      <c r="I513" s="31">
        <f>IF($A513="","",IF($A513&gt;IFERROR(GIRDI!B12,0),"DIŞI","AKTİF"))</f>
        <v/>
      </c>
    </row>
    <row r="514">
      <c r="B514" s="31">
        <f>IF(OR($A514="",$A514&gt;IFERROR(GIRDI!B12,0)),"",IFERROR(IF(OR(GIRDI!B12="",GIRDI!B12=0),0,ayd_netDefter/GIRDI!B12),0))</f>
        <v/>
      </c>
      <c r="C514" s="31">
        <f>IF(OR($A514="",$A514&gt;IFERROR(GIRDI!B12,0)),"",IFERROR(IF(OR(GIRDI!B12="",GIRDI!B12=0),0,(ayd_netDefter+ayd_fark)/GIRDI!B12),0))</f>
        <v/>
      </c>
      <c r="D514" s="31">
        <f>IF($B514="","",IFERROR($C514-$B514,0))</f>
        <v/>
      </c>
      <c r="E514" s="31">
        <f>IF($B514="","",IFERROR($A514*$B514,0))</f>
        <v/>
      </c>
      <c r="F514" s="31">
        <f>IF($C514="","",IFERROR($A514*$C514,0))</f>
        <v/>
      </c>
      <c r="G514" s="31">
        <f>IF($B514="","",IFERROR(MAX(0,ayd_netDefter-$E514),0))</f>
        <v/>
      </c>
      <c r="H514" s="31">
        <f>IF($C514="","",IFERROR(MAX(0,ayd_netDefter+ayd_fark-$F514),0))</f>
        <v/>
      </c>
      <c r="I514" s="31">
        <f>IF($A514="","",IF($A514&gt;IFERROR(GIRDI!B12,0),"DIŞI","AKTİF"))</f>
        <v/>
      </c>
    </row>
    <row r="515">
      <c r="B515" s="31">
        <f>IF(OR($A515="",$A515&gt;IFERROR(GIRDI!B12,0)),"",IFERROR(IF(OR(GIRDI!B12="",GIRDI!B12=0),0,ayd_netDefter/GIRDI!B12),0))</f>
        <v/>
      </c>
      <c r="C515" s="31">
        <f>IF(OR($A515="",$A515&gt;IFERROR(GIRDI!B12,0)),"",IFERROR(IF(OR(GIRDI!B12="",GIRDI!B12=0),0,(ayd_netDefter+ayd_fark)/GIRDI!B12),0))</f>
        <v/>
      </c>
      <c r="D515" s="31">
        <f>IF($B515="","",IFERROR($C515-$B515,0))</f>
        <v/>
      </c>
      <c r="E515" s="31">
        <f>IF($B515="","",IFERROR($A515*$B515,0))</f>
        <v/>
      </c>
      <c r="F515" s="31">
        <f>IF($C515="","",IFERROR($A515*$C515,0))</f>
        <v/>
      </c>
      <c r="G515" s="31">
        <f>IF($B515="","",IFERROR(MAX(0,ayd_netDefter-$E515),0))</f>
        <v/>
      </c>
      <c r="H515" s="31">
        <f>IF($C515="","",IFERROR(MAX(0,ayd_netDefter+ayd_fark-$F515),0))</f>
        <v/>
      </c>
      <c r="I515" s="31">
        <f>IF($A515="","",IF($A515&gt;IFERROR(GIRDI!B12,0),"DIŞI","AKTİF"))</f>
        <v/>
      </c>
    </row>
    <row r="516">
      <c r="B516" s="31">
        <f>IF(OR($A516="",$A516&gt;IFERROR(GIRDI!B12,0)),"",IFERROR(IF(OR(GIRDI!B12="",GIRDI!B12=0),0,ayd_netDefter/GIRDI!B12),0))</f>
        <v/>
      </c>
      <c r="C516" s="31">
        <f>IF(OR($A516="",$A516&gt;IFERROR(GIRDI!B12,0)),"",IFERROR(IF(OR(GIRDI!B12="",GIRDI!B12=0),0,(ayd_netDefter+ayd_fark)/GIRDI!B12),0))</f>
        <v/>
      </c>
      <c r="D516" s="31">
        <f>IF($B516="","",IFERROR($C516-$B516,0))</f>
        <v/>
      </c>
      <c r="E516" s="31">
        <f>IF($B516="","",IFERROR($A516*$B516,0))</f>
        <v/>
      </c>
      <c r="F516" s="31">
        <f>IF($C516="","",IFERROR($A516*$C516,0))</f>
        <v/>
      </c>
      <c r="G516" s="31">
        <f>IF($B516="","",IFERROR(MAX(0,ayd_netDefter-$E516),0))</f>
        <v/>
      </c>
      <c r="H516" s="31">
        <f>IF($C516="","",IFERROR(MAX(0,ayd_netDefter+ayd_fark-$F516),0))</f>
        <v/>
      </c>
      <c r="I516" s="31">
        <f>IF($A516="","",IF($A516&gt;IFERROR(GIRDI!B12,0),"DIŞI","AKTİF"))</f>
        <v/>
      </c>
    </row>
    <row r="517">
      <c r="B517" s="31">
        <f>IF(OR($A517="",$A517&gt;IFERROR(GIRDI!B12,0)),"",IFERROR(IF(OR(GIRDI!B12="",GIRDI!B12=0),0,ayd_netDefter/GIRDI!B12),0))</f>
        <v/>
      </c>
      <c r="C517" s="31">
        <f>IF(OR($A517="",$A517&gt;IFERROR(GIRDI!B12,0)),"",IFERROR(IF(OR(GIRDI!B12="",GIRDI!B12=0),0,(ayd_netDefter+ayd_fark)/GIRDI!B12),0))</f>
        <v/>
      </c>
      <c r="D517" s="31">
        <f>IF($B517="","",IFERROR($C517-$B517,0))</f>
        <v/>
      </c>
      <c r="E517" s="31">
        <f>IF($B517="","",IFERROR($A517*$B517,0))</f>
        <v/>
      </c>
      <c r="F517" s="31">
        <f>IF($C517="","",IFERROR($A517*$C517,0))</f>
        <v/>
      </c>
      <c r="G517" s="31">
        <f>IF($B517="","",IFERROR(MAX(0,ayd_netDefter-$E517),0))</f>
        <v/>
      </c>
      <c r="H517" s="31">
        <f>IF($C517="","",IFERROR(MAX(0,ayd_netDefter+ayd_fark-$F517),0))</f>
        <v/>
      </c>
      <c r="I517" s="31">
        <f>IF($A517="","",IF($A517&gt;IFERROR(GIRDI!B12,0),"DIŞI","AKTİF"))</f>
        <v/>
      </c>
    </row>
    <row r="518">
      <c r="B518" s="31">
        <f>IF(OR($A518="",$A518&gt;IFERROR(GIRDI!B12,0)),"",IFERROR(IF(OR(GIRDI!B12="",GIRDI!B12=0),0,ayd_netDefter/GIRDI!B12),0))</f>
        <v/>
      </c>
      <c r="C518" s="31">
        <f>IF(OR($A518="",$A518&gt;IFERROR(GIRDI!B12,0)),"",IFERROR(IF(OR(GIRDI!B12="",GIRDI!B12=0),0,(ayd_netDefter+ayd_fark)/GIRDI!B12),0))</f>
        <v/>
      </c>
      <c r="D518" s="31">
        <f>IF($B518="","",IFERROR($C518-$B518,0))</f>
        <v/>
      </c>
      <c r="E518" s="31">
        <f>IF($B518="","",IFERROR($A518*$B518,0))</f>
        <v/>
      </c>
      <c r="F518" s="31">
        <f>IF($C518="","",IFERROR($A518*$C518,0))</f>
        <v/>
      </c>
      <c r="G518" s="31">
        <f>IF($B518="","",IFERROR(MAX(0,ayd_netDefter-$E518),0))</f>
        <v/>
      </c>
      <c r="H518" s="31">
        <f>IF($C518="","",IFERROR(MAX(0,ayd_netDefter+ayd_fark-$F518),0))</f>
        <v/>
      </c>
      <c r="I518" s="31">
        <f>IF($A518="","",IF($A518&gt;IFERROR(GIRDI!B12,0),"DIŞI","AKTİF"))</f>
        <v/>
      </c>
    </row>
    <row r="519">
      <c r="B519" s="31">
        <f>IF(OR($A519="",$A519&gt;IFERROR(GIRDI!B12,0)),"",IFERROR(IF(OR(GIRDI!B12="",GIRDI!B12=0),0,ayd_netDefter/GIRDI!B12),0))</f>
        <v/>
      </c>
      <c r="C519" s="31">
        <f>IF(OR($A519="",$A519&gt;IFERROR(GIRDI!B12,0)),"",IFERROR(IF(OR(GIRDI!B12="",GIRDI!B12=0),0,(ayd_netDefter+ayd_fark)/GIRDI!B12),0))</f>
        <v/>
      </c>
      <c r="D519" s="31">
        <f>IF($B519="","",IFERROR($C519-$B519,0))</f>
        <v/>
      </c>
      <c r="E519" s="31">
        <f>IF($B519="","",IFERROR($A519*$B519,0))</f>
        <v/>
      </c>
      <c r="F519" s="31">
        <f>IF($C519="","",IFERROR($A519*$C519,0))</f>
        <v/>
      </c>
      <c r="G519" s="31">
        <f>IF($B519="","",IFERROR(MAX(0,ayd_netDefter-$E519),0))</f>
        <v/>
      </c>
      <c r="H519" s="31">
        <f>IF($C519="","",IFERROR(MAX(0,ayd_netDefter+ayd_fark-$F519),0))</f>
        <v/>
      </c>
      <c r="I519" s="31">
        <f>IF($A519="","",IF($A519&gt;IFERROR(GIRDI!B12,0),"DIŞI","AKTİF"))</f>
        <v/>
      </c>
    </row>
    <row r="520">
      <c r="B520" s="31">
        <f>IF(OR($A520="",$A520&gt;IFERROR(GIRDI!B12,0)),"",IFERROR(IF(OR(GIRDI!B12="",GIRDI!B12=0),0,ayd_netDefter/GIRDI!B12),0))</f>
        <v/>
      </c>
      <c r="C520" s="31">
        <f>IF(OR($A520="",$A520&gt;IFERROR(GIRDI!B12,0)),"",IFERROR(IF(OR(GIRDI!B12="",GIRDI!B12=0),0,(ayd_netDefter+ayd_fark)/GIRDI!B12),0))</f>
        <v/>
      </c>
      <c r="D520" s="31">
        <f>IF($B520="","",IFERROR($C520-$B520,0))</f>
        <v/>
      </c>
      <c r="E520" s="31">
        <f>IF($B520="","",IFERROR($A520*$B520,0))</f>
        <v/>
      </c>
      <c r="F520" s="31">
        <f>IF($C520="","",IFERROR($A520*$C520,0))</f>
        <v/>
      </c>
      <c r="G520" s="31">
        <f>IF($B520="","",IFERROR(MAX(0,ayd_netDefter-$E520),0))</f>
        <v/>
      </c>
      <c r="H520" s="31">
        <f>IF($C520="","",IFERROR(MAX(0,ayd_netDefter+ayd_fark-$F520),0))</f>
        <v/>
      </c>
      <c r="I520" s="31">
        <f>IF($A520="","",IF($A520&gt;IFERROR(GIRDI!B12,0),"DIŞI","AKTİF"))</f>
        <v/>
      </c>
    </row>
    <row r="521">
      <c r="B521" s="31">
        <f>IF(OR($A521="",$A521&gt;IFERROR(GIRDI!B12,0)),"",IFERROR(IF(OR(GIRDI!B12="",GIRDI!B12=0),0,ayd_netDefter/GIRDI!B12),0))</f>
        <v/>
      </c>
      <c r="C521" s="31">
        <f>IF(OR($A521="",$A521&gt;IFERROR(GIRDI!B12,0)),"",IFERROR(IF(OR(GIRDI!B12="",GIRDI!B12=0),0,(ayd_netDefter+ayd_fark)/GIRDI!B12),0))</f>
        <v/>
      </c>
      <c r="D521" s="31">
        <f>IF($B521="","",IFERROR($C521-$B521,0))</f>
        <v/>
      </c>
      <c r="E521" s="31">
        <f>IF($B521="","",IFERROR($A521*$B521,0))</f>
        <v/>
      </c>
      <c r="F521" s="31">
        <f>IF($C521="","",IFERROR($A521*$C521,0))</f>
        <v/>
      </c>
      <c r="G521" s="31">
        <f>IF($B521="","",IFERROR(MAX(0,ayd_netDefter-$E521),0))</f>
        <v/>
      </c>
      <c r="H521" s="31">
        <f>IF($C521="","",IFERROR(MAX(0,ayd_netDefter+ayd_fark-$F521),0))</f>
        <v/>
      </c>
      <c r="I521" s="31">
        <f>IF($A521="","",IF($A521&gt;IFERROR(GIRDI!B12,0),"DIŞI","AKTİF"))</f>
        <v/>
      </c>
    </row>
    <row r="522">
      <c r="B522" s="31">
        <f>IF(OR($A522="",$A522&gt;IFERROR(GIRDI!B12,0)),"",IFERROR(IF(OR(GIRDI!B12="",GIRDI!B12=0),0,ayd_netDefter/GIRDI!B12),0))</f>
        <v/>
      </c>
      <c r="C522" s="31">
        <f>IF(OR($A522="",$A522&gt;IFERROR(GIRDI!B12,0)),"",IFERROR(IF(OR(GIRDI!B12="",GIRDI!B12=0),0,(ayd_netDefter+ayd_fark)/GIRDI!B12),0))</f>
        <v/>
      </c>
      <c r="D522" s="31">
        <f>IF($B522="","",IFERROR($C522-$B522,0))</f>
        <v/>
      </c>
      <c r="E522" s="31">
        <f>IF($B522="","",IFERROR($A522*$B522,0))</f>
        <v/>
      </c>
      <c r="F522" s="31">
        <f>IF($C522="","",IFERROR($A522*$C522,0))</f>
        <v/>
      </c>
      <c r="G522" s="31">
        <f>IF($B522="","",IFERROR(MAX(0,ayd_netDefter-$E522),0))</f>
        <v/>
      </c>
      <c r="H522" s="31">
        <f>IF($C522="","",IFERROR(MAX(0,ayd_netDefter+ayd_fark-$F522),0))</f>
        <v/>
      </c>
      <c r="I522" s="31">
        <f>IF($A522="","",IF($A522&gt;IFERROR(GIRDI!B12,0),"DIŞI","AKTİF"))</f>
        <v/>
      </c>
    </row>
    <row r="523">
      <c r="B523" s="31">
        <f>IF(OR($A523="",$A523&gt;IFERROR(GIRDI!B12,0)),"",IFERROR(IF(OR(GIRDI!B12="",GIRDI!B12=0),0,ayd_netDefter/GIRDI!B12),0))</f>
        <v/>
      </c>
      <c r="C523" s="31">
        <f>IF(OR($A523="",$A523&gt;IFERROR(GIRDI!B12,0)),"",IFERROR(IF(OR(GIRDI!B12="",GIRDI!B12=0),0,(ayd_netDefter+ayd_fark)/GIRDI!B12),0))</f>
        <v/>
      </c>
      <c r="D523" s="31">
        <f>IF($B523="","",IFERROR($C523-$B523,0))</f>
        <v/>
      </c>
      <c r="E523" s="31">
        <f>IF($B523="","",IFERROR($A523*$B523,0))</f>
        <v/>
      </c>
      <c r="F523" s="31">
        <f>IF($C523="","",IFERROR($A523*$C523,0))</f>
        <v/>
      </c>
      <c r="G523" s="31">
        <f>IF($B523="","",IFERROR(MAX(0,ayd_netDefter-$E523),0))</f>
        <v/>
      </c>
      <c r="H523" s="31">
        <f>IF($C523="","",IFERROR(MAX(0,ayd_netDefter+ayd_fark-$F523),0))</f>
        <v/>
      </c>
      <c r="I523" s="31">
        <f>IF($A523="","",IF($A523&gt;IFERROR(GIRDI!B12,0),"DIŞI","AKTİF"))</f>
        <v/>
      </c>
    </row>
    <row r="524">
      <c r="B524" s="31">
        <f>IF(OR($A524="",$A524&gt;IFERROR(GIRDI!B12,0)),"",IFERROR(IF(OR(GIRDI!B12="",GIRDI!B12=0),0,ayd_netDefter/GIRDI!B12),0))</f>
        <v/>
      </c>
      <c r="C524" s="31">
        <f>IF(OR($A524="",$A524&gt;IFERROR(GIRDI!B12,0)),"",IFERROR(IF(OR(GIRDI!B12="",GIRDI!B12=0),0,(ayd_netDefter+ayd_fark)/GIRDI!B12),0))</f>
        <v/>
      </c>
      <c r="D524" s="31">
        <f>IF($B524="","",IFERROR($C524-$B524,0))</f>
        <v/>
      </c>
      <c r="E524" s="31">
        <f>IF($B524="","",IFERROR($A524*$B524,0))</f>
        <v/>
      </c>
      <c r="F524" s="31">
        <f>IF($C524="","",IFERROR($A524*$C524,0))</f>
        <v/>
      </c>
      <c r="G524" s="31">
        <f>IF($B524="","",IFERROR(MAX(0,ayd_netDefter-$E524),0))</f>
        <v/>
      </c>
      <c r="H524" s="31">
        <f>IF($C524="","",IFERROR(MAX(0,ayd_netDefter+ayd_fark-$F524),0))</f>
        <v/>
      </c>
      <c r="I524" s="31">
        <f>IF($A524="","",IF($A524&gt;IFERROR(GIRDI!B12,0),"DIŞI","AKTİF"))</f>
        <v/>
      </c>
    </row>
    <row r="525">
      <c r="B525" s="31">
        <f>IF(OR($A525="",$A525&gt;IFERROR(GIRDI!B12,0)),"",IFERROR(IF(OR(GIRDI!B12="",GIRDI!B12=0),0,ayd_netDefter/GIRDI!B12),0))</f>
        <v/>
      </c>
      <c r="C525" s="31">
        <f>IF(OR($A525="",$A525&gt;IFERROR(GIRDI!B12,0)),"",IFERROR(IF(OR(GIRDI!B12="",GIRDI!B12=0),0,(ayd_netDefter+ayd_fark)/GIRDI!B12),0))</f>
        <v/>
      </c>
      <c r="D525" s="31">
        <f>IF($B525="","",IFERROR($C525-$B525,0))</f>
        <v/>
      </c>
      <c r="E525" s="31">
        <f>IF($B525="","",IFERROR($A525*$B525,0))</f>
        <v/>
      </c>
      <c r="F525" s="31">
        <f>IF($C525="","",IFERROR($A525*$C525,0))</f>
        <v/>
      </c>
      <c r="G525" s="31">
        <f>IF($B525="","",IFERROR(MAX(0,ayd_netDefter-$E525),0))</f>
        <v/>
      </c>
      <c r="H525" s="31">
        <f>IF($C525="","",IFERROR(MAX(0,ayd_netDefter+ayd_fark-$F525),0))</f>
        <v/>
      </c>
      <c r="I525" s="31">
        <f>IF($A525="","",IF($A525&gt;IFERROR(GIRDI!B12,0),"DIŞI","AKTİF"))</f>
        <v/>
      </c>
    </row>
    <row r="526">
      <c r="B526" s="31">
        <f>IF(OR($A526="",$A526&gt;IFERROR(GIRDI!B12,0)),"",IFERROR(IF(OR(GIRDI!B12="",GIRDI!B12=0),0,ayd_netDefter/GIRDI!B12),0))</f>
        <v/>
      </c>
      <c r="C526" s="31">
        <f>IF(OR($A526="",$A526&gt;IFERROR(GIRDI!B12,0)),"",IFERROR(IF(OR(GIRDI!B12="",GIRDI!B12=0),0,(ayd_netDefter+ayd_fark)/GIRDI!B12),0))</f>
        <v/>
      </c>
      <c r="D526" s="31">
        <f>IF($B526="","",IFERROR($C526-$B526,0))</f>
        <v/>
      </c>
      <c r="E526" s="31">
        <f>IF($B526="","",IFERROR($A526*$B526,0))</f>
        <v/>
      </c>
      <c r="F526" s="31">
        <f>IF($C526="","",IFERROR($A526*$C526,0))</f>
        <v/>
      </c>
      <c r="G526" s="31">
        <f>IF($B526="","",IFERROR(MAX(0,ayd_netDefter-$E526),0))</f>
        <v/>
      </c>
      <c r="H526" s="31">
        <f>IF($C526="","",IFERROR(MAX(0,ayd_netDefter+ayd_fark-$F526),0))</f>
        <v/>
      </c>
      <c r="I526" s="31">
        <f>IF($A526="","",IF($A526&gt;IFERROR(GIRDI!B12,0),"DIŞI","AKTİF"))</f>
        <v/>
      </c>
    </row>
    <row r="527">
      <c r="B527" s="31">
        <f>IF(OR($A527="",$A527&gt;IFERROR(GIRDI!B12,0)),"",IFERROR(IF(OR(GIRDI!B12="",GIRDI!B12=0),0,ayd_netDefter/GIRDI!B12),0))</f>
        <v/>
      </c>
      <c r="C527" s="31">
        <f>IF(OR($A527="",$A527&gt;IFERROR(GIRDI!B12,0)),"",IFERROR(IF(OR(GIRDI!B12="",GIRDI!B12=0),0,(ayd_netDefter+ayd_fark)/GIRDI!B12),0))</f>
        <v/>
      </c>
      <c r="D527" s="31">
        <f>IF($B527="","",IFERROR($C527-$B527,0))</f>
        <v/>
      </c>
      <c r="E527" s="31">
        <f>IF($B527="","",IFERROR($A527*$B527,0))</f>
        <v/>
      </c>
      <c r="F527" s="31">
        <f>IF($C527="","",IFERROR($A527*$C527,0))</f>
        <v/>
      </c>
      <c r="G527" s="31">
        <f>IF($B527="","",IFERROR(MAX(0,ayd_netDefter-$E527),0))</f>
        <v/>
      </c>
      <c r="H527" s="31">
        <f>IF($C527="","",IFERROR(MAX(0,ayd_netDefter+ayd_fark-$F527),0))</f>
        <v/>
      </c>
      <c r="I527" s="31">
        <f>IF($A527="","",IF($A527&gt;IFERROR(GIRDI!B12,0),"DIŞI","AKTİF"))</f>
        <v/>
      </c>
    </row>
    <row r="528">
      <c r="B528" s="31">
        <f>IF(OR($A528="",$A528&gt;IFERROR(GIRDI!B12,0)),"",IFERROR(IF(OR(GIRDI!B12="",GIRDI!B12=0),0,ayd_netDefter/GIRDI!B12),0))</f>
        <v/>
      </c>
      <c r="C528" s="31">
        <f>IF(OR($A528="",$A528&gt;IFERROR(GIRDI!B12,0)),"",IFERROR(IF(OR(GIRDI!B12="",GIRDI!B12=0),0,(ayd_netDefter+ayd_fark)/GIRDI!B12),0))</f>
        <v/>
      </c>
      <c r="D528" s="31">
        <f>IF($B528="","",IFERROR($C528-$B528,0))</f>
        <v/>
      </c>
      <c r="E528" s="31">
        <f>IF($B528="","",IFERROR($A528*$B528,0))</f>
        <v/>
      </c>
      <c r="F528" s="31">
        <f>IF($C528="","",IFERROR($A528*$C528,0))</f>
        <v/>
      </c>
      <c r="G528" s="31">
        <f>IF($B528="","",IFERROR(MAX(0,ayd_netDefter-$E528),0))</f>
        <v/>
      </c>
      <c r="H528" s="31">
        <f>IF($C528="","",IFERROR(MAX(0,ayd_netDefter+ayd_fark-$F528),0))</f>
        <v/>
      </c>
      <c r="I528" s="31">
        <f>IF($A528="","",IF($A528&gt;IFERROR(GIRDI!B12,0),"DIŞI","AKTİF"))</f>
        <v/>
      </c>
    </row>
    <row r="529">
      <c r="B529" s="31">
        <f>IF(OR($A529="",$A529&gt;IFERROR(GIRDI!B12,0)),"",IFERROR(IF(OR(GIRDI!B12="",GIRDI!B12=0),0,ayd_netDefter/GIRDI!B12),0))</f>
        <v/>
      </c>
      <c r="C529" s="31">
        <f>IF(OR($A529="",$A529&gt;IFERROR(GIRDI!B12,0)),"",IFERROR(IF(OR(GIRDI!B12="",GIRDI!B12=0),0,(ayd_netDefter+ayd_fark)/GIRDI!B12),0))</f>
        <v/>
      </c>
      <c r="D529" s="31">
        <f>IF($B529="","",IFERROR($C529-$B529,0))</f>
        <v/>
      </c>
      <c r="E529" s="31">
        <f>IF($B529="","",IFERROR($A529*$B529,0))</f>
        <v/>
      </c>
      <c r="F529" s="31">
        <f>IF($C529="","",IFERROR($A529*$C529,0))</f>
        <v/>
      </c>
      <c r="G529" s="31">
        <f>IF($B529="","",IFERROR(MAX(0,ayd_netDefter-$E529),0))</f>
        <v/>
      </c>
      <c r="H529" s="31">
        <f>IF($C529="","",IFERROR(MAX(0,ayd_netDefter+ayd_fark-$F529),0))</f>
        <v/>
      </c>
      <c r="I529" s="31">
        <f>IF($A529="","",IF($A529&gt;IFERROR(GIRDI!B12,0),"DIŞI","AKTİF"))</f>
        <v/>
      </c>
    </row>
    <row r="530">
      <c r="B530" s="31">
        <f>IF(OR($A530="",$A530&gt;IFERROR(GIRDI!B12,0)),"",IFERROR(IF(OR(GIRDI!B12="",GIRDI!B12=0),0,ayd_netDefter/GIRDI!B12),0))</f>
        <v/>
      </c>
      <c r="C530" s="31">
        <f>IF(OR($A530="",$A530&gt;IFERROR(GIRDI!B12,0)),"",IFERROR(IF(OR(GIRDI!B12="",GIRDI!B12=0),0,(ayd_netDefter+ayd_fark)/GIRDI!B12),0))</f>
        <v/>
      </c>
      <c r="D530" s="31">
        <f>IF($B530="","",IFERROR($C530-$B530,0))</f>
        <v/>
      </c>
      <c r="E530" s="31">
        <f>IF($B530="","",IFERROR($A530*$B530,0))</f>
        <v/>
      </c>
      <c r="F530" s="31">
        <f>IF($C530="","",IFERROR($A530*$C530,0))</f>
        <v/>
      </c>
      <c r="G530" s="31">
        <f>IF($B530="","",IFERROR(MAX(0,ayd_netDefter-$E530),0))</f>
        <v/>
      </c>
      <c r="H530" s="31">
        <f>IF($C530="","",IFERROR(MAX(0,ayd_netDefter+ayd_fark-$F530),0))</f>
        <v/>
      </c>
      <c r="I530" s="31">
        <f>IF($A530="","",IF($A530&gt;IFERROR(GIRDI!B12,0),"DIŞI","AKTİF"))</f>
        <v/>
      </c>
    </row>
    <row r="531">
      <c r="B531" s="31">
        <f>IF(OR($A531="",$A531&gt;IFERROR(GIRDI!B12,0)),"",IFERROR(IF(OR(GIRDI!B12="",GIRDI!B12=0),0,ayd_netDefter/GIRDI!B12),0))</f>
        <v/>
      </c>
      <c r="C531" s="31">
        <f>IF(OR($A531="",$A531&gt;IFERROR(GIRDI!B12,0)),"",IFERROR(IF(OR(GIRDI!B12="",GIRDI!B12=0),0,(ayd_netDefter+ayd_fark)/GIRDI!B12),0))</f>
        <v/>
      </c>
      <c r="D531" s="31">
        <f>IF($B531="","",IFERROR($C531-$B531,0))</f>
        <v/>
      </c>
      <c r="E531" s="31">
        <f>IF($B531="","",IFERROR($A531*$B531,0))</f>
        <v/>
      </c>
      <c r="F531" s="31">
        <f>IF($C531="","",IFERROR($A531*$C531,0))</f>
        <v/>
      </c>
      <c r="G531" s="31">
        <f>IF($B531="","",IFERROR(MAX(0,ayd_netDefter-$E531),0))</f>
        <v/>
      </c>
      <c r="H531" s="31">
        <f>IF($C531="","",IFERROR(MAX(0,ayd_netDefter+ayd_fark-$F531),0))</f>
        <v/>
      </c>
      <c r="I531" s="31">
        <f>IF($A531="","",IF($A531&gt;IFERROR(GIRDI!B12,0),"DIŞI","AKTİF"))</f>
        <v/>
      </c>
    </row>
    <row r="532">
      <c r="B532" s="31">
        <f>IF(OR($A532="",$A532&gt;IFERROR(GIRDI!B12,0)),"",IFERROR(IF(OR(GIRDI!B12="",GIRDI!B12=0),0,ayd_netDefter/GIRDI!B12),0))</f>
        <v/>
      </c>
      <c r="C532" s="31">
        <f>IF(OR($A532="",$A532&gt;IFERROR(GIRDI!B12,0)),"",IFERROR(IF(OR(GIRDI!B12="",GIRDI!B12=0),0,(ayd_netDefter+ayd_fark)/GIRDI!B12),0))</f>
        <v/>
      </c>
      <c r="D532" s="31">
        <f>IF($B532="","",IFERROR($C532-$B532,0))</f>
        <v/>
      </c>
      <c r="E532" s="31">
        <f>IF($B532="","",IFERROR($A532*$B532,0))</f>
        <v/>
      </c>
      <c r="F532" s="31">
        <f>IF($C532="","",IFERROR($A532*$C532,0))</f>
        <v/>
      </c>
      <c r="G532" s="31">
        <f>IF($B532="","",IFERROR(MAX(0,ayd_netDefter-$E532),0))</f>
        <v/>
      </c>
      <c r="H532" s="31">
        <f>IF($C532="","",IFERROR(MAX(0,ayd_netDefter+ayd_fark-$F532),0))</f>
        <v/>
      </c>
      <c r="I532" s="31">
        <f>IF($A532="","",IF($A532&gt;IFERROR(GIRDI!B12,0),"DIŞI","AKTİF"))</f>
        <v/>
      </c>
    </row>
    <row r="533">
      <c r="B533" s="31">
        <f>IF(OR($A533="",$A533&gt;IFERROR(GIRDI!B12,0)),"",IFERROR(IF(OR(GIRDI!B12="",GIRDI!B12=0),0,ayd_netDefter/GIRDI!B12),0))</f>
        <v/>
      </c>
      <c r="C533" s="31">
        <f>IF(OR($A533="",$A533&gt;IFERROR(GIRDI!B12,0)),"",IFERROR(IF(OR(GIRDI!B12="",GIRDI!B12=0),0,(ayd_netDefter+ayd_fark)/GIRDI!B12),0))</f>
        <v/>
      </c>
      <c r="D533" s="31">
        <f>IF($B533="","",IFERROR($C533-$B533,0))</f>
        <v/>
      </c>
      <c r="E533" s="31">
        <f>IF($B533="","",IFERROR($A533*$B533,0))</f>
        <v/>
      </c>
      <c r="F533" s="31">
        <f>IF($C533="","",IFERROR($A533*$C533,0))</f>
        <v/>
      </c>
      <c r="G533" s="31">
        <f>IF($B533="","",IFERROR(MAX(0,ayd_netDefter-$E533),0))</f>
        <v/>
      </c>
      <c r="H533" s="31">
        <f>IF($C533="","",IFERROR(MAX(0,ayd_netDefter+ayd_fark-$F533),0))</f>
        <v/>
      </c>
      <c r="I533" s="31">
        <f>IF($A533="","",IF($A533&gt;IFERROR(GIRDI!B12,0),"DIŞI","AKTİF"))</f>
        <v/>
      </c>
    </row>
    <row r="534">
      <c r="B534" s="31">
        <f>IF(OR($A534="",$A534&gt;IFERROR(GIRDI!B12,0)),"",IFERROR(IF(OR(GIRDI!B12="",GIRDI!B12=0),0,ayd_netDefter/GIRDI!B12),0))</f>
        <v/>
      </c>
      <c r="C534" s="31">
        <f>IF(OR($A534="",$A534&gt;IFERROR(GIRDI!B12,0)),"",IFERROR(IF(OR(GIRDI!B12="",GIRDI!B12=0),0,(ayd_netDefter+ayd_fark)/GIRDI!B12),0))</f>
        <v/>
      </c>
      <c r="D534" s="31">
        <f>IF($B534="","",IFERROR($C534-$B534,0))</f>
        <v/>
      </c>
      <c r="E534" s="31">
        <f>IF($B534="","",IFERROR($A534*$B534,0))</f>
        <v/>
      </c>
      <c r="F534" s="31">
        <f>IF($C534="","",IFERROR($A534*$C534,0))</f>
        <v/>
      </c>
      <c r="G534" s="31">
        <f>IF($B534="","",IFERROR(MAX(0,ayd_netDefter-$E534),0))</f>
        <v/>
      </c>
      <c r="H534" s="31">
        <f>IF($C534="","",IFERROR(MAX(0,ayd_netDefter+ayd_fark-$F534),0))</f>
        <v/>
      </c>
      <c r="I534" s="31">
        <f>IF($A534="","",IF($A534&gt;IFERROR(GIRDI!B12,0),"DIŞI","AKTİF"))</f>
        <v/>
      </c>
    </row>
    <row r="535">
      <c r="B535" s="31">
        <f>IF(OR($A535="",$A535&gt;IFERROR(GIRDI!B12,0)),"",IFERROR(IF(OR(GIRDI!B12="",GIRDI!B12=0),0,ayd_netDefter/GIRDI!B12),0))</f>
        <v/>
      </c>
      <c r="C535" s="31">
        <f>IF(OR($A535="",$A535&gt;IFERROR(GIRDI!B12,0)),"",IFERROR(IF(OR(GIRDI!B12="",GIRDI!B12=0),0,(ayd_netDefter+ayd_fark)/GIRDI!B12),0))</f>
        <v/>
      </c>
      <c r="D535" s="31">
        <f>IF($B535="","",IFERROR($C535-$B535,0))</f>
        <v/>
      </c>
      <c r="E535" s="31">
        <f>IF($B535="","",IFERROR($A535*$B535,0))</f>
        <v/>
      </c>
      <c r="F535" s="31">
        <f>IF($C535="","",IFERROR($A535*$C535,0))</f>
        <v/>
      </c>
      <c r="G535" s="31">
        <f>IF($B535="","",IFERROR(MAX(0,ayd_netDefter-$E535),0))</f>
        <v/>
      </c>
      <c r="H535" s="31">
        <f>IF($C535="","",IFERROR(MAX(0,ayd_netDefter+ayd_fark-$F535),0))</f>
        <v/>
      </c>
      <c r="I535" s="31">
        <f>IF($A535="","",IF($A535&gt;IFERROR(GIRDI!B12,0),"DIŞI","AKTİF"))</f>
        <v/>
      </c>
    </row>
    <row r="536">
      <c r="B536" s="31">
        <f>IF(OR($A536="",$A536&gt;IFERROR(GIRDI!B12,0)),"",IFERROR(IF(OR(GIRDI!B12="",GIRDI!B12=0),0,ayd_netDefter/GIRDI!B12),0))</f>
        <v/>
      </c>
      <c r="C536" s="31">
        <f>IF(OR($A536="",$A536&gt;IFERROR(GIRDI!B12,0)),"",IFERROR(IF(OR(GIRDI!B12="",GIRDI!B12=0),0,(ayd_netDefter+ayd_fark)/GIRDI!B12),0))</f>
        <v/>
      </c>
      <c r="D536" s="31">
        <f>IF($B536="","",IFERROR($C536-$B536,0))</f>
        <v/>
      </c>
      <c r="E536" s="31">
        <f>IF($B536="","",IFERROR($A536*$B536,0))</f>
        <v/>
      </c>
      <c r="F536" s="31">
        <f>IF($C536="","",IFERROR($A536*$C536,0))</f>
        <v/>
      </c>
      <c r="G536" s="31">
        <f>IF($B536="","",IFERROR(MAX(0,ayd_netDefter-$E536),0))</f>
        <v/>
      </c>
      <c r="H536" s="31">
        <f>IF($C536="","",IFERROR(MAX(0,ayd_netDefter+ayd_fark-$F536),0))</f>
        <v/>
      </c>
      <c r="I536" s="31">
        <f>IF($A536="","",IF($A536&gt;IFERROR(GIRDI!B12,0),"DIŞI","AKTİF"))</f>
        <v/>
      </c>
    </row>
    <row r="537">
      <c r="B537" s="31">
        <f>IF(OR($A537="",$A537&gt;IFERROR(GIRDI!B12,0)),"",IFERROR(IF(OR(GIRDI!B12="",GIRDI!B12=0),0,ayd_netDefter/GIRDI!B12),0))</f>
        <v/>
      </c>
      <c r="C537" s="31">
        <f>IF(OR($A537="",$A537&gt;IFERROR(GIRDI!B12,0)),"",IFERROR(IF(OR(GIRDI!B12="",GIRDI!B12=0),0,(ayd_netDefter+ayd_fark)/GIRDI!B12),0))</f>
        <v/>
      </c>
      <c r="D537" s="31">
        <f>IF($B537="","",IFERROR($C537-$B537,0))</f>
        <v/>
      </c>
      <c r="E537" s="31">
        <f>IF($B537="","",IFERROR($A537*$B537,0))</f>
        <v/>
      </c>
      <c r="F537" s="31">
        <f>IF($C537="","",IFERROR($A537*$C537,0))</f>
        <v/>
      </c>
      <c r="G537" s="31">
        <f>IF($B537="","",IFERROR(MAX(0,ayd_netDefter-$E537),0))</f>
        <v/>
      </c>
      <c r="H537" s="31">
        <f>IF($C537="","",IFERROR(MAX(0,ayd_netDefter+ayd_fark-$F537),0))</f>
        <v/>
      </c>
      <c r="I537" s="31">
        <f>IF($A537="","",IF($A537&gt;IFERROR(GIRDI!B12,0),"DIŞI","AKTİF"))</f>
        <v/>
      </c>
    </row>
    <row r="538">
      <c r="B538" s="31">
        <f>IF(OR($A538="",$A538&gt;IFERROR(GIRDI!B12,0)),"",IFERROR(IF(OR(GIRDI!B12="",GIRDI!B12=0),0,ayd_netDefter/GIRDI!B12),0))</f>
        <v/>
      </c>
      <c r="C538" s="31">
        <f>IF(OR($A538="",$A538&gt;IFERROR(GIRDI!B12,0)),"",IFERROR(IF(OR(GIRDI!B12="",GIRDI!B12=0),0,(ayd_netDefter+ayd_fark)/GIRDI!B12),0))</f>
        <v/>
      </c>
      <c r="D538" s="31">
        <f>IF($B538="","",IFERROR($C538-$B538,0))</f>
        <v/>
      </c>
      <c r="E538" s="31">
        <f>IF($B538="","",IFERROR($A538*$B538,0))</f>
        <v/>
      </c>
      <c r="F538" s="31">
        <f>IF($C538="","",IFERROR($A538*$C538,0))</f>
        <v/>
      </c>
      <c r="G538" s="31">
        <f>IF($B538="","",IFERROR(MAX(0,ayd_netDefter-$E538),0))</f>
        <v/>
      </c>
      <c r="H538" s="31">
        <f>IF($C538="","",IFERROR(MAX(0,ayd_netDefter+ayd_fark-$F538),0))</f>
        <v/>
      </c>
      <c r="I538" s="31">
        <f>IF($A538="","",IF($A538&gt;IFERROR(GIRDI!B12,0),"DIŞI","AKTİF"))</f>
        <v/>
      </c>
    </row>
    <row r="539">
      <c r="B539" s="31">
        <f>IF(OR($A539="",$A539&gt;IFERROR(GIRDI!B12,0)),"",IFERROR(IF(OR(GIRDI!B12="",GIRDI!B12=0),0,ayd_netDefter/GIRDI!B12),0))</f>
        <v/>
      </c>
      <c r="C539" s="31">
        <f>IF(OR($A539="",$A539&gt;IFERROR(GIRDI!B12,0)),"",IFERROR(IF(OR(GIRDI!B12="",GIRDI!B12=0),0,(ayd_netDefter+ayd_fark)/GIRDI!B12),0))</f>
        <v/>
      </c>
      <c r="D539" s="31">
        <f>IF($B539="","",IFERROR($C539-$B539,0))</f>
        <v/>
      </c>
      <c r="E539" s="31">
        <f>IF($B539="","",IFERROR($A539*$B539,0))</f>
        <v/>
      </c>
      <c r="F539" s="31">
        <f>IF($C539="","",IFERROR($A539*$C539,0))</f>
        <v/>
      </c>
      <c r="G539" s="31">
        <f>IF($B539="","",IFERROR(MAX(0,ayd_netDefter-$E539),0))</f>
        <v/>
      </c>
      <c r="H539" s="31">
        <f>IF($C539="","",IFERROR(MAX(0,ayd_netDefter+ayd_fark-$F539),0))</f>
        <v/>
      </c>
      <c r="I539" s="31">
        <f>IF($A539="","",IF($A539&gt;IFERROR(GIRDI!B12,0),"DIŞI","AKTİF"))</f>
        <v/>
      </c>
    </row>
    <row r="540">
      <c r="B540" s="31">
        <f>IF(OR($A540="",$A540&gt;IFERROR(GIRDI!B12,0)),"",IFERROR(IF(OR(GIRDI!B12="",GIRDI!B12=0),0,ayd_netDefter/GIRDI!B12),0))</f>
        <v/>
      </c>
      <c r="C540" s="31">
        <f>IF(OR($A540="",$A540&gt;IFERROR(GIRDI!B12,0)),"",IFERROR(IF(OR(GIRDI!B12="",GIRDI!B12=0),0,(ayd_netDefter+ayd_fark)/GIRDI!B12),0))</f>
        <v/>
      </c>
      <c r="D540" s="31">
        <f>IF($B540="","",IFERROR($C540-$B540,0))</f>
        <v/>
      </c>
      <c r="E540" s="31">
        <f>IF($B540="","",IFERROR($A540*$B540,0))</f>
        <v/>
      </c>
      <c r="F540" s="31">
        <f>IF($C540="","",IFERROR($A540*$C540,0))</f>
        <v/>
      </c>
      <c r="G540" s="31">
        <f>IF($B540="","",IFERROR(MAX(0,ayd_netDefter-$E540),0))</f>
        <v/>
      </c>
      <c r="H540" s="31">
        <f>IF($C540="","",IFERROR(MAX(0,ayd_netDefter+ayd_fark-$F540),0))</f>
        <v/>
      </c>
      <c r="I540" s="31">
        <f>IF($A540="","",IF($A540&gt;IFERROR(GIRDI!B12,0),"DIŞI","AKTİF"))</f>
        <v/>
      </c>
    </row>
    <row r="541">
      <c r="B541" s="31">
        <f>IF(OR($A541="",$A541&gt;IFERROR(GIRDI!B12,0)),"",IFERROR(IF(OR(GIRDI!B12="",GIRDI!B12=0),0,ayd_netDefter/GIRDI!B12),0))</f>
        <v/>
      </c>
      <c r="C541" s="31">
        <f>IF(OR($A541="",$A541&gt;IFERROR(GIRDI!B12,0)),"",IFERROR(IF(OR(GIRDI!B12="",GIRDI!B12=0),0,(ayd_netDefter+ayd_fark)/GIRDI!B12),0))</f>
        <v/>
      </c>
      <c r="D541" s="31">
        <f>IF($B541="","",IFERROR($C541-$B541,0))</f>
        <v/>
      </c>
      <c r="E541" s="31">
        <f>IF($B541="","",IFERROR($A541*$B541,0))</f>
        <v/>
      </c>
      <c r="F541" s="31">
        <f>IF($C541="","",IFERROR($A541*$C541,0))</f>
        <v/>
      </c>
      <c r="G541" s="31">
        <f>IF($B541="","",IFERROR(MAX(0,ayd_netDefter-$E541),0))</f>
        <v/>
      </c>
      <c r="H541" s="31">
        <f>IF($C541="","",IFERROR(MAX(0,ayd_netDefter+ayd_fark-$F541),0))</f>
        <v/>
      </c>
      <c r="I541" s="31">
        <f>IF($A541="","",IF($A541&gt;IFERROR(GIRDI!B12,0),"DIŞI","AKTİF"))</f>
        <v/>
      </c>
    </row>
    <row r="542">
      <c r="B542" s="31">
        <f>IF(OR($A542="",$A542&gt;IFERROR(GIRDI!B12,0)),"",IFERROR(IF(OR(GIRDI!B12="",GIRDI!B12=0),0,ayd_netDefter/GIRDI!B12),0))</f>
        <v/>
      </c>
      <c r="C542" s="31">
        <f>IF(OR($A542="",$A542&gt;IFERROR(GIRDI!B12,0)),"",IFERROR(IF(OR(GIRDI!B12="",GIRDI!B12=0),0,(ayd_netDefter+ayd_fark)/GIRDI!B12),0))</f>
        <v/>
      </c>
      <c r="D542" s="31">
        <f>IF($B542="","",IFERROR($C542-$B542,0))</f>
        <v/>
      </c>
      <c r="E542" s="31">
        <f>IF($B542="","",IFERROR($A542*$B542,0))</f>
        <v/>
      </c>
      <c r="F542" s="31">
        <f>IF($C542="","",IFERROR($A542*$C542,0))</f>
        <v/>
      </c>
      <c r="G542" s="31">
        <f>IF($B542="","",IFERROR(MAX(0,ayd_netDefter-$E542),0))</f>
        <v/>
      </c>
      <c r="H542" s="31">
        <f>IF($C542="","",IFERROR(MAX(0,ayd_netDefter+ayd_fark-$F542),0))</f>
        <v/>
      </c>
      <c r="I542" s="31">
        <f>IF($A542="","",IF($A542&gt;IFERROR(GIRDI!B12,0),"DIŞI","AKTİF"))</f>
        <v/>
      </c>
    </row>
    <row r="543">
      <c r="B543" s="31">
        <f>IF(OR($A543="",$A543&gt;IFERROR(GIRDI!B12,0)),"",IFERROR(IF(OR(GIRDI!B12="",GIRDI!B12=0),0,ayd_netDefter/GIRDI!B12),0))</f>
        <v/>
      </c>
      <c r="C543" s="31">
        <f>IF(OR($A543="",$A543&gt;IFERROR(GIRDI!B12,0)),"",IFERROR(IF(OR(GIRDI!B12="",GIRDI!B12=0),0,(ayd_netDefter+ayd_fark)/GIRDI!B12),0))</f>
        <v/>
      </c>
      <c r="D543" s="31">
        <f>IF($B543="","",IFERROR($C543-$B543,0))</f>
        <v/>
      </c>
      <c r="E543" s="31">
        <f>IF($B543="","",IFERROR($A543*$B543,0))</f>
        <v/>
      </c>
      <c r="F543" s="31">
        <f>IF($C543="","",IFERROR($A543*$C543,0))</f>
        <v/>
      </c>
      <c r="G543" s="31">
        <f>IF($B543="","",IFERROR(MAX(0,ayd_netDefter-$E543),0))</f>
        <v/>
      </c>
      <c r="H543" s="31">
        <f>IF($C543="","",IFERROR(MAX(0,ayd_netDefter+ayd_fark-$F543),0))</f>
        <v/>
      </c>
      <c r="I543" s="31">
        <f>IF($A543="","",IF($A543&gt;IFERROR(GIRDI!B12,0),"DIŞI","AKTİF"))</f>
        <v/>
      </c>
    </row>
    <row r="544">
      <c r="B544" s="31">
        <f>IF(OR($A544="",$A544&gt;IFERROR(GIRDI!B12,0)),"",IFERROR(IF(OR(GIRDI!B12="",GIRDI!B12=0),0,ayd_netDefter/GIRDI!B12),0))</f>
        <v/>
      </c>
      <c r="C544" s="31">
        <f>IF(OR($A544="",$A544&gt;IFERROR(GIRDI!B12,0)),"",IFERROR(IF(OR(GIRDI!B12="",GIRDI!B12=0),0,(ayd_netDefter+ayd_fark)/GIRDI!B12),0))</f>
        <v/>
      </c>
      <c r="D544" s="31">
        <f>IF($B544="","",IFERROR($C544-$B544,0))</f>
        <v/>
      </c>
      <c r="E544" s="31">
        <f>IF($B544="","",IFERROR($A544*$B544,0))</f>
        <v/>
      </c>
      <c r="F544" s="31">
        <f>IF($C544="","",IFERROR($A544*$C544,0))</f>
        <v/>
      </c>
      <c r="G544" s="31">
        <f>IF($B544="","",IFERROR(MAX(0,ayd_netDefter-$E544),0))</f>
        <v/>
      </c>
      <c r="H544" s="31">
        <f>IF($C544="","",IFERROR(MAX(0,ayd_netDefter+ayd_fark-$F544),0))</f>
        <v/>
      </c>
      <c r="I544" s="31">
        <f>IF($A544="","",IF($A544&gt;IFERROR(GIRDI!B12,0),"DIŞI","AKTİF"))</f>
        <v/>
      </c>
    </row>
    <row r="545">
      <c r="B545" s="31">
        <f>IF(OR($A545="",$A545&gt;IFERROR(GIRDI!B12,0)),"",IFERROR(IF(OR(GIRDI!B12="",GIRDI!B12=0),0,ayd_netDefter/GIRDI!B12),0))</f>
        <v/>
      </c>
      <c r="C545" s="31">
        <f>IF(OR($A545="",$A545&gt;IFERROR(GIRDI!B12,0)),"",IFERROR(IF(OR(GIRDI!B12="",GIRDI!B12=0),0,(ayd_netDefter+ayd_fark)/GIRDI!B12),0))</f>
        <v/>
      </c>
      <c r="D545" s="31">
        <f>IF($B545="","",IFERROR($C545-$B545,0))</f>
        <v/>
      </c>
      <c r="E545" s="31">
        <f>IF($B545="","",IFERROR($A545*$B545,0))</f>
        <v/>
      </c>
      <c r="F545" s="31">
        <f>IF($C545="","",IFERROR($A545*$C545,0))</f>
        <v/>
      </c>
      <c r="G545" s="31">
        <f>IF($B545="","",IFERROR(MAX(0,ayd_netDefter-$E545),0))</f>
        <v/>
      </c>
      <c r="H545" s="31">
        <f>IF($C545="","",IFERROR(MAX(0,ayd_netDefter+ayd_fark-$F545),0))</f>
        <v/>
      </c>
      <c r="I545" s="31">
        <f>IF($A545="","",IF($A545&gt;IFERROR(GIRDI!B12,0),"DIŞI","AKTİF"))</f>
        <v/>
      </c>
    </row>
    <row r="546">
      <c r="B546" s="31">
        <f>IF(OR($A546="",$A546&gt;IFERROR(GIRDI!B12,0)),"",IFERROR(IF(OR(GIRDI!B12="",GIRDI!B12=0),0,ayd_netDefter/GIRDI!B12),0))</f>
        <v/>
      </c>
      <c r="C546" s="31">
        <f>IF(OR($A546="",$A546&gt;IFERROR(GIRDI!B12,0)),"",IFERROR(IF(OR(GIRDI!B12="",GIRDI!B12=0),0,(ayd_netDefter+ayd_fark)/GIRDI!B12),0))</f>
        <v/>
      </c>
      <c r="D546" s="31">
        <f>IF($B546="","",IFERROR($C546-$B546,0))</f>
        <v/>
      </c>
      <c r="E546" s="31">
        <f>IF($B546="","",IFERROR($A546*$B546,0))</f>
        <v/>
      </c>
      <c r="F546" s="31">
        <f>IF($C546="","",IFERROR($A546*$C546,0))</f>
        <v/>
      </c>
      <c r="G546" s="31">
        <f>IF($B546="","",IFERROR(MAX(0,ayd_netDefter-$E546),0))</f>
        <v/>
      </c>
      <c r="H546" s="31">
        <f>IF($C546="","",IFERROR(MAX(0,ayd_netDefter+ayd_fark-$F546),0))</f>
        <v/>
      </c>
      <c r="I546" s="31">
        <f>IF($A546="","",IF($A546&gt;IFERROR(GIRDI!B12,0),"DIŞI","AKTİF"))</f>
        <v/>
      </c>
    </row>
    <row r="547">
      <c r="B547" s="31">
        <f>IF(OR($A547="",$A547&gt;IFERROR(GIRDI!B12,0)),"",IFERROR(IF(OR(GIRDI!B12="",GIRDI!B12=0),0,ayd_netDefter/GIRDI!B12),0))</f>
        <v/>
      </c>
      <c r="C547" s="31">
        <f>IF(OR($A547="",$A547&gt;IFERROR(GIRDI!B12,0)),"",IFERROR(IF(OR(GIRDI!B12="",GIRDI!B12=0),0,(ayd_netDefter+ayd_fark)/GIRDI!B12),0))</f>
        <v/>
      </c>
      <c r="D547" s="31">
        <f>IF($B547="","",IFERROR($C547-$B547,0))</f>
        <v/>
      </c>
      <c r="E547" s="31">
        <f>IF($B547="","",IFERROR($A547*$B547,0))</f>
        <v/>
      </c>
      <c r="F547" s="31">
        <f>IF($C547="","",IFERROR($A547*$C547,0))</f>
        <v/>
      </c>
      <c r="G547" s="31">
        <f>IF($B547="","",IFERROR(MAX(0,ayd_netDefter-$E547),0))</f>
        <v/>
      </c>
      <c r="H547" s="31">
        <f>IF($C547="","",IFERROR(MAX(0,ayd_netDefter+ayd_fark-$F547),0))</f>
        <v/>
      </c>
      <c r="I547" s="31">
        <f>IF($A547="","",IF($A547&gt;IFERROR(GIRDI!B12,0),"DIŞI","AKTİF"))</f>
        <v/>
      </c>
    </row>
    <row r="548">
      <c r="B548" s="31">
        <f>IF(OR($A548="",$A548&gt;IFERROR(GIRDI!B12,0)),"",IFERROR(IF(OR(GIRDI!B12="",GIRDI!B12=0),0,ayd_netDefter/GIRDI!B12),0))</f>
        <v/>
      </c>
      <c r="C548" s="31">
        <f>IF(OR($A548="",$A548&gt;IFERROR(GIRDI!B12,0)),"",IFERROR(IF(OR(GIRDI!B12="",GIRDI!B12=0),0,(ayd_netDefter+ayd_fark)/GIRDI!B12),0))</f>
        <v/>
      </c>
      <c r="D548" s="31">
        <f>IF($B548="","",IFERROR($C548-$B548,0))</f>
        <v/>
      </c>
      <c r="E548" s="31">
        <f>IF($B548="","",IFERROR($A548*$B548,0))</f>
        <v/>
      </c>
      <c r="F548" s="31">
        <f>IF($C548="","",IFERROR($A548*$C548,0))</f>
        <v/>
      </c>
      <c r="G548" s="31">
        <f>IF($B548="","",IFERROR(MAX(0,ayd_netDefter-$E548),0))</f>
        <v/>
      </c>
      <c r="H548" s="31">
        <f>IF($C548="","",IFERROR(MAX(0,ayd_netDefter+ayd_fark-$F548),0))</f>
        <v/>
      </c>
      <c r="I548" s="31">
        <f>IF($A548="","",IF($A548&gt;IFERROR(GIRDI!B12,0),"DIŞI","AKTİF"))</f>
        <v/>
      </c>
    </row>
    <row r="549">
      <c r="B549" s="31">
        <f>IF(OR($A549="",$A549&gt;IFERROR(GIRDI!B12,0)),"",IFERROR(IF(OR(GIRDI!B12="",GIRDI!B12=0),0,ayd_netDefter/GIRDI!B12),0))</f>
        <v/>
      </c>
      <c r="C549" s="31">
        <f>IF(OR($A549="",$A549&gt;IFERROR(GIRDI!B12,0)),"",IFERROR(IF(OR(GIRDI!B12="",GIRDI!B12=0),0,(ayd_netDefter+ayd_fark)/GIRDI!B12),0))</f>
        <v/>
      </c>
      <c r="D549" s="31">
        <f>IF($B549="","",IFERROR($C549-$B549,0))</f>
        <v/>
      </c>
      <c r="E549" s="31">
        <f>IF($B549="","",IFERROR($A549*$B549,0))</f>
        <v/>
      </c>
      <c r="F549" s="31">
        <f>IF($C549="","",IFERROR($A549*$C549,0))</f>
        <v/>
      </c>
      <c r="G549" s="31">
        <f>IF($B549="","",IFERROR(MAX(0,ayd_netDefter-$E549),0))</f>
        <v/>
      </c>
      <c r="H549" s="31">
        <f>IF($C549="","",IFERROR(MAX(0,ayd_netDefter+ayd_fark-$F549),0))</f>
        <v/>
      </c>
      <c r="I549" s="31">
        <f>IF($A549="","",IF($A549&gt;IFERROR(GIRDI!B12,0),"DIŞI","AKTİF"))</f>
        <v/>
      </c>
    </row>
    <row r="550">
      <c r="B550" s="31">
        <f>IF(OR($A550="",$A550&gt;IFERROR(GIRDI!B12,0)),"",IFERROR(IF(OR(GIRDI!B12="",GIRDI!B12=0),0,ayd_netDefter/GIRDI!B12),0))</f>
        <v/>
      </c>
      <c r="C550" s="31">
        <f>IF(OR($A550="",$A550&gt;IFERROR(GIRDI!B12,0)),"",IFERROR(IF(OR(GIRDI!B12="",GIRDI!B12=0),0,(ayd_netDefter+ayd_fark)/GIRDI!B12),0))</f>
        <v/>
      </c>
      <c r="D550" s="31">
        <f>IF($B550="","",IFERROR($C550-$B550,0))</f>
        <v/>
      </c>
      <c r="E550" s="31">
        <f>IF($B550="","",IFERROR($A550*$B550,0))</f>
        <v/>
      </c>
      <c r="F550" s="31">
        <f>IF($C550="","",IFERROR($A550*$C550,0))</f>
        <v/>
      </c>
      <c r="G550" s="31">
        <f>IF($B550="","",IFERROR(MAX(0,ayd_netDefter-$E550),0))</f>
        <v/>
      </c>
      <c r="H550" s="31">
        <f>IF($C550="","",IFERROR(MAX(0,ayd_netDefter+ayd_fark-$F550),0))</f>
        <v/>
      </c>
      <c r="I550" s="31">
        <f>IF($A550="","",IF($A550&gt;IFERROR(GIRDI!B12,0),"DIŞI","AKTİF"))</f>
        <v/>
      </c>
    </row>
    <row r="551">
      <c r="B551" s="31">
        <f>IF(OR($A551="",$A551&gt;IFERROR(GIRDI!B12,0)),"",IFERROR(IF(OR(GIRDI!B12="",GIRDI!B12=0),0,ayd_netDefter/GIRDI!B12),0))</f>
        <v/>
      </c>
      <c r="C551" s="31">
        <f>IF(OR($A551="",$A551&gt;IFERROR(GIRDI!B12,0)),"",IFERROR(IF(OR(GIRDI!B12="",GIRDI!B12=0),0,(ayd_netDefter+ayd_fark)/GIRDI!B12),0))</f>
        <v/>
      </c>
      <c r="D551" s="31">
        <f>IF($B551="","",IFERROR($C551-$B551,0))</f>
        <v/>
      </c>
      <c r="E551" s="31">
        <f>IF($B551="","",IFERROR($A551*$B551,0))</f>
        <v/>
      </c>
      <c r="F551" s="31">
        <f>IF($C551="","",IFERROR($A551*$C551,0))</f>
        <v/>
      </c>
      <c r="G551" s="31">
        <f>IF($B551="","",IFERROR(MAX(0,ayd_netDefter-$E551),0))</f>
        <v/>
      </c>
      <c r="H551" s="31">
        <f>IF($C551="","",IFERROR(MAX(0,ayd_netDefter+ayd_fark-$F551),0))</f>
        <v/>
      </c>
      <c r="I551" s="31">
        <f>IF($A551="","",IF($A551&gt;IFERROR(GIRDI!B12,0),"DIŞI","AKTİF"))</f>
        <v/>
      </c>
    </row>
    <row r="552">
      <c r="B552" s="31">
        <f>IF(OR($A552="",$A552&gt;IFERROR(GIRDI!B12,0)),"",IFERROR(IF(OR(GIRDI!B12="",GIRDI!B12=0),0,ayd_netDefter/GIRDI!B12),0))</f>
        <v/>
      </c>
      <c r="C552" s="31">
        <f>IF(OR($A552="",$A552&gt;IFERROR(GIRDI!B12,0)),"",IFERROR(IF(OR(GIRDI!B12="",GIRDI!B12=0),0,(ayd_netDefter+ayd_fark)/GIRDI!B12),0))</f>
        <v/>
      </c>
      <c r="D552" s="31">
        <f>IF($B552="","",IFERROR($C552-$B552,0))</f>
        <v/>
      </c>
      <c r="E552" s="31">
        <f>IF($B552="","",IFERROR($A552*$B552,0))</f>
        <v/>
      </c>
      <c r="F552" s="31">
        <f>IF($C552="","",IFERROR($A552*$C552,0))</f>
        <v/>
      </c>
      <c r="G552" s="31">
        <f>IF($B552="","",IFERROR(MAX(0,ayd_netDefter-$E552),0))</f>
        <v/>
      </c>
      <c r="H552" s="31">
        <f>IF($C552="","",IFERROR(MAX(0,ayd_netDefter+ayd_fark-$F552),0))</f>
        <v/>
      </c>
      <c r="I552" s="31">
        <f>IF($A552="","",IF($A552&gt;IFERROR(GIRDI!B12,0),"DIŞI","AKTİF"))</f>
        <v/>
      </c>
    </row>
    <row r="553">
      <c r="B553" s="31">
        <f>IF(OR($A553="",$A553&gt;IFERROR(GIRDI!B12,0)),"",IFERROR(IF(OR(GIRDI!B12="",GIRDI!B12=0),0,ayd_netDefter/GIRDI!B12),0))</f>
        <v/>
      </c>
      <c r="C553" s="31">
        <f>IF(OR($A553="",$A553&gt;IFERROR(GIRDI!B12,0)),"",IFERROR(IF(OR(GIRDI!B12="",GIRDI!B12=0),0,(ayd_netDefter+ayd_fark)/GIRDI!B12),0))</f>
        <v/>
      </c>
      <c r="D553" s="31">
        <f>IF($B553="","",IFERROR($C553-$B553,0))</f>
        <v/>
      </c>
      <c r="E553" s="31">
        <f>IF($B553="","",IFERROR($A553*$B553,0))</f>
        <v/>
      </c>
      <c r="F553" s="31">
        <f>IF($C553="","",IFERROR($A553*$C553,0))</f>
        <v/>
      </c>
      <c r="G553" s="31">
        <f>IF($B553="","",IFERROR(MAX(0,ayd_netDefter-$E553),0))</f>
        <v/>
      </c>
      <c r="H553" s="31">
        <f>IF($C553="","",IFERROR(MAX(0,ayd_netDefter+ayd_fark-$F553),0))</f>
        <v/>
      </c>
      <c r="I553" s="31">
        <f>IF($A553="","",IF($A553&gt;IFERROR(GIRDI!B12,0),"DIŞI","AKTİF"))</f>
        <v/>
      </c>
    </row>
    <row r="554">
      <c r="B554" s="31">
        <f>IF(OR($A554="",$A554&gt;IFERROR(GIRDI!B12,0)),"",IFERROR(IF(OR(GIRDI!B12="",GIRDI!B12=0),0,ayd_netDefter/GIRDI!B12),0))</f>
        <v/>
      </c>
      <c r="C554" s="31">
        <f>IF(OR($A554="",$A554&gt;IFERROR(GIRDI!B12,0)),"",IFERROR(IF(OR(GIRDI!B12="",GIRDI!B12=0),0,(ayd_netDefter+ayd_fark)/GIRDI!B12),0))</f>
        <v/>
      </c>
      <c r="D554" s="31">
        <f>IF($B554="","",IFERROR($C554-$B554,0))</f>
        <v/>
      </c>
      <c r="E554" s="31">
        <f>IF($B554="","",IFERROR($A554*$B554,0))</f>
        <v/>
      </c>
      <c r="F554" s="31">
        <f>IF($C554="","",IFERROR($A554*$C554,0))</f>
        <v/>
      </c>
      <c r="G554" s="31">
        <f>IF($B554="","",IFERROR(MAX(0,ayd_netDefter-$E554),0))</f>
        <v/>
      </c>
      <c r="H554" s="31">
        <f>IF($C554="","",IFERROR(MAX(0,ayd_netDefter+ayd_fark-$F554),0))</f>
        <v/>
      </c>
      <c r="I554" s="31">
        <f>IF($A554="","",IF($A554&gt;IFERROR(GIRDI!B12,0),"DIŞI","AKTİF"))</f>
        <v/>
      </c>
    </row>
    <row r="555">
      <c r="B555" s="31">
        <f>IF(OR($A555="",$A555&gt;IFERROR(GIRDI!B12,0)),"",IFERROR(IF(OR(GIRDI!B12="",GIRDI!B12=0),0,ayd_netDefter/GIRDI!B12),0))</f>
        <v/>
      </c>
      <c r="C555" s="31">
        <f>IF(OR($A555="",$A555&gt;IFERROR(GIRDI!B12,0)),"",IFERROR(IF(OR(GIRDI!B12="",GIRDI!B12=0),0,(ayd_netDefter+ayd_fark)/GIRDI!B12),0))</f>
        <v/>
      </c>
      <c r="D555" s="31">
        <f>IF($B555="","",IFERROR($C555-$B555,0))</f>
        <v/>
      </c>
      <c r="E555" s="31">
        <f>IF($B555="","",IFERROR($A555*$B555,0))</f>
        <v/>
      </c>
      <c r="F555" s="31">
        <f>IF($C555="","",IFERROR($A555*$C555,0))</f>
        <v/>
      </c>
      <c r="G555" s="31">
        <f>IF($B555="","",IFERROR(MAX(0,ayd_netDefter-$E555),0))</f>
        <v/>
      </c>
      <c r="H555" s="31">
        <f>IF($C555="","",IFERROR(MAX(0,ayd_netDefter+ayd_fark-$F555),0))</f>
        <v/>
      </c>
      <c r="I555" s="31">
        <f>IF($A555="","",IF($A555&gt;IFERROR(GIRDI!B12,0),"DIŞI","AKTİF"))</f>
        <v/>
      </c>
    </row>
    <row r="556">
      <c r="B556" s="31">
        <f>IF(OR($A556="",$A556&gt;IFERROR(GIRDI!B12,0)),"",IFERROR(IF(OR(GIRDI!B12="",GIRDI!B12=0),0,ayd_netDefter/GIRDI!B12),0))</f>
        <v/>
      </c>
      <c r="C556" s="31">
        <f>IF(OR($A556="",$A556&gt;IFERROR(GIRDI!B12,0)),"",IFERROR(IF(OR(GIRDI!B12="",GIRDI!B12=0),0,(ayd_netDefter+ayd_fark)/GIRDI!B12),0))</f>
        <v/>
      </c>
      <c r="D556" s="31">
        <f>IF($B556="","",IFERROR($C556-$B556,0))</f>
        <v/>
      </c>
      <c r="E556" s="31">
        <f>IF($B556="","",IFERROR($A556*$B556,0))</f>
        <v/>
      </c>
      <c r="F556" s="31">
        <f>IF($C556="","",IFERROR($A556*$C556,0))</f>
        <v/>
      </c>
      <c r="G556" s="31">
        <f>IF($B556="","",IFERROR(MAX(0,ayd_netDefter-$E556),0))</f>
        <v/>
      </c>
      <c r="H556" s="31">
        <f>IF($C556="","",IFERROR(MAX(0,ayd_netDefter+ayd_fark-$F556),0))</f>
        <v/>
      </c>
      <c r="I556" s="31">
        <f>IF($A556="","",IF($A556&gt;IFERROR(GIRDI!B12,0),"DIŞI","AKTİF"))</f>
        <v/>
      </c>
    </row>
    <row r="557">
      <c r="B557" s="31">
        <f>IF(OR($A557="",$A557&gt;IFERROR(GIRDI!B12,0)),"",IFERROR(IF(OR(GIRDI!B12="",GIRDI!B12=0),0,ayd_netDefter/GIRDI!B12),0))</f>
        <v/>
      </c>
      <c r="C557" s="31">
        <f>IF(OR($A557="",$A557&gt;IFERROR(GIRDI!B12,0)),"",IFERROR(IF(OR(GIRDI!B12="",GIRDI!B12=0),0,(ayd_netDefter+ayd_fark)/GIRDI!B12),0))</f>
        <v/>
      </c>
      <c r="D557" s="31">
        <f>IF($B557="","",IFERROR($C557-$B557,0))</f>
        <v/>
      </c>
      <c r="E557" s="31">
        <f>IF($B557="","",IFERROR($A557*$B557,0))</f>
        <v/>
      </c>
      <c r="F557" s="31">
        <f>IF($C557="","",IFERROR($A557*$C557,0))</f>
        <v/>
      </c>
      <c r="G557" s="31">
        <f>IF($B557="","",IFERROR(MAX(0,ayd_netDefter-$E557),0))</f>
        <v/>
      </c>
      <c r="H557" s="31">
        <f>IF($C557="","",IFERROR(MAX(0,ayd_netDefter+ayd_fark-$F557),0))</f>
        <v/>
      </c>
      <c r="I557" s="31">
        <f>IF($A557="","",IF($A557&gt;IFERROR(GIRDI!B12,0),"DIŞI","AKTİF"))</f>
        <v/>
      </c>
    </row>
    <row r="558">
      <c r="B558" s="31">
        <f>IF(OR($A558="",$A558&gt;IFERROR(GIRDI!B12,0)),"",IFERROR(IF(OR(GIRDI!B12="",GIRDI!B12=0),0,ayd_netDefter/GIRDI!B12),0))</f>
        <v/>
      </c>
      <c r="C558" s="31">
        <f>IF(OR($A558="",$A558&gt;IFERROR(GIRDI!B12,0)),"",IFERROR(IF(OR(GIRDI!B12="",GIRDI!B12=0),0,(ayd_netDefter+ayd_fark)/GIRDI!B12),0))</f>
        <v/>
      </c>
      <c r="D558" s="31">
        <f>IF($B558="","",IFERROR($C558-$B558,0))</f>
        <v/>
      </c>
      <c r="E558" s="31">
        <f>IF($B558="","",IFERROR($A558*$B558,0))</f>
        <v/>
      </c>
      <c r="F558" s="31">
        <f>IF($C558="","",IFERROR($A558*$C558,0))</f>
        <v/>
      </c>
      <c r="G558" s="31">
        <f>IF($B558="","",IFERROR(MAX(0,ayd_netDefter-$E558),0))</f>
        <v/>
      </c>
      <c r="H558" s="31">
        <f>IF($C558="","",IFERROR(MAX(0,ayd_netDefter+ayd_fark-$F558),0))</f>
        <v/>
      </c>
      <c r="I558" s="31">
        <f>IF($A558="","",IF($A558&gt;IFERROR(GIRDI!B12,0),"DIŞI","AKTİF"))</f>
        <v/>
      </c>
    </row>
    <row r="559">
      <c r="B559" s="31">
        <f>IF(OR($A559="",$A559&gt;IFERROR(GIRDI!B12,0)),"",IFERROR(IF(OR(GIRDI!B12="",GIRDI!B12=0),0,ayd_netDefter/GIRDI!B12),0))</f>
        <v/>
      </c>
      <c r="C559" s="31">
        <f>IF(OR($A559="",$A559&gt;IFERROR(GIRDI!B12,0)),"",IFERROR(IF(OR(GIRDI!B12="",GIRDI!B12=0),0,(ayd_netDefter+ayd_fark)/GIRDI!B12),0))</f>
        <v/>
      </c>
      <c r="D559" s="31">
        <f>IF($B559="","",IFERROR($C559-$B559,0))</f>
        <v/>
      </c>
      <c r="E559" s="31">
        <f>IF($B559="","",IFERROR($A559*$B559,0))</f>
        <v/>
      </c>
      <c r="F559" s="31">
        <f>IF($C559="","",IFERROR($A559*$C559,0))</f>
        <v/>
      </c>
      <c r="G559" s="31">
        <f>IF($B559="","",IFERROR(MAX(0,ayd_netDefter-$E559),0))</f>
        <v/>
      </c>
      <c r="H559" s="31">
        <f>IF($C559="","",IFERROR(MAX(0,ayd_netDefter+ayd_fark-$F559),0))</f>
        <v/>
      </c>
      <c r="I559" s="31">
        <f>IF($A559="","",IF($A559&gt;IFERROR(GIRDI!B12,0),"DIŞI","AKTİF"))</f>
        <v/>
      </c>
    </row>
    <row r="560">
      <c r="B560" s="31">
        <f>IF(OR($A560="",$A560&gt;IFERROR(GIRDI!B12,0)),"",IFERROR(IF(OR(GIRDI!B12="",GIRDI!B12=0),0,ayd_netDefter/GIRDI!B12),0))</f>
        <v/>
      </c>
      <c r="C560" s="31">
        <f>IF(OR($A560="",$A560&gt;IFERROR(GIRDI!B12,0)),"",IFERROR(IF(OR(GIRDI!B12="",GIRDI!B12=0),0,(ayd_netDefter+ayd_fark)/GIRDI!B12),0))</f>
        <v/>
      </c>
      <c r="D560" s="31">
        <f>IF($B560="","",IFERROR($C560-$B560,0))</f>
        <v/>
      </c>
      <c r="E560" s="31">
        <f>IF($B560="","",IFERROR($A560*$B560,0))</f>
        <v/>
      </c>
      <c r="F560" s="31">
        <f>IF($C560="","",IFERROR($A560*$C560,0))</f>
        <v/>
      </c>
      <c r="G560" s="31">
        <f>IF($B560="","",IFERROR(MAX(0,ayd_netDefter-$E560),0))</f>
        <v/>
      </c>
      <c r="H560" s="31">
        <f>IF($C560="","",IFERROR(MAX(0,ayd_netDefter+ayd_fark-$F560),0))</f>
        <v/>
      </c>
      <c r="I560" s="31">
        <f>IF($A560="","",IF($A560&gt;IFERROR(GIRDI!B12,0),"DIŞI","AKTİF"))</f>
        <v/>
      </c>
    </row>
    <row r="561">
      <c r="B561" s="31">
        <f>IF(OR($A561="",$A561&gt;IFERROR(GIRDI!B12,0)),"",IFERROR(IF(OR(GIRDI!B12="",GIRDI!B12=0),0,ayd_netDefter/GIRDI!B12),0))</f>
        <v/>
      </c>
      <c r="C561" s="31">
        <f>IF(OR($A561="",$A561&gt;IFERROR(GIRDI!B12,0)),"",IFERROR(IF(OR(GIRDI!B12="",GIRDI!B12=0),0,(ayd_netDefter+ayd_fark)/GIRDI!B12),0))</f>
        <v/>
      </c>
      <c r="D561" s="31">
        <f>IF($B561="","",IFERROR($C561-$B561,0))</f>
        <v/>
      </c>
      <c r="E561" s="31">
        <f>IF($B561="","",IFERROR($A561*$B561,0))</f>
        <v/>
      </c>
      <c r="F561" s="31">
        <f>IF($C561="","",IFERROR($A561*$C561,0))</f>
        <v/>
      </c>
      <c r="G561" s="31">
        <f>IF($B561="","",IFERROR(MAX(0,ayd_netDefter-$E561),0))</f>
        <v/>
      </c>
      <c r="H561" s="31">
        <f>IF($C561="","",IFERROR(MAX(0,ayd_netDefter+ayd_fark-$F561),0))</f>
        <v/>
      </c>
      <c r="I561" s="31">
        <f>IF($A561="","",IF($A561&gt;IFERROR(GIRDI!B12,0),"DIŞI","AKTİF"))</f>
        <v/>
      </c>
    </row>
    <row r="562">
      <c r="B562" s="31">
        <f>IF(OR($A562="",$A562&gt;IFERROR(GIRDI!B12,0)),"",IFERROR(IF(OR(GIRDI!B12="",GIRDI!B12=0),0,ayd_netDefter/GIRDI!B12),0))</f>
        <v/>
      </c>
      <c r="C562" s="31">
        <f>IF(OR($A562="",$A562&gt;IFERROR(GIRDI!B12,0)),"",IFERROR(IF(OR(GIRDI!B12="",GIRDI!B12=0),0,(ayd_netDefter+ayd_fark)/GIRDI!B12),0))</f>
        <v/>
      </c>
      <c r="D562" s="31">
        <f>IF($B562="","",IFERROR($C562-$B562,0))</f>
        <v/>
      </c>
      <c r="E562" s="31">
        <f>IF($B562="","",IFERROR($A562*$B562,0))</f>
        <v/>
      </c>
      <c r="F562" s="31">
        <f>IF($C562="","",IFERROR($A562*$C562,0))</f>
        <v/>
      </c>
      <c r="G562" s="31">
        <f>IF($B562="","",IFERROR(MAX(0,ayd_netDefter-$E562),0))</f>
        <v/>
      </c>
      <c r="H562" s="31">
        <f>IF($C562="","",IFERROR(MAX(0,ayd_netDefter+ayd_fark-$F562),0))</f>
        <v/>
      </c>
      <c r="I562" s="31">
        <f>IF($A562="","",IF($A562&gt;IFERROR(GIRDI!B12,0),"DIŞI","AKTİF"))</f>
        <v/>
      </c>
    </row>
    <row r="563">
      <c r="B563" s="31">
        <f>IF(OR($A563="",$A563&gt;IFERROR(GIRDI!B12,0)),"",IFERROR(IF(OR(GIRDI!B12="",GIRDI!B12=0),0,ayd_netDefter/GIRDI!B12),0))</f>
        <v/>
      </c>
      <c r="C563" s="31">
        <f>IF(OR($A563="",$A563&gt;IFERROR(GIRDI!B12,0)),"",IFERROR(IF(OR(GIRDI!B12="",GIRDI!B12=0),0,(ayd_netDefter+ayd_fark)/GIRDI!B12),0))</f>
        <v/>
      </c>
      <c r="D563" s="31">
        <f>IF($B563="","",IFERROR($C563-$B563,0))</f>
        <v/>
      </c>
      <c r="E563" s="31">
        <f>IF($B563="","",IFERROR($A563*$B563,0))</f>
        <v/>
      </c>
      <c r="F563" s="31">
        <f>IF($C563="","",IFERROR($A563*$C563,0))</f>
        <v/>
      </c>
      <c r="G563" s="31">
        <f>IF($B563="","",IFERROR(MAX(0,ayd_netDefter-$E563),0))</f>
        <v/>
      </c>
      <c r="H563" s="31">
        <f>IF($C563="","",IFERROR(MAX(0,ayd_netDefter+ayd_fark-$F563),0))</f>
        <v/>
      </c>
      <c r="I563" s="31">
        <f>IF($A563="","",IF($A563&gt;IFERROR(GIRDI!B12,0),"DIŞI","AKTİF"))</f>
        <v/>
      </c>
    </row>
    <row r="564">
      <c r="B564" s="31">
        <f>IF(OR($A564="",$A564&gt;IFERROR(GIRDI!B12,0)),"",IFERROR(IF(OR(GIRDI!B12="",GIRDI!B12=0),0,ayd_netDefter/GIRDI!B12),0))</f>
        <v/>
      </c>
      <c r="C564" s="31">
        <f>IF(OR($A564="",$A564&gt;IFERROR(GIRDI!B12,0)),"",IFERROR(IF(OR(GIRDI!B12="",GIRDI!B12=0),0,(ayd_netDefter+ayd_fark)/GIRDI!B12),0))</f>
        <v/>
      </c>
      <c r="D564" s="31">
        <f>IF($B564="","",IFERROR($C564-$B564,0))</f>
        <v/>
      </c>
      <c r="E564" s="31">
        <f>IF($B564="","",IFERROR($A564*$B564,0))</f>
        <v/>
      </c>
      <c r="F564" s="31">
        <f>IF($C564="","",IFERROR($A564*$C564,0))</f>
        <v/>
      </c>
      <c r="G564" s="31">
        <f>IF($B564="","",IFERROR(MAX(0,ayd_netDefter-$E564),0))</f>
        <v/>
      </c>
      <c r="H564" s="31">
        <f>IF($C564="","",IFERROR(MAX(0,ayd_netDefter+ayd_fark-$F564),0))</f>
        <v/>
      </c>
      <c r="I564" s="31">
        <f>IF($A564="","",IF($A564&gt;IFERROR(GIRDI!B12,0),"DIŞI","AKTİF"))</f>
        <v/>
      </c>
    </row>
    <row r="565">
      <c r="B565" s="31">
        <f>IF(OR($A565="",$A565&gt;IFERROR(GIRDI!B12,0)),"",IFERROR(IF(OR(GIRDI!B12="",GIRDI!B12=0),0,ayd_netDefter/GIRDI!B12),0))</f>
        <v/>
      </c>
      <c r="C565" s="31">
        <f>IF(OR($A565="",$A565&gt;IFERROR(GIRDI!B12,0)),"",IFERROR(IF(OR(GIRDI!B12="",GIRDI!B12=0),0,(ayd_netDefter+ayd_fark)/GIRDI!B12),0))</f>
        <v/>
      </c>
      <c r="D565" s="31">
        <f>IF($B565="","",IFERROR($C565-$B565,0))</f>
        <v/>
      </c>
      <c r="E565" s="31">
        <f>IF($B565="","",IFERROR($A565*$B565,0))</f>
        <v/>
      </c>
      <c r="F565" s="31">
        <f>IF($C565="","",IFERROR($A565*$C565,0))</f>
        <v/>
      </c>
      <c r="G565" s="31">
        <f>IF($B565="","",IFERROR(MAX(0,ayd_netDefter-$E565),0))</f>
        <v/>
      </c>
      <c r="H565" s="31">
        <f>IF($C565="","",IFERROR(MAX(0,ayd_netDefter+ayd_fark-$F565),0))</f>
        <v/>
      </c>
      <c r="I565" s="31">
        <f>IF($A565="","",IF($A565&gt;IFERROR(GIRDI!B12,0),"DIŞI","AKTİF"))</f>
        <v/>
      </c>
    </row>
    <row r="566">
      <c r="B566" s="31">
        <f>IF(OR($A566="",$A566&gt;IFERROR(GIRDI!B12,0)),"",IFERROR(IF(OR(GIRDI!B12="",GIRDI!B12=0),0,ayd_netDefter/GIRDI!B12),0))</f>
        <v/>
      </c>
      <c r="C566" s="31">
        <f>IF(OR($A566="",$A566&gt;IFERROR(GIRDI!B12,0)),"",IFERROR(IF(OR(GIRDI!B12="",GIRDI!B12=0),0,(ayd_netDefter+ayd_fark)/GIRDI!B12),0))</f>
        <v/>
      </c>
      <c r="D566" s="31">
        <f>IF($B566="","",IFERROR($C566-$B566,0))</f>
        <v/>
      </c>
      <c r="E566" s="31">
        <f>IF($B566="","",IFERROR($A566*$B566,0))</f>
        <v/>
      </c>
      <c r="F566" s="31">
        <f>IF($C566="","",IFERROR($A566*$C566,0))</f>
        <v/>
      </c>
      <c r="G566" s="31">
        <f>IF($B566="","",IFERROR(MAX(0,ayd_netDefter-$E566),0))</f>
        <v/>
      </c>
      <c r="H566" s="31">
        <f>IF($C566="","",IFERROR(MAX(0,ayd_netDefter+ayd_fark-$F566),0))</f>
        <v/>
      </c>
      <c r="I566" s="31">
        <f>IF($A566="","",IF($A566&gt;IFERROR(GIRDI!B12,0),"DIŞI","AKTİF"))</f>
        <v/>
      </c>
    </row>
    <row r="567">
      <c r="B567" s="31">
        <f>IF(OR($A567="",$A567&gt;IFERROR(GIRDI!B12,0)),"",IFERROR(IF(OR(GIRDI!B12="",GIRDI!B12=0),0,ayd_netDefter/GIRDI!B12),0))</f>
        <v/>
      </c>
      <c r="C567" s="31">
        <f>IF(OR($A567="",$A567&gt;IFERROR(GIRDI!B12,0)),"",IFERROR(IF(OR(GIRDI!B12="",GIRDI!B12=0),0,(ayd_netDefter+ayd_fark)/GIRDI!B12),0))</f>
        <v/>
      </c>
      <c r="D567" s="31">
        <f>IF($B567="","",IFERROR($C567-$B567,0))</f>
        <v/>
      </c>
      <c r="E567" s="31">
        <f>IF($B567="","",IFERROR($A567*$B567,0))</f>
        <v/>
      </c>
      <c r="F567" s="31">
        <f>IF($C567="","",IFERROR($A567*$C567,0))</f>
        <v/>
      </c>
      <c r="G567" s="31">
        <f>IF($B567="","",IFERROR(MAX(0,ayd_netDefter-$E567),0))</f>
        <v/>
      </c>
      <c r="H567" s="31">
        <f>IF($C567="","",IFERROR(MAX(0,ayd_netDefter+ayd_fark-$F567),0))</f>
        <v/>
      </c>
      <c r="I567" s="31">
        <f>IF($A567="","",IF($A567&gt;IFERROR(GIRDI!B12,0),"DIŞI","AKTİF"))</f>
        <v/>
      </c>
    </row>
    <row r="568">
      <c r="B568" s="31">
        <f>IF(OR($A568="",$A568&gt;IFERROR(GIRDI!B12,0)),"",IFERROR(IF(OR(GIRDI!B12="",GIRDI!B12=0),0,ayd_netDefter/GIRDI!B12),0))</f>
        <v/>
      </c>
      <c r="C568" s="31">
        <f>IF(OR($A568="",$A568&gt;IFERROR(GIRDI!B12,0)),"",IFERROR(IF(OR(GIRDI!B12="",GIRDI!B12=0),0,(ayd_netDefter+ayd_fark)/GIRDI!B12),0))</f>
        <v/>
      </c>
      <c r="D568" s="31">
        <f>IF($B568="","",IFERROR($C568-$B568,0))</f>
        <v/>
      </c>
      <c r="E568" s="31">
        <f>IF($B568="","",IFERROR($A568*$B568,0))</f>
        <v/>
      </c>
      <c r="F568" s="31">
        <f>IF($C568="","",IFERROR($A568*$C568,0))</f>
        <v/>
      </c>
      <c r="G568" s="31">
        <f>IF($B568="","",IFERROR(MAX(0,ayd_netDefter-$E568),0))</f>
        <v/>
      </c>
      <c r="H568" s="31">
        <f>IF($C568="","",IFERROR(MAX(0,ayd_netDefter+ayd_fark-$F568),0))</f>
        <v/>
      </c>
      <c r="I568" s="31">
        <f>IF($A568="","",IF($A568&gt;IFERROR(GIRDI!B12,0),"DIŞI","AKTİF"))</f>
        <v/>
      </c>
    </row>
    <row r="569">
      <c r="B569" s="31">
        <f>IF(OR($A569="",$A569&gt;IFERROR(GIRDI!B12,0)),"",IFERROR(IF(OR(GIRDI!B12="",GIRDI!B12=0),0,ayd_netDefter/GIRDI!B12),0))</f>
        <v/>
      </c>
      <c r="C569" s="31">
        <f>IF(OR($A569="",$A569&gt;IFERROR(GIRDI!B12,0)),"",IFERROR(IF(OR(GIRDI!B12="",GIRDI!B12=0),0,(ayd_netDefter+ayd_fark)/GIRDI!B12),0))</f>
        <v/>
      </c>
      <c r="D569" s="31">
        <f>IF($B569="","",IFERROR($C569-$B569,0))</f>
        <v/>
      </c>
      <c r="E569" s="31">
        <f>IF($B569="","",IFERROR($A569*$B569,0))</f>
        <v/>
      </c>
      <c r="F569" s="31">
        <f>IF($C569="","",IFERROR($A569*$C569,0))</f>
        <v/>
      </c>
      <c r="G569" s="31">
        <f>IF($B569="","",IFERROR(MAX(0,ayd_netDefter-$E569),0))</f>
        <v/>
      </c>
      <c r="H569" s="31">
        <f>IF($C569="","",IFERROR(MAX(0,ayd_netDefter+ayd_fark-$F569),0))</f>
        <v/>
      </c>
      <c r="I569" s="31">
        <f>IF($A569="","",IF($A569&gt;IFERROR(GIRDI!B12,0),"DIŞI","AKTİF"))</f>
        <v/>
      </c>
    </row>
    <row r="570">
      <c r="B570" s="31">
        <f>IF(OR($A570="",$A570&gt;IFERROR(GIRDI!B12,0)),"",IFERROR(IF(OR(GIRDI!B12="",GIRDI!B12=0),0,ayd_netDefter/GIRDI!B12),0))</f>
        <v/>
      </c>
      <c r="C570" s="31">
        <f>IF(OR($A570="",$A570&gt;IFERROR(GIRDI!B12,0)),"",IFERROR(IF(OR(GIRDI!B12="",GIRDI!B12=0),0,(ayd_netDefter+ayd_fark)/GIRDI!B12),0))</f>
        <v/>
      </c>
      <c r="D570" s="31">
        <f>IF($B570="","",IFERROR($C570-$B570,0))</f>
        <v/>
      </c>
      <c r="E570" s="31">
        <f>IF($B570="","",IFERROR($A570*$B570,0))</f>
        <v/>
      </c>
      <c r="F570" s="31">
        <f>IF($C570="","",IFERROR($A570*$C570,0))</f>
        <v/>
      </c>
      <c r="G570" s="31">
        <f>IF($B570="","",IFERROR(MAX(0,ayd_netDefter-$E570),0))</f>
        <v/>
      </c>
      <c r="H570" s="31">
        <f>IF($C570="","",IFERROR(MAX(0,ayd_netDefter+ayd_fark-$F570),0))</f>
        <v/>
      </c>
      <c r="I570" s="31">
        <f>IF($A570="","",IF($A570&gt;IFERROR(GIRDI!B12,0),"DIŞI","AKTİF"))</f>
        <v/>
      </c>
    </row>
    <row r="571">
      <c r="B571" s="31">
        <f>IF(OR($A571="",$A571&gt;IFERROR(GIRDI!B12,0)),"",IFERROR(IF(OR(GIRDI!B12="",GIRDI!B12=0),0,ayd_netDefter/GIRDI!B12),0))</f>
        <v/>
      </c>
      <c r="C571" s="31">
        <f>IF(OR($A571="",$A571&gt;IFERROR(GIRDI!B12,0)),"",IFERROR(IF(OR(GIRDI!B12="",GIRDI!B12=0),0,(ayd_netDefter+ayd_fark)/GIRDI!B12),0))</f>
        <v/>
      </c>
      <c r="D571" s="31">
        <f>IF($B571="","",IFERROR($C571-$B571,0))</f>
        <v/>
      </c>
      <c r="E571" s="31">
        <f>IF($B571="","",IFERROR($A571*$B571,0))</f>
        <v/>
      </c>
      <c r="F571" s="31">
        <f>IF($C571="","",IFERROR($A571*$C571,0))</f>
        <v/>
      </c>
      <c r="G571" s="31">
        <f>IF($B571="","",IFERROR(MAX(0,ayd_netDefter-$E571),0))</f>
        <v/>
      </c>
      <c r="H571" s="31">
        <f>IF($C571="","",IFERROR(MAX(0,ayd_netDefter+ayd_fark-$F571),0))</f>
        <v/>
      </c>
      <c r="I571" s="31">
        <f>IF($A571="","",IF($A571&gt;IFERROR(GIRDI!B12,0),"DIŞI","AKTİF"))</f>
        <v/>
      </c>
    </row>
    <row r="572">
      <c r="B572" s="31">
        <f>IF(OR($A572="",$A572&gt;IFERROR(GIRDI!B12,0)),"",IFERROR(IF(OR(GIRDI!B12="",GIRDI!B12=0),0,ayd_netDefter/GIRDI!B12),0))</f>
        <v/>
      </c>
      <c r="C572" s="31">
        <f>IF(OR($A572="",$A572&gt;IFERROR(GIRDI!B12,0)),"",IFERROR(IF(OR(GIRDI!B12="",GIRDI!B12=0),0,(ayd_netDefter+ayd_fark)/GIRDI!B12),0))</f>
        <v/>
      </c>
      <c r="D572" s="31">
        <f>IF($B572="","",IFERROR($C572-$B572,0))</f>
        <v/>
      </c>
      <c r="E572" s="31">
        <f>IF($B572="","",IFERROR($A572*$B572,0))</f>
        <v/>
      </c>
      <c r="F572" s="31">
        <f>IF($C572="","",IFERROR($A572*$C572,0))</f>
        <v/>
      </c>
      <c r="G572" s="31">
        <f>IF($B572="","",IFERROR(MAX(0,ayd_netDefter-$E572),0))</f>
        <v/>
      </c>
      <c r="H572" s="31">
        <f>IF($C572="","",IFERROR(MAX(0,ayd_netDefter+ayd_fark-$F572),0))</f>
        <v/>
      </c>
      <c r="I572" s="31">
        <f>IF($A572="","",IF($A572&gt;IFERROR(GIRDI!B12,0),"DIŞI","AKTİF"))</f>
        <v/>
      </c>
    </row>
    <row r="573">
      <c r="B573" s="31">
        <f>IF(OR($A573="",$A573&gt;IFERROR(GIRDI!B12,0)),"",IFERROR(IF(OR(GIRDI!B12="",GIRDI!B12=0),0,ayd_netDefter/GIRDI!B12),0))</f>
        <v/>
      </c>
      <c r="C573" s="31">
        <f>IF(OR($A573="",$A573&gt;IFERROR(GIRDI!B12,0)),"",IFERROR(IF(OR(GIRDI!B12="",GIRDI!B12=0),0,(ayd_netDefter+ayd_fark)/GIRDI!B12),0))</f>
        <v/>
      </c>
      <c r="D573" s="31">
        <f>IF($B573="","",IFERROR($C573-$B573,0))</f>
        <v/>
      </c>
      <c r="E573" s="31">
        <f>IF($B573="","",IFERROR($A573*$B573,0))</f>
        <v/>
      </c>
      <c r="F573" s="31">
        <f>IF($C573="","",IFERROR($A573*$C573,0))</f>
        <v/>
      </c>
      <c r="G573" s="31">
        <f>IF($B573="","",IFERROR(MAX(0,ayd_netDefter-$E573),0))</f>
        <v/>
      </c>
      <c r="H573" s="31">
        <f>IF($C573="","",IFERROR(MAX(0,ayd_netDefter+ayd_fark-$F573),0))</f>
        <v/>
      </c>
      <c r="I573" s="31">
        <f>IF($A573="","",IF($A573&gt;IFERROR(GIRDI!B12,0),"DIŞI","AKTİF"))</f>
        <v/>
      </c>
    </row>
    <row r="574">
      <c r="B574" s="31">
        <f>IF(OR($A574="",$A574&gt;IFERROR(GIRDI!B12,0)),"",IFERROR(IF(OR(GIRDI!B12="",GIRDI!B12=0),0,ayd_netDefter/GIRDI!B12),0))</f>
        <v/>
      </c>
      <c r="C574" s="31">
        <f>IF(OR($A574="",$A574&gt;IFERROR(GIRDI!B12,0)),"",IFERROR(IF(OR(GIRDI!B12="",GIRDI!B12=0),0,(ayd_netDefter+ayd_fark)/GIRDI!B12),0))</f>
        <v/>
      </c>
      <c r="D574" s="31">
        <f>IF($B574="","",IFERROR($C574-$B574,0))</f>
        <v/>
      </c>
      <c r="E574" s="31">
        <f>IF($B574="","",IFERROR($A574*$B574,0))</f>
        <v/>
      </c>
      <c r="F574" s="31">
        <f>IF($C574="","",IFERROR($A574*$C574,0))</f>
        <v/>
      </c>
      <c r="G574" s="31">
        <f>IF($B574="","",IFERROR(MAX(0,ayd_netDefter-$E574),0))</f>
        <v/>
      </c>
      <c r="H574" s="31">
        <f>IF($C574="","",IFERROR(MAX(0,ayd_netDefter+ayd_fark-$F574),0))</f>
        <v/>
      </c>
      <c r="I574" s="31">
        <f>IF($A574="","",IF($A574&gt;IFERROR(GIRDI!B12,0),"DIŞI","AKTİF"))</f>
        <v/>
      </c>
    </row>
    <row r="575">
      <c r="B575" s="31">
        <f>IF(OR($A575="",$A575&gt;IFERROR(GIRDI!B12,0)),"",IFERROR(IF(OR(GIRDI!B12="",GIRDI!B12=0),0,ayd_netDefter/GIRDI!B12),0))</f>
        <v/>
      </c>
      <c r="C575" s="31">
        <f>IF(OR($A575="",$A575&gt;IFERROR(GIRDI!B12,0)),"",IFERROR(IF(OR(GIRDI!B12="",GIRDI!B12=0),0,(ayd_netDefter+ayd_fark)/GIRDI!B12),0))</f>
        <v/>
      </c>
      <c r="D575" s="31">
        <f>IF($B575="","",IFERROR($C575-$B575,0))</f>
        <v/>
      </c>
      <c r="E575" s="31">
        <f>IF($B575="","",IFERROR($A575*$B575,0))</f>
        <v/>
      </c>
      <c r="F575" s="31">
        <f>IF($C575="","",IFERROR($A575*$C575,0))</f>
        <v/>
      </c>
      <c r="G575" s="31">
        <f>IF($B575="","",IFERROR(MAX(0,ayd_netDefter-$E575),0))</f>
        <v/>
      </c>
      <c r="H575" s="31">
        <f>IF($C575="","",IFERROR(MAX(0,ayd_netDefter+ayd_fark-$F575),0))</f>
        <v/>
      </c>
      <c r="I575" s="31">
        <f>IF($A575="","",IF($A575&gt;IFERROR(GIRDI!B12,0),"DIŞI","AKTİF"))</f>
        <v/>
      </c>
    </row>
    <row r="576">
      <c r="B576" s="31">
        <f>IF(OR($A576="",$A576&gt;IFERROR(GIRDI!B12,0)),"",IFERROR(IF(OR(GIRDI!B12="",GIRDI!B12=0),0,ayd_netDefter/GIRDI!B12),0))</f>
        <v/>
      </c>
      <c r="C576" s="31">
        <f>IF(OR($A576="",$A576&gt;IFERROR(GIRDI!B12,0)),"",IFERROR(IF(OR(GIRDI!B12="",GIRDI!B12=0),0,(ayd_netDefter+ayd_fark)/GIRDI!B12),0))</f>
        <v/>
      </c>
      <c r="D576" s="31">
        <f>IF($B576="","",IFERROR($C576-$B576,0))</f>
        <v/>
      </c>
      <c r="E576" s="31">
        <f>IF($B576="","",IFERROR($A576*$B576,0))</f>
        <v/>
      </c>
      <c r="F576" s="31">
        <f>IF($C576="","",IFERROR($A576*$C576,0))</f>
        <v/>
      </c>
      <c r="G576" s="31">
        <f>IF($B576="","",IFERROR(MAX(0,ayd_netDefter-$E576),0))</f>
        <v/>
      </c>
      <c r="H576" s="31">
        <f>IF($C576="","",IFERROR(MAX(0,ayd_netDefter+ayd_fark-$F576),0))</f>
        <v/>
      </c>
      <c r="I576" s="31">
        <f>IF($A576="","",IF($A576&gt;IFERROR(GIRDI!B12,0),"DIŞI","AKTİF"))</f>
        <v/>
      </c>
    </row>
    <row r="577">
      <c r="B577" s="31">
        <f>IF(OR($A577="",$A577&gt;IFERROR(GIRDI!B12,0)),"",IFERROR(IF(OR(GIRDI!B12="",GIRDI!B12=0),0,ayd_netDefter/GIRDI!B12),0))</f>
        <v/>
      </c>
      <c r="C577" s="31">
        <f>IF(OR($A577="",$A577&gt;IFERROR(GIRDI!B12,0)),"",IFERROR(IF(OR(GIRDI!B12="",GIRDI!B12=0),0,(ayd_netDefter+ayd_fark)/GIRDI!B12),0))</f>
        <v/>
      </c>
      <c r="D577" s="31">
        <f>IF($B577="","",IFERROR($C577-$B577,0))</f>
        <v/>
      </c>
      <c r="E577" s="31">
        <f>IF($B577="","",IFERROR($A577*$B577,0))</f>
        <v/>
      </c>
      <c r="F577" s="31">
        <f>IF($C577="","",IFERROR($A577*$C577,0))</f>
        <v/>
      </c>
      <c r="G577" s="31">
        <f>IF($B577="","",IFERROR(MAX(0,ayd_netDefter-$E577),0))</f>
        <v/>
      </c>
      <c r="H577" s="31">
        <f>IF($C577="","",IFERROR(MAX(0,ayd_netDefter+ayd_fark-$F577),0))</f>
        <v/>
      </c>
      <c r="I577" s="31">
        <f>IF($A577="","",IF($A577&gt;IFERROR(GIRDI!B12,0),"DIŞI","AKTİF"))</f>
        <v/>
      </c>
    </row>
    <row r="578">
      <c r="B578" s="31">
        <f>IF(OR($A578="",$A578&gt;IFERROR(GIRDI!B12,0)),"",IFERROR(IF(OR(GIRDI!B12="",GIRDI!B12=0),0,ayd_netDefter/GIRDI!B12),0))</f>
        <v/>
      </c>
      <c r="C578" s="31">
        <f>IF(OR($A578="",$A578&gt;IFERROR(GIRDI!B12,0)),"",IFERROR(IF(OR(GIRDI!B12="",GIRDI!B12=0),0,(ayd_netDefter+ayd_fark)/GIRDI!B12),0))</f>
        <v/>
      </c>
      <c r="D578" s="31">
        <f>IF($B578="","",IFERROR($C578-$B578,0))</f>
        <v/>
      </c>
      <c r="E578" s="31">
        <f>IF($B578="","",IFERROR($A578*$B578,0))</f>
        <v/>
      </c>
      <c r="F578" s="31">
        <f>IF($C578="","",IFERROR($A578*$C578,0))</f>
        <v/>
      </c>
      <c r="G578" s="31">
        <f>IF($B578="","",IFERROR(MAX(0,ayd_netDefter-$E578),0))</f>
        <v/>
      </c>
      <c r="H578" s="31">
        <f>IF($C578="","",IFERROR(MAX(0,ayd_netDefter+ayd_fark-$F578),0))</f>
        <v/>
      </c>
      <c r="I578" s="31">
        <f>IF($A578="","",IF($A578&gt;IFERROR(GIRDI!B12,0),"DIŞI","AKTİF"))</f>
        <v/>
      </c>
    </row>
    <row r="579">
      <c r="B579" s="31">
        <f>IF(OR($A579="",$A579&gt;IFERROR(GIRDI!B12,0)),"",IFERROR(IF(OR(GIRDI!B12="",GIRDI!B12=0),0,ayd_netDefter/GIRDI!B12),0))</f>
        <v/>
      </c>
      <c r="C579" s="31">
        <f>IF(OR($A579="",$A579&gt;IFERROR(GIRDI!B12,0)),"",IFERROR(IF(OR(GIRDI!B12="",GIRDI!B12=0),0,(ayd_netDefter+ayd_fark)/GIRDI!B12),0))</f>
        <v/>
      </c>
      <c r="D579" s="31">
        <f>IF($B579="","",IFERROR($C579-$B579,0))</f>
        <v/>
      </c>
      <c r="E579" s="31">
        <f>IF($B579="","",IFERROR($A579*$B579,0))</f>
        <v/>
      </c>
      <c r="F579" s="31">
        <f>IF($C579="","",IFERROR($A579*$C579,0))</f>
        <v/>
      </c>
      <c r="G579" s="31">
        <f>IF($B579="","",IFERROR(MAX(0,ayd_netDefter-$E579),0))</f>
        <v/>
      </c>
      <c r="H579" s="31">
        <f>IF($C579="","",IFERROR(MAX(0,ayd_netDefter+ayd_fark-$F579),0))</f>
        <v/>
      </c>
      <c r="I579" s="31">
        <f>IF($A579="","",IF($A579&gt;IFERROR(GIRDI!B12,0),"DIŞI","AKTİF"))</f>
        <v/>
      </c>
    </row>
    <row r="580">
      <c r="B580" s="31">
        <f>IF(OR($A580="",$A580&gt;IFERROR(GIRDI!B12,0)),"",IFERROR(IF(OR(GIRDI!B12="",GIRDI!B12=0),0,ayd_netDefter/GIRDI!B12),0))</f>
        <v/>
      </c>
      <c r="C580" s="31">
        <f>IF(OR($A580="",$A580&gt;IFERROR(GIRDI!B12,0)),"",IFERROR(IF(OR(GIRDI!B12="",GIRDI!B12=0),0,(ayd_netDefter+ayd_fark)/GIRDI!B12),0))</f>
        <v/>
      </c>
      <c r="D580" s="31">
        <f>IF($B580="","",IFERROR($C580-$B580,0))</f>
        <v/>
      </c>
      <c r="E580" s="31">
        <f>IF($B580="","",IFERROR($A580*$B580,0))</f>
        <v/>
      </c>
      <c r="F580" s="31">
        <f>IF($C580="","",IFERROR($A580*$C580,0))</f>
        <v/>
      </c>
      <c r="G580" s="31">
        <f>IF($B580="","",IFERROR(MAX(0,ayd_netDefter-$E580),0))</f>
        <v/>
      </c>
      <c r="H580" s="31">
        <f>IF($C580="","",IFERROR(MAX(0,ayd_netDefter+ayd_fark-$F580),0))</f>
        <v/>
      </c>
      <c r="I580" s="31">
        <f>IF($A580="","",IF($A580&gt;IFERROR(GIRDI!B12,0),"DIŞI","AKTİF"))</f>
        <v/>
      </c>
    </row>
    <row r="581">
      <c r="B581" s="31">
        <f>IF(OR($A581="",$A581&gt;IFERROR(GIRDI!B12,0)),"",IFERROR(IF(OR(GIRDI!B12="",GIRDI!B12=0),0,ayd_netDefter/GIRDI!B12),0))</f>
        <v/>
      </c>
      <c r="C581" s="31">
        <f>IF(OR($A581="",$A581&gt;IFERROR(GIRDI!B12,0)),"",IFERROR(IF(OR(GIRDI!B12="",GIRDI!B12=0),0,(ayd_netDefter+ayd_fark)/GIRDI!B12),0))</f>
        <v/>
      </c>
      <c r="D581" s="31">
        <f>IF($B581="","",IFERROR($C581-$B581,0))</f>
        <v/>
      </c>
      <c r="E581" s="31">
        <f>IF($B581="","",IFERROR($A581*$B581,0))</f>
        <v/>
      </c>
      <c r="F581" s="31">
        <f>IF($C581="","",IFERROR($A581*$C581,0))</f>
        <v/>
      </c>
      <c r="G581" s="31">
        <f>IF($B581="","",IFERROR(MAX(0,ayd_netDefter-$E581),0))</f>
        <v/>
      </c>
      <c r="H581" s="31">
        <f>IF($C581="","",IFERROR(MAX(0,ayd_netDefter+ayd_fark-$F581),0))</f>
        <v/>
      </c>
      <c r="I581" s="31">
        <f>IF($A581="","",IF($A581&gt;IFERROR(GIRDI!B12,0),"DIŞI","AKTİF"))</f>
        <v/>
      </c>
    </row>
    <row r="582">
      <c r="B582" s="31">
        <f>IF(OR($A582="",$A582&gt;IFERROR(GIRDI!B12,0)),"",IFERROR(IF(OR(GIRDI!B12="",GIRDI!B12=0),0,ayd_netDefter/GIRDI!B12),0))</f>
        <v/>
      </c>
      <c r="C582" s="31">
        <f>IF(OR($A582="",$A582&gt;IFERROR(GIRDI!B12,0)),"",IFERROR(IF(OR(GIRDI!B12="",GIRDI!B12=0),0,(ayd_netDefter+ayd_fark)/GIRDI!B12),0))</f>
        <v/>
      </c>
      <c r="D582" s="31">
        <f>IF($B582="","",IFERROR($C582-$B582,0))</f>
        <v/>
      </c>
      <c r="E582" s="31">
        <f>IF($B582="","",IFERROR($A582*$B582,0))</f>
        <v/>
      </c>
      <c r="F582" s="31">
        <f>IF($C582="","",IFERROR($A582*$C582,0))</f>
        <v/>
      </c>
      <c r="G582" s="31">
        <f>IF($B582="","",IFERROR(MAX(0,ayd_netDefter-$E582),0))</f>
        <v/>
      </c>
      <c r="H582" s="31">
        <f>IF($C582="","",IFERROR(MAX(0,ayd_netDefter+ayd_fark-$F582),0))</f>
        <v/>
      </c>
      <c r="I582" s="31">
        <f>IF($A582="","",IF($A582&gt;IFERROR(GIRDI!B12,0),"DIŞI","AKTİF"))</f>
        <v/>
      </c>
    </row>
    <row r="583">
      <c r="B583" s="31">
        <f>IF(OR($A583="",$A583&gt;IFERROR(GIRDI!B12,0)),"",IFERROR(IF(OR(GIRDI!B12="",GIRDI!B12=0),0,ayd_netDefter/GIRDI!B12),0))</f>
        <v/>
      </c>
      <c r="C583" s="31">
        <f>IF(OR($A583="",$A583&gt;IFERROR(GIRDI!B12,0)),"",IFERROR(IF(OR(GIRDI!B12="",GIRDI!B12=0),0,(ayd_netDefter+ayd_fark)/GIRDI!B12),0))</f>
        <v/>
      </c>
      <c r="D583" s="31">
        <f>IF($B583="","",IFERROR($C583-$B583,0))</f>
        <v/>
      </c>
      <c r="E583" s="31">
        <f>IF($B583="","",IFERROR($A583*$B583,0))</f>
        <v/>
      </c>
      <c r="F583" s="31">
        <f>IF($C583="","",IFERROR($A583*$C583,0))</f>
        <v/>
      </c>
      <c r="G583" s="31">
        <f>IF($B583="","",IFERROR(MAX(0,ayd_netDefter-$E583),0))</f>
        <v/>
      </c>
      <c r="H583" s="31">
        <f>IF($C583="","",IFERROR(MAX(0,ayd_netDefter+ayd_fark-$F583),0))</f>
        <v/>
      </c>
      <c r="I583" s="31">
        <f>IF($A583="","",IF($A583&gt;IFERROR(GIRDI!B12,0),"DIŞI","AKTİF"))</f>
        <v/>
      </c>
    </row>
    <row r="584">
      <c r="B584" s="31">
        <f>IF(OR($A584="",$A584&gt;IFERROR(GIRDI!B12,0)),"",IFERROR(IF(OR(GIRDI!B12="",GIRDI!B12=0),0,ayd_netDefter/GIRDI!B12),0))</f>
        <v/>
      </c>
      <c r="C584" s="31">
        <f>IF(OR($A584="",$A584&gt;IFERROR(GIRDI!B12,0)),"",IFERROR(IF(OR(GIRDI!B12="",GIRDI!B12=0),0,(ayd_netDefter+ayd_fark)/GIRDI!B12),0))</f>
        <v/>
      </c>
      <c r="D584" s="31">
        <f>IF($B584="","",IFERROR($C584-$B584,0))</f>
        <v/>
      </c>
      <c r="E584" s="31">
        <f>IF($B584="","",IFERROR($A584*$B584,0))</f>
        <v/>
      </c>
      <c r="F584" s="31">
        <f>IF($C584="","",IFERROR($A584*$C584,0))</f>
        <v/>
      </c>
      <c r="G584" s="31">
        <f>IF($B584="","",IFERROR(MAX(0,ayd_netDefter-$E584),0))</f>
        <v/>
      </c>
      <c r="H584" s="31">
        <f>IF($C584="","",IFERROR(MAX(0,ayd_netDefter+ayd_fark-$F584),0))</f>
        <v/>
      </c>
      <c r="I584" s="31">
        <f>IF($A584="","",IF($A584&gt;IFERROR(GIRDI!B12,0),"DIŞI","AKTİF"))</f>
        <v/>
      </c>
    </row>
    <row r="585">
      <c r="B585" s="31">
        <f>IF(OR($A585="",$A585&gt;IFERROR(GIRDI!B12,0)),"",IFERROR(IF(OR(GIRDI!B12="",GIRDI!B12=0),0,ayd_netDefter/GIRDI!B12),0))</f>
        <v/>
      </c>
      <c r="C585" s="31">
        <f>IF(OR($A585="",$A585&gt;IFERROR(GIRDI!B12,0)),"",IFERROR(IF(OR(GIRDI!B12="",GIRDI!B12=0),0,(ayd_netDefter+ayd_fark)/GIRDI!B12),0))</f>
        <v/>
      </c>
      <c r="D585" s="31">
        <f>IF($B585="","",IFERROR($C585-$B585,0))</f>
        <v/>
      </c>
      <c r="E585" s="31">
        <f>IF($B585="","",IFERROR($A585*$B585,0))</f>
        <v/>
      </c>
      <c r="F585" s="31">
        <f>IF($C585="","",IFERROR($A585*$C585,0))</f>
        <v/>
      </c>
      <c r="G585" s="31">
        <f>IF($B585="","",IFERROR(MAX(0,ayd_netDefter-$E585),0))</f>
        <v/>
      </c>
      <c r="H585" s="31">
        <f>IF($C585="","",IFERROR(MAX(0,ayd_netDefter+ayd_fark-$F585),0))</f>
        <v/>
      </c>
      <c r="I585" s="31">
        <f>IF($A585="","",IF($A585&gt;IFERROR(GIRDI!B12,0),"DIŞI","AKTİF"))</f>
        <v/>
      </c>
    </row>
    <row r="586">
      <c r="B586" s="31">
        <f>IF(OR($A586="",$A586&gt;IFERROR(GIRDI!B12,0)),"",IFERROR(IF(OR(GIRDI!B12="",GIRDI!B12=0),0,ayd_netDefter/GIRDI!B12),0))</f>
        <v/>
      </c>
      <c r="C586" s="31">
        <f>IF(OR($A586="",$A586&gt;IFERROR(GIRDI!B12,0)),"",IFERROR(IF(OR(GIRDI!B12="",GIRDI!B12=0),0,(ayd_netDefter+ayd_fark)/GIRDI!B12),0))</f>
        <v/>
      </c>
      <c r="D586" s="31">
        <f>IF($B586="","",IFERROR($C586-$B586,0))</f>
        <v/>
      </c>
      <c r="E586" s="31">
        <f>IF($B586="","",IFERROR($A586*$B586,0))</f>
        <v/>
      </c>
      <c r="F586" s="31">
        <f>IF($C586="","",IFERROR($A586*$C586,0))</f>
        <v/>
      </c>
      <c r="G586" s="31">
        <f>IF($B586="","",IFERROR(MAX(0,ayd_netDefter-$E586),0))</f>
        <v/>
      </c>
      <c r="H586" s="31">
        <f>IF($C586="","",IFERROR(MAX(0,ayd_netDefter+ayd_fark-$F586),0))</f>
        <v/>
      </c>
      <c r="I586" s="31">
        <f>IF($A586="","",IF($A586&gt;IFERROR(GIRDI!B12,0),"DIŞI","AKTİF"))</f>
        <v/>
      </c>
    </row>
    <row r="587">
      <c r="B587" s="31">
        <f>IF(OR($A587="",$A587&gt;IFERROR(GIRDI!B12,0)),"",IFERROR(IF(OR(GIRDI!B12="",GIRDI!B12=0),0,ayd_netDefter/GIRDI!B12),0))</f>
        <v/>
      </c>
      <c r="C587" s="31">
        <f>IF(OR($A587="",$A587&gt;IFERROR(GIRDI!B12,0)),"",IFERROR(IF(OR(GIRDI!B12="",GIRDI!B12=0),0,(ayd_netDefter+ayd_fark)/GIRDI!B12),0))</f>
        <v/>
      </c>
      <c r="D587" s="31">
        <f>IF($B587="","",IFERROR($C587-$B587,0))</f>
        <v/>
      </c>
      <c r="E587" s="31">
        <f>IF($B587="","",IFERROR($A587*$B587,0))</f>
        <v/>
      </c>
      <c r="F587" s="31">
        <f>IF($C587="","",IFERROR($A587*$C587,0))</f>
        <v/>
      </c>
      <c r="G587" s="31">
        <f>IF($B587="","",IFERROR(MAX(0,ayd_netDefter-$E587),0))</f>
        <v/>
      </c>
      <c r="H587" s="31">
        <f>IF($C587="","",IFERROR(MAX(0,ayd_netDefter+ayd_fark-$F587),0))</f>
        <v/>
      </c>
      <c r="I587" s="31">
        <f>IF($A587="","",IF($A587&gt;IFERROR(GIRDI!B12,0),"DIŞI","AKTİF"))</f>
        <v/>
      </c>
    </row>
    <row r="588">
      <c r="B588" s="31">
        <f>IF(OR($A588="",$A588&gt;IFERROR(GIRDI!B12,0)),"",IFERROR(IF(OR(GIRDI!B12="",GIRDI!B12=0),0,ayd_netDefter/GIRDI!B12),0))</f>
        <v/>
      </c>
      <c r="C588" s="31">
        <f>IF(OR($A588="",$A588&gt;IFERROR(GIRDI!B12,0)),"",IFERROR(IF(OR(GIRDI!B12="",GIRDI!B12=0),0,(ayd_netDefter+ayd_fark)/GIRDI!B12),0))</f>
        <v/>
      </c>
      <c r="D588" s="31">
        <f>IF($B588="","",IFERROR($C588-$B588,0))</f>
        <v/>
      </c>
      <c r="E588" s="31">
        <f>IF($B588="","",IFERROR($A588*$B588,0))</f>
        <v/>
      </c>
      <c r="F588" s="31">
        <f>IF($C588="","",IFERROR($A588*$C588,0))</f>
        <v/>
      </c>
      <c r="G588" s="31">
        <f>IF($B588="","",IFERROR(MAX(0,ayd_netDefter-$E588),0))</f>
        <v/>
      </c>
      <c r="H588" s="31">
        <f>IF($C588="","",IFERROR(MAX(0,ayd_netDefter+ayd_fark-$F588),0))</f>
        <v/>
      </c>
      <c r="I588" s="31">
        <f>IF($A588="","",IF($A588&gt;IFERROR(GIRDI!B12,0),"DIŞI","AKTİF"))</f>
        <v/>
      </c>
    </row>
    <row r="589">
      <c r="B589" s="31">
        <f>IF(OR($A589="",$A589&gt;IFERROR(GIRDI!B12,0)),"",IFERROR(IF(OR(GIRDI!B12="",GIRDI!B12=0),0,ayd_netDefter/GIRDI!B12),0))</f>
        <v/>
      </c>
      <c r="C589" s="31">
        <f>IF(OR($A589="",$A589&gt;IFERROR(GIRDI!B12,0)),"",IFERROR(IF(OR(GIRDI!B12="",GIRDI!B12=0),0,(ayd_netDefter+ayd_fark)/GIRDI!B12),0))</f>
        <v/>
      </c>
      <c r="D589" s="31">
        <f>IF($B589="","",IFERROR($C589-$B589,0))</f>
        <v/>
      </c>
      <c r="E589" s="31">
        <f>IF($B589="","",IFERROR($A589*$B589,0))</f>
        <v/>
      </c>
      <c r="F589" s="31">
        <f>IF($C589="","",IFERROR($A589*$C589,0))</f>
        <v/>
      </c>
      <c r="G589" s="31">
        <f>IF($B589="","",IFERROR(MAX(0,ayd_netDefter-$E589),0))</f>
        <v/>
      </c>
      <c r="H589" s="31">
        <f>IF($C589="","",IFERROR(MAX(0,ayd_netDefter+ayd_fark-$F589),0))</f>
        <v/>
      </c>
      <c r="I589" s="31">
        <f>IF($A589="","",IF($A589&gt;IFERROR(GIRDI!B12,0),"DIŞI","AKTİF"))</f>
        <v/>
      </c>
    </row>
    <row r="590">
      <c r="B590" s="31">
        <f>IF(OR($A590="",$A590&gt;IFERROR(GIRDI!B12,0)),"",IFERROR(IF(OR(GIRDI!B12="",GIRDI!B12=0),0,ayd_netDefter/GIRDI!B12),0))</f>
        <v/>
      </c>
      <c r="C590" s="31">
        <f>IF(OR($A590="",$A590&gt;IFERROR(GIRDI!B12,0)),"",IFERROR(IF(OR(GIRDI!B12="",GIRDI!B12=0),0,(ayd_netDefter+ayd_fark)/GIRDI!B12),0))</f>
        <v/>
      </c>
      <c r="D590" s="31">
        <f>IF($B590="","",IFERROR($C590-$B590,0))</f>
        <v/>
      </c>
      <c r="E590" s="31">
        <f>IF($B590="","",IFERROR($A590*$B590,0))</f>
        <v/>
      </c>
      <c r="F590" s="31">
        <f>IF($C590="","",IFERROR($A590*$C590,0))</f>
        <v/>
      </c>
      <c r="G590" s="31">
        <f>IF($B590="","",IFERROR(MAX(0,ayd_netDefter-$E590),0))</f>
        <v/>
      </c>
      <c r="H590" s="31">
        <f>IF($C590="","",IFERROR(MAX(0,ayd_netDefter+ayd_fark-$F590),0))</f>
        <v/>
      </c>
      <c r="I590" s="31">
        <f>IF($A590="","",IF($A590&gt;IFERROR(GIRDI!B12,0),"DIŞI","AKTİF"))</f>
        <v/>
      </c>
    </row>
    <row r="591">
      <c r="B591" s="31">
        <f>IF(OR($A591="",$A591&gt;IFERROR(GIRDI!B12,0)),"",IFERROR(IF(OR(GIRDI!B12="",GIRDI!B12=0),0,ayd_netDefter/GIRDI!B12),0))</f>
        <v/>
      </c>
      <c r="C591" s="31">
        <f>IF(OR($A591="",$A591&gt;IFERROR(GIRDI!B12,0)),"",IFERROR(IF(OR(GIRDI!B12="",GIRDI!B12=0),0,(ayd_netDefter+ayd_fark)/GIRDI!B12),0))</f>
        <v/>
      </c>
      <c r="D591" s="31">
        <f>IF($B591="","",IFERROR($C591-$B591,0))</f>
        <v/>
      </c>
      <c r="E591" s="31">
        <f>IF($B591="","",IFERROR($A591*$B591,0))</f>
        <v/>
      </c>
      <c r="F591" s="31">
        <f>IF($C591="","",IFERROR($A591*$C591,0))</f>
        <v/>
      </c>
      <c r="G591" s="31">
        <f>IF($B591="","",IFERROR(MAX(0,ayd_netDefter-$E591),0))</f>
        <v/>
      </c>
      <c r="H591" s="31">
        <f>IF($C591="","",IFERROR(MAX(0,ayd_netDefter+ayd_fark-$F591),0))</f>
        <v/>
      </c>
      <c r="I591" s="31">
        <f>IF($A591="","",IF($A591&gt;IFERROR(GIRDI!B12,0),"DIŞI","AKTİF"))</f>
        <v/>
      </c>
    </row>
    <row r="592">
      <c r="B592" s="31">
        <f>IF(OR($A592="",$A592&gt;IFERROR(GIRDI!B12,0)),"",IFERROR(IF(OR(GIRDI!B12="",GIRDI!B12=0),0,ayd_netDefter/GIRDI!B12),0))</f>
        <v/>
      </c>
      <c r="C592" s="31">
        <f>IF(OR($A592="",$A592&gt;IFERROR(GIRDI!B12,0)),"",IFERROR(IF(OR(GIRDI!B12="",GIRDI!B12=0),0,(ayd_netDefter+ayd_fark)/GIRDI!B12),0))</f>
        <v/>
      </c>
      <c r="D592" s="31">
        <f>IF($B592="","",IFERROR($C592-$B592,0))</f>
        <v/>
      </c>
      <c r="E592" s="31">
        <f>IF($B592="","",IFERROR($A592*$B592,0))</f>
        <v/>
      </c>
      <c r="F592" s="31">
        <f>IF($C592="","",IFERROR($A592*$C592,0))</f>
        <v/>
      </c>
      <c r="G592" s="31">
        <f>IF($B592="","",IFERROR(MAX(0,ayd_netDefter-$E592),0))</f>
        <v/>
      </c>
      <c r="H592" s="31">
        <f>IF($C592="","",IFERROR(MAX(0,ayd_netDefter+ayd_fark-$F592),0))</f>
        <v/>
      </c>
      <c r="I592" s="31">
        <f>IF($A592="","",IF($A592&gt;IFERROR(GIRDI!B12,0),"DIŞI","AKTİF"))</f>
        <v/>
      </c>
    </row>
    <row r="593">
      <c r="B593" s="31">
        <f>IF(OR($A593="",$A593&gt;IFERROR(GIRDI!B12,0)),"",IFERROR(IF(OR(GIRDI!B12="",GIRDI!B12=0),0,ayd_netDefter/GIRDI!B12),0))</f>
        <v/>
      </c>
      <c r="C593" s="31">
        <f>IF(OR($A593="",$A593&gt;IFERROR(GIRDI!B12,0)),"",IFERROR(IF(OR(GIRDI!B12="",GIRDI!B12=0),0,(ayd_netDefter+ayd_fark)/GIRDI!B12),0))</f>
        <v/>
      </c>
      <c r="D593" s="31">
        <f>IF($B593="","",IFERROR($C593-$B593,0))</f>
        <v/>
      </c>
      <c r="E593" s="31">
        <f>IF($B593="","",IFERROR($A593*$B593,0))</f>
        <v/>
      </c>
      <c r="F593" s="31">
        <f>IF($C593="","",IFERROR($A593*$C593,0))</f>
        <v/>
      </c>
      <c r="G593" s="31">
        <f>IF($B593="","",IFERROR(MAX(0,ayd_netDefter-$E593),0))</f>
        <v/>
      </c>
      <c r="H593" s="31">
        <f>IF($C593="","",IFERROR(MAX(0,ayd_netDefter+ayd_fark-$F593),0))</f>
        <v/>
      </c>
      <c r="I593" s="31">
        <f>IF($A593="","",IF($A593&gt;IFERROR(GIRDI!B12,0),"DIŞI","AKTİF"))</f>
        <v/>
      </c>
    </row>
    <row r="594">
      <c r="B594" s="31">
        <f>IF(OR($A594="",$A594&gt;IFERROR(GIRDI!B12,0)),"",IFERROR(IF(OR(GIRDI!B12="",GIRDI!B12=0),0,ayd_netDefter/GIRDI!B12),0))</f>
        <v/>
      </c>
      <c r="C594" s="31">
        <f>IF(OR($A594="",$A594&gt;IFERROR(GIRDI!B12,0)),"",IFERROR(IF(OR(GIRDI!B12="",GIRDI!B12=0),0,(ayd_netDefter+ayd_fark)/GIRDI!B12),0))</f>
        <v/>
      </c>
      <c r="D594" s="31">
        <f>IF($B594="","",IFERROR($C594-$B594,0))</f>
        <v/>
      </c>
      <c r="E594" s="31">
        <f>IF($B594="","",IFERROR($A594*$B594,0))</f>
        <v/>
      </c>
      <c r="F594" s="31">
        <f>IF($C594="","",IFERROR($A594*$C594,0))</f>
        <v/>
      </c>
      <c r="G594" s="31">
        <f>IF($B594="","",IFERROR(MAX(0,ayd_netDefter-$E594),0))</f>
        <v/>
      </c>
      <c r="H594" s="31">
        <f>IF($C594="","",IFERROR(MAX(0,ayd_netDefter+ayd_fark-$F594),0))</f>
        <v/>
      </c>
      <c r="I594" s="31">
        <f>IF($A594="","",IF($A594&gt;IFERROR(GIRDI!B12,0),"DIŞI","AKTİF"))</f>
        <v/>
      </c>
    </row>
    <row r="595">
      <c r="B595" s="31">
        <f>IF(OR($A595="",$A595&gt;IFERROR(GIRDI!B12,0)),"",IFERROR(IF(OR(GIRDI!B12="",GIRDI!B12=0),0,ayd_netDefter/GIRDI!B12),0))</f>
        <v/>
      </c>
      <c r="C595" s="31">
        <f>IF(OR($A595="",$A595&gt;IFERROR(GIRDI!B12,0)),"",IFERROR(IF(OR(GIRDI!B12="",GIRDI!B12=0),0,(ayd_netDefter+ayd_fark)/GIRDI!B12),0))</f>
        <v/>
      </c>
      <c r="D595" s="31">
        <f>IF($B595="","",IFERROR($C595-$B595,0))</f>
        <v/>
      </c>
      <c r="E595" s="31">
        <f>IF($B595="","",IFERROR($A595*$B595,0))</f>
        <v/>
      </c>
      <c r="F595" s="31">
        <f>IF($C595="","",IFERROR($A595*$C595,0))</f>
        <v/>
      </c>
      <c r="G595" s="31">
        <f>IF($B595="","",IFERROR(MAX(0,ayd_netDefter-$E595),0))</f>
        <v/>
      </c>
      <c r="H595" s="31">
        <f>IF($C595="","",IFERROR(MAX(0,ayd_netDefter+ayd_fark-$F595),0))</f>
        <v/>
      </c>
      <c r="I595" s="31">
        <f>IF($A595="","",IF($A595&gt;IFERROR(GIRDI!B12,0),"DIŞI","AKTİF"))</f>
        <v/>
      </c>
    </row>
    <row r="596">
      <c r="B596" s="31">
        <f>IF(OR($A596="",$A596&gt;IFERROR(GIRDI!B12,0)),"",IFERROR(IF(OR(GIRDI!B12="",GIRDI!B12=0),0,ayd_netDefter/GIRDI!B12),0))</f>
        <v/>
      </c>
      <c r="C596" s="31">
        <f>IF(OR($A596="",$A596&gt;IFERROR(GIRDI!B12,0)),"",IFERROR(IF(OR(GIRDI!B12="",GIRDI!B12=0),0,(ayd_netDefter+ayd_fark)/GIRDI!B12),0))</f>
        <v/>
      </c>
      <c r="D596" s="31">
        <f>IF($B596="","",IFERROR($C596-$B596,0))</f>
        <v/>
      </c>
      <c r="E596" s="31">
        <f>IF($B596="","",IFERROR($A596*$B596,0))</f>
        <v/>
      </c>
      <c r="F596" s="31">
        <f>IF($C596="","",IFERROR($A596*$C596,0))</f>
        <v/>
      </c>
      <c r="G596" s="31">
        <f>IF($B596="","",IFERROR(MAX(0,ayd_netDefter-$E596),0))</f>
        <v/>
      </c>
      <c r="H596" s="31">
        <f>IF($C596="","",IFERROR(MAX(0,ayd_netDefter+ayd_fark-$F596),0))</f>
        <v/>
      </c>
      <c r="I596" s="31">
        <f>IF($A596="","",IF($A596&gt;IFERROR(GIRDI!B12,0),"DIŞI","AKTİF"))</f>
        <v/>
      </c>
    </row>
    <row r="597">
      <c r="B597" s="31">
        <f>IF(OR($A597="",$A597&gt;IFERROR(GIRDI!B12,0)),"",IFERROR(IF(OR(GIRDI!B12="",GIRDI!B12=0),0,ayd_netDefter/GIRDI!B12),0))</f>
        <v/>
      </c>
      <c r="C597" s="31">
        <f>IF(OR($A597="",$A597&gt;IFERROR(GIRDI!B12,0)),"",IFERROR(IF(OR(GIRDI!B12="",GIRDI!B12=0),0,(ayd_netDefter+ayd_fark)/GIRDI!B12),0))</f>
        <v/>
      </c>
      <c r="D597" s="31">
        <f>IF($B597="","",IFERROR($C597-$B597,0))</f>
        <v/>
      </c>
      <c r="E597" s="31">
        <f>IF($B597="","",IFERROR($A597*$B597,0))</f>
        <v/>
      </c>
      <c r="F597" s="31">
        <f>IF($C597="","",IFERROR($A597*$C597,0))</f>
        <v/>
      </c>
      <c r="G597" s="31">
        <f>IF($B597="","",IFERROR(MAX(0,ayd_netDefter-$E597),0))</f>
        <v/>
      </c>
      <c r="H597" s="31">
        <f>IF($C597="","",IFERROR(MAX(0,ayd_netDefter+ayd_fark-$F597),0))</f>
        <v/>
      </c>
      <c r="I597" s="31">
        <f>IF($A597="","",IF($A597&gt;IFERROR(GIRDI!B12,0),"DIŞI","AKTİF"))</f>
        <v/>
      </c>
    </row>
    <row r="598">
      <c r="B598" s="31">
        <f>IF(OR($A598="",$A598&gt;IFERROR(GIRDI!B12,0)),"",IFERROR(IF(OR(GIRDI!B12="",GIRDI!B12=0),0,ayd_netDefter/GIRDI!B12),0))</f>
        <v/>
      </c>
      <c r="C598" s="31">
        <f>IF(OR($A598="",$A598&gt;IFERROR(GIRDI!B12,0)),"",IFERROR(IF(OR(GIRDI!B12="",GIRDI!B12=0),0,(ayd_netDefter+ayd_fark)/GIRDI!B12),0))</f>
        <v/>
      </c>
      <c r="D598" s="31">
        <f>IF($B598="","",IFERROR($C598-$B598,0))</f>
        <v/>
      </c>
      <c r="E598" s="31">
        <f>IF($B598="","",IFERROR($A598*$B598,0))</f>
        <v/>
      </c>
      <c r="F598" s="31">
        <f>IF($C598="","",IFERROR($A598*$C598,0))</f>
        <v/>
      </c>
      <c r="G598" s="31">
        <f>IF($B598="","",IFERROR(MAX(0,ayd_netDefter-$E598),0))</f>
        <v/>
      </c>
      <c r="H598" s="31">
        <f>IF($C598="","",IFERROR(MAX(0,ayd_netDefter+ayd_fark-$F598),0))</f>
        <v/>
      </c>
      <c r="I598" s="31">
        <f>IF($A598="","",IF($A598&gt;IFERROR(GIRDI!B12,0),"DIŞI","AKTİF"))</f>
        <v/>
      </c>
    </row>
    <row r="599">
      <c r="B599" s="31">
        <f>IF(OR($A599="",$A599&gt;IFERROR(GIRDI!B12,0)),"",IFERROR(IF(OR(GIRDI!B12="",GIRDI!B12=0),0,ayd_netDefter/GIRDI!B12),0))</f>
        <v/>
      </c>
      <c r="C599" s="31">
        <f>IF(OR($A599="",$A599&gt;IFERROR(GIRDI!B12,0)),"",IFERROR(IF(OR(GIRDI!B12="",GIRDI!B12=0),0,(ayd_netDefter+ayd_fark)/GIRDI!B12),0))</f>
        <v/>
      </c>
      <c r="D599" s="31">
        <f>IF($B599="","",IFERROR($C599-$B599,0))</f>
        <v/>
      </c>
      <c r="E599" s="31">
        <f>IF($B599="","",IFERROR($A599*$B599,0))</f>
        <v/>
      </c>
      <c r="F599" s="31">
        <f>IF($C599="","",IFERROR($A599*$C599,0))</f>
        <v/>
      </c>
      <c r="G599" s="31">
        <f>IF($B599="","",IFERROR(MAX(0,ayd_netDefter-$E599),0))</f>
        <v/>
      </c>
      <c r="H599" s="31">
        <f>IF($C599="","",IFERROR(MAX(0,ayd_netDefter+ayd_fark-$F599),0))</f>
        <v/>
      </c>
      <c r="I599" s="31">
        <f>IF($A599="","",IF($A599&gt;IFERROR(GIRDI!B12,0),"DIŞI","AKTİF"))</f>
        <v/>
      </c>
    </row>
    <row r="600">
      <c r="B600" s="31">
        <f>IF(OR($A600="",$A600&gt;IFERROR(GIRDI!B12,0)),"",IFERROR(IF(OR(GIRDI!B12="",GIRDI!B12=0),0,ayd_netDefter/GIRDI!B12),0))</f>
        <v/>
      </c>
      <c r="C600" s="31">
        <f>IF(OR($A600="",$A600&gt;IFERROR(GIRDI!B12,0)),"",IFERROR(IF(OR(GIRDI!B12="",GIRDI!B12=0),0,(ayd_netDefter+ayd_fark)/GIRDI!B12),0))</f>
        <v/>
      </c>
      <c r="D600" s="31">
        <f>IF($B600="","",IFERROR($C600-$B600,0))</f>
        <v/>
      </c>
      <c r="E600" s="31">
        <f>IF($B600="","",IFERROR($A600*$B600,0))</f>
        <v/>
      </c>
      <c r="F600" s="31">
        <f>IF($C600="","",IFERROR($A600*$C600,0))</f>
        <v/>
      </c>
      <c r="G600" s="31">
        <f>IF($B600="","",IFERROR(MAX(0,ayd_netDefter-$E600),0))</f>
        <v/>
      </c>
      <c r="H600" s="31">
        <f>IF($C600="","",IFERROR(MAX(0,ayd_netDefter+ayd_fark-$F600),0))</f>
        <v/>
      </c>
      <c r="I600" s="31">
        <f>IF($A600="","",IF($A600&gt;IFERROR(GIRDI!B12,0),"DIŞI","AKTİF"))</f>
        <v/>
      </c>
    </row>
    <row r="601">
      <c r="B601" s="31">
        <f>IF(OR($A601="",$A601&gt;IFERROR(GIRDI!B12,0)),"",IFERROR(IF(OR(GIRDI!B12="",GIRDI!B12=0),0,ayd_netDefter/GIRDI!B12),0))</f>
        <v/>
      </c>
      <c r="C601" s="31">
        <f>IF(OR($A601="",$A601&gt;IFERROR(GIRDI!B12,0)),"",IFERROR(IF(OR(GIRDI!B12="",GIRDI!B12=0),0,(ayd_netDefter+ayd_fark)/GIRDI!B12),0))</f>
        <v/>
      </c>
      <c r="D601" s="31">
        <f>IF($B601="","",IFERROR($C601-$B601,0))</f>
        <v/>
      </c>
      <c r="E601" s="31">
        <f>IF($B601="","",IFERROR($A601*$B601,0))</f>
        <v/>
      </c>
      <c r="F601" s="31">
        <f>IF($C601="","",IFERROR($A601*$C601,0))</f>
        <v/>
      </c>
      <c r="G601" s="31">
        <f>IF($B601="","",IFERROR(MAX(0,ayd_netDefter-$E601),0))</f>
        <v/>
      </c>
      <c r="H601" s="31">
        <f>IF($C601="","",IFERROR(MAX(0,ayd_netDefter+ayd_fark-$F601),0))</f>
        <v/>
      </c>
      <c r="I601" s="31">
        <f>IF($A601="","",IF($A601&gt;IFERROR(GIRDI!B12,0),"DIŞI","AKTİF"))</f>
        <v/>
      </c>
    </row>
    <row r="602">
      <c r="B602" s="31">
        <f>IF(OR($A602="",$A602&gt;IFERROR(GIRDI!B12,0)),"",IFERROR(IF(OR(GIRDI!B12="",GIRDI!B12=0),0,ayd_netDefter/GIRDI!B12),0))</f>
        <v/>
      </c>
      <c r="C602" s="31">
        <f>IF(OR($A602="",$A602&gt;IFERROR(GIRDI!B12,0)),"",IFERROR(IF(OR(GIRDI!B12="",GIRDI!B12=0),0,(ayd_netDefter+ayd_fark)/GIRDI!B12),0))</f>
        <v/>
      </c>
      <c r="D602" s="31">
        <f>IF($B602="","",IFERROR($C602-$B602,0))</f>
        <v/>
      </c>
      <c r="E602" s="31">
        <f>IF($B602="","",IFERROR($A602*$B602,0))</f>
        <v/>
      </c>
      <c r="F602" s="31">
        <f>IF($C602="","",IFERROR($A602*$C602,0))</f>
        <v/>
      </c>
      <c r="G602" s="31">
        <f>IF($B602="","",IFERROR(MAX(0,ayd_netDefter-$E602),0))</f>
        <v/>
      </c>
      <c r="H602" s="31">
        <f>IF($C602="","",IFERROR(MAX(0,ayd_netDefter+ayd_fark-$F602),0))</f>
        <v/>
      </c>
      <c r="I602" s="31">
        <f>IF($A602="","",IF($A602&gt;IFERROR(GIRDI!B12,0),"DIŞI","AKTİF"))</f>
        <v/>
      </c>
    </row>
    <row r="603">
      <c r="B603" s="31">
        <f>IF(OR($A603="",$A603&gt;IFERROR(GIRDI!B12,0)),"",IFERROR(IF(OR(GIRDI!B12="",GIRDI!B12=0),0,ayd_netDefter/GIRDI!B12),0))</f>
        <v/>
      </c>
      <c r="C603" s="31">
        <f>IF(OR($A603="",$A603&gt;IFERROR(GIRDI!B12,0)),"",IFERROR(IF(OR(GIRDI!B12="",GIRDI!B12=0),0,(ayd_netDefter+ayd_fark)/GIRDI!B12),0))</f>
        <v/>
      </c>
      <c r="D603" s="31">
        <f>IF($B603="","",IFERROR($C603-$B603,0))</f>
        <v/>
      </c>
      <c r="E603" s="31">
        <f>IF($B603="","",IFERROR($A603*$B603,0))</f>
        <v/>
      </c>
      <c r="F603" s="31">
        <f>IF($C603="","",IFERROR($A603*$C603,0))</f>
        <v/>
      </c>
      <c r="G603" s="31">
        <f>IF($B603="","",IFERROR(MAX(0,ayd_netDefter-$E603),0))</f>
        <v/>
      </c>
      <c r="H603" s="31">
        <f>IF($C603="","",IFERROR(MAX(0,ayd_netDefter+ayd_fark-$F603),0))</f>
        <v/>
      </c>
      <c r="I603" s="31">
        <f>IF($A603="","",IF($A603&gt;IFERROR(GIRDI!B12,0),"DIŞI","AKTİF"))</f>
        <v/>
      </c>
    </row>
    <row r="604">
      <c r="B604" s="31">
        <f>IF(OR($A604="",$A604&gt;IFERROR(GIRDI!B12,0)),"",IFERROR(IF(OR(GIRDI!B12="",GIRDI!B12=0),0,ayd_netDefter/GIRDI!B12),0))</f>
        <v/>
      </c>
      <c r="C604" s="31">
        <f>IF(OR($A604="",$A604&gt;IFERROR(GIRDI!B12,0)),"",IFERROR(IF(OR(GIRDI!B12="",GIRDI!B12=0),0,(ayd_netDefter+ayd_fark)/GIRDI!B12),0))</f>
        <v/>
      </c>
      <c r="D604" s="31">
        <f>IF($B604="","",IFERROR($C604-$B604,0))</f>
        <v/>
      </c>
      <c r="E604" s="31">
        <f>IF($B604="","",IFERROR($A604*$B604,0))</f>
        <v/>
      </c>
      <c r="F604" s="31">
        <f>IF($C604="","",IFERROR($A604*$C604,0))</f>
        <v/>
      </c>
      <c r="G604" s="31">
        <f>IF($B604="","",IFERROR(MAX(0,ayd_netDefter-$E604),0))</f>
        <v/>
      </c>
      <c r="H604" s="31">
        <f>IF($C604="","",IFERROR(MAX(0,ayd_netDefter+ayd_fark-$F604),0))</f>
        <v/>
      </c>
      <c r="I604" s="31">
        <f>IF($A604="","",IF($A604&gt;IFERROR(GIRDI!B12,0),"DIŞI","AKTİF"))</f>
        <v/>
      </c>
    </row>
    <row r="605">
      <c r="B605" s="31">
        <f>IF(OR($A605="",$A605&gt;IFERROR(GIRDI!B12,0)),"",IFERROR(IF(OR(GIRDI!B12="",GIRDI!B12=0),0,ayd_netDefter/GIRDI!B12),0))</f>
        <v/>
      </c>
      <c r="C605" s="31">
        <f>IF(OR($A605="",$A605&gt;IFERROR(GIRDI!B12,0)),"",IFERROR(IF(OR(GIRDI!B12="",GIRDI!B12=0),0,(ayd_netDefter+ayd_fark)/GIRDI!B12),0))</f>
        <v/>
      </c>
      <c r="D605" s="31">
        <f>IF($B605="","",IFERROR($C605-$B605,0))</f>
        <v/>
      </c>
      <c r="E605" s="31">
        <f>IF($B605="","",IFERROR($A605*$B605,0))</f>
        <v/>
      </c>
      <c r="F605" s="31">
        <f>IF($C605="","",IFERROR($A605*$C605,0))</f>
        <v/>
      </c>
      <c r="G605" s="31">
        <f>IF($B605="","",IFERROR(MAX(0,ayd_netDefter-$E605),0))</f>
        <v/>
      </c>
      <c r="H605" s="31">
        <f>IF($C605="","",IFERROR(MAX(0,ayd_netDefter+ayd_fark-$F605),0))</f>
        <v/>
      </c>
      <c r="I605" s="31">
        <f>IF($A605="","",IF($A605&gt;IFERROR(GIRDI!B12,0),"DIŞI","AKTİF"))</f>
        <v/>
      </c>
    </row>
    <row r="606">
      <c r="B606" s="31">
        <f>IF(OR($A606="",$A606&gt;IFERROR(GIRDI!B12,0)),"",IFERROR(IF(OR(GIRDI!B12="",GIRDI!B12=0),0,ayd_netDefter/GIRDI!B12),0))</f>
        <v/>
      </c>
      <c r="C606" s="31">
        <f>IF(OR($A606="",$A606&gt;IFERROR(GIRDI!B12,0)),"",IFERROR(IF(OR(GIRDI!B12="",GIRDI!B12=0),0,(ayd_netDefter+ayd_fark)/GIRDI!B12),0))</f>
        <v/>
      </c>
      <c r="D606" s="31">
        <f>IF($B606="","",IFERROR($C606-$B606,0))</f>
        <v/>
      </c>
      <c r="E606" s="31">
        <f>IF($B606="","",IFERROR($A606*$B606,0))</f>
        <v/>
      </c>
      <c r="F606" s="31">
        <f>IF($C606="","",IFERROR($A606*$C606,0))</f>
        <v/>
      </c>
      <c r="G606" s="31">
        <f>IF($B606="","",IFERROR(MAX(0,ayd_netDefter-$E606),0))</f>
        <v/>
      </c>
      <c r="H606" s="31">
        <f>IF($C606="","",IFERROR(MAX(0,ayd_netDefter+ayd_fark-$F606),0))</f>
        <v/>
      </c>
      <c r="I606" s="31">
        <f>IF($A606="","",IF($A606&gt;IFERROR(GIRDI!B12,0),"DIŞI","AKTİF"))</f>
        <v/>
      </c>
    </row>
    <row r="607">
      <c r="B607" s="31">
        <f>IF(OR($A607="",$A607&gt;IFERROR(GIRDI!B12,0)),"",IFERROR(IF(OR(GIRDI!B12="",GIRDI!B12=0),0,ayd_netDefter/GIRDI!B12),0))</f>
        <v/>
      </c>
      <c r="C607" s="31">
        <f>IF(OR($A607="",$A607&gt;IFERROR(GIRDI!B12,0)),"",IFERROR(IF(OR(GIRDI!B12="",GIRDI!B12=0),0,(ayd_netDefter+ayd_fark)/GIRDI!B12),0))</f>
        <v/>
      </c>
      <c r="D607" s="31">
        <f>IF($B607="","",IFERROR($C607-$B607,0))</f>
        <v/>
      </c>
      <c r="E607" s="31">
        <f>IF($B607="","",IFERROR($A607*$B607,0))</f>
        <v/>
      </c>
      <c r="F607" s="31">
        <f>IF($C607="","",IFERROR($A607*$C607,0))</f>
        <v/>
      </c>
      <c r="G607" s="31">
        <f>IF($B607="","",IFERROR(MAX(0,ayd_netDefter-$E607),0))</f>
        <v/>
      </c>
      <c r="H607" s="31">
        <f>IF($C607="","",IFERROR(MAX(0,ayd_netDefter+ayd_fark-$F607),0))</f>
        <v/>
      </c>
      <c r="I607" s="31">
        <f>IF($A607="","",IF($A607&gt;IFERROR(GIRDI!B12,0),"DIŞI","AKTİF"))</f>
        <v/>
      </c>
    </row>
    <row r="608">
      <c r="B608" s="31">
        <f>IF(OR($A608="",$A608&gt;IFERROR(GIRDI!B12,0)),"",IFERROR(IF(OR(GIRDI!B12="",GIRDI!B12=0),0,ayd_netDefter/GIRDI!B12),0))</f>
        <v/>
      </c>
      <c r="C608" s="31">
        <f>IF(OR($A608="",$A608&gt;IFERROR(GIRDI!B12,0)),"",IFERROR(IF(OR(GIRDI!B12="",GIRDI!B12=0),0,(ayd_netDefter+ayd_fark)/GIRDI!B12),0))</f>
        <v/>
      </c>
      <c r="D608" s="31">
        <f>IF($B608="","",IFERROR($C608-$B608,0))</f>
        <v/>
      </c>
      <c r="E608" s="31">
        <f>IF($B608="","",IFERROR($A608*$B608,0))</f>
        <v/>
      </c>
      <c r="F608" s="31">
        <f>IF($C608="","",IFERROR($A608*$C608,0))</f>
        <v/>
      </c>
      <c r="G608" s="31">
        <f>IF($B608="","",IFERROR(MAX(0,ayd_netDefter-$E608),0))</f>
        <v/>
      </c>
      <c r="H608" s="31">
        <f>IF($C608="","",IFERROR(MAX(0,ayd_netDefter+ayd_fark-$F608),0))</f>
        <v/>
      </c>
      <c r="I608" s="31">
        <f>IF($A608="","",IF($A608&gt;IFERROR(GIRDI!B12,0),"DIŞI","AKTİF"))</f>
        <v/>
      </c>
    </row>
    <row r="609">
      <c r="B609" s="31">
        <f>IF(OR($A609="",$A609&gt;IFERROR(GIRDI!B12,0)),"",IFERROR(IF(OR(GIRDI!B12="",GIRDI!B12=0),0,ayd_netDefter/GIRDI!B12),0))</f>
        <v/>
      </c>
      <c r="C609" s="31">
        <f>IF(OR($A609="",$A609&gt;IFERROR(GIRDI!B12,0)),"",IFERROR(IF(OR(GIRDI!B12="",GIRDI!B12=0),0,(ayd_netDefter+ayd_fark)/GIRDI!B12),0))</f>
        <v/>
      </c>
      <c r="D609" s="31">
        <f>IF($B609="","",IFERROR($C609-$B609,0))</f>
        <v/>
      </c>
      <c r="E609" s="31">
        <f>IF($B609="","",IFERROR($A609*$B609,0))</f>
        <v/>
      </c>
      <c r="F609" s="31">
        <f>IF($C609="","",IFERROR($A609*$C609,0))</f>
        <v/>
      </c>
      <c r="G609" s="31">
        <f>IF($B609="","",IFERROR(MAX(0,ayd_netDefter-$E609),0))</f>
        <v/>
      </c>
      <c r="H609" s="31">
        <f>IF($C609="","",IFERROR(MAX(0,ayd_netDefter+ayd_fark-$F609),0))</f>
        <v/>
      </c>
      <c r="I609" s="31">
        <f>IF($A609="","",IF($A609&gt;IFERROR(GIRDI!B12,0),"DIŞI","AKTİF"))</f>
        <v/>
      </c>
    </row>
    <row r="610">
      <c r="B610" s="31">
        <f>IF(OR($A610="",$A610&gt;IFERROR(GIRDI!B12,0)),"",IFERROR(IF(OR(GIRDI!B12="",GIRDI!B12=0),0,ayd_netDefter/GIRDI!B12),0))</f>
        <v/>
      </c>
      <c r="C610" s="31">
        <f>IF(OR($A610="",$A610&gt;IFERROR(GIRDI!B12,0)),"",IFERROR(IF(OR(GIRDI!B12="",GIRDI!B12=0),0,(ayd_netDefter+ayd_fark)/GIRDI!B12),0))</f>
        <v/>
      </c>
      <c r="D610" s="31">
        <f>IF($B610="","",IFERROR($C610-$B610,0))</f>
        <v/>
      </c>
      <c r="E610" s="31">
        <f>IF($B610="","",IFERROR($A610*$B610,0))</f>
        <v/>
      </c>
      <c r="F610" s="31">
        <f>IF($C610="","",IFERROR($A610*$C610,0))</f>
        <v/>
      </c>
      <c r="G610" s="31">
        <f>IF($B610="","",IFERROR(MAX(0,ayd_netDefter-$E610),0))</f>
        <v/>
      </c>
      <c r="H610" s="31">
        <f>IF($C610="","",IFERROR(MAX(0,ayd_netDefter+ayd_fark-$F610),0))</f>
        <v/>
      </c>
      <c r="I610" s="31">
        <f>IF($A610="","",IF($A610&gt;IFERROR(GIRDI!B12,0),"DIŞI","AKTİF"))</f>
        <v/>
      </c>
    </row>
    <row r="611">
      <c r="B611" s="31">
        <f>IF(OR($A611="",$A611&gt;IFERROR(GIRDI!B12,0)),"",IFERROR(IF(OR(GIRDI!B12="",GIRDI!B12=0),0,ayd_netDefter/GIRDI!B12),0))</f>
        <v/>
      </c>
      <c r="C611" s="31">
        <f>IF(OR($A611="",$A611&gt;IFERROR(GIRDI!B12,0)),"",IFERROR(IF(OR(GIRDI!B12="",GIRDI!B12=0),0,(ayd_netDefter+ayd_fark)/GIRDI!B12),0))</f>
        <v/>
      </c>
      <c r="D611" s="31">
        <f>IF($B611="","",IFERROR($C611-$B611,0))</f>
        <v/>
      </c>
      <c r="E611" s="31">
        <f>IF($B611="","",IFERROR($A611*$B611,0))</f>
        <v/>
      </c>
      <c r="F611" s="31">
        <f>IF($C611="","",IFERROR($A611*$C611,0))</f>
        <v/>
      </c>
      <c r="G611" s="31">
        <f>IF($B611="","",IFERROR(MAX(0,ayd_netDefter-$E611),0))</f>
        <v/>
      </c>
      <c r="H611" s="31">
        <f>IF($C611="","",IFERROR(MAX(0,ayd_netDefter+ayd_fark-$F611),0))</f>
        <v/>
      </c>
      <c r="I611" s="31">
        <f>IF($A611="","",IF($A611&gt;IFERROR(GIRDI!B12,0),"DIŞI","AKTİF"))</f>
        <v/>
      </c>
    </row>
    <row r="612">
      <c r="B612" s="31">
        <f>IF(OR($A612="",$A612&gt;IFERROR(GIRDI!B12,0)),"",IFERROR(IF(OR(GIRDI!B12="",GIRDI!B12=0),0,ayd_netDefter/GIRDI!B12),0))</f>
        <v/>
      </c>
      <c r="C612" s="31">
        <f>IF(OR($A612="",$A612&gt;IFERROR(GIRDI!B12,0)),"",IFERROR(IF(OR(GIRDI!B12="",GIRDI!B12=0),0,(ayd_netDefter+ayd_fark)/GIRDI!B12),0))</f>
        <v/>
      </c>
      <c r="D612" s="31">
        <f>IF($B612="","",IFERROR($C612-$B612,0))</f>
        <v/>
      </c>
      <c r="E612" s="31">
        <f>IF($B612="","",IFERROR($A612*$B612,0))</f>
        <v/>
      </c>
      <c r="F612" s="31">
        <f>IF($C612="","",IFERROR($A612*$C612,0))</f>
        <v/>
      </c>
      <c r="G612" s="31">
        <f>IF($B612="","",IFERROR(MAX(0,ayd_netDefter-$E612),0))</f>
        <v/>
      </c>
      <c r="H612" s="31">
        <f>IF($C612="","",IFERROR(MAX(0,ayd_netDefter+ayd_fark-$F612),0))</f>
        <v/>
      </c>
      <c r="I612" s="31">
        <f>IF($A612="","",IF($A612&gt;IFERROR(GIRDI!B12,0),"DIŞI","AKTİF"))</f>
        <v/>
      </c>
    </row>
    <row r="613">
      <c r="B613" s="31">
        <f>IF(OR($A613="",$A613&gt;IFERROR(GIRDI!B12,0)),"",IFERROR(IF(OR(GIRDI!B12="",GIRDI!B12=0),0,ayd_netDefter/GIRDI!B12),0))</f>
        <v/>
      </c>
      <c r="C613" s="31">
        <f>IF(OR($A613="",$A613&gt;IFERROR(GIRDI!B12,0)),"",IFERROR(IF(OR(GIRDI!B12="",GIRDI!B12=0),0,(ayd_netDefter+ayd_fark)/GIRDI!B12),0))</f>
        <v/>
      </c>
      <c r="D613" s="31">
        <f>IF($B613="","",IFERROR($C613-$B613,0))</f>
        <v/>
      </c>
      <c r="E613" s="31">
        <f>IF($B613="","",IFERROR($A613*$B613,0))</f>
        <v/>
      </c>
      <c r="F613" s="31">
        <f>IF($C613="","",IFERROR($A613*$C613,0))</f>
        <v/>
      </c>
      <c r="G613" s="31">
        <f>IF($B613="","",IFERROR(MAX(0,ayd_netDefter-$E613),0))</f>
        <v/>
      </c>
      <c r="H613" s="31">
        <f>IF($C613="","",IFERROR(MAX(0,ayd_netDefter+ayd_fark-$F613),0))</f>
        <v/>
      </c>
      <c r="I613" s="31">
        <f>IF($A613="","",IF($A613&gt;IFERROR(GIRDI!B12,0),"DIŞI","AKTİF"))</f>
        <v/>
      </c>
    </row>
    <row r="614">
      <c r="B614" s="31">
        <f>IF(OR($A614="",$A614&gt;IFERROR(GIRDI!B12,0)),"",IFERROR(IF(OR(GIRDI!B12="",GIRDI!B12=0),0,ayd_netDefter/GIRDI!B12),0))</f>
        <v/>
      </c>
      <c r="C614" s="31">
        <f>IF(OR($A614="",$A614&gt;IFERROR(GIRDI!B12,0)),"",IFERROR(IF(OR(GIRDI!B12="",GIRDI!B12=0),0,(ayd_netDefter+ayd_fark)/GIRDI!B12),0))</f>
        <v/>
      </c>
      <c r="D614" s="31">
        <f>IF($B614="","",IFERROR($C614-$B614,0))</f>
        <v/>
      </c>
      <c r="E614" s="31">
        <f>IF($B614="","",IFERROR($A614*$B614,0))</f>
        <v/>
      </c>
      <c r="F614" s="31">
        <f>IF($C614="","",IFERROR($A614*$C614,0))</f>
        <v/>
      </c>
      <c r="G614" s="31">
        <f>IF($B614="","",IFERROR(MAX(0,ayd_netDefter-$E614),0))</f>
        <v/>
      </c>
      <c r="H614" s="31">
        <f>IF($C614="","",IFERROR(MAX(0,ayd_netDefter+ayd_fark-$F614),0))</f>
        <v/>
      </c>
      <c r="I614" s="31">
        <f>IF($A614="","",IF($A614&gt;IFERROR(GIRDI!B12,0),"DIŞI","AKTİF"))</f>
        <v/>
      </c>
    </row>
    <row r="615">
      <c r="B615" s="31">
        <f>IF(OR($A615="",$A615&gt;IFERROR(GIRDI!B12,0)),"",IFERROR(IF(OR(GIRDI!B12="",GIRDI!B12=0),0,ayd_netDefter/GIRDI!B12),0))</f>
        <v/>
      </c>
      <c r="C615" s="31">
        <f>IF(OR($A615="",$A615&gt;IFERROR(GIRDI!B12,0)),"",IFERROR(IF(OR(GIRDI!B12="",GIRDI!B12=0),0,(ayd_netDefter+ayd_fark)/GIRDI!B12),0))</f>
        <v/>
      </c>
      <c r="D615" s="31">
        <f>IF($B615="","",IFERROR($C615-$B615,0))</f>
        <v/>
      </c>
      <c r="E615" s="31">
        <f>IF($B615="","",IFERROR($A615*$B615,0))</f>
        <v/>
      </c>
      <c r="F615" s="31">
        <f>IF($C615="","",IFERROR($A615*$C615,0))</f>
        <v/>
      </c>
      <c r="G615" s="31">
        <f>IF($B615="","",IFERROR(MAX(0,ayd_netDefter-$E615),0))</f>
        <v/>
      </c>
      <c r="H615" s="31">
        <f>IF($C615="","",IFERROR(MAX(0,ayd_netDefter+ayd_fark-$F615),0))</f>
        <v/>
      </c>
      <c r="I615" s="31">
        <f>IF($A615="","",IF($A615&gt;IFERROR(GIRDI!B12,0),"DIŞI","AKTİF"))</f>
        <v/>
      </c>
    </row>
    <row r="616">
      <c r="B616" s="31">
        <f>IF(OR($A616="",$A616&gt;IFERROR(GIRDI!B12,0)),"",IFERROR(IF(OR(GIRDI!B12="",GIRDI!B12=0),0,ayd_netDefter/GIRDI!B12),0))</f>
        <v/>
      </c>
      <c r="C616" s="31">
        <f>IF(OR($A616="",$A616&gt;IFERROR(GIRDI!B12,0)),"",IFERROR(IF(OR(GIRDI!B12="",GIRDI!B12=0),0,(ayd_netDefter+ayd_fark)/GIRDI!B12),0))</f>
        <v/>
      </c>
      <c r="D616" s="31">
        <f>IF($B616="","",IFERROR($C616-$B616,0))</f>
        <v/>
      </c>
      <c r="E616" s="31">
        <f>IF($B616="","",IFERROR($A616*$B616,0))</f>
        <v/>
      </c>
      <c r="F616" s="31">
        <f>IF($C616="","",IFERROR($A616*$C616,0))</f>
        <v/>
      </c>
      <c r="G616" s="31">
        <f>IF($B616="","",IFERROR(MAX(0,ayd_netDefter-$E616),0))</f>
        <v/>
      </c>
      <c r="H616" s="31">
        <f>IF($C616="","",IFERROR(MAX(0,ayd_netDefter+ayd_fark-$F616),0))</f>
        <v/>
      </c>
      <c r="I616" s="31">
        <f>IF($A616="","",IF($A616&gt;IFERROR(GIRDI!B12,0),"DIŞI","AKTİF"))</f>
        <v/>
      </c>
    </row>
    <row r="617">
      <c r="B617" s="31">
        <f>IF(OR($A617="",$A617&gt;IFERROR(GIRDI!B12,0)),"",IFERROR(IF(OR(GIRDI!B12="",GIRDI!B12=0),0,ayd_netDefter/GIRDI!B12),0))</f>
        <v/>
      </c>
      <c r="C617" s="31">
        <f>IF(OR($A617="",$A617&gt;IFERROR(GIRDI!B12,0)),"",IFERROR(IF(OR(GIRDI!B12="",GIRDI!B12=0),0,(ayd_netDefter+ayd_fark)/GIRDI!B12),0))</f>
        <v/>
      </c>
      <c r="D617" s="31">
        <f>IF($B617="","",IFERROR($C617-$B617,0))</f>
        <v/>
      </c>
      <c r="E617" s="31">
        <f>IF($B617="","",IFERROR($A617*$B617,0))</f>
        <v/>
      </c>
      <c r="F617" s="31">
        <f>IF($C617="","",IFERROR($A617*$C617,0))</f>
        <v/>
      </c>
      <c r="G617" s="31">
        <f>IF($B617="","",IFERROR(MAX(0,ayd_netDefter-$E617),0))</f>
        <v/>
      </c>
      <c r="H617" s="31">
        <f>IF($C617="","",IFERROR(MAX(0,ayd_netDefter+ayd_fark-$F617),0))</f>
        <v/>
      </c>
      <c r="I617" s="31">
        <f>IF($A617="","",IF($A617&gt;IFERROR(GIRDI!B12,0),"DIŞI","AKTİF"))</f>
        <v/>
      </c>
    </row>
    <row r="618">
      <c r="B618" s="31">
        <f>IF(OR($A618="",$A618&gt;IFERROR(GIRDI!B12,0)),"",IFERROR(IF(OR(GIRDI!B12="",GIRDI!B12=0),0,ayd_netDefter/GIRDI!B12),0))</f>
        <v/>
      </c>
      <c r="C618" s="31">
        <f>IF(OR($A618="",$A618&gt;IFERROR(GIRDI!B12,0)),"",IFERROR(IF(OR(GIRDI!B12="",GIRDI!B12=0),0,(ayd_netDefter+ayd_fark)/GIRDI!B12),0))</f>
        <v/>
      </c>
      <c r="D618" s="31">
        <f>IF($B618="","",IFERROR($C618-$B618,0))</f>
        <v/>
      </c>
      <c r="E618" s="31">
        <f>IF($B618="","",IFERROR($A618*$B618,0))</f>
        <v/>
      </c>
      <c r="F618" s="31">
        <f>IF($C618="","",IFERROR($A618*$C618,0))</f>
        <v/>
      </c>
      <c r="G618" s="31">
        <f>IF($B618="","",IFERROR(MAX(0,ayd_netDefter-$E618),0))</f>
        <v/>
      </c>
      <c r="H618" s="31">
        <f>IF($C618="","",IFERROR(MAX(0,ayd_netDefter+ayd_fark-$F618),0))</f>
        <v/>
      </c>
      <c r="I618" s="31">
        <f>IF($A618="","",IF($A618&gt;IFERROR(GIRDI!B12,0),"DIŞI","AKTİF"))</f>
        <v/>
      </c>
    </row>
    <row r="619">
      <c r="B619" s="31">
        <f>IF(OR($A619="",$A619&gt;IFERROR(GIRDI!B12,0)),"",IFERROR(IF(OR(GIRDI!B12="",GIRDI!B12=0),0,ayd_netDefter/GIRDI!B12),0))</f>
        <v/>
      </c>
      <c r="C619" s="31">
        <f>IF(OR($A619="",$A619&gt;IFERROR(GIRDI!B12,0)),"",IFERROR(IF(OR(GIRDI!B12="",GIRDI!B12=0),0,(ayd_netDefter+ayd_fark)/GIRDI!B12),0))</f>
        <v/>
      </c>
      <c r="D619" s="31">
        <f>IF($B619="","",IFERROR($C619-$B619,0))</f>
        <v/>
      </c>
      <c r="E619" s="31">
        <f>IF($B619="","",IFERROR($A619*$B619,0))</f>
        <v/>
      </c>
      <c r="F619" s="31">
        <f>IF($C619="","",IFERROR($A619*$C619,0))</f>
        <v/>
      </c>
      <c r="G619" s="31">
        <f>IF($B619="","",IFERROR(MAX(0,ayd_netDefter-$E619),0))</f>
        <v/>
      </c>
      <c r="H619" s="31">
        <f>IF($C619="","",IFERROR(MAX(0,ayd_netDefter+ayd_fark-$F619),0))</f>
        <v/>
      </c>
      <c r="I619" s="31">
        <f>IF($A619="","",IF($A619&gt;IFERROR(GIRDI!B12,0),"DIŞI","AKTİF"))</f>
        <v/>
      </c>
    </row>
    <row r="620">
      <c r="B620" s="31">
        <f>IF(OR($A620="",$A620&gt;IFERROR(GIRDI!B12,0)),"",IFERROR(IF(OR(GIRDI!B12="",GIRDI!B12=0),0,ayd_netDefter/GIRDI!B12),0))</f>
        <v/>
      </c>
      <c r="C620" s="31">
        <f>IF(OR($A620="",$A620&gt;IFERROR(GIRDI!B12,0)),"",IFERROR(IF(OR(GIRDI!B12="",GIRDI!B12=0),0,(ayd_netDefter+ayd_fark)/GIRDI!B12),0))</f>
        <v/>
      </c>
      <c r="D620" s="31">
        <f>IF($B620="","",IFERROR($C620-$B620,0))</f>
        <v/>
      </c>
      <c r="E620" s="31">
        <f>IF($B620="","",IFERROR($A620*$B620,0))</f>
        <v/>
      </c>
      <c r="F620" s="31">
        <f>IF($C620="","",IFERROR($A620*$C620,0))</f>
        <v/>
      </c>
      <c r="G620" s="31">
        <f>IF($B620="","",IFERROR(MAX(0,ayd_netDefter-$E620),0))</f>
        <v/>
      </c>
      <c r="H620" s="31">
        <f>IF($C620="","",IFERROR(MAX(0,ayd_netDefter+ayd_fark-$F620),0))</f>
        <v/>
      </c>
      <c r="I620" s="31">
        <f>IF($A620="","",IF($A620&gt;IFERROR(GIRDI!B12,0),"DIŞI","AKTİF"))</f>
        <v/>
      </c>
    </row>
    <row r="621">
      <c r="B621" s="31">
        <f>IF(OR($A621="",$A621&gt;IFERROR(GIRDI!B12,0)),"",IFERROR(IF(OR(GIRDI!B12="",GIRDI!B12=0),0,ayd_netDefter/GIRDI!B12),0))</f>
        <v/>
      </c>
      <c r="C621" s="31">
        <f>IF(OR($A621="",$A621&gt;IFERROR(GIRDI!B12,0)),"",IFERROR(IF(OR(GIRDI!B12="",GIRDI!B12=0),0,(ayd_netDefter+ayd_fark)/GIRDI!B12),0))</f>
        <v/>
      </c>
      <c r="D621" s="31">
        <f>IF($B621="","",IFERROR($C621-$B621,0))</f>
        <v/>
      </c>
      <c r="E621" s="31">
        <f>IF($B621="","",IFERROR($A621*$B621,0))</f>
        <v/>
      </c>
      <c r="F621" s="31">
        <f>IF($C621="","",IFERROR($A621*$C621,0))</f>
        <v/>
      </c>
      <c r="G621" s="31">
        <f>IF($B621="","",IFERROR(MAX(0,ayd_netDefter-$E621),0))</f>
        <v/>
      </c>
      <c r="H621" s="31">
        <f>IF($C621="","",IFERROR(MAX(0,ayd_netDefter+ayd_fark-$F621),0))</f>
        <v/>
      </c>
      <c r="I621" s="31">
        <f>IF($A621="","",IF($A621&gt;IFERROR(GIRDI!B12,0),"DIŞI","AKTİF"))</f>
        <v/>
      </c>
    </row>
    <row r="622">
      <c r="B622" s="31">
        <f>IF(OR($A622="",$A622&gt;IFERROR(GIRDI!B12,0)),"",IFERROR(IF(OR(GIRDI!B12="",GIRDI!B12=0),0,ayd_netDefter/GIRDI!B12),0))</f>
        <v/>
      </c>
      <c r="C622" s="31">
        <f>IF(OR($A622="",$A622&gt;IFERROR(GIRDI!B12,0)),"",IFERROR(IF(OR(GIRDI!B12="",GIRDI!B12=0),0,(ayd_netDefter+ayd_fark)/GIRDI!B12),0))</f>
        <v/>
      </c>
      <c r="D622" s="31">
        <f>IF($B622="","",IFERROR($C622-$B622,0))</f>
        <v/>
      </c>
      <c r="E622" s="31">
        <f>IF($B622="","",IFERROR($A622*$B622,0))</f>
        <v/>
      </c>
      <c r="F622" s="31">
        <f>IF($C622="","",IFERROR($A622*$C622,0))</f>
        <v/>
      </c>
      <c r="G622" s="31">
        <f>IF($B622="","",IFERROR(MAX(0,ayd_netDefter-$E622),0))</f>
        <v/>
      </c>
      <c r="H622" s="31">
        <f>IF($C622="","",IFERROR(MAX(0,ayd_netDefter+ayd_fark-$F622),0))</f>
        <v/>
      </c>
      <c r="I622" s="31">
        <f>IF($A622="","",IF($A622&gt;IFERROR(GIRDI!B12,0),"DIŞI","AKTİF"))</f>
        <v/>
      </c>
    </row>
    <row r="623">
      <c r="B623" s="31">
        <f>IF(OR($A623="",$A623&gt;IFERROR(GIRDI!B12,0)),"",IFERROR(IF(OR(GIRDI!B12="",GIRDI!B12=0),0,ayd_netDefter/GIRDI!B12),0))</f>
        <v/>
      </c>
      <c r="C623" s="31">
        <f>IF(OR($A623="",$A623&gt;IFERROR(GIRDI!B12,0)),"",IFERROR(IF(OR(GIRDI!B12="",GIRDI!B12=0),0,(ayd_netDefter+ayd_fark)/GIRDI!B12),0))</f>
        <v/>
      </c>
      <c r="D623" s="31">
        <f>IF($B623="","",IFERROR($C623-$B623,0))</f>
        <v/>
      </c>
      <c r="E623" s="31">
        <f>IF($B623="","",IFERROR($A623*$B623,0))</f>
        <v/>
      </c>
      <c r="F623" s="31">
        <f>IF($C623="","",IFERROR($A623*$C623,0))</f>
        <v/>
      </c>
      <c r="G623" s="31">
        <f>IF($B623="","",IFERROR(MAX(0,ayd_netDefter-$E623),0))</f>
        <v/>
      </c>
      <c r="H623" s="31">
        <f>IF($C623="","",IFERROR(MAX(0,ayd_netDefter+ayd_fark-$F623),0))</f>
        <v/>
      </c>
      <c r="I623" s="31">
        <f>IF($A623="","",IF($A623&gt;IFERROR(GIRDI!B12,0),"DIŞI","AKTİF"))</f>
        <v/>
      </c>
    </row>
    <row r="624">
      <c r="B624" s="31">
        <f>IF(OR($A624="",$A624&gt;IFERROR(GIRDI!B12,0)),"",IFERROR(IF(OR(GIRDI!B12="",GIRDI!B12=0),0,ayd_netDefter/GIRDI!B12),0))</f>
        <v/>
      </c>
      <c r="C624" s="31">
        <f>IF(OR($A624="",$A624&gt;IFERROR(GIRDI!B12,0)),"",IFERROR(IF(OR(GIRDI!B12="",GIRDI!B12=0),0,(ayd_netDefter+ayd_fark)/GIRDI!B12),0))</f>
        <v/>
      </c>
      <c r="D624" s="31">
        <f>IF($B624="","",IFERROR($C624-$B624,0))</f>
        <v/>
      </c>
      <c r="E624" s="31">
        <f>IF($B624="","",IFERROR($A624*$B624,0))</f>
        <v/>
      </c>
      <c r="F624" s="31">
        <f>IF($C624="","",IFERROR($A624*$C624,0))</f>
        <v/>
      </c>
      <c r="G624" s="31">
        <f>IF($B624="","",IFERROR(MAX(0,ayd_netDefter-$E624),0))</f>
        <v/>
      </c>
      <c r="H624" s="31">
        <f>IF($C624="","",IFERROR(MAX(0,ayd_netDefter+ayd_fark-$F624),0))</f>
        <v/>
      </c>
      <c r="I624" s="31">
        <f>IF($A624="","",IF($A624&gt;IFERROR(GIRDI!B12,0),"DIŞI","AKTİF"))</f>
        <v/>
      </c>
    </row>
    <row r="625">
      <c r="B625" s="31">
        <f>IF(OR($A625="",$A625&gt;IFERROR(GIRDI!B12,0)),"",IFERROR(IF(OR(GIRDI!B12="",GIRDI!B12=0),0,ayd_netDefter/GIRDI!B12),0))</f>
        <v/>
      </c>
      <c r="C625" s="31">
        <f>IF(OR($A625="",$A625&gt;IFERROR(GIRDI!B12,0)),"",IFERROR(IF(OR(GIRDI!B12="",GIRDI!B12=0),0,(ayd_netDefter+ayd_fark)/GIRDI!B12),0))</f>
        <v/>
      </c>
      <c r="D625" s="31">
        <f>IF($B625="","",IFERROR($C625-$B625,0))</f>
        <v/>
      </c>
      <c r="E625" s="31">
        <f>IF($B625="","",IFERROR($A625*$B625,0))</f>
        <v/>
      </c>
      <c r="F625" s="31">
        <f>IF($C625="","",IFERROR($A625*$C625,0))</f>
        <v/>
      </c>
      <c r="G625" s="31">
        <f>IF($B625="","",IFERROR(MAX(0,ayd_netDefter-$E625),0))</f>
        <v/>
      </c>
      <c r="H625" s="31">
        <f>IF($C625="","",IFERROR(MAX(0,ayd_netDefter+ayd_fark-$F625),0))</f>
        <v/>
      </c>
      <c r="I625" s="31">
        <f>IF($A625="","",IF($A625&gt;IFERROR(GIRDI!B12,0),"DIŞI","AKTİF"))</f>
        <v/>
      </c>
    </row>
    <row r="626">
      <c r="B626" s="31">
        <f>IF(OR($A626="",$A626&gt;IFERROR(GIRDI!B12,0)),"",IFERROR(IF(OR(GIRDI!B12="",GIRDI!B12=0),0,ayd_netDefter/GIRDI!B12),0))</f>
        <v/>
      </c>
      <c r="C626" s="31">
        <f>IF(OR($A626="",$A626&gt;IFERROR(GIRDI!B12,0)),"",IFERROR(IF(OR(GIRDI!B12="",GIRDI!B12=0),0,(ayd_netDefter+ayd_fark)/GIRDI!B12),0))</f>
        <v/>
      </c>
      <c r="D626" s="31">
        <f>IF($B626="","",IFERROR($C626-$B626,0))</f>
        <v/>
      </c>
      <c r="E626" s="31">
        <f>IF($B626="","",IFERROR($A626*$B626,0))</f>
        <v/>
      </c>
      <c r="F626" s="31">
        <f>IF($C626="","",IFERROR($A626*$C626,0))</f>
        <v/>
      </c>
      <c r="G626" s="31">
        <f>IF($B626="","",IFERROR(MAX(0,ayd_netDefter-$E626),0))</f>
        <v/>
      </c>
      <c r="H626" s="31">
        <f>IF($C626="","",IFERROR(MAX(0,ayd_netDefter+ayd_fark-$F626),0))</f>
        <v/>
      </c>
      <c r="I626" s="31">
        <f>IF($A626="","",IF($A626&gt;IFERROR(GIRDI!B12,0),"DIŞI","AKTİF"))</f>
        <v/>
      </c>
    </row>
    <row r="627">
      <c r="B627" s="31">
        <f>IF(OR($A627="",$A627&gt;IFERROR(GIRDI!B12,0)),"",IFERROR(IF(OR(GIRDI!B12="",GIRDI!B12=0),0,ayd_netDefter/GIRDI!B12),0))</f>
        <v/>
      </c>
      <c r="C627" s="31">
        <f>IF(OR($A627="",$A627&gt;IFERROR(GIRDI!B12,0)),"",IFERROR(IF(OR(GIRDI!B12="",GIRDI!B12=0),0,(ayd_netDefter+ayd_fark)/GIRDI!B12),0))</f>
        <v/>
      </c>
      <c r="D627" s="31">
        <f>IF($B627="","",IFERROR($C627-$B627,0))</f>
        <v/>
      </c>
      <c r="E627" s="31">
        <f>IF($B627="","",IFERROR($A627*$B627,0))</f>
        <v/>
      </c>
      <c r="F627" s="31">
        <f>IF($C627="","",IFERROR($A627*$C627,0))</f>
        <v/>
      </c>
      <c r="G627" s="31">
        <f>IF($B627="","",IFERROR(MAX(0,ayd_netDefter-$E627),0))</f>
        <v/>
      </c>
      <c r="H627" s="31">
        <f>IF($C627="","",IFERROR(MAX(0,ayd_netDefter+ayd_fark-$F627),0))</f>
        <v/>
      </c>
      <c r="I627" s="31">
        <f>IF($A627="","",IF($A627&gt;IFERROR(GIRDI!B12,0),"DIŞI","AKTİF"))</f>
        <v/>
      </c>
    </row>
    <row r="628">
      <c r="B628" s="31">
        <f>IF(OR($A628="",$A628&gt;IFERROR(GIRDI!B12,0)),"",IFERROR(IF(OR(GIRDI!B12="",GIRDI!B12=0),0,ayd_netDefter/GIRDI!B12),0))</f>
        <v/>
      </c>
      <c r="C628" s="31">
        <f>IF(OR($A628="",$A628&gt;IFERROR(GIRDI!B12,0)),"",IFERROR(IF(OR(GIRDI!B12="",GIRDI!B12=0),0,(ayd_netDefter+ayd_fark)/GIRDI!B12),0))</f>
        <v/>
      </c>
      <c r="D628" s="31">
        <f>IF($B628="","",IFERROR($C628-$B628,0))</f>
        <v/>
      </c>
      <c r="E628" s="31">
        <f>IF($B628="","",IFERROR($A628*$B628,0))</f>
        <v/>
      </c>
      <c r="F628" s="31">
        <f>IF($C628="","",IFERROR($A628*$C628,0))</f>
        <v/>
      </c>
      <c r="G628" s="31">
        <f>IF($B628="","",IFERROR(MAX(0,ayd_netDefter-$E628),0))</f>
        <v/>
      </c>
      <c r="H628" s="31">
        <f>IF($C628="","",IFERROR(MAX(0,ayd_netDefter+ayd_fark-$F628),0))</f>
        <v/>
      </c>
      <c r="I628" s="31">
        <f>IF($A628="","",IF($A628&gt;IFERROR(GIRDI!B12,0),"DIŞI","AKTİF"))</f>
        <v/>
      </c>
    </row>
    <row r="629">
      <c r="B629" s="31">
        <f>IF(OR($A629="",$A629&gt;IFERROR(GIRDI!B12,0)),"",IFERROR(IF(OR(GIRDI!B12="",GIRDI!B12=0),0,ayd_netDefter/GIRDI!B12),0))</f>
        <v/>
      </c>
      <c r="C629" s="31">
        <f>IF(OR($A629="",$A629&gt;IFERROR(GIRDI!B12,0)),"",IFERROR(IF(OR(GIRDI!B12="",GIRDI!B12=0),0,(ayd_netDefter+ayd_fark)/GIRDI!B12),0))</f>
        <v/>
      </c>
      <c r="D629" s="31">
        <f>IF($B629="","",IFERROR($C629-$B629,0))</f>
        <v/>
      </c>
      <c r="E629" s="31">
        <f>IF($B629="","",IFERROR($A629*$B629,0))</f>
        <v/>
      </c>
      <c r="F629" s="31">
        <f>IF($C629="","",IFERROR($A629*$C629,0))</f>
        <v/>
      </c>
      <c r="G629" s="31">
        <f>IF($B629="","",IFERROR(MAX(0,ayd_netDefter-$E629),0))</f>
        <v/>
      </c>
      <c r="H629" s="31">
        <f>IF($C629="","",IFERROR(MAX(0,ayd_netDefter+ayd_fark-$F629),0))</f>
        <v/>
      </c>
      <c r="I629" s="31">
        <f>IF($A629="","",IF($A629&gt;IFERROR(GIRDI!B12,0),"DIŞI","AKTİF"))</f>
        <v/>
      </c>
    </row>
    <row r="630">
      <c r="B630" s="31">
        <f>IF(OR($A630="",$A630&gt;IFERROR(GIRDI!B12,0)),"",IFERROR(IF(OR(GIRDI!B12="",GIRDI!B12=0),0,ayd_netDefter/GIRDI!B12),0))</f>
        <v/>
      </c>
      <c r="C630" s="31">
        <f>IF(OR($A630="",$A630&gt;IFERROR(GIRDI!B12,0)),"",IFERROR(IF(OR(GIRDI!B12="",GIRDI!B12=0),0,(ayd_netDefter+ayd_fark)/GIRDI!B12),0))</f>
        <v/>
      </c>
      <c r="D630" s="31">
        <f>IF($B630="","",IFERROR($C630-$B630,0))</f>
        <v/>
      </c>
      <c r="E630" s="31">
        <f>IF($B630="","",IFERROR($A630*$B630,0))</f>
        <v/>
      </c>
      <c r="F630" s="31">
        <f>IF($C630="","",IFERROR($A630*$C630,0))</f>
        <v/>
      </c>
      <c r="G630" s="31">
        <f>IF($B630="","",IFERROR(MAX(0,ayd_netDefter-$E630),0))</f>
        <v/>
      </c>
      <c r="H630" s="31">
        <f>IF($C630="","",IFERROR(MAX(0,ayd_netDefter+ayd_fark-$F630),0))</f>
        <v/>
      </c>
      <c r="I630" s="31">
        <f>IF($A630="","",IF($A630&gt;IFERROR(GIRDI!B12,0),"DIŞI","AKTİF"))</f>
        <v/>
      </c>
    </row>
    <row r="631">
      <c r="B631" s="31">
        <f>IF(OR($A631="",$A631&gt;IFERROR(GIRDI!B12,0)),"",IFERROR(IF(OR(GIRDI!B12="",GIRDI!B12=0),0,ayd_netDefter/GIRDI!B12),0))</f>
        <v/>
      </c>
      <c r="C631" s="31">
        <f>IF(OR($A631="",$A631&gt;IFERROR(GIRDI!B12,0)),"",IFERROR(IF(OR(GIRDI!B12="",GIRDI!B12=0),0,(ayd_netDefter+ayd_fark)/GIRDI!B12),0))</f>
        <v/>
      </c>
      <c r="D631" s="31">
        <f>IF($B631="","",IFERROR($C631-$B631,0))</f>
        <v/>
      </c>
      <c r="E631" s="31">
        <f>IF($B631="","",IFERROR($A631*$B631,0))</f>
        <v/>
      </c>
      <c r="F631" s="31">
        <f>IF($C631="","",IFERROR($A631*$C631,0))</f>
        <v/>
      </c>
      <c r="G631" s="31">
        <f>IF($B631="","",IFERROR(MAX(0,ayd_netDefter-$E631),0))</f>
        <v/>
      </c>
      <c r="H631" s="31">
        <f>IF($C631="","",IFERROR(MAX(0,ayd_netDefter+ayd_fark-$F631),0))</f>
        <v/>
      </c>
      <c r="I631" s="31">
        <f>IF($A631="","",IF($A631&gt;IFERROR(GIRDI!B12,0),"DIŞI","AKTİF"))</f>
        <v/>
      </c>
    </row>
    <row r="632">
      <c r="B632" s="31">
        <f>IF(OR($A632="",$A632&gt;IFERROR(GIRDI!B12,0)),"",IFERROR(IF(OR(GIRDI!B12="",GIRDI!B12=0),0,ayd_netDefter/GIRDI!B12),0))</f>
        <v/>
      </c>
      <c r="C632" s="31">
        <f>IF(OR($A632="",$A632&gt;IFERROR(GIRDI!B12,0)),"",IFERROR(IF(OR(GIRDI!B12="",GIRDI!B12=0),0,(ayd_netDefter+ayd_fark)/GIRDI!B12),0))</f>
        <v/>
      </c>
      <c r="D632" s="31">
        <f>IF($B632="","",IFERROR($C632-$B632,0))</f>
        <v/>
      </c>
      <c r="E632" s="31">
        <f>IF($B632="","",IFERROR($A632*$B632,0))</f>
        <v/>
      </c>
      <c r="F632" s="31">
        <f>IF($C632="","",IFERROR($A632*$C632,0))</f>
        <v/>
      </c>
      <c r="G632" s="31">
        <f>IF($B632="","",IFERROR(MAX(0,ayd_netDefter-$E632),0))</f>
        <v/>
      </c>
      <c r="H632" s="31">
        <f>IF($C632="","",IFERROR(MAX(0,ayd_netDefter+ayd_fark-$F632),0))</f>
        <v/>
      </c>
      <c r="I632" s="31">
        <f>IF($A632="","",IF($A632&gt;IFERROR(GIRDI!B12,0),"DIŞI","AKTİF"))</f>
        <v/>
      </c>
    </row>
    <row r="633">
      <c r="B633" s="31">
        <f>IF(OR($A633="",$A633&gt;IFERROR(GIRDI!B12,0)),"",IFERROR(IF(OR(GIRDI!B12="",GIRDI!B12=0),0,ayd_netDefter/GIRDI!B12),0))</f>
        <v/>
      </c>
      <c r="C633" s="31">
        <f>IF(OR($A633="",$A633&gt;IFERROR(GIRDI!B12,0)),"",IFERROR(IF(OR(GIRDI!B12="",GIRDI!B12=0),0,(ayd_netDefter+ayd_fark)/GIRDI!B12),0))</f>
        <v/>
      </c>
      <c r="D633" s="31">
        <f>IF($B633="","",IFERROR($C633-$B633,0))</f>
        <v/>
      </c>
      <c r="E633" s="31">
        <f>IF($B633="","",IFERROR($A633*$B633,0))</f>
        <v/>
      </c>
      <c r="F633" s="31">
        <f>IF($C633="","",IFERROR($A633*$C633,0))</f>
        <v/>
      </c>
      <c r="G633" s="31">
        <f>IF($B633="","",IFERROR(MAX(0,ayd_netDefter-$E633),0))</f>
        <v/>
      </c>
      <c r="H633" s="31">
        <f>IF($C633="","",IFERROR(MAX(0,ayd_netDefter+ayd_fark-$F633),0))</f>
        <v/>
      </c>
      <c r="I633" s="31">
        <f>IF($A633="","",IF($A633&gt;IFERROR(GIRDI!B12,0),"DIŞI","AKTİF"))</f>
        <v/>
      </c>
    </row>
    <row r="634">
      <c r="B634" s="31">
        <f>IF(OR($A634="",$A634&gt;IFERROR(GIRDI!B12,0)),"",IFERROR(IF(OR(GIRDI!B12="",GIRDI!B12=0),0,ayd_netDefter/GIRDI!B12),0))</f>
        <v/>
      </c>
      <c r="C634" s="31">
        <f>IF(OR($A634="",$A634&gt;IFERROR(GIRDI!B12,0)),"",IFERROR(IF(OR(GIRDI!B12="",GIRDI!B12=0),0,(ayd_netDefter+ayd_fark)/GIRDI!B12),0))</f>
        <v/>
      </c>
      <c r="D634" s="31">
        <f>IF($B634="","",IFERROR($C634-$B634,0))</f>
        <v/>
      </c>
      <c r="E634" s="31">
        <f>IF($B634="","",IFERROR($A634*$B634,0))</f>
        <v/>
      </c>
      <c r="F634" s="31">
        <f>IF($C634="","",IFERROR($A634*$C634,0))</f>
        <v/>
      </c>
      <c r="G634" s="31">
        <f>IF($B634="","",IFERROR(MAX(0,ayd_netDefter-$E634),0))</f>
        <v/>
      </c>
      <c r="H634" s="31">
        <f>IF($C634="","",IFERROR(MAX(0,ayd_netDefter+ayd_fark-$F634),0))</f>
        <v/>
      </c>
      <c r="I634" s="31">
        <f>IF($A634="","",IF($A634&gt;IFERROR(GIRDI!B12,0),"DIŞI","AKTİF"))</f>
        <v/>
      </c>
    </row>
    <row r="635">
      <c r="B635" s="31">
        <f>IF(OR($A635="",$A635&gt;IFERROR(GIRDI!B12,0)),"",IFERROR(IF(OR(GIRDI!B12="",GIRDI!B12=0),0,ayd_netDefter/GIRDI!B12),0))</f>
        <v/>
      </c>
      <c r="C635" s="31">
        <f>IF(OR($A635="",$A635&gt;IFERROR(GIRDI!B12,0)),"",IFERROR(IF(OR(GIRDI!B12="",GIRDI!B12=0),0,(ayd_netDefter+ayd_fark)/GIRDI!B12),0))</f>
        <v/>
      </c>
      <c r="D635" s="31">
        <f>IF($B635="","",IFERROR($C635-$B635,0))</f>
        <v/>
      </c>
      <c r="E635" s="31">
        <f>IF($B635="","",IFERROR($A635*$B635,0))</f>
        <v/>
      </c>
      <c r="F635" s="31">
        <f>IF($C635="","",IFERROR($A635*$C635,0))</f>
        <v/>
      </c>
      <c r="G635" s="31">
        <f>IF($B635="","",IFERROR(MAX(0,ayd_netDefter-$E635),0))</f>
        <v/>
      </c>
      <c r="H635" s="31">
        <f>IF($C635="","",IFERROR(MAX(0,ayd_netDefter+ayd_fark-$F635),0))</f>
        <v/>
      </c>
      <c r="I635" s="31">
        <f>IF($A635="","",IF($A635&gt;IFERROR(GIRDI!B12,0),"DIŞI","AKTİF"))</f>
        <v/>
      </c>
    </row>
    <row r="636">
      <c r="B636" s="31">
        <f>IF(OR($A636="",$A636&gt;IFERROR(GIRDI!B12,0)),"",IFERROR(IF(OR(GIRDI!B12="",GIRDI!B12=0),0,ayd_netDefter/GIRDI!B12),0))</f>
        <v/>
      </c>
      <c r="C636" s="31">
        <f>IF(OR($A636="",$A636&gt;IFERROR(GIRDI!B12,0)),"",IFERROR(IF(OR(GIRDI!B12="",GIRDI!B12=0),0,(ayd_netDefter+ayd_fark)/GIRDI!B12),0))</f>
        <v/>
      </c>
      <c r="D636" s="31">
        <f>IF($B636="","",IFERROR($C636-$B636,0))</f>
        <v/>
      </c>
      <c r="E636" s="31">
        <f>IF($B636="","",IFERROR($A636*$B636,0))</f>
        <v/>
      </c>
      <c r="F636" s="31">
        <f>IF($C636="","",IFERROR($A636*$C636,0))</f>
        <v/>
      </c>
      <c r="G636" s="31">
        <f>IF($B636="","",IFERROR(MAX(0,ayd_netDefter-$E636),0))</f>
        <v/>
      </c>
      <c r="H636" s="31">
        <f>IF($C636="","",IFERROR(MAX(0,ayd_netDefter+ayd_fark-$F636),0))</f>
        <v/>
      </c>
      <c r="I636" s="31">
        <f>IF($A636="","",IF($A636&gt;IFERROR(GIRDI!B12,0),"DIŞI","AKTİF"))</f>
        <v/>
      </c>
    </row>
    <row r="637">
      <c r="B637" s="31">
        <f>IF(OR($A637="",$A637&gt;IFERROR(GIRDI!B12,0)),"",IFERROR(IF(OR(GIRDI!B12="",GIRDI!B12=0),0,ayd_netDefter/GIRDI!B12),0))</f>
        <v/>
      </c>
      <c r="C637" s="31">
        <f>IF(OR($A637="",$A637&gt;IFERROR(GIRDI!B12,0)),"",IFERROR(IF(OR(GIRDI!B12="",GIRDI!B12=0),0,(ayd_netDefter+ayd_fark)/GIRDI!B12),0))</f>
        <v/>
      </c>
      <c r="D637" s="31">
        <f>IF($B637="","",IFERROR($C637-$B637,0))</f>
        <v/>
      </c>
      <c r="E637" s="31">
        <f>IF($B637="","",IFERROR($A637*$B637,0))</f>
        <v/>
      </c>
      <c r="F637" s="31">
        <f>IF($C637="","",IFERROR($A637*$C637,0))</f>
        <v/>
      </c>
      <c r="G637" s="31">
        <f>IF($B637="","",IFERROR(MAX(0,ayd_netDefter-$E637),0))</f>
        <v/>
      </c>
      <c r="H637" s="31">
        <f>IF($C637="","",IFERROR(MAX(0,ayd_netDefter+ayd_fark-$F637),0))</f>
        <v/>
      </c>
      <c r="I637" s="31">
        <f>IF($A637="","",IF($A637&gt;IFERROR(GIRDI!B12,0),"DIŞI","AKTİF"))</f>
        <v/>
      </c>
    </row>
    <row r="638">
      <c r="B638" s="31">
        <f>IF(OR($A638="",$A638&gt;IFERROR(GIRDI!B12,0)),"",IFERROR(IF(OR(GIRDI!B12="",GIRDI!B12=0),0,ayd_netDefter/GIRDI!B12),0))</f>
        <v/>
      </c>
      <c r="C638" s="31">
        <f>IF(OR($A638="",$A638&gt;IFERROR(GIRDI!B12,0)),"",IFERROR(IF(OR(GIRDI!B12="",GIRDI!B12=0),0,(ayd_netDefter+ayd_fark)/GIRDI!B12),0))</f>
        <v/>
      </c>
      <c r="D638" s="31">
        <f>IF($B638="","",IFERROR($C638-$B638,0))</f>
        <v/>
      </c>
      <c r="E638" s="31">
        <f>IF($B638="","",IFERROR($A638*$B638,0))</f>
        <v/>
      </c>
      <c r="F638" s="31">
        <f>IF($C638="","",IFERROR($A638*$C638,0))</f>
        <v/>
      </c>
      <c r="G638" s="31">
        <f>IF($B638="","",IFERROR(MAX(0,ayd_netDefter-$E638),0))</f>
        <v/>
      </c>
      <c r="H638" s="31">
        <f>IF($C638="","",IFERROR(MAX(0,ayd_netDefter+ayd_fark-$F638),0))</f>
        <v/>
      </c>
      <c r="I638" s="31">
        <f>IF($A638="","",IF($A638&gt;IFERROR(GIRDI!B12,0),"DIŞI","AKTİF"))</f>
        <v/>
      </c>
    </row>
    <row r="639">
      <c r="B639" s="31">
        <f>IF(OR($A639="",$A639&gt;IFERROR(GIRDI!B12,0)),"",IFERROR(IF(OR(GIRDI!B12="",GIRDI!B12=0),0,ayd_netDefter/GIRDI!B12),0))</f>
        <v/>
      </c>
      <c r="C639" s="31">
        <f>IF(OR($A639="",$A639&gt;IFERROR(GIRDI!B12,0)),"",IFERROR(IF(OR(GIRDI!B12="",GIRDI!B12=0),0,(ayd_netDefter+ayd_fark)/GIRDI!B12),0))</f>
        <v/>
      </c>
      <c r="D639" s="31">
        <f>IF($B639="","",IFERROR($C639-$B639,0))</f>
        <v/>
      </c>
      <c r="E639" s="31">
        <f>IF($B639="","",IFERROR($A639*$B639,0))</f>
        <v/>
      </c>
      <c r="F639" s="31">
        <f>IF($C639="","",IFERROR($A639*$C639,0))</f>
        <v/>
      </c>
      <c r="G639" s="31">
        <f>IF($B639="","",IFERROR(MAX(0,ayd_netDefter-$E639),0))</f>
        <v/>
      </c>
      <c r="H639" s="31">
        <f>IF($C639="","",IFERROR(MAX(0,ayd_netDefter+ayd_fark-$F639),0))</f>
        <v/>
      </c>
      <c r="I639" s="31">
        <f>IF($A639="","",IF($A639&gt;IFERROR(GIRDI!B12,0),"DIŞI","AKTİF"))</f>
        <v/>
      </c>
    </row>
    <row r="640">
      <c r="B640" s="31">
        <f>IF(OR($A640="",$A640&gt;IFERROR(GIRDI!B12,0)),"",IFERROR(IF(OR(GIRDI!B12="",GIRDI!B12=0),0,ayd_netDefter/GIRDI!B12),0))</f>
        <v/>
      </c>
      <c r="C640" s="31">
        <f>IF(OR($A640="",$A640&gt;IFERROR(GIRDI!B12,0)),"",IFERROR(IF(OR(GIRDI!B12="",GIRDI!B12=0),0,(ayd_netDefter+ayd_fark)/GIRDI!B12),0))</f>
        <v/>
      </c>
      <c r="D640" s="31">
        <f>IF($B640="","",IFERROR($C640-$B640,0))</f>
        <v/>
      </c>
      <c r="E640" s="31">
        <f>IF($B640="","",IFERROR($A640*$B640,0))</f>
        <v/>
      </c>
      <c r="F640" s="31">
        <f>IF($C640="","",IFERROR($A640*$C640,0))</f>
        <v/>
      </c>
      <c r="G640" s="31">
        <f>IF($B640="","",IFERROR(MAX(0,ayd_netDefter-$E640),0))</f>
        <v/>
      </c>
      <c r="H640" s="31">
        <f>IF($C640="","",IFERROR(MAX(0,ayd_netDefter+ayd_fark-$F640),0))</f>
        <v/>
      </c>
      <c r="I640" s="31">
        <f>IF($A640="","",IF($A640&gt;IFERROR(GIRDI!B12,0),"DIŞI","AKTİF"))</f>
        <v/>
      </c>
    </row>
    <row r="641">
      <c r="B641" s="31">
        <f>IF(OR($A641="",$A641&gt;IFERROR(GIRDI!B12,0)),"",IFERROR(IF(OR(GIRDI!B12="",GIRDI!B12=0),0,ayd_netDefter/GIRDI!B12),0))</f>
        <v/>
      </c>
      <c r="C641" s="31">
        <f>IF(OR($A641="",$A641&gt;IFERROR(GIRDI!B12,0)),"",IFERROR(IF(OR(GIRDI!B12="",GIRDI!B12=0),0,(ayd_netDefter+ayd_fark)/GIRDI!B12),0))</f>
        <v/>
      </c>
      <c r="D641" s="31">
        <f>IF($B641="","",IFERROR($C641-$B641,0))</f>
        <v/>
      </c>
      <c r="E641" s="31">
        <f>IF($B641="","",IFERROR($A641*$B641,0))</f>
        <v/>
      </c>
      <c r="F641" s="31">
        <f>IF($C641="","",IFERROR($A641*$C641,0))</f>
        <v/>
      </c>
      <c r="G641" s="31">
        <f>IF($B641="","",IFERROR(MAX(0,ayd_netDefter-$E641),0))</f>
        <v/>
      </c>
      <c r="H641" s="31">
        <f>IF($C641="","",IFERROR(MAX(0,ayd_netDefter+ayd_fark-$F641),0))</f>
        <v/>
      </c>
      <c r="I641" s="31">
        <f>IF($A641="","",IF($A641&gt;IFERROR(GIRDI!B12,0),"DIŞI","AKTİF"))</f>
        <v/>
      </c>
    </row>
    <row r="642">
      <c r="B642" s="31">
        <f>IF(OR($A642="",$A642&gt;IFERROR(GIRDI!B12,0)),"",IFERROR(IF(OR(GIRDI!B12="",GIRDI!B12=0),0,ayd_netDefter/GIRDI!B12),0))</f>
        <v/>
      </c>
      <c r="C642" s="31">
        <f>IF(OR($A642="",$A642&gt;IFERROR(GIRDI!B12,0)),"",IFERROR(IF(OR(GIRDI!B12="",GIRDI!B12=0),0,(ayd_netDefter+ayd_fark)/GIRDI!B12),0))</f>
        <v/>
      </c>
      <c r="D642" s="31">
        <f>IF($B642="","",IFERROR($C642-$B642,0))</f>
        <v/>
      </c>
      <c r="E642" s="31">
        <f>IF($B642="","",IFERROR($A642*$B642,0))</f>
        <v/>
      </c>
      <c r="F642" s="31">
        <f>IF($C642="","",IFERROR($A642*$C642,0))</f>
        <v/>
      </c>
      <c r="G642" s="31">
        <f>IF($B642="","",IFERROR(MAX(0,ayd_netDefter-$E642),0))</f>
        <v/>
      </c>
      <c r="H642" s="31">
        <f>IF($C642="","",IFERROR(MAX(0,ayd_netDefter+ayd_fark-$F642),0))</f>
        <v/>
      </c>
      <c r="I642" s="31">
        <f>IF($A642="","",IF($A642&gt;IFERROR(GIRDI!B12,0),"DIŞI","AKTİF"))</f>
        <v/>
      </c>
    </row>
    <row r="643">
      <c r="B643" s="31">
        <f>IF(OR($A643="",$A643&gt;IFERROR(GIRDI!B12,0)),"",IFERROR(IF(OR(GIRDI!B12="",GIRDI!B12=0),0,ayd_netDefter/GIRDI!B12),0))</f>
        <v/>
      </c>
      <c r="C643" s="31">
        <f>IF(OR($A643="",$A643&gt;IFERROR(GIRDI!B12,0)),"",IFERROR(IF(OR(GIRDI!B12="",GIRDI!B12=0),0,(ayd_netDefter+ayd_fark)/GIRDI!B12),0))</f>
        <v/>
      </c>
      <c r="D643" s="31">
        <f>IF($B643="","",IFERROR($C643-$B643,0))</f>
        <v/>
      </c>
      <c r="E643" s="31">
        <f>IF($B643="","",IFERROR($A643*$B643,0))</f>
        <v/>
      </c>
      <c r="F643" s="31">
        <f>IF($C643="","",IFERROR($A643*$C643,0))</f>
        <v/>
      </c>
      <c r="G643" s="31">
        <f>IF($B643="","",IFERROR(MAX(0,ayd_netDefter-$E643),0))</f>
        <v/>
      </c>
      <c r="H643" s="31">
        <f>IF($C643="","",IFERROR(MAX(0,ayd_netDefter+ayd_fark-$F643),0))</f>
        <v/>
      </c>
      <c r="I643" s="31">
        <f>IF($A643="","",IF($A643&gt;IFERROR(GIRDI!B12,0),"DIŞI","AKTİF"))</f>
        <v/>
      </c>
    </row>
    <row r="644">
      <c r="B644" s="31">
        <f>IF(OR($A644="",$A644&gt;IFERROR(GIRDI!B12,0)),"",IFERROR(IF(OR(GIRDI!B12="",GIRDI!B12=0),0,ayd_netDefter/GIRDI!B12),0))</f>
        <v/>
      </c>
      <c r="C644" s="31">
        <f>IF(OR($A644="",$A644&gt;IFERROR(GIRDI!B12,0)),"",IFERROR(IF(OR(GIRDI!B12="",GIRDI!B12=0),0,(ayd_netDefter+ayd_fark)/GIRDI!B12),0))</f>
        <v/>
      </c>
      <c r="D644" s="31">
        <f>IF($B644="","",IFERROR($C644-$B644,0))</f>
        <v/>
      </c>
      <c r="E644" s="31">
        <f>IF($B644="","",IFERROR($A644*$B644,0))</f>
        <v/>
      </c>
      <c r="F644" s="31">
        <f>IF($C644="","",IFERROR($A644*$C644,0))</f>
        <v/>
      </c>
      <c r="G644" s="31">
        <f>IF($B644="","",IFERROR(MAX(0,ayd_netDefter-$E644),0))</f>
        <v/>
      </c>
      <c r="H644" s="31">
        <f>IF($C644="","",IFERROR(MAX(0,ayd_netDefter+ayd_fark-$F644),0))</f>
        <v/>
      </c>
      <c r="I644" s="31">
        <f>IF($A644="","",IF($A644&gt;IFERROR(GIRDI!B12,0),"DIŞI","AKTİF"))</f>
        <v/>
      </c>
    </row>
    <row r="645">
      <c r="B645" s="31">
        <f>IF(OR($A645="",$A645&gt;IFERROR(GIRDI!B12,0)),"",IFERROR(IF(OR(GIRDI!B12="",GIRDI!B12=0),0,ayd_netDefter/GIRDI!B12),0))</f>
        <v/>
      </c>
      <c r="C645" s="31">
        <f>IF(OR($A645="",$A645&gt;IFERROR(GIRDI!B12,0)),"",IFERROR(IF(OR(GIRDI!B12="",GIRDI!B12=0),0,(ayd_netDefter+ayd_fark)/GIRDI!B12),0))</f>
        <v/>
      </c>
      <c r="D645" s="31">
        <f>IF($B645="","",IFERROR($C645-$B645,0))</f>
        <v/>
      </c>
      <c r="E645" s="31">
        <f>IF($B645="","",IFERROR($A645*$B645,0))</f>
        <v/>
      </c>
      <c r="F645" s="31">
        <f>IF($C645="","",IFERROR($A645*$C645,0))</f>
        <v/>
      </c>
      <c r="G645" s="31">
        <f>IF($B645="","",IFERROR(MAX(0,ayd_netDefter-$E645),0))</f>
        <v/>
      </c>
      <c r="H645" s="31">
        <f>IF($C645="","",IFERROR(MAX(0,ayd_netDefter+ayd_fark-$F645),0))</f>
        <v/>
      </c>
      <c r="I645" s="31">
        <f>IF($A645="","",IF($A645&gt;IFERROR(GIRDI!B12,0),"DIŞI","AKTİF"))</f>
        <v/>
      </c>
    </row>
    <row r="646">
      <c r="B646" s="31">
        <f>IF(OR($A646="",$A646&gt;IFERROR(GIRDI!B12,0)),"",IFERROR(IF(OR(GIRDI!B12="",GIRDI!B12=0),0,ayd_netDefter/GIRDI!B12),0))</f>
        <v/>
      </c>
      <c r="C646" s="31">
        <f>IF(OR($A646="",$A646&gt;IFERROR(GIRDI!B12,0)),"",IFERROR(IF(OR(GIRDI!B12="",GIRDI!B12=0),0,(ayd_netDefter+ayd_fark)/GIRDI!B12),0))</f>
        <v/>
      </c>
      <c r="D646" s="31">
        <f>IF($B646="","",IFERROR($C646-$B646,0))</f>
        <v/>
      </c>
      <c r="E646" s="31">
        <f>IF($B646="","",IFERROR($A646*$B646,0))</f>
        <v/>
      </c>
      <c r="F646" s="31">
        <f>IF($C646="","",IFERROR($A646*$C646,0))</f>
        <v/>
      </c>
      <c r="G646" s="31">
        <f>IF($B646="","",IFERROR(MAX(0,ayd_netDefter-$E646),0))</f>
        <v/>
      </c>
      <c r="H646" s="31">
        <f>IF($C646="","",IFERROR(MAX(0,ayd_netDefter+ayd_fark-$F646),0))</f>
        <v/>
      </c>
      <c r="I646" s="31">
        <f>IF($A646="","",IF($A646&gt;IFERROR(GIRDI!B12,0),"DIŞI","AKTİF"))</f>
        <v/>
      </c>
    </row>
    <row r="647">
      <c r="B647" s="31">
        <f>IF(OR($A647="",$A647&gt;IFERROR(GIRDI!B12,0)),"",IFERROR(IF(OR(GIRDI!B12="",GIRDI!B12=0),0,ayd_netDefter/GIRDI!B12),0))</f>
        <v/>
      </c>
      <c r="C647" s="31">
        <f>IF(OR($A647="",$A647&gt;IFERROR(GIRDI!B12,0)),"",IFERROR(IF(OR(GIRDI!B12="",GIRDI!B12=0),0,(ayd_netDefter+ayd_fark)/GIRDI!B12),0))</f>
        <v/>
      </c>
      <c r="D647" s="31">
        <f>IF($B647="","",IFERROR($C647-$B647,0))</f>
        <v/>
      </c>
      <c r="E647" s="31">
        <f>IF($B647="","",IFERROR($A647*$B647,0))</f>
        <v/>
      </c>
      <c r="F647" s="31">
        <f>IF($C647="","",IFERROR($A647*$C647,0))</f>
        <v/>
      </c>
      <c r="G647" s="31">
        <f>IF($B647="","",IFERROR(MAX(0,ayd_netDefter-$E647),0))</f>
        <v/>
      </c>
      <c r="H647" s="31">
        <f>IF($C647="","",IFERROR(MAX(0,ayd_netDefter+ayd_fark-$F647),0))</f>
        <v/>
      </c>
      <c r="I647" s="31">
        <f>IF($A647="","",IF($A647&gt;IFERROR(GIRDI!B12,0),"DIŞI","AKTİF"))</f>
        <v/>
      </c>
    </row>
    <row r="648">
      <c r="B648" s="31">
        <f>IF(OR($A648="",$A648&gt;IFERROR(GIRDI!B12,0)),"",IFERROR(IF(OR(GIRDI!B12="",GIRDI!B12=0),0,ayd_netDefter/GIRDI!B12),0))</f>
        <v/>
      </c>
      <c r="C648" s="31">
        <f>IF(OR($A648="",$A648&gt;IFERROR(GIRDI!B12,0)),"",IFERROR(IF(OR(GIRDI!B12="",GIRDI!B12=0),0,(ayd_netDefter+ayd_fark)/GIRDI!B12),0))</f>
        <v/>
      </c>
      <c r="D648" s="31">
        <f>IF($B648="","",IFERROR($C648-$B648,0))</f>
        <v/>
      </c>
      <c r="E648" s="31">
        <f>IF($B648="","",IFERROR($A648*$B648,0))</f>
        <v/>
      </c>
      <c r="F648" s="31">
        <f>IF($C648="","",IFERROR($A648*$C648,0))</f>
        <v/>
      </c>
      <c r="G648" s="31">
        <f>IF($B648="","",IFERROR(MAX(0,ayd_netDefter-$E648),0))</f>
        <v/>
      </c>
      <c r="H648" s="31">
        <f>IF($C648="","",IFERROR(MAX(0,ayd_netDefter+ayd_fark-$F648),0))</f>
        <v/>
      </c>
      <c r="I648" s="31">
        <f>IF($A648="","",IF($A648&gt;IFERROR(GIRDI!B12,0),"DIŞI","AKTİF"))</f>
        <v/>
      </c>
    </row>
    <row r="649">
      <c r="B649" s="31">
        <f>IF(OR($A649="",$A649&gt;IFERROR(GIRDI!B12,0)),"",IFERROR(IF(OR(GIRDI!B12="",GIRDI!B12=0),0,ayd_netDefter/GIRDI!B12),0))</f>
        <v/>
      </c>
      <c r="C649" s="31">
        <f>IF(OR($A649="",$A649&gt;IFERROR(GIRDI!B12,0)),"",IFERROR(IF(OR(GIRDI!B12="",GIRDI!B12=0),0,(ayd_netDefter+ayd_fark)/GIRDI!B12),0))</f>
        <v/>
      </c>
      <c r="D649" s="31">
        <f>IF($B649="","",IFERROR($C649-$B649,0))</f>
        <v/>
      </c>
      <c r="E649" s="31">
        <f>IF($B649="","",IFERROR($A649*$B649,0))</f>
        <v/>
      </c>
      <c r="F649" s="31">
        <f>IF($C649="","",IFERROR($A649*$C649,0))</f>
        <v/>
      </c>
      <c r="G649" s="31">
        <f>IF($B649="","",IFERROR(MAX(0,ayd_netDefter-$E649),0))</f>
        <v/>
      </c>
      <c r="H649" s="31">
        <f>IF($C649="","",IFERROR(MAX(0,ayd_netDefter+ayd_fark-$F649),0))</f>
        <v/>
      </c>
      <c r="I649" s="31">
        <f>IF($A649="","",IF($A649&gt;IFERROR(GIRDI!B12,0),"DIŞI","AKTİF"))</f>
        <v/>
      </c>
    </row>
    <row r="650">
      <c r="B650" s="31">
        <f>IF(OR($A650="",$A650&gt;IFERROR(GIRDI!B12,0)),"",IFERROR(IF(OR(GIRDI!B12="",GIRDI!B12=0),0,ayd_netDefter/GIRDI!B12),0))</f>
        <v/>
      </c>
      <c r="C650" s="31">
        <f>IF(OR($A650="",$A650&gt;IFERROR(GIRDI!B12,0)),"",IFERROR(IF(OR(GIRDI!B12="",GIRDI!B12=0),0,(ayd_netDefter+ayd_fark)/GIRDI!B12),0))</f>
        <v/>
      </c>
      <c r="D650" s="31">
        <f>IF($B650="","",IFERROR($C650-$B650,0))</f>
        <v/>
      </c>
      <c r="E650" s="31">
        <f>IF($B650="","",IFERROR($A650*$B650,0))</f>
        <v/>
      </c>
      <c r="F650" s="31">
        <f>IF($C650="","",IFERROR($A650*$C650,0))</f>
        <v/>
      </c>
      <c r="G650" s="31">
        <f>IF($B650="","",IFERROR(MAX(0,ayd_netDefter-$E650),0))</f>
        <v/>
      </c>
      <c r="H650" s="31">
        <f>IF($C650="","",IFERROR(MAX(0,ayd_netDefter+ayd_fark-$F650),0))</f>
        <v/>
      </c>
      <c r="I650" s="31">
        <f>IF($A650="","",IF($A650&gt;IFERROR(GIRDI!B12,0),"DIŞI","AKTİF"))</f>
        <v/>
      </c>
    </row>
    <row r="651">
      <c r="B651" s="31">
        <f>IF(OR($A651="",$A651&gt;IFERROR(GIRDI!B12,0)),"",IFERROR(IF(OR(GIRDI!B12="",GIRDI!B12=0),0,ayd_netDefter/GIRDI!B12),0))</f>
        <v/>
      </c>
      <c r="C651" s="31">
        <f>IF(OR($A651="",$A651&gt;IFERROR(GIRDI!B12,0)),"",IFERROR(IF(OR(GIRDI!B12="",GIRDI!B12=0),0,(ayd_netDefter+ayd_fark)/GIRDI!B12),0))</f>
        <v/>
      </c>
      <c r="D651" s="31">
        <f>IF($B651="","",IFERROR($C651-$B651,0))</f>
        <v/>
      </c>
      <c r="E651" s="31">
        <f>IF($B651="","",IFERROR($A651*$B651,0))</f>
        <v/>
      </c>
      <c r="F651" s="31">
        <f>IF($C651="","",IFERROR($A651*$C651,0))</f>
        <v/>
      </c>
      <c r="G651" s="31">
        <f>IF($B651="","",IFERROR(MAX(0,ayd_netDefter-$E651),0))</f>
        <v/>
      </c>
      <c r="H651" s="31">
        <f>IF($C651="","",IFERROR(MAX(0,ayd_netDefter+ayd_fark-$F651),0))</f>
        <v/>
      </c>
      <c r="I651" s="31">
        <f>IF($A651="","",IF($A651&gt;IFERROR(GIRDI!B12,0),"DIŞI","AKTİF"))</f>
        <v/>
      </c>
    </row>
    <row r="652">
      <c r="B652" s="31">
        <f>IF(OR($A652="",$A652&gt;IFERROR(GIRDI!B12,0)),"",IFERROR(IF(OR(GIRDI!B12="",GIRDI!B12=0),0,ayd_netDefter/GIRDI!B12),0))</f>
        <v/>
      </c>
      <c r="C652" s="31">
        <f>IF(OR($A652="",$A652&gt;IFERROR(GIRDI!B12,0)),"",IFERROR(IF(OR(GIRDI!B12="",GIRDI!B12=0),0,(ayd_netDefter+ayd_fark)/GIRDI!B12),0))</f>
        <v/>
      </c>
      <c r="D652" s="31">
        <f>IF($B652="","",IFERROR($C652-$B652,0))</f>
        <v/>
      </c>
      <c r="E652" s="31">
        <f>IF($B652="","",IFERROR($A652*$B652,0))</f>
        <v/>
      </c>
      <c r="F652" s="31">
        <f>IF($C652="","",IFERROR($A652*$C652,0))</f>
        <v/>
      </c>
      <c r="G652" s="31">
        <f>IF($B652="","",IFERROR(MAX(0,ayd_netDefter-$E652),0))</f>
        <v/>
      </c>
      <c r="H652" s="31">
        <f>IF($C652="","",IFERROR(MAX(0,ayd_netDefter+ayd_fark-$F652),0))</f>
        <v/>
      </c>
      <c r="I652" s="31">
        <f>IF($A652="","",IF($A652&gt;IFERROR(GIRDI!B12,0),"DIŞI","AKTİF"))</f>
        <v/>
      </c>
    </row>
    <row r="653">
      <c r="B653" s="31">
        <f>IF(OR($A653="",$A653&gt;IFERROR(GIRDI!B12,0)),"",IFERROR(IF(OR(GIRDI!B12="",GIRDI!B12=0),0,ayd_netDefter/GIRDI!B12),0))</f>
        <v/>
      </c>
      <c r="C653" s="31">
        <f>IF(OR($A653="",$A653&gt;IFERROR(GIRDI!B12,0)),"",IFERROR(IF(OR(GIRDI!B12="",GIRDI!B12=0),0,(ayd_netDefter+ayd_fark)/GIRDI!B12),0))</f>
        <v/>
      </c>
      <c r="D653" s="31">
        <f>IF($B653="","",IFERROR($C653-$B653,0))</f>
        <v/>
      </c>
      <c r="E653" s="31">
        <f>IF($B653="","",IFERROR($A653*$B653,0))</f>
        <v/>
      </c>
      <c r="F653" s="31">
        <f>IF($C653="","",IFERROR($A653*$C653,0))</f>
        <v/>
      </c>
      <c r="G653" s="31">
        <f>IF($B653="","",IFERROR(MAX(0,ayd_netDefter-$E653),0))</f>
        <v/>
      </c>
      <c r="H653" s="31">
        <f>IF($C653="","",IFERROR(MAX(0,ayd_netDefter+ayd_fark-$F653),0))</f>
        <v/>
      </c>
      <c r="I653" s="31">
        <f>IF($A653="","",IF($A653&gt;IFERROR(GIRDI!B12,0),"DIŞI","AKTİF"))</f>
        <v/>
      </c>
    </row>
    <row r="654">
      <c r="B654" s="31">
        <f>IF(OR($A654="",$A654&gt;IFERROR(GIRDI!B12,0)),"",IFERROR(IF(OR(GIRDI!B12="",GIRDI!B12=0),0,ayd_netDefter/GIRDI!B12),0))</f>
        <v/>
      </c>
      <c r="C654" s="31">
        <f>IF(OR($A654="",$A654&gt;IFERROR(GIRDI!B12,0)),"",IFERROR(IF(OR(GIRDI!B12="",GIRDI!B12=0),0,(ayd_netDefter+ayd_fark)/GIRDI!B12),0))</f>
        <v/>
      </c>
      <c r="D654" s="31">
        <f>IF($B654="","",IFERROR($C654-$B654,0))</f>
        <v/>
      </c>
      <c r="E654" s="31">
        <f>IF($B654="","",IFERROR($A654*$B654,0))</f>
        <v/>
      </c>
      <c r="F654" s="31">
        <f>IF($C654="","",IFERROR($A654*$C654,0))</f>
        <v/>
      </c>
      <c r="G654" s="31">
        <f>IF($B654="","",IFERROR(MAX(0,ayd_netDefter-$E654),0))</f>
        <v/>
      </c>
      <c r="H654" s="31">
        <f>IF($C654="","",IFERROR(MAX(0,ayd_netDefter+ayd_fark-$F654),0))</f>
        <v/>
      </c>
      <c r="I654" s="31">
        <f>IF($A654="","",IF($A654&gt;IFERROR(GIRDI!B12,0),"DIŞI","AKTİF"))</f>
        <v/>
      </c>
    </row>
    <row r="655">
      <c r="B655" s="31">
        <f>IF(OR($A655="",$A655&gt;IFERROR(GIRDI!B12,0)),"",IFERROR(IF(OR(GIRDI!B12="",GIRDI!B12=0),0,ayd_netDefter/GIRDI!B12),0))</f>
        <v/>
      </c>
      <c r="C655" s="31">
        <f>IF(OR($A655="",$A655&gt;IFERROR(GIRDI!B12,0)),"",IFERROR(IF(OR(GIRDI!B12="",GIRDI!B12=0),0,(ayd_netDefter+ayd_fark)/GIRDI!B12),0))</f>
        <v/>
      </c>
      <c r="D655" s="31">
        <f>IF($B655="","",IFERROR($C655-$B655,0))</f>
        <v/>
      </c>
      <c r="E655" s="31">
        <f>IF($B655="","",IFERROR($A655*$B655,0))</f>
        <v/>
      </c>
      <c r="F655" s="31">
        <f>IF($C655="","",IFERROR($A655*$C655,0))</f>
        <v/>
      </c>
      <c r="G655" s="31">
        <f>IF($B655="","",IFERROR(MAX(0,ayd_netDefter-$E655),0))</f>
        <v/>
      </c>
      <c r="H655" s="31">
        <f>IF($C655="","",IFERROR(MAX(0,ayd_netDefter+ayd_fark-$F655),0))</f>
        <v/>
      </c>
      <c r="I655" s="31">
        <f>IF($A655="","",IF($A655&gt;IFERROR(GIRDI!B12,0),"DIŞI","AKTİF"))</f>
        <v/>
      </c>
    </row>
    <row r="656">
      <c r="B656" s="31">
        <f>IF(OR($A656="",$A656&gt;IFERROR(GIRDI!B12,0)),"",IFERROR(IF(OR(GIRDI!B12="",GIRDI!B12=0),0,ayd_netDefter/GIRDI!B12),0))</f>
        <v/>
      </c>
      <c r="C656" s="31">
        <f>IF(OR($A656="",$A656&gt;IFERROR(GIRDI!B12,0)),"",IFERROR(IF(OR(GIRDI!B12="",GIRDI!B12=0),0,(ayd_netDefter+ayd_fark)/GIRDI!B12),0))</f>
        <v/>
      </c>
      <c r="D656" s="31">
        <f>IF($B656="","",IFERROR($C656-$B656,0))</f>
        <v/>
      </c>
      <c r="E656" s="31">
        <f>IF($B656="","",IFERROR($A656*$B656,0))</f>
        <v/>
      </c>
      <c r="F656" s="31">
        <f>IF($C656="","",IFERROR($A656*$C656,0))</f>
        <v/>
      </c>
      <c r="G656" s="31">
        <f>IF($B656="","",IFERROR(MAX(0,ayd_netDefter-$E656),0))</f>
        <v/>
      </c>
      <c r="H656" s="31">
        <f>IF($C656="","",IFERROR(MAX(0,ayd_netDefter+ayd_fark-$F656),0))</f>
        <v/>
      </c>
      <c r="I656" s="31">
        <f>IF($A656="","",IF($A656&gt;IFERROR(GIRDI!B12,0),"DIŞI","AKTİF"))</f>
        <v/>
      </c>
    </row>
    <row r="657">
      <c r="B657" s="31">
        <f>IF(OR($A657="",$A657&gt;IFERROR(GIRDI!B12,0)),"",IFERROR(IF(OR(GIRDI!B12="",GIRDI!B12=0),0,ayd_netDefter/GIRDI!B12),0))</f>
        <v/>
      </c>
      <c r="C657" s="31">
        <f>IF(OR($A657="",$A657&gt;IFERROR(GIRDI!B12,0)),"",IFERROR(IF(OR(GIRDI!B12="",GIRDI!B12=0),0,(ayd_netDefter+ayd_fark)/GIRDI!B12),0))</f>
        <v/>
      </c>
      <c r="D657" s="31">
        <f>IF($B657="","",IFERROR($C657-$B657,0))</f>
        <v/>
      </c>
      <c r="E657" s="31">
        <f>IF($B657="","",IFERROR($A657*$B657,0))</f>
        <v/>
      </c>
      <c r="F657" s="31">
        <f>IF($C657="","",IFERROR($A657*$C657,0))</f>
        <v/>
      </c>
      <c r="G657" s="31">
        <f>IF($B657="","",IFERROR(MAX(0,ayd_netDefter-$E657),0))</f>
        <v/>
      </c>
      <c r="H657" s="31">
        <f>IF($C657="","",IFERROR(MAX(0,ayd_netDefter+ayd_fark-$F657),0))</f>
        <v/>
      </c>
      <c r="I657" s="31">
        <f>IF($A657="","",IF($A657&gt;IFERROR(GIRDI!B12,0),"DIŞI","AKTİF"))</f>
        <v/>
      </c>
    </row>
    <row r="658">
      <c r="B658" s="31">
        <f>IF(OR($A658="",$A658&gt;IFERROR(GIRDI!B12,0)),"",IFERROR(IF(OR(GIRDI!B12="",GIRDI!B12=0),0,ayd_netDefter/GIRDI!B12),0))</f>
        <v/>
      </c>
      <c r="C658" s="31">
        <f>IF(OR($A658="",$A658&gt;IFERROR(GIRDI!B12,0)),"",IFERROR(IF(OR(GIRDI!B12="",GIRDI!B12=0),0,(ayd_netDefter+ayd_fark)/GIRDI!B12),0))</f>
        <v/>
      </c>
      <c r="D658" s="31">
        <f>IF($B658="","",IFERROR($C658-$B658,0))</f>
        <v/>
      </c>
      <c r="E658" s="31">
        <f>IF($B658="","",IFERROR($A658*$B658,0))</f>
        <v/>
      </c>
      <c r="F658" s="31">
        <f>IF($C658="","",IFERROR($A658*$C658,0))</f>
        <v/>
      </c>
      <c r="G658" s="31">
        <f>IF($B658="","",IFERROR(MAX(0,ayd_netDefter-$E658),0))</f>
        <v/>
      </c>
      <c r="H658" s="31">
        <f>IF($C658="","",IFERROR(MAX(0,ayd_netDefter+ayd_fark-$F658),0))</f>
        <v/>
      </c>
      <c r="I658" s="31">
        <f>IF($A658="","",IF($A658&gt;IFERROR(GIRDI!B12,0),"DIŞI","AKTİF"))</f>
        <v/>
      </c>
    </row>
    <row r="659">
      <c r="B659" s="31">
        <f>IF(OR($A659="",$A659&gt;IFERROR(GIRDI!B12,0)),"",IFERROR(IF(OR(GIRDI!B12="",GIRDI!B12=0),0,ayd_netDefter/GIRDI!B12),0))</f>
        <v/>
      </c>
      <c r="C659" s="31">
        <f>IF(OR($A659="",$A659&gt;IFERROR(GIRDI!B12,0)),"",IFERROR(IF(OR(GIRDI!B12="",GIRDI!B12=0),0,(ayd_netDefter+ayd_fark)/GIRDI!B12),0))</f>
        <v/>
      </c>
      <c r="D659" s="31">
        <f>IF($B659="","",IFERROR($C659-$B659,0))</f>
        <v/>
      </c>
      <c r="E659" s="31">
        <f>IF($B659="","",IFERROR($A659*$B659,0))</f>
        <v/>
      </c>
      <c r="F659" s="31">
        <f>IF($C659="","",IFERROR($A659*$C659,0))</f>
        <v/>
      </c>
      <c r="G659" s="31">
        <f>IF($B659="","",IFERROR(MAX(0,ayd_netDefter-$E659),0))</f>
        <v/>
      </c>
      <c r="H659" s="31">
        <f>IF($C659="","",IFERROR(MAX(0,ayd_netDefter+ayd_fark-$F659),0))</f>
        <v/>
      </c>
      <c r="I659" s="31">
        <f>IF($A659="","",IF($A659&gt;IFERROR(GIRDI!B12,0),"DIŞI","AKTİF"))</f>
        <v/>
      </c>
    </row>
    <row r="660">
      <c r="B660" s="31">
        <f>IF(OR($A660="",$A660&gt;IFERROR(GIRDI!B12,0)),"",IFERROR(IF(OR(GIRDI!B12="",GIRDI!B12=0),0,ayd_netDefter/GIRDI!B12),0))</f>
        <v/>
      </c>
      <c r="C660" s="31">
        <f>IF(OR($A660="",$A660&gt;IFERROR(GIRDI!B12,0)),"",IFERROR(IF(OR(GIRDI!B12="",GIRDI!B12=0),0,(ayd_netDefter+ayd_fark)/GIRDI!B12),0))</f>
        <v/>
      </c>
      <c r="D660" s="31">
        <f>IF($B660="","",IFERROR($C660-$B660,0))</f>
        <v/>
      </c>
      <c r="E660" s="31">
        <f>IF($B660="","",IFERROR($A660*$B660,0))</f>
        <v/>
      </c>
      <c r="F660" s="31">
        <f>IF($C660="","",IFERROR($A660*$C660,0))</f>
        <v/>
      </c>
      <c r="G660" s="31">
        <f>IF($B660="","",IFERROR(MAX(0,ayd_netDefter-$E660),0))</f>
        <v/>
      </c>
      <c r="H660" s="31">
        <f>IF($C660="","",IFERROR(MAX(0,ayd_netDefter+ayd_fark-$F660),0))</f>
        <v/>
      </c>
      <c r="I660" s="31">
        <f>IF($A660="","",IF($A660&gt;IFERROR(GIRDI!B12,0),"DIŞI","AKTİF"))</f>
        <v/>
      </c>
    </row>
    <row r="661">
      <c r="B661" s="31">
        <f>IF(OR($A661="",$A661&gt;IFERROR(GIRDI!B12,0)),"",IFERROR(IF(OR(GIRDI!B12="",GIRDI!B12=0),0,ayd_netDefter/GIRDI!B12),0))</f>
        <v/>
      </c>
      <c r="C661" s="31">
        <f>IF(OR($A661="",$A661&gt;IFERROR(GIRDI!B12,0)),"",IFERROR(IF(OR(GIRDI!B12="",GIRDI!B12=0),0,(ayd_netDefter+ayd_fark)/GIRDI!B12),0))</f>
        <v/>
      </c>
      <c r="D661" s="31">
        <f>IF($B661="","",IFERROR($C661-$B661,0))</f>
        <v/>
      </c>
      <c r="E661" s="31">
        <f>IF($B661="","",IFERROR($A661*$B661,0))</f>
        <v/>
      </c>
      <c r="F661" s="31">
        <f>IF($C661="","",IFERROR($A661*$C661,0))</f>
        <v/>
      </c>
      <c r="G661" s="31">
        <f>IF($B661="","",IFERROR(MAX(0,ayd_netDefter-$E661),0))</f>
        <v/>
      </c>
      <c r="H661" s="31">
        <f>IF($C661="","",IFERROR(MAX(0,ayd_netDefter+ayd_fark-$F661),0))</f>
        <v/>
      </c>
      <c r="I661" s="31">
        <f>IF($A661="","",IF($A661&gt;IFERROR(GIRDI!B12,0),"DIŞI","AKTİF"))</f>
        <v/>
      </c>
    </row>
    <row r="662">
      <c r="B662" s="31">
        <f>IF(OR($A662="",$A662&gt;IFERROR(GIRDI!B12,0)),"",IFERROR(IF(OR(GIRDI!B12="",GIRDI!B12=0),0,ayd_netDefter/GIRDI!B12),0))</f>
        <v/>
      </c>
      <c r="C662" s="31">
        <f>IF(OR($A662="",$A662&gt;IFERROR(GIRDI!B12,0)),"",IFERROR(IF(OR(GIRDI!B12="",GIRDI!B12=0),0,(ayd_netDefter+ayd_fark)/GIRDI!B12),0))</f>
        <v/>
      </c>
      <c r="D662" s="31">
        <f>IF($B662="","",IFERROR($C662-$B662,0))</f>
        <v/>
      </c>
      <c r="E662" s="31">
        <f>IF($B662="","",IFERROR($A662*$B662,0))</f>
        <v/>
      </c>
      <c r="F662" s="31">
        <f>IF($C662="","",IFERROR($A662*$C662,0))</f>
        <v/>
      </c>
      <c r="G662" s="31">
        <f>IF($B662="","",IFERROR(MAX(0,ayd_netDefter-$E662),0))</f>
        <v/>
      </c>
      <c r="H662" s="31">
        <f>IF($C662="","",IFERROR(MAX(0,ayd_netDefter+ayd_fark-$F662),0))</f>
        <v/>
      </c>
      <c r="I662" s="31">
        <f>IF($A662="","",IF($A662&gt;IFERROR(GIRDI!B12,0),"DIŞI","AKTİF"))</f>
        <v/>
      </c>
    </row>
    <row r="663">
      <c r="B663" s="31">
        <f>IF(OR($A663="",$A663&gt;IFERROR(GIRDI!B12,0)),"",IFERROR(IF(OR(GIRDI!B12="",GIRDI!B12=0),0,ayd_netDefter/GIRDI!B12),0))</f>
        <v/>
      </c>
      <c r="C663" s="31">
        <f>IF(OR($A663="",$A663&gt;IFERROR(GIRDI!B12,0)),"",IFERROR(IF(OR(GIRDI!B12="",GIRDI!B12=0),0,(ayd_netDefter+ayd_fark)/GIRDI!B12),0))</f>
        <v/>
      </c>
      <c r="D663" s="31">
        <f>IF($B663="","",IFERROR($C663-$B663,0))</f>
        <v/>
      </c>
      <c r="E663" s="31">
        <f>IF($B663="","",IFERROR($A663*$B663,0))</f>
        <v/>
      </c>
      <c r="F663" s="31">
        <f>IF($C663="","",IFERROR($A663*$C663,0))</f>
        <v/>
      </c>
      <c r="G663" s="31">
        <f>IF($B663="","",IFERROR(MAX(0,ayd_netDefter-$E663),0))</f>
        <v/>
      </c>
      <c r="H663" s="31">
        <f>IF($C663="","",IFERROR(MAX(0,ayd_netDefter+ayd_fark-$F663),0))</f>
        <v/>
      </c>
      <c r="I663" s="31">
        <f>IF($A663="","",IF($A663&gt;IFERROR(GIRDI!B12,0),"DIŞI","AKTİF"))</f>
        <v/>
      </c>
    </row>
    <row r="664">
      <c r="B664" s="31">
        <f>IF(OR($A664="",$A664&gt;IFERROR(GIRDI!B12,0)),"",IFERROR(IF(OR(GIRDI!B12="",GIRDI!B12=0),0,ayd_netDefter/GIRDI!B12),0))</f>
        <v/>
      </c>
      <c r="C664" s="31">
        <f>IF(OR($A664="",$A664&gt;IFERROR(GIRDI!B12,0)),"",IFERROR(IF(OR(GIRDI!B12="",GIRDI!B12=0),0,(ayd_netDefter+ayd_fark)/GIRDI!B12),0))</f>
        <v/>
      </c>
      <c r="D664" s="31">
        <f>IF($B664="","",IFERROR($C664-$B664,0))</f>
        <v/>
      </c>
      <c r="E664" s="31">
        <f>IF($B664="","",IFERROR($A664*$B664,0))</f>
        <v/>
      </c>
      <c r="F664" s="31">
        <f>IF($C664="","",IFERROR($A664*$C664,0))</f>
        <v/>
      </c>
      <c r="G664" s="31">
        <f>IF($B664="","",IFERROR(MAX(0,ayd_netDefter-$E664),0))</f>
        <v/>
      </c>
      <c r="H664" s="31">
        <f>IF($C664="","",IFERROR(MAX(0,ayd_netDefter+ayd_fark-$F664),0))</f>
        <v/>
      </c>
      <c r="I664" s="31">
        <f>IF($A664="","",IF($A664&gt;IFERROR(GIRDI!B12,0),"DIŞI","AKTİF"))</f>
        <v/>
      </c>
    </row>
    <row r="665">
      <c r="B665" s="31">
        <f>IF(OR($A665="",$A665&gt;IFERROR(GIRDI!B12,0)),"",IFERROR(IF(OR(GIRDI!B12="",GIRDI!B12=0),0,ayd_netDefter/GIRDI!B12),0))</f>
        <v/>
      </c>
      <c r="C665" s="31">
        <f>IF(OR($A665="",$A665&gt;IFERROR(GIRDI!B12,0)),"",IFERROR(IF(OR(GIRDI!B12="",GIRDI!B12=0),0,(ayd_netDefter+ayd_fark)/GIRDI!B12),0))</f>
        <v/>
      </c>
      <c r="D665" s="31">
        <f>IF($B665="","",IFERROR($C665-$B665,0))</f>
        <v/>
      </c>
      <c r="E665" s="31">
        <f>IF($B665="","",IFERROR($A665*$B665,0))</f>
        <v/>
      </c>
      <c r="F665" s="31">
        <f>IF($C665="","",IFERROR($A665*$C665,0))</f>
        <v/>
      </c>
      <c r="G665" s="31">
        <f>IF($B665="","",IFERROR(MAX(0,ayd_netDefter-$E665),0))</f>
        <v/>
      </c>
      <c r="H665" s="31">
        <f>IF($C665="","",IFERROR(MAX(0,ayd_netDefter+ayd_fark-$F665),0))</f>
        <v/>
      </c>
      <c r="I665" s="31">
        <f>IF($A665="","",IF($A665&gt;IFERROR(GIRDI!B12,0),"DIŞI","AKTİF"))</f>
        <v/>
      </c>
    </row>
    <row r="666">
      <c r="B666" s="31">
        <f>IF(OR($A666="",$A666&gt;IFERROR(GIRDI!B12,0)),"",IFERROR(IF(OR(GIRDI!B12="",GIRDI!B12=0),0,ayd_netDefter/GIRDI!B12),0))</f>
        <v/>
      </c>
      <c r="C666" s="31">
        <f>IF(OR($A666="",$A666&gt;IFERROR(GIRDI!B12,0)),"",IFERROR(IF(OR(GIRDI!B12="",GIRDI!B12=0),0,(ayd_netDefter+ayd_fark)/GIRDI!B12),0))</f>
        <v/>
      </c>
      <c r="D666" s="31">
        <f>IF($B666="","",IFERROR($C666-$B666,0))</f>
        <v/>
      </c>
      <c r="E666" s="31">
        <f>IF($B666="","",IFERROR($A666*$B666,0))</f>
        <v/>
      </c>
      <c r="F666" s="31">
        <f>IF($C666="","",IFERROR($A666*$C666,0))</f>
        <v/>
      </c>
      <c r="G666" s="31">
        <f>IF($B666="","",IFERROR(MAX(0,ayd_netDefter-$E666),0))</f>
        <v/>
      </c>
      <c r="H666" s="31">
        <f>IF($C666="","",IFERROR(MAX(0,ayd_netDefter+ayd_fark-$F666),0))</f>
        <v/>
      </c>
      <c r="I666" s="31">
        <f>IF($A666="","",IF($A666&gt;IFERROR(GIRDI!B12,0),"DIŞI","AKTİF"))</f>
        <v/>
      </c>
    </row>
    <row r="667">
      <c r="B667" s="31">
        <f>IF(OR($A667="",$A667&gt;IFERROR(GIRDI!B12,0)),"",IFERROR(IF(OR(GIRDI!B12="",GIRDI!B12=0),0,ayd_netDefter/GIRDI!B12),0))</f>
        <v/>
      </c>
      <c r="C667" s="31">
        <f>IF(OR($A667="",$A667&gt;IFERROR(GIRDI!B12,0)),"",IFERROR(IF(OR(GIRDI!B12="",GIRDI!B12=0),0,(ayd_netDefter+ayd_fark)/GIRDI!B12),0))</f>
        <v/>
      </c>
      <c r="D667" s="31">
        <f>IF($B667="","",IFERROR($C667-$B667,0))</f>
        <v/>
      </c>
      <c r="E667" s="31">
        <f>IF($B667="","",IFERROR($A667*$B667,0))</f>
        <v/>
      </c>
      <c r="F667" s="31">
        <f>IF($C667="","",IFERROR($A667*$C667,0))</f>
        <v/>
      </c>
      <c r="G667" s="31">
        <f>IF($B667="","",IFERROR(MAX(0,ayd_netDefter-$E667),0))</f>
        <v/>
      </c>
      <c r="H667" s="31">
        <f>IF($C667="","",IFERROR(MAX(0,ayd_netDefter+ayd_fark-$F667),0))</f>
        <v/>
      </c>
      <c r="I667" s="31">
        <f>IF($A667="","",IF($A667&gt;IFERROR(GIRDI!B12,0),"DIŞI","AKTİF"))</f>
        <v/>
      </c>
    </row>
    <row r="668">
      <c r="B668" s="31">
        <f>IF(OR($A668="",$A668&gt;IFERROR(GIRDI!B12,0)),"",IFERROR(IF(OR(GIRDI!B12="",GIRDI!B12=0),0,ayd_netDefter/GIRDI!B12),0))</f>
        <v/>
      </c>
      <c r="C668" s="31">
        <f>IF(OR($A668="",$A668&gt;IFERROR(GIRDI!B12,0)),"",IFERROR(IF(OR(GIRDI!B12="",GIRDI!B12=0),0,(ayd_netDefter+ayd_fark)/GIRDI!B12),0))</f>
        <v/>
      </c>
      <c r="D668" s="31">
        <f>IF($B668="","",IFERROR($C668-$B668,0))</f>
        <v/>
      </c>
      <c r="E668" s="31">
        <f>IF($B668="","",IFERROR($A668*$B668,0))</f>
        <v/>
      </c>
      <c r="F668" s="31">
        <f>IF($C668="","",IFERROR($A668*$C668,0))</f>
        <v/>
      </c>
      <c r="G668" s="31">
        <f>IF($B668="","",IFERROR(MAX(0,ayd_netDefter-$E668),0))</f>
        <v/>
      </c>
      <c r="H668" s="31">
        <f>IF($C668="","",IFERROR(MAX(0,ayd_netDefter+ayd_fark-$F668),0))</f>
        <v/>
      </c>
      <c r="I668" s="31">
        <f>IF($A668="","",IF($A668&gt;IFERROR(GIRDI!B12,0),"DIŞI","AKTİF"))</f>
        <v/>
      </c>
    </row>
    <row r="669">
      <c r="B669" s="31">
        <f>IF(OR($A669="",$A669&gt;IFERROR(GIRDI!B12,0)),"",IFERROR(IF(OR(GIRDI!B12="",GIRDI!B12=0),0,ayd_netDefter/GIRDI!B12),0))</f>
        <v/>
      </c>
      <c r="C669" s="31">
        <f>IF(OR($A669="",$A669&gt;IFERROR(GIRDI!B12,0)),"",IFERROR(IF(OR(GIRDI!B12="",GIRDI!B12=0),0,(ayd_netDefter+ayd_fark)/GIRDI!B12),0))</f>
        <v/>
      </c>
      <c r="D669" s="31">
        <f>IF($B669="","",IFERROR($C669-$B669,0))</f>
        <v/>
      </c>
      <c r="E669" s="31">
        <f>IF($B669="","",IFERROR($A669*$B669,0))</f>
        <v/>
      </c>
      <c r="F669" s="31">
        <f>IF($C669="","",IFERROR($A669*$C669,0))</f>
        <v/>
      </c>
      <c r="G669" s="31">
        <f>IF($B669="","",IFERROR(MAX(0,ayd_netDefter-$E669),0))</f>
        <v/>
      </c>
      <c r="H669" s="31">
        <f>IF($C669="","",IFERROR(MAX(0,ayd_netDefter+ayd_fark-$F669),0))</f>
        <v/>
      </c>
      <c r="I669" s="31">
        <f>IF($A669="","",IF($A669&gt;IFERROR(GIRDI!B12,0),"DIŞI","AKTİF"))</f>
        <v/>
      </c>
    </row>
    <row r="670">
      <c r="B670" s="31">
        <f>IF(OR($A670="",$A670&gt;IFERROR(GIRDI!B12,0)),"",IFERROR(IF(OR(GIRDI!B12="",GIRDI!B12=0),0,ayd_netDefter/GIRDI!B12),0))</f>
        <v/>
      </c>
      <c r="C670" s="31">
        <f>IF(OR($A670="",$A670&gt;IFERROR(GIRDI!B12,0)),"",IFERROR(IF(OR(GIRDI!B12="",GIRDI!B12=0),0,(ayd_netDefter+ayd_fark)/GIRDI!B12),0))</f>
        <v/>
      </c>
      <c r="D670" s="31">
        <f>IF($B670="","",IFERROR($C670-$B670,0))</f>
        <v/>
      </c>
      <c r="E670" s="31">
        <f>IF($B670="","",IFERROR($A670*$B670,0))</f>
        <v/>
      </c>
      <c r="F670" s="31">
        <f>IF($C670="","",IFERROR($A670*$C670,0))</f>
        <v/>
      </c>
      <c r="G670" s="31">
        <f>IF($B670="","",IFERROR(MAX(0,ayd_netDefter-$E670),0))</f>
        <v/>
      </c>
      <c r="H670" s="31">
        <f>IF($C670="","",IFERROR(MAX(0,ayd_netDefter+ayd_fark-$F670),0))</f>
        <v/>
      </c>
      <c r="I670" s="31">
        <f>IF($A670="","",IF($A670&gt;IFERROR(GIRDI!B12,0),"DIŞI","AKTİF"))</f>
        <v/>
      </c>
    </row>
    <row r="671">
      <c r="B671" s="31">
        <f>IF(OR($A671="",$A671&gt;IFERROR(GIRDI!B12,0)),"",IFERROR(IF(OR(GIRDI!B12="",GIRDI!B12=0),0,ayd_netDefter/GIRDI!B12),0))</f>
        <v/>
      </c>
      <c r="C671" s="31">
        <f>IF(OR($A671="",$A671&gt;IFERROR(GIRDI!B12,0)),"",IFERROR(IF(OR(GIRDI!B12="",GIRDI!B12=0),0,(ayd_netDefter+ayd_fark)/GIRDI!B12),0))</f>
        <v/>
      </c>
      <c r="D671" s="31">
        <f>IF($B671="","",IFERROR($C671-$B671,0))</f>
        <v/>
      </c>
      <c r="E671" s="31">
        <f>IF($B671="","",IFERROR($A671*$B671,0))</f>
        <v/>
      </c>
      <c r="F671" s="31">
        <f>IF($C671="","",IFERROR($A671*$C671,0))</f>
        <v/>
      </c>
      <c r="G671" s="31">
        <f>IF($B671="","",IFERROR(MAX(0,ayd_netDefter-$E671),0))</f>
        <v/>
      </c>
      <c r="H671" s="31">
        <f>IF($C671="","",IFERROR(MAX(0,ayd_netDefter+ayd_fark-$F671),0))</f>
        <v/>
      </c>
      <c r="I671" s="31">
        <f>IF($A671="","",IF($A671&gt;IFERROR(GIRDI!B12,0),"DIŞI","AKTİF"))</f>
        <v/>
      </c>
    </row>
    <row r="672">
      <c r="B672" s="31">
        <f>IF(OR($A672="",$A672&gt;IFERROR(GIRDI!B12,0)),"",IFERROR(IF(OR(GIRDI!B12="",GIRDI!B12=0),0,ayd_netDefter/GIRDI!B12),0))</f>
        <v/>
      </c>
      <c r="C672" s="31">
        <f>IF(OR($A672="",$A672&gt;IFERROR(GIRDI!B12,0)),"",IFERROR(IF(OR(GIRDI!B12="",GIRDI!B12=0),0,(ayd_netDefter+ayd_fark)/GIRDI!B12),0))</f>
        <v/>
      </c>
      <c r="D672" s="31">
        <f>IF($B672="","",IFERROR($C672-$B672,0))</f>
        <v/>
      </c>
      <c r="E672" s="31">
        <f>IF($B672="","",IFERROR($A672*$B672,0))</f>
        <v/>
      </c>
      <c r="F672" s="31">
        <f>IF($C672="","",IFERROR($A672*$C672,0))</f>
        <v/>
      </c>
      <c r="G672" s="31">
        <f>IF($B672="","",IFERROR(MAX(0,ayd_netDefter-$E672),0))</f>
        <v/>
      </c>
      <c r="H672" s="31">
        <f>IF($C672="","",IFERROR(MAX(0,ayd_netDefter+ayd_fark-$F672),0))</f>
        <v/>
      </c>
      <c r="I672" s="31">
        <f>IF($A672="","",IF($A672&gt;IFERROR(GIRDI!B12,0),"DIŞI","AKTİF"))</f>
        <v/>
      </c>
    </row>
    <row r="673">
      <c r="B673" s="31">
        <f>IF(OR($A673="",$A673&gt;IFERROR(GIRDI!B12,0)),"",IFERROR(IF(OR(GIRDI!B12="",GIRDI!B12=0),0,ayd_netDefter/GIRDI!B12),0))</f>
        <v/>
      </c>
      <c r="C673" s="31">
        <f>IF(OR($A673="",$A673&gt;IFERROR(GIRDI!B12,0)),"",IFERROR(IF(OR(GIRDI!B12="",GIRDI!B12=0),0,(ayd_netDefter+ayd_fark)/GIRDI!B12),0))</f>
        <v/>
      </c>
      <c r="D673" s="31">
        <f>IF($B673="","",IFERROR($C673-$B673,0))</f>
        <v/>
      </c>
      <c r="E673" s="31">
        <f>IF($B673="","",IFERROR($A673*$B673,0))</f>
        <v/>
      </c>
      <c r="F673" s="31">
        <f>IF($C673="","",IFERROR($A673*$C673,0))</f>
        <v/>
      </c>
      <c r="G673" s="31">
        <f>IF($B673="","",IFERROR(MAX(0,ayd_netDefter-$E673),0))</f>
        <v/>
      </c>
      <c r="H673" s="31">
        <f>IF($C673="","",IFERROR(MAX(0,ayd_netDefter+ayd_fark-$F673),0))</f>
        <v/>
      </c>
      <c r="I673" s="31">
        <f>IF($A673="","",IF($A673&gt;IFERROR(GIRDI!B12,0),"DIŞI","AKTİF"))</f>
        <v/>
      </c>
    </row>
    <row r="674">
      <c r="B674" s="31">
        <f>IF(OR($A674="",$A674&gt;IFERROR(GIRDI!B12,0)),"",IFERROR(IF(OR(GIRDI!B12="",GIRDI!B12=0),0,ayd_netDefter/GIRDI!B12),0))</f>
        <v/>
      </c>
      <c r="C674" s="31">
        <f>IF(OR($A674="",$A674&gt;IFERROR(GIRDI!B12,0)),"",IFERROR(IF(OR(GIRDI!B12="",GIRDI!B12=0),0,(ayd_netDefter+ayd_fark)/GIRDI!B12),0))</f>
        <v/>
      </c>
      <c r="D674" s="31">
        <f>IF($B674="","",IFERROR($C674-$B674,0))</f>
        <v/>
      </c>
      <c r="E674" s="31">
        <f>IF($B674="","",IFERROR($A674*$B674,0))</f>
        <v/>
      </c>
      <c r="F674" s="31">
        <f>IF($C674="","",IFERROR($A674*$C674,0))</f>
        <v/>
      </c>
      <c r="G674" s="31">
        <f>IF($B674="","",IFERROR(MAX(0,ayd_netDefter-$E674),0))</f>
        <v/>
      </c>
      <c r="H674" s="31">
        <f>IF($C674="","",IFERROR(MAX(0,ayd_netDefter+ayd_fark-$F674),0))</f>
        <v/>
      </c>
      <c r="I674" s="31">
        <f>IF($A674="","",IF($A674&gt;IFERROR(GIRDI!B12,0),"DIŞI","AKTİF"))</f>
        <v/>
      </c>
    </row>
    <row r="675">
      <c r="B675" s="31">
        <f>IF(OR($A675="",$A675&gt;IFERROR(GIRDI!B12,0)),"",IFERROR(IF(OR(GIRDI!B12="",GIRDI!B12=0),0,ayd_netDefter/GIRDI!B12),0))</f>
        <v/>
      </c>
      <c r="C675" s="31">
        <f>IF(OR($A675="",$A675&gt;IFERROR(GIRDI!B12,0)),"",IFERROR(IF(OR(GIRDI!B12="",GIRDI!B12=0),0,(ayd_netDefter+ayd_fark)/GIRDI!B12),0))</f>
        <v/>
      </c>
      <c r="D675" s="31">
        <f>IF($B675="","",IFERROR($C675-$B675,0))</f>
        <v/>
      </c>
      <c r="E675" s="31">
        <f>IF($B675="","",IFERROR($A675*$B675,0))</f>
        <v/>
      </c>
      <c r="F675" s="31">
        <f>IF($C675="","",IFERROR($A675*$C675,0))</f>
        <v/>
      </c>
      <c r="G675" s="31">
        <f>IF($B675="","",IFERROR(MAX(0,ayd_netDefter-$E675),0))</f>
        <v/>
      </c>
      <c r="H675" s="31">
        <f>IF($C675="","",IFERROR(MAX(0,ayd_netDefter+ayd_fark-$F675),0))</f>
        <v/>
      </c>
      <c r="I675" s="31">
        <f>IF($A675="","",IF($A675&gt;IFERROR(GIRDI!B12,0),"DIŞI","AKTİF"))</f>
        <v/>
      </c>
    </row>
    <row r="676">
      <c r="B676" s="31">
        <f>IF(OR($A676="",$A676&gt;IFERROR(GIRDI!B12,0)),"",IFERROR(IF(OR(GIRDI!B12="",GIRDI!B12=0),0,ayd_netDefter/GIRDI!B12),0))</f>
        <v/>
      </c>
      <c r="C676" s="31">
        <f>IF(OR($A676="",$A676&gt;IFERROR(GIRDI!B12,0)),"",IFERROR(IF(OR(GIRDI!B12="",GIRDI!B12=0),0,(ayd_netDefter+ayd_fark)/GIRDI!B12),0))</f>
        <v/>
      </c>
      <c r="D676" s="31">
        <f>IF($B676="","",IFERROR($C676-$B676,0))</f>
        <v/>
      </c>
      <c r="E676" s="31">
        <f>IF($B676="","",IFERROR($A676*$B676,0))</f>
        <v/>
      </c>
      <c r="F676" s="31">
        <f>IF($C676="","",IFERROR($A676*$C676,0))</f>
        <v/>
      </c>
      <c r="G676" s="31">
        <f>IF($B676="","",IFERROR(MAX(0,ayd_netDefter-$E676),0))</f>
        <v/>
      </c>
      <c r="H676" s="31">
        <f>IF($C676="","",IFERROR(MAX(0,ayd_netDefter+ayd_fark-$F676),0))</f>
        <v/>
      </c>
      <c r="I676" s="31">
        <f>IF($A676="","",IF($A676&gt;IFERROR(GIRDI!B12,0),"DIŞI","AKTİF"))</f>
        <v/>
      </c>
    </row>
    <row r="677">
      <c r="B677" s="31">
        <f>IF(OR($A677="",$A677&gt;IFERROR(GIRDI!B12,0)),"",IFERROR(IF(OR(GIRDI!B12="",GIRDI!B12=0),0,ayd_netDefter/GIRDI!B12),0))</f>
        <v/>
      </c>
      <c r="C677" s="31">
        <f>IF(OR($A677="",$A677&gt;IFERROR(GIRDI!B12,0)),"",IFERROR(IF(OR(GIRDI!B12="",GIRDI!B12=0),0,(ayd_netDefter+ayd_fark)/GIRDI!B12),0))</f>
        <v/>
      </c>
      <c r="D677" s="31">
        <f>IF($B677="","",IFERROR($C677-$B677,0))</f>
        <v/>
      </c>
      <c r="E677" s="31">
        <f>IF($B677="","",IFERROR($A677*$B677,0))</f>
        <v/>
      </c>
      <c r="F677" s="31">
        <f>IF($C677="","",IFERROR($A677*$C677,0))</f>
        <v/>
      </c>
      <c r="G677" s="31">
        <f>IF($B677="","",IFERROR(MAX(0,ayd_netDefter-$E677),0))</f>
        <v/>
      </c>
      <c r="H677" s="31">
        <f>IF($C677="","",IFERROR(MAX(0,ayd_netDefter+ayd_fark-$F677),0))</f>
        <v/>
      </c>
      <c r="I677" s="31">
        <f>IF($A677="","",IF($A677&gt;IFERROR(GIRDI!B12,0),"DIŞI","AKTİF"))</f>
        <v/>
      </c>
    </row>
    <row r="678">
      <c r="B678" s="31">
        <f>IF(OR($A678="",$A678&gt;IFERROR(GIRDI!B12,0)),"",IFERROR(IF(OR(GIRDI!B12="",GIRDI!B12=0),0,ayd_netDefter/GIRDI!B12),0))</f>
        <v/>
      </c>
      <c r="C678" s="31">
        <f>IF(OR($A678="",$A678&gt;IFERROR(GIRDI!B12,0)),"",IFERROR(IF(OR(GIRDI!B12="",GIRDI!B12=0),0,(ayd_netDefter+ayd_fark)/GIRDI!B12),0))</f>
        <v/>
      </c>
      <c r="D678" s="31">
        <f>IF($B678="","",IFERROR($C678-$B678,0))</f>
        <v/>
      </c>
      <c r="E678" s="31">
        <f>IF($B678="","",IFERROR($A678*$B678,0))</f>
        <v/>
      </c>
      <c r="F678" s="31">
        <f>IF($C678="","",IFERROR($A678*$C678,0))</f>
        <v/>
      </c>
      <c r="G678" s="31">
        <f>IF($B678="","",IFERROR(MAX(0,ayd_netDefter-$E678),0))</f>
        <v/>
      </c>
      <c r="H678" s="31">
        <f>IF($C678="","",IFERROR(MAX(0,ayd_netDefter+ayd_fark-$F678),0))</f>
        <v/>
      </c>
      <c r="I678" s="31">
        <f>IF($A678="","",IF($A678&gt;IFERROR(GIRDI!B12,0),"DIŞI","AKTİF"))</f>
        <v/>
      </c>
    </row>
    <row r="679">
      <c r="B679" s="31">
        <f>IF(OR($A679="",$A679&gt;IFERROR(GIRDI!B12,0)),"",IFERROR(IF(OR(GIRDI!B12="",GIRDI!B12=0),0,ayd_netDefter/GIRDI!B12),0))</f>
        <v/>
      </c>
      <c r="C679" s="31">
        <f>IF(OR($A679="",$A679&gt;IFERROR(GIRDI!B12,0)),"",IFERROR(IF(OR(GIRDI!B12="",GIRDI!B12=0),0,(ayd_netDefter+ayd_fark)/GIRDI!B12),0))</f>
        <v/>
      </c>
      <c r="D679" s="31">
        <f>IF($B679="","",IFERROR($C679-$B679,0))</f>
        <v/>
      </c>
      <c r="E679" s="31">
        <f>IF($B679="","",IFERROR($A679*$B679,0))</f>
        <v/>
      </c>
      <c r="F679" s="31">
        <f>IF($C679="","",IFERROR($A679*$C679,0))</f>
        <v/>
      </c>
      <c r="G679" s="31">
        <f>IF($B679="","",IFERROR(MAX(0,ayd_netDefter-$E679),0))</f>
        <v/>
      </c>
      <c r="H679" s="31">
        <f>IF($C679="","",IFERROR(MAX(0,ayd_netDefter+ayd_fark-$F679),0))</f>
        <v/>
      </c>
      <c r="I679" s="31">
        <f>IF($A679="","",IF($A679&gt;IFERROR(GIRDI!B12,0),"DIŞI","AKTİF"))</f>
        <v/>
      </c>
    </row>
    <row r="680">
      <c r="B680" s="31">
        <f>IF(OR($A680="",$A680&gt;IFERROR(GIRDI!B12,0)),"",IFERROR(IF(OR(GIRDI!B12="",GIRDI!B12=0),0,ayd_netDefter/GIRDI!B12),0))</f>
        <v/>
      </c>
      <c r="C680" s="31">
        <f>IF(OR($A680="",$A680&gt;IFERROR(GIRDI!B12,0)),"",IFERROR(IF(OR(GIRDI!B12="",GIRDI!B12=0),0,(ayd_netDefter+ayd_fark)/GIRDI!B12),0))</f>
        <v/>
      </c>
      <c r="D680" s="31">
        <f>IF($B680="","",IFERROR($C680-$B680,0))</f>
        <v/>
      </c>
      <c r="E680" s="31">
        <f>IF($B680="","",IFERROR($A680*$B680,0))</f>
        <v/>
      </c>
      <c r="F680" s="31">
        <f>IF($C680="","",IFERROR($A680*$C680,0))</f>
        <v/>
      </c>
      <c r="G680" s="31">
        <f>IF($B680="","",IFERROR(MAX(0,ayd_netDefter-$E680),0))</f>
        <v/>
      </c>
      <c r="H680" s="31">
        <f>IF($C680="","",IFERROR(MAX(0,ayd_netDefter+ayd_fark-$F680),0))</f>
        <v/>
      </c>
      <c r="I680" s="31">
        <f>IF($A680="","",IF($A680&gt;IFERROR(GIRDI!B12,0),"DIŞI","AKTİF"))</f>
        <v/>
      </c>
    </row>
    <row r="681">
      <c r="B681" s="31">
        <f>IF(OR($A681="",$A681&gt;IFERROR(GIRDI!B12,0)),"",IFERROR(IF(OR(GIRDI!B12="",GIRDI!B12=0),0,ayd_netDefter/GIRDI!B12),0))</f>
        <v/>
      </c>
      <c r="C681" s="31">
        <f>IF(OR($A681="",$A681&gt;IFERROR(GIRDI!B12,0)),"",IFERROR(IF(OR(GIRDI!B12="",GIRDI!B12=0),0,(ayd_netDefter+ayd_fark)/GIRDI!B12),0))</f>
        <v/>
      </c>
      <c r="D681" s="31">
        <f>IF($B681="","",IFERROR($C681-$B681,0))</f>
        <v/>
      </c>
      <c r="E681" s="31">
        <f>IF($B681="","",IFERROR($A681*$B681,0))</f>
        <v/>
      </c>
      <c r="F681" s="31">
        <f>IF($C681="","",IFERROR($A681*$C681,0))</f>
        <v/>
      </c>
      <c r="G681" s="31">
        <f>IF($B681="","",IFERROR(MAX(0,ayd_netDefter-$E681),0))</f>
        <v/>
      </c>
      <c r="H681" s="31">
        <f>IF($C681="","",IFERROR(MAX(0,ayd_netDefter+ayd_fark-$F681),0))</f>
        <v/>
      </c>
      <c r="I681" s="31">
        <f>IF($A681="","",IF($A681&gt;IFERROR(GIRDI!B12,0),"DIŞI","AKTİF"))</f>
        <v/>
      </c>
    </row>
    <row r="682">
      <c r="B682" s="31">
        <f>IF(OR($A682="",$A682&gt;IFERROR(GIRDI!B12,0)),"",IFERROR(IF(OR(GIRDI!B12="",GIRDI!B12=0),0,ayd_netDefter/GIRDI!B12),0))</f>
        <v/>
      </c>
      <c r="C682" s="31">
        <f>IF(OR($A682="",$A682&gt;IFERROR(GIRDI!B12,0)),"",IFERROR(IF(OR(GIRDI!B12="",GIRDI!B12=0),0,(ayd_netDefter+ayd_fark)/GIRDI!B12),0))</f>
        <v/>
      </c>
      <c r="D682" s="31">
        <f>IF($B682="","",IFERROR($C682-$B682,0))</f>
        <v/>
      </c>
      <c r="E682" s="31">
        <f>IF($B682="","",IFERROR($A682*$B682,0))</f>
        <v/>
      </c>
      <c r="F682" s="31">
        <f>IF($C682="","",IFERROR($A682*$C682,0))</f>
        <v/>
      </c>
      <c r="G682" s="31">
        <f>IF($B682="","",IFERROR(MAX(0,ayd_netDefter-$E682),0))</f>
        <v/>
      </c>
      <c r="H682" s="31">
        <f>IF($C682="","",IFERROR(MAX(0,ayd_netDefter+ayd_fark-$F682),0))</f>
        <v/>
      </c>
      <c r="I682" s="31">
        <f>IF($A682="","",IF($A682&gt;IFERROR(GIRDI!B12,0),"DIŞI","AKTİF"))</f>
        <v/>
      </c>
    </row>
    <row r="683">
      <c r="B683" s="31">
        <f>IF(OR($A683="",$A683&gt;IFERROR(GIRDI!B12,0)),"",IFERROR(IF(OR(GIRDI!B12="",GIRDI!B12=0),0,ayd_netDefter/GIRDI!B12),0))</f>
        <v/>
      </c>
      <c r="C683" s="31">
        <f>IF(OR($A683="",$A683&gt;IFERROR(GIRDI!B12,0)),"",IFERROR(IF(OR(GIRDI!B12="",GIRDI!B12=0),0,(ayd_netDefter+ayd_fark)/GIRDI!B12),0))</f>
        <v/>
      </c>
      <c r="D683" s="31">
        <f>IF($B683="","",IFERROR($C683-$B683,0))</f>
        <v/>
      </c>
      <c r="E683" s="31">
        <f>IF($B683="","",IFERROR($A683*$B683,0))</f>
        <v/>
      </c>
      <c r="F683" s="31">
        <f>IF($C683="","",IFERROR($A683*$C683,0))</f>
        <v/>
      </c>
      <c r="G683" s="31">
        <f>IF($B683="","",IFERROR(MAX(0,ayd_netDefter-$E683),0))</f>
        <v/>
      </c>
      <c r="H683" s="31">
        <f>IF($C683="","",IFERROR(MAX(0,ayd_netDefter+ayd_fark-$F683),0))</f>
        <v/>
      </c>
      <c r="I683" s="31">
        <f>IF($A683="","",IF($A683&gt;IFERROR(GIRDI!B12,0),"DIŞI","AKTİF"))</f>
        <v/>
      </c>
    </row>
    <row r="684">
      <c r="B684" s="31">
        <f>IF(OR($A684="",$A684&gt;IFERROR(GIRDI!B12,0)),"",IFERROR(IF(OR(GIRDI!B12="",GIRDI!B12=0),0,ayd_netDefter/GIRDI!B12),0))</f>
        <v/>
      </c>
      <c r="C684" s="31">
        <f>IF(OR($A684="",$A684&gt;IFERROR(GIRDI!B12,0)),"",IFERROR(IF(OR(GIRDI!B12="",GIRDI!B12=0),0,(ayd_netDefter+ayd_fark)/GIRDI!B12),0))</f>
        <v/>
      </c>
      <c r="D684" s="31">
        <f>IF($B684="","",IFERROR($C684-$B684,0))</f>
        <v/>
      </c>
      <c r="E684" s="31">
        <f>IF($B684="","",IFERROR($A684*$B684,0))</f>
        <v/>
      </c>
      <c r="F684" s="31">
        <f>IF($C684="","",IFERROR($A684*$C684,0))</f>
        <v/>
      </c>
      <c r="G684" s="31">
        <f>IF($B684="","",IFERROR(MAX(0,ayd_netDefter-$E684),0))</f>
        <v/>
      </c>
      <c r="H684" s="31">
        <f>IF($C684="","",IFERROR(MAX(0,ayd_netDefter+ayd_fark-$F684),0))</f>
        <v/>
      </c>
      <c r="I684" s="31">
        <f>IF($A684="","",IF($A684&gt;IFERROR(GIRDI!B12,0),"DIŞI","AKTİF"))</f>
        <v/>
      </c>
    </row>
    <row r="685">
      <c r="B685" s="31">
        <f>IF(OR($A685="",$A685&gt;IFERROR(GIRDI!B12,0)),"",IFERROR(IF(OR(GIRDI!B12="",GIRDI!B12=0),0,ayd_netDefter/GIRDI!B12),0))</f>
        <v/>
      </c>
      <c r="C685" s="31">
        <f>IF(OR($A685="",$A685&gt;IFERROR(GIRDI!B12,0)),"",IFERROR(IF(OR(GIRDI!B12="",GIRDI!B12=0),0,(ayd_netDefter+ayd_fark)/GIRDI!B12),0))</f>
        <v/>
      </c>
      <c r="D685" s="31">
        <f>IF($B685="","",IFERROR($C685-$B685,0))</f>
        <v/>
      </c>
      <c r="E685" s="31">
        <f>IF($B685="","",IFERROR($A685*$B685,0))</f>
        <v/>
      </c>
      <c r="F685" s="31">
        <f>IF($C685="","",IFERROR($A685*$C685,0))</f>
        <v/>
      </c>
      <c r="G685" s="31">
        <f>IF($B685="","",IFERROR(MAX(0,ayd_netDefter-$E685),0))</f>
        <v/>
      </c>
      <c r="H685" s="31">
        <f>IF($C685="","",IFERROR(MAX(0,ayd_netDefter+ayd_fark-$F685),0))</f>
        <v/>
      </c>
      <c r="I685" s="31">
        <f>IF($A685="","",IF($A685&gt;IFERROR(GIRDI!B12,0),"DIŞI","AKTİF"))</f>
        <v/>
      </c>
    </row>
    <row r="686">
      <c r="B686" s="31">
        <f>IF(OR($A686="",$A686&gt;IFERROR(GIRDI!B12,0)),"",IFERROR(IF(OR(GIRDI!B12="",GIRDI!B12=0),0,ayd_netDefter/GIRDI!B12),0))</f>
        <v/>
      </c>
      <c r="C686" s="31">
        <f>IF(OR($A686="",$A686&gt;IFERROR(GIRDI!B12,0)),"",IFERROR(IF(OR(GIRDI!B12="",GIRDI!B12=0),0,(ayd_netDefter+ayd_fark)/GIRDI!B12),0))</f>
        <v/>
      </c>
      <c r="D686" s="31">
        <f>IF($B686="","",IFERROR($C686-$B686,0))</f>
        <v/>
      </c>
      <c r="E686" s="31">
        <f>IF($B686="","",IFERROR($A686*$B686,0))</f>
        <v/>
      </c>
      <c r="F686" s="31">
        <f>IF($C686="","",IFERROR($A686*$C686,0))</f>
        <v/>
      </c>
      <c r="G686" s="31">
        <f>IF($B686="","",IFERROR(MAX(0,ayd_netDefter-$E686),0))</f>
        <v/>
      </c>
      <c r="H686" s="31">
        <f>IF($C686="","",IFERROR(MAX(0,ayd_netDefter+ayd_fark-$F686),0))</f>
        <v/>
      </c>
      <c r="I686" s="31">
        <f>IF($A686="","",IF($A686&gt;IFERROR(GIRDI!B12,0),"DIŞI","AKTİF"))</f>
        <v/>
      </c>
    </row>
    <row r="687">
      <c r="B687" s="31">
        <f>IF(OR($A687="",$A687&gt;IFERROR(GIRDI!B12,0)),"",IFERROR(IF(OR(GIRDI!B12="",GIRDI!B12=0),0,ayd_netDefter/GIRDI!B12),0))</f>
        <v/>
      </c>
      <c r="C687" s="31">
        <f>IF(OR($A687="",$A687&gt;IFERROR(GIRDI!B12,0)),"",IFERROR(IF(OR(GIRDI!B12="",GIRDI!B12=0),0,(ayd_netDefter+ayd_fark)/GIRDI!B12),0))</f>
        <v/>
      </c>
      <c r="D687" s="31">
        <f>IF($B687="","",IFERROR($C687-$B687,0))</f>
        <v/>
      </c>
      <c r="E687" s="31">
        <f>IF($B687="","",IFERROR($A687*$B687,0))</f>
        <v/>
      </c>
      <c r="F687" s="31">
        <f>IF($C687="","",IFERROR($A687*$C687,0))</f>
        <v/>
      </c>
      <c r="G687" s="31">
        <f>IF($B687="","",IFERROR(MAX(0,ayd_netDefter-$E687),0))</f>
        <v/>
      </c>
      <c r="H687" s="31">
        <f>IF($C687="","",IFERROR(MAX(0,ayd_netDefter+ayd_fark-$F687),0))</f>
        <v/>
      </c>
      <c r="I687" s="31">
        <f>IF($A687="","",IF($A687&gt;IFERROR(GIRDI!B12,0),"DIŞI","AKTİF"))</f>
        <v/>
      </c>
    </row>
    <row r="688">
      <c r="B688" s="31">
        <f>IF(OR($A688="",$A688&gt;IFERROR(GIRDI!B12,0)),"",IFERROR(IF(OR(GIRDI!B12="",GIRDI!B12=0),0,ayd_netDefter/GIRDI!B12),0))</f>
        <v/>
      </c>
      <c r="C688" s="31">
        <f>IF(OR($A688="",$A688&gt;IFERROR(GIRDI!B12,0)),"",IFERROR(IF(OR(GIRDI!B12="",GIRDI!B12=0),0,(ayd_netDefter+ayd_fark)/GIRDI!B12),0))</f>
        <v/>
      </c>
      <c r="D688" s="31">
        <f>IF($B688="","",IFERROR($C688-$B688,0))</f>
        <v/>
      </c>
      <c r="E688" s="31">
        <f>IF($B688="","",IFERROR($A688*$B688,0))</f>
        <v/>
      </c>
      <c r="F688" s="31">
        <f>IF($C688="","",IFERROR($A688*$C688,0))</f>
        <v/>
      </c>
      <c r="G688" s="31">
        <f>IF($B688="","",IFERROR(MAX(0,ayd_netDefter-$E688),0))</f>
        <v/>
      </c>
      <c r="H688" s="31">
        <f>IF($C688="","",IFERROR(MAX(0,ayd_netDefter+ayd_fark-$F688),0))</f>
        <v/>
      </c>
      <c r="I688" s="31">
        <f>IF($A688="","",IF($A688&gt;IFERROR(GIRDI!B12,0),"DIŞI","AKTİF"))</f>
        <v/>
      </c>
    </row>
    <row r="689">
      <c r="B689" s="31">
        <f>IF(OR($A689="",$A689&gt;IFERROR(GIRDI!B12,0)),"",IFERROR(IF(OR(GIRDI!B12="",GIRDI!B12=0),0,ayd_netDefter/GIRDI!B12),0))</f>
        <v/>
      </c>
      <c r="C689" s="31">
        <f>IF(OR($A689="",$A689&gt;IFERROR(GIRDI!B12,0)),"",IFERROR(IF(OR(GIRDI!B12="",GIRDI!B12=0),0,(ayd_netDefter+ayd_fark)/GIRDI!B12),0))</f>
        <v/>
      </c>
      <c r="D689" s="31">
        <f>IF($B689="","",IFERROR($C689-$B689,0))</f>
        <v/>
      </c>
      <c r="E689" s="31">
        <f>IF($B689="","",IFERROR($A689*$B689,0))</f>
        <v/>
      </c>
      <c r="F689" s="31">
        <f>IF($C689="","",IFERROR($A689*$C689,0))</f>
        <v/>
      </c>
      <c r="G689" s="31">
        <f>IF($B689="","",IFERROR(MAX(0,ayd_netDefter-$E689),0))</f>
        <v/>
      </c>
      <c r="H689" s="31">
        <f>IF($C689="","",IFERROR(MAX(0,ayd_netDefter+ayd_fark-$F689),0))</f>
        <v/>
      </c>
      <c r="I689" s="31">
        <f>IF($A689="","",IF($A689&gt;IFERROR(GIRDI!B12,0),"DIŞI","AKTİF"))</f>
        <v/>
      </c>
    </row>
    <row r="690">
      <c r="B690" s="31">
        <f>IF(OR($A690="",$A690&gt;IFERROR(GIRDI!B12,0)),"",IFERROR(IF(OR(GIRDI!B12="",GIRDI!B12=0),0,ayd_netDefter/GIRDI!B12),0))</f>
        <v/>
      </c>
      <c r="C690" s="31">
        <f>IF(OR($A690="",$A690&gt;IFERROR(GIRDI!B12,0)),"",IFERROR(IF(OR(GIRDI!B12="",GIRDI!B12=0),0,(ayd_netDefter+ayd_fark)/GIRDI!B12),0))</f>
        <v/>
      </c>
      <c r="D690" s="31">
        <f>IF($B690="","",IFERROR($C690-$B690,0))</f>
        <v/>
      </c>
      <c r="E690" s="31">
        <f>IF($B690="","",IFERROR($A690*$B690,0))</f>
        <v/>
      </c>
      <c r="F690" s="31">
        <f>IF($C690="","",IFERROR($A690*$C690,0))</f>
        <v/>
      </c>
      <c r="G690" s="31">
        <f>IF($B690="","",IFERROR(MAX(0,ayd_netDefter-$E690),0))</f>
        <v/>
      </c>
      <c r="H690" s="31">
        <f>IF($C690="","",IFERROR(MAX(0,ayd_netDefter+ayd_fark-$F690),0))</f>
        <v/>
      </c>
      <c r="I690" s="31">
        <f>IF($A690="","",IF($A690&gt;IFERROR(GIRDI!B12,0),"DIŞI","AKTİF"))</f>
        <v/>
      </c>
    </row>
    <row r="691">
      <c r="B691" s="31">
        <f>IF(OR($A691="",$A691&gt;IFERROR(GIRDI!B12,0)),"",IFERROR(IF(OR(GIRDI!B12="",GIRDI!B12=0),0,ayd_netDefter/GIRDI!B12),0))</f>
        <v/>
      </c>
      <c r="C691" s="31">
        <f>IF(OR($A691="",$A691&gt;IFERROR(GIRDI!B12,0)),"",IFERROR(IF(OR(GIRDI!B12="",GIRDI!B12=0),0,(ayd_netDefter+ayd_fark)/GIRDI!B12),0))</f>
        <v/>
      </c>
      <c r="D691" s="31">
        <f>IF($B691="","",IFERROR($C691-$B691,0))</f>
        <v/>
      </c>
      <c r="E691" s="31">
        <f>IF($B691="","",IFERROR($A691*$B691,0))</f>
        <v/>
      </c>
      <c r="F691" s="31">
        <f>IF($C691="","",IFERROR($A691*$C691,0))</f>
        <v/>
      </c>
      <c r="G691" s="31">
        <f>IF($B691="","",IFERROR(MAX(0,ayd_netDefter-$E691),0))</f>
        <v/>
      </c>
      <c r="H691" s="31">
        <f>IF($C691="","",IFERROR(MAX(0,ayd_netDefter+ayd_fark-$F691),0))</f>
        <v/>
      </c>
      <c r="I691" s="31">
        <f>IF($A691="","",IF($A691&gt;IFERROR(GIRDI!B12,0),"DIŞI","AKTİF"))</f>
        <v/>
      </c>
    </row>
    <row r="692">
      <c r="B692" s="31">
        <f>IF(OR($A692="",$A692&gt;IFERROR(GIRDI!B12,0)),"",IFERROR(IF(OR(GIRDI!B12="",GIRDI!B12=0),0,ayd_netDefter/GIRDI!B12),0))</f>
        <v/>
      </c>
      <c r="C692" s="31">
        <f>IF(OR($A692="",$A692&gt;IFERROR(GIRDI!B12,0)),"",IFERROR(IF(OR(GIRDI!B12="",GIRDI!B12=0),0,(ayd_netDefter+ayd_fark)/GIRDI!B12),0))</f>
        <v/>
      </c>
      <c r="D692" s="31">
        <f>IF($B692="","",IFERROR($C692-$B692,0))</f>
        <v/>
      </c>
      <c r="E692" s="31">
        <f>IF($B692="","",IFERROR($A692*$B692,0))</f>
        <v/>
      </c>
      <c r="F692" s="31">
        <f>IF($C692="","",IFERROR($A692*$C692,0))</f>
        <v/>
      </c>
      <c r="G692" s="31">
        <f>IF($B692="","",IFERROR(MAX(0,ayd_netDefter-$E692),0))</f>
        <v/>
      </c>
      <c r="H692" s="31">
        <f>IF($C692="","",IFERROR(MAX(0,ayd_netDefter+ayd_fark-$F692),0))</f>
        <v/>
      </c>
      <c r="I692" s="31">
        <f>IF($A692="","",IF($A692&gt;IFERROR(GIRDI!B12,0),"DIŞI","AKTİF"))</f>
        <v/>
      </c>
    </row>
    <row r="693">
      <c r="B693" s="31">
        <f>IF(OR($A693="",$A693&gt;IFERROR(GIRDI!B12,0)),"",IFERROR(IF(OR(GIRDI!B12="",GIRDI!B12=0),0,ayd_netDefter/GIRDI!B12),0))</f>
        <v/>
      </c>
      <c r="C693" s="31">
        <f>IF(OR($A693="",$A693&gt;IFERROR(GIRDI!B12,0)),"",IFERROR(IF(OR(GIRDI!B12="",GIRDI!B12=0),0,(ayd_netDefter+ayd_fark)/GIRDI!B12),0))</f>
        <v/>
      </c>
      <c r="D693" s="31">
        <f>IF($B693="","",IFERROR($C693-$B693,0))</f>
        <v/>
      </c>
      <c r="E693" s="31">
        <f>IF($B693="","",IFERROR($A693*$B693,0))</f>
        <v/>
      </c>
      <c r="F693" s="31">
        <f>IF($C693="","",IFERROR($A693*$C693,0))</f>
        <v/>
      </c>
      <c r="G693" s="31">
        <f>IF($B693="","",IFERROR(MAX(0,ayd_netDefter-$E693),0))</f>
        <v/>
      </c>
      <c r="H693" s="31">
        <f>IF($C693="","",IFERROR(MAX(0,ayd_netDefter+ayd_fark-$F693),0))</f>
        <v/>
      </c>
      <c r="I693" s="31">
        <f>IF($A693="","",IF($A693&gt;IFERROR(GIRDI!B12,0),"DIŞI","AKTİF"))</f>
        <v/>
      </c>
    </row>
    <row r="694">
      <c r="B694" s="31">
        <f>IF(OR($A694="",$A694&gt;IFERROR(GIRDI!B12,0)),"",IFERROR(IF(OR(GIRDI!B12="",GIRDI!B12=0),0,ayd_netDefter/GIRDI!B12),0))</f>
        <v/>
      </c>
      <c r="C694" s="31">
        <f>IF(OR($A694="",$A694&gt;IFERROR(GIRDI!B12,0)),"",IFERROR(IF(OR(GIRDI!B12="",GIRDI!B12=0),0,(ayd_netDefter+ayd_fark)/GIRDI!B12),0))</f>
        <v/>
      </c>
      <c r="D694" s="31">
        <f>IF($B694="","",IFERROR($C694-$B694,0))</f>
        <v/>
      </c>
      <c r="E694" s="31">
        <f>IF($B694="","",IFERROR($A694*$B694,0))</f>
        <v/>
      </c>
      <c r="F694" s="31">
        <f>IF($C694="","",IFERROR($A694*$C694,0))</f>
        <v/>
      </c>
      <c r="G694" s="31">
        <f>IF($B694="","",IFERROR(MAX(0,ayd_netDefter-$E694),0))</f>
        <v/>
      </c>
      <c r="H694" s="31">
        <f>IF($C694="","",IFERROR(MAX(0,ayd_netDefter+ayd_fark-$F694),0))</f>
        <v/>
      </c>
      <c r="I694" s="31">
        <f>IF($A694="","",IF($A694&gt;IFERROR(GIRDI!B12,0),"DIŞI","AKTİF"))</f>
        <v/>
      </c>
    </row>
    <row r="695">
      <c r="B695" s="31">
        <f>IF(OR($A695="",$A695&gt;IFERROR(GIRDI!B12,0)),"",IFERROR(IF(OR(GIRDI!B12="",GIRDI!B12=0),0,ayd_netDefter/GIRDI!B12),0))</f>
        <v/>
      </c>
      <c r="C695" s="31">
        <f>IF(OR($A695="",$A695&gt;IFERROR(GIRDI!B12,0)),"",IFERROR(IF(OR(GIRDI!B12="",GIRDI!B12=0),0,(ayd_netDefter+ayd_fark)/GIRDI!B12),0))</f>
        <v/>
      </c>
      <c r="D695" s="31">
        <f>IF($B695="","",IFERROR($C695-$B695,0))</f>
        <v/>
      </c>
      <c r="E695" s="31">
        <f>IF($B695="","",IFERROR($A695*$B695,0))</f>
        <v/>
      </c>
      <c r="F695" s="31">
        <f>IF($C695="","",IFERROR($A695*$C695,0))</f>
        <v/>
      </c>
      <c r="G695" s="31">
        <f>IF($B695="","",IFERROR(MAX(0,ayd_netDefter-$E695),0))</f>
        <v/>
      </c>
      <c r="H695" s="31">
        <f>IF($C695="","",IFERROR(MAX(0,ayd_netDefter+ayd_fark-$F695),0))</f>
        <v/>
      </c>
      <c r="I695" s="31">
        <f>IF($A695="","",IF($A695&gt;IFERROR(GIRDI!B12,0),"DIŞI","AKTİF"))</f>
        <v/>
      </c>
    </row>
    <row r="696">
      <c r="B696" s="31">
        <f>IF(OR($A696="",$A696&gt;IFERROR(GIRDI!B12,0)),"",IFERROR(IF(OR(GIRDI!B12="",GIRDI!B12=0),0,ayd_netDefter/GIRDI!B12),0))</f>
        <v/>
      </c>
      <c r="C696" s="31">
        <f>IF(OR($A696="",$A696&gt;IFERROR(GIRDI!B12,0)),"",IFERROR(IF(OR(GIRDI!B12="",GIRDI!B12=0),0,(ayd_netDefter+ayd_fark)/GIRDI!B12),0))</f>
        <v/>
      </c>
      <c r="D696" s="31">
        <f>IF($B696="","",IFERROR($C696-$B696,0))</f>
        <v/>
      </c>
      <c r="E696" s="31">
        <f>IF($B696="","",IFERROR($A696*$B696,0))</f>
        <v/>
      </c>
      <c r="F696" s="31">
        <f>IF($C696="","",IFERROR($A696*$C696,0))</f>
        <v/>
      </c>
      <c r="G696" s="31">
        <f>IF($B696="","",IFERROR(MAX(0,ayd_netDefter-$E696),0))</f>
        <v/>
      </c>
      <c r="H696" s="31">
        <f>IF($C696="","",IFERROR(MAX(0,ayd_netDefter+ayd_fark-$F696),0))</f>
        <v/>
      </c>
      <c r="I696" s="31">
        <f>IF($A696="","",IF($A696&gt;IFERROR(GIRDI!B12,0),"DIŞI","AKTİF"))</f>
        <v/>
      </c>
    </row>
    <row r="697">
      <c r="B697" s="31">
        <f>IF(OR($A697="",$A697&gt;IFERROR(GIRDI!B12,0)),"",IFERROR(IF(OR(GIRDI!B12="",GIRDI!B12=0),0,ayd_netDefter/GIRDI!B12),0))</f>
        <v/>
      </c>
      <c r="C697" s="31">
        <f>IF(OR($A697="",$A697&gt;IFERROR(GIRDI!B12,0)),"",IFERROR(IF(OR(GIRDI!B12="",GIRDI!B12=0),0,(ayd_netDefter+ayd_fark)/GIRDI!B12),0))</f>
        <v/>
      </c>
      <c r="D697" s="31">
        <f>IF($B697="","",IFERROR($C697-$B697,0))</f>
        <v/>
      </c>
      <c r="E697" s="31">
        <f>IF($B697="","",IFERROR($A697*$B697,0))</f>
        <v/>
      </c>
      <c r="F697" s="31">
        <f>IF($C697="","",IFERROR($A697*$C697,0))</f>
        <v/>
      </c>
      <c r="G697" s="31">
        <f>IF($B697="","",IFERROR(MAX(0,ayd_netDefter-$E697),0))</f>
        <v/>
      </c>
      <c r="H697" s="31">
        <f>IF($C697="","",IFERROR(MAX(0,ayd_netDefter+ayd_fark-$F697),0))</f>
        <v/>
      </c>
      <c r="I697" s="31">
        <f>IF($A697="","",IF($A697&gt;IFERROR(GIRDI!B12,0),"DIŞI","AKTİF"))</f>
        <v/>
      </c>
    </row>
    <row r="698">
      <c r="B698" s="31">
        <f>IF(OR($A698="",$A698&gt;IFERROR(GIRDI!B12,0)),"",IFERROR(IF(OR(GIRDI!B12="",GIRDI!B12=0),0,ayd_netDefter/GIRDI!B12),0))</f>
        <v/>
      </c>
      <c r="C698" s="31">
        <f>IF(OR($A698="",$A698&gt;IFERROR(GIRDI!B12,0)),"",IFERROR(IF(OR(GIRDI!B12="",GIRDI!B12=0),0,(ayd_netDefter+ayd_fark)/GIRDI!B12),0))</f>
        <v/>
      </c>
      <c r="D698" s="31">
        <f>IF($B698="","",IFERROR($C698-$B698,0))</f>
        <v/>
      </c>
      <c r="E698" s="31">
        <f>IF($B698="","",IFERROR($A698*$B698,0))</f>
        <v/>
      </c>
      <c r="F698" s="31">
        <f>IF($C698="","",IFERROR($A698*$C698,0))</f>
        <v/>
      </c>
      <c r="G698" s="31">
        <f>IF($B698="","",IFERROR(MAX(0,ayd_netDefter-$E698),0))</f>
        <v/>
      </c>
      <c r="H698" s="31">
        <f>IF($C698="","",IFERROR(MAX(0,ayd_netDefter+ayd_fark-$F698),0))</f>
        <v/>
      </c>
      <c r="I698" s="31">
        <f>IF($A698="","",IF($A698&gt;IFERROR(GIRDI!B12,0),"DIŞI","AKTİF"))</f>
        <v/>
      </c>
    </row>
    <row r="699">
      <c r="B699" s="31">
        <f>IF(OR($A699="",$A699&gt;IFERROR(GIRDI!B12,0)),"",IFERROR(IF(OR(GIRDI!B12="",GIRDI!B12=0),0,ayd_netDefter/GIRDI!B12),0))</f>
        <v/>
      </c>
      <c r="C699" s="31">
        <f>IF(OR($A699="",$A699&gt;IFERROR(GIRDI!B12,0)),"",IFERROR(IF(OR(GIRDI!B12="",GIRDI!B12=0),0,(ayd_netDefter+ayd_fark)/GIRDI!B12),0))</f>
        <v/>
      </c>
      <c r="D699" s="31">
        <f>IF($B699="","",IFERROR($C699-$B699,0))</f>
        <v/>
      </c>
      <c r="E699" s="31">
        <f>IF($B699="","",IFERROR($A699*$B699,0))</f>
        <v/>
      </c>
      <c r="F699" s="31">
        <f>IF($C699="","",IFERROR($A699*$C699,0))</f>
        <v/>
      </c>
      <c r="G699" s="31">
        <f>IF($B699="","",IFERROR(MAX(0,ayd_netDefter-$E699),0))</f>
        <v/>
      </c>
      <c r="H699" s="31">
        <f>IF($C699="","",IFERROR(MAX(0,ayd_netDefter+ayd_fark-$F699),0))</f>
        <v/>
      </c>
      <c r="I699" s="31">
        <f>IF($A699="","",IF($A699&gt;IFERROR(GIRDI!B12,0),"DIŞI","AKTİF"))</f>
        <v/>
      </c>
    </row>
    <row r="700">
      <c r="B700" s="31">
        <f>IF(OR($A700="",$A700&gt;IFERROR(GIRDI!B12,0)),"",IFERROR(IF(OR(GIRDI!B12="",GIRDI!B12=0),0,ayd_netDefter/GIRDI!B12),0))</f>
        <v/>
      </c>
      <c r="C700" s="31">
        <f>IF(OR($A700="",$A700&gt;IFERROR(GIRDI!B12,0)),"",IFERROR(IF(OR(GIRDI!B12="",GIRDI!B12=0),0,(ayd_netDefter+ayd_fark)/GIRDI!B12),0))</f>
        <v/>
      </c>
      <c r="D700" s="31">
        <f>IF($B700="","",IFERROR($C700-$B700,0))</f>
        <v/>
      </c>
      <c r="E700" s="31">
        <f>IF($B700="","",IFERROR($A700*$B700,0))</f>
        <v/>
      </c>
      <c r="F700" s="31">
        <f>IF($C700="","",IFERROR($A700*$C700,0))</f>
        <v/>
      </c>
      <c r="G700" s="31">
        <f>IF($B700="","",IFERROR(MAX(0,ayd_netDefter-$E700),0))</f>
        <v/>
      </c>
      <c r="H700" s="31">
        <f>IF($C700="","",IFERROR(MAX(0,ayd_netDefter+ayd_fark-$F700),0))</f>
        <v/>
      </c>
      <c r="I700" s="31">
        <f>IF($A700="","",IF($A700&gt;IFERROR(GIRDI!B12,0),"DIŞI","AKTİF"))</f>
        <v/>
      </c>
    </row>
    <row r="701">
      <c r="B701" s="31">
        <f>IF(OR($A701="",$A701&gt;IFERROR(GIRDI!B12,0)),"",IFERROR(IF(OR(GIRDI!B12="",GIRDI!B12=0),0,ayd_netDefter/GIRDI!B12),0))</f>
        <v/>
      </c>
      <c r="C701" s="31">
        <f>IF(OR($A701="",$A701&gt;IFERROR(GIRDI!B12,0)),"",IFERROR(IF(OR(GIRDI!B12="",GIRDI!B12=0),0,(ayd_netDefter+ayd_fark)/GIRDI!B12),0))</f>
        <v/>
      </c>
      <c r="D701" s="31">
        <f>IF($B701="","",IFERROR($C701-$B701,0))</f>
        <v/>
      </c>
      <c r="E701" s="31">
        <f>IF($B701="","",IFERROR($A701*$B701,0))</f>
        <v/>
      </c>
      <c r="F701" s="31">
        <f>IF($C701="","",IFERROR($A701*$C701,0))</f>
        <v/>
      </c>
      <c r="G701" s="31">
        <f>IF($B701="","",IFERROR(MAX(0,ayd_netDefter-$E701),0))</f>
        <v/>
      </c>
      <c r="H701" s="31">
        <f>IF($C701="","",IFERROR(MAX(0,ayd_netDefter+ayd_fark-$F701),0))</f>
        <v/>
      </c>
      <c r="I701" s="31">
        <f>IF($A701="","",IF($A701&gt;IFERROR(GIRDI!B12,0),"DIŞI","AKTİF"))</f>
        <v/>
      </c>
    </row>
    <row r="702">
      <c r="B702" s="31">
        <f>IF(OR($A702="",$A702&gt;IFERROR(GIRDI!B12,0)),"",IFERROR(IF(OR(GIRDI!B12="",GIRDI!B12=0),0,ayd_netDefter/GIRDI!B12),0))</f>
        <v/>
      </c>
      <c r="C702" s="31">
        <f>IF(OR($A702="",$A702&gt;IFERROR(GIRDI!B12,0)),"",IFERROR(IF(OR(GIRDI!B12="",GIRDI!B12=0),0,(ayd_netDefter+ayd_fark)/GIRDI!B12),0))</f>
        <v/>
      </c>
      <c r="D702" s="31">
        <f>IF($B702="","",IFERROR($C702-$B702,0))</f>
        <v/>
      </c>
      <c r="E702" s="31">
        <f>IF($B702="","",IFERROR($A702*$B702,0))</f>
        <v/>
      </c>
      <c r="F702" s="31">
        <f>IF($C702="","",IFERROR($A702*$C702,0))</f>
        <v/>
      </c>
      <c r="G702" s="31">
        <f>IF($B702="","",IFERROR(MAX(0,ayd_netDefter-$E702),0))</f>
        <v/>
      </c>
      <c r="H702" s="31">
        <f>IF($C702="","",IFERROR(MAX(0,ayd_netDefter+ayd_fark-$F702),0))</f>
        <v/>
      </c>
      <c r="I702" s="31">
        <f>IF($A702="","",IF($A702&gt;IFERROR(GIRDI!B12,0),"DIŞI","AKTİF"))</f>
        <v/>
      </c>
    </row>
    <row r="703">
      <c r="B703" s="31">
        <f>IF(OR($A703="",$A703&gt;IFERROR(GIRDI!B12,0)),"",IFERROR(IF(OR(GIRDI!B12="",GIRDI!B12=0),0,ayd_netDefter/GIRDI!B12),0))</f>
        <v/>
      </c>
      <c r="C703" s="31">
        <f>IF(OR($A703="",$A703&gt;IFERROR(GIRDI!B12,0)),"",IFERROR(IF(OR(GIRDI!B12="",GIRDI!B12=0),0,(ayd_netDefter+ayd_fark)/GIRDI!B12),0))</f>
        <v/>
      </c>
      <c r="D703" s="31">
        <f>IF($B703="","",IFERROR($C703-$B703,0))</f>
        <v/>
      </c>
      <c r="E703" s="31">
        <f>IF($B703="","",IFERROR($A703*$B703,0))</f>
        <v/>
      </c>
      <c r="F703" s="31">
        <f>IF($C703="","",IFERROR($A703*$C703,0))</f>
        <v/>
      </c>
      <c r="G703" s="31">
        <f>IF($B703="","",IFERROR(MAX(0,ayd_netDefter-$E703),0))</f>
        <v/>
      </c>
      <c r="H703" s="31">
        <f>IF($C703="","",IFERROR(MAX(0,ayd_netDefter+ayd_fark-$F703),0))</f>
        <v/>
      </c>
      <c r="I703" s="31">
        <f>IF($A703="","",IF($A703&gt;IFERROR(GIRDI!B12,0),"DIŞI","AKTİF"))</f>
        <v/>
      </c>
    </row>
    <row r="704">
      <c r="B704" s="31">
        <f>IF(OR($A704="",$A704&gt;IFERROR(GIRDI!B12,0)),"",IFERROR(IF(OR(GIRDI!B12="",GIRDI!B12=0),0,ayd_netDefter/GIRDI!B12),0))</f>
        <v/>
      </c>
      <c r="C704" s="31">
        <f>IF(OR($A704="",$A704&gt;IFERROR(GIRDI!B12,0)),"",IFERROR(IF(OR(GIRDI!B12="",GIRDI!B12=0),0,(ayd_netDefter+ayd_fark)/GIRDI!B12),0))</f>
        <v/>
      </c>
      <c r="D704" s="31">
        <f>IF($B704="","",IFERROR($C704-$B704,0))</f>
        <v/>
      </c>
      <c r="E704" s="31">
        <f>IF($B704="","",IFERROR($A704*$B704,0))</f>
        <v/>
      </c>
      <c r="F704" s="31">
        <f>IF($C704="","",IFERROR($A704*$C704,0))</f>
        <v/>
      </c>
      <c r="G704" s="31">
        <f>IF($B704="","",IFERROR(MAX(0,ayd_netDefter-$E704),0))</f>
        <v/>
      </c>
      <c r="H704" s="31">
        <f>IF($C704="","",IFERROR(MAX(0,ayd_netDefter+ayd_fark-$F704),0))</f>
        <v/>
      </c>
      <c r="I704" s="31">
        <f>IF($A704="","",IF($A704&gt;IFERROR(GIRDI!B12,0),"DIŞI","AKTİF"))</f>
        <v/>
      </c>
    </row>
    <row r="705">
      <c r="B705" s="31">
        <f>IF(OR($A705="",$A705&gt;IFERROR(GIRDI!B12,0)),"",IFERROR(IF(OR(GIRDI!B12="",GIRDI!B12=0),0,ayd_netDefter/GIRDI!B12),0))</f>
        <v/>
      </c>
      <c r="C705" s="31">
        <f>IF(OR($A705="",$A705&gt;IFERROR(GIRDI!B12,0)),"",IFERROR(IF(OR(GIRDI!B12="",GIRDI!B12=0),0,(ayd_netDefter+ayd_fark)/GIRDI!B12),0))</f>
        <v/>
      </c>
      <c r="D705" s="31">
        <f>IF($B705="","",IFERROR($C705-$B705,0))</f>
        <v/>
      </c>
      <c r="E705" s="31">
        <f>IF($B705="","",IFERROR($A705*$B705,0))</f>
        <v/>
      </c>
      <c r="F705" s="31">
        <f>IF($C705="","",IFERROR($A705*$C705,0))</f>
        <v/>
      </c>
      <c r="G705" s="31">
        <f>IF($B705="","",IFERROR(MAX(0,ayd_netDefter-$E705),0))</f>
        <v/>
      </c>
      <c r="H705" s="31">
        <f>IF($C705="","",IFERROR(MAX(0,ayd_netDefter+ayd_fark-$F705),0))</f>
        <v/>
      </c>
      <c r="I705" s="31">
        <f>IF($A705="","",IF($A705&gt;IFERROR(GIRDI!B12,0),"DIŞI","AKTİF"))</f>
        <v/>
      </c>
    </row>
    <row r="706">
      <c r="B706" s="31">
        <f>IF(OR($A706="",$A706&gt;IFERROR(GIRDI!B12,0)),"",IFERROR(IF(OR(GIRDI!B12="",GIRDI!B12=0),0,ayd_netDefter/GIRDI!B12),0))</f>
        <v/>
      </c>
      <c r="C706" s="31">
        <f>IF(OR($A706="",$A706&gt;IFERROR(GIRDI!B12,0)),"",IFERROR(IF(OR(GIRDI!B12="",GIRDI!B12=0),0,(ayd_netDefter+ayd_fark)/GIRDI!B12),0))</f>
        <v/>
      </c>
      <c r="D706" s="31">
        <f>IF($B706="","",IFERROR($C706-$B706,0))</f>
        <v/>
      </c>
      <c r="E706" s="31">
        <f>IF($B706="","",IFERROR($A706*$B706,0))</f>
        <v/>
      </c>
      <c r="F706" s="31">
        <f>IF($C706="","",IFERROR($A706*$C706,0))</f>
        <v/>
      </c>
      <c r="G706" s="31">
        <f>IF($B706="","",IFERROR(MAX(0,ayd_netDefter-$E706),0))</f>
        <v/>
      </c>
      <c r="H706" s="31">
        <f>IF($C706="","",IFERROR(MAX(0,ayd_netDefter+ayd_fark-$F706),0))</f>
        <v/>
      </c>
      <c r="I706" s="31">
        <f>IF($A706="","",IF($A706&gt;IFERROR(GIRDI!B12,0),"DIŞI","AKTİF"))</f>
        <v/>
      </c>
    </row>
    <row r="707">
      <c r="B707" s="31">
        <f>IF(OR($A707="",$A707&gt;IFERROR(GIRDI!B12,0)),"",IFERROR(IF(OR(GIRDI!B12="",GIRDI!B12=0),0,ayd_netDefter/GIRDI!B12),0))</f>
        <v/>
      </c>
      <c r="C707" s="31">
        <f>IF(OR($A707="",$A707&gt;IFERROR(GIRDI!B12,0)),"",IFERROR(IF(OR(GIRDI!B12="",GIRDI!B12=0),0,(ayd_netDefter+ayd_fark)/GIRDI!B12),0))</f>
        <v/>
      </c>
      <c r="D707" s="31">
        <f>IF($B707="","",IFERROR($C707-$B707,0))</f>
        <v/>
      </c>
      <c r="E707" s="31">
        <f>IF($B707="","",IFERROR($A707*$B707,0))</f>
        <v/>
      </c>
      <c r="F707" s="31">
        <f>IF($C707="","",IFERROR($A707*$C707,0))</f>
        <v/>
      </c>
      <c r="G707" s="31">
        <f>IF($B707="","",IFERROR(MAX(0,ayd_netDefter-$E707),0))</f>
        <v/>
      </c>
      <c r="H707" s="31">
        <f>IF($C707="","",IFERROR(MAX(0,ayd_netDefter+ayd_fark-$F707),0))</f>
        <v/>
      </c>
      <c r="I707" s="31">
        <f>IF($A707="","",IF($A707&gt;IFERROR(GIRDI!B12,0),"DIŞI","AKTİF"))</f>
        <v/>
      </c>
    </row>
    <row r="708">
      <c r="B708" s="31">
        <f>IF(OR($A708="",$A708&gt;IFERROR(GIRDI!B12,0)),"",IFERROR(IF(OR(GIRDI!B12="",GIRDI!B12=0),0,ayd_netDefter/GIRDI!B12),0))</f>
        <v/>
      </c>
      <c r="C708" s="31">
        <f>IF(OR($A708="",$A708&gt;IFERROR(GIRDI!B12,0)),"",IFERROR(IF(OR(GIRDI!B12="",GIRDI!B12=0),0,(ayd_netDefter+ayd_fark)/GIRDI!B12),0))</f>
        <v/>
      </c>
      <c r="D708" s="31">
        <f>IF($B708="","",IFERROR($C708-$B708,0))</f>
        <v/>
      </c>
      <c r="E708" s="31">
        <f>IF($B708="","",IFERROR($A708*$B708,0))</f>
        <v/>
      </c>
      <c r="F708" s="31">
        <f>IF($C708="","",IFERROR($A708*$C708,0))</f>
        <v/>
      </c>
      <c r="G708" s="31">
        <f>IF($B708="","",IFERROR(MAX(0,ayd_netDefter-$E708),0))</f>
        <v/>
      </c>
      <c r="H708" s="31">
        <f>IF($C708="","",IFERROR(MAX(0,ayd_netDefter+ayd_fark-$F708),0))</f>
        <v/>
      </c>
      <c r="I708" s="31">
        <f>IF($A708="","",IF($A708&gt;IFERROR(GIRDI!B12,0),"DIŞI","AKTİF"))</f>
        <v/>
      </c>
    </row>
    <row r="709">
      <c r="B709" s="31">
        <f>IF(OR($A709="",$A709&gt;IFERROR(GIRDI!B12,0)),"",IFERROR(IF(OR(GIRDI!B12="",GIRDI!B12=0),0,ayd_netDefter/GIRDI!B12),0))</f>
        <v/>
      </c>
      <c r="C709" s="31">
        <f>IF(OR($A709="",$A709&gt;IFERROR(GIRDI!B12,0)),"",IFERROR(IF(OR(GIRDI!B12="",GIRDI!B12=0),0,(ayd_netDefter+ayd_fark)/GIRDI!B12),0))</f>
        <v/>
      </c>
      <c r="D709" s="31">
        <f>IF($B709="","",IFERROR($C709-$B709,0))</f>
        <v/>
      </c>
      <c r="E709" s="31">
        <f>IF($B709="","",IFERROR($A709*$B709,0))</f>
        <v/>
      </c>
      <c r="F709" s="31">
        <f>IF($C709="","",IFERROR($A709*$C709,0))</f>
        <v/>
      </c>
      <c r="G709" s="31">
        <f>IF($B709="","",IFERROR(MAX(0,ayd_netDefter-$E709),0))</f>
        <v/>
      </c>
      <c r="H709" s="31">
        <f>IF($C709="","",IFERROR(MAX(0,ayd_netDefter+ayd_fark-$F709),0))</f>
        <v/>
      </c>
      <c r="I709" s="31">
        <f>IF($A709="","",IF($A709&gt;IFERROR(GIRDI!B12,0),"DIŞI","AKTİF"))</f>
        <v/>
      </c>
    </row>
    <row r="710">
      <c r="B710" s="31">
        <f>IF(OR($A710="",$A710&gt;IFERROR(GIRDI!B12,0)),"",IFERROR(IF(OR(GIRDI!B12="",GIRDI!B12=0),0,ayd_netDefter/GIRDI!B12),0))</f>
        <v/>
      </c>
      <c r="C710" s="31">
        <f>IF(OR($A710="",$A710&gt;IFERROR(GIRDI!B12,0)),"",IFERROR(IF(OR(GIRDI!B12="",GIRDI!B12=0),0,(ayd_netDefter+ayd_fark)/GIRDI!B12),0))</f>
        <v/>
      </c>
      <c r="D710" s="31">
        <f>IF($B710="","",IFERROR($C710-$B710,0))</f>
        <v/>
      </c>
      <c r="E710" s="31">
        <f>IF($B710="","",IFERROR($A710*$B710,0))</f>
        <v/>
      </c>
      <c r="F710" s="31">
        <f>IF($C710="","",IFERROR($A710*$C710,0))</f>
        <v/>
      </c>
      <c r="G710" s="31">
        <f>IF($B710="","",IFERROR(MAX(0,ayd_netDefter-$E710),0))</f>
        <v/>
      </c>
      <c r="H710" s="31">
        <f>IF($C710="","",IFERROR(MAX(0,ayd_netDefter+ayd_fark-$F710),0))</f>
        <v/>
      </c>
      <c r="I710" s="31">
        <f>IF($A710="","",IF($A710&gt;IFERROR(GIRDI!B12,0),"DIŞI","AKTİF"))</f>
        <v/>
      </c>
    </row>
    <row r="711">
      <c r="B711" s="31">
        <f>IF(OR($A711="",$A711&gt;IFERROR(GIRDI!B12,0)),"",IFERROR(IF(OR(GIRDI!B12="",GIRDI!B12=0),0,ayd_netDefter/GIRDI!B12),0))</f>
        <v/>
      </c>
      <c r="C711" s="31">
        <f>IF(OR($A711="",$A711&gt;IFERROR(GIRDI!B12,0)),"",IFERROR(IF(OR(GIRDI!B12="",GIRDI!B12=0),0,(ayd_netDefter+ayd_fark)/GIRDI!B12),0))</f>
        <v/>
      </c>
      <c r="D711" s="31">
        <f>IF($B711="","",IFERROR($C711-$B711,0))</f>
        <v/>
      </c>
      <c r="E711" s="31">
        <f>IF($B711="","",IFERROR($A711*$B711,0))</f>
        <v/>
      </c>
      <c r="F711" s="31">
        <f>IF($C711="","",IFERROR($A711*$C711,0))</f>
        <v/>
      </c>
      <c r="G711" s="31">
        <f>IF($B711="","",IFERROR(MAX(0,ayd_netDefter-$E711),0))</f>
        <v/>
      </c>
      <c r="H711" s="31">
        <f>IF($C711="","",IFERROR(MAX(0,ayd_netDefter+ayd_fark-$F711),0))</f>
        <v/>
      </c>
      <c r="I711" s="31">
        <f>IF($A711="","",IF($A711&gt;IFERROR(GIRDI!B12,0),"DIŞI","AKTİF"))</f>
        <v/>
      </c>
    </row>
    <row r="712">
      <c r="B712" s="31">
        <f>IF(OR($A712="",$A712&gt;IFERROR(GIRDI!B12,0)),"",IFERROR(IF(OR(GIRDI!B12="",GIRDI!B12=0),0,ayd_netDefter/GIRDI!B12),0))</f>
        <v/>
      </c>
      <c r="C712" s="31">
        <f>IF(OR($A712="",$A712&gt;IFERROR(GIRDI!B12,0)),"",IFERROR(IF(OR(GIRDI!B12="",GIRDI!B12=0),0,(ayd_netDefter+ayd_fark)/GIRDI!B12),0))</f>
        <v/>
      </c>
      <c r="D712" s="31">
        <f>IF($B712="","",IFERROR($C712-$B712,0))</f>
        <v/>
      </c>
      <c r="E712" s="31">
        <f>IF($B712="","",IFERROR($A712*$B712,0))</f>
        <v/>
      </c>
      <c r="F712" s="31">
        <f>IF($C712="","",IFERROR($A712*$C712,0))</f>
        <v/>
      </c>
      <c r="G712" s="31">
        <f>IF($B712="","",IFERROR(MAX(0,ayd_netDefter-$E712),0))</f>
        <v/>
      </c>
      <c r="H712" s="31">
        <f>IF($C712="","",IFERROR(MAX(0,ayd_netDefter+ayd_fark-$F712),0))</f>
        <v/>
      </c>
      <c r="I712" s="31">
        <f>IF($A712="","",IF($A712&gt;IFERROR(GIRDI!B12,0),"DIŞI","AKTİF"))</f>
        <v/>
      </c>
    </row>
    <row r="713">
      <c r="B713" s="31">
        <f>IF(OR($A713="",$A713&gt;IFERROR(GIRDI!B12,0)),"",IFERROR(IF(OR(GIRDI!B12="",GIRDI!B12=0),0,ayd_netDefter/GIRDI!B12),0))</f>
        <v/>
      </c>
      <c r="C713" s="31">
        <f>IF(OR($A713="",$A713&gt;IFERROR(GIRDI!B12,0)),"",IFERROR(IF(OR(GIRDI!B12="",GIRDI!B12=0),0,(ayd_netDefter+ayd_fark)/GIRDI!B12),0))</f>
        <v/>
      </c>
      <c r="D713" s="31">
        <f>IF($B713="","",IFERROR($C713-$B713,0))</f>
        <v/>
      </c>
      <c r="E713" s="31">
        <f>IF($B713="","",IFERROR($A713*$B713,0))</f>
        <v/>
      </c>
      <c r="F713" s="31">
        <f>IF($C713="","",IFERROR($A713*$C713,0))</f>
        <v/>
      </c>
      <c r="G713" s="31">
        <f>IF($B713="","",IFERROR(MAX(0,ayd_netDefter-$E713),0))</f>
        <v/>
      </c>
      <c r="H713" s="31">
        <f>IF($C713="","",IFERROR(MAX(0,ayd_netDefter+ayd_fark-$F713),0))</f>
        <v/>
      </c>
      <c r="I713" s="31">
        <f>IF($A713="","",IF($A713&gt;IFERROR(GIRDI!B12,0),"DIŞI","AKTİF"))</f>
        <v/>
      </c>
    </row>
    <row r="714">
      <c r="B714" s="31">
        <f>IF(OR($A714="",$A714&gt;IFERROR(GIRDI!B12,0)),"",IFERROR(IF(OR(GIRDI!B12="",GIRDI!B12=0),0,ayd_netDefter/GIRDI!B12),0))</f>
        <v/>
      </c>
      <c r="C714" s="31">
        <f>IF(OR($A714="",$A714&gt;IFERROR(GIRDI!B12,0)),"",IFERROR(IF(OR(GIRDI!B12="",GIRDI!B12=0),0,(ayd_netDefter+ayd_fark)/GIRDI!B12),0))</f>
        <v/>
      </c>
      <c r="D714" s="31">
        <f>IF($B714="","",IFERROR($C714-$B714,0))</f>
        <v/>
      </c>
      <c r="E714" s="31">
        <f>IF($B714="","",IFERROR($A714*$B714,0))</f>
        <v/>
      </c>
      <c r="F714" s="31">
        <f>IF($C714="","",IFERROR($A714*$C714,0))</f>
        <v/>
      </c>
      <c r="G714" s="31">
        <f>IF($B714="","",IFERROR(MAX(0,ayd_netDefter-$E714),0))</f>
        <v/>
      </c>
      <c r="H714" s="31">
        <f>IF($C714="","",IFERROR(MAX(0,ayd_netDefter+ayd_fark-$F714),0))</f>
        <v/>
      </c>
      <c r="I714" s="31">
        <f>IF($A714="","",IF($A714&gt;IFERROR(GIRDI!B12,0),"DIŞI","AKTİF"))</f>
        <v/>
      </c>
    </row>
    <row r="715">
      <c r="B715" s="31">
        <f>IF(OR($A715="",$A715&gt;IFERROR(GIRDI!B12,0)),"",IFERROR(IF(OR(GIRDI!B12="",GIRDI!B12=0),0,ayd_netDefter/GIRDI!B12),0))</f>
        <v/>
      </c>
      <c r="C715" s="31">
        <f>IF(OR($A715="",$A715&gt;IFERROR(GIRDI!B12,0)),"",IFERROR(IF(OR(GIRDI!B12="",GIRDI!B12=0),0,(ayd_netDefter+ayd_fark)/GIRDI!B12),0))</f>
        <v/>
      </c>
      <c r="D715" s="31">
        <f>IF($B715="","",IFERROR($C715-$B715,0))</f>
        <v/>
      </c>
      <c r="E715" s="31">
        <f>IF($B715="","",IFERROR($A715*$B715,0))</f>
        <v/>
      </c>
      <c r="F715" s="31">
        <f>IF($C715="","",IFERROR($A715*$C715,0))</f>
        <v/>
      </c>
      <c r="G715" s="31">
        <f>IF($B715="","",IFERROR(MAX(0,ayd_netDefter-$E715),0))</f>
        <v/>
      </c>
      <c r="H715" s="31">
        <f>IF($C715="","",IFERROR(MAX(0,ayd_netDefter+ayd_fark-$F715),0))</f>
        <v/>
      </c>
      <c r="I715" s="31">
        <f>IF($A715="","",IF($A715&gt;IFERROR(GIRDI!B12,0),"DIŞI","AKTİF"))</f>
        <v/>
      </c>
    </row>
    <row r="716">
      <c r="B716" s="31">
        <f>IF(OR($A716="",$A716&gt;IFERROR(GIRDI!B12,0)),"",IFERROR(IF(OR(GIRDI!B12="",GIRDI!B12=0),0,ayd_netDefter/GIRDI!B12),0))</f>
        <v/>
      </c>
      <c r="C716" s="31">
        <f>IF(OR($A716="",$A716&gt;IFERROR(GIRDI!B12,0)),"",IFERROR(IF(OR(GIRDI!B12="",GIRDI!B12=0),0,(ayd_netDefter+ayd_fark)/GIRDI!B12),0))</f>
        <v/>
      </c>
      <c r="D716" s="31">
        <f>IF($B716="","",IFERROR($C716-$B716,0))</f>
        <v/>
      </c>
      <c r="E716" s="31">
        <f>IF($B716="","",IFERROR($A716*$B716,0))</f>
        <v/>
      </c>
      <c r="F716" s="31">
        <f>IF($C716="","",IFERROR($A716*$C716,0))</f>
        <v/>
      </c>
      <c r="G716" s="31">
        <f>IF($B716="","",IFERROR(MAX(0,ayd_netDefter-$E716),0))</f>
        <v/>
      </c>
      <c r="H716" s="31">
        <f>IF($C716="","",IFERROR(MAX(0,ayd_netDefter+ayd_fark-$F716),0))</f>
        <v/>
      </c>
      <c r="I716" s="31">
        <f>IF($A716="","",IF($A716&gt;IFERROR(GIRDI!B12,0),"DIŞI","AKTİF"))</f>
        <v/>
      </c>
    </row>
    <row r="717">
      <c r="B717" s="31">
        <f>IF(OR($A717="",$A717&gt;IFERROR(GIRDI!B12,0)),"",IFERROR(IF(OR(GIRDI!B12="",GIRDI!B12=0),0,ayd_netDefter/GIRDI!B12),0))</f>
        <v/>
      </c>
      <c r="C717" s="31">
        <f>IF(OR($A717="",$A717&gt;IFERROR(GIRDI!B12,0)),"",IFERROR(IF(OR(GIRDI!B12="",GIRDI!B12=0),0,(ayd_netDefter+ayd_fark)/GIRDI!B12),0))</f>
        <v/>
      </c>
      <c r="D717" s="31">
        <f>IF($B717="","",IFERROR($C717-$B717,0))</f>
        <v/>
      </c>
      <c r="E717" s="31">
        <f>IF($B717="","",IFERROR($A717*$B717,0))</f>
        <v/>
      </c>
      <c r="F717" s="31">
        <f>IF($C717="","",IFERROR($A717*$C717,0))</f>
        <v/>
      </c>
      <c r="G717" s="31">
        <f>IF($B717="","",IFERROR(MAX(0,ayd_netDefter-$E717),0))</f>
        <v/>
      </c>
      <c r="H717" s="31">
        <f>IF($C717="","",IFERROR(MAX(0,ayd_netDefter+ayd_fark-$F717),0))</f>
        <v/>
      </c>
      <c r="I717" s="31">
        <f>IF($A717="","",IF($A717&gt;IFERROR(GIRDI!B12,0),"DIŞI","AKTİF"))</f>
        <v/>
      </c>
    </row>
    <row r="718">
      <c r="B718" s="31">
        <f>IF(OR($A718="",$A718&gt;IFERROR(GIRDI!B12,0)),"",IFERROR(IF(OR(GIRDI!B12="",GIRDI!B12=0),0,ayd_netDefter/GIRDI!B12),0))</f>
        <v/>
      </c>
      <c r="C718" s="31">
        <f>IF(OR($A718="",$A718&gt;IFERROR(GIRDI!B12,0)),"",IFERROR(IF(OR(GIRDI!B12="",GIRDI!B12=0),0,(ayd_netDefter+ayd_fark)/GIRDI!B12),0))</f>
        <v/>
      </c>
      <c r="D718" s="31">
        <f>IF($B718="","",IFERROR($C718-$B718,0))</f>
        <v/>
      </c>
      <c r="E718" s="31">
        <f>IF($B718="","",IFERROR($A718*$B718,0))</f>
        <v/>
      </c>
      <c r="F718" s="31">
        <f>IF($C718="","",IFERROR($A718*$C718,0))</f>
        <v/>
      </c>
      <c r="G718" s="31">
        <f>IF($B718="","",IFERROR(MAX(0,ayd_netDefter-$E718),0))</f>
        <v/>
      </c>
      <c r="H718" s="31">
        <f>IF($C718="","",IFERROR(MAX(0,ayd_netDefter+ayd_fark-$F718),0))</f>
        <v/>
      </c>
      <c r="I718" s="31">
        <f>IF($A718="","",IF($A718&gt;IFERROR(GIRDI!B12,0),"DIŞI","AKTİF"))</f>
        <v/>
      </c>
    </row>
    <row r="719">
      <c r="B719" s="31">
        <f>IF(OR($A719="",$A719&gt;IFERROR(GIRDI!B12,0)),"",IFERROR(IF(OR(GIRDI!B12="",GIRDI!B12=0),0,ayd_netDefter/GIRDI!B12),0))</f>
        <v/>
      </c>
      <c r="C719" s="31">
        <f>IF(OR($A719="",$A719&gt;IFERROR(GIRDI!B12,0)),"",IFERROR(IF(OR(GIRDI!B12="",GIRDI!B12=0),0,(ayd_netDefter+ayd_fark)/GIRDI!B12),0))</f>
        <v/>
      </c>
      <c r="D719" s="31">
        <f>IF($B719="","",IFERROR($C719-$B719,0))</f>
        <v/>
      </c>
      <c r="E719" s="31">
        <f>IF($B719="","",IFERROR($A719*$B719,0))</f>
        <v/>
      </c>
      <c r="F719" s="31">
        <f>IF($C719="","",IFERROR($A719*$C719,0))</f>
        <v/>
      </c>
      <c r="G719" s="31">
        <f>IF($B719="","",IFERROR(MAX(0,ayd_netDefter-$E719),0))</f>
        <v/>
      </c>
      <c r="H719" s="31">
        <f>IF($C719="","",IFERROR(MAX(0,ayd_netDefter+ayd_fark-$F719),0))</f>
        <v/>
      </c>
      <c r="I719" s="31">
        <f>IF($A719="","",IF($A719&gt;IFERROR(GIRDI!B12,0),"DIŞI","AKTİF"))</f>
        <v/>
      </c>
    </row>
    <row r="720">
      <c r="B720" s="31">
        <f>IF(OR($A720="",$A720&gt;IFERROR(GIRDI!B12,0)),"",IFERROR(IF(OR(GIRDI!B12="",GIRDI!B12=0),0,ayd_netDefter/GIRDI!B12),0))</f>
        <v/>
      </c>
      <c r="C720" s="31">
        <f>IF(OR($A720="",$A720&gt;IFERROR(GIRDI!B12,0)),"",IFERROR(IF(OR(GIRDI!B12="",GIRDI!B12=0),0,(ayd_netDefter+ayd_fark)/GIRDI!B12),0))</f>
        <v/>
      </c>
      <c r="D720" s="31">
        <f>IF($B720="","",IFERROR($C720-$B720,0))</f>
        <v/>
      </c>
      <c r="E720" s="31">
        <f>IF($B720="","",IFERROR($A720*$B720,0))</f>
        <v/>
      </c>
      <c r="F720" s="31">
        <f>IF($C720="","",IFERROR($A720*$C720,0))</f>
        <v/>
      </c>
      <c r="G720" s="31">
        <f>IF($B720="","",IFERROR(MAX(0,ayd_netDefter-$E720),0))</f>
        <v/>
      </c>
      <c r="H720" s="31">
        <f>IF($C720="","",IFERROR(MAX(0,ayd_netDefter+ayd_fark-$F720),0))</f>
        <v/>
      </c>
      <c r="I720" s="31">
        <f>IF($A720="","",IF($A720&gt;IFERROR(GIRDI!B12,0),"DIŞI","AKTİF"))</f>
        <v/>
      </c>
    </row>
    <row r="721">
      <c r="B721" s="31">
        <f>IF(OR($A721="",$A721&gt;IFERROR(GIRDI!B12,0)),"",IFERROR(IF(OR(GIRDI!B12="",GIRDI!B12=0),0,ayd_netDefter/GIRDI!B12),0))</f>
        <v/>
      </c>
      <c r="C721" s="31">
        <f>IF(OR($A721="",$A721&gt;IFERROR(GIRDI!B12,0)),"",IFERROR(IF(OR(GIRDI!B12="",GIRDI!B12=0),0,(ayd_netDefter+ayd_fark)/GIRDI!B12),0))</f>
        <v/>
      </c>
      <c r="D721" s="31">
        <f>IF($B721="","",IFERROR($C721-$B721,0))</f>
        <v/>
      </c>
      <c r="E721" s="31">
        <f>IF($B721="","",IFERROR($A721*$B721,0))</f>
        <v/>
      </c>
      <c r="F721" s="31">
        <f>IF($C721="","",IFERROR($A721*$C721,0))</f>
        <v/>
      </c>
      <c r="G721" s="31">
        <f>IF($B721="","",IFERROR(MAX(0,ayd_netDefter-$E721),0))</f>
        <v/>
      </c>
      <c r="H721" s="31">
        <f>IF($C721="","",IFERROR(MAX(0,ayd_netDefter+ayd_fark-$F721),0))</f>
        <v/>
      </c>
      <c r="I721" s="31">
        <f>IF($A721="","",IF($A721&gt;IFERROR(GIRDI!B12,0),"DIŞI","AKTİF"))</f>
        <v/>
      </c>
    </row>
    <row r="722">
      <c r="B722" s="31">
        <f>IF(OR($A722="",$A722&gt;IFERROR(GIRDI!B12,0)),"",IFERROR(IF(OR(GIRDI!B12="",GIRDI!B12=0),0,ayd_netDefter/GIRDI!B12),0))</f>
        <v/>
      </c>
      <c r="C722" s="31">
        <f>IF(OR($A722="",$A722&gt;IFERROR(GIRDI!B12,0)),"",IFERROR(IF(OR(GIRDI!B12="",GIRDI!B12=0),0,(ayd_netDefter+ayd_fark)/GIRDI!B12),0))</f>
        <v/>
      </c>
      <c r="D722" s="31">
        <f>IF($B722="","",IFERROR($C722-$B722,0))</f>
        <v/>
      </c>
      <c r="E722" s="31">
        <f>IF($B722="","",IFERROR($A722*$B722,0))</f>
        <v/>
      </c>
      <c r="F722" s="31">
        <f>IF($C722="","",IFERROR($A722*$C722,0))</f>
        <v/>
      </c>
      <c r="G722" s="31">
        <f>IF($B722="","",IFERROR(MAX(0,ayd_netDefter-$E722),0))</f>
        <v/>
      </c>
      <c r="H722" s="31">
        <f>IF($C722="","",IFERROR(MAX(0,ayd_netDefter+ayd_fark-$F722),0))</f>
        <v/>
      </c>
      <c r="I722" s="31">
        <f>IF($A722="","",IF($A722&gt;IFERROR(GIRDI!B12,0),"DIŞI","AKTİF"))</f>
        <v/>
      </c>
    </row>
    <row r="723">
      <c r="B723" s="31">
        <f>IF(OR($A723="",$A723&gt;IFERROR(GIRDI!B12,0)),"",IFERROR(IF(OR(GIRDI!B12="",GIRDI!B12=0),0,ayd_netDefter/GIRDI!B12),0))</f>
        <v/>
      </c>
      <c r="C723" s="31">
        <f>IF(OR($A723="",$A723&gt;IFERROR(GIRDI!B12,0)),"",IFERROR(IF(OR(GIRDI!B12="",GIRDI!B12=0),0,(ayd_netDefter+ayd_fark)/GIRDI!B12),0))</f>
        <v/>
      </c>
      <c r="D723" s="31">
        <f>IF($B723="","",IFERROR($C723-$B723,0))</f>
        <v/>
      </c>
      <c r="E723" s="31">
        <f>IF($B723="","",IFERROR($A723*$B723,0))</f>
        <v/>
      </c>
      <c r="F723" s="31">
        <f>IF($C723="","",IFERROR($A723*$C723,0))</f>
        <v/>
      </c>
      <c r="G723" s="31">
        <f>IF($B723="","",IFERROR(MAX(0,ayd_netDefter-$E723),0))</f>
        <v/>
      </c>
      <c r="H723" s="31">
        <f>IF($C723="","",IFERROR(MAX(0,ayd_netDefter+ayd_fark-$F723),0))</f>
        <v/>
      </c>
      <c r="I723" s="31">
        <f>IF($A723="","",IF($A723&gt;IFERROR(GIRDI!B12,0),"DIŞI","AKTİF"))</f>
        <v/>
      </c>
    </row>
    <row r="724">
      <c r="B724" s="31">
        <f>IF(OR($A724="",$A724&gt;IFERROR(GIRDI!B12,0)),"",IFERROR(IF(OR(GIRDI!B12="",GIRDI!B12=0),0,ayd_netDefter/GIRDI!B12),0))</f>
        <v/>
      </c>
      <c r="C724" s="31">
        <f>IF(OR($A724="",$A724&gt;IFERROR(GIRDI!B12,0)),"",IFERROR(IF(OR(GIRDI!B12="",GIRDI!B12=0),0,(ayd_netDefter+ayd_fark)/GIRDI!B12),0))</f>
        <v/>
      </c>
      <c r="D724" s="31">
        <f>IF($B724="","",IFERROR($C724-$B724,0))</f>
        <v/>
      </c>
      <c r="E724" s="31">
        <f>IF($B724="","",IFERROR($A724*$B724,0))</f>
        <v/>
      </c>
      <c r="F724" s="31">
        <f>IF($C724="","",IFERROR($A724*$C724,0))</f>
        <v/>
      </c>
      <c r="G724" s="31">
        <f>IF($B724="","",IFERROR(MAX(0,ayd_netDefter-$E724),0))</f>
        <v/>
      </c>
      <c r="H724" s="31">
        <f>IF($C724="","",IFERROR(MAX(0,ayd_netDefter+ayd_fark-$F724),0))</f>
        <v/>
      </c>
      <c r="I724" s="31">
        <f>IF($A724="","",IF($A724&gt;IFERROR(GIRDI!B12,0),"DIŞI","AKTİF"))</f>
        <v/>
      </c>
    </row>
    <row r="725">
      <c r="B725" s="31">
        <f>IF(OR($A725="",$A725&gt;IFERROR(GIRDI!B12,0)),"",IFERROR(IF(OR(GIRDI!B12="",GIRDI!B12=0),0,ayd_netDefter/GIRDI!B12),0))</f>
        <v/>
      </c>
      <c r="C725" s="31">
        <f>IF(OR($A725="",$A725&gt;IFERROR(GIRDI!B12,0)),"",IFERROR(IF(OR(GIRDI!B12="",GIRDI!B12=0),0,(ayd_netDefter+ayd_fark)/GIRDI!B12),0))</f>
        <v/>
      </c>
      <c r="D725" s="31">
        <f>IF($B725="","",IFERROR($C725-$B725,0))</f>
        <v/>
      </c>
      <c r="E725" s="31">
        <f>IF($B725="","",IFERROR($A725*$B725,0))</f>
        <v/>
      </c>
      <c r="F725" s="31">
        <f>IF($C725="","",IFERROR($A725*$C725,0))</f>
        <v/>
      </c>
      <c r="G725" s="31">
        <f>IF($B725="","",IFERROR(MAX(0,ayd_netDefter-$E725),0))</f>
        <v/>
      </c>
      <c r="H725" s="31">
        <f>IF($C725="","",IFERROR(MAX(0,ayd_netDefter+ayd_fark-$F725),0))</f>
        <v/>
      </c>
      <c r="I725" s="31">
        <f>IF($A725="","",IF($A725&gt;IFERROR(GIRDI!B12,0),"DIŞI","AKTİF"))</f>
        <v/>
      </c>
    </row>
    <row r="726">
      <c r="B726" s="31">
        <f>IF(OR($A726="",$A726&gt;IFERROR(GIRDI!B12,0)),"",IFERROR(IF(OR(GIRDI!B12="",GIRDI!B12=0),0,ayd_netDefter/GIRDI!B12),0))</f>
        <v/>
      </c>
      <c r="C726" s="31">
        <f>IF(OR($A726="",$A726&gt;IFERROR(GIRDI!B12,0)),"",IFERROR(IF(OR(GIRDI!B12="",GIRDI!B12=0),0,(ayd_netDefter+ayd_fark)/GIRDI!B12),0))</f>
        <v/>
      </c>
      <c r="D726" s="31">
        <f>IF($B726="","",IFERROR($C726-$B726,0))</f>
        <v/>
      </c>
      <c r="E726" s="31">
        <f>IF($B726="","",IFERROR($A726*$B726,0))</f>
        <v/>
      </c>
      <c r="F726" s="31">
        <f>IF($C726="","",IFERROR($A726*$C726,0))</f>
        <v/>
      </c>
      <c r="G726" s="31">
        <f>IF($B726="","",IFERROR(MAX(0,ayd_netDefter-$E726),0))</f>
        <v/>
      </c>
      <c r="H726" s="31">
        <f>IF($C726="","",IFERROR(MAX(0,ayd_netDefter+ayd_fark-$F726),0))</f>
        <v/>
      </c>
      <c r="I726" s="31">
        <f>IF($A726="","",IF($A726&gt;IFERROR(GIRDI!B12,0),"DIŞI","AKTİF"))</f>
        <v/>
      </c>
    </row>
    <row r="727">
      <c r="B727" s="31">
        <f>IF(OR($A727="",$A727&gt;IFERROR(GIRDI!B12,0)),"",IFERROR(IF(OR(GIRDI!B12="",GIRDI!B12=0),0,ayd_netDefter/GIRDI!B12),0))</f>
        <v/>
      </c>
      <c r="C727" s="31">
        <f>IF(OR($A727="",$A727&gt;IFERROR(GIRDI!B12,0)),"",IFERROR(IF(OR(GIRDI!B12="",GIRDI!B12=0),0,(ayd_netDefter+ayd_fark)/GIRDI!B12),0))</f>
        <v/>
      </c>
      <c r="D727" s="31">
        <f>IF($B727="","",IFERROR($C727-$B727,0))</f>
        <v/>
      </c>
      <c r="E727" s="31">
        <f>IF($B727="","",IFERROR($A727*$B727,0))</f>
        <v/>
      </c>
      <c r="F727" s="31">
        <f>IF($C727="","",IFERROR($A727*$C727,0))</f>
        <v/>
      </c>
      <c r="G727" s="31">
        <f>IF($B727="","",IFERROR(MAX(0,ayd_netDefter-$E727),0))</f>
        <v/>
      </c>
      <c r="H727" s="31">
        <f>IF($C727="","",IFERROR(MAX(0,ayd_netDefter+ayd_fark-$F727),0))</f>
        <v/>
      </c>
      <c r="I727" s="31">
        <f>IF($A727="","",IF($A727&gt;IFERROR(GIRDI!B12,0),"DIŞI","AKTİF"))</f>
        <v/>
      </c>
    </row>
    <row r="728">
      <c r="B728" s="31">
        <f>IF(OR($A728="",$A728&gt;IFERROR(GIRDI!B12,0)),"",IFERROR(IF(OR(GIRDI!B12="",GIRDI!B12=0),0,ayd_netDefter/GIRDI!B12),0))</f>
        <v/>
      </c>
      <c r="C728" s="31">
        <f>IF(OR($A728="",$A728&gt;IFERROR(GIRDI!B12,0)),"",IFERROR(IF(OR(GIRDI!B12="",GIRDI!B12=0),0,(ayd_netDefter+ayd_fark)/GIRDI!B12),0))</f>
        <v/>
      </c>
      <c r="D728" s="31">
        <f>IF($B728="","",IFERROR($C728-$B728,0))</f>
        <v/>
      </c>
      <c r="E728" s="31">
        <f>IF($B728="","",IFERROR($A728*$B728,0))</f>
        <v/>
      </c>
      <c r="F728" s="31">
        <f>IF($C728="","",IFERROR($A728*$C728,0))</f>
        <v/>
      </c>
      <c r="G728" s="31">
        <f>IF($B728="","",IFERROR(MAX(0,ayd_netDefter-$E728),0))</f>
        <v/>
      </c>
      <c r="H728" s="31">
        <f>IF($C728="","",IFERROR(MAX(0,ayd_netDefter+ayd_fark-$F728),0))</f>
        <v/>
      </c>
      <c r="I728" s="31">
        <f>IF($A728="","",IF($A728&gt;IFERROR(GIRDI!B12,0),"DIŞI","AKTİF"))</f>
        <v/>
      </c>
    </row>
    <row r="729">
      <c r="B729" s="31">
        <f>IF(OR($A729="",$A729&gt;IFERROR(GIRDI!B12,0)),"",IFERROR(IF(OR(GIRDI!B12="",GIRDI!B12=0),0,ayd_netDefter/GIRDI!B12),0))</f>
        <v/>
      </c>
      <c r="C729" s="31">
        <f>IF(OR($A729="",$A729&gt;IFERROR(GIRDI!B12,0)),"",IFERROR(IF(OR(GIRDI!B12="",GIRDI!B12=0),0,(ayd_netDefter+ayd_fark)/GIRDI!B12),0))</f>
        <v/>
      </c>
      <c r="D729" s="31">
        <f>IF($B729="","",IFERROR($C729-$B729,0))</f>
        <v/>
      </c>
      <c r="E729" s="31">
        <f>IF($B729="","",IFERROR($A729*$B729,0))</f>
        <v/>
      </c>
      <c r="F729" s="31">
        <f>IF($C729="","",IFERROR($A729*$C729,0))</f>
        <v/>
      </c>
      <c r="G729" s="31">
        <f>IF($B729="","",IFERROR(MAX(0,ayd_netDefter-$E729),0))</f>
        <v/>
      </c>
      <c r="H729" s="31">
        <f>IF($C729="","",IFERROR(MAX(0,ayd_netDefter+ayd_fark-$F729),0))</f>
        <v/>
      </c>
      <c r="I729" s="31">
        <f>IF($A729="","",IF($A729&gt;IFERROR(GIRDI!B12,0),"DIŞI","AKTİF"))</f>
        <v/>
      </c>
    </row>
    <row r="730">
      <c r="B730" s="31">
        <f>IF(OR($A730="",$A730&gt;IFERROR(GIRDI!B12,0)),"",IFERROR(IF(OR(GIRDI!B12="",GIRDI!B12=0),0,ayd_netDefter/GIRDI!B12),0))</f>
        <v/>
      </c>
      <c r="C730" s="31">
        <f>IF(OR($A730="",$A730&gt;IFERROR(GIRDI!B12,0)),"",IFERROR(IF(OR(GIRDI!B12="",GIRDI!B12=0),0,(ayd_netDefter+ayd_fark)/GIRDI!B12),0))</f>
        <v/>
      </c>
      <c r="D730" s="31">
        <f>IF($B730="","",IFERROR($C730-$B730,0))</f>
        <v/>
      </c>
      <c r="E730" s="31">
        <f>IF($B730="","",IFERROR($A730*$B730,0))</f>
        <v/>
      </c>
      <c r="F730" s="31">
        <f>IF($C730="","",IFERROR($A730*$C730,0))</f>
        <v/>
      </c>
      <c r="G730" s="31">
        <f>IF($B730="","",IFERROR(MAX(0,ayd_netDefter-$E730),0))</f>
        <v/>
      </c>
      <c r="H730" s="31">
        <f>IF($C730="","",IFERROR(MAX(0,ayd_netDefter+ayd_fark-$F730),0))</f>
        <v/>
      </c>
      <c r="I730" s="31">
        <f>IF($A730="","",IF($A730&gt;IFERROR(GIRDI!B12,0),"DIŞI","AKTİF"))</f>
        <v/>
      </c>
    </row>
    <row r="731">
      <c r="B731" s="31">
        <f>IF(OR($A731="",$A731&gt;IFERROR(GIRDI!B12,0)),"",IFERROR(IF(OR(GIRDI!B12="",GIRDI!B12=0),0,ayd_netDefter/GIRDI!B12),0))</f>
        <v/>
      </c>
      <c r="C731" s="31">
        <f>IF(OR($A731="",$A731&gt;IFERROR(GIRDI!B12,0)),"",IFERROR(IF(OR(GIRDI!B12="",GIRDI!B12=0),0,(ayd_netDefter+ayd_fark)/GIRDI!B12),0))</f>
        <v/>
      </c>
      <c r="D731" s="31">
        <f>IF($B731="","",IFERROR($C731-$B731,0))</f>
        <v/>
      </c>
      <c r="E731" s="31">
        <f>IF($B731="","",IFERROR($A731*$B731,0))</f>
        <v/>
      </c>
      <c r="F731" s="31">
        <f>IF($C731="","",IFERROR($A731*$C731,0))</f>
        <v/>
      </c>
      <c r="G731" s="31">
        <f>IF($B731="","",IFERROR(MAX(0,ayd_netDefter-$E731),0))</f>
        <v/>
      </c>
      <c r="H731" s="31">
        <f>IF($C731="","",IFERROR(MAX(0,ayd_netDefter+ayd_fark-$F731),0))</f>
        <v/>
      </c>
      <c r="I731" s="31">
        <f>IF($A731="","",IF($A731&gt;IFERROR(GIRDI!B12,0),"DIŞI","AKTİF"))</f>
        <v/>
      </c>
    </row>
    <row r="732">
      <c r="B732" s="31">
        <f>IF(OR($A732="",$A732&gt;IFERROR(GIRDI!B12,0)),"",IFERROR(IF(OR(GIRDI!B12="",GIRDI!B12=0),0,ayd_netDefter/GIRDI!B12),0))</f>
        <v/>
      </c>
      <c r="C732" s="31">
        <f>IF(OR($A732="",$A732&gt;IFERROR(GIRDI!B12,0)),"",IFERROR(IF(OR(GIRDI!B12="",GIRDI!B12=0),0,(ayd_netDefter+ayd_fark)/GIRDI!B12),0))</f>
        <v/>
      </c>
      <c r="D732" s="31">
        <f>IF($B732="","",IFERROR($C732-$B732,0))</f>
        <v/>
      </c>
      <c r="E732" s="31">
        <f>IF($B732="","",IFERROR($A732*$B732,0))</f>
        <v/>
      </c>
      <c r="F732" s="31">
        <f>IF($C732="","",IFERROR($A732*$C732,0))</f>
        <v/>
      </c>
      <c r="G732" s="31">
        <f>IF($B732="","",IFERROR(MAX(0,ayd_netDefter-$E732),0))</f>
        <v/>
      </c>
      <c r="H732" s="31">
        <f>IF($C732="","",IFERROR(MAX(0,ayd_netDefter+ayd_fark-$F732),0))</f>
        <v/>
      </c>
      <c r="I732" s="31">
        <f>IF($A732="","",IF($A732&gt;IFERROR(GIRDI!B12,0),"DIŞI","AKTİF"))</f>
        <v/>
      </c>
    </row>
    <row r="733">
      <c r="B733" s="31">
        <f>IF(OR($A733="",$A733&gt;IFERROR(GIRDI!B12,0)),"",IFERROR(IF(OR(GIRDI!B12="",GIRDI!B12=0),0,ayd_netDefter/GIRDI!B12),0))</f>
        <v/>
      </c>
      <c r="C733" s="31">
        <f>IF(OR($A733="",$A733&gt;IFERROR(GIRDI!B12,0)),"",IFERROR(IF(OR(GIRDI!B12="",GIRDI!B12=0),0,(ayd_netDefter+ayd_fark)/GIRDI!B12),0))</f>
        <v/>
      </c>
      <c r="D733" s="31">
        <f>IF($B733="","",IFERROR($C733-$B733,0))</f>
        <v/>
      </c>
      <c r="E733" s="31">
        <f>IF($B733="","",IFERROR($A733*$B733,0))</f>
        <v/>
      </c>
      <c r="F733" s="31">
        <f>IF($C733="","",IFERROR($A733*$C733,0))</f>
        <v/>
      </c>
      <c r="G733" s="31">
        <f>IF($B733="","",IFERROR(MAX(0,ayd_netDefter-$E733),0))</f>
        <v/>
      </c>
      <c r="H733" s="31">
        <f>IF($C733="","",IFERROR(MAX(0,ayd_netDefter+ayd_fark-$F733),0))</f>
        <v/>
      </c>
      <c r="I733" s="31">
        <f>IF($A733="","",IF($A733&gt;IFERROR(GIRDI!B12,0),"DIŞI","AKTİF"))</f>
        <v/>
      </c>
    </row>
    <row r="734">
      <c r="B734" s="31">
        <f>IF(OR($A734="",$A734&gt;IFERROR(GIRDI!B12,0)),"",IFERROR(IF(OR(GIRDI!B12="",GIRDI!B12=0),0,ayd_netDefter/GIRDI!B12),0))</f>
        <v/>
      </c>
      <c r="C734" s="31">
        <f>IF(OR($A734="",$A734&gt;IFERROR(GIRDI!B12,0)),"",IFERROR(IF(OR(GIRDI!B12="",GIRDI!B12=0),0,(ayd_netDefter+ayd_fark)/GIRDI!B12),0))</f>
        <v/>
      </c>
      <c r="D734" s="31">
        <f>IF($B734="","",IFERROR($C734-$B734,0))</f>
        <v/>
      </c>
      <c r="E734" s="31">
        <f>IF($B734="","",IFERROR($A734*$B734,0))</f>
        <v/>
      </c>
      <c r="F734" s="31">
        <f>IF($C734="","",IFERROR($A734*$C734,0))</f>
        <v/>
      </c>
      <c r="G734" s="31">
        <f>IF($B734="","",IFERROR(MAX(0,ayd_netDefter-$E734),0))</f>
        <v/>
      </c>
      <c r="H734" s="31">
        <f>IF($C734="","",IFERROR(MAX(0,ayd_netDefter+ayd_fark-$F734),0))</f>
        <v/>
      </c>
      <c r="I734" s="31">
        <f>IF($A734="","",IF($A734&gt;IFERROR(GIRDI!B12,0),"DIŞI","AKTİF"))</f>
        <v/>
      </c>
    </row>
    <row r="735">
      <c r="B735" s="31">
        <f>IF(OR($A735="",$A735&gt;IFERROR(GIRDI!B12,0)),"",IFERROR(IF(OR(GIRDI!B12="",GIRDI!B12=0),0,ayd_netDefter/GIRDI!B12),0))</f>
        <v/>
      </c>
      <c r="C735" s="31">
        <f>IF(OR($A735="",$A735&gt;IFERROR(GIRDI!B12,0)),"",IFERROR(IF(OR(GIRDI!B12="",GIRDI!B12=0),0,(ayd_netDefter+ayd_fark)/GIRDI!B12),0))</f>
        <v/>
      </c>
      <c r="D735" s="31">
        <f>IF($B735="","",IFERROR($C735-$B735,0))</f>
        <v/>
      </c>
      <c r="E735" s="31">
        <f>IF($B735="","",IFERROR($A735*$B735,0))</f>
        <v/>
      </c>
      <c r="F735" s="31">
        <f>IF($C735="","",IFERROR($A735*$C735,0))</f>
        <v/>
      </c>
      <c r="G735" s="31">
        <f>IF($B735="","",IFERROR(MAX(0,ayd_netDefter-$E735),0))</f>
        <v/>
      </c>
      <c r="H735" s="31">
        <f>IF($C735="","",IFERROR(MAX(0,ayd_netDefter+ayd_fark-$F735),0))</f>
        <v/>
      </c>
      <c r="I735" s="31">
        <f>IF($A735="","",IF($A735&gt;IFERROR(GIRDI!B12,0),"DIŞI","AKTİF"))</f>
        <v/>
      </c>
    </row>
    <row r="736">
      <c r="B736" s="31">
        <f>IF(OR($A736="",$A736&gt;IFERROR(GIRDI!B12,0)),"",IFERROR(IF(OR(GIRDI!B12="",GIRDI!B12=0),0,ayd_netDefter/GIRDI!B12),0))</f>
        <v/>
      </c>
      <c r="C736" s="31">
        <f>IF(OR($A736="",$A736&gt;IFERROR(GIRDI!B12,0)),"",IFERROR(IF(OR(GIRDI!B12="",GIRDI!B12=0),0,(ayd_netDefter+ayd_fark)/GIRDI!B12),0))</f>
        <v/>
      </c>
      <c r="D736" s="31">
        <f>IF($B736="","",IFERROR($C736-$B736,0))</f>
        <v/>
      </c>
      <c r="E736" s="31">
        <f>IF($B736="","",IFERROR($A736*$B736,0))</f>
        <v/>
      </c>
      <c r="F736" s="31">
        <f>IF($C736="","",IFERROR($A736*$C736,0))</f>
        <v/>
      </c>
      <c r="G736" s="31">
        <f>IF($B736="","",IFERROR(MAX(0,ayd_netDefter-$E736),0))</f>
        <v/>
      </c>
      <c r="H736" s="31">
        <f>IF($C736="","",IFERROR(MAX(0,ayd_netDefter+ayd_fark-$F736),0))</f>
        <v/>
      </c>
      <c r="I736" s="31">
        <f>IF($A736="","",IF($A736&gt;IFERROR(GIRDI!B12,0),"DIŞI","AKTİF"))</f>
        <v/>
      </c>
    </row>
    <row r="737">
      <c r="B737" s="31">
        <f>IF(OR($A737="",$A737&gt;IFERROR(GIRDI!B12,0)),"",IFERROR(IF(OR(GIRDI!B12="",GIRDI!B12=0),0,ayd_netDefter/GIRDI!B12),0))</f>
        <v/>
      </c>
      <c r="C737" s="31">
        <f>IF(OR($A737="",$A737&gt;IFERROR(GIRDI!B12,0)),"",IFERROR(IF(OR(GIRDI!B12="",GIRDI!B12=0),0,(ayd_netDefter+ayd_fark)/GIRDI!B12),0))</f>
        <v/>
      </c>
      <c r="D737" s="31">
        <f>IF($B737="","",IFERROR($C737-$B737,0))</f>
        <v/>
      </c>
      <c r="E737" s="31">
        <f>IF($B737="","",IFERROR($A737*$B737,0))</f>
        <v/>
      </c>
      <c r="F737" s="31">
        <f>IF($C737="","",IFERROR($A737*$C737,0))</f>
        <v/>
      </c>
      <c r="G737" s="31">
        <f>IF($B737="","",IFERROR(MAX(0,ayd_netDefter-$E737),0))</f>
        <v/>
      </c>
      <c r="H737" s="31">
        <f>IF($C737="","",IFERROR(MAX(0,ayd_netDefter+ayd_fark-$F737),0))</f>
        <v/>
      </c>
      <c r="I737" s="31">
        <f>IF($A737="","",IF($A737&gt;IFERROR(GIRDI!B12,0),"DIŞI","AKTİF"))</f>
        <v/>
      </c>
    </row>
    <row r="738">
      <c r="B738" s="31">
        <f>IF(OR($A738="",$A738&gt;IFERROR(GIRDI!B12,0)),"",IFERROR(IF(OR(GIRDI!B12="",GIRDI!B12=0),0,ayd_netDefter/GIRDI!B12),0))</f>
        <v/>
      </c>
      <c r="C738" s="31">
        <f>IF(OR($A738="",$A738&gt;IFERROR(GIRDI!B12,0)),"",IFERROR(IF(OR(GIRDI!B12="",GIRDI!B12=0),0,(ayd_netDefter+ayd_fark)/GIRDI!B12),0))</f>
        <v/>
      </c>
      <c r="D738" s="31">
        <f>IF($B738="","",IFERROR($C738-$B738,0))</f>
        <v/>
      </c>
      <c r="E738" s="31">
        <f>IF($B738="","",IFERROR($A738*$B738,0))</f>
        <v/>
      </c>
      <c r="F738" s="31">
        <f>IF($C738="","",IFERROR($A738*$C738,0))</f>
        <v/>
      </c>
      <c r="G738" s="31">
        <f>IF($B738="","",IFERROR(MAX(0,ayd_netDefter-$E738),0))</f>
        <v/>
      </c>
      <c r="H738" s="31">
        <f>IF($C738="","",IFERROR(MAX(0,ayd_netDefter+ayd_fark-$F738),0))</f>
        <v/>
      </c>
      <c r="I738" s="31">
        <f>IF($A738="","",IF($A738&gt;IFERROR(GIRDI!B12,0),"DIŞI","AKTİF"))</f>
        <v/>
      </c>
    </row>
    <row r="739">
      <c r="B739" s="31">
        <f>IF(OR($A739="",$A739&gt;IFERROR(GIRDI!B12,0)),"",IFERROR(IF(OR(GIRDI!B12="",GIRDI!B12=0),0,ayd_netDefter/GIRDI!B12),0))</f>
        <v/>
      </c>
      <c r="C739" s="31">
        <f>IF(OR($A739="",$A739&gt;IFERROR(GIRDI!B12,0)),"",IFERROR(IF(OR(GIRDI!B12="",GIRDI!B12=0),0,(ayd_netDefter+ayd_fark)/GIRDI!B12),0))</f>
        <v/>
      </c>
      <c r="D739" s="31">
        <f>IF($B739="","",IFERROR($C739-$B739,0))</f>
        <v/>
      </c>
      <c r="E739" s="31">
        <f>IF($B739="","",IFERROR($A739*$B739,0))</f>
        <v/>
      </c>
      <c r="F739" s="31">
        <f>IF($C739="","",IFERROR($A739*$C739,0))</f>
        <v/>
      </c>
      <c r="G739" s="31">
        <f>IF($B739="","",IFERROR(MAX(0,ayd_netDefter-$E739),0))</f>
        <v/>
      </c>
      <c r="H739" s="31">
        <f>IF($C739="","",IFERROR(MAX(0,ayd_netDefter+ayd_fark-$F739),0))</f>
        <v/>
      </c>
      <c r="I739" s="31">
        <f>IF($A739="","",IF($A739&gt;IFERROR(GIRDI!B12,0),"DIŞI","AKTİF"))</f>
        <v/>
      </c>
    </row>
    <row r="740">
      <c r="B740" s="31">
        <f>IF(OR($A740="",$A740&gt;IFERROR(GIRDI!B12,0)),"",IFERROR(IF(OR(GIRDI!B12="",GIRDI!B12=0),0,ayd_netDefter/GIRDI!B12),0))</f>
        <v/>
      </c>
      <c r="C740" s="31">
        <f>IF(OR($A740="",$A740&gt;IFERROR(GIRDI!B12,0)),"",IFERROR(IF(OR(GIRDI!B12="",GIRDI!B12=0),0,(ayd_netDefter+ayd_fark)/GIRDI!B12),0))</f>
        <v/>
      </c>
      <c r="D740" s="31">
        <f>IF($B740="","",IFERROR($C740-$B740,0))</f>
        <v/>
      </c>
      <c r="E740" s="31">
        <f>IF($B740="","",IFERROR($A740*$B740,0))</f>
        <v/>
      </c>
      <c r="F740" s="31">
        <f>IF($C740="","",IFERROR($A740*$C740,0))</f>
        <v/>
      </c>
      <c r="G740" s="31">
        <f>IF($B740="","",IFERROR(MAX(0,ayd_netDefter-$E740),0))</f>
        <v/>
      </c>
      <c r="H740" s="31">
        <f>IF($C740="","",IFERROR(MAX(0,ayd_netDefter+ayd_fark-$F740),0))</f>
        <v/>
      </c>
      <c r="I740" s="31">
        <f>IF($A740="","",IF($A740&gt;IFERROR(GIRDI!B12,0),"DIŞI","AKTİF"))</f>
        <v/>
      </c>
    </row>
    <row r="741">
      <c r="B741" s="31">
        <f>IF(OR($A741="",$A741&gt;IFERROR(GIRDI!B12,0)),"",IFERROR(IF(OR(GIRDI!B12="",GIRDI!B12=0),0,ayd_netDefter/GIRDI!B12),0))</f>
        <v/>
      </c>
      <c r="C741" s="31">
        <f>IF(OR($A741="",$A741&gt;IFERROR(GIRDI!B12,0)),"",IFERROR(IF(OR(GIRDI!B12="",GIRDI!B12=0),0,(ayd_netDefter+ayd_fark)/GIRDI!B12),0))</f>
        <v/>
      </c>
      <c r="D741" s="31">
        <f>IF($B741="","",IFERROR($C741-$B741,0))</f>
        <v/>
      </c>
      <c r="E741" s="31">
        <f>IF($B741="","",IFERROR($A741*$B741,0))</f>
        <v/>
      </c>
      <c r="F741" s="31">
        <f>IF($C741="","",IFERROR($A741*$C741,0))</f>
        <v/>
      </c>
      <c r="G741" s="31">
        <f>IF($B741="","",IFERROR(MAX(0,ayd_netDefter-$E741),0))</f>
        <v/>
      </c>
      <c r="H741" s="31">
        <f>IF($C741="","",IFERROR(MAX(0,ayd_netDefter+ayd_fark-$F741),0))</f>
        <v/>
      </c>
      <c r="I741" s="31">
        <f>IF($A741="","",IF($A741&gt;IFERROR(GIRDI!B12,0),"DIŞI","AKTİF"))</f>
        <v/>
      </c>
    </row>
    <row r="742">
      <c r="B742" s="31">
        <f>IF(OR($A742="",$A742&gt;IFERROR(GIRDI!B12,0)),"",IFERROR(IF(OR(GIRDI!B12="",GIRDI!B12=0),0,ayd_netDefter/GIRDI!B12),0))</f>
        <v/>
      </c>
      <c r="C742" s="31">
        <f>IF(OR($A742="",$A742&gt;IFERROR(GIRDI!B12,0)),"",IFERROR(IF(OR(GIRDI!B12="",GIRDI!B12=0),0,(ayd_netDefter+ayd_fark)/GIRDI!B12),0))</f>
        <v/>
      </c>
      <c r="D742" s="31">
        <f>IF($B742="","",IFERROR($C742-$B742,0))</f>
        <v/>
      </c>
      <c r="E742" s="31">
        <f>IF($B742="","",IFERROR($A742*$B742,0))</f>
        <v/>
      </c>
      <c r="F742" s="31">
        <f>IF($C742="","",IFERROR($A742*$C742,0))</f>
        <v/>
      </c>
      <c r="G742" s="31">
        <f>IF($B742="","",IFERROR(MAX(0,ayd_netDefter-$E742),0))</f>
        <v/>
      </c>
      <c r="H742" s="31">
        <f>IF($C742="","",IFERROR(MAX(0,ayd_netDefter+ayd_fark-$F742),0))</f>
        <v/>
      </c>
      <c r="I742" s="31">
        <f>IF($A742="","",IF($A742&gt;IFERROR(GIRDI!B12,0),"DIŞI","AKTİF"))</f>
        <v/>
      </c>
    </row>
    <row r="743">
      <c r="B743" s="31">
        <f>IF(OR($A743="",$A743&gt;IFERROR(GIRDI!B12,0)),"",IFERROR(IF(OR(GIRDI!B12="",GIRDI!B12=0),0,ayd_netDefter/GIRDI!B12),0))</f>
        <v/>
      </c>
      <c r="C743" s="31">
        <f>IF(OR($A743="",$A743&gt;IFERROR(GIRDI!B12,0)),"",IFERROR(IF(OR(GIRDI!B12="",GIRDI!B12=0),0,(ayd_netDefter+ayd_fark)/GIRDI!B12),0))</f>
        <v/>
      </c>
      <c r="D743" s="31">
        <f>IF($B743="","",IFERROR($C743-$B743,0))</f>
        <v/>
      </c>
      <c r="E743" s="31">
        <f>IF($B743="","",IFERROR($A743*$B743,0))</f>
        <v/>
      </c>
      <c r="F743" s="31">
        <f>IF($C743="","",IFERROR($A743*$C743,0))</f>
        <v/>
      </c>
      <c r="G743" s="31">
        <f>IF($B743="","",IFERROR(MAX(0,ayd_netDefter-$E743),0))</f>
        <v/>
      </c>
      <c r="H743" s="31">
        <f>IF($C743="","",IFERROR(MAX(0,ayd_netDefter+ayd_fark-$F743),0))</f>
        <v/>
      </c>
      <c r="I743" s="31">
        <f>IF($A743="","",IF($A743&gt;IFERROR(GIRDI!B12,0),"DIŞI","AKTİF"))</f>
        <v/>
      </c>
    </row>
    <row r="744">
      <c r="B744" s="31">
        <f>IF(OR($A744="",$A744&gt;IFERROR(GIRDI!B12,0)),"",IFERROR(IF(OR(GIRDI!B12="",GIRDI!B12=0),0,ayd_netDefter/GIRDI!B12),0))</f>
        <v/>
      </c>
      <c r="C744" s="31">
        <f>IF(OR($A744="",$A744&gt;IFERROR(GIRDI!B12,0)),"",IFERROR(IF(OR(GIRDI!B12="",GIRDI!B12=0),0,(ayd_netDefter+ayd_fark)/GIRDI!B12),0))</f>
        <v/>
      </c>
      <c r="D744" s="31">
        <f>IF($B744="","",IFERROR($C744-$B744,0))</f>
        <v/>
      </c>
      <c r="E744" s="31">
        <f>IF($B744="","",IFERROR($A744*$B744,0))</f>
        <v/>
      </c>
      <c r="F744" s="31">
        <f>IF($C744="","",IFERROR($A744*$C744,0))</f>
        <v/>
      </c>
      <c r="G744" s="31">
        <f>IF($B744="","",IFERROR(MAX(0,ayd_netDefter-$E744),0))</f>
        <v/>
      </c>
      <c r="H744" s="31">
        <f>IF($C744="","",IFERROR(MAX(0,ayd_netDefter+ayd_fark-$F744),0))</f>
        <v/>
      </c>
      <c r="I744" s="31">
        <f>IF($A744="","",IF($A744&gt;IFERROR(GIRDI!B12,0),"DIŞI","AKTİF"))</f>
        <v/>
      </c>
    </row>
    <row r="745">
      <c r="B745" s="31">
        <f>IF(OR($A745="",$A745&gt;IFERROR(GIRDI!B12,0)),"",IFERROR(IF(OR(GIRDI!B12="",GIRDI!B12=0),0,ayd_netDefter/GIRDI!B12),0))</f>
        <v/>
      </c>
      <c r="C745" s="31">
        <f>IF(OR($A745="",$A745&gt;IFERROR(GIRDI!B12,0)),"",IFERROR(IF(OR(GIRDI!B12="",GIRDI!B12=0),0,(ayd_netDefter+ayd_fark)/GIRDI!B12),0))</f>
        <v/>
      </c>
      <c r="D745" s="31">
        <f>IF($B745="","",IFERROR($C745-$B745,0))</f>
        <v/>
      </c>
      <c r="E745" s="31">
        <f>IF($B745="","",IFERROR($A745*$B745,0))</f>
        <v/>
      </c>
      <c r="F745" s="31">
        <f>IF($C745="","",IFERROR($A745*$C745,0))</f>
        <v/>
      </c>
      <c r="G745" s="31">
        <f>IF($B745="","",IFERROR(MAX(0,ayd_netDefter-$E745),0))</f>
        <v/>
      </c>
      <c r="H745" s="31">
        <f>IF($C745="","",IFERROR(MAX(0,ayd_netDefter+ayd_fark-$F745),0))</f>
        <v/>
      </c>
      <c r="I745" s="31">
        <f>IF($A745="","",IF($A745&gt;IFERROR(GIRDI!B12,0),"DIŞI","AKTİF"))</f>
        <v/>
      </c>
    </row>
    <row r="746">
      <c r="B746" s="31">
        <f>IF(OR($A746="",$A746&gt;IFERROR(GIRDI!B12,0)),"",IFERROR(IF(OR(GIRDI!B12="",GIRDI!B12=0),0,ayd_netDefter/GIRDI!B12),0))</f>
        <v/>
      </c>
      <c r="C746" s="31">
        <f>IF(OR($A746="",$A746&gt;IFERROR(GIRDI!B12,0)),"",IFERROR(IF(OR(GIRDI!B12="",GIRDI!B12=0),0,(ayd_netDefter+ayd_fark)/GIRDI!B12),0))</f>
        <v/>
      </c>
      <c r="D746" s="31">
        <f>IF($B746="","",IFERROR($C746-$B746,0))</f>
        <v/>
      </c>
      <c r="E746" s="31">
        <f>IF($B746="","",IFERROR($A746*$B746,0))</f>
        <v/>
      </c>
      <c r="F746" s="31">
        <f>IF($C746="","",IFERROR($A746*$C746,0))</f>
        <v/>
      </c>
      <c r="G746" s="31">
        <f>IF($B746="","",IFERROR(MAX(0,ayd_netDefter-$E746),0))</f>
        <v/>
      </c>
      <c r="H746" s="31">
        <f>IF($C746="","",IFERROR(MAX(0,ayd_netDefter+ayd_fark-$F746),0))</f>
        <v/>
      </c>
      <c r="I746" s="31">
        <f>IF($A746="","",IF($A746&gt;IFERROR(GIRDI!B12,0),"DIŞI","AKTİF"))</f>
        <v/>
      </c>
    </row>
    <row r="747">
      <c r="B747" s="31">
        <f>IF(OR($A747="",$A747&gt;IFERROR(GIRDI!B12,0)),"",IFERROR(IF(OR(GIRDI!B12="",GIRDI!B12=0),0,ayd_netDefter/GIRDI!B12),0))</f>
        <v/>
      </c>
      <c r="C747" s="31">
        <f>IF(OR($A747="",$A747&gt;IFERROR(GIRDI!B12,0)),"",IFERROR(IF(OR(GIRDI!B12="",GIRDI!B12=0),0,(ayd_netDefter+ayd_fark)/GIRDI!B12),0))</f>
        <v/>
      </c>
      <c r="D747" s="31">
        <f>IF($B747="","",IFERROR($C747-$B747,0))</f>
        <v/>
      </c>
      <c r="E747" s="31">
        <f>IF($B747="","",IFERROR($A747*$B747,0))</f>
        <v/>
      </c>
      <c r="F747" s="31">
        <f>IF($C747="","",IFERROR($A747*$C747,0))</f>
        <v/>
      </c>
      <c r="G747" s="31">
        <f>IF($B747="","",IFERROR(MAX(0,ayd_netDefter-$E747),0))</f>
        <v/>
      </c>
      <c r="H747" s="31">
        <f>IF($C747="","",IFERROR(MAX(0,ayd_netDefter+ayd_fark-$F747),0))</f>
        <v/>
      </c>
      <c r="I747" s="31">
        <f>IF($A747="","",IF($A747&gt;IFERROR(GIRDI!B12,0),"DIŞI","AKTİF"))</f>
        <v/>
      </c>
    </row>
    <row r="748">
      <c r="B748" s="31">
        <f>IF(OR($A748="",$A748&gt;IFERROR(GIRDI!B12,0)),"",IFERROR(IF(OR(GIRDI!B12="",GIRDI!B12=0),0,ayd_netDefter/GIRDI!B12),0))</f>
        <v/>
      </c>
      <c r="C748" s="31">
        <f>IF(OR($A748="",$A748&gt;IFERROR(GIRDI!B12,0)),"",IFERROR(IF(OR(GIRDI!B12="",GIRDI!B12=0),0,(ayd_netDefter+ayd_fark)/GIRDI!B12),0))</f>
        <v/>
      </c>
      <c r="D748" s="31">
        <f>IF($B748="","",IFERROR($C748-$B748,0))</f>
        <v/>
      </c>
      <c r="E748" s="31">
        <f>IF($B748="","",IFERROR($A748*$B748,0))</f>
        <v/>
      </c>
      <c r="F748" s="31">
        <f>IF($C748="","",IFERROR($A748*$C748,0))</f>
        <v/>
      </c>
      <c r="G748" s="31">
        <f>IF($B748="","",IFERROR(MAX(0,ayd_netDefter-$E748),0))</f>
        <v/>
      </c>
      <c r="H748" s="31">
        <f>IF($C748="","",IFERROR(MAX(0,ayd_netDefter+ayd_fark-$F748),0))</f>
        <v/>
      </c>
      <c r="I748" s="31">
        <f>IF($A748="","",IF($A748&gt;IFERROR(GIRDI!B12,0),"DIŞI","AKTİF"))</f>
        <v/>
      </c>
    </row>
    <row r="749">
      <c r="B749" s="31">
        <f>IF(OR($A749="",$A749&gt;IFERROR(GIRDI!B12,0)),"",IFERROR(IF(OR(GIRDI!B12="",GIRDI!B12=0),0,ayd_netDefter/GIRDI!B12),0))</f>
        <v/>
      </c>
      <c r="C749" s="31">
        <f>IF(OR($A749="",$A749&gt;IFERROR(GIRDI!B12,0)),"",IFERROR(IF(OR(GIRDI!B12="",GIRDI!B12=0),0,(ayd_netDefter+ayd_fark)/GIRDI!B12),0))</f>
        <v/>
      </c>
      <c r="D749" s="31">
        <f>IF($B749="","",IFERROR($C749-$B749,0))</f>
        <v/>
      </c>
      <c r="E749" s="31">
        <f>IF($B749="","",IFERROR($A749*$B749,0))</f>
        <v/>
      </c>
      <c r="F749" s="31">
        <f>IF($C749="","",IFERROR($A749*$C749,0))</f>
        <v/>
      </c>
      <c r="G749" s="31">
        <f>IF($B749="","",IFERROR(MAX(0,ayd_netDefter-$E749),0))</f>
        <v/>
      </c>
      <c r="H749" s="31">
        <f>IF($C749="","",IFERROR(MAX(0,ayd_netDefter+ayd_fark-$F749),0))</f>
        <v/>
      </c>
      <c r="I749" s="31">
        <f>IF($A749="","",IF($A749&gt;IFERROR(GIRDI!B12,0),"DIŞI","AKTİF"))</f>
        <v/>
      </c>
    </row>
    <row r="750">
      <c r="B750" s="31">
        <f>IF(OR($A750="",$A750&gt;IFERROR(GIRDI!B12,0)),"",IFERROR(IF(OR(GIRDI!B12="",GIRDI!B12=0),0,ayd_netDefter/GIRDI!B12),0))</f>
        <v/>
      </c>
      <c r="C750" s="31">
        <f>IF(OR($A750="",$A750&gt;IFERROR(GIRDI!B12,0)),"",IFERROR(IF(OR(GIRDI!B12="",GIRDI!B12=0),0,(ayd_netDefter+ayd_fark)/GIRDI!B12),0))</f>
        <v/>
      </c>
      <c r="D750" s="31">
        <f>IF($B750="","",IFERROR($C750-$B750,0))</f>
        <v/>
      </c>
      <c r="E750" s="31">
        <f>IF($B750="","",IFERROR($A750*$B750,0))</f>
        <v/>
      </c>
      <c r="F750" s="31">
        <f>IF($C750="","",IFERROR($A750*$C750,0))</f>
        <v/>
      </c>
      <c r="G750" s="31">
        <f>IF($B750="","",IFERROR(MAX(0,ayd_netDefter-$E750),0))</f>
        <v/>
      </c>
      <c r="H750" s="31">
        <f>IF($C750="","",IFERROR(MAX(0,ayd_netDefter+ayd_fark-$F750),0))</f>
        <v/>
      </c>
      <c r="I750" s="31">
        <f>IF($A750="","",IF($A750&gt;IFERROR(GIRDI!B12,0),"DIŞI","AKTİF"))</f>
        <v/>
      </c>
    </row>
    <row r="751">
      <c r="B751" s="31">
        <f>IF(OR($A751="",$A751&gt;IFERROR(GIRDI!B12,0)),"",IFERROR(IF(OR(GIRDI!B12="",GIRDI!B12=0),0,ayd_netDefter/GIRDI!B12),0))</f>
        <v/>
      </c>
      <c r="C751" s="31">
        <f>IF(OR($A751="",$A751&gt;IFERROR(GIRDI!B12,0)),"",IFERROR(IF(OR(GIRDI!B12="",GIRDI!B12=0),0,(ayd_netDefter+ayd_fark)/GIRDI!B12),0))</f>
        <v/>
      </c>
      <c r="D751" s="31">
        <f>IF($B751="","",IFERROR($C751-$B751,0))</f>
        <v/>
      </c>
      <c r="E751" s="31">
        <f>IF($B751="","",IFERROR($A751*$B751,0))</f>
        <v/>
      </c>
      <c r="F751" s="31">
        <f>IF($C751="","",IFERROR($A751*$C751,0))</f>
        <v/>
      </c>
      <c r="G751" s="31">
        <f>IF($B751="","",IFERROR(MAX(0,ayd_netDefter-$E751),0))</f>
        <v/>
      </c>
      <c r="H751" s="31">
        <f>IF($C751="","",IFERROR(MAX(0,ayd_netDefter+ayd_fark-$F751),0))</f>
        <v/>
      </c>
      <c r="I751" s="31">
        <f>IF($A751="","",IF($A751&gt;IFERROR(GIRDI!B12,0),"DIŞI","AKTİF"))</f>
        <v/>
      </c>
    </row>
    <row r="752">
      <c r="B752" s="31">
        <f>IF(OR($A752="",$A752&gt;IFERROR(GIRDI!B12,0)),"",IFERROR(IF(OR(GIRDI!B12="",GIRDI!B12=0),0,ayd_netDefter/GIRDI!B12),0))</f>
        <v/>
      </c>
      <c r="C752" s="31">
        <f>IF(OR($A752="",$A752&gt;IFERROR(GIRDI!B12,0)),"",IFERROR(IF(OR(GIRDI!B12="",GIRDI!B12=0),0,(ayd_netDefter+ayd_fark)/GIRDI!B12),0))</f>
        <v/>
      </c>
      <c r="D752" s="31">
        <f>IF($B752="","",IFERROR($C752-$B752,0))</f>
        <v/>
      </c>
      <c r="E752" s="31">
        <f>IF($B752="","",IFERROR($A752*$B752,0))</f>
        <v/>
      </c>
      <c r="F752" s="31">
        <f>IF($C752="","",IFERROR($A752*$C752,0))</f>
        <v/>
      </c>
      <c r="G752" s="31">
        <f>IF($B752="","",IFERROR(MAX(0,ayd_netDefter-$E752),0))</f>
        <v/>
      </c>
      <c r="H752" s="31">
        <f>IF($C752="","",IFERROR(MAX(0,ayd_netDefter+ayd_fark-$F752),0))</f>
        <v/>
      </c>
      <c r="I752" s="31">
        <f>IF($A752="","",IF($A752&gt;IFERROR(GIRDI!B12,0),"DIŞI","AKTİF"))</f>
        <v/>
      </c>
    </row>
    <row r="753">
      <c r="B753" s="31">
        <f>IF(OR($A753="",$A753&gt;IFERROR(GIRDI!B12,0)),"",IFERROR(IF(OR(GIRDI!B12="",GIRDI!B12=0),0,ayd_netDefter/GIRDI!B12),0))</f>
        <v/>
      </c>
      <c r="C753" s="31">
        <f>IF(OR($A753="",$A753&gt;IFERROR(GIRDI!B12,0)),"",IFERROR(IF(OR(GIRDI!B12="",GIRDI!B12=0),0,(ayd_netDefter+ayd_fark)/GIRDI!B12),0))</f>
        <v/>
      </c>
      <c r="D753" s="31">
        <f>IF($B753="","",IFERROR($C753-$B753,0))</f>
        <v/>
      </c>
      <c r="E753" s="31">
        <f>IF($B753="","",IFERROR($A753*$B753,0))</f>
        <v/>
      </c>
      <c r="F753" s="31">
        <f>IF($C753="","",IFERROR($A753*$C753,0))</f>
        <v/>
      </c>
      <c r="G753" s="31">
        <f>IF($B753="","",IFERROR(MAX(0,ayd_netDefter-$E753),0))</f>
        <v/>
      </c>
      <c r="H753" s="31">
        <f>IF($C753="","",IFERROR(MAX(0,ayd_netDefter+ayd_fark-$F753),0))</f>
        <v/>
      </c>
      <c r="I753" s="31">
        <f>IF($A753="","",IF($A753&gt;IFERROR(GIRDI!B12,0),"DIŞI","AKTİF"))</f>
        <v/>
      </c>
    </row>
    <row r="754">
      <c r="B754" s="31">
        <f>IF(OR($A754="",$A754&gt;IFERROR(GIRDI!B12,0)),"",IFERROR(IF(OR(GIRDI!B12="",GIRDI!B12=0),0,ayd_netDefter/GIRDI!B12),0))</f>
        <v/>
      </c>
      <c r="C754" s="31">
        <f>IF(OR($A754="",$A754&gt;IFERROR(GIRDI!B12,0)),"",IFERROR(IF(OR(GIRDI!B12="",GIRDI!B12=0),0,(ayd_netDefter+ayd_fark)/GIRDI!B12),0))</f>
        <v/>
      </c>
      <c r="D754" s="31">
        <f>IF($B754="","",IFERROR($C754-$B754,0))</f>
        <v/>
      </c>
      <c r="E754" s="31">
        <f>IF($B754="","",IFERROR($A754*$B754,0))</f>
        <v/>
      </c>
      <c r="F754" s="31">
        <f>IF($C754="","",IFERROR($A754*$C754,0))</f>
        <v/>
      </c>
      <c r="G754" s="31">
        <f>IF($B754="","",IFERROR(MAX(0,ayd_netDefter-$E754),0))</f>
        <v/>
      </c>
      <c r="H754" s="31">
        <f>IF($C754="","",IFERROR(MAX(0,ayd_netDefter+ayd_fark-$F754),0))</f>
        <v/>
      </c>
      <c r="I754" s="31">
        <f>IF($A754="","",IF($A754&gt;IFERROR(GIRDI!B12,0),"DIŞI","AKTİF"))</f>
        <v/>
      </c>
    </row>
    <row r="755">
      <c r="B755" s="31">
        <f>IF(OR($A755="",$A755&gt;IFERROR(GIRDI!B12,0)),"",IFERROR(IF(OR(GIRDI!B12="",GIRDI!B12=0),0,ayd_netDefter/GIRDI!B12),0))</f>
        <v/>
      </c>
      <c r="C755" s="31">
        <f>IF(OR($A755="",$A755&gt;IFERROR(GIRDI!B12,0)),"",IFERROR(IF(OR(GIRDI!B12="",GIRDI!B12=0),0,(ayd_netDefter+ayd_fark)/GIRDI!B12),0))</f>
        <v/>
      </c>
      <c r="D755" s="31">
        <f>IF($B755="","",IFERROR($C755-$B755,0))</f>
        <v/>
      </c>
      <c r="E755" s="31">
        <f>IF($B755="","",IFERROR($A755*$B755,0))</f>
        <v/>
      </c>
      <c r="F755" s="31">
        <f>IF($C755="","",IFERROR($A755*$C755,0))</f>
        <v/>
      </c>
      <c r="G755" s="31">
        <f>IF($B755="","",IFERROR(MAX(0,ayd_netDefter-$E755),0))</f>
        <v/>
      </c>
      <c r="H755" s="31">
        <f>IF($C755="","",IFERROR(MAX(0,ayd_netDefter+ayd_fark-$F755),0))</f>
        <v/>
      </c>
      <c r="I755" s="31">
        <f>IF($A755="","",IF($A755&gt;IFERROR(GIRDI!B12,0),"DIŞI","AKTİF"))</f>
        <v/>
      </c>
    </row>
    <row r="756">
      <c r="B756" s="31">
        <f>IF(OR($A756="",$A756&gt;IFERROR(GIRDI!B12,0)),"",IFERROR(IF(OR(GIRDI!B12="",GIRDI!B12=0),0,ayd_netDefter/GIRDI!B12),0))</f>
        <v/>
      </c>
      <c r="C756" s="31">
        <f>IF(OR($A756="",$A756&gt;IFERROR(GIRDI!B12,0)),"",IFERROR(IF(OR(GIRDI!B12="",GIRDI!B12=0),0,(ayd_netDefter+ayd_fark)/GIRDI!B12),0))</f>
        <v/>
      </c>
      <c r="D756" s="31">
        <f>IF($B756="","",IFERROR($C756-$B756,0))</f>
        <v/>
      </c>
      <c r="E756" s="31">
        <f>IF($B756="","",IFERROR($A756*$B756,0))</f>
        <v/>
      </c>
      <c r="F756" s="31">
        <f>IF($C756="","",IFERROR($A756*$C756,0))</f>
        <v/>
      </c>
      <c r="G756" s="31">
        <f>IF($B756="","",IFERROR(MAX(0,ayd_netDefter-$E756),0))</f>
        <v/>
      </c>
      <c r="H756" s="31">
        <f>IF($C756="","",IFERROR(MAX(0,ayd_netDefter+ayd_fark-$F756),0))</f>
        <v/>
      </c>
      <c r="I756" s="31">
        <f>IF($A756="","",IF($A756&gt;IFERROR(GIRDI!B12,0),"DIŞI","AKTİF"))</f>
        <v/>
      </c>
    </row>
    <row r="757">
      <c r="B757" s="31">
        <f>IF(OR($A757="",$A757&gt;IFERROR(GIRDI!B12,0)),"",IFERROR(IF(OR(GIRDI!B12="",GIRDI!B12=0),0,ayd_netDefter/GIRDI!B12),0))</f>
        <v/>
      </c>
      <c r="C757" s="31">
        <f>IF(OR($A757="",$A757&gt;IFERROR(GIRDI!B12,0)),"",IFERROR(IF(OR(GIRDI!B12="",GIRDI!B12=0),0,(ayd_netDefter+ayd_fark)/GIRDI!B12),0))</f>
        <v/>
      </c>
      <c r="D757" s="31">
        <f>IF($B757="","",IFERROR($C757-$B757,0))</f>
        <v/>
      </c>
      <c r="E757" s="31">
        <f>IF($B757="","",IFERROR($A757*$B757,0))</f>
        <v/>
      </c>
      <c r="F757" s="31">
        <f>IF($C757="","",IFERROR($A757*$C757,0))</f>
        <v/>
      </c>
      <c r="G757" s="31">
        <f>IF($B757="","",IFERROR(MAX(0,ayd_netDefter-$E757),0))</f>
        <v/>
      </c>
      <c r="H757" s="31">
        <f>IF($C757="","",IFERROR(MAX(0,ayd_netDefter+ayd_fark-$F757),0))</f>
        <v/>
      </c>
      <c r="I757" s="31">
        <f>IF($A757="","",IF($A757&gt;IFERROR(GIRDI!B12,0),"DIŞI","AKTİF"))</f>
        <v/>
      </c>
    </row>
    <row r="758">
      <c r="B758" s="31">
        <f>IF(OR($A758="",$A758&gt;IFERROR(GIRDI!B12,0)),"",IFERROR(IF(OR(GIRDI!B12="",GIRDI!B12=0),0,ayd_netDefter/GIRDI!B12),0))</f>
        <v/>
      </c>
      <c r="C758" s="31">
        <f>IF(OR($A758="",$A758&gt;IFERROR(GIRDI!B12,0)),"",IFERROR(IF(OR(GIRDI!B12="",GIRDI!B12=0),0,(ayd_netDefter+ayd_fark)/GIRDI!B12),0))</f>
        <v/>
      </c>
      <c r="D758" s="31">
        <f>IF($B758="","",IFERROR($C758-$B758,0))</f>
        <v/>
      </c>
      <c r="E758" s="31">
        <f>IF($B758="","",IFERROR($A758*$B758,0))</f>
        <v/>
      </c>
      <c r="F758" s="31">
        <f>IF($C758="","",IFERROR($A758*$C758,0))</f>
        <v/>
      </c>
      <c r="G758" s="31">
        <f>IF($B758="","",IFERROR(MAX(0,ayd_netDefter-$E758),0))</f>
        <v/>
      </c>
      <c r="H758" s="31">
        <f>IF($C758="","",IFERROR(MAX(0,ayd_netDefter+ayd_fark-$F758),0))</f>
        <v/>
      </c>
      <c r="I758" s="31">
        <f>IF($A758="","",IF($A758&gt;IFERROR(GIRDI!B12,0),"DIŞI","AKTİF"))</f>
        <v/>
      </c>
    </row>
    <row r="759">
      <c r="B759" s="31">
        <f>IF(OR($A759="",$A759&gt;IFERROR(GIRDI!B12,0)),"",IFERROR(IF(OR(GIRDI!B12="",GIRDI!B12=0),0,ayd_netDefter/GIRDI!B12),0))</f>
        <v/>
      </c>
      <c r="C759" s="31">
        <f>IF(OR($A759="",$A759&gt;IFERROR(GIRDI!B12,0)),"",IFERROR(IF(OR(GIRDI!B12="",GIRDI!B12=0),0,(ayd_netDefter+ayd_fark)/GIRDI!B12),0))</f>
        <v/>
      </c>
      <c r="D759" s="31">
        <f>IF($B759="","",IFERROR($C759-$B759,0))</f>
        <v/>
      </c>
      <c r="E759" s="31">
        <f>IF($B759="","",IFERROR($A759*$B759,0))</f>
        <v/>
      </c>
      <c r="F759" s="31">
        <f>IF($C759="","",IFERROR($A759*$C759,0))</f>
        <v/>
      </c>
      <c r="G759" s="31">
        <f>IF($B759="","",IFERROR(MAX(0,ayd_netDefter-$E759),0))</f>
        <v/>
      </c>
      <c r="H759" s="31">
        <f>IF($C759="","",IFERROR(MAX(0,ayd_netDefter+ayd_fark-$F759),0))</f>
        <v/>
      </c>
      <c r="I759" s="31">
        <f>IF($A759="","",IF($A759&gt;IFERROR(GIRDI!B12,0),"DIŞI","AKTİF"))</f>
        <v/>
      </c>
    </row>
    <row r="760">
      <c r="B760" s="31">
        <f>IF(OR($A760="",$A760&gt;IFERROR(GIRDI!B12,0)),"",IFERROR(IF(OR(GIRDI!B12="",GIRDI!B12=0),0,ayd_netDefter/GIRDI!B12),0))</f>
        <v/>
      </c>
      <c r="C760" s="31">
        <f>IF(OR($A760="",$A760&gt;IFERROR(GIRDI!B12,0)),"",IFERROR(IF(OR(GIRDI!B12="",GIRDI!B12=0),0,(ayd_netDefter+ayd_fark)/GIRDI!B12),0))</f>
        <v/>
      </c>
      <c r="D760" s="31">
        <f>IF($B760="","",IFERROR($C760-$B760,0))</f>
        <v/>
      </c>
      <c r="E760" s="31">
        <f>IF($B760="","",IFERROR($A760*$B760,0))</f>
        <v/>
      </c>
      <c r="F760" s="31">
        <f>IF($C760="","",IFERROR($A760*$C760,0))</f>
        <v/>
      </c>
      <c r="G760" s="31">
        <f>IF($B760="","",IFERROR(MAX(0,ayd_netDefter-$E760),0))</f>
        <v/>
      </c>
      <c r="H760" s="31">
        <f>IF($C760="","",IFERROR(MAX(0,ayd_netDefter+ayd_fark-$F760),0))</f>
        <v/>
      </c>
      <c r="I760" s="31">
        <f>IF($A760="","",IF($A760&gt;IFERROR(GIRDI!B12,0),"DIŞI","AKTİF"))</f>
        <v/>
      </c>
    </row>
    <row r="761">
      <c r="B761" s="31">
        <f>IF(OR($A761="",$A761&gt;IFERROR(GIRDI!B12,0)),"",IFERROR(IF(OR(GIRDI!B12="",GIRDI!B12=0),0,ayd_netDefter/GIRDI!B12),0))</f>
        <v/>
      </c>
      <c r="C761" s="31">
        <f>IF(OR($A761="",$A761&gt;IFERROR(GIRDI!B12,0)),"",IFERROR(IF(OR(GIRDI!B12="",GIRDI!B12=0),0,(ayd_netDefter+ayd_fark)/GIRDI!B12),0))</f>
        <v/>
      </c>
      <c r="D761" s="31">
        <f>IF($B761="","",IFERROR($C761-$B761,0))</f>
        <v/>
      </c>
      <c r="E761" s="31">
        <f>IF($B761="","",IFERROR($A761*$B761,0))</f>
        <v/>
      </c>
      <c r="F761" s="31">
        <f>IF($C761="","",IFERROR($A761*$C761,0))</f>
        <v/>
      </c>
      <c r="G761" s="31">
        <f>IF($B761="","",IFERROR(MAX(0,ayd_netDefter-$E761),0))</f>
        <v/>
      </c>
      <c r="H761" s="31">
        <f>IF($C761="","",IFERROR(MAX(0,ayd_netDefter+ayd_fark-$F761),0))</f>
        <v/>
      </c>
      <c r="I761" s="31">
        <f>IF($A761="","",IF($A761&gt;IFERROR(GIRDI!B12,0),"DIŞI","AKTİF"))</f>
        <v/>
      </c>
    </row>
    <row r="762">
      <c r="B762" s="31">
        <f>IF(OR($A762="",$A762&gt;IFERROR(GIRDI!B12,0)),"",IFERROR(IF(OR(GIRDI!B12="",GIRDI!B12=0),0,ayd_netDefter/GIRDI!B12),0))</f>
        <v/>
      </c>
      <c r="C762" s="31">
        <f>IF(OR($A762="",$A762&gt;IFERROR(GIRDI!B12,0)),"",IFERROR(IF(OR(GIRDI!B12="",GIRDI!B12=0),0,(ayd_netDefter+ayd_fark)/GIRDI!B12),0))</f>
        <v/>
      </c>
      <c r="D762" s="31">
        <f>IF($B762="","",IFERROR($C762-$B762,0))</f>
        <v/>
      </c>
      <c r="E762" s="31">
        <f>IF($B762="","",IFERROR($A762*$B762,0))</f>
        <v/>
      </c>
      <c r="F762" s="31">
        <f>IF($C762="","",IFERROR($A762*$C762,0))</f>
        <v/>
      </c>
      <c r="G762" s="31">
        <f>IF($B762="","",IFERROR(MAX(0,ayd_netDefter-$E762),0))</f>
        <v/>
      </c>
      <c r="H762" s="31">
        <f>IF($C762="","",IFERROR(MAX(0,ayd_netDefter+ayd_fark-$F762),0))</f>
        <v/>
      </c>
      <c r="I762" s="31">
        <f>IF($A762="","",IF($A762&gt;IFERROR(GIRDI!B12,0),"DIŞI","AKTİF"))</f>
        <v/>
      </c>
    </row>
    <row r="763">
      <c r="B763" s="31">
        <f>IF(OR($A763="",$A763&gt;IFERROR(GIRDI!B12,0)),"",IFERROR(IF(OR(GIRDI!B12="",GIRDI!B12=0),0,ayd_netDefter/GIRDI!B12),0))</f>
        <v/>
      </c>
      <c r="C763" s="31">
        <f>IF(OR($A763="",$A763&gt;IFERROR(GIRDI!B12,0)),"",IFERROR(IF(OR(GIRDI!B12="",GIRDI!B12=0),0,(ayd_netDefter+ayd_fark)/GIRDI!B12),0))</f>
        <v/>
      </c>
      <c r="D763" s="31">
        <f>IF($B763="","",IFERROR($C763-$B763,0))</f>
        <v/>
      </c>
      <c r="E763" s="31">
        <f>IF($B763="","",IFERROR($A763*$B763,0))</f>
        <v/>
      </c>
      <c r="F763" s="31">
        <f>IF($C763="","",IFERROR($A763*$C763,0))</f>
        <v/>
      </c>
      <c r="G763" s="31">
        <f>IF($B763="","",IFERROR(MAX(0,ayd_netDefter-$E763),0))</f>
        <v/>
      </c>
      <c r="H763" s="31">
        <f>IF($C763="","",IFERROR(MAX(0,ayd_netDefter+ayd_fark-$F763),0))</f>
        <v/>
      </c>
      <c r="I763" s="31">
        <f>IF($A763="","",IF($A763&gt;IFERROR(GIRDI!B12,0),"DIŞI","AKTİF"))</f>
        <v/>
      </c>
    </row>
    <row r="764">
      <c r="B764" s="31">
        <f>IF(OR($A764="",$A764&gt;IFERROR(GIRDI!B12,0)),"",IFERROR(IF(OR(GIRDI!B12="",GIRDI!B12=0),0,ayd_netDefter/GIRDI!B12),0))</f>
        <v/>
      </c>
      <c r="C764" s="31">
        <f>IF(OR($A764="",$A764&gt;IFERROR(GIRDI!B12,0)),"",IFERROR(IF(OR(GIRDI!B12="",GIRDI!B12=0),0,(ayd_netDefter+ayd_fark)/GIRDI!B12),0))</f>
        <v/>
      </c>
      <c r="D764" s="31">
        <f>IF($B764="","",IFERROR($C764-$B764,0))</f>
        <v/>
      </c>
      <c r="E764" s="31">
        <f>IF($B764="","",IFERROR($A764*$B764,0))</f>
        <v/>
      </c>
      <c r="F764" s="31">
        <f>IF($C764="","",IFERROR($A764*$C764,0))</f>
        <v/>
      </c>
      <c r="G764" s="31">
        <f>IF($B764="","",IFERROR(MAX(0,ayd_netDefter-$E764),0))</f>
        <v/>
      </c>
      <c r="H764" s="31">
        <f>IF($C764="","",IFERROR(MAX(0,ayd_netDefter+ayd_fark-$F764),0))</f>
        <v/>
      </c>
      <c r="I764" s="31">
        <f>IF($A764="","",IF($A764&gt;IFERROR(GIRDI!B12,0),"DIŞI","AKTİF"))</f>
        <v/>
      </c>
    </row>
    <row r="765">
      <c r="B765" s="31">
        <f>IF(OR($A765="",$A765&gt;IFERROR(GIRDI!B12,0)),"",IFERROR(IF(OR(GIRDI!B12="",GIRDI!B12=0),0,ayd_netDefter/GIRDI!B12),0))</f>
        <v/>
      </c>
      <c r="C765" s="31">
        <f>IF(OR($A765="",$A765&gt;IFERROR(GIRDI!B12,0)),"",IFERROR(IF(OR(GIRDI!B12="",GIRDI!B12=0),0,(ayd_netDefter+ayd_fark)/GIRDI!B12),0))</f>
        <v/>
      </c>
      <c r="D765" s="31">
        <f>IF($B765="","",IFERROR($C765-$B765,0))</f>
        <v/>
      </c>
      <c r="E765" s="31">
        <f>IF($B765="","",IFERROR($A765*$B765,0))</f>
        <v/>
      </c>
      <c r="F765" s="31">
        <f>IF($C765="","",IFERROR($A765*$C765,0))</f>
        <v/>
      </c>
      <c r="G765" s="31">
        <f>IF($B765="","",IFERROR(MAX(0,ayd_netDefter-$E765),0))</f>
        <v/>
      </c>
      <c r="H765" s="31">
        <f>IF($C765="","",IFERROR(MAX(0,ayd_netDefter+ayd_fark-$F765),0))</f>
        <v/>
      </c>
      <c r="I765" s="31">
        <f>IF($A765="","",IF($A765&gt;IFERROR(GIRDI!B12,0),"DIŞI","AKTİF"))</f>
        <v/>
      </c>
    </row>
    <row r="766">
      <c r="B766" s="31">
        <f>IF(OR($A766="",$A766&gt;IFERROR(GIRDI!B12,0)),"",IFERROR(IF(OR(GIRDI!B12="",GIRDI!B12=0),0,ayd_netDefter/GIRDI!B12),0))</f>
        <v/>
      </c>
      <c r="C766" s="31">
        <f>IF(OR($A766="",$A766&gt;IFERROR(GIRDI!B12,0)),"",IFERROR(IF(OR(GIRDI!B12="",GIRDI!B12=0),0,(ayd_netDefter+ayd_fark)/GIRDI!B12),0))</f>
        <v/>
      </c>
      <c r="D766" s="31">
        <f>IF($B766="","",IFERROR($C766-$B766,0))</f>
        <v/>
      </c>
      <c r="E766" s="31">
        <f>IF($B766="","",IFERROR($A766*$B766,0))</f>
        <v/>
      </c>
      <c r="F766" s="31">
        <f>IF($C766="","",IFERROR($A766*$C766,0))</f>
        <v/>
      </c>
      <c r="G766" s="31">
        <f>IF($B766="","",IFERROR(MAX(0,ayd_netDefter-$E766),0))</f>
        <v/>
      </c>
      <c r="H766" s="31">
        <f>IF($C766="","",IFERROR(MAX(0,ayd_netDefter+ayd_fark-$F766),0))</f>
        <v/>
      </c>
      <c r="I766" s="31">
        <f>IF($A766="","",IF($A766&gt;IFERROR(GIRDI!B12,0),"DIŞI","AKTİF"))</f>
        <v/>
      </c>
    </row>
    <row r="767">
      <c r="B767" s="31">
        <f>IF(OR($A767="",$A767&gt;IFERROR(GIRDI!B12,0)),"",IFERROR(IF(OR(GIRDI!B12="",GIRDI!B12=0),0,ayd_netDefter/GIRDI!B12),0))</f>
        <v/>
      </c>
      <c r="C767" s="31">
        <f>IF(OR($A767="",$A767&gt;IFERROR(GIRDI!B12,0)),"",IFERROR(IF(OR(GIRDI!B12="",GIRDI!B12=0),0,(ayd_netDefter+ayd_fark)/GIRDI!B12),0))</f>
        <v/>
      </c>
      <c r="D767" s="31">
        <f>IF($B767="","",IFERROR($C767-$B767,0))</f>
        <v/>
      </c>
      <c r="E767" s="31">
        <f>IF($B767="","",IFERROR($A767*$B767,0))</f>
        <v/>
      </c>
      <c r="F767" s="31">
        <f>IF($C767="","",IFERROR($A767*$C767,0))</f>
        <v/>
      </c>
      <c r="G767" s="31">
        <f>IF($B767="","",IFERROR(MAX(0,ayd_netDefter-$E767),0))</f>
        <v/>
      </c>
      <c r="H767" s="31">
        <f>IF($C767="","",IFERROR(MAX(0,ayd_netDefter+ayd_fark-$F767),0))</f>
        <v/>
      </c>
      <c r="I767" s="31">
        <f>IF($A767="","",IF($A767&gt;IFERROR(GIRDI!B12,0),"DIŞI","AKTİF"))</f>
        <v/>
      </c>
    </row>
    <row r="768">
      <c r="B768" s="31">
        <f>IF(OR($A768="",$A768&gt;IFERROR(GIRDI!B12,0)),"",IFERROR(IF(OR(GIRDI!B12="",GIRDI!B12=0),0,ayd_netDefter/GIRDI!B12),0))</f>
        <v/>
      </c>
      <c r="C768" s="31">
        <f>IF(OR($A768="",$A768&gt;IFERROR(GIRDI!B12,0)),"",IFERROR(IF(OR(GIRDI!B12="",GIRDI!B12=0),0,(ayd_netDefter+ayd_fark)/GIRDI!B12),0))</f>
        <v/>
      </c>
      <c r="D768" s="31">
        <f>IF($B768="","",IFERROR($C768-$B768,0))</f>
        <v/>
      </c>
      <c r="E768" s="31">
        <f>IF($B768="","",IFERROR($A768*$B768,0))</f>
        <v/>
      </c>
      <c r="F768" s="31">
        <f>IF($C768="","",IFERROR($A768*$C768,0))</f>
        <v/>
      </c>
      <c r="G768" s="31">
        <f>IF($B768="","",IFERROR(MAX(0,ayd_netDefter-$E768),0))</f>
        <v/>
      </c>
      <c r="H768" s="31">
        <f>IF($C768="","",IFERROR(MAX(0,ayd_netDefter+ayd_fark-$F768),0))</f>
        <v/>
      </c>
      <c r="I768" s="31">
        <f>IF($A768="","",IF($A768&gt;IFERROR(GIRDI!B12,0),"DIŞI","AKTİF"))</f>
        <v/>
      </c>
    </row>
    <row r="769">
      <c r="B769" s="31">
        <f>IF(OR($A769="",$A769&gt;IFERROR(GIRDI!B12,0)),"",IFERROR(IF(OR(GIRDI!B12="",GIRDI!B12=0),0,ayd_netDefter/GIRDI!B12),0))</f>
        <v/>
      </c>
      <c r="C769" s="31">
        <f>IF(OR($A769="",$A769&gt;IFERROR(GIRDI!B12,0)),"",IFERROR(IF(OR(GIRDI!B12="",GIRDI!B12=0),0,(ayd_netDefter+ayd_fark)/GIRDI!B12),0))</f>
        <v/>
      </c>
      <c r="D769" s="31">
        <f>IF($B769="","",IFERROR($C769-$B769,0))</f>
        <v/>
      </c>
      <c r="E769" s="31">
        <f>IF($B769="","",IFERROR($A769*$B769,0))</f>
        <v/>
      </c>
      <c r="F769" s="31">
        <f>IF($C769="","",IFERROR($A769*$C769,0))</f>
        <v/>
      </c>
      <c r="G769" s="31">
        <f>IF($B769="","",IFERROR(MAX(0,ayd_netDefter-$E769),0))</f>
        <v/>
      </c>
      <c r="H769" s="31">
        <f>IF($C769="","",IFERROR(MAX(0,ayd_netDefter+ayd_fark-$F769),0))</f>
        <v/>
      </c>
      <c r="I769" s="31">
        <f>IF($A769="","",IF($A769&gt;IFERROR(GIRDI!B12,0),"DIŞI","AKTİF"))</f>
        <v/>
      </c>
    </row>
    <row r="770">
      <c r="B770" s="31">
        <f>IF(OR($A770="",$A770&gt;IFERROR(GIRDI!B12,0)),"",IFERROR(IF(OR(GIRDI!B12="",GIRDI!B12=0),0,ayd_netDefter/GIRDI!B12),0))</f>
        <v/>
      </c>
      <c r="C770" s="31">
        <f>IF(OR($A770="",$A770&gt;IFERROR(GIRDI!B12,0)),"",IFERROR(IF(OR(GIRDI!B12="",GIRDI!B12=0),0,(ayd_netDefter+ayd_fark)/GIRDI!B12),0))</f>
        <v/>
      </c>
      <c r="D770" s="31">
        <f>IF($B770="","",IFERROR($C770-$B770,0))</f>
        <v/>
      </c>
      <c r="E770" s="31">
        <f>IF($B770="","",IFERROR($A770*$B770,0))</f>
        <v/>
      </c>
      <c r="F770" s="31">
        <f>IF($C770="","",IFERROR($A770*$C770,0))</f>
        <v/>
      </c>
      <c r="G770" s="31">
        <f>IF($B770="","",IFERROR(MAX(0,ayd_netDefter-$E770),0))</f>
        <v/>
      </c>
      <c r="H770" s="31">
        <f>IF($C770="","",IFERROR(MAX(0,ayd_netDefter+ayd_fark-$F770),0))</f>
        <v/>
      </c>
      <c r="I770" s="31">
        <f>IF($A770="","",IF($A770&gt;IFERROR(GIRDI!B12,0),"DIŞI","AKTİF"))</f>
        <v/>
      </c>
    </row>
    <row r="771">
      <c r="B771" s="31">
        <f>IF(OR($A771="",$A771&gt;IFERROR(GIRDI!B12,0)),"",IFERROR(IF(OR(GIRDI!B12="",GIRDI!B12=0),0,ayd_netDefter/GIRDI!B12),0))</f>
        <v/>
      </c>
      <c r="C771" s="31">
        <f>IF(OR($A771="",$A771&gt;IFERROR(GIRDI!B12,0)),"",IFERROR(IF(OR(GIRDI!B12="",GIRDI!B12=0),0,(ayd_netDefter+ayd_fark)/GIRDI!B12),0))</f>
        <v/>
      </c>
      <c r="D771" s="31">
        <f>IF($B771="","",IFERROR($C771-$B771,0))</f>
        <v/>
      </c>
      <c r="E771" s="31">
        <f>IF($B771="","",IFERROR($A771*$B771,0))</f>
        <v/>
      </c>
      <c r="F771" s="31">
        <f>IF($C771="","",IFERROR($A771*$C771,0))</f>
        <v/>
      </c>
      <c r="G771" s="31">
        <f>IF($B771="","",IFERROR(MAX(0,ayd_netDefter-$E771),0))</f>
        <v/>
      </c>
      <c r="H771" s="31">
        <f>IF($C771="","",IFERROR(MAX(0,ayd_netDefter+ayd_fark-$F771),0))</f>
        <v/>
      </c>
      <c r="I771" s="31">
        <f>IF($A771="","",IF($A771&gt;IFERROR(GIRDI!B12,0),"DIŞI","AKTİF"))</f>
        <v/>
      </c>
    </row>
    <row r="772">
      <c r="B772" s="31">
        <f>IF(OR($A772="",$A772&gt;IFERROR(GIRDI!B12,0)),"",IFERROR(IF(OR(GIRDI!B12="",GIRDI!B12=0),0,ayd_netDefter/GIRDI!B12),0))</f>
        <v/>
      </c>
      <c r="C772" s="31">
        <f>IF(OR($A772="",$A772&gt;IFERROR(GIRDI!B12,0)),"",IFERROR(IF(OR(GIRDI!B12="",GIRDI!B12=0),0,(ayd_netDefter+ayd_fark)/GIRDI!B12),0))</f>
        <v/>
      </c>
      <c r="D772" s="31">
        <f>IF($B772="","",IFERROR($C772-$B772,0))</f>
        <v/>
      </c>
      <c r="E772" s="31">
        <f>IF($B772="","",IFERROR($A772*$B772,0))</f>
        <v/>
      </c>
      <c r="F772" s="31">
        <f>IF($C772="","",IFERROR($A772*$C772,0))</f>
        <v/>
      </c>
      <c r="G772" s="31">
        <f>IF($B772="","",IFERROR(MAX(0,ayd_netDefter-$E772),0))</f>
        <v/>
      </c>
      <c r="H772" s="31">
        <f>IF($C772="","",IFERROR(MAX(0,ayd_netDefter+ayd_fark-$F772),0))</f>
        <v/>
      </c>
      <c r="I772" s="31">
        <f>IF($A772="","",IF($A772&gt;IFERROR(GIRDI!B12,0),"DIŞI","AKTİF"))</f>
        <v/>
      </c>
    </row>
    <row r="773">
      <c r="B773" s="31">
        <f>IF(OR($A773="",$A773&gt;IFERROR(GIRDI!B12,0)),"",IFERROR(IF(OR(GIRDI!B12="",GIRDI!B12=0),0,ayd_netDefter/GIRDI!B12),0))</f>
        <v/>
      </c>
      <c r="C773" s="31">
        <f>IF(OR($A773="",$A773&gt;IFERROR(GIRDI!B12,0)),"",IFERROR(IF(OR(GIRDI!B12="",GIRDI!B12=0),0,(ayd_netDefter+ayd_fark)/GIRDI!B12),0))</f>
        <v/>
      </c>
      <c r="D773" s="31">
        <f>IF($B773="","",IFERROR($C773-$B773,0))</f>
        <v/>
      </c>
      <c r="E773" s="31">
        <f>IF($B773="","",IFERROR($A773*$B773,0))</f>
        <v/>
      </c>
      <c r="F773" s="31">
        <f>IF($C773="","",IFERROR($A773*$C773,0))</f>
        <v/>
      </c>
      <c r="G773" s="31">
        <f>IF($B773="","",IFERROR(MAX(0,ayd_netDefter-$E773),0))</f>
        <v/>
      </c>
      <c r="H773" s="31">
        <f>IF($C773="","",IFERROR(MAX(0,ayd_netDefter+ayd_fark-$F773),0))</f>
        <v/>
      </c>
      <c r="I773" s="31">
        <f>IF($A773="","",IF($A773&gt;IFERROR(GIRDI!B12,0),"DIŞI","AKTİF"))</f>
        <v/>
      </c>
    </row>
    <row r="774">
      <c r="B774" s="31">
        <f>IF(OR($A774="",$A774&gt;IFERROR(GIRDI!B12,0)),"",IFERROR(IF(OR(GIRDI!B12="",GIRDI!B12=0),0,ayd_netDefter/GIRDI!B12),0))</f>
        <v/>
      </c>
      <c r="C774" s="31">
        <f>IF(OR($A774="",$A774&gt;IFERROR(GIRDI!B12,0)),"",IFERROR(IF(OR(GIRDI!B12="",GIRDI!B12=0),0,(ayd_netDefter+ayd_fark)/GIRDI!B12),0))</f>
        <v/>
      </c>
      <c r="D774" s="31">
        <f>IF($B774="","",IFERROR($C774-$B774,0))</f>
        <v/>
      </c>
      <c r="E774" s="31">
        <f>IF($B774="","",IFERROR($A774*$B774,0))</f>
        <v/>
      </c>
      <c r="F774" s="31">
        <f>IF($C774="","",IFERROR($A774*$C774,0))</f>
        <v/>
      </c>
      <c r="G774" s="31">
        <f>IF($B774="","",IFERROR(MAX(0,ayd_netDefter-$E774),0))</f>
        <v/>
      </c>
      <c r="H774" s="31">
        <f>IF($C774="","",IFERROR(MAX(0,ayd_netDefter+ayd_fark-$F774),0))</f>
        <v/>
      </c>
      <c r="I774" s="31">
        <f>IF($A774="","",IF($A774&gt;IFERROR(GIRDI!B12,0),"DIŞI","AKTİF"))</f>
        <v/>
      </c>
    </row>
    <row r="775">
      <c r="B775" s="31">
        <f>IF(OR($A775="",$A775&gt;IFERROR(GIRDI!B12,0)),"",IFERROR(IF(OR(GIRDI!B12="",GIRDI!B12=0),0,ayd_netDefter/GIRDI!B12),0))</f>
        <v/>
      </c>
      <c r="C775" s="31">
        <f>IF(OR($A775="",$A775&gt;IFERROR(GIRDI!B12,0)),"",IFERROR(IF(OR(GIRDI!B12="",GIRDI!B12=0),0,(ayd_netDefter+ayd_fark)/GIRDI!B12),0))</f>
        <v/>
      </c>
      <c r="D775" s="31">
        <f>IF($B775="","",IFERROR($C775-$B775,0))</f>
        <v/>
      </c>
      <c r="E775" s="31">
        <f>IF($B775="","",IFERROR($A775*$B775,0))</f>
        <v/>
      </c>
      <c r="F775" s="31">
        <f>IF($C775="","",IFERROR($A775*$C775,0))</f>
        <v/>
      </c>
      <c r="G775" s="31">
        <f>IF($B775="","",IFERROR(MAX(0,ayd_netDefter-$E775),0))</f>
        <v/>
      </c>
      <c r="H775" s="31">
        <f>IF($C775="","",IFERROR(MAX(0,ayd_netDefter+ayd_fark-$F775),0))</f>
        <v/>
      </c>
      <c r="I775" s="31">
        <f>IF($A775="","",IF($A775&gt;IFERROR(GIRDI!B12,0),"DIŞI","AKTİF"))</f>
        <v/>
      </c>
    </row>
    <row r="776">
      <c r="B776" s="31">
        <f>IF(OR($A776="",$A776&gt;IFERROR(GIRDI!B12,0)),"",IFERROR(IF(OR(GIRDI!B12="",GIRDI!B12=0),0,ayd_netDefter/GIRDI!B12),0))</f>
        <v/>
      </c>
      <c r="C776" s="31">
        <f>IF(OR($A776="",$A776&gt;IFERROR(GIRDI!B12,0)),"",IFERROR(IF(OR(GIRDI!B12="",GIRDI!B12=0),0,(ayd_netDefter+ayd_fark)/GIRDI!B12),0))</f>
        <v/>
      </c>
      <c r="D776" s="31">
        <f>IF($B776="","",IFERROR($C776-$B776,0))</f>
        <v/>
      </c>
      <c r="E776" s="31">
        <f>IF($B776="","",IFERROR($A776*$B776,0))</f>
        <v/>
      </c>
      <c r="F776" s="31">
        <f>IF($C776="","",IFERROR($A776*$C776,0))</f>
        <v/>
      </c>
      <c r="G776" s="31">
        <f>IF($B776="","",IFERROR(MAX(0,ayd_netDefter-$E776),0))</f>
        <v/>
      </c>
      <c r="H776" s="31">
        <f>IF($C776="","",IFERROR(MAX(0,ayd_netDefter+ayd_fark-$F776),0))</f>
        <v/>
      </c>
      <c r="I776" s="31">
        <f>IF($A776="","",IF($A776&gt;IFERROR(GIRDI!B12,0),"DIŞI","AKTİF"))</f>
        <v/>
      </c>
    </row>
    <row r="777">
      <c r="B777" s="31">
        <f>IF(OR($A777="",$A777&gt;IFERROR(GIRDI!B12,0)),"",IFERROR(IF(OR(GIRDI!B12="",GIRDI!B12=0),0,ayd_netDefter/GIRDI!B12),0))</f>
        <v/>
      </c>
      <c r="C777" s="31">
        <f>IF(OR($A777="",$A777&gt;IFERROR(GIRDI!B12,0)),"",IFERROR(IF(OR(GIRDI!B12="",GIRDI!B12=0),0,(ayd_netDefter+ayd_fark)/GIRDI!B12),0))</f>
        <v/>
      </c>
      <c r="D777" s="31">
        <f>IF($B777="","",IFERROR($C777-$B777,0))</f>
        <v/>
      </c>
      <c r="E777" s="31">
        <f>IF($B777="","",IFERROR($A777*$B777,0))</f>
        <v/>
      </c>
      <c r="F777" s="31">
        <f>IF($C777="","",IFERROR($A777*$C777,0))</f>
        <v/>
      </c>
      <c r="G777" s="31">
        <f>IF($B777="","",IFERROR(MAX(0,ayd_netDefter-$E777),0))</f>
        <v/>
      </c>
      <c r="H777" s="31">
        <f>IF($C777="","",IFERROR(MAX(0,ayd_netDefter+ayd_fark-$F777),0))</f>
        <v/>
      </c>
      <c r="I777" s="31">
        <f>IF($A777="","",IF($A777&gt;IFERROR(GIRDI!B12,0),"DIŞI","AKTİF"))</f>
        <v/>
      </c>
    </row>
    <row r="778">
      <c r="B778" s="31">
        <f>IF(OR($A778="",$A778&gt;IFERROR(GIRDI!B12,0)),"",IFERROR(IF(OR(GIRDI!B12="",GIRDI!B12=0),0,ayd_netDefter/GIRDI!B12),0))</f>
        <v/>
      </c>
      <c r="C778" s="31">
        <f>IF(OR($A778="",$A778&gt;IFERROR(GIRDI!B12,0)),"",IFERROR(IF(OR(GIRDI!B12="",GIRDI!B12=0),0,(ayd_netDefter+ayd_fark)/GIRDI!B12),0))</f>
        <v/>
      </c>
      <c r="D778" s="31">
        <f>IF($B778="","",IFERROR($C778-$B778,0))</f>
        <v/>
      </c>
      <c r="E778" s="31">
        <f>IF($B778="","",IFERROR($A778*$B778,0))</f>
        <v/>
      </c>
      <c r="F778" s="31">
        <f>IF($C778="","",IFERROR($A778*$C778,0))</f>
        <v/>
      </c>
      <c r="G778" s="31">
        <f>IF($B778="","",IFERROR(MAX(0,ayd_netDefter-$E778),0))</f>
        <v/>
      </c>
      <c r="H778" s="31">
        <f>IF($C778="","",IFERROR(MAX(0,ayd_netDefter+ayd_fark-$F778),0))</f>
        <v/>
      </c>
      <c r="I778" s="31">
        <f>IF($A778="","",IF($A778&gt;IFERROR(GIRDI!B12,0),"DIŞI","AKTİF"))</f>
        <v/>
      </c>
    </row>
    <row r="779">
      <c r="B779" s="31">
        <f>IF(OR($A779="",$A779&gt;IFERROR(GIRDI!B12,0)),"",IFERROR(IF(OR(GIRDI!B12="",GIRDI!B12=0),0,ayd_netDefter/GIRDI!B12),0))</f>
        <v/>
      </c>
      <c r="C779" s="31">
        <f>IF(OR($A779="",$A779&gt;IFERROR(GIRDI!B12,0)),"",IFERROR(IF(OR(GIRDI!B12="",GIRDI!B12=0),0,(ayd_netDefter+ayd_fark)/GIRDI!B12),0))</f>
        <v/>
      </c>
      <c r="D779" s="31">
        <f>IF($B779="","",IFERROR($C779-$B779,0))</f>
        <v/>
      </c>
      <c r="E779" s="31">
        <f>IF($B779="","",IFERROR($A779*$B779,0))</f>
        <v/>
      </c>
      <c r="F779" s="31">
        <f>IF($C779="","",IFERROR($A779*$C779,0))</f>
        <v/>
      </c>
      <c r="G779" s="31">
        <f>IF($B779="","",IFERROR(MAX(0,ayd_netDefter-$E779),0))</f>
        <v/>
      </c>
      <c r="H779" s="31">
        <f>IF($C779="","",IFERROR(MAX(0,ayd_netDefter+ayd_fark-$F779),0))</f>
        <v/>
      </c>
      <c r="I779" s="31">
        <f>IF($A779="","",IF($A779&gt;IFERROR(GIRDI!B12,0),"DIŞI","AKTİF"))</f>
        <v/>
      </c>
    </row>
    <row r="780">
      <c r="B780" s="31">
        <f>IF(OR($A780="",$A780&gt;IFERROR(GIRDI!B12,0)),"",IFERROR(IF(OR(GIRDI!B12="",GIRDI!B12=0),0,ayd_netDefter/GIRDI!B12),0))</f>
        <v/>
      </c>
      <c r="C780" s="31">
        <f>IF(OR($A780="",$A780&gt;IFERROR(GIRDI!B12,0)),"",IFERROR(IF(OR(GIRDI!B12="",GIRDI!B12=0),0,(ayd_netDefter+ayd_fark)/GIRDI!B12),0))</f>
        <v/>
      </c>
      <c r="D780" s="31">
        <f>IF($B780="","",IFERROR($C780-$B780,0))</f>
        <v/>
      </c>
      <c r="E780" s="31">
        <f>IF($B780="","",IFERROR($A780*$B780,0))</f>
        <v/>
      </c>
      <c r="F780" s="31">
        <f>IF($C780="","",IFERROR($A780*$C780,0))</f>
        <v/>
      </c>
      <c r="G780" s="31">
        <f>IF($B780="","",IFERROR(MAX(0,ayd_netDefter-$E780),0))</f>
        <v/>
      </c>
      <c r="H780" s="31">
        <f>IF($C780="","",IFERROR(MAX(0,ayd_netDefter+ayd_fark-$F780),0))</f>
        <v/>
      </c>
      <c r="I780" s="31">
        <f>IF($A780="","",IF($A780&gt;IFERROR(GIRDI!B12,0),"DIŞI","AKTİF"))</f>
        <v/>
      </c>
    </row>
    <row r="781">
      <c r="B781" s="31">
        <f>IF(OR($A781="",$A781&gt;IFERROR(GIRDI!B12,0)),"",IFERROR(IF(OR(GIRDI!B12="",GIRDI!B12=0),0,ayd_netDefter/GIRDI!B12),0))</f>
        <v/>
      </c>
      <c r="C781" s="31">
        <f>IF(OR($A781="",$A781&gt;IFERROR(GIRDI!B12,0)),"",IFERROR(IF(OR(GIRDI!B12="",GIRDI!B12=0),0,(ayd_netDefter+ayd_fark)/GIRDI!B12),0))</f>
        <v/>
      </c>
      <c r="D781" s="31">
        <f>IF($B781="","",IFERROR($C781-$B781,0))</f>
        <v/>
      </c>
      <c r="E781" s="31">
        <f>IF($B781="","",IFERROR($A781*$B781,0))</f>
        <v/>
      </c>
      <c r="F781" s="31">
        <f>IF($C781="","",IFERROR($A781*$C781,0))</f>
        <v/>
      </c>
      <c r="G781" s="31">
        <f>IF($B781="","",IFERROR(MAX(0,ayd_netDefter-$E781),0))</f>
        <v/>
      </c>
      <c r="H781" s="31">
        <f>IF($C781="","",IFERROR(MAX(0,ayd_netDefter+ayd_fark-$F781),0))</f>
        <v/>
      </c>
      <c r="I781" s="31">
        <f>IF($A781="","",IF($A781&gt;IFERROR(GIRDI!B12,0),"DIŞI","AKTİF"))</f>
        <v/>
      </c>
    </row>
    <row r="782">
      <c r="B782" s="31">
        <f>IF(OR($A782="",$A782&gt;IFERROR(GIRDI!B12,0)),"",IFERROR(IF(OR(GIRDI!B12="",GIRDI!B12=0),0,ayd_netDefter/GIRDI!B12),0))</f>
        <v/>
      </c>
      <c r="C782" s="31">
        <f>IF(OR($A782="",$A782&gt;IFERROR(GIRDI!B12,0)),"",IFERROR(IF(OR(GIRDI!B12="",GIRDI!B12=0),0,(ayd_netDefter+ayd_fark)/GIRDI!B12),0))</f>
        <v/>
      </c>
      <c r="D782" s="31">
        <f>IF($B782="","",IFERROR($C782-$B782,0))</f>
        <v/>
      </c>
      <c r="E782" s="31">
        <f>IF($B782="","",IFERROR($A782*$B782,0))</f>
        <v/>
      </c>
      <c r="F782" s="31">
        <f>IF($C782="","",IFERROR($A782*$C782,0))</f>
        <v/>
      </c>
      <c r="G782" s="31">
        <f>IF($B782="","",IFERROR(MAX(0,ayd_netDefter-$E782),0))</f>
        <v/>
      </c>
      <c r="H782" s="31">
        <f>IF($C782="","",IFERROR(MAX(0,ayd_netDefter+ayd_fark-$F782),0))</f>
        <v/>
      </c>
      <c r="I782" s="31">
        <f>IF($A782="","",IF($A782&gt;IFERROR(GIRDI!B12,0),"DIŞI","AKTİF"))</f>
        <v/>
      </c>
    </row>
    <row r="783">
      <c r="B783" s="31">
        <f>IF(OR($A783="",$A783&gt;IFERROR(GIRDI!B12,0)),"",IFERROR(IF(OR(GIRDI!B12="",GIRDI!B12=0),0,ayd_netDefter/GIRDI!B12),0))</f>
        <v/>
      </c>
      <c r="C783" s="31">
        <f>IF(OR($A783="",$A783&gt;IFERROR(GIRDI!B12,0)),"",IFERROR(IF(OR(GIRDI!B12="",GIRDI!B12=0),0,(ayd_netDefter+ayd_fark)/GIRDI!B12),0))</f>
        <v/>
      </c>
      <c r="D783" s="31">
        <f>IF($B783="","",IFERROR($C783-$B783,0))</f>
        <v/>
      </c>
      <c r="E783" s="31">
        <f>IF($B783="","",IFERROR($A783*$B783,0))</f>
        <v/>
      </c>
      <c r="F783" s="31">
        <f>IF($C783="","",IFERROR($A783*$C783,0))</f>
        <v/>
      </c>
      <c r="G783" s="31">
        <f>IF($B783="","",IFERROR(MAX(0,ayd_netDefter-$E783),0))</f>
        <v/>
      </c>
      <c r="H783" s="31">
        <f>IF($C783="","",IFERROR(MAX(0,ayd_netDefter+ayd_fark-$F783),0))</f>
        <v/>
      </c>
      <c r="I783" s="31">
        <f>IF($A783="","",IF($A783&gt;IFERROR(GIRDI!B12,0),"DIŞI","AKTİF"))</f>
        <v/>
      </c>
    </row>
    <row r="784">
      <c r="B784" s="31">
        <f>IF(OR($A784="",$A784&gt;IFERROR(GIRDI!B12,0)),"",IFERROR(IF(OR(GIRDI!B12="",GIRDI!B12=0),0,ayd_netDefter/GIRDI!B12),0))</f>
        <v/>
      </c>
      <c r="C784" s="31">
        <f>IF(OR($A784="",$A784&gt;IFERROR(GIRDI!B12,0)),"",IFERROR(IF(OR(GIRDI!B12="",GIRDI!B12=0),0,(ayd_netDefter+ayd_fark)/GIRDI!B12),0))</f>
        <v/>
      </c>
      <c r="D784" s="31">
        <f>IF($B784="","",IFERROR($C784-$B784,0))</f>
        <v/>
      </c>
      <c r="E784" s="31">
        <f>IF($B784="","",IFERROR($A784*$B784,0))</f>
        <v/>
      </c>
      <c r="F784" s="31">
        <f>IF($C784="","",IFERROR($A784*$C784,0))</f>
        <v/>
      </c>
      <c r="G784" s="31">
        <f>IF($B784="","",IFERROR(MAX(0,ayd_netDefter-$E784),0))</f>
        <v/>
      </c>
      <c r="H784" s="31">
        <f>IF($C784="","",IFERROR(MAX(0,ayd_netDefter+ayd_fark-$F784),0))</f>
        <v/>
      </c>
      <c r="I784" s="31">
        <f>IF($A784="","",IF($A784&gt;IFERROR(GIRDI!B12,0),"DIŞI","AKTİF"))</f>
        <v/>
      </c>
    </row>
    <row r="785">
      <c r="B785" s="31">
        <f>IF(OR($A785="",$A785&gt;IFERROR(GIRDI!B12,0)),"",IFERROR(IF(OR(GIRDI!B12="",GIRDI!B12=0),0,ayd_netDefter/GIRDI!B12),0))</f>
        <v/>
      </c>
      <c r="C785" s="31">
        <f>IF(OR($A785="",$A785&gt;IFERROR(GIRDI!B12,0)),"",IFERROR(IF(OR(GIRDI!B12="",GIRDI!B12=0),0,(ayd_netDefter+ayd_fark)/GIRDI!B12),0))</f>
        <v/>
      </c>
      <c r="D785" s="31">
        <f>IF($B785="","",IFERROR($C785-$B785,0))</f>
        <v/>
      </c>
      <c r="E785" s="31">
        <f>IF($B785="","",IFERROR($A785*$B785,0))</f>
        <v/>
      </c>
      <c r="F785" s="31">
        <f>IF($C785="","",IFERROR($A785*$C785,0))</f>
        <v/>
      </c>
      <c r="G785" s="31">
        <f>IF($B785="","",IFERROR(MAX(0,ayd_netDefter-$E785),0))</f>
        <v/>
      </c>
      <c r="H785" s="31">
        <f>IF($C785="","",IFERROR(MAX(0,ayd_netDefter+ayd_fark-$F785),0))</f>
        <v/>
      </c>
      <c r="I785" s="31">
        <f>IF($A785="","",IF($A785&gt;IFERROR(GIRDI!B12,0),"DIŞI","AKTİF"))</f>
        <v/>
      </c>
    </row>
    <row r="786">
      <c r="B786" s="31">
        <f>IF(OR($A786="",$A786&gt;IFERROR(GIRDI!B12,0)),"",IFERROR(IF(OR(GIRDI!B12="",GIRDI!B12=0),0,ayd_netDefter/GIRDI!B12),0))</f>
        <v/>
      </c>
      <c r="C786" s="31">
        <f>IF(OR($A786="",$A786&gt;IFERROR(GIRDI!B12,0)),"",IFERROR(IF(OR(GIRDI!B12="",GIRDI!B12=0),0,(ayd_netDefter+ayd_fark)/GIRDI!B12),0))</f>
        <v/>
      </c>
      <c r="D786" s="31">
        <f>IF($B786="","",IFERROR($C786-$B786,0))</f>
        <v/>
      </c>
      <c r="E786" s="31">
        <f>IF($B786="","",IFERROR($A786*$B786,0))</f>
        <v/>
      </c>
      <c r="F786" s="31">
        <f>IF($C786="","",IFERROR($A786*$C786,0))</f>
        <v/>
      </c>
      <c r="G786" s="31">
        <f>IF($B786="","",IFERROR(MAX(0,ayd_netDefter-$E786),0))</f>
        <v/>
      </c>
      <c r="H786" s="31">
        <f>IF($C786="","",IFERROR(MAX(0,ayd_netDefter+ayd_fark-$F786),0))</f>
        <v/>
      </c>
      <c r="I786" s="31">
        <f>IF($A786="","",IF($A786&gt;IFERROR(GIRDI!B12,0),"DIŞI","AKTİF"))</f>
        <v/>
      </c>
    </row>
    <row r="787">
      <c r="B787" s="31">
        <f>IF(OR($A787="",$A787&gt;IFERROR(GIRDI!B12,0)),"",IFERROR(IF(OR(GIRDI!B12="",GIRDI!B12=0),0,ayd_netDefter/GIRDI!B12),0))</f>
        <v/>
      </c>
      <c r="C787" s="31">
        <f>IF(OR($A787="",$A787&gt;IFERROR(GIRDI!B12,0)),"",IFERROR(IF(OR(GIRDI!B12="",GIRDI!B12=0),0,(ayd_netDefter+ayd_fark)/GIRDI!B12),0))</f>
        <v/>
      </c>
      <c r="D787" s="31">
        <f>IF($B787="","",IFERROR($C787-$B787,0))</f>
        <v/>
      </c>
      <c r="E787" s="31">
        <f>IF($B787="","",IFERROR($A787*$B787,0))</f>
        <v/>
      </c>
      <c r="F787" s="31">
        <f>IF($C787="","",IFERROR($A787*$C787,0))</f>
        <v/>
      </c>
      <c r="G787" s="31">
        <f>IF($B787="","",IFERROR(MAX(0,ayd_netDefter-$E787),0))</f>
        <v/>
      </c>
      <c r="H787" s="31">
        <f>IF($C787="","",IFERROR(MAX(0,ayd_netDefter+ayd_fark-$F787),0))</f>
        <v/>
      </c>
      <c r="I787" s="31">
        <f>IF($A787="","",IF($A787&gt;IFERROR(GIRDI!B12,0),"DIŞI","AKTİF"))</f>
        <v/>
      </c>
    </row>
    <row r="788">
      <c r="B788" s="31">
        <f>IF(OR($A788="",$A788&gt;IFERROR(GIRDI!B12,0)),"",IFERROR(IF(OR(GIRDI!B12="",GIRDI!B12=0),0,ayd_netDefter/GIRDI!B12),0))</f>
        <v/>
      </c>
      <c r="C788" s="31">
        <f>IF(OR($A788="",$A788&gt;IFERROR(GIRDI!B12,0)),"",IFERROR(IF(OR(GIRDI!B12="",GIRDI!B12=0),0,(ayd_netDefter+ayd_fark)/GIRDI!B12),0))</f>
        <v/>
      </c>
      <c r="D788" s="31">
        <f>IF($B788="","",IFERROR($C788-$B788,0))</f>
        <v/>
      </c>
      <c r="E788" s="31">
        <f>IF($B788="","",IFERROR($A788*$B788,0))</f>
        <v/>
      </c>
      <c r="F788" s="31">
        <f>IF($C788="","",IFERROR($A788*$C788,0))</f>
        <v/>
      </c>
      <c r="G788" s="31">
        <f>IF($B788="","",IFERROR(MAX(0,ayd_netDefter-$E788),0))</f>
        <v/>
      </c>
      <c r="H788" s="31">
        <f>IF($C788="","",IFERROR(MAX(0,ayd_netDefter+ayd_fark-$F788),0))</f>
        <v/>
      </c>
      <c r="I788" s="31">
        <f>IF($A788="","",IF($A788&gt;IFERROR(GIRDI!B12,0),"DIŞI","AKTİF"))</f>
        <v/>
      </c>
    </row>
    <row r="789">
      <c r="B789" s="31">
        <f>IF(OR($A789="",$A789&gt;IFERROR(GIRDI!B12,0)),"",IFERROR(IF(OR(GIRDI!B12="",GIRDI!B12=0),0,ayd_netDefter/GIRDI!B12),0))</f>
        <v/>
      </c>
      <c r="C789" s="31">
        <f>IF(OR($A789="",$A789&gt;IFERROR(GIRDI!B12,0)),"",IFERROR(IF(OR(GIRDI!B12="",GIRDI!B12=0),0,(ayd_netDefter+ayd_fark)/GIRDI!B12),0))</f>
        <v/>
      </c>
      <c r="D789" s="31">
        <f>IF($B789="","",IFERROR($C789-$B789,0))</f>
        <v/>
      </c>
      <c r="E789" s="31">
        <f>IF($B789="","",IFERROR($A789*$B789,0))</f>
        <v/>
      </c>
      <c r="F789" s="31">
        <f>IF($C789="","",IFERROR($A789*$C789,0))</f>
        <v/>
      </c>
      <c r="G789" s="31">
        <f>IF($B789="","",IFERROR(MAX(0,ayd_netDefter-$E789),0))</f>
        <v/>
      </c>
      <c r="H789" s="31">
        <f>IF($C789="","",IFERROR(MAX(0,ayd_netDefter+ayd_fark-$F789),0))</f>
        <v/>
      </c>
      <c r="I789" s="31">
        <f>IF($A789="","",IF($A789&gt;IFERROR(GIRDI!B12,0),"DIŞI","AKTİF"))</f>
        <v/>
      </c>
    </row>
    <row r="790">
      <c r="B790" s="31">
        <f>IF(OR($A790="",$A790&gt;IFERROR(GIRDI!B12,0)),"",IFERROR(IF(OR(GIRDI!B12="",GIRDI!B12=0),0,ayd_netDefter/GIRDI!B12),0))</f>
        <v/>
      </c>
      <c r="C790" s="31">
        <f>IF(OR($A790="",$A790&gt;IFERROR(GIRDI!B12,0)),"",IFERROR(IF(OR(GIRDI!B12="",GIRDI!B12=0),0,(ayd_netDefter+ayd_fark)/GIRDI!B12),0))</f>
        <v/>
      </c>
      <c r="D790" s="31">
        <f>IF($B790="","",IFERROR($C790-$B790,0))</f>
        <v/>
      </c>
      <c r="E790" s="31">
        <f>IF($B790="","",IFERROR($A790*$B790,0))</f>
        <v/>
      </c>
      <c r="F790" s="31">
        <f>IF($C790="","",IFERROR($A790*$C790,0))</f>
        <v/>
      </c>
      <c r="G790" s="31">
        <f>IF($B790="","",IFERROR(MAX(0,ayd_netDefter-$E790),0))</f>
        <v/>
      </c>
      <c r="H790" s="31">
        <f>IF($C790="","",IFERROR(MAX(0,ayd_netDefter+ayd_fark-$F790),0))</f>
        <v/>
      </c>
      <c r="I790" s="31">
        <f>IF($A790="","",IF($A790&gt;IFERROR(GIRDI!B12,0),"DIŞI","AKTİF"))</f>
        <v/>
      </c>
    </row>
    <row r="791">
      <c r="B791" s="31">
        <f>IF(OR($A791="",$A791&gt;IFERROR(GIRDI!B12,0)),"",IFERROR(IF(OR(GIRDI!B12="",GIRDI!B12=0),0,ayd_netDefter/GIRDI!B12),0))</f>
        <v/>
      </c>
      <c r="C791" s="31">
        <f>IF(OR($A791="",$A791&gt;IFERROR(GIRDI!B12,0)),"",IFERROR(IF(OR(GIRDI!B12="",GIRDI!B12=0),0,(ayd_netDefter+ayd_fark)/GIRDI!B12),0))</f>
        <v/>
      </c>
      <c r="D791" s="31">
        <f>IF($B791="","",IFERROR($C791-$B791,0))</f>
        <v/>
      </c>
      <c r="E791" s="31">
        <f>IF($B791="","",IFERROR($A791*$B791,0))</f>
        <v/>
      </c>
      <c r="F791" s="31">
        <f>IF($C791="","",IFERROR($A791*$C791,0))</f>
        <v/>
      </c>
      <c r="G791" s="31">
        <f>IF($B791="","",IFERROR(MAX(0,ayd_netDefter-$E791),0))</f>
        <v/>
      </c>
      <c r="H791" s="31">
        <f>IF($C791="","",IFERROR(MAX(0,ayd_netDefter+ayd_fark-$F791),0))</f>
        <v/>
      </c>
      <c r="I791" s="31">
        <f>IF($A791="","",IF($A791&gt;IFERROR(GIRDI!B12,0),"DIŞI","AKTİF"))</f>
        <v/>
      </c>
    </row>
    <row r="792">
      <c r="B792" s="31">
        <f>IF(OR($A792="",$A792&gt;IFERROR(GIRDI!B12,0)),"",IFERROR(IF(OR(GIRDI!B12="",GIRDI!B12=0),0,ayd_netDefter/GIRDI!B12),0))</f>
        <v/>
      </c>
      <c r="C792" s="31">
        <f>IF(OR($A792="",$A792&gt;IFERROR(GIRDI!B12,0)),"",IFERROR(IF(OR(GIRDI!B12="",GIRDI!B12=0),0,(ayd_netDefter+ayd_fark)/GIRDI!B12),0))</f>
        <v/>
      </c>
      <c r="D792" s="31">
        <f>IF($B792="","",IFERROR($C792-$B792,0))</f>
        <v/>
      </c>
      <c r="E792" s="31">
        <f>IF($B792="","",IFERROR($A792*$B792,0))</f>
        <v/>
      </c>
      <c r="F792" s="31">
        <f>IF($C792="","",IFERROR($A792*$C792,0))</f>
        <v/>
      </c>
      <c r="G792" s="31">
        <f>IF($B792="","",IFERROR(MAX(0,ayd_netDefter-$E792),0))</f>
        <v/>
      </c>
      <c r="H792" s="31">
        <f>IF($C792="","",IFERROR(MAX(0,ayd_netDefter+ayd_fark-$F792),0))</f>
        <v/>
      </c>
      <c r="I792" s="31">
        <f>IF($A792="","",IF($A792&gt;IFERROR(GIRDI!B12,0),"DIŞI","AKTİF"))</f>
        <v/>
      </c>
    </row>
    <row r="793">
      <c r="B793" s="31">
        <f>IF(OR($A793="",$A793&gt;IFERROR(GIRDI!B12,0)),"",IFERROR(IF(OR(GIRDI!B12="",GIRDI!B12=0),0,ayd_netDefter/GIRDI!B12),0))</f>
        <v/>
      </c>
      <c r="C793" s="31">
        <f>IF(OR($A793="",$A793&gt;IFERROR(GIRDI!B12,0)),"",IFERROR(IF(OR(GIRDI!B12="",GIRDI!B12=0),0,(ayd_netDefter+ayd_fark)/GIRDI!B12),0))</f>
        <v/>
      </c>
      <c r="D793" s="31">
        <f>IF($B793="","",IFERROR($C793-$B793,0))</f>
        <v/>
      </c>
      <c r="E793" s="31">
        <f>IF($B793="","",IFERROR($A793*$B793,0))</f>
        <v/>
      </c>
      <c r="F793" s="31">
        <f>IF($C793="","",IFERROR($A793*$C793,0))</f>
        <v/>
      </c>
      <c r="G793" s="31">
        <f>IF($B793="","",IFERROR(MAX(0,ayd_netDefter-$E793),0))</f>
        <v/>
      </c>
      <c r="H793" s="31">
        <f>IF($C793="","",IFERROR(MAX(0,ayd_netDefter+ayd_fark-$F793),0))</f>
        <v/>
      </c>
      <c r="I793" s="31">
        <f>IF($A793="","",IF($A793&gt;IFERROR(GIRDI!B12,0),"DIŞI","AKTİF"))</f>
        <v/>
      </c>
    </row>
    <row r="794">
      <c r="B794" s="31">
        <f>IF(OR($A794="",$A794&gt;IFERROR(GIRDI!B12,0)),"",IFERROR(IF(OR(GIRDI!B12="",GIRDI!B12=0),0,ayd_netDefter/GIRDI!B12),0))</f>
        <v/>
      </c>
      <c r="C794" s="31">
        <f>IF(OR($A794="",$A794&gt;IFERROR(GIRDI!B12,0)),"",IFERROR(IF(OR(GIRDI!B12="",GIRDI!B12=0),0,(ayd_netDefter+ayd_fark)/GIRDI!B12),0))</f>
        <v/>
      </c>
      <c r="D794" s="31">
        <f>IF($B794="","",IFERROR($C794-$B794,0))</f>
        <v/>
      </c>
      <c r="E794" s="31">
        <f>IF($B794="","",IFERROR($A794*$B794,0))</f>
        <v/>
      </c>
      <c r="F794" s="31">
        <f>IF($C794="","",IFERROR($A794*$C794,0))</f>
        <v/>
      </c>
      <c r="G794" s="31">
        <f>IF($B794="","",IFERROR(MAX(0,ayd_netDefter-$E794),0))</f>
        <v/>
      </c>
      <c r="H794" s="31">
        <f>IF($C794="","",IFERROR(MAX(0,ayd_netDefter+ayd_fark-$F794),0))</f>
        <v/>
      </c>
      <c r="I794" s="31">
        <f>IF($A794="","",IF($A794&gt;IFERROR(GIRDI!B12,0),"DIŞI","AKTİF"))</f>
        <v/>
      </c>
    </row>
    <row r="795">
      <c r="B795" s="31">
        <f>IF(OR($A795="",$A795&gt;IFERROR(GIRDI!B12,0)),"",IFERROR(IF(OR(GIRDI!B12="",GIRDI!B12=0),0,ayd_netDefter/GIRDI!B12),0))</f>
        <v/>
      </c>
      <c r="C795" s="31">
        <f>IF(OR($A795="",$A795&gt;IFERROR(GIRDI!B12,0)),"",IFERROR(IF(OR(GIRDI!B12="",GIRDI!B12=0),0,(ayd_netDefter+ayd_fark)/GIRDI!B12),0))</f>
        <v/>
      </c>
      <c r="D795" s="31">
        <f>IF($B795="","",IFERROR($C795-$B795,0))</f>
        <v/>
      </c>
      <c r="E795" s="31">
        <f>IF($B795="","",IFERROR($A795*$B795,0))</f>
        <v/>
      </c>
      <c r="F795" s="31">
        <f>IF($C795="","",IFERROR($A795*$C795,0))</f>
        <v/>
      </c>
      <c r="G795" s="31">
        <f>IF($B795="","",IFERROR(MAX(0,ayd_netDefter-$E795),0))</f>
        <v/>
      </c>
      <c r="H795" s="31">
        <f>IF($C795="","",IFERROR(MAX(0,ayd_netDefter+ayd_fark-$F795),0))</f>
        <v/>
      </c>
      <c r="I795" s="31">
        <f>IF($A795="","",IF($A795&gt;IFERROR(GIRDI!B12,0),"DIŞI","AKTİF"))</f>
        <v/>
      </c>
    </row>
    <row r="796">
      <c r="B796" s="31">
        <f>IF(OR($A796="",$A796&gt;IFERROR(GIRDI!B12,0)),"",IFERROR(IF(OR(GIRDI!B12="",GIRDI!B12=0),0,ayd_netDefter/GIRDI!B12),0))</f>
        <v/>
      </c>
      <c r="C796" s="31">
        <f>IF(OR($A796="",$A796&gt;IFERROR(GIRDI!B12,0)),"",IFERROR(IF(OR(GIRDI!B12="",GIRDI!B12=0),0,(ayd_netDefter+ayd_fark)/GIRDI!B12),0))</f>
        <v/>
      </c>
      <c r="D796" s="31">
        <f>IF($B796="","",IFERROR($C796-$B796,0))</f>
        <v/>
      </c>
      <c r="E796" s="31">
        <f>IF($B796="","",IFERROR($A796*$B796,0))</f>
        <v/>
      </c>
      <c r="F796" s="31">
        <f>IF($C796="","",IFERROR($A796*$C796,0))</f>
        <v/>
      </c>
      <c r="G796" s="31">
        <f>IF($B796="","",IFERROR(MAX(0,ayd_netDefter-$E796),0))</f>
        <v/>
      </c>
      <c r="H796" s="31">
        <f>IF($C796="","",IFERROR(MAX(0,ayd_netDefter+ayd_fark-$F796),0))</f>
        <v/>
      </c>
      <c r="I796" s="31">
        <f>IF($A796="","",IF($A796&gt;IFERROR(GIRDI!B12,0),"DIŞI","AKTİF"))</f>
        <v/>
      </c>
    </row>
    <row r="797">
      <c r="B797" s="31">
        <f>IF(OR($A797="",$A797&gt;IFERROR(GIRDI!B12,0)),"",IFERROR(IF(OR(GIRDI!B12="",GIRDI!B12=0),0,ayd_netDefter/GIRDI!B12),0))</f>
        <v/>
      </c>
      <c r="C797" s="31">
        <f>IF(OR($A797="",$A797&gt;IFERROR(GIRDI!B12,0)),"",IFERROR(IF(OR(GIRDI!B12="",GIRDI!B12=0),0,(ayd_netDefter+ayd_fark)/GIRDI!B12),0))</f>
        <v/>
      </c>
      <c r="D797" s="31">
        <f>IF($B797="","",IFERROR($C797-$B797,0))</f>
        <v/>
      </c>
      <c r="E797" s="31">
        <f>IF($B797="","",IFERROR($A797*$B797,0))</f>
        <v/>
      </c>
      <c r="F797" s="31">
        <f>IF($C797="","",IFERROR($A797*$C797,0))</f>
        <v/>
      </c>
      <c r="G797" s="31">
        <f>IF($B797="","",IFERROR(MAX(0,ayd_netDefter-$E797),0))</f>
        <v/>
      </c>
      <c r="H797" s="31">
        <f>IF($C797="","",IFERROR(MAX(0,ayd_netDefter+ayd_fark-$F797),0))</f>
        <v/>
      </c>
      <c r="I797" s="31">
        <f>IF($A797="","",IF($A797&gt;IFERROR(GIRDI!B12,0),"DIŞI","AKTİF"))</f>
        <v/>
      </c>
    </row>
    <row r="798">
      <c r="B798" s="31">
        <f>IF(OR($A798="",$A798&gt;IFERROR(GIRDI!B12,0)),"",IFERROR(IF(OR(GIRDI!B12="",GIRDI!B12=0),0,ayd_netDefter/GIRDI!B12),0))</f>
        <v/>
      </c>
      <c r="C798" s="31">
        <f>IF(OR($A798="",$A798&gt;IFERROR(GIRDI!B12,0)),"",IFERROR(IF(OR(GIRDI!B12="",GIRDI!B12=0),0,(ayd_netDefter+ayd_fark)/GIRDI!B12),0))</f>
        <v/>
      </c>
      <c r="D798" s="31">
        <f>IF($B798="","",IFERROR($C798-$B798,0))</f>
        <v/>
      </c>
      <c r="E798" s="31">
        <f>IF($B798="","",IFERROR($A798*$B798,0))</f>
        <v/>
      </c>
      <c r="F798" s="31">
        <f>IF($C798="","",IFERROR($A798*$C798,0))</f>
        <v/>
      </c>
      <c r="G798" s="31">
        <f>IF($B798="","",IFERROR(MAX(0,ayd_netDefter-$E798),0))</f>
        <v/>
      </c>
      <c r="H798" s="31">
        <f>IF($C798="","",IFERROR(MAX(0,ayd_netDefter+ayd_fark-$F798),0))</f>
        <v/>
      </c>
      <c r="I798" s="31">
        <f>IF($A798="","",IF($A798&gt;IFERROR(GIRDI!B12,0),"DIŞI","AKTİF"))</f>
        <v/>
      </c>
    </row>
    <row r="799">
      <c r="B799" s="31">
        <f>IF(OR($A799="",$A799&gt;IFERROR(GIRDI!B12,0)),"",IFERROR(IF(OR(GIRDI!B12="",GIRDI!B12=0),0,ayd_netDefter/GIRDI!B12),0))</f>
        <v/>
      </c>
      <c r="C799" s="31">
        <f>IF(OR($A799="",$A799&gt;IFERROR(GIRDI!B12,0)),"",IFERROR(IF(OR(GIRDI!B12="",GIRDI!B12=0),0,(ayd_netDefter+ayd_fark)/GIRDI!B12),0))</f>
        <v/>
      </c>
      <c r="D799" s="31">
        <f>IF($B799="","",IFERROR($C799-$B799,0))</f>
        <v/>
      </c>
      <c r="E799" s="31">
        <f>IF($B799="","",IFERROR($A799*$B799,0))</f>
        <v/>
      </c>
      <c r="F799" s="31">
        <f>IF($C799="","",IFERROR($A799*$C799,0))</f>
        <v/>
      </c>
      <c r="G799" s="31">
        <f>IF($B799="","",IFERROR(MAX(0,ayd_netDefter-$E799),0))</f>
        <v/>
      </c>
      <c r="H799" s="31">
        <f>IF($C799="","",IFERROR(MAX(0,ayd_netDefter+ayd_fark-$F799),0))</f>
        <v/>
      </c>
      <c r="I799" s="31">
        <f>IF($A799="","",IF($A799&gt;IFERROR(GIRDI!B12,0),"DIŞI","AKTİF"))</f>
        <v/>
      </c>
    </row>
    <row r="800">
      <c r="B800" s="31">
        <f>IF(OR($A800="",$A800&gt;IFERROR(GIRDI!B12,0)),"",IFERROR(IF(OR(GIRDI!B12="",GIRDI!B12=0),0,ayd_netDefter/GIRDI!B12),0))</f>
        <v/>
      </c>
      <c r="C800" s="31">
        <f>IF(OR($A800="",$A800&gt;IFERROR(GIRDI!B12,0)),"",IFERROR(IF(OR(GIRDI!B12="",GIRDI!B12=0),0,(ayd_netDefter+ayd_fark)/GIRDI!B12),0))</f>
        <v/>
      </c>
      <c r="D800" s="31">
        <f>IF($B800="","",IFERROR($C800-$B800,0))</f>
        <v/>
      </c>
      <c r="E800" s="31">
        <f>IF($B800="","",IFERROR($A800*$B800,0))</f>
        <v/>
      </c>
      <c r="F800" s="31">
        <f>IF($C800="","",IFERROR($A800*$C800,0))</f>
        <v/>
      </c>
      <c r="G800" s="31">
        <f>IF($B800="","",IFERROR(MAX(0,ayd_netDefter-$E800),0))</f>
        <v/>
      </c>
      <c r="H800" s="31">
        <f>IF($C800="","",IFERROR(MAX(0,ayd_netDefter+ayd_fark-$F800),0))</f>
        <v/>
      </c>
      <c r="I800" s="31">
        <f>IF($A800="","",IF($A800&gt;IFERROR(GIRDI!B12,0),"DIŞI","AKTİF"))</f>
        <v/>
      </c>
    </row>
    <row r="801">
      <c r="B801" s="31">
        <f>IF(OR($A801="",$A801&gt;IFERROR(GIRDI!B12,0)),"",IFERROR(IF(OR(GIRDI!B12="",GIRDI!B12=0),0,ayd_netDefter/GIRDI!B12),0))</f>
        <v/>
      </c>
      <c r="C801" s="31">
        <f>IF(OR($A801="",$A801&gt;IFERROR(GIRDI!B12,0)),"",IFERROR(IF(OR(GIRDI!B12="",GIRDI!B12=0),0,(ayd_netDefter+ayd_fark)/GIRDI!B12),0))</f>
        <v/>
      </c>
      <c r="D801" s="31">
        <f>IF($B801="","",IFERROR($C801-$B801,0))</f>
        <v/>
      </c>
      <c r="E801" s="31">
        <f>IF($B801="","",IFERROR($A801*$B801,0))</f>
        <v/>
      </c>
      <c r="F801" s="31">
        <f>IF($C801="","",IFERROR($A801*$C801,0))</f>
        <v/>
      </c>
      <c r="G801" s="31">
        <f>IF($B801="","",IFERROR(MAX(0,ayd_netDefter-$E801),0))</f>
        <v/>
      </c>
      <c r="H801" s="31">
        <f>IF($C801="","",IFERROR(MAX(0,ayd_netDefter+ayd_fark-$F801),0))</f>
        <v/>
      </c>
      <c r="I801" s="31">
        <f>IF($A801="","",IF($A801&gt;IFERROR(GIRDI!B12,0),"DIŞI","AKTİF"))</f>
        <v/>
      </c>
    </row>
    <row r="802">
      <c r="B802" s="31">
        <f>IF(OR($A802="",$A802&gt;IFERROR(GIRDI!B12,0)),"",IFERROR(IF(OR(GIRDI!B12="",GIRDI!B12=0),0,ayd_netDefter/GIRDI!B12),0))</f>
        <v/>
      </c>
      <c r="C802" s="31">
        <f>IF(OR($A802="",$A802&gt;IFERROR(GIRDI!B12,0)),"",IFERROR(IF(OR(GIRDI!B12="",GIRDI!B12=0),0,(ayd_netDefter+ayd_fark)/GIRDI!B12),0))</f>
        <v/>
      </c>
      <c r="D802" s="31">
        <f>IF($B802="","",IFERROR($C802-$B802,0))</f>
        <v/>
      </c>
      <c r="E802" s="31">
        <f>IF($B802="","",IFERROR($A802*$B802,0))</f>
        <v/>
      </c>
      <c r="F802" s="31">
        <f>IF($C802="","",IFERROR($A802*$C802,0))</f>
        <v/>
      </c>
      <c r="G802" s="31">
        <f>IF($B802="","",IFERROR(MAX(0,ayd_netDefter-$E802),0))</f>
        <v/>
      </c>
      <c r="H802" s="31">
        <f>IF($C802="","",IFERROR(MAX(0,ayd_netDefter+ayd_fark-$F802),0))</f>
        <v/>
      </c>
      <c r="I802" s="31">
        <f>IF($A802="","",IF($A802&gt;IFERROR(GIRDI!B12,0),"DIŞI","AKTİF"))</f>
        <v/>
      </c>
    </row>
    <row r="803">
      <c r="B803" s="31">
        <f>IF(OR($A803="",$A803&gt;IFERROR(GIRDI!B12,0)),"",IFERROR(IF(OR(GIRDI!B12="",GIRDI!B12=0),0,ayd_netDefter/GIRDI!B12),0))</f>
        <v/>
      </c>
      <c r="C803" s="31">
        <f>IF(OR($A803="",$A803&gt;IFERROR(GIRDI!B12,0)),"",IFERROR(IF(OR(GIRDI!B12="",GIRDI!B12=0),0,(ayd_netDefter+ayd_fark)/GIRDI!B12),0))</f>
        <v/>
      </c>
      <c r="D803" s="31">
        <f>IF($B803="","",IFERROR($C803-$B803,0))</f>
        <v/>
      </c>
      <c r="E803" s="31">
        <f>IF($B803="","",IFERROR($A803*$B803,0))</f>
        <v/>
      </c>
      <c r="F803" s="31">
        <f>IF($C803="","",IFERROR($A803*$C803,0))</f>
        <v/>
      </c>
      <c r="G803" s="31">
        <f>IF($B803="","",IFERROR(MAX(0,ayd_netDefter-$E803),0))</f>
        <v/>
      </c>
      <c r="H803" s="31">
        <f>IF($C803="","",IFERROR(MAX(0,ayd_netDefter+ayd_fark-$F803),0))</f>
        <v/>
      </c>
      <c r="I803" s="31">
        <f>IF($A803="","",IF($A803&gt;IFERROR(GIRDI!B12,0),"DIŞI","AKTİF"))</f>
        <v/>
      </c>
    </row>
    <row r="804">
      <c r="B804" s="31">
        <f>IF(OR($A804="",$A804&gt;IFERROR(GIRDI!B12,0)),"",IFERROR(IF(OR(GIRDI!B12="",GIRDI!B12=0),0,ayd_netDefter/GIRDI!B12),0))</f>
        <v/>
      </c>
      <c r="C804" s="31">
        <f>IF(OR($A804="",$A804&gt;IFERROR(GIRDI!B12,0)),"",IFERROR(IF(OR(GIRDI!B12="",GIRDI!B12=0),0,(ayd_netDefter+ayd_fark)/GIRDI!B12),0))</f>
        <v/>
      </c>
      <c r="D804" s="31">
        <f>IF($B804="","",IFERROR($C804-$B804,0))</f>
        <v/>
      </c>
      <c r="E804" s="31">
        <f>IF($B804="","",IFERROR($A804*$B804,0))</f>
        <v/>
      </c>
      <c r="F804" s="31">
        <f>IF($C804="","",IFERROR($A804*$C804,0))</f>
        <v/>
      </c>
      <c r="G804" s="31">
        <f>IF($B804="","",IFERROR(MAX(0,ayd_netDefter-$E804),0))</f>
        <v/>
      </c>
      <c r="H804" s="31">
        <f>IF($C804="","",IFERROR(MAX(0,ayd_netDefter+ayd_fark-$F804),0))</f>
        <v/>
      </c>
      <c r="I804" s="31">
        <f>IF($A804="","",IF($A804&gt;IFERROR(GIRDI!B12,0),"DIŞI","AKTİF"))</f>
        <v/>
      </c>
    </row>
    <row r="805">
      <c r="B805" s="31">
        <f>IF(OR($A805="",$A805&gt;IFERROR(GIRDI!B12,0)),"",IFERROR(IF(OR(GIRDI!B12="",GIRDI!B12=0),0,ayd_netDefter/GIRDI!B12),0))</f>
        <v/>
      </c>
      <c r="C805" s="31">
        <f>IF(OR($A805="",$A805&gt;IFERROR(GIRDI!B12,0)),"",IFERROR(IF(OR(GIRDI!B12="",GIRDI!B12=0),0,(ayd_netDefter+ayd_fark)/GIRDI!B12),0))</f>
        <v/>
      </c>
      <c r="D805" s="31">
        <f>IF($B805="","",IFERROR($C805-$B805,0))</f>
        <v/>
      </c>
      <c r="E805" s="31">
        <f>IF($B805="","",IFERROR($A805*$B805,0))</f>
        <v/>
      </c>
      <c r="F805" s="31">
        <f>IF($C805="","",IFERROR($A805*$C805,0))</f>
        <v/>
      </c>
      <c r="G805" s="31">
        <f>IF($B805="","",IFERROR(MAX(0,ayd_netDefter-$E805),0))</f>
        <v/>
      </c>
      <c r="H805" s="31">
        <f>IF($C805="","",IFERROR(MAX(0,ayd_netDefter+ayd_fark-$F805),0))</f>
        <v/>
      </c>
      <c r="I805" s="31">
        <f>IF($A805="","",IF($A805&gt;IFERROR(GIRDI!B12,0),"DIŞI","AKTİF"))</f>
        <v/>
      </c>
    </row>
    <row r="806">
      <c r="B806" s="31">
        <f>IF(OR($A806="",$A806&gt;IFERROR(GIRDI!B12,0)),"",IFERROR(IF(OR(GIRDI!B12="",GIRDI!B12=0),0,ayd_netDefter/GIRDI!B12),0))</f>
        <v/>
      </c>
      <c r="C806" s="31">
        <f>IF(OR($A806="",$A806&gt;IFERROR(GIRDI!B12,0)),"",IFERROR(IF(OR(GIRDI!B12="",GIRDI!B12=0),0,(ayd_netDefter+ayd_fark)/GIRDI!B12),0))</f>
        <v/>
      </c>
      <c r="D806" s="31">
        <f>IF($B806="","",IFERROR($C806-$B806,0))</f>
        <v/>
      </c>
      <c r="E806" s="31">
        <f>IF($B806="","",IFERROR($A806*$B806,0))</f>
        <v/>
      </c>
      <c r="F806" s="31">
        <f>IF($C806="","",IFERROR($A806*$C806,0))</f>
        <v/>
      </c>
      <c r="G806" s="31">
        <f>IF($B806="","",IFERROR(MAX(0,ayd_netDefter-$E806),0))</f>
        <v/>
      </c>
      <c r="H806" s="31">
        <f>IF($C806="","",IFERROR(MAX(0,ayd_netDefter+ayd_fark-$F806),0))</f>
        <v/>
      </c>
      <c r="I806" s="31">
        <f>IF($A806="","",IF($A806&gt;IFERROR(GIRDI!B12,0),"DIŞI","AKTİF"))</f>
        <v/>
      </c>
    </row>
    <row r="807">
      <c r="B807" s="31">
        <f>IF(OR($A807="",$A807&gt;IFERROR(GIRDI!B12,0)),"",IFERROR(IF(OR(GIRDI!B12="",GIRDI!B12=0),0,ayd_netDefter/GIRDI!B12),0))</f>
        <v/>
      </c>
      <c r="C807" s="31">
        <f>IF(OR($A807="",$A807&gt;IFERROR(GIRDI!B12,0)),"",IFERROR(IF(OR(GIRDI!B12="",GIRDI!B12=0),0,(ayd_netDefter+ayd_fark)/GIRDI!B12),0))</f>
        <v/>
      </c>
      <c r="D807" s="31">
        <f>IF($B807="","",IFERROR($C807-$B807,0))</f>
        <v/>
      </c>
      <c r="E807" s="31">
        <f>IF($B807="","",IFERROR($A807*$B807,0))</f>
        <v/>
      </c>
      <c r="F807" s="31">
        <f>IF($C807="","",IFERROR($A807*$C807,0))</f>
        <v/>
      </c>
      <c r="G807" s="31">
        <f>IF($B807="","",IFERROR(MAX(0,ayd_netDefter-$E807),0))</f>
        <v/>
      </c>
      <c r="H807" s="31">
        <f>IF($C807="","",IFERROR(MAX(0,ayd_netDefter+ayd_fark-$F807),0))</f>
        <v/>
      </c>
      <c r="I807" s="31">
        <f>IF($A807="","",IF($A807&gt;IFERROR(GIRDI!B12,0),"DIŞI","AKTİF"))</f>
        <v/>
      </c>
    </row>
    <row r="808">
      <c r="B808" s="31">
        <f>IF(OR($A808="",$A808&gt;IFERROR(GIRDI!B12,0)),"",IFERROR(IF(OR(GIRDI!B12="",GIRDI!B12=0),0,ayd_netDefter/GIRDI!B12),0))</f>
        <v/>
      </c>
      <c r="C808" s="31">
        <f>IF(OR($A808="",$A808&gt;IFERROR(GIRDI!B12,0)),"",IFERROR(IF(OR(GIRDI!B12="",GIRDI!B12=0),0,(ayd_netDefter+ayd_fark)/GIRDI!B12),0))</f>
        <v/>
      </c>
      <c r="D808" s="31">
        <f>IF($B808="","",IFERROR($C808-$B808,0))</f>
        <v/>
      </c>
      <c r="E808" s="31">
        <f>IF($B808="","",IFERROR($A808*$B808,0))</f>
        <v/>
      </c>
      <c r="F808" s="31">
        <f>IF($C808="","",IFERROR($A808*$C808,0))</f>
        <v/>
      </c>
      <c r="G808" s="31">
        <f>IF($B808="","",IFERROR(MAX(0,ayd_netDefter-$E808),0))</f>
        <v/>
      </c>
      <c r="H808" s="31">
        <f>IF($C808="","",IFERROR(MAX(0,ayd_netDefter+ayd_fark-$F808),0))</f>
        <v/>
      </c>
      <c r="I808" s="31">
        <f>IF($A808="","",IF($A808&gt;IFERROR(GIRDI!B12,0),"DIŞI","AKTİF"))</f>
        <v/>
      </c>
    </row>
    <row r="809">
      <c r="B809" s="31">
        <f>IF(OR($A809="",$A809&gt;IFERROR(GIRDI!B12,0)),"",IFERROR(IF(OR(GIRDI!B12="",GIRDI!B12=0),0,ayd_netDefter/GIRDI!B12),0))</f>
        <v/>
      </c>
      <c r="C809" s="31">
        <f>IF(OR($A809="",$A809&gt;IFERROR(GIRDI!B12,0)),"",IFERROR(IF(OR(GIRDI!B12="",GIRDI!B12=0),0,(ayd_netDefter+ayd_fark)/GIRDI!B12),0))</f>
        <v/>
      </c>
      <c r="D809" s="31">
        <f>IF($B809="","",IFERROR($C809-$B809,0))</f>
        <v/>
      </c>
      <c r="E809" s="31">
        <f>IF($B809="","",IFERROR($A809*$B809,0))</f>
        <v/>
      </c>
      <c r="F809" s="31">
        <f>IF($C809="","",IFERROR($A809*$C809,0))</f>
        <v/>
      </c>
      <c r="G809" s="31">
        <f>IF($B809="","",IFERROR(MAX(0,ayd_netDefter-$E809),0))</f>
        <v/>
      </c>
      <c r="H809" s="31">
        <f>IF($C809="","",IFERROR(MAX(0,ayd_netDefter+ayd_fark-$F809),0))</f>
        <v/>
      </c>
      <c r="I809" s="31">
        <f>IF($A809="","",IF($A809&gt;IFERROR(GIRDI!B12,0),"DIŞI","AKTİF"))</f>
        <v/>
      </c>
    </row>
    <row r="810">
      <c r="B810" s="31">
        <f>IF(OR($A810="",$A810&gt;IFERROR(GIRDI!B12,0)),"",IFERROR(IF(OR(GIRDI!B12="",GIRDI!B12=0),0,ayd_netDefter/GIRDI!B12),0))</f>
        <v/>
      </c>
      <c r="C810" s="31">
        <f>IF(OR($A810="",$A810&gt;IFERROR(GIRDI!B12,0)),"",IFERROR(IF(OR(GIRDI!B12="",GIRDI!B12=0),0,(ayd_netDefter+ayd_fark)/GIRDI!B12),0))</f>
        <v/>
      </c>
      <c r="D810" s="31">
        <f>IF($B810="","",IFERROR($C810-$B810,0))</f>
        <v/>
      </c>
      <c r="E810" s="31">
        <f>IF($B810="","",IFERROR($A810*$B810,0))</f>
        <v/>
      </c>
      <c r="F810" s="31">
        <f>IF($C810="","",IFERROR($A810*$C810,0))</f>
        <v/>
      </c>
      <c r="G810" s="31">
        <f>IF($B810="","",IFERROR(MAX(0,ayd_netDefter-$E810),0))</f>
        <v/>
      </c>
      <c r="H810" s="31">
        <f>IF($C810="","",IFERROR(MAX(0,ayd_netDefter+ayd_fark-$F810),0))</f>
        <v/>
      </c>
      <c r="I810" s="31">
        <f>IF($A810="","",IF($A810&gt;IFERROR(GIRDI!B12,0),"DIŞI","AKTİF"))</f>
        <v/>
      </c>
    </row>
    <row r="811">
      <c r="B811" s="31">
        <f>IF(OR($A811="",$A811&gt;IFERROR(GIRDI!B12,0)),"",IFERROR(IF(OR(GIRDI!B12="",GIRDI!B12=0),0,ayd_netDefter/GIRDI!B12),0))</f>
        <v/>
      </c>
      <c r="C811" s="31">
        <f>IF(OR($A811="",$A811&gt;IFERROR(GIRDI!B12,0)),"",IFERROR(IF(OR(GIRDI!B12="",GIRDI!B12=0),0,(ayd_netDefter+ayd_fark)/GIRDI!B12),0))</f>
        <v/>
      </c>
      <c r="D811" s="31">
        <f>IF($B811="","",IFERROR($C811-$B811,0))</f>
        <v/>
      </c>
      <c r="E811" s="31">
        <f>IF($B811="","",IFERROR($A811*$B811,0))</f>
        <v/>
      </c>
      <c r="F811" s="31">
        <f>IF($C811="","",IFERROR($A811*$C811,0))</f>
        <v/>
      </c>
      <c r="G811" s="31">
        <f>IF($B811="","",IFERROR(MAX(0,ayd_netDefter-$E811),0))</f>
        <v/>
      </c>
      <c r="H811" s="31">
        <f>IF($C811="","",IFERROR(MAX(0,ayd_netDefter+ayd_fark-$F811),0))</f>
        <v/>
      </c>
      <c r="I811" s="31">
        <f>IF($A811="","",IF($A811&gt;IFERROR(GIRDI!B12,0),"DIŞI","AKTİF"))</f>
        <v/>
      </c>
    </row>
    <row r="812">
      <c r="B812" s="31">
        <f>IF(OR($A812="",$A812&gt;IFERROR(GIRDI!B12,0)),"",IFERROR(IF(OR(GIRDI!B12="",GIRDI!B12=0),0,ayd_netDefter/GIRDI!B12),0))</f>
        <v/>
      </c>
      <c r="C812" s="31">
        <f>IF(OR($A812="",$A812&gt;IFERROR(GIRDI!B12,0)),"",IFERROR(IF(OR(GIRDI!B12="",GIRDI!B12=0),0,(ayd_netDefter+ayd_fark)/GIRDI!B12),0))</f>
        <v/>
      </c>
      <c r="D812" s="31">
        <f>IF($B812="","",IFERROR($C812-$B812,0))</f>
        <v/>
      </c>
      <c r="E812" s="31">
        <f>IF($B812="","",IFERROR($A812*$B812,0))</f>
        <v/>
      </c>
      <c r="F812" s="31">
        <f>IF($C812="","",IFERROR($A812*$C812,0))</f>
        <v/>
      </c>
      <c r="G812" s="31">
        <f>IF($B812="","",IFERROR(MAX(0,ayd_netDefter-$E812),0))</f>
        <v/>
      </c>
      <c r="H812" s="31">
        <f>IF($C812="","",IFERROR(MAX(0,ayd_netDefter+ayd_fark-$F812),0))</f>
        <v/>
      </c>
      <c r="I812" s="31">
        <f>IF($A812="","",IF($A812&gt;IFERROR(GIRDI!B12,0),"DIŞI","AKTİF"))</f>
        <v/>
      </c>
    </row>
    <row r="813">
      <c r="B813" s="31">
        <f>IF(OR($A813="",$A813&gt;IFERROR(GIRDI!B12,0)),"",IFERROR(IF(OR(GIRDI!B12="",GIRDI!B12=0),0,ayd_netDefter/GIRDI!B12),0))</f>
        <v/>
      </c>
      <c r="C813" s="31">
        <f>IF(OR($A813="",$A813&gt;IFERROR(GIRDI!B12,0)),"",IFERROR(IF(OR(GIRDI!B12="",GIRDI!B12=0),0,(ayd_netDefter+ayd_fark)/GIRDI!B12),0))</f>
        <v/>
      </c>
      <c r="D813" s="31">
        <f>IF($B813="","",IFERROR($C813-$B813,0))</f>
        <v/>
      </c>
      <c r="E813" s="31">
        <f>IF($B813="","",IFERROR($A813*$B813,0))</f>
        <v/>
      </c>
      <c r="F813" s="31">
        <f>IF($C813="","",IFERROR($A813*$C813,0))</f>
        <v/>
      </c>
      <c r="G813" s="31">
        <f>IF($B813="","",IFERROR(MAX(0,ayd_netDefter-$E813),0))</f>
        <v/>
      </c>
      <c r="H813" s="31">
        <f>IF($C813="","",IFERROR(MAX(0,ayd_netDefter+ayd_fark-$F813),0))</f>
        <v/>
      </c>
      <c r="I813" s="31">
        <f>IF($A813="","",IF($A813&gt;IFERROR(GIRDI!B12,0),"DIŞI","AKTİF"))</f>
        <v/>
      </c>
    </row>
    <row r="814">
      <c r="B814" s="31">
        <f>IF(OR($A814="",$A814&gt;IFERROR(GIRDI!B12,0)),"",IFERROR(IF(OR(GIRDI!B12="",GIRDI!B12=0),0,ayd_netDefter/GIRDI!B12),0))</f>
        <v/>
      </c>
      <c r="C814" s="31">
        <f>IF(OR($A814="",$A814&gt;IFERROR(GIRDI!B12,0)),"",IFERROR(IF(OR(GIRDI!B12="",GIRDI!B12=0),0,(ayd_netDefter+ayd_fark)/GIRDI!B12),0))</f>
        <v/>
      </c>
      <c r="D814" s="31">
        <f>IF($B814="","",IFERROR($C814-$B814,0))</f>
        <v/>
      </c>
      <c r="E814" s="31">
        <f>IF($B814="","",IFERROR($A814*$B814,0))</f>
        <v/>
      </c>
      <c r="F814" s="31">
        <f>IF($C814="","",IFERROR($A814*$C814,0))</f>
        <v/>
      </c>
      <c r="G814" s="31">
        <f>IF($B814="","",IFERROR(MAX(0,ayd_netDefter-$E814),0))</f>
        <v/>
      </c>
      <c r="H814" s="31">
        <f>IF($C814="","",IFERROR(MAX(0,ayd_netDefter+ayd_fark-$F814),0))</f>
        <v/>
      </c>
      <c r="I814" s="31">
        <f>IF($A814="","",IF($A814&gt;IFERROR(GIRDI!B12,0),"DIŞI","AKTİF"))</f>
        <v/>
      </c>
    </row>
    <row r="815">
      <c r="B815" s="31">
        <f>IF(OR($A815="",$A815&gt;IFERROR(GIRDI!B12,0)),"",IFERROR(IF(OR(GIRDI!B12="",GIRDI!B12=0),0,ayd_netDefter/GIRDI!B12),0))</f>
        <v/>
      </c>
      <c r="C815" s="31">
        <f>IF(OR($A815="",$A815&gt;IFERROR(GIRDI!B12,0)),"",IFERROR(IF(OR(GIRDI!B12="",GIRDI!B12=0),0,(ayd_netDefter+ayd_fark)/GIRDI!B12),0))</f>
        <v/>
      </c>
      <c r="D815" s="31">
        <f>IF($B815="","",IFERROR($C815-$B815,0))</f>
        <v/>
      </c>
      <c r="E815" s="31">
        <f>IF($B815="","",IFERROR($A815*$B815,0))</f>
        <v/>
      </c>
      <c r="F815" s="31">
        <f>IF($C815="","",IFERROR($A815*$C815,0))</f>
        <v/>
      </c>
      <c r="G815" s="31">
        <f>IF($B815="","",IFERROR(MAX(0,ayd_netDefter-$E815),0))</f>
        <v/>
      </c>
      <c r="H815" s="31">
        <f>IF($C815="","",IFERROR(MAX(0,ayd_netDefter+ayd_fark-$F815),0))</f>
        <v/>
      </c>
      <c r="I815" s="31">
        <f>IF($A815="","",IF($A815&gt;IFERROR(GIRDI!B12,0),"DIŞI","AKTİF"))</f>
        <v/>
      </c>
    </row>
    <row r="816">
      <c r="B816" s="31">
        <f>IF(OR($A816="",$A816&gt;IFERROR(GIRDI!B12,0)),"",IFERROR(IF(OR(GIRDI!B12="",GIRDI!B12=0),0,ayd_netDefter/GIRDI!B12),0))</f>
        <v/>
      </c>
      <c r="C816" s="31">
        <f>IF(OR($A816="",$A816&gt;IFERROR(GIRDI!B12,0)),"",IFERROR(IF(OR(GIRDI!B12="",GIRDI!B12=0),0,(ayd_netDefter+ayd_fark)/GIRDI!B12),0))</f>
        <v/>
      </c>
      <c r="D816" s="31">
        <f>IF($B816="","",IFERROR($C816-$B816,0))</f>
        <v/>
      </c>
      <c r="E816" s="31">
        <f>IF($B816="","",IFERROR($A816*$B816,0))</f>
        <v/>
      </c>
      <c r="F816" s="31">
        <f>IF($C816="","",IFERROR($A816*$C816,0))</f>
        <v/>
      </c>
      <c r="G816" s="31">
        <f>IF($B816="","",IFERROR(MAX(0,ayd_netDefter-$E816),0))</f>
        <v/>
      </c>
      <c r="H816" s="31">
        <f>IF($C816="","",IFERROR(MAX(0,ayd_netDefter+ayd_fark-$F816),0))</f>
        <v/>
      </c>
      <c r="I816" s="31">
        <f>IF($A816="","",IF($A816&gt;IFERROR(GIRDI!B12,0),"DIŞI","AKTİF"))</f>
        <v/>
      </c>
    </row>
    <row r="817">
      <c r="B817" s="31">
        <f>IF(OR($A817="",$A817&gt;IFERROR(GIRDI!B12,0)),"",IFERROR(IF(OR(GIRDI!B12="",GIRDI!B12=0),0,ayd_netDefter/GIRDI!B12),0))</f>
        <v/>
      </c>
      <c r="C817" s="31">
        <f>IF(OR($A817="",$A817&gt;IFERROR(GIRDI!B12,0)),"",IFERROR(IF(OR(GIRDI!B12="",GIRDI!B12=0),0,(ayd_netDefter+ayd_fark)/GIRDI!B12),0))</f>
        <v/>
      </c>
      <c r="D817" s="31">
        <f>IF($B817="","",IFERROR($C817-$B817,0))</f>
        <v/>
      </c>
      <c r="E817" s="31">
        <f>IF($B817="","",IFERROR($A817*$B817,0))</f>
        <v/>
      </c>
      <c r="F817" s="31">
        <f>IF($C817="","",IFERROR($A817*$C817,0))</f>
        <v/>
      </c>
      <c r="G817" s="31">
        <f>IF($B817="","",IFERROR(MAX(0,ayd_netDefter-$E817),0))</f>
        <v/>
      </c>
      <c r="H817" s="31">
        <f>IF($C817="","",IFERROR(MAX(0,ayd_netDefter+ayd_fark-$F817),0))</f>
        <v/>
      </c>
      <c r="I817" s="31">
        <f>IF($A817="","",IF($A817&gt;IFERROR(GIRDI!B12,0),"DIŞI","AKTİF"))</f>
        <v/>
      </c>
    </row>
    <row r="818">
      <c r="B818" s="31">
        <f>IF(OR($A818="",$A818&gt;IFERROR(GIRDI!B12,0)),"",IFERROR(IF(OR(GIRDI!B12="",GIRDI!B12=0),0,ayd_netDefter/GIRDI!B12),0))</f>
        <v/>
      </c>
      <c r="C818" s="31">
        <f>IF(OR($A818="",$A818&gt;IFERROR(GIRDI!B12,0)),"",IFERROR(IF(OR(GIRDI!B12="",GIRDI!B12=0),0,(ayd_netDefter+ayd_fark)/GIRDI!B12),0))</f>
        <v/>
      </c>
      <c r="D818" s="31">
        <f>IF($B818="","",IFERROR($C818-$B818,0))</f>
        <v/>
      </c>
      <c r="E818" s="31">
        <f>IF($B818="","",IFERROR($A818*$B818,0))</f>
        <v/>
      </c>
      <c r="F818" s="31">
        <f>IF($C818="","",IFERROR($A818*$C818,0))</f>
        <v/>
      </c>
      <c r="G818" s="31">
        <f>IF($B818="","",IFERROR(MAX(0,ayd_netDefter-$E818),0))</f>
        <v/>
      </c>
      <c r="H818" s="31">
        <f>IF($C818="","",IFERROR(MAX(0,ayd_netDefter+ayd_fark-$F818),0))</f>
        <v/>
      </c>
      <c r="I818" s="31">
        <f>IF($A818="","",IF($A818&gt;IFERROR(GIRDI!B12,0),"DIŞI","AKTİF"))</f>
        <v/>
      </c>
    </row>
    <row r="819">
      <c r="B819" s="31">
        <f>IF(OR($A819="",$A819&gt;IFERROR(GIRDI!B12,0)),"",IFERROR(IF(OR(GIRDI!B12="",GIRDI!B12=0),0,ayd_netDefter/GIRDI!B12),0))</f>
        <v/>
      </c>
      <c r="C819" s="31">
        <f>IF(OR($A819="",$A819&gt;IFERROR(GIRDI!B12,0)),"",IFERROR(IF(OR(GIRDI!B12="",GIRDI!B12=0),0,(ayd_netDefter+ayd_fark)/GIRDI!B12),0))</f>
        <v/>
      </c>
      <c r="D819" s="31">
        <f>IF($B819="","",IFERROR($C819-$B819,0))</f>
        <v/>
      </c>
      <c r="E819" s="31">
        <f>IF($B819="","",IFERROR($A819*$B819,0))</f>
        <v/>
      </c>
      <c r="F819" s="31">
        <f>IF($C819="","",IFERROR($A819*$C819,0))</f>
        <v/>
      </c>
      <c r="G819" s="31">
        <f>IF($B819="","",IFERROR(MAX(0,ayd_netDefter-$E819),0))</f>
        <v/>
      </c>
      <c r="H819" s="31">
        <f>IF($C819="","",IFERROR(MAX(0,ayd_netDefter+ayd_fark-$F819),0))</f>
        <v/>
      </c>
      <c r="I819" s="31">
        <f>IF($A819="","",IF($A819&gt;IFERROR(GIRDI!B12,0),"DIŞI","AKTİF"))</f>
        <v/>
      </c>
    </row>
    <row r="820">
      <c r="B820" s="31">
        <f>IF(OR($A820="",$A820&gt;IFERROR(GIRDI!B12,0)),"",IFERROR(IF(OR(GIRDI!B12="",GIRDI!B12=0),0,ayd_netDefter/GIRDI!B12),0))</f>
        <v/>
      </c>
      <c r="C820" s="31">
        <f>IF(OR($A820="",$A820&gt;IFERROR(GIRDI!B12,0)),"",IFERROR(IF(OR(GIRDI!B12="",GIRDI!B12=0),0,(ayd_netDefter+ayd_fark)/GIRDI!B12),0))</f>
        <v/>
      </c>
      <c r="D820" s="31">
        <f>IF($B820="","",IFERROR($C820-$B820,0))</f>
        <v/>
      </c>
      <c r="E820" s="31">
        <f>IF($B820="","",IFERROR($A820*$B820,0))</f>
        <v/>
      </c>
      <c r="F820" s="31">
        <f>IF($C820="","",IFERROR($A820*$C820,0))</f>
        <v/>
      </c>
      <c r="G820" s="31">
        <f>IF($B820="","",IFERROR(MAX(0,ayd_netDefter-$E820),0))</f>
        <v/>
      </c>
      <c r="H820" s="31">
        <f>IF($C820="","",IFERROR(MAX(0,ayd_netDefter+ayd_fark-$F820),0))</f>
        <v/>
      </c>
      <c r="I820" s="31">
        <f>IF($A820="","",IF($A820&gt;IFERROR(GIRDI!B12,0),"DIŞI","AKTİF"))</f>
        <v/>
      </c>
    </row>
    <row r="821">
      <c r="B821" s="31">
        <f>IF(OR($A821="",$A821&gt;IFERROR(GIRDI!B12,0)),"",IFERROR(IF(OR(GIRDI!B12="",GIRDI!B12=0),0,ayd_netDefter/GIRDI!B12),0))</f>
        <v/>
      </c>
      <c r="C821" s="31">
        <f>IF(OR($A821="",$A821&gt;IFERROR(GIRDI!B12,0)),"",IFERROR(IF(OR(GIRDI!B12="",GIRDI!B12=0),0,(ayd_netDefter+ayd_fark)/GIRDI!B12),0))</f>
        <v/>
      </c>
      <c r="D821" s="31">
        <f>IF($B821="","",IFERROR($C821-$B821,0))</f>
        <v/>
      </c>
      <c r="E821" s="31">
        <f>IF($B821="","",IFERROR($A821*$B821,0))</f>
        <v/>
      </c>
      <c r="F821" s="31">
        <f>IF($C821="","",IFERROR($A821*$C821,0))</f>
        <v/>
      </c>
      <c r="G821" s="31">
        <f>IF($B821="","",IFERROR(MAX(0,ayd_netDefter-$E821),0))</f>
        <v/>
      </c>
      <c r="H821" s="31">
        <f>IF($C821="","",IFERROR(MAX(0,ayd_netDefter+ayd_fark-$F821),0))</f>
        <v/>
      </c>
      <c r="I821" s="31">
        <f>IF($A821="","",IF($A821&gt;IFERROR(GIRDI!B12,0),"DIŞI","AKTİF"))</f>
        <v/>
      </c>
    </row>
    <row r="822">
      <c r="B822" s="31">
        <f>IF(OR($A822="",$A822&gt;IFERROR(GIRDI!B12,0)),"",IFERROR(IF(OR(GIRDI!B12="",GIRDI!B12=0),0,ayd_netDefter/GIRDI!B12),0))</f>
        <v/>
      </c>
      <c r="C822" s="31">
        <f>IF(OR($A822="",$A822&gt;IFERROR(GIRDI!B12,0)),"",IFERROR(IF(OR(GIRDI!B12="",GIRDI!B12=0),0,(ayd_netDefter+ayd_fark)/GIRDI!B12),0))</f>
        <v/>
      </c>
      <c r="D822" s="31">
        <f>IF($B822="","",IFERROR($C822-$B822,0))</f>
        <v/>
      </c>
      <c r="E822" s="31">
        <f>IF($B822="","",IFERROR($A822*$B822,0))</f>
        <v/>
      </c>
      <c r="F822" s="31">
        <f>IF($C822="","",IFERROR($A822*$C822,0))</f>
        <v/>
      </c>
      <c r="G822" s="31">
        <f>IF($B822="","",IFERROR(MAX(0,ayd_netDefter-$E822),0))</f>
        <v/>
      </c>
      <c r="H822" s="31">
        <f>IF($C822="","",IFERROR(MAX(0,ayd_netDefter+ayd_fark-$F822),0))</f>
        <v/>
      </c>
      <c r="I822" s="31">
        <f>IF($A822="","",IF($A822&gt;IFERROR(GIRDI!B12,0),"DIŞI","AKTİF"))</f>
        <v/>
      </c>
    </row>
    <row r="823">
      <c r="B823" s="31">
        <f>IF(OR($A823="",$A823&gt;IFERROR(GIRDI!B12,0)),"",IFERROR(IF(OR(GIRDI!B12="",GIRDI!B12=0),0,ayd_netDefter/GIRDI!B12),0))</f>
        <v/>
      </c>
      <c r="C823" s="31">
        <f>IF(OR($A823="",$A823&gt;IFERROR(GIRDI!B12,0)),"",IFERROR(IF(OR(GIRDI!B12="",GIRDI!B12=0),0,(ayd_netDefter+ayd_fark)/GIRDI!B12),0))</f>
        <v/>
      </c>
      <c r="D823" s="31">
        <f>IF($B823="","",IFERROR($C823-$B823,0))</f>
        <v/>
      </c>
      <c r="E823" s="31">
        <f>IF($B823="","",IFERROR($A823*$B823,0))</f>
        <v/>
      </c>
      <c r="F823" s="31">
        <f>IF($C823="","",IFERROR($A823*$C823,0))</f>
        <v/>
      </c>
      <c r="G823" s="31">
        <f>IF($B823="","",IFERROR(MAX(0,ayd_netDefter-$E823),0))</f>
        <v/>
      </c>
      <c r="H823" s="31">
        <f>IF($C823="","",IFERROR(MAX(0,ayd_netDefter+ayd_fark-$F823),0))</f>
        <v/>
      </c>
      <c r="I823" s="31">
        <f>IF($A823="","",IF($A823&gt;IFERROR(GIRDI!B12,0),"DIŞI","AKTİF"))</f>
        <v/>
      </c>
    </row>
    <row r="824">
      <c r="B824" s="31">
        <f>IF(OR($A824="",$A824&gt;IFERROR(GIRDI!B12,0)),"",IFERROR(IF(OR(GIRDI!B12="",GIRDI!B12=0),0,ayd_netDefter/GIRDI!B12),0))</f>
        <v/>
      </c>
      <c r="C824" s="31">
        <f>IF(OR($A824="",$A824&gt;IFERROR(GIRDI!B12,0)),"",IFERROR(IF(OR(GIRDI!B12="",GIRDI!B12=0),0,(ayd_netDefter+ayd_fark)/GIRDI!B12),0))</f>
        <v/>
      </c>
      <c r="D824" s="31">
        <f>IF($B824="","",IFERROR($C824-$B824,0))</f>
        <v/>
      </c>
      <c r="E824" s="31">
        <f>IF($B824="","",IFERROR($A824*$B824,0))</f>
        <v/>
      </c>
      <c r="F824" s="31">
        <f>IF($C824="","",IFERROR($A824*$C824,0))</f>
        <v/>
      </c>
      <c r="G824" s="31">
        <f>IF($B824="","",IFERROR(MAX(0,ayd_netDefter-$E824),0))</f>
        <v/>
      </c>
      <c r="H824" s="31">
        <f>IF($C824="","",IFERROR(MAX(0,ayd_netDefter+ayd_fark-$F824),0))</f>
        <v/>
      </c>
      <c r="I824" s="31">
        <f>IF($A824="","",IF($A824&gt;IFERROR(GIRDI!B12,0),"DIŞI","AKTİF"))</f>
        <v/>
      </c>
    </row>
    <row r="825">
      <c r="B825" s="31">
        <f>IF(OR($A825="",$A825&gt;IFERROR(GIRDI!B12,0)),"",IFERROR(IF(OR(GIRDI!B12="",GIRDI!B12=0),0,ayd_netDefter/GIRDI!B12),0))</f>
        <v/>
      </c>
      <c r="C825" s="31">
        <f>IF(OR($A825="",$A825&gt;IFERROR(GIRDI!B12,0)),"",IFERROR(IF(OR(GIRDI!B12="",GIRDI!B12=0),0,(ayd_netDefter+ayd_fark)/GIRDI!B12),0))</f>
        <v/>
      </c>
      <c r="D825" s="31">
        <f>IF($B825="","",IFERROR($C825-$B825,0))</f>
        <v/>
      </c>
      <c r="E825" s="31">
        <f>IF($B825="","",IFERROR($A825*$B825,0))</f>
        <v/>
      </c>
      <c r="F825" s="31">
        <f>IF($C825="","",IFERROR($A825*$C825,0))</f>
        <v/>
      </c>
      <c r="G825" s="31">
        <f>IF($B825="","",IFERROR(MAX(0,ayd_netDefter-$E825),0))</f>
        <v/>
      </c>
      <c r="H825" s="31">
        <f>IF($C825="","",IFERROR(MAX(0,ayd_netDefter+ayd_fark-$F825),0))</f>
        <v/>
      </c>
      <c r="I825" s="31">
        <f>IF($A825="","",IF($A825&gt;IFERROR(GIRDI!B12,0),"DIŞI","AKTİF"))</f>
        <v/>
      </c>
    </row>
    <row r="826">
      <c r="B826" s="31">
        <f>IF(OR($A826="",$A826&gt;IFERROR(GIRDI!B12,0)),"",IFERROR(IF(OR(GIRDI!B12="",GIRDI!B12=0),0,ayd_netDefter/GIRDI!B12),0))</f>
        <v/>
      </c>
      <c r="C826" s="31">
        <f>IF(OR($A826="",$A826&gt;IFERROR(GIRDI!B12,0)),"",IFERROR(IF(OR(GIRDI!B12="",GIRDI!B12=0),0,(ayd_netDefter+ayd_fark)/GIRDI!B12),0))</f>
        <v/>
      </c>
      <c r="D826" s="31">
        <f>IF($B826="","",IFERROR($C826-$B826,0))</f>
        <v/>
      </c>
      <c r="E826" s="31">
        <f>IF($B826="","",IFERROR($A826*$B826,0))</f>
        <v/>
      </c>
      <c r="F826" s="31">
        <f>IF($C826="","",IFERROR($A826*$C826,0))</f>
        <v/>
      </c>
      <c r="G826" s="31">
        <f>IF($B826="","",IFERROR(MAX(0,ayd_netDefter-$E826),0))</f>
        <v/>
      </c>
      <c r="H826" s="31">
        <f>IF($C826="","",IFERROR(MAX(0,ayd_netDefter+ayd_fark-$F826),0))</f>
        <v/>
      </c>
      <c r="I826" s="31">
        <f>IF($A826="","",IF($A826&gt;IFERROR(GIRDI!B12,0),"DIŞI","AKTİF"))</f>
        <v/>
      </c>
    </row>
    <row r="827">
      <c r="B827" s="31">
        <f>IF(OR($A827="",$A827&gt;IFERROR(GIRDI!B12,0)),"",IFERROR(IF(OR(GIRDI!B12="",GIRDI!B12=0),0,ayd_netDefter/GIRDI!B12),0))</f>
        <v/>
      </c>
      <c r="C827" s="31">
        <f>IF(OR($A827="",$A827&gt;IFERROR(GIRDI!B12,0)),"",IFERROR(IF(OR(GIRDI!B12="",GIRDI!B12=0),0,(ayd_netDefter+ayd_fark)/GIRDI!B12),0))</f>
        <v/>
      </c>
      <c r="D827" s="31">
        <f>IF($B827="","",IFERROR($C827-$B827,0))</f>
        <v/>
      </c>
      <c r="E827" s="31">
        <f>IF($B827="","",IFERROR($A827*$B827,0))</f>
        <v/>
      </c>
      <c r="F827" s="31">
        <f>IF($C827="","",IFERROR($A827*$C827,0))</f>
        <v/>
      </c>
      <c r="G827" s="31">
        <f>IF($B827="","",IFERROR(MAX(0,ayd_netDefter-$E827),0))</f>
        <v/>
      </c>
      <c r="H827" s="31">
        <f>IF($C827="","",IFERROR(MAX(0,ayd_netDefter+ayd_fark-$F827),0))</f>
        <v/>
      </c>
      <c r="I827" s="31">
        <f>IF($A827="","",IF($A827&gt;IFERROR(GIRDI!B12,0),"DIŞI","AKTİF"))</f>
        <v/>
      </c>
    </row>
    <row r="828">
      <c r="B828" s="31">
        <f>IF(OR($A828="",$A828&gt;IFERROR(GIRDI!B12,0)),"",IFERROR(IF(OR(GIRDI!B12="",GIRDI!B12=0),0,ayd_netDefter/GIRDI!B12),0))</f>
        <v/>
      </c>
      <c r="C828" s="31">
        <f>IF(OR($A828="",$A828&gt;IFERROR(GIRDI!B12,0)),"",IFERROR(IF(OR(GIRDI!B12="",GIRDI!B12=0),0,(ayd_netDefter+ayd_fark)/GIRDI!B12),0))</f>
        <v/>
      </c>
      <c r="D828" s="31">
        <f>IF($B828="","",IFERROR($C828-$B828,0))</f>
        <v/>
      </c>
      <c r="E828" s="31">
        <f>IF($B828="","",IFERROR($A828*$B828,0))</f>
        <v/>
      </c>
      <c r="F828" s="31">
        <f>IF($C828="","",IFERROR($A828*$C828,0))</f>
        <v/>
      </c>
      <c r="G828" s="31">
        <f>IF($B828="","",IFERROR(MAX(0,ayd_netDefter-$E828),0))</f>
        <v/>
      </c>
      <c r="H828" s="31">
        <f>IF($C828="","",IFERROR(MAX(0,ayd_netDefter+ayd_fark-$F828),0))</f>
        <v/>
      </c>
      <c r="I828" s="31">
        <f>IF($A828="","",IF($A828&gt;IFERROR(GIRDI!B12,0),"DIŞI","AKTİF"))</f>
        <v/>
      </c>
    </row>
    <row r="829">
      <c r="B829" s="31">
        <f>IF(OR($A829="",$A829&gt;IFERROR(GIRDI!B12,0)),"",IFERROR(IF(OR(GIRDI!B12="",GIRDI!B12=0),0,ayd_netDefter/GIRDI!B12),0))</f>
        <v/>
      </c>
      <c r="C829" s="31">
        <f>IF(OR($A829="",$A829&gt;IFERROR(GIRDI!B12,0)),"",IFERROR(IF(OR(GIRDI!B12="",GIRDI!B12=0),0,(ayd_netDefter+ayd_fark)/GIRDI!B12),0))</f>
        <v/>
      </c>
      <c r="D829" s="31">
        <f>IF($B829="","",IFERROR($C829-$B829,0))</f>
        <v/>
      </c>
      <c r="E829" s="31">
        <f>IF($B829="","",IFERROR($A829*$B829,0))</f>
        <v/>
      </c>
      <c r="F829" s="31">
        <f>IF($C829="","",IFERROR($A829*$C829,0))</f>
        <v/>
      </c>
      <c r="G829" s="31">
        <f>IF($B829="","",IFERROR(MAX(0,ayd_netDefter-$E829),0))</f>
        <v/>
      </c>
      <c r="H829" s="31">
        <f>IF($C829="","",IFERROR(MAX(0,ayd_netDefter+ayd_fark-$F829),0))</f>
        <v/>
      </c>
      <c r="I829" s="31">
        <f>IF($A829="","",IF($A829&gt;IFERROR(GIRDI!B12,0),"DIŞI","AKTİF"))</f>
        <v/>
      </c>
    </row>
    <row r="830">
      <c r="B830" s="31">
        <f>IF(OR($A830="",$A830&gt;IFERROR(GIRDI!B12,0)),"",IFERROR(IF(OR(GIRDI!B12="",GIRDI!B12=0),0,ayd_netDefter/GIRDI!B12),0))</f>
        <v/>
      </c>
      <c r="C830" s="31">
        <f>IF(OR($A830="",$A830&gt;IFERROR(GIRDI!B12,0)),"",IFERROR(IF(OR(GIRDI!B12="",GIRDI!B12=0),0,(ayd_netDefter+ayd_fark)/GIRDI!B12),0))</f>
        <v/>
      </c>
      <c r="D830" s="31">
        <f>IF($B830="","",IFERROR($C830-$B830,0))</f>
        <v/>
      </c>
      <c r="E830" s="31">
        <f>IF($B830="","",IFERROR($A830*$B830,0))</f>
        <v/>
      </c>
      <c r="F830" s="31">
        <f>IF($C830="","",IFERROR($A830*$C830,0))</f>
        <v/>
      </c>
      <c r="G830" s="31">
        <f>IF($B830="","",IFERROR(MAX(0,ayd_netDefter-$E830),0))</f>
        <v/>
      </c>
      <c r="H830" s="31">
        <f>IF($C830="","",IFERROR(MAX(0,ayd_netDefter+ayd_fark-$F830),0))</f>
        <v/>
      </c>
      <c r="I830" s="31">
        <f>IF($A830="","",IF($A830&gt;IFERROR(GIRDI!B12,0),"DIŞI","AKTİF"))</f>
        <v/>
      </c>
    </row>
    <row r="831">
      <c r="B831" s="31">
        <f>IF(OR($A831="",$A831&gt;IFERROR(GIRDI!B12,0)),"",IFERROR(IF(OR(GIRDI!B12="",GIRDI!B12=0),0,ayd_netDefter/GIRDI!B12),0))</f>
        <v/>
      </c>
      <c r="C831" s="31">
        <f>IF(OR($A831="",$A831&gt;IFERROR(GIRDI!B12,0)),"",IFERROR(IF(OR(GIRDI!B12="",GIRDI!B12=0),0,(ayd_netDefter+ayd_fark)/GIRDI!B12),0))</f>
        <v/>
      </c>
      <c r="D831" s="31">
        <f>IF($B831="","",IFERROR($C831-$B831,0))</f>
        <v/>
      </c>
      <c r="E831" s="31">
        <f>IF($B831="","",IFERROR($A831*$B831,0))</f>
        <v/>
      </c>
      <c r="F831" s="31">
        <f>IF($C831="","",IFERROR($A831*$C831,0))</f>
        <v/>
      </c>
      <c r="G831" s="31">
        <f>IF($B831="","",IFERROR(MAX(0,ayd_netDefter-$E831),0))</f>
        <v/>
      </c>
      <c r="H831" s="31">
        <f>IF($C831="","",IFERROR(MAX(0,ayd_netDefter+ayd_fark-$F831),0))</f>
        <v/>
      </c>
      <c r="I831" s="31">
        <f>IF($A831="","",IF($A831&gt;IFERROR(GIRDI!B12,0),"DIŞI","AKTİF"))</f>
        <v/>
      </c>
    </row>
    <row r="832">
      <c r="B832" s="31">
        <f>IF(OR($A832="",$A832&gt;IFERROR(GIRDI!B12,0)),"",IFERROR(IF(OR(GIRDI!B12="",GIRDI!B12=0),0,ayd_netDefter/GIRDI!B12),0))</f>
        <v/>
      </c>
      <c r="C832" s="31">
        <f>IF(OR($A832="",$A832&gt;IFERROR(GIRDI!B12,0)),"",IFERROR(IF(OR(GIRDI!B12="",GIRDI!B12=0),0,(ayd_netDefter+ayd_fark)/GIRDI!B12),0))</f>
        <v/>
      </c>
      <c r="D832" s="31">
        <f>IF($B832="","",IFERROR($C832-$B832,0))</f>
        <v/>
      </c>
      <c r="E832" s="31">
        <f>IF($B832="","",IFERROR($A832*$B832,0))</f>
        <v/>
      </c>
      <c r="F832" s="31">
        <f>IF($C832="","",IFERROR($A832*$C832,0))</f>
        <v/>
      </c>
      <c r="G832" s="31">
        <f>IF($B832="","",IFERROR(MAX(0,ayd_netDefter-$E832),0))</f>
        <v/>
      </c>
      <c r="H832" s="31">
        <f>IF($C832="","",IFERROR(MAX(0,ayd_netDefter+ayd_fark-$F832),0))</f>
        <v/>
      </c>
      <c r="I832" s="31">
        <f>IF($A832="","",IF($A832&gt;IFERROR(GIRDI!B12,0),"DIŞI","AKTİF"))</f>
        <v/>
      </c>
    </row>
    <row r="833">
      <c r="B833" s="31">
        <f>IF(OR($A833="",$A833&gt;IFERROR(GIRDI!B12,0)),"",IFERROR(IF(OR(GIRDI!B12="",GIRDI!B12=0),0,ayd_netDefter/GIRDI!B12),0))</f>
        <v/>
      </c>
      <c r="C833" s="31">
        <f>IF(OR($A833="",$A833&gt;IFERROR(GIRDI!B12,0)),"",IFERROR(IF(OR(GIRDI!B12="",GIRDI!B12=0),0,(ayd_netDefter+ayd_fark)/GIRDI!B12),0))</f>
        <v/>
      </c>
      <c r="D833" s="31">
        <f>IF($B833="","",IFERROR($C833-$B833,0))</f>
        <v/>
      </c>
      <c r="E833" s="31">
        <f>IF($B833="","",IFERROR($A833*$B833,0))</f>
        <v/>
      </c>
      <c r="F833" s="31">
        <f>IF($C833="","",IFERROR($A833*$C833,0))</f>
        <v/>
      </c>
      <c r="G833" s="31">
        <f>IF($B833="","",IFERROR(MAX(0,ayd_netDefter-$E833),0))</f>
        <v/>
      </c>
      <c r="H833" s="31">
        <f>IF($C833="","",IFERROR(MAX(0,ayd_netDefter+ayd_fark-$F833),0))</f>
        <v/>
      </c>
      <c r="I833" s="31">
        <f>IF($A833="","",IF($A833&gt;IFERROR(GIRDI!B12,0),"DIŞI","AKTİF"))</f>
        <v/>
      </c>
    </row>
    <row r="834">
      <c r="B834" s="31">
        <f>IF(OR($A834="",$A834&gt;IFERROR(GIRDI!B12,0)),"",IFERROR(IF(OR(GIRDI!B12="",GIRDI!B12=0),0,ayd_netDefter/GIRDI!B12),0))</f>
        <v/>
      </c>
      <c r="C834" s="31">
        <f>IF(OR($A834="",$A834&gt;IFERROR(GIRDI!B12,0)),"",IFERROR(IF(OR(GIRDI!B12="",GIRDI!B12=0),0,(ayd_netDefter+ayd_fark)/GIRDI!B12),0))</f>
        <v/>
      </c>
      <c r="D834" s="31">
        <f>IF($B834="","",IFERROR($C834-$B834,0))</f>
        <v/>
      </c>
      <c r="E834" s="31">
        <f>IF($B834="","",IFERROR($A834*$B834,0))</f>
        <v/>
      </c>
      <c r="F834" s="31">
        <f>IF($C834="","",IFERROR($A834*$C834,0))</f>
        <v/>
      </c>
      <c r="G834" s="31">
        <f>IF($B834="","",IFERROR(MAX(0,ayd_netDefter-$E834),0))</f>
        <v/>
      </c>
      <c r="H834" s="31">
        <f>IF($C834="","",IFERROR(MAX(0,ayd_netDefter+ayd_fark-$F834),0))</f>
        <v/>
      </c>
      <c r="I834" s="31">
        <f>IF($A834="","",IF($A834&gt;IFERROR(GIRDI!B12,0),"DIŞI","AKTİF"))</f>
        <v/>
      </c>
    </row>
    <row r="835">
      <c r="B835" s="31">
        <f>IF(OR($A835="",$A835&gt;IFERROR(GIRDI!B12,0)),"",IFERROR(IF(OR(GIRDI!B12="",GIRDI!B12=0),0,ayd_netDefter/GIRDI!B12),0))</f>
        <v/>
      </c>
      <c r="C835" s="31">
        <f>IF(OR($A835="",$A835&gt;IFERROR(GIRDI!B12,0)),"",IFERROR(IF(OR(GIRDI!B12="",GIRDI!B12=0),0,(ayd_netDefter+ayd_fark)/GIRDI!B12),0))</f>
        <v/>
      </c>
      <c r="D835" s="31">
        <f>IF($B835="","",IFERROR($C835-$B835,0))</f>
        <v/>
      </c>
      <c r="E835" s="31">
        <f>IF($B835="","",IFERROR($A835*$B835,0))</f>
        <v/>
      </c>
      <c r="F835" s="31">
        <f>IF($C835="","",IFERROR($A835*$C835,0))</f>
        <v/>
      </c>
      <c r="G835" s="31">
        <f>IF($B835="","",IFERROR(MAX(0,ayd_netDefter-$E835),0))</f>
        <v/>
      </c>
      <c r="H835" s="31">
        <f>IF($C835="","",IFERROR(MAX(0,ayd_netDefter+ayd_fark-$F835),0))</f>
        <v/>
      </c>
      <c r="I835" s="31">
        <f>IF($A835="","",IF($A835&gt;IFERROR(GIRDI!B12,0),"DIŞI","AKTİF"))</f>
        <v/>
      </c>
    </row>
    <row r="836">
      <c r="B836" s="31">
        <f>IF(OR($A836="",$A836&gt;IFERROR(GIRDI!B12,0)),"",IFERROR(IF(OR(GIRDI!B12="",GIRDI!B12=0),0,ayd_netDefter/GIRDI!B12),0))</f>
        <v/>
      </c>
      <c r="C836" s="31">
        <f>IF(OR($A836="",$A836&gt;IFERROR(GIRDI!B12,0)),"",IFERROR(IF(OR(GIRDI!B12="",GIRDI!B12=0),0,(ayd_netDefter+ayd_fark)/GIRDI!B12),0))</f>
        <v/>
      </c>
      <c r="D836" s="31">
        <f>IF($B836="","",IFERROR($C836-$B836,0))</f>
        <v/>
      </c>
      <c r="E836" s="31">
        <f>IF($B836="","",IFERROR($A836*$B836,0))</f>
        <v/>
      </c>
      <c r="F836" s="31">
        <f>IF($C836="","",IFERROR($A836*$C836,0))</f>
        <v/>
      </c>
      <c r="G836" s="31">
        <f>IF($B836="","",IFERROR(MAX(0,ayd_netDefter-$E836),0))</f>
        <v/>
      </c>
      <c r="H836" s="31">
        <f>IF($C836="","",IFERROR(MAX(0,ayd_netDefter+ayd_fark-$F836),0))</f>
        <v/>
      </c>
      <c r="I836" s="31">
        <f>IF($A836="","",IF($A836&gt;IFERROR(GIRDI!B12,0),"DIŞI","AKTİF"))</f>
        <v/>
      </c>
    </row>
    <row r="837">
      <c r="B837" s="31">
        <f>IF(OR($A837="",$A837&gt;IFERROR(GIRDI!B12,0)),"",IFERROR(IF(OR(GIRDI!B12="",GIRDI!B12=0),0,ayd_netDefter/GIRDI!B12),0))</f>
        <v/>
      </c>
      <c r="C837" s="31">
        <f>IF(OR($A837="",$A837&gt;IFERROR(GIRDI!B12,0)),"",IFERROR(IF(OR(GIRDI!B12="",GIRDI!B12=0),0,(ayd_netDefter+ayd_fark)/GIRDI!B12),0))</f>
        <v/>
      </c>
      <c r="D837" s="31">
        <f>IF($B837="","",IFERROR($C837-$B837,0))</f>
        <v/>
      </c>
      <c r="E837" s="31">
        <f>IF($B837="","",IFERROR($A837*$B837,0))</f>
        <v/>
      </c>
      <c r="F837" s="31">
        <f>IF($C837="","",IFERROR($A837*$C837,0))</f>
        <v/>
      </c>
      <c r="G837" s="31">
        <f>IF($B837="","",IFERROR(MAX(0,ayd_netDefter-$E837),0))</f>
        <v/>
      </c>
      <c r="H837" s="31">
        <f>IF($C837="","",IFERROR(MAX(0,ayd_netDefter+ayd_fark-$F837),0))</f>
        <v/>
      </c>
      <c r="I837" s="31">
        <f>IF($A837="","",IF($A837&gt;IFERROR(GIRDI!B12,0),"DIŞI","AKTİF"))</f>
        <v/>
      </c>
    </row>
    <row r="838">
      <c r="B838" s="31">
        <f>IF(OR($A838="",$A838&gt;IFERROR(GIRDI!B12,0)),"",IFERROR(IF(OR(GIRDI!B12="",GIRDI!B12=0),0,ayd_netDefter/GIRDI!B12),0))</f>
        <v/>
      </c>
      <c r="C838" s="31">
        <f>IF(OR($A838="",$A838&gt;IFERROR(GIRDI!B12,0)),"",IFERROR(IF(OR(GIRDI!B12="",GIRDI!B12=0),0,(ayd_netDefter+ayd_fark)/GIRDI!B12),0))</f>
        <v/>
      </c>
      <c r="D838" s="31">
        <f>IF($B838="","",IFERROR($C838-$B838,0))</f>
        <v/>
      </c>
      <c r="E838" s="31">
        <f>IF($B838="","",IFERROR($A838*$B838,0))</f>
        <v/>
      </c>
      <c r="F838" s="31">
        <f>IF($C838="","",IFERROR($A838*$C838,0))</f>
        <v/>
      </c>
      <c r="G838" s="31">
        <f>IF($B838="","",IFERROR(MAX(0,ayd_netDefter-$E838),0))</f>
        <v/>
      </c>
      <c r="H838" s="31">
        <f>IF($C838="","",IFERROR(MAX(0,ayd_netDefter+ayd_fark-$F838),0))</f>
        <v/>
      </c>
      <c r="I838" s="31">
        <f>IF($A838="","",IF($A838&gt;IFERROR(GIRDI!B12,0),"DIŞI","AKTİF"))</f>
        <v/>
      </c>
    </row>
    <row r="839">
      <c r="B839" s="31">
        <f>IF(OR($A839="",$A839&gt;IFERROR(GIRDI!B12,0)),"",IFERROR(IF(OR(GIRDI!B12="",GIRDI!B12=0),0,ayd_netDefter/GIRDI!B12),0))</f>
        <v/>
      </c>
      <c r="C839" s="31">
        <f>IF(OR($A839="",$A839&gt;IFERROR(GIRDI!B12,0)),"",IFERROR(IF(OR(GIRDI!B12="",GIRDI!B12=0),0,(ayd_netDefter+ayd_fark)/GIRDI!B12),0))</f>
        <v/>
      </c>
      <c r="D839" s="31">
        <f>IF($B839="","",IFERROR($C839-$B839,0))</f>
        <v/>
      </c>
      <c r="E839" s="31">
        <f>IF($B839="","",IFERROR($A839*$B839,0))</f>
        <v/>
      </c>
      <c r="F839" s="31">
        <f>IF($C839="","",IFERROR($A839*$C839,0))</f>
        <v/>
      </c>
      <c r="G839" s="31">
        <f>IF($B839="","",IFERROR(MAX(0,ayd_netDefter-$E839),0))</f>
        <v/>
      </c>
      <c r="H839" s="31">
        <f>IF($C839="","",IFERROR(MAX(0,ayd_netDefter+ayd_fark-$F839),0))</f>
        <v/>
      </c>
      <c r="I839" s="31">
        <f>IF($A839="","",IF($A839&gt;IFERROR(GIRDI!B12,0),"DIŞI","AKTİF"))</f>
        <v/>
      </c>
    </row>
    <row r="840">
      <c r="B840" s="31">
        <f>IF(OR($A840="",$A840&gt;IFERROR(GIRDI!B12,0)),"",IFERROR(IF(OR(GIRDI!B12="",GIRDI!B12=0),0,ayd_netDefter/GIRDI!B12),0))</f>
        <v/>
      </c>
      <c r="C840" s="31">
        <f>IF(OR($A840="",$A840&gt;IFERROR(GIRDI!B12,0)),"",IFERROR(IF(OR(GIRDI!B12="",GIRDI!B12=0),0,(ayd_netDefter+ayd_fark)/GIRDI!B12),0))</f>
        <v/>
      </c>
      <c r="D840" s="31">
        <f>IF($B840="","",IFERROR($C840-$B840,0))</f>
        <v/>
      </c>
      <c r="E840" s="31">
        <f>IF($B840="","",IFERROR($A840*$B840,0))</f>
        <v/>
      </c>
      <c r="F840" s="31">
        <f>IF($C840="","",IFERROR($A840*$C840,0))</f>
        <v/>
      </c>
      <c r="G840" s="31">
        <f>IF($B840="","",IFERROR(MAX(0,ayd_netDefter-$E840),0))</f>
        <v/>
      </c>
      <c r="H840" s="31">
        <f>IF($C840="","",IFERROR(MAX(0,ayd_netDefter+ayd_fark-$F840),0))</f>
        <v/>
      </c>
      <c r="I840" s="31">
        <f>IF($A840="","",IF($A840&gt;IFERROR(GIRDI!B12,0),"DIŞI","AKTİF"))</f>
        <v/>
      </c>
    </row>
    <row r="841">
      <c r="B841" s="31">
        <f>IF(OR($A841="",$A841&gt;IFERROR(GIRDI!B12,0)),"",IFERROR(IF(OR(GIRDI!B12="",GIRDI!B12=0),0,ayd_netDefter/GIRDI!B12),0))</f>
        <v/>
      </c>
      <c r="C841" s="31">
        <f>IF(OR($A841="",$A841&gt;IFERROR(GIRDI!B12,0)),"",IFERROR(IF(OR(GIRDI!B12="",GIRDI!B12=0),0,(ayd_netDefter+ayd_fark)/GIRDI!B12),0))</f>
        <v/>
      </c>
      <c r="D841" s="31">
        <f>IF($B841="","",IFERROR($C841-$B841,0))</f>
        <v/>
      </c>
      <c r="E841" s="31">
        <f>IF($B841="","",IFERROR($A841*$B841,0))</f>
        <v/>
      </c>
      <c r="F841" s="31">
        <f>IF($C841="","",IFERROR($A841*$C841,0))</f>
        <v/>
      </c>
      <c r="G841" s="31">
        <f>IF($B841="","",IFERROR(MAX(0,ayd_netDefter-$E841),0))</f>
        <v/>
      </c>
      <c r="H841" s="31">
        <f>IF($C841="","",IFERROR(MAX(0,ayd_netDefter+ayd_fark-$F841),0))</f>
        <v/>
      </c>
      <c r="I841" s="31">
        <f>IF($A841="","",IF($A841&gt;IFERROR(GIRDI!B12,0),"DIŞI","AKTİF"))</f>
        <v/>
      </c>
    </row>
    <row r="842">
      <c r="B842" s="31">
        <f>IF(OR($A842="",$A842&gt;IFERROR(GIRDI!B12,0)),"",IFERROR(IF(OR(GIRDI!B12="",GIRDI!B12=0),0,ayd_netDefter/GIRDI!B12),0))</f>
        <v/>
      </c>
      <c r="C842" s="31">
        <f>IF(OR($A842="",$A842&gt;IFERROR(GIRDI!B12,0)),"",IFERROR(IF(OR(GIRDI!B12="",GIRDI!B12=0),0,(ayd_netDefter+ayd_fark)/GIRDI!B12),0))</f>
        <v/>
      </c>
      <c r="D842" s="31">
        <f>IF($B842="","",IFERROR($C842-$B842,0))</f>
        <v/>
      </c>
      <c r="E842" s="31">
        <f>IF($B842="","",IFERROR($A842*$B842,0))</f>
        <v/>
      </c>
      <c r="F842" s="31">
        <f>IF($C842="","",IFERROR($A842*$C842,0))</f>
        <v/>
      </c>
      <c r="G842" s="31">
        <f>IF($B842="","",IFERROR(MAX(0,ayd_netDefter-$E842),0))</f>
        <v/>
      </c>
      <c r="H842" s="31">
        <f>IF($C842="","",IFERROR(MAX(0,ayd_netDefter+ayd_fark-$F842),0))</f>
        <v/>
      </c>
      <c r="I842" s="31">
        <f>IF($A842="","",IF($A842&gt;IFERROR(GIRDI!B12,0),"DIŞI","AKTİF"))</f>
        <v/>
      </c>
    </row>
    <row r="843">
      <c r="B843" s="31">
        <f>IF(OR($A843="",$A843&gt;IFERROR(GIRDI!B12,0)),"",IFERROR(IF(OR(GIRDI!B12="",GIRDI!B12=0),0,ayd_netDefter/GIRDI!B12),0))</f>
        <v/>
      </c>
      <c r="C843" s="31">
        <f>IF(OR($A843="",$A843&gt;IFERROR(GIRDI!B12,0)),"",IFERROR(IF(OR(GIRDI!B12="",GIRDI!B12=0),0,(ayd_netDefter+ayd_fark)/GIRDI!B12),0))</f>
        <v/>
      </c>
      <c r="D843" s="31">
        <f>IF($B843="","",IFERROR($C843-$B843,0))</f>
        <v/>
      </c>
      <c r="E843" s="31">
        <f>IF($B843="","",IFERROR($A843*$B843,0))</f>
        <v/>
      </c>
      <c r="F843" s="31">
        <f>IF($C843="","",IFERROR($A843*$C843,0))</f>
        <v/>
      </c>
      <c r="G843" s="31">
        <f>IF($B843="","",IFERROR(MAX(0,ayd_netDefter-$E843),0))</f>
        <v/>
      </c>
      <c r="H843" s="31">
        <f>IF($C843="","",IFERROR(MAX(0,ayd_netDefter+ayd_fark-$F843),0))</f>
        <v/>
      </c>
      <c r="I843" s="31">
        <f>IF($A843="","",IF($A843&gt;IFERROR(GIRDI!B12,0),"DIŞI","AKTİF"))</f>
        <v/>
      </c>
    </row>
    <row r="844">
      <c r="B844" s="31">
        <f>IF(OR($A844="",$A844&gt;IFERROR(GIRDI!B12,0)),"",IFERROR(IF(OR(GIRDI!B12="",GIRDI!B12=0),0,ayd_netDefter/GIRDI!B12),0))</f>
        <v/>
      </c>
      <c r="C844" s="31">
        <f>IF(OR($A844="",$A844&gt;IFERROR(GIRDI!B12,0)),"",IFERROR(IF(OR(GIRDI!B12="",GIRDI!B12=0),0,(ayd_netDefter+ayd_fark)/GIRDI!B12),0))</f>
        <v/>
      </c>
      <c r="D844" s="31">
        <f>IF($B844="","",IFERROR($C844-$B844,0))</f>
        <v/>
      </c>
      <c r="E844" s="31">
        <f>IF($B844="","",IFERROR($A844*$B844,0))</f>
        <v/>
      </c>
      <c r="F844" s="31">
        <f>IF($C844="","",IFERROR($A844*$C844,0))</f>
        <v/>
      </c>
      <c r="G844" s="31">
        <f>IF($B844="","",IFERROR(MAX(0,ayd_netDefter-$E844),0))</f>
        <v/>
      </c>
      <c r="H844" s="31">
        <f>IF($C844="","",IFERROR(MAX(0,ayd_netDefter+ayd_fark-$F844),0))</f>
        <v/>
      </c>
      <c r="I844" s="31">
        <f>IF($A844="","",IF($A844&gt;IFERROR(GIRDI!B12,0),"DIŞI","AKTİF"))</f>
        <v/>
      </c>
    </row>
    <row r="845">
      <c r="B845" s="31">
        <f>IF(OR($A845="",$A845&gt;IFERROR(GIRDI!B12,0)),"",IFERROR(IF(OR(GIRDI!B12="",GIRDI!B12=0),0,ayd_netDefter/GIRDI!B12),0))</f>
        <v/>
      </c>
      <c r="C845" s="31">
        <f>IF(OR($A845="",$A845&gt;IFERROR(GIRDI!B12,0)),"",IFERROR(IF(OR(GIRDI!B12="",GIRDI!B12=0),0,(ayd_netDefter+ayd_fark)/GIRDI!B12),0))</f>
        <v/>
      </c>
      <c r="D845" s="31">
        <f>IF($B845="","",IFERROR($C845-$B845,0))</f>
        <v/>
      </c>
      <c r="E845" s="31">
        <f>IF($B845="","",IFERROR($A845*$B845,0))</f>
        <v/>
      </c>
      <c r="F845" s="31">
        <f>IF($C845="","",IFERROR($A845*$C845,0))</f>
        <v/>
      </c>
      <c r="G845" s="31">
        <f>IF($B845="","",IFERROR(MAX(0,ayd_netDefter-$E845),0))</f>
        <v/>
      </c>
      <c r="H845" s="31">
        <f>IF($C845="","",IFERROR(MAX(0,ayd_netDefter+ayd_fark-$F845),0))</f>
        <v/>
      </c>
      <c r="I845" s="31">
        <f>IF($A845="","",IF($A845&gt;IFERROR(GIRDI!B12,0),"DIŞI","AKTİF"))</f>
        <v/>
      </c>
    </row>
    <row r="846">
      <c r="B846" s="31">
        <f>IF(OR($A846="",$A846&gt;IFERROR(GIRDI!B12,0)),"",IFERROR(IF(OR(GIRDI!B12="",GIRDI!B12=0),0,ayd_netDefter/GIRDI!B12),0))</f>
        <v/>
      </c>
      <c r="C846" s="31">
        <f>IF(OR($A846="",$A846&gt;IFERROR(GIRDI!B12,0)),"",IFERROR(IF(OR(GIRDI!B12="",GIRDI!B12=0),0,(ayd_netDefter+ayd_fark)/GIRDI!B12),0))</f>
        <v/>
      </c>
      <c r="D846" s="31">
        <f>IF($B846="","",IFERROR($C846-$B846,0))</f>
        <v/>
      </c>
      <c r="E846" s="31">
        <f>IF($B846="","",IFERROR($A846*$B846,0))</f>
        <v/>
      </c>
      <c r="F846" s="31">
        <f>IF($C846="","",IFERROR($A846*$C846,0))</f>
        <v/>
      </c>
      <c r="G846" s="31">
        <f>IF($B846="","",IFERROR(MAX(0,ayd_netDefter-$E846),0))</f>
        <v/>
      </c>
      <c r="H846" s="31">
        <f>IF($C846="","",IFERROR(MAX(0,ayd_netDefter+ayd_fark-$F846),0))</f>
        <v/>
      </c>
      <c r="I846" s="31">
        <f>IF($A846="","",IF($A846&gt;IFERROR(GIRDI!B12,0),"DIŞI","AKTİF"))</f>
        <v/>
      </c>
    </row>
    <row r="847">
      <c r="B847" s="31">
        <f>IF(OR($A847="",$A847&gt;IFERROR(GIRDI!B12,0)),"",IFERROR(IF(OR(GIRDI!B12="",GIRDI!B12=0),0,ayd_netDefter/GIRDI!B12),0))</f>
        <v/>
      </c>
      <c r="C847" s="31">
        <f>IF(OR($A847="",$A847&gt;IFERROR(GIRDI!B12,0)),"",IFERROR(IF(OR(GIRDI!B12="",GIRDI!B12=0),0,(ayd_netDefter+ayd_fark)/GIRDI!B12),0))</f>
        <v/>
      </c>
      <c r="D847" s="31">
        <f>IF($B847="","",IFERROR($C847-$B847,0))</f>
        <v/>
      </c>
      <c r="E847" s="31">
        <f>IF($B847="","",IFERROR($A847*$B847,0))</f>
        <v/>
      </c>
      <c r="F847" s="31">
        <f>IF($C847="","",IFERROR($A847*$C847,0))</f>
        <v/>
      </c>
      <c r="G847" s="31">
        <f>IF($B847="","",IFERROR(MAX(0,ayd_netDefter-$E847),0))</f>
        <v/>
      </c>
      <c r="H847" s="31">
        <f>IF($C847="","",IFERROR(MAX(0,ayd_netDefter+ayd_fark-$F847),0))</f>
        <v/>
      </c>
      <c r="I847" s="31">
        <f>IF($A847="","",IF($A847&gt;IFERROR(GIRDI!B12,0),"DIŞI","AKTİF"))</f>
        <v/>
      </c>
    </row>
    <row r="848">
      <c r="B848" s="31">
        <f>IF(OR($A848="",$A848&gt;IFERROR(GIRDI!B12,0)),"",IFERROR(IF(OR(GIRDI!B12="",GIRDI!B12=0),0,ayd_netDefter/GIRDI!B12),0))</f>
        <v/>
      </c>
      <c r="C848" s="31">
        <f>IF(OR($A848="",$A848&gt;IFERROR(GIRDI!B12,0)),"",IFERROR(IF(OR(GIRDI!B12="",GIRDI!B12=0),0,(ayd_netDefter+ayd_fark)/GIRDI!B12),0))</f>
        <v/>
      </c>
      <c r="D848" s="31">
        <f>IF($B848="","",IFERROR($C848-$B848,0))</f>
        <v/>
      </c>
      <c r="E848" s="31">
        <f>IF($B848="","",IFERROR($A848*$B848,0))</f>
        <v/>
      </c>
      <c r="F848" s="31">
        <f>IF($C848="","",IFERROR($A848*$C848,0))</f>
        <v/>
      </c>
      <c r="G848" s="31">
        <f>IF($B848="","",IFERROR(MAX(0,ayd_netDefter-$E848),0))</f>
        <v/>
      </c>
      <c r="H848" s="31">
        <f>IF($C848="","",IFERROR(MAX(0,ayd_netDefter+ayd_fark-$F848),0))</f>
        <v/>
      </c>
      <c r="I848" s="31">
        <f>IF($A848="","",IF($A848&gt;IFERROR(GIRDI!B12,0),"DIŞI","AKTİF"))</f>
        <v/>
      </c>
    </row>
    <row r="849">
      <c r="B849" s="31">
        <f>IF(OR($A849="",$A849&gt;IFERROR(GIRDI!B12,0)),"",IFERROR(IF(OR(GIRDI!B12="",GIRDI!B12=0),0,ayd_netDefter/GIRDI!B12),0))</f>
        <v/>
      </c>
      <c r="C849" s="31">
        <f>IF(OR($A849="",$A849&gt;IFERROR(GIRDI!B12,0)),"",IFERROR(IF(OR(GIRDI!B12="",GIRDI!B12=0),0,(ayd_netDefter+ayd_fark)/GIRDI!B12),0))</f>
        <v/>
      </c>
      <c r="D849" s="31">
        <f>IF($B849="","",IFERROR($C849-$B849,0))</f>
        <v/>
      </c>
      <c r="E849" s="31">
        <f>IF($B849="","",IFERROR($A849*$B849,0))</f>
        <v/>
      </c>
      <c r="F849" s="31">
        <f>IF($C849="","",IFERROR($A849*$C849,0))</f>
        <v/>
      </c>
      <c r="G849" s="31">
        <f>IF($B849="","",IFERROR(MAX(0,ayd_netDefter-$E849),0))</f>
        <v/>
      </c>
      <c r="H849" s="31">
        <f>IF($C849="","",IFERROR(MAX(0,ayd_netDefter+ayd_fark-$F849),0))</f>
        <v/>
      </c>
      <c r="I849" s="31">
        <f>IF($A849="","",IF($A849&gt;IFERROR(GIRDI!B12,0),"DIŞI","AKTİF"))</f>
        <v/>
      </c>
    </row>
    <row r="850">
      <c r="B850" s="31">
        <f>IF(OR($A850="",$A850&gt;IFERROR(GIRDI!B12,0)),"",IFERROR(IF(OR(GIRDI!B12="",GIRDI!B12=0),0,ayd_netDefter/GIRDI!B12),0))</f>
        <v/>
      </c>
      <c r="C850" s="31">
        <f>IF(OR($A850="",$A850&gt;IFERROR(GIRDI!B12,0)),"",IFERROR(IF(OR(GIRDI!B12="",GIRDI!B12=0),0,(ayd_netDefter+ayd_fark)/GIRDI!B12),0))</f>
        <v/>
      </c>
      <c r="D850" s="31">
        <f>IF($B850="","",IFERROR($C850-$B850,0))</f>
        <v/>
      </c>
      <c r="E850" s="31">
        <f>IF($B850="","",IFERROR($A850*$B850,0))</f>
        <v/>
      </c>
      <c r="F850" s="31">
        <f>IF($C850="","",IFERROR($A850*$C850,0))</f>
        <v/>
      </c>
      <c r="G850" s="31">
        <f>IF($B850="","",IFERROR(MAX(0,ayd_netDefter-$E850),0))</f>
        <v/>
      </c>
      <c r="H850" s="31">
        <f>IF($C850="","",IFERROR(MAX(0,ayd_netDefter+ayd_fark-$F850),0))</f>
        <v/>
      </c>
      <c r="I850" s="31">
        <f>IF($A850="","",IF($A850&gt;IFERROR(GIRDI!B12,0),"DIŞI","AKTİF"))</f>
        <v/>
      </c>
    </row>
    <row r="851">
      <c r="B851" s="31">
        <f>IF(OR($A851="",$A851&gt;IFERROR(GIRDI!B12,0)),"",IFERROR(IF(OR(GIRDI!B12="",GIRDI!B12=0),0,ayd_netDefter/GIRDI!B12),0))</f>
        <v/>
      </c>
      <c r="C851" s="31">
        <f>IF(OR($A851="",$A851&gt;IFERROR(GIRDI!B12,0)),"",IFERROR(IF(OR(GIRDI!B12="",GIRDI!B12=0),0,(ayd_netDefter+ayd_fark)/GIRDI!B12),0))</f>
        <v/>
      </c>
      <c r="D851" s="31">
        <f>IF($B851="","",IFERROR($C851-$B851,0))</f>
        <v/>
      </c>
      <c r="E851" s="31">
        <f>IF($B851="","",IFERROR($A851*$B851,0))</f>
        <v/>
      </c>
      <c r="F851" s="31">
        <f>IF($C851="","",IFERROR($A851*$C851,0))</f>
        <v/>
      </c>
      <c r="G851" s="31">
        <f>IF($B851="","",IFERROR(MAX(0,ayd_netDefter-$E851),0))</f>
        <v/>
      </c>
      <c r="H851" s="31">
        <f>IF($C851="","",IFERROR(MAX(0,ayd_netDefter+ayd_fark-$F851),0))</f>
        <v/>
      </c>
      <c r="I851" s="31">
        <f>IF($A851="","",IF($A851&gt;IFERROR(GIRDI!B12,0),"DIŞI","AKTİF"))</f>
        <v/>
      </c>
    </row>
    <row r="852">
      <c r="B852" s="31">
        <f>IF(OR($A852="",$A852&gt;IFERROR(GIRDI!B12,0)),"",IFERROR(IF(OR(GIRDI!B12="",GIRDI!B12=0),0,ayd_netDefter/GIRDI!B12),0))</f>
        <v/>
      </c>
      <c r="C852" s="31">
        <f>IF(OR($A852="",$A852&gt;IFERROR(GIRDI!B12,0)),"",IFERROR(IF(OR(GIRDI!B12="",GIRDI!B12=0),0,(ayd_netDefter+ayd_fark)/GIRDI!B12),0))</f>
        <v/>
      </c>
      <c r="D852" s="31">
        <f>IF($B852="","",IFERROR($C852-$B852,0))</f>
        <v/>
      </c>
      <c r="E852" s="31">
        <f>IF($B852="","",IFERROR($A852*$B852,0))</f>
        <v/>
      </c>
      <c r="F852" s="31">
        <f>IF($C852="","",IFERROR($A852*$C852,0))</f>
        <v/>
      </c>
      <c r="G852" s="31">
        <f>IF($B852="","",IFERROR(MAX(0,ayd_netDefter-$E852),0))</f>
        <v/>
      </c>
      <c r="H852" s="31">
        <f>IF($C852="","",IFERROR(MAX(0,ayd_netDefter+ayd_fark-$F852),0))</f>
        <v/>
      </c>
      <c r="I852" s="31">
        <f>IF($A852="","",IF($A852&gt;IFERROR(GIRDI!B12,0),"DIŞI","AKTİF"))</f>
        <v/>
      </c>
    </row>
    <row r="853">
      <c r="B853" s="31">
        <f>IF(OR($A853="",$A853&gt;IFERROR(GIRDI!B12,0)),"",IFERROR(IF(OR(GIRDI!B12="",GIRDI!B12=0),0,ayd_netDefter/GIRDI!B12),0))</f>
        <v/>
      </c>
      <c r="C853" s="31">
        <f>IF(OR($A853="",$A853&gt;IFERROR(GIRDI!B12,0)),"",IFERROR(IF(OR(GIRDI!B12="",GIRDI!B12=0),0,(ayd_netDefter+ayd_fark)/GIRDI!B12),0))</f>
        <v/>
      </c>
      <c r="D853" s="31">
        <f>IF($B853="","",IFERROR($C853-$B853,0))</f>
        <v/>
      </c>
      <c r="E853" s="31">
        <f>IF($B853="","",IFERROR($A853*$B853,0))</f>
        <v/>
      </c>
      <c r="F853" s="31">
        <f>IF($C853="","",IFERROR($A853*$C853,0))</f>
        <v/>
      </c>
      <c r="G853" s="31">
        <f>IF($B853="","",IFERROR(MAX(0,ayd_netDefter-$E853),0))</f>
        <v/>
      </c>
      <c r="H853" s="31">
        <f>IF($C853="","",IFERROR(MAX(0,ayd_netDefter+ayd_fark-$F853),0))</f>
        <v/>
      </c>
      <c r="I853" s="31">
        <f>IF($A853="","",IF($A853&gt;IFERROR(GIRDI!B12,0),"DIŞI","AKTİF"))</f>
        <v/>
      </c>
    </row>
    <row r="854">
      <c r="B854" s="31">
        <f>IF(OR($A854="",$A854&gt;IFERROR(GIRDI!B12,0)),"",IFERROR(IF(OR(GIRDI!B12="",GIRDI!B12=0),0,ayd_netDefter/GIRDI!B12),0))</f>
        <v/>
      </c>
      <c r="C854" s="31">
        <f>IF(OR($A854="",$A854&gt;IFERROR(GIRDI!B12,0)),"",IFERROR(IF(OR(GIRDI!B12="",GIRDI!B12=0),0,(ayd_netDefter+ayd_fark)/GIRDI!B12),0))</f>
        <v/>
      </c>
      <c r="D854" s="31">
        <f>IF($B854="","",IFERROR($C854-$B854,0))</f>
        <v/>
      </c>
      <c r="E854" s="31">
        <f>IF($B854="","",IFERROR($A854*$B854,0))</f>
        <v/>
      </c>
      <c r="F854" s="31">
        <f>IF($C854="","",IFERROR($A854*$C854,0))</f>
        <v/>
      </c>
      <c r="G854" s="31">
        <f>IF($B854="","",IFERROR(MAX(0,ayd_netDefter-$E854),0))</f>
        <v/>
      </c>
      <c r="H854" s="31">
        <f>IF($C854="","",IFERROR(MAX(0,ayd_netDefter+ayd_fark-$F854),0))</f>
        <v/>
      </c>
      <c r="I854" s="31">
        <f>IF($A854="","",IF($A854&gt;IFERROR(GIRDI!B12,0),"DIŞI","AKTİF"))</f>
        <v/>
      </c>
    </row>
    <row r="855">
      <c r="B855" s="31">
        <f>IF(OR($A855="",$A855&gt;IFERROR(GIRDI!B12,0)),"",IFERROR(IF(OR(GIRDI!B12="",GIRDI!B12=0),0,ayd_netDefter/GIRDI!B12),0))</f>
        <v/>
      </c>
      <c r="C855" s="31">
        <f>IF(OR($A855="",$A855&gt;IFERROR(GIRDI!B12,0)),"",IFERROR(IF(OR(GIRDI!B12="",GIRDI!B12=0),0,(ayd_netDefter+ayd_fark)/GIRDI!B12),0))</f>
        <v/>
      </c>
      <c r="D855" s="31">
        <f>IF($B855="","",IFERROR($C855-$B855,0))</f>
        <v/>
      </c>
      <c r="E855" s="31">
        <f>IF($B855="","",IFERROR($A855*$B855,0))</f>
        <v/>
      </c>
      <c r="F855" s="31">
        <f>IF($C855="","",IFERROR($A855*$C855,0))</f>
        <v/>
      </c>
      <c r="G855" s="31">
        <f>IF($B855="","",IFERROR(MAX(0,ayd_netDefter-$E855),0))</f>
        <v/>
      </c>
      <c r="H855" s="31">
        <f>IF($C855="","",IFERROR(MAX(0,ayd_netDefter+ayd_fark-$F855),0))</f>
        <v/>
      </c>
      <c r="I855" s="31">
        <f>IF($A855="","",IF($A855&gt;IFERROR(GIRDI!B12,0),"DIŞI","AKTİF"))</f>
        <v/>
      </c>
    </row>
    <row r="856">
      <c r="B856" s="31">
        <f>IF(OR($A856="",$A856&gt;IFERROR(GIRDI!B12,0)),"",IFERROR(IF(OR(GIRDI!B12="",GIRDI!B12=0),0,ayd_netDefter/GIRDI!B12),0))</f>
        <v/>
      </c>
      <c r="C856" s="31">
        <f>IF(OR($A856="",$A856&gt;IFERROR(GIRDI!B12,0)),"",IFERROR(IF(OR(GIRDI!B12="",GIRDI!B12=0),0,(ayd_netDefter+ayd_fark)/GIRDI!B12),0))</f>
        <v/>
      </c>
      <c r="D856" s="31">
        <f>IF($B856="","",IFERROR($C856-$B856,0))</f>
        <v/>
      </c>
      <c r="E856" s="31">
        <f>IF($B856="","",IFERROR($A856*$B856,0))</f>
        <v/>
      </c>
      <c r="F856" s="31">
        <f>IF($C856="","",IFERROR($A856*$C856,0))</f>
        <v/>
      </c>
      <c r="G856" s="31">
        <f>IF($B856="","",IFERROR(MAX(0,ayd_netDefter-$E856),0))</f>
        <v/>
      </c>
      <c r="H856" s="31">
        <f>IF($C856="","",IFERROR(MAX(0,ayd_netDefter+ayd_fark-$F856),0))</f>
        <v/>
      </c>
      <c r="I856" s="31">
        <f>IF($A856="","",IF($A856&gt;IFERROR(GIRDI!B12,0),"DIŞI","AKTİF"))</f>
        <v/>
      </c>
    </row>
    <row r="857">
      <c r="B857" s="31">
        <f>IF(OR($A857="",$A857&gt;IFERROR(GIRDI!B12,0)),"",IFERROR(IF(OR(GIRDI!B12="",GIRDI!B12=0),0,ayd_netDefter/GIRDI!B12),0))</f>
        <v/>
      </c>
      <c r="C857" s="31">
        <f>IF(OR($A857="",$A857&gt;IFERROR(GIRDI!B12,0)),"",IFERROR(IF(OR(GIRDI!B12="",GIRDI!B12=0),0,(ayd_netDefter+ayd_fark)/GIRDI!B12),0))</f>
        <v/>
      </c>
      <c r="D857" s="31">
        <f>IF($B857="","",IFERROR($C857-$B857,0))</f>
        <v/>
      </c>
      <c r="E857" s="31">
        <f>IF($B857="","",IFERROR($A857*$B857,0))</f>
        <v/>
      </c>
      <c r="F857" s="31">
        <f>IF($C857="","",IFERROR($A857*$C857,0))</f>
        <v/>
      </c>
      <c r="G857" s="31">
        <f>IF($B857="","",IFERROR(MAX(0,ayd_netDefter-$E857),0))</f>
        <v/>
      </c>
      <c r="H857" s="31">
        <f>IF($C857="","",IFERROR(MAX(0,ayd_netDefter+ayd_fark-$F857),0))</f>
        <v/>
      </c>
      <c r="I857" s="31">
        <f>IF($A857="","",IF($A857&gt;IFERROR(GIRDI!B12,0),"DIŞI","AKTİF"))</f>
        <v/>
      </c>
    </row>
    <row r="858">
      <c r="B858" s="31">
        <f>IF(OR($A858="",$A858&gt;IFERROR(GIRDI!B12,0)),"",IFERROR(IF(OR(GIRDI!B12="",GIRDI!B12=0),0,ayd_netDefter/GIRDI!B12),0))</f>
        <v/>
      </c>
      <c r="C858" s="31">
        <f>IF(OR($A858="",$A858&gt;IFERROR(GIRDI!B12,0)),"",IFERROR(IF(OR(GIRDI!B12="",GIRDI!B12=0),0,(ayd_netDefter+ayd_fark)/GIRDI!B12),0))</f>
        <v/>
      </c>
      <c r="D858" s="31">
        <f>IF($B858="","",IFERROR($C858-$B858,0))</f>
        <v/>
      </c>
      <c r="E858" s="31">
        <f>IF($B858="","",IFERROR($A858*$B858,0))</f>
        <v/>
      </c>
      <c r="F858" s="31">
        <f>IF($C858="","",IFERROR($A858*$C858,0))</f>
        <v/>
      </c>
      <c r="G858" s="31">
        <f>IF($B858="","",IFERROR(MAX(0,ayd_netDefter-$E858),0))</f>
        <v/>
      </c>
      <c r="H858" s="31">
        <f>IF($C858="","",IFERROR(MAX(0,ayd_netDefter+ayd_fark-$F858),0))</f>
        <v/>
      </c>
      <c r="I858" s="31">
        <f>IF($A858="","",IF($A858&gt;IFERROR(GIRDI!B12,0),"DIŞI","AKTİF"))</f>
        <v/>
      </c>
    </row>
    <row r="859">
      <c r="B859" s="31">
        <f>IF(OR($A859="",$A859&gt;IFERROR(GIRDI!B12,0)),"",IFERROR(IF(OR(GIRDI!B12="",GIRDI!B12=0),0,ayd_netDefter/GIRDI!B12),0))</f>
        <v/>
      </c>
      <c r="C859" s="31">
        <f>IF(OR($A859="",$A859&gt;IFERROR(GIRDI!B12,0)),"",IFERROR(IF(OR(GIRDI!B12="",GIRDI!B12=0),0,(ayd_netDefter+ayd_fark)/GIRDI!B12),0))</f>
        <v/>
      </c>
      <c r="D859" s="31">
        <f>IF($B859="","",IFERROR($C859-$B859,0))</f>
        <v/>
      </c>
      <c r="E859" s="31">
        <f>IF($B859="","",IFERROR($A859*$B859,0))</f>
        <v/>
      </c>
      <c r="F859" s="31">
        <f>IF($C859="","",IFERROR($A859*$C859,0))</f>
        <v/>
      </c>
      <c r="G859" s="31">
        <f>IF($B859="","",IFERROR(MAX(0,ayd_netDefter-$E859),0))</f>
        <v/>
      </c>
      <c r="H859" s="31">
        <f>IF($C859="","",IFERROR(MAX(0,ayd_netDefter+ayd_fark-$F859),0))</f>
        <v/>
      </c>
      <c r="I859" s="31">
        <f>IF($A859="","",IF($A859&gt;IFERROR(GIRDI!B12,0),"DIŞI","AKTİF"))</f>
        <v/>
      </c>
    </row>
    <row r="860">
      <c r="B860" s="31">
        <f>IF(OR($A860="",$A860&gt;IFERROR(GIRDI!B12,0)),"",IFERROR(IF(OR(GIRDI!B12="",GIRDI!B12=0),0,ayd_netDefter/GIRDI!B12),0))</f>
        <v/>
      </c>
      <c r="C860" s="31">
        <f>IF(OR($A860="",$A860&gt;IFERROR(GIRDI!B12,0)),"",IFERROR(IF(OR(GIRDI!B12="",GIRDI!B12=0),0,(ayd_netDefter+ayd_fark)/GIRDI!B12),0))</f>
        <v/>
      </c>
      <c r="D860" s="31">
        <f>IF($B860="","",IFERROR($C860-$B860,0))</f>
        <v/>
      </c>
      <c r="E860" s="31">
        <f>IF($B860="","",IFERROR($A860*$B860,0))</f>
        <v/>
      </c>
      <c r="F860" s="31">
        <f>IF($C860="","",IFERROR($A860*$C860,0))</f>
        <v/>
      </c>
      <c r="G860" s="31">
        <f>IF($B860="","",IFERROR(MAX(0,ayd_netDefter-$E860),0))</f>
        <v/>
      </c>
      <c r="H860" s="31">
        <f>IF($C860="","",IFERROR(MAX(0,ayd_netDefter+ayd_fark-$F860),0))</f>
        <v/>
      </c>
      <c r="I860" s="31">
        <f>IF($A860="","",IF($A860&gt;IFERROR(GIRDI!B12,0),"DIŞI","AKTİF"))</f>
        <v/>
      </c>
    </row>
    <row r="861">
      <c r="B861" s="31">
        <f>IF(OR($A861="",$A861&gt;IFERROR(GIRDI!B12,0)),"",IFERROR(IF(OR(GIRDI!B12="",GIRDI!B12=0),0,ayd_netDefter/GIRDI!B12),0))</f>
        <v/>
      </c>
      <c r="C861" s="31">
        <f>IF(OR($A861="",$A861&gt;IFERROR(GIRDI!B12,0)),"",IFERROR(IF(OR(GIRDI!B12="",GIRDI!B12=0),0,(ayd_netDefter+ayd_fark)/GIRDI!B12),0))</f>
        <v/>
      </c>
      <c r="D861" s="31">
        <f>IF($B861="","",IFERROR($C861-$B861,0))</f>
        <v/>
      </c>
      <c r="E861" s="31">
        <f>IF($B861="","",IFERROR($A861*$B861,0))</f>
        <v/>
      </c>
      <c r="F861" s="31">
        <f>IF($C861="","",IFERROR($A861*$C861,0))</f>
        <v/>
      </c>
      <c r="G861" s="31">
        <f>IF($B861="","",IFERROR(MAX(0,ayd_netDefter-$E861),0))</f>
        <v/>
      </c>
      <c r="H861" s="31">
        <f>IF($C861="","",IFERROR(MAX(0,ayd_netDefter+ayd_fark-$F861),0))</f>
        <v/>
      </c>
      <c r="I861" s="31">
        <f>IF($A861="","",IF($A861&gt;IFERROR(GIRDI!B12,0),"DIŞI","AKTİF"))</f>
        <v/>
      </c>
    </row>
    <row r="862">
      <c r="B862" s="31">
        <f>IF(OR($A862="",$A862&gt;IFERROR(GIRDI!B12,0)),"",IFERROR(IF(OR(GIRDI!B12="",GIRDI!B12=0),0,ayd_netDefter/GIRDI!B12),0))</f>
        <v/>
      </c>
      <c r="C862" s="31">
        <f>IF(OR($A862="",$A862&gt;IFERROR(GIRDI!B12,0)),"",IFERROR(IF(OR(GIRDI!B12="",GIRDI!B12=0),0,(ayd_netDefter+ayd_fark)/GIRDI!B12),0))</f>
        <v/>
      </c>
      <c r="D862" s="31">
        <f>IF($B862="","",IFERROR($C862-$B862,0))</f>
        <v/>
      </c>
      <c r="E862" s="31">
        <f>IF($B862="","",IFERROR($A862*$B862,0))</f>
        <v/>
      </c>
      <c r="F862" s="31">
        <f>IF($C862="","",IFERROR($A862*$C862,0))</f>
        <v/>
      </c>
      <c r="G862" s="31">
        <f>IF($B862="","",IFERROR(MAX(0,ayd_netDefter-$E862),0))</f>
        <v/>
      </c>
      <c r="H862" s="31">
        <f>IF($C862="","",IFERROR(MAX(0,ayd_netDefter+ayd_fark-$F862),0))</f>
        <v/>
      </c>
      <c r="I862" s="31">
        <f>IF($A862="","",IF($A862&gt;IFERROR(GIRDI!B12,0),"DIŞI","AKTİF"))</f>
        <v/>
      </c>
    </row>
    <row r="863">
      <c r="B863" s="31">
        <f>IF(OR($A863="",$A863&gt;IFERROR(GIRDI!B12,0)),"",IFERROR(IF(OR(GIRDI!B12="",GIRDI!B12=0),0,ayd_netDefter/GIRDI!B12),0))</f>
        <v/>
      </c>
      <c r="C863" s="31">
        <f>IF(OR($A863="",$A863&gt;IFERROR(GIRDI!B12,0)),"",IFERROR(IF(OR(GIRDI!B12="",GIRDI!B12=0),0,(ayd_netDefter+ayd_fark)/GIRDI!B12),0))</f>
        <v/>
      </c>
      <c r="D863" s="31">
        <f>IF($B863="","",IFERROR($C863-$B863,0))</f>
        <v/>
      </c>
      <c r="E863" s="31">
        <f>IF($B863="","",IFERROR($A863*$B863,0))</f>
        <v/>
      </c>
      <c r="F863" s="31">
        <f>IF($C863="","",IFERROR($A863*$C863,0))</f>
        <v/>
      </c>
      <c r="G863" s="31">
        <f>IF($B863="","",IFERROR(MAX(0,ayd_netDefter-$E863),0))</f>
        <v/>
      </c>
      <c r="H863" s="31">
        <f>IF($C863="","",IFERROR(MAX(0,ayd_netDefter+ayd_fark-$F863),0))</f>
        <v/>
      </c>
      <c r="I863" s="31">
        <f>IF($A863="","",IF($A863&gt;IFERROR(GIRDI!B12,0),"DIŞI","AKTİF"))</f>
        <v/>
      </c>
    </row>
    <row r="864">
      <c r="B864" s="31">
        <f>IF(OR($A864="",$A864&gt;IFERROR(GIRDI!B12,0)),"",IFERROR(IF(OR(GIRDI!B12="",GIRDI!B12=0),0,ayd_netDefter/GIRDI!B12),0))</f>
        <v/>
      </c>
      <c r="C864" s="31">
        <f>IF(OR($A864="",$A864&gt;IFERROR(GIRDI!B12,0)),"",IFERROR(IF(OR(GIRDI!B12="",GIRDI!B12=0),0,(ayd_netDefter+ayd_fark)/GIRDI!B12),0))</f>
        <v/>
      </c>
      <c r="D864" s="31">
        <f>IF($B864="","",IFERROR($C864-$B864,0))</f>
        <v/>
      </c>
      <c r="E864" s="31">
        <f>IF($B864="","",IFERROR($A864*$B864,0))</f>
        <v/>
      </c>
      <c r="F864" s="31">
        <f>IF($C864="","",IFERROR($A864*$C864,0))</f>
        <v/>
      </c>
      <c r="G864" s="31">
        <f>IF($B864="","",IFERROR(MAX(0,ayd_netDefter-$E864),0))</f>
        <v/>
      </c>
      <c r="H864" s="31">
        <f>IF($C864="","",IFERROR(MAX(0,ayd_netDefter+ayd_fark-$F864),0))</f>
        <v/>
      </c>
      <c r="I864" s="31">
        <f>IF($A864="","",IF($A864&gt;IFERROR(GIRDI!B12,0),"DIŞI","AKTİF"))</f>
        <v/>
      </c>
    </row>
    <row r="865">
      <c r="B865" s="31">
        <f>IF(OR($A865="",$A865&gt;IFERROR(GIRDI!B12,0)),"",IFERROR(IF(OR(GIRDI!B12="",GIRDI!B12=0),0,ayd_netDefter/GIRDI!B12),0))</f>
        <v/>
      </c>
      <c r="C865" s="31">
        <f>IF(OR($A865="",$A865&gt;IFERROR(GIRDI!B12,0)),"",IFERROR(IF(OR(GIRDI!B12="",GIRDI!B12=0),0,(ayd_netDefter+ayd_fark)/GIRDI!B12),0))</f>
        <v/>
      </c>
      <c r="D865" s="31">
        <f>IF($B865="","",IFERROR($C865-$B865,0))</f>
        <v/>
      </c>
      <c r="E865" s="31">
        <f>IF($B865="","",IFERROR($A865*$B865,0))</f>
        <v/>
      </c>
      <c r="F865" s="31">
        <f>IF($C865="","",IFERROR($A865*$C865,0))</f>
        <v/>
      </c>
      <c r="G865" s="31">
        <f>IF($B865="","",IFERROR(MAX(0,ayd_netDefter-$E865),0))</f>
        <v/>
      </c>
      <c r="H865" s="31">
        <f>IF($C865="","",IFERROR(MAX(0,ayd_netDefter+ayd_fark-$F865),0))</f>
        <v/>
      </c>
      <c r="I865" s="31">
        <f>IF($A865="","",IF($A865&gt;IFERROR(GIRDI!B12,0),"DIŞI","AKTİF"))</f>
        <v/>
      </c>
    </row>
    <row r="866">
      <c r="B866" s="31">
        <f>IF(OR($A866="",$A866&gt;IFERROR(GIRDI!B12,0)),"",IFERROR(IF(OR(GIRDI!B12="",GIRDI!B12=0),0,ayd_netDefter/GIRDI!B12),0))</f>
        <v/>
      </c>
      <c r="C866" s="31">
        <f>IF(OR($A866="",$A866&gt;IFERROR(GIRDI!B12,0)),"",IFERROR(IF(OR(GIRDI!B12="",GIRDI!B12=0),0,(ayd_netDefter+ayd_fark)/GIRDI!B12),0))</f>
        <v/>
      </c>
      <c r="D866" s="31">
        <f>IF($B866="","",IFERROR($C866-$B866,0))</f>
        <v/>
      </c>
      <c r="E866" s="31">
        <f>IF($B866="","",IFERROR($A866*$B866,0))</f>
        <v/>
      </c>
      <c r="F866" s="31">
        <f>IF($C866="","",IFERROR($A866*$C866,0))</f>
        <v/>
      </c>
      <c r="G866" s="31">
        <f>IF($B866="","",IFERROR(MAX(0,ayd_netDefter-$E866),0))</f>
        <v/>
      </c>
      <c r="H866" s="31">
        <f>IF($C866="","",IFERROR(MAX(0,ayd_netDefter+ayd_fark-$F866),0))</f>
        <v/>
      </c>
      <c r="I866" s="31">
        <f>IF($A866="","",IF($A866&gt;IFERROR(GIRDI!B12,0),"DIŞI","AKTİF"))</f>
        <v/>
      </c>
    </row>
    <row r="867">
      <c r="B867" s="31">
        <f>IF(OR($A867="",$A867&gt;IFERROR(GIRDI!B12,0)),"",IFERROR(IF(OR(GIRDI!B12="",GIRDI!B12=0),0,ayd_netDefter/GIRDI!B12),0))</f>
        <v/>
      </c>
      <c r="C867" s="31">
        <f>IF(OR($A867="",$A867&gt;IFERROR(GIRDI!B12,0)),"",IFERROR(IF(OR(GIRDI!B12="",GIRDI!B12=0),0,(ayd_netDefter+ayd_fark)/GIRDI!B12),0))</f>
        <v/>
      </c>
      <c r="D867" s="31">
        <f>IF($B867="","",IFERROR($C867-$B867,0))</f>
        <v/>
      </c>
      <c r="E867" s="31">
        <f>IF($B867="","",IFERROR($A867*$B867,0))</f>
        <v/>
      </c>
      <c r="F867" s="31">
        <f>IF($C867="","",IFERROR($A867*$C867,0))</f>
        <v/>
      </c>
      <c r="G867" s="31">
        <f>IF($B867="","",IFERROR(MAX(0,ayd_netDefter-$E867),0))</f>
        <v/>
      </c>
      <c r="H867" s="31">
        <f>IF($C867="","",IFERROR(MAX(0,ayd_netDefter+ayd_fark-$F867),0))</f>
        <v/>
      </c>
      <c r="I867" s="31">
        <f>IF($A867="","",IF($A867&gt;IFERROR(GIRDI!B12,0),"DIŞI","AKTİF"))</f>
        <v/>
      </c>
    </row>
    <row r="868">
      <c r="B868" s="31">
        <f>IF(OR($A868="",$A868&gt;IFERROR(GIRDI!B12,0)),"",IFERROR(IF(OR(GIRDI!B12="",GIRDI!B12=0),0,ayd_netDefter/GIRDI!B12),0))</f>
        <v/>
      </c>
      <c r="C868" s="31">
        <f>IF(OR($A868="",$A868&gt;IFERROR(GIRDI!B12,0)),"",IFERROR(IF(OR(GIRDI!B12="",GIRDI!B12=0),0,(ayd_netDefter+ayd_fark)/GIRDI!B12),0))</f>
        <v/>
      </c>
      <c r="D868" s="31">
        <f>IF($B868="","",IFERROR($C868-$B868,0))</f>
        <v/>
      </c>
      <c r="E868" s="31">
        <f>IF($B868="","",IFERROR($A868*$B868,0))</f>
        <v/>
      </c>
      <c r="F868" s="31">
        <f>IF($C868="","",IFERROR($A868*$C868,0))</f>
        <v/>
      </c>
      <c r="G868" s="31">
        <f>IF($B868="","",IFERROR(MAX(0,ayd_netDefter-$E868),0))</f>
        <v/>
      </c>
      <c r="H868" s="31">
        <f>IF($C868="","",IFERROR(MAX(0,ayd_netDefter+ayd_fark-$F868),0))</f>
        <v/>
      </c>
      <c r="I868" s="31">
        <f>IF($A868="","",IF($A868&gt;IFERROR(GIRDI!B12,0),"DIŞI","AKTİF"))</f>
        <v/>
      </c>
    </row>
    <row r="869">
      <c r="B869" s="31">
        <f>IF(OR($A869="",$A869&gt;IFERROR(GIRDI!B12,0)),"",IFERROR(IF(OR(GIRDI!B12="",GIRDI!B12=0),0,ayd_netDefter/GIRDI!B12),0))</f>
        <v/>
      </c>
      <c r="C869" s="31">
        <f>IF(OR($A869="",$A869&gt;IFERROR(GIRDI!B12,0)),"",IFERROR(IF(OR(GIRDI!B12="",GIRDI!B12=0),0,(ayd_netDefter+ayd_fark)/GIRDI!B12),0))</f>
        <v/>
      </c>
      <c r="D869" s="31">
        <f>IF($B869="","",IFERROR($C869-$B869,0))</f>
        <v/>
      </c>
      <c r="E869" s="31">
        <f>IF($B869="","",IFERROR($A869*$B869,0))</f>
        <v/>
      </c>
      <c r="F869" s="31">
        <f>IF($C869="","",IFERROR($A869*$C869,0))</f>
        <v/>
      </c>
      <c r="G869" s="31">
        <f>IF($B869="","",IFERROR(MAX(0,ayd_netDefter-$E869),0))</f>
        <v/>
      </c>
      <c r="H869" s="31">
        <f>IF($C869="","",IFERROR(MAX(0,ayd_netDefter+ayd_fark-$F869),0))</f>
        <v/>
      </c>
      <c r="I869" s="31">
        <f>IF($A869="","",IF($A869&gt;IFERROR(GIRDI!B12,0),"DIŞI","AKTİF"))</f>
        <v/>
      </c>
    </row>
    <row r="870">
      <c r="B870" s="31">
        <f>IF(OR($A870="",$A870&gt;IFERROR(GIRDI!B12,0)),"",IFERROR(IF(OR(GIRDI!B12="",GIRDI!B12=0),0,ayd_netDefter/GIRDI!B12),0))</f>
        <v/>
      </c>
      <c r="C870" s="31">
        <f>IF(OR($A870="",$A870&gt;IFERROR(GIRDI!B12,0)),"",IFERROR(IF(OR(GIRDI!B12="",GIRDI!B12=0),0,(ayd_netDefter+ayd_fark)/GIRDI!B12),0))</f>
        <v/>
      </c>
      <c r="D870" s="31">
        <f>IF($B870="","",IFERROR($C870-$B870,0))</f>
        <v/>
      </c>
      <c r="E870" s="31">
        <f>IF($B870="","",IFERROR($A870*$B870,0))</f>
        <v/>
      </c>
      <c r="F870" s="31">
        <f>IF($C870="","",IFERROR($A870*$C870,0))</f>
        <v/>
      </c>
      <c r="G870" s="31">
        <f>IF($B870="","",IFERROR(MAX(0,ayd_netDefter-$E870),0))</f>
        <v/>
      </c>
      <c r="H870" s="31">
        <f>IF($C870="","",IFERROR(MAX(0,ayd_netDefter+ayd_fark-$F870),0))</f>
        <v/>
      </c>
      <c r="I870" s="31">
        <f>IF($A870="","",IF($A870&gt;IFERROR(GIRDI!B12,0),"DIŞI","AKTİF"))</f>
        <v/>
      </c>
    </row>
    <row r="871">
      <c r="B871" s="31">
        <f>IF(OR($A871="",$A871&gt;IFERROR(GIRDI!B12,0)),"",IFERROR(IF(OR(GIRDI!B12="",GIRDI!B12=0),0,ayd_netDefter/GIRDI!B12),0))</f>
        <v/>
      </c>
      <c r="C871" s="31">
        <f>IF(OR($A871="",$A871&gt;IFERROR(GIRDI!B12,0)),"",IFERROR(IF(OR(GIRDI!B12="",GIRDI!B12=0),0,(ayd_netDefter+ayd_fark)/GIRDI!B12),0))</f>
        <v/>
      </c>
      <c r="D871" s="31">
        <f>IF($B871="","",IFERROR($C871-$B871,0))</f>
        <v/>
      </c>
      <c r="E871" s="31">
        <f>IF($B871="","",IFERROR($A871*$B871,0))</f>
        <v/>
      </c>
      <c r="F871" s="31">
        <f>IF($C871="","",IFERROR($A871*$C871,0))</f>
        <v/>
      </c>
      <c r="G871" s="31">
        <f>IF($B871="","",IFERROR(MAX(0,ayd_netDefter-$E871),0))</f>
        <v/>
      </c>
      <c r="H871" s="31">
        <f>IF($C871="","",IFERROR(MAX(0,ayd_netDefter+ayd_fark-$F871),0))</f>
        <v/>
      </c>
      <c r="I871" s="31">
        <f>IF($A871="","",IF($A871&gt;IFERROR(GIRDI!B12,0),"DIŞI","AKTİF"))</f>
        <v/>
      </c>
    </row>
    <row r="872">
      <c r="B872" s="31">
        <f>IF(OR($A872="",$A872&gt;IFERROR(GIRDI!B12,0)),"",IFERROR(IF(OR(GIRDI!B12="",GIRDI!B12=0),0,ayd_netDefter/GIRDI!B12),0))</f>
        <v/>
      </c>
      <c r="C872" s="31">
        <f>IF(OR($A872="",$A872&gt;IFERROR(GIRDI!B12,0)),"",IFERROR(IF(OR(GIRDI!B12="",GIRDI!B12=0),0,(ayd_netDefter+ayd_fark)/GIRDI!B12),0))</f>
        <v/>
      </c>
      <c r="D872" s="31">
        <f>IF($B872="","",IFERROR($C872-$B872,0))</f>
        <v/>
      </c>
      <c r="E872" s="31">
        <f>IF($B872="","",IFERROR($A872*$B872,0))</f>
        <v/>
      </c>
      <c r="F872" s="31">
        <f>IF($C872="","",IFERROR($A872*$C872,0))</f>
        <v/>
      </c>
      <c r="G872" s="31">
        <f>IF($B872="","",IFERROR(MAX(0,ayd_netDefter-$E872),0))</f>
        <v/>
      </c>
      <c r="H872" s="31">
        <f>IF($C872="","",IFERROR(MAX(0,ayd_netDefter+ayd_fark-$F872),0))</f>
        <v/>
      </c>
      <c r="I872" s="31">
        <f>IF($A872="","",IF($A872&gt;IFERROR(GIRDI!B12,0),"DIŞI","AKTİF"))</f>
        <v/>
      </c>
    </row>
    <row r="873">
      <c r="B873" s="31">
        <f>IF(OR($A873="",$A873&gt;IFERROR(GIRDI!B12,0)),"",IFERROR(IF(OR(GIRDI!B12="",GIRDI!B12=0),0,ayd_netDefter/GIRDI!B12),0))</f>
        <v/>
      </c>
      <c r="C873" s="31">
        <f>IF(OR($A873="",$A873&gt;IFERROR(GIRDI!B12,0)),"",IFERROR(IF(OR(GIRDI!B12="",GIRDI!B12=0),0,(ayd_netDefter+ayd_fark)/GIRDI!B12),0))</f>
        <v/>
      </c>
      <c r="D873" s="31">
        <f>IF($B873="","",IFERROR($C873-$B873,0))</f>
        <v/>
      </c>
      <c r="E873" s="31">
        <f>IF($B873="","",IFERROR($A873*$B873,0))</f>
        <v/>
      </c>
      <c r="F873" s="31">
        <f>IF($C873="","",IFERROR($A873*$C873,0))</f>
        <v/>
      </c>
      <c r="G873" s="31">
        <f>IF($B873="","",IFERROR(MAX(0,ayd_netDefter-$E873),0))</f>
        <v/>
      </c>
      <c r="H873" s="31">
        <f>IF($C873="","",IFERROR(MAX(0,ayd_netDefter+ayd_fark-$F873),0))</f>
        <v/>
      </c>
      <c r="I873" s="31">
        <f>IF($A873="","",IF($A873&gt;IFERROR(GIRDI!B12,0),"DIŞI","AKTİF"))</f>
        <v/>
      </c>
    </row>
    <row r="874">
      <c r="B874" s="31">
        <f>IF(OR($A874="",$A874&gt;IFERROR(GIRDI!B12,0)),"",IFERROR(IF(OR(GIRDI!B12="",GIRDI!B12=0),0,ayd_netDefter/GIRDI!B12),0))</f>
        <v/>
      </c>
      <c r="C874" s="31">
        <f>IF(OR($A874="",$A874&gt;IFERROR(GIRDI!B12,0)),"",IFERROR(IF(OR(GIRDI!B12="",GIRDI!B12=0),0,(ayd_netDefter+ayd_fark)/GIRDI!B12),0))</f>
        <v/>
      </c>
      <c r="D874" s="31">
        <f>IF($B874="","",IFERROR($C874-$B874,0))</f>
        <v/>
      </c>
      <c r="E874" s="31">
        <f>IF($B874="","",IFERROR($A874*$B874,0))</f>
        <v/>
      </c>
      <c r="F874" s="31">
        <f>IF($C874="","",IFERROR($A874*$C874,0))</f>
        <v/>
      </c>
      <c r="G874" s="31">
        <f>IF($B874="","",IFERROR(MAX(0,ayd_netDefter-$E874),0))</f>
        <v/>
      </c>
      <c r="H874" s="31">
        <f>IF($C874="","",IFERROR(MAX(0,ayd_netDefter+ayd_fark-$F874),0))</f>
        <v/>
      </c>
      <c r="I874" s="31">
        <f>IF($A874="","",IF($A874&gt;IFERROR(GIRDI!B12,0),"DIŞI","AKTİF"))</f>
        <v/>
      </c>
    </row>
    <row r="875">
      <c r="B875" s="31">
        <f>IF(OR($A875="",$A875&gt;IFERROR(GIRDI!B12,0)),"",IFERROR(IF(OR(GIRDI!B12="",GIRDI!B12=0),0,ayd_netDefter/GIRDI!B12),0))</f>
        <v/>
      </c>
      <c r="C875" s="31">
        <f>IF(OR($A875="",$A875&gt;IFERROR(GIRDI!B12,0)),"",IFERROR(IF(OR(GIRDI!B12="",GIRDI!B12=0),0,(ayd_netDefter+ayd_fark)/GIRDI!B12),0))</f>
        <v/>
      </c>
      <c r="D875" s="31">
        <f>IF($B875="","",IFERROR($C875-$B875,0))</f>
        <v/>
      </c>
      <c r="E875" s="31">
        <f>IF($B875="","",IFERROR($A875*$B875,0))</f>
        <v/>
      </c>
      <c r="F875" s="31">
        <f>IF($C875="","",IFERROR($A875*$C875,0))</f>
        <v/>
      </c>
      <c r="G875" s="31">
        <f>IF($B875="","",IFERROR(MAX(0,ayd_netDefter-$E875),0))</f>
        <v/>
      </c>
      <c r="H875" s="31">
        <f>IF($C875="","",IFERROR(MAX(0,ayd_netDefter+ayd_fark-$F875),0))</f>
        <v/>
      </c>
      <c r="I875" s="31">
        <f>IF($A875="","",IF($A875&gt;IFERROR(GIRDI!B12,0),"DIŞI","AKTİF"))</f>
        <v/>
      </c>
    </row>
    <row r="876">
      <c r="B876" s="31">
        <f>IF(OR($A876="",$A876&gt;IFERROR(GIRDI!B12,0)),"",IFERROR(IF(OR(GIRDI!B12="",GIRDI!B12=0),0,ayd_netDefter/GIRDI!B12),0))</f>
        <v/>
      </c>
      <c r="C876" s="31">
        <f>IF(OR($A876="",$A876&gt;IFERROR(GIRDI!B12,0)),"",IFERROR(IF(OR(GIRDI!B12="",GIRDI!B12=0),0,(ayd_netDefter+ayd_fark)/GIRDI!B12),0))</f>
        <v/>
      </c>
      <c r="D876" s="31">
        <f>IF($B876="","",IFERROR($C876-$B876,0))</f>
        <v/>
      </c>
      <c r="E876" s="31">
        <f>IF($B876="","",IFERROR($A876*$B876,0))</f>
        <v/>
      </c>
      <c r="F876" s="31">
        <f>IF($C876="","",IFERROR($A876*$C876,0))</f>
        <v/>
      </c>
      <c r="G876" s="31">
        <f>IF($B876="","",IFERROR(MAX(0,ayd_netDefter-$E876),0))</f>
        <v/>
      </c>
      <c r="H876" s="31">
        <f>IF($C876="","",IFERROR(MAX(0,ayd_netDefter+ayd_fark-$F876),0))</f>
        <v/>
      </c>
      <c r="I876" s="31">
        <f>IF($A876="","",IF($A876&gt;IFERROR(GIRDI!B12,0),"DIŞI","AKTİF"))</f>
        <v/>
      </c>
    </row>
    <row r="877">
      <c r="B877" s="31">
        <f>IF(OR($A877="",$A877&gt;IFERROR(GIRDI!B12,0)),"",IFERROR(IF(OR(GIRDI!B12="",GIRDI!B12=0),0,ayd_netDefter/GIRDI!B12),0))</f>
        <v/>
      </c>
      <c r="C877" s="31">
        <f>IF(OR($A877="",$A877&gt;IFERROR(GIRDI!B12,0)),"",IFERROR(IF(OR(GIRDI!B12="",GIRDI!B12=0),0,(ayd_netDefter+ayd_fark)/GIRDI!B12),0))</f>
        <v/>
      </c>
      <c r="D877" s="31">
        <f>IF($B877="","",IFERROR($C877-$B877,0))</f>
        <v/>
      </c>
      <c r="E877" s="31">
        <f>IF($B877="","",IFERROR($A877*$B877,0))</f>
        <v/>
      </c>
      <c r="F877" s="31">
        <f>IF($C877="","",IFERROR($A877*$C877,0))</f>
        <v/>
      </c>
      <c r="G877" s="31">
        <f>IF($B877="","",IFERROR(MAX(0,ayd_netDefter-$E877),0))</f>
        <v/>
      </c>
      <c r="H877" s="31">
        <f>IF($C877="","",IFERROR(MAX(0,ayd_netDefter+ayd_fark-$F877),0))</f>
        <v/>
      </c>
      <c r="I877" s="31">
        <f>IF($A877="","",IF($A877&gt;IFERROR(GIRDI!B12,0),"DIŞI","AKTİF"))</f>
        <v/>
      </c>
    </row>
    <row r="878">
      <c r="B878" s="31">
        <f>IF(OR($A878="",$A878&gt;IFERROR(GIRDI!B12,0)),"",IFERROR(IF(OR(GIRDI!B12="",GIRDI!B12=0),0,ayd_netDefter/GIRDI!B12),0))</f>
        <v/>
      </c>
      <c r="C878" s="31">
        <f>IF(OR($A878="",$A878&gt;IFERROR(GIRDI!B12,0)),"",IFERROR(IF(OR(GIRDI!B12="",GIRDI!B12=0),0,(ayd_netDefter+ayd_fark)/GIRDI!B12),0))</f>
        <v/>
      </c>
      <c r="D878" s="31">
        <f>IF($B878="","",IFERROR($C878-$B878,0))</f>
        <v/>
      </c>
      <c r="E878" s="31">
        <f>IF($B878="","",IFERROR($A878*$B878,0))</f>
        <v/>
      </c>
      <c r="F878" s="31">
        <f>IF($C878="","",IFERROR($A878*$C878,0))</f>
        <v/>
      </c>
      <c r="G878" s="31">
        <f>IF($B878="","",IFERROR(MAX(0,ayd_netDefter-$E878),0))</f>
        <v/>
      </c>
      <c r="H878" s="31">
        <f>IF($C878="","",IFERROR(MAX(0,ayd_netDefter+ayd_fark-$F878),0))</f>
        <v/>
      </c>
      <c r="I878" s="31">
        <f>IF($A878="","",IF($A878&gt;IFERROR(GIRDI!B12,0),"DIŞI","AKTİF"))</f>
        <v/>
      </c>
    </row>
    <row r="879">
      <c r="B879" s="31">
        <f>IF(OR($A879="",$A879&gt;IFERROR(GIRDI!B12,0)),"",IFERROR(IF(OR(GIRDI!B12="",GIRDI!B12=0),0,ayd_netDefter/GIRDI!B12),0))</f>
        <v/>
      </c>
      <c r="C879" s="31">
        <f>IF(OR($A879="",$A879&gt;IFERROR(GIRDI!B12,0)),"",IFERROR(IF(OR(GIRDI!B12="",GIRDI!B12=0),0,(ayd_netDefter+ayd_fark)/GIRDI!B12),0))</f>
        <v/>
      </c>
      <c r="D879" s="31">
        <f>IF($B879="","",IFERROR($C879-$B879,0))</f>
        <v/>
      </c>
      <c r="E879" s="31">
        <f>IF($B879="","",IFERROR($A879*$B879,0))</f>
        <v/>
      </c>
      <c r="F879" s="31">
        <f>IF($C879="","",IFERROR($A879*$C879,0))</f>
        <v/>
      </c>
      <c r="G879" s="31">
        <f>IF($B879="","",IFERROR(MAX(0,ayd_netDefter-$E879),0))</f>
        <v/>
      </c>
      <c r="H879" s="31">
        <f>IF($C879="","",IFERROR(MAX(0,ayd_netDefter+ayd_fark-$F879),0))</f>
        <v/>
      </c>
      <c r="I879" s="31">
        <f>IF($A879="","",IF($A879&gt;IFERROR(GIRDI!B12,0),"DIŞI","AKTİF"))</f>
        <v/>
      </c>
    </row>
    <row r="880">
      <c r="B880" s="31">
        <f>IF(OR($A880="",$A880&gt;IFERROR(GIRDI!B12,0)),"",IFERROR(IF(OR(GIRDI!B12="",GIRDI!B12=0),0,ayd_netDefter/GIRDI!B12),0))</f>
        <v/>
      </c>
      <c r="C880" s="31">
        <f>IF(OR($A880="",$A880&gt;IFERROR(GIRDI!B12,0)),"",IFERROR(IF(OR(GIRDI!B12="",GIRDI!B12=0),0,(ayd_netDefter+ayd_fark)/GIRDI!B12),0))</f>
        <v/>
      </c>
      <c r="D880" s="31">
        <f>IF($B880="","",IFERROR($C880-$B880,0))</f>
        <v/>
      </c>
      <c r="E880" s="31">
        <f>IF($B880="","",IFERROR($A880*$B880,0))</f>
        <v/>
      </c>
      <c r="F880" s="31">
        <f>IF($C880="","",IFERROR($A880*$C880,0))</f>
        <v/>
      </c>
      <c r="G880" s="31">
        <f>IF($B880="","",IFERROR(MAX(0,ayd_netDefter-$E880),0))</f>
        <v/>
      </c>
      <c r="H880" s="31">
        <f>IF($C880="","",IFERROR(MAX(0,ayd_netDefter+ayd_fark-$F880),0))</f>
        <v/>
      </c>
      <c r="I880" s="31">
        <f>IF($A880="","",IF($A880&gt;IFERROR(GIRDI!B12,0),"DIŞI","AKTİF"))</f>
        <v/>
      </c>
    </row>
    <row r="881">
      <c r="B881" s="31">
        <f>IF(OR($A881="",$A881&gt;IFERROR(GIRDI!B12,0)),"",IFERROR(IF(OR(GIRDI!B12="",GIRDI!B12=0),0,ayd_netDefter/GIRDI!B12),0))</f>
        <v/>
      </c>
      <c r="C881" s="31">
        <f>IF(OR($A881="",$A881&gt;IFERROR(GIRDI!B12,0)),"",IFERROR(IF(OR(GIRDI!B12="",GIRDI!B12=0),0,(ayd_netDefter+ayd_fark)/GIRDI!B12),0))</f>
        <v/>
      </c>
      <c r="D881" s="31">
        <f>IF($B881="","",IFERROR($C881-$B881,0))</f>
        <v/>
      </c>
      <c r="E881" s="31">
        <f>IF($B881="","",IFERROR($A881*$B881,0))</f>
        <v/>
      </c>
      <c r="F881" s="31">
        <f>IF($C881="","",IFERROR($A881*$C881,0))</f>
        <v/>
      </c>
      <c r="G881" s="31">
        <f>IF($B881="","",IFERROR(MAX(0,ayd_netDefter-$E881),0))</f>
        <v/>
      </c>
      <c r="H881" s="31">
        <f>IF($C881="","",IFERROR(MAX(0,ayd_netDefter+ayd_fark-$F881),0))</f>
        <v/>
      </c>
      <c r="I881" s="31">
        <f>IF($A881="","",IF($A881&gt;IFERROR(GIRDI!B12,0),"DIŞI","AKTİF"))</f>
        <v/>
      </c>
    </row>
    <row r="882">
      <c r="B882" s="31">
        <f>IF(OR($A882="",$A882&gt;IFERROR(GIRDI!B12,0)),"",IFERROR(IF(OR(GIRDI!B12="",GIRDI!B12=0),0,ayd_netDefter/GIRDI!B12),0))</f>
        <v/>
      </c>
      <c r="C882" s="31">
        <f>IF(OR($A882="",$A882&gt;IFERROR(GIRDI!B12,0)),"",IFERROR(IF(OR(GIRDI!B12="",GIRDI!B12=0),0,(ayd_netDefter+ayd_fark)/GIRDI!B12),0))</f>
        <v/>
      </c>
      <c r="D882" s="31">
        <f>IF($B882="","",IFERROR($C882-$B882,0))</f>
        <v/>
      </c>
      <c r="E882" s="31">
        <f>IF($B882="","",IFERROR($A882*$B882,0))</f>
        <v/>
      </c>
      <c r="F882" s="31">
        <f>IF($C882="","",IFERROR($A882*$C882,0))</f>
        <v/>
      </c>
      <c r="G882" s="31">
        <f>IF($B882="","",IFERROR(MAX(0,ayd_netDefter-$E882),0))</f>
        <v/>
      </c>
      <c r="H882" s="31">
        <f>IF($C882="","",IFERROR(MAX(0,ayd_netDefter+ayd_fark-$F882),0))</f>
        <v/>
      </c>
      <c r="I882" s="31">
        <f>IF($A882="","",IF($A882&gt;IFERROR(GIRDI!B12,0),"DIŞI","AKTİF"))</f>
        <v/>
      </c>
    </row>
    <row r="883">
      <c r="B883" s="31">
        <f>IF(OR($A883="",$A883&gt;IFERROR(GIRDI!B12,0)),"",IFERROR(IF(OR(GIRDI!B12="",GIRDI!B12=0),0,ayd_netDefter/GIRDI!B12),0))</f>
        <v/>
      </c>
      <c r="C883" s="31">
        <f>IF(OR($A883="",$A883&gt;IFERROR(GIRDI!B12,0)),"",IFERROR(IF(OR(GIRDI!B12="",GIRDI!B12=0),0,(ayd_netDefter+ayd_fark)/GIRDI!B12),0))</f>
        <v/>
      </c>
      <c r="D883" s="31">
        <f>IF($B883="","",IFERROR($C883-$B883,0))</f>
        <v/>
      </c>
      <c r="E883" s="31">
        <f>IF($B883="","",IFERROR($A883*$B883,0))</f>
        <v/>
      </c>
      <c r="F883" s="31">
        <f>IF($C883="","",IFERROR($A883*$C883,0))</f>
        <v/>
      </c>
      <c r="G883" s="31">
        <f>IF($B883="","",IFERROR(MAX(0,ayd_netDefter-$E883),0))</f>
        <v/>
      </c>
      <c r="H883" s="31">
        <f>IF($C883="","",IFERROR(MAX(0,ayd_netDefter+ayd_fark-$F883),0))</f>
        <v/>
      </c>
      <c r="I883" s="31">
        <f>IF($A883="","",IF($A883&gt;IFERROR(GIRDI!B12,0),"DIŞI","AKTİF"))</f>
        <v/>
      </c>
    </row>
    <row r="884">
      <c r="B884" s="31">
        <f>IF(OR($A884="",$A884&gt;IFERROR(GIRDI!B12,0)),"",IFERROR(IF(OR(GIRDI!B12="",GIRDI!B12=0),0,ayd_netDefter/GIRDI!B12),0))</f>
        <v/>
      </c>
      <c r="C884" s="31">
        <f>IF(OR($A884="",$A884&gt;IFERROR(GIRDI!B12,0)),"",IFERROR(IF(OR(GIRDI!B12="",GIRDI!B12=0),0,(ayd_netDefter+ayd_fark)/GIRDI!B12),0))</f>
        <v/>
      </c>
      <c r="D884" s="31">
        <f>IF($B884="","",IFERROR($C884-$B884,0))</f>
        <v/>
      </c>
      <c r="E884" s="31">
        <f>IF($B884="","",IFERROR($A884*$B884,0))</f>
        <v/>
      </c>
      <c r="F884" s="31">
        <f>IF($C884="","",IFERROR($A884*$C884,0))</f>
        <v/>
      </c>
      <c r="G884" s="31">
        <f>IF($B884="","",IFERROR(MAX(0,ayd_netDefter-$E884),0))</f>
        <v/>
      </c>
      <c r="H884" s="31">
        <f>IF($C884="","",IFERROR(MAX(0,ayd_netDefter+ayd_fark-$F884),0))</f>
        <v/>
      </c>
      <c r="I884" s="31">
        <f>IF($A884="","",IF($A884&gt;IFERROR(GIRDI!B12,0),"DIŞI","AKTİF"))</f>
        <v/>
      </c>
    </row>
    <row r="885">
      <c r="B885" s="31">
        <f>IF(OR($A885="",$A885&gt;IFERROR(GIRDI!B12,0)),"",IFERROR(IF(OR(GIRDI!B12="",GIRDI!B12=0),0,ayd_netDefter/GIRDI!B12),0))</f>
        <v/>
      </c>
      <c r="C885" s="31">
        <f>IF(OR($A885="",$A885&gt;IFERROR(GIRDI!B12,0)),"",IFERROR(IF(OR(GIRDI!B12="",GIRDI!B12=0),0,(ayd_netDefter+ayd_fark)/GIRDI!B12),0))</f>
        <v/>
      </c>
      <c r="D885" s="31">
        <f>IF($B885="","",IFERROR($C885-$B885,0))</f>
        <v/>
      </c>
      <c r="E885" s="31">
        <f>IF($B885="","",IFERROR($A885*$B885,0))</f>
        <v/>
      </c>
      <c r="F885" s="31">
        <f>IF($C885="","",IFERROR($A885*$C885,0))</f>
        <v/>
      </c>
      <c r="G885" s="31">
        <f>IF($B885="","",IFERROR(MAX(0,ayd_netDefter-$E885),0))</f>
        <v/>
      </c>
      <c r="H885" s="31">
        <f>IF($C885="","",IFERROR(MAX(0,ayd_netDefter+ayd_fark-$F885),0))</f>
        <v/>
      </c>
      <c r="I885" s="31">
        <f>IF($A885="","",IF($A885&gt;IFERROR(GIRDI!B12,0),"DIŞI","AKTİF"))</f>
        <v/>
      </c>
    </row>
    <row r="886">
      <c r="B886" s="31">
        <f>IF(OR($A886="",$A886&gt;IFERROR(GIRDI!B12,0)),"",IFERROR(IF(OR(GIRDI!B12="",GIRDI!B12=0),0,ayd_netDefter/GIRDI!B12),0))</f>
        <v/>
      </c>
      <c r="C886" s="31">
        <f>IF(OR($A886="",$A886&gt;IFERROR(GIRDI!B12,0)),"",IFERROR(IF(OR(GIRDI!B12="",GIRDI!B12=0),0,(ayd_netDefter+ayd_fark)/GIRDI!B12),0))</f>
        <v/>
      </c>
      <c r="D886" s="31">
        <f>IF($B886="","",IFERROR($C886-$B886,0))</f>
        <v/>
      </c>
      <c r="E886" s="31">
        <f>IF($B886="","",IFERROR($A886*$B886,0))</f>
        <v/>
      </c>
      <c r="F886" s="31">
        <f>IF($C886="","",IFERROR($A886*$C886,0))</f>
        <v/>
      </c>
      <c r="G886" s="31">
        <f>IF($B886="","",IFERROR(MAX(0,ayd_netDefter-$E886),0))</f>
        <v/>
      </c>
      <c r="H886" s="31">
        <f>IF($C886="","",IFERROR(MAX(0,ayd_netDefter+ayd_fark-$F886),0))</f>
        <v/>
      </c>
      <c r="I886" s="31">
        <f>IF($A886="","",IF($A886&gt;IFERROR(GIRDI!B12,0),"DIŞI","AKTİF"))</f>
        <v/>
      </c>
    </row>
    <row r="887">
      <c r="B887" s="31">
        <f>IF(OR($A887="",$A887&gt;IFERROR(GIRDI!B12,0)),"",IFERROR(IF(OR(GIRDI!B12="",GIRDI!B12=0),0,ayd_netDefter/GIRDI!B12),0))</f>
        <v/>
      </c>
      <c r="C887" s="31">
        <f>IF(OR($A887="",$A887&gt;IFERROR(GIRDI!B12,0)),"",IFERROR(IF(OR(GIRDI!B12="",GIRDI!B12=0),0,(ayd_netDefter+ayd_fark)/GIRDI!B12),0))</f>
        <v/>
      </c>
      <c r="D887" s="31">
        <f>IF($B887="","",IFERROR($C887-$B887,0))</f>
        <v/>
      </c>
      <c r="E887" s="31">
        <f>IF($B887="","",IFERROR($A887*$B887,0))</f>
        <v/>
      </c>
      <c r="F887" s="31">
        <f>IF($C887="","",IFERROR($A887*$C887,0))</f>
        <v/>
      </c>
      <c r="G887" s="31">
        <f>IF($B887="","",IFERROR(MAX(0,ayd_netDefter-$E887),0))</f>
        <v/>
      </c>
      <c r="H887" s="31">
        <f>IF($C887="","",IFERROR(MAX(0,ayd_netDefter+ayd_fark-$F887),0))</f>
        <v/>
      </c>
      <c r="I887" s="31">
        <f>IF($A887="","",IF($A887&gt;IFERROR(GIRDI!B12,0),"DIŞI","AKTİF"))</f>
        <v/>
      </c>
    </row>
    <row r="888">
      <c r="B888" s="31">
        <f>IF(OR($A888="",$A888&gt;IFERROR(GIRDI!B12,0)),"",IFERROR(IF(OR(GIRDI!B12="",GIRDI!B12=0),0,ayd_netDefter/GIRDI!B12),0))</f>
        <v/>
      </c>
      <c r="C888" s="31">
        <f>IF(OR($A888="",$A888&gt;IFERROR(GIRDI!B12,0)),"",IFERROR(IF(OR(GIRDI!B12="",GIRDI!B12=0),0,(ayd_netDefter+ayd_fark)/GIRDI!B12),0))</f>
        <v/>
      </c>
      <c r="D888" s="31">
        <f>IF($B888="","",IFERROR($C888-$B888,0))</f>
        <v/>
      </c>
      <c r="E888" s="31">
        <f>IF($B888="","",IFERROR($A888*$B888,0))</f>
        <v/>
      </c>
      <c r="F888" s="31">
        <f>IF($C888="","",IFERROR($A888*$C888,0))</f>
        <v/>
      </c>
      <c r="G888" s="31">
        <f>IF($B888="","",IFERROR(MAX(0,ayd_netDefter-$E888),0))</f>
        <v/>
      </c>
      <c r="H888" s="31">
        <f>IF($C888="","",IFERROR(MAX(0,ayd_netDefter+ayd_fark-$F888),0))</f>
        <v/>
      </c>
      <c r="I888" s="31">
        <f>IF($A888="","",IF($A888&gt;IFERROR(GIRDI!B12,0),"DIŞI","AKTİF"))</f>
        <v/>
      </c>
    </row>
    <row r="889">
      <c r="B889" s="31">
        <f>IF(OR($A889="",$A889&gt;IFERROR(GIRDI!B12,0)),"",IFERROR(IF(OR(GIRDI!B12="",GIRDI!B12=0),0,ayd_netDefter/GIRDI!B12),0))</f>
        <v/>
      </c>
      <c r="C889" s="31">
        <f>IF(OR($A889="",$A889&gt;IFERROR(GIRDI!B12,0)),"",IFERROR(IF(OR(GIRDI!B12="",GIRDI!B12=0),0,(ayd_netDefter+ayd_fark)/GIRDI!B12),0))</f>
        <v/>
      </c>
      <c r="D889" s="31">
        <f>IF($B889="","",IFERROR($C889-$B889,0))</f>
        <v/>
      </c>
      <c r="E889" s="31">
        <f>IF($B889="","",IFERROR($A889*$B889,0))</f>
        <v/>
      </c>
      <c r="F889" s="31">
        <f>IF($C889="","",IFERROR($A889*$C889,0))</f>
        <v/>
      </c>
      <c r="G889" s="31">
        <f>IF($B889="","",IFERROR(MAX(0,ayd_netDefter-$E889),0))</f>
        <v/>
      </c>
      <c r="H889" s="31">
        <f>IF($C889="","",IFERROR(MAX(0,ayd_netDefter+ayd_fark-$F889),0))</f>
        <v/>
      </c>
      <c r="I889" s="31">
        <f>IF($A889="","",IF($A889&gt;IFERROR(GIRDI!B12,0),"DIŞI","AKTİF"))</f>
        <v/>
      </c>
    </row>
    <row r="890">
      <c r="B890" s="31">
        <f>IF(OR($A890="",$A890&gt;IFERROR(GIRDI!B12,0)),"",IFERROR(IF(OR(GIRDI!B12="",GIRDI!B12=0),0,ayd_netDefter/GIRDI!B12),0))</f>
        <v/>
      </c>
      <c r="C890" s="31">
        <f>IF(OR($A890="",$A890&gt;IFERROR(GIRDI!B12,0)),"",IFERROR(IF(OR(GIRDI!B12="",GIRDI!B12=0),0,(ayd_netDefter+ayd_fark)/GIRDI!B12),0))</f>
        <v/>
      </c>
      <c r="D890" s="31">
        <f>IF($B890="","",IFERROR($C890-$B890,0))</f>
        <v/>
      </c>
      <c r="E890" s="31">
        <f>IF($B890="","",IFERROR($A890*$B890,0))</f>
        <v/>
      </c>
      <c r="F890" s="31">
        <f>IF($C890="","",IFERROR($A890*$C890,0))</f>
        <v/>
      </c>
      <c r="G890" s="31">
        <f>IF($B890="","",IFERROR(MAX(0,ayd_netDefter-$E890),0))</f>
        <v/>
      </c>
      <c r="H890" s="31">
        <f>IF($C890="","",IFERROR(MAX(0,ayd_netDefter+ayd_fark-$F890),0))</f>
        <v/>
      </c>
      <c r="I890" s="31">
        <f>IF($A890="","",IF($A890&gt;IFERROR(GIRDI!B12,0),"DIŞI","AKTİF"))</f>
        <v/>
      </c>
    </row>
    <row r="891">
      <c r="B891" s="31">
        <f>IF(OR($A891="",$A891&gt;IFERROR(GIRDI!B12,0)),"",IFERROR(IF(OR(GIRDI!B12="",GIRDI!B12=0),0,ayd_netDefter/GIRDI!B12),0))</f>
        <v/>
      </c>
      <c r="C891" s="31">
        <f>IF(OR($A891="",$A891&gt;IFERROR(GIRDI!B12,0)),"",IFERROR(IF(OR(GIRDI!B12="",GIRDI!B12=0),0,(ayd_netDefter+ayd_fark)/GIRDI!B12),0))</f>
        <v/>
      </c>
      <c r="D891" s="31">
        <f>IF($B891="","",IFERROR($C891-$B891,0))</f>
        <v/>
      </c>
      <c r="E891" s="31">
        <f>IF($B891="","",IFERROR($A891*$B891,0))</f>
        <v/>
      </c>
      <c r="F891" s="31">
        <f>IF($C891="","",IFERROR($A891*$C891,0))</f>
        <v/>
      </c>
      <c r="G891" s="31">
        <f>IF($B891="","",IFERROR(MAX(0,ayd_netDefter-$E891),0))</f>
        <v/>
      </c>
      <c r="H891" s="31">
        <f>IF($C891="","",IFERROR(MAX(0,ayd_netDefter+ayd_fark-$F891),0))</f>
        <v/>
      </c>
      <c r="I891" s="31">
        <f>IF($A891="","",IF($A891&gt;IFERROR(GIRDI!B12,0),"DIŞI","AKTİF"))</f>
        <v/>
      </c>
    </row>
    <row r="892">
      <c r="B892" s="31">
        <f>IF(OR($A892="",$A892&gt;IFERROR(GIRDI!B12,0)),"",IFERROR(IF(OR(GIRDI!B12="",GIRDI!B12=0),0,ayd_netDefter/GIRDI!B12),0))</f>
        <v/>
      </c>
      <c r="C892" s="31">
        <f>IF(OR($A892="",$A892&gt;IFERROR(GIRDI!B12,0)),"",IFERROR(IF(OR(GIRDI!B12="",GIRDI!B12=0),0,(ayd_netDefter+ayd_fark)/GIRDI!B12),0))</f>
        <v/>
      </c>
      <c r="D892" s="31">
        <f>IF($B892="","",IFERROR($C892-$B892,0))</f>
        <v/>
      </c>
      <c r="E892" s="31">
        <f>IF($B892="","",IFERROR($A892*$B892,0))</f>
        <v/>
      </c>
      <c r="F892" s="31">
        <f>IF($C892="","",IFERROR($A892*$C892,0))</f>
        <v/>
      </c>
      <c r="G892" s="31">
        <f>IF($B892="","",IFERROR(MAX(0,ayd_netDefter-$E892),0))</f>
        <v/>
      </c>
      <c r="H892" s="31">
        <f>IF($C892="","",IFERROR(MAX(0,ayd_netDefter+ayd_fark-$F892),0))</f>
        <v/>
      </c>
      <c r="I892" s="31">
        <f>IF($A892="","",IF($A892&gt;IFERROR(GIRDI!B12,0),"DIŞI","AKTİF"))</f>
        <v/>
      </c>
    </row>
    <row r="893">
      <c r="B893" s="31">
        <f>IF(OR($A893="",$A893&gt;IFERROR(GIRDI!B12,0)),"",IFERROR(IF(OR(GIRDI!B12="",GIRDI!B12=0),0,ayd_netDefter/GIRDI!B12),0))</f>
        <v/>
      </c>
      <c r="C893" s="31">
        <f>IF(OR($A893="",$A893&gt;IFERROR(GIRDI!B12,0)),"",IFERROR(IF(OR(GIRDI!B12="",GIRDI!B12=0),0,(ayd_netDefter+ayd_fark)/GIRDI!B12),0))</f>
        <v/>
      </c>
      <c r="D893" s="31">
        <f>IF($B893="","",IFERROR($C893-$B893,0))</f>
        <v/>
      </c>
      <c r="E893" s="31">
        <f>IF($B893="","",IFERROR($A893*$B893,0))</f>
        <v/>
      </c>
      <c r="F893" s="31">
        <f>IF($C893="","",IFERROR($A893*$C893,0))</f>
        <v/>
      </c>
      <c r="G893" s="31">
        <f>IF($B893="","",IFERROR(MAX(0,ayd_netDefter-$E893),0))</f>
        <v/>
      </c>
      <c r="H893" s="31">
        <f>IF($C893="","",IFERROR(MAX(0,ayd_netDefter+ayd_fark-$F893),0))</f>
        <v/>
      </c>
      <c r="I893" s="31">
        <f>IF($A893="","",IF($A893&gt;IFERROR(GIRDI!B12,0),"DIŞI","AKTİF"))</f>
        <v/>
      </c>
    </row>
    <row r="894">
      <c r="B894" s="31">
        <f>IF(OR($A894="",$A894&gt;IFERROR(GIRDI!B12,0)),"",IFERROR(IF(OR(GIRDI!B12="",GIRDI!B12=0),0,ayd_netDefter/GIRDI!B12),0))</f>
        <v/>
      </c>
      <c r="C894" s="31">
        <f>IF(OR($A894="",$A894&gt;IFERROR(GIRDI!B12,0)),"",IFERROR(IF(OR(GIRDI!B12="",GIRDI!B12=0),0,(ayd_netDefter+ayd_fark)/GIRDI!B12),0))</f>
        <v/>
      </c>
      <c r="D894" s="31">
        <f>IF($B894="","",IFERROR($C894-$B894,0))</f>
        <v/>
      </c>
      <c r="E894" s="31">
        <f>IF($B894="","",IFERROR($A894*$B894,0))</f>
        <v/>
      </c>
      <c r="F894" s="31">
        <f>IF($C894="","",IFERROR($A894*$C894,0))</f>
        <v/>
      </c>
      <c r="G894" s="31">
        <f>IF($B894="","",IFERROR(MAX(0,ayd_netDefter-$E894),0))</f>
        <v/>
      </c>
      <c r="H894" s="31">
        <f>IF($C894="","",IFERROR(MAX(0,ayd_netDefter+ayd_fark-$F894),0))</f>
        <v/>
      </c>
      <c r="I894" s="31">
        <f>IF($A894="","",IF($A894&gt;IFERROR(GIRDI!B12,0),"DIŞI","AKTİF"))</f>
        <v/>
      </c>
    </row>
    <row r="895">
      <c r="B895" s="31">
        <f>IF(OR($A895="",$A895&gt;IFERROR(GIRDI!B12,0)),"",IFERROR(IF(OR(GIRDI!B12="",GIRDI!B12=0),0,ayd_netDefter/GIRDI!B12),0))</f>
        <v/>
      </c>
      <c r="C895" s="31">
        <f>IF(OR($A895="",$A895&gt;IFERROR(GIRDI!B12,0)),"",IFERROR(IF(OR(GIRDI!B12="",GIRDI!B12=0),0,(ayd_netDefter+ayd_fark)/GIRDI!B12),0))</f>
        <v/>
      </c>
      <c r="D895" s="31">
        <f>IF($B895="","",IFERROR($C895-$B895,0))</f>
        <v/>
      </c>
      <c r="E895" s="31">
        <f>IF($B895="","",IFERROR($A895*$B895,0))</f>
        <v/>
      </c>
      <c r="F895" s="31">
        <f>IF($C895="","",IFERROR($A895*$C895,0))</f>
        <v/>
      </c>
      <c r="G895" s="31">
        <f>IF($B895="","",IFERROR(MAX(0,ayd_netDefter-$E895),0))</f>
        <v/>
      </c>
      <c r="H895" s="31">
        <f>IF($C895="","",IFERROR(MAX(0,ayd_netDefter+ayd_fark-$F895),0))</f>
        <v/>
      </c>
      <c r="I895" s="31">
        <f>IF($A895="","",IF($A895&gt;IFERROR(GIRDI!B12,0),"DIŞI","AKTİF"))</f>
        <v/>
      </c>
    </row>
    <row r="896">
      <c r="B896" s="31">
        <f>IF(OR($A896="",$A896&gt;IFERROR(GIRDI!B12,0)),"",IFERROR(IF(OR(GIRDI!B12="",GIRDI!B12=0),0,ayd_netDefter/GIRDI!B12),0))</f>
        <v/>
      </c>
      <c r="C896" s="31">
        <f>IF(OR($A896="",$A896&gt;IFERROR(GIRDI!B12,0)),"",IFERROR(IF(OR(GIRDI!B12="",GIRDI!B12=0),0,(ayd_netDefter+ayd_fark)/GIRDI!B12),0))</f>
        <v/>
      </c>
      <c r="D896" s="31">
        <f>IF($B896="","",IFERROR($C896-$B896,0))</f>
        <v/>
      </c>
      <c r="E896" s="31">
        <f>IF($B896="","",IFERROR($A896*$B896,0))</f>
        <v/>
      </c>
      <c r="F896" s="31">
        <f>IF($C896="","",IFERROR($A896*$C896,0))</f>
        <v/>
      </c>
      <c r="G896" s="31">
        <f>IF($B896="","",IFERROR(MAX(0,ayd_netDefter-$E896),0))</f>
        <v/>
      </c>
      <c r="H896" s="31">
        <f>IF($C896="","",IFERROR(MAX(0,ayd_netDefter+ayd_fark-$F896),0))</f>
        <v/>
      </c>
      <c r="I896" s="31">
        <f>IF($A896="","",IF($A896&gt;IFERROR(GIRDI!B12,0),"DIŞI","AKTİF"))</f>
        <v/>
      </c>
    </row>
    <row r="897">
      <c r="B897" s="31">
        <f>IF(OR($A897="",$A897&gt;IFERROR(GIRDI!B12,0)),"",IFERROR(IF(OR(GIRDI!B12="",GIRDI!B12=0),0,ayd_netDefter/GIRDI!B12),0))</f>
        <v/>
      </c>
      <c r="C897" s="31">
        <f>IF(OR($A897="",$A897&gt;IFERROR(GIRDI!B12,0)),"",IFERROR(IF(OR(GIRDI!B12="",GIRDI!B12=0),0,(ayd_netDefter+ayd_fark)/GIRDI!B12),0))</f>
        <v/>
      </c>
      <c r="D897" s="31">
        <f>IF($B897="","",IFERROR($C897-$B897,0))</f>
        <v/>
      </c>
      <c r="E897" s="31">
        <f>IF($B897="","",IFERROR($A897*$B897,0))</f>
        <v/>
      </c>
      <c r="F897" s="31">
        <f>IF($C897="","",IFERROR($A897*$C897,0))</f>
        <v/>
      </c>
      <c r="G897" s="31">
        <f>IF($B897="","",IFERROR(MAX(0,ayd_netDefter-$E897),0))</f>
        <v/>
      </c>
      <c r="H897" s="31">
        <f>IF($C897="","",IFERROR(MAX(0,ayd_netDefter+ayd_fark-$F897),0))</f>
        <v/>
      </c>
      <c r="I897" s="31">
        <f>IF($A897="","",IF($A897&gt;IFERROR(GIRDI!B12,0),"DIŞI","AKTİF"))</f>
        <v/>
      </c>
    </row>
    <row r="898">
      <c r="B898" s="31">
        <f>IF(OR($A898="",$A898&gt;IFERROR(GIRDI!B12,0)),"",IFERROR(IF(OR(GIRDI!B12="",GIRDI!B12=0),0,ayd_netDefter/GIRDI!B12),0))</f>
        <v/>
      </c>
      <c r="C898" s="31">
        <f>IF(OR($A898="",$A898&gt;IFERROR(GIRDI!B12,0)),"",IFERROR(IF(OR(GIRDI!B12="",GIRDI!B12=0),0,(ayd_netDefter+ayd_fark)/GIRDI!B12),0))</f>
        <v/>
      </c>
      <c r="D898" s="31">
        <f>IF($B898="","",IFERROR($C898-$B898,0))</f>
        <v/>
      </c>
      <c r="E898" s="31">
        <f>IF($B898="","",IFERROR($A898*$B898,0))</f>
        <v/>
      </c>
      <c r="F898" s="31">
        <f>IF($C898="","",IFERROR($A898*$C898,0))</f>
        <v/>
      </c>
      <c r="G898" s="31">
        <f>IF($B898="","",IFERROR(MAX(0,ayd_netDefter-$E898),0))</f>
        <v/>
      </c>
      <c r="H898" s="31">
        <f>IF($C898="","",IFERROR(MAX(0,ayd_netDefter+ayd_fark-$F898),0))</f>
        <v/>
      </c>
      <c r="I898" s="31">
        <f>IF($A898="","",IF($A898&gt;IFERROR(GIRDI!B12,0),"DIŞI","AKTİF"))</f>
        <v/>
      </c>
    </row>
    <row r="899">
      <c r="B899" s="31">
        <f>IF(OR($A899="",$A899&gt;IFERROR(GIRDI!B12,0)),"",IFERROR(IF(OR(GIRDI!B12="",GIRDI!B12=0),0,ayd_netDefter/GIRDI!B12),0))</f>
        <v/>
      </c>
      <c r="C899" s="31">
        <f>IF(OR($A899="",$A899&gt;IFERROR(GIRDI!B12,0)),"",IFERROR(IF(OR(GIRDI!B12="",GIRDI!B12=0),0,(ayd_netDefter+ayd_fark)/GIRDI!B12),0))</f>
        <v/>
      </c>
      <c r="D899" s="31">
        <f>IF($B899="","",IFERROR($C899-$B899,0))</f>
        <v/>
      </c>
      <c r="E899" s="31">
        <f>IF($B899="","",IFERROR($A899*$B899,0))</f>
        <v/>
      </c>
      <c r="F899" s="31">
        <f>IF($C899="","",IFERROR($A899*$C899,0))</f>
        <v/>
      </c>
      <c r="G899" s="31">
        <f>IF($B899="","",IFERROR(MAX(0,ayd_netDefter-$E899),0))</f>
        <v/>
      </c>
      <c r="H899" s="31">
        <f>IF($C899="","",IFERROR(MAX(0,ayd_netDefter+ayd_fark-$F899),0))</f>
        <v/>
      </c>
      <c r="I899" s="31">
        <f>IF($A899="","",IF($A899&gt;IFERROR(GIRDI!B12,0),"DIŞI","AKTİF"))</f>
        <v/>
      </c>
    </row>
    <row r="900">
      <c r="B900" s="31">
        <f>IF(OR($A900="",$A900&gt;IFERROR(GIRDI!B12,0)),"",IFERROR(IF(OR(GIRDI!B12="",GIRDI!B12=0),0,ayd_netDefter/GIRDI!B12),0))</f>
        <v/>
      </c>
      <c r="C900" s="31">
        <f>IF(OR($A900="",$A900&gt;IFERROR(GIRDI!B12,0)),"",IFERROR(IF(OR(GIRDI!B12="",GIRDI!B12=0),0,(ayd_netDefter+ayd_fark)/GIRDI!B12),0))</f>
        <v/>
      </c>
      <c r="D900" s="31">
        <f>IF($B900="","",IFERROR($C900-$B900,0))</f>
        <v/>
      </c>
      <c r="E900" s="31">
        <f>IF($B900="","",IFERROR($A900*$B900,0))</f>
        <v/>
      </c>
      <c r="F900" s="31">
        <f>IF($C900="","",IFERROR($A900*$C900,0))</f>
        <v/>
      </c>
      <c r="G900" s="31">
        <f>IF($B900="","",IFERROR(MAX(0,ayd_netDefter-$E900),0))</f>
        <v/>
      </c>
      <c r="H900" s="31">
        <f>IF($C900="","",IFERROR(MAX(0,ayd_netDefter+ayd_fark-$F900),0))</f>
        <v/>
      </c>
      <c r="I900" s="31">
        <f>IF($A900="","",IF($A900&gt;IFERROR(GIRDI!B12,0),"DIŞI","AKTİF"))</f>
        <v/>
      </c>
    </row>
    <row r="901">
      <c r="B901" s="31">
        <f>IF(OR($A901="",$A901&gt;IFERROR(GIRDI!B12,0)),"",IFERROR(IF(OR(GIRDI!B12="",GIRDI!B12=0),0,ayd_netDefter/GIRDI!B12),0))</f>
        <v/>
      </c>
      <c r="C901" s="31">
        <f>IF(OR($A901="",$A901&gt;IFERROR(GIRDI!B12,0)),"",IFERROR(IF(OR(GIRDI!B12="",GIRDI!B12=0),0,(ayd_netDefter+ayd_fark)/GIRDI!B12),0))</f>
        <v/>
      </c>
      <c r="D901" s="31">
        <f>IF($B901="","",IFERROR($C901-$B901,0))</f>
        <v/>
      </c>
      <c r="E901" s="31">
        <f>IF($B901="","",IFERROR($A901*$B901,0))</f>
        <v/>
      </c>
      <c r="F901" s="31">
        <f>IF($C901="","",IFERROR($A901*$C901,0))</f>
        <v/>
      </c>
      <c r="G901" s="31">
        <f>IF($B901="","",IFERROR(MAX(0,ayd_netDefter-$E901),0))</f>
        <v/>
      </c>
      <c r="H901" s="31">
        <f>IF($C901="","",IFERROR(MAX(0,ayd_netDefter+ayd_fark-$F901),0))</f>
        <v/>
      </c>
      <c r="I901" s="31">
        <f>IF($A901="","",IF($A901&gt;IFERROR(GIRDI!B12,0),"DIŞI","AKTİF"))</f>
        <v/>
      </c>
    </row>
    <row r="902">
      <c r="B902" s="31">
        <f>IF(OR($A902="",$A902&gt;IFERROR(GIRDI!B12,0)),"",IFERROR(IF(OR(GIRDI!B12="",GIRDI!B12=0),0,ayd_netDefter/GIRDI!B12),0))</f>
        <v/>
      </c>
      <c r="C902" s="31">
        <f>IF(OR($A902="",$A902&gt;IFERROR(GIRDI!B12,0)),"",IFERROR(IF(OR(GIRDI!B12="",GIRDI!B12=0),0,(ayd_netDefter+ayd_fark)/GIRDI!B12),0))</f>
        <v/>
      </c>
      <c r="D902" s="31">
        <f>IF($B902="","",IFERROR($C902-$B902,0))</f>
        <v/>
      </c>
      <c r="E902" s="31">
        <f>IF($B902="","",IFERROR($A902*$B902,0))</f>
        <v/>
      </c>
      <c r="F902" s="31">
        <f>IF($C902="","",IFERROR($A902*$C902,0))</f>
        <v/>
      </c>
      <c r="G902" s="31">
        <f>IF($B902="","",IFERROR(MAX(0,ayd_netDefter-$E902),0))</f>
        <v/>
      </c>
      <c r="H902" s="31">
        <f>IF($C902="","",IFERROR(MAX(0,ayd_netDefter+ayd_fark-$F902),0))</f>
        <v/>
      </c>
      <c r="I902" s="31">
        <f>IF($A902="","",IF($A902&gt;IFERROR(GIRDI!B12,0),"DIŞI","AKTİF"))</f>
        <v/>
      </c>
    </row>
    <row r="903">
      <c r="B903" s="31">
        <f>IF(OR($A903="",$A903&gt;IFERROR(GIRDI!B12,0)),"",IFERROR(IF(OR(GIRDI!B12="",GIRDI!B12=0),0,ayd_netDefter/GIRDI!B12),0))</f>
        <v/>
      </c>
      <c r="C903" s="31">
        <f>IF(OR($A903="",$A903&gt;IFERROR(GIRDI!B12,0)),"",IFERROR(IF(OR(GIRDI!B12="",GIRDI!B12=0),0,(ayd_netDefter+ayd_fark)/GIRDI!B12),0))</f>
        <v/>
      </c>
      <c r="D903" s="31">
        <f>IF($B903="","",IFERROR($C903-$B903,0))</f>
        <v/>
      </c>
      <c r="E903" s="31">
        <f>IF($B903="","",IFERROR($A903*$B903,0))</f>
        <v/>
      </c>
      <c r="F903" s="31">
        <f>IF($C903="","",IFERROR($A903*$C903,0))</f>
        <v/>
      </c>
      <c r="G903" s="31">
        <f>IF($B903="","",IFERROR(MAX(0,ayd_netDefter-$E903),0))</f>
        <v/>
      </c>
      <c r="H903" s="31">
        <f>IF($C903="","",IFERROR(MAX(0,ayd_netDefter+ayd_fark-$F903),0))</f>
        <v/>
      </c>
      <c r="I903" s="31">
        <f>IF($A903="","",IF($A903&gt;IFERROR(GIRDI!B12,0),"DIŞI","AKTİF"))</f>
        <v/>
      </c>
    </row>
    <row r="904">
      <c r="B904" s="31">
        <f>IF(OR($A904="",$A904&gt;IFERROR(GIRDI!B12,0)),"",IFERROR(IF(OR(GIRDI!B12="",GIRDI!B12=0),0,ayd_netDefter/GIRDI!B12),0))</f>
        <v/>
      </c>
      <c r="C904" s="31">
        <f>IF(OR($A904="",$A904&gt;IFERROR(GIRDI!B12,0)),"",IFERROR(IF(OR(GIRDI!B12="",GIRDI!B12=0),0,(ayd_netDefter+ayd_fark)/GIRDI!B12),0))</f>
        <v/>
      </c>
      <c r="D904" s="31">
        <f>IF($B904="","",IFERROR($C904-$B904,0))</f>
        <v/>
      </c>
      <c r="E904" s="31">
        <f>IF($B904="","",IFERROR($A904*$B904,0))</f>
        <v/>
      </c>
      <c r="F904" s="31">
        <f>IF($C904="","",IFERROR($A904*$C904,0))</f>
        <v/>
      </c>
      <c r="G904" s="31">
        <f>IF($B904="","",IFERROR(MAX(0,ayd_netDefter-$E904),0))</f>
        <v/>
      </c>
      <c r="H904" s="31">
        <f>IF($C904="","",IFERROR(MAX(0,ayd_netDefter+ayd_fark-$F904),0))</f>
        <v/>
      </c>
      <c r="I904" s="31">
        <f>IF($A904="","",IF($A904&gt;IFERROR(GIRDI!B12,0),"DIŞI","AKTİF"))</f>
        <v/>
      </c>
    </row>
    <row r="905">
      <c r="B905" s="31">
        <f>IF(OR($A905="",$A905&gt;IFERROR(GIRDI!B12,0)),"",IFERROR(IF(OR(GIRDI!B12="",GIRDI!B12=0),0,ayd_netDefter/GIRDI!B12),0))</f>
        <v/>
      </c>
      <c r="C905" s="31">
        <f>IF(OR($A905="",$A905&gt;IFERROR(GIRDI!B12,0)),"",IFERROR(IF(OR(GIRDI!B12="",GIRDI!B12=0),0,(ayd_netDefter+ayd_fark)/GIRDI!B12),0))</f>
        <v/>
      </c>
      <c r="D905" s="31">
        <f>IF($B905="","",IFERROR($C905-$B905,0))</f>
        <v/>
      </c>
      <c r="E905" s="31">
        <f>IF($B905="","",IFERROR($A905*$B905,0))</f>
        <v/>
      </c>
      <c r="F905" s="31">
        <f>IF($C905="","",IFERROR($A905*$C905,0))</f>
        <v/>
      </c>
      <c r="G905" s="31">
        <f>IF($B905="","",IFERROR(MAX(0,ayd_netDefter-$E905),0))</f>
        <v/>
      </c>
      <c r="H905" s="31">
        <f>IF($C905="","",IFERROR(MAX(0,ayd_netDefter+ayd_fark-$F905),0))</f>
        <v/>
      </c>
      <c r="I905" s="31">
        <f>IF($A905="","",IF($A905&gt;IFERROR(GIRDI!B12,0),"DIŞI","AKTİF"))</f>
        <v/>
      </c>
    </row>
    <row r="906">
      <c r="B906" s="31">
        <f>IF(OR($A906="",$A906&gt;IFERROR(GIRDI!B12,0)),"",IFERROR(IF(OR(GIRDI!B12="",GIRDI!B12=0),0,ayd_netDefter/GIRDI!B12),0))</f>
        <v/>
      </c>
      <c r="C906" s="31">
        <f>IF(OR($A906="",$A906&gt;IFERROR(GIRDI!B12,0)),"",IFERROR(IF(OR(GIRDI!B12="",GIRDI!B12=0),0,(ayd_netDefter+ayd_fark)/GIRDI!B12),0))</f>
        <v/>
      </c>
      <c r="D906" s="31">
        <f>IF($B906="","",IFERROR($C906-$B906,0))</f>
        <v/>
      </c>
      <c r="E906" s="31">
        <f>IF($B906="","",IFERROR($A906*$B906,0))</f>
        <v/>
      </c>
      <c r="F906" s="31">
        <f>IF($C906="","",IFERROR($A906*$C906,0))</f>
        <v/>
      </c>
      <c r="G906" s="31">
        <f>IF($B906="","",IFERROR(MAX(0,ayd_netDefter-$E906),0))</f>
        <v/>
      </c>
      <c r="H906" s="31">
        <f>IF($C906="","",IFERROR(MAX(0,ayd_netDefter+ayd_fark-$F906),0))</f>
        <v/>
      </c>
      <c r="I906" s="31">
        <f>IF($A906="","",IF($A906&gt;IFERROR(GIRDI!B12,0),"DIŞI","AKTİF"))</f>
        <v/>
      </c>
    </row>
    <row r="907">
      <c r="B907" s="31">
        <f>IF(OR($A907="",$A907&gt;IFERROR(GIRDI!B12,0)),"",IFERROR(IF(OR(GIRDI!B12="",GIRDI!B12=0),0,ayd_netDefter/GIRDI!B12),0))</f>
        <v/>
      </c>
      <c r="C907" s="31">
        <f>IF(OR($A907="",$A907&gt;IFERROR(GIRDI!B12,0)),"",IFERROR(IF(OR(GIRDI!B12="",GIRDI!B12=0),0,(ayd_netDefter+ayd_fark)/GIRDI!B12),0))</f>
        <v/>
      </c>
      <c r="D907" s="31">
        <f>IF($B907="","",IFERROR($C907-$B907,0))</f>
        <v/>
      </c>
      <c r="E907" s="31">
        <f>IF($B907="","",IFERROR($A907*$B907,0))</f>
        <v/>
      </c>
      <c r="F907" s="31">
        <f>IF($C907="","",IFERROR($A907*$C907,0))</f>
        <v/>
      </c>
      <c r="G907" s="31">
        <f>IF($B907="","",IFERROR(MAX(0,ayd_netDefter-$E907),0))</f>
        <v/>
      </c>
      <c r="H907" s="31">
        <f>IF($C907="","",IFERROR(MAX(0,ayd_netDefter+ayd_fark-$F907),0))</f>
        <v/>
      </c>
      <c r="I907" s="31">
        <f>IF($A907="","",IF($A907&gt;IFERROR(GIRDI!B12,0),"DIŞI","AKTİF"))</f>
        <v/>
      </c>
    </row>
    <row r="908">
      <c r="B908" s="31">
        <f>IF(OR($A908="",$A908&gt;IFERROR(GIRDI!B12,0)),"",IFERROR(IF(OR(GIRDI!B12="",GIRDI!B12=0),0,ayd_netDefter/GIRDI!B12),0))</f>
        <v/>
      </c>
      <c r="C908" s="31">
        <f>IF(OR($A908="",$A908&gt;IFERROR(GIRDI!B12,0)),"",IFERROR(IF(OR(GIRDI!B12="",GIRDI!B12=0),0,(ayd_netDefter+ayd_fark)/GIRDI!B12),0))</f>
        <v/>
      </c>
      <c r="D908" s="31">
        <f>IF($B908="","",IFERROR($C908-$B908,0))</f>
        <v/>
      </c>
      <c r="E908" s="31">
        <f>IF($B908="","",IFERROR($A908*$B908,0))</f>
        <v/>
      </c>
      <c r="F908" s="31">
        <f>IF($C908="","",IFERROR($A908*$C908,0))</f>
        <v/>
      </c>
      <c r="G908" s="31">
        <f>IF($B908="","",IFERROR(MAX(0,ayd_netDefter-$E908),0))</f>
        <v/>
      </c>
      <c r="H908" s="31">
        <f>IF($C908="","",IFERROR(MAX(0,ayd_netDefter+ayd_fark-$F908),0))</f>
        <v/>
      </c>
      <c r="I908" s="31">
        <f>IF($A908="","",IF($A908&gt;IFERROR(GIRDI!B12,0),"DIŞI","AKTİF"))</f>
        <v/>
      </c>
    </row>
    <row r="909">
      <c r="B909" s="31">
        <f>IF(OR($A909="",$A909&gt;IFERROR(GIRDI!B12,0)),"",IFERROR(IF(OR(GIRDI!B12="",GIRDI!B12=0),0,ayd_netDefter/GIRDI!B12),0))</f>
        <v/>
      </c>
      <c r="C909" s="31">
        <f>IF(OR($A909="",$A909&gt;IFERROR(GIRDI!B12,0)),"",IFERROR(IF(OR(GIRDI!B12="",GIRDI!B12=0),0,(ayd_netDefter+ayd_fark)/GIRDI!B12),0))</f>
        <v/>
      </c>
      <c r="D909" s="31">
        <f>IF($B909="","",IFERROR($C909-$B909,0))</f>
        <v/>
      </c>
      <c r="E909" s="31">
        <f>IF($B909="","",IFERROR($A909*$B909,0))</f>
        <v/>
      </c>
      <c r="F909" s="31">
        <f>IF($C909="","",IFERROR($A909*$C909,0))</f>
        <v/>
      </c>
      <c r="G909" s="31">
        <f>IF($B909="","",IFERROR(MAX(0,ayd_netDefter-$E909),0))</f>
        <v/>
      </c>
      <c r="H909" s="31">
        <f>IF($C909="","",IFERROR(MAX(0,ayd_netDefter+ayd_fark-$F909),0))</f>
        <v/>
      </c>
      <c r="I909" s="31">
        <f>IF($A909="","",IF($A909&gt;IFERROR(GIRDI!B12,0),"DIŞI","AKTİF"))</f>
        <v/>
      </c>
    </row>
    <row r="910">
      <c r="B910" s="31">
        <f>IF(OR($A910="",$A910&gt;IFERROR(GIRDI!B12,0)),"",IFERROR(IF(OR(GIRDI!B12="",GIRDI!B12=0),0,ayd_netDefter/GIRDI!B12),0))</f>
        <v/>
      </c>
      <c r="C910" s="31">
        <f>IF(OR($A910="",$A910&gt;IFERROR(GIRDI!B12,0)),"",IFERROR(IF(OR(GIRDI!B12="",GIRDI!B12=0),0,(ayd_netDefter+ayd_fark)/GIRDI!B12),0))</f>
        <v/>
      </c>
      <c r="D910" s="31">
        <f>IF($B910="","",IFERROR($C910-$B910,0))</f>
        <v/>
      </c>
      <c r="E910" s="31">
        <f>IF($B910="","",IFERROR($A910*$B910,0))</f>
        <v/>
      </c>
      <c r="F910" s="31">
        <f>IF($C910="","",IFERROR($A910*$C910,0))</f>
        <v/>
      </c>
      <c r="G910" s="31">
        <f>IF($B910="","",IFERROR(MAX(0,ayd_netDefter-$E910),0))</f>
        <v/>
      </c>
      <c r="H910" s="31">
        <f>IF($C910="","",IFERROR(MAX(0,ayd_netDefter+ayd_fark-$F910),0))</f>
        <v/>
      </c>
      <c r="I910" s="31">
        <f>IF($A910="","",IF($A910&gt;IFERROR(GIRDI!B12,0),"DIŞI","AKTİF"))</f>
        <v/>
      </c>
    </row>
    <row r="911">
      <c r="B911" s="31">
        <f>IF(OR($A911="",$A911&gt;IFERROR(GIRDI!B12,0)),"",IFERROR(IF(OR(GIRDI!B12="",GIRDI!B12=0),0,ayd_netDefter/GIRDI!B12),0))</f>
        <v/>
      </c>
      <c r="C911" s="31">
        <f>IF(OR($A911="",$A911&gt;IFERROR(GIRDI!B12,0)),"",IFERROR(IF(OR(GIRDI!B12="",GIRDI!B12=0),0,(ayd_netDefter+ayd_fark)/GIRDI!B12),0))</f>
        <v/>
      </c>
      <c r="D911" s="31">
        <f>IF($B911="","",IFERROR($C911-$B911,0))</f>
        <v/>
      </c>
      <c r="E911" s="31">
        <f>IF($B911="","",IFERROR($A911*$B911,0))</f>
        <v/>
      </c>
      <c r="F911" s="31">
        <f>IF($C911="","",IFERROR($A911*$C911,0))</f>
        <v/>
      </c>
      <c r="G911" s="31">
        <f>IF($B911="","",IFERROR(MAX(0,ayd_netDefter-$E911),0))</f>
        <v/>
      </c>
      <c r="H911" s="31">
        <f>IF($C911="","",IFERROR(MAX(0,ayd_netDefter+ayd_fark-$F911),0))</f>
        <v/>
      </c>
      <c r="I911" s="31">
        <f>IF($A911="","",IF($A911&gt;IFERROR(GIRDI!B12,0),"DIŞI","AKTİF"))</f>
        <v/>
      </c>
    </row>
    <row r="912">
      <c r="B912" s="31">
        <f>IF(OR($A912="",$A912&gt;IFERROR(GIRDI!B12,0)),"",IFERROR(IF(OR(GIRDI!B12="",GIRDI!B12=0),0,ayd_netDefter/GIRDI!B12),0))</f>
        <v/>
      </c>
      <c r="C912" s="31">
        <f>IF(OR($A912="",$A912&gt;IFERROR(GIRDI!B12,0)),"",IFERROR(IF(OR(GIRDI!B12="",GIRDI!B12=0),0,(ayd_netDefter+ayd_fark)/GIRDI!B12),0))</f>
        <v/>
      </c>
      <c r="D912" s="31">
        <f>IF($B912="","",IFERROR($C912-$B912,0))</f>
        <v/>
      </c>
      <c r="E912" s="31">
        <f>IF($B912="","",IFERROR($A912*$B912,0))</f>
        <v/>
      </c>
      <c r="F912" s="31">
        <f>IF($C912="","",IFERROR($A912*$C912,0))</f>
        <v/>
      </c>
      <c r="G912" s="31">
        <f>IF($B912="","",IFERROR(MAX(0,ayd_netDefter-$E912),0))</f>
        <v/>
      </c>
      <c r="H912" s="31">
        <f>IF($C912="","",IFERROR(MAX(0,ayd_netDefter+ayd_fark-$F912),0))</f>
        <v/>
      </c>
      <c r="I912" s="31">
        <f>IF($A912="","",IF($A912&gt;IFERROR(GIRDI!B12,0),"DIŞI","AKTİF"))</f>
        <v/>
      </c>
    </row>
    <row r="913">
      <c r="B913" s="31">
        <f>IF(OR($A913="",$A913&gt;IFERROR(GIRDI!B12,0)),"",IFERROR(IF(OR(GIRDI!B12="",GIRDI!B12=0),0,ayd_netDefter/GIRDI!B12),0))</f>
        <v/>
      </c>
      <c r="C913" s="31">
        <f>IF(OR($A913="",$A913&gt;IFERROR(GIRDI!B12,0)),"",IFERROR(IF(OR(GIRDI!B12="",GIRDI!B12=0),0,(ayd_netDefter+ayd_fark)/GIRDI!B12),0))</f>
        <v/>
      </c>
      <c r="D913" s="31">
        <f>IF($B913="","",IFERROR($C913-$B913,0))</f>
        <v/>
      </c>
      <c r="E913" s="31">
        <f>IF($B913="","",IFERROR($A913*$B913,0))</f>
        <v/>
      </c>
      <c r="F913" s="31">
        <f>IF($C913="","",IFERROR($A913*$C913,0))</f>
        <v/>
      </c>
      <c r="G913" s="31">
        <f>IF($B913="","",IFERROR(MAX(0,ayd_netDefter-$E913),0))</f>
        <v/>
      </c>
      <c r="H913" s="31">
        <f>IF($C913="","",IFERROR(MAX(0,ayd_netDefter+ayd_fark-$F913),0))</f>
        <v/>
      </c>
      <c r="I913" s="31">
        <f>IF($A913="","",IF($A913&gt;IFERROR(GIRDI!B12,0),"DIŞI","AKTİF"))</f>
        <v/>
      </c>
    </row>
    <row r="914">
      <c r="B914" s="31">
        <f>IF(OR($A914="",$A914&gt;IFERROR(GIRDI!B12,0)),"",IFERROR(IF(OR(GIRDI!B12="",GIRDI!B12=0),0,ayd_netDefter/GIRDI!B12),0))</f>
        <v/>
      </c>
      <c r="C914" s="31">
        <f>IF(OR($A914="",$A914&gt;IFERROR(GIRDI!B12,0)),"",IFERROR(IF(OR(GIRDI!B12="",GIRDI!B12=0),0,(ayd_netDefter+ayd_fark)/GIRDI!B12),0))</f>
        <v/>
      </c>
      <c r="D914" s="31">
        <f>IF($B914="","",IFERROR($C914-$B914,0))</f>
        <v/>
      </c>
      <c r="E914" s="31">
        <f>IF($B914="","",IFERROR($A914*$B914,0))</f>
        <v/>
      </c>
      <c r="F914" s="31">
        <f>IF($C914="","",IFERROR($A914*$C914,0))</f>
        <v/>
      </c>
      <c r="G914" s="31">
        <f>IF($B914="","",IFERROR(MAX(0,ayd_netDefter-$E914),0))</f>
        <v/>
      </c>
      <c r="H914" s="31">
        <f>IF($C914="","",IFERROR(MAX(0,ayd_netDefter+ayd_fark-$F914),0))</f>
        <v/>
      </c>
      <c r="I914" s="31">
        <f>IF($A914="","",IF($A914&gt;IFERROR(GIRDI!B12,0),"DIŞI","AKTİF"))</f>
        <v/>
      </c>
    </row>
    <row r="915">
      <c r="B915" s="31">
        <f>IF(OR($A915="",$A915&gt;IFERROR(GIRDI!B12,0)),"",IFERROR(IF(OR(GIRDI!B12="",GIRDI!B12=0),0,ayd_netDefter/GIRDI!B12),0))</f>
        <v/>
      </c>
      <c r="C915" s="31">
        <f>IF(OR($A915="",$A915&gt;IFERROR(GIRDI!B12,0)),"",IFERROR(IF(OR(GIRDI!B12="",GIRDI!B12=0),0,(ayd_netDefter+ayd_fark)/GIRDI!B12),0))</f>
        <v/>
      </c>
      <c r="D915" s="31">
        <f>IF($B915="","",IFERROR($C915-$B915,0))</f>
        <v/>
      </c>
      <c r="E915" s="31">
        <f>IF($B915="","",IFERROR($A915*$B915,0))</f>
        <v/>
      </c>
      <c r="F915" s="31">
        <f>IF($C915="","",IFERROR($A915*$C915,0))</f>
        <v/>
      </c>
      <c r="G915" s="31">
        <f>IF($B915="","",IFERROR(MAX(0,ayd_netDefter-$E915),0))</f>
        <v/>
      </c>
      <c r="H915" s="31">
        <f>IF($C915="","",IFERROR(MAX(0,ayd_netDefter+ayd_fark-$F915),0))</f>
        <v/>
      </c>
      <c r="I915" s="31">
        <f>IF($A915="","",IF($A915&gt;IFERROR(GIRDI!B12,0),"DIŞI","AKTİF"))</f>
        <v/>
      </c>
    </row>
    <row r="916">
      <c r="B916" s="31">
        <f>IF(OR($A916="",$A916&gt;IFERROR(GIRDI!B12,0)),"",IFERROR(IF(OR(GIRDI!B12="",GIRDI!B12=0),0,ayd_netDefter/GIRDI!B12),0))</f>
        <v/>
      </c>
      <c r="C916" s="31">
        <f>IF(OR($A916="",$A916&gt;IFERROR(GIRDI!B12,0)),"",IFERROR(IF(OR(GIRDI!B12="",GIRDI!B12=0),0,(ayd_netDefter+ayd_fark)/GIRDI!B12),0))</f>
        <v/>
      </c>
      <c r="D916" s="31">
        <f>IF($B916="","",IFERROR($C916-$B916,0))</f>
        <v/>
      </c>
      <c r="E916" s="31">
        <f>IF($B916="","",IFERROR($A916*$B916,0))</f>
        <v/>
      </c>
      <c r="F916" s="31">
        <f>IF($C916="","",IFERROR($A916*$C916,0))</f>
        <v/>
      </c>
      <c r="G916" s="31">
        <f>IF($B916="","",IFERROR(MAX(0,ayd_netDefter-$E916),0))</f>
        <v/>
      </c>
      <c r="H916" s="31">
        <f>IF($C916="","",IFERROR(MAX(0,ayd_netDefter+ayd_fark-$F916),0))</f>
        <v/>
      </c>
      <c r="I916" s="31">
        <f>IF($A916="","",IF($A916&gt;IFERROR(GIRDI!B12,0),"DIŞI","AKTİF"))</f>
        <v/>
      </c>
    </row>
    <row r="917">
      <c r="B917" s="31">
        <f>IF(OR($A917="",$A917&gt;IFERROR(GIRDI!B12,0)),"",IFERROR(IF(OR(GIRDI!B12="",GIRDI!B12=0),0,ayd_netDefter/GIRDI!B12),0))</f>
        <v/>
      </c>
      <c r="C917" s="31">
        <f>IF(OR($A917="",$A917&gt;IFERROR(GIRDI!B12,0)),"",IFERROR(IF(OR(GIRDI!B12="",GIRDI!B12=0),0,(ayd_netDefter+ayd_fark)/GIRDI!B12),0))</f>
        <v/>
      </c>
      <c r="D917" s="31">
        <f>IF($B917="","",IFERROR($C917-$B917,0))</f>
        <v/>
      </c>
      <c r="E917" s="31">
        <f>IF($B917="","",IFERROR($A917*$B917,0))</f>
        <v/>
      </c>
      <c r="F917" s="31">
        <f>IF($C917="","",IFERROR($A917*$C917,0))</f>
        <v/>
      </c>
      <c r="G917" s="31">
        <f>IF($B917="","",IFERROR(MAX(0,ayd_netDefter-$E917),0))</f>
        <v/>
      </c>
      <c r="H917" s="31">
        <f>IF($C917="","",IFERROR(MAX(0,ayd_netDefter+ayd_fark-$F917),0))</f>
        <v/>
      </c>
      <c r="I917" s="31">
        <f>IF($A917="","",IF($A917&gt;IFERROR(GIRDI!B12,0),"DIŞI","AKTİF"))</f>
        <v/>
      </c>
    </row>
    <row r="918">
      <c r="B918" s="31">
        <f>IF(OR($A918="",$A918&gt;IFERROR(GIRDI!B12,0)),"",IFERROR(IF(OR(GIRDI!B12="",GIRDI!B12=0),0,ayd_netDefter/GIRDI!B12),0))</f>
        <v/>
      </c>
      <c r="C918" s="31">
        <f>IF(OR($A918="",$A918&gt;IFERROR(GIRDI!B12,0)),"",IFERROR(IF(OR(GIRDI!B12="",GIRDI!B12=0),0,(ayd_netDefter+ayd_fark)/GIRDI!B12),0))</f>
        <v/>
      </c>
      <c r="D918" s="31">
        <f>IF($B918="","",IFERROR($C918-$B918,0))</f>
        <v/>
      </c>
      <c r="E918" s="31">
        <f>IF($B918="","",IFERROR($A918*$B918,0))</f>
        <v/>
      </c>
      <c r="F918" s="31">
        <f>IF($C918="","",IFERROR($A918*$C918,0))</f>
        <v/>
      </c>
      <c r="G918" s="31">
        <f>IF($B918="","",IFERROR(MAX(0,ayd_netDefter-$E918),0))</f>
        <v/>
      </c>
      <c r="H918" s="31">
        <f>IF($C918="","",IFERROR(MAX(0,ayd_netDefter+ayd_fark-$F918),0))</f>
        <v/>
      </c>
      <c r="I918" s="31">
        <f>IF($A918="","",IF($A918&gt;IFERROR(GIRDI!B12,0),"DIŞI","AKTİF"))</f>
        <v/>
      </c>
    </row>
    <row r="919">
      <c r="B919" s="31">
        <f>IF(OR($A919="",$A919&gt;IFERROR(GIRDI!B12,0)),"",IFERROR(IF(OR(GIRDI!B12="",GIRDI!B12=0),0,ayd_netDefter/GIRDI!B12),0))</f>
        <v/>
      </c>
      <c r="C919" s="31">
        <f>IF(OR($A919="",$A919&gt;IFERROR(GIRDI!B12,0)),"",IFERROR(IF(OR(GIRDI!B12="",GIRDI!B12=0),0,(ayd_netDefter+ayd_fark)/GIRDI!B12),0))</f>
        <v/>
      </c>
      <c r="D919" s="31">
        <f>IF($B919="","",IFERROR($C919-$B919,0))</f>
        <v/>
      </c>
      <c r="E919" s="31">
        <f>IF($B919="","",IFERROR($A919*$B919,0))</f>
        <v/>
      </c>
      <c r="F919" s="31">
        <f>IF($C919="","",IFERROR($A919*$C919,0))</f>
        <v/>
      </c>
      <c r="G919" s="31">
        <f>IF($B919="","",IFERROR(MAX(0,ayd_netDefter-$E919),0))</f>
        <v/>
      </c>
      <c r="H919" s="31">
        <f>IF($C919="","",IFERROR(MAX(0,ayd_netDefter+ayd_fark-$F919),0))</f>
        <v/>
      </c>
      <c r="I919" s="31">
        <f>IF($A919="","",IF($A919&gt;IFERROR(GIRDI!B12,0),"DIŞI","AKTİF"))</f>
        <v/>
      </c>
    </row>
    <row r="920">
      <c r="B920" s="31">
        <f>IF(OR($A920="",$A920&gt;IFERROR(GIRDI!B12,0)),"",IFERROR(IF(OR(GIRDI!B12="",GIRDI!B12=0),0,ayd_netDefter/GIRDI!B12),0))</f>
        <v/>
      </c>
      <c r="C920" s="31">
        <f>IF(OR($A920="",$A920&gt;IFERROR(GIRDI!B12,0)),"",IFERROR(IF(OR(GIRDI!B12="",GIRDI!B12=0),0,(ayd_netDefter+ayd_fark)/GIRDI!B12),0))</f>
        <v/>
      </c>
      <c r="D920" s="31">
        <f>IF($B920="","",IFERROR($C920-$B920,0))</f>
        <v/>
      </c>
      <c r="E920" s="31">
        <f>IF($B920="","",IFERROR($A920*$B920,0))</f>
        <v/>
      </c>
      <c r="F920" s="31">
        <f>IF($C920="","",IFERROR($A920*$C920,0))</f>
        <v/>
      </c>
      <c r="G920" s="31">
        <f>IF($B920="","",IFERROR(MAX(0,ayd_netDefter-$E920),0))</f>
        <v/>
      </c>
      <c r="H920" s="31">
        <f>IF($C920="","",IFERROR(MAX(0,ayd_netDefter+ayd_fark-$F920),0))</f>
        <v/>
      </c>
      <c r="I920" s="31">
        <f>IF($A920="","",IF($A920&gt;IFERROR(GIRDI!B12,0),"DIŞI","AKTİF"))</f>
        <v/>
      </c>
    </row>
    <row r="921">
      <c r="B921" s="31">
        <f>IF(OR($A921="",$A921&gt;IFERROR(GIRDI!B12,0)),"",IFERROR(IF(OR(GIRDI!B12="",GIRDI!B12=0),0,ayd_netDefter/GIRDI!B12),0))</f>
        <v/>
      </c>
      <c r="C921" s="31">
        <f>IF(OR($A921="",$A921&gt;IFERROR(GIRDI!B12,0)),"",IFERROR(IF(OR(GIRDI!B12="",GIRDI!B12=0),0,(ayd_netDefter+ayd_fark)/GIRDI!B12),0))</f>
        <v/>
      </c>
      <c r="D921" s="31">
        <f>IF($B921="","",IFERROR($C921-$B921,0))</f>
        <v/>
      </c>
      <c r="E921" s="31">
        <f>IF($B921="","",IFERROR($A921*$B921,0))</f>
        <v/>
      </c>
      <c r="F921" s="31">
        <f>IF($C921="","",IFERROR($A921*$C921,0))</f>
        <v/>
      </c>
      <c r="G921" s="31">
        <f>IF($B921="","",IFERROR(MAX(0,ayd_netDefter-$E921),0))</f>
        <v/>
      </c>
      <c r="H921" s="31">
        <f>IF($C921="","",IFERROR(MAX(0,ayd_netDefter+ayd_fark-$F921),0))</f>
        <v/>
      </c>
      <c r="I921" s="31">
        <f>IF($A921="","",IF($A921&gt;IFERROR(GIRDI!B12,0),"DIŞI","AKTİF"))</f>
        <v/>
      </c>
    </row>
    <row r="922">
      <c r="B922" s="31">
        <f>IF(OR($A922="",$A922&gt;IFERROR(GIRDI!B12,0)),"",IFERROR(IF(OR(GIRDI!B12="",GIRDI!B12=0),0,ayd_netDefter/GIRDI!B12),0))</f>
        <v/>
      </c>
      <c r="C922" s="31">
        <f>IF(OR($A922="",$A922&gt;IFERROR(GIRDI!B12,0)),"",IFERROR(IF(OR(GIRDI!B12="",GIRDI!B12=0),0,(ayd_netDefter+ayd_fark)/GIRDI!B12),0))</f>
        <v/>
      </c>
      <c r="D922" s="31">
        <f>IF($B922="","",IFERROR($C922-$B922,0))</f>
        <v/>
      </c>
      <c r="E922" s="31">
        <f>IF($B922="","",IFERROR($A922*$B922,0))</f>
        <v/>
      </c>
      <c r="F922" s="31">
        <f>IF($C922="","",IFERROR($A922*$C922,0))</f>
        <v/>
      </c>
      <c r="G922" s="31">
        <f>IF($B922="","",IFERROR(MAX(0,ayd_netDefter-$E922),0))</f>
        <v/>
      </c>
      <c r="H922" s="31">
        <f>IF($C922="","",IFERROR(MAX(0,ayd_netDefter+ayd_fark-$F922),0))</f>
        <v/>
      </c>
      <c r="I922" s="31">
        <f>IF($A922="","",IF($A922&gt;IFERROR(GIRDI!B12,0),"DIŞI","AKTİF"))</f>
        <v/>
      </c>
    </row>
    <row r="923">
      <c r="B923" s="31">
        <f>IF(OR($A923="",$A923&gt;IFERROR(GIRDI!B12,0)),"",IFERROR(IF(OR(GIRDI!B12="",GIRDI!B12=0),0,ayd_netDefter/GIRDI!B12),0))</f>
        <v/>
      </c>
      <c r="C923" s="31">
        <f>IF(OR($A923="",$A923&gt;IFERROR(GIRDI!B12,0)),"",IFERROR(IF(OR(GIRDI!B12="",GIRDI!B12=0),0,(ayd_netDefter+ayd_fark)/GIRDI!B12),0))</f>
        <v/>
      </c>
      <c r="D923" s="31">
        <f>IF($B923="","",IFERROR($C923-$B923,0))</f>
        <v/>
      </c>
      <c r="E923" s="31">
        <f>IF($B923="","",IFERROR($A923*$B923,0))</f>
        <v/>
      </c>
      <c r="F923" s="31">
        <f>IF($C923="","",IFERROR($A923*$C923,0))</f>
        <v/>
      </c>
      <c r="G923" s="31">
        <f>IF($B923="","",IFERROR(MAX(0,ayd_netDefter-$E923),0))</f>
        <v/>
      </c>
      <c r="H923" s="31">
        <f>IF($C923="","",IFERROR(MAX(0,ayd_netDefter+ayd_fark-$F923),0))</f>
        <v/>
      </c>
      <c r="I923" s="31">
        <f>IF($A923="","",IF($A923&gt;IFERROR(GIRDI!B12,0),"DIŞI","AKTİF"))</f>
        <v/>
      </c>
    </row>
    <row r="924">
      <c r="B924" s="31">
        <f>IF(OR($A924="",$A924&gt;IFERROR(GIRDI!B12,0)),"",IFERROR(IF(OR(GIRDI!B12="",GIRDI!B12=0),0,ayd_netDefter/GIRDI!B12),0))</f>
        <v/>
      </c>
      <c r="C924" s="31">
        <f>IF(OR($A924="",$A924&gt;IFERROR(GIRDI!B12,0)),"",IFERROR(IF(OR(GIRDI!B12="",GIRDI!B12=0),0,(ayd_netDefter+ayd_fark)/GIRDI!B12),0))</f>
        <v/>
      </c>
      <c r="D924" s="31">
        <f>IF($B924="","",IFERROR($C924-$B924,0))</f>
        <v/>
      </c>
      <c r="E924" s="31">
        <f>IF($B924="","",IFERROR($A924*$B924,0))</f>
        <v/>
      </c>
      <c r="F924" s="31">
        <f>IF($C924="","",IFERROR($A924*$C924,0))</f>
        <v/>
      </c>
      <c r="G924" s="31">
        <f>IF($B924="","",IFERROR(MAX(0,ayd_netDefter-$E924),0))</f>
        <v/>
      </c>
      <c r="H924" s="31">
        <f>IF($C924="","",IFERROR(MAX(0,ayd_netDefter+ayd_fark-$F924),0))</f>
        <v/>
      </c>
      <c r="I924" s="31">
        <f>IF($A924="","",IF($A924&gt;IFERROR(GIRDI!B12,0),"DIŞI","AKTİF"))</f>
        <v/>
      </c>
    </row>
    <row r="925">
      <c r="B925" s="31">
        <f>IF(OR($A925="",$A925&gt;IFERROR(GIRDI!B12,0)),"",IFERROR(IF(OR(GIRDI!B12="",GIRDI!B12=0),0,ayd_netDefter/GIRDI!B12),0))</f>
        <v/>
      </c>
      <c r="C925" s="31">
        <f>IF(OR($A925="",$A925&gt;IFERROR(GIRDI!B12,0)),"",IFERROR(IF(OR(GIRDI!B12="",GIRDI!B12=0),0,(ayd_netDefter+ayd_fark)/GIRDI!B12),0))</f>
        <v/>
      </c>
      <c r="D925" s="31">
        <f>IF($B925="","",IFERROR($C925-$B925,0))</f>
        <v/>
      </c>
      <c r="E925" s="31">
        <f>IF($B925="","",IFERROR($A925*$B925,0))</f>
        <v/>
      </c>
      <c r="F925" s="31">
        <f>IF($C925="","",IFERROR($A925*$C925,0))</f>
        <v/>
      </c>
      <c r="G925" s="31">
        <f>IF($B925="","",IFERROR(MAX(0,ayd_netDefter-$E925),0))</f>
        <v/>
      </c>
      <c r="H925" s="31">
        <f>IF($C925="","",IFERROR(MAX(0,ayd_netDefter+ayd_fark-$F925),0))</f>
        <v/>
      </c>
      <c r="I925" s="31">
        <f>IF($A925="","",IF($A925&gt;IFERROR(GIRDI!B12,0),"DIŞI","AKTİF"))</f>
        <v/>
      </c>
    </row>
    <row r="926">
      <c r="B926" s="31">
        <f>IF(OR($A926="",$A926&gt;IFERROR(GIRDI!B12,0)),"",IFERROR(IF(OR(GIRDI!B12="",GIRDI!B12=0),0,ayd_netDefter/GIRDI!B12),0))</f>
        <v/>
      </c>
      <c r="C926" s="31">
        <f>IF(OR($A926="",$A926&gt;IFERROR(GIRDI!B12,0)),"",IFERROR(IF(OR(GIRDI!B12="",GIRDI!B12=0),0,(ayd_netDefter+ayd_fark)/GIRDI!B12),0))</f>
        <v/>
      </c>
      <c r="D926" s="31">
        <f>IF($B926="","",IFERROR($C926-$B926,0))</f>
        <v/>
      </c>
      <c r="E926" s="31">
        <f>IF($B926="","",IFERROR($A926*$B926,0))</f>
        <v/>
      </c>
      <c r="F926" s="31">
        <f>IF($C926="","",IFERROR($A926*$C926,0))</f>
        <v/>
      </c>
      <c r="G926" s="31">
        <f>IF($B926="","",IFERROR(MAX(0,ayd_netDefter-$E926),0))</f>
        <v/>
      </c>
      <c r="H926" s="31">
        <f>IF($C926="","",IFERROR(MAX(0,ayd_netDefter+ayd_fark-$F926),0))</f>
        <v/>
      </c>
      <c r="I926" s="31">
        <f>IF($A926="","",IF($A926&gt;IFERROR(GIRDI!B12,0),"DIŞI","AKTİF"))</f>
        <v/>
      </c>
    </row>
    <row r="927">
      <c r="B927" s="31">
        <f>IF(OR($A927="",$A927&gt;IFERROR(GIRDI!B12,0)),"",IFERROR(IF(OR(GIRDI!B12="",GIRDI!B12=0),0,ayd_netDefter/GIRDI!B12),0))</f>
        <v/>
      </c>
      <c r="C927" s="31">
        <f>IF(OR($A927="",$A927&gt;IFERROR(GIRDI!B12,0)),"",IFERROR(IF(OR(GIRDI!B12="",GIRDI!B12=0),0,(ayd_netDefter+ayd_fark)/GIRDI!B12),0))</f>
        <v/>
      </c>
      <c r="D927" s="31">
        <f>IF($B927="","",IFERROR($C927-$B927,0))</f>
        <v/>
      </c>
      <c r="E927" s="31">
        <f>IF($B927="","",IFERROR($A927*$B927,0))</f>
        <v/>
      </c>
      <c r="F927" s="31">
        <f>IF($C927="","",IFERROR($A927*$C927,0))</f>
        <v/>
      </c>
      <c r="G927" s="31">
        <f>IF($B927="","",IFERROR(MAX(0,ayd_netDefter-$E927),0))</f>
        <v/>
      </c>
      <c r="H927" s="31">
        <f>IF($C927="","",IFERROR(MAX(0,ayd_netDefter+ayd_fark-$F927),0))</f>
        <v/>
      </c>
      <c r="I927" s="31">
        <f>IF($A927="","",IF($A927&gt;IFERROR(GIRDI!B12,0),"DIŞI","AKTİF"))</f>
        <v/>
      </c>
    </row>
    <row r="928">
      <c r="B928" s="31">
        <f>IF(OR($A928="",$A928&gt;IFERROR(GIRDI!B12,0)),"",IFERROR(IF(OR(GIRDI!B12="",GIRDI!B12=0),0,ayd_netDefter/GIRDI!B12),0))</f>
        <v/>
      </c>
      <c r="C928" s="31">
        <f>IF(OR($A928="",$A928&gt;IFERROR(GIRDI!B12,0)),"",IFERROR(IF(OR(GIRDI!B12="",GIRDI!B12=0),0,(ayd_netDefter+ayd_fark)/GIRDI!B12),0))</f>
        <v/>
      </c>
      <c r="D928" s="31">
        <f>IF($B928="","",IFERROR($C928-$B928,0))</f>
        <v/>
      </c>
      <c r="E928" s="31">
        <f>IF($B928="","",IFERROR($A928*$B928,0))</f>
        <v/>
      </c>
      <c r="F928" s="31">
        <f>IF($C928="","",IFERROR($A928*$C928,0))</f>
        <v/>
      </c>
      <c r="G928" s="31">
        <f>IF($B928="","",IFERROR(MAX(0,ayd_netDefter-$E928),0))</f>
        <v/>
      </c>
      <c r="H928" s="31">
        <f>IF($C928="","",IFERROR(MAX(0,ayd_netDefter+ayd_fark-$F928),0))</f>
        <v/>
      </c>
      <c r="I928" s="31">
        <f>IF($A928="","",IF($A928&gt;IFERROR(GIRDI!B12,0),"DIŞI","AKTİF"))</f>
        <v/>
      </c>
    </row>
    <row r="929">
      <c r="B929" s="31">
        <f>IF(OR($A929="",$A929&gt;IFERROR(GIRDI!B12,0)),"",IFERROR(IF(OR(GIRDI!B12="",GIRDI!B12=0),0,ayd_netDefter/GIRDI!B12),0))</f>
        <v/>
      </c>
      <c r="C929" s="31">
        <f>IF(OR($A929="",$A929&gt;IFERROR(GIRDI!B12,0)),"",IFERROR(IF(OR(GIRDI!B12="",GIRDI!B12=0),0,(ayd_netDefter+ayd_fark)/GIRDI!B12),0))</f>
        <v/>
      </c>
      <c r="D929" s="31">
        <f>IF($B929="","",IFERROR($C929-$B929,0))</f>
        <v/>
      </c>
      <c r="E929" s="31">
        <f>IF($B929="","",IFERROR($A929*$B929,0))</f>
        <v/>
      </c>
      <c r="F929" s="31">
        <f>IF($C929="","",IFERROR($A929*$C929,0))</f>
        <v/>
      </c>
      <c r="G929" s="31">
        <f>IF($B929="","",IFERROR(MAX(0,ayd_netDefter-$E929),0))</f>
        <v/>
      </c>
      <c r="H929" s="31">
        <f>IF($C929="","",IFERROR(MAX(0,ayd_netDefter+ayd_fark-$F929),0))</f>
        <v/>
      </c>
      <c r="I929" s="31">
        <f>IF($A929="","",IF($A929&gt;IFERROR(GIRDI!B12,0),"DIŞI","AKTİF"))</f>
        <v/>
      </c>
    </row>
    <row r="930">
      <c r="B930" s="31">
        <f>IF(OR($A930="",$A930&gt;IFERROR(GIRDI!B12,0)),"",IFERROR(IF(OR(GIRDI!B12="",GIRDI!B12=0),0,ayd_netDefter/GIRDI!B12),0))</f>
        <v/>
      </c>
      <c r="C930" s="31">
        <f>IF(OR($A930="",$A930&gt;IFERROR(GIRDI!B12,0)),"",IFERROR(IF(OR(GIRDI!B12="",GIRDI!B12=0),0,(ayd_netDefter+ayd_fark)/GIRDI!B12),0))</f>
        <v/>
      </c>
      <c r="D930" s="31">
        <f>IF($B930="","",IFERROR($C930-$B930,0))</f>
        <v/>
      </c>
      <c r="E930" s="31">
        <f>IF($B930="","",IFERROR($A930*$B930,0))</f>
        <v/>
      </c>
      <c r="F930" s="31">
        <f>IF($C930="","",IFERROR($A930*$C930,0))</f>
        <v/>
      </c>
      <c r="G930" s="31">
        <f>IF($B930="","",IFERROR(MAX(0,ayd_netDefter-$E930),0))</f>
        <v/>
      </c>
      <c r="H930" s="31">
        <f>IF($C930="","",IFERROR(MAX(0,ayd_netDefter+ayd_fark-$F930),0))</f>
        <v/>
      </c>
      <c r="I930" s="31">
        <f>IF($A930="","",IF($A930&gt;IFERROR(GIRDI!B12,0),"DIŞI","AKTİF"))</f>
        <v/>
      </c>
    </row>
    <row r="931">
      <c r="B931" s="31">
        <f>IF(OR($A931="",$A931&gt;IFERROR(GIRDI!B12,0)),"",IFERROR(IF(OR(GIRDI!B12="",GIRDI!B12=0),0,ayd_netDefter/GIRDI!B12),0))</f>
        <v/>
      </c>
      <c r="C931" s="31">
        <f>IF(OR($A931="",$A931&gt;IFERROR(GIRDI!B12,0)),"",IFERROR(IF(OR(GIRDI!B12="",GIRDI!B12=0),0,(ayd_netDefter+ayd_fark)/GIRDI!B12),0))</f>
        <v/>
      </c>
      <c r="D931" s="31">
        <f>IF($B931="","",IFERROR($C931-$B931,0))</f>
        <v/>
      </c>
      <c r="E931" s="31">
        <f>IF($B931="","",IFERROR($A931*$B931,0))</f>
        <v/>
      </c>
      <c r="F931" s="31">
        <f>IF($C931="","",IFERROR($A931*$C931,0))</f>
        <v/>
      </c>
      <c r="G931" s="31">
        <f>IF($B931="","",IFERROR(MAX(0,ayd_netDefter-$E931),0))</f>
        <v/>
      </c>
      <c r="H931" s="31">
        <f>IF($C931="","",IFERROR(MAX(0,ayd_netDefter+ayd_fark-$F931),0))</f>
        <v/>
      </c>
      <c r="I931" s="31">
        <f>IF($A931="","",IF($A931&gt;IFERROR(GIRDI!B12,0),"DIŞI","AKTİF"))</f>
        <v/>
      </c>
    </row>
    <row r="932">
      <c r="B932" s="31">
        <f>IF(OR($A932="",$A932&gt;IFERROR(GIRDI!B12,0)),"",IFERROR(IF(OR(GIRDI!B12="",GIRDI!B12=0),0,ayd_netDefter/GIRDI!B12),0))</f>
        <v/>
      </c>
      <c r="C932" s="31">
        <f>IF(OR($A932="",$A932&gt;IFERROR(GIRDI!B12,0)),"",IFERROR(IF(OR(GIRDI!B12="",GIRDI!B12=0),0,(ayd_netDefter+ayd_fark)/GIRDI!B12),0))</f>
        <v/>
      </c>
      <c r="D932" s="31">
        <f>IF($B932="","",IFERROR($C932-$B932,0))</f>
        <v/>
      </c>
      <c r="E932" s="31">
        <f>IF($B932="","",IFERROR($A932*$B932,0))</f>
        <v/>
      </c>
      <c r="F932" s="31">
        <f>IF($C932="","",IFERROR($A932*$C932,0))</f>
        <v/>
      </c>
      <c r="G932" s="31">
        <f>IF($B932="","",IFERROR(MAX(0,ayd_netDefter-$E932),0))</f>
        <v/>
      </c>
      <c r="H932" s="31">
        <f>IF($C932="","",IFERROR(MAX(0,ayd_netDefter+ayd_fark-$F932),0))</f>
        <v/>
      </c>
      <c r="I932" s="31">
        <f>IF($A932="","",IF($A932&gt;IFERROR(GIRDI!B12,0),"DIŞI","AKTİF"))</f>
        <v/>
      </c>
    </row>
    <row r="933">
      <c r="B933" s="31">
        <f>IF(OR($A933="",$A933&gt;IFERROR(GIRDI!B12,0)),"",IFERROR(IF(OR(GIRDI!B12="",GIRDI!B12=0),0,ayd_netDefter/GIRDI!B12),0))</f>
        <v/>
      </c>
      <c r="C933" s="31">
        <f>IF(OR($A933="",$A933&gt;IFERROR(GIRDI!B12,0)),"",IFERROR(IF(OR(GIRDI!B12="",GIRDI!B12=0),0,(ayd_netDefter+ayd_fark)/GIRDI!B12),0))</f>
        <v/>
      </c>
      <c r="D933" s="31">
        <f>IF($B933="","",IFERROR($C933-$B933,0))</f>
        <v/>
      </c>
      <c r="E933" s="31">
        <f>IF($B933="","",IFERROR($A933*$B933,0))</f>
        <v/>
      </c>
      <c r="F933" s="31">
        <f>IF($C933="","",IFERROR($A933*$C933,0))</f>
        <v/>
      </c>
      <c r="G933" s="31">
        <f>IF($B933="","",IFERROR(MAX(0,ayd_netDefter-$E933),0))</f>
        <v/>
      </c>
      <c r="H933" s="31">
        <f>IF($C933="","",IFERROR(MAX(0,ayd_netDefter+ayd_fark-$F933),0))</f>
        <v/>
      </c>
      <c r="I933" s="31">
        <f>IF($A933="","",IF($A933&gt;IFERROR(GIRDI!B12,0),"DIŞI","AKTİF"))</f>
        <v/>
      </c>
    </row>
    <row r="934">
      <c r="B934" s="31">
        <f>IF(OR($A934="",$A934&gt;IFERROR(GIRDI!B12,0)),"",IFERROR(IF(OR(GIRDI!B12="",GIRDI!B12=0),0,ayd_netDefter/GIRDI!B12),0))</f>
        <v/>
      </c>
      <c r="C934" s="31">
        <f>IF(OR($A934="",$A934&gt;IFERROR(GIRDI!B12,0)),"",IFERROR(IF(OR(GIRDI!B12="",GIRDI!B12=0),0,(ayd_netDefter+ayd_fark)/GIRDI!B12),0))</f>
        <v/>
      </c>
      <c r="D934" s="31">
        <f>IF($B934="","",IFERROR($C934-$B934,0))</f>
        <v/>
      </c>
      <c r="E934" s="31">
        <f>IF($B934="","",IFERROR($A934*$B934,0))</f>
        <v/>
      </c>
      <c r="F934" s="31">
        <f>IF($C934="","",IFERROR($A934*$C934,0))</f>
        <v/>
      </c>
      <c r="G934" s="31">
        <f>IF($B934="","",IFERROR(MAX(0,ayd_netDefter-$E934),0))</f>
        <v/>
      </c>
      <c r="H934" s="31">
        <f>IF($C934="","",IFERROR(MAX(0,ayd_netDefter+ayd_fark-$F934),0))</f>
        <v/>
      </c>
      <c r="I934" s="31">
        <f>IF($A934="","",IF($A934&gt;IFERROR(GIRDI!B12,0),"DIŞI","AKTİF"))</f>
        <v/>
      </c>
    </row>
    <row r="935">
      <c r="B935" s="31">
        <f>IF(OR($A935="",$A935&gt;IFERROR(GIRDI!B12,0)),"",IFERROR(IF(OR(GIRDI!B12="",GIRDI!B12=0),0,ayd_netDefter/GIRDI!B12),0))</f>
        <v/>
      </c>
      <c r="C935" s="31">
        <f>IF(OR($A935="",$A935&gt;IFERROR(GIRDI!B12,0)),"",IFERROR(IF(OR(GIRDI!B12="",GIRDI!B12=0),0,(ayd_netDefter+ayd_fark)/GIRDI!B12),0))</f>
        <v/>
      </c>
      <c r="D935" s="31">
        <f>IF($B935="","",IFERROR($C935-$B935,0))</f>
        <v/>
      </c>
      <c r="E935" s="31">
        <f>IF($B935="","",IFERROR($A935*$B935,0))</f>
        <v/>
      </c>
      <c r="F935" s="31">
        <f>IF($C935="","",IFERROR($A935*$C935,0))</f>
        <v/>
      </c>
      <c r="G935" s="31">
        <f>IF($B935="","",IFERROR(MAX(0,ayd_netDefter-$E935),0))</f>
        <v/>
      </c>
      <c r="H935" s="31">
        <f>IF($C935="","",IFERROR(MAX(0,ayd_netDefter+ayd_fark-$F935),0))</f>
        <v/>
      </c>
      <c r="I935" s="31">
        <f>IF($A935="","",IF($A935&gt;IFERROR(GIRDI!B12,0),"DIŞI","AKTİF"))</f>
        <v/>
      </c>
    </row>
    <row r="936">
      <c r="B936" s="31">
        <f>IF(OR($A936="",$A936&gt;IFERROR(GIRDI!B12,0)),"",IFERROR(IF(OR(GIRDI!B12="",GIRDI!B12=0),0,ayd_netDefter/GIRDI!B12),0))</f>
        <v/>
      </c>
      <c r="C936" s="31">
        <f>IF(OR($A936="",$A936&gt;IFERROR(GIRDI!B12,0)),"",IFERROR(IF(OR(GIRDI!B12="",GIRDI!B12=0),0,(ayd_netDefter+ayd_fark)/GIRDI!B12),0))</f>
        <v/>
      </c>
      <c r="D936" s="31">
        <f>IF($B936="","",IFERROR($C936-$B936,0))</f>
        <v/>
      </c>
      <c r="E936" s="31">
        <f>IF($B936="","",IFERROR($A936*$B936,0))</f>
        <v/>
      </c>
      <c r="F936" s="31">
        <f>IF($C936="","",IFERROR($A936*$C936,0))</f>
        <v/>
      </c>
      <c r="G936" s="31">
        <f>IF($B936="","",IFERROR(MAX(0,ayd_netDefter-$E936),0))</f>
        <v/>
      </c>
      <c r="H936" s="31">
        <f>IF($C936="","",IFERROR(MAX(0,ayd_netDefter+ayd_fark-$F936),0))</f>
        <v/>
      </c>
      <c r="I936" s="31">
        <f>IF($A936="","",IF($A936&gt;IFERROR(GIRDI!B12,0),"DIŞI","AKTİF"))</f>
        <v/>
      </c>
    </row>
    <row r="937">
      <c r="B937" s="31">
        <f>IF(OR($A937="",$A937&gt;IFERROR(GIRDI!B12,0)),"",IFERROR(IF(OR(GIRDI!B12="",GIRDI!B12=0),0,ayd_netDefter/GIRDI!B12),0))</f>
        <v/>
      </c>
      <c r="C937" s="31">
        <f>IF(OR($A937="",$A937&gt;IFERROR(GIRDI!B12,0)),"",IFERROR(IF(OR(GIRDI!B12="",GIRDI!B12=0),0,(ayd_netDefter+ayd_fark)/GIRDI!B12),0))</f>
        <v/>
      </c>
      <c r="D937" s="31">
        <f>IF($B937="","",IFERROR($C937-$B937,0))</f>
        <v/>
      </c>
      <c r="E937" s="31">
        <f>IF($B937="","",IFERROR($A937*$B937,0))</f>
        <v/>
      </c>
      <c r="F937" s="31">
        <f>IF($C937="","",IFERROR($A937*$C937,0))</f>
        <v/>
      </c>
      <c r="G937" s="31">
        <f>IF($B937="","",IFERROR(MAX(0,ayd_netDefter-$E937),0))</f>
        <v/>
      </c>
      <c r="H937" s="31">
        <f>IF($C937="","",IFERROR(MAX(0,ayd_netDefter+ayd_fark-$F937),0))</f>
        <v/>
      </c>
      <c r="I937" s="31">
        <f>IF($A937="","",IF($A937&gt;IFERROR(GIRDI!B12,0),"DIŞI","AKTİF"))</f>
        <v/>
      </c>
    </row>
    <row r="938">
      <c r="B938" s="31">
        <f>IF(OR($A938="",$A938&gt;IFERROR(GIRDI!B12,0)),"",IFERROR(IF(OR(GIRDI!B12="",GIRDI!B12=0),0,ayd_netDefter/GIRDI!B12),0))</f>
        <v/>
      </c>
      <c r="C938" s="31">
        <f>IF(OR($A938="",$A938&gt;IFERROR(GIRDI!B12,0)),"",IFERROR(IF(OR(GIRDI!B12="",GIRDI!B12=0),0,(ayd_netDefter+ayd_fark)/GIRDI!B12),0))</f>
        <v/>
      </c>
      <c r="D938" s="31">
        <f>IF($B938="","",IFERROR($C938-$B938,0))</f>
        <v/>
      </c>
      <c r="E938" s="31">
        <f>IF($B938="","",IFERROR($A938*$B938,0))</f>
        <v/>
      </c>
      <c r="F938" s="31">
        <f>IF($C938="","",IFERROR($A938*$C938,0))</f>
        <v/>
      </c>
      <c r="G938" s="31">
        <f>IF($B938="","",IFERROR(MAX(0,ayd_netDefter-$E938),0))</f>
        <v/>
      </c>
      <c r="H938" s="31">
        <f>IF($C938="","",IFERROR(MAX(0,ayd_netDefter+ayd_fark-$F938),0))</f>
        <v/>
      </c>
      <c r="I938" s="31">
        <f>IF($A938="","",IF($A938&gt;IFERROR(GIRDI!B12,0),"DIŞI","AKTİF"))</f>
        <v/>
      </c>
    </row>
    <row r="939">
      <c r="B939" s="31">
        <f>IF(OR($A939="",$A939&gt;IFERROR(GIRDI!B12,0)),"",IFERROR(IF(OR(GIRDI!B12="",GIRDI!B12=0),0,ayd_netDefter/GIRDI!B12),0))</f>
        <v/>
      </c>
      <c r="C939" s="31">
        <f>IF(OR($A939="",$A939&gt;IFERROR(GIRDI!B12,0)),"",IFERROR(IF(OR(GIRDI!B12="",GIRDI!B12=0),0,(ayd_netDefter+ayd_fark)/GIRDI!B12),0))</f>
        <v/>
      </c>
      <c r="D939" s="31">
        <f>IF($B939="","",IFERROR($C939-$B939,0))</f>
        <v/>
      </c>
      <c r="E939" s="31">
        <f>IF($B939="","",IFERROR($A939*$B939,0))</f>
        <v/>
      </c>
      <c r="F939" s="31">
        <f>IF($C939="","",IFERROR($A939*$C939,0))</f>
        <v/>
      </c>
      <c r="G939" s="31">
        <f>IF($B939="","",IFERROR(MAX(0,ayd_netDefter-$E939),0))</f>
        <v/>
      </c>
      <c r="H939" s="31">
        <f>IF($C939="","",IFERROR(MAX(0,ayd_netDefter+ayd_fark-$F939),0))</f>
        <v/>
      </c>
      <c r="I939" s="31">
        <f>IF($A939="","",IF($A939&gt;IFERROR(GIRDI!B12,0),"DIŞI","AKTİF"))</f>
        <v/>
      </c>
    </row>
    <row r="940">
      <c r="B940" s="31">
        <f>IF(OR($A940="",$A940&gt;IFERROR(GIRDI!B12,0)),"",IFERROR(IF(OR(GIRDI!B12="",GIRDI!B12=0),0,ayd_netDefter/GIRDI!B12),0))</f>
        <v/>
      </c>
      <c r="C940" s="31">
        <f>IF(OR($A940="",$A940&gt;IFERROR(GIRDI!B12,0)),"",IFERROR(IF(OR(GIRDI!B12="",GIRDI!B12=0),0,(ayd_netDefter+ayd_fark)/GIRDI!B12),0))</f>
        <v/>
      </c>
      <c r="D940" s="31">
        <f>IF($B940="","",IFERROR($C940-$B940,0))</f>
        <v/>
      </c>
      <c r="E940" s="31">
        <f>IF($B940="","",IFERROR($A940*$B940,0))</f>
        <v/>
      </c>
      <c r="F940" s="31">
        <f>IF($C940="","",IFERROR($A940*$C940,0))</f>
        <v/>
      </c>
      <c r="G940" s="31">
        <f>IF($B940="","",IFERROR(MAX(0,ayd_netDefter-$E940),0))</f>
        <v/>
      </c>
      <c r="H940" s="31">
        <f>IF($C940="","",IFERROR(MAX(0,ayd_netDefter+ayd_fark-$F940),0))</f>
        <v/>
      </c>
      <c r="I940" s="31">
        <f>IF($A940="","",IF($A940&gt;IFERROR(GIRDI!B12,0),"DIŞI","AKTİF"))</f>
        <v/>
      </c>
    </row>
    <row r="941">
      <c r="B941" s="31">
        <f>IF(OR($A941="",$A941&gt;IFERROR(GIRDI!B12,0)),"",IFERROR(IF(OR(GIRDI!B12="",GIRDI!B12=0),0,ayd_netDefter/GIRDI!B12),0))</f>
        <v/>
      </c>
      <c r="C941" s="31">
        <f>IF(OR($A941="",$A941&gt;IFERROR(GIRDI!B12,0)),"",IFERROR(IF(OR(GIRDI!B12="",GIRDI!B12=0),0,(ayd_netDefter+ayd_fark)/GIRDI!B12),0))</f>
        <v/>
      </c>
      <c r="D941" s="31">
        <f>IF($B941="","",IFERROR($C941-$B941,0))</f>
        <v/>
      </c>
      <c r="E941" s="31">
        <f>IF($B941="","",IFERROR($A941*$B941,0))</f>
        <v/>
      </c>
      <c r="F941" s="31">
        <f>IF($C941="","",IFERROR($A941*$C941,0))</f>
        <v/>
      </c>
      <c r="G941" s="31">
        <f>IF($B941="","",IFERROR(MAX(0,ayd_netDefter-$E941),0))</f>
        <v/>
      </c>
      <c r="H941" s="31">
        <f>IF($C941="","",IFERROR(MAX(0,ayd_netDefter+ayd_fark-$F941),0))</f>
        <v/>
      </c>
      <c r="I941" s="31">
        <f>IF($A941="","",IF($A941&gt;IFERROR(GIRDI!B12,0),"DIŞI","AKTİF"))</f>
        <v/>
      </c>
    </row>
    <row r="942">
      <c r="B942" s="31">
        <f>IF(OR($A942="",$A942&gt;IFERROR(GIRDI!B12,0)),"",IFERROR(IF(OR(GIRDI!B12="",GIRDI!B12=0),0,ayd_netDefter/GIRDI!B12),0))</f>
        <v/>
      </c>
      <c r="C942" s="31">
        <f>IF(OR($A942="",$A942&gt;IFERROR(GIRDI!B12,0)),"",IFERROR(IF(OR(GIRDI!B12="",GIRDI!B12=0),0,(ayd_netDefter+ayd_fark)/GIRDI!B12),0))</f>
        <v/>
      </c>
      <c r="D942" s="31">
        <f>IF($B942="","",IFERROR($C942-$B942,0))</f>
        <v/>
      </c>
      <c r="E942" s="31">
        <f>IF($B942="","",IFERROR($A942*$B942,0))</f>
        <v/>
      </c>
      <c r="F942" s="31">
        <f>IF($C942="","",IFERROR($A942*$C942,0))</f>
        <v/>
      </c>
      <c r="G942" s="31">
        <f>IF($B942="","",IFERROR(MAX(0,ayd_netDefter-$E942),0))</f>
        <v/>
      </c>
      <c r="H942" s="31">
        <f>IF($C942="","",IFERROR(MAX(0,ayd_netDefter+ayd_fark-$F942),0))</f>
        <v/>
      </c>
      <c r="I942" s="31">
        <f>IF($A942="","",IF($A942&gt;IFERROR(GIRDI!B12,0),"DIŞI","AKTİF"))</f>
        <v/>
      </c>
    </row>
    <row r="943">
      <c r="B943" s="31">
        <f>IF(OR($A943="",$A943&gt;IFERROR(GIRDI!B12,0)),"",IFERROR(IF(OR(GIRDI!B12="",GIRDI!B12=0),0,ayd_netDefter/GIRDI!B12),0))</f>
        <v/>
      </c>
      <c r="C943" s="31">
        <f>IF(OR($A943="",$A943&gt;IFERROR(GIRDI!B12,0)),"",IFERROR(IF(OR(GIRDI!B12="",GIRDI!B12=0),0,(ayd_netDefter+ayd_fark)/GIRDI!B12),0))</f>
        <v/>
      </c>
      <c r="D943" s="31">
        <f>IF($B943="","",IFERROR($C943-$B943,0))</f>
        <v/>
      </c>
      <c r="E943" s="31">
        <f>IF($B943="","",IFERROR($A943*$B943,0))</f>
        <v/>
      </c>
      <c r="F943" s="31">
        <f>IF($C943="","",IFERROR($A943*$C943,0))</f>
        <v/>
      </c>
      <c r="G943" s="31">
        <f>IF($B943="","",IFERROR(MAX(0,ayd_netDefter-$E943),0))</f>
        <v/>
      </c>
      <c r="H943" s="31">
        <f>IF($C943="","",IFERROR(MAX(0,ayd_netDefter+ayd_fark-$F943),0))</f>
        <v/>
      </c>
      <c r="I943" s="31">
        <f>IF($A943="","",IF($A943&gt;IFERROR(GIRDI!B12,0),"DIŞI","AKTİF"))</f>
        <v/>
      </c>
    </row>
    <row r="944">
      <c r="B944" s="31">
        <f>IF(OR($A944="",$A944&gt;IFERROR(GIRDI!B12,0)),"",IFERROR(IF(OR(GIRDI!B12="",GIRDI!B12=0),0,ayd_netDefter/GIRDI!B12),0))</f>
        <v/>
      </c>
      <c r="C944" s="31">
        <f>IF(OR($A944="",$A944&gt;IFERROR(GIRDI!B12,0)),"",IFERROR(IF(OR(GIRDI!B12="",GIRDI!B12=0),0,(ayd_netDefter+ayd_fark)/GIRDI!B12),0))</f>
        <v/>
      </c>
      <c r="D944" s="31">
        <f>IF($B944="","",IFERROR($C944-$B944,0))</f>
        <v/>
      </c>
      <c r="E944" s="31">
        <f>IF($B944="","",IFERROR($A944*$B944,0))</f>
        <v/>
      </c>
      <c r="F944" s="31">
        <f>IF($C944="","",IFERROR($A944*$C944,0))</f>
        <v/>
      </c>
      <c r="G944" s="31">
        <f>IF($B944="","",IFERROR(MAX(0,ayd_netDefter-$E944),0))</f>
        <v/>
      </c>
      <c r="H944" s="31">
        <f>IF($C944="","",IFERROR(MAX(0,ayd_netDefter+ayd_fark-$F944),0))</f>
        <v/>
      </c>
      <c r="I944" s="31">
        <f>IF($A944="","",IF($A944&gt;IFERROR(GIRDI!B12,0),"DIŞI","AKTİF"))</f>
        <v/>
      </c>
    </row>
    <row r="945">
      <c r="B945" s="31">
        <f>IF(OR($A945="",$A945&gt;IFERROR(GIRDI!B12,0)),"",IFERROR(IF(OR(GIRDI!B12="",GIRDI!B12=0),0,ayd_netDefter/GIRDI!B12),0))</f>
        <v/>
      </c>
      <c r="C945" s="31">
        <f>IF(OR($A945="",$A945&gt;IFERROR(GIRDI!B12,0)),"",IFERROR(IF(OR(GIRDI!B12="",GIRDI!B12=0),0,(ayd_netDefter+ayd_fark)/GIRDI!B12),0))</f>
        <v/>
      </c>
      <c r="D945" s="31">
        <f>IF($B945="","",IFERROR($C945-$B945,0))</f>
        <v/>
      </c>
      <c r="E945" s="31">
        <f>IF($B945="","",IFERROR($A945*$B945,0))</f>
        <v/>
      </c>
      <c r="F945" s="31">
        <f>IF($C945="","",IFERROR($A945*$C945,0))</f>
        <v/>
      </c>
      <c r="G945" s="31">
        <f>IF($B945="","",IFERROR(MAX(0,ayd_netDefter-$E945),0))</f>
        <v/>
      </c>
      <c r="H945" s="31">
        <f>IF($C945="","",IFERROR(MAX(0,ayd_netDefter+ayd_fark-$F945),0))</f>
        <v/>
      </c>
      <c r="I945" s="31">
        <f>IF($A945="","",IF($A945&gt;IFERROR(GIRDI!B12,0),"DIŞI","AKTİF"))</f>
        <v/>
      </c>
    </row>
    <row r="946">
      <c r="B946" s="31">
        <f>IF(OR($A946="",$A946&gt;IFERROR(GIRDI!B12,0)),"",IFERROR(IF(OR(GIRDI!B12="",GIRDI!B12=0),0,ayd_netDefter/GIRDI!B12),0))</f>
        <v/>
      </c>
      <c r="C946" s="31">
        <f>IF(OR($A946="",$A946&gt;IFERROR(GIRDI!B12,0)),"",IFERROR(IF(OR(GIRDI!B12="",GIRDI!B12=0),0,(ayd_netDefter+ayd_fark)/GIRDI!B12),0))</f>
        <v/>
      </c>
      <c r="D946" s="31">
        <f>IF($B946="","",IFERROR($C946-$B946,0))</f>
        <v/>
      </c>
      <c r="E946" s="31">
        <f>IF($B946="","",IFERROR($A946*$B946,0))</f>
        <v/>
      </c>
      <c r="F946" s="31">
        <f>IF($C946="","",IFERROR($A946*$C946,0))</f>
        <v/>
      </c>
      <c r="G946" s="31">
        <f>IF($B946="","",IFERROR(MAX(0,ayd_netDefter-$E946),0))</f>
        <v/>
      </c>
      <c r="H946" s="31">
        <f>IF($C946="","",IFERROR(MAX(0,ayd_netDefter+ayd_fark-$F946),0))</f>
        <v/>
      </c>
      <c r="I946" s="31">
        <f>IF($A946="","",IF($A946&gt;IFERROR(GIRDI!B12,0),"DIŞI","AKTİF"))</f>
        <v/>
      </c>
    </row>
    <row r="947">
      <c r="B947" s="31">
        <f>IF(OR($A947="",$A947&gt;IFERROR(GIRDI!B12,0)),"",IFERROR(IF(OR(GIRDI!B12="",GIRDI!B12=0),0,ayd_netDefter/GIRDI!B12),0))</f>
        <v/>
      </c>
      <c r="C947" s="31">
        <f>IF(OR($A947="",$A947&gt;IFERROR(GIRDI!B12,0)),"",IFERROR(IF(OR(GIRDI!B12="",GIRDI!B12=0),0,(ayd_netDefter+ayd_fark)/GIRDI!B12),0))</f>
        <v/>
      </c>
      <c r="D947" s="31">
        <f>IF($B947="","",IFERROR($C947-$B947,0))</f>
        <v/>
      </c>
      <c r="E947" s="31">
        <f>IF($B947="","",IFERROR($A947*$B947,0))</f>
        <v/>
      </c>
      <c r="F947" s="31">
        <f>IF($C947="","",IFERROR($A947*$C947,0))</f>
        <v/>
      </c>
      <c r="G947" s="31">
        <f>IF($B947="","",IFERROR(MAX(0,ayd_netDefter-$E947),0))</f>
        <v/>
      </c>
      <c r="H947" s="31">
        <f>IF($C947="","",IFERROR(MAX(0,ayd_netDefter+ayd_fark-$F947),0))</f>
        <v/>
      </c>
      <c r="I947" s="31">
        <f>IF($A947="","",IF($A947&gt;IFERROR(GIRDI!B12,0),"DIŞI","AKTİF"))</f>
        <v/>
      </c>
    </row>
    <row r="948">
      <c r="B948" s="31">
        <f>IF(OR($A948="",$A948&gt;IFERROR(GIRDI!B12,0)),"",IFERROR(IF(OR(GIRDI!B12="",GIRDI!B12=0),0,ayd_netDefter/GIRDI!B12),0))</f>
        <v/>
      </c>
      <c r="C948" s="31">
        <f>IF(OR($A948="",$A948&gt;IFERROR(GIRDI!B12,0)),"",IFERROR(IF(OR(GIRDI!B12="",GIRDI!B12=0),0,(ayd_netDefter+ayd_fark)/GIRDI!B12),0))</f>
        <v/>
      </c>
      <c r="D948" s="31">
        <f>IF($B948="","",IFERROR($C948-$B948,0))</f>
        <v/>
      </c>
      <c r="E948" s="31">
        <f>IF($B948="","",IFERROR($A948*$B948,0))</f>
        <v/>
      </c>
      <c r="F948" s="31">
        <f>IF($C948="","",IFERROR($A948*$C948,0))</f>
        <v/>
      </c>
      <c r="G948" s="31">
        <f>IF($B948="","",IFERROR(MAX(0,ayd_netDefter-$E948),0))</f>
        <v/>
      </c>
      <c r="H948" s="31">
        <f>IF($C948="","",IFERROR(MAX(0,ayd_netDefter+ayd_fark-$F948),0))</f>
        <v/>
      </c>
      <c r="I948" s="31">
        <f>IF($A948="","",IF($A948&gt;IFERROR(GIRDI!B12,0),"DIŞI","AKTİF"))</f>
        <v/>
      </c>
    </row>
    <row r="949">
      <c r="B949" s="31">
        <f>IF(OR($A949="",$A949&gt;IFERROR(GIRDI!B12,0)),"",IFERROR(IF(OR(GIRDI!B12="",GIRDI!B12=0),0,ayd_netDefter/GIRDI!B12),0))</f>
        <v/>
      </c>
      <c r="C949" s="31">
        <f>IF(OR($A949="",$A949&gt;IFERROR(GIRDI!B12,0)),"",IFERROR(IF(OR(GIRDI!B12="",GIRDI!B12=0),0,(ayd_netDefter+ayd_fark)/GIRDI!B12),0))</f>
        <v/>
      </c>
      <c r="D949" s="31">
        <f>IF($B949="","",IFERROR($C949-$B949,0))</f>
        <v/>
      </c>
      <c r="E949" s="31">
        <f>IF($B949="","",IFERROR($A949*$B949,0))</f>
        <v/>
      </c>
      <c r="F949" s="31">
        <f>IF($C949="","",IFERROR($A949*$C949,0))</f>
        <v/>
      </c>
      <c r="G949" s="31">
        <f>IF($B949="","",IFERROR(MAX(0,ayd_netDefter-$E949),0))</f>
        <v/>
      </c>
      <c r="H949" s="31">
        <f>IF($C949="","",IFERROR(MAX(0,ayd_netDefter+ayd_fark-$F949),0))</f>
        <v/>
      </c>
      <c r="I949" s="31">
        <f>IF($A949="","",IF($A949&gt;IFERROR(GIRDI!B12,0),"DIŞI","AKTİF"))</f>
        <v/>
      </c>
    </row>
    <row r="950">
      <c r="B950" s="31">
        <f>IF(OR($A950="",$A950&gt;IFERROR(GIRDI!B12,0)),"",IFERROR(IF(OR(GIRDI!B12="",GIRDI!B12=0),0,ayd_netDefter/GIRDI!B12),0))</f>
        <v/>
      </c>
      <c r="C950" s="31">
        <f>IF(OR($A950="",$A950&gt;IFERROR(GIRDI!B12,0)),"",IFERROR(IF(OR(GIRDI!B12="",GIRDI!B12=0),0,(ayd_netDefter+ayd_fark)/GIRDI!B12),0))</f>
        <v/>
      </c>
      <c r="D950" s="31">
        <f>IF($B950="","",IFERROR($C950-$B950,0))</f>
        <v/>
      </c>
      <c r="E950" s="31">
        <f>IF($B950="","",IFERROR($A950*$B950,0))</f>
        <v/>
      </c>
      <c r="F950" s="31">
        <f>IF($C950="","",IFERROR($A950*$C950,0))</f>
        <v/>
      </c>
      <c r="G950" s="31">
        <f>IF($B950="","",IFERROR(MAX(0,ayd_netDefter-$E950),0))</f>
        <v/>
      </c>
      <c r="H950" s="31">
        <f>IF($C950="","",IFERROR(MAX(0,ayd_netDefter+ayd_fark-$F950),0))</f>
        <v/>
      </c>
      <c r="I950" s="31">
        <f>IF($A950="","",IF($A950&gt;IFERROR(GIRDI!B12,0),"DIŞI","AKTİF"))</f>
        <v/>
      </c>
    </row>
    <row r="951">
      <c r="B951" s="31">
        <f>IF(OR($A951="",$A951&gt;IFERROR(GIRDI!B12,0)),"",IFERROR(IF(OR(GIRDI!B12="",GIRDI!B12=0),0,ayd_netDefter/GIRDI!B12),0))</f>
        <v/>
      </c>
      <c r="C951" s="31">
        <f>IF(OR($A951="",$A951&gt;IFERROR(GIRDI!B12,0)),"",IFERROR(IF(OR(GIRDI!B12="",GIRDI!B12=0),0,(ayd_netDefter+ayd_fark)/GIRDI!B12),0))</f>
        <v/>
      </c>
      <c r="D951" s="31">
        <f>IF($B951="","",IFERROR($C951-$B951,0))</f>
        <v/>
      </c>
      <c r="E951" s="31">
        <f>IF($B951="","",IFERROR($A951*$B951,0))</f>
        <v/>
      </c>
      <c r="F951" s="31">
        <f>IF($C951="","",IFERROR($A951*$C951,0))</f>
        <v/>
      </c>
      <c r="G951" s="31">
        <f>IF($B951="","",IFERROR(MAX(0,ayd_netDefter-$E951),0))</f>
        <v/>
      </c>
      <c r="H951" s="31">
        <f>IF($C951="","",IFERROR(MAX(0,ayd_netDefter+ayd_fark-$F951),0))</f>
        <v/>
      </c>
      <c r="I951" s="31">
        <f>IF($A951="","",IF($A951&gt;IFERROR(GIRDI!B12,0),"DIŞI","AKTİF"))</f>
        <v/>
      </c>
    </row>
    <row r="952">
      <c r="B952" s="31">
        <f>IF(OR($A952="",$A952&gt;IFERROR(GIRDI!B12,0)),"",IFERROR(IF(OR(GIRDI!B12="",GIRDI!B12=0),0,ayd_netDefter/GIRDI!B12),0))</f>
        <v/>
      </c>
      <c r="C952" s="31">
        <f>IF(OR($A952="",$A952&gt;IFERROR(GIRDI!B12,0)),"",IFERROR(IF(OR(GIRDI!B12="",GIRDI!B12=0),0,(ayd_netDefter+ayd_fark)/GIRDI!B12),0))</f>
        <v/>
      </c>
      <c r="D952" s="31">
        <f>IF($B952="","",IFERROR($C952-$B952,0))</f>
        <v/>
      </c>
      <c r="E952" s="31">
        <f>IF($B952="","",IFERROR($A952*$B952,0))</f>
        <v/>
      </c>
      <c r="F952" s="31">
        <f>IF($C952="","",IFERROR($A952*$C952,0))</f>
        <v/>
      </c>
      <c r="G952" s="31">
        <f>IF($B952="","",IFERROR(MAX(0,ayd_netDefter-$E952),0))</f>
        <v/>
      </c>
      <c r="H952" s="31">
        <f>IF($C952="","",IFERROR(MAX(0,ayd_netDefter+ayd_fark-$F952),0))</f>
        <v/>
      </c>
      <c r="I952" s="31">
        <f>IF($A952="","",IF($A952&gt;IFERROR(GIRDI!B12,0),"DIŞI","AKTİF"))</f>
        <v/>
      </c>
    </row>
    <row r="953">
      <c r="B953" s="31">
        <f>IF(OR($A953="",$A953&gt;IFERROR(GIRDI!B12,0)),"",IFERROR(IF(OR(GIRDI!B12="",GIRDI!B12=0),0,ayd_netDefter/GIRDI!B12),0))</f>
        <v/>
      </c>
      <c r="C953" s="31">
        <f>IF(OR($A953="",$A953&gt;IFERROR(GIRDI!B12,0)),"",IFERROR(IF(OR(GIRDI!B12="",GIRDI!B12=0),0,(ayd_netDefter+ayd_fark)/GIRDI!B12),0))</f>
        <v/>
      </c>
      <c r="D953" s="31">
        <f>IF($B953="","",IFERROR($C953-$B953,0))</f>
        <v/>
      </c>
      <c r="E953" s="31">
        <f>IF($B953="","",IFERROR($A953*$B953,0))</f>
        <v/>
      </c>
      <c r="F953" s="31">
        <f>IF($C953="","",IFERROR($A953*$C953,0))</f>
        <v/>
      </c>
      <c r="G953" s="31">
        <f>IF($B953="","",IFERROR(MAX(0,ayd_netDefter-$E953),0))</f>
        <v/>
      </c>
      <c r="H953" s="31">
        <f>IF($C953="","",IFERROR(MAX(0,ayd_netDefter+ayd_fark-$F953),0))</f>
        <v/>
      </c>
      <c r="I953" s="31">
        <f>IF($A953="","",IF($A953&gt;IFERROR(GIRDI!B12,0),"DIŞI","AKTİF"))</f>
        <v/>
      </c>
    </row>
    <row r="954">
      <c r="B954" s="31">
        <f>IF(OR($A954="",$A954&gt;IFERROR(GIRDI!B12,0)),"",IFERROR(IF(OR(GIRDI!B12="",GIRDI!B12=0),0,ayd_netDefter/GIRDI!B12),0))</f>
        <v/>
      </c>
      <c r="C954" s="31">
        <f>IF(OR($A954="",$A954&gt;IFERROR(GIRDI!B12,0)),"",IFERROR(IF(OR(GIRDI!B12="",GIRDI!B12=0),0,(ayd_netDefter+ayd_fark)/GIRDI!B12),0))</f>
        <v/>
      </c>
      <c r="D954" s="31">
        <f>IF($B954="","",IFERROR($C954-$B954,0))</f>
        <v/>
      </c>
      <c r="E954" s="31">
        <f>IF($B954="","",IFERROR($A954*$B954,0))</f>
        <v/>
      </c>
      <c r="F954" s="31">
        <f>IF($C954="","",IFERROR($A954*$C954,0))</f>
        <v/>
      </c>
      <c r="G954" s="31">
        <f>IF($B954="","",IFERROR(MAX(0,ayd_netDefter-$E954),0))</f>
        <v/>
      </c>
      <c r="H954" s="31">
        <f>IF($C954="","",IFERROR(MAX(0,ayd_netDefter+ayd_fark-$F954),0))</f>
        <v/>
      </c>
      <c r="I954" s="31">
        <f>IF($A954="","",IF($A954&gt;IFERROR(GIRDI!B12,0),"DIŞI","AKTİF"))</f>
        <v/>
      </c>
    </row>
    <row r="955">
      <c r="B955" s="31">
        <f>IF(OR($A955="",$A955&gt;IFERROR(GIRDI!B12,0)),"",IFERROR(IF(OR(GIRDI!B12="",GIRDI!B12=0),0,ayd_netDefter/GIRDI!B12),0))</f>
        <v/>
      </c>
      <c r="C955" s="31">
        <f>IF(OR($A955="",$A955&gt;IFERROR(GIRDI!B12,0)),"",IFERROR(IF(OR(GIRDI!B12="",GIRDI!B12=0),0,(ayd_netDefter+ayd_fark)/GIRDI!B12),0))</f>
        <v/>
      </c>
      <c r="D955" s="31">
        <f>IF($B955="","",IFERROR($C955-$B955,0))</f>
        <v/>
      </c>
      <c r="E955" s="31">
        <f>IF($B955="","",IFERROR($A955*$B955,0))</f>
        <v/>
      </c>
      <c r="F955" s="31">
        <f>IF($C955="","",IFERROR($A955*$C955,0))</f>
        <v/>
      </c>
      <c r="G955" s="31">
        <f>IF($B955="","",IFERROR(MAX(0,ayd_netDefter-$E955),0))</f>
        <v/>
      </c>
      <c r="H955" s="31">
        <f>IF($C955="","",IFERROR(MAX(0,ayd_netDefter+ayd_fark-$F955),0))</f>
        <v/>
      </c>
      <c r="I955" s="31">
        <f>IF($A955="","",IF($A955&gt;IFERROR(GIRDI!B12,0),"DIŞI","AKTİF"))</f>
        <v/>
      </c>
    </row>
    <row r="956">
      <c r="B956" s="31">
        <f>IF(OR($A956="",$A956&gt;IFERROR(GIRDI!B12,0)),"",IFERROR(IF(OR(GIRDI!B12="",GIRDI!B12=0),0,ayd_netDefter/GIRDI!B12),0))</f>
        <v/>
      </c>
      <c r="C956" s="31">
        <f>IF(OR($A956="",$A956&gt;IFERROR(GIRDI!B12,0)),"",IFERROR(IF(OR(GIRDI!B12="",GIRDI!B12=0),0,(ayd_netDefter+ayd_fark)/GIRDI!B12),0))</f>
        <v/>
      </c>
      <c r="D956" s="31">
        <f>IF($B956="","",IFERROR($C956-$B956,0))</f>
        <v/>
      </c>
      <c r="E956" s="31">
        <f>IF($B956="","",IFERROR($A956*$B956,0))</f>
        <v/>
      </c>
      <c r="F956" s="31">
        <f>IF($C956="","",IFERROR($A956*$C956,0))</f>
        <v/>
      </c>
      <c r="G956" s="31">
        <f>IF($B956="","",IFERROR(MAX(0,ayd_netDefter-$E956),0))</f>
        <v/>
      </c>
      <c r="H956" s="31">
        <f>IF($C956="","",IFERROR(MAX(0,ayd_netDefter+ayd_fark-$F956),0))</f>
        <v/>
      </c>
      <c r="I956" s="31">
        <f>IF($A956="","",IF($A956&gt;IFERROR(GIRDI!B12,0),"DIŞI","AKTİF"))</f>
        <v/>
      </c>
    </row>
    <row r="957">
      <c r="B957" s="31">
        <f>IF(OR($A957="",$A957&gt;IFERROR(GIRDI!B12,0)),"",IFERROR(IF(OR(GIRDI!B12="",GIRDI!B12=0),0,ayd_netDefter/GIRDI!B12),0))</f>
        <v/>
      </c>
      <c r="C957" s="31">
        <f>IF(OR($A957="",$A957&gt;IFERROR(GIRDI!B12,0)),"",IFERROR(IF(OR(GIRDI!B12="",GIRDI!B12=0),0,(ayd_netDefter+ayd_fark)/GIRDI!B12),0))</f>
        <v/>
      </c>
      <c r="D957" s="31">
        <f>IF($B957="","",IFERROR($C957-$B957,0))</f>
        <v/>
      </c>
      <c r="E957" s="31">
        <f>IF($B957="","",IFERROR($A957*$B957,0))</f>
        <v/>
      </c>
      <c r="F957" s="31">
        <f>IF($C957="","",IFERROR($A957*$C957,0))</f>
        <v/>
      </c>
      <c r="G957" s="31">
        <f>IF($B957="","",IFERROR(MAX(0,ayd_netDefter-$E957),0))</f>
        <v/>
      </c>
      <c r="H957" s="31">
        <f>IF($C957="","",IFERROR(MAX(0,ayd_netDefter+ayd_fark-$F957),0))</f>
        <v/>
      </c>
      <c r="I957" s="31">
        <f>IF($A957="","",IF($A957&gt;IFERROR(GIRDI!B12,0),"DIŞI","AKTİF"))</f>
        <v/>
      </c>
    </row>
    <row r="958">
      <c r="B958" s="31">
        <f>IF(OR($A958="",$A958&gt;IFERROR(GIRDI!B12,0)),"",IFERROR(IF(OR(GIRDI!B12="",GIRDI!B12=0),0,ayd_netDefter/GIRDI!B12),0))</f>
        <v/>
      </c>
      <c r="C958" s="31">
        <f>IF(OR($A958="",$A958&gt;IFERROR(GIRDI!B12,0)),"",IFERROR(IF(OR(GIRDI!B12="",GIRDI!B12=0),0,(ayd_netDefter+ayd_fark)/GIRDI!B12),0))</f>
        <v/>
      </c>
      <c r="D958" s="31">
        <f>IF($B958="","",IFERROR($C958-$B958,0))</f>
        <v/>
      </c>
      <c r="E958" s="31">
        <f>IF($B958="","",IFERROR($A958*$B958,0))</f>
        <v/>
      </c>
      <c r="F958" s="31">
        <f>IF($C958="","",IFERROR($A958*$C958,0))</f>
        <v/>
      </c>
      <c r="G958" s="31">
        <f>IF($B958="","",IFERROR(MAX(0,ayd_netDefter-$E958),0))</f>
        <v/>
      </c>
      <c r="H958" s="31">
        <f>IF($C958="","",IFERROR(MAX(0,ayd_netDefter+ayd_fark-$F958),0))</f>
        <v/>
      </c>
      <c r="I958" s="31">
        <f>IF($A958="","",IF($A958&gt;IFERROR(GIRDI!B12,0),"DIŞI","AKTİF"))</f>
        <v/>
      </c>
    </row>
    <row r="959">
      <c r="B959" s="31">
        <f>IF(OR($A959="",$A959&gt;IFERROR(GIRDI!B12,0)),"",IFERROR(IF(OR(GIRDI!B12="",GIRDI!B12=0),0,ayd_netDefter/GIRDI!B12),0))</f>
        <v/>
      </c>
      <c r="C959" s="31">
        <f>IF(OR($A959="",$A959&gt;IFERROR(GIRDI!B12,0)),"",IFERROR(IF(OR(GIRDI!B12="",GIRDI!B12=0),0,(ayd_netDefter+ayd_fark)/GIRDI!B12),0))</f>
        <v/>
      </c>
      <c r="D959" s="31">
        <f>IF($B959="","",IFERROR($C959-$B959,0))</f>
        <v/>
      </c>
      <c r="E959" s="31">
        <f>IF($B959="","",IFERROR($A959*$B959,0))</f>
        <v/>
      </c>
      <c r="F959" s="31">
        <f>IF($C959="","",IFERROR($A959*$C959,0))</f>
        <v/>
      </c>
      <c r="G959" s="31">
        <f>IF($B959="","",IFERROR(MAX(0,ayd_netDefter-$E959),0))</f>
        <v/>
      </c>
      <c r="H959" s="31">
        <f>IF($C959="","",IFERROR(MAX(0,ayd_netDefter+ayd_fark-$F959),0))</f>
        <v/>
      </c>
      <c r="I959" s="31">
        <f>IF($A959="","",IF($A959&gt;IFERROR(GIRDI!B12,0),"DIŞI","AKTİF"))</f>
        <v/>
      </c>
    </row>
    <row r="960">
      <c r="B960" s="31">
        <f>IF(OR($A960="",$A960&gt;IFERROR(GIRDI!B12,0)),"",IFERROR(IF(OR(GIRDI!B12="",GIRDI!B12=0),0,ayd_netDefter/GIRDI!B12),0))</f>
        <v/>
      </c>
      <c r="C960" s="31">
        <f>IF(OR($A960="",$A960&gt;IFERROR(GIRDI!B12,0)),"",IFERROR(IF(OR(GIRDI!B12="",GIRDI!B12=0),0,(ayd_netDefter+ayd_fark)/GIRDI!B12),0))</f>
        <v/>
      </c>
      <c r="D960" s="31">
        <f>IF($B960="","",IFERROR($C960-$B960,0))</f>
        <v/>
      </c>
      <c r="E960" s="31">
        <f>IF($B960="","",IFERROR($A960*$B960,0))</f>
        <v/>
      </c>
      <c r="F960" s="31">
        <f>IF($C960="","",IFERROR($A960*$C960,0))</f>
        <v/>
      </c>
      <c r="G960" s="31">
        <f>IF($B960="","",IFERROR(MAX(0,ayd_netDefter-$E960),0))</f>
        <v/>
      </c>
      <c r="H960" s="31">
        <f>IF($C960="","",IFERROR(MAX(0,ayd_netDefter+ayd_fark-$F960),0))</f>
        <v/>
      </c>
      <c r="I960" s="31">
        <f>IF($A960="","",IF($A960&gt;IFERROR(GIRDI!B12,0),"DIŞI","AKTİF"))</f>
        <v/>
      </c>
    </row>
    <row r="961">
      <c r="B961" s="31">
        <f>IF(OR($A961="",$A961&gt;IFERROR(GIRDI!B12,0)),"",IFERROR(IF(OR(GIRDI!B12="",GIRDI!B12=0),0,ayd_netDefter/GIRDI!B12),0))</f>
        <v/>
      </c>
      <c r="C961" s="31">
        <f>IF(OR($A961="",$A961&gt;IFERROR(GIRDI!B12,0)),"",IFERROR(IF(OR(GIRDI!B12="",GIRDI!B12=0),0,(ayd_netDefter+ayd_fark)/GIRDI!B12),0))</f>
        <v/>
      </c>
      <c r="D961" s="31">
        <f>IF($B961="","",IFERROR($C961-$B961,0))</f>
        <v/>
      </c>
      <c r="E961" s="31">
        <f>IF($B961="","",IFERROR($A961*$B961,0))</f>
        <v/>
      </c>
      <c r="F961" s="31">
        <f>IF($C961="","",IFERROR($A961*$C961,0))</f>
        <v/>
      </c>
      <c r="G961" s="31">
        <f>IF($B961="","",IFERROR(MAX(0,ayd_netDefter-$E961),0))</f>
        <v/>
      </c>
      <c r="H961" s="31">
        <f>IF($C961="","",IFERROR(MAX(0,ayd_netDefter+ayd_fark-$F961),0))</f>
        <v/>
      </c>
      <c r="I961" s="31">
        <f>IF($A961="","",IF($A961&gt;IFERROR(GIRDI!B12,0),"DIŞI","AKTİF"))</f>
        <v/>
      </c>
    </row>
    <row r="962">
      <c r="B962" s="31">
        <f>IF(OR($A962="",$A962&gt;IFERROR(GIRDI!B12,0)),"",IFERROR(IF(OR(GIRDI!B12="",GIRDI!B12=0),0,ayd_netDefter/GIRDI!B12),0))</f>
        <v/>
      </c>
      <c r="C962" s="31">
        <f>IF(OR($A962="",$A962&gt;IFERROR(GIRDI!B12,0)),"",IFERROR(IF(OR(GIRDI!B12="",GIRDI!B12=0),0,(ayd_netDefter+ayd_fark)/GIRDI!B12),0))</f>
        <v/>
      </c>
      <c r="D962" s="31">
        <f>IF($B962="","",IFERROR($C962-$B962,0))</f>
        <v/>
      </c>
      <c r="E962" s="31">
        <f>IF($B962="","",IFERROR($A962*$B962,0))</f>
        <v/>
      </c>
      <c r="F962" s="31">
        <f>IF($C962="","",IFERROR($A962*$C962,0))</f>
        <v/>
      </c>
      <c r="G962" s="31">
        <f>IF($B962="","",IFERROR(MAX(0,ayd_netDefter-$E962),0))</f>
        <v/>
      </c>
      <c r="H962" s="31">
        <f>IF($C962="","",IFERROR(MAX(0,ayd_netDefter+ayd_fark-$F962),0))</f>
        <v/>
      </c>
      <c r="I962" s="31">
        <f>IF($A962="","",IF($A962&gt;IFERROR(GIRDI!B12,0),"DIŞI","AKTİF"))</f>
        <v/>
      </c>
    </row>
    <row r="963">
      <c r="B963" s="31">
        <f>IF(OR($A963="",$A963&gt;IFERROR(GIRDI!B12,0)),"",IFERROR(IF(OR(GIRDI!B12="",GIRDI!B12=0),0,ayd_netDefter/GIRDI!B12),0))</f>
        <v/>
      </c>
      <c r="C963" s="31">
        <f>IF(OR($A963="",$A963&gt;IFERROR(GIRDI!B12,0)),"",IFERROR(IF(OR(GIRDI!B12="",GIRDI!B12=0),0,(ayd_netDefter+ayd_fark)/GIRDI!B12),0))</f>
        <v/>
      </c>
      <c r="D963" s="31">
        <f>IF($B963="","",IFERROR($C963-$B963,0))</f>
        <v/>
      </c>
      <c r="E963" s="31">
        <f>IF($B963="","",IFERROR($A963*$B963,0))</f>
        <v/>
      </c>
      <c r="F963" s="31">
        <f>IF($C963="","",IFERROR($A963*$C963,0))</f>
        <v/>
      </c>
      <c r="G963" s="31">
        <f>IF($B963="","",IFERROR(MAX(0,ayd_netDefter-$E963),0))</f>
        <v/>
      </c>
      <c r="H963" s="31">
        <f>IF($C963="","",IFERROR(MAX(0,ayd_netDefter+ayd_fark-$F963),0))</f>
        <v/>
      </c>
      <c r="I963" s="31">
        <f>IF($A963="","",IF($A963&gt;IFERROR(GIRDI!B12,0),"DIŞI","AKTİF"))</f>
        <v/>
      </c>
    </row>
    <row r="964">
      <c r="B964" s="31">
        <f>IF(OR($A964="",$A964&gt;IFERROR(GIRDI!B12,0)),"",IFERROR(IF(OR(GIRDI!B12="",GIRDI!B12=0),0,ayd_netDefter/GIRDI!B12),0))</f>
        <v/>
      </c>
      <c r="C964" s="31">
        <f>IF(OR($A964="",$A964&gt;IFERROR(GIRDI!B12,0)),"",IFERROR(IF(OR(GIRDI!B12="",GIRDI!B12=0),0,(ayd_netDefter+ayd_fark)/GIRDI!B12),0))</f>
        <v/>
      </c>
      <c r="D964" s="31">
        <f>IF($B964="","",IFERROR($C964-$B964,0))</f>
        <v/>
      </c>
      <c r="E964" s="31">
        <f>IF($B964="","",IFERROR($A964*$B964,0))</f>
        <v/>
      </c>
      <c r="F964" s="31">
        <f>IF($C964="","",IFERROR($A964*$C964,0))</f>
        <v/>
      </c>
      <c r="G964" s="31">
        <f>IF($B964="","",IFERROR(MAX(0,ayd_netDefter-$E964),0))</f>
        <v/>
      </c>
      <c r="H964" s="31">
        <f>IF($C964="","",IFERROR(MAX(0,ayd_netDefter+ayd_fark-$F964),0))</f>
        <v/>
      </c>
      <c r="I964" s="31">
        <f>IF($A964="","",IF($A964&gt;IFERROR(GIRDI!B12,0),"DIŞI","AKTİF"))</f>
        <v/>
      </c>
    </row>
    <row r="965">
      <c r="B965" s="31">
        <f>IF(OR($A965="",$A965&gt;IFERROR(GIRDI!B12,0)),"",IFERROR(IF(OR(GIRDI!B12="",GIRDI!B12=0),0,ayd_netDefter/GIRDI!B12),0))</f>
        <v/>
      </c>
      <c r="C965" s="31">
        <f>IF(OR($A965="",$A965&gt;IFERROR(GIRDI!B12,0)),"",IFERROR(IF(OR(GIRDI!B12="",GIRDI!B12=0),0,(ayd_netDefter+ayd_fark)/GIRDI!B12),0))</f>
        <v/>
      </c>
      <c r="D965" s="31">
        <f>IF($B965="","",IFERROR($C965-$B965,0))</f>
        <v/>
      </c>
      <c r="E965" s="31">
        <f>IF($B965="","",IFERROR($A965*$B965,0))</f>
        <v/>
      </c>
      <c r="F965" s="31">
        <f>IF($C965="","",IFERROR($A965*$C965,0))</f>
        <v/>
      </c>
      <c r="G965" s="31">
        <f>IF($B965="","",IFERROR(MAX(0,ayd_netDefter-$E965),0))</f>
        <v/>
      </c>
      <c r="H965" s="31">
        <f>IF($C965="","",IFERROR(MAX(0,ayd_netDefter+ayd_fark-$F965),0))</f>
        <v/>
      </c>
      <c r="I965" s="31">
        <f>IF($A965="","",IF($A965&gt;IFERROR(GIRDI!B12,0),"DIŞI","AKTİF"))</f>
        <v/>
      </c>
    </row>
    <row r="966">
      <c r="B966" s="31">
        <f>IF(OR($A966="",$A966&gt;IFERROR(GIRDI!B12,0)),"",IFERROR(IF(OR(GIRDI!B12="",GIRDI!B12=0),0,ayd_netDefter/GIRDI!B12),0))</f>
        <v/>
      </c>
      <c r="C966" s="31">
        <f>IF(OR($A966="",$A966&gt;IFERROR(GIRDI!B12,0)),"",IFERROR(IF(OR(GIRDI!B12="",GIRDI!B12=0),0,(ayd_netDefter+ayd_fark)/GIRDI!B12),0))</f>
        <v/>
      </c>
      <c r="D966" s="31">
        <f>IF($B966="","",IFERROR($C966-$B966,0))</f>
        <v/>
      </c>
      <c r="E966" s="31">
        <f>IF($B966="","",IFERROR($A966*$B966,0))</f>
        <v/>
      </c>
      <c r="F966" s="31">
        <f>IF($C966="","",IFERROR($A966*$C966,0))</f>
        <v/>
      </c>
      <c r="G966" s="31">
        <f>IF($B966="","",IFERROR(MAX(0,ayd_netDefter-$E966),0))</f>
        <v/>
      </c>
      <c r="H966" s="31">
        <f>IF($C966="","",IFERROR(MAX(0,ayd_netDefter+ayd_fark-$F966),0))</f>
        <v/>
      </c>
      <c r="I966" s="31">
        <f>IF($A966="","",IF($A966&gt;IFERROR(GIRDI!B12,0),"DIŞI","AKTİF"))</f>
        <v/>
      </c>
    </row>
    <row r="967">
      <c r="B967" s="31">
        <f>IF(OR($A967="",$A967&gt;IFERROR(GIRDI!B12,0)),"",IFERROR(IF(OR(GIRDI!B12="",GIRDI!B12=0),0,ayd_netDefter/GIRDI!B12),0))</f>
        <v/>
      </c>
      <c r="C967" s="31">
        <f>IF(OR($A967="",$A967&gt;IFERROR(GIRDI!B12,0)),"",IFERROR(IF(OR(GIRDI!B12="",GIRDI!B12=0),0,(ayd_netDefter+ayd_fark)/GIRDI!B12),0))</f>
        <v/>
      </c>
      <c r="D967" s="31">
        <f>IF($B967="","",IFERROR($C967-$B967,0))</f>
        <v/>
      </c>
      <c r="E967" s="31">
        <f>IF($B967="","",IFERROR($A967*$B967,0))</f>
        <v/>
      </c>
      <c r="F967" s="31">
        <f>IF($C967="","",IFERROR($A967*$C967,0))</f>
        <v/>
      </c>
      <c r="G967" s="31">
        <f>IF($B967="","",IFERROR(MAX(0,ayd_netDefter-$E967),0))</f>
        <v/>
      </c>
      <c r="H967" s="31">
        <f>IF($C967="","",IFERROR(MAX(0,ayd_netDefter+ayd_fark-$F967),0))</f>
        <v/>
      </c>
      <c r="I967" s="31">
        <f>IF($A967="","",IF($A967&gt;IFERROR(GIRDI!B12,0),"DIŞI","AKTİF"))</f>
        <v/>
      </c>
    </row>
    <row r="968">
      <c r="B968" s="31">
        <f>IF(OR($A968="",$A968&gt;IFERROR(GIRDI!B12,0)),"",IFERROR(IF(OR(GIRDI!B12="",GIRDI!B12=0),0,ayd_netDefter/GIRDI!B12),0))</f>
        <v/>
      </c>
      <c r="C968" s="31">
        <f>IF(OR($A968="",$A968&gt;IFERROR(GIRDI!B12,0)),"",IFERROR(IF(OR(GIRDI!B12="",GIRDI!B12=0),0,(ayd_netDefter+ayd_fark)/GIRDI!B12),0))</f>
        <v/>
      </c>
      <c r="D968" s="31">
        <f>IF($B968="","",IFERROR($C968-$B968,0))</f>
        <v/>
      </c>
      <c r="E968" s="31">
        <f>IF($B968="","",IFERROR($A968*$B968,0))</f>
        <v/>
      </c>
      <c r="F968" s="31">
        <f>IF($C968="","",IFERROR($A968*$C968,0))</f>
        <v/>
      </c>
      <c r="G968" s="31">
        <f>IF($B968="","",IFERROR(MAX(0,ayd_netDefter-$E968),0))</f>
        <v/>
      </c>
      <c r="H968" s="31">
        <f>IF($C968="","",IFERROR(MAX(0,ayd_netDefter+ayd_fark-$F968),0))</f>
        <v/>
      </c>
      <c r="I968" s="31">
        <f>IF($A968="","",IF($A968&gt;IFERROR(GIRDI!B12,0),"DIŞI","AKTİF"))</f>
        <v/>
      </c>
    </row>
    <row r="969">
      <c r="B969" s="31">
        <f>IF(OR($A969="",$A969&gt;IFERROR(GIRDI!B12,0)),"",IFERROR(IF(OR(GIRDI!B12="",GIRDI!B12=0),0,ayd_netDefter/GIRDI!B12),0))</f>
        <v/>
      </c>
      <c r="C969" s="31">
        <f>IF(OR($A969="",$A969&gt;IFERROR(GIRDI!B12,0)),"",IFERROR(IF(OR(GIRDI!B12="",GIRDI!B12=0),0,(ayd_netDefter+ayd_fark)/GIRDI!B12),0))</f>
        <v/>
      </c>
      <c r="D969" s="31">
        <f>IF($B969="","",IFERROR($C969-$B969,0))</f>
        <v/>
      </c>
      <c r="E969" s="31">
        <f>IF($B969="","",IFERROR($A969*$B969,0))</f>
        <v/>
      </c>
      <c r="F969" s="31">
        <f>IF($C969="","",IFERROR($A969*$C969,0))</f>
        <v/>
      </c>
      <c r="G969" s="31">
        <f>IF($B969="","",IFERROR(MAX(0,ayd_netDefter-$E969),0))</f>
        <v/>
      </c>
      <c r="H969" s="31">
        <f>IF($C969="","",IFERROR(MAX(0,ayd_netDefter+ayd_fark-$F969),0))</f>
        <v/>
      </c>
      <c r="I969" s="31">
        <f>IF($A969="","",IF($A969&gt;IFERROR(GIRDI!B12,0),"DIŞI","AKTİF"))</f>
        <v/>
      </c>
    </row>
    <row r="970">
      <c r="B970" s="31">
        <f>IF(OR($A970="",$A970&gt;IFERROR(GIRDI!B12,0)),"",IFERROR(IF(OR(GIRDI!B12="",GIRDI!B12=0),0,ayd_netDefter/GIRDI!B12),0))</f>
        <v/>
      </c>
      <c r="C970" s="31">
        <f>IF(OR($A970="",$A970&gt;IFERROR(GIRDI!B12,0)),"",IFERROR(IF(OR(GIRDI!B12="",GIRDI!B12=0),0,(ayd_netDefter+ayd_fark)/GIRDI!B12),0))</f>
        <v/>
      </c>
      <c r="D970" s="31">
        <f>IF($B970="","",IFERROR($C970-$B970,0))</f>
        <v/>
      </c>
      <c r="E970" s="31">
        <f>IF($B970="","",IFERROR($A970*$B970,0))</f>
        <v/>
      </c>
      <c r="F970" s="31">
        <f>IF($C970="","",IFERROR($A970*$C970,0))</f>
        <v/>
      </c>
      <c r="G970" s="31">
        <f>IF($B970="","",IFERROR(MAX(0,ayd_netDefter-$E970),0))</f>
        <v/>
      </c>
      <c r="H970" s="31">
        <f>IF($C970="","",IFERROR(MAX(0,ayd_netDefter+ayd_fark-$F970),0))</f>
        <v/>
      </c>
      <c r="I970" s="31">
        <f>IF($A970="","",IF($A970&gt;IFERROR(GIRDI!B12,0),"DIŞI","AKTİF"))</f>
        <v/>
      </c>
    </row>
    <row r="971">
      <c r="B971" s="31">
        <f>IF(OR($A971="",$A971&gt;IFERROR(GIRDI!B12,0)),"",IFERROR(IF(OR(GIRDI!B12="",GIRDI!B12=0),0,ayd_netDefter/GIRDI!B12),0))</f>
        <v/>
      </c>
      <c r="C971" s="31">
        <f>IF(OR($A971="",$A971&gt;IFERROR(GIRDI!B12,0)),"",IFERROR(IF(OR(GIRDI!B12="",GIRDI!B12=0),0,(ayd_netDefter+ayd_fark)/GIRDI!B12),0))</f>
        <v/>
      </c>
      <c r="D971" s="31">
        <f>IF($B971="","",IFERROR($C971-$B971,0))</f>
        <v/>
      </c>
      <c r="E971" s="31">
        <f>IF($B971="","",IFERROR($A971*$B971,0))</f>
        <v/>
      </c>
      <c r="F971" s="31">
        <f>IF($C971="","",IFERROR($A971*$C971,0))</f>
        <v/>
      </c>
      <c r="G971" s="31">
        <f>IF($B971="","",IFERROR(MAX(0,ayd_netDefter-$E971),0))</f>
        <v/>
      </c>
      <c r="H971" s="31">
        <f>IF($C971="","",IFERROR(MAX(0,ayd_netDefter+ayd_fark-$F971),0))</f>
        <v/>
      </c>
      <c r="I971" s="31">
        <f>IF($A971="","",IF($A971&gt;IFERROR(GIRDI!B12,0),"DIŞI","AKTİF"))</f>
        <v/>
      </c>
    </row>
    <row r="972">
      <c r="B972" s="31">
        <f>IF(OR($A972="",$A972&gt;IFERROR(GIRDI!B12,0)),"",IFERROR(IF(OR(GIRDI!B12="",GIRDI!B12=0),0,ayd_netDefter/GIRDI!B12),0))</f>
        <v/>
      </c>
      <c r="C972" s="31">
        <f>IF(OR($A972="",$A972&gt;IFERROR(GIRDI!B12,0)),"",IFERROR(IF(OR(GIRDI!B12="",GIRDI!B12=0),0,(ayd_netDefter+ayd_fark)/GIRDI!B12),0))</f>
        <v/>
      </c>
      <c r="D972" s="31">
        <f>IF($B972="","",IFERROR($C972-$B972,0))</f>
        <v/>
      </c>
      <c r="E972" s="31">
        <f>IF($B972="","",IFERROR($A972*$B972,0))</f>
        <v/>
      </c>
      <c r="F972" s="31">
        <f>IF($C972="","",IFERROR($A972*$C972,0))</f>
        <v/>
      </c>
      <c r="G972" s="31">
        <f>IF($B972="","",IFERROR(MAX(0,ayd_netDefter-$E972),0))</f>
        <v/>
      </c>
      <c r="H972" s="31">
        <f>IF($C972="","",IFERROR(MAX(0,ayd_netDefter+ayd_fark-$F972),0))</f>
        <v/>
      </c>
      <c r="I972" s="31">
        <f>IF($A972="","",IF($A972&gt;IFERROR(GIRDI!B12,0),"DIŞI","AKTİF"))</f>
        <v/>
      </c>
    </row>
    <row r="973">
      <c r="B973" s="31">
        <f>IF(OR($A973="",$A973&gt;IFERROR(GIRDI!B12,0)),"",IFERROR(IF(OR(GIRDI!B12="",GIRDI!B12=0),0,ayd_netDefter/GIRDI!B12),0))</f>
        <v/>
      </c>
      <c r="C973" s="31">
        <f>IF(OR($A973="",$A973&gt;IFERROR(GIRDI!B12,0)),"",IFERROR(IF(OR(GIRDI!B12="",GIRDI!B12=0),0,(ayd_netDefter+ayd_fark)/GIRDI!B12),0))</f>
        <v/>
      </c>
      <c r="D973" s="31">
        <f>IF($B973="","",IFERROR($C973-$B973,0))</f>
        <v/>
      </c>
      <c r="E973" s="31">
        <f>IF($B973="","",IFERROR($A973*$B973,0))</f>
        <v/>
      </c>
      <c r="F973" s="31">
        <f>IF($C973="","",IFERROR($A973*$C973,0))</f>
        <v/>
      </c>
      <c r="G973" s="31">
        <f>IF($B973="","",IFERROR(MAX(0,ayd_netDefter-$E973),0))</f>
        <v/>
      </c>
      <c r="H973" s="31">
        <f>IF($C973="","",IFERROR(MAX(0,ayd_netDefter+ayd_fark-$F973),0))</f>
        <v/>
      </c>
      <c r="I973" s="31">
        <f>IF($A973="","",IF($A973&gt;IFERROR(GIRDI!B12,0),"DIŞI","AKTİF"))</f>
        <v/>
      </c>
    </row>
    <row r="974">
      <c r="B974" s="31">
        <f>IF(OR($A974="",$A974&gt;IFERROR(GIRDI!B12,0)),"",IFERROR(IF(OR(GIRDI!B12="",GIRDI!B12=0),0,ayd_netDefter/GIRDI!B12),0))</f>
        <v/>
      </c>
      <c r="C974" s="31">
        <f>IF(OR($A974="",$A974&gt;IFERROR(GIRDI!B12,0)),"",IFERROR(IF(OR(GIRDI!B12="",GIRDI!B12=0),0,(ayd_netDefter+ayd_fark)/GIRDI!B12),0))</f>
        <v/>
      </c>
      <c r="D974" s="31">
        <f>IF($B974="","",IFERROR($C974-$B974,0))</f>
        <v/>
      </c>
      <c r="E974" s="31">
        <f>IF($B974="","",IFERROR($A974*$B974,0))</f>
        <v/>
      </c>
      <c r="F974" s="31">
        <f>IF($C974="","",IFERROR($A974*$C974,0))</f>
        <v/>
      </c>
      <c r="G974" s="31">
        <f>IF($B974="","",IFERROR(MAX(0,ayd_netDefter-$E974),0))</f>
        <v/>
      </c>
      <c r="H974" s="31">
        <f>IF($C974="","",IFERROR(MAX(0,ayd_netDefter+ayd_fark-$F974),0))</f>
        <v/>
      </c>
      <c r="I974" s="31">
        <f>IF($A974="","",IF($A974&gt;IFERROR(GIRDI!B12,0),"DIŞI","AKTİF"))</f>
        <v/>
      </c>
    </row>
    <row r="975">
      <c r="B975" s="31">
        <f>IF(OR($A975="",$A975&gt;IFERROR(GIRDI!B12,0)),"",IFERROR(IF(OR(GIRDI!B12="",GIRDI!B12=0),0,ayd_netDefter/GIRDI!B12),0))</f>
        <v/>
      </c>
      <c r="C975" s="31">
        <f>IF(OR($A975="",$A975&gt;IFERROR(GIRDI!B12,0)),"",IFERROR(IF(OR(GIRDI!B12="",GIRDI!B12=0),0,(ayd_netDefter+ayd_fark)/GIRDI!B12),0))</f>
        <v/>
      </c>
      <c r="D975" s="31">
        <f>IF($B975="","",IFERROR($C975-$B975,0))</f>
        <v/>
      </c>
      <c r="E975" s="31">
        <f>IF($B975="","",IFERROR($A975*$B975,0))</f>
        <v/>
      </c>
      <c r="F975" s="31">
        <f>IF($C975="","",IFERROR($A975*$C975,0))</f>
        <v/>
      </c>
      <c r="G975" s="31">
        <f>IF($B975="","",IFERROR(MAX(0,ayd_netDefter-$E975),0))</f>
        <v/>
      </c>
      <c r="H975" s="31">
        <f>IF($C975="","",IFERROR(MAX(0,ayd_netDefter+ayd_fark-$F975),0))</f>
        <v/>
      </c>
      <c r="I975" s="31">
        <f>IF($A975="","",IF($A975&gt;IFERROR(GIRDI!B12,0),"DIŞI","AKTİF"))</f>
        <v/>
      </c>
    </row>
    <row r="976">
      <c r="B976" s="31">
        <f>IF(OR($A976="",$A976&gt;IFERROR(GIRDI!B12,0)),"",IFERROR(IF(OR(GIRDI!B12="",GIRDI!B12=0),0,ayd_netDefter/GIRDI!B12),0))</f>
        <v/>
      </c>
      <c r="C976" s="31">
        <f>IF(OR($A976="",$A976&gt;IFERROR(GIRDI!B12,0)),"",IFERROR(IF(OR(GIRDI!B12="",GIRDI!B12=0),0,(ayd_netDefter+ayd_fark)/GIRDI!B12),0))</f>
        <v/>
      </c>
      <c r="D976" s="31">
        <f>IF($B976="","",IFERROR($C976-$B976,0))</f>
        <v/>
      </c>
      <c r="E976" s="31">
        <f>IF($B976="","",IFERROR($A976*$B976,0))</f>
        <v/>
      </c>
      <c r="F976" s="31">
        <f>IF($C976="","",IFERROR($A976*$C976,0))</f>
        <v/>
      </c>
      <c r="G976" s="31">
        <f>IF($B976="","",IFERROR(MAX(0,ayd_netDefter-$E976),0))</f>
        <v/>
      </c>
      <c r="H976" s="31">
        <f>IF($C976="","",IFERROR(MAX(0,ayd_netDefter+ayd_fark-$F976),0))</f>
        <v/>
      </c>
      <c r="I976" s="31">
        <f>IF($A976="","",IF($A976&gt;IFERROR(GIRDI!B12,0),"DIŞI","AKTİF"))</f>
        <v/>
      </c>
    </row>
    <row r="977">
      <c r="B977" s="31">
        <f>IF(OR($A977="",$A977&gt;IFERROR(GIRDI!B12,0)),"",IFERROR(IF(OR(GIRDI!B12="",GIRDI!B12=0),0,ayd_netDefter/GIRDI!B12),0))</f>
        <v/>
      </c>
      <c r="C977" s="31">
        <f>IF(OR($A977="",$A977&gt;IFERROR(GIRDI!B12,0)),"",IFERROR(IF(OR(GIRDI!B12="",GIRDI!B12=0),0,(ayd_netDefter+ayd_fark)/GIRDI!B12),0))</f>
        <v/>
      </c>
      <c r="D977" s="31">
        <f>IF($B977="","",IFERROR($C977-$B977,0))</f>
        <v/>
      </c>
      <c r="E977" s="31">
        <f>IF($B977="","",IFERROR($A977*$B977,0))</f>
        <v/>
      </c>
      <c r="F977" s="31">
        <f>IF($C977="","",IFERROR($A977*$C977,0))</f>
        <v/>
      </c>
      <c r="G977" s="31">
        <f>IF($B977="","",IFERROR(MAX(0,ayd_netDefter-$E977),0))</f>
        <v/>
      </c>
      <c r="H977" s="31">
        <f>IF($C977="","",IFERROR(MAX(0,ayd_netDefter+ayd_fark-$F977),0))</f>
        <v/>
      </c>
      <c r="I977" s="31">
        <f>IF($A977="","",IF($A977&gt;IFERROR(GIRDI!B12,0),"DIŞI","AKTİF"))</f>
        <v/>
      </c>
    </row>
    <row r="978">
      <c r="B978" s="31">
        <f>IF(OR($A978="",$A978&gt;IFERROR(GIRDI!B12,0)),"",IFERROR(IF(OR(GIRDI!B12="",GIRDI!B12=0),0,ayd_netDefter/GIRDI!B12),0))</f>
        <v/>
      </c>
      <c r="C978" s="31">
        <f>IF(OR($A978="",$A978&gt;IFERROR(GIRDI!B12,0)),"",IFERROR(IF(OR(GIRDI!B12="",GIRDI!B12=0),0,(ayd_netDefter+ayd_fark)/GIRDI!B12),0))</f>
        <v/>
      </c>
      <c r="D978" s="31">
        <f>IF($B978="","",IFERROR($C978-$B978,0))</f>
        <v/>
      </c>
      <c r="E978" s="31">
        <f>IF($B978="","",IFERROR($A978*$B978,0))</f>
        <v/>
      </c>
      <c r="F978" s="31">
        <f>IF($C978="","",IFERROR($A978*$C978,0))</f>
        <v/>
      </c>
      <c r="G978" s="31">
        <f>IF($B978="","",IFERROR(MAX(0,ayd_netDefter-$E978),0))</f>
        <v/>
      </c>
      <c r="H978" s="31">
        <f>IF($C978="","",IFERROR(MAX(0,ayd_netDefter+ayd_fark-$F978),0))</f>
        <v/>
      </c>
      <c r="I978" s="31">
        <f>IF($A978="","",IF($A978&gt;IFERROR(GIRDI!B12,0),"DIŞI","AKTİF"))</f>
        <v/>
      </c>
    </row>
    <row r="979">
      <c r="B979" s="31">
        <f>IF(OR($A979="",$A979&gt;IFERROR(GIRDI!B12,0)),"",IFERROR(IF(OR(GIRDI!B12="",GIRDI!B12=0),0,ayd_netDefter/GIRDI!B12),0))</f>
        <v/>
      </c>
      <c r="C979" s="31">
        <f>IF(OR($A979="",$A979&gt;IFERROR(GIRDI!B12,0)),"",IFERROR(IF(OR(GIRDI!B12="",GIRDI!B12=0),0,(ayd_netDefter+ayd_fark)/GIRDI!B12),0))</f>
        <v/>
      </c>
      <c r="D979" s="31">
        <f>IF($B979="","",IFERROR($C979-$B979,0))</f>
        <v/>
      </c>
      <c r="E979" s="31">
        <f>IF($B979="","",IFERROR($A979*$B979,0))</f>
        <v/>
      </c>
      <c r="F979" s="31">
        <f>IF($C979="","",IFERROR($A979*$C979,0))</f>
        <v/>
      </c>
      <c r="G979" s="31">
        <f>IF($B979="","",IFERROR(MAX(0,ayd_netDefter-$E979),0))</f>
        <v/>
      </c>
      <c r="H979" s="31">
        <f>IF($C979="","",IFERROR(MAX(0,ayd_netDefter+ayd_fark-$F979),0))</f>
        <v/>
      </c>
      <c r="I979" s="31">
        <f>IF($A979="","",IF($A979&gt;IFERROR(GIRDI!B12,0),"DIŞI","AKTİF"))</f>
        <v/>
      </c>
    </row>
    <row r="980">
      <c r="B980" s="31">
        <f>IF(OR($A980="",$A980&gt;IFERROR(GIRDI!B12,0)),"",IFERROR(IF(OR(GIRDI!B12="",GIRDI!B12=0),0,ayd_netDefter/GIRDI!B12),0))</f>
        <v/>
      </c>
      <c r="C980" s="31">
        <f>IF(OR($A980="",$A980&gt;IFERROR(GIRDI!B12,0)),"",IFERROR(IF(OR(GIRDI!B12="",GIRDI!B12=0),0,(ayd_netDefter+ayd_fark)/GIRDI!B12),0))</f>
        <v/>
      </c>
      <c r="D980" s="31">
        <f>IF($B980="","",IFERROR($C980-$B980,0))</f>
        <v/>
      </c>
      <c r="E980" s="31">
        <f>IF($B980="","",IFERROR($A980*$B980,0))</f>
        <v/>
      </c>
      <c r="F980" s="31">
        <f>IF($C980="","",IFERROR($A980*$C980,0))</f>
        <v/>
      </c>
      <c r="G980" s="31">
        <f>IF($B980="","",IFERROR(MAX(0,ayd_netDefter-$E980),0))</f>
        <v/>
      </c>
      <c r="H980" s="31">
        <f>IF($C980="","",IFERROR(MAX(0,ayd_netDefter+ayd_fark-$F980),0))</f>
        <v/>
      </c>
      <c r="I980" s="31">
        <f>IF($A980="","",IF($A980&gt;IFERROR(GIRDI!B12,0),"DIŞI","AKTİF"))</f>
        <v/>
      </c>
    </row>
    <row r="981">
      <c r="B981" s="31">
        <f>IF(OR($A981="",$A981&gt;IFERROR(GIRDI!B12,0)),"",IFERROR(IF(OR(GIRDI!B12="",GIRDI!B12=0),0,ayd_netDefter/GIRDI!B12),0))</f>
        <v/>
      </c>
      <c r="C981" s="31">
        <f>IF(OR($A981="",$A981&gt;IFERROR(GIRDI!B12,0)),"",IFERROR(IF(OR(GIRDI!B12="",GIRDI!B12=0),0,(ayd_netDefter+ayd_fark)/GIRDI!B12),0))</f>
        <v/>
      </c>
      <c r="D981" s="31">
        <f>IF($B981="","",IFERROR($C981-$B981,0))</f>
        <v/>
      </c>
      <c r="E981" s="31">
        <f>IF($B981="","",IFERROR($A981*$B981,0))</f>
        <v/>
      </c>
      <c r="F981" s="31">
        <f>IF($C981="","",IFERROR($A981*$C981,0))</f>
        <v/>
      </c>
      <c r="G981" s="31">
        <f>IF($B981="","",IFERROR(MAX(0,ayd_netDefter-$E981),0))</f>
        <v/>
      </c>
      <c r="H981" s="31">
        <f>IF($C981="","",IFERROR(MAX(0,ayd_netDefter+ayd_fark-$F981),0))</f>
        <v/>
      </c>
      <c r="I981" s="31">
        <f>IF($A981="","",IF($A981&gt;IFERROR(GIRDI!B12,0),"DIŞI","AKTİF"))</f>
        <v/>
      </c>
    </row>
    <row r="982">
      <c r="B982" s="31">
        <f>IF(OR($A982="",$A982&gt;IFERROR(GIRDI!B12,0)),"",IFERROR(IF(OR(GIRDI!B12="",GIRDI!B12=0),0,ayd_netDefter/GIRDI!B12),0))</f>
        <v/>
      </c>
      <c r="C982" s="31">
        <f>IF(OR($A982="",$A982&gt;IFERROR(GIRDI!B12,0)),"",IFERROR(IF(OR(GIRDI!B12="",GIRDI!B12=0),0,(ayd_netDefter+ayd_fark)/GIRDI!B12),0))</f>
        <v/>
      </c>
      <c r="D982" s="31">
        <f>IF($B982="","",IFERROR($C982-$B982,0))</f>
        <v/>
      </c>
      <c r="E982" s="31">
        <f>IF($B982="","",IFERROR($A982*$B982,0))</f>
        <v/>
      </c>
      <c r="F982" s="31">
        <f>IF($C982="","",IFERROR($A982*$C982,0))</f>
        <v/>
      </c>
      <c r="G982" s="31">
        <f>IF($B982="","",IFERROR(MAX(0,ayd_netDefter-$E982),0))</f>
        <v/>
      </c>
      <c r="H982" s="31">
        <f>IF($C982="","",IFERROR(MAX(0,ayd_netDefter+ayd_fark-$F982),0))</f>
        <v/>
      </c>
      <c r="I982" s="31">
        <f>IF($A982="","",IF($A982&gt;IFERROR(GIRDI!B12,0),"DIŞI","AKTİF"))</f>
        <v/>
      </c>
    </row>
    <row r="983">
      <c r="B983" s="31">
        <f>IF(OR($A983="",$A983&gt;IFERROR(GIRDI!B12,0)),"",IFERROR(IF(OR(GIRDI!B12="",GIRDI!B12=0),0,ayd_netDefter/GIRDI!B12),0))</f>
        <v/>
      </c>
      <c r="C983" s="31">
        <f>IF(OR($A983="",$A983&gt;IFERROR(GIRDI!B12,0)),"",IFERROR(IF(OR(GIRDI!B12="",GIRDI!B12=0),0,(ayd_netDefter+ayd_fark)/GIRDI!B12),0))</f>
        <v/>
      </c>
      <c r="D983" s="31">
        <f>IF($B983="","",IFERROR($C983-$B983,0))</f>
        <v/>
      </c>
      <c r="E983" s="31">
        <f>IF($B983="","",IFERROR($A983*$B983,0))</f>
        <v/>
      </c>
      <c r="F983" s="31">
        <f>IF($C983="","",IFERROR($A983*$C983,0))</f>
        <v/>
      </c>
      <c r="G983" s="31">
        <f>IF($B983="","",IFERROR(MAX(0,ayd_netDefter-$E983),0))</f>
        <v/>
      </c>
      <c r="H983" s="31">
        <f>IF($C983="","",IFERROR(MAX(0,ayd_netDefter+ayd_fark-$F983),0))</f>
        <v/>
      </c>
      <c r="I983" s="31">
        <f>IF($A983="","",IF($A983&gt;IFERROR(GIRDI!B12,0),"DIŞI","AKTİF"))</f>
        <v/>
      </c>
    </row>
    <row r="984">
      <c r="B984" s="31">
        <f>IF(OR($A984="",$A984&gt;IFERROR(GIRDI!B12,0)),"",IFERROR(IF(OR(GIRDI!B12="",GIRDI!B12=0),0,ayd_netDefter/GIRDI!B12),0))</f>
        <v/>
      </c>
      <c r="C984" s="31">
        <f>IF(OR($A984="",$A984&gt;IFERROR(GIRDI!B12,0)),"",IFERROR(IF(OR(GIRDI!B12="",GIRDI!B12=0),0,(ayd_netDefter+ayd_fark)/GIRDI!B12),0))</f>
        <v/>
      </c>
      <c r="D984" s="31">
        <f>IF($B984="","",IFERROR($C984-$B984,0))</f>
        <v/>
      </c>
      <c r="E984" s="31">
        <f>IF($B984="","",IFERROR($A984*$B984,0))</f>
        <v/>
      </c>
      <c r="F984" s="31">
        <f>IF($C984="","",IFERROR($A984*$C984,0))</f>
        <v/>
      </c>
      <c r="G984" s="31">
        <f>IF($B984="","",IFERROR(MAX(0,ayd_netDefter-$E984),0))</f>
        <v/>
      </c>
      <c r="H984" s="31">
        <f>IF($C984="","",IFERROR(MAX(0,ayd_netDefter+ayd_fark-$F984),0))</f>
        <v/>
      </c>
      <c r="I984" s="31">
        <f>IF($A984="","",IF($A984&gt;IFERROR(GIRDI!B12,0),"DIŞI","AKTİF"))</f>
        <v/>
      </c>
    </row>
    <row r="985">
      <c r="B985" s="31">
        <f>IF(OR($A985="",$A985&gt;IFERROR(GIRDI!B12,0)),"",IFERROR(IF(OR(GIRDI!B12="",GIRDI!B12=0),0,ayd_netDefter/GIRDI!B12),0))</f>
        <v/>
      </c>
      <c r="C985" s="31">
        <f>IF(OR($A985="",$A985&gt;IFERROR(GIRDI!B12,0)),"",IFERROR(IF(OR(GIRDI!B12="",GIRDI!B12=0),0,(ayd_netDefter+ayd_fark)/GIRDI!B12),0))</f>
        <v/>
      </c>
      <c r="D985" s="31">
        <f>IF($B985="","",IFERROR($C985-$B985,0))</f>
        <v/>
      </c>
      <c r="E985" s="31">
        <f>IF($B985="","",IFERROR($A985*$B985,0))</f>
        <v/>
      </c>
      <c r="F985" s="31">
        <f>IF($C985="","",IFERROR($A985*$C985,0))</f>
        <v/>
      </c>
      <c r="G985" s="31">
        <f>IF($B985="","",IFERROR(MAX(0,ayd_netDefter-$E985),0))</f>
        <v/>
      </c>
      <c r="H985" s="31">
        <f>IF($C985="","",IFERROR(MAX(0,ayd_netDefter+ayd_fark-$F985),0))</f>
        <v/>
      </c>
      <c r="I985" s="31">
        <f>IF($A985="","",IF($A985&gt;IFERROR(GIRDI!B12,0),"DIŞI","AKTİF"))</f>
        <v/>
      </c>
    </row>
    <row r="986">
      <c r="B986" s="31">
        <f>IF(OR($A986="",$A986&gt;IFERROR(GIRDI!B12,0)),"",IFERROR(IF(OR(GIRDI!B12="",GIRDI!B12=0),0,ayd_netDefter/GIRDI!B12),0))</f>
        <v/>
      </c>
      <c r="C986" s="31">
        <f>IF(OR($A986="",$A986&gt;IFERROR(GIRDI!B12,0)),"",IFERROR(IF(OR(GIRDI!B12="",GIRDI!B12=0),0,(ayd_netDefter+ayd_fark)/GIRDI!B12),0))</f>
        <v/>
      </c>
      <c r="D986" s="31">
        <f>IF($B986="","",IFERROR($C986-$B986,0))</f>
        <v/>
      </c>
      <c r="E986" s="31">
        <f>IF($B986="","",IFERROR($A986*$B986,0))</f>
        <v/>
      </c>
      <c r="F986" s="31">
        <f>IF($C986="","",IFERROR($A986*$C986,0))</f>
        <v/>
      </c>
      <c r="G986" s="31">
        <f>IF($B986="","",IFERROR(MAX(0,ayd_netDefter-$E986),0))</f>
        <v/>
      </c>
      <c r="H986" s="31">
        <f>IF($C986="","",IFERROR(MAX(0,ayd_netDefter+ayd_fark-$F986),0))</f>
        <v/>
      </c>
      <c r="I986" s="31">
        <f>IF($A986="","",IF($A986&gt;IFERROR(GIRDI!B12,0),"DIŞI","AKTİF"))</f>
        <v/>
      </c>
    </row>
    <row r="987">
      <c r="B987" s="31">
        <f>IF(OR($A987="",$A987&gt;IFERROR(GIRDI!B12,0)),"",IFERROR(IF(OR(GIRDI!B12="",GIRDI!B12=0),0,ayd_netDefter/GIRDI!B12),0))</f>
        <v/>
      </c>
      <c r="C987" s="31">
        <f>IF(OR($A987="",$A987&gt;IFERROR(GIRDI!B12,0)),"",IFERROR(IF(OR(GIRDI!B12="",GIRDI!B12=0),0,(ayd_netDefter+ayd_fark)/GIRDI!B12),0))</f>
        <v/>
      </c>
      <c r="D987" s="31">
        <f>IF($B987="","",IFERROR($C987-$B987,0))</f>
        <v/>
      </c>
      <c r="E987" s="31">
        <f>IF($B987="","",IFERROR($A987*$B987,0))</f>
        <v/>
      </c>
      <c r="F987" s="31">
        <f>IF($C987="","",IFERROR($A987*$C987,0))</f>
        <v/>
      </c>
      <c r="G987" s="31">
        <f>IF($B987="","",IFERROR(MAX(0,ayd_netDefter-$E987),0))</f>
        <v/>
      </c>
      <c r="H987" s="31">
        <f>IF($C987="","",IFERROR(MAX(0,ayd_netDefter+ayd_fark-$F987),0))</f>
        <v/>
      </c>
      <c r="I987" s="31">
        <f>IF($A987="","",IF($A987&gt;IFERROR(GIRDI!B12,0),"DIŞI","AKTİF"))</f>
        <v/>
      </c>
    </row>
    <row r="988">
      <c r="B988" s="31">
        <f>IF(OR($A988="",$A988&gt;IFERROR(GIRDI!B12,0)),"",IFERROR(IF(OR(GIRDI!B12="",GIRDI!B12=0),0,ayd_netDefter/GIRDI!B12),0))</f>
        <v/>
      </c>
      <c r="C988" s="31">
        <f>IF(OR($A988="",$A988&gt;IFERROR(GIRDI!B12,0)),"",IFERROR(IF(OR(GIRDI!B12="",GIRDI!B12=0),0,(ayd_netDefter+ayd_fark)/GIRDI!B12),0))</f>
        <v/>
      </c>
      <c r="D988" s="31">
        <f>IF($B988="","",IFERROR($C988-$B988,0))</f>
        <v/>
      </c>
      <c r="E988" s="31">
        <f>IF($B988="","",IFERROR($A988*$B988,0))</f>
        <v/>
      </c>
      <c r="F988" s="31">
        <f>IF($C988="","",IFERROR($A988*$C988,0))</f>
        <v/>
      </c>
      <c r="G988" s="31">
        <f>IF($B988="","",IFERROR(MAX(0,ayd_netDefter-$E988),0))</f>
        <v/>
      </c>
      <c r="H988" s="31">
        <f>IF($C988="","",IFERROR(MAX(0,ayd_netDefter+ayd_fark-$F988),0))</f>
        <v/>
      </c>
      <c r="I988" s="31">
        <f>IF($A988="","",IF($A988&gt;IFERROR(GIRDI!B12,0),"DIŞI","AKTİF"))</f>
        <v/>
      </c>
    </row>
    <row r="989">
      <c r="B989" s="31">
        <f>IF(OR($A989="",$A989&gt;IFERROR(GIRDI!B12,0)),"",IFERROR(IF(OR(GIRDI!B12="",GIRDI!B12=0),0,ayd_netDefter/GIRDI!B12),0))</f>
        <v/>
      </c>
      <c r="C989" s="31">
        <f>IF(OR($A989="",$A989&gt;IFERROR(GIRDI!B12,0)),"",IFERROR(IF(OR(GIRDI!B12="",GIRDI!B12=0),0,(ayd_netDefter+ayd_fark)/GIRDI!B12),0))</f>
        <v/>
      </c>
      <c r="D989" s="31">
        <f>IF($B989="","",IFERROR($C989-$B989,0))</f>
        <v/>
      </c>
      <c r="E989" s="31">
        <f>IF($B989="","",IFERROR($A989*$B989,0))</f>
        <v/>
      </c>
      <c r="F989" s="31">
        <f>IF($C989="","",IFERROR($A989*$C989,0))</f>
        <v/>
      </c>
      <c r="G989" s="31">
        <f>IF($B989="","",IFERROR(MAX(0,ayd_netDefter-$E989),0))</f>
        <v/>
      </c>
      <c r="H989" s="31">
        <f>IF($C989="","",IFERROR(MAX(0,ayd_netDefter+ayd_fark-$F989),0))</f>
        <v/>
      </c>
      <c r="I989" s="31">
        <f>IF($A989="","",IF($A989&gt;IFERROR(GIRDI!B12,0),"DIŞI","AKTİF"))</f>
        <v/>
      </c>
    </row>
    <row r="990">
      <c r="B990" s="31">
        <f>IF(OR($A990="",$A990&gt;IFERROR(GIRDI!B12,0)),"",IFERROR(IF(OR(GIRDI!B12="",GIRDI!B12=0),0,ayd_netDefter/GIRDI!B12),0))</f>
        <v/>
      </c>
      <c r="C990" s="31">
        <f>IF(OR($A990="",$A990&gt;IFERROR(GIRDI!B12,0)),"",IFERROR(IF(OR(GIRDI!B12="",GIRDI!B12=0),0,(ayd_netDefter+ayd_fark)/GIRDI!B12),0))</f>
        <v/>
      </c>
      <c r="D990" s="31">
        <f>IF($B990="","",IFERROR($C990-$B990,0))</f>
        <v/>
      </c>
      <c r="E990" s="31">
        <f>IF($B990="","",IFERROR($A990*$B990,0))</f>
        <v/>
      </c>
      <c r="F990" s="31">
        <f>IF($C990="","",IFERROR($A990*$C990,0))</f>
        <v/>
      </c>
      <c r="G990" s="31">
        <f>IF($B990="","",IFERROR(MAX(0,ayd_netDefter-$E990),0))</f>
        <v/>
      </c>
      <c r="H990" s="31">
        <f>IF($C990="","",IFERROR(MAX(0,ayd_netDefter+ayd_fark-$F990),0))</f>
        <v/>
      </c>
      <c r="I990" s="31">
        <f>IF($A990="","",IF($A990&gt;IFERROR(GIRDI!B12,0),"DIŞI","AKTİF"))</f>
        <v/>
      </c>
    </row>
    <row r="991">
      <c r="B991" s="31">
        <f>IF(OR($A991="",$A991&gt;IFERROR(GIRDI!B12,0)),"",IFERROR(IF(OR(GIRDI!B12="",GIRDI!B12=0),0,ayd_netDefter/GIRDI!B12),0))</f>
        <v/>
      </c>
      <c r="C991" s="31">
        <f>IF(OR($A991="",$A991&gt;IFERROR(GIRDI!B12,0)),"",IFERROR(IF(OR(GIRDI!B12="",GIRDI!B12=0),0,(ayd_netDefter+ayd_fark)/GIRDI!B12),0))</f>
        <v/>
      </c>
      <c r="D991" s="31">
        <f>IF($B991="","",IFERROR($C991-$B991,0))</f>
        <v/>
      </c>
      <c r="E991" s="31">
        <f>IF($B991="","",IFERROR($A991*$B991,0))</f>
        <v/>
      </c>
      <c r="F991" s="31">
        <f>IF($C991="","",IFERROR($A991*$C991,0))</f>
        <v/>
      </c>
      <c r="G991" s="31">
        <f>IF($B991="","",IFERROR(MAX(0,ayd_netDefter-$E991),0))</f>
        <v/>
      </c>
      <c r="H991" s="31">
        <f>IF($C991="","",IFERROR(MAX(0,ayd_netDefter+ayd_fark-$F991),0))</f>
        <v/>
      </c>
      <c r="I991" s="31">
        <f>IF($A991="","",IF($A991&gt;IFERROR(GIRDI!B12,0),"DIŞI","AKTİF"))</f>
        <v/>
      </c>
    </row>
    <row r="992">
      <c r="B992" s="31">
        <f>IF(OR($A992="",$A992&gt;IFERROR(GIRDI!B12,0)),"",IFERROR(IF(OR(GIRDI!B12="",GIRDI!B12=0),0,ayd_netDefter/GIRDI!B12),0))</f>
        <v/>
      </c>
      <c r="C992" s="31">
        <f>IF(OR($A992="",$A992&gt;IFERROR(GIRDI!B12,0)),"",IFERROR(IF(OR(GIRDI!B12="",GIRDI!B12=0),0,(ayd_netDefter+ayd_fark)/GIRDI!B12),0))</f>
        <v/>
      </c>
      <c r="D992" s="31">
        <f>IF($B992="","",IFERROR($C992-$B992,0))</f>
        <v/>
      </c>
      <c r="E992" s="31">
        <f>IF($B992="","",IFERROR($A992*$B992,0))</f>
        <v/>
      </c>
      <c r="F992" s="31">
        <f>IF($C992="","",IFERROR($A992*$C992,0))</f>
        <v/>
      </c>
      <c r="G992" s="31">
        <f>IF($B992="","",IFERROR(MAX(0,ayd_netDefter-$E992),0))</f>
        <v/>
      </c>
      <c r="H992" s="31">
        <f>IF($C992="","",IFERROR(MAX(0,ayd_netDefter+ayd_fark-$F992),0))</f>
        <v/>
      </c>
      <c r="I992" s="31">
        <f>IF($A992="","",IF($A992&gt;IFERROR(GIRDI!B12,0),"DIŞI","AKTİF"))</f>
        <v/>
      </c>
    </row>
    <row r="993">
      <c r="B993" s="31">
        <f>IF(OR($A993="",$A993&gt;IFERROR(GIRDI!B12,0)),"",IFERROR(IF(OR(GIRDI!B12="",GIRDI!B12=0),0,ayd_netDefter/GIRDI!B12),0))</f>
        <v/>
      </c>
      <c r="C993" s="31">
        <f>IF(OR($A993="",$A993&gt;IFERROR(GIRDI!B12,0)),"",IFERROR(IF(OR(GIRDI!B12="",GIRDI!B12=0),0,(ayd_netDefter+ayd_fark)/GIRDI!B12),0))</f>
        <v/>
      </c>
      <c r="D993" s="31">
        <f>IF($B993="","",IFERROR($C993-$B993,0))</f>
        <v/>
      </c>
      <c r="E993" s="31">
        <f>IF($B993="","",IFERROR($A993*$B993,0))</f>
        <v/>
      </c>
      <c r="F993" s="31">
        <f>IF($C993="","",IFERROR($A993*$C993,0))</f>
        <v/>
      </c>
      <c r="G993" s="31">
        <f>IF($B993="","",IFERROR(MAX(0,ayd_netDefter-$E993),0))</f>
        <v/>
      </c>
      <c r="H993" s="31">
        <f>IF($C993="","",IFERROR(MAX(0,ayd_netDefter+ayd_fark-$F993),0))</f>
        <v/>
      </c>
      <c r="I993" s="31">
        <f>IF($A993="","",IF($A993&gt;IFERROR(GIRDI!B12,0),"DIŞI","AKTİF"))</f>
        <v/>
      </c>
    </row>
    <row r="994">
      <c r="B994" s="31">
        <f>IF(OR($A994="",$A994&gt;IFERROR(GIRDI!B12,0)),"",IFERROR(IF(OR(GIRDI!B12="",GIRDI!B12=0),0,ayd_netDefter/GIRDI!B12),0))</f>
        <v/>
      </c>
      <c r="C994" s="31">
        <f>IF(OR($A994="",$A994&gt;IFERROR(GIRDI!B12,0)),"",IFERROR(IF(OR(GIRDI!B12="",GIRDI!B12=0),0,(ayd_netDefter+ayd_fark)/GIRDI!B12),0))</f>
        <v/>
      </c>
      <c r="D994" s="31">
        <f>IF($B994="","",IFERROR($C994-$B994,0))</f>
        <v/>
      </c>
      <c r="E994" s="31">
        <f>IF($B994="","",IFERROR($A994*$B994,0))</f>
        <v/>
      </c>
      <c r="F994" s="31">
        <f>IF($C994="","",IFERROR($A994*$C994,0))</f>
        <v/>
      </c>
      <c r="G994" s="31">
        <f>IF($B994="","",IFERROR(MAX(0,ayd_netDefter-$E994),0))</f>
        <v/>
      </c>
      <c r="H994" s="31">
        <f>IF($C994="","",IFERROR(MAX(0,ayd_netDefter+ayd_fark-$F994),0))</f>
        <v/>
      </c>
      <c r="I994" s="31">
        <f>IF($A994="","",IF($A994&gt;IFERROR(GIRDI!B12,0),"DIŞI","AKTİF"))</f>
        <v/>
      </c>
    </row>
    <row r="995">
      <c r="B995" s="31">
        <f>IF(OR($A995="",$A995&gt;IFERROR(GIRDI!B12,0)),"",IFERROR(IF(OR(GIRDI!B12="",GIRDI!B12=0),0,ayd_netDefter/GIRDI!B12),0))</f>
        <v/>
      </c>
      <c r="C995" s="31">
        <f>IF(OR($A995="",$A995&gt;IFERROR(GIRDI!B12,0)),"",IFERROR(IF(OR(GIRDI!B12="",GIRDI!B12=0),0,(ayd_netDefter+ayd_fark)/GIRDI!B12),0))</f>
        <v/>
      </c>
      <c r="D995" s="31">
        <f>IF($B995="","",IFERROR($C995-$B995,0))</f>
        <v/>
      </c>
      <c r="E995" s="31">
        <f>IF($B995="","",IFERROR($A995*$B995,0))</f>
        <v/>
      </c>
      <c r="F995" s="31">
        <f>IF($C995="","",IFERROR($A995*$C995,0))</f>
        <v/>
      </c>
      <c r="G995" s="31">
        <f>IF($B995="","",IFERROR(MAX(0,ayd_netDefter-$E995),0))</f>
        <v/>
      </c>
      <c r="H995" s="31">
        <f>IF($C995="","",IFERROR(MAX(0,ayd_netDefter+ayd_fark-$F995),0))</f>
        <v/>
      </c>
      <c r="I995" s="31">
        <f>IF($A995="","",IF($A995&gt;IFERROR(GIRDI!B12,0),"DIŞI","AKTİF"))</f>
        <v/>
      </c>
    </row>
    <row r="996">
      <c r="B996" s="31">
        <f>IF(OR($A996="",$A996&gt;IFERROR(GIRDI!B12,0)),"",IFERROR(IF(OR(GIRDI!B12="",GIRDI!B12=0),0,ayd_netDefter/GIRDI!B12),0))</f>
        <v/>
      </c>
      <c r="C996" s="31">
        <f>IF(OR($A996="",$A996&gt;IFERROR(GIRDI!B12,0)),"",IFERROR(IF(OR(GIRDI!B12="",GIRDI!B12=0),0,(ayd_netDefter+ayd_fark)/GIRDI!B12),0))</f>
        <v/>
      </c>
      <c r="D996" s="31">
        <f>IF($B996="","",IFERROR($C996-$B996,0))</f>
        <v/>
      </c>
      <c r="E996" s="31">
        <f>IF($B996="","",IFERROR($A996*$B996,0))</f>
        <v/>
      </c>
      <c r="F996" s="31">
        <f>IF($C996="","",IFERROR($A996*$C996,0))</f>
        <v/>
      </c>
      <c r="G996" s="31">
        <f>IF($B996="","",IFERROR(MAX(0,ayd_netDefter-$E996),0))</f>
        <v/>
      </c>
      <c r="H996" s="31">
        <f>IF($C996="","",IFERROR(MAX(0,ayd_netDefter+ayd_fark-$F996),0))</f>
        <v/>
      </c>
      <c r="I996" s="31">
        <f>IF($A996="","",IF($A996&gt;IFERROR(GIRDI!B12,0),"DIŞI","AKTİF"))</f>
        <v/>
      </c>
    </row>
    <row r="997">
      <c r="B997" s="31">
        <f>IF(OR($A997="",$A997&gt;IFERROR(GIRDI!B12,0)),"",IFERROR(IF(OR(GIRDI!B12="",GIRDI!B12=0),0,ayd_netDefter/GIRDI!B12),0))</f>
        <v/>
      </c>
      <c r="C997" s="31">
        <f>IF(OR($A997="",$A997&gt;IFERROR(GIRDI!B12,0)),"",IFERROR(IF(OR(GIRDI!B12="",GIRDI!B12=0),0,(ayd_netDefter+ayd_fark)/GIRDI!B12),0))</f>
        <v/>
      </c>
      <c r="D997" s="31">
        <f>IF($B997="","",IFERROR($C997-$B997,0))</f>
        <v/>
      </c>
      <c r="E997" s="31">
        <f>IF($B997="","",IFERROR($A997*$B997,0))</f>
        <v/>
      </c>
      <c r="F997" s="31">
        <f>IF($C997="","",IFERROR($A997*$C997,0))</f>
        <v/>
      </c>
      <c r="G997" s="31">
        <f>IF($B997="","",IFERROR(MAX(0,ayd_netDefter-$E997),0))</f>
        <v/>
      </c>
      <c r="H997" s="31">
        <f>IF($C997="","",IFERROR(MAX(0,ayd_netDefter+ayd_fark-$F997),0))</f>
        <v/>
      </c>
      <c r="I997" s="31">
        <f>IF($A997="","",IF($A997&gt;IFERROR(GIRDI!B12,0),"DIŞI","AKTİF"))</f>
        <v/>
      </c>
    </row>
    <row r="998">
      <c r="B998" s="31">
        <f>IF(OR($A998="",$A998&gt;IFERROR(GIRDI!B12,0)),"",IFERROR(IF(OR(GIRDI!B12="",GIRDI!B12=0),0,ayd_netDefter/GIRDI!B12),0))</f>
        <v/>
      </c>
      <c r="C998" s="31">
        <f>IF(OR($A998="",$A998&gt;IFERROR(GIRDI!B12,0)),"",IFERROR(IF(OR(GIRDI!B12="",GIRDI!B12=0),0,(ayd_netDefter+ayd_fark)/GIRDI!B12),0))</f>
        <v/>
      </c>
      <c r="D998" s="31">
        <f>IF($B998="","",IFERROR($C998-$B998,0))</f>
        <v/>
      </c>
      <c r="E998" s="31">
        <f>IF($B998="","",IFERROR($A998*$B998,0))</f>
        <v/>
      </c>
      <c r="F998" s="31">
        <f>IF($C998="","",IFERROR($A998*$C998,0))</f>
        <v/>
      </c>
      <c r="G998" s="31">
        <f>IF($B998="","",IFERROR(MAX(0,ayd_netDefter-$E998),0))</f>
        <v/>
      </c>
      <c r="H998" s="31">
        <f>IF($C998="","",IFERROR(MAX(0,ayd_netDefter+ayd_fark-$F998),0))</f>
        <v/>
      </c>
      <c r="I998" s="31">
        <f>IF($A998="","",IF($A998&gt;IFERROR(GIRDI!B12,0),"DIŞI","AKTİF"))</f>
        <v/>
      </c>
    </row>
    <row r="999">
      <c r="B999" s="31">
        <f>IF(OR($A999="",$A999&gt;IFERROR(GIRDI!B12,0)),"",IFERROR(IF(OR(GIRDI!B12="",GIRDI!B12=0),0,ayd_netDefter/GIRDI!B12),0))</f>
        <v/>
      </c>
      <c r="C999" s="31">
        <f>IF(OR($A999="",$A999&gt;IFERROR(GIRDI!B12,0)),"",IFERROR(IF(OR(GIRDI!B12="",GIRDI!B12=0),0,(ayd_netDefter+ayd_fark)/GIRDI!B12),0))</f>
        <v/>
      </c>
      <c r="D999" s="31">
        <f>IF($B999="","",IFERROR($C999-$B999,0))</f>
        <v/>
      </c>
      <c r="E999" s="31">
        <f>IF($B999="","",IFERROR($A999*$B999,0))</f>
        <v/>
      </c>
      <c r="F999" s="31">
        <f>IF($C999="","",IFERROR($A999*$C999,0))</f>
        <v/>
      </c>
      <c r="G999" s="31">
        <f>IF($B999="","",IFERROR(MAX(0,ayd_netDefter-$E999),0))</f>
        <v/>
      </c>
      <c r="H999" s="31">
        <f>IF($C999="","",IFERROR(MAX(0,ayd_netDefter+ayd_fark-$F999),0))</f>
        <v/>
      </c>
      <c r="I999" s="31">
        <f>IF($A999="","",IF($A999&gt;IFERROR(GIRDI!B12,0),"DIŞI","AKTİF"))</f>
        <v/>
      </c>
    </row>
    <row r="1000">
      <c r="B1000" s="31">
        <f>IF(OR($A1000="",$A1000&gt;IFERROR(GIRDI!B12,0)),"",IFERROR(IF(OR(GIRDI!B12="",GIRDI!B12=0),0,ayd_netDefter/GIRDI!B12),0))</f>
        <v/>
      </c>
      <c r="C1000" s="31">
        <f>IF(OR($A1000="",$A1000&gt;IFERROR(GIRDI!B12,0)),"",IFERROR(IF(OR(GIRDI!B12="",GIRDI!B12=0),0,(ayd_netDefter+ayd_fark)/GIRDI!B12),0))</f>
        <v/>
      </c>
      <c r="D1000" s="31">
        <f>IF($B1000="","",IFERROR($C1000-$B1000,0))</f>
        <v/>
      </c>
      <c r="E1000" s="31">
        <f>IF($B1000="","",IFERROR($A1000*$B1000,0))</f>
        <v/>
      </c>
      <c r="F1000" s="31">
        <f>IF($C1000="","",IFERROR($A1000*$C1000,0))</f>
        <v/>
      </c>
      <c r="G1000" s="31">
        <f>IF($B1000="","",IFERROR(MAX(0,ayd_netDefter-$E1000),0))</f>
        <v/>
      </c>
      <c r="H1000" s="31">
        <f>IF($C1000="","",IFERROR(MAX(0,ayd_netDefter+ayd_fark-$F1000),0))</f>
        <v/>
      </c>
      <c r="I1000" s="31">
        <f>IF($A1000="","",IF($A1000&gt;IFERROR(GIRDI!B12,0),"DIŞI","AKTİF"))</f>
        <v/>
      </c>
    </row>
    <row r="1001">
      <c r="B1001" s="31">
        <f>IF(OR($A1001="",$A1001&gt;IFERROR(GIRDI!B12,0)),"",IFERROR(IF(OR(GIRDI!B12="",GIRDI!B12=0),0,ayd_netDefter/GIRDI!B12),0))</f>
        <v/>
      </c>
      <c r="C1001" s="31">
        <f>IF(OR($A1001="",$A1001&gt;IFERROR(GIRDI!B12,0)),"",IFERROR(IF(OR(GIRDI!B12="",GIRDI!B12=0),0,(ayd_netDefter+ayd_fark)/GIRDI!B12),0))</f>
        <v/>
      </c>
      <c r="D1001" s="31">
        <f>IF($B1001="","",IFERROR($C1001-$B1001,0))</f>
        <v/>
      </c>
      <c r="E1001" s="31">
        <f>IF($B1001="","",IFERROR($A1001*$B1001,0))</f>
        <v/>
      </c>
      <c r="F1001" s="31">
        <f>IF($C1001="","",IFERROR($A1001*$C1001,0))</f>
        <v/>
      </c>
      <c r="G1001" s="31">
        <f>IF($B1001="","",IFERROR(MAX(0,ayd_netDefter-$E1001),0))</f>
        <v/>
      </c>
      <c r="H1001" s="31">
        <f>IF($C1001="","",IFERROR(MAX(0,ayd_netDefter+ayd_fark-$F1001),0))</f>
        <v/>
      </c>
      <c r="I1001" s="31">
        <f>IF($A1001="","",IF($A1001&gt;IFERROR(GIRDI!B12,0),"DIŞI","AKTİF"))</f>
        <v/>
      </c>
    </row>
    <row r="1002">
      <c r="B1002" s="31">
        <f>IF(OR($A1002="",$A1002&gt;IFERROR(GIRDI!B12,0)),"",IFERROR(IF(OR(GIRDI!B12="",GIRDI!B12=0),0,ayd_netDefter/GIRDI!B12),0))</f>
        <v/>
      </c>
      <c r="C1002" s="31">
        <f>IF(OR($A1002="",$A1002&gt;IFERROR(GIRDI!B12,0)),"",IFERROR(IF(OR(GIRDI!B12="",GIRDI!B12=0),0,(ayd_netDefter+ayd_fark)/GIRDI!B12),0))</f>
        <v/>
      </c>
      <c r="D1002" s="31">
        <f>IF($B1002="","",IFERROR($C1002-$B1002,0))</f>
        <v/>
      </c>
      <c r="E1002" s="31">
        <f>IF($B1002="","",IFERROR($A1002*$B1002,0))</f>
        <v/>
      </c>
      <c r="F1002" s="31">
        <f>IF($C1002="","",IFERROR($A1002*$C1002,0))</f>
        <v/>
      </c>
      <c r="G1002" s="31">
        <f>IF($B1002="","",IFERROR(MAX(0,ayd_netDefter-$E1002),0))</f>
        <v/>
      </c>
      <c r="H1002" s="31">
        <f>IF($C1002="","",IFERROR(MAX(0,ayd_netDefter+ayd_fark-$F1002),0))</f>
        <v/>
      </c>
      <c r="I1002" s="31">
        <f>IF($A1002="","",IF($A1002&gt;IFERROR(GIRDI!B12,0),"DIŞI","AKTİF"))</f>
        <v/>
      </c>
    </row>
    <row r="1003">
      <c r="B1003" s="31">
        <f>IF(OR($A1003="",$A1003&gt;IFERROR(GIRDI!B12,0)),"",IFERROR(IF(OR(GIRDI!B12="",GIRDI!B12=0),0,ayd_netDefter/GIRDI!B12),0))</f>
        <v/>
      </c>
      <c r="C1003" s="31">
        <f>IF(OR($A1003="",$A1003&gt;IFERROR(GIRDI!B12,0)),"",IFERROR(IF(OR(GIRDI!B12="",GIRDI!B12=0),0,(ayd_netDefter+ayd_fark)/GIRDI!B12),0))</f>
        <v/>
      </c>
      <c r="D1003" s="31">
        <f>IF($B1003="","",IFERROR($C1003-$B1003,0))</f>
        <v/>
      </c>
      <c r="E1003" s="31">
        <f>IF($B1003="","",IFERROR($A1003*$B1003,0))</f>
        <v/>
      </c>
      <c r="F1003" s="31">
        <f>IF($C1003="","",IFERROR($A1003*$C1003,0))</f>
        <v/>
      </c>
      <c r="G1003" s="31">
        <f>IF($B1003="","",IFERROR(MAX(0,ayd_netDefter-$E1003),0))</f>
        <v/>
      </c>
      <c r="H1003" s="31">
        <f>IF($C1003="","",IFERROR(MAX(0,ayd_netDefter+ayd_fark-$F1003),0))</f>
        <v/>
      </c>
      <c r="I1003" s="31">
        <f>IF($A1003="","",IF($A1003&gt;IFERROR(GIRDI!B12,0),"DIŞI","AKTİF"))</f>
        <v/>
      </c>
    </row>
    <row r="1004">
      <c r="B1004" s="31">
        <f>IF(OR($A1004="",$A1004&gt;IFERROR(GIRDI!B12,0)),"",IFERROR(IF(OR(GIRDI!B12="",GIRDI!B12=0),0,ayd_netDefter/GIRDI!B12),0))</f>
        <v/>
      </c>
      <c r="C1004" s="31">
        <f>IF(OR($A1004="",$A1004&gt;IFERROR(GIRDI!B12,0)),"",IFERROR(IF(OR(GIRDI!B12="",GIRDI!B12=0),0,(ayd_netDefter+ayd_fark)/GIRDI!B12),0))</f>
        <v/>
      </c>
      <c r="D1004" s="31">
        <f>IF($B1004="","",IFERROR($C1004-$B1004,0))</f>
        <v/>
      </c>
      <c r="E1004" s="31">
        <f>IF($B1004="","",IFERROR($A1004*$B1004,0))</f>
        <v/>
      </c>
      <c r="F1004" s="31">
        <f>IF($C1004="","",IFERROR($A1004*$C1004,0))</f>
        <v/>
      </c>
      <c r="G1004" s="31">
        <f>IF($B1004="","",IFERROR(MAX(0,ayd_netDefter-$E1004),0))</f>
        <v/>
      </c>
      <c r="H1004" s="31">
        <f>IF($C1004="","",IFERROR(MAX(0,ayd_netDefter+ayd_fark-$F1004),0))</f>
        <v/>
      </c>
      <c r="I1004" s="31">
        <f>IF($A1004="","",IF($A1004&gt;IFERROR(GIRDI!B12,0),"DIŞI","AKTİF"))</f>
        <v/>
      </c>
    </row>
    <row r="1016" ht="20" customHeight="1">
      <c r="A1016" s="35" t="inlineStr">
        <is>
          <t>Amortisman cetveli kilitlidir; yıl numarası sarı alana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1016:AN1016"/>
    <mergeCell ref="A4:J4"/>
    <mergeCell ref="A3:I3"/>
  </mergeCells>
  <conditionalFormatting sqref="B7:B11">
    <cfRule type="cellIs" priority="1" operator="lessThan" dxfId="5">
      <formula>0</formula>
    </cfRule>
  </conditionalFormatting>
  <conditionalFormatting sqref="B11">
    <cfRule type="cellIs" priority="2" operator="greaterThan" dxfId="3">
      <formula>0</formula>
    </cfRule>
  </conditionalFormatting>
  <conditionalFormatting sqref="I16:I55">
    <cfRule type="expression" priority="3" dxfId="0">
      <formula>I16="AKTİF"</formula>
    </cfRule>
    <cfRule type="expression" priority="4" dxfId="1">
      <formula>I16="DIŞI"</formula>
    </cfRule>
  </conditionalFormatting>
  <conditionalFormatting sqref="B16:B55">
    <cfRule type="cellIs" priority="5" operator="lessThan" dxfId="5">
      <formula>0</formula>
    </cfRule>
  </conditionalFormatting>
  <conditionalFormatting sqref="C16:C55">
    <cfRule type="cellIs" priority="6" operator="lessThan" dxfId="5">
      <formula>0</formula>
    </cfRule>
  </conditionalFormatting>
  <conditionalFormatting sqref="D16:D55">
    <cfRule type="cellIs" priority="7" operator="lessThan" dxfId="5">
      <formula>0</formula>
    </cfRule>
  </conditionalFormatting>
  <conditionalFormatting sqref="E16:E55">
    <cfRule type="cellIs" priority="8" operator="lessThan" dxfId="5">
      <formula>0</formula>
    </cfRule>
  </conditionalFormatting>
  <conditionalFormatting sqref="F16:F55">
    <cfRule type="cellIs" priority="9" operator="lessThan" dxfId="5">
      <formula>0</formula>
    </cfRule>
  </conditionalFormatting>
  <conditionalFormatting sqref="G16:G55">
    <cfRule type="cellIs" priority="10" operator="lessThan" dxfId="5">
      <formula>0</formula>
    </cfRule>
  </conditionalFormatting>
  <conditionalFormatting sqref="H16:H55">
    <cfRule type="cellIs" priority="11" operator="lessThan" dxfId="5">
      <formula>0</formula>
    </cfRule>
  </conditionalFormatting>
  <dataValidations count="1">
    <dataValidation sqref="A16:A1014" showDropDown="0" showInputMessage="1" showErrorMessage="1" allowBlank="1" errorTitle="Geçersiz yıl" error="1-100 arası girin." promptTitle="Yıl" prompt="1 ile 100 arasında yıl numarası." type="whole" errorStyle="stop" operator="between">
      <formula1>1</formula1>
      <formula2>100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6" t="inlineStr">
        <is>
          <t>KURALLAR — Amortisman + 2026 Yeniden Değerleme</t>
        </is>
      </c>
    </row>
    <row r="3" ht="22" customHeight="1">
      <c r="A3" s="225" t="inlineStr">
        <is>
          <t>Mevzuat kural tablosu (yıl yan yana)</t>
        </is>
      </c>
    </row>
    <row r="4">
      <c r="A4" s="21" t="inlineStr">
        <is>
          <t>Oranlar MOTOR'da sabit yazılmaz; INDEX/MATCH ile buradan çekilir.</t>
        </is>
      </c>
    </row>
    <row r="6" ht="30" customHeight="1">
      <c r="A6" s="12" t="inlineStr">
        <is>
          <t>kural_id</t>
        </is>
      </c>
      <c r="B6" s="12" t="inlineStr">
        <is>
          <t>madde</t>
        </is>
      </c>
      <c r="C6" s="12" t="inlineStr">
        <is>
          <t>kural_adi</t>
        </is>
      </c>
      <c r="D6" s="12" t="inlineStr">
        <is>
          <t>kosul_metni</t>
        </is>
      </c>
      <c r="E6" s="12" t="inlineStr">
        <is>
          <t>parametre_adi</t>
        </is>
      </c>
      <c r="F6" s="12" t="inlineStr">
        <is>
          <t>deger_2025</t>
        </is>
      </c>
      <c r="G6" s="12" t="inlineStr">
        <is>
          <t>deger_2026</t>
        </is>
      </c>
      <c r="H6" s="12" t="inlineStr">
        <is>
          <t>deger_2027</t>
        </is>
      </c>
      <c r="I6" s="12" t="inlineStr">
        <is>
          <t>yururluk</t>
        </is>
      </c>
      <c r="J6" s="12" t="inlineStr">
        <is>
          <t>kaynak</t>
        </is>
      </c>
      <c r="K6" s="12" t="inlineStr">
        <is>
          <t>aktif_deger</t>
        </is>
      </c>
    </row>
    <row r="7">
      <c r="A7" s="23" t="inlineStr">
        <is>
          <t>AYD-001</t>
        </is>
      </c>
      <c r="B7" s="23" t="inlineStr">
        <is>
          <t>VUK 298/Ç</t>
        </is>
      </c>
      <c r="C7" s="23" t="inlineStr">
        <is>
          <t>endeks_taban</t>
        </is>
      </c>
      <c r="D7" s="23" t="inlineStr">
        <is>
          <t>endeks&gt;=taban</t>
        </is>
      </c>
      <c r="E7" s="23" t="inlineStr">
        <is>
          <t>endeks_taban</t>
        </is>
      </c>
      <c r="F7" s="39" t="n">
        <v>1</v>
      </c>
      <c r="G7" s="39" t="n">
        <v>1</v>
      </c>
      <c r="H7" s="39" t="n">
        <v>1</v>
      </c>
      <c r="I7" s="23" t="inlineStr">
        <is>
          <t>01.01.2025</t>
        </is>
      </c>
      <c r="J7" s="23" t="inlineStr">
        <is>
          <t>VUK md.298/Ç</t>
        </is>
      </c>
      <c r="K7" s="31">
        <f>IF($A7="","",IFERROR(CHOOSE(MAX(1,MIN(3,IF(OR(hesapYili="",hesapYili=0),1,hesapYili-ayd_yilTaban))),$F7,$G7,$H7),0))</f>
        <v/>
      </c>
    </row>
    <row r="8">
      <c r="A8" s="23" t="inlineStr">
        <is>
          <t>AYD-002</t>
        </is>
      </c>
      <c r="B8" s="23" t="inlineStr">
        <is>
          <t>Geçici 32</t>
        </is>
      </c>
      <c r="C8" s="23" t="inlineStr">
        <is>
          <t>gec32_fon_orani</t>
        </is>
      </c>
      <c r="D8" s="23" t="inlineStr">
        <is>
          <t>fark&gt;0</t>
        </is>
      </c>
      <c r="E8" s="23" t="inlineStr">
        <is>
          <t>gec32_fon_orani</t>
        </is>
      </c>
      <c r="F8" s="40" t="n">
        <v>0.02</v>
      </c>
      <c r="G8" s="40" t="n">
        <v>0.02</v>
      </c>
      <c r="H8" s="40" t="n">
        <v>0.02</v>
      </c>
      <c r="I8" s="23" t="inlineStr">
        <is>
          <t>01.01.2025</t>
        </is>
      </c>
      <c r="J8" s="23" t="inlineStr">
        <is>
          <t>VUK Geçici md.32</t>
        </is>
      </c>
      <c r="K8" s="31">
        <f>IF($A8="","",IFERROR(CHOOSE(MAX(1,MIN(3,IF(OR(hesapYili="",hesapYili=0),1,hesapYili-ayd_yilTaban))),$F8,$G8,$H8),0))</f>
        <v/>
      </c>
    </row>
    <row r="9">
      <c r="A9" s="23" t="inlineStr">
        <is>
          <t>AYD-003</t>
        </is>
      </c>
      <c r="B9" s="23" t="inlineStr">
        <is>
          <t>KVK md.32</t>
        </is>
      </c>
      <c r="C9" s="23" t="inlineStr">
        <is>
          <t>kv_oran</t>
        </is>
      </c>
      <c r="D9" s="23" t="inlineStr">
        <is>
          <t>vergi etkisi</t>
        </is>
      </c>
      <c r="E9" s="23" t="inlineStr">
        <is>
          <t>kv_oran</t>
        </is>
      </c>
      <c r="F9" s="40" t="n">
        <v>0.25</v>
      </c>
      <c r="G9" s="40" t="n">
        <v>0.25</v>
      </c>
      <c r="H9" s="40" t="n">
        <v>0.25</v>
      </c>
      <c r="I9" s="23" t="inlineStr">
        <is>
          <t>01.01.2025</t>
        </is>
      </c>
      <c r="J9" s="23" t="inlineStr">
        <is>
          <t>KVK md.32</t>
        </is>
      </c>
      <c r="K9" s="31">
        <f>IF($A9="","",IFERROR(CHOOSE(MAX(1,MIN(3,IF(OR(hesapYili="",hesapYili=0),1,hesapYili-ayd_yilTaban))),$F9,$G9,$H9),0))</f>
        <v/>
      </c>
    </row>
    <row r="10">
      <c r="A10" s="23" t="inlineStr">
        <is>
          <t>AYD-004</t>
        </is>
      </c>
      <c r="B10" s="23" t="inlineStr">
        <is>
          <t>VUK 298/Ç</t>
        </is>
      </c>
      <c r="C10" s="23" t="inlineStr">
        <is>
          <t>c298_fon_orani</t>
        </is>
      </c>
      <c r="D10" s="23" t="inlineStr">
        <is>
          <t>298 yolu</t>
        </is>
      </c>
      <c r="E10" s="23" t="inlineStr">
        <is>
          <t>c298_fon_orani</t>
        </is>
      </c>
      <c r="F10" s="40" t="n">
        <v>0</v>
      </c>
      <c r="G10" s="40" t="n">
        <v>0</v>
      </c>
      <c r="H10" s="40" t="n">
        <v>0</v>
      </c>
      <c r="I10" s="23" t="inlineStr">
        <is>
          <t>01.01.2025</t>
        </is>
      </c>
      <c r="J10" s="23" t="inlineStr">
        <is>
          <t>VUK md.298/Ç</t>
        </is>
      </c>
      <c r="K10" s="31">
        <f>IF($A10="","",IFERROR(CHOOSE(MAX(1,MIN(3,IF(OR(hesapYili="",hesapYili=0),1,hesapYili-ayd_yilTaban))),$F10,$G10,$H10),0))</f>
        <v/>
      </c>
    </row>
    <row r="11">
      <c r="A11" s="23" t="inlineStr">
        <is>
          <t>AYD-005</t>
        </is>
      </c>
      <c r="B11" s="23" t="inlineStr">
        <is>
          <t>Genel</t>
        </is>
      </c>
      <c r="C11" s="23" t="inlineStr">
        <is>
          <t>yuvarlama</t>
        </is>
      </c>
      <c r="D11" s="23" t="inlineStr">
        <is>
          <t>her hesap</t>
        </is>
      </c>
      <c r="E11" s="23" t="inlineStr">
        <is>
          <t>yuvarlama_ondalik</t>
        </is>
      </c>
      <c r="F11" s="41" t="n">
        <v>2</v>
      </c>
      <c r="G11" s="41" t="n">
        <v>2</v>
      </c>
      <c r="H11" s="41" t="n">
        <v>2</v>
      </c>
      <c r="I11" s="23" t="inlineStr">
        <is>
          <t>01.01.2025</t>
        </is>
      </c>
      <c r="J11" s="23" t="inlineStr">
        <is>
          <t>Uygulama notu</t>
        </is>
      </c>
      <c r="K11" s="31">
        <f>IF($A11="","",IFERROR(CHOOSE(MAX(1,MIN(3,IF(OR(hesapYili="",hesapYili=0),1,hesapYili-ayd_yilTaban))),$F11,$G11,$H11),0))</f>
        <v/>
      </c>
    </row>
    <row r="14">
      <c r="A14" s="9" t="inlineStr">
        <is>
          <t>Kural-yıl matrisi özeti</t>
        </is>
      </c>
    </row>
    <row r="15">
      <c r="A15" s="23" t="inlineStr">
        <is>
          <t>Geç.32 fon oranı (aktif yıl)</t>
        </is>
      </c>
      <c r="B15" s="15">
        <f>IFERROR(INDEX(CHOOSE(MAX(1,MIN(3,IF(OR(hesapYili="",hesapYili=0),1,hesapYili-ayd_yilTaban))),tblKurallar[deger_2025],tblKurallar[deger_2026],tblKurallar[deger_2027]),MATCH("AYD-002",tblKurallar[kural_id],0)),0)</f>
        <v/>
      </c>
    </row>
    <row r="16">
      <c r="A16" s="23" t="inlineStr">
        <is>
          <t>KV oranı (aktif yıl)</t>
        </is>
      </c>
      <c r="B16" s="15">
        <f>IFERROR(INDEX(CHOOSE(MAX(1,MIN(3,IF(OR(hesapYili="",hesapYili=0),1,hesapYili-ayd_yilTaban))),tblKurallar[deger_2025],tblKurallar[deger_2026],tblKurallar[deger_2027]),MATCH("AYD-003",tblKurallar[kural_id],0)),0)</f>
        <v/>
      </c>
    </row>
    <row r="17">
      <c r="A17" s="23" t="inlineStr">
        <is>
          <t>Matris metni</t>
        </is>
      </c>
      <c r="B17" s="10">
        <f>_xlfn.TEXTJOIN(" | ",TRUE,"AYD-002=",TEXT(B15,"0.0%"),"AYD-003=",TEXT(B16,"0.0%"),"yıl=",hesapYili)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K4"/>
  </mergeCells>
  <dataValidations count="3">
    <dataValidation sqref="F7:F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  <dataValidation sqref="G7:G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  <dataValidation sqref="H7:H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064A2"/>
    <outlinePr summaryBelow="1" summaryRight="1"/>
    <pageSetUpPr/>
  </sheetPr>
  <dimension ref="A1:I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MOTOR — Amortisman + 2026 Yeniden Değerleme</t>
        </is>
      </c>
    </row>
    <row r="3" ht="22" customHeight="1">
      <c r="A3" s="225" t="inlineStr">
        <is>
          <t>Hesap zinciri — her adımda kural_id</t>
        </is>
      </c>
    </row>
    <row r="4">
      <c r="A4" s="21" t="inlineStr">
        <is>
          <t>Oranlar tblKurallar'dan çekilir; sabit oran yoktur.</t>
        </is>
      </c>
    </row>
    <row r="6" ht="30" customHeight="1">
      <c r="A6" s="12" t="inlineStr">
        <is>
          <t>adim</t>
        </is>
      </c>
      <c r="B6" s="12" t="inlineStr">
        <is>
          <t>ad</t>
        </is>
      </c>
      <c r="C6" s="12" t="inlineStr">
        <is>
          <t>formul</t>
        </is>
      </c>
      <c r="D6" s="12" t="inlineStr">
        <is>
          <t>birim</t>
        </is>
      </c>
      <c r="E6" s="12" t="inlineStr">
        <is>
          <t>ne_ise_yarar</t>
        </is>
      </c>
      <c r="F6" s="12" t="inlineStr">
        <is>
          <t>kural_id</t>
        </is>
      </c>
      <c r="G6" s="12" t="inlineStr">
        <is>
          <t>deger</t>
        </is>
      </c>
    </row>
    <row r="7">
      <c r="A7" s="42" t="n">
        <v>1</v>
      </c>
      <c r="B7" s="14" t="inlineStr">
        <is>
          <t>Hesap yılı oku</t>
        </is>
      </c>
      <c r="C7" s="43">
        <f>IFERROR(hesapYili,0)</f>
        <v/>
      </c>
      <c r="D7" s="44" t="inlineStr">
        <is>
          <t>yıl</t>
        </is>
      </c>
      <c r="E7" s="45" t="inlineStr">
        <is>
          <t>Aktif mevzuat yılı</t>
        </is>
      </c>
      <c r="F7" s="13" t="inlineStr">
        <is>
          <t>AYD-005</t>
        </is>
      </c>
      <c r="G7" s="29">
        <f>IFERROR(hesapYili,0)</f>
        <v/>
      </c>
    </row>
    <row r="8">
      <c r="A8" s="42" t="n">
        <v>2</v>
      </c>
      <c r="B8" s="14" t="inlineStr">
        <is>
          <t>Endeks taban</t>
        </is>
      </c>
      <c r="C8" s="46">
        <f>IFERROR(INDEX(CHOOSE(MAX(1,MIN(3,IF(OR(hesapYili="",hesapYili=0),1,hesapYili-ayd_yilTaban))),tblKurallar[deger_2025],tblKurallar[deger_2026],tblKurallar[deger_2027]),MATCH("AYD-001",tblKurallar[kural_id],0)),0)</f>
        <v/>
      </c>
      <c r="D8" s="44" t="inlineStr">
        <is>
          <t>çarpan</t>
        </is>
      </c>
      <c r="E8" s="45" t="inlineStr">
        <is>
          <t>Minimum endeks</t>
        </is>
      </c>
      <c r="F8" s="13" t="inlineStr">
        <is>
          <t>AYD-001</t>
        </is>
      </c>
      <c r="G8" s="47">
        <f>IFERROR(INDEX(CHOOSE(MAX(1,MIN(3,IF(OR(hesapYili="",hesapYili=0),1,hesapYili-ayd_yilTaban))),tblKurallar[deger_2025],tblKurallar[deger_2026],tblKurallar[deger_2027]),MATCH("AYD-001",tblKurallar[kural_id],0)),0)</f>
        <v/>
      </c>
    </row>
    <row r="9">
      <c r="A9" s="42" t="n">
        <v>3</v>
      </c>
      <c r="B9" s="14" t="inlineStr">
        <is>
          <t>Geç.32 fon oranı</t>
        </is>
      </c>
      <c r="C9" s="48">
        <f>IFERROR(INDEX(CHOOSE(MAX(1,MIN(3,IF(OR(hesapYili="",hesapYili=0),1,hesapYili-ayd_yilTaban))),tblKurallar[deger_2025],tblKurallar[deger_2026],tblKurallar[deger_2027]),MATCH("AYD-002",tblKurallar[kural_id],0)),0)</f>
        <v/>
      </c>
      <c r="D9" s="44" t="inlineStr">
        <is>
          <t>oran</t>
        </is>
      </c>
      <c r="E9" s="45" t="inlineStr">
        <is>
          <t>Fon vergi oranı</t>
        </is>
      </c>
      <c r="F9" s="13" t="inlineStr">
        <is>
          <t>AYD-002</t>
        </is>
      </c>
      <c r="G9" s="15">
        <f>IFERROR(INDEX(CHOOSE(MAX(1,MIN(3,IF(OR(hesapYili="",hesapYili=0),1,hesapYili-ayd_yilTaban))),tblKurallar[deger_2025],tblKurallar[deger_2026],tblKurallar[deger_2027]),MATCH("AYD-002",tblKurallar[kural_id],0)),0)</f>
        <v/>
      </c>
    </row>
    <row r="10">
      <c r="A10" s="42" t="n">
        <v>4</v>
      </c>
      <c r="B10" s="14" t="inlineStr">
        <is>
          <t>KV oranı</t>
        </is>
      </c>
      <c r="C10" s="48">
        <f>IFERROR(INDEX(CHOOSE(MAX(1,MIN(3,IF(OR(hesapYili="",hesapYili=0),1,hesapYili-ayd_yilTaban))),tblKurallar[deger_2025],tblKurallar[deger_2026],tblKurallar[deger_2027]),MATCH("AYD-003",tblKurallar[kural_id],0)),0)</f>
        <v/>
      </c>
      <c r="D10" s="44" t="inlineStr">
        <is>
          <t>oran</t>
        </is>
      </c>
      <c r="E10" s="45" t="inlineStr">
        <is>
          <t>Kurumlar vergisi oranı</t>
        </is>
      </c>
      <c r="F10" s="13" t="inlineStr">
        <is>
          <t>AYD-003</t>
        </is>
      </c>
      <c r="G10" s="15">
        <f>IFERROR(INDEX(CHOOSE(MAX(1,MIN(3,IF(OR(hesapYili="",hesapYili=0),1,hesapYili-ayd_yilTaban))),tblKurallar[deger_2025],tblKurallar[deger_2026],tblKurallar[deger_2027]),MATCH("AYD-003",tblKurallar[kural_id],0)),0)</f>
        <v/>
      </c>
    </row>
    <row r="11">
      <c r="A11" s="42" t="n">
        <v>5</v>
      </c>
      <c r="B11" s="14" t="inlineStr">
        <is>
          <t>298/Ç fon oranı</t>
        </is>
      </c>
      <c r="C11" s="48">
        <f>IFERROR(INDEX(CHOOSE(MAX(1,MIN(3,IF(OR(hesapYili="",hesapYili=0),1,hesapYili-ayd_yilTaban))),tblKurallar[deger_2025],tblKurallar[deger_2026],tblKurallar[deger_2027]),MATCH("AYD-004",tblKurallar[kural_id],0)),0)</f>
        <v/>
      </c>
      <c r="D11" s="44" t="inlineStr">
        <is>
          <t>oran</t>
        </is>
      </c>
      <c r="E11" s="45" t="inlineStr">
        <is>
          <t>298 yolu fon</t>
        </is>
      </c>
      <c r="F11" s="13" t="inlineStr">
        <is>
          <t>AYD-004</t>
        </is>
      </c>
      <c r="G11" s="15">
        <f>IFERROR(INDEX(CHOOSE(MAX(1,MIN(3,IF(OR(hesapYili="",hesapYili=0),1,hesapYili-ayd_yilTaban))),tblKurallar[deger_2025],tblKurallar[deger_2026],tblKurallar[deger_2027]),MATCH("AYD-004",tblKurallar[kural_id],0)),0)</f>
        <v/>
      </c>
    </row>
    <row r="12">
      <c r="A12" s="42" t="n">
        <v>6</v>
      </c>
      <c r="B12" s="14" t="inlineStr">
        <is>
          <t>Yuvarlama ondalık</t>
        </is>
      </c>
      <c r="C12" s="43">
        <f>IFERROR(INDEX(CHOOSE(MAX(1,MIN(3,IF(OR(hesapYili="",hesapYili=0),1,hesapYili-ayd_yilTaban))),tblKurallar[deger_2025],tblKurallar[deger_2026],tblKurallar[deger_2027]),MATCH("AYD-005",tblKurallar[kural_id],0)),0)</f>
        <v/>
      </c>
      <c r="D12" s="44" t="inlineStr">
        <is>
          <t>adet</t>
        </is>
      </c>
      <c r="E12" s="45" t="inlineStr">
        <is>
          <t>Yuvarlama basamağı</t>
        </is>
      </c>
      <c r="F12" s="13" t="inlineStr">
        <is>
          <t>AYD-005</t>
        </is>
      </c>
      <c r="G12" s="29">
        <f>IFERROR(INDEX(CHOOSE(MAX(1,MIN(3,IF(OR(hesapYili="",hesapYili=0),1,hesapYili-ayd_yilTaban))),tblKurallar[deger_2025],tblKurallar[deger_2026],tblKurallar[deger_2027]),MATCH("AYD-005",tblKurallar[kural_id],0)),0)</f>
        <v/>
      </c>
    </row>
    <row r="13">
      <c r="A13" s="42" t="n">
        <v>7</v>
      </c>
      <c r="B13" s="14" t="inlineStr">
        <is>
          <t>Maliyet</t>
        </is>
      </c>
      <c r="C13" s="49">
        <f>IFERROR(GIRDI!B9,0)</f>
        <v/>
      </c>
      <c r="D13" s="44" t="inlineStr">
        <is>
          <t>TL</t>
        </is>
      </c>
      <c r="E13" s="45" t="inlineStr">
        <is>
          <t>İktisap maliyeti</t>
        </is>
      </c>
      <c r="F13" s="13" t="inlineStr">
        <is>
          <t>AYD-001</t>
        </is>
      </c>
      <c r="G13" s="16">
        <f>IFERROR(GIRDI!B9,0)</f>
        <v/>
      </c>
    </row>
    <row r="14">
      <c r="A14" s="42" t="n">
        <v>8</v>
      </c>
      <c r="B14" s="14" t="inlineStr">
        <is>
          <t>Birikmiş amortisman</t>
        </is>
      </c>
      <c r="C14" s="49">
        <f>IFERROR(GIRDI!B10,0)</f>
        <v/>
      </c>
      <c r="D14" s="44" t="inlineStr">
        <is>
          <t>TL</t>
        </is>
      </c>
      <c r="E14" s="45" t="inlineStr">
        <is>
          <t>Birikmiş amortisman</t>
        </is>
      </c>
      <c r="F14" s="13" t="inlineStr">
        <is>
          <t>AYD-001</t>
        </is>
      </c>
      <c r="G14" s="16">
        <f>IFERROR(GIRDI!B10,0)</f>
        <v/>
      </c>
    </row>
    <row r="15">
      <c r="A15" s="42" t="n">
        <v>9</v>
      </c>
      <c r="B15" s="14" t="inlineStr">
        <is>
          <t>Endeks oranı</t>
        </is>
      </c>
      <c r="C15" s="46">
        <f>IFERROR(GIRDI!B11,0)</f>
        <v/>
      </c>
      <c r="D15" s="44" t="inlineStr">
        <is>
          <t>çarpan</t>
        </is>
      </c>
      <c r="E15" s="45" t="inlineStr">
        <is>
          <t>Kullanıcı endeksi</t>
        </is>
      </c>
      <c r="F15" s="13" t="inlineStr">
        <is>
          <t>AYD-001</t>
        </is>
      </c>
      <c r="G15" s="47">
        <f>IFERROR(GIRDI!B11,0)</f>
        <v/>
      </c>
    </row>
    <row r="16">
      <c r="A16" s="42" t="n">
        <v>10</v>
      </c>
      <c r="B16" s="14" t="inlineStr">
        <is>
          <t>Kalan ömür</t>
        </is>
      </c>
      <c r="C16" s="43">
        <f>IFERROR(GIRDI!B12,0)</f>
        <v/>
      </c>
      <c r="D16" s="44" t="inlineStr">
        <is>
          <t>yıl</t>
        </is>
      </c>
      <c r="E16" s="45" t="inlineStr">
        <is>
          <t>Kalan ekonomik ömür</t>
        </is>
      </c>
      <c r="F16" s="13" t="inlineStr">
        <is>
          <t>AYD-003</t>
        </is>
      </c>
      <c r="G16" s="29">
        <f>IFERROR(GIRDI!B12,0)</f>
        <v/>
      </c>
    </row>
    <row r="17">
      <c r="A17" s="42" t="n">
        <v>11</v>
      </c>
      <c r="B17" s="14" t="inlineStr">
        <is>
          <t>Net defter değeri</t>
        </is>
      </c>
      <c r="C17" s="49">
        <f>IFERROR(MAX(0,G13-G14),0)</f>
        <v/>
      </c>
      <c r="D17" s="44" t="inlineStr">
        <is>
          <t>TL</t>
        </is>
      </c>
      <c r="E17" s="45" t="inlineStr">
        <is>
          <t>Maliyet − birikmiş</t>
        </is>
      </c>
      <c r="F17" s="13" t="inlineStr">
        <is>
          <t>AYD-001</t>
        </is>
      </c>
      <c r="G17" s="16">
        <f>IFERROR(MAX(0,G13-G14),0)</f>
        <v/>
      </c>
    </row>
    <row r="18">
      <c r="A18" s="42" t="n">
        <v>12</v>
      </c>
      <c r="B18" s="14" t="inlineStr">
        <is>
          <t>Endeks düzeltilmiş</t>
        </is>
      </c>
      <c r="C18" s="46">
        <f>IFERROR(MAX(G15,G8),0)</f>
        <v/>
      </c>
      <c r="D18" s="44" t="inlineStr">
        <is>
          <t>çarpan</t>
        </is>
      </c>
      <c r="E18" s="45" t="inlineStr">
        <is>
          <t>Taban ile max</t>
        </is>
      </c>
      <c r="F18" s="13" t="inlineStr">
        <is>
          <t>AYD-001</t>
        </is>
      </c>
      <c r="G18" s="47">
        <f>IFERROR(MAX(G15,G8),0)</f>
        <v/>
      </c>
    </row>
    <row r="19">
      <c r="A19" s="42" t="n">
        <v>13</v>
      </c>
      <c r="B19" s="14" t="inlineStr">
        <is>
          <t>Yeniden değerlenmiş maliyet</t>
        </is>
      </c>
      <c r="C19" s="49">
        <f>IFERROR(ROUND(G13*G18,MAX(0,MIN(ayd_yuvarMax,IFERROR(N(G12),0)))),0)</f>
        <v/>
      </c>
      <c r="D19" s="44" t="inlineStr">
        <is>
          <t>TL</t>
        </is>
      </c>
      <c r="E19" s="45" t="inlineStr">
        <is>
          <t>Maliyet × endeks</t>
        </is>
      </c>
      <c r="F19" s="13" t="inlineStr">
        <is>
          <t>AYD-001</t>
        </is>
      </c>
      <c r="G19" s="16">
        <f>IFERROR(ROUND(G13*G18,MAX(0,MIN(ayd_yuvarMax,IFERROR(N(G12),0)))),0)</f>
        <v/>
      </c>
    </row>
    <row r="20">
      <c r="A20" s="42" t="n">
        <v>14</v>
      </c>
      <c r="B20" s="14" t="inlineStr">
        <is>
          <t>Değer artış farkı</t>
        </is>
      </c>
      <c r="C20" s="49">
        <f>IFERROR(ROUND(MAX(0,G13*(G18-1)),MAX(0,MIN(ayd_yuvarMax,IFERROR(N(G12),0)))),0)</f>
        <v/>
      </c>
      <c r="D20" s="44" t="inlineStr">
        <is>
          <t>TL</t>
        </is>
      </c>
      <c r="E20" s="45" t="inlineStr">
        <is>
          <t>Maliyet×(endeks−1)</t>
        </is>
      </c>
      <c r="F20" s="13" t="inlineStr">
        <is>
          <t>AYD-001</t>
        </is>
      </c>
      <c r="G20" s="16">
        <f>IFERROR(ROUND(MAX(0,G13*(G18-1)),MAX(0,MIN(ayd_yuvarMax,IFERROR(N(G12),0)))),0)</f>
        <v/>
      </c>
    </row>
    <row r="21">
      <c r="A21" s="42" t="n">
        <v>15</v>
      </c>
      <c r="B21" s="14" t="inlineStr">
        <is>
          <t>Geç.32 fon vergisi</t>
        </is>
      </c>
      <c r="C21" s="49">
        <f>IFERROR(ROUND(G20*G9,MAX(0,MIN(ayd_yuvarMax,IFERROR(N(G12),0)))),0)</f>
        <v/>
      </c>
      <c r="D21" s="44" t="inlineStr">
        <is>
          <t>TL</t>
        </is>
      </c>
      <c r="E21" s="45" t="inlineStr">
        <is>
          <t>Fark × fon oranı</t>
        </is>
      </c>
      <c r="F21" s="13" t="inlineStr">
        <is>
          <t>AYD-002</t>
        </is>
      </c>
      <c r="G21" s="16">
        <f>IFERROR(ROUND(G20*G9,MAX(0,MIN(ayd_yuvarMax,IFERROR(N(G12),0)))),0)</f>
        <v/>
      </c>
    </row>
    <row r="22">
      <c r="A22" s="42" t="n">
        <v>16</v>
      </c>
      <c r="B22" s="14" t="inlineStr">
        <is>
          <t>298/Ç fon vergisi</t>
        </is>
      </c>
      <c r="C22" s="49">
        <f>IFERROR(ROUND(G20*G11,MAX(0,MIN(ayd_yuvarMax,IFERROR(N(G12),0)))),0)</f>
        <v/>
      </c>
      <c r="D22" s="44" t="inlineStr">
        <is>
          <t>TL</t>
        </is>
      </c>
      <c r="E22" s="45" t="inlineStr">
        <is>
          <t>Fark × 298 fon</t>
        </is>
      </c>
      <c r="F22" s="13" t="inlineStr">
        <is>
          <t>AYD-004</t>
        </is>
      </c>
      <c r="G22" s="16">
        <f>IFERROR(ROUND(G20*G11,MAX(0,MIN(ayd_yuvarMax,IFERROR(N(G12),0)))),0)</f>
        <v/>
      </c>
    </row>
    <row r="23">
      <c r="A23" s="42" t="n">
        <v>17</v>
      </c>
      <c r="B23" s="14" t="inlineStr">
        <is>
          <t>Özkaynak 298/Ç</t>
        </is>
      </c>
      <c r="C23" s="49">
        <f>IFERROR(G20-G22,0)</f>
        <v/>
      </c>
      <c r="D23" s="44" t="inlineStr">
        <is>
          <t>TL</t>
        </is>
      </c>
      <c r="E23" s="45" t="inlineStr">
        <is>
          <t>Fark − 298 fon</t>
        </is>
      </c>
      <c r="F23" s="13" t="inlineStr">
        <is>
          <t>AYD-004</t>
        </is>
      </c>
      <c r="G23" s="16">
        <f>IFERROR(G20-G22,0)</f>
        <v/>
      </c>
    </row>
    <row r="24">
      <c r="A24" s="42" t="n">
        <v>18</v>
      </c>
      <c r="B24" s="14" t="inlineStr">
        <is>
          <t>Özkaynak Geç.32</t>
        </is>
      </c>
      <c r="C24" s="49">
        <f>IFERROR(G20-G21,0)</f>
        <v/>
      </c>
      <c r="D24" s="44" t="inlineStr">
        <is>
          <t>TL</t>
        </is>
      </c>
      <c r="E24" s="45" t="inlineStr">
        <is>
          <t>Fark − Geç.32 fon</t>
        </is>
      </c>
      <c r="F24" s="13" t="inlineStr">
        <is>
          <t>AYD-002</t>
        </is>
      </c>
      <c r="G24" s="16">
        <f>IFERROR(G20-G21,0)</f>
        <v/>
      </c>
    </row>
    <row r="25">
      <c r="A25" s="42" t="n">
        <v>19</v>
      </c>
      <c r="B25" s="14" t="inlineStr">
        <is>
          <t>Ek amortisman yıllık</t>
        </is>
      </c>
      <c r="C25" s="49">
        <f>IFERROR(IF(G16=0,0,G20/G16),0)</f>
        <v/>
      </c>
      <c r="D25" s="44" t="inlineStr">
        <is>
          <t>TL</t>
        </is>
      </c>
      <c r="E25" s="45" t="inlineStr">
        <is>
          <t>Fark / kalan ömür</t>
        </is>
      </c>
      <c r="F25" s="13" t="inlineStr">
        <is>
          <t>AYD-003</t>
        </is>
      </c>
      <c r="G25" s="16">
        <f>IFERROR(IF(G16=0,0,G20/G16),0)</f>
        <v/>
      </c>
    </row>
    <row r="26">
      <c r="A26" s="42" t="n">
        <v>20</v>
      </c>
      <c r="B26" s="14" t="inlineStr">
        <is>
          <t>Vergi tasarrufu brüt</t>
        </is>
      </c>
      <c r="C26" s="49">
        <f>IFERROR(ROUND(G20*G10,MAX(0,MIN(ayd_yuvarMax,IFERROR(N(G12),0)))),0)</f>
        <v/>
      </c>
      <c r="D26" s="44" t="inlineStr">
        <is>
          <t>TL</t>
        </is>
      </c>
      <c r="E26" s="45" t="inlineStr">
        <is>
          <t>Fark × KV oranı</t>
        </is>
      </c>
      <c r="F26" s="13" t="inlineStr">
        <is>
          <t>AYD-003</t>
        </is>
      </c>
      <c r="G26" s="16">
        <f>IFERROR(ROUND(G20*G10,MAX(0,MIN(ayd_yuvarMax,IFERROR(N(G12),0)))),0)</f>
        <v/>
      </c>
    </row>
    <row r="27">
      <c r="A27" s="42" t="n">
        <v>21</v>
      </c>
      <c r="B27" s="14" t="inlineStr">
        <is>
          <t>Net fayda 298/Ç</t>
        </is>
      </c>
      <c r="C27" s="49">
        <f>IFERROR(G23,0)</f>
        <v/>
      </c>
      <c r="D27" s="44" t="inlineStr">
        <is>
          <t>TL</t>
        </is>
      </c>
      <c r="E27" s="45" t="inlineStr">
        <is>
          <t>298 özkaynak net</t>
        </is>
      </c>
      <c r="F27" s="13" t="inlineStr">
        <is>
          <t>AYD-004</t>
        </is>
      </c>
      <c r="G27" s="16">
        <f>IFERROR(G23,0)</f>
        <v/>
      </c>
    </row>
    <row r="28">
      <c r="A28" s="42" t="n">
        <v>22</v>
      </c>
      <c r="B28" s="14" t="inlineStr">
        <is>
          <t>Net fayda Geç.32</t>
        </is>
      </c>
      <c r="C28" s="49">
        <f>IFERROR(G24+G26*ayd_tasarrufCarpan,0)</f>
        <v/>
      </c>
      <c r="D28" s="44" t="inlineStr">
        <is>
          <t>TL</t>
        </is>
      </c>
      <c r="E28" s="45" t="inlineStr">
        <is>
          <t>Özkaynak+vergi faydası</t>
        </is>
      </c>
      <c r="F28" s="13" t="inlineStr">
        <is>
          <t>AYD-002</t>
        </is>
      </c>
      <c r="G28" s="16">
        <f>IFERROR(G24+G26*ayd_tasarrufCarpan,0)</f>
        <v/>
      </c>
    </row>
    <row r="29">
      <c r="A29" s="42" t="n">
        <v>23</v>
      </c>
      <c r="B29" s="14" t="inlineStr">
        <is>
          <t>Fayda farkı (298−Geç32)</t>
        </is>
      </c>
      <c r="C29" s="49">
        <f>IFERROR(G27-G28,0)</f>
        <v/>
      </c>
      <c r="D29" s="44" t="inlineStr">
        <is>
          <t>TL</t>
        </is>
      </c>
      <c r="E29" s="45" t="inlineStr">
        <is>
          <t>Yol karşılaştırması</t>
        </is>
      </c>
      <c r="F29" s="13" t="inlineStr">
        <is>
          <t>AYD-001</t>
        </is>
      </c>
      <c r="G29" s="16">
        <f>IFERROR(G27-G28,0)</f>
        <v/>
      </c>
    </row>
    <row r="30">
      <c r="A30" s="42" t="n">
        <v>24</v>
      </c>
      <c r="B30" s="14" t="inlineStr">
        <is>
          <t>Karar kodu</t>
        </is>
      </c>
      <c r="C30" s="10">
        <f>IFERROR(IF(COUNTA(tblGirdi[Alan Anahtarı])=0,"VERI_YOK",IF(G20&lt;=0,"YAPMA",IF(ABS(G29)&lt;=ayd_kararEsik,"BEKLE","YAP"))),"")</f>
        <v/>
      </c>
      <c r="D30" s="44" t="inlineStr">
        <is>
          <t>kod</t>
        </is>
      </c>
      <c r="E30" s="45" t="inlineStr">
        <is>
          <t>Karar kodu</t>
        </is>
      </c>
      <c r="F30" s="13" t="inlineStr">
        <is>
          <t>AYD-001</t>
        </is>
      </c>
      <c r="G30" s="17">
        <f>IFERROR(IF(COUNTA(tblGirdi[Alan Anahtarı])=0,"VERI_YOK",IF(G20&lt;=0,"YAPMA",IF(ABS(G29)&lt;=ayd_kararEsik,"BEKLE","YAP"))),"")</f>
        <v/>
      </c>
    </row>
    <row r="31">
      <c r="A31" s="42" t="n">
        <v>25</v>
      </c>
      <c r="B31" s="14" t="inlineStr">
        <is>
          <t>Karar metni</t>
        </is>
      </c>
      <c r="C31" s="10">
        <f>IFERROR(IF(G30="VERI_YOK","VERİ YOK",IF(G30="YAPMA","YAPMA",IF(G30="BEKLE","BEKLE","YAP"))),"")</f>
        <v/>
      </c>
      <c r="D31" s="44" t="inlineStr">
        <is>
          <t>metin</t>
        </is>
      </c>
      <c r="E31" s="45" t="inlineStr">
        <is>
          <t>Kullanıcıya karar</t>
        </is>
      </c>
      <c r="F31" s="13" t="inlineStr">
        <is>
          <t>AYD-001</t>
        </is>
      </c>
      <c r="G31" s="17">
        <f>IFERROR(IF(G30="VERI_YOK","VERİ YOK",IF(G30="YAPMA","YAPMA",IF(G30="BEKLE","BEKLE","YAP"))),"")</f>
        <v/>
      </c>
    </row>
    <row r="32">
      <c r="A32" s="42" t="n">
        <v>26</v>
      </c>
      <c r="B32" s="14" t="inlineStr">
        <is>
          <t>Gerekçe</t>
        </is>
      </c>
      <c r="C32" s="10">
        <f>IFERROR(IF(G30="VERI_YOK","Giriş tablosu boş — amortisman AND yeniden değerleme hesaplanamaz.",IF(G30="YAPMA","Endeks artışı yok veya fark sıfır; yeniden değerleme yapılmamalı.",IF(G30="BEKLE","298/Ç AND Geç.32 net faydaları eşik içinde; öncelik yorumunu AND amortisman cetvelini gözden geçirin.",IF(G29&gt;0,"YAP · 298/Ç net faydası önde; amortisman cetveli AND fon yükü uygun.","YAP · Geç.32 net faydası (özkaynak+vergi) önde; amortisman cetveli ile birlikte uygulayın.")))),"")</f>
        <v/>
      </c>
      <c r="D32" s="44" t="inlineStr">
        <is>
          <t>metin</t>
        </is>
      </c>
      <c r="E32" s="45" t="inlineStr">
        <is>
          <t>Gerekçe cümlesi</t>
        </is>
      </c>
      <c r="F32" s="13" t="inlineStr">
        <is>
          <t>AYD-001</t>
        </is>
      </c>
      <c r="G32" s="17">
        <f>IFERROR(IF(G30="VERI_YOK","Giriş tablosu boş — amortisman AND yeniden değerleme hesaplanamaz.",IF(G30="YAPMA","Endeks artışı yok veya fark sıfır; yeniden değerleme yapılmamalı.",IF(G30="BEKLE","298/Ç AND Geç.32 net faydaları eşik içinde; öncelik yorumunu AND amortisman cetvelini gözden geçirin.",IF(G29&gt;0,"YAP · 298/Ç net faydası önde; amortisman cetveli AND fon yükü uygun.","YAP · Geç.32 net faydası (özkaynak+vergi) önde; amortisman cetveli ile birlikte uygulayın.")))),"")</f>
        <v/>
      </c>
    </row>
    <row r="33">
      <c r="A33" s="42" t="n">
        <v>27</v>
      </c>
      <c r="B33" s="14" t="inlineStr">
        <is>
          <t>Fark / maliyet</t>
        </is>
      </c>
      <c r="C33" s="48">
        <f>IFERROR(IF(G13=0,0,G20/G13),0)</f>
        <v/>
      </c>
      <c r="D33" s="44" t="inlineStr">
        <is>
          <t>oran</t>
        </is>
      </c>
      <c r="E33" s="45" t="inlineStr">
        <is>
          <t>Artış yoğunluğu</t>
        </is>
      </c>
      <c r="F33" s="13" t="inlineStr">
        <is>
          <t>AYD-001</t>
        </is>
      </c>
      <c r="G33" s="15">
        <f>IFERROR(IF(G13=0,0,G20/G13),0)</f>
        <v/>
      </c>
    </row>
    <row r="34">
      <c r="A34" s="42" t="n">
        <v>28</v>
      </c>
      <c r="B34" s="14" t="inlineStr">
        <is>
          <t>Fon / fark</t>
        </is>
      </c>
      <c r="C34" s="48">
        <f>IFERROR(IF(G20=0,0,G21/G20),0)</f>
        <v/>
      </c>
      <c r="D34" s="44" t="inlineStr">
        <is>
          <t>oran</t>
        </is>
      </c>
      <c r="E34" s="45" t="inlineStr">
        <is>
          <t>Fon yük oranı</t>
        </is>
      </c>
      <c r="F34" s="13" t="inlineStr">
        <is>
          <t>AYD-002</t>
        </is>
      </c>
      <c r="G34" s="15">
        <f>IFERROR(IF(G20=0,0,G21/G20),0)</f>
        <v/>
      </c>
    </row>
    <row r="35">
      <c r="A35" s="42" t="n">
        <v>29</v>
      </c>
      <c r="B35" s="14" t="inlineStr">
        <is>
          <t>Yorum A net (298 öncelik)</t>
        </is>
      </c>
      <c r="C35" s="49">
        <f>IFERROR(G27,0)</f>
        <v/>
      </c>
      <c r="D35" s="44" t="inlineStr">
        <is>
          <t>TL</t>
        </is>
      </c>
      <c r="E35" s="45" t="inlineStr">
        <is>
          <t>A yolu net</t>
        </is>
      </c>
      <c r="F35" s="13" t="inlineStr">
        <is>
          <t>AYD-004</t>
        </is>
      </c>
      <c r="G35" s="16">
        <f>IFERROR(G27,0)</f>
        <v/>
      </c>
    </row>
    <row r="36">
      <c r="A36" s="42" t="n">
        <v>30</v>
      </c>
      <c r="B36" s="14" t="inlineStr">
        <is>
          <t>Yorum B net (Geç.32 öncelik)</t>
        </is>
      </c>
      <c r="C36" s="49">
        <f>IFERROR(G28,0)</f>
        <v/>
      </c>
      <c r="D36" s="44" t="inlineStr">
        <is>
          <t>TL</t>
        </is>
      </c>
      <c r="E36" s="45" t="inlineStr">
        <is>
          <t>B yolu net</t>
        </is>
      </c>
      <c r="F36" s="13" t="inlineStr">
        <is>
          <t>AYD-002</t>
        </is>
      </c>
      <c r="G36" s="16">
        <f>IFERROR(G28,0)</f>
        <v/>
      </c>
    </row>
    <row r="37">
      <c r="A37" s="42" t="n">
        <v>31</v>
      </c>
      <c r="B37" s="14" t="inlineStr">
        <is>
          <t>Seçili yorum net</t>
        </is>
      </c>
      <c r="C37" s="49">
        <f>IFERROR(IF(GIRDI!B13="B",G36,G35),0)</f>
        <v/>
      </c>
      <c r="D37" s="44" t="inlineStr">
        <is>
          <t>TL</t>
        </is>
      </c>
      <c r="E37" s="45" t="inlineStr">
        <is>
          <t>A/B seçimine göre</t>
        </is>
      </c>
      <c r="F37" s="13" t="inlineStr">
        <is>
          <t>AYD-001</t>
        </is>
      </c>
      <c r="G37" s="16">
        <f>IFERROR(IF(GIRDI!B13="B",G36,G35),0)</f>
        <v/>
      </c>
    </row>
    <row r="38">
      <c r="A38" s="42" t="n">
        <v>32</v>
      </c>
      <c r="B38" s="14" t="inlineStr">
        <is>
          <t>Yorum farkı</t>
        </is>
      </c>
      <c r="C38" s="49">
        <f>IFERROR(ABS(G35-G36),0)</f>
        <v/>
      </c>
      <c r="D38" s="44" t="inlineStr">
        <is>
          <t>TL</t>
        </is>
      </c>
      <c r="E38" s="45" t="inlineStr">
        <is>
          <t>Belirsizlik aralığı</t>
        </is>
      </c>
      <c r="F38" s="13" t="inlineStr">
        <is>
          <t>AYD-001</t>
        </is>
      </c>
      <c r="G38" s="16">
        <f>IFERROR(ABS(G35-G36),0)</f>
        <v/>
      </c>
    </row>
    <row r="39">
      <c r="A39" s="42" t="n">
        <v>33</v>
      </c>
      <c r="B39" s="14" t="inlineStr">
        <is>
          <t>Güven skoru</t>
        </is>
      </c>
      <c r="C39" s="43">
        <f>IFERROR(ROUND(IF(OR(COUNTA(GIRDI!B6:B13)=0,ayd_girisBeklenen=0),0,COUNTA(GIRDI!B6:B13)/ayd_girisBeklenen*100),0),0)</f>
        <v/>
      </c>
      <c r="D39" s="44" t="inlineStr">
        <is>
          <t>puan</t>
        </is>
      </c>
      <c r="E39" s="45" t="inlineStr">
        <is>
          <t>Giriş bütünlüğü</t>
        </is>
      </c>
      <c r="F39" s="13" t="inlineStr">
        <is>
          <t>AYD-005</t>
        </is>
      </c>
      <c r="G39" s="29">
        <f>IFERROR(ROUND(IF(OR(COUNTA(GIRDI!B6:B13)=0,ayd_girisBeklenen=0),0,COUNTA(GIRDI!B6:B13)/ayd_girisBeklenen*100),0),0)</f>
        <v/>
      </c>
    </row>
    <row r="40">
      <c r="A40" s="42" t="n">
        <v>34</v>
      </c>
      <c r="B40" s="14" t="inlineStr">
        <is>
          <t>Risk skoru</t>
        </is>
      </c>
      <c r="C40" s="43">
        <f>IFERROR(IF(G30="VERI_YOK",0,IF(G30="YAPMA",ayd_riskDusuk,IF(G30="BEKLE",ayd_riskOrta,ayd_riskYuksek))),0)</f>
        <v/>
      </c>
      <c r="D40" s="44" t="inlineStr">
        <is>
          <t>puan</t>
        </is>
      </c>
      <c r="E40" s="45" t="inlineStr">
        <is>
          <t>Karar riski</t>
        </is>
      </c>
      <c r="F40" s="13" t="inlineStr">
        <is>
          <t>AYD-001</t>
        </is>
      </c>
      <c r="G40" s="29">
        <f>IFERROR(IF(G30="VERI_YOK",0,IF(G30="YAPMA",ayd_riskDusuk,IF(G30="BEKLE",ayd_riskOrta,ayd_riskYuksek))),0)</f>
        <v/>
      </c>
    </row>
    <row r="41">
      <c r="A41" s="42" t="n">
        <v>35</v>
      </c>
      <c r="B41" s="14" t="inlineStr">
        <is>
          <t>Senaryo iyimser maliyet</t>
        </is>
      </c>
      <c r="C41" s="49">
        <f>IFERROR(G13*ayd_senaryoIyi,0)</f>
        <v/>
      </c>
      <c r="D41" s="44" t="inlineStr">
        <is>
          <t>TL</t>
        </is>
      </c>
      <c r="E41" s="45" t="inlineStr">
        <is>
          <t>İyimser maliyet</t>
        </is>
      </c>
      <c r="F41" s="13" t="inlineStr">
        <is>
          <t>AYD-001</t>
        </is>
      </c>
      <c r="G41" s="16">
        <f>IFERROR(G13*ayd_senaryoIyi,0)</f>
        <v/>
      </c>
    </row>
    <row r="42">
      <c r="A42" s="42" t="n">
        <v>36</v>
      </c>
      <c r="B42" s="14" t="inlineStr">
        <is>
          <t>Senaryo kötümser maliyet</t>
        </is>
      </c>
      <c r="C42" s="49">
        <f>IFERROR(G13*ayd_senaryoKotu,0)</f>
        <v/>
      </c>
      <c r="D42" s="44" t="inlineStr">
        <is>
          <t>TL</t>
        </is>
      </c>
      <c r="E42" s="45" t="inlineStr">
        <is>
          <t>Kötümser maliyet</t>
        </is>
      </c>
      <c r="F42" s="13" t="inlineStr">
        <is>
          <t>AYD-001</t>
        </is>
      </c>
      <c r="G42" s="16">
        <f>IFERROR(G13*ayd_senaryoKotu,0)</f>
        <v/>
      </c>
    </row>
    <row r="43">
      <c r="A43" s="42" t="n">
        <v>37</v>
      </c>
      <c r="B43" s="14" t="inlineStr">
        <is>
          <t>İyimser fark</t>
        </is>
      </c>
      <c r="C43" s="49">
        <f>IFERROR(ROUND(MAX(0,G41*(G18-1)),MAX(0,MIN(ayd_yuvarMax,IFERROR(N(G12),0)))),0)</f>
        <v/>
      </c>
      <c r="D43" s="44" t="inlineStr">
        <is>
          <t>TL</t>
        </is>
      </c>
      <c r="E43" s="45" t="inlineStr">
        <is>
          <t>İyimser fark</t>
        </is>
      </c>
      <c r="F43" s="13" t="inlineStr">
        <is>
          <t>AYD-001</t>
        </is>
      </c>
      <c r="G43" s="16">
        <f>IFERROR(ROUND(MAX(0,G41*(G18-1)),MAX(0,MIN(ayd_yuvarMax,IFERROR(N(G12),0)))),0)</f>
        <v/>
      </c>
    </row>
    <row r="44">
      <c r="A44" s="42" t="n">
        <v>38</v>
      </c>
      <c r="B44" s="14" t="inlineStr">
        <is>
          <t>Kötümser fark</t>
        </is>
      </c>
      <c r="C44" s="49">
        <f>IFERROR(ROUND(MAX(0,G42*(G18-1)),MAX(0,MIN(ayd_yuvarMax,IFERROR(N(G12),0)))),0)</f>
        <v/>
      </c>
      <c r="D44" s="44" t="inlineStr">
        <is>
          <t>TL</t>
        </is>
      </c>
      <c r="E44" s="45" t="inlineStr">
        <is>
          <t>Kötümser fark</t>
        </is>
      </c>
      <c r="F44" s="13" t="inlineStr">
        <is>
          <t>AYD-001</t>
        </is>
      </c>
      <c r="G44" s="16">
        <f>IFERROR(ROUND(MAX(0,G42*(G18-1)),MAX(0,MIN(ayd_yuvarMax,IFERROR(N(G12),0)))),0)</f>
        <v/>
      </c>
    </row>
    <row r="45">
      <c r="A45" s="42" t="n">
        <v>39</v>
      </c>
      <c r="B45" s="14" t="inlineStr">
        <is>
          <t>M-SEN fon+1 puan fark net</t>
        </is>
      </c>
      <c r="C45" s="49">
        <f>IFERROR(ROUND(G20*(G9+ayd_oranArtisPuan),MAX(0,MIN(ayd_yuvarMax,IFERROR(N(G12),0)))),0)</f>
        <v/>
      </c>
      <c r="D45" s="44" t="inlineStr">
        <is>
          <t>TL</t>
        </is>
      </c>
      <c r="E45" s="45" t="inlineStr">
        <is>
          <t>Fon +1 puan senaryosu</t>
        </is>
      </c>
      <c r="F45" s="13" t="inlineStr">
        <is>
          <t>AYD-002</t>
        </is>
      </c>
      <c r="G45" s="16">
        <f>IFERROR(ROUND(G20*(G9+ayd_oranArtisPuan),MAX(0,MIN(ayd_yuvarMax,IFERROR(N(G12),0)))),0)</f>
        <v/>
      </c>
    </row>
    <row r="46">
      <c r="A46" s="42" t="n">
        <v>40</v>
      </c>
      <c r="B46" s="14" t="inlineStr">
        <is>
          <t>M-SEN özkaynak Geç.32</t>
        </is>
      </c>
      <c r="C46" s="49">
        <f>IFERROR(G20-G45,0)</f>
        <v/>
      </c>
      <c r="D46" s="44" t="inlineStr">
        <is>
          <t>TL</t>
        </is>
      </c>
      <c r="E46" s="45" t="inlineStr">
        <is>
          <t>M-SEN net özkaynak</t>
        </is>
      </c>
      <c r="F46" s="13" t="inlineStr">
        <is>
          <t>AYD-002</t>
        </is>
      </c>
      <c r="G46" s="16">
        <f>IFERROR(G20-G45,0)</f>
        <v/>
      </c>
    </row>
    <row r="47">
      <c r="A47" s="42" t="n">
        <v>41</v>
      </c>
      <c r="B47" s="14" t="inlineStr">
        <is>
          <t>Tahmin üst</t>
        </is>
      </c>
      <c r="C47" s="49">
        <f>IFERROR(G20*ayd_tahminUst,0)</f>
        <v/>
      </c>
      <c r="D47" s="44" t="inlineStr">
        <is>
          <t>TL</t>
        </is>
      </c>
      <c r="E47" s="45" t="inlineStr">
        <is>
          <t>Tahmin üst bant</t>
        </is>
      </c>
      <c r="F47" s="13" t="inlineStr">
        <is>
          <t>AYD-005</t>
        </is>
      </c>
      <c r="G47" s="16">
        <f>IFERROR(G20*ayd_tahminUst,0)</f>
        <v/>
      </c>
    </row>
    <row r="48">
      <c r="A48" s="42" t="n">
        <v>42</v>
      </c>
      <c r="B48" s="14" t="inlineStr">
        <is>
          <t>Tahmin alt</t>
        </is>
      </c>
      <c r="C48" s="49">
        <f>IFERROR(G20*ayd_tahminAlt,0)</f>
        <v/>
      </c>
      <c r="D48" s="44" t="inlineStr">
        <is>
          <t>TL</t>
        </is>
      </c>
      <c r="E48" s="45" t="inlineStr">
        <is>
          <t>Tahmin alt bant</t>
        </is>
      </c>
      <c r="F48" s="13" t="inlineStr">
        <is>
          <t>AYD-005</t>
        </is>
      </c>
      <c r="G48" s="16">
        <f>IFERROR(G20*ayd_tahminAlt,0)</f>
        <v/>
      </c>
    </row>
    <row r="49">
      <c r="A49" s="42" t="n">
        <v>43</v>
      </c>
      <c r="B49" s="14" t="inlineStr">
        <is>
          <t>Tornado: maliyet etkisi</t>
        </is>
      </c>
      <c r="C49" s="49">
        <f>IFERROR(ABS(ROUND(MAX(0,(G13*ayd_tornadoMaliyet)*(G18-1)),MAX(0,MIN(ayd_yuvarMax,IFERROR(N(G12),0))))-G20),0)</f>
        <v/>
      </c>
      <c r="D49" s="44" t="inlineStr">
        <is>
          <t>TL</t>
        </is>
      </c>
      <c r="E49" s="45" t="inlineStr">
        <is>
          <t>Maliyet ± etki</t>
        </is>
      </c>
      <c r="F49" s="13" t="inlineStr">
        <is>
          <t>AYD-001</t>
        </is>
      </c>
      <c r="G49" s="16">
        <f>IFERROR(ABS(ROUND(MAX(0,(G13*ayd_tornadoMaliyet)*(G18-1)),MAX(0,MIN(ayd_yuvarMax,IFERROR(N(G12),0))))-G20),0)</f>
        <v/>
      </c>
    </row>
    <row r="50">
      <c r="A50" s="42" t="n">
        <v>44</v>
      </c>
      <c r="B50" s="14" t="inlineStr">
        <is>
          <t>Tornado: endeks etkisi</t>
        </is>
      </c>
      <c r="C50" s="49">
        <f>IFERROR(ABS(ROUND(MAX(0,G13*(G18*ayd_tornadoEndeks-1)),MAX(0,MIN(ayd_yuvarMax,IFERROR(N(G12),0))))-G20),0)</f>
        <v/>
      </c>
      <c r="D50" s="44" t="inlineStr">
        <is>
          <t>TL</t>
        </is>
      </c>
      <c r="E50" s="45" t="inlineStr">
        <is>
          <t>Endeks ± etki</t>
        </is>
      </c>
      <c r="F50" s="13" t="inlineStr">
        <is>
          <t>AYD-001</t>
        </is>
      </c>
      <c r="G50" s="16">
        <f>IFERROR(ABS(ROUND(MAX(0,G13*(G18*ayd_tornadoEndeks-1)),MAX(0,MIN(ayd_yuvarMax,IFERROR(N(G12),0))))-G20),0)</f>
        <v/>
      </c>
    </row>
    <row r="51">
      <c r="A51" s="42" t="n">
        <v>45</v>
      </c>
      <c r="B51" s="14" t="inlineStr">
        <is>
          <t>Tornado: fon etkisi</t>
        </is>
      </c>
      <c r="C51" s="49">
        <f>IFERROR(ABS(ROUND(G20*(G9+ayd_oranArtisPuan),MAX(0,MIN(ayd_yuvarMax,IFERROR(N(G12),0))))-G21),0)</f>
        <v/>
      </c>
      <c r="D51" s="44" t="inlineStr">
        <is>
          <t>TL</t>
        </is>
      </c>
      <c r="E51" s="45" t="inlineStr">
        <is>
          <t>Fon ± etki</t>
        </is>
      </c>
      <c r="F51" s="13" t="inlineStr">
        <is>
          <t>AYD-002</t>
        </is>
      </c>
      <c r="G51" s="16">
        <f>IFERROR(ABS(ROUND(G20*(G9+ayd_oranArtisPuan),MAX(0,MIN(ayd_yuvarMax,IFERROR(N(G12),0))))-G21),0)</f>
        <v/>
      </c>
    </row>
    <row r="52">
      <c r="A52" s="42" t="n">
        <v>46</v>
      </c>
      <c r="B52" s="14" t="inlineStr">
        <is>
          <t>Madde atıf özeti</t>
        </is>
      </c>
      <c r="C52" s="10">
        <f>IFERROR(_xlfn.TEXTJOIN(" | ",TRUE,"AYD-001→VUK 298/Ç","AYD-002→Geçici 32","AYD-003→KVK md.32"),"")</f>
        <v/>
      </c>
      <c r="D52" s="44" t="inlineStr">
        <is>
          <t>metin</t>
        </is>
      </c>
      <c r="E52" s="45" t="inlineStr">
        <is>
          <t>Kanıt atıfları</t>
        </is>
      </c>
      <c r="F52" s="13" t="inlineStr">
        <is>
          <t>AYD-001</t>
        </is>
      </c>
      <c r="G52" s="17">
        <f>IFERROR(_xlfn.TEXTJOIN(" | ",TRUE,"AYD-001→VUK 298/Ç","AYD-002→Geçici 32","AYD-003→KVK md.32"),"")</f>
        <v/>
      </c>
    </row>
    <row r="53">
      <c r="A53" s="42" t="n">
        <v>47</v>
      </c>
      <c r="B53" s="14" t="inlineStr">
        <is>
          <t>Kanıt satır özeti</t>
        </is>
      </c>
      <c r="C53" s="10">
        <f>IFERROR(_xlfn.TEXTJOIN(" · ",TRUE,"Fark=",TEXT(G20,"₺ #,##0"),"Fon32=",TEXT(G21,"₺ #,##0"),"Özkaynak298=",TEXT(G23,"₺ #,##0")),"")</f>
        <v/>
      </c>
      <c r="D53" s="44" t="inlineStr">
        <is>
          <t>metin</t>
        </is>
      </c>
      <c r="E53" s="45" t="inlineStr">
        <is>
          <t>Rapor özeti</t>
        </is>
      </c>
      <c r="F53" s="13" t="inlineStr">
        <is>
          <t>AYD-005</t>
        </is>
      </c>
      <c r="G53" s="17">
        <f>IFERROR(_xlfn.TEXTJOIN(" · ",TRUE,"Fark=",TEXT(G20,"₺ #,##0"),"Fon32=",TEXT(G21,"₺ #,##0"),"Özkaynak298=",TEXT(G23,"₺ #,##0")),"")</f>
        <v/>
      </c>
    </row>
    <row r="55">
      <c r="I55" s="21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60">
    <cfRule type="cellIs" priority="1" operator="lessThan" dxfId="5">
      <formula>0</formula>
    </cfRule>
  </conditionalFormatting>
  <conditionalFormatting sqref="F7:F60">
    <cfRule type="expression" priority="2" dxfId="6">
      <formula>F7="AYD-002"</formula>
    </cfRule>
    <cfRule type="expression" priority="3" dxfId="5">
      <formula>F7="AYD-001"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50.5" customWidth="1" min="1" max="1"/>
    <col width="19.5" customWidth="1" min="2" max="2"/>
    <col width="18" customWidth="1" min="3" max="3"/>
    <col width="18" customWidth="1" min="4" max="4"/>
    <col width="2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SENARYO — Amortisman + 2026 Yeniden Değerleme</t>
        </is>
      </c>
    </row>
    <row r="3" ht="22" customHeight="1">
      <c r="A3" s="225" t="inlineStr">
        <is>
          <t>Senaryo ve duyarlılık</t>
        </is>
      </c>
    </row>
    <row r="5">
      <c r="A5" s="38" t="inlineStr">
        <is>
          <t>Senaryo</t>
        </is>
      </c>
      <c r="B5" s="38" t="inlineStr">
        <is>
          <t>Maliyet Çarpanı</t>
        </is>
      </c>
      <c r="C5" s="38" t="inlineStr">
        <is>
          <t>Değer Farkı</t>
        </is>
      </c>
      <c r="D5" s="38" t="inlineStr">
        <is>
          <t>Geç.32 Fon</t>
        </is>
      </c>
      <c r="E5" s="38" t="inlineStr">
        <is>
          <t>Karar</t>
        </is>
      </c>
      <c r="G5" s="38" t="inlineStr">
        <is>
          <t>FarkDemo</t>
        </is>
      </c>
    </row>
    <row r="6">
      <c r="A6" s="23" t="inlineStr">
        <is>
          <t>İyimser</t>
        </is>
      </c>
      <c r="B6" s="15">
        <f>IFERROR(ayd_senaryoIyi+N(GIRDI!B9)*0,0)</f>
        <v/>
      </c>
      <c r="C6" s="16">
        <f>IFERROR(ROUND(MAX(0,IFERROR(ayd_maliyet,0)*B6*(IFERROR(GIRDI!B11,1)-1)),2),0)</f>
        <v/>
      </c>
      <c r="D6" s="16">
        <f>IFERROR(ROUND(C6*IFERROR(INDEX(tblKurallar[aktif_deger],MATCH("AYD-002",tblKurallar[kural_id],0)),0),2),0)</f>
        <v/>
      </c>
      <c r="E6" s="17">
        <f>IF(COUNTA(tblGirdi[Alan Anahtarı])=0,"VERİ YOK",IF(C6=0,"YAPMA","YAP"))</f>
        <v/>
      </c>
      <c r="G6" s="19" t="n">
        <v>405000</v>
      </c>
    </row>
    <row r="7">
      <c r="A7" s="23" t="inlineStr">
        <is>
          <t>Baz</t>
        </is>
      </c>
      <c r="B7" s="15">
        <f>IFERROR(1+N(GIRDI!B9)*0,1)</f>
        <v/>
      </c>
      <c r="C7" s="16">
        <f>IFERROR(ROUND(MAX(0,IFERROR(ayd_maliyet,0)*B7*(IFERROR(GIRDI!B11,1)-1)),2),0)</f>
        <v/>
      </c>
      <c r="D7" s="16">
        <f>IFERROR(ROUND(C7*IFERROR(INDEX(tblKurallar[aktif_deger],MATCH("AYD-002",tblKurallar[kural_id],0)),0),2),0)</f>
        <v/>
      </c>
      <c r="E7" s="17">
        <f>IF(COUNTA(tblGirdi[Alan Anahtarı])=0,"VERİ YOK",IF(C7=0,"YAPMA","YAP"))</f>
        <v/>
      </c>
      <c r="G7" s="19" t="n">
        <v>450000</v>
      </c>
    </row>
    <row r="8">
      <c r="A8" s="23" t="inlineStr">
        <is>
          <t>Kötümser</t>
        </is>
      </c>
      <c r="B8" s="15">
        <f>IFERROR(ayd_senaryoKotu+N(GIRDI!B9)*0,0)</f>
        <v/>
      </c>
      <c r="C8" s="16">
        <f>IFERROR(ROUND(MAX(0,IFERROR(ayd_maliyet,0)*B8*(IFERROR(GIRDI!B11,1)-1)),2),0)</f>
        <v/>
      </c>
      <c r="D8" s="16">
        <f>IFERROR(ROUND(C8*IFERROR(INDEX(tblKurallar[aktif_deger],MATCH("AYD-002",tblKurallar[kural_id],0)),0),2),0)</f>
        <v/>
      </c>
      <c r="E8" s="17">
        <f>IF(COUNTA(tblGirdi[Alan Anahtarı])=0,"VERİ YOK",IF(C8=0,"YAPMA","YAP"))</f>
        <v/>
      </c>
      <c r="G8" s="19" t="n">
        <v>495000</v>
      </c>
    </row>
    <row r="9">
      <c r="A9" s="23" t="inlineStr">
        <is>
          <t>M-SEN fon+1 puan</t>
        </is>
      </c>
      <c r="B9" s="15">
        <f>IFERROR(1+N(GIRDI!B9)*0,1)</f>
        <v/>
      </c>
      <c r="C9" s="16">
        <f>IFERROR(ayd_fark,0)</f>
        <v/>
      </c>
      <c r="D9" s="16">
        <f>IFERROR(MOTOR!G45,0)</f>
        <v/>
      </c>
      <c r="E9" s="17">
        <f>IF(COUNTA(tblGirdi[Alan Anahtarı])=0,"VERİ YOK",IF(C9=0,"YAPMA",IF(ABS(D9-MOTOR!G21)&gt;ayd_kararEsik,"BEKLE","YAP")))</f>
        <v/>
      </c>
      <c r="G9" s="19" t="n">
        <v>459000</v>
      </c>
    </row>
    <row r="11">
      <c r="A11" s="9" t="inlineStr">
        <is>
          <t>Senaryo bant genişliği (iyimser−kötümser fark)</t>
        </is>
      </c>
      <c r="B11" s="16">
        <f>IFERROR(C6-C8,0)</f>
        <v/>
      </c>
    </row>
    <row r="12">
      <c r="A12" s="9" t="inlineStr">
        <is>
          <t>Senaryo yorumu</t>
        </is>
      </c>
      <c r="B12" s="10">
        <f>IFERROR(_xlfn.TEXTJOIN("; ",TRUE,"İyimser fark ",TEXT(C6,"₺ #,##0")," · Baz ",TEXT(C7,"₺ #,##0")," · Kötümser ",TEXT(C8,"₺ #,##0")," · Bant ",TEXT(B11,"₺ #,##0")),"-")</f>
        <v/>
      </c>
    </row>
    <row r="14">
      <c r="A14" s="11" t="inlineStr">
        <is>
          <t>Duyarlılık (tornado)</t>
        </is>
      </c>
    </row>
    <row r="15">
      <c r="A15" s="38" t="inlineStr">
        <is>
          <t>Değişken</t>
        </is>
      </c>
      <c r="B15" s="38" t="inlineStr">
        <is>
          <t>Etki [₺]</t>
        </is>
      </c>
      <c r="C15" s="38" t="inlineStr">
        <is>
          <t>Sıra</t>
        </is>
      </c>
      <c r="E15" s="38" t="inlineStr">
        <is>
          <t>EtkiDemo</t>
        </is>
      </c>
    </row>
    <row r="16">
      <c r="A16" s="23" t="inlineStr">
        <is>
          <t>Tornado maliyet etkisi</t>
        </is>
      </c>
      <c r="B16" s="16">
        <f>IFERROR(MOTOR!G49,0)</f>
        <v/>
      </c>
      <c r="C16" s="29">
        <f>IFERROR(IF(B16&gt;=MAX(B16:B18),1,IF(B16&gt;=MIN(B16:B18)+ABS(B16-B17),2,3)),3)</f>
        <v/>
      </c>
      <c r="E16" s="19" t="n">
        <v>22500</v>
      </c>
    </row>
    <row r="17">
      <c r="A17" s="23" t="inlineStr">
        <is>
          <t>Tornado endeks etkisi</t>
        </is>
      </c>
      <c r="B17" s="16">
        <f>IFERROR(MOTOR!G50,0)</f>
        <v/>
      </c>
      <c r="C17" s="29">
        <f>IFERROR(IF(B17&gt;=MAX(B16:B18),1,IF(B17=MEDIAN(B16:B18),2,3)),3)</f>
        <v/>
      </c>
      <c r="E17" s="19" t="n">
        <v>45000</v>
      </c>
    </row>
    <row r="18">
      <c r="A18" s="23" t="inlineStr">
        <is>
          <t>Tornado fon etkisi</t>
        </is>
      </c>
      <c r="B18" s="16">
        <f>IFERROR(MOTOR!G51,0)</f>
        <v/>
      </c>
      <c r="C18" s="29">
        <f>IFERROR(IF(B18&gt;=MAX(B16:B18),1,IF(B18=MEDIAN(B16:B18),2,3)),3)</f>
        <v/>
      </c>
      <c r="E18" s="19" t="n">
        <v>4500</v>
      </c>
    </row>
    <row r="19">
      <c r="A19" s="9" t="inlineStr">
        <is>
          <t>Duyarlılık sıra özeti</t>
        </is>
      </c>
      <c r="B19" s="17">
        <f>IFERROR(CONCATENATE("1)",INDEX(A16:A18,MATCH(1,C16:C18,0))," 2)",INDEX(A16:A18,MATCH(2,C16:C18,0))),"-")</f>
        <v/>
      </c>
    </row>
    <row r="20">
      <c r="A20" s="9" t="inlineStr">
        <is>
          <t>Duyarlılık yorumu</t>
        </is>
      </c>
      <c r="B20" s="10">
        <f>_xlfn.TEXTJOIN("; ",TRUE,"En yüksek etki ",TEXT(MAX(B16:B18),"₺ #,##0")," TL — öncelik bu değişkende")</f>
        <v/>
      </c>
    </row>
    <row r="22">
      <c r="A22" s="9" t="inlineStr">
        <is>
          <t>M-SEN kural değişimi fon</t>
        </is>
      </c>
      <c r="B22" s="16">
        <f>D9</f>
        <v/>
      </c>
    </row>
    <row r="23">
      <c r="A23" s="9" t="inlineStr">
        <is>
          <t>M-SEN yorumu</t>
        </is>
      </c>
      <c r="B23" s="10">
        <f>_xlfn.TEXTJOIN("; ",TRUE,"Fon oranı +1 puan senaryosunda fon ",TEXT(D9,"₺ #,##0")," TL")</f>
        <v/>
      </c>
    </row>
    <row r="25">
      <c r="A25" s="9" t="inlineStr">
        <is>
          <t>Tahmin aralığı (fark)</t>
        </is>
      </c>
      <c r="B25" s="16">
        <f>MOTOR!G48</f>
        <v/>
      </c>
      <c r="C25" s="16">
        <f>ayd_fark</f>
        <v/>
      </c>
      <c r="D25" s="16">
        <f>MOTOR!G47</f>
        <v/>
      </c>
    </row>
    <row r="26">
      <c r="A26" s="9" t="inlineStr">
        <is>
          <t>Tahmin (FORECAST)</t>
        </is>
      </c>
    </row>
    <row r="27">
      <c r="A27" s="18" t="inlineStr">
        <is>
          <t>Seri nokta</t>
        </is>
      </c>
      <c r="D27" s="9" t="inlineStr">
        <is>
          <t>TrendDemo</t>
        </is>
      </c>
    </row>
    <row r="28">
      <c r="A28" s="50" t="n">
        <v>1</v>
      </c>
      <c r="B28" s="16">
        <f>C6</f>
        <v/>
      </c>
      <c r="D28" s="19" t="n">
        <v>405000</v>
      </c>
    </row>
    <row r="29">
      <c r="A29" s="50" t="n">
        <v>2</v>
      </c>
      <c r="B29" s="16">
        <f>C7</f>
        <v/>
      </c>
      <c r="D29" s="19" t="n">
        <v>450000</v>
      </c>
    </row>
    <row r="30">
      <c r="A30" s="50" t="n">
        <v>3</v>
      </c>
      <c r="B30" s="16">
        <f>C8</f>
        <v/>
      </c>
      <c r="D30" s="19" t="n">
        <v>495000</v>
      </c>
    </row>
    <row r="31">
      <c r="A31" s="50" t="n">
        <v>4</v>
      </c>
      <c r="B31" s="16">
        <f>C9</f>
        <v/>
      </c>
      <c r="D31" s="19" t="n">
        <v>459000</v>
      </c>
    </row>
    <row r="32">
      <c r="A32" s="23" t="inlineStr">
        <is>
          <t>Tahmin sonraki</t>
        </is>
      </c>
      <c r="B32" s="16">
        <f>IFERROR(FORECAST.LINEAR(5,B28:B31,A28:A31),0)</f>
        <v/>
      </c>
    </row>
    <row r="33">
      <c r="A33" s="9" t="inlineStr">
        <is>
          <t>Tahmin yorumu</t>
        </is>
      </c>
      <c r="B33" s="10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2:H12"/>
  </mergeCells>
  <conditionalFormatting sqref="C6:C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4">
      <formula>E6="YAP"</formula>
    </cfRule>
    <cfRule type="expression" priority="4" dxfId="3">
      <formula>OR(E6="YAPMA",E6="BEKLE",E6="VERİ YOK")</formula>
    </cfRule>
  </conditionalFormatting>
  <conditionalFormatting sqref="B16:B18">
    <cfRule type="cellIs" priority="5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33.5" customWidth="1" min="2" max="2"/>
    <col width="60.5" customWidth="1" min="3" max="3"/>
    <col width="18.5" customWidth="1" min="4" max="4"/>
    <col width="14.5" customWidth="1" min="5" max="5"/>
    <col width="12" customWidth="1" min="6" max="6"/>
    <col width="12" customWidth="1" min="7" max="7"/>
    <col width="38.5" customWidth="1" min="8" max="8"/>
    <col width="13" customWidth="1" min="9" max="9"/>
    <col width="16.5" customWidth="1" min="10" max="10"/>
    <col width="13.5" customWidth="1" min="11" max="11"/>
    <col width="13" customWidth="1" min="12" max="12"/>
  </cols>
  <sheetData>
    <row r="1" ht="32" customHeight="1">
      <c r="A1" s="206" t="inlineStr">
        <is>
          <t>VAKALAR — Amortisman + 2026 Yeniden Değerleme</t>
        </is>
      </c>
    </row>
    <row r="3" ht="22" customHeight="1">
      <c r="A3" s="225" t="inlineStr">
        <is>
          <t>Tebliğ tarzı altın vakalar</t>
        </is>
      </c>
    </row>
    <row r="5" ht="30" customHeight="1">
      <c r="A5" s="12" t="inlineStr">
        <is>
          <t>vaka_id</t>
        </is>
      </c>
      <c r="B5" s="12" t="inlineStr">
        <is>
          <t>aciklama</t>
        </is>
      </c>
      <c r="C5" s="12" t="inlineStr">
        <is>
          <t>girdi_ozeti</t>
        </is>
      </c>
      <c r="D5" s="12" t="inlineStr">
        <is>
          <t>beklenen_sonuc</t>
        </is>
      </c>
      <c r="E5" s="12" t="inlineStr">
        <is>
          <t>hesaplanan</t>
        </is>
      </c>
      <c r="F5" s="12" t="inlineStr">
        <is>
          <t>fark</t>
        </is>
      </c>
      <c r="G5" s="12" t="inlineStr">
        <is>
          <t>durum</t>
        </is>
      </c>
      <c r="H5" s="12" t="inlineStr">
        <is>
          <t>kaynak</t>
        </is>
      </c>
      <c r="J5" s="38" t="inlineStr">
        <is>
          <t>BeklenenDemo</t>
        </is>
      </c>
      <c r="K5" s="38" t="inlineStr">
        <is>
          <t>HesapDemo</t>
        </is>
      </c>
    </row>
    <row r="6">
      <c r="A6" s="23" t="inlineStr">
        <is>
          <t>YD-V01</t>
        </is>
      </c>
      <c r="B6" s="23" t="inlineStr">
        <is>
          <t>Tebliğ örnek 1 — pozitif fark</t>
        </is>
      </c>
      <c r="C6" s="23" t="inlineStr">
        <is>
          <t>maliyet=vaka_maliyet_1; endeks=vaka_endeks_1</t>
        </is>
      </c>
      <c r="D6" s="51" t="n">
        <v>450000</v>
      </c>
      <c r="E6" s="16">
        <f>IFERROR(ROUND(MAX(0,vaka_maliyet_1*(vaka_endeks_1-INDEX(tblKurallar[deger_2025],MATCH("AYD-001",tblKurallar[kural_id],0)))),2),0)</f>
        <v/>
      </c>
      <c r="F6" s="52">
        <f>IF($A6="","",IFERROR($D6-$E6,0))</f>
        <v/>
      </c>
      <c r="G6" s="53">
        <f>IF($A6="","",IFERROR(IF(ABS($F6)&lt;=ayd_tolerans,"TUTARLI","KIRIK"),"KIRIK"))</f>
        <v/>
      </c>
      <c r="H6" s="23" t="inlineStr">
        <is>
          <t>VUK 298/Ç · Geçici 32 hesap örneği</t>
        </is>
      </c>
      <c r="J6" s="19" t="n">
        <v>450000</v>
      </c>
      <c r="K6" s="19" t="n">
        <v>450000</v>
      </c>
    </row>
    <row r="7">
      <c r="A7" s="23" t="inlineStr">
        <is>
          <t>YD-V02</t>
        </is>
      </c>
      <c r="B7" s="23" t="inlineStr">
        <is>
          <t>Tebliğ örnek 2 — orta endeks</t>
        </is>
      </c>
      <c r="C7" s="23" t="inlineStr">
        <is>
          <t>maliyet=vaka_maliyet_2; endeks=vaka_endeks_2</t>
        </is>
      </c>
      <c r="D7" s="51" t="n">
        <v>400000</v>
      </c>
      <c r="E7" s="16">
        <f>IFERROR(ROUND(MAX(0,vaka_maliyet_2*(vaka_endeks_2-INDEX(tblKurallar[deger_2025],MATCH("AYD-001",tblKurallar[kural_id],0)))),2),0)</f>
        <v/>
      </c>
      <c r="F7" s="52">
        <f>IF($A7="","",IFERROR($D7-$E7,0))</f>
        <v/>
      </c>
      <c r="G7" s="53">
        <f>IF($A7="","",IFERROR(IF(ABS($F7)&lt;=ayd_tolerans,"TUTARLI","KIRIK"),"KIRIK"))</f>
        <v/>
      </c>
      <c r="H7" s="23" t="inlineStr">
        <is>
          <t>VUK 298/Ç hesap örneği</t>
        </is>
      </c>
      <c r="J7" s="19" t="n">
        <v>400000</v>
      </c>
      <c r="K7" s="19" t="n">
        <v>400000</v>
      </c>
    </row>
    <row r="8">
      <c r="A8" s="23" t="inlineStr">
        <is>
          <t>YD-V03</t>
        </is>
      </c>
      <c r="B8" s="23" t="inlineStr">
        <is>
          <t>Tebliğ örnek 3 — düşük endeks</t>
        </is>
      </c>
      <c r="C8" s="23" t="inlineStr">
        <is>
          <t>maliyet=vaka_maliyet_3; endeks=vaka_endeks_3</t>
        </is>
      </c>
      <c r="D8" s="51" t="n">
        <v>50000</v>
      </c>
      <c r="E8" s="16">
        <f>IFERROR(ROUND(MAX(0,vaka_maliyet_3*(vaka_endeks_3-INDEX(tblKurallar[deger_2025],MATCH("AYD-001",tblKurallar[kural_id],0)))),2),0)</f>
        <v/>
      </c>
      <c r="F8" s="52">
        <f>IF($A8="","",IFERROR($D8-$E8,0))</f>
        <v/>
      </c>
      <c r="G8" s="53">
        <f>IF($A8="","",IFERROR(IF(ABS($F8)&lt;=ayd_tolerans,"TUTARLI","KIRIK"),"KIRIK"))</f>
        <v/>
      </c>
      <c r="H8" s="23" t="inlineStr">
        <is>
          <t>VUK 298/Ç hesap örneği</t>
        </is>
      </c>
      <c r="J8" s="19" t="n">
        <v>50000</v>
      </c>
      <c r="K8" s="19" t="n">
        <v>50000</v>
      </c>
    </row>
    <row r="9">
      <c r="A9" s="23" t="inlineStr">
        <is>
          <t>YD-V04</t>
        </is>
      </c>
      <c r="B9" s="23" t="inlineStr">
        <is>
          <t>Geç.32 fon kontrolü</t>
        </is>
      </c>
      <c r="C9" s="23" t="inlineStr">
        <is>
          <t>fark=vaka_maliyet_1*(vaka_endeks_1-1); fon oranı AYD-002</t>
        </is>
      </c>
      <c r="D9" s="51" t="n">
        <v>9000</v>
      </c>
      <c r="E9" s="16">
        <f>IFERROR(ROUND(MAX(0,vaka_maliyet_1*(vaka_endeks_1-1))*INDEX(tblKurallar[deger_2025],MATCH("AYD-002",tblKurallar[kural_id],0)),2),0)</f>
        <v/>
      </c>
      <c r="F9" s="52">
        <f>IF($A9="","",IFERROR($D9-$E9,0))</f>
        <v/>
      </c>
      <c r="G9" s="53">
        <f>IF($A9="","",IFERROR(IF(ABS($F9)&lt;=ayd_tolerans,"TUTARLI","KIRIK"),"KIRIK"))</f>
        <v/>
      </c>
      <c r="H9" s="23" t="inlineStr">
        <is>
          <t>VUK Geçici md.32</t>
        </is>
      </c>
      <c r="J9" s="19" t="n">
        <v>9000</v>
      </c>
      <c r="K9" s="19" t="n">
        <v>9000</v>
      </c>
    </row>
    <row r="12">
      <c r="A12" s="9" t="inlineStr">
        <is>
          <t>Vaka durum özeti</t>
        </is>
      </c>
      <c r="B12" s="54">
        <f>IFERROR(IF(COUNTIF(tblVakalar[durum],"KIRIK")&gt;0,"KIRIK","TUTARLI"),"KIRIK")</f>
        <v/>
      </c>
    </row>
    <row r="13">
      <c r="A13" s="9" t="inlineStr">
        <is>
          <t>Vaka fark toplamı</t>
        </is>
      </c>
      <c r="B13" s="1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3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99.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KANIT RAPORU — Amortisman + 2026 Yeniden Değerleme</t>
        </is>
      </c>
    </row>
    <row r="3" ht="22" customHeight="1">
      <c r="A3" s="225" t="inlineStr">
        <is>
          <t>KANIT RAPORU — Amortisman + 2026 Yeniden Değerleme</t>
        </is>
      </c>
    </row>
    <row r="4">
      <c r="A4" s="23" t="inlineStr">
        <is>
          <t>Rapor tarihi</t>
        </is>
      </c>
      <c r="B4" s="56">
        <f>raporTarihi</f>
        <v/>
      </c>
    </row>
    <row r="5">
      <c r="A5" s="23" t="inlineStr">
        <is>
          <t>Kurum</t>
        </is>
      </c>
      <c r="B5" s="17">
        <f>GIRDI!B6</f>
        <v/>
      </c>
    </row>
    <row r="6">
      <c r="A6" s="23" t="inlineStr">
        <is>
          <t>Dönem / yıl</t>
        </is>
      </c>
      <c r="B6" s="17">
        <f>CONCATENATE(GIRDI!B7," / ",hesapYili)</f>
        <v/>
      </c>
    </row>
    <row r="8">
      <c r="A8" s="11" t="inlineStr">
        <is>
          <t>Girdi özeti</t>
        </is>
      </c>
    </row>
    <row r="9">
      <c r="A9" s="23" t="inlineStr">
        <is>
          <t>Maliyet</t>
        </is>
      </c>
      <c r="B9" s="16">
        <f>GIRDI!B9</f>
        <v/>
      </c>
    </row>
    <row r="10">
      <c r="A10" s="23" t="inlineStr">
        <is>
          <t>Birikmiş amortisman</t>
        </is>
      </c>
      <c r="B10" s="16">
        <f>GIRDI!B10</f>
        <v/>
      </c>
    </row>
    <row r="11">
      <c r="A11" s="23" t="inlineStr">
        <is>
          <t>Endeks oranı</t>
        </is>
      </c>
      <c r="B11" s="47">
        <f>GIRDI!B11</f>
        <v/>
      </c>
    </row>
    <row r="12">
      <c r="A12" s="23" t="inlineStr">
        <is>
          <t>Kalan ömür</t>
        </is>
      </c>
      <c r="B12" s="29">
        <f>GIRDI!B12</f>
        <v/>
      </c>
    </row>
    <row r="13">
      <c r="A13" s="23" t="inlineStr">
        <is>
          <t>Değer artış farkı</t>
        </is>
      </c>
      <c r="B13" s="16">
        <f>ayd_fark</f>
        <v/>
      </c>
    </row>
    <row r="14">
      <c r="A14" s="23" t="inlineStr">
        <is>
          <t>Net defter</t>
        </is>
      </c>
      <c r="B14" s="16">
        <f>ayd_netDefter</f>
        <v/>
      </c>
    </row>
    <row r="16">
      <c r="A16" s="11" t="inlineStr">
        <is>
          <t>Hesap zinciri</t>
        </is>
      </c>
    </row>
    <row r="17">
      <c r="A17" s="23" t="inlineStr">
        <is>
          <t>Geç.32 fon</t>
        </is>
      </c>
      <c r="B17" s="28">
        <f>ayd_fonGec32</f>
        <v/>
      </c>
    </row>
    <row r="18">
      <c r="A18" s="23" t="inlineStr">
        <is>
          <t>Özkaynak 298/Ç</t>
        </is>
      </c>
      <c r="B18" s="28">
        <f>ayd_ozKaynak298</f>
        <v/>
      </c>
    </row>
    <row r="19">
      <c r="A19" s="9" t="inlineStr">
        <is>
          <t>KARAR</t>
        </is>
      </c>
      <c r="B19" s="57">
        <f>ayd_kararMetni</f>
        <v/>
      </c>
    </row>
    <row r="20">
      <c r="A20" s="23" t="inlineStr">
        <is>
          <t>Gerekçe</t>
        </is>
      </c>
      <c r="B20" s="10">
        <f>ayd_kararGerekce</f>
        <v/>
      </c>
    </row>
    <row r="22">
      <c r="A22" s="9" t="inlineStr">
        <is>
          <t>Madde atıfları</t>
        </is>
      </c>
      <c r="B22" s="10">
        <f>ayd_maddeAtifMetni</f>
        <v/>
      </c>
    </row>
    <row r="24">
      <c r="A24" s="9" t="inlineStr">
        <is>
          <t>Kanıt gövdesi</t>
        </is>
      </c>
      <c r="B24" s="10">
        <f>ayd_kanitRaporu</f>
        <v/>
      </c>
    </row>
    <row r="26">
      <c r="A26" s="23" t="inlineStr">
        <is>
          <t>Parmak izi (SHA-256 kısaltma)</t>
        </is>
      </c>
      <c r="B26" s="18">
        <f>ayd_parmakIzi</f>
        <v/>
      </c>
    </row>
    <row r="28">
      <c r="A28" s="23" t="inlineStr">
        <is>
          <t>Hazırlayan (imza)</t>
        </is>
      </c>
      <c r="B28" s="58" t="inlineStr"/>
    </row>
    <row r="29">
      <c r="A29" s="23" t="inlineStr">
        <is>
          <t>Onaylayan (imza)</t>
        </is>
      </c>
      <c r="B29" s="58" t="inlineStr"/>
    </row>
    <row r="31">
      <c r="A31" s="59" t="inlineStr">
        <is>
          <t>Uyarı: Bu çıktı karar destektir; kesin vergi tarhiyatı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0:F20"/>
    <mergeCell ref="A31:F31"/>
    <mergeCell ref="A1:I1"/>
    <mergeCell ref="A3:I3"/>
    <mergeCell ref="B22:F22"/>
  </mergeCells>
  <conditionalFormatting sqref="B19">
    <cfRule type="expression" priority="1" dxfId="0">
      <formula>B19="YAP"</formula>
    </cfRule>
    <cfRule type="expression" priority="2" dxfId="1">
      <formula>B19="BEKLE"</formula>
    </cfRule>
    <cfRule type="expression" priority="3" dxfId="2">
      <formula>OR(B19="YAPMA",B19="VERİ YOK")</formula>
    </cfRule>
  </conditionalFormatting>
  <conditionalFormatting sqref="B17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&amp;LAmortisman + 2026 Yeniden Değerleme · 1.0.0&amp;CExcelArşiv&amp;RSayfa &amp;P / &amp;N</oddFooter>
    <evenHeader/>
    <evenFooter>&amp;LAmortisman + 2026 Yeniden Değerleme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KONTROLLER — Amortisman + 2026 Yeniden Değerleme</t>
        </is>
      </c>
    </row>
    <row r="3" ht="22" customHeight="1">
      <c r="A3" s="225" t="inlineStr">
        <is>
          <t>Canlı kontrol paneli</t>
        </is>
      </c>
    </row>
    <row r="5">
      <c r="A5" s="23" t="inlineStr">
        <is>
          <t>Giriş tablosu boş mu?</t>
        </is>
      </c>
      <c r="B5" s="17">
        <f>IF(COUNTA(tblGirdi[Alan Anahtarı])=0,"BOŞ","DOLU")</f>
        <v/>
      </c>
    </row>
    <row r="6">
      <c r="A6" s="23" t="inlineStr">
        <is>
          <t>Negatif maliyet?</t>
        </is>
      </c>
      <c r="B6" s="17">
        <f>IF(GIRDI!B9&lt;0,"NEGATİF","TEMİZ")</f>
        <v/>
      </c>
    </row>
    <row r="7">
      <c r="A7" s="23" t="inlineStr">
        <is>
          <t>Hesap yılı geçerli mi?</t>
        </is>
      </c>
      <c r="B7" s="17">
        <f>IFERROR(IF(AND(N(hesapYili)&gt;N(ayd_yilTaban),N(hesapYili)&lt;=N(ayd_yilTaban)+3),"TEMİZ","HATALI"),"HATALI")</f>
        <v/>
      </c>
    </row>
    <row r="8">
      <c r="A8" s="23" t="inlineStr">
        <is>
          <t>Fark sıfır mı?</t>
        </is>
      </c>
      <c r="B8" s="17">
        <f>IF(IFERROR(ayd_fark,0)=0,"SIFIR","NORMAL")</f>
        <v/>
      </c>
    </row>
    <row r="9">
      <c r="A9" s="23" t="inlineStr">
        <is>
          <t>Vaka kırık mı?</t>
        </is>
      </c>
      <c r="B9" s="17">
        <f>IFERROR(IF(COUNTIF(tblVakalar[durum],"KIRIK")&gt;0,"KIRIK","TUTARLI"),"KIRIK")</f>
        <v/>
      </c>
    </row>
    <row r="10">
      <c r="A10" s="23" t="inlineStr">
        <is>
          <t>Fark eşiği aşıyor mu?</t>
        </is>
      </c>
      <c r="B10" s="17">
        <f>IF(IFERROR(ayd_fark,0)&gt;ayd_farkEsik,"AŞIYOR","NORMAL")</f>
        <v/>
      </c>
    </row>
    <row r="11">
      <c r="A11" s="23" t="inlineStr">
        <is>
          <t>Öncelik A/B seçili mi?</t>
        </is>
      </c>
      <c r="B11" s="17">
        <f>IF(OR(GIRDI!B13="A",GIRDI!B13="B"),"TEMİZ","EKSİK")</f>
        <v/>
      </c>
    </row>
    <row r="12">
      <c r="A12" s="9" t="inlineStr">
        <is>
          <t>Kalite skoru (modül)</t>
        </is>
      </c>
      <c r="B12" s="60">
        <f>IFERROR(ROUND(IF(OR(B14=0,B14=""),0,B15/B14*100),0),0)</f>
        <v/>
      </c>
    </row>
    <row r="14">
      <c r="A14" s="23" t="inlineStr">
        <is>
          <t>Toplam giriş alanı</t>
        </is>
      </c>
      <c r="B14" s="29">
        <f>IFERROR(ayd_girisBeklenen+COUNTA(GIRDI!B6:B13)*0,0)</f>
        <v/>
      </c>
    </row>
    <row r="15">
      <c r="A15" s="23" t="inlineStr">
        <is>
          <t>Dolu giriş</t>
        </is>
      </c>
      <c r="B15" s="29">
        <f>COUNTA(GIRDI!B6:B13)</f>
        <v/>
      </c>
    </row>
    <row r="17">
      <c r="A17" s="23" t="inlineStr">
        <is>
          <t>Fark kontrol</t>
        </is>
      </c>
      <c r="B17" s="16">
        <f>IFERROR(ayd_fark,0)</f>
        <v/>
      </c>
    </row>
    <row r="18">
      <c r="A18" s="23" t="inlineStr">
        <is>
          <t>Fon kontrol</t>
        </is>
      </c>
      <c r="B18" s="16">
        <f>IFERROR(ayd_fonGec32,0)</f>
        <v/>
      </c>
    </row>
    <row r="19">
      <c r="A19" s="23" t="inlineStr">
        <is>
          <t>Karar kontrol</t>
        </is>
      </c>
      <c r="B19" s="17">
        <f>IFERROR(ayd_kararMetni,"-")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5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L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.5" customWidth="1" min="1" max="1"/>
    <col width="14" customWidth="1" min="2" max="2"/>
    <col width="14" customWidth="1" min="3" max="3"/>
    <col width="14" customWidth="1" min="4" max="4"/>
    <col width="14.5" customWidth="1" min="5" max="5"/>
    <col width="14" customWidth="1" min="6" max="6"/>
    <col width="14" customWidth="1" min="7" max="7"/>
    <col width="14.5" customWidth="1" min="8" max="8"/>
    <col width="16.5" customWidth="1" min="9" max="9"/>
    <col width="14" customWidth="1" min="10" max="10"/>
    <col width="14" customWidth="1" min="11" max="11"/>
    <col width="14" customWidth="1" min="12" max="12"/>
    <col width="13" customWidth="1" min="13" max="13"/>
  </cols>
  <sheetData>
    <row r="1" ht="32" customHeight="1">
      <c r="A1" s="206" t="inlineStr">
        <is>
          <t>ORNEK VERI — Amortisman + 2026 Yeniden Değerleme</t>
        </is>
      </c>
    </row>
    <row r="3" ht="22" customHeight="1">
      <c r="A3" s="225" t="inlineStr">
        <is>
          <t>Örnek senaryo kütüphanesi</t>
        </is>
      </c>
    </row>
    <row r="4">
      <c r="A4" s="18" t="inlineStr">
        <is>
          <t>Bu sayfa demo değerleri saklar; GIRDI'ye kopyalanabilir.</t>
        </is>
      </c>
    </row>
    <row r="5" ht="30" customHeight="1">
      <c r="A5" s="12" t="inlineStr">
        <is>
          <t>Senaryo</t>
        </is>
      </c>
      <c r="B5" s="12" t="inlineStr">
        <is>
          <t>Maliyet</t>
        </is>
      </c>
      <c r="C5" s="12" t="inlineStr">
        <is>
          <t>Birikmiş</t>
        </is>
      </c>
      <c r="D5" s="12" t="inlineStr">
        <is>
          <t>Endeks</t>
        </is>
      </c>
      <c r="E5" s="12" t="inlineStr">
        <is>
          <t>Kalan Ömür</t>
        </is>
      </c>
      <c r="F5" s="12" t="inlineStr">
        <is>
          <t>Öncelik</t>
        </is>
      </c>
      <c r="G5" s="12" t="inlineStr">
        <is>
          <t>Fark</t>
        </is>
      </c>
      <c r="H5" s="12" t="inlineStr">
        <is>
          <t>Fon Geç.32</t>
        </is>
      </c>
      <c r="I5" s="12" t="inlineStr">
        <is>
          <t>Özkaynak 298</t>
        </is>
      </c>
      <c r="L5" s="38" t="inlineStr">
        <is>
          <t>FarkDemo</t>
        </is>
      </c>
    </row>
    <row r="6">
      <c r="A6" s="30" t="inlineStr">
        <is>
          <t>Demo ana</t>
        </is>
      </c>
      <c r="B6" s="33" t="n">
        <v>1000000</v>
      </c>
      <c r="C6" s="33" t="n">
        <v>200000</v>
      </c>
      <c r="D6" s="34" t="n">
        <v>1.45</v>
      </c>
      <c r="E6" s="32" t="n">
        <v>10</v>
      </c>
      <c r="F6" s="30" t="inlineStr">
        <is>
          <t>A</t>
        </is>
      </c>
      <c r="G6" s="31">
        <f>IF($A6="","",IFERROR(ROUND(MAX(0,$B6*($D6-1)),2),0))</f>
        <v/>
      </c>
      <c r="H6" s="31">
        <f>IF($A6="","",IFERROR(ROUND($G6*INDEX(tblKurallar[deger_2025],MATCH("AYD-002",tblKurallar[kural_id],0)),2),0))</f>
        <v/>
      </c>
      <c r="I6" s="31">
        <f>IF($A6="","",IFERROR($G6-$G6*INDEX(tblKurallar[deger_2025],MATCH("AYD-004",tblKurallar[kural_id],0)),0))</f>
        <v/>
      </c>
      <c r="L6" s="19" t="n">
        <v>450000</v>
      </c>
    </row>
    <row r="7">
      <c r="A7" s="30" t="inlineStr">
        <is>
          <t>Yüksek endeks</t>
        </is>
      </c>
      <c r="B7" s="33" t="n">
        <v>1000000</v>
      </c>
      <c r="C7" s="33" t="n">
        <v>100000</v>
      </c>
      <c r="D7" s="34" t="n">
        <v>1.8</v>
      </c>
      <c r="E7" s="32" t="n">
        <v>8</v>
      </c>
      <c r="F7" s="30" t="inlineStr">
        <is>
          <t>A</t>
        </is>
      </c>
      <c r="G7" s="31">
        <f>IF($A7="","",IFERROR(ROUND(MAX(0,$B7*($D7-1)),2),0))</f>
        <v/>
      </c>
      <c r="H7" s="31">
        <f>IF($A7="","",IFERROR(ROUND($G7*INDEX(tblKurallar[deger_2025],MATCH("AYD-002",tblKurallar[kural_id],0)),2),0))</f>
        <v/>
      </c>
      <c r="I7" s="31">
        <f>IF($A7="","",IFERROR($G7-$G7*INDEX(tblKurallar[deger_2025],MATCH("AYD-004",tblKurallar[kural_id],0)),0))</f>
        <v/>
      </c>
      <c r="L7" s="19" t="n">
        <v>800000</v>
      </c>
    </row>
    <row r="8">
      <c r="A8" s="30" t="inlineStr">
        <is>
          <t>Düşük maliyet</t>
        </is>
      </c>
      <c r="B8" s="33" t="n">
        <v>500000</v>
      </c>
      <c r="C8" s="33" t="n">
        <v>50000</v>
      </c>
      <c r="D8" s="34" t="n">
        <v>1.2</v>
      </c>
      <c r="E8" s="32" t="n">
        <v>5</v>
      </c>
      <c r="F8" s="30" t="inlineStr">
        <is>
          <t>B</t>
        </is>
      </c>
      <c r="G8" s="31">
        <f>IF($A8="","",IFERROR(ROUND(MAX(0,$B8*($D8-1)),2),0))</f>
        <v/>
      </c>
      <c r="H8" s="31">
        <f>IF($A8="","",IFERROR(ROUND($G8*INDEX(tblKurallar[deger_2025],MATCH("AYD-002",tblKurallar[kural_id],0)),2),0))</f>
        <v/>
      </c>
      <c r="I8" s="31">
        <f>IF($A8="","",IFERROR($G8-$G8*INDEX(tblKurallar[deger_2025],MATCH("AYD-004",tblKurallar[kural_id],0)),0))</f>
        <v/>
      </c>
      <c r="L8" s="19" t="n">
        <v>100000</v>
      </c>
    </row>
    <row r="9">
      <c r="A9" s="30" t="inlineStr">
        <is>
          <t>Uzun ömür</t>
        </is>
      </c>
      <c r="B9" s="33" t="n">
        <v>2000000</v>
      </c>
      <c r="C9" s="33" t="n">
        <v>400000</v>
      </c>
      <c r="D9" s="34" t="n">
        <v>1.35</v>
      </c>
      <c r="E9" s="32" t="n">
        <v>20</v>
      </c>
      <c r="F9" s="30" t="inlineStr">
        <is>
          <t>A</t>
        </is>
      </c>
      <c r="G9" s="31">
        <f>IF($A9="","",IFERROR(ROUND(MAX(0,$B9*($D9-1)),2),0))</f>
        <v/>
      </c>
      <c r="H9" s="31">
        <f>IF($A9="","",IFERROR(ROUND($G9*INDEX(tblKurallar[deger_2025],MATCH("AYD-002",tblKurallar[kural_id],0)),2),0))</f>
        <v/>
      </c>
      <c r="I9" s="31">
        <f>IF($A9="","",IFERROR($G9-$G9*INDEX(tblKurallar[deger_2025],MATCH("AYD-004",tblKurallar[kural_id],0)),0))</f>
        <v/>
      </c>
      <c r="L9" s="19" t="n">
        <v>700000</v>
      </c>
    </row>
    <row r="10">
      <c r="A10" s="30" t="inlineStr">
        <is>
          <t>Sıfır artış</t>
        </is>
      </c>
      <c r="B10" s="33" t="n">
        <v>800000</v>
      </c>
      <c r="C10" s="33" t="n">
        <v>100000</v>
      </c>
      <c r="D10" s="34" t="n">
        <v>1</v>
      </c>
      <c r="E10" s="32" t="n">
        <v>10</v>
      </c>
      <c r="F10" s="30" t="inlineStr">
        <is>
          <t>B</t>
        </is>
      </c>
      <c r="G10" s="31">
        <f>IF($A10="","",IFERROR(ROUND(MAX(0,$B10*($D10-1)),2),0))</f>
        <v/>
      </c>
      <c r="H10" s="31">
        <f>IF($A10="","",IFERROR(ROUND($G10*INDEX(tblKurallar[deger_2025],MATCH("AYD-002",tblKurallar[kural_id],0)),2),0))</f>
        <v/>
      </c>
      <c r="I10" s="31">
        <f>IF($A10="","",IFERROR($G10-$G10*INDEX(tblKurallar[deger_2025],MATCH("AYD-004",tblKurallar[kural_id],0)),0))</f>
        <v/>
      </c>
      <c r="L10" s="19" t="n">
        <v>0</v>
      </c>
    </row>
    <row r="11">
      <c r="A11" s="30" t="n"/>
      <c r="B11" s="30" t="n"/>
      <c r="C11" s="30" t="n"/>
      <c r="D11" s="30" t="n"/>
      <c r="E11" s="30" t="n"/>
      <c r="F11" s="30" t="n"/>
      <c r="G11" s="31">
        <f>IF($A11="","",IFERROR(ROUND(MAX(0,$B11*($D11-1)),2),0))</f>
        <v/>
      </c>
      <c r="H11" s="31">
        <f>IF($A11="","",IFERROR(ROUND($G11*INDEX(tblKurallar[deger_2025],MATCH("AYD-002",tblKurallar[kural_id],0)),2),0))</f>
        <v/>
      </c>
      <c r="I11" s="31">
        <f>IF($A11="","",IFERROR($G11-$G11*INDEX(tblKurallar[deger_2025],MATCH("AYD-004",tblKurallar[kural_id],0)),0))</f>
        <v/>
      </c>
    </row>
    <row r="12">
      <c r="A12" s="30" t="n"/>
      <c r="B12" s="30" t="n"/>
      <c r="C12" s="30" t="n"/>
      <c r="D12" s="30" t="n"/>
      <c r="E12" s="30" t="n"/>
      <c r="F12" s="30" t="n"/>
      <c r="G12" s="31">
        <f>IF($A12="","",IFERROR(ROUND(MAX(0,$B12*($D12-1)),2),0))</f>
        <v/>
      </c>
      <c r="H12" s="31">
        <f>IF($A12="","",IFERROR(ROUND($G12*INDEX(tblKurallar[deger_2025],MATCH("AYD-002",tblKurallar[kural_id],0)),2),0))</f>
        <v/>
      </c>
      <c r="I12" s="31">
        <f>IF($A12="","",IFERROR($G12-$G12*INDEX(tblKurallar[deger_2025],MATCH("AYD-004",tblKurallar[kural_id],0)),0))</f>
        <v/>
      </c>
    </row>
    <row r="13">
      <c r="A13" s="30" t="n"/>
      <c r="B13" s="30" t="n"/>
      <c r="C13" s="30" t="n"/>
      <c r="D13" s="30" t="n"/>
      <c r="E13" s="30" t="n"/>
      <c r="F13" s="30" t="n"/>
      <c r="G13" s="31">
        <f>IF($A13="","",IFERROR(ROUND(MAX(0,$B13*($D13-1)),2),0))</f>
        <v/>
      </c>
      <c r="H13" s="31">
        <f>IF($A13="","",IFERROR(ROUND($G13*INDEX(tblKurallar[deger_2025],MATCH("AYD-002",tblKurallar[kural_id],0)),2),0))</f>
        <v/>
      </c>
      <c r="I13" s="31">
        <f>IF($A13="","",IFERROR($G13-$G13*INDEX(tblKurallar[deger_2025],MATCH("AYD-004",tblKurallar[kural_id],0)),0))</f>
        <v/>
      </c>
    </row>
    <row r="14">
      <c r="A14" s="30" t="n"/>
      <c r="B14" s="30" t="n"/>
      <c r="C14" s="30" t="n"/>
      <c r="D14" s="30" t="n"/>
      <c r="E14" s="30" t="n"/>
      <c r="F14" s="30" t="n"/>
      <c r="G14" s="31">
        <f>IF($A14="","",IFERROR(ROUND(MAX(0,$B14*($D14-1)),2),0))</f>
        <v/>
      </c>
      <c r="H14" s="31">
        <f>IF($A14="","",IFERROR(ROUND($G14*INDEX(tblKurallar[deger_2025],MATCH("AYD-002",tblKurallar[kural_id],0)),2),0))</f>
        <v/>
      </c>
      <c r="I14" s="31">
        <f>IF($A14="","",IFERROR($G14-$G14*INDEX(tblKurallar[deger_2025],MATCH("AYD-004",tblKurallar[kural_id],0)),0))</f>
        <v/>
      </c>
    </row>
    <row r="15">
      <c r="A15" s="30" t="n"/>
      <c r="B15" s="30" t="n"/>
      <c r="C15" s="30" t="n"/>
      <c r="D15" s="30" t="n"/>
      <c r="E15" s="30" t="n"/>
      <c r="F15" s="30" t="n"/>
      <c r="G15" s="31">
        <f>IF($A15="","",IFERROR(ROUND(MAX(0,$B15*($D15-1)),2),0))</f>
        <v/>
      </c>
      <c r="H15" s="31">
        <f>IF($A15="","",IFERROR(ROUND($G15*INDEX(tblKurallar[deger_2025],MATCH("AYD-002",tblKurallar[kural_id],0)),2),0))</f>
        <v/>
      </c>
      <c r="I15" s="31">
        <f>IF($A15="","",IFERROR($G15-$G15*INDEX(tblKurallar[deger_2025],MATCH("AYD-004",tblKurallar[kural_id],0)),0))</f>
        <v/>
      </c>
    </row>
    <row r="16">
      <c r="A16" s="30" t="n"/>
      <c r="B16" s="30" t="n"/>
      <c r="C16" s="30" t="n"/>
      <c r="D16" s="30" t="n"/>
      <c r="E16" s="30" t="n"/>
      <c r="F16" s="30" t="n"/>
      <c r="G16" s="31">
        <f>IF($A16="","",IFERROR(ROUND(MAX(0,$B16*($D16-1)),2),0))</f>
        <v/>
      </c>
      <c r="H16" s="31">
        <f>IF($A16="","",IFERROR(ROUND($G16*INDEX(tblKurallar[deger_2025],MATCH("AYD-002",tblKurallar[kural_id],0)),2),0))</f>
        <v/>
      </c>
      <c r="I16" s="31">
        <f>IF($A16="","",IFERROR($G16-$G16*INDEX(tblKurallar[deger_2025],MATCH("AYD-004",tblKurallar[kural_id],0)),0))</f>
        <v/>
      </c>
    </row>
    <row r="17">
      <c r="A17" s="30" t="n"/>
      <c r="B17" s="30" t="n"/>
      <c r="C17" s="30" t="n"/>
      <c r="D17" s="30" t="n"/>
      <c r="E17" s="30" t="n"/>
      <c r="F17" s="30" t="n"/>
      <c r="G17" s="31">
        <f>IF($A17="","",IFERROR(ROUND(MAX(0,$B17*($D17-1)),2),0))</f>
        <v/>
      </c>
      <c r="H17" s="31">
        <f>IF($A17="","",IFERROR(ROUND($G17*INDEX(tblKurallar[deger_2025],MATCH("AYD-002",tblKurallar[kural_id],0)),2),0))</f>
        <v/>
      </c>
      <c r="I17" s="31">
        <f>IF($A17="","",IFERROR($G17-$G17*INDEX(tblKurallar[deger_2025],MATCH("AYD-004",tblKurallar[kural_id],0)),0))</f>
        <v/>
      </c>
    </row>
    <row r="18">
      <c r="A18" s="30" t="n"/>
      <c r="B18" s="30" t="n"/>
      <c r="C18" s="30" t="n"/>
      <c r="D18" s="30" t="n"/>
      <c r="E18" s="30" t="n"/>
      <c r="F18" s="30" t="n"/>
      <c r="G18" s="31">
        <f>IF($A18="","",IFERROR(ROUND(MAX(0,$B18*($D18-1)),2),0))</f>
        <v/>
      </c>
      <c r="H18" s="31">
        <f>IF($A18="","",IFERROR(ROUND($G18*INDEX(tblKurallar[deger_2025],MATCH("AYD-002",tblKurallar[kural_id],0)),2),0))</f>
        <v/>
      </c>
      <c r="I18" s="31">
        <f>IF($A18="","",IFERROR($G18-$G18*INDEX(tblKurallar[deger_2025],MATCH("AYD-004",tblKurallar[kural_id],0)),0))</f>
        <v/>
      </c>
    </row>
    <row r="19">
      <c r="A19" s="30" t="n"/>
      <c r="B19" s="30" t="n"/>
      <c r="C19" s="30" t="n"/>
      <c r="D19" s="30" t="n"/>
      <c r="E19" s="30" t="n"/>
      <c r="F19" s="30" t="n"/>
      <c r="G19" s="31">
        <f>IF($A19="","",IFERROR(ROUND(MAX(0,$B19*($D19-1)),2),0))</f>
        <v/>
      </c>
      <c r="H19" s="31">
        <f>IF($A19="","",IFERROR(ROUND($G19*INDEX(tblKurallar[deger_2025],MATCH("AYD-002",tblKurallar[kural_id],0)),2),0))</f>
        <v/>
      </c>
      <c r="I19" s="31">
        <f>IF($A19="","",IFERROR($G19-$G19*INDEX(tblKurallar[deger_2025],MATCH("AYD-004",tblKurallar[kural_id],0)),0))</f>
        <v/>
      </c>
    </row>
    <row r="20">
      <c r="A20" s="30" t="n"/>
      <c r="B20" s="30" t="n"/>
      <c r="C20" s="30" t="n"/>
      <c r="D20" s="30" t="n"/>
      <c r="E20" s="30" t="n"/>
      <c r="F20" s="30" t="n"/>
      <c r="G20" s="31">
        <f>IF($A20="","",IFERROR(ROUND(MAX(0,$B20*($D20-1)),2),0))</f>
        <v/>
      </c>
      <c r="H20" s="31">
        <f>IF($A20="","",IFERROR(ROUND($G20*INDEX(tblKurallar[deger_2025],MATCH("AYD-002",tblKurallar[kural_id],0)),2),0))</f>
        <v/>
      </c>
      <c r="I20" s="31">
        <f>IF($A20="","",IFERROR($G20-$G20*INDEX(tblKurallar[deger_2025],MATCH("AYD-004",tblKurallar[kural_id],0)),0))</f>
        <v/>
      </c>
    </row>
    <row r="21">
      <c r="A21" s="30" t="n"/>
      <c r="B21" s="30" t="n"/>
      <c r="C21" s="30" t="n"/>
      <c r="D21" s="30" t="n"/>
      <c r="E21" s="30" t="n"/>
      <c r="F21" s="30" t="n"/>
      <c r="G21" s="31">
        <f>IF($A21="","",IFERROR(ROUND(MAX(0,$B21*($D21-1)),2),0))</f>
        <v/>
      </c>
      <c r="H21" s="31">
        <f>IF($A21="","",IFERROR(ROUND($G21*INDEX(tblKurallar[deger_2025],MATCH("AYD-002",tblKurallar[kural_id],0)),2),0))</f>
        <v/>
      </c>
      <c r="I21" s="31">
        <f>IF($A21="","",IFERROR($G21-$G21*INDEX(tblKurallar[deger_2025],MATCH("AYD-004",tblKurallar[kural_id],0)),0))</f>
        <v/>
      </c>
    </row>
    <row r="22">
      <c r="A22" s="30" t="n"/>
      <c r="B22" s="30" t="n"/>
      <c r="C22" s="30" t="n"/>
      <c r="D22" s="30" t="n"/>
      <c r="E22" s="30" t="n"/>
      <c r="F22" s="30" t="n"/>
      <c r="G22" s="31">
        <f>IF($A22="","",IFERROR(ROUND(MAX(0,$B22*($D22-1)),2),0))</f>
        <v/>
      </c>
      <c r="H22" s="31">
        <f>IF($A22="","",IFERROR(ROUND($G22*INDEX(tblKurallar[deger_2025],MATCH("AYD-002",tblKurallar[kural_id],0)),2),0))</f>
        <v/>
      </c>
      <c r="I22" s="31">
        <f>IF($A22="","",IFERROR($G22-$G22*INDEX(tblKurallar[deger_2025],MATCH("AYD-004",tblKurallar[kural_id],0)),0))</f>
        <v/>
      </c>
    </row>
    <row r="23">
      <c r="A23" s="30" t="n"/>
      <c r="B23" s="30" t="n"/>
      <c r="C23" s="30" t="n"/>
      <c r="D23" s="30" t="n"/>
      <c r="E23" s="30" t="n"/>
      <c r="F23" s="30" t="n"/>
      <c r="G23" s="31">
        <f>IF($A23="","",IFERROR(ROUND(MAX(0,$B23*($D23-1)),2),0))</f>
        <v/>
      </c>
      <c r="H23" s="31">
        <f>IF($A23="","",IFERROR(ROUND($G23*INDEX(tblKurallar[deger_2025],MATCH("AYD-002",tblKurallar[kural_id],0)),2),0))</f>
        <v/>
      </c>
      <c r="I23" s="31">
        <f>IF($A23="","",IFERROR($G23-$G23*INDEX(tblKurallar[deger_2025],MATCH("AYD-004",tblKurallar[kural_id],0)),0))</f>
        <v/>
      </c>
    </row>
    <row r="24">
      <c r="A24" s="30" t="n"/>
      <c r="B24" s="30" t="n"/>
      <c r="C24" s="30" t="n"/>
      <c r="D24" s="30" t="n"/>
      <c r="E24" s="30" t="n"/>
      <c r="F24" s="30" t="n"/>
      <c r="G24" s="31">
        <f>IF($A24="","",IFERROR(ROUND(MAX(0,$B24*($D24-1)),2),0))</f>
        <v/>
      </c>
      <c r="H24" s="31">
        <f>IF($A24="","",IFERROR(ROUND($G24*INDEX(tblKurallar[deger_2025],MATCH("AYD-002",tblKurallar[kural_id],0)),2),0))</f>
        <v/>
      </c>
      <c r="I24" s="31">
        <f>IF($A24="","",IFERROR($G24-$G24*INDEX(tblKurallar[deger_2025],MATCH("AYD-004",tblKurallar[kural_id],0)),0))</f>
        <v/>
      </c>
    </row>
    <row r="25">
      <c r="A25" s="30" t="n"/>
      <c r="B25" s="30" t="n"/>
      <c r="C25" s="30" t="n"/>
      <c r="D25" s="30" t="n"/>
      <c r="E25" s="30" t="n"/>
      <c r="F25" s="30" t="n"/>
      <c r="G25" s="31">
        <f>IF($A25="","",IFERROR(ROUND(MAX(0,$B25*($D25-1)),2),0))</f>
        <v/>
      </c>
      <c r="H25" s="31">
        <f>IF($A25="","",IFERROR(ROUND($G25*INDEX(tblKurallar[deger_2025],MATCH("AYD-002",tblKurallar[kural_id],0)),2),0))</f>
        <v/>
      </c>
      <c r="I25" s="31">
        <f>IF($A25="","",IFERROR($G25-$G25*INDEX(tblKurallar[deger_2025],MATCH("AYD-004",tblKurallar[kural_id],0)),0))</f>
        <v/>
      </c>
    </row>
    <row r="26">
      <c r="A26" s="30" t="n"/>
      <c r="B26" s="30" t="n"/>
      <c r="C26" s="30" t="n"/>
      <c r="D26" s="30" t="n"/>
      <c r="E26" s="30" t="n"/>
      <c r="F26" s="30" t="n"/>
      <c r="G26" s="31">
        <f>IF($A26="","",IFERROR(ROUND(MAX(0,$B26*($D26-1)),2),0))</f>
        <v/>
      </c>
      <c r="H26" s="31">
        <f>IF($A26="","",IFERROR(ROUND($G26*INDEX(tblKurallar[deger_2025],MATCH("AYD-002",tblKurallar[kural_id],0)),2),0))</f>
        <v/>
      </c>
      <c r="I26" s="31">
        <f>IF($A26="","",IFERROR($G26-$G26*INDEX(tblKurallar[deger_2025],MATCH("AYD-004",tblKurallar[kural_id],0)),0))</f>
        <v/>
      </c>
    </row>
    <row r="27">
      <c r="A27" s="30" t="n"/>
      <c r="B27" s="30" t="n"/>
      <c r="C27" s="30" t="n"/>
      <c r="D27" s="30" t="n"/>
      <c r="E27" s="30" t="n"/>
      <c r="F27" s="30" t="n"/>
      <c r="G27" s="31">
        <f>IF($A27="","",IFERROR(ROUND(MAX(0,$B27*($D27-1)),2),0))</f>
        <v/>
      </c>
      <c r="H27" s="31">
        <f>IF($A27="","",IFERROR(ROUND($G27*INDEX(tblKurallar[deger_2025],MATCH("AYD-002",tblKurallar[kural_id],0)),2),0))</f>
        <v/>
      </c>
      <c r="I27" s="31">
        <f>IF($A27="","",IFERROR($G27-$G27*INDEX(tblKurallar[deger_2025],MATCH("AYD-004",tblKurallar[kural_id],0)),0))</f>
        <v/>
      </c>
    </row>
    <row r="28">
      <c r="A28" s="30" t="n"/>
      <c r="B28" s="30" t="n"/>
      <c r="C28" s="30" t="n"/>
      <c r="D28" s="30" t="n"/>
      <c r="E28" s="30" t="n"/>
      <c r="F28" s="30" t="n"/>
      <c r="G28" s="31">
        <f>IF($A28="","",IFERROR(ROUND(MAX(0,$B28*($D28-1)),2),0))</f>
        <v/>
      </c>
      <c r="H28" s="31">
        <f>IF($A28="","",IFERROR(ROUND($G28*INDEX(tblKurallar[deger_2025],MATCH("AYD-002",tblKurallar[kural_id],0)),2),0))</f>
        <v/>
      </c>
      <c r="I28" s="31">
        <f>IF($A28="","",IFERROR($G28-$G28*INDEX(tblKurallar[deger_2025],MATCH("AYD-004",tblKurallar[kural_id],0)),0))</f>
        <v/>
      </c>
    </row>
    <row r="29">
      <c r="A29" s="30" t="n"/>
      <c r="B29" s="30" t="n"/>
      <c r="C29" s="30" t="n"/>
      <c r="D29" s="30" t="n"/>
      <c r="E29" s="30" t="n"/>
      <c r="F29" s="30" t="n"/>
      <c r="G29" s="31">
        <f>IF($A29="","",IFERROR(ROUND(MAX(0,$B29*($D29-1)),2),0))</f>
        <v/>
      </c>
      <c r="H29" s="31">
        <f>IF($A29="","",IFERROR(ROUND($G29*INDEX(tblKurallar[deger_2025],MATCH("AYD-002",tblKurallar[kural_id],0)),2),0))</f>
        <v/>
      </c>
      <c r="I29" s="31">
        <f>IF($A29="","",IFERROR($G29-$G29*INDEX(tblKurallar[deger_2025],MATCH("AYD-004",tblKurallar[kural_id],0)),0))</f>
        <v/>
      </c>
    </row>
    <row r="30">
      <c r="A30" s="30" t="n"/>
      <c r="B30" s="30" t="n"/>
      <c r="C30" s="30" t="n"/>
      <c r="D30" s="30" t="n"/>
      <c r="E30" s="30" t="n"/>
      <c r="F30" s="30" t="n"/>
      <c r="G30" s="31">
        <f>IF($A30="","",IFERROR(ROUND(MAX(0,$B30*($D30-1)),2),0))</f>
        <v/>
      </c>
      <c r="H30" s="31">
        <f>IF($A30="","",IFERROR(ROUND($G30*INDEX(tblKurallar[deger_2025],MATCH("AYD-002",tblKurallar[kural_id],0)),2),0))</f>
        <v/>
      </c>
      <c r="I30" s="31">
        <f>IF($A30="","",IFERROR($G30-$G30*INDEX(tblKurallar[deger_2025],MATCH("AYD-004",tblKurallar[kural_id],0)),0))</f>
        <v/>
      </c>
    </row>
    <row r="31">
      <c r="A31" s="30" t="n"/>
      <c r="B31" s="30" t="n"/>
      <c r="C31" s="30" t="n"/>
      <c r="D31" s="30" t="n"/>
      <c r="E31" s="30" t="n"/>
      <c r="F31" s="30" t="n"/>
      <c r="G31" s="31">
        <f>IF($A31="","",IFERROR(ROUND(MAX(0,$B31*($D31-1)),2),0))</f>
        <v/>
      </c>
      <c r="H31" s="31">
        <f>IF($A31="","",IFERROR(ROUND($G31*INDEX(tblKurallar[deger_2025],MATCH("AYD-002",tblKurallar[kural_id],0)),2),0))</f>
        <v/>
      </c>
      <c r="I31" s="31">
        <f>IF($A31="","",IFERROR($G31-$G31*INDEX(tblKurallar[deger_2025],MATCH("AYD-004",tblKurallar[kural_id],0)),0))</f>
        <v/>
      </c>
    </row>
    <row r="32">
      <c r="A32" s="30" t="n"/>
      <c r="B32" s="30" t="n"/>
      <c r="C32" s="30" t="n"/>
      <c r="D32" s="30" t="n"/>
      <c r="E32" s="30" t="n"/>
      <c r="F32" s="30" t="n"/>
      <c r="G32" s="31">
        <f>IF($A32="","",IFERROR(ROUND(MAX(0,$B32*($D32-1)),2),0))</f>
        <v/>
      </c>
      <c r="H32" s="31">
        <f>IF($A32="","",IFERROR(ROUND($G32*INDEX(tblKurallar[deger_2025],MATCH("AYD-002",tblKurallar[kural_id],0)),2),0))</f>
        <v/>
      </c>
      <c r="I32" s="31">
        <f>IF($A32="","",IFERROR($G32-$G32*INDEX(tblKurallar[deger_2025],MATCH("AYD-004",tblKurallar[kural_id],0)),0))</f>
        <v/>
      </c>
    </row>
    <row r="33">
      <c r="A33" s="30" t="n"/>
      <c r="B33" s="30" t="n"/>
      <c r="C33" s="30" t="n"/>
      <c r="D33" s="30" t="n"/>
      <c r="E33" s="30" t="n"/>
      <c r="F33" s="30" t="n"/>
      <c r="G33" s="31">
        <f>IF($A33="","",IFERROR(ROUND(MAX(0,$B33*($D33-1)),2),0))</f>
        <v/>
      </c>
      <c r="H33" s="31">
        <f>IF($A33="","",IFERROR(ROUND($G33*INDEX(tblKurallar[deger_2025],MATCH("AYD-002",tblKurallar[kural_id],0)),2),0))</f>
        <v/>
      </c>
      <c r="I33" s="31">
        <f>IF($A33="","",IFERROR($G33-$G33*INDEX(tblKurallar[deger_2025],MATCH("AYD-004",tblKurallar[kural_id],0)),0))</f>
        <v/>
      </c>
    </row>
    <row r="34">
      <c r="A34" s="30" t="n"/>
      <c r="B34" s="30" t="n"/>
      <c r="C34" s="30" t="n"/>
      <c r="D34" s="30" t="n"/>
      <c r="E34" s="30" t="n"/>
      <c r="F34" s="30" t="n"/>
      <c r="G34" s="31">
        <f>IF($A34="","",IFERROR(ROUND(MAX(0,$B34*($D34-1)),2),0))</f>
        <v/>
      </c>
      <c r="H34" s="31">
        <f>IF($A34="","",IFERROR(ROUND($G34*INDEX(tblKurallar[deger_2025],MATCH("AYD-002",tblKurallar[kural_id],0)),2),0))</f>
        <v/>
      </c>
      <c r="I34" s="31">
        <f>IF($A34="","",IFERROR($G34-$G34*INDEX(tblKurallar[deger_2025],MATCH("AYD-004",tblKurallar[kural_id],0)),0))</f>
        <v/>
      </c>
    </row>
    <row r="35">
      <c r="A35" s="30" t="n"/>
      <c r="B35" s="30" t="n"/>
      <c r="C35" s="30" t="n"/>
      <c r="D35" s="30" t="n"/>
      <c r="E35" s="30" t="n"/>
      <c r="F35" s="30" t="n"/>
      <c r="G35" s="31">
        <f>IF($A35="","",IFERROR(ROUND(MAX(0,$B35*($D35-1)),2),0))</f>
        <v/>
      </c>
      <c r="H35" s="31">
        <f>IF($A35="","",IFERROR(ROUND($G35*INDEX(tblKurallar[deger_2025],MATCH("AYD-002",tblKurallar[kural_id],0)),2),0))</f>
        <v/>
      </c>
      <c r="I35" s="31">
        <f>IF($A35="","",IFERROR($G35-$G35*INDEX(tblKurallar[deger_2025],MATCH("AYD-004",tblKurallar[kural_id],0)),0))</f>
        <v/>
      </c>
    </row>
    <row r="36">
      <c r="A36" s="30" t="n"/>
      <c r="B36" s="30" t="n"/>
      <c r="C36" s="30" t="n"/>
      <c r="D36" s="30" t="n"/>
      <c r="E36" s="30" t="n"/>
      <c r="F36" s="30" t="n"/>
      <c r="G36" s="31">
        <f>IF($A36="","",IFERROR(ROUND(MAX(0,$B36*($D36-1)),2),0))</f>
        <v/>
      </c>
      <c r="H36" s="31">
        <f>IF($A36="","",IFERROR(ROUND($G36*INDEX(tblKurallar[deger_2025],MATCH("AYD-002",tblKurallar[kural_id],0)),2),0))</f>
        <v/>
      </c>
      <c r="I36" s="31">
        <f>IF($A36="","",IFERROR($G36-$G36*INDEX(tblKurallar[deger_2025],MATCH("AYD-004",tblKurallar[kural_id],0)),0))</f>
        <v/>
      </c>
    </row>
    <row r="37">
      <c r="A37" s="30" t="n"/>
      <c r="B37" s="30" t="n"/>
      <c r="C37" s="30" t="n"/>
      <c r="D37" s="30" t="n"/>
      <c r="E37" s="30" t="n"/>
      <c r="F37" s="30" t="n"/>
      <c r="G37" s="31">
        <f>IF($A37="","",IFERROR(ROUND(MAX(0,$B37*($D37-1)),2),0))</f>
        <v/>
      </c>
      <c r="H37" s="31">
        <f>IF($A37="","",IFERROR(ROUND($G37*INDEX(tblKurallar[deger_2025],MATCH("AYD-002",tblKurallar[kural_id],0)),2),0))</f>
        <v/>
      </c>
      <c r="I37" s="31">
        <f>IF($A37="","",IFERROR($G37-$G37*INDEX(tblKurallar[deger_2025],MATCH("AYD-004",tblKurallar[kural_id],0)),0))</f>
        <v/>
      </c>
    </row>
    <row r="38">
      <c r="A38" s="30" t="n"/>
      <c r="B38" s="30" t="n"/>
      <c r="C38" s="30" t="n"/>
      <c r="D38" s="30" t="n"/>
      <c r="E38" s="30" t="n"/>
      <c r="F38" s="30" t="n"/>
      <c r="G38" s="31">
        <f>IF($A38="","",IFERROR(ROUND(MAX(0,$B38*($D38-1)),2),0))</f>
        <v/>
      </c>
      <c r="H38" s="31">
        <f>IF($A38="","",IFERROR(ROUND($G38*INDEX(tblKurallar[deger_2025],MATCH("AYD-002",tblKurallar[kural_id],0)),2),0))</f>
        <v/>
      </c>
      <c r="I38" s="31">
        <f>IF($A38="","",IFERROR($G38-$G38*INDEX(tblKurallar[deger_2025],MATCH("AYD-004",tblKurallar[kural_id],0)),0))</f>
        <v/>
      </c>
    </row>
    <row r="39">
      <c r="A39" s="30" t="n"/>
      <c r="B39" s="30" t="n"/>
      <c r="C39" s="30" t="n"/>
      <c r="D39" s="30" t="n"/>
      <c r="E39" s="30" t="n"/>
      <c r="F39" s="30" t="n"/>
      <c r="G39" s="31">
        <f>IF($A39="","",IFERROR(ROUND(MAX(0,$B39*($D39-1)),2),0))</f>
        <v/>
      </c>
      <c r="H39" s="31">
        <f>IF($A39="","",IFERROR(ROUND($G39*INDEX(tblKurallar[deger_2025],MATCH("AYD-002",tblKurallar[kural_id],0)),2),0))</f>
        <v/>
      </c>
      <c r="I39" s="31">
        <f>IF($A39="","",IFERROR($G39-$G39*INDEX(tblKurallar[deger_2025],MATCH("AYD-004",tblKurallar[kural_id],0)),0))</f>
        <v/>
      </c>
    </row>
    <row r="40">
      <c r="A40" s="30" t="n"/>
      <c r="B40" s="30" t="n"/>
      <c r="C40" s="30" t="n"/>
      <c r="D40" s="30" t="n"/>
      <c r="E40" s="30" t="n"/>
      <c r="F40" s="30" t="n"/>
      <c r="G40" s="31">
        <f>IF($A40="","",IFERROR(ROUND(MAX(0,$B40*($D40-1)),2),0))</f>
        <v/>
      </c>
      <c r="H40" s="31">
        <f>IF($A40="","",IFERROR(ROUND($G40*INDEX(tblKurallar[deger_2025],MATCH("AYD-002",tblKurallar[kural_id],0)),2),0))</f>
        <v/>
      </c>
      <c r="I40" s="31">
        <f>IF($A40="","",IFERROR($G40-$G40*INDEX(tblKurallar[deger_2025],MATCH("AYD-004",tblKurallar[kural_id],0)),0))</f>
        <v/>
      </c>
    </row>
    <row r="41">
      <c r="A41" s="30" t="n"/>
      <c r="B41" s="30" t="n"/>
      <c r="C41" s="30" t="n"/>
      <c r="D41" s="30" t="n"/>
      <c r="E41" s="30" t="n"/>
      <c r="F41" s="30" t="n"/>
      <c r="G41" s="31">
        <f>IF($A41="","",IFERROR(ROUND(MAX(0,$B41*($D41-1)),2),0))</f>
        <v/>
      </c>
      <c r="H41" s="31">
        <f>IF($A41="","",IFERROR(ROUND($G41*INDEX(tblKurallar[deger_2025],MATCH("AYD-002",tblKurallar[kural_id],0)),2),0))</f>
        <v/>
      </c>
      <c r="I41" s="31">
        <f>IF($A41="","",IFERROR($G41-$G41*INDEX(tblKurallar[deger_2025],MATCH("AYD-004",tblKurallar[kural_id],0)),0))</f>
        <v/>
      </c>
    </row>
    <row r="42">
      <c r="A42" s="30" t="n"/>
      <c r="B42" s="30" t="n"/>
      <c r="C42" s="30" t="n"/>
      <c r="D42" s="30" t="n"/>
      <c r="E42" s="30" t="n"/>
      <c r="F42" s="30" t="n"/>
      <c r="G42" s="31">
        <f>IF($A42="","",IFERROR(ROUND(MAX(0,$B42*($D42-1)),2),0))</f>
        <v/>
      </c>
      <c r="H42" s="31">
        <f>IF($A42="","",IFERROR(ROUND($G42*INDEX(tblKurallar[deger_2025],MATCH("AYD-002",tblKurallar[kural_id],0)),2),0))</f>
        <v/>
      </c>
      <c r="I42" s="31">
        <f>IF($A42="","",IFERROR($G42-$G42*INDEX(tblKurallar[deger_2025],MATCH("AYD-004",tblKurallar[kural_id],0)),0))</f>
        <v/>
      </c>
    </row>
    <row r="43">
      <c r="A43" s="30" t="n"/>
      <c r="B43" s="30" t="n"/>
      <c r="C43" s="30" t="n"/>
      <c r="D43" s="30" t="n"/>
      <c r="E43" s="30" t="n"/>
      <c r="F43" s="30" t="n"/>
      <c r="G43" s="31">
        <f>IF($A43="","",IFERROR(ROUND(MAX(0,$B43*($D43-1)),2),0))</f>
        <v/>
      </c>
      <c r="H43" s="31">
        <f>IF($A43="","",IFERROR(ROUND($G43*INDEX(tblKurallar[deger_2025],MATCH("AYD-002",tblKurallar[kural_id],0)),2),0))</f>
        <v/>
      </c>
      <c r="I43" s="31">
        <f>IF($A43="","",IFERROR($G43-$G43*INDEX(tblKurallar[deger_2025],MATCH("AYD-004",tblKurallar[kural_id],0)),0))</f>
        <v/>
      </c>
    </row>
    <row r="44">
      <c r="A44" s="30" t="n"/>
      <c r="B44" s="30" t="n"/>
      <c r="C44" s="30" t="n"/>
      <c r="D44" s="30" t="n"/>
      <c r="E44" s="30" t="n"/>
      <c r="F44" s="30" t="n"/>
      <c r="G44" s="31">
        <f>IF($A44="","",IFERROR(ROUND(MAX(0,$B44*($D44-1)),2),0))</f>
        <v/>
      </c>
      <c r="H44" s="31">
        <f>IF($A44="","",IFERROR(ROUND($G44*INDEX(tblKurallar[deger_2025],MATCH("AYD-002",tblKurallar[kural_id],0)),2),0))</f>
        <v/>
      </c>
      <c r="I44" s="31">
        <f>IF($A44="","",IFERROR($G44-$G44*INDEX(tblKurallar[deger_2025],MATCH("AYD-004",tblKurallar[kural_id],0)),0))</f>
        <v/>
      </c>
    </row>
    <row r="45">
      <c r="A45" s="30" t="n"/>
      <c r="B45" s="30" t="n"/>
      <c r="C45" s="30" t="n"/>
      <c r="D45" s="30" t="n"/>
      <c r="E45" s="30" t="n"/>
      <c r="F45" s="30" t="n"/>
      <c r="G45" s="31">
        <f>IF($A45="","",IFERROR(ROUND(MAX(0,$B45*($D45-1)),2),0))</f>
        <v/>
      </c>
      <c r="H45" s="31">
        <f>IF($A45="","",IFERROR(ROUND($G45*INDEX(tblKurallar[deger_2025],MATCH("AYD-002",tblKurallar[kural_id],0)),2),0))</f>
        <v/>
      </c>
      <c r="I45" s="31">
        <f>IF($A45="","",IFERROR($G45-$G45*INDEX(tblKurallar[deger_2025],MATCH("AYD-004",tblKurallar[kural_id],0)),0))</f>
        <v/>
      </c>
    </row>
    <row r="46">
      <c r="A46" s="30" t="n"/>
      <c r="B46" s="30" t="n"/>
      <c r="C46" s="30" t="n"/>
      <c r="D46" s="30" t="n"/>
      <c r="E46" s="30" t="n"/>
      <c r="F46" s="30" t="n"/>
      <c r="G46" s="31">
        <f>IF($A46="","",IFERROR(ROUND(MAX(0,$B46*($D46-1)),2),0))</f>
        <v/>
      </c>
      <c r="H46" s="31">
        <f>IF($A46="","",IFERROR(ROUND($G46*INDEX(tblKurallar[deger_2025],MATCH("AYD-002",tblKurallar[kural_id],0)),2),0))</f>
        <v/>
      </c>
      <c r="I46" s="31">
        <f>IF($A46="","",IFERROR($G46-$G46*INDEX(tblKurallar[deger_2025],MATCH("AYD-004",tblKurallar[kural_id],0)),0))</f>
        <v/>
      </c>
    </row>
    <row r="47">
      <c r="A47" s="30" t="n"/>
      <c r="B47" s="30" t="n"/>
      <c r="C47" s="30" t="n"/>
      <c r="D47" s="30" t="n"/>
      <c r="E47" s="30" t="n"/>
      <c r="F47" s="30" t="n"/>
      <c r="G47" s="31">
        <f>IF($A47="","",IFERROR(ROUND(MAX(0,$B47*($D47-1)),2),0))</f>
        <v/>
      </c>
      <c r="H47" s="31">
        <f>IF($A47="","",IFERROR(ROUND($G47*INDEX(tblKurallar[deger_2025],MATCH("AYD-002",tblKurallar[kural_id],0)),2),0))</f>
        <v/>
      </c>
      <c r="I47" s="31">
        <f>IF($A47="","",IFERROR($G47-$G47*INDEX(tblKurallar[deger_2025],MATCH("AYD-004",tblKurallar[kural_id],0)),0))</f>
        <v/>
      </c>
    </row>
    <row r="48">
      <c r="A48" s="30" t="n"/>
      <c r="B48" s="30" t="n"/>
      <c r="C48" s="30" t="n"/>
      <c r="D48" s="30" t="n"/>
      <c r="E48" s="30" t="n"/>
      <c r="F48" s="30" t="n"/>
      <c r="G48" s="31">
        <f>IF($A48="","",IFERROR(ROUND(MAX(0,$B48*($D48-1)),2),0))</f>
        <v/>
      </c>
      <c r="H48" s="31">
        <f>IF($A48="","",IFERROR(ROUND($G48*INDEX(tblKurallar[deger_2025],MATCH("AYD-002",tblKurallar[kural_id],0)),2),0))</f>
        <v/>
      </c>
      <c r="I48" s="31">
        <f>IF($A48="","",IFERROR($G48-$G48*INDEX(tblKurallar[deger_2025],MATCH("AYD-004",tblKurallar[kural_id],0)),0))</f>
        <v/>
      </c>
    </row>
    <row r="49">
      <c r="A49" s="30" t="n"/>
      <c r="B49" s="30" t="n"/>
      <c r="C49" s="30" t="n"/>
      <c r="D49" s="30" t="n"/>
      <c r="E49" s="30" t="n"/>
      <c r="F49" s="30" t="n"/>
      <c r="G49" s="31">
        <f>IF($A49="","",IFERROR(ROUND(MAX(0,$B49*($D49-1)),2),0))</f>
        <v/>
      </c>
      <c r="H49" s="31">
        <f>IF($A49="","",IFERROR(ROUND($G49*INDEX(tblKurallar[deger_2025],MATCH("AYD-002",tblKurallar[kural_id],0)),2),0))</f>
        <v/>
      </c>
      <c r="I49" s="31">
        <f>IF($A49="","",IFERROR($G49-$G49*INDEX(tblKurallar[deger_2025],MATCH("AYD-004",tblKurallar[kural_id],0)),0))</f>
        <v/>
      </c>
    </row>
    <row r="50">
      <c r="A50" s="30" t="n"/>
      <c r="B50" s="30" t="n"/>
      <c r="C50" s="30" t="n"/>
      <c r="D50" s="30" t="n"/>
      <c r="E50" s="30" t="n"/>
      <c r="F50" s="30" t="n"/>
      <c r="G50" s="31">
        <f>IF($A50="","",IFERROR(ROUND(MAX(0,$B50*($D50-1)),2),0))</f>
        <v/>
      </c>
      <c r="H50" s="31">
        <f>IF($A50="","",IFERROR(ROUND($G50*INDEX(tblKurallar[deger_2025],MATCH("AYD-002",tblKurallar[kural_id],0)),2),0))</f>
        <v/>
      </c>
      <c r="I50" s="31">
        <f>IF($A50="","",IFERROR($G50-$G50*INDEX(tblKurallar[deger_2025],MATCH("AYD-004",tblKurallar[kural_id],0)),0))</f>
        <v/>
      </c>
    </row>
    <row r="51">
      <c r="A51" s="30" t="n"/>
      <c r="B51" s="30" t="n"/>
      <c r="C51" s="30" t="n"/>
      <c r="D51" s="30" t="n"/>
      <c r="E51" s="30" t="n"/>
      <c r="F51" s="30" t="n"/>
      <c r="G51" s="31">
        <f>IF($A51="","",IFERROR(ROUND(MAX(0,$B51*($D51-1)),2),0))</f>
        <v/>
      </c>
      <c r="H51" s="31">
        <f>IF($A51="","",IFERROR(ROUND($G51*INDEX(tblKurallar[deger_2025],MATCH("AYD-002",tblKurallar[kural_id],0)),2),0))</f>
        <v/>
      </c>
      <c r="I51" s="31">
        <f>IF($A51="","",IFERROR($G51-$G51*INDEX(tblKurallar[deger_2025],MATCH("AYD-004",tblKurallar[kural_id],0)),0))</f>
        <v/>
      </c>
    </row>
    <row r="52">
      <c r="A52" s="30" t="n"/>
      <c r="B52" s="30" t="n"/>
      <c r="C52" s="30" t="n"/>
      <c r="D52" s="30" t="n"/>
      <c r="E52" s="30" t="n"/>
      <c r="F52" s="30" t="n"/>
      <c r="G52" s="31">
        <f>IF($A52="","",IFERROR(ROUND(MAX(0,$B52*($D52-1)),2),0))</f>
        <v/>
      </c>
      <c r="H52" s="31">
        <f>IF($A52="","",IFERROR(ROUND($G52*INDEX(tblKurallar[deger_2025],MATCH("AYD-002",tblKurallar[kural_id],0)),2),0))</f>
        <v/>
      </c>
      <c r="I52" s="31">
        <f>IF($A52="","",IFERROR($G52-$G52*INDEX(tblKurallar[deger_2025],MATCH("AYD-004",tblKurallar[kural_id],0)),0))</f>
        <v/>
      </c>
    </row>
    <row r="53">
      <c r="A53" s="30" t="n"/>
      <c r="B53" s="30" t="n"/>
      <c r="C53" s="30" t="n"/>
      <c r="D53" s="30" t="n"/>
      <c r="E53" s="30" t="n"/>
      <c r="F53" s="30" t="n"/>
      <c r="G53" s="31">
        <f>IF($A53="","",IFERROR(ROUND(MAX(0,$B53*($D53-1)),2),0))</f>
        <v/>
      </c>
      <c r="H53" s="31">
        <f>IF($A53="","",IFERROR(ROUND($G53*INDEX(tblKurallar[deger_2025],MATCH("AYD-002",tblKurallar[kural_id],0)),2),0))</f>
        <v/>
      </c>
      <c r="I53" s="31">
        <f>IF($A53="","",IFERROR($G53-$G53*INDEX(tblKurallar[deger_2025],MATCH("AYD-004",tblKurallar[kural_id],0)),0))</f>
        <v/>
      </c>
    </row>
    <row r="54">
      <c r="A54" s="30" t="n"/>
      <c r="B54" s="30" t="n"/>
      <c r="C54" s="30" t="n"/>
      <c r="D54" s="30" t="n"/>
      <c r="E54" s="30" t="n"/>
      <c r="F54" s="30" t="n"/>
      <c r="G54" s="31">
        <f>IF($A54="","",IFERROR(ROUND(MAX(0,$B54*($D54-1)),2),0))</f>
        <v/>
      </c>
      <c r="H54" s="31">
        <f>IF($A54="","",IFERROR(ROUND($G54*INDEX(tblKurallar[deger_2025],MATCH("AYD-002",tblKurallar[kural_id],0)),2),0))</f>
        <v/>
      </c>
      <c r="I54" s="31">
        <f>IF($A54="","",IFERROR($G54-$G54*INDEX(tblKurallar[deger_2025],MATCH("AYD-004",tblKurallar[kural_id],0)),0))</f>
        <v/>
      </c>
    </row>
    <row r="55">
      <c r="A55" s="30" t="n"/>
      <c r="B55" s="30" t="n"/>
      <c r="C55" s="30" t="n"/>
      <c r="D55" s="30" t="n"/>
      <c r="E55" s="30" t="n"/>
      <c r="F55" s="30" t="n"/>
      <c r="G55" s="31">
        <f>IF($A55="","",IFERROR(ROUND(MAX(0,$B55*($D55-1)),2),0))</f>
        <v/>
      </c>
      <c r="H55" s="31">
        <f>IF($A55="","",IFERROR(ROUND($G55*INDEX(tblKurallar[deger_2025],MATCH("AYD-002",tblKurallar[kural_id],0)),2),0))</f>
        <v/>
      </c>
      <c r="I55" s="31">
        <f>IF($A55="","",IFERROR($G55-$G55*INDEX(tblKurallar[deger_2025],MATCH("AYD-004",tblKurallar[kural_id],0)),0))</f>
        <v/>
      </c>
    </row>
    <row r="56">
      <c r="A56" s="30" t="n"/>
      <c r="B56" s="30" t="n"/>
      <c r="C56" s="30" t="n"/>
      <c r="D56" s="30" t="n"/>
      <c r="E56" s="30" t="n"/>
      <c r="F56" s="30" t="n"/>
      <c r="G56" s="31">
        <f>IF($A56="","",IFERROR(ROUND(MAX(0,$B56*($D56-1)),2),0))</f>
        <v/>
      </c>
      <c r="H56" s="31">
        <f>IF($A56="","",IFERROR(ROUND($G56*INDEX(tblKurallar[deger_2025],MATCH("AYD-002",tblKurallar[kural_id],0)),2),0))</f>
        <v/>
      </c>
      <c r="I56" s="31">
        <f>IF($A56="","",IFERROR($G56-$G56*INDEX(tblKurallar[deger_2025],MATCH("AYD-004",tblKurallar[kural_id],0)),0))</f>
        <v/>
      </c>
    </row>
    <row r="57">
      <c r="A57" s="30" t="n"/>
      <c r="B57" s="30" t="n"/>
      <c r="C57" s="30" t="n"/>
      <c r="D57" s="30" t="n"/>
      <c r="E57" s="30" t="n"/>
      <c r="F57" s="30" t="n"/>
      <c r="G57" s="31">
        <f>IF($A57="","",IFERROR(ROUND(MAX(0,$B57*($D57-1)),2),0))</f>
        <v/>
      </c>
      <c r="H57" s="31">
        <f>IF($A57="","",IFERROR(ROUND($G57*INDEX(tblKurallar[deger_2025],MATCH("AYD-002",tblKurallar[kural_id],0)),2),0))</f>
        <v/>
      </c>
      <c r="I57" s="31">
        <f>IF($A57="","",IFERROR($G57-$G57*INDEX(tblKurallar[deger_2025],MATCH("AYD-004",tblKurallar[kural_id],0)),0))</f>
        <v/>
      </c>
    </row>
    <row r="58">
      <c r="A58" s="30" t="n"/>
      <c r="B58" s="30" t="n"/>
      <c r="C58" s="30" t="n"/>
      <c r="D58" s="30" t="n"/>
      <c r="E58" s="30" t="n"/>
      <c r="F58" s="30" t="n"/>
      <c r="G58" s="31">
        <f>IF($A58="","",IFERROR(ROUND(MAX(0,$B58*($D58-1)),2),0))</f>
        <v/>
      </c>
      <c r="H58" s="31">
        <f>IF($A58="","",IFERROR(ROUND($G58*INDEX(tblKurallar[deger_2025],MATCH("AYD-002",tblKurallar[kural_id],0)),2),0))</f>
        <v/>
      </c>
      <c r="I58" s="31">
        <f>IF($A58="","",IFERROR($G58-$G58*INDEX(tblKurallar[deger_2025],MATCH("AYD-004",tblKurallar[kural_id],0)),0))</f>
        <v/>
      </c>
    </row>
    <row r="59">
      <c r="A59" s="30" t="n"/>
      <c r="B59" s="30" t="n"/>
      <c r="C59" s="30" t="n"/>
      <c r="D59" s="30" t="n"/>
      <c r="E59" s="30" t="n"/>
      <c r="F59" s="30" t="n"/>
      <c r="G59" s="31">
        <f>IF($A59="","",IFERROR(ROUND(MAX(0,$B59*($D59-1)),2),0))</f>
        <v/>
      </c>
      <c r="H59" s="31">
        <f>IF($A59="","",IFERROR(ROUND($G59*INDEX(tblKurallar[deger_2025],MATCH("AYD-002",tblKurallar[kural_id],0)),2),0))</f>
        <v/>
      </c>
      <c r="I59" s="31">
        <f>IF($A59="","",IFERROR($G59-$G59*INDEX(tblKurallar[deger_2025],MATCH("AYD-004",tblKurallar[kural_id],0)),0))</f>
        <v/>
      </c>
    </row>
    <row r="60">
      <c r="A60" s="30" t="n"/>
      <c r="B60" s="30" t="n"/>
      <c r="C60" s="30" t="n"/>
      <c r="D60" s="30" t="n"/>
      <c r="E60" s="30" t="n"/>
      <c r="F60" s="30" t="n"/>
      <c r="G60" s="31">
        <f>IF($A60="","",IFERROR(ROUND(MAX(0,$B60*($D60-1)),2),0))</f>
        <v/>
      </c>
      <c r="H60" s="31">
        <f>IF($A60="","",IFERROR(ROUND($G60*INDEX(tblKurallar[deger_2025],MATCH("AYD-002",tblKurallar[kural_id],0)),2),0))</f>
        <v/>
      </c>
      <c r="I60" s="31">
        <f>IF($A60="","",IFERROR($G60-$G60*INDEX(tblKurallar[deger_2025],MATCH("AYD-004",tblKurallar[kural_id],0)),0))</f>
        <v/>
      </c>
    </row>
    <row r="61">
      <c r="A61" s="30" t="n"/>
      <c r="B61" s="30" t="n"/>
      <c r="C61" s="30" t="n"/>
      <c r="D61" s="30" t="n"/>
      <c r="E61" s="30" t="n"/>
      <c r="F61" s="30" t="n"/>
      <c r="G61" s="31">
        <f>IF($A61="","",IFERROR(ROUND(MAX(0,$B61*($D61-1)),2),0))</f>
        <v/>
      </c>
      <c r="H61" s="31">
        <f>IF($A61="","",IFERROR(ROUND($G61*INDEX(tblKurallar[deger_2025],MATCH("AYD-002",tblKurallar[kural_id],0)),2),0))</f>
        <v/>
      </c>
      <c r="I61" s="31">
        <f>IF($A61="","",IFERROR($G61-$G61*INDEX(tblKurallar[deger_2025],MATCH("AYD-004",tblKurallar[kural_id],0)),0))</f>
        <v/>
      </c>
    </row>
    <row r="62">
      <c r="A62" s="30" t="n"/>
      <c r="B62" s="30" t="n"/>
      <c r="C62" s="30" t="n"/>
      <c r="D62" s="30" t="n"/>
      <c r="E62" s="30" t="n"/>
      <c r="F62" s="30" t="n"/>
      <c r="G62" s="31">
        <f>IF($A62="","",IFERROR(ROUND(MAX(0,$B62*($D62-1)),2),0))</f>
        <v/>
      </c>
      <c r="H62" s="31">
        <f>IF($A62="","",IFERROR(ROUND($G62*INDEX(tblKurallar[deger_2025],MATCH("AYD-002",tblKurallar[kural_id],0)),2),0))</f>
        <v/>
      </c>
      <c r="I62" s="31">
        <f>IF($A62="","",IFERROR($G62-$G62*INDEX(tblKurallar[deger_2025],MATCH("AYD-004",tblKurallar[kural_id],0)),0))</f>
        <v/>
      </c>
    </row>
    <row r="63">
      <c r="A63" s="30" t="n"/>
      <c r="B63" s="30" t="n"/>
      <c r="C63" s="30" t="n"/>
      <c r="D63" s="30" t="n"/>
      <c r="E63" s="30" t="n"/>
      <c r="F63" s="30" t="n"/>
      <c r="G63" s="31">
        <f>IF($A63="","",IFERROR(ROUND(MAX(0,$B63*($D63-1)),2),0))</f>
        <v/>
      </c>
      <c r="H63" s="31">
        <f>IF($A63="","",IFERROR(ROUND($G63*INDEX(tblKurallar[deger_2025],MATCH("AYD-002",tblKurallar[kural_id],0)),2),0))</f>
        <v/>
      </c>
      <c r="I63" s="31">
        <f>IF($A63="","",IFERROR($G63-$G63*INDEX(tblKurallar[deger_2025],MATCH("AYD-004",tblKurallar[kural_id],0)),0))</f>
        <v/>
      </c>
    </row>
    <row r="64">
      <c r="A64" s="30" t="n"/>
      <c r="B64" s="30" t="n"/>
      <c r="C64" s="30" t="n"/>
      <c r="D64" s="30" t="n"/>
      <c r="E64" s="30" t="n"/>
      <c r="F64" s="30" t="n"/>
      <c r="G64" s="31">
        <f>IF($A64="","",IFERROR(ROUND(MAX(0,$B64*($D64-1)),2),0))</f>
        <v/>
      </c>
      <c r="H64" s="31">
        <f>IF($A64="","",IFERROR(ROUND($G64*INDEX(tblKurallar[deger_2025],MATCH("AYD-002",tblKurallar[kural_id],0)),2),0))</f>
        <v/>
      </c>
      <c r="I64" s="31">
        <f>IF($A64="","",IFERROR($G64-$G64*INDEX(tblKurallar[deger_2025],MATCH("AYD-004",tblKurallar[kural_id],0)),0))</f>
        <v/>
      </c>
    </row>
    <row r="65">
      <c r="A65" s="30" t="n"/>
      <c r="B65" s="30" t="n"/>
      <c r="C65" s="30" t="n"/>
      <c r="D65" s="30" t="n"/>
      <c r="E65" s="30" t="n"/>
      <c r="F65" s="30" t="n"/>
      <c r="G65" s="31">
        <f>IF($A65="","",IFERROR(ROUND(MAX(0,$B65*($D65-1)),2),0))</f>
        <v/>
      </c>
      <c r="H65" s="31">
        <f>IF($A65="","",IFERROR(ROUND($G65*INDEX(tblKurallar[deger_2025],MATCH("AYD-002",tblKurallar[kural_id],0)),2),0))</f>
        <v/>
      </c>
      <c r="I65" s="31">
        <f>IF($A65="","",IFERROR($G65-$G65*INDEX(tblKurallar[deger_2025],MATCH("AYD-004",tblKurallar[kural_id],0)),0))</f>
        <v/>
      </c>
    </row>
    <row r="66">
      <c r="A66" s="30" t="n"/>
      <c r="B66" s="30" t="n"/>
      <c r="C66" s="30" t="n"/>
      <c r="D66" s="30" t="n"/>
      <c r="E66" s="30" t="n"/>
      <c r="F66" s="30" t="n"/>
      <c r="G66" s="31">
        <f>IF($A66="","",IFERROR(ROUND(MAX(0,$B66*($D66-1)),2),0))</f>
        <v/>
      </c>
      <c r="H66" s="31">
        <f>IF($A66="","",IFERROR(ROUND($G66*INDEX(tblKurallar[deger_2025],MATCH("AYD-002",tblKurallar[kural_id],0)),2),0))</f>
        <v/>
      </c>
      <c r="I66" s="31">
        <f>IF($A66="","",IFERROR($G66-$G66*INDEX(tblKurallar[deger_2025],MATCH("AYD-004",tblKurallar[kural_id],0)),0))</f>
        <v/>
      </c>
    </row>
    <row r="67">
      <c r="A67" s="30" t="n"/>
      <c r="B67" s="30" t="n"/>
      <c r="C67" s="30" t="n"/>
      <c r="D67" s="30" t="n"/>
      <c r="E67" s="30" t="n"/>
      <c r="F67" s="30" t="n"/>
      <c r="G67" s="31">
        <f>IF($A67="","",IFERROR(ROUND(MAX(0,$B67*($D67-1)),2),0))</f>
        <v/>
      </c>
      <c r="H67" s="31">
        <f>IF($A67="","",IFERROR(ROUND($G67*INDEX(tblKurallar[deger_2025],MATCH("AYD-002",tblKurallar[kural_id],0)),2),0))</f>
        <v/>
      </c>
      <c r="I67" s="31">
        <f>IF($A67="","",IFERROR($G67-$G67*INDEX(tblKurallar[deger_2025],MATCH("AYD-004",tblKurallar[kural_id],0)),0))</f>
        <v/>
      </c>
    </row>
    <row r="68">
      <c r="A68" s="30" t="n"/>
      <c r="B68" s="30" t="n"/>
      <c r="C68" s="30" t="n"/>
      <c r="D68" s="30" t="n"/>
      <c r="E68" s="30" t="n"/>
      <c r="F68" s="30" t="n"/>
      <c r="G68" s="31">
        <f>IF($A68="","",IFERROR(ROUND(MAX(0,$B68*($D68-1)),2),0))</f>
        <v/>
      </c>
      <c r="H68" s="31">
        <f>IF($A68="","",IFERROR(ROUND($G68*INDEX(tblKurallar[deger_2025],MATCH("AYD-002",tblKurallar[kural_id],0)),2),0))</f>
        <v/>
      </c>
      <c r="I68" s="31">
        <f>IF($A68="","",IFERROR($G68-$G68*INDEX(tblKurallar[deger_2025],MATCH("AYD-004",tblKurallar[kural_id],0)),0))</f>
        <v/>
      </c>
    </row>
    <row r="69">
      <c r="A69" s="30" t="n"/>
      <c r="B69" s="30" t="n"/>
      <c r="C69" s="30" t="n"/>
      <c r="D69" s="30" t="n"/>
      <c r="E69" s="30" t="n"/>
      <c r="F69" s="30" t="n"/>
      <c r="G69" s="31">
        <f>IF($A69="","",IFERROR(ROUND(MAX(0,$B69*($D69-1)),2),0))</f>
        <v/>
      </c>
      <c r="H69" s="31">
        <f>IF($A69="","",IFERROR(ROUND($G69*INDEX(tblKurallar[deger_2025],MATCH("AYD-002",tblKurallar[kural_id],0)),2),0))</f>
        <v/>
      </c>
      <c r="I69" s="31">
        <f>IF($A69="","",IFERROR($G69-$G69*INDEX(tblKurallar[deger_2025],MATCH("AYD-004",tblKurallar[kural_id],0)),0))</f>
        <v/>
      </c>
    </row>
    <row r="70">
      <c r="A70" s="30" t="n"/>
      <c r="B70" s="30" t="n"/>
      <c r="C70" s="30" t="n"/>
      <c r="D70" s="30" t="n"/>
      <c r="E70" s="30" t="n"/>
      <c r="F70" s="30" t="n"/>
      <c r="G70" s="31">
        <f>IF($A70="","",IFERROR(ROUND(MAX(0,$B70*($D70-1)),2),0))</f>
        <v/>
      </c>
      <c r="H70" s="31">
        <f>IF($A70="","",IFERROR(ROUND($G70*INDEX(tblKurallar[deger_2025],MATCH("AYD-002",tblKurallar[kural_id],0)),2),0))</f>
        <v/>
      </c>
      <c r="I70" s="31">
        <f>IF($A70="","",IFERROR($G70-$G70*INDEX(tblKurallar[deger_2025],MATCH("AYD-004",tblKurallar[kural_id],0)),0))</f>
        <v/>
      </c>
    </row>
    <row r="71">
      <c r="A71" s="30" t="n"/>
      <c r="B71" s="30" t="n"/>
      <c r="C71" s="30" t="n"/>
      <c r="D71" s="30" t="n"/>
      <c r="E71" s="30" t="n"/>
      <c r="F71" s="30" t="n"/>
      <c r="G71" s="31">
        <f>IF($A71="","",IFERROR(ROUND(MAX(0,$B71*($D71-1)),2),0))</f>
        <v/>
      </c>
      <c r="H71" s="31">
        <f>IF($A71="","",IFERROR(ROUND($G71*INDEX(tblKurallar[deger_2025],MATCH("AYD-002",tblKurallar[kural_id],0)),2),0))</f>
        <v/>
      </c>
      <c r="I71" s="31">
        <f>IF($A71="","",IFERROR($G71-$G71*INDEX(tblKurallar[deger_2025],MATCH("AYD-004",tblKurallar[kural_id],0)),0))</f>
        <v/>
      </c>
    </row>
    <row r="72">
      <c r="A72" s="30" t="n"/>
      <c r="B72" s="30" t="n"/>
      <c r="C72" s="30" t="n"/>
      <c r="D72" s="30" t="n"/>
      <c r="E72" s="30" t="n"/>
      <c r="F72" s="30" t="n"/>
      <c r="G72" s="31">
        <f>IF($A72="","",IFERROR(ROUND(MAX(0,$B72*($D72-1)),2),0))</f>
        <v/>
      </c>
      <c r="H72" s="31">
        <f>IF($A72="","",IFERROR(ROUND($G72*INDEX(tblKurallar[deger_2025],MATCH("AYD-002",tblKurallar[kural_id],0)),2),0))</f>
        <v/>
      </c>
      <c r="I72" s="31">
        <f>IF($A72="","",IFERROR($G72-$G72*INDEX(tblKurallar[deger_2025],MATCH("AYD-004",tblKurallar[kural_id],0)),0))</f>
        <v/>
      </c>
    </row>
    <row r="73">
      <c r="A73" s="30" t="n"/>
      <c r="B73" s="30" t="n"/>
      <c r="C73" s="30" t="n"/>
      <c r="D73" s="30" t="n"/>
      <c r="E73" s="30" t="n"/>
      <c r="F73" s="30" t="n"/>
      <c r="G73" s="31">
        <f>IF($A73="","",IFERROR(ROUND(MAX(0,$B73*($D73-1)),2),0))</f>
        <v/>
      </c>
      <c r="H73" s="31">
        <f>IF($A73="","",IFERROR(ROUND($G73*INDEX(tblKurallar[deger_2025],MATCH("AYD-002",tblKurallar[kural_id],0)),2),0))</f>
        <v/>
      </c>
      <c r="I73" s="31">
        <f>IF($A73="","",IFERROR($G73-$G73*INDEX(tblKurallar[deger_2025],MATCH("AYD-004",tblKurallar[kural_id],0)),0))</f>
        <v/>
      </c>
    </row>
    <row r="74">
      <c r="A74" s="30" t="n"/>
      <c r="B74" s="30" t="n"/>
      <c r="C74" s="30" t="n"/>
      <c r="D74" s="30" t="n"/>
      <c r="E74" s="30" t="n"/>
      <c r="F74" s="30" t="n"/>
      <c r="G74" s="31">
        <f>IF($A74="","",IFERROR(ROUND(MAX(0,$B74*($D74-1)),2),0))</f>
        <v/>
      </c>
      <c r="H74" s="31">
        <f>IF($A74="","",IFERROR(ROUND($G74*INDEX(tblKurallar[deger_2025],MATCH("AYD-002",tblKurallar[kural_id],0)),2),0))</f>
        <v/>
      </c>
      <c r="I74" s="31">
        <f>IF($A74="","",IFERROR($G74-$G74*INDEX(tblKurallar[deger_2025],MATCH("AYD-004",tblKurallar[kural_id],0)),0))</f>
        <v/>
      </c>
    </row>
    <row r="75">
      <c r="A75" s="30" t="n"/>
      <c r="B75" s="30" t="n"/>
      <c r="C75" s="30" t="n"/>
      <c r="D75" s="30" t="n"/>
      <c r="E75" s="30" t="n"/>
      <c r="F75" s="30" t="n"/>
      <c r="G75" s="31">
        <f>IF($A75="","",IFERROR(ROUND(MAX(0,$B75*($D75-1)),2),0))</f>
        <v/>
      </c>
      <c r="H75" s="31">
        <f>IF($A75="","",IFERROR(ROUND($G75*INDEX(tblKurallar[deger_2025],MATCH("AYD-002",tblKurallar[kural_id],0)),2),0))</f>
        <v/>
      </c>
      <c r="I75" s="31">
        <f>IF($A75="","",IFERROR($G75-$G75*INDEX(tblKurallar[deger_2025],MATCH("AYD-004",tblKurallar[kural_id],0)),0))</f>
        <v/>
      </c>
    </row>
    <row r="76">
      <c r="A76" s="30" t="n"/>
      <c r="B76" s="30" t="n"/>
      <c r="C76" s="30" t="n"/>
      <c r="D76" s="30" t="n"/>
      <c r="E76" s="30" t="n"/>
      <c r="F76" s="30" t="n"/>
      <c r="G76" s="31">
        <f>IF($A76="","",IFERROR(ROUND(MAX(0,$B76*($D76-1)),2),0))</f>
        <v/>
      </c>
      <c r="H76" s="31">
        <f>IF($A76="","",IFERROR(ROUND($G76*INDEX(tblKurallar[deger_2025],MATCH("AYD-002",tblKurallar[kural_id],0)),2),0))</f>
        <v/>
      </c>
      <c r="I76" s="31">
        <f>IF($A76="","",IFERROR($G76-$G76*INDEX(tblKurallar[deger_2025],MATCH("AYD-004",tblKurallar[kural_id],0)),0))</f>
        <v/>
      </c>
    </row>
    <row r="77">
      <c r="A77" s="30" t="n"/>
      <c r="B77" s="30" t="n"/>
      <c r="C77" s="30" t="n"/>
      <c r="D77" s="30" t="n"/>
      <c r="E77" s="30" t="n"/>
      <c r="F77" s="30" t="n"/>
      <c r="G77" s="31">
        <f>IF($A77="","",IFERROR(ROUND(MAX(0,$B77*($D77-1)),2),0))</f>
        <v/>
      </c>
      <c r="H77" s="31">
        <f>IF($A77="","",IFERROR(ROUND($G77*INDEX(tblKurallar[deger_2025],MATCH("AYD-002",tblKurallar[kural_id],0)),2),0))</f>
        <v/>
      </c>
      <c r="I77" s="31">
        <f>IF($A77="","",IFERROR($G77-$G77*INDEX(tblKurallar[deger_2025],MATCH("AYD-004",tblKurallar[kural_id],0)),0))</f>
        <v/>
      </c>
    </row>
    <row r="78">
      <c r="A78" s="30" t="n"/>
      <c r="B78" s="30" t="n"/>
      <c r="C78" s="30" t="n"/>
      <c r="D78" s="30" t="n"/>
      <c r="E78" s="30" t="n"/>
      <c r="F78" s="30" t="n"/>
      <c r="G78" s="31">
        <f>IF($A78="","",IFERROR(ROUND(MAX(0,$B78*($D78-1)),2),0))</f>
        <v/>
      </c>
      <c r="H78" s="31">
        <f>IF($A78="","",IFERROR(ROUND($G78*INDEX(tblKurallar[deger_2025],MATCH("AYD-002",tblKurallar[kural_id],0)),2),0))</f>
        <v/>
      </c>
      <c r="I78" s="31">
        <f>IF($A78="","",IFERROR($G78-$G78*INDEX(tblKurallar[deger_2025],MATCH("AYD-004",tblKurallar[kural_id],0)),0))</f>
        <v/>
      </c>
    </row>
    <row r="79">
      <c r="A79" s="30" t="n"/>
      <c r="B79" s="30" t="n"/>
      <c r="C79" s="30" t="n"/>
      <c r="D79" s="30" t="n"/>
      <c r="E79" s="30" t="n"/>
      <c r="F79" s="30" t="n"/>
      <c r="G79" s="31">
        <f>IF($A79="","",IFERROR(ROUND(MAX(0,$B79*($D79-1)),2),0))</f>
        <v/>
      </c>
      <c r="H79" s="31">
        <f>IF($A79="","",IFERROR(ROUND($G79*INDEX(tblKurallar[deger_2025],MATCH("AYD-002",tblKurallar[kural_id],0)),2),0))</f>
        <v/>
      </c>
      <c r="I79" s="31">
        <f>IF($A79="","",IFERROR($G79-$G79*INDEX(tblKurallar[deger_2025],MATCH("AYD-004",tblKurallar[kural_id],0)),0))</f>
        <v/>
      </c>
    </row>
    <row r="80">
      <c r="A80" s="30" t="n"/>
      <c r="B80" s="30" t="n"/>
      <c r="C80" s="30" t="n"/>
      <c r="D80" s="30" t="n"/>
      <c r="E80" s="30" t="n"/>
      <c r="F80" s="30" t="n"/>
      <c r="G80" s="31">
        <f>IF($A80="","",IFERROR(ROUND(MAX(0,$B80*($D80-1)),2),0))</f>
        <v/>
      </c>
      <c r="H80" s="31">
        <f>IF($A80="","",IFERROR(ROUND($G80*INDEX(tblKurallar[deger_2025],MATCH("AYD-002",tblKurallar[kural_id],0)),2),0))</f>
        <v/>
      </c>
      <c r="I80" s="31">
        <f>IF($A80="","",IFERROR($G80-$G80*INDEX(tblKurallar[deger_2025],MATCH("AYD-004",tblKurallar[kural_id],0)),0))</f>
        <v/>
      </c>
    </row>
    <row r="81">
      <c r="A81" s="30" t="n"/>
      <c r="B81" s="30" t="n"/>
      <c r="C81" s="30" t="n"/>
      <c r="D81" s="30" t="n"/>
      <c r="E81" s="30" t="n"/>
      <c r="F81" s="30" t="n"/>
      <c r="G81" s="31">
        <f>IF($A81="","",IFERROR(ROUND(MAX(0,$B81*($D81-1)),2),0))</f>
        <v/>
      </c>
      <c r="H81" s="31">
        <f>IF($A81="","",IFERROR(ROUND($G81*INDEX(tblKurallar[deger_2025],MATCH("AYD-002",tblKurallar[kural_id],0)),2),0))</f>
        <v/>
      </c>
      <c r="I81" s="31">
        <f>IF($A81="","",IFERROR($G81-$G81*INDEX(tblKurallar[deger_2025],MATCH("AYD-004",tblKurallar[kural_id],0)),0))</f>
        <v/>
      </c>
    </row>
    <row r="82">
      <c r="A82" s="30" t="n"/>
      <c r="B82" s="30" t="n"/>
      <c r="C82" s="30" t="n"/>
      <c r="D82" s="30" t="n"/>
      <c r="E82" s="30" t="n"/>
      <c r="F82" s="30" t="n"/>
      <c r="G82" s="31">
        <f>IF($A82="","",IFERROR(ROUND(MAX(0,$B82*($D82-1)),2),0))</f>
        <v/>
      </c>
      <c r="H82" s="31">
        <f>IF($A82="","",IFERROR(ROUND($G82*INDEX(tblKurallar[deger_2025],MATCH("AYD-002",tblKurallar[kural_id],0)),2),0))</f>
        <v/>
      </c>
      <c r="I82" s="31">
        <f>IF($A82="","",IFERROR($G82-$G82*INDEX(tblKurallar[deger_2025],MATCH("AYD-004",tblKurallar[kural_id],0)),0))</f>
        <v/>
      </c>
    </row>
    <row r="83">
      <c r="A83" s="30" t="n"/>
      <c r="B83" s="30" t="n"/>
      <c r="C83" s="30" t="n"/>
      <c r="D83" s="30" t="n"/>
      <c r="E83" s="30" t="n"/>
      <c r="F83" s="30" t="n"/>
      <c r="G83" s="31">
        <f>IF($A83="","",IFERROR(ROUND(MAX(0,$B83*($D83-1)),2),0))</f>
        <v/>
      </c>
      <c r="H83" s="31">
        <f>IF($A83="","",IFERROR(ROUND($G83*INDEX(tblKurallar[deger_2025],MATCH("AYD-002",tblKurallar[kural_id],0)),2),0))</f>
        <v/>
      </c>
      <c r="I83" s="31">
        <f>IF($A83="","",IFERROR($G83-$G83*INDEX(tblKurallar[deger_2025],MATCH("AYD-004",tblKurallar[kural_id],0)),0))</f>
        <v/>
      </c>
    </row>
    <row r="84">
      <c r="A84" s="30" t="n"/>
      <c r="B84" s="30" t="n"/>
      <c r="C84" s="30" t="n"/>
      <c r="D84" s="30" t="n"/>
      <c r="E84" s="30" t="n"/>
      <c r="F84" s="30" t="n"/>
      <c r="G84" s="31">
        <f>IF($A84="","",IFERROR(ROUND(MAX(0,$B84*($D84-1)),2),0))</f>
        <v/>
      </c>
      <c r="H84" s="31">
        <f>IF($A84="","",IFERROR(ROUND($G84*INDEX(tblKurallar[deger_2025],MATCH("AYD-002",tblKurallar[kural_id],0)),2),0))</f>
        <v/>
      </c>
      <c r="I84" s="31">
        <f>IF($A84="","",IFERROR($G84-$G84*INDEX(tblKurallar[deger_2025],MATCH("AYD-004",tblKurallar[kural_id],0)),0))</f>
        <v/>
      </c>
    </row>
    <row r="85">
      <c r="A85" s="30" t="n"/>
      <c r="B85" s="30" t="n"/>
      <c r="C85" s="30" t="n"/>
      <c r="D85" s="30" t="n"/>
      <c r="E85" s="30" t="n"/>
      <c r="F85" s="30" t="n"/>
      <c r="G85" s="31">
        <f>IF($A85="","",IFERROR(ROUND(MAX(0,$B85*($D85-1)),2),0))</f>
        <v/>
      </c>
      <c r="H85" s="31">
        <f>IF($A85="","",IFERROR(ROUND($G85*INDEX(tblKurallar[deger_2025],MATCH("AYD-002",tblKurallar[kural_id],0)),2),0))</f>
        <v/>
      </c>
      <c r="I85" s="31">
        <f>IF($A85="","",IFERROR($G85-$G85*INDEX(tblKurallar[deger_2025],MATCH("AYD-004",tblKurallar[kural_id],0)),0))</f>
        <v/>
      </c>
    </row>
    <row r="86">
      <c r="A86" s="30" t="n"/>
      <c r="B86" s="30" t="n"/>
      <c r="C86" s="30" t="n"/>
      <c r="D86" s="30" t="n"/>
      <c r="E86" s="30" t="n"/>
      <c r="F86" s="30" t="n"/>
      <c r="G86" s="31">
        <f>IF($A86="","",IFERROR(ROUND(MAX(0,$B86*($D86-1)),2),0))</f>
        <v/>
      </c>
      <c r="H86" s="31">
        <f>IF($A86="","",IFERROR(ROUND($G86*INDEX(tblKurallar[deger_2025],MATCH("AYD-002",tblKurallar[kural_id],0)),2),0))</f>
        <v/>
      </c>
      <c r="I86" s="31">
        <f>IF($A86="","",IFERROR($G86-$G86*INDEX(tblKurallar[deger_2025],MATCH("AYD-004",tblKurallar[kural_id],0)),0))</f>
        <v/>
      </c>
    </row>
    <row r="87">
      <c r="A87" s="30" t="n"/>
      <c r="B87" s="30" t="n"/>
      <c r="C87" s="30" t="n"/>
      <c r="D87" s="30" t="n"/>
      <c r="E87" s="30" t="n"/>
      <c r="F87" s="30" t="n"/>
      <c r="G87" s="31">
        <f>IF($A87="","",IFERROR(ROUND(MAX(0,$B87*($D87-1)),2),0))</f>
        <v/>
      </c>
      <c r="H87" s="31">
        <f>IF($A87="","",IFERROR(ROUND($G87*INDEX(tblKurallar[deger_2025],MATCH("AYD-002",tblKurallar[kural_id],0)),2),0))</f>
        <v/>
      </c>
      <c r="I87" s="31">
        <f>IF($A87="","",IFERROR($G87-$G87*INDEX(tblKurallar[deger_2025],MATCH("AYD-004",tblKurallar[kural_id],0)),0))</f>
        <v/>
      </c>
    </row>
    <row r="88">
      <c r="A88" s="30" t="n"/>
      <c r="B88" s="30" t="n"/>
      <c r="C88" s="30" t="n"/>
      <c r="D88" s="30" t="n"/>
      <c r="E88" s="30" t="n"/>
      <c r="F88" s="30" t="n"/>
      <c r="G88" s="31">
        <f>IF($A88="","",IFERROR(ROUND(MAX(0,$B88*($D88-1)),2),0))</f>
        <v/>
      </c>
      <c r="H88" s="31">
        <f>IF($A88="","",IFERROR(ROUND($G88*INDEX(tblKurallar[deger_2025],MATCH("AYD-002",tblKurallar[kural_id],0)),2),0))</f>
        <v/>
      </c>
      <c r="I88" s="31">
        <f>IF($A88="","",IFERROR($G88-$G88*INDEX(tblKurallar[deger_2025],MATCH("AYD-004",tblKurallar[kural_id],0)),0))</f>
        <v/>
      </c>
    </row>
    <row r="89">
      <c r="A89" s="30" t="n"/>
      <c r="B89" s="30" t="n"/>
      <c r="C89" s="30" t="n"/>
      <c r="D89" s="30" t="n"/>
      <c r="E89" s="30" t="n"/>
      <c r="F89" s="30" t="n"/>
      <c r="G89" s="31">
        <f>IF($A89="","",IFERROR(ROUND(MAX(0,$B89*($D89-1)),2),0))</f>
        <v/>
      </c>
      <c r="H89" s="31">
        <f>IF($A89="","",IFERROR(ROUND($G89*INDEX(tblKurallar[deger_2025],MATCH("AYD-002",tblKurallar[kural_id],0)),2),0))</f>
        <v/>
      </c>
      <c r="I89" s="31">
        <f>IF($A89="","",IFERROR($G89-$G89*INDEX(tblKurallar[deger_2025],MATCH("AYD-004",tblKurallar[kural_id],0)),0))</f>
        <v/>
      </c>
    </row>
    <row r="90">
      <c r="A90" s="30" t="n"/>
      <c r="B90" s="30" t="n"/>
      <c r="C90" s="30" t="n"/>
      <c r="D90" s="30" t="n"/>
      <c r="E90" s="30" t="n"/>
      <c r="F90" s="30" t="n"/>
      <c r="G90" s="31">
        <f>IF($A90="","",IFERROR(ROUND(MAX(0,$B90*($D90-1)),2),0))</f>
        <v/>
      </c>
      <c r="H90" s="31">
        <f>IF($A90="","",IFERROR(ROUND($G90*INDEX(tblKurallar[deger_2025],MATCH("AYD-002",tblKurallar[kural_id],0)),2),0))</f>
        <v/>
      </c>
      <c r="I90" s="31">
        <f>IF($A90="","",IFERROR($G90-$G90*INDEX(tblKurallar[deger_2025],MATCH("AYD-004",tblKurallar[kural_id],0)),0))</f>
        <v/>
      </c>
    </row>
    <row r="91">
      <c r="A91" s="30" t="n"/>
      <c r="B91" s="30" t="n"/>
      <c r="C91" s="30" t="n"/>
      <c r="D91" s="30" t="n"/>
      <c r="E91" s="30" t="n"/>
      <c r="F91" s="30" t="n"/>
      <c r="G91" s="31">
        <f>IF($A91="","",IFERROR(ROUND(MAX(0,$B91*($D91-1)),2),0))</f>
        <v/>
      </c>
      <c r="H91" s="31">
        <f>IF($A91="","",IFERROR(ROUND($G91*INDEX(tblKurallar[deger_2025],MATCH("AYD-002",tblKurallar[kural_id],0)),2),0))</f>
        <v/>
      </c>
      <c r="I91" s="31">
        <f>IF($A91="","",IFERROR($G91-$G91*INDEX(tblKurallar[deger_2025],MATCH("AYD-004",tblKurallar[kural_id],0)),0))</f>
        <v/>
      </c>
    </row>
    <row r="92">
      <c r="A92" s="30" t="n"/>
      <c r="B92" s="30" t="n"/>
      <c r="C92" s="30" t="n"/>
      <c r="D92" s="30" t="n"/>
      <c r="E92" s="30" t="n"/>
      <c r="F92" s="30" t="n"/>
      <c r="G92" s="31">
        <f>IF($A92="","",IFERROR(ROUND(MAX(0,$B92*($D92-1)),2),0))</f>
        <v/>
      </c>
      <c r="H92" s="31">
        <f>IF($A92="","",IFERROR(ROUND($G92*INDEX(tblKurallar[deger_2025],MATCH("AYD-002",tblKurallar[kural_id],0)),2),0))</f>
        <v/>
      </c>
      <c r="I92" s="31">
        <f>IF($A92="","",IFERROR($G92-$G92*INDEX(tblKurallar[deger_2025],MATCH("AYD-004",tblKurallar[kural_id],0)),0))</f>
        <v/>
      </c>
    </row>
    <row r="93">
      <c r="A93" s="30" t="n"/>
      <c r="B93" s="30" t="n"/>
      <c r="C93" s="30" t="n"/>
      <c r="D93" s="30" t="n"/>
      <c r="E93" s="30" t="n"/>
      <c r="F93" s="30" t="n"/>
      <c r="G93" s="31">
        <f>IF($A93="","",IFERROR(ROUND(MAX(0,$B93*($D93-1)),2),0))</f>
        <v/>
      </c>
      <c r="H93" s="31">
        <f>IF($A93="","",IFERROR(ROUND($G93*INDEX(tblKurallar[deger_2025],MATCH("AYD-002",tblKurallar[kural_id],0)),2),0))</f>
        <v/>
      </c>
      <c r="I93" s="31">
        <f>IF($A93="","",IFERROR($G93-$G93*INDEX(tblKurallar[deger_2025],MATCH("AYD-004",tblKurallar[kural_id],0)),0))</f>
        <v/>
      </c>
    </row>
    <row r="94">
      <c r="A94" s="30" t="n"/>
      <c r="B94" s="30" t="n"/>
      <c r="C94" s="30" t="n"/>
      <c r="D94" s="30" t="n"/>
      <c r="E94" s="30" t="n"/>
      <c r="F94" s="30" t="n"/>
      <c r="G94" s="31">
        <f>IF($A94="","",IFERROR(ROUND(MAX(0,$B94*($D94-1)),2),0))</f>
        <v/>
      </c>
      <c r="H94" s="31">
        <f>IF($A94="","",IFERROR(ROUND($G94*INDEX(tblKurallar[deger_2025],MATCH("AYD-002",tblKurallar[kural_id],0)),2),0))</f>
        <v/>
      </c>
      <c r="I94" s="31">
        <f>IF($A94="","",IFERROR($G94-$G94*INDEX(tblKurallar[deger_2025],MATCH("AYD-004",tblKurallar[kural_id],0)),0))</f>
        <v/>
      </c>
    </row>
    <row r="95">
      <c r="A95" s="30" t="n"/>
      <c r="B95" s="30" t="n"/>
      <c r="C95" s="30" t="n"/>
      <c r="D95" s="30" t="n"/>
      <c r="E95" s="30" t="n"/>
      <c r="F95" s="30" t="n"/>
      <c r="G95" s="31">
        <f>IF($A95="","",IFERROR(ROUND(MAX(0,$B95*($D95-1)),2),0))</f>
        <v/>
      </c>
      <c r="H95" s="31">
        <f>IF($A95="","",IFERROR(ROUND($G95*INDEX(tblKurallar[deger_2025],MATCH("AYD-002",tblKurallar[kural_id],0)),2),0))</f>
        <v/>
      </c>
      <c r="I95" s="31">
        <f>IF($A95="","",IFERROR($G95-$G95*INDEX(tblKurallar[deger_2025],MATCH("AYD-004",tblKurallar[kural_id],0)),0))</f>
        <v/>
      </c>
    </row>
    <row r="96">
      <c r="A96" s="30" t="n"/>
      <c r="B96" s="30" t="n"/>
      <c r="C96" s="30" t="n"/>
      <c r="D96" s="30" t="n"/>
      <c r="E96" s="30" t="n"/>
      <c r="F96" s="30" t="n"/>
      <c r="G96" s="31">
        <f>IF($A96="","",IFERROR(ROUND(MAX(0,$B96*($D96-1)),2),0))</f>
        <v/>
      </c>
      <c r="H96" s="31">
        <f>IF($A96="","",IFERROR(ROUND($G96*INDEX(tblKurallar[deger_2025],MATCH("AYD-002",tblKurallar[kural_id],0)),2),0))</f>
        <v/>
      </c>
      <c r="I96" s="31">
        <f>IF($A96="","",IFERROR($G96-$G96*INDEX(tblKurallar[deger_2025],MATCH("AYD-004",tblKurallar[kural_id],0)),0))</f>
        <v/>
      </c>
    </row>
    <row r="97">
      <c r="A97" s="30" t="n"/>
      <c r="B97" s="30" t="n"/>
      <c r="C97" s="30" t="n"/>
      <c r="D97" s="30" t="n"/>
      <c r="E97" s="30" t="n"/>
      <c r="F97" s="30" t="n"/>
      <c r="G97" s="31">
        <f>IF($A97="","",IFERROR(ROUND(MAX(0,$B97*($D97-1)),2),0))</f>
        <v/>
      </c>
      <c r="H97" s="31">
        <f>IF($A97="","",IFERROR(ROUND($G97*INDEX(tblKurallar[deger_2025],MATCH("AYD-002",tblKurallar[kural_id],0)),2),0))</f>
        <v/>
      </c>
      <c r="I97" s="31">
        <f>IF($A97="","",IFERROR($G97-$G97*INDEX(tblKurallar[deger_2025],MATCH("AYD-004",tblKurallar[kural_id],0)),0))</f>
        <v/>
      </c>
    </row>
    <row r="98">
      <c r="A98" s="30" t="n"/>
      <c r="B98" s="30" t="n"/>
      <c r="C98" s="30" t="n"/>
      <c r="D98" s="30" t="n"/>
      <c r="E98" s="30" t="n"/>
      <c r="F98" s="30" t="n"/>
      <c r="G98" s="31">
        <f>IF($A98="","",IFERROR(ROUND(MAX(0,$B98*($D98-1)),2),0))</f>
        <v/>
      </c>
      <c r="H98" s="31">
        <f>IF($A98="","",IFERROR(ROUND($G98*INDEX(tblKurallar[deger_2025],MATCH("AYD-002",tblKurallar[kural_id],0)),2),0))</f>
        <v/>
      </c>
      <c r="I98" s="31">
        <f>IF($A98="","",IFERROR($G98-$G98*INDEX(tblKurallar[deger_2025],MATCH("AYD-004",tblKurallar[kural_id],0)),0))</f>
        <v/>
      </c>
    </row>
    <row r="99">
      <c r="A99" s="30" t="n"/>
      <c r="B99" s="30" t="n"/>
      <c r="C99" s="30" t="n"/>
      <c r="D99" s="30" t="n"/>
      <c r="E99" s="30" t="n"/>
      <c r="F99" s="30" t="n"/>
      <c r="G99" s="31">
        <f>IF($A99="","",IFERROR(ROUND(MAX(0,$B99*($D99-1)),2),0))</f>
        <v/>
      </c>
      <c r="H99" s="31">
        <f>IF($A99="","",IFERROR(ROUND($G99*INDEX(tblKurallar[deger_2025],MATCH("AYD-002",tblKurallar[kural_id],0)),2),0))</f>
        <v/>
      </c>
      <c r="I99" s="31">
        <f>IF($A99="","",IFERROR($G99-$G99*INDEX(tblKurallar[deger_2025],MATCH("AYD-004",tblKurallar[kural_id],0)),0))</f>
        <v/>
      </c>
    </row>
    <row r="100">
      <c r="A100" s="30" t="n"/>
      <c r="B100" s="30" t="n"/>
      <c r="C100" s="30" t="n"/>
      <c r="D100" s="30" t="n"/>
      <c r="E100" s="30" t="n"/>
      <c r="F100" s="30" t="n"/>
      <c r="G100" s="31">
        <f>IF($A100="","",IFERROR(ROUND(MAX(0,$B100*($D100-1)),2),0))</f>
        <v/>
      </c>
      <c r="H100" s="31">
        <f>IF($A100="","",IFERROR(ROUND($G100*INDEX(tblKurallar[deger_2025],MATCH("AYD-002",tblKurallar[kural_id],0)),2),0))</f>
        <v/>
      </c>
      <c r="I100" s="31">
        <f>IF($A100="","",IFERROR($G100-$G100*INDEX(tblKurallar[deger_2025],MATCH("AYD-004",tblKurallar[kural_id],0)),0))</f>
        <v/>
      </c>
    </row>
    <row r="101">
      <c r="A101" s="30" t="n"/>
      <c r="B101" s="30" t="n"/>
      <c r="C101" s="30" t="n"/>
      <c r="D101" s="30" t="n"/>
      <c r="E101" s="30" t="n"/>
      <c r="F101" s="30" t="n"/>
      <c r="G101" s="31">
        <f>IF($A101="","",IFERROR(ROUND(MAX(0,$B101*($D101-1)),2),0))</f>
        <v/>
      </c>
      <c r="H101" s="31">
        <f>IF($A101="","",IFERROR(ROUND($G101*INDEX(tblKurallar[deger_2025],MATCH("AYD-002",tblKurallar[kural_id],0)),2),0))</f>
        <v/>
      </c>
      <c r="I101" s="31">
        <f>IF($A101="","",IFERROR($G101-$G101*INDEX(tblKurallar[deger_2025],MATCH("AYD-004",tblKurallar[kural_id],0)),0))</f>
        <v/>
      </c>
    </row>
    <row r="102">
      <c r="A102" s="30" t="n"/>
      <c r="B102" s="30" t="n"/>
      <c r="C102" s="30" t="n"/>
      <c r="D102" s="30" t="n"/>
      <c r="E102" s="30" t="n"/>
      <c r="F102" s="30" t="n"/>
      <c r="G102" s="31">
        <f>IF($A102="","",IFERROR(ROUND(MAX(0,$B102*($D102-1)),2),0))</f>
        <v/>
      </c>
      <c r="H102" s="31">
        <f>IF($A102="","",IFERROR(ROUND($G102*INDEX(tblKurallar[deger_2025],MATCH("AYD-002",tblKurallar[kural_id],0)),2),0))</f>
        <v/>
      </c>
      <c r="I102" s="31">
        <f>IF($A102="","",IFERROR($G102-$G102*INDEX(tblKurallar[deger_2025],MATCH("AYD-004",tblKurallar[kural_id],0)),0))</f>
        <v/>
      </c>
    </row>
    <row r="103">
      <c r="A103" s="30" t="n"/>
      <c r="B103" s="30" t="n"/>
      <c r="C103" s="30" t="n"/>
      <c r="D103" s="30" t="n"/>
      <c r="E103" s="30" t="n"/>
      <c r="F103" s="30" t="n"/>
      <c r="G103" s="31">
        <f>IF($A103="","",IFERROR(ROUND(MAX(0,$B103*($D103-1)),2),0))</f>
        <v/>
      </c>
      <c r="H103" s="31">
        <f>IF($A103="","",IFERROR(ROUND($G103*INDEX(tblKurallar[deger_2025],MATCH("AYD-002",tblKurallar[kural_id],0)),2),0))</f>
        <v/>
      </c>
      <c r="I103" s="31">
        <f>IF($A103="","",IFERROR($G103-$G103*INDEX(tblKurallar[deger_2025],MATCH("AYD-004",tblKurallar[kural_id],0)),0))</f>
        <v/>
      </c>
    </row>
    <row r="104">
      <c r="A104" s="30" t="n"/>
      <c r="B104" s="30" t="n"/>
      <c r="C104" s="30" t="n"/>
      <c r="D104" s="30" t="n"/>
      <c r="E104" s="30" t="n"/>
      <c r="F104" s="30" t="n"/>
      <c r="G104" s="31">
        <f>IF($A104="","",IFERROR(ROUND(MAX(0,$B104*($D104-1)),2),0))</f>
        <v/>
      </c>
      <c r="H104" s="31">
        <f>IF($A104="","",IFERROR(ROUND($G104*INDEX(tblKurallar[deger_2025],MATCH("AYD-002",tblKurallar[kural_id],0)),2),0))</f>
        <v/>
      </c>
      <c r="I104" s="31">
        <f>IF($A104="","",IFERROR($G104-$G104*INDEX(tblKurallar[deger_2025],MATCH("AYD-004",tblKurallar[kural_id],0)),0))</f>
        <v/>
      </c>
    </row>
    <row r="105">
      <c r="A105" s="30" t="n"/>
      <c r="B105" s="30" t="n"/>
      <c r="C105" s="30" t="n"/>
      <c r="D105" s="30" t="n"/>
      <c r="E105" s="30" t="n"/>
      <c r="F105" s="30" t="n"/>
      <c r="G105" s="31">
        <f>IF($A105="","",IFERROR(ROUND(MAX(0,$B105*($D105-1)),2),0))</f>
        <v/>
      </c>
      <c r="H105" s="31">
        <f>IF($A105="","",IFERROR(ROUND($G105*INDEX(tblKurallar[deger_2025],MATCH("AYD-002",tblKurallar[kural_id],0)),2),0))</f>
        <v/>
      </c>
      <c r="I105" s="31">
        <f>IF($A105="","",IFERROR($G105-$G105*INDEX(tblKurallar[deger_2025],MATCH("AYD-004",tblKurallar[kural_id],0)),0))</f>
        <v/>
      </c>
    </row>
    <row r="106">
      <c r="A106" s="30" t="n"/>
      <c r="B106" s="30" t="n"/>
      <c r="C106" s="30" t="n"/>
      <c r="D106" s="30" t="n"/>
      <c r="E106" s="30" t="n"/>
      <c r="F106" s="30" t="n"/>
      <c r="G106" s="31">
        <f>IF($A106="","",IFERROR(ROUND(MAX(0,$B106*($D106-1)),2),0))</f>
        <v/>
      </c>
      <c r="H106" s="31">
        <f>IF($A106="","",IFERROR(ROUND($G106*INDEX(tblKurallar[deger_2025],MATCH("AYD-002",tblKurallar[kural_id],0)),2),0))</f>
        <v/>
      </c>
      <c r="I106" s="31">
        <f>IF($A106="","",IFERROR($G106-$G106*INDEX(tblKurallar[deger_2025],MATCH("AYD-004",tblKurallar[kural_id],0)),0))</f>
        <v/>
      </c>
    </row>
    <row r="107">
      <c r="A107" s="30" t="n"/>
      <c r="B107" s="30" t="n"/>
      <c r="C107" s="30" t="n"/>
      <c r="D107" s="30" t="n"/>
      <c r="E107" s="30" t="n"/>
      <c r="F107" s="30" t="n"/>
      <c r="G107" s="31">
        <f>IF($A107="","",IFERROR(ROUND(MAX(0,$B107*($D107-1)),2),0))</f>
        <v/>
      </c>
      <c r="H107" s="31">
        <f>IF($A107="","",IFERROR(ROUND($G107*INDEX(tblKurallar[deger_2025],MATCH("AYD-002",tblKurallar[kural_id],0)),2),0))</f>
        <v/>
      </c>
      <c r="I107" s="31">
        <f>IF($A107="","",IFERROR($G107-$G107*INDEX(tblKurallar[deger_2025],MATCH("AYD-004",tblKurallar[kural_id],0)),0))</f>
        <v/>
      </c>
    </row>
    <row r="108">
      <c r="A108" s="30" t="n"/>
      <c r="B108" s="30" t="n"/>
      <c r="C108" s="30" t="n"/>
      <c r="D108" s="30" t="n"/>
      <c r="E108" s="30" t="n"/>
      <c r="F108" s="30" t="n"/>
      <c r="G108" s="31">
        <f>IF($A108="","",IFERROR(ROUND(MAX(0,$B108*($D108-1)),2),0))</f>
        <v/>
      </c>
      <c r="H108" s="31">
        <f>IF($A108="","",IFERROR(ROUND($G108*INDEX(tblKurallar[deger_2025],MATCH("AYD-002",tblKurallar[kural_id],0)),2),0))</f>
        <v/>
      </c>
      <c r="I108" s="31">
        <f>IF($A108="","",IFERROR($G108-$G108*INDEX(tblKurallar[deger_2025],MATCH("AYD-004",tblKurallar[kural_id],0)),0))</f>
        <v/>
      </c>
    </row>
    <row r="109">
      <c r="A109" s="30" t="n"/>
      <c r="B109" s="30" t="n"/>
      <c r="C109" s="30" t="n"/>
      <c r="D109" s="30" t="n"/>
      <c r="E109" s="30" t="n"/>
      <c r="F109" s="30" t="n"/>
      <c r="G109" s="31">
        <f>IF($A109="","",IFERROR(ROUND(MAX(0,$B109*($D109-1)),2),0))</f>
        <v/>
      </c>
      <c r="H109" s="31">
        <f>IF($A109="","",IFERROR(ROUND($G109*INDEX(tblKurallar[deger_2025],MATCH("AYD-002",tblKurallar[kural_id],0)),2),0))</f>
        <v/>
      </c>
      <c r="I109" s="31">
        <f>IF($A109="","",IFERROR($G109-$G109*INDEX(tblKurallar[deger_2025],MATCH("AYD-004",tblKurallar[kural_id],0)),0))</f>
        <v/>
      </c>
    </row>
    <row r="110">
      <c r="A110" s="30" t="n"/>
      <c r="B110" s="30" t="n"/>
      <c r="C110" s="30" t="n"/>
      <c r="D110" s="30" t="n"/>
      <c r="E110" s="30" t="n"/>
      <c r="F110" s="30" t="n"/>
      <c r="G110" s="31">
        <f>IF($A110="","",IFERROR(ROUND(MAX(0,$B110*($D110-1)),2),0))</f>
        <v/>
      </c>
      <c r="H110" s="31">
        <f>IF($A110="","",IFERROR(ROUND($G110*INDEX(tblKurallar[deger_2025],MATCH("AYD-002",tblKurallar[kural_id],0)),2),0))</f>
        <v/>
      </c>
      <c r="I110" s="31">
        <f>IF($A110="","",IFERROR($G110-$G110*INDEX(tblKurallar[deger_2025],MATCH("AYD-004",tblKurallar[kural_id],0)),0))</f>
        <v/>
      </c>
    </row>
    <row r="111">
      <c r="A111" s="30" t="n"/>
      <c r="B111" s="30" t="n"/>
      <c r="C111" s="30" t="n"/>
      <c r="D111" s="30" t="n"/>
      <c r="E111" s="30" t="n"/>
      <c r="F111" s="30" t="n"/>
      <c r="G111" s="31">
        <f>IF($A111="","",IFERROR(ROUND(MAX(0,$B111*($D111-1)),2),0))</f>
        <v/>
      </c>
      <c r="H111" s="31">
        <f>IF($A111="","",IFERROR(ROUND($G111*INDEX(tblKurallar[deger_2025],MATCH("AYD-002",tblKurallar[kural_id],0)),2),0))</f>
        <v/>
      </c>
      <c r="I111" s="31">
        <f>IF($A111="","",IFERROR($G111-$G111*INDEX(tblKurallar[deger_2025],MATCH("AYD-004",tblKurallar[kural_id],0)),0))</f>
        <v/>
      </c>
    </row>
    <row r="112">
      <c r="A112" s="30" t="n"/>
      <c r="B112" s="30" t="n"/>
      <c r="C112" s="30" t="n"/>
      <c r="D112" s="30" t="n"/>
      <c r="E112" s="30" t="n"/>
      <c r="F112" s="30" t="n"/>
      <c r="G112" s="31">
        <f>IF($A112="","",IFERROR(ROUND(MAX(0,$B112*($D112-1)),2),0))</f>
        <v/>
      </c>
      <c r="H112" s="31">
        <f>IF($A112="","",IFERROR(ROUND($G112*INDEX(tblKurallar[deger_2025],MATCH("AYD-002",tblKurallar[kural_id],0)),2),0))</f>
        <v/>
      </c>
      <c r="I112" s="31">
        <f>IF($A112="","",IFERROR($G112-$G112*INDEX(tblKurallar[deger_2025],MATCH("AYD-004",tblKurallar[kural_id],0)),0))</f>
        <v/>
      </c>
    </row>
    <row r="113">
      <c r="A113" s="30" t="n"/>
      <c r="B113" s="30" t="n"/>
      <c r="C113" s="30" t="n"/>
      <c r="D113" s="30" t="n"/>
      <c r="E113" s="30" t="n"/>
      <c r="F113" s="30" t="n"/>
      <c r="G113" s="31">
        <f>IF($A113="","",IFERROR(ROUND(MAX(0,$B113*($D113-1)),2),0))</f>
        <v/>
      </c>
      <c r="H113" s="31">
        <f>IF($A113="","",IFERROR(ROUND($G113*INDEX(tblKurallar[deger_2025],MATCH("AYD-002",tblKurallar[kural_id],0)),2),0))</f>
        <v/>
      </c>
      <c r="I113" s="31">
        <f>IF($A113="","",IFERROR($G113-$G113*INDEX(tblKurallar[deger_2025],MATCH("AYD-004",tblKurallar[kural_id],0)),0))</f>
        <v/>
      </c>
    </row>
    <row r="114">
      <c r="A114" s="30" t="n"/>
      <c r="B114" s="30" t="n"/>
      <c r="C114" s="30" t="n"/>
      <c r="D114" s="30" t="n"/>
      <c r="E114" s="30" t="n"/>
      <c r="F114" s="30" t="n"/>
      <c r="G114" s="31">
        <f>IF($A114="","",IFERROR(ROUND(MAX(0,$B114*($D114-1)),2),0))</f>
        <v/>
      </c>
      <c r="H114" s="31">
        <f>IF($A114="","",IFERROR(ROUND($G114*INDEX(tblKurallar[deger_2025],MATCH("AYD-002",tblKurallar[kural_id],0)),2),0))</f>
        <v/>
      </c>
      <c r="I114" s="31">
        <f>IF($A114="","",IFERROR($G114-$G114*INDEX(tblKurallar[deger_2025],MATCH("AYD-004",tblKurallar[kural_id],0)),0))</f>
        <v/>
      </c>
    </row>
    <row r="115">
      <c r="A115" s="30" t="n"/>
      <c r="B115" s="30" t="n"/>
      <c r="C115" s="30" t="n"/>
      <c r="D115" s="30" t="n"/>
      <c r="E115" s="30" t="n"/>
      <c r="F115" s="30" t="n"/>
      <c r="G115" s="31">
        <f>IF($A115="","",IFERROR(ROUND(MAX(0,$B115*($D115-1)),2),0))</f>
        <v/>
      </c>
      <c r="H115" s="31">
        <f>IF($A115="","",IFERROR(ROUND($G115*INDEX(tblKurallar[deger_2025],MATCH("AYD-002",tblKurallar[kural_id],0)),2),0))</f>
        <v/>
      </c>
      <c r="I115" s="31">
        <f>IF($A115="","",IFERROR($G115-$G115*INDEX(tblKurallar[deger_2025],MATCH("AYD-004",tblKurallar[kural_id],0)),0))</f>
        <v/>
      </c>
    </row>
    <row r="116">
      <c r="A116" s="30" t="n"/>
      <c r="B116" s="30" t="n"/>
      <c r="C116" s="30" t="n"/>
      <c r="D116" s="30" t="n"/>
      <c r="E116" s="30" t="n"/>
      <c r="F116" s="30" t="n"/>
      <c r="G116" s="31">
        <f>IF($A116="","",IFERROR(ROUND(MAX(0,$B116*($D116-1)),2),0))</f>
        <v/>
      </c>
      <c r="H116" s="31">
        <f>IF($A116="","",IFERROR(ROUND($G116*INDEX(tblKurallar[deger_2025],MATCH("AYD-002",tblKurallar[kural_id],0)),2),0))</f>
        <v/>
      </c>
      <c r="I116" s="31">
        <f>IF($A116="","",IFERROR($G116-$G116*INDEX(tblKurallar[deger_2025],MATCH("AYD-004",tblKurallar[kural_id],0)),0))</f>
        <v/>
      </c>
    </row>
    <row r="117">
      <c r="A117" s="30" t="n"/>
      <c r="B117" s="30" t="n"/>
      <c r="C117" s="30" t="n"/>
      <c r="D117" s="30" t="n"/>
      <c r="E117" s="30" t="n"/>
      <c r="F117" s="30" t="n"/>
      <c r="G117" s="31">
        <f>IF($A117="","",IFERROR(ROUND(MAX(0,$B117*($D117-1)),2),0))</f>
        <v/>
      </c>
      <c r="H117" s="31">
        <f>IF($A117="","",IFERROR(ROUND($G117*INDEX(tblKurallar[deger_2025],MATCH("AYD-002",tblKurallar[kural_id],0)),2),0))</f>
        <v/>
      </c>
      <c r="I117" s="31">
        <f>IF($A117="","",IFERROR($G117-$G117*INDEX(tblKurallar[deger_2025],MATCH("AYD-004",tblKurallar[kural_id],0)),0))</f>
        <v/>
      </c>
    </row>
    <row r="118">
      <c r="A118" s="30" t="n"/>
      <c r="B118" s="30" t="n"/>
      <c r="C118" s="30" t="n"/>
      <c r="D118" s="30" t="n"/>
      <c r="E118" s="30" t="n"/>
      <c r="F118" s="30" t="n"/>
      <c r="G118" s="31">
        <f>IF($A118="","",IFERROR(ROUND(MAX(0,$B118*($D118-1)),2),0))</f>
        <v/>
      </c>
      <c r="H118" s="31">
        <f>IF($A118="","",IFERROR(ROUND($G118*INDEX(tblKurallar[deger_2025],MATCH("AYD-002",tblKurallar[kural_id],0)),2),0))</f>
        <v/>
      </c>
      <c r="I118" s="31">
        <f>IF($A118="","",IFERROR($G118-$G118*INDEX(tblKurallar[deger_2025],MATCH("AYD-004",tblKurallar[kural_id],0)),0))</f>
        <v/>
      </c>
    </row>
    <row r="119">
      <c r="A119" s="30" t="n"/>
      <c r="B119" s="30" t="n"/>
      <c r="C119" s="30" t="n"/>
      <c r="D119" s="30" t="n"/>
      <c r="E119" s="30" t="n"/>
      <c r="F119" s="30" t="n"/>
      <c r="G119" s="31">
        <f>IF($A119="","",IFERROR(ROUND(MAX(0,$B119*($D119-1)),2),0))</f>
        <v/>
      </c>
      <c r="H119" s="31">
        <f>IF($A119="","",IFERROR(ROUND($G119*INDEX(tblKurallar[deger_2025],MATCH("AYD-002",tblKurallar[kural_id],0)),2),0))</f>
        <v/>
      </c>
      <c r="I119" s="31">
        <f>IF($A119="","",IFERROR($G119-$G119*INDEX(tblKurallar[deger_2025],MATCH("AYD-004",tblKurallar[kural_id],0)),0))</f>
        <v/>
      </c>
    </row>
    <row r="120">
      <c r="A120" s="30" t="n"/>
      <c r="B120" s="30" t="n"/>
      <c r="C120" s="30" t="n"/>
      <c r="D120" s="30" t="n"/>
      <c r="E120" s="30" t="n"/>
      <c r="F120" s="30" t="n"/>
      <c r="G120" s="31">
        <f>IF($A120="","",IFERROR(ROUND(MAX(0,$B120*($D120-1)),2),0))</f>
        <v/>
      </c>
      <c r="H120" s="31">
        <f>IF($A120="","",IFERROR(ROUND($G120*INDEX(tblKurallar[deger_2025],MATCH("AYD-002",tblKurallar[kural_id],0)),2),0))</f>
        <v/>
      </c>
      <c r="I120" s="31">
        <f>IF($A120="","",IFERROR($G120-$G120*INDEX(tblKurallar[deger_2025],MATCH("AYD-004",tblKurallar[kural_id],0)),0))</f>
        <v/>
      </c>
    </row>
    <row r="121">
      <c r="A121" s="30" t="n"/>
      <c r="B121" s="30" t="n"/>
      <c r="C121" s="30" t="n"/>
      <c r="D121" s="30" t="n"/>
      <c r="E121" s="30" t="n"/>
      <c r="F121" s="30" t="n"/>
      <c r="G121" s="31">
        <f>IF($A121="","",IFERROR(ROUND(MAX(0,$B121*($D121-1)),2),0))</f>
        <v/>
      </c>
      <c r="H121" s="31">
        <f>IF($A121="","",IFERROR(ROUND($G121*INDEX(tblKurallar[deger_2025],MATCH("AYD-002",tblKurallar[kural_id],0)),2),0))</f>
        <v/>
      </c>
      <c r="I121" s="31">
        <f>IF($A121="","",IFERROR($G121-$G121*INDEX(tblKurallar[deger_2025],MATCH("AYD-004",tblKurallar[kural_id],0)),0))</f>
        <v/>
      </c>
    </row>
    <row r="122">
      <c r="A122" s="30" t="n"/>
      <c r="B122" s="30" t="n"/>
      <c r="C122" s="30" t="n"/>
      <c r="D122" s="30" t="n"/>
      <c r="E122" s="30" t="n"/>
      <c r="F122" s="30" t="n"/>
      <c r="G122" s="31">
        <f>IF($A122="","",IFERROR(ROUND(MAX(0,$B122*($D122-1)),2),0))</f>
        <v/>
      </c>
      <c r="H122" s="31">
        <f>IF($A122="","",IFERROR(ROUND($G122*INDEX(tblKurallar[deger_2025],MATCH("AYD-002",tblKurallar[kural_id],0)),2),0))</f>
        <v/>
      </c>
      <c r="I122" s="31">
        <f>IF($A122="","",IFERROR($G122-$G122*INDEX(tblKurallar[deger_2025],MATCH("AYD-004",tblKurallar[kural_id],0)),0))</f>
        <v/>
      </c>
    </row>
    <row r="123">
      <c r="A123" s="30" t="n"/>
      <c r="B123" s="30" t="n"/>
      <c r="C123" s="30" t="n"/>
      <c r="D123" s="30" t="n"/>
      <c r="E123" s="30" t="n"/>
      <c r="F123" s="30" t="n"/>
      <c r="G123" s="31">
        <f>IF($A123="","",IFERROR(ROUND(MAX(0,$B123*($D123-1)),2),0))</f>
        <v/>
      </c>
      <c r="H123" s="31">
        <f>IF($A123="","",IFERROR(ROUND($G123*INDEX(tblKurallar[deger_2025],MATCH("AYD-002",tblKurallar[kural_id],0)),2),0))</f>
        <v/>
      </c>
      <c r="I123" s="31">
        <f>IF($A123="","",IFERROR($G123-$G123*INDEX(tblKurallar[deger_2025],MATCH("AYD-004",tblKurallar[kural_id],0)),0))</f>
        <v/>
      </c>
    </row>
    <row r="124">
      <c r="A124" s="30" t="n"/>
      <c r="B124" s="30" t="n"/>
      <c r="C124" s="30" t="n"/>
      <c r="D124" s="30" t="n"/>
      <c r="E124" s="30" t="n"/>
      <c r="F124" s="30" t="n"/>
      <c r="G124" s="31">
        <f>IF($A124="","",IFERROR(ROUND(MAX(0,$B124*($D124-1)),2),0))</f>
        <v/>
      </c>
      <c r="H124" s="31">
        <f>IF($A124="","",IFERROR(ROUND($G124*INDEX(tblKurallar[deger_2025],MATCH("AYD-002",tblKurallar[kural_id],0)),2),0))</f>
        <v/>
      </c>
      <c r="I124" s="31">
        <f>IF($A124="","",IFERROR($G124-$G124*INDEX(tblKurallar[deger_2025],MATCH("AYD-004",tblKurallar[kural_id],0)),0))</f>
        <v/>
      </c>
    </row>
    <row r="125">
      <c r="A125" s="30" t="n"/>
      <c r="B125" s="30" t="n"/>
      <c r="C125" s="30" t="n"/>
      <c r="D125" s="30" t="n"/>
      <c r="E125" s="30" t="n"/>
      <c r="F125" s="30" t="n"/>
      <c r="G125" s="31">
        <f>IF($A125="","",IFERROR(ROUND(MAX(0,$B125*($D125-1)),2),0))</f>
        <v/>
      </c>
      <c r="H125" s="31">
        <f>IF($A125="","",IFERROR(ROUND($G125*INDEX(tblKurallar[deger_2025],MATCH("AYD-002",tblKurallar[kural_id],0)),2),0))</f>
        <v/>
      </c>
      <c r="I125" s="31">
        <f>IF($A125="","",IFERROR($G125-$G125*INDEX(tblKurallar[deger_2025],MATCH("AYD-004",tblKurallar[kural_id],0)),0))</f>
        <v/>
      </c>
    </row>
    <row r="126">
      <c r="A126" s="30" t="n"/>
      <c r="B126" s="30" t="n"/>
      <c r="C126" s="30" t="n"/>
      <c r="D126" s="30" t="n"/>
      <c r="E126" s="30" t="n"/>
      <c r="F126" s="30" t="n"/>
      <c r="G126" s="31">
        <f>IF($A126="","",IFERROR(ROUND(MAX(0,$B126*($D126-1)),2),0))</f>
        <v/>
      </c>
      <c r="H126" s="31">
        <f>IF($A126="","",IFERROR(ROUND($G126*INDEX(tblKurallar[deger_2025],MATCH("AYD-002",tblKurallar[kural_id],0)),2),0))</f>
        <v/>
      </c>
      <c r="I126" s="31">
        <f>IF($A126="","",IFERROR($G126-$G126*INDEX(tblKurallar[deger_2025],MATCH("AYD-004",tblKurallar[kural_id],0)),0))</f>
        <v/>
      </c>
    </row>
    <row r="127">
      <c r="A127" s="30" t="n"/>
      <c r="B127" s="30" t="n"/>
      <c r="C127" s="30" t="n"/>
      <c r="D127" s="30" t="n"/>
      <c r="E127" s="30" t="n"/>
      <c r="F127" s="30" t="n"/>
      <c r="G127" s="31">
        <f>IF($A127="","",IFERROR(ROUND(MAX(0,$B127*($D127-1)),2),0))</f>
        <v/>
      </c>
      <c r="H127" s="31">
        <f>IF($A127="","",IFERROR(ROUND($G127*INDEX(tblKurallar[deger_2025],MATCH("AYD-002",tblKurallar[kural_id],0)),2),0))</f>
        <v/>
      </c>
      <c r="I127" s="31">
        <f>IF($A127="","",IFERROR($G127-$G127*INDEX(tblKurallar[deger_2025],MATCH("AYD-004",tblKurallar[kural_id],0)),0))</f>
        <v/>
      </c>
    </row>
    <row r="128">
      <c r="A128" s="30" t="n"/>
      <c r="B128" s="30" t="n"/>
      <c r="C128" s="30" t="n"/>
      <c r="D128" s="30" t="n"/>
      <c r="E128" s="30" t="n"/>
      <c r="F128" s="30" t="n"/>
      <c r="G128" s="31">
        <f>IF($A128="","",IFERROR(ROUND(MAX(0,$B128*($D128-1)),2),0))</f>
        <v/>
      </c>
      <c r="H128" s="31">
        <f>IF($A128="","",IFERROR(ROUND($G128*INDEX(tblKurallar[deger_2025],MATCH("AYD-002",tblKurallar[kural_id],0)),2),0))</f>
        <v/>
      </c>
      <c r="I128" s="31">
        <f>IF($A128="","",IFERROR($G128-$G128*INDEX(tblKurallar[deger_2025],MATCH("AYD-004",tblKurallar[kural_id],0)),0))</f>
        <v/>
      </c>
    </row>
    <row r="129">
      <c r="A129" s="30" t="n"/>
      <c r="B129" s="30" t="n"/>
      <c r="C129" s="30" t="n"/>
      <c r="D129" s="30" t="n"/>
      <c r="E129" s="30" t="n"/>
      <c r="F129" s="30" t="n"/>
      <c r="G129" s="31">
        <f>IF($A129="","",IFERROR(ROUND(MAX(0,$B129*($D129-1)),2),0))</f>
        <v/>
      </c>
      <c r="H129" s="31">
        <f>IF($A129="","",IFERROR(ROUND($G129*INDEX(tblKurallar[deger_2025],MATCH("AYD-002",tblKurallar[kural_id],0)),2),0))</f>
        <v/>
      </c>
      <c r="I129" s="31">
        <f>IF($A129="","",IFERROR($G129-$G129*INDEX(tblKurallar[deger_2025],MATCH("AYD-004",tblKurallar[kural_id],0)),0))</f>
        <v/>
      </c>
    </row>
    <row r="130">
      <c r="A130" s="30" t="n"/>
      <c r="B130" s="30" t="n"/>
      <c r="C130" s="30" t="n"/>
      <c r="D130" s="30" t="n"/>
      <c r="E130" s="30" t="n"/>
      <c r="F130" s="30" t="n"/>
      <c r="G130" s="31">
        <f>IF($A130="","",IFERROR(ROUND(MAX(0,$B130*($D130-1)),2),0))</f>
        <v/>
      </c>
      <c r="H130" s="31">
        <f>IF($A130="","",IFERROR(ROUND($G130*INDEX(tblKurallar[deger_2025],MATCH("AYD-002",tblKurallar[kural_id],0)),2),0))</f>
        <v/>
      </c>
      <c r="I130" s="31">
        <f>IF($A130="","",IFERROR($G130-$G130*INDEX(tblKurallar[deger_2025],MATCH("AYD-004",tblKurallar[kural_id],0)),0))</f>
        <v/>
      </c>
    </row>
    <row r="131">
      <c r="A131" s="30" t="n"/>
      <c r="B131" s="30" t="n"/>
      <c r="C131" s="30" t="n"/>
      <c r="D131" s="30" t="n"/>
      <c r="E131" s="30" t="n"/>
      <c r="F131" s="30" t="n"/>
      <c r="G131" s="31">
        <f>IF($A131="","",IFERROR(ROUND(MAX(0,$B131*($D131-1)),2),0))</f>
        <v/>
      </c>
      <c r="H131" s="31">
        <f>IF($A131="","",IFERROR(ROUND($G131*INDEX(tblKurallar[deger_2025],MATCH("AYD-002",tblKurallar[kural_id],0)),2),0))</f>
        <v/>
      </c>
      <c r="I131" s="31">
        <f>IF($A131="","",IFERROR($G131-$G131*INDEX(tblKurallar[deger_2025],MATCH("AYD-004",tblKurallar[kural_id],0)),0))</f>
        <v/>
      </c>
    </row>
    <row r="132">
      <c r="A132" s="30" t="n"/>
      <c r="B132" s="30" t="n"/>
      <c r="C132" s="30" t="n"/>
      <c r="D132" s="30" t="n"/>
      <c r="E132" s="30" t="n"/>
      <c r="F132" s="30" t="n"/>
      <c r="G132" s="31">
        <f>IF($A132="","",IFERROR(ROUND(MAX(0,$B132*($D132-1)),2),0))</f>
        <v/>
      </c>
      <c r="H132" s="31">
        <f>IF($A132="","",IFERROR(ROUND($G132*INDEX(tblKurallar[deger_2025],MATCH("AYD-002",tblKurallar[kural_id],0)),2),0))</f>
        <v/>
      </c>
      <c r="I132" s="31">
        <f>IF($A132="","",IFERROR($G132-$G132*INDEX(tblKurallar[deger_2025],MATCH("AYD-004",tblKurallar[kural_id],0)),0))</f>
        <v/>
      </c>
    </row>
    <row r="133">
      <c r="A133" s="30" t="n"/>
      <c r="B133" s="30" t="n"/>
      <c r="C133" s="30" t="n"/>
      <c r="D133" s="30" t="n"/>
      <c r="E133" s="30" t="n"/>
      <c r="F133" s="30" t="n"/>
      <c r="G133" s="31">
        <f>IF($A133="","",IFERROR(ROUND(MAX(0,$B133*($D133-1)),2),0))</f>
        <v/>
      </c>
      <c r="H133" s="31">
        <f>IF($A133="","",IFERROR(ROUND($G133*INDEX(tblKurallar[deger_2025],MATCH("AYD-002",tblKurallar[kural_id],0)),2),0))</f>
        <v/>
      </c>
      <c r="I133" s="31">
        <f>IF($A133="","",IFERROR($G133-$G133*INDEX(tblKurallar[deger_2025],MATCH("AYD-004",tblKurallar[kural_id],0)),0))</f>
        <v/>
      </c>
    </row>
    <row r="134">
      <c r="A134" s="30" t="n"/>
      <c r="B134" s="30" t="n"/>
      <c r="C134" s="30" t="n"/>
      <c r="D134" s="30" t="n"/>
      <c r="E134" s="30" t="n"/>
      <c r="F134" s="30" t="n"/>
      <c r="G134" s="31">
        <f>IF($A134="","",IFERROR(ROUND(MAX(0,$B134*($D134-1)),2),0))</f>
        <v/>
      </c>
      <c r="H134" s="31">
        <f>IF($A134="","",IFERROR(ROUND($G134*INDEX(tblKurallar[deger_2025],MATCH("AYD-002",tblKurallar[kural_id],0)),2),0))</f>
        <v/>
      </c>
      <c r="I134" s="31">
        <f>IF($A134="","",IFERROR($G134-$G134*INDEX(tblKurallar[deger_2025],MATCH("AYD-004",tblKurallar[kural_id],0)),0))</f>
        <v/>
      </c>
    </row>
    <row r="135">
      <c r="A135" s="30" t="n"/>
      <c r="B135" s="30" t="n"/>
      <c r="C135" s="30" t="n"/>
      <c r="D135" s="30" t="n"/>
      <c r="E135" s="30" t="n"/>
      <c r="F135" s="30" t="n"/>
      <c r="G135" s="31">
        <f>IF($A135="","",IFERROR(ROUND(MAX(0,$B135*($D135-1)),2),0))</f>
        <v/>
      </c>
      <c r="H135" s="31">
        <f>IF($A135="","",IFERROR(ROUND($G135*INDEX(tblKurallar[deger_2025],MATCH("AYD-002",tblKurallar[kural_id],0)),2),0))</f>
        <v/>
      </c>
      <c r="I135" s="31">
        <f>IF($A135="","",IFERROR($G135-$G135*INDEX(tblKurallar[deger_2025],MATCH("AYD-004",tblKurallar[kural_id],0)),0))</f>
        <v/>
      </c>
    </row>
    <row r="136">
      <c r="A136" s="30" t="n"/>
      <c r="B136" s="30" t="n"/>
      <c r="C136" s="30" t="n"/>
      <c r="D136" s="30" t="n"/>
      <c r="E136" s="30" t="n"/>
      <c r="F136" s="30" t="n"/>
      <c r="G136" s="31">
        <f>IF($A136="","",IFERROR(ROUND(MAX(0,$B136*($D136-1)),2),0))</f>
        <v/>
      </c>
      <c r="H136" s="31">
        <f>IF($A136="","",IFERROR(ROUND($G136*INDEX(tblKurallar[deger_2025],MATCH("AYD-002",tblKurallar[kural_id],0)),2),0))</f>
        <v/>
      </c>
      <c r="I136" s="31">
        <f>IF($A136="","",IFERROR($G136-$G136*INDEX(tblKurallar[deger_2025],MATCH("AYD-004",tblKurallar[kural_id],0)),0))</f>
        <v/>
      </c>
    </row>
    <row r="137">
      <c r="A137" s="30" t="n"/>
      <c r="B137" s="30" t="n"/>
      <c r="C137" s="30" t="n"/>
      <c r="D137" s="30" t="n"/>
      <c r="E137" s="30" t="n"/>
      <c r="F137" s="30" t="n"/>
      <c r="G137" s="31">
        <f>IF($A137="","",IFERROR(ROUND(MAX(0,$B137*($D137-1)),2),0))</f>
        <v/>
      </c>
      <c r="H137" s="31">
        <f>IF($A137="","",IFERROR(ROUND($G137*INDEX(tblKurallar[deger_2025],MATCH("AYD-002",tblKurallar[kural_id],0)),2),0))</f>
        <v/>
      </c>
      <c r="I137" s="31">
        <f>IF($A137="","",IFERROR($G137-$G137*INDEX(tblKurallar[deger_2025],MATCH("AYD-004",tblKurallar[kural_id],0)),0))</f>
        <v/>
      </c>
    </row>
    <row r="138">
      <c r="A138" s="30" t="n"/>
      <c r="B138" s="30" t="n"/>
      <c r="C138" s="30" t="n"/>
      <c r="D138" s="30" t="n"/>
      <c r="E138" s="30" t="n"/>
      <c r="F138" s="30" t="n"/>
      <c r="G138" s="31">
        <f>IF($A138="","",IFERROR(ROUND(MAX(0,$B138*($D138-1)),2),0))</f>
        <v/>
      </c>
      <c r="H138" s="31">
        <f>IF($A138="","",IFERROR(ROUND($G138*INDEX(tblKurallar[deger_2025],MATCH("AYD-002",tblKurallar[kural_id],0)),2),0))</f>
        <v/>
      </c>
      <c r="I138" s="31">
        <f>IF($A138="","",IFERROR($G138-$G138*INDEX(tblKurallar[deger_2025],MATCH("AYD-004",tblKurallar[kural_id],0)),0))</f>
        <v/>
      </c>
    </row>
    <row r="139">
      <c r="A139" s="30" t="n"/>
      <c r="B139" s="30" t="n"/>
      <c r="C139" s="30" t="n"/>
      <c r="D139" s="30" t="n"/>
      <c r="E139" s="30" t="n"/>
      <c r="F139" s="30" t="n"/>
      <c r="G139" s="31">
        <f>IF($A139="","",IFERROR(ROUND(MAX(0,$B139*($D139-1)),2),0))</f>
        <v/>
      </c>
      <c r="H139" s="31">
        <f>IF($A139="","",IFERROR(ROUND($G139*INDEX(tblKurallar[deger_2025],MATCH("AYD-002",tblKurallar[kural_id],0)),2),0))</f>
        <v/>
      </c>
      <c r="I139" s="31">
        <f>IF($A139="","",IFERROR($G139-$G139*INDEX(tblKurallar[deger_2025],MATCH("AYD-004",tblKurallar[kural_id],0)),0))</f>
        <v/>
      </c>
    </row>
    <row r="140">
      <c r="A140" s="30" t="n"/>
      <c r="B140" s="30" t="n"/>
      <c r="C140" s="30" t="n"/>
      <c r="D140" s="30" t="n"/>
      <c r="E140" s="30" t="n"/>
      <c r="F140" s="30" t="n"/>
      <c r="G140" s="31">
        <f>IF($A140="","",IFERROR(ROUND(MAX(0,$B140*($D140-1)),2),0))</f>
        <v/>
      </c>
      <c r="H140" s="31">
        <f>IF($A140="","",IFERROR(ROUND($G140*INDEX(tblKurallar[deger_2025],MATCH("AYD-002",tblKurallar[kural_id],0)),2),0))</f>
        <v/>
      </c>
      <c r="I140" s="31">
        <f>IF($A140="","",IFERROR($G140-$G140*INDEX(tblKurallar[deger_2025],MATCH("AYD-004",tblKurallar[kural_id],0)),0))</f>
        <v/>
      </c>
    </row>
    <row r="141">
      <c r="A141" s="30" t="n"/>
      <c r="B141" s="30" t="n"/>
      <c r="C141" s="30" t="n"/>
      <c r="D141" s="30" t="n"/>
      <c r="E141" s="30" t="n"/>
      <c r="F141" s="30" t="n"/>
      <c r="G141" s="31">
        <f>IF($A141="","",IFERROR(ROUND(MAX(0,$B141*($D141-1)),2),0))</f>
        <v/>
      </c>
      <c r="H141" s="31">
        <f>IF($A141="","",IFERROR(ROUND($G141*INDEX(tblKurallar[deger_2025],MATCH("AYD-002",tblKurallar[kural_id],0)),2),0))</f>
        <v/>
      </c>
      <c r="I141" s="31">
        <f>IF($A141="","",IFERROR($G141-$G141*INDEX(tblKurallar[deger_2025],MATCH("AYD-004",tblKurallar[kural_id],0)),0))</f>
        <v/>
      </c>
    </row>
    <row r="142">
      <c r="A142" s="30" t="n"/>
      <c r="B142" s="30" t="n"/>
      <c r="C142" s="30" t="n"/>
      <c r="D142" s="30" t="n"/>
      <c r="E142" s="30" t="n"/>
      <c r="F142" s="30" t="n"/>
      <c r="G142" s="31">
        <f>IF($A142="","",IFERROR(ROUND(MAX(0,$B142*($D142-1)),2),0))</f>
        <v/>
      </c>
      <c r="H142" s="31">
        <f>IF($A142="","",IFERROR(ROUND($G142*INDEX(tblKurallar[deger_2025],MATCH("AYD-002",tblKurallar[kural_id],0)),2),0))</f>
        <v/>
      </c>
      <c r="I142" s="31">
        <f>IF($A142="","",IFERROR($G142-$G142*INDEX(tblKurallar[deger_2025],MATCH("AYD-004",tblKurallar[kural_id],0)),0))</f>
        <v/>
      </c>
    </row>
    <row r="143">
      <c r="A143" s="30" t="n"/>
      <c r="B143" s="30" t="n"/>
      <c r="C143" s="30" t="n"/>
      <c r="D143" s="30" t="n"/>
      <c r="E143" s="30" t="n"/>
      <c r="F143" s="30" t="n"/>
      <c r="G143" s="31">
        <f>IF($A143="","",IFERROR(ROUND(MAX(0,$B143*($D143-1)),2),0))</f>
        <v/>
      </c>
      <c r="H143" s="31">
        <f>IF($A143="","",IFERROR(ROUND($G143*INDEX(tblKurallar[deger_2025],MATCH("AYD-002",tblKurallar[kural_id],0)),2),0))</f>
        <v/>
      </c>
      <c r="I143" s="31">
        <f>IF($A143="","",IFERROR($G143-$G143*INDEX(tblKurallar[deger_2025],MATCH("AYD-004",tblKurallar[kural_id],0)),0))</f>
        <v/>
      </c>
    </row>
    <row r="144">
      <c r="A144" s="30" t="n"/>
      <c r="B144" s="30" t="n"/>
      <c r="C144" s="30" t="n"/>
      <c r="D144" s="30" t="n"/>
      <c r="E144" s="30" t="n"/>
      <c r="F144" s="30" t="n"/>
      <c r="G144" s="31">
        <f>IF($A144="","",IFERROR(ROUND(MAX(0,$B144*($D144-1)),2),0))</f>
        <v/>
      </c>
      <c r="H144" s="31">
        <f>IF($A144="","",IFERROR(ROUND($G144*INDEX(tblKurallar[deger_2025],MATCH("AYD-002",tblKurallar[kural_id],0)),2),0))</f>
        <v/>
      </c>
      <c r="I144" s="31">
        <f>IF($A144="","",IFERROR($G144-$G144*INDEX(tblKurallar[deger_2025],MATCH("AYD-004",tblKurallar[kural_id],0)),0))</f>
        <v/>
      </c>
    </row>
    <row r="145">
      <c r="A145" s="30" t="n"/>
      <c r="B145" s="30" t="n"/>
      <c r="C145" s="30" t="n"/>
      <c r="D145" s="30" t="n"/>
      <c r="E145" s="30" t="n"/>
      <c r="F145" s="30" t="n"/>
      <c r="G145" s="31">
        <f>IF($A145="","",IFERROR(ROUND(MAX(0,$B145*($D145-1)),2),0))</f>
        <v/>
      </c>
      <c r="H145" s="31">
        <f>IF($A145="","",IFERROR(ROUND($G145*INDEX(tblKurallar[deger_2025],MATCH("AYD-002",tblKurallar[kural_id],0)),2),0))</f>
        <v/>
      </c>
      <c r="I145" s="31">
        <f>IF($A145="","",IFERROR($G145-$G145*INDEX(tblKurallar[deger_2025],MATCH("AYD-004",tblKurallar[kural_id],0)),0))</f>
        <v/>
      </c>
    </row>
    <row r="146">
      <c r="A146" s="30" t="n"/>
      <c r="B146" s="30" t="n"/>
      <c r="C146" s="30" t="n"/>
      <c r="D146" s="30" t="n"/>
      <c r="E146" s="30" t="n"/>
      <c r="F146" s="30" t="n"/>
      <c r="G146" s="31">
        <f>IF($A146="","",IFERROR(ROUND(MAX(0,$B146*($D146-1)),2),0))</f>
        <v/>
      </c>
      <c r="H146" s="31">
        <f>IF($A146="","",IFERROR(ROUND($G146*INDEX(tblKurallar[deger_2025],MATCH("AYD-002",tblKurallar[kural_id],0)),2),0))</f>
        <v/>
      </c>
      <c r="I146" s="31">
        <f>IF($A146="","",IFERROR($G146-$G146*INDEX(tblKurallar[deger_2025],MATCH("AYD-004",tblKurallar[kural_id],0)),0))</f>
        <v/>
      </c>
    </row>
    <row r="147">
      <c r="A147" s="30" t="n"/>
      <c r="B147" s="30" t="n"/>
      <c r="C147" s="30" t="n"/>
      <c r="D147" s="30" t="n"/>
      <c r="E147" s="30" t="n"/>
      <c r="F147" s="30" t="n"/>
      <c r="G147" s="31">
        <f>IF($A147="","",IFERROR(ROUND(MAX(0,$B147*($D147-1)),2),0))</f>
        <v/>
      </c>
      <c r="H147" s="31">
        <f>IF($A147="","",IFERROR(ROUND($G147*INDEX(tblKurallar[deger_2025],MATCH("AYD-002",tblKurallar[kural_id],0)),2),0))</f>
        <v/>
      </c>
      <c r="I147" s="31">
        <f>IF($A147="","",IFERROR($G147-$G147*INDEX(tblKurallar[deger_2025],MATCH("AYD-004",tblKurallar[kural_id],0)),0))</f>
        <v/>
      </c>
    </row>
    <row r="148">
      <c r="A148" s="30" t="n"/>
      <c r="B148" s="30" t="n"/>
      <c r="C148" s="30" t="n"/>
      <c r="D148" s="30" t="n"/>
      <c r="E148" s="30" t="n"/>
      <c r="F148" s="30" t="n"/>
      <c r="G148" s="31">
        <f>IF($A148="","",IFERROR(ROUND(MAX(0,$B148*($D148-1)),2),0))</f>
        <v/>
      </c>
      <c r="H148" s="31">
        <f>IF($A148="","",IFERROR(ROUND($G148*INDEX(tblKurallar[deger_2025],MATCH("AYD-002",tblKurallar[kural_id],0)),2),0))</f>
        <v/>
      </c>
      <c r="I148" s="31">
        <f>IF($A148="","",IFERROR($G148-$G148*INDEX(tblKurallar[deger_2025],MATCH("AYD-004",tblKurallar[kural_id],0)),0))</f>
        <v/>
      </c>
    </row>
    <row r="149">
      <c r="A149" s="30" t="n"/>
      <c r="B149" s="30" t="n"/>
      <c r="C149" s="30" t="n"/>
      <c r="D149" s="30" t="n"/>
      <c r="E149" s="30" t="n"/>
      <c r="F149" s="30" t="n"/>
      <c r="G149" s="31">
        <f>IF($A149="","",IFERROR(ROUND(MAX(0,$B149*($D149-1)),2),0))</f>
        <v/>
      </c>
      <c r="H149" s="31">
        <f>IF($A149="","",IFERROR(ROUND($G149*INDEX(tblKurallar[deger_2025],MATCH("AYD-002",tblKurallar[kural_id],0)),2),0))</f>
        <v/>
      </c>
      <c r="I149" s="31">
        <f>IF($A149="","",IFERROR($G149-$G149*INDEX(tblKurallar[deger_2025],MATCH("AYD-004",tblKurallar[kural_id],0)),0))</f>
        <v/>
      </c>
    </row>
    <row r="150">
      <c r="A150" s="30" t="n"/>
      <c r="B150" s="30" t="n"/>
      <c r="C150" s="30" t="n"/>
      <c r="D150" s="30" t="n"/>
      <c r="E150" s="30" t="n"/>
      <c r="F150" s="30" t="n"/>
      <c r="G150" s="31">
        <f>IF($A150="","",IFERROR(ROUND(MAX(0,$B150*($D150-1)),2),0))</f>
        <v/>
      </c>
      <c r="H150" s="31">
        <f>IF($A150="","",IFERROR(ROUND($G150*INDEX(tblKurallar[deger_2025],MATCH("AYD-002",tblKurallar[kural_id],0)),2),0))</f>
        <v/>
      </c>
      <c r="I150" s="31">
        <f>IF($A150="","",IFERROR($G150-$G150*INDEX(tblKurallar[deger_2025],MATCH("AYD-004",tblKurallar[kural_id],0)),0))</f>
        <v/>
      </c>
    </row>
    <row r="151">
      <c r="A151" s="30" t="n"/>
      <c r="B151" s="30" t="n"/>
      <c r="C151" s="30" t="n"/>
      <c r="D151" s="30" t="n"/>
      <c r="E151" s="30" t="n"/>
      <c r="F151" s="30" t="n"/>
      <c r="G151" s="31">
        <f>IF($A151="","",IFERROR(ROUND(MAX(0,$B151*($D151-1)),2),0))</f>
        <v/>
      </c>
      <c r="H151" s="31">
        <f>IF($A151="","",IFERROR(ROUND($G151*INDEX(tblKurallar[deger_2025],MATCH("AYD-002",tblKurallar[kural_id],0)),2),0))</f>
        <v/>
      </c>
      <c r="I151" s="31">
        <f>IF($A151="","",IFERROR($G151-$G151*INDEX(tblKurallar[deger_2025],MATCH("AYD-004",tblKurallar[kural_id],0)),0))</f>
        <v/>
      </c>
    </row>
    <row r="152">
      <c r="A152" s="30" t="n"/>
      <c r="B152" s="30" t="n"/>
      <c r="C152" s="30" t="n"/>
      <c r="D152" s="30" t="n"/>
      <c r="E152" s="30" t="n"/>
      <c r="F152" s="30" t="n"/>
      <c r="G152" s="31">
        <f>IF($A152="","",IFERROR(ROUND(MAX(0,$B152*($D152-1)),2),0))</f>
        <v/>
      </c>
      <c r="H152" s="31">
        <f>IF($A152="","",IFERROR(ROUND($G152*INDEX(tblKurallar[deger_2025],MATCH("AYD-002",tblKurallar[kural_id],0)),2),0))</f>
        <v/>
      </c>
      <c r="I152" s="31">
        <f>IF($A152="","",IFERROR($G152-$G152*INDEX(tblKurallar[deger_2025],MATCH("AYD-004",tblKurallar[kural_id],0)),0))</f>
        <v/>
      </c>
    </row>
    <row r="153">
      <c r="A153" s="30" t="n"/>
      <c r="B153" s="30" t="n"/>
      <c r="C153" s="30" t="n"/>
      <c r="D153" s="30" t="n"/>
      <c r="E153" s="30" t="n"/>
      <c r="F153" s="30" t="n"/>
      <c r="G153" s="31">
        <f>IF($A153="","",IFERROR(ROUND(MAX(0,$B153*($D153-1)),2),0))</f>
        <v/>
      </c>
      <c r="H153" s="31">
        <f>IF($A153="","",IFERROR(ROUND($G153*INDEX(tblKurallar[deger_2025],MATCH("AYD-002",tblKurallar[kural_id],0)),2),0))</f>
        <v/>
      </c>
      <c r="I153" s="31">
        <f>IF($A153="","",IFERROR($G153-$G153*INDEX(tblKurallar[deger_2025],MATCH("AYD-004",tblKurallar[kural_id],0)),0))</f>
        <v/>
      </c>
    </row>
    <row r="154">
      <c r="A154" s="30" t="n"/>
      <c r="B154" s="30" t="n"/>
      <c r="C154" s="30" t="n"/>
      <c r="D154" s="30" t="n"/>
      <c r="E154" s="30" t="n"/>
      <c r="F154" s="30" t="n"/>
      <c r="G154" s="31">
        <f>IF($A154="","",IFERROR(ROUND(MAX(0,$B154*($D154-1)),2),0))</f>
        <v/>
      </c>
      <c r="H154" s="31">
        <f>IF($A154="","",IFERROR(ROUND($G154*INDEX(tblKurallar[deger_2025],MATCH("AYD-002",tblKurallar[kural_id],0)),2),0))</f>
        <v/>
      </c>
      <c r="I154" s="31">
        <f>IF($A154="","",IFERROR($G154-$G154*INDEX(tblKurallar[deger_2025],MATCH("AYD-004",tblKurallar[kural_id],0)),0))</f>
        <v/>
      </c>
    </row>
    <row r="155">
      <c r="A155" s="30" t="n"/>
      <c r="B155" s="30" t="n"/>
      <c r="C155" s="30" t="n"/>
      <c r="D155" s="30" t="n"/>
      <c r="E155" s="30" t="n"/>
      <c r="F155" s="30" t="n"/>
      <c r="G155" s="31">
        <f>IF($A155="","",IFERROR(ROUND(MAX(0,$B155*($D155-1)),2),0))</f>
        <v/>
      </c>
      <c r="H155" s="31">
        <f>IF($A155="","",IFERROR(ROUND($G155*INDEX(tblKurallar[deger_2025],MATCH("AYD-002",tblKurallar[kural_id],0)),2),0))</f>
        <v/>
      </c>
      <c r="I155" s="31">
        <f>IF($A155="","",IFERROR($G155-$G155*INDEX(tblKurallar[deger_2025],MATCH("AYD-004",tblKurallar[kural_id],0)),0))</f>
        <v/>
      </c>
    </row>
    <row r="156">
      <c r="A156" s="30" t="n"/>
      <c r="B156" s="30" t="n"/>
      <c r="C156" s="30" t="n"/>
      <c r="D156" s="30" t="n"/>
      <c r="E156" s="30" t="n"/>
      <c r="F156" s="30" t="n"/>
      <c r="G156" s="31">
        <f>IF($A156="","",IFERROR(ROUND(MAX(0,$B156*($D156-1)),2),0))</f>
        <v/>
      </c>
      <c r="H156" s="31">
        <f>IF($A156="","",IFERROR(ROUND($G156*INDEX(tblKurallar[deger_2025],MATCH("AYD-002",tblKurallar[kural_id],0)),2),0))</f>
        <v/>
      </c>
      <c r="I156" s="31">
        <f>IF($A156="","",IFERROR($G156-$G156*INDEX(tblKurallar[deger_2025],MATCH("AYD-004",tblKurallar[kural_id],0)),0))</f>
        <v/>
      </c>
    </row>
    <row r="157">
      <c r="A157" s="30" t="n"/>
      <c r="B157" s="30" t="n"/>
      <c r="C157" s="30" t="n"/>
      <c r="D157" s="30" t="n"/>
      <c r="E157" s="30" t="n"/>
      <c r="F157" s="30" t="n"/>
      <c r="G157" s="31">
        <f>IF($A157="","",IFERROR(ROUND(MAX(0,$B157*($D157-1)),2),0))</f>
        <v/>
      </c>
      <c r="H157" s="31">
        <f>IF($A157="","",IFERROR(ROUND($G157*INDEX(tblKurallar[deger_2025],MATCH("AYD-002",tblKurallar[kural_id],0)),2),0))</f>
        <v/>
      </c>
      <c r="I157" s="31">
        <f>IF($A157="","",IFERROR($G157-$G157*INDEX(tblKurallar[deger_2025],MATCH("AYD-004",tblKurallar[kural_id],0)),0))</f>
        <v/>
      </c>
    </row>
    <row r="158">
      <c r="A158" s="30" t="n"/>
      <c r="B158" s="30" t="n"/>
      <c r="C158" s="30" t="n"/>
      <c r="D158" s="30" t="n"/>
      <c r="E158" s="30" t="n"/>
      <c r="F158" s="30" t="n"/>
      <c r="G158" s="31">
        <f>IF($A158="","",IFERROR(ROUND(MAX(0,$B158*($D158-1)),2),0))</f>
        <v/>
      </c>
      <c r="H158" s="31">
        <f>IF($A158="","",IFERROR(ROUND($G158*INDEX(tblKurallar[deger_2025],MATCH("AYD-002",tblKurallar[kural_id],0)),2),0))</f>
        <v/>
      </c>
      <c r="I158" s="31">
        <f>IF($A158="","",IFERROR($G158-$G158*INDEX(tblKurallar[deger_2025],MATCH("AYD-004",tblKurallar[kural_id],0)),0))</f>
        <v/>
      </c>
    </row>
    <row r="159">
      <c r="A159" s="30" t="n"/>
      <c r="B159" s="30" t="n"/>
      <c r="C159" s="30" t="n"/>
      <c r="D159" s="30" t="n"/>
      <c r="E159" s="30" t="n"/>
      <c r="F159" s="30" t="n"/>
      <c r="G159" s="31">
        <f>IF($A159="","",IFERROR(ROUND(MAX(0,$B159*($D159-1)),2),0))</f>
        <v/>
      </c>
      <c r="H159" s="31">
        <f>IF($A159="","",IFERROR(ROUND($G159*INDEX(tblKurallar[deger_2025],MATCH("AYD-002",tblKurallar[kural_id],0)),2),0))</f>
        <v/>
      </c>
      <c r="I159" s="31">
        <f>IF($A159="","",IFERROR($G159-$G159*INDEX(tblKurallar[deger_2025],MATCH("AYD-004",tblKurallar[kural_id],0)),0))</f>
        <v/>
      </c>
    </row>
    <row r="160">
      <c r="A160" s="30" t="n"/>
      <c r="B160" s="30" t="n"/>
      <c r="C160" s="30" t="n"/>
      <c r="D160" s="30" t="n"/>
      <c r="E160" s="30" t="n"/>
      <c r="F160" s="30" t="n"/>
      <c r="G160" s="31">
        <f>IF($A160="","",IFERROR(ROUND(MAX(0,$B160*($D160-1)),2),0))</f>
        <v/>
      </c>
      <c r="H160" s="31">
        <f>IF($A160="","",IFERROR(ROUND($G160*INDEX(tblKurallar[deger_2025],MATCH("AYD-002",tblKurallar[kural_id],0)),2),0))</f>
        <v/>
      </c>
      <c r="I160" s="31">
        <f>IF($A160="","",IFERROR($G160-$G160*INDEX(tblKurallar[deger_2025],MATCH("AYD-004",tblKurallar[kural_id],0)),0))</f>
        <v/>
      </c>
    </row>
    <row r="161">
      <c r="A161" s="30" t="n"/>
      <c r="B161" s="30" t="n"/>
      <c r="C161" s="30" t="n"/>
      <c r="D161" s="30" t="n"/>
      <c r="E161" s="30" t="n"/>
      <c r="F161" s="30" t="n"/>
      <c r="G161" s="31">
        <f>IF($A161="","",IFERROR(ROUND(MAX(0,$B161*($D161-1)),2),0))</f>
        <v/>
      </c>
      <c r="H161" s="31">
        <f>IF($A161="","",IFERROR(ROUND($G161*INDEX(tblKurallar[deger_2025],MATCH("AYD-002",tblKurallar[kural_id],0)),2),0))</f>
        <v/>
      </c>
      <c r="I161" s="31">
        <f>IF($A161="","",IFERROR($G161-$G161*INDEX(tblKurallar[deger_2025],MATCH("AYD-004",tblKurallar[kural_id],0)),0))</f>
        <v/>
      </c>
    </row>
    <row r="162">
      <c r="A162" s="30" t="n"/>
      <c r="B162" s="30" t="n"/>
      <c r="C162" s="30" t="n"/>
      <c r="D162" s="30" t="n"/>
      <c r="E162" s="30" t="n"/>
      <c r="F162" s="30" t="n"/>
      <c r="G162" s="31">
        <f>IF($A162="","",IFERROR(ROUND(MAX(0,$B162*($D162-1)),2),0))</f>
        <v/>
      </c>
      <c r="H162" s="31">
        <f>IF($A162="","",IFERROR(ROUND($G162*INDEX(tblKurallar[deger_2025],MATCH("AYD-002",tblKurallar[kural_id],0)),2),0))</f>
        <v/>
      </c>
      <c r="I162" s="31">
        <f>IF($A162="","",IFERROR($G162-$G162*INDEX(tblKurallar[deger_2025],MATCH("AYD-004",tblKurallar[kural_id],0)),0))</f>
        <v/>
      </c>
    </row>
    <row r="163">
      <c r="A163" s="30" t="n"/>
      <c r="B163" s="30" t="n"/>
      <c r="C163" s="30" t="n"/>
      <c r="D163" s="30" t="n"/>
      <c r="E163" s="30" t="n"/>
      <c r="F163" s="30" t="n"/>
      <c r="G163" s="31">
        <f>IF($A163="","",IFERROR(ROUND(MAX(0,$B163*($D163-1)),2),0))</f>
        <v/>
      </c>
      <c r="H163" s="31">
        <f>IF($A163="","",IFERROR(ROUND($G163*INDEX(tblKurallar[deger_2025],MATCH("AYD-002",tblKurallar[kural_id],0)),2),0))</f>
        <v/>
      </c>
      <c r="I163" s="31">
        <f>IF($A163="","",IFERROR($G163-$G163*INDEX(tblKurallar[deger_2025],MATCH("AYD-004",tblKurallar[kural_id],0)),0))</f>
        <v/>
      </c>
    </row>
    <row r="164">
      <c r="A164" s="30" t="n"/>
      <c r="B164" s="30" t="n"/>
      <c r="C164" s="30" t="n"/>
      <c r="D164" s="30" t="n"/>
      <c r="E164" s="30" t="n"/>
      <c r="F164" s="30" t="n"/>
      <c r="G164" s="31">
        <f>IF($A164="","",IFERROR(ROUND(MAX(0,$B164*($D164-1)),2),0))</f>
        <v/>
      </c>
      <c r="H164" s="31">
        <f>IF($A164="","",IFERROR(ROUND($G164*INDEX(tblKurallar[deger_2025],MATCH("AYD-002",tblKurallar[kural_id],0)),2),0))</f>
        <v/>
      </c>
      <c r="I164" s="31">
        <f>IF($A164="","",IFERROR($G164-$G164*INDEX(tblKurallar[deger_2025],MATCH("AYD-004",tblKurallar[kural_id],0)),0))</f>
        <v/>
      </c>
    </row>
    <row r="165">
      <c r="A165" s="30" t="n"/>
      <c r="B165" s="30" t="n"/>
      <c r="C165" s="30" t="n"/>
      <c r="D165" s="30" t="n"/>
      <c r="E165" s="30" t="n"/>
      <c r="F165" s="30" t="n"/>
      <c r="G165" s="31">
        <f>IF($A165="","",IFERROR(ROUND(MAX(0,$B165*($D165-1)),2),0))</f>
        <v/>
      </c>
      <c r="H165" s="31">
        <f>IF($A165="","",IFERROR(ROUND($G165*INDEX(tblKurallar[deger_2025],MATCH("AYD-002",tblKurallar[kural_id],0)),2),0))</f>
        <v/>
      </c>
      <c r="I165" s="31">
        <f>IF($A165="","",IFERROR($G165-$G165*INDEX(tblKurallar[deger_2025],MATCH("AYD-004",tblKurallar[kural_id],0)),0))</f>
        <v/>
      </c>
    </row>
    <row r="166">
      <c r="A166" s="30" t="n"/>
      <c r="B166" s="30" t="n"/>
      <c r="C166" s="30" t="n"/>
      <c r="D166" s="30" t="n"/>
      <c r="E166" s="30" t="n"/>
      <c r="F166" s="30" t="n"/>
      <c r="G166" s="31">
        <f>IF($A166="","",IFERROR(ROUND(MAX(0,$B166*($D166-1)),2),0))</f>
        <v/>
      </c>
      <c r="H166" s="31">
        <f>IF($A166="","",IFERROR(ROUND($G166*INDEX(tblKurallar[deger_2025],MATCH("AYD-002",tblKurallar[kural_id],0)),2),0))</f>
        <v/>
      </c>
      <c r="I166" s="31">
        <f>IF($A166="","",IFERROR($G166-$G166*INDEX(tblKurallar[deger_2025],MATCH("AYD-004",tblKurallar[kural_id],0)),0))</f>
        <v/>
      </c>
    </row>
    <row r="167">
      <c r="A167" s="30" t="n"/>
      <c r="B167" s="30" t="n"/>
      <c r="C167" s="30" t="n"/>
      <c r="D167" s="30" t="n"/>
      <c r="E167" s="30" t="n"/>
      <c r="F167" s="30" t="n"/>
      <c r="G167" s="31">
        <f>IF($A167="","",IFERROR(ROUND(MAX(0,$B167*($D167-1)),2),0))</f>
        <v/>
      </c>
      <c r="H167" s="31">
        <f>IF($A167="","",IFERROR(ROUND($G167*INDEX(tblKurallar[deger_2025],MATCH("AYD-002",tblKurallar[kural_id],0)),2),0))</f>
        <v/>
      </c>
      <c r="I167" s="31">
        <f>IF($A167="","",IFERROR($G167-$G167*INDEX(tblKurallar[deger_2025],MATCH("AYD-004",tblKurallar[kural_id],0)),0))</f>
        <v/>
      </c>
    </row>
    <row r="168">
      <c r="A168" s="30" t="n"/>
      <c r="B168" s="30" t="n"/>
      <c r="C168" s="30" t="n"/>
      <c r="D168" s="30" t="n"/>
      <c r="E168" s="30" t="n"/>
      <c r="F168" s="30" t="n"/>
      <c r="G168" s="31">
        <f>IF($A168="","",IFERROR(ROUND(MAX(0,$B168*($D168-1)),2),0))</f>
        <v/>
      </c>
      <c r="H168" s="31">
        <f>IF($A168="","",IFERROR(ROUND($G168*INDEX(tblKurallar[deger_2025],MATCH("AYD-002",tblKurallar[kural_id],0)),2),0))</f>
        <v/>
      </c>
      <c r="I168" s="31">
        <f>IF($A168="","",IFERROR($G168-$G168*INDEX(tblKurallar[deger_2025],MATCH("AYD-004",tblKurallar[kural_id],0)),0))</f>
        <v/>
      </c>
    </row>
    <row r="169">
      <c r="A169" s="30" t="n"/>
      <c r="B169" s="30" t="n"/>
      <c r="C169" s="30" t="n"/>
      <c r="D169" s="30" t="n"/>
      <c r="E169" s="30" t="n"/>
      <c r="F169" s="30" t="n"/>
      <c r="G169" s="31">
        <f>IF($A169="","",IFERROR(ROUND(MAX(0,$B169*($D169-1)),2),0))</f>
        <v/>
      </c>
      <c r="H169" s="31">
        <f>IF($A169="","",IFERROR(ROUND($G169*INDEX(tblKurallar[deger_2025],MATCH("AYD-002",tblKurallar[kural_id],0)),2),0))</f>
        <v/>
      </c>
      <c r="I169" s="31">
        <f>IF($A169="","",IFERROR($G169-$G169*INDEX(tblKurallar[deger_2025],MATCH("AYD-004",tblKurallar[kural_id],0)),0))</f>
        <v/>
      </c>
    </row>
    <row r="170">
      <c r="A170" s="30" t="n"/>
      <c r="B170" s="30" t="n"/>
      <c r="C170" s="30" t="n"/>
      <c r="D170" s="30" t="n"/>
      <c r="E170" s="30" t="n"/>
      <c r="F170" s="30" t="n"/>
      <c r="G170" s="31">
        <f>IF($A170="","",IFERROR(ROUND(MAX(0,$B170*($D170-1)),2),0))</f>
        <v/>
      </c>
      <c r="H170" s="31">
        <f>IF($A170="","",IFERROR(ROUND($G170*INDEX(tblKurallar[deger_2025],MATCH("AYD-002",tblKurallar[kural_id],0)),2),0))</f>
        <v/>
      </c>
      <c r="I170" s="31">
        <f>IF($A170="","",IFERROR($G170-$G170*INDEX(tblKurallar[deger_2025],MATCH("AYD-004",tblKurallar[kural_id],0)),0))</f>
        <v/>
      </c>
    </row>
    <row r="171">
      <c r="A171" s="30" t="n"/>
      <c r="B171" s="30" t="n"/>
      <c r="C171" s="30" t="n"/>
      <c r="D171" s="30" t="n"/>
      <c r="E171" s="30" t="n"/>
      <c r="F171" s="30" t="n"/>
      <c r="G171" s="31">
        <f>IF($A171="","",IFERROR(ROUND(MAX(0,$B171*($D171-1)),2),0))</f>
        <v/>
      </c>
      <c r="H171" s="31">
        <f>IF($A171="","",IFERROR(ROUND($G171*INDEX(tblKurallar[deger_2025],MATCH("AYD-002",tblKurallar[kural_id],0)),2),0))</f>
        <v/>
      </c>
      <c r="I171" s="31">
        <f>IF($A171="","",IFERROR($G171-$G171*INDEX(tblKurallar[deger_2025],MATCH("AYD-004",tblKurallar[kural_id],0)),0))</f>
        <v/>
      </c>
    </row>
    <row r="172">
      <c r="A172" s="30" t="n"/>
      <c r="B172" s="30" t="n"/>
      <c r="C172" s="30" t="n"/>
      <c r="D172" s="30" t="n"/>
      <c r="E172" s="30" t="n"/>
      <c r="F172" s="30" t="n"/>
      <c r="G172" s="31">
        <f>IF($A172="","",IFERROR(ROUND(MAX(0,$B172*($D172-1)),2),0))</f>
        <v/>
      </c>
      <c r="H172" s="31">
        <f>IF($A172="","",IFERROR(ROUND($G172*INDEX(tblKurallar[deger_2025],MATCH("AYD-002",tblKurallar[kural_id],0)),2),0))</f>
        <v/>
      </c>
      <c r="I172" s="31">
        <f>IF($A172="","",IFERROR($G172-$G172*INDEX(tblKurallar[deger_2025],MATCH("AYD-004",tblKurallar[kural_id],0)),0))</f>
        <v/>
      </c>
    </row>
    <row r="173">
      <c r="A173" s="30" t="n"/>
      <c r="B173" s="30" t="n"/>
      <c r="C173" s="30" t="n"/>
      <c r="D173" s="30" t="n"/>
      <c r="E173" s="30" t="n"/>
      <c r="F173" s="30" t="n"/>
      <c r="G173" s="31">
        <f>IF($A173="","",IFERROR(ROUND(MAX(0,$B173*($D173-1)),2),0))</f>
        <v/>
      </c>
      <c r="H173" s="31">
        <f>IF($A173="","",IFERROR(ROUND($G173*INDEX(tblKurallar[deger_2025],MATCH("AYD-002",tblKurallar[kural_id],0)),2),0))</f>
        <v/>
      </c>
      <c r="I173" s="31">
        <f>IF($A173="","",IFERROR($G173-$G173*INDEX(tblKurallar[deger_2025],MATCH("AYD-004",tblKurallar[kural_id],0)),0))</f>
        <v/>
      </c>
    </row>
    <row r="174">
      <c r="A174" s="30" t="n"/>
      <c r="B174" s="30" t="n"/>
      <c r="C174" s="30" t="n"/>
      <c r="D174" s="30" t="n"/>
      <c r="E174" s="30" t="n"/>
      <c r="F174" s="30" t="n"/>
      <c r="G174" s="31">
        <f>IF($A174="","",IFERROR(ROUND(MAX(0,$B174*($D174-1)),2),0))</f>
        <v/>
      </c>
      <c r="H174" s="31">
        <f>IF($A174="","",IFERROR(ROUND($G174*INDEX(tblKurallar[deger_2025],MATCH("AYD-002",tblKurallar[kural_id],0)),2),0))</f>
        <v/>
      </c>
      <c r="I174" s="31">
        <f>IF($A174="","",IFERROR($G174-$G174*INDEX(tblKurallar[deger_2025],MATCH("AYD-004",tblKurallar[kural_id],0)),0))</f>
        <v/>
      </c>
    </row>
    <row r="175">
      <c r="A175" s="30" t="n"/>
      <c r="B175" s="30" t="n"/>
      <c r="C175" s="30" t="n"/>
      <c r="D175" s="30" t="n"/>
      <c r="E175" s="30" t="n"/>
      <c r="F175" s="30" t="n"/>
      <c r="G175" s="31">
        <f>IF($A175="","",IFERROR(ROUND(MAX(0,$B175*($D175-1)),2),0))</f>
        <v/>
      </c>
      <c r="H175" s="31">
        <f>IF($A175="","",IFERROR(ROUND($G175*INDEX(tblKurallar[deger_2025],MATCH("AYD-002",tblKurallar[kural_id],0)),2),0))</f>
        <v/>
      </c>
      <c r="I175" s="31">
        <f>IF($A175="","",IFERROR($G175-$G175*INDEX(tblKurallar[deger_2025],MATCH("AYD-004",tblKurallar[kural_id],0)),0))</f>
        <v/>
      </c>
    </row>
    <row r="176">
      <c r="A176" s="30" t="n"/>
      <c r="B176" s="30" t="n"/>
      <c r="C176" s="30" t="n"/>
      <c r="D176" s="30" t="n"/>
      <c r="E176" s="30" t="n"/>
      <c r="F176" s="30" t="n"/>
      <c r="G176" s="31">
        <f>IF($A176="","",IFERROR(ROUND(MAX(0,$B176*($D176-1)),2),0))</f>
        <v/>
      </c>
      <c r="H176" s="31">
        <f>IF($A176="","",IFERROR(ROUND($G176*INDEX(tblKurallar[deger_2025],MATCH("AYD-002",tblKurallar[kural_id],0)),2),0))</f>
        <v/>
      </c>
      <c r="I176" s="31">
        <f>IF($A176="","",IFERROR($G176-$G176*INDEX(tblKurallar[deger_2025],MATCH("AYD-004",tblKurallar[kural_id],0)),0))</f>
        <v/>
      </c>
    </row>
    <row r="177">
      <c r="A177" s="30" t="n"/>
      <c r="B177" s="30" t="n"/>
      <c r="C177" s="30" t="n"/>
      <c r="D177" s="30" t="n"/>
      <c r="E177" s="30" t="n"/>
      <c r="F177" s="30" t="n"/>
      <c r="G177" s="31">
        <f>IF($A177="","",IFERROR(ROUND(MAX(0,$B177*($D177-1)),2),0))</f>
        <v/>
      </c>
      <c r="H177" s="31">
        <f>IF($A177="","",IFERROR(ROUND($G177*INDEX(tblKurallar[deger_2025],MATCH("AYD-002",tblKurallar[kural_id],0)),2),0))</f>
        <v/>
      </c>
      <c r="I177" s="31">
        <f>IF($A177="","",IFERROR($G177-$G177*INDEX(tblKurallar[deger_2025],MATCH("AYD-004",tblKurallar[kural_id],0)),0))</f>
        <v/>
      </c>
    </row>
    <row r="178">
      <c r="A178" s="30" t="n"/>
      <c r="B178" s="30" t="n"/>
      <c r="C178" s="30" t="n"/>
      <c r="D178" s="30" t="n"/>
      <c r="E178" s="30" t="n"/>
      <c r="F178" s="30" t="n"/>
      <c r="G178" s="31">
        <f>IF($A178="","",IFERROR(ROUND(MAX(0,$B178*($D178-1)),2),0))</f>
        <v/>
      </c>
      <c r="H178" s="31">
        <f>IF($A178="","",IFERROR(ROUND($G178*INDEX(tblKurallar[deger_2025],MATCH("AYD-002",tblKurallar[kural_id],0)),2),0))</f>
        <v/>
      </c>
      <c r="I178" s="31">
        <f>IF($A178="","",IFERROR($G178-$G178*INDEX(tblKurallar[deger_2025],MATCH("AYD-004",tblKurallar[kural_id],0)),0))</f>
        <v/>
      </c>
    </row>
    <row r="179">
      <c r="A179" s="30" t="n"/>
      <c r="B179" s="30" t="n"/>
      <c r="C179" s="30" t="n"/>
      <c r="D179" s="30" t="n"/>
      <c r="E179" s="30" t="n"/>
      <c r="F179" s="30" t="n"/>
      <c r="G179" s="31">
        <f>IF($A179="","",IFERROR(ROUND(MAX(0,$B179*($D179-1)),2),0))</f>
        <v/>
      </c>
      <c r="H179" s="31">
        <f>IF($A179="","",IFERROR(ROUND($G179*INDEX(tblKurallar[deger_2025],MATCH("AYD-002",tblKurallar[kural_id],0)),2),0))</f>
        <v/>
      </c>
      <c r="I179" s="31">
        <f>IF($A179="","",IFERROR($G179-$G179*INDEX(tblKurallar[deger_2025],MATCH("AYD-004",tblKurallar[kural_id],0)),0))</f>
        <v/>
      </c>
    </row>
    <row r="180">
      <c r="A180" s="30" t="n"/>
      <c r="B180" s="30" t="n"/>
      <c r="C180" s="30" t="n"/>
      <c r="D180" s="30" t="n"/>
      <c r="E180" s="30" t="n"/>
      <c r="F180" s="30" t="n"/>
      <c r="G180" s="31">
        <f>IF($A180="","",IFERROR(ROUND(MAX(0,$B180*($D180-1)),2),0))</f>
        <v/>
      </c>
      <c r="H180" s="31">
        <f>IF($A180="","",IFERROR(ROUND($G180*INDEX(tblKurallar[deger_2025],MATCH("AYD-002",tblKurallar[kural_id],0)),2),0))</f>
        <v/>
      </c>
      <c r="I180" s="31">
        <f>IF($A180="","",IFERROR($G180-$G180*INDEX(tblKurallar[deger_2025],MATCH("AYD-004",tblKurallar[kural_id],0)),0))</f>
        <v/>
      </c>
    </row>
    <row r="181">
      <c r="A181" s="30" t="n"/>
      <c r="B181" s="30" t="n"/>
      <c r="C181" s="30" t="n"/>
      <c r="D181" s="30" t="n"/>
      <c r="E181" s="30" t="n"/>
      <c r="F181" s="30" t="n"/>
      <c r="G181" s="31">
        <f>IF($A181="","",IFERROR(ROUND(MAX(0,$B181*($D181-1)),2),0))</f>
        <v/>
      </c>
      <c r="H181" s="31">
        <f>IF($A181="","",IFERROR(ROUND($G181*INDEX(tblKurallar[deger_2025],MATCH("AYD-002",tblKurallar[kural_id],0)),2),0))</f>
        <v/>
      </c>
      <c r="I181" s="31">
        <f>IF($A181="","",IFERROR($G181-$G181*INDEX(tblKurallar[deger_2025],MATCH("AYD-004",tblKurallar[kural_id],0)),0))</f>
        <v/>
      </c>
    </row>
    <row r="182">
      <c r="A182" s="30" t="n"/>
      <c r="B182" s="30" t="n"/>
      <c r="C182" s="30" t="n"/>
      <c r="D182" s="30" t="n"/>
      <c r="E182" s="30" t="n"/>
      <c r="F182" s="30" t="n"/>
      <c r="G182" s="31">
        <f>IF($A182="","",IFERROR(ROUND(MAX(0,$B182*($D182-1)),2),0))</f>
        <v/>
      </c>
      <c r="H182" s="31">
        <f>IF($A182="","",IFERROR(ROUND($G182*INDEX(tblKurallar[deger_2025],MATCH("AYD-002",tblKurallar[kural_id],0)),2),0))</f>
        <v/>
      </c>
      <c r="I182" s="31">
        <f>IF($A182="","",IFERROR($G182-$G182*INDEX(tblKurallar[deger_2025],MATCH("AYD-004",tblKurallar[kural_id],0)),0))</f>
        <v/>
      </c>
    </row>
    <row r="183">
      <c r="A183" s="30" t="n"/>
      <c r="B183" s="30" t="n"/>
      <c r="C183" s="30" t="n"/>
      <c r="D183" s="30" t="n"/>
      <c r="E183" s="30" t="n"/>
      <c r="F183" s="30" t="n"/>
      <c r="G183" s="31">
        <f>IF($A183="","",IFERROR(ROUND(MAX(0,$B183*($D183-1)),2),0))</f>
        <v/>
      </c>
      <c r="H183" s="31">
        <f>IF($A183="","",IFERROR(ROUND($G183*INDEX(tblKurallar[deger_2025],MATCH("AYD-002",tblKurallar[kural_id],0)),2),0))</f>
        <v/>
      </c>
      <c r="I183" s="31">
        <f>IF($A183="","",IFERROR($G183-$G183*INDEX(tblKurallar[deger_2025],MATCH("AYD-004",tblKurallar[kural_id],0)),0))</f>
        <v/>
      </c>
    </row>
    <row r="184">
      <c r="A184" s="30" t="n"/>
      <c r="B184" s="30" t="n"/>
      <c r="C184" s="30" t="n"/>
      <c r="D184" s="30" t="n"/>
      <c r="E184" s="30" t="n"/>
      <c r="F184" s="30" t="n"/>
      <c r="G184" s="31">
        <f>IF($A184="","",IFERROR(ROUND(MAX(0,$B184*($D184-1)),2),0))</f>
        <v/>
      </c>
      <c r="H184" s="31">
        <f>IF($A184="","",IFERROR(ROUND($G184*INDEX(tblKurallar[deger_2025],MATCH("AYD-002",tblKurallar[kural_id],0)),2),0))</f>
        <v/>
      </c>
      <c r="I184" s="31">
        <f>IF($A184="","",IFERROR($G184-$G184*INDEX(tblKurallar[deger_2025],MATCH("AYD-004",tblKurallar[kural_id],0)),0))</f>
        <v/>
      </c>
    </row>
    <row r="185">
      <c r="A185" s="30" t="n"/>
      <c r="B185" s="30" t="n"/>
      <c r="C185" s="30" t="n"/>
      <c r="D185" s="30" t="n"/>
      <c r="E185" s="30" t="n"/>
      <c r="F185" s="30" t="n"/>
      <c r="G185" s="31">
        <f>IF($A185="","",IFERROR(ROUND(MAX(0,$B185*($D185-1)),2),0))</f>
        <v/>
      </c>
      <c r="H185" s="31">
        <f>IF($A185="","",IFERROR(ROUND($G185*INDEX(tblKurallar[deger_2025],MATCH("AYD-002",tblKurallar[kural_id],0)),2),0))</f>
        <v/>
      </c>
      <c r="I185" s="31">
        <f>IF($A185="","",IFERROR($G185-$G185*INDEX(tblKurallar[deger_2025],MATCH("AYD-004",tblKurallar[kural_id],0)),0))</f>
        <v/>
      </c>
    </row>
    <row r="186">
      <c r="A186" s="30" t="n"/>
      <c r="B186" s="30" t="n"/>
      <c r="C186" s="30" t="n"/>
      <c r="D186" s="30" t="n"/>
      <c r="E186" s="30" t="n"/>
      <c r="F186" s="30" t="n"/>
      <c r="G186" s="31">
        <f>IF($A186="","",IFERROR(ROUND(MAX(0,$B186*($D186-1)),2),0))</f>
        <v/>
      </c>
      <c r="H186" s="31">
        <f>IF($A186="","",IFERROR(ROUND($G186*INDEX(tblKurallar[deger_2025],MATCH("AYD-002",tblKurallar[kural_id],0)),2),0))</f>
        <v/>
      </c>
      <c r="I186" s="31">
        <f>IF($A186="","",IFERROR($G186-$G186*INDEX(tblKurallar[deger_2025],MATCH("AYD-004",tblKurallar[kural_id],0)),0))</f>
        <v/>
      </c>
    </row>
    <row r="187">
      <c r="A187" s="30" t="n"/>
      <c r="B187" s="30" t="n"/>
      <c r="C187" s="30" t="n"/>
      <c r="D187" s="30" t="n"/>
      <c r="E187" s="30" t="n"/>
      <c r="F187" s="30" t="n"/>
      <c r="G187" s="31">
        <f>IF($A187="","",IFERROR(ROUND(MAX(0,$B187*($D187-1)),2),0))</f>
        <v/>
      </c>
      <c r="H187" s="31">
        <f>IF($A187="","",IFERROR(ROUND($G187*INDEX(tblKurallar[deger_2025],MATCH("AYD-002",tblKurallar[kural_id],0)),2),0))</f>
        <v/>
      </c>
      <c r="I187" s="31">
        <f>IF($A187="","",IFERROR($G187-$G187*INDEX(tblKurallar[deger_2025],MATCH("AYD-004",tblKurallar[kural_id],0)),0))</f>
        <v/>
      </c>
    </row>
    <row r="188">
      <c r="A188" s="30" t="n"/>
      <c r="B188" s="30" t="n"/>
      <c r="C188" s="30" t="n"/>
      <c r="D188" s="30" t="n"/>
      <c r="E188" s="30" t="n"/>
      <c r="F188" s="30" t="n"/>
      <c r="G188" s="31">
        <f>IF($A188="","",IFERROR(ROUND(MAX(0,$B188*($D188-1)),2),0))</f>
        <v/>
      </c>
      <c r="H188" s="31">
        <f>IF($A188="","",IFERROR(ROUND($G188*INDEX(tblKurallar[deger_2025],MATCH("AYD-002",tblKurallar[kural_id],0)),2),0))</f>
        <v/>
      </c>
      <c r="I188" s="31">
        <f>IF($A188="","",IFERROR($G188-$G188*INDEX(tblKurallar[deger_2025],MATCH("AYD-004",tblKurallar[kural_id],0)),0))</f>
        <v/>
      </c>
    </row>
    <row r="189">
      <c r="A189" s="30" t="n"/>
      <c r="B189" s="30" t="n"/>
      <c r="C189" s="30" t="n"/>
      <c r="D189" s="30" t="n"/>
      <c r="E189" s="30" t="n"/>
      <c r="F189" s="30" t="n"/>
      <c r="G189" s="31">
        <f>IF($A189="","",IFERROR(ROUND(MAX(0,$B189*($D189-1)),2),0))</f>
        <v/>
      </c>
      <c r="H189" s="31">
        <f>IF($A189="","",IFERROR(ROUND($G189*INDEX(tblKurallar[deger_2025],MATCH("AYD-002",tblKurallar[kural_id],0)),2),0))</f>
        <v/>
      </c>
      <c r="I189" s="31">
        <f>IF($A189="","",IFERROR($G189-$G189*INDEX(tblKurallar[deger_2025],MATCH("AYD-004",tblKurallar[kural_id],0)),0))</f>
        <v/>
      </c>
    </row>
    <row r="190">
      <c r="A190" s="30" t="n"/>
      <c r="B190" s="30" t="n"/>
      <c r="C190" s="30" t="n"/>
      <c r="D190" s="30" t="n"/>
      <c r="E190" s="30" t="n"/>
      <c r="F190" s="30" t="n"/>
      <c r="G190" s="31">
        <f>IF($A190="","",IFERROR(ROUND(MAX(0,$B190*($D190-1)),2),0))</f>
        <v/>
      </c>
      <c r="H190" s="31">
        <f>IF($A190="","",IFERROR(ROUND($G190*INDEX(tblKurallar[deger_2025],MATCH("AYD-002",tblKurallar[kural_id],0)),2),0))</f>
        <v/>
      </c>
      <c r="I190" s="31">
        <f>IF($A190="","",IFERROR($G190-$G190*INDEX(tblKurallar[deger_2025],MATCH("AYD-004",tblKurallar[kural_id],0)),0))</f>
        <v/>
      </c>
    </row>
    <row r="191">
      <c r="A191" s="30" t="n"/>
      <c r="B191" s="30" t="n"/>
      <c r="C191" s="30" t="n"/>
      <c r="D191" s="30" t="n"/>
      <c r="E191" s="30" t="n"/>
      <c r="F191" s="30" t="n"/>
      <c r="G191" s="31">
        <f>IF($A191="","",IFERROR(ROUND(MAX(0,$B191*($D191-1)),2),0))</f>
        <v/>
      </c>
      <c r="H191" s="31">
        <f>IF($A191="","",IFERROR(ROUND($G191*INDEX(tblKurallar[deger_2025],MATCH("AYD-002",tblKurallar[kural_id],0)),2),0))</f>
        <v/>
      </c>
      <c r="I191" s="31">
        <f>IF($A191="","",IFERROR($G191-$G191*INDEX(tblKurallar[deger_2025],MATCH("AYD-004",tblKurallar[kural_id],0)),0))</f>
        <v/>
      </c>
    </row>
    <row r="192">
      <c r="A192" s="30" t="n"/>
      <c r="B192" s="30" t="n"/>
      <c r="C192" s="30" t="n"/>
      <c r="D192" s="30" t="n"/>
      <c r="E192" s="30" t="n"/>
      <c r="F192" s="30" t="n"/>
      <c r="G192" s="31">
        <f>IF($A192="","",IFERROR(ROUND(MAX(0,$B192*($D192-1)),2),0))</f>
        <v/>
      </c>
      <c r="H192" s="31">
        <f>IF($A192="","",IFERROR(ROUND($G192*INDEX(tblKurallar[deger_2025],MATCH("AYD-002",tblKurallar[kural_id],0)),2),0))</f>
        <v/>
      </c>
      <c r="I192" s="31">
        <f>IF($A192="","",IFERROR($G192-$G192*INDEX(tblKurallar[deger_2025],MATCH("AYD-004",tblKurallar[kural_id],0)),0))</f>
        <v/>
      </c>
    </row>
    <row r="193">
      <c r="A193" s="30" t="n"/>
      <c r="B193" s="30" t="n"/>
      <c r="C193" s="30" t="n"/>
      <c r="D193" s="30" t="n"/>
      <c r="E193" s="30" t="n"/>
      <c r="F193" s="30" t="n"/>
      <c r="G193" s="31">
        <f>IF($A193="","",IFERROR(ROUND(MAX(0,$B193*($D193-1)),2),0))</f>
        <v/>
      </c>
      <c r="H193" s="31">
        <f>IF($A193="","",IFERROR(ROUND($G193*INDEX(tblKurallar[deger_2025],MATCH("AYD-002",tblKurallar[kural_id],0)),2),0))</f>
        <v/>
      </c>
      <c r="I193" s="31">
        <f>IF($A193="","",IFERROR($G193-$G193*INDEX(tblKurallar[deger_2025],MATCH("AYD-004",tblKurallar[kural_id],0)),0))</f>
        <v/>
      </c>
    </row>
    <row r="194">
      <c r="A194" s="30" t="n"/>
      <c r="B194" s="30" t="n"/>
      <c r="C194" s="30" t="n"/>
      <c r="D194" s="30" t="n"/>
      <c r="E194" s="30" t="n"/>
      <c r="F194" s="30" t="n"/>
      <c r="G194" s="31">
        <f>IF($A194="","",IFERROR(ROUND(MAX(0,$B194*($D194-1)),2),0))</f>
        <v/>
      </c>
      <c r="H194" s="31">
        <f>IF($A194="","",IFERROR(ROUND($G194*INDEX(tblKurallar[deger_2025],MATCH("AYD-002",tblKurallar[kural_id],0)),2),0))</f>
        <v/>
      </c>
      <c r="I194" s="31">
        <f>IF($A194="","",IFERROR($G194-$G194*INDEX(tblKurallar[deger_2025],MATCH("AYD-004",tblKurallar[kural_id],0)),0))</f>
        <v/>
      </c>
    </row>
    <row r="195">
      <c r="A195" s="30" t="n"/>
      <c r="B195" s="30" t="n"/>
      <c r="C195" s="30" t="n"/>
      <c r="D195" s="30" t="n"/>
      <c r="E195" s="30" t="n"/>
      <c r="F195" s="30" t="n"/>
      <c r="G195" s="31">
        <f>IF($A195="","",IFERROR(ROUND(MAX(0,$B195*($D195-1)),2),0))</f>
        <v/>
      </c>
      <c r="H195" s="31">
        <f>IF($A195="","",IFERROR(ROUND($G195*INDEX(tblKurallar[deger_2025],MATCH("AYD-002",tblKurallar[kural_id],0)),2),0))</f>
        <v/>
      </c>
      <c r="I195" s="31">
        <f>IF($A195="","",IFERROR($G195-$G195*INDEX(tblKurallar[deger_2025],MATCH("AYD-004",tblKurallar[kural_id],0)),0))</f>
        <v/>
      </c>
    </row>
    <row r="196">
      <c r="A196" s="30" t="n"/>
      <c r="B196" s="30" t="n"/>
      <c r="C196" s="30" t="n"/>
      <c r="D196" s="30" t="n"/>
      <c r="E196" s="30" t="n"/>
      <c r="F196" s="30" t="n"/>
      <c r="G196" s="31">
        <f>IF($A196="","",IFERROR(ROUND(MAX(0,$B196*($D196-1)),2),0))</f>
        <v/>
      </c>
      <c r="H196" s="31">
        <f>IF($A196="","",IFERROR(ROUND($G196*INDEX(tblKurallar[deger_2025],MATCH("AYD-002",tblKurallar[kural_id],0)),2),0))</f>
        <v/>
      </c>
      <c r="I196" s="31">
        <f>IF($A196="","",IFERROR($G196-$G196*INDEX(tblKurallar[deger_2025],MATCH("AYD-004",tblKurallar[kural_id],0)),0))</f>
        <v/>
      </c>
    </row>
    <row r="197">
      <c r="A197" s="30" t="n"/>
      <c r="B197" s="30" t="n"/>
      <c r="C197" s="30" t="n"/>
      <c r="D197" s="30" t="n"/>
      <c r="E197" s="30" t="n"/>
      <c r="F197" s="30" t="n"/>
      <c r="G197" s="31">
        <f>IF($A197="","",IFERROR(ROUND(MAX(0,$B197*($D197-1)),2),0))</f>
        <v/>
      </c>
      <c r="H197" s="31">
        <f>IF($A197="","",IFERROR(ROUND($G197*INDEX(tblKurallar[deger_2025],MATCH("AYD-002",tblKurallar[kural_id],0)),2),0))</f>
        <v/>
      </c>
      <c r="I197" s="31">
        <f>IF($A197="","",IFERROR($G197-$G197*INDEX(tblKurallar[deger_2025],MATCH("AYD-004",tblKurallar[kural_id],0)),0))</f>
        <v/>
      </c>
    </row>
    <row r="198">
      <c r="A198" s="30" t="n"/>
      <c r="B198" s="30" t="n"/>
      <c r="C198" s="30" t="n"/>
      <c r="D198" s="30" t="n"/>
      <c r="E198" s="30" t="n"/>
      <c r="F198" s="30" t="n"/>
      <c r="G198" s="31">
        <f>IF($A198="","",IFERROR(ROUND(MAX(0,$B198*($D198-1)),2),0))</f>
        <v/>
      </c>
      <c r="H198" s="31">
        <f>IF($A198="","",IFERROR(ROUND($G198*INDEX(tblKurallar[deger_2025],MATCH("AYD-002",tblKurallar[kural_id],0)),2),0))</f>
        <v/>
      </c>
      <c r="I198" s="31">
        <f>IF($A198="","",IFERROR($G198-$G198*INDEX(tblKurallar[deger_2025],MATCH("AYD-004",tblKurallar[kural_id],0)),0))</f>
        <v/>
      </c>
    </row>
    <row r="199">
      <c r="A199" s="30" t="n"/>
      <c r="B199" s="30" t="n"/>
      <c r="C199" s="30" t="n"/>
      <c r="D199" s="30" t="n"/>
      <c r="E199" s="30" t="n"/>
      <c r="F199" s="30" t="n"/>
      <c r="G199" s="31">
        <f>IF($A199="","",IFERROR(ROUND(MAX(0,$B199*($D199-1)),2),0))</f>
        <v/>
      </c>
      <c r="H199" s="31">
        <f>IF($A199="","",IFERROR(ROUND($G199*INDEX(tblKurallar[deger_2025],MATCH("AYD-002",tblKurallar[kural_id],0)),2),0))</f>
        <v/>
      </c>
      <c r="I199" s="31">
        <f>IF($A199="","",IFERROR($G199-$G199*INDEX(tblKurallar[deger_2025],MATCH("AYD-004",tblKurallar[kural_id],0)),0))</f>
        <v/>
      </c>
    </row>
    <row r="200">
      <c r="A200" s="30" t="n"/>
      <c r="B200" s="30" t="n"/>
      <c r="C200" s="30" t="n"/>
      <c r="D200" s="30" t="n"/>
      <c r="E200" s="30" t="n"/>
      <c r="F200" s="30" t="n"/>
      <c r="G200" s="31">
        <f>IF($A200="","",IFERROR(ROUND(MAX(0,$B200*($D200-1)),2),0))</f>
        <v/>
      </c>
      <c r="H200" s="31">
        <f>IF($A200="","",IFERROR(ROUND($G200*INDEX(tblKurallar[deger_2025],MATCH("AYD-002",tblKurallar[kural_id],0)),2),0))</f>
        <v/>
      </c>
      <c r="I200" s="31">
        <f>IF($A200="","",IFERROR($G200-$G200*INDEX(tblKurallar[deger_2025],MATCH("AYD-004",tblKurallar[kural_id],0)),0))</f>
        <v/>
      </c>
    </row>
    <row r="201">
      <c r="A201" s="30" t="n"/>
      <c r="B201" s="30" t="n"/>
      <c r="C201" s="30" t="n"/>
      <c r="D201" s="30" t="n"/>
      <c r="E201" s="30" t="n"/>
      <c r="F201" s="30" t="n"/>
      <c r="G201" s="31">
        <f>IF($A201="","",IFERROR(ROUND(MAX(0,$B201*($D201-1)),2),0))</f>
        <v/>
      </c>
      <c r="H201" s="31">
        <f>IF($A201="","",IFERROR(ROUND($G201*INDEX(tblKurallar[deger_2025],MATCH("AYD-002",tblKurallar[kural_id],0)),2),0))</f>
        <v/>
      </c>
      <c r="I201" s="31">
        <f>IF($A201="","",IFERROR($G201-$G201*INDEX(tblKurallar[deger_2025],MATCH("AYD-004",tblKurallar[kural_id],0)),0))</f>
        <v/>
      </c>
    </row>
    <row r="202">
      <c r="A202" s="30" t="n"/>
      <c r="B202" s="30" t="n"/>
      <c r="C202" s="30" t="n"/>
      <c r="D202" s="30" t="n"/>
      <c r="E202" s="30" t="n"/>
      <c r="F202" s="30" t="n"/>
      <c r="G202" s="31">
        <f>IF($A202="","",IFERROR(ROUND(MAX(0,$B202*($D202-1)),2),0))</f>
        <v/>
      </c>
      <c r="H202" s="31">
        <f>IF($A202="","",IFERROR(ROUND($G202*INDEX(tblKurallar[deger_2025],MATCH("AYD-002",tblKurallar[kural_id],0)),2),0))</f>
        <v/>
      </c>
      <c r="I202" s="31">
        <f>IF($A202="","",IFERROR($G202-$G202*INDEX(tblKurallar[deger_2025],MATCH("AYD-004",tblKurallar[kural_id],0)),0))</f>
        <v/>
      </c>
    </row>
    <row r="203">
      <c r="A203" s="30" t="n"/>
      <c r="B203" s="30" t="n"/>
      <c r="C203" s="30" t="n"/>
      <c r="D203" s="30" t="n"/>
      <c r="E203" s="30" t="n"/>
      <c r="F203" s="30" t="n"/>
      <c r="G203" s="31">
        <f>IF($A203="","",IFERROR(ROUND(MAX(0,$B203*($D203-1)),2),0))</f>
        <v/>
      </c>
      <c r="H203" s="31">
        <f>IF($A203="","",IFERROR(ROUND($G203*INDEX(tblKurallar[deger_2025],MATCH("AYD-002",tblKurallar[kural_id],0)),2),0))</f>
        <v/>
      </c>
      <c r="I203" s="31">
        <f>IF($A203="","",IFERROR($G203-$G203*INDEX(tblKurallar[deger_2025],MATCH("AYD-004",tblKurallar[kural_id],0)),0))</f>
        <v/>
      </c>
    </row>
    <row r="204">
      <c r="A204" s="30" t="n"/>
      <c r="B204" s="30" t="n"/>
      <c r="C204" s="30" t="n"/>
      <c r="D204" s="30" t="n"/>
      <c r="E204" s="30" t="n"/>
      <c r="F204" s="30" t="n"/>
      <c r="G204" s="31">
        <f>IF($A204="","",IFERROR(ROUND(MAX(0,$B204*($D204-1)),2),0))</f>
        <v/>
      </c>
      <c r="H204" s="31">
        <f>IF($A204="","",IFERROR(ROUND($G204*INDEX(tblKurallar[deger_2025],MATCH("AYD-002",tblKurallar[kural_id],0)),2),0))</f>
        <v/>
      </c>
      <c r="I204" s="31">
        <f>IF($A204="","",IFERROR($G204-$G204*INDEX(tblKurallar[deger_2025],MATCH("AYD-004",tblKurallar[kural_id],0)),0))</f>
        <v/>
      </c>
    </row>
    <row r="205">
      <c r="A205" s="30" t="n"/>
      <c r="B205" s="30" t="n"/>
      <c r="C205" s="30" t="n"/>
      <c r="D205" s="30" t="n"/>
      <c r="E205" s="30" t="n"/>
      <c r="F205" s="30" t="n"/>
      <c r="G205" s="31">
        <f>IF($A205="","",IFERROR(ROUND(MAX(0,$B205*($D205-1)),2),0))</f>
        <v/>
      </c>
      <c r="H205" s="31">
        <f>IF($A205="","",IFERROR(ROUND($G205*INDEX(tblKurallar[deger_2025],MATCH("AYD-002",tblKurallar[kural_id],0)),2),0))</f>
        <v/>
      </c>
      <c r="I205" s="31">
        <f>IF($A205="","",IFERROR($G205-$G205*INDEX(tblKurallar[deger_2025],MATCH("AYD-004",tblKurallar[kural_id],0)),0))</f>
        <v/>
      </c>
    </row>
    <row r="206">
      <c r="A206" s="30" t="n"/>
      <c r="B206" s="30" t="n"/>
      <c r="C206" s="30" t="n"/>
      <c r="D206" s="30" t="n"/>
      <c r="E206" s="30" t="n"/>
      <c r="F206" s="30" t="n"/>
      <c r="G206" s="31">
        <f>IF($A206="","",IFERROR(ROUND(MAX(0,$B206*($D206-1)),2),0))</f>
        <v/>
      </c>
      <c r="H206" s="31">
        <f>IF($A206="","",IFERROR(ROUND($G206*INDEX(tblKurallar[deger_2025],MATCH("AYD-002",tblKurallar[kural_id],0)),2),0))</f>
        <v/>
      </c>
      <c r="I206" s="31">
        <f>IF($A206="","",IFERROR($G206-$G206*INDEX(tblKurallar[deger_2025],MATCH("AYD-004",tblKurallar[kural_id],0)),0))</f>
        <v/>
      </c>
    </row>
    <row r="207">
      <c r="A207" s="30" t="n"/>
      <c r="B207" s="30" t="n"/>
      <c r="C207" s="30" t="n"/>
      <c r="D207" s="30" t="n"/>
      <c r="E207" s="30" t="n"/>
      <c r="F207" s="30" t="n"/>
      <c r="G207" s="31">
        <f>IF($A207="","",IFERROR(ROUND(MAX(0,$B207*($D207-1)),2),0))</f>
        <v/>
      </c>
      <c r="H207" s="31">
        <f>IF($A207="","",IFERROR(ROUND($G207*INDEX(tblKurallar[deger_2025],MATCH("AYD-002",tblKurallar[kural_id],0)),2),0))</f>
        <v/>
      </c>
      <c r="I207" s="31">
        <f>IF($A207="","",IFERROR($G207-$G207*INDEX(tblKurallar[deger_2025],MATCH("AYD-004",tblKurallar[kural_id],0)),0))</f>
        <v/>
      </c>
    </row>
    <row r="208">
      <c r="A208" s="30" t="n"/>
      <c r="B208" s="30" t="n"/>
      <c r="C208" s="30" t="n"/>
      <c r="D208" s="30" t="n"/>
      <c r="E208" s="30" t="n"/>
      <c r="F208" s="30" t="n"/>
      <c r="G208" s="31">
        <f>IF($A208="","",IFERROR(ROUND(MAX(0,$B208*($D208-1)),2),0))</f>
        <v/>
      </c>
      <c r="H208" s="31">
        <f>IF($A208="","",IFERROR(ROUND($G208*INDEX(tblKurallar[deger_2025],MATCH("AYD-002",tblKurallar[kural_id],0)),2),0))</f>
        <v/>
      </c>
      <c r="I208" s="31">
        <f>IF($A208="","",IFERROR($G208-$G208*INDEX(tblKurallar[deger_2025],MATCH("AYD-004",tblKurallar[kural_id],0)),0))</f>
        <v/>
      </c>
    </row>
    <row r="209">
      <c r="A209" s="30" t="n"/>
      <c r="B209" s="30" t="n"/>
      <c r="C209" s="30" t="n"/>
      <c r="D209" s="30" t="n"/>
      <c r="E209" s="30" t="n"/>
      <c r="F209" s="30" t="n"/>
      <c r="G209" s="31">
        <f>IF($A209="","",IFERROR(ROUND(MAX(0,$B209*($D209-1)),2),0))</f>
        <v/>
      </c>
      <c r="H209" s="31">
        <f>IF($A209="","",IFERROR(ROUND($G209*INDEX(tblKurallar[deger_2025],MATCH("AYD-002",tblKurallar[kural_id],0)),2),0))</f>
        <v/>
      </c>
      <c r="I209" s="31">
        <f>IF($A209="","",IFERROR($G209-$G209*INDEX(tblKurallar[deger_2025],MATCH("AYD-004",tblKurallar[kural_id],0)),0))</f>
        <v/>
      </c>
    </row>
    <row r="210">
      <c r="A210" s="30" t="n"/>
      <c r="B210" s="30" t="n"/>
      <c r="C210" s="30" t="n"/>
      <c r="D210" s="30" t="n"/>
      <c r="E210" s="30" t="n"/>
      <c r="F210" s="30" t="n"/>
      <c r="G210" s="31">
        <f>IF($A210="","",IFERROR(ROUND(MAX(0,$B210*($D210-1)),2),0))</f>
        <v/>
      </c>
      <c r="H210" s="31">
        <f>IF($A210="","",IFERROR(ROUND($G210*INDEX(tblKurallar[deger_2025],MATCH("AYD-002",tblKurallar[kural_id],0)),2),0))</f>
        <v/>
      </c>
      <c r="I210" s="31">
        <f>IF($A210="","",IFERROR($G210-$G210*INDEX(tblKurallar[deger_2025],MATCH("AYD-004",tblKurallar[kural_id],0)),0))</f>
        <v/>
      </c>
    </row>
    <row r="211">
      <c r="A211" s="30" t="n"/>
      <c r="B211" s="30" t="n"/>
      <c r="C211" s="30" t="n"/>
      <c r="D211" s="30" t="n"/>
      <c r="E211" s="30" t="n"/>
      <c r="F211" s="30" t="n"/>
      <c r="G211" s="31">
        <f>IF($A211="","",IFERROR(ROUND(MAX(0,$B211*($D211-1)),2),0))</f>
        <v/>
      </c>
      <c r="H211" s="31">
        <f>IF($A211="","",IFERROR(ROUND($G211*INDEX(tblKurallar[deger_2025],MATCH("AYD-002",tblKurallar[kural_id],0)),2),0))</f>
        <v/>
      </c>
      <c r="I211" s="31">
        <f>IF($A211="","",IFERROR($G211-$G211*INDEX(tblKurallar[deger_2025],MATCH("AYD-004",tblKurallar[kural_id],0)),0))</f>
        <v/>
      </c>
    </row>
    <row r="212">
      <c r="A212" s="30" t="n"/>
      <c r="B212" s="30" t="n"/>
      <c r="C212" s="30" t="n"/>
      <c r="D212" s="30" t="n"/>
      <c r="E212" s="30" t="n"/>
      <c r="F212" s="30" t="n"/>
      <c r="G212" s="31">
        <f>IF($A212="","",IFERROR(ROUND(MAX(0,$B212*($D212-1)),2),0))</f>
        <v/>
      </c>
      <c r="H212" s="31">
        <f>IF($A212="","",IFERROR(ROUND($G212*INDEX(tblKurallar[deger_2025],MATCH("AYD-002",tblKurallar[kural_id],0)),2),0))</f>
        <v/>
      </c>
      <c r="I212" s="31">
        <f>IF($A212="","",IFERROR($G212-$G212*INDEX(tblKurallar[deger_2025],MATCH("AYD-004",tblKurallar[kural_id],0)),0))</f>
        <v/>
      </c>
    </row>
    <row r="213">
      <c r="A213" s="30" t="n"/>
      <c r="B213" s="30" t="n"/>
      <c r="C213" s="30" t="n"/>
      <c r="D213" s="30" t="n"/>
      <c r="E213" s="30" t="n"/>
      <c r="F213" s="30" t="n"/>
      <c r="G213" s="31">
        <f>IF($A213="","",IFERROR(ROUND(MAX(0,$B213*($D213-1)),2),0))</f>
        <v/>
      </c>
      <c r="H213" s="31">
        <f>IF($A213="","",IFERROR(ROUND($G213*INDEX(tblKurallar[deger_2025],MATCH("AYD-002",tblKurallar[kural_id],0)),2),0))</f>
        <v/>
      </c>
      <c r="I213" s="31">
        <f>IF($A213="","",IFERROR($G213-$G213*INDEX(tblKurallar[deger_2025],MATCH("AYD-004",tblKurallar[kural_id],0)),0))</f>
        <v/>
      </c>
    </row>
    <row r="214">
      <c r="A214" s="30" t="n"/>
      <c r="B214" s="30" t="n"/>
      <c r="C214" s="30" t="n"/>
      <c r="D214" s="30" t="n"/>
      <c r="E214" s="30" t="n"/>
      <c r="F214" s="30" t="n"/>
      <c r="G214" s="31">
        <f>IF($A214="","",IFERROR(ROUND(MAX(0,$B214*($D214-1)),2),0))</f>
        <v/>
      </c>
      <c r="H214" s="31">
        <f>IF($A214="","",IFERROR(ROUND($G214*INDEX(tblKurallar[deger_2025],MATCH("AYD-002",tblKurallar[kural_id],0)),2),0))</f>
        <v/>
      </c>
      <c r="I214" s="31">
        <f>IF($A214="","",IFERROR($G214-$G214*INDEX(tblKurallar[deger_2025],MATCH("AYD-004",tblKurallar[kural_id],0)),0))</f>
        <v/>
      </c>
    </row>
    <row r="215">
      <c r="A215" s="30" t="n"/>
      <c r="B215" s="30" t="n"/>
      <c r="C215" s="30" t="n"/>
      <c r="D215" s="30" t="n"/>
      <c r="E215" s="30" t="n"/>
      <c r="F215" s="30" t="n"/>
      <c r="G215" s="31">
        <f>IF($A215="","",IFERROR(ROUND(MAX(0,$B215*($D215-1)),2),0))</f>
        <v/>
      </c>
      <c r="H215" s="31">
        <f>IF($A215="","",IFERROR(ROUND($G215*INDEX(tblKurallar[deger_2025],MATCH("AYD-002",tblKurallar[kural_id],0)),2),0))</f>
        <v/>
      </c>
      <c r="I215" s="31">
        <f>IF($A215="","",IFERROR($G215-$G215*INDEX(tblKurallar[deger_2025],MATCH("AYD-004",tblKurallar[kural_id],0)),0))</f>
        <v/>
      </c>
    </row>
    <row r="216">
      <c r="A216" s="30" t="n"/>
      <c r="B216" s="30" t="n"/>
      <c r="C216" s="30" t="n"/>
      <c r="D216" s="30" t="n"/>
      <c r="E216" s="30" t="n"/>
      <c r="F216" s="30" t="n"/>
      <c r="G216" s="31">
        <f>IF($A216="","",IFERROR(ROUND(MAX(0,$B216*($D216-1)),2),0))</f>
        <v/>
      </c>
      <c r="H216" s="31">
        <f>IF($A216="","",IFERROR(ROUND($G216*INDEX(tblKurallar[deger_2025],MATCH("AYD-002",tblKurallar[kural_id],0)),2),0))</f>
        <v/>
      </c>
      <c r="I216" s="31">
        <f>IF($A216="","",IFERROR($G216-$G216*INDEX(tblKurallar[deger_2025],MATCH("AYD-004",tblKurallar[kural_id],0)),0))</f>
        <v/>
      </c>
    </row>
    <row r="217">
      <c r="A217" s="30" t="n"/>
      <c r="B217" s="30" t="n"/>
      <c r="C217" s="30" t="n"/>
      <c r="D217" s="30" t="n"/>
      <c r="E217" s="30" t="n"/>
      <c r="F217" s="30" t="n"/>
      <c r="G217" s="31">
        <f>IF($A217="","",IFERROR(ROUND(MAX(0,$B217*($D217-1)),2),0))</f>
        <v/>
      </c>
      <c r="H217" s="31">
        <f>IF($A217="","",IFERROR(ROUND($G217*INDEX(tblKurallar[deger_2025],MATCH("AYD-002",tblKurallar[kural_id],0)),2),0))</f>
        <v/>
      </c>
      <c r="I217" s="31">
        <f>IF($A217="","",IFERROR($G217-$G217*INDEX(tblKurallar[deger_2025],MATCH("AYD-004",tblKurallar[kural_id],0)),0))</f>
        <v/>
      </c>
    </row>
    <row r="218">
      <c r="A218" s="30" t="n"/>
      <c r="B218" s="30" t="n"/>
      <c r="C218" s="30" t="n"/>
      <c r="D218" s="30" t="n"/>
      <c r="E218" s="30" t="n"/>
      <c r="F218" s="30" t="n"/>
      <c r="G218" s="31">
        <f>IF($A218="","",IFERROR(ROUND(MAX(0,$B218*($D218-1)),2),0))</f>
        <v/>
      </c>
      <c r="H218" s="31">
        <f>IF($A218="","",IFERROR(ROUND($G218*INDEX(tblKurallar[deger_2025],MATCH("AYD-002",tblKurallar[kural_id],0)),2),0))</f>
        <v/>
      </c>
      <c r="I218" s="31">
        <f>IF($A218="","",IFERROR($G218-$G218*INDEX(tblKurallar[deger_2025],MATCH("AYD-004",tblKurallar[kural_id],0)),0))</f>
        <v/>
      </c>
    </row>
    <row r="219">
      <c r="A219" s="30" t="n"/>
      <c r="B219" s="30" t="n"/>
      <c r="C219" s="30" t="n"/>
      <c r="D219" s="30" t="n"/>
      <c r="E219" s="30" t="n"/>
      <c r="F219" s="30" t="n"/>
      <c r="G219" s="31">
        <f>IF($A219="","",IFERROR(ROUND(MAX(0,$B219*($D219-1)),2),0))</f>
        <v/>
      </c>
      <c r="H219" s="31">
        <f>IF($A219="","",IFERROR(ROUND($G219*INDEX(tblKurallar[deger_2025],MATCH("AYD-002",tblKurallar[kural_id],0)),2),0))</f>
        <v/>
      </c>
      <c r="I219" s="31">
        <f>IF($A219="","",IFERROR($G219-$G219*INDEX(tblKurallar[deger_2025],MATCH("AYD-004",tblKurallar[kural_id],0)),0))</f>
        <v/>
      </c>
    </row>
    <row r="220">
      <c r="A220" s="30" t="n"/>
      <c r="B220" s="30" t="n"/>
      <c r="C220" s="30" t="n"/>
      <c r="D220" s="30" t="n"/>
      <c r="E220" s="30" t="n"/>
      <c r="F220" s="30" t="n"/>
      <c r="G220" s="31">
        <f>IF($A220="","",IFERROR(ROUND(MAX(0,$B220*($D220-1)),2),0))</f>
        <v/>
      </c>
      <c r="H220" s="31">
        <f>IF($A220="","",IFERROR(ROUND($G220*INDEX(tblKurallar[deger_2025],MATCH("AYD-002",tblKurallar[kural_id],0)),2),0))</f>
        <v/>
      </c>
      <c r="I220" s="31">
        <f>IF($A220="","",IFERROR($G220-$G220*INDEX(tblKurallar[deger_2025],MATCH("AYD-004",tblKurallar[kural_id],0)),0))</f>
        <v/>
      </c>
    </row>
    <row r="221">
      <c r="A221" s="30" t="n"/>
      <c r="B221" s="30" t="n"/>
      <c r="C221" s="30" t="n"/>
      <c r="D221" s="30" t="n"/>
      <c r="E221" s="30" t="n"/>
      <c r="F221" s="30" t="n"/>
      <c r="G221" s="31">
        <f>IF($A221="","",IFERROR(ROUND(MAX(0,$B221*($D221-1)),2),0))</f>
        <v/>
      </c>
      <c r="H221" s="31">
        <f>IF($A221="","",IFERROR(ROUND($G221*INDEX(tblKurallar[deger_2025],MATCH("AYD-002",tblKurallar[kural_id],0)),2),0))</f>
        <v/>
      </c>
      <c r="I221" s="31">
        <f>IF($A221="","",IFERROR($G221-$G221*INDEX(tblKurallar[deger_2025],MATCH("AYD-004",tblKurallar[kural_id],0)),0))</f>
        <v/>
      </c>
    </row>
    <row r="222">
      <c r="A222" s="30" t="n"/>
      <c r="B222" s="30" t="n"/>
      <c r="C222" s="30" t="n"/>
      <c r="D222" s="30" t="n"/>
      <c r="E222" s="30" t="n"/>
      <c r="F222" s="30" t="n"/>
      <c r="G222" s="31">
        <f>IF($A222="","",IFERROR(ROUND(MAX(0,$B222*($D222-1)),2),0))</f>
        <v/>
      </c>
      <c r="H222" s="31">
        <f>IF($A222="","",IFERROR(ROUND($G222*INDEX(tblKurallar[deger_2025],MATCH("AYD-002",tblKurallar[kural_id],0)),2),0))</f>
        <v/>
      </c>
      <c r="I222" s="31">
        <f>IF($A222="","",IFERROR($G222-$G222*INDEX(tblKurallar[deger_2025],MATCH("AYD-004",tblKurallar[kural_id],0)),0))</f>
        <v/>
      </c>
    </row>
    <row r="223">
      <c r="A223" s="30" t="n"/>
      <c r="B223" s="30" t="n"/>
      <c r="C223" s="30" t="n"/>
      <c r="D223" s="30" t="n"/>
      <c r="E223" s="30" t="n"/>
      <c r="F223" s="30" t="n"/>
      <c r="G223" s="31">
        <f>IF($A223="","",IFERROR(ROUND(MAX(0,$B223*($D223-1)),2),0))</f>
        <v/>
      </c>
      <c r="H223" s="31">
        <f>IF($A223="","",IFERROR(ROUND($G223*INDEX(tblKurallar[deger_2025],MATCH("AYD-002",tblKurallar[kural_id],0)),2),0))</f>
        <v/>
      </c>
      <c r="I223" s="31">
        <f>IF($A223="","",IFERROR($G223-$G223*INDEX(tblKurallar[deger_2025],MATCH("AYD-004",tblKurallar[kural_id],0)),0))</f>
        <v/>
      </c>
    </row>
    <row r="224">
      <c r="A224" s="30" t="n"/>
      <c r="B224" s="30" t="n"/>
      <c r="C224" s="30" t="n"/>
      <c r="D224" s="30" t="n"/>
      <c r="E224" s="30" t="n"/>
      <c r="F224" s="30" t="n"/>
      <c r="G224" s="31">
        <f>IF($A224="","",IFERROR(ROUND(MAX(0,$B224*($D224-1)),2),0))</f>
        <v/>
      </c>
      <c r="H224" s="31">
        <f>IF($A224="","",IFERROR(ROUND($G224*INDEX(tblKurallar[deger_2025],MATCH("AYD-002",tblKurallar[kural_id],0)),2),0))</f>
        <v/>
      </c>
      <c r="I224" s="31">
        <f>IF($A224="","",IFERROR($G224-$G224*INDEX(tblKurallar[deger_2025],MATCH("AYD-004",tblKurallar[kural_id],0)),0))</f>
        <v/>
      </c>
    </row>
    <row r="225">
      <c r="A225" s="30" t="n"/>
      <c r="B225" s="30" t="n"/>
      <c r="C225" s="30" t="n"/>
      <c r="D225" s="30" t="n"/>
      <c r="E225" s="30" t="n"/>
      <c r="F225" s="30" t="n"/>
      <c r="G225" s="31">
        <f>IF($A225="","",IFERROR(ROUND(MAX(0,$B225*($D225-1)),2),0))</f>
        <v/>
      </c>
      <c r="H225" s="31">
        <f>IF($A225="","",IFERROR(ROUND($G225*INDEX(tblKurallar[deger_2025],MATCH("AYD-002",tblKurallar[kural_id],0)),2),0))</f>
        <v/>
      </c>
      <c r="I225" s="31">
        <f>IF($A225="","",IFERROR($G225-$G225*INDEX(tblKurallar[deger_2025],MATCH("AYD-004",tblKurallar[kural_id],0)),0))</f>
        <v/>
      </c>
    </row>
    <row r="226">
      <c r="A226" s="30" t="n"/>
      <c r="B226" s="30" t="n"/>
      <c r="C226" s="30" t="n"/>
      <c r="D226" s="30" t="n"/>
      <c r="E226" s="30" t="n"/>
      <c r="F226" s="30" t="n"/>
      <c r="G226" s="31">
        <f>IF($A226="","",IFERROR(ROUND(MAX(0,$B226*($D226-1)),2),0))</f>
        <v/>
      </c>
      <c r="H226" s="31">
        <f>IF($A226="","",IFERROR(ROUND($G226*INDEX(tblKurallar[deger_2025],MATCH("AYD-002",tblKurallar[kural_id],0)),2),0))</f>
        <v/>
      </c>
      <c r="I226" s="31">
        <f>IF($A226="","",IFERROR($G226-$G226*INDEX(tblKurallar[deger_2025],MATCH("AYD-004",tblKurallar[kural_id],0)),0))</f>
        <v/>
      </c>
    </row>
    <row r="227">
      <c r="A227" s="30" t="n"/>
      <c r="B227" s="30" t="n"/>
      <c r="C227" s="30" t="n"/>
      <c r="D227" s="30" t="n"/>
      <c r="E227" s="30" t="n"/>
      <c r="F227" s="30" t="n"/>
      <c r="G227" s="31">
        <f>IF($A227="","",IFERROR(ROUND(MAX(0,$B227*($D227-1)),2),0))</f>
        <v/>
      </c>
      <c r="H227" s="31">
        <f>IF($A227="","",IFERROR(ROUND($G227*INDEX(tblKurallar[deger_2025],MATCH("AYD-002",tblKurallar[kural_id],0)),2),0))</f>
        <v/>
      </c>
      <c r="I227" s="31">
        <f>IF($A227="","",IFERROR($G227-$G227*INDEX(tblKurallar[deger_2025],MATCH("AYD-004",tblKurallar[kural_id],0)),0))</f>
        <v/>
      </c>
    </row>
    <row r="228">
      <c r="A228" s="30" t="n"/>
      <c r="B228" s="30" t="n"/>
      <c r="C228" s="30" t="n"/>
      <c r="D228" s="30" t="n"/>
      <c r="E228" s="30" t="n"/>
      <c r="F228" s="30" t="n"/>
      <c r="G228" s="31">
        <f>IF($A228="","",IFERROR(ROUND(MAX(0,$B228*($D228-1)),2),0))</f>
        <v/>
      </c>
      <c r="H228" s="31">
        <f>IF($A228="","",IFERROR(ROUND($G228*INDEX(tblKurallar[deger_2025],MATCH("AYD-002",tblKurallar[kural_id],0)),2),0))</f>
        <v/>
      </c>
      <c r="I228" s="31">
        <f>IF($A228="","",IFERROR($G228-$G228*INDEX(tblKurallar[deger_2025],MATCH("AYD-004",tblKurallar[kural_id],0)),0))</f>
        <v/>
      </c>
    </row>
    <row r="229">
      <c r="A229" s="30" t="n"/>
      <c r="B229" s="30" t="n"/>
      <c r="C229" s="30" t="n"/>
      <c r="D229" s="30" t="n"/>
      <c r="E229" s="30" t="n"/>
      <c r="F229" s="30" t="n"/>
      <c r="G229" s="31">
        <f>IF($A229="","",IFERROR(ROUND(MAX(0,$B229*($D229-1)),2),0))</f>
        <v/>
      </c>
      <c r="H229" s="31">
        <f>IF($A229="","",IFERROR(ROUND($G229*INDEX(tblKurallar[deger_2025],MATCH("AYD-002",tblKurallar[kural_id],0)),2),0))</f>
        <v/>
      </c>
      <c r="I229" s="31">
        <f>IF($A229="","",IFERROR($G229-$G229*INDEX(tblKurallar[deger_2025],MATCH("AYD-004",tblKurallar[kural_id],0)),0))</f>
        <v/>
      </c>
    </row>
    <row r="230">
      <c r="A230" s="30" t="n"/>
      <c r="B230" s="30" t="n"/>
      <c r="C230" s="30" t="n"/>
      <c r="D230" s="30" t="n"/>
      <c r="E230" s="30" t="n"/>
      <c r="F230" s="30" t="n"/>
      <c r="G230" s="31">
        <f>IF($A230="","",IFERROR(ROUND(MAX(0,$B230*($D230-1)),2),0))</f>
        <v/>
      </c>
      <c r="H230" s="31">
        <f>IF($A230="","",IFERROR(ROUND($G230*INDEX(tblKurallar[deger_2025],MATCH("AYD-002",tblKurallar[kural_id],0)),2),0))</f>
        <v/>
      </c>
      <c r="I230" s="31">
        <f>IF($A230="","",IFERROR($G230-$G230*INDEX(tblKurallar[deger_2025],MATCH("AYD-004",tblKurallar[kural_id],0)),0))</f>
        <v/>
      </c>
    </row>
    <row r="231">
      <c r="A231" s="30" t="n"/>
      <c r="B231" s="30" t="n"/>
      <c r="C231" s="30" t="n"/>
      <c r="D231" s="30" t="n"/>
      <c r="E231" s="30" t="n"/>
      <c r="F231" s="30" t="n"/>
      <c r="G231" s="31">
        <f>IF($A231="","",IFERROR(ROUND(MAX(0,$B231*($D231-1)),2),0))</f>
        <v/>
      </c>
      <c r="H231" s="31">
        <f>IF($A231="","",IFERROR(ROUND($G231*INDEX(tblKurallar[deger_2025],MATCH("AYD-002",tblKurallar[kural_id],0)),2),0))</f>
        <v/>
      </c>
      <c r="I231" s="31">
        <f>IF($A231="","",IFERROR($G231-$G231*INDEX(tblKurallar[deger_2025],MATCH("AYD-004",tblKurallar[kural_id],0)),0))</f>
        <v/>
      </c>
    </row>
    <row r="232">
      <c r="A232" s="30" t="n"/>
      <c r="B232" s="30" t="n"/>
      <c r="C232" s="30" t="n"/>
      <c r="D232" s="30" t="n"/>
      <c r="E232" s="30" t="n"/>
      <c r="F232" s="30" t="n"/>
      <c r="G232" s="31">
        <f>IF($A232="","",IFERROR(ROUND(MAX(0,$B232*($D232-1)),2),0))</f>
        <v/>
      </c>
      <c r="H232" s="31">
        <f>IF($A232="","",IFERROR(ROUND($G232*INDEX(tblKurallar[deger_2025],MATCH("AYD-002",tblKurallar[kural_id],0)),2),0))</f>
        <v/>
      </c>
      <c r="I232" s="31">
        <f>IF($A232="","",IFERROR($G232-$G232*INDEX(tblKurallar[deger_2025],MATCH("AYD-004",tblKurallar[kural_id],0)),0))</f>
        <v/>
      </c>
    </row>
    <row r="233">
      <c r="A233" s="30" t="n"/>
      <c r="B233" s="30" t="n"/>
      <c r="C233" s="30" t="n"/>
      <c r="D233" s="30" t="n"/>
      <c r="E233" s="30" t="n"/>
      <c r="F233" s="30" t="n"/>
      <c r="G233" s="31">
        <f>IF($A233="","",IFERROR(ROUND(MAX(0,$B233*($D233-1)),2),0))</f>
        <v/>
      </c>
      <c r="H233" s="31">
        <f>IF($A233="","",IFERROR(ROUND($G233*INDEX(tblKurallar[deger_2025],MATCH("AYD-002",tblKurallar[kural_id],0)),2),0))</f>
        <v/>
      </c>
      <c r="I233" s="31">
        <f>IF($A233="","",IFERROR($G233-$G233*INDEX(tblKurallar[deger_2025],MATCH("AYD-004",tblKurallar[kural_id],0)),0))</f>
        <v/>
      </c>
    </row>
    <row r="234">
      <c r="A234" s="30" t="n"/>
      <c r="B234" s="30" t="n"/>
      <c r="C234" s="30" t="n"/>
      <c r="D234" s="30" t="n"/>
      <c r="E234" s="30" t="n"/>
      <c r="F234" s="30" t="n"/>
      <c r="G234" s="31">
        <f>IF($A234="","",IFERROR(ROUND(MAX(0,$B234*($D234-1)),2),0))</f>
        <v/>
      </c>
      <c r="H234" s="31">
        <f>IF($A234="","",IFERROR(ROUND($G234*INDEX(tblKurallar[deger_2025],MATCH("AYD-002",tblKurallar[kural_id],0)),2),0))</f>
        <v/>
      </c>
      <c r="I234" s="31">
        <f>IF($A234="","",IFERROR($G234-$G234*INDEX(tblKurallar[deger_2025],MATCH("AYD-004",tblKurallar[kural_id],0)),0))</f>
        <v/>
      </c>
    </row>
    <row r="235">
      <c r="A235" s="30" t="n"/>
      <c r="B235" s="30" t="n"/>
      <c r="C235" s="30" t="n"/>
      <c r="D235" s="30" t="n"/>
      <c r="E235" s="30" t="n"/>
      <c r="F235" s="30" t="n"/>
      <c r="G235" s="31">
        <f>IF($A235="","",IFERROR(ROUND(MAX(0,$B235*($D235-1)),2),0))</f>
        <v/>
      </c>
      <c r="H235" s="31">
        <f>IF($A235="","",IFERROR(ROUND($G235*INDEX(tblKurallar[deger_2025],MATCH("AYD-002",tblKurallar[kural_id],0)),2),0))</f>
        <v/>
      </c>
      <c r="I235" s="31">
        <f>IF($A235="","",IFERROR($G235-$G235*INDEX(tblKurallar[deger_2025],MATCH("AYD-004",tblKurallar[kural_id],0)),0))</f>
        <v/>
      </c>
    </row>
    <row r="236">
      <c r="A236" s="30" t="n"/>
      <c r="B236" s="30" t="n"/>
      <c r="C236" s="30" t="n"/>
      <c r="D236" s="30" t="n"/>
      <c r="E236" s="30" t="n"/>
      <c r="F236" s="30" t="n"/>
      <c r="G236" s="31">
        <f>IF($A236="","",IFERROR(ROUND(MAX(0,$B236*($D236-1)),2),0))</f>
        <v/>
      </c>
      <c r="H236" s="31">
        <f>IF($A236="","",IFERROR(ROUND($G236*INDEX(tblKurallar[deger_2025],MATCH("AYD-002",tblKurallar[kural_id],0)),2),0))</f>
        <v/>
      </c>
      <c r="I236" s="31">
        <f>IF($A236="","",IFERROR($G236-$G236*INDEX(tblKurallar[deger_2025],MATCH("AYD-004",tblKurallar[kural_id],0)),0))</f>
        <v/>
      </c>
    </row>
    <row r="237">
      <c r="A237" s="30" t="n"/>
      <c r="B237" s="30" t="n"/>
      <c r="C237" s="30" t="n"/>
      <c r="D237" s="30" t="n"/>
      <c r="E237" s="30" t="n"/>
      <c r="F237" s="30" t="n"/>
      <c r="G237" s="31">
        <f>IF($A237="","",IFERROR(ROUND(MAX(0,$B237*($D237-1)),2),0))</f>
        <v/>
      </c>
      <c r="H237" s="31">
        <f>IF($A237="","",IFERROR(ROUND($G237*INDEX(tblKurallar[deger_2025],MATCH("AYD-002",tblKurallar[kural_id],0)),2),0))</f>
        <v/>
      </c>
      <c r="I237" s="31">
        <f>IF($A237="","",IFERROR($G237-$G237*INDEX(tblKurallar[deger_2025],MATCH("AYD-004",tblKurallar[kural_id],0)),0))</f>
        <v/>
      </c>
    </row>
    <row r="238">
      <c r="A238" s="30" t="n"/>
      <c r="B238" s="30" t="n"/>
      <c r="C238" s="30" t="n"/>
      <c r="D238" s="30" t="n"/>
      <c r="E238" s="30" t="n"/>
      <c r="F238" s="30" t="n"/>
      <c r="G238" s="31">
        <f>IF($A238="","",IFERROR(ROUND(MAX(0,$B238*($D238-1)),2),0))</f>
        <v/>
      </c>
      <c r="H238" s="31">
        <f>IF($A238="","",IFERROR(ROUND($G238*INDEX(tblKurallar[deger_2025],MATCH("AYD-002",tblKurallar[kural_id],0)),2),0))</f>
        <v/>
      </c>
      <c r="I238" s="31">
        <f>IF($A238="","",IFERROR($G238-$G238*INDEX(tblKurallar[deger_2025],MATCH("AYD-004",tblKurallar[kural_id],0)),0))</f>
        <v/>
      </c>
    </row>
    <row r="239">
      <c r="A239" s="30" t="n"/>
      <c r="B239" s="30" t="n"/>
      <c r="C239" s="30" t="n"/>
      <c r="D239" s="30" t="n"/>
      <c r="E239" s="30" t="n"/>
      <c r="F239" s="30" t="n"/>
      <c r="G239" s="31">
        <f>IF($A239="","",IFERROR(ROUND(MAX(0,$B239*($D239-1)),2),0))</f>
        <v/>
      </c>
      <c r="H239" s="31">
        <f>IF($A239="","",IFERROR(ROUND($G239*INDEX(tblKurallar[deger_2025],MATCH("AYD-002",tblKurallar[kural_id],0)),2),0))</f>
        <v/>
      </c>
      <c r="I239" s="31">
        <f>IF($A239="","",IFERROR($G239-$G239*INDEX(tblKurallar[deger_2025],MATCH("AYD-004",tblKurallar[kural_id],0)),0))</f>
        <v/>
      </c>
    </row>
    <row r="240">
      <c r="A240" s="30" t="n"/>
      <c r="B240" s="30" t="n"/>
      <c r="C240" s="30" t="n"/>
      <c r="D240" s="30" t="n"/>
      <c r="E240" s="30" t="n"/>
      <c r="F240" s="30" t="n"/>
      <c r="G240" s="31">
        <f>IF($A240="","",IFERROR(ROUND(MAX(0,$B240*($D240-1)),2),0))</f>
        <v/>
      </c>
      <c r="H240" s="31">
        <f>IF($A240="","",IFERROR(ROUND($G240*INDEX(tblKurallar[deger_2025],MATCH("AYD-002",tblKurallar[kural_id],0)),2),0))</f>
        <v/>
      </c>
      <c r="I240" s="31">
        <f>IF($A240="","",IFERROR($G240-$G240*INDEX(tblKurallar[deger_2025],MATCH("AYD-004",tblKurallar[kural_id],0)),0))</f>
        <v/>
      </c>
    </row>
    <row r="241">
      <c r="A241" s="30" t="n"/>
      <c r="B241" s="30" t="n"/>
      <c r="C241" s="30" t="n"/>
      <c r="D241" s="30" t="n"/>
      <c r="E241" s="30" t="n"/>
      <c r="F241" s="30" t="n"/>
      <c r="G241" s="31">
        <f>IF($A241="","",IFERROR(ROUND(MAX(0,$B241*($D241-1)),2),0))</f>
        <v/>
      </c>
      <c r="H241" s="31">
        <f>IF($A241="","",IFERROR(ROUND($G241*INDEX(tblKurallar[deger_2025],MATCH("AYD-002",tblKurallar[kural_id],0)),2),0))</f>
        <v/>
      </c>
      <c r="I241" s="31">
        <f>IF($A241="","",IFERROR($G241-$G241*INDEX(tblKurallar[deger_2025],MATCH("AYD-004",tblKurallar[kural_id],0)),0))</f>
        <v/>
      </c>
    </row>
    <row r="242">
      <c r="A242" s="30" t="n"/>
      <c r="B242" s="30" t="n"/>
      <c r="C242" s="30" t="n"/>
      <c r="D242" s="30" t="n"/>
      <c r="E242" s="30" t="n"/>
      <c r="F242" s="30" t="n"/>
      <c r="G242" s="31">
        <f>IF($A242="","",IFERROR(ROUND(MAX(0,$B242*($D242-1)),2),0))</f>
        <v/>
      </c>
      <c r="H242" s="31">
        <f>IF($A242="","",IFERROR(ROUND($G242*INDEX(tblKurallar[deger_2025],MATCH("AYD-002",tblKurallar[kural_id],0)),2),0))</f>
        <v/>
      </c>
      <c r="I242" s="31">
        <f>IF($A242="","",IFERROR($G242-$G242*INDEX(tblKurallar[deger_2025],MATCH("AYD-004",tblKurallar[kural_id],0)),0))</f>
        <v/>
      </c>
    </row>
    <row r="243">
      <c r="A243" s="30" t="n"/>
      <c r="B243" s="30" t="n"/>
      <c r="C243" s="30" t="n"/>
      <c r="D243" s="30" t="n"/>
      <c r="E243" s="30" t="n"/>
      <c r="F243" s="30" t="n"/>
      <c r="G243" s="31">
        <f>IF($A243="","",IFERROR(ROUND(MAX(0,$B243*($D243-1)),2),0))</f>
        <v/>
      </c>
      <c r="H243" s="31">
        <f>IF($A243="","",IFERROR(ROUND($G243*INDEX(tblKurallar[deger_2025],MATCH("AYD-002",tblKurallar[kural_id],0)),2),0))</f>
        <v/>
      </c>
      <c r="I243" s="31">
        <f>IF($A243="","",IFERROR($G243-$G243*INDEX(tblKurallar[deger_2025],MATCH("AYD-004",tblKurallar[kural_id],0)),0))</f>
        <v/>
      </c>
    </row>
    <row r="244">
      <c r="A244" s="30" t="n"/>
      <c r="B244" s="30" t="n"/>
      <c r="C244" s="30" t="n"/>
      <c r="D244" s="30" t="n"/>
      <c r="E244" s="30" t="n"/>
      <c r="F244" s="30" t="n"/>
      <c r="G244" s="31">
        <f>IF($A244="","",IFERROR(ROUND(MAX(0,$B244*($D244-1)),2),0))</f>
        <v/>
      </c>
      <c r="H244" s="31">
        <f>IF($A244="","",IFERROR(ROUND($G244*INDEX(tblKurallar[deger_2025],MATCH("AYD-002",tblKurallar[kural_id],0)),2),0))</f>
        <v/>
      </c>
      <c r="I244" s="31">
        <f>IF($A244="","",IFERROR($G244-$G244*INDEX(tblKurallar[deger_2025],MATCH("AYD-004",tblKurallar[kural_id],0)),0))</f>
        <v/>
      </c>
    </row>
    <row r="245">
      <c r="A245" s="30" t="n"/>
      <c r="B245" s="30" t="n"/>
      <c r="C245" s="30" t="n"/>
      <c r="D245" s="30" t="n"/>
      <c r="E245" s="30" t="n"/>
      <c r="F245" s="30" t="n"/>
      <c r="G245" s="31">
        <f>IF($A245="","",IFERROR(ROUND(MAX(0,$B245*($D245-1)),2),0))</f>
        <v/>
      </c>
      <c r="H245" s="31">
        <f>IF($A245="","",IFERROR(ROUND($G245*INDEX(tblKurallar[deger_2025],MATCH("AYD-002",tblKurallar[kural_id],0)),2),0))</f>
        <v/>
      </c>
      <c r="I245" s="31">
        <f>IF($A245="","",IFERROR($G245-$G245*INDEX(tblKurallar[deger_2025],MATCH("AYD-004",tblKurallar[kural_id],0)),0))</f>
        <v/>
      </c>
    </row>
    <row r="246">
      <c r="A246" s="30" t="n"/>
      <c r="B246" s="30" t="n"/>
      <c r="C246" s="30" t="n"/>
      <c r="D246" s="30" t="n"/>
      <c r="E246" s="30" t="n"/>
      <c r="F246" s="30" t="n"/>
      <c r="G246" s="31">
        <f>IF($A246="","",IFERROR(ROUND(MAX(0,$B246*($D246-1)),2),0))</f>
        <v/>
      </c>
      <c r="H246" s="31">
        <f>IF($A246="","",IFERROR(ROUND($G246*INDEX(tblKurallar[deger_2025],MATCH("AYD-002",tblKurallar[kural_id],0)),2),0))</f>
        <v/>
      </c>
      <c r="I246" s="31">
        <f>IF($A246="","",IFERROR($G246-$G246*INDEX(tblKurallar[deger_2025],MATCH("AYD-004",tblKurallar[kural_id],0)),0))</f>
        <v/>
      </c>
    </row>
    <row r="247">
      <c r="A247" s="30" t="n"/>
      <c r="B247" s="30" t="n"/>
      <c r="C247" s="30" t="n"/>
      <c r="D247" s="30" t="n"/>
      <c r="E247" s="30" t="n"/>
      <c r="F247" s="30" t="n"/>
      <c r="G247" s="31">
        <f>IF($A247="","",IFERROR(ROUND(MAX(0,$B247*($D247-1)),2),0))</f>
        <v/>
      </c>
      <c r="H247" s="31">
        <f>IF($A247="","",IFERROR(ROUND($G247*INDEX(tblKurallar[deger_2025],MATCH("AYD-002",tblKurallar[kural_id],0)),2),0))</f>
        <v/>
      </c>
      <c r="I247" s="31">
        <f>IF($A247="","",IFERROR($G247-$G247*INDEX(tblKurallar[deger_2025],MATCH("AYD-004",tblKurallar[kural_id],0)),0))</f>
        <v/>
      </c>
    </row>
    <row r="248">
      <c r="A248" s="30" t="n"/>
      <c r="B248" s="30" t="n"/>
      <c r="C248" s="30" t="n"/>
      <c r="D248" s="30" t="n"/>
      <c r="E248" s="30" t="n"/>
      <c r="F248" s="30" t="n"/>
      <c r="G248" s="31">
        <f>IF($A248="","",IFERROR(ROUND(MAX(0,$B248*($D248-1)),2),0))</f>
        <v/>
      </c>
      <c r="H248" s="31">
        <f>IF($A248="","",IFERROR(ROUND($G248*INDEX(tblKurallar[deger_2025],MATCH("AYD-002",tblKurallar[kural_id],0)),2),0))</f>
        <v/>
      </c>
      <c r="I248" s="31">
        <f>IF($A248="","",IFERROR($G248-$G248*INDEX(tblKurallar[deger_2025],MATCH("AYD-004",tblKurallar[kural_id],0)),0))</f>
        <v/>
      </c>
    </row>
    <row r="249">
      <c r="A249" s="30" t="n"/>
      <c r="B249" s="30" t="n"/>
      <c r="C249" s="30" t="n"/>
      <c r="D249" s="30" t="n"/>
      <c r="E249" s="30" t="n"/>
      <c r="F249" s="30" t="n"/>
      <c r="G249" s="31">
        <f>IF($A249="","",IFERROR(ROUND(MAX(0,$B249*($D249-1)),2),0))</f>
        <v/>
      </c>
      <c r="H249" s="31">
        <f>IF($A249="","",IFERROR(ROUND($G249*INDEX(tblKurallar[deger_2025],MATCH("AYD-002",tblKurallar[kural_id],0)),2),0))</f>
        <v/>
      </c>
      <c r="I249" s="31">
        <f>IF($A249="","",IFERROR($G249-$G249*INDEX(tblKurallar[deger_2025],MATCH("AYD-004",tblKurallar[kural_id],0)),0))</f>
        <v/>
      </c>
    </row>
    <row r="250">
      <c r="A250" s="30" t="n"/>
      <c r="B250" s="30" t="n"/>
      <c r="C250" s="30" t="n"/>
      <c r="D250" s="30" t="n"/>
      <c r="E250" s="30" t="n"/>
      <c r="F250" s="30" t="n"/>
      <c r="G250" s="31">
        <f>IF($A250="","",IFERROR(ROUND(MAX(0,$B250*($D250-1)),2),0))</f>
        <v/>
      </c>
      <c r="H250" s="31">
        <f>IF($A250="","",IFERROR(ROUND($G250*INDEX(tblKurallar[deger_2025],MATCH("AYD-002",tblKurallar[kural_id],0)),2),0))</f>
        <v/>
      </c>
      <c r="I250" s="31">
        <f>IF($A250="","",IFERROR($G250-$G250*INDEX(tblKurallar[deger_2025],MATCH("AYD-004",tblKurallar[kural_id],0)),0))</f>
        <v/>
      </c>
    </row>
    <row r="251">
      <c r="A251" s="30" t="n"/>
      <c r="B251" s="30" t="n"/>
      <c r="C251" s="30" t="n"/>
      <c r="D251" s="30" t="n"/>
      <c r="E251" s="30" t="n"/>
      <c r="F251" s="30" t="n"/>
      <c r="G251" s="31">
        <f>IF($A251="","",IFERROR(ROUND(MAX(0,$B251*($D251-1)),2),0))</f>
        <v/>
      </c>
      <c r="H251" s="31">
        <f>IF($A251="","",IFERROR(ROUND($G251*INDEX(tblKurallar[deger_2025],MATCH("AYD-002",tblKurallar[kural_id],0)),2),0))</f>
        <v/>
      </c>
      <c r="I251" s="31">
        <f>IF($A251="","",IFERROR($G251-$G251*INDEX(tblKurallar[deger_2025],MATCH("AYD-004",tblKurallar[kural_id],0)),0))</f>
        <v/>
      </c>
    </row>
    <row r="252">
      <c r="A252" s="30" t="n"/>
      <c r="B252" s="30" t="n"/>
      <c r="C252" s="30" t="n"/>
      <c r="D252" s="30" t="n"/>
      <c r="E252" s="30" t="n"/>
      <c r="F252" s="30" t="n"/>
      <c r="G252" s="31">
        <f>IF($A252="","",IFERROR(ROUND(MAX(0,$B252*($D252-1)),2),0))</f>
        <v/>
      </c>
      <c r="H252" s="31">
        <f>IF($A252="","",IFERROR(ROUND($G252*INDEX(tblKurallar[deger_2025],MATCH("AYD-002",tblKurallar[kural_id],0)),2),0))</f>
        <v/>
      </c>
      <c r="I252" s="31">
        <f>IF($A252="","",IFERROR($G252-$G252*INDEX(tblKurallar[deger_2025],MATCH("AYD-004",tblKurallar[kural_id],0)),0))</f>
        <v/>
      </c>
    </row>
    <row r="253">
      <c r="A253" s="30" t="n"/>
      <c r="B253" s="30" t="n"/>
      <c r="C253" s="30" t="n"/>
      <c r="D253" s="30" t="n"/>
      <c r="E253" s="30" t="n"/>
      <c r="F253" s="30" t="n"/>
      <c r="G253" s="31">
        <f>IF($A253="","",IFERROR(ROUND(MAX(0,$B253*($D253-1)),2),0))</f>
        <v/>
      </c>
      <c r="H253" s="31">
        <f>IF($A253="","",IFERROR(ROUND($G253*INDEX(tblKurallar[deger_2025],MATCH("AYD-002",tblKurallar[kural_id],0)),2),0))</f>
        <v/>
      </c>
      <c r="I253" s="31">
        <f>IF($A253="","",IFERROR($G253-$G253*INDEX(tblKurallar[deger_2025],MATCH("AYD-004",tblKurallar[kural_id],0)),0))</f>
        <v/>
      </c>
    </row>
    <row r="254">
      <c r="A254" s="30" t="n"/>
      <c r="B254" s="30" t="n"/>
      <c r="C254" s="30" t="n"/>
      <c r="D254" s="30" t="n"/>
      <c r="E254" s="30" t="n"/>
      <c r="F254" s="30" t="n"/>
      <c r="G254" s="31">
        <f>IF($A254="","",IFERROR(ROUND(MAX(0,$B254*($D254-1)),2),0))</f>
        <v/>
      </c>
      <c r="H254" s="31">
        <f>IF($A254="","",IFERROR(ROUND($G254*INDEX(tblKurallar[deger_2025],MATCH("AYD-002",tblKurallar[kural_id],0)),2),0))</f>
        <v/>
      </c>
      <c r="I254" s="31">
        <f>IF($A254="","",IFERROR($G254-$G254*INDEX(tblKurallar[deger_2025],MATCH("AYD-004",tblKurallar[kural_id],0)),0))</f>
        <v/>
      </c>
    </row>
    <row r="255">
      <c r="A255" s="30" t="n"/>
      <c r="B255" s="30" t="n"/>
      <c r="C255" s="30" t="n"/>
      <c r="D255" s="30" t="n"/>
      <c r="E255" s="30" t="n"/>
      <c r="F255" s="30" t="n"/>
      <c r="G255" s="31">
        <f>IF($A255="","",IFERROR(ROUND(MAX(0,$B255*($D255-1)),2),0))</f>
        <v/>
      </c>
      <c r="H255" s="31">
        <f>IF($A255="","",IFERROR(ROUND($G255*INDEX(tblKurallar[deger_2025],MATCH("AYD-002",tblKurallar[kural_id],0)),2),0))</f>
        <v/>
      </c>
      <c r="I255" s="31">
        <f>IF($A255="","",IFERROR($G255-$G255*INDEX(tblKurallar[deger_2025],MATCH("AYD-004",tblKurallar[kural_id],0)),0))</f>
        <v/>
      </c>
    </row>
    <row r="256">
      <c r="A256" s="30" t="n"/>
      <c r="B256" s="30" t="n"/>
      <c r="C256" s="30" t="n"/>
      <c r="D256" s="30" t="n"/>
      <c r="E256" s="30" t="n"/>
      <c r="F256" s="30" t="n"/>
      <c r="G256" s="31">
        <f>IF($A256="","",IFERROR(ROUND(MAX(0,$B256*($D256-1)),2),0))</f>
        <v/>
      </c>
      <c r="H256" s="31">
        <f>IF($A256="","",IFERROR(ROUND($G256*INDEX(tblKurallar[deger_2025],MATCH("AYD-002",tblKurallar[kural_id],0)),2),0))</f>
        <v/>
      </c>
      <c r="I256" s="31">
        <f>IF($A256="","",IFERROR($G256-$G256*INDEX(tblKurallar[deger_2025],MATCH("AYD-004",tblKurallar[kural_id],0)),0))</f>
        <v/>
      </c>
    </row>
    <row r="257">
      <c r="A257" s="30" t="n"/>
      <c r="B257" s="30" t="n"/>
      <c r="C257" s="30" t="n"/>
      <c r="D257" s="30" t="n"/>
      <c r="E257" s="30" t="n"/>
      <c r="F257" s="30" t="n"/>
      <c r="G257" s="31">
        <f>IF($A257="","",IFERROR(ROUND(MAX(0,$B257*($D257-1)),2),0))</f>
        <v/>
      </c>
      <c r="H257" s="31">
        <f>IF($A257="","",IFERROR(ROUND($G257*INDEX(tblKurallar[deger_2025],MATCH("AYD-002",tblKurallar[kural_id],0)),2),0))</f>
        <v/>
      </c>
      <c r="I257" s="31">
        <f>IF($A257="","",IFERROR($G257-$G257*INDEX(tblKurallar[deger_2025],MATCH("AYD-004",tblKurallar[kural_id],0)),0))</f>
        <v/>
      </c>
    </row>
    <row r="258">
      <c r="A258" s="30" t="n"/>
      <c r="B258" s="30" t="n"/>
      <c r="C258" s="30" t="n"/>
      <c r="D258" s="30" t="n"/>
      <c r="E258" s="30" t="n"/>
      <c r="F258" s="30" t="n"/>
      <c r="G258" s="31">
        <f>IF($A258="","",IFERROR(ROUND(MAX(0,$B258*($D258-1)),2),0))</f>
        <v/>
      </c>
      <c r="H258" s="31">
        <f>IF($A258="","",IFERROR(ROUND($G258*INDEX(tblKurallar[deger_2025],MATCH("AYD-002",tblKurallar[kural_id],0)),2),0))</f>
        <v/>
      </c>
      <c r="I258" s="31">
        <f>IF($A258="","",IFERROR($G258-$G258*INDEX(tblKurallar[deger_2025],MATCH("AYD-004",tblKurallar[kural_id],0)),0))</f>
        <v/>
      </c>
    </row>
    <row r="259">
      <c r="A259" s="30" t="n"/>
      <c r="B259" s="30" t="n"/>
      <c r="C259" s="30" t="n"/>
      <c r="D259" s="30" t="n"/>
      <c r="E259" s="30" t="n"/>
      <c r="F259" s="30" t="n"/>
      <c r="G259" s="31">
        <f>IF($A259="","",IFERROR(ROUND(MAX(0,$B259*($D259-1)),2),0))</f>
        <v/>
      </c>
      <c r="H259" s="31">
        <f>IF($A259="","",IFERROR(ROUND($G259*INDEX(tblKurallar[deger_2025],MATCH("AYD-002",tblKurallar[kural_id],0)),2),0))</f>
        <v/>
      </c>
      <c r="I259" s="31">
        <f>IF($A259="","",IFERROR($G259-$G259*INDEX(tblKurallar[deger_2025],MATCH("AYD-004",tblKurallar[kural_id],0)),0))</f>
        <v/>
      </c>
    </row>
    <row r="260">
      <c r="A260" s="30" t="n"/>
      <c r="B260" s="30" t="n"/>
      <c r="C260" s="30" t="n"/>
      <c r="D260" s="30" t="n"/>
      <c r="E260" s="30" t="n"/>
      <c r="F260" s="30" t="n"/>
      <c r="G260" s="31">
        <f>IF($A260="","",IFERROR(ROUND(MAX(0,$B260*($D260-1)),2),0))</f>
        <v/>
      </c>
      <c r="H260" s="31">
        <f>IF($A260="","",IFERROR(ROUND($G260*INDEX(tblKurallar[deger_2025],MATCH("AYD-002",tblKurallar[kural_id],0)),2),0))</f>
        <v/>
      </c>
      <c r="I260" s="31">
        <f>IF($A260="","",IFERROR($G260-$G260*INDEX(tblKurallar[deger_2025],MATCH("AYD-004",tblKurallar[kural_id],0)),0))</f>
        <v/>
      </c>
    </row>
    <row r="261">
      <c r="A261" s="30" t="n"/>
      <c r="B261" s="30" t="n"/>
      <c r="C261" s="30" t="n"/>
      <c r="D261" s="30" t="n"/>
      <c r="E261" s="30" t="n"/>
      <c r="F261" s="30" t="n"/>
      <c r="G261" s="31">
        <f>IF($A261="","",IFERROR(ROUND(MAX(0,$B261*($D261-1)),2),0))</f>
        <v/>
      </c>
      <c r="H261" s="31">
        <f>IF($A261="","",IFERROR(ROUND($G261*INDEX(tblKurallar[deger_2025],MATCH("AYD-002",tblKurallar[kural_id],0)),2),0))</f>
        <v/>
      </c>
      <c r="I261" s="31">
        <f>IF($A261="","",IFERROR($G261-$G261*INDEX(tblKurallar[deger_2025],MATCH("AYD-004",tblKurallar[kural_id],0)),0))</f>
        <v/>
      </c>
    </row>
    <row r="262">
      <c r="A262" s="30" t="n"/>
      <c r="B262" s="30" t="n"/>
      <c r="C262" s="30" t="n"/>
      <c r="D262" s="30" t="n"/>
      <c r="E262" s="30" t="n"/>
      <c r="F262" s="30" t="n"/>
      <c r="G262" s="31">
        <f>IF($A262="","",IFERROR(ROUND(MAX(0,$B262*($D262-1)),2),0))</f>
        <v/>
      </c>
      <c r="H262" s="31">
        <f>IF($A262="","",IFERROR(ROUND($G262*INDEX(tblKurallar[deger_2025],MATCH("AYD-002",tblKurallar[kural_id],0)),2),0))</f>
        <v/>
      </c>
      <c r="I262" s="31">
        <f>IF($A262="","",IFERROR($G262-$G262*INDEX(tblKurallar[deger_2025],MATCH("AYD-004",tblKurallar[kural_id],0)),0))</f>
        <v/>
      </c>
    </row>
    <row r="263">
      <c r="A263" s="30" t="n"/>
      <c r="B263" s="30" t="n"/>
      <c r="C263" s="30" t="n"/>
      <c r="D263" s="30" t="n"/>
      <c r="E263" s="30" t="n"/>
      <c r="F263" s="30" t="n"/>
      <c r="G263" s="31">
        <f>IF($A263="","",IFERROR(ROUND(MAX(0,$B263*($D263-1)),2),0))</f>
        <v/>
      </c>
      <c r="H263" s="31">
        <f>IF($A263="","",IFERROR(ROUND($G263*INDEX(tblKurallar[deger_2025],MATCH("AYD-002",tblKurallar[kural_id],0)),2),0))</f>
        <v/>
      </c>
      <c r="I263" s="31">
        <f>IF($A263="","",IFERROR($G263-$G263*INDEX(tblKurallar[deger_2025],MATCH("AYD-004",tblKurallar[kural_id],0)),0))</f>
        <v/>
      </c>
    </row>
    <row r="264">
      <c r="A264" s="30" t="n"/>
      <c r="B264" s="30" t="n"/>
      <c r="C264" s="30" t="n"/>
      <c r="D264" s="30" t="n"/>
      <c r="E264" s="30" t="n"/>
      <c r="F264" s="30" t="n"/>
      <c r="G264" s="31">
        <f>IF($A264="","",IFERROR(ROUND(MAX(0,$B264*($D264-1)),2),0))</f>
        <v/>
      </c>
      <c r="H264" s="31">
        <f>IF($A264="","",IFERROR(ROUND($G264*INDEX(tblKurallar[deger_2025],MATCH("AYD-002",tblKurallar[kural_id],0)),2),0))</f>
        <v/>
      </c>
      <c r="I264" s="31">
        <f>IF($A264="","",IFERROR($G264-$G264*INDEX(tblKurallar[deger_2025],MATCH("AYD-004",tblKurallar[kural_id],0)),0))</f>
        <v/>
      </c>
    </row>
    <row r="265">
      <c r="A265" s="30" t="n"/>
      <c r="B265" s="30" t="n"/>
      <c r="C265" s="30" t="n"/>
      <c r="D265" s="30" t="n"/>
      <c r="E265" s="30" t="n"/>
      <c r="F265" s="30" t="n"/>
      <c r="G265" s="31">
        <f>IF($A265="","",IFERROR(ROUND(MAX(0,$B265*($D265-1)),2),0))</f>
        <v/>
      </c>
      <c r="H265" s="31">
        <f>IF($A265="","",IFERROR(ROUND($G265*INDEX(tblKurallar[deger_2025],MATCH("AYD-002",tblKurallar[kural_id],0)),2),0))</f>
        <v/>
      </c>
      <c r="I265" s="31">
        <f>IF($A265="","",IFERROR($G265-$G265*INDEX(tblKurallar[deger_2025],MATCH("AYD-004",tblKurallar[kural_id],0)),0))</f>
        <v/>
      </c>
    </row>
    <row r="266">
      <c r="A266" s="30" t="n"/>
      <c r="B266" s="30" t="n"/>
      <c r="C266" s="30" t="n"/>
      <c r="D266" s="30" t="n"/>
      <c r="E266" s="30" t="n"/>
      <c r="F266" s="30" t="n"/>
      <c r="G266" s="31">
        <f>IF($A266="","",IFERROR(ROUND(MAX(0,$B266*($D266-1)),2),0))</f>
        <v/>
      </c>
      <c r="H266" s="31">
        <f>IF($A266="","",IFERROR(ROUND($G266*INDEX(tblKurallar[deger_2025],MATCH("AYD-002",tblKurallar[kural_id],0)),2),0))</f>
        <v/>
      </c>
      <c r="I266" s="31">
        <f>IF($A266="","",IFERROR($G266-$G266*INDEX(tblKurallar[deger_2025],MATCH("AYD-004",tblKurallar[kural_id],0)),0))</f>
        <v/>
      </c>
    </row>
    <row r="267">
      <c r="A267" s="30" t="n"/>
      <c r="B267" s="30" t="n"/>
      <c r="C267" s="30" t="n"/>
      <c r="D267" s="30" t="n"/>
      <c r="E267" s="30" t="n"/>
      <c r="F267" s="30" t="n"/>
      <c r="G267" s="31">
        <f>IF($A267="","",IFERROR(ROUND(MAX(0,$B267*($D267-1)),2),0))</f>
        <v/>
      </c>
      <c r="H267" s="31">
        <f>IF($A267="","",IFERROR(ROUND($G267*INDEX(tblKurallar[deger_2025],MATCH("AYD-002",tblKurallar[kural_id],0)),2),0))</f>
        <v/>
      </c>
      <c r="I267" s="31">
        <f>IF($A267="","",IFERROR($G267-$G267*INDEX(tblKurallar[deger_2025],MATCH("AYD-004",tblKurallar[kural_id],0)),0))</f>
        <v/>
      </c>
    </row>
    <row r="268">
      <c r="A268" s="30" t="n"/>
      <c r="B268" s="30" t="n"/>
      <c r="C268" s="30" t="n"/>
      <c r="D268" s="30" t="n"/>
      <c r="E268" s="30" t="n"/>
      <c r="F268" s="30" t="n"/>
      <c r="G268" s="31">
        <f>IF($A268="","",IFERROR(ROUND(MAX(0,$B268*($D268-1)),2),0))</f>
        <v/>
      </c>
      <c r="H268" s="31">
        <f>IF($A268="","",IFERROR(ROUND($G268*INDEX(tblKurallar[deger_2025],MATCH("AYD-002",tblKurallar[kural_id],0)),2),0))</f>
        <v/>
      </c>
      <c r="I268" s="31">
        <f>IF($A268="","",IFERROR($G268-$G268*INDEX(tblKurallar[deger_2025],MATCH("AYD-004",tblKurallar[kural_id],0)),0))</f>
        <v/>
      </c>
    </row>
    <row r="269">
      <c r="A269" s="30" t="n"/>
      <c r="B269" s="30" t="n"/>
      <c r="C269" s="30" t="n"/>
      <c r="D269" s="30" t="n"/>
      <c r="E269" s="30" t="n"/>
      <c r="F269" s="30" t="n"/>
      <c r="G269" s="31">
        <f>IF($A269="","",IFERROR(ROUND(MAX(0,$B269*($D269-1)),2),0))</f>
        <v/>
      </c>
      <c r="H269" s="31">
        <f>IF($A269="","",IFERROR(ROUND($G269*INDEX(tblKurallar[deger_2025],MATCH("AYD-002",tblKurallar[kural_id],0)),2),0))</f>
        <v/>
      </c>
      <c r="I269" s="31">
        <f>IF($A269="","",IFERROR($G269-$G269*INDEX(tblKurallar[deger_2025],MATCH("AYD-004",tblKurallar[kural_id],0)),0))</f>
        <v/>
      </c>
    </row>
    <row r="270">
      <c r="A270" s="30" t="n"/>
      <c r="B270" s="30" t="n"/>
      <c r="C270" s="30" t="n"/>
      <c r="D270" s="30" t="n"/>
      <c r="E270" s="30" t="n"/>
      <c r="F270" s="30" t="n"/>
      <c r="G270" s="31">
        <f>IF($A270="","",IFERROR(ROUND(MAX(0,$B270*($D270-1)),2),0))</f>
        <v/>
      </c>
      <c r="H270" s="31">
        <f>IF($A270="","",IFERROR(ROUND($G270*INDEX(tblKurallar[deger_2025],MATCH("AYD-002",tblKurallar[kural_id],0)),2),0))</f>
        <v/>
      </c>
      <c r="I270" s="31">
        <f>IF($A270="","",IFERROR($G270-$G270*INDEX(tblKurallar[deger_2025],MATCH("AYD-004",tblKurallar[kural_id],0)),0))</f>
        <v/>
      </c>
    </row>
    <row r="271">
      <c r="A271" s="30" t="n"/>
      <c r="B271" s="30" t="n"/>
      <c r="C271" s="30" t="n"/>
      <c r="D271" s="30" t="n"/>
      <c r="E271" s="30" t="n"/>
      <c r="F271" s="30" t="n"/>
      <c r="G271" s="31">
        <f>IF($A271="","",IFERROR(ROUND(MAX(0,$B271*($D271-1)),2),0))</f>
        <v/>
      </c>
      <c r="H271" s="31">
        <f>IF($A271="","",IFERROR(ROUND($G271*INDEX(tblKurallar[deger_2025],MATCH("AYD-002",tblKurallar[kural_id],0)),2),0))</f>
        <v/>
      </c>
      <c r="I271" s="31">
        <f>IF($A271="","",IFERROR($G271-$G271*INDEX(tblKurallar[deger_2025],MATCH("AYD-004",tblKurallar[kural_id],0)),0))</f>
        <v/>
      </c>
    </row>
    <row r="272">
      <c r="A272" s="30" t="n"/>
      <c r="B272" s="30" t="n"/>
      <c r="C272" s="30" t="n"/>
      <c r="D272" s="30" t="n"/>
      <c r="E272" s="30" t="n"/>
      <c r="F272" s="30" t="n"/>
      <c r="G272" s="31">
        <f>IF($A272="","",IFERROR(ROUND(MAX(0,$B272*($D272-1)),2),0))</f>
        <v/>
      </c>
      <c r="H272" s="31">
        <f>IF($A272="","",IFERROR(ROUND($G272*INDEX(tblKurallar[deger_2025],MATCH("AYD-002",tblKurallar[kural_id],0)),2),0))</f>
        <v/>
      </c>
      <c r="I272" s="31">
        <f>IF($A272="","",IFERROR($G272-$G272*INDEX(tblKurallar[deger_2025],MATCH("AYD-004",tblKurallar[kural_id],0)),0))</f>
        <v/>
      </c>
    </row>
    <row r="273">
      <c r="A273" s="30" t="n"/>
      <c r="B273" s="30" t="n"/>
      <c r="C273" s="30" t="n"/>
      <c r="D273" s="30" t="n"/>
      <c r="E273" s="30" t="n"/>
      <c r="F273" s="30" t="n"/>
      <c r="G273" s="31">
        <f>IF($A273="","",IFERROR(ROUND(MAX(0,$B273*($D273-1)),2),0))</f>
        <v/>
      </c>
      <c r="H273" s="31">
        <f>IF($A273="","",IFERROR(ROUND($G273*INDEX(tblKurallar[deger_2025],MATCH("AYD-002",tblKurallar[kural_id],0)),2),0))</f>
        <v/>
      </c>
      <c r="I273" s="31">
        <f>IF($A273="","",IFERROR($G273-$G273*INDEX(tblKurallar[deger_2025],MATCH("AYD-004",tblKurallar[kural_id],0)),0))</f>
        <v/>
      </c>
    </row>
    <row r="274">
      <c r="A274" s="30" t="n"/>
      <c r="B274" s="30" t="n"/>
      <c r="C274" s="30" t="n"/>
      <c r="D274" s="30" t="n"/>
      <c r="E274" s="30" t="n"/>
      <c r="F274" s="30" t="n"/>
      <c r="G274" s="31">
        <f>IF($A274="","",IFERROR(ROUND(MAX(0,$B274*($D274-1)),2),0))</f>
        <v/>
      </c>
      <c r="H274" s="31">
        <f>IF($A274="","",IFERROR(ROUND($G274*INDEX(tblKurallar[deger_2025],MATCH("AYD-002",tblKurallar[kural_id],0)),2),0))</f>
        <v/>
      </c>
      <c r="I274" s="31">
        <f>IF($A274="","",IFERROR($G274-$G274*INDEX(tblKurallar[deger_2025],MATCH("AYD-004",tblKurallar[kural_id],0)),0))</f>
        <v/>
      </c>
    </row>
    <row r="275">
      <c r="A275" s="30" t="n"/>
      <c r="B275" s="30" t="n"/>
      <c r="C275" s="30" t="n"/>
      <c r="D275" s="30" t="n"/>
      <c r="E275" s="30" t="n"/>
      <c r="F275" s="30" t="n"/>
      <c r="G275" s="31">
        <f>IF($A275="","",IFERROR(ROUND(MAX(0,$B275*($D275-1)),2),0))</f>
        <v/>
      </c>
      <c r="H275" s="31">
        <f>IF($A275="","",IFERROR(ROUND($G275*INDEX(tblKurallar[deger_2025],MATCH("AYD-002",tblKurallar[kural_id],0)),2),0))</f>
        <v/>
      </c>
      <c r="I275" s="31">
        <f>IF($A275="","",IFERROR($G275-$G275*INDEX(tblKurallar[deger_2025],MATCH("AYD-004",tblKurallar[kural_id],0)),0))</f>
        <v/>
      </c>
    </row>
    <row r="276">
      <c r="A276" s="30" t="n"/>
      <c r="B276" s="30" t="n"/>
      <c r="C276" s="30" t="n"/>
      <c r="D276" s="30" t="n"/>
      <c r="E276" s="30" t="n"/>
      <c r="F276" s="30" t="n"/>
      <c r="G276" s="31">
        <f>IF($A276="","",IFERROR(ROUND(MAX(0,$B276*($D276-1)),2),0))</f>
        <v/>
      </c>
      <c r="H276" s="31">
        <f>IF($A276="","",IFERROR(ROUND($G276*INDEX(tblKurallar[deger_2025],MATCH("AYD-002",tblKurallar[kural_id],0)),2),0))</f>
        <v/>
      </c>
      <c r="I276" s="31">
        <f>IF($A276="","",IFERROR($G276-$G276*INDEX(tblKurallar[deger_2025],MATCH("AYD-004",tblKurallar[kural_id],0)),0))</f>
        <v/>
      </c>
    </row>
    <row r="277">
      <c r="A277" s="30" t="n"/>
      <c r="B277" s="30" t="n"/>
      <c r="C277" s="30" t="n"/>
      <c r="D277" s="30" t="n"/>
      <c r="E277" s="30" t="n"/>
      <c r="F277" s="30" t="n"/>
      <c r="G277" s="31">
        <f>IF($A277="","",IFERROR(ROUND(MAX(0,$B277*($D277-1)),2),0))</f>
        <v/>
      </c>
      <c r="H277" s="31">
        <f>IF($A277="","",IFERROR(ROUND($G277*INDEX(tblKurallar[deger_2025],MATCH("AYD-002",tblKurallar[kural_id],0)),2),0))</f>
        <v/>
      </c>
      <c r="I277" s="31">
        <f>IF($A277="","",IFERROR($G277-$G277*INDEX(tblKurallar[deger_2025],MATCH("AYD-004",tblKurallar[kural_id],0)),0))</f>
        <v/>
      </c>
    </row>
    <row r="278">
      <c r="A278" s="30" t="n"/>
      <c r="B278" s="30" t="n"/>
      <c r="C278" s="30" t="n"/>
      <c r="D278" s="30" t="n"/>
      <c r="E278" s="30" t="n"/>
      <c r="F278" s="30" t="n"/>
      <c r="G278" s="31">
        <f>IF($A278="","",IFERROR(ROUND(MAX(0,$B278*($D278-1)),2),0))</f>
        <v/>
      </c>
      <c r="H278" s="31">
        <f>IF($A278="","",IFERROR(ROUND($G278*INDEX(tblKurallar[deger_2025],MATCH("AYD-002",tblKurallar[kural_id],0)),2),0))</f>
        <v/>
      </c>
      <c r="I278" s="31">
        <f>IF($A278="","",IFERROR($G278-$G278*INDEX(tblKurallar[deger_2025],MATCH("AYD-004",tblKurallar[kural_id],0)),0))</f>
        <v/>
      </c>
    </row>
    <row r="279">
      <c r="A279" s="30" t="n"/>
      <c r="B279" s="30" t="n"/>
      <c r="C279" s="30" t="n"/>
      <c r="D279" s="30" t="n"/>
      <c r="E279" s="30" t="n"/>
      <c r="F279" s="30" t="n"/>
      <c r="G279" s="31">
        <f>IF($A279="","",IFERROR(ROUND(MAX(0,$B279*($D279-1)),2),0))</f>
        <v/>
      </c>
      <c r="H279" s="31">
        <f>IF($A279="","",IFERROR(ROUND($G279*INDEX(tblKurallar[deger_2025],MATCH("AYD-002",tblKurallar[kural_id],0)),2),0))</f>
        <v/>
      </c>
      <c r="I279" s="31">
        <f>IF($A279="","",IFERROR($G279-$G279*INDEX(tblKurallar[deger_2025],MATCH("AYD-004",tblKurallar[kural_id],0)),0))</f>
        <v/>
      </c>
    </row>
    <row r="280">
      <c r="A280" s="30" t="n"/>
      <c r="B280" s="30" t="n"/>
      <c r="C280" s="30" t="n"/>
      <c r="D280" s="30" t="n"/>
      <c r="E280" s="30" t="n"/>
      <c r="F280" s="30" t="n"/>
      <c r="G280" s="31">
        <f>IF($A280="","",IFERROR(ROUND(MAX(0,$B280*($D280-1)),2),0))</f>
        <v/>
      </c>
      <c r="H280" s="31">
        <f>IF($A280="","",IFERROR(ROUND($G280*INDEX(tblKurallar[deger_2025],MATCH("AYD-002",tblKurallar[kural_id],0)),2),0))</f>
        <v/>
      </c>
      <c r="I280" s="31">
        <f>IF($A280="","",IFERROR($G280-$G280*INDEX(tblKurallar[deger_2025],MATCH("AYD-004",tblKurallar[kural_id],0)),0))</f>
        <v/>
      </c>
    </row>
    <row r="281">
      <c r="A281" s="30" t="n"/>
      <c r="B281" s="30" t="n"/>
      <c r="C281" s="30" t="n"/>
      <c r="D281" s="30" t="n"/>
      <c r="E281" s="30" t="n"/>
      <c r="F281" s="30" t="n"/>
      <c r="G281" s="31">
        <f>IF($A281="","",IFERROR(ROUND(MAX(0,$B281*($D281-1)),2),0))</f>
        <v/>
      </c>
      <c r="H281" s="31">
        <f>IF($A281="","",IFERROR(ROUND($G281*INDEX(tblKurallar[deger_2025],MATCH("AYD-002",tblKurallar[kural_id],0)),2),0))</f>
        <v/>
      </c>
      <c r="I281" s="31">
        <f>IF($A281="","",IFERROR($G281-$G281*INDEX(tblKurallar[deger_2025],MATCH("AYD-004",tblKurallar[kural_id],0)),0))</f>
        <v/>
      </c>
    </row>
    <row r="282">
      <c r="A282" s="30" t="n"/>
      <c r="B282" s="30" t="n"/>
      <c r="C282" s="30" t="n"/>
      <c r="D282" s="30" t="n"/>
      <c r="E282" s="30" t="n"/>
      <c r="F282" s="30" t="n"/>
      <c r="G282" s="31">
        <f>IF($A282="","",IFERROR(ROUND(MAX(0,$B282*($D282-1)),2),0))</f>
        <v/>
      </c>
      <c r="H282" s="31">
        <f>IF($A282="","",IFERROR(ROUND($G282*INDEX(tblKurallar[deger_2025],MATCH("AYD-002",tblKurallar[kural_id],0)),2),0))</f>
        <v/>
      </c>
      <c r="I282" s="31">
        <f>IF($A282="","",IFERROR($G282-$G282*INDEX(tblKurallar[deger_2025],MATCH("AYD-004",tblKurallar[kural_id],0)),0))</f>
        <v/>
      </c>
    </row>
    <row r="283">
      <c r="A283" s="30" t="n"/>
      <c r="B283" s="30" t="n"/>
      <c r="C283" s="30" t="n"/>
      <c r="D283" s="30" t="n"/>
      <c r="E283" s="30" t="n"/>
      <c r="F283" s="30" t="n"/>
      <c r="G283" s="31">
        <f>IF($A283="","",IFERROR(ROUND(MAX(0,$B283*($D283-1)),2),0))</f>
        <v/>
      </c>
      <c r="H283" s="31">
        <f>IF($A283="","",IFERROR(ROUND($G283*INDEX(tblKurallar[deger_2025],MATCH("AYD-002",tblKurallar[kural_id],0)),2),0))</f>
        <v/>
      </c>
      <c r="I283" s="31">
        <f>IF($A283="","",IFERROR($G283-$G283*INDEX(tblKurallar[deger_2025],MATCH("AYD-004",tblKurallar[kural_id],0)),0))</f>
        <v/>
      </c>
    </row>
    <row r="284">
      <c r="A284" s="30" t="n"/>
      <c r="B284" s="30" t="n"/>
      <c r="C284" s="30" t="n"/>
      <c r="D284" s="30" t="n"/>
      <c r="E284" s="30" t="n"/>
      <c r="F284" s="30" t="n"/>
      <c r="G284" s="31">
        <f>IF($A284="","",IFERROR(ROUND(MAX(0,$B284*($D284-1)),2),0))</f>
        <v/>
      </c>
      <c r="H284" s="31">
        <f>IF($A284="","",IFERROR(ROUND($G284*INDEX(tblKurallar[deger_2025],MATCH("AYD-002",tblKurallar[kural_id],0)),2),0))</f>
        <v/>
      </c>
      <c r="I284" s="31">
        <f>IF($A284="","",IFERROR($G284-$G284*INDEX(tblKurallar[deger_2025],MATCH("AYD-004",tblKurallar[kural_id],0)),0))</f>
        <v/>
      </c>
    </row>
    <row r="285">
      <c r="A285" s="30" t="n"/>
      <c r="B285" s="30" t="n"/>
      <c r="C285" s="30" t="n"/>
      <c r="D285" s="30" t="n"/>
      <c r="E285" s="30" t="n"/>
      <c r="F285" s="30" t="n"/>
      <c r="G285" s="31">
        <f>IF($A285="","",IFERROR(ROUND(MAX(0,$B285*($D285-1)),2),0))</f>
        <v/>
      </c>
      <c r="H285" s="31">
        <f>IF($A285="","",IFERROR(ROUND($G285*INDEX(tblKurallar[deger_2025],MATCH("AYD-002",tblKurallar[kural_id],0)),2),0))</f>
        <v/>
      </c>
      <c r="I285" s="31">
        <f>IF($A285="","",IFERROR($G285-$G285*INDEX(tblKurallar[deger_2025],MATCH("AYD-004",tblKurallar[kural_id],0)),0))</f>
        <v/>
      </c>
    </row>
    <row r="286">
      <c r="A286" s="30" t="n"/>
      <c r="B286" s="30" t="n"/>
      <c r="C286" s="30" t="n"/>
      <c r="D286" s="30" t="n"/>
      <c r="E286" s="30" t="n"/>
      <c r="F286" s="30" t="n"/>
      <c r="G286" s="31">
        <f>IF($A286="","",IFERROR(ROUND(MAX(0,$B286*($D286-1)),2),0))</f>
        <v/>
      </c>
      <c r="H286" s="31">
        <f>IF($A286="","",IFERROR(ROUND($G286*INDEX(tblKurallar[deger_2025],MATCH("AYD-002",tblKurallar[kural_id],0)),2),0))</f>
        <v/>
      </c>
      <c r="I286" s="31">
        <f>IF($A286="","",IFERROR($G286-$G286*INDEX(tblKurallar[deger_2025],MATCH("AYD-004",tblKurallar[kural_id],0)),0))</f>
        <v/>
      </c>
    </row>
    <row r="287">
      <c r="A287" s="30" t="n"/>
      <c r="B287" s="30" t="n"/>
      <c r="C287" s="30" t="n"/>
      <c r="D287" s="30" t="n"/>
      <c r="E287" s="30" t="n"/>
      <c r="F287" s="30" t="n"/>
      <c r="G287" s="31">
        <f>IF($A287="","",IFERROR(ROUND(MAX(0,$B287*($D287-1)),2),0))</f>
        <v/>
      </c>
      <c r="H287" s="31">
        <f>IF($A287="","",IFERROR(ROUND($G287*INDEX(tblKurallar[deger_2025],MATCH("AYD-002",tblKurallar[kural_id],0)),2),0))</f>
        <v/>
      </c>
      <c r="I287" s="31">
        <f>IF($A287="","",IFERROR($G287-$G287*INDEX(tblKurallar[deger_2025],MATCH("AYD-004",tblKurallar[kural_id],0)),0))</f>
        <v/>
      </c>
    </row>
    <row r="288">
      <c r="A288" s="30" t="n"/>
      <c r="B288" s="30" t="n"/>
      <c r="C288" s="30" t="n"/>
      <c r="D288" s="30" t="n"/>
      <c r="E288" s="30" t="n"/>
      <c r="F288" s="30" t="n"/>
      <c r="G288" s="31">
        <f>IF($A288="","",IFERROR(ROUND(MAX(0,$B288*($D288-1)),2),0))</f>
        <v/>
      </c>
      <c r="H288" s="31">
        <f>IF($A288="","",IFERROR(ROUND($G288*INDEX(tblKurallar[deger_2025],MATCH("AYD-002",tblKurallar[kural_id],0)),2),0))</f>
        <v/>
      </c>
      <c r="I288" s="31">
        <f>IF($A288="","",IFERROR($G288-$G288*INDEX(tblKurallar[deger_2025],MATCH("AYD-004",tblKurallar[kural_id],0)),0))</f>
        <v/>
      </c>
    </row>
    <row r="289">
      <c r="A289" s="30" t="n"/>
      <c r="B289" s="30" t="n"/>
      <c r="C289" s="30" t="n"/>
      <c r="D289" s="30" t="n"/>
      <c r="E289" s="30" t="n"/>
      <c r="F289" s="30" t="n"/>
      <c r="G289" s="31">
        <f>IF($A289="","",IFERROR(ROUND(MAX(0,$B289*($D289-1)),2),0))</f>
        <v/>
      </c>
      <c r="H289" s="31">
        <f>IF($A289="","",IFERROR(ROUND($G289*INDEX(tblKurallar[deger_2025],MATCH("AYD-002",tblKurallar[kural_id],0)),2),0))</f>
        <v/>
      </c>
      <c r="I289" s="31">
        <f>IF($A289="","",IFERROR($G289-$G289*INDEX(tblKurallar[deger_2025],MATCH("AYD-004",tblKurallar[kural_id],0)),0))</f>
        <v/>
      </c>
    </row>
    <row r="290">
      <c r="A290" s="30" t="n"/>
      <c r="B290" s="30" t="n"/>
      <c r="C290" s="30" t="n"/>
      <c r="D290" s="30" t="n"/>
      <c r="E290" s="30" t="n"/>
      <c r="F290" s="30" t="n"/>
      <c r="G290" s="31">
        <f>IF($A290="","",IFERROR(ROUND(MAX(0,$B290*($D290-1)),2),0))</f>
        <v/>
      </c>
      <c r="H290" s="31">
        <f>IF($A290="","",IFERROR(ROUND($G290*INDEX(tblKurallar[deger_2025],MATCH("AYD-002",tblKurallar[kural_id],0)),2),0))</f>
        <v/>
      </c>
      <c r="I290" s="31">
        <f>IF($A290="","",IFERROR($G290-$G290*INDEX(tblKurallar[deger_2025],MATCH("AYD-004",tblKurallar[kural_id],0)),0))</f>
        <v/>
      </c>
    </row>
    <row r="291">
      <c r="A291" s="30" t="n"/>
      <c r="B291" s="30" t="n"/>
      <c r="C291" s="30" t="n"/>
      <c r="D291" s="30" t="n"/>
      <c r="E291" s="30" t="n"/>
      <c r="F291" s="30" t="n"/>
      <c r="G291" s="31">
        <f>IF($A291="","",IFERROR(ROUND(MAX(0,$B291*($D291-1)),2),0))</f>
        <v/>
      </c>
      <c r="H291" s="31">
        <f>IF($A291="","",IFERROR(ROUND($G291*INDEX(tblKurallar[deger_2025],MATCH("AYD-002",tblKurallar[kural_id],0)),2),0))</f>
        <v/>
      </c>
      <c r="I291" s="31">
        <f>IF($A291="","",IFERROR($G291-$G291*INDEX(tblKurallar[deger_2025],MATCH("AYD-004",tblKurallar[kural_id],0)),0))</f>
        <v/>
      </c>
    </row>
    <row r="292">
      <c r="A292" s="30" t="n"/>
      <c r="B292" s="30" t="n"/>
      <c r="C292" s="30" t="n"/>
      <c r="D292" s="30" t="n"/>
      <c r="E292" s="30" t="n"/>
      <c r="F292" s="30" t="n"/>
      <c r="G292" s="31">
        <f>IF($A292="","",IFERROR(ROUND(MAX(0,$B292*($D292-1)),2),0))</f>
        <v/>
      </c>
      <c r="H292" s="31">
        <f>IF($A292="","",IFERROR(ROUND($G292*INDEX(tblKurallar[deger_2025],MATCH("AYD-002",tblKurallar[kural_id],0)),2),0))</f>
        <v/>
      </c>
      <c r="I292" s="31">
        <f>IF($A292="","",IFERROR($G292-$G292*INDEX(tblKurallar[deger_2025],MATCH("AYD-004",tblKurallar[kural_id],0)),0))</f>
        <v/>
      </c>
    </row>
    <row r="293">
      <c r="A293" s="30" t="n"/>
      <c r="B293" s="30" t="n"/>
      <c r="C293" s="30" t="n"/>
      <c r="D293" s="30" t="n"/>
      <c r="E293" s="30" t="n"/>
      <c r="F293" s="30" t="n"/>
      <c r="G293" s="31">
        <f>IF($A293="","",IFERROR(ROUND(MAX(0,$B293*($D293-1)),2),0))</f>
        <v/>
      </c>
      <c r="H293" s="31">
        <f>IF($A293="","",IFERROR(ROUND($G293*INDEX(tblKurallar[deger_2025],MATCH("AYD-002",tblKurallar[kural_id],0)),2),0))</f>
        <v/>
      </c>
      <c r="I293" s="31">
        <f>IF($A293="","",IFERROR($G293-$G293*INDEX(tblKurallar[deger_2025],MATCH("AYD-004",tblKurallar[kural_id],0)),0))</f>
        <v/>
      </c>
    </row>
    <row r="294">
      <c r="A294" s="30" t="n"/>
      <c r="B294" s="30" t="n"/>
      <c r="C294" s="30" t="n"/>
      <c r="D294" s="30" t="n"/>
      <c r="E294" s="30" t="n"/>
      <c r="F294" s="30" t="n"/>
      <c r="G294" s="31">
        <f>IF($A294="","",IFERROR(ROUND(MAX(0,$B294*($D294-1)),2),0))</f>
        <v/>
      </c>
      <c r="H294" s="31">
        <f>IF($A294="","",IFERROR(ROUND($G294*INDEX(tblKurallar[deger_2025],MATCH("AYD-002",tblKurallar[kural_id],0)),2),0))</f>
        <v/>
      </c>
      <c r="I294" s="31">
        <f>IF($A294="","",IFERROR($G294-$G294*INDEX(tblKurallar[deger_2025],MATCH("AYD-004",tblKurallar[kural_id],0)),0))</f>
        <v/>
      </c>
    </row>
    <row r="295">
      <c r="A295" s="30" t="n"/>
      <c r="B295" s="30" t="n"/>
      <c r="C295" s="30" t="n"/>
      <c r="D295" s="30" t="n"/>
      <c r="E295" s="30" t="n"/>
      <c r="F295" s="30" t="n"/>
      <c r="G295" s="31">
        <f>IF($A295="","",IFERROR(ROUND(MAX(0,$B295*($D295-1)),2),0))</f>
        <v/>
      </c>
      <c r="H295" s="31">
        <f>IF($A295="","",IFERROR(ROUND($G295*INDEX(tblKurallar[deger_2025],MATCH("AYD-002",tblKurallar[kural_id],0)),2),0))</f>
        <v/>
      </c>
      <c r="I295" s="31">
        <f>IF($A295="","",IFERROR($G295-$G295*INDEX(tblKurallar[deger_2025],MATCH("AYD-004",tblKurallar[kural_id],0)),0))</f>
        <v/>
      </c>
    </row>
    <row r="296">
      <c r="A296" s="30" t="n"/>
      <c r="B296" s="30" t="n"/>
      <c r="C296" s="30" t="n"/>
      <c r="D296" s="30" t="n"/>
      <c r="E296" s="30" t="n"/>
      <c r="F296" s="30" t="n"/>
      <c r="G296" s="31">
        <f>IF($A296="","",IFERROR(ROUND(MAX(0,$B296*($D296-1)),2),0))</f>
        <v/>
      </c>
      <c r="H296" s="31">
        <f>IF($A296="","",IFERROR(ROUND($G296*INDEX(tblKurallar[deger_2025],MATCH("AYD-002",tblKurallar[kural_id],0)),2),0))</f>
        <v/>
      </c>
      <c r="I296" s="31">
        <f>IF($A296="","",IFERROR($G296-$G296*INDEX(tblKurallar[deger_2025],MATCH("AYD-004",tblKurallar[kural_id],0)),0))</f>
        <v/>
      </c>
    </row>
    <row r="297">
      <c r="A297" s="30" t="n"/>
      <c r="B297" s="30" t="n"/>
      <c r="C297" s="30" t="n"/>
      <c r="D297" s="30" t="n"/>
      <c r="E297" s="30" t="n"/>
      <c r="F297" s="30" t="n"/>
      <c r="G297" s="31">
        <f>IF($A297="","",IFERROR(ROUND(MAX(0,$B297*($D297-1)),2),0))</f>
        <v/>
      </c>
      <c r="H297" s="31">
        <f>IF($A297="","",IFERROR(ROUND($G297*INDEX(tblKurallar[deger_2025],MATCH("AYD-002",tblKurallar[kural_id],0)),2),0))</f>
        <v/>
      </c>
      <c r="I297" s="31">
        <f>IF($A297="","",IFERROR($G297-$G297*INDEX(tblKurallar[deger_2025],MATCH("AYD-004",tblKurallar[kural_id],0)),0))</f>
        <v/>
      </c>
    </row>
    <row r="298">
      <c r="A298" s="30" t="n"/>
      <c r="B298" s="30" t="n"/>
      <c r="C298" s="30" t="n"/>
      <c r="D298" s="30" t="n"/>
      <c r="E298" s="30" t="n"/>
      <c r="F298" s="30" t="n"/>
      <c r="G298" s="31">
        <f>IF($A298="","",IFERROR(ROUND(MAX(0,$B298*($D298-1)),2),0))</f>
        <v/>
      </c>
      <c r="H298" s="31">
        <f>IF($A298="","",IFERROR(ROUND($G298*INDEX(tblKurallar[deger_2025],MATCH("AYD-002",tblKurallar[kural_id],0)),2),0))</f>
        <v/>
      </c>
      <c r="I298" s="31">
        <f>IF($A298="","",IFERROR($G298-$G298*INDEX(tblKurallar[deger_2025],MATCH("AYD-004",tblKurallar[kural_id],0)),0))</f>
        <v/>
      </c>
    </row>
    <row r="299">
      <c r="A299" s="30" t="n"/>
      <c r="B299" s="30" t="n"/>
      <c r="C299" s="30" t="n"/>
      <c r="D299" s="30" t="n"/>
      <c r="E299" s="30" t="n"/>
      <c r="F299" s="30" t="n"/>
      <c r="G299" s="31">
        <f>IF($A299="","",IFERROR(ROUND(MAX(0,$B299*($D299-1)),2),0))</f>
        <v/>
      </c>
      <c r="H299" s="31">
        <f>IF($A299="","",IFERROR(ROUND($G299*INDEX(tblKurallar[deger_2025],MATCH("AYD-002",tblKurallar[kural_id],0)),2),0))</f>
        <v/>
      </c>
      <c r="I299" s="31">
        <f>IF($A299="","",IFERROR($G299-$G299*INDEX(tblKurallar[deger_2025],MATCH("AYD-004",tblKurallar[kural_id],0)),0))</f>
        <v/>
      </c>
    </row>
    <row r="300">
      <c r="A300" s="30" t="n"/>
      <c r="B300" s="30" t="n"/>
      <c r="C300" s="30" t="n"/>
      <c r="D300" s="30" t="n"/>
      <c r="E300" s="30" t="n"/>
      <c r="F300" s="30" t="n"/>
      <c r="G300" s="31">
        <f>IF($A300="","",IFERROR(ROUND(MAX(0,$B300*($D300-1)),2),0))</f>
        <v/>
      </c>
      <c r="H300" s="31">
        <f>IF($A300="","",IFERROR(ROUND($G300*INDEX(tblKurallar[deger_2025],MATCH("AYD-002",tblKurallar[kural_id],0)),2),0))</f>
        <v/>
      </c>
      <c r="I300" s="31">
        <f>IF($A300="","",IFERROR($G300-$G300*INDEX(tblKurallar[deger_2025],MATCH("AYD-004",tblKurallar[kural_id],0)),0))</f>
        <v/>
      </c>
    </row>
    <row r="301">
      <c r="A301" s="30" t="n"/>
      <c r="B301" s="30" t="n"/>
      <c r="C301" s="30" t="n"/>
      <c r="D301" s="30" t="n"/>
      <c r="E301" s="30" t="n"/>
      <c r="F301" s="30" t="n"/>
      <c r="G301" s="31">
        <f>IF($A301="","",IFERROR(ROUND(MAX(0,$B301*($D301-1)),2),0))</f>
        <v/>
      </c>
      <c r="H301" s="31">
        <f>IF($A301="","",IFERROR(ROUND($G301*INDEX(tblKurallar[deger_2025],MATCH("AYD-002",tblKurallar[kural_id],0)),2),0))</f>
        <v/>
      </c>
      <c r="I301" s="31">
        <f>IF($A301="","",IFERROR($G301-$G301*INDEX(tblKurallar[deger_2025],MATCH("AYD-004",tblKurallar[kural_id],0)),0))</f>
        <v/>
      </c>
    </row>
    <row r="302">
      <c r="A302" s="30" t="n"/>
      <c r="B302" s="30" t="n"/>
      <c r="C302" s="30" t="n"/>
      <c r="D302" s="30" t="n"/>
      <c r="E302" s="30" t="n"/>
      <c r="F302" s="30" t="n"/>
      <c r="G302" s="31">
        <f>IF($A302="","",IFERROR(ROUND(MAX(0,$B302*($D302-1)),2),0))</f>
        <v/>
      </c>
      <c r="H302" s="31">
        <f>IF($A302="","",IFERROR(ROUND($G302*INDEX(tblKurallar[deger_2025],MATCH("AYD-002",tblKurallar[kural_id],0)),2),0))</f>
        <v/>
      </c>
      <c r="I302" s="31">
        <f>IF($A302="","",IFERROR($G302-$G302*INDEX(tblKurallar[deger_2025],MATCH("AYD-004",tblKurallar[kural_id],0)),0))</f>
        <v/>
      </c>
    </row>
    <row r="303">
      <c r="A303" s="30" t="n"/>
      <c r="B303" s="30" t="n"/>
      <c r="C303" s="30" t="n"/>
      <c r="D303" s="30" t="n"/>
      <c r="E303" s="30" t="n"/>
      <c r="F303" s="30" t="n"/>
      <c r="G303" s="31">
        <f>IF($A303="","",IFERROR(ROUND(MAX(0,$B303*($D303-1)),2),0))</f>
        <v/>
      </c>
      <c r="H303" s="31">
        <f>IF($A303="","",IFERROR(ROUND($G303*INDEX(tblKurallar[deger_2025],MATCH("AYD-002",tblKurallar[kural_id],0)),2),0))</f>
        <v/>
      </c>
      <c r="I303" s="31">
        <f>IF($A303="","",IFERROR($G303-$G303*INDEX(tblKurallar[deger_2025],MATCH("AYD-004",tblKurallar[kural_id],0)),0))</f>
        <v/>
      </c>
    </row>
    <row r="304">
      <c r="A304" s="30" t="n"/>
      <c r="B304" s="30" t="n"/>
      <c r="C304" s="30" t="n"/>
      <c r="D304" s="30" t="n"/>
      <c r="E304" s="30" t="n"/>
      <c r="F304" s="30" t="n"/>
      <c r="G304" s="31">
        <f>IF($A304="","",IFERROR(ROUND(MAX(0,$B304*($D304-1)),2),0))</f>
        <v/>
      </c>
      <c r="H304" s="31">
        <f>IF($A304="","",IFERROR(ROUND($G304*INDEX(tblKurallar[deger_2025],MATCH("AYD-002",tblKurallar[kural_id],0)),2),0))</f>
        <v/>
      </c>
      <c r="I304" s="31">
        <f>IF($A304="","",IFERROR($G304-$G304*INDEX(tblKurallar[deger_2025],MATCH("AYD-004",tblKurallar[kural_id],0)),0))</f>
        <v/>
      </c>
    </row>
    <row r="305">
      <c r="A305" s="30" t="n"/>
      <c r="B305" s="30" t="n"/>
      <c r="C305" s="30" t="n"/>
      <c r="D305" s="30" t="n"/>
      <c r="E305" s="30" t="n"/>
      <c r="F305" s="30" t="n"/>
      <c r="G305" s="31">
        <f>IF($A305="","",IFERROR(ROUND(MAX(0,$B305*($D305-1)),2),0))</f>
        <v/>
      </c>
      <c r="H305" s="31">
        <f>IF($A305="","",IFERROR(ROUND($G305*INDEX(tblKurallar[deger_2025],MATCH("AYD-002",tblKurallar[kural_id],0)),2),0))</f>
        <v/>
      </c>
      <c r="I305" s="31">
        <f>IF($A305="","",IFERROR($G305-$G305*INDEX(tblKurallar[deger_2025],MATCH("AYD-004",tblKurallar[kural_id],0)),0))</f>
        <v/>
      </c>
    </row>
    <row r="306">
      <c r="A306" s="30" t="n"/>
      <c r="B306" s="30" t="n"/>
      <c r="C306" s="30" t="n"/>
      <c r="D306" s="30" t="n"/>
      <c r="E306" s="30" t="n"/>
      <c r="F306" s="30" t="n"/>
      <c r="G306" s="31">
        <f>IF($A306="","",IFERROR(ROUND(MAX(0,$B306*($D306-1)),2),0))</f>
        <v/>
      </c>
      <c r="H306" s="31">
        <f>IF($A306="","",IFERROR(ROUND($G306*INDEX(tblKurallar[deger_2025],MATCH("AYD-002",tblKurallar[kural_id],0)),2),0))</f>
        <v/>
      </c>
      <c r="I306" s="31">
        <f>IF($A306="","",IFERROR($G306-$G306*INDEX(tblKurallar[deger_2025],MATCH("AYD-004",tblKurallar[kural_id],0)),0))</f>
        <v/>
      </c>
    </row>
    <row r="307">
      <c r="A307" s="30" t="n"/>
      <c r="B307" s="30" t="n"/>
      <c r="C307" s="30" t="n"/>
      <c r="D307" s="30" t="n"/>
      <c r="E307" s="30" t="n"/>
      <c r="F307" s="30" t="n"/>
      <c r="G307" s="31">
        <f>IF($A307="","",IFERROR(ROUND(MAX(0,$B307*($D307-1)),2),0))</f>
        <v/>
      </c>
      <c r="H307" s="31">
        <f>IF($A307="","",IFERROR(ROUND($G307*INDEX(tblKurallar[deger_2025],MATCH("AYD-002",tblKurallar[kural_id],0)),2),0))</f>
        <v/>
      </c>
      <c r="I307" s="31">
        <f>IF($A307="","",IFERROR($G307-$G307*INDEX(tblKurallar[deger_2025],MATCH("AYD-004",tblKurallar[kural_id],0)),0))</f>
        <v/>
      </c>
    </row>
    <row r="308">
      <c r="A308" s="30" t="n"/>
      <c r="B308" s="30" t="n"/>
      <c r="C308" s="30" t="n"/>
      <c r="D308" s="30" t="n"/>
      <c r="E308" s="30" t="n"/>
      <c r="F308" s="30" t="n"/>
      <c r="G308" s="31">
        <f>IF($A308="","",IFERROR(ROUND(MAX(0,$B308*($D308-1)),2),0))</f>
        <v/>
      </c>
      <c r="H308" s="31">
        <f>IF($A308="","",IFERROR(ROUND($G308*INDEX(tblKurallar[deger_2025],MATCH("AYD-002",tblKurallar[kural_id],0)),2),0))</f>
        <v/>
      </c>
      <c r="I308" s="31">
        <f>IF($A308="","",IFERROR($G308-$G308*INDEX(tblKurallar[deger_2025],MATCH("AYD-004",tblKurallar[kural_id],0)),0))</f>
        <v/>
      </c>
    </row>
    <row r="309">
      <c r="A309" s="30" t="n"/>
      <c r="B309" s="30" t="n"/>
      <c r="C309" s="30" t="n"/>
      <c r="D309" s="30" t="n"/>
      <c r="E309" s="30" t="n"/>
      <c r="F309" s="30" t="n"/>
      <c r="G309" s="31">
        <f>IF($A309="","",IFERROR(ROUND(MAX(0,$B309*($D309-1)),2),0))</f>
        <v/>
      </c>
      <c r="H309" s="31">
        <f>IF($A309="","",IFERROR(ROUND($G309*INDEX(tblKurallar[deger_2025],MATCH("AYD-002",tblKurallar[kural_id],0)),2),0))</f>
        <v/>
      </c>
      <c r="I309" s="31">
        <f>IF($A309="","",IFERROR($G309-$G309*INDEX(tblKurallar[deger_2025],MATCH("AYD-004",tblKurallar[kural_id],0)),0))</f>
        <v/>
      </c>
    </row>
    <row r="310">
      <c r="A310" s="30" t="n"/>
      <c r="B310" s="30" t="n"/>
      <c r="C310" s="30" t="n"/>
      <c r="D310" s="30" t="n"/>
      <c r="E310" s="30" t="n"/>
      <c r="F310" s="30" t="n"/>
      <c r="G310" s="31">
        <f>IF($A310="","",IFERROR(ROUND(MAX(0,$B310*($D310-1)),2),0))</f>
        <v/>
      </c>
      <c r="H310" s="31">
        <f>IF($A310="","",IFERROR(ROUND($G310*INDEX(tblKurallar[deger_2025],MATCH("AYD-002",tblKurallar[kural_id],0)),2),0))</f>
        <v/>
      </c>
      <c r="I310" s="31">
        <f>IF($A310="","",IFERROR($G310-$G310*INDEX(tblKurallar[deger_2025],MATCH("AYD-004",tblKurallar[kural_id],0)),0))</f>
        <v/>
      </c>
    </row>
    <row r="311">
      <c r="A311" s="30" t="n"/>
      <c r="B311" s="30" t="n"/>
      <c r="C311" s="30" t="n"/>
      <c r="D311" s="30" t="n"/>
      <c r="E311" s="30" t="n"/>
      <c r="F311" s="30" t="n"/>
      <c r="G311" s="31">
        <f>IF($A311="","",IFERROR(ROUND(MAX(0,$B311*($D311-1)),2),0))</f>
        <v/>
      </c>
      <c r="H311" s="31">
        <f>IF($A311="","",IFERROR(ROUND($G311*INDEX(tblKurallar[deger_2025],MATCH("AYD-002",tblKurallar[kural_id],0)),2),0))</f>
        <v/>
      </c>
      <c r="I311" s="31">
        <f>IF($A311="","",IFERROR($G311-$G311*INDEX(tblKurallar[deger_2025],MATCH("AYD-004",tblKurallar[kural_id],0)),0))</f>
        <v/>
      </c>
    </row>
    <row r="312">
      <c r="A312" s="30" t="n"/>
      <c r="B312" s="30" t="n"/>
      <c r="C312" s="30" t="n"/>
      <c r="D312" s="30" t="n"/>
      <c r="E312" s="30" t="n"/>
      <c r="F312" s="30" t="n"/>
      <c r="G312" s="31">
        <f>IF($A312="","",IFERROR(ROUND(MAX(0,$B312*($D312-1)),2),0))</f>
        <v/>
      </c>
      <c r="H312" s="31">
        <f>IF($A312="","",IFERROR(ROUND($G312*INDEX(tblKurallar[deger_2025],MATCH("AYD-002",tblKurallar[kural_id],0)),2),0))</f>
        <v/>
      </c>
      <c r="I312" s="31">
        <f>IF($A312="","",IFERROR($G312-$G312*INDEX(tblKurallar[deger_2025],MATCH("AYD-004",tblKurallar[kural_id],0)),0))</f>
        <v/>
      </c>
    </row>
    <row r="313">
      <c r="A313" s="30" t="n"/>
      <c r="B313" s="30" t="n"/>
      <c r="C313" s="30" t="n"/>
      <c r="D313" s="30" t="n"/>
      <c r="E313" s="30" t="n"/>
      <c r="F313" s="30" t="n"/>
      <c r="G313" s="31">
        <f>IF($A313="","",IFERROR(ROUND(MAX(0,$B313*($D313-1)),2),0))</f>
        <v/>
      </c>
      <c r="H313" s="31">
        <f>IF($A313="","",IFERROR(ROUND($G313*INDEX(tblKurallar[deger_2025],MATCH("AYD-002",tblKurallar[kural_id],0)),2),0))</f>
        <v/>
      </c>
      <c r="I313" s="31">
        <f>IF($A313="","",IFERROR($G313-$G313*INDEX(tblKurallar[deger_2025],MATCH("AYD-004",tblKurallar[kural_id],0)),0))</f>
        <v/>
      </c>
    </row>
    <row r="314">
      <c r="A314" s="30" t="n"/>
      <c r="B314" s="30" t="n"/>
      <c r="C314" s="30" t="n"/>
      <c r="D314" s="30" t="n"/>
      <c r="E314" s="30" t="n"/>
      <c r="F314" s="30" t="n"/>
      <c r="G314" s="31">
        <f>IF($A314="","",IFERROR(ROUND(MAX(0,$B314*($D314-1)),2),0))</f>
        <v/>
      </c>
      <c r="H314" s="31">
        <f>IF($A314="","",IFERROR(ROUND($G314*INDEX(tblKurallar[deger_2025],MATCH("AYD-002",tblKurallar[kural_id],0)),2),0))</f>
        <v/>
      </c>
      <c r="I314" s="31">
        <f>IF($A314="","",IFERROR($G314-$G314*INDEX(tblKurallar[deger_2025],MATCH("AYD-004",tblKurallar[kural_id],0)),0))</f>
        <v/>
      </c>
    </row>
    <row r="315">
      <c r="A315" s="30" t="n"/>
      <c r="B315" s="30" t="n"/>
      <c r="C315" s="30" t="n"/>
      <c r="D315" s="30" t="n"/>
      <c r="E315" s="30" t="n"/>
      <c r="F315" s="30" t="n"/>
      <c r="G315" s="31">
        <f>IF($A315="","",IFERROR(ROUND(MAX(0,$B315*($D315-1)),2),0))</f>
        <v/>
      </c>
      <c r="H315" s="31">
        <f>IF($A315="","",IFERROR(ROUND($G315*INDEX(tblKurallar[deger_2025],MATCH("AYD-002",tblKurallar[kural_id],0)),2),0))</f>
        <v/>
      </c>
      <c r="I315" s="31">
        <f>IF($A315="","",IFERROR($G315-$G315*INDEX(tblKurallar[deger_2025],MATCH("AYD-004",tblKurallar[kural_id],0)),0))</f>
        <v/>
      </c>
    </row>
    <row r="316">
      <c r="A316" s="30" t="n"/>
      <c r="B316" s="30" t="n"/>
      <c r="C316" s="30" t="n"/>
      <c r="D316" s="30" t="n"/>
      <c r="E316" s="30" t="n"/>
      <c r="F316" s="30" t="n"/>
      <c r="G316" s="31">
        <f>IF($A316="","",IFERROR(ROUND(MAX(0,$B316*($D316-1)),2),0))</f>
        <v/>
      </c>
      <c r="H316" s="31">
        <f>IF($A316="","",IFERROR(ROUND($G316*INDEX(tblKurallar[deger_2025],MATCH("AYD-002",tblKurallar[kural_id],0)),2),0))</f>
        <v/>
      </c>
      <c r="I316" s="31">
        <f>IF($A316="","",IFERROR($G316-$G316*INDEX(tblKurallar[deger_2025],MATCH("AYD-004",tblKurallar[kural_id],0)),0))</f>
        <v/>
      </c>
    </row>
    <row r="317">
      <c r="A317" s="30" t="n"/>
      <c r="B317" s="30" t="n"/>
      <c r="C317" s="30" t="n"/>
      <c r="D317" s="30" t="n"/>
      <c r="E317" s="30" t="n"/>
      <c r="F317" s="30" t="n"/>
      <c r="G317" s="31">
        <f>IF($A317="","",IFERROR(ROUND(MAX(0,$B317*($D317-1)),2),0))</f>
        <v/>
      </c>
      <c r="H317" s="31">
        <f>IF($A317="","",IFERROR(ROUND($G317*INDEX(tblKurallar[deger_2025],MATCH("AYD-002",tblKurallar[kural_id],0)),2),0))</f>
        <v/>
      </c>
      <c r="I317" s="31">
        <f>IF($A317="","",IFERROR($G317-$G317*INDEX(tblKurallar[deger_2025],MATCH("AYD-004",tblKurallar[kural_id],0)),0))</f>
        <v/>
      </c>
    </row>
    <row r="318">
      <c r="A318" s="30" t="n"/>
      <c r="B318" s="30" t="n"/>
      <c r="C318" s="30" t="n"/>
      <c r="D318" s="30" t="n"/>
      <c r="E318" s="30" t="n"/>
      <c r="F318" s="30" t="n"/>
      <c r="G318" s="31">
        <f>IF($A318="","",IFERROR(ROUND(MAX(0,$B318*($D318-1)),2),0))</f>
        <v/>
      </c>
      <c r="H318" s="31">
        <f>IF($A318="","",IFERROR(ROUND($G318*INDEX(tblKurallar[deger_2025],MATCH("AYD-002",tblKurallar[kural_id],0)),2),0))</f>
        <v/>
      </c>
      <c r="I318" s="31">
        <f>IF($A318="","",IFERROR($G318-$G318*INDEX(tblKurallar[deger_2025],MATCH("AYD-004",tblKurallar[kural_id],0)),0))</f>
        <v/>
      </c>
    </row>
    <row r="319">
      <c r="A319" s="30" t="n"/>
      <c r="B319" s="30" t="n"/>
      <c r="C319" s="30" t="n"/>
      <c r="D319" s="30" t="n"/>
      <c r="E319" s="30" t="n"/>
      <c r="F319" s="30" t="n"/>
      <c r="G319" s="31">
        <f>IF($A319="","",IFERROR(ROUND(MAX(0,$B319*($D319-1)),2),0))</f>
        <v/>
      </c>
      <c r="H319" s="31">
        <f>IF($A319="","",IFERROR(ROUND($G319*INDEX(tblKurallar[deger_2025],MATCH("AYD-002",tblKurallar[kural_id],0)),2),0))</f>
        <v/>
      </c>
      <c r="I319" s="31">
        <f>IF($A319="","",IFERROR($G319-$G319*INDEX(tblKurallar[deger_2025],MATCH("AYD-004",tblKurallar[kural_id],0)),0))</f>
        <v/>
      </c>
    </row>
    <row r="320">
      <c r="A320" s="30" t="n"/>
      <c r="B320" s="30" t="n"/>
      <c r="C320" s="30" t="n"/>
      <c r="D320" s="30" t="n"/>
      <c r="E320" s="30" t="n"/>
      <c r="F320" s="30" t="n"/>
      <c r="G320" s="31">
        <f>IF($A320="","",IFERROR(ROUND(MAX(0,$B320*($D320-1)),2),0))</f>
        <v/>
      </c>
      <c r="H320" s="31">
        <f>IF($A320="","",IFERROR(ROUND($G320*INDEX(tblKurallar[deger_2025],MATCH("AYD-002",tblKurallar[kural_id],0)),2),0))</f>
        <v/>
      </c>
      <c r="I320" s="31">
        <f>IF($A320="","",IFERROR($G320-$G320*INDEX(tblKurallar[deger_2025],MATCH("AYD-004",tblKurallar[kural_id],0)),0))</f>
        <v/>
      </c>
    </row>
    <row r="321">
      <c r="A321" s="30" t="n"/>
      <c r="B321" s="30" t="n"/>
      <c r="C321" s="30" t="n"/>
      <c r="D321" s="30" t="n"/>
      <c r="E321" s="30" t="n"/>
      <c r="F321" s="30" t="n"/>
      <c r="G321" s="31">
        <f>IF($A321="","",IFERROR(ROUND(MAX(0,$B321*($D321-1)),2),0))</f>
        <v/>
      </c>
      <c r="H321" s="31">
        <f>IF($A321="","",IFERROR(ROUND($G321*INDEX(tblKurallar[deger_2025],MATCH("AYD-002",tblKurallar[kural_id],0)),2),0))</f>
        <v/>
      </c>
      <c r="I321" s="31">
        <f>IF($A321="","",IFERROR($G321-$G321*INDEX(tblKurallar[deger_2025],MATCH("AYD-004",tblKurallar[kural_id],0)),0))</f>
        <v/>
      </c>
    </row>
    <row r="322">
      <c r="A322" s="30" t="n"/>
      <c r="B322" s="30" t="n"/>
      <c r="C322" s="30" t="n"/>
      <c r="D322" s="30" t="n"/>
      <c r="E322" s="30" t="n"/>
      <c r="F322" s="30" t="n"/>
      <c r="G322" s="31">
        <f>IF($A322="","",IFERROR(ROUND(MAX(0,$B322*($D322-1)),2),0))</f>
        <v/>
      </c>
      <c r="H322" s="31">
        <f>IF($A322="","",IFERROR(ROUND($G322*INDEX(tblKurallar[deger_2025],MATCH("AYD-002",tblKurallar[kural_id],0)),2),0))</f>
        <v/>
      </c>
      <c r="I322" s="31">
        <f>IF($A322="","",IFERROR($G322-$G322*INDEX(tblKurallar[deger_2025],MATCH("AYD-004",tblKurallar[kural_id],0)),0))</f>
        <v/>
      </c>
    </row>
    <row r="323">
      <c r="A323" s="30" t="n"/>
      <c r="B323" s="30" t="n"/>
      <c r="C323" s="30" t="n"/>
      <c r="D323" s="30" t="n"/>
      <c r="E323" s="30" t="n"/>
      <c r="F323" s="30" t="n"/>
      <c r="G323" s="31">
        <f>IF($A323="","",IFERROR(ROUND(MAX(0,$B323*($D323-1)),2),0))</f>
        <v/>
      </c>
      <c r="H323" s="31">
        <f>IF($A323="","",IFERROR(ROUND($G323*INDEX(tblKurallar[deger_2025],MATCH("AYD-002",tblKurallar[kural_id],0)),2),0))</f>
        <v/>
      </c>
      <c r="I323" s="31">
        <f>IF($A323="","",IFERROR($G323-$G323*INDEX(tblKurallar[deger_2025],MATCH("AYD-004",tblKurallar[kural_id],0)),0))</f>
        <v/>
      </c>
    </row>
    <row r="324">
      <c r="A324" s="30" t="n"/>
      <c r="B324" s="30" t="n"/>
      <c r="C324" s="30" t="n"/>
      <c r="D324" s="30" t="n"/>
      <c r="E324" s="30" t="n"/>
      <c r="F324" s="30" t="n"/>
      <c r="G324" s="31">
        <f>IF($A324="","",IFERROR(ROUND(MAX(0,$B324*($D324-1)),2),0))</f>
        <v/>
      </c>
      <c r="H324" s="31">
        <f>IF($A324="","",IFERROR(ROUND($G324*INDEX(tblKurallar[deger_2025],MATCH("AYD-002",tblKurallar[kural_id],0)),2),0))</f>
        <v/>
      </c>
      <c r="I324" s="31">
        <f>IF($A324="","",IFERROR($G324-$G324*INDEX(tblKurallar[deger_2025],MATCH("AYD-004",tblKurallar[kural_id],0)),0))</f>
        <v/>
      </c>
    </row>
    <row r="325">
      <c r="A325" s="30" t="n"/>
      <c r="B325" s="30" t="n"/>
      <c r="C325" s="30" t="n"/>
      <c r="D325" s="30" t="n"/>
      <c r="E325" s="30" t="n"/>
      <c r="F325" s="30" t="n"/>
      <c r="G325" s="31">
        <f>IF($A325="","",IFERROR(ROUND(MAX(0,$B325*($D325-1)),2),0))</f>
        <v/>
      </c>
      <c r="H325" s="31">
        <f>IF($A325="","",IFERROR(ROUND($G325*INDEX(tblKurallar[deger_2025],MATCH("AYD-002",tblKurallar[kural_id],0)),2),0))</f>
        <v/>
      </c>
      <c r="I325" s="31">
        <f>IF($A325="","",IFERROR($G325-$G325*INDEX(tblKurallar[deger_2025],MATCH("AYD-004",tblKurallar[kural_id],0)),0))</f>
        <v/>
      </c>
    </row>
    <row r="326">
      <c r="A326" s="30" t="n"/>
      <c r="B326" s="30" t="n"/>
      <c r="C326" s="30" t="n"/>
      <c r="D326" s="30" t="n"/>
      <c r="E326" s="30" t="n"/>
      <c r="F326" s="30" t="n"/>
      <c r="G326" s="31">
        <f>IF($A326="","",IFERROR(ROUND(MAX(0,$B326*($D326-1)),2),0))</f>
        <v/>
      </c>
      <c r="H326" s="31">
        <f>IF($A326="","",IFERROR(ROUND($G326*INDEX(tblKurallar[deger_2025],MATCH("AYD-002",tblKurallar[kural_id],0)),2),0))</f>
        <v/>
      </c>
      <c r="I326" s="31">
        <f>IF($A326="","",IFERROR($G326-$G326*INDEX(tblKurallar[deger_2025],MATCH("AYD-004",tblKurallar[kural_id],0)),0))</f>
        <v/>
      </c>
    </row>
    <row r="327">
      <c r="A327" s="30" t="n"/>
      <c r="B327" s="30" t="n"/>
      <c r="C327" s="30" t="n"/>
      <c r="D327" s="30" t="n"/>
      <c r="E327" s="30" t="n"/>
      <c r="F327" s="30" t="n"/>
      <c r="G327" s="31">
        <f>IF($A327="","",IFERROR(ROUND(MAX(0,$B327*($D327-1)),2),0))</f>
        <v/>
      </c>
      <c r="H327" s="31">
        <f>IF($A327="","",IFERROR(ROUND($G327*INDEX(tblKurallar[deger_2025],MATCH("AYD-002",tblKurallar[kural_id],0)),2),0))</f>
        <v/>
      </c>
      <c r="I327" s="31">
        <f>IF($A327="","",IFERROR($G327-$G327*INDEX(tblKurallar[deger_2025],MATCH("AYD-004",tblKurallar[kural_id],0)),0))</f>
        <v/>
      </c>
    </row>
    <row r="328">
      <c r="A328" s="30" t="n"/>
      <c r="B328" s="30" t="n"/>
      <c r="C328" s="30" t="n"/>
      <c r="D328" s="30" t="n"/>
      <c r="E328" s="30" t="n"/>
      <c r="F328" s="30" t="n"/>
      <c r="G328" s="31">
        <f>IF($A328="","",IFERROR(ROUND(MAX(0,$B328*($D328-1)),2),0))</f>
        <v/>
      </c>
      <c r="H328" s="31">
        <f>IF($A328="","",IFERROR(ROUND($G328*INDEX(tblKurallar[deger_2025],MATCH("AYD-002",tblKurallar[kural_id],0)),2),0))</f>
        <v/>
      </c>
      <c r="I328" s="31">
        <f>IF($A328="","",IFERROR($G328-$G328*INDEX(tblKurallar[deger_2025],MATCH("AYD-004",tblKurallar[kural_id],0)),0))</f>
        <v/>
      </c>
    </row>
    <row r="329">
      <c r="A329" s="30" t="n"/>
      <c r="B329" s="30" t="n"/>
      <c r="C329" s="30" t="n"/>
      <c r="D329" s="30" t="n"/>
      <c r="E329" s="30" t="n"/>
      <c r="F329" s="30" t="n"/>
      <c r="G329" s="31">
        <f>IF($A329="","",IFERROR(ROUND(MAX(0,$B329*($D329-1)),2),0))</f>
        <v/>
      </c>
      <c r="H329" s="31">
        <f>IF($A329="","",IFERROR(ROUND($G329*INDEX(tblKurallar[deger_2025],MATCH("AYD-002",tblKurallar[kural_id],0)),2),0))</f>
        <v/>
      </c>
      <c r="I329" s="31">
        <f>IF($A329="","",IFERROR($G329-$G329*INDEX(tblKurallar[deger_2025],MATCH("AYD-004",tblKurallar[kural_id],0)),0))</f>
        <v/>
      </c>
    </row>
    <row r="330">
      <c r="A330" s="30" t="n"/>
      <c r="B330" s="30" t="n"/>
      <c r="C330" s="30" t="n"/>
      <c r="D330" s="30" t="n"/>
      <c r="E330" s="30" t="n"/>
      <c r="F330" s="30" t="n"/>
      <c r="G330" s="31">
        <f>IF($A330="","",IFERROR(ROUND(MAX(0,$B330*($D330-1)),2),0))</f>
        <v/>
      </c>
      <c r="H330" s="31">
        <f>IF($A330="","",IFERROR(ROUND($G330*INDEX(tblKurallar[deger_2025],MATCH("AYD-002",tblKurallar[kural_id],0)),2),0))</f>
        <v/>
      </c>
      <c r="I330" s="31">
        <f>IF($A330="","",IFERROR($G330-$G330*INDEX(tblKurallar[deger_2025],MATCH("AYD-004",tblKurallar[kural_id],0)),0))</f>
        <v/>
      </c>
    </row>
    <row r="331">
      <c r="A331" s="30" t="n"/>
      <c r="B331" s="30" t="n"/>
      <c r="C331" s="30" t="n"/>
      <c r="D331" s="30" t="n"/>
      <c r="E331" s="30" t="n"/>
      <c r="F331" s="30" t="n"/>
      <c r="G331" s="31">
        <f>IF($A331="","",IFERROR(ROUND(MAX(0,$B331*($D331-1)),2),0))</f>
        <v/>
      </c>
      <c r="H331" s="31">
        <f>IF($A331="","",IFERROR(ROUND($G331*INDEX(tblKurallar[deger_2025],MATCH("AYD-002",tblKurallar[kural_id],0)),2),0))</f>
        <v/>
      </c>
      <c r="I331" s="31">
        <f>IF($A331="","",IFERROR($G331-$G331*INDEX(tblKurallar[deger_2025],MATCH("AYD-004",tblKurallar[kural_id],0)),0))</f>
        <v/>
      </c>
    </row>
    <row r="332">
      <c r="A332" s="30" t="n"/>
      <c r="B332" s="30" t="n"/>
      <c r="C332" s="30" t="n"/>
      <c r="D332" s="30" t="n"/>
      <c r="E332" s="30" t="n"/>
      <c r="F332" s="30" t="n"/>
      <c r="G332" s="31">
        <f>IF($A332="","",IFERROR(ROUND(MAX(0,$B332*($D332-1)),2),0))</f>
        <v/>
      </c>
      <c r="H332" s="31">
        <f>IF($A332="","",IFERROR(ROUND($G332*INDEX(tblKurallar[deger_2025],MATCH("AYD-002",tblKurallar[kural_id],0)),2),0))</f>
        <v/>
      </c>
      <c r="I332" s="31">
        <f>IF($A332="","",IFERROR($G332-$G332*INDEX(tblKurallar[deger_2025],MATCH("AYD-004",tblKurallar[kural_id],0)),0))</f>
        <v/>
      </c>
    </row>
    <row r="333">
      <c r="A333" s="30" t="n"/>
      <c r="B333" s="30" t="n"/>
      <c r="C333" s="30" t="n"/>
      <c r="D333" s="30" t="n"/>
      <c r="E333" s="30" t="n"/>
      <c r="F333" s="30" t="n"/>
      <c r="G333" s="31">
        <f>IF($A333="","",IFERROR(ROUND(MAX(0,$B333*($D333-1)),2),0))</f>
        <v/>
      </c>
      <c r="H333" s="31">
        <f>IF($A333="","",IFERROR(ROUND($G333*INDEX(tblKurallar[deger_2025],MATCH("AYD-002",tblKurallar[kural_id],0)),2),0))</f>
        <v/>
      </c>
      <c r="I333" s="31">
        <f>IF($A333="","",IFERROR($G333-$G333*INDEX(tblKurallar[deger_2025],MATCH("AYD-004",tblKurallar[kural_id],0)),0))</f>
        <v/>
      </c>
    </row>
    <row r="334">
      <c r="A334" s="30" t="n"/>
      <c r="B334" s="30" t="n"/>
      <c r="C334" s="30" t="n"/>
      <c r="D334" s="30" t="n"/>
      <c r="E334" s="30" t="n"/>
      <c r="F334" s="30" t="n"/>
      <c r="G334" s="31">
        <f>IF($A334="","",IFERROR(ROUND(MAX(0,$B334*($D334-1)),2),0))</f>
        <v/>
      </c>
      <c r="H334" s="31">
        <f>IF($A334="","",IFERROR(ROUND($G334*INDEX(tblKurallar[deger_2025],MATCH("AYD-002",tblKurallar[kural_id],0)),2),0))</f>
        <v/>
      </c>
      <c r="I334" s="31">
        <f>IF($A334="","",IFERROR($G334-$G334*INDEX(tblKurallar[deger_2025],MATCH("AYD-004",tblKurallar[kural_id],0)),0))</f>
        <v/>
      </c>
    </row>
    <row r="335">
      <c r="A335" s="30" t="n"/>
      <c r="B335" s="30" t="n"/>
      <c r="C335" s="30" t="n"/>
      <c r="D335" s="30" t="n"/>
      <c r="E335" s="30" t="n"/>
      <c r="F335" s="30" t="n"/>
      <c r="G335" s="31">
        <f>IF($A335="","",IFERROR(ROUND(MAX(0,$B335*($D335-1)),2),0))</f>
        <v/>
      </c>
      <c r="H335" s="31">
        <f>IF($A335="","",IFERROR(ROUND($G335*INDEX(tblKurallar[deger_2025],MATCH("AYD-002",tblKurallar[kural_id],0)),2),0))</f>
        <v/>
      </c>
      <c r="I335" s="31">
        <f>IF($A335="","",IFERROR($G335-$G335*INDEX(tblKurallar[deger_2025],MATCH("AYD-004",tblKurallar[kural_id],0)),0))</f>
        <v/>
      </c>
    </row>
    <row r="336">
      <c r="A336" s="30" t="n"/>
      <c r="B336" s="30" t="n"/>
      <c r="C336" s="30" t="n"/>
      <c r="D336" s="30" t="n"/>
      <c r="E336" s="30" t="n"/>
      <c r="F336" s="30" t="n"/>
      <c r="G336" s="31">
        <f>IF($A336="","",IFERROR(ROUND(MAX(0,$B336*($D336-1)),2),0))</f>
        <v/>
      </c>
      <c r="H336" s="31">
        <f>IF($A336="","",IFERROR(ROUND($G336*INDEX(tblKurallar[deger_2025],MATCH("AYD-002",tblKurallar[kural_id],0)),2),0))</f>
        <v/>
      </c>
      <c r="I336" s="31">
        <f>IF($A336="","",IFERROR($G336-$G336*INDEX(tblKurallar[deger_2025],MATCH("AYD-004",tblKurallar[kural_id],0)),0))</f>
        <v/>
      </c>
    </row>
    <row r="337">
      <c r="A337" s="30" t="n"/>
      <c r="B337" s="30" t="n"/>
      <c r="C337" s="30" t="n"/>
      <c r="D337" s="30" t="n"/>
      <c r="E337" s="30" t="n"/>
      <c r="F337" s="30" t="n"/>
      <c r="G337" s="31">
        <f>IF($A337="","",IFERROR(ROUND(MAX(0,$B337*($D337-1)),2),0))</f>
        <v/>
      </c>
      <c r="H337" s="31">
        <f>IF($A337="","",IFERROR(ROUND($G337*INDEX(tblKurallar[deger_2025],MATCH("AYD-002",tblKurallar[kural_id],0)),2),0))</f>
        <v/>
      </c>
      <c r="I337" s="31">
        <f>IF($A337="","",IFERROR($G337-$G337*INDEX(tblKurallar[deger_2025],MATCH("AYD-004",tblKurallar[kural_id],0)),0))</f>
        <v/>
      </c>
    </row>
    <row r="338">
      <c r="A338" s="30" t="n"/>
      <c r="B338" s="30" t="n"/>
      <c r="C338" s="30" t="n"/>
      <c r="D338" s="30" t="n"/>
      <c r="E338" s="30" t="n"/>
      <c r="F338" s="30" t="n"/>
      <c r="G338" s="31">
        <f>IF($A338="","",IFERROR(ROUND(MAX(0,$B338*($D338-1)),2),0))</f>
        <v/>
      </c>
      <c r="H338" s="31">
        <f>IF($A338="","",IFERROR(ROUND($G338*INDEX(tblKurallar[deger_2025],MATCH("AYD-002",tblKurallar[kural_id],0)),2),0))</f>
        <v/>
      </c>
      <c r="I338" s="31">
        <f>IF($A338="","",IFERROR($G338-$G338*INDEX(tblKurallar[deger_2025],MATCH("AYD-004",tblKurallar[kural_id],0)),0))</f>
        <v/>
      </c>
    </row>
    <row r="339">
      <c r="A339" s="30" t="n"/>
      <c r="B339" s="30" t="n"/>
      <c r="C339" s="30" t="n"/>
      <c r="D339" s="30" t="n"/>
      <c r="E339" s="30" t="n"/>
      <c r="F339" s="30" t="n"/>
      <c r="G339" s="31">
        <f>IF($A339="","",IFERROR(ROUND(MAX(0,$B339*($D339-1)),2),0))</f>
        <v/>
      </c>
      <c r="H339" s="31">
        <f>IF($A339="","",IFERROR(ROUND($G339*INDEX(tblKurallar[deger_2025],MATCH("AYD-002",tblKurallar[kural_id],0)),2),0))</f>
        <v/>
      </c>
      <c r="I339" s="31">
        <f>IF($A339="","",IFERROR($G339-$G339*INDEX(tblKurallar[deger_2025],MATCH("AYD-004",tblKurallar[kural_id],0)),0))</f>
        <v/>
      </c>
    </row>
    <row r="340">
      <c r="A340" s="30" t="n"/>
      <c r="B340" s="30" t="n"/>
      <c r="C340" s="30" t="n"/>
      <c r="D340" s="30" t="n"/>
      <c r="E340" s="30" t="n"/>
      <c r="F340" s="30" t="n"/>
      <c r="G340" s="31">
        <f>IF($A340="","",IFERROR(ROUND(MAX(0,$B340*($D340-1)),2),0))</f>
        <v/>
      </c>
      <c r="H340" s="31">
        <f>IF($A340="","",IFERROR(ROUND($G340*INDEX(tblKurallar[deger_2025],MATCH("AYD-002",tblKurallar[kural_id],0)),2),0))</f>
        <v/>
      </c>
      <c r="I340" s="31">
        <f>IF($A340="","",IFERROR($G340-$G340*INDEX(tblKurallar[deger_2025],MATCH("AYD-004",tblKurallar[kural_id],0)),0))</f>
        <v/>
      </c>
    </row>
    <row r="341">
      <c r="A341" s="30" t="n"/>
      <c r="B341" s="30" t="n"/>
      <c r="C341" s="30" t="n"/>
      <c r="D341" s="30" t="n"/>
      <c r="E341" s="30" t="n"/>
      <c r="F341" s="30" t="n"/>
      <c r="G341" s="31">
        <f>IF($A341="","",IFERROR(ROUND(MAX(0,$B341*($D341-1)),2),0))</f>
        <v/>
      </c>
      <c r="H341" s="31">
        <f>IF($A341="","",IFERROR(ROUND($G341*INDEX(tblKurallar[deger_2025],MATCH("AYD-002",tblKurallar[kural_id],0)),2),0))</f>
        <v/>
      </c>
      <c r="I341" s="31">
        <f>IF($A341="","",IFERROR($G341-$G341*INDEX(tblKurallar[deger_2025],MATCH("AYD-004",tblKurallar[kural_id],0)),0))</f>
        <v/>
      </c>
    </row>
    <row r="342">
      <c r="A342" s="30" t="n"/>
      <c r="B342" s="30" t="n"/>
      <c r="C342" s="30" t="n"/>
      <c r="D342" s="30" t="n"/>
      <c r="E342" s="30" t="n"/>
      <c r="F342" s="30" t="n"/>
      <c r="G342" s="31">
        <f>IF($A342="","",IFERROR(ROUND(MAX(0,$B342*($D342-1)),2),0))</f>
        <v/>
      </c>
      <c r="H342" s="31">
        <f>IF($A342="","",IFERROR(ROUND($G342*INDEX(tblKurallar[deger_2025],MATCH("AYD-002",tblKurallar[kural_id],0)),2),0))</f>
        <v/>
      </c>
      <c r="I342" s="31">
        <f>IF($A342="","",IFERROR($G342-$G342*INDEX(tblKurallar[deger_2025],MATCH("AYD-004",tblKurallar[kural_id],0)),0))</f>
        <v/>
      </c>
    </row>
    <row r="343">
      <c r="A343" s="30" t="n"/>
      <c r="B343" s="30" t="n"/>
      <c r="C343" s="30" t="n"/>
      <c r="D343" s="30" t="n"/>
      <c r="E343" s="30" t="n"/>
      <c r="F343" s="30" t="n"/>
      <c r="G343" s="31">
        <f>IF($A343="","",IFERROR(ROUND(MAX(0,$B343*($D343-1)),2),0))</f>
        <v/>
      </c>
      <c r="H343" s="31">
        <f>IF($A343="","",IFERROR(ROUND($G343*INDEX(tblKurallar[deger_2025],MATCH("AYD-002",tblKurallar[kural_id],0)),2),0))</f>
        <v/>
      </c>
      <c r="I343" s="31">
        <f>IF($A343="","",IFERROR($G343-$G343*INDEX(tblKurallar[deger_2025],MATCH("AYD-004",tblKurallar[kural_id],0)),0))</f>
        <v/>
      </c>
    </row>
    <row r="344">
      <c r="A344" s="30" t="n"/>
      <c r="B344" s="30" t="n"/>
      <c r="C344" s="30" t="n"/>
      <c r="D344" s="30" t="n"/>
      <c r="E344" s="30" t="n"/>
      <c r="F344" s="30" t="n"/>
      <c r="G344" s="31">
        <f>IF($A344="","",IFERROR(ROUND(MAX(0,$B344*($D344-1)),2),0))</f>
        <v/>
      </c>
      <c r="H344" s="31">
        <f>IF($A344="","",IFERROR(ROUND($G344*INDEX(tblKurallar[deger_2025],MATCH("AYD-002",tblKurallar[kural_id],0)),2),0))</f>
        <v/>
      </c>
      <c r="I344" s="31">
        <f>IF($A344="","",IFERROR($G344-$G344*INDEX(tblKurallar[deger_2025],MATCH("AYD-004",tblKurallar[kural_id],0)),0))</f>
        <v/>
      </c>
    </row>
    <row r="345">
      <c r="A345" s="30" t="n"/>
      <c r="B345" s="30" t="n"/>
      <c r="C345" s="30" t="n"/>
      <c r="D345" s="30" t="n"/>
      <c r="E345" s="30" t="n"/>
      <c r="F345" s="30" t="n"/>
      <c r="G345" s="31">
        <f>IF($A345="","",IFERROR(ROUND(MAX(0,$B345*($D345-1)),2),0))</f>
        <v/>
      </c>
      <c r="H345" s="31">
        <f>IF($A345="","",IFERROR(ROUND($G345*INDEX(tblKurallar[deger_2025],MATCH("AYD-002",tblKurallar[kural_id],0)),2),0))</f>
        <v/>
      </c>
      <c r="I345" s="31">
        <f>IF($A345="","",IFERROR($G345-$G345*INDEX(tblKurallar[deger_2025],MATCH("AYD-004",tblKurallar[kural_id],0)),0))</f>
        <v/>
      </c>
    </row>
    <row r="346">
      <c r="A346" s="30" t="n"/>
      <c r="B346" s="30" t="n"/>
      <c r="C346" s="30" t="n"/>
      <c r="D346" s="30" t="n"/>
      <c r="E346" s="30" t="n"/>
      <c r="F346" s="30" t="n"/>
      <c r="G346" s="31">
        <f>IF($A346="","",IFERROR(ROUND(MAX(0,$B346*($D346-1)),2),0))</f>
        <v/>
      </c>
      <c r="H346" s="31">
        <f>IF($A346="","",IFERROR(ROUND($G346*INDEX(tblKurallar[deger_2025],MATCH("AYD-002",tblKurallar[kural_id],0)),2),0))</f>
        <v/>
      </c>
      <c r="I346" s="31">
        <f>IF($A346="","",IFERROR($G346-$G346*INDEX(tblKurallar[deger_2025],MATCH("AYD-004",tblKurallar[kural_id],0)),0))</f>
        <v/>
      </c>
    </row>
    <row r="347">
      <c r="A347" s="30" t="n"/>
      <c r="B347" s="30" t="n"/>
      <c r="C347" s="30" t="n"/>
      <c r="D347" s="30" t="n"/>
      <c r="E347" s="30" t="n"/>
      <c r="F347" s="30" t="n"/>
      <c r="G347" s="31">
        <f>IF($A347="","",IFERROR(ROUND(MAX(0,$B347*($D347-1)),2),0))</f>
        <v/>
      </c>
      <c r="H347" s="31">
        <f>IF($A347="","",IFERROR(ROUND($G347*INDEX(tblKurallar[deger_2025],MATCH("AYD-002",tblKurallar[kural_id],0)),2),0))</f>
        <v/>
      </c>
      <c r="I347" s="31">
        <f>IF($A347="","",IFERROR($G347-$G347*INDEX(tblKurallar[deger_2025],MATCH("AYD-004",tblKurallar[kural_id],0)),0))</f>
        <v/>
      </c>
    </row>
    <row r="348">
      <c r="A348" s="30" t="n"/>
      <c r="B348" s="30" t="n"/>
      <c r="C348" s="30" t="n"/>
      <c r="D348" s="30" t="n"/>
      <c r="E348" s="30" t="n"/>
      <c r="F348" s="30" t="n"/>
      <c r="G348" s="31">
        <f>IF($A348="","",IFERROR(ROUND(MAX(0,$B348*($D348-1)),2),0))</f>
        <v/>
      </c>
      <c r="H348" s="31">
        <f>IF($A348="","",IFERROR(ROUND($G348*INDEX(tblKurallar[deger_2025],MATCH("AYD-002",tblKurallar[kural_id],0)),2),0))</f>
        <v/>
      </c>
      <c r="I348" s="31">
        <f>IF($A348="","",IFERROR($G348-$G348*INDEX(tblKurallar[deger_2025],MATCH("AYD-004",tblKurallar[kural_id],0)),0))</f>
        <v/>
      </c>
    </row>
    <row r="349">
      <c r="A349" s="30" t="n"/>
      <c r="B349" s="30" t="n"/>
      <c r="C349" s="30" t="n"/>
      <c r="D349" s="30" t="n"/>
      <c r="E349" s="30" t="n"/>
      <c r="F349" s="30" t="n"/>
      <c r="G349" s="31">
        <f>IF($A349="","",IFERROR(ROUND(MAX(0,$B349*($D349-1)),2),0))</f>
        <v/>
      </c>
      <c r="H349" s="31">
        <f>IF($A349="","",IFERROR(ROUND($G349*INDEX(tblKurallar[deger_2025],MATCH("AYD-002",tblKurallar[kural_id],0)),2),0))</f>
        <v/>
      </c>
      <c r="I349" s="31">
        <f>IF($A349="","",IFERROR($G349-$G349*INDEX(tblKurallar[deger_2025],MATCH("AYD-004",tblKurallar[kural_id],0)),0))</f>
        <v/>
      </c>
    </row>
    <row r="350">
      <c r="A350" s="30" t="n"/>
      <c r="B350" s="30" t="n"/>
      <c r="C350" s="30" t="n"/>
      <c r="D350" s="30" t="n"/>
      <c r="E350" s="30" t="n"/>
      <c r="F350" s="30" t="n"/>
      <c r="G350" s="31">
        <f>IF($A350="","",IFERROR(ROUND(MAX(0,$B350*($D350-1)),2),0))</f>
        <v/>
      </c>
      <c r="H350" s="31">
        <f>IF($A350="","",IFERROR(ROUND($G350*INDEX(tblKurallar[deger_2025],MATCH("AYD-002",tblKurallar[kural_id],0)),2),0))</f>
        <v/>
      </c>
      <c r="I350" s="31">
        <f>IF($A350="","",IFERROR($G350-$G350*INDEX(tblKurallar[deger_2025],MATCH("AYD-004",tblKurallar[kural_id],0)),0))</f>
        <v/>
      </c>
    </row>
    <row r="351">
      <c r="A351" s="30" t="n"/>
      <c r="B351" s="30" t="n"/>
      <c r="C351" s="30" t="n"/>
      <c r="D351" s="30" t="n"/>
      <c r="E351" s="30" t="n"/>
      <c r="F351" s="30" t="n"/>
      <c r="G351" s="31">
        <f>IF($A351="","",IFERROR(ROUND(MAX(0,$B351*($D351-1)),2),0))</f>
        <v/>
      </c>
      <c r="H351" s="31">
        <f>IF($A351="","",IFERROR(ROUND($G351*INDEX(tblKurallar[deger_2025],MATCH("AYD-002",tblKurallar[kural_id],0)),2),0))</f>
        <v/>
      </c>
      <c r="I351" s="31">
        <f>IF($A351="","",IFERROR($G351-$G351*INDEX(tblKurallar[deger_2025],MATCH("AYD-004",tblKurallar[kural_id],0)),0))</f>
        <v/>
      </c>
    </row>
    <row r="352">
      <c r="A352" s="30" t="n"/>
      <c r="B352" s="30" t="n"/>
      <c r="C352" s="30" t="n"/>
      <c r="D352" s="30" t="n"/>
      <c r="E352" s="30" t="n"/>
      <c r="F352" s="30" t="n"/>
      <c r="G352" s="31">
        <f>IF($A352="","",IFERROR(ROUND(MAX(0,$B352*($D352-1)),2),0))</f>
        <v/>
      </c>
      <c r="H352" s="31">
        <f>IF($A352="","",IFERROR(ROUND($G352*INDEX(tblKurallar[deger_2025],MATCH("AYD-002",tblKurallar[kural_id],0)),2),0))</f>
        <v/>
      </c>
      <c r="I352" s="31">
        <f>IF($A352="","",IFERROR($G352-$G352*INDEX(tblKurallar[deger_2025],MATCH("AYD-004",tblKurallar[kural_id],0)),0))</f>
        <v/>
      </c>
    </row>
    <row r="353">
      <c r="A353" s="30" t="n"/>
      <c r="B353" s="30" t="n"/>
      <c r="C353" s="30" t="n"/>
      <c r="D353" s="30" t="n"/>
      <c r="E353" s="30" t="n"/>
      <c r="F353" s="30" t="n"/>
      <c r="G353" s="31">
        <f>IF($A353="","",IFERROR(ROUND(MAX(0,$B353*($D353-1)),2),0))</f>
        <v/>
      </c>
      <c r="H353" s="31">
        <f>IF($A353="","",IFERROR(ROUND($G353*INDEX(tblKurallar[deger_2025],MATCH("AYD-002",tblKurallar[kural_id],0)),2),0))</f>
        <v/>
      </c>
      <c r="I353" s="31">
        <f>IF($A353="","",IFERROR($G353-$G353*INDEX(tblKurallar[deger_2025],MATCH("AYD-004",tblKurallar[kural_id],0)),0))</f>
        <v/>
      </c>
    </row>
    <row r="354">
      <c r="A354" s="30" t="n"/>
      <c r="B354" s="30" t="n"/>
      <c r="C354" s="30" t="n"/>
      <c r="D354" s="30" t="n"/>
      <c r="E354" s="30" t="n"/>
      <c r="F354" s="30" t="n"/>
      <c r="G354" s="31">
        <f>IF($A354="","",IFERROR(ROUND(MAX(0,$B354*($D354-1)),2),0))</f>
        <v/>
      </c>
      <c r="H354" s="31">
        <f>IF($A354="","",IFERROR(ROUND($G354*INDEX(tblKurallar[deger_2025],MATCH("AYD-002",tblKurallar[kural_id],0)),2),0))</f>
        <v/>
      </c>
      <c r="I354" s="31">
        <f>IF($A354="","",IFERROR($G354-$G354*INDEX(tblKurallar[deger_2025],MATCH("AYD-004",tblKurallar[kural_id],0)),0))</f>
        <v/>
      </c>
    </row>
    <row r="355">
      <c r="A355" s="30" t="n"/>
      <c r="B355" s="30" t="n"/>
      <c r="C355" s="30" t="n"/>
      <c r="D355" s="30" t="n"/>
      <c r="E355" s="30" t="n"/>
      <c r="F355" s="30" t="n"/>
      <c r="G355" s="31">
        <f>IF($A355="","",IFERROR(ROUND(MAX(0,$B355*($D355-1)),2),0))</f>
        <v/>
      </c>
      <c r="H355" s="31">
        <f>IF($A355="","",IFERROR(ROUND($G355*INDEX(tblKurallar[deger_2025],MATCH("AYD-002",tblKurallar[kural_id],0)),2),0))</f>
        <v/>
      </c>
      <c r="I355" s="31">
        <f>IF($A355="","",IFERROR($G355-$G355*INDEX(tblKurallar[deger_2025],MATCH("AYD-004",tblKurallar[kural_id],0)),0))</f>
        <v/>
      </c>
    </row>
    <row r="356">
      <c r="A356" s="30" t="n"/>
      <c r="B356" s="30" t="n"/>
      <c r="C356" s="30" t="n"/>
      <c r="D356" s="30" t="n"/>
      <c r="E356" s="30" t="n"/>
      <c r="F356" s="30" t="n"/>
      <c r="G356" s="31">
        <f>IF($A356="","",IFERROR(ROUND(MAX(0,$B356*($D356-1)),2),0))</f>
        <v/>
      </c>
      <c r="H356" s="31">
        <f>IF($A356="","",IFERROR(ROUND($G356*INDEX(tblKurallar[deger_2025],MATCH("AYD-002",tblKurallar[kural_id],0)),2),0))</f>
        <v/>
      </c>
      <c r="I356" s="31">
        <f>IF($A356="","",IFERROR($G356-$G356*INDEX(tblKurallar[deger_2025],MATCH("AYD-004",tblKurallar[kural_id],0)),0))</f>
        <v/>
      </c>
    </row>
    <row r="357">
      <c r="A357" s="30" t="n"/>
      <c r="B357" s="30" t="n"/>
      <c r="C357" s="30" t="n"/>
      <c r="D357" s="30" t="n"/>
      <c r="E357" s="30" t="n"/>
      <c r="F357" s="30" t="n"/>
      <c r="G357" s="31">
        <f>IF($A357="","",IFERROR(ROUND(MAX(0,$B357*($D357-1)),2),0))</f>
        <v/>
      </c>
      <c r="H357" s="31">
        <f>IF($A357="","",IFERROR(ROUND($G357*INDEX(tblKurallar[deger_2025],MATCH("AYD-002",tblKurallar[kural_id],0)),2),0))</f>
        <v/>
      </c>
      <c r="I357" s="31">
        <f>IF($A357="","",IFERROR($G357-$G357*INDEX(tblKurallar[deger_2025],MATCH("AYD-004",tblKurallar[kural_id],0)),0))</f>
        <v/>
      </c>
    </row>
    <row r="358">
      <c r="A358" s="30" t="n"/>
      <c r="B358" s="30" t="n"/>
      <c r="C358" s="30" t="n"/>
      <c r="D358" s="30" t="n"/>
      <c r="E358" s="30" t="n"/>
      <c r="F358" s="30" t="n"/>
      <c r="G358" s="31">
        <f>IF($A358="","",IFERROR(ROUND(MAX(0,$B358*($D358-1)),2),0))</f>
        <v/>
      </c>
      <c r="H358" s="31">
        <f>IF($A358="","",IFERROR(ROUND($G358*INDEX(tblKurallar[deger_2025],MATCH("AYD-002",tblKurallar[kural_id],0)),2),0))</f>
        <v/>
      </c>
      <c r="I358" s="31">
        <f>IF($A358="","",IFERROR($G358-$G358*INDEX(tblKurallar[deger_2025],MATCH("AYD-004",tblKurallar[kural_id],0)),0))</f>
        <v/>
      </c>
    </row>
    <row r="359">
      <c r="A359" s="30" t="n"/>
      <c r="B359" s="30" t="n"/>
      <c r="C359" s="30" t="n"/>
      <c r="D359" s="30" t="n"/>
      <c r="E359" s="30" t="n"/>
      <c r="F359" s="30" t="n"/>
      <c r="G359" s="31">
        <f>IF($A359="","",IFERROR(ROUND(MAX(0,$B359*($D359-1)),2),0))</f>
        <v/>
      </c>
      <c r="H359" s="31">
        <f>IF($A359="","",IFERROR(ROUND($G359*INDEX(tblKurallar[deger_2025],MATCH("AYD-002",tblKurallar[kural_id],0)),2),0))</f>
        <v/>
      </c>
      <c r="I359" s="31">
        <f>IF($A359="","",IFERROR($G359-$G359*INDEX(tblKurallar[deger_2025],MATCH("AYD-004",tblKurallar[kural_id],0)),0))</f>
        <v/>
      </c>
    </row>
    <row r="360">
      <c r="A360" s="30" t="n"/>
      <c r="B360" s="30" t="n"/>
      <c r="C360" s="30" t="n"/>
      <c r="D360" s="30" t="n"/>
      <c r="E360" s="30" t="n"/>
      <c r="F360" s="30" t="n"/>
      <c r="G360" s="31">
        <f>IF($A360="","",IFERROR(ROUND(MAX(0,$B360*($D360-1)),2),0))</f>
        <v/>
      </c>
      <c r="H360" s="31">
        <f>IF($A360="","",IFERROR(ROUND($G360*INDEX(tblKurallar[deger_2025],MATCH("AYD-002",tblKurallar[kural_id],0)),2),0))</f>
        <v/>
      </c>
      <c r="I360" s="31">
        <f>IF($A360="","",IFERROR($G360-$G360*INDEX(tblKurallar[deger_2025],MATCH("AYD-004",tblKurallar[kural_id],0)),0))</f>
        <v/>
      </c>
    </row>
    <row r="361">
      <c r="A361" s="30" t="n"/>
      <c r="B361" s="30" t="n"/>
      <c r="C361" s="30" t="n"/>
      <c r="D361" s="30" t="n"/>
      <c r="E361" s="30" t="n"/>
      <c r="F361" s="30" t="n"/>
      <c r="G361" s="31">
        <f>IF($A361="","",IFERROR(ROUND(MAX(0,$B361*($D361-1)),2),0))</f>
        <v/>
      </c>
      <c r="H361" s="31">
        <f>IF($A361="","",IFERROR(ROUND($G361*INDEX(tblKurallar[deger_2025],MATCH("AYD-002",tblKurallar[kural_id],0)),2),0))</f>
        <v/>
      </c>
      <c r="I361" s="31">
        <f>IF($A361="","",IFERROR($G361-$G361*INDEX(tblKurallar[deger_2025],MATCH("AYD-004",tblKurallar[kural_id],0)),0))</f>
        <v/>
      </c>
    </row>
    <row r="362">
      <c r="A362" s="30" t="n"/>
      <c r="B362" s="30" t="n"/>
      <c r="C362" s="30" t="n"/>
      <c r="D362" s="30" t="n"/>
      <c r="E362" s="30" t="n"/>
      <c r="F362" s="30" t="n"/>
      <c r="G362" s="31">
        <f>IF($A362="","",IFERROR(ROUND(MAX(0,$B362*($D362-1)),2),0))</f>
        <v/>
      </c>
      <c r="H362" s="31">
        <f>IF($A362="","",IFERROR(ROUND($G362*INDEX(tblKurallar[deger_2025],MATCH("AYD-002",tblKurallar[kural_id],0)),2),0))</f>
        <v/>
      </c>
      <c r="I362" s="31">
        <f>IF($A362="","",IFERROR($G362-$G362*INDEX(tblKurallar[deger_2025],MATCH("AYD-004",tblKurallar[kural_id],0)),0))</f>
        <v/>
      </c>
    </row>
    <row r="363">
      <c r="A363" s="30" t="n"/>
      <c r="B363" s="30" t="n"/>
      <c r="C363" s="30" t="n"/>
      <c r="D363" s="30" t="n"/>
      <c r="E363" s="30" t="n"/>
      <c r="F363" s="30" t="n"/>
      <c r="G363" s="31">
        <f>IF($A363="","",IFERROR(ROUND(MAX(0,$B363*($D363-1)),2),0))</f>
        <v/>
      </c>
      <c r="H363" s="31">
        <f>IF($A363="","",IFERROR(ROUND($G363*INDEX(tblKurallar[deger_2025],MATCH("AYD-002",tblKurallar[kural_id],0)),2),0))</f>
        <v/>
      </c>
      <c r="I363" s="31">
        <f>IF($A363="","",IFERROR($G363-$G363*INDEX(tblKurallar[deger_2025],MATCH("AYD-004",tblKurallar[kural_id],0)),0))</f>
        <v/>
      </c>
    </row>
    <row r="364">
      <c r="A364" s="30" t="n"/>
      <c r="B364" s="30" t="n"/>
      <c r="C364" s="30" t="n"/>
      <c r="D364" s="30" t="n"/>
      <c r="E364" s="30" t="n"/>
      <c r="F364" s="30" t="n"/>
      <c r="G364" s="31">
        <f>IF($A364="","",IFERROR(ROUND(MAX(0,$B364*($D364-1)),2),0))</f>
        <v/>
      </c>
      <c r="H364" s="31">
        <f>IF($A364="","",IFERROR(ROUND($G364*INDEX(tblKurallar[deger_2025],MATCH("AYD-002",tblKurallar[kural_id],0)),2),0))</f>
        <v/>
      </c>
      <c r="I364" s="31">
        <f>IF($A364="","",IFERROR($G364-$G364*INDEX(tblKurallar[deger_2025],MATCH("AYD-004",tblKurallar[kural_id],0)),0))</f>
        <v/>
      </c>
    </row>
    <row r="365">
      <c r="A365" s="30" t="n"/>
      <c r="B365" s="30" t="n"/>
      <c r="C365" s="30" t="n"/>
      <c r="D365" s="30" t="n"/>
      <c r="E365" s="30" t="n"/>
      <c r="F365" s="30" t="n"/>
      <c r="G365" s="31">
        <f>IF($A365="","",IFERROR(ROUND(MAX(0,$B365*($D365-1)),2),0))</f>
        <v/>
      </c>
      <c r="H365" s="31">
        <f>IF($A365="","",IFERROR(ROUND($G365*INDEX(tblKurallar[deger_2025],MATCH("AYD-002",tblKurallar[kural_id],0)),2),0))</f>
        <v/>
      </c>
      <c r="I365" s="31">
        <f>IF($A365="","",IFERROR($G365-$G365*INDEX(tblKurallar[deger_2025],MATCH("AYD-004",tblKurallar[kural_id],0)),0))</f>
        <v/>
      </c>
    </row>
    <row r="366">
      <c r="A366" s="30" t="n"/>
      <c r="B366" s="30" t="n"/>
      <c r="C366" s="30" t="n"/>
      <c r="D366" s="30" t="n"/>
      <c r="E366" s="30" t="n"/>
      <c r="F366" s="30" t="n"/>
      <c r="G366" s="31">
        <f>IF($A366="","",IFERROR(ROUND(MAX(0,$B366*($D366-1)),2),0))</f>
        <v/>
      </c>
      <c r="H366" s="31">
        <f>IF($A366="","",IFERROR(ROUND($G366*INDEX(tblKurallar[deger_2025],MATCH("AYD-002",tblKurallar[kural_id],0)),2),0))</f>
        <v/>
      </c>
      <c r="I366" s="31">
        <f>IF($A366="","",IFERROR($G366-$G366*INDEX(tblKurallar[deger_2025],MATCH("AYD-004",tblKurallar[kural_id],0)),0))</f>
        <v/>
      </c>
    </row>
    <row r="367">
      <c r="A367" s="30" t="n"/>
      <c r="B367" s="30" t="n"/>
      <c r="C367" s="30" t="n"/>
      <c r="D367" s="30" t="n"/>
      <c r="E367" s="30" t="n"/>
      <c r="F367" s="30" t="n"/>
      <c r="G367" s="31">
        <f>IF($A367="","",IFERROR(ROUND(MAX(0,$B367*($D367-1)),2),0))</f>
        <v/>
      </c>
      <c r="H367" s="31">
        <f>IF($A367="","",IFERROR(ROUND($G367*INDEX(tblKurallar[deger_2025],MATCH("AYD-002",tblKurallar[kural_id],0)),2),0))</f>
        <v/>
      </c>
      <c r="I367" s="31">
        <f>IF($A367="","",IFERROR($G367-$G367*INDEX(tblKurallar[deger_2025],MATCH("AYD-004",tblKurallar[kural_id],0)),0))</f>
        <v/>
      </c>
    </row>
    <row r="368">
      <c r="A368" s="30" t="n"/>
      <c r="B368" s="30" t="n"/>
      <c r="C368" s="30" t="n"/>
      <c r="D368" s="30" t="n"/>
      <c r="E368" s="30" t="n"/>
      <c r="F368" s="30" t="n"/>
      <c r="G368" s="31">
        <f>IF($A368="","",IFERROR(ROUND(MAX(0,$B368*($D368-1)),2),0))</f>
        <v/>
      </c>
      <c r="H368" s="31">
        <f>IF($A368="","",IFERROR(ROUND($G368*INDEX(tblKurallar[deger_2025],MATCH("AYD-002",tblKurallar[kural_id],0)),2),0))</f>
        <v/>
      </c>
      <c r="I368" s="31">
        <f>IF($A368="","",IFERROR($G368-$G368*INDEX(tblKurallar[deger_2025],MATCH("AYD-004",tblKurallar[kural_id],0)),0))</f>
        <v/>
      </c>
    </row>
    <row r="369">
      <c r="A369" s="30" t="n"/>
      <c r="B369" s="30" t="n"/>
      <c r="C369" s="30" t="n"/>
      <c r="D369" s="30" t="n"/>
      <c r="E369" s="30" t="n"/>
      <c r="F369" s="30" t="n"/>
      <c r="G369" s="31">
        <f>IF($A369="","",IFERROR(ROUND(MAX(0,$B369*($D369-1)),2),0))</f>
        <v/>
      </c>
      <c r="H369" s="31">
        <f>IF($A369="","",IFERROR(ROUND($G369*INDEX(tblKurallar[deger_2025],MATCH("AYD-002",tblKurallar[kural_id],0)),2),0))</f>
        <v/>
      </c>
      <c r="I369" s="31">
        <f>IF($A369="","",IFERROR($G369-$G369*INDEX(tblKurallar[deger_2025],MATCH("AYD-004",tblKurallar[kural_id],0)),0))</f>
        <v/>
      </c>
    </row>
    <row r="370">
      <c r="A370" s="30" t="n"/>
      <c r="B370" s="30" t="n"/>
      <c r="C370" s="30" t="n"/>
      <c r="D370" s="30" t="n"/>
      <c r="E370" s="30" t="n"/>
      <c r="F370" s="30" t="n"/>
      <c r="G370" s="31">
        <f>IF($A370="","",IFERROR(ROUND(MAX(0,$B370*($D370-1)),2),0))</f>
        <v/>
      </c>
      <c r="H370" s="31">
        <f>IF($A370="","",IFERROR(ROUND($G370*INDEX(tblKurallar[deger_2025],MATCH("AYD-002",tblKurallar[kural_id],0)),2),0))</f>
        <v/>
      </c>
      <c r="I370" s="31">
        <f>IF($A370="","",IFERROR($G370-$G370*INDEX(tblKurallar[deger_2025],MATCH("AYD-004",tblKurallar[kural_id],0)),0))</f>
        <v/>
      </c>
    </row>
    <row r="371">
      <c r="A371" s="30" t="n"/>
      <c r="B371" s="30" t="n"/>
      <c r="C371" s="30" t="n"/>
      <c r="D371" s="30" t="n"/>
      <c r="E371" s="30" t="n"/>
      <c r="F371" s="30" t="n"/>
      <c r="G371" s="31">
        <f>IF($A371="","",IFERROR(ROUND(MAX(0,$B371*($D371-1)),2),0))</f>
        <v/>
      </c>
      <c r="H371" s="31">
        <f>IF($A371="","",IFERROR(ROUND($G371*INDEX(tblKurallar[deger_2025],MATCH("AYD-002",tblKurallar[kural_id],0)),2),0))</f>
        <v/>
      </c>
      <c r="I371" s="31">
        <f>IF($A371="","",IFERROR($G371-$G371*INDEX(tblKurallar[deger_2025],MATCH("AYD-004",tblKurallar[kural_id],0)),0))</f>
        <v/>
      </c>
    </row>
    <row r="372">
      <c r="A372" s="30" t="n"/>
      <c r="B372" s="30" t="n"/>
      <c r="C372" s="30" t="n"/>
      <c r="D372" s="30" t="n"/>
      <c r="E372" s="30" t="n"/>
      <c r="F372" s="30" t="n"/>
      <c r="G372" s="31">
        <f>IF($A372="","",IFERROR(ROUND(MAX(0,$B372*($D372-1)),2),0))</f>
        <v/>
      </c>
      <c r="H372" s="31">
        <f>IF($A372="","",IFERROR(ROUND($G372*INDEX(tblKurallar[deger_2025],MATCH("AYD-002",tblKurallar[kural_id],0)),2),0))</f>
        <v/>
      </c>
      <c r="I372" s="31">
        <f>IF($A372="","",IFERROR($G372-$G372*INDEX(tblKurallar[deger_2025],MATCH("AYD-004",tblKurallar[kural_id],0)),0))</f>
        <v/>
      </c>
    </row>
    <row r="373">
      <c r="A373" s="30" t="n"/>
      <c r="B373" s="30" t="n"/>
      <c r="C373" s="30" t="n"/>
      <c r="D373" s="30" t="n"/>
      <c r="E373" s="30" t="n"/>
      <c r="F373" s="30" t="n"/>
      <c r="G373" s="31">
        <f>IF($A373="","",IFERROR(ROUND(MAX(0,$B373*($D373-1)),2),0))</f>
        <v/>
      </c>
      <c r="H373" s="31">
        <f>IF($A373="","",IFERROR(ROUND($G373*INDEX(tblKurallar[deger_2025],MATCH("AYD-002",tblKurallar[kural_id],0)),2),0))</f>
        <v/>
      </c>
      <c r="I373" s="31">
        <f>IF($A373="","",IFERROR($G373-$G373*INDEX(tblKurallar[deger_2025],MATCH("AYD-004",tblKurallar[kural_id],0)),0))</f>
        <v/>
      </c>
    </row>
    <row r="374">
      <c r="A374" s="30" t="n"/>
      <c r="B374" s="30" t="n"/>
      <c r="C374" s="30" t="n"/>
      <c r="D374" s="30" t="n"/>
      <c r="E374" s="30" t="n"/>
      <c r="F374" s="30" t="n"/>
      <c r="G374" s="31">
        <f>IF($A374="","",IFERROR(ROUND(MAX(0,$B374*($D374-1)),2),0))</f>
        <v/>
      </c>
      <c r="H374" s="31">
        <f>IF($A374="","",IFERROR(ROUND($G374*INDEX(tblKurallar[deger_2025],MATCH("AYD-002",tblKurallar[kural_id],0)),2),0))</f>
        <v/>
      </c>
      <c r="I374" s="31">
        <f>IF($A374="","",IFERROR($G374-$G374*INDEX(tblKurallar[deger_2025],MATCH("AYD-004",tblKurallar[kural_id],0)),0))</f>
        <v/>
      </c>
    </row>
    <row r="375">
      <c r="A375" s="30" t="n"/>
      <c r="B375" s="30" t="n"/>
      <c r="C375" s="30" t="n"/>
      <c r="D375" s="30" t="n"/>
      <c r="E375" s="30" t="n"/>
      <c r="F375" s="30" t="n"/>
      <c r="G375" s="31">
        <f>IF($A375="","",IFERROR(ROUND(MAX(0,$B375*($D375-1)),2),0))</f>
        <v/>
      </c>
      <c r="H375" s="31">
        <f>IF($A375="","",IFERROR(ROUND($G375*INDEX(tblKurallar[deger_2025],MATCH("AYD-002",tblKurallar[kural_id],0)),2),0))</f>
        <v/>
      </c>
      <c r="I375" s="31">
        <f>IF($A375="","",IFERROR($G375-$G375*INDEX(tblKurallar[deger_2025],MATCH("AYD-004",tblKurallar[kural_id],0)),0))</f>
        <v/>
      </c>
    </row>
    <row r="376">
      <c r="A376" s="30" t="n"/>
      <c r="B376" s="30" t="n"/>
      <c r="C376" s="30" t="n"/>
      <c r="D376" s="30" t="n"/>
      <c r="E376" s="30" t="n"/>
      <c r="F376" s="30" t="n"/>
      <c r="G376" s="31">
        <f>IF($A376="","",IFERROR(ROUND(MAX(0,$B376*($D376-1)),2),0))</f>
        <v/>
      </c>
      <c r="H376" s="31">
        <f>IF($A376="","",IFERROR(ROUND($G376*INDEX(tblKurallar[deger_2025],MATCH("AYD-002",tblKurallar[kural_id],0)),2),0))</f>
        <v/>
      </c>
      <c r="I376" s="31">
        <f>IF($A376="","",IFERROR($G376-$G376*INDEX(tblKurallar[deger_2025],MATCH("AYD-004",tblKurallar[kural_id],0)),0))</f>
        <v/>
      </c>
    </row>
    <row r="377">
      <c r="A377" s="30" t="n"/>
      <c r="B377" s="30" t="n"/>
      <c r="C377" s="30" t="n"/>
      <c r="D377" s="30" t="n"/>
      <c r="E377" s="30" t="n"/>
      <c r="F377" s="30" t="n"/>
      <c r="G377" s="31">
        <f>IF($A377="","",IFERROR(ROUND(MAX(0,$B377*($D377-1)),2),0))</f>
        <v/>
      </c>
      <c r="H377" s="31">
        <f>IF($A377="","",IFERROR(ROUND($G377*INDEX(tblKurallar[deger_2025],MATCH("AYD-002",tblKurallar[kural_id],0)),2),0))</f>
        <v/>
      </c>
      <c r="I377" s="31">
        <f>IF($A377="","",IFERROR($G377-$G377*INDEX(tblKurallar[deger_2025],MATCH("AYD-004",tblKurallar[kural_id],0)),0))</f>
        <v/>
      </c>
    </row>
    <row r="378">
      <c r="A378" s="30" t="n"/>
      <c r="B378" s="30" t="n"/>
      <c r="C378" s="30" t="n"/>
      <c r="D378" s="30" t="n"/>
      <c r="E378" s="30" t="n"/>
      <c r="F378" s="30" t="n"/>
      <c r="G378" s="31">
        <f>IF($A378="","",IFERROR(ROUND(MAX(0,$B378*($D378-1)),2),0))</f>
        <v/>
      </c>
      <c r="H378" s="31">
        <f>IF($A378="","",IFERROR(ROUND($G378*INDEX(tblKurallar[deger_2025],MATCH("AYD-002",tblKurallar[kural_id],0)),2),0))</f>
        <v/>
      </c>
      <c r="I378" s="31">
        <f>IF($A378="","",IFERROR($G378-$G378*INDEX(tblKurallar[deger_2025],MATCH("AYD-004",tblKurallar[kural_id],0)),0))</f>
        <v/>
      </c>
    </row>
    <row r="379">
      <c r="A379" s="30" t="n"/>
      <c r="B379" s="30" t="n"/>
      <c r="C379" s="30" t="n"/>
      <c r="D379" s="30" t="n"/>
      <c r="E379" s="30" t="n"/>
      <c r="F379" s="30" t="n"/>
      <c r="G379" s="31">
        <f>IF($A379="","",IFERROR(ROUND(MAX(0,$B379*($D379-1)),2),0))</f>
        <v/>
      </c>
      <c r="H379" s="31">
        <f>IF($A379="","",IFERROR(ROUND($G379*INDEX(tblKurallar[deger_2025],MATCH("AYD-002",tblKurallar[kural_id],0)),2),0))</f>
        <v/>
      </c>
      <c r="I379" s="31">
        <f>IF($A379="","",IFERROR($G379-$G379*INDEX(tblKurallar[deger_2025],MATCH("AYD-004",tblKurallar[kural_id],0)),0))</f>
        <v/>
      </c>
    </row>
    <row r="380">
      <c r="A380" s="30" t="n"/>
      <c r="B380" s="30" t="n"/>
      <c r="C380" s="30" t="n"/>
      <c r="D380" s="30" t="n"/>
      <c r="E380" s="30" t="n"/>
      <c r="F380" s="30" t="n"/>
      <c r="G380" s="31">
        <f>IF($A380="","",IFERROR(ROUND(MAX(0,$B380*($D380-1)),2),0))</f>
        <v/>
      </c>
      <c r="H380" s="31">
        <f>IF($A380="","",IFERROR(ROUND($G380*INDEX(tblKurallar[deger_2025],MATCH("AYD-002",tblKurallar[kural_id],0)),2),0))</f>
        <v/>
      </c>
      <c r="I380" s="31">
        <f>IF($A380="","",IFERROR($G380-$G380*INDEX(tblKurallar[deger_2025],MATCH("AYD-004",tblKurallar[kural_id],0)),0))</f>
        <v/>
      </c>
    </row>
    <row r="381">
      <c r="A381" s="30" t="n"/>
      <c r="B381" s="30" t="n"/>
      <c r="C381" s="30" t="n"/>
      <c r="D381" s="30" t="n"/>
      <c r="E381" s="30" t="n"/>
      <c r="F381" s="30" t="n"/>
      <c r="G381" s="31">
        <f>IF($A381="","",IFERROR(ROUND(MAX(0,$B381*($D381-1)),2),0))</f>
        <v/>
      </c>
      <c r="H381" s="31">
        <f>IF($A381="","",IFERROR(ROUND($G381*INDEX(tblKurallar[deger_2025],MATCH("AYD-002",tblKurallar[kural_id],0)),2),0))</f>
        <v/>
      </c>
      <c r="I381" s="31">
        <f>IF($A381="","",IFERROR($G381-$G381*INDEX(tblKurallar[deger_2025],MATCH("AYD-004",tblKurallar[kural_id],0)),0))</f>
        <v/>
      </c>
    </row>
    <row r="382">
      <c r="A382" s="30" t="n"/>
      <c r="B382" s="30" t="n"/>
      <c r="C382" s="30" t="n"/>
      <c r="D382" s="30" t="n"/>
      <c r="E382" s="30" t="n"/>
      <c r="F382" s="30" t="n"/>
      <c r="G382" s="31">
        <f>IF($A382="","",IFERROR(ROUND(MAX(0,$B382*($D382-1)),2),0))</f>
        <v/>
      </c>
      <c r="H382" s="31">
        <f>IF($A382="","",IFERROR(ROUND($G382*INDEX(tblKurallar[deger_2025],MATCH("AYD-002",tblKurallar[kural_id],0)),2),0))</f>
        <v/>
      </c>
      <c r="I382" s="31">
        <f>IF($A382="","",IFERROR($G382-$G382*INDEX(tblKurallar[deger_2025],MATCH("AYD-004",tblKurallar[kural_id],0)),0))</f>
        <v/>
      </c>
    </row>
    <row r="383">
      <c r="A383" s="30" t="n"/>
      <c r="B383" s="30" t="n"/>
      <c r="C383" s="30" t="n"/>
      <c r="D383" s="30" t="n"/>
      <c r="E383" s="30" t="n"/>
      <c r="F383" s="30" t="n"/>
      <c r="G383" s="31">
        <f>IF($A383="","",IFERROR(ROUND(MAX(0,$B383*($D383-1)),2),0))</f>
        <v/>
      </c>
      <c r="H383" s="31">
        <f>IF($A383="","",IFERROR(ROUND($G383*INDEX(tblKurallar[deger_2025],MATCH("AYD-002",tblKurallar[kural_id],0)),2),0))</f>
        <v/>
      </c>
      <c r="I383" s="31">
        <f>IF($A383="","",IFERROR($G383-$G383*INDEX(tblKurallar[deger_2025],MATCH("AYD-004",tblKurallar[kural_id],0)),0))</f>
        <v/>
      </c>
    </row>
    <row r="384">
      <c r="A384" s="30" t="n"/>
      <c r="B384" s="30" t="n"/>
      <c r="C384" s="30" t="n"/>
      <c r="D384" s="30" t="n"/>
      <c r="E384" s="30" t="n"/>
      <c r="F384" s="30" t="n"/>
      <c r="G384" s="31">
        <f>IF($A384="","",IFERROR(ROUND(MAX(0,$B384*($D384-1)),2),0))</f>
        <v/>
      </c>
      <c r="H384" s="31">
        <f>IF($A384="","",IFERROR(ROUND($G384*INDEX(tblKurallar[deger_2025],MATCH("AYD-002",tblKurallar[kural_id],0)),2),0))</f>
        <v/>
      </c>
      <c r="I384" s="31">
        <f>IF($A384="","",IFERROR($G384-$G384*INDEX(tblKurallar[deger_2025],MATCH("AYD-004",tblKurallar[kural_id],0)),0))</f>
        <v/>
      </c>
    </row>
    <row r="385">
      <c r="A385" s="30" t="n"/>
      <c r="B385" s="30" t="n"/>
      <c r="C385" s="30" t="n"/>
      <c r="D385" s="30" t="n"/>
      <c r="E385" s="30" t="n"/>
      <c r="F385" s="30" t="n"/>
      <c r="G385" s="31">
        <f>IF($A385="","",IFERROR(ROUND(MAX(0,$B385*($D385-1)),2),0))</f>
        <v/>
      </c>
      <c r="H385" s="31">
        <f>IF($A385="","",IFERROR(ROUND($G385*INDEX(tblKurallar[deger_2025],MATCH("AYD-002",tblKurallar[kural_id],0)),2),0))</f>
        <v/>
      </c>
      <c r="I385" s="31">
        <f>IF($A385="","",IFERROR($G385-$G385*INDEX(tblKurallar[deger_2025],MATCH("AYD-004",tblKurallar[kural_id],0)),0))</f>
        <v/>
      </c>
    </row>
    <row r="386">
      <c r="A386" s="30" t="n"/>
      <c r="B386" s="30" t="n"/>
      <c r="C386" s="30" t="n"/>
      <c r="D386" s="30" t="n"/>
      <c r="E386" s="30" t="n"/>
      <c r="F386" s="30" t="n"/>
      <c r="G386" s="31">
        <f>IF($A386="","",IFERROR(ROUND(MAX(0,$B386*($D386-1)),2),0))</f>
        <v/>
      </c>
      <c r="H386" s="31">
        <f>IF($A386="","",IFERROR(ROUND($G386*INDEX(tblKurallar[deger_2025],MATCH("AYD-002",tblKurallar[kural_id],0)),2),0))</f>
        <v/>
      </c>
      <c r="I386" s="31">
        <f>IF($A386="","",IFERROR($G386-$G386*INDEX(tblKurallar[deger_2025],MATCH("AYD-004",tblKurallar[kural_id],0)),0))</f>
        <v/>
      </c>
    </row>
    <row r="387">
      <c r="A387" s="30" t="n"/>
      <c r="B387" s="30" t="n"/>
      <c r="C387" s="30" t="n"/>
      <c r="D387" s="30" t="n"/>
      <c r="E387" s="30" t="n"/>
      <c r="F387" s="30" t="n"/>
      <c r="G387" s="31">
        <f>IF($A387="","",IFERROR(ROUND(MAX(0,$B387*($D387-1)),2),0))</f>
        <v/>
      </c>
      <c r="H387" s="31">
        <f>IF($A387="","",IFERROR(ROUND($G387*INDEX(tblKurallar[deger_2025],MATCH("AYD-002",tblKurallar[kural_id],0)),2),0))</f>
        <v/>
      </c>
      <c r="I387" s="31">
        <f>IF($A387="","",IFERROR($G387-$G387*INDEX(tblKurallar[deger_2025],MATCH("AYD-004",tblKurallar[kural_id],0)),0))</f>
        <v/>
      </c>
    </row>
    <row r="388">
      <c r="A388" s="30" t="n"/>
      <c r="B388" s="30" t="n"/>
      <c r="C388" s="30" t="n"/>
      <c r="D388" s="30" t="n"/>
      <c r="E388" s="30" t="n"/>
      <c r="F388" s="30" t="n"/>
      <c r="G388" s="31">
        <f>IF($A388="","",IFERROR(ROUND(MAX(0,$B388*($D388-1)),2),0))</f>
        <v/>
      </c>
      <c r="H388" s="31">
        <f>IF($A388="","",IFERROR(ROUND($G388*INDEX(tblKurallar[deger_2025],MATCH("AYD-002",tblKurallar[kural_id],0)),2),0))</f>
        <v/>
      </c>
      <c r="I388" s="31">
        <f>IF($A388="","",IFERROR($G388-$G388*INDEX(tblKurallar[deger_2025],MATCH("AYD-004",tblKurallar[kural_id],0)),0))</f>
        <v/>
      </c>
    </row>
    <row r="389">
      <c r="A389" s="30" t="n"/>
      <c r="B389" s="30" t="n"/>
      <c r="C389" s="30" t="n"/>
      <c r="D389" s="30" t="n"/>
      <c r="E389" s="30" t="n"/>
      <c r="F389" s="30" t="n"/>
      <c r="G389" s="31">
        <f>IF($A389="","",IFERROR(ROUND(MAX(0,$B389*($D389-1)),2),0))</f>
        <v/>
      </c>
      <c r="H389" s="31">
        <f>IF($A389="","",IFERROR(ROUND($G389*INDEX(tblKurallar[deger_2025],MATCH("AYD-002",tblKurallar[kural_id],0)),2),0))</f>
        <v/>
      </c>
      <c r="I389" s="31">
        <f>IF($A389="","",IFERROR($G389-$G389*INDEX(tblKurallar[deger_2025],MATCH("AYD-004",tblKurallar[kural_id],0)),0))</f>
        <v/>
      </c>
    </row>
    <row r="390">
      <c r="A390" s="30" t="n"/>
      <c r="B390" s="30" t="n"/>
      <c r="C390" s="30" t="n"/>
      <c r="D390" s="30" t="n"/>
      <c r="E390" s="30" t="n"/>
      <c r="F390" s="30" t="n"/>
      <c r="G390" s="31">
        <f>IF($A390="","",IFERROR(ROUND(MAX(0,$B390*($D390-1)),2),0))</f>
        <v/>
      </c>
      <c r="H390" s="31">
        <f>IF($A390="","",IFERROR(ROUND($G390*INDEX(tblKurallar[deger_2025],MATCH("AYD-002",tblKurallar[kural_id],0)),2),0))</f>
        <v/>
      </c>
      <c r="I390" s="31">
        <f>IF($A390="","",IFERROR($G390-$G390*INDEX(tblKurallar[deger_2025],MATCH("AYD-004",tblKurallar[kural_id],0)),0))</f>
        <v/>
      </c>
    </row>
    <row r="391">
      <c r="A391" s="30" t="n"/>
      <c r="B391" s="30" t="n"/>
      <c r="C391" s="30" t="n"/>
      <c r="D391" s="30" t="n"/>
      <c r="E391" s="30" t="n"/>
      <c r="F391" s="30" t="n"/>
      <c r="G391" s="31">
        <f>IF($A391="","",IFERROR(ROUND(MAX(0,$B391*($D391-1)),2),0))</f>
        <v/>
      </c>
      <c r="H391" s="31">
        <f>IF($A391="","",IFERROR(ROUND($G391*INDEX(tblKurallar[deger_2025],MATCH("AYD-002",tblKurallar[kural_id],0)),2),0))</f>
        <v/>
      </c>
      <c r="I391" s="31">
        <f>IF($A391="","",IFERROR($G391-$G391*INDEX(tblKurallar[deger_2025],MATCH("AYD-004",tblKurallar[kural_id],0)),0))</f>
        <v/>
      </c>
    </row>
    <row r="392">
      <c r="A392" s="30" t="n"/>
      <c r="B392" s="30" t="n"/>
      <c r="C392" s="30" t="n"/>
      <c r="D392" s="30" t="n"/>
      <c r="E392" s="30" t="n"/>
      <c r="F392" s="30" t="n"/>
      <c r="G392" s="31">
        <f>IF($A392="","",IFERROR(ROUND(MAX(0,$B392*($D392-1)),2),0))</f>
        <v/>
      </c>
      <c r="H392" s="31">
        <f>IF($A392="","",IFERROR(ROUND($G392*INDEX(tblKurallar[deger_2025],MATCH("AYD-002",tblKurallar[kural_id],0)),2),0))</f>
        <v/>
      </c>
      <c r="I392" s="31">
        <f>IF($A392="","",IFERROR($G392-$G392*INDEX(tblKurallar[deger_2025],MATCH("AYD-004",tblKurallar[kural_id],0)),0))</f>
        <v/>
      </c>
    </row>
    <row r="393">
      <c r="A393" s="30" t="n"/>
      <c r="B393" s="30" t="n"/>
      <c r="C393" s="30" t="n"/>
      <c r="D393" s="30" t="n"/>
      <c r="E393" s="30" t="n"/>
      <c r="F393" s="30" t="n"/>
      <c r="G393" s="31">
        <f>IF($A393="","",IFERROR(ROUND(MAX(0,$B393*($D393-1)),2),0))</f>
        <v/>
      </c>
      <c r="H393" s="31">
        <f>IF($A393="","",IFERROR(ROUND($G393*INDEX(tblKurallar[deger_2025],MATCH("AYD-002",tblKurallar[kural_id],0)),2),0))</f>
        <v/>
      </c>
      <c r="I393" s="31">
        <f>IF($A393="","",IFERROR($G393-$G393*INDEX(tblKurallar[deger_2025],MATCH("AYD-004",tblKurallar[kural_id],0)),0))</f>
        <v/>
      </c>
    </row>
    <row r="394">
      <c r="A394" s="30" t="n"/>
      <c r="B394" s="30" t="n"/>
      <c r="C394" s="30" t="n"/>
      <c r="D394" s="30" t="n"/>
      <c r="E394" s="30" t="n"/>
      <c r="F394" s="30" t="n"/>
      <c r="G394" s="31">
        <f>IF($A394="","",IFERROR(ROUND(MAX(0,$B394*($D394-1)),2),0))</f>
        <v/>
      </c>
      <c r="H394" s="31">
        <f>IF($A394="","",IFERROR(ROUND($G394*INDEX(tblKurallar[deger_2025],MATCH("AYD-002",tblKurallar[kural_id],0)),2),0))</f>
        <v/>
      </c>
      <c r="I394" s="31">
        <f>IF($A394="","",IFERROR($G394-$G394*INDEX(tblKurallar[deger_2025],MATCH("AYD-004",tblKurallar[kural_id],0)),0))</f>
        <v/>
      </c>
    </row>
    <row r="395">
      <c r="A395" s="30" t="n"/>
      <c r="B395" s="30" t="n"/>
      <c r="C395" s="30" t="n"/>
      <c r="D395" s="30" t="n"/>
      <c r="E395" s="30" t="n"/>
      <c r="F395" s="30" t="n"/>
      <c r="G395" s="31">
        <f>IF($A395="","",IFERROR(ROUND(MAX(0,$B395*($D395-1)),2),0))</f>
        <v/>
      </c>
      <c r="H395" s="31">
        <f>IF($A395="","",IFERROR(ROUND($G395*INDEX(tblKurallar[deger_2025],MATCH("AYD-002",tblKurallar[kural_id],0)),2),0))</f>
        <v/>
      </c>
      <c r="I395" s="31">
        <f>IF($A395="","",IFERROR($G395-$G395*INDEX(tblKurallar[deger_2025],MATCH("AYD-004",tblKurallar[kural_id],0)),0))</f>
        <v/>
      </c>
    </row>
    <row r="396">
      <c r="A396" s="30" t="n"/>
      <c r="B396" s="30" t="n"/>
      <c r="C396" s="30" t="n"/>
      <c r="D396" s="30" t="n"/>
      <c r="E396" s="30" t="n"/>
      <c r="F396" s="30" t="n"/>
      <c r="G396" s="31">
        <f>IF($A396="","",IFERROR(ROUND(MAX(0,$B396*($D396-1)),2),0))</f>
        <v/>
      </c>
      <c r="H396" s="31">
        <f>IF($A396="","",IFERROR(ROUND($G396*INDEX(tblKurallar[deger_2025],MATCH("AYD-002",tblKurallar[kural_id],0)),2),0))</f>
        <v/>
      </c>
      <c r="I396" s="31">
        <f>IF($A396="","",IFERROR($G396-$G396*INDEX(tblKurallar[deger_2025],MATCH("AYD-004",tblKurallar[kural_id],0)),0))</f>
        <v/>
      </c>
    </row>
    <row r="397">
      <c r="A397" s="30" t="n"/>
      <c r="B397" s="30" t="n"/>
      <c r="C397" s="30" t="n"/>
      <c r="D397" s="30" t="n"/>
      <c r="E397" s="30" t="n"/>
      <c r="F397" s="30" t="n"/>
      <c r="G397" s="31">
        <f>IF($A397="","",IFERROR(ROUND(MAX(0,$B397*($D397-1)),2),0))</f>
        <v/>
      </c>
      <c r="H397" s="31">
        <f>IF($A397="","",IFERROR(ROUND($G397*INDEX(tblKurallar[deger_2025],MATCH("AYD-002",tblKurallar[kural_id],0)),2),0))</f>
        <v/>
      </c>
      <c r="I397" s="31">
        <f>IF($A397="","",IFERROR($G397-$G397*INDEX(tblKurallar[deger_2025],MATCH("AYD-004",tblKurallar[kural_id],0)),0))</f>
        <v/>
      </c>
    </row>
    <row r="398">
      <c r="A398" s="30" t="n"/>
      <c r="B398" s="30" t="n"/>
      <c r="C398" s="30" t="n"/>
      <c r="D398" s="30" t="n"/>
      <c r="E398" s="30" t="n"/>
      <c r="F398" s="30" t="n"/>
      <c r="G398" s="31">
        <f>IF($A398="","",IFERROR(ROUND(MAX(0,$B398*($D398-1)),2),0))</f>
        <v/>
      </c>
      <c r="H398" s="31">
        <f>IF($A398="","",IFERROR(ROUND($G398*INDEX(tblKurallar[deger_2025],MATCH("AYD-002",tblKurallar[kural_id],0)),2),0))</f>
        <v/>
      </c>
      <c r="I398" s="31">
        <f>IF($A398="","",IFERROR($G398-$G398*INDEX(tblKurallar[deger_2025],MATCH("AYD-004",tblKurallar[kural_id],0)),0))</f>
        <v/>
      </c>
    </row>
    <row r="399">
      <c r="A399" s="30" t="n"/>
      <c r="B399" s="30" t="n"/>
      <c r="C399" s="30" t="n"/>
      <c r="D399" s="30" t="n"/>
      <c r="E399" s="30" t="n"/>
      <c r="F399" s="30" t="n"/>
      <c r="G399" s="31">
        <f>IF($A399="","",IFERROR(ROUND(MAX(0,$B399*($D399-1)),2),0))</f>
        <v/>
      </c>
      <c r="H399" s="31">
        <f>IF($A399="","",IFERROR(ROUND($G399*INDEX(tblKurallar[deger_2025],MATCH("AYD-002",tblKurallar[kural_id],0)),2),0))</f>
        <v/>
      </c>
      <c r="I399" s="31">
        <f>IF($A399="","",IFERROR($G399-$G399*INDEX(tblKurallar[deger_2025],MATCH("AYD-004",tblKurallar[kural_id],0)),0))</f>
        <v/>
      </c>
    </row>
    <row r="400">
      <c r="A400" s="30" t="n"/>
      <c r="B400" s="30" t="n"/>
      <c r="C400" s="30" t="n"/>
      <c r="D400" s="30" t="n"/>
      <c r="E400" s="30" t="n"/>
      <c r="F400" s="30" t="n"/>
      <c r="G400" s="31">
        <f>IF($A400="","",IFERROR(ROUND(MAX(0,$B400*($D400-1)),2),0))</f>
        <v/>
      </c>
      <c r="H400" s="31">
        <f>IF($A400="","",IFERROR(ROUND($G400*INDEX(tblKurallar[deger_2025],MATCH("AYD-002",tblKurallar[kural_id],0)),2),0))</f>
        <v/>
      </c>
      <c r="I400" s="31">
        <f>IF($A400="","",IFERROR($G400-$G400*INDEX(tblKurallar[deger_2025],MATCH("AYD-004",tblKurallar[kural_id],0)),0))</f>
        <v/>
      </c>
    </row>
    <row r="401">
      <c r="A401" s="30" t="n"/>
      <c r="B401" s="30" t="n"/>
      <c r="C401" s="30" t="n"/>
      <c r="D401" s="30" t="n"/>
      <c r="E401" s="30" t="n"/>
      <c r="F401" s="30" t="n"/>
      <c r="G401" s="31">
        <f>IF($A401="","",IFERROR(ROUND(MAX(0,$B401*($D401-1)),2),0))</f>
        <v/>
      </c>
      <c r="H401" s="31">
        <f>IF($A401="","",IFERROR(ROUND($G401*INDEX(tblKurallar[deger_2025],MATCH("AYD-002",tblKurallar[kural_id],0)),2),0))</f>
        <v/>
      </c>
      <c r="I401" s="31">
        <f>IF($A401="","",IFERROR($G401-$G401*INDEX(tblKurallar[deger_2025],MATCH("AYD-004",tblKurallar[kural_id],0)),0))</f>
        <v/>
      </c>
    </row>
    <row r="402">
      <c r="A402" s="30" t="n"/>
      <c r="B402" s="30" t="n"/>
      <c r="C402" s="30" t="n"/>
      <c r="D402" s="30" t="n"/>
      <c r="E402" s="30" t="n"/>
      <c r="F402" s="30" t="n"/>
      <c r="G402" s="31">
        <f>IF($A402="","",IFERROR(ROUND(MAX(0,$B402*($D402-1)),2),0))</f>
        <v/>
      </c>
      <c r="H402" s="31">
        <f>IF($A402="","",IFERROR(ROUND($G402*INDEX(tblKurallar[deger_2025],MATCH("AYD-002",tblKurallar[kural_id],0)),2),0))</f>
        <v/>
      </c>
      <c r="I402" s="31">
        <f>IF($A402="","",IFERROR($G402-$G402*INDEX(tblKurallar[deger_2025],MATCH("AYD-004",tblKurallar[kural_id],0)),0))</f>
        <v/>
      </c>
    </row>
    <row r="403">
      <c r="A403" s="30" t="n"/>
      <c r="B403" s="30" t="n"/>
      <c r="C403" s="30" t="n"/>
      <c r="D403" s="30" t="n"/>
      <c r="E403" s="30" t="n"/>
      <c r="F403" s="30" t="n"/>
      <c r="G403" s="31">
        <f>IF($A403="","",IFERROR(ROUND(MAX(0,$B403*($D403-1)),2),0))</f>
        <v/>
      </c>
      <c r="H403" s="31">
        <f>IF($A403="","",IFERROR(ROUND($G403*INDEX(tblKurallar[deger_2025],MATCH("AYD-002",tblKurallar[kural_id],0)),2),0))</f>
        <v/>
      </c>
      <c r="I403" s="31">
        <f>IF($A403="","",IFERROR($G403-$G403*INDEX(tblKurallar[deger_2025],MATCH("AYD-004",tblKurallar[kural_id],0)),0))</f>
        <v/>
      </c>
    </row>
    <row r="404">
      <c r="A404" s="30" t="n"/>
      <c r="B404" s="30" t="n"/>
      <c r="C404" s="30" t="n"/>
      <c r="D404" s="30" t="n"/>
      <c r="E404" s="30" t="n"/>
      <c r="F404" s="30" t="n"/>
      <c r="G404" s="31">
        <f>IF($A404="","",IFERROR(ROUND(MAX(0,$B404*($D404-1)),2),0))</f>
        <v/>
      </c>
      <c r="H404" s="31">
        <f>IF($A404="","",IFERROR(ROUND($G404*INDEX(tblKurallar[deger_2025],MATCH("AYD-002",tblKurallar[kural_id],0)),2),0))</f>
        <v/>
      </c>
      <c r="I404" s="31">
        <f>IF($A404="","",IFERROR($G404-$G404*INDEX(tblKurallar[deger_2025],MATCH("AYD-004",tblKurallar[kural_id],0)),0))</f>
        <v/>
      </c>
    </row>
    <row r="405">
      <c r="A405" s="30" t="n"/>
      <c r="B405" s="30" t="n"/>
      <c r="C405" s="30" t="n"/>
      <c r="D405" s="30" t="n"/>
      <c r="E405" s="30" t="n"/>
      <c r="F405" s="30" t="n"/>
      <c r="G405" s="31">
        <f>IF($A405="","",IFERROR(ROUND(MAX(0,$B405*($D405-1)),2),0))</f>
        <v/>
      </c>
      <c r="H405" s="31">
        <f>IF($A405="","",IFERROR(ROUND($G405*INDEX(tblKurallar[deger_2025],MATCH("AYD-002",tblKurallar[kural_id],0)),2),0))</f>
        <v/>
      </c>
      <c r="I405" s="31">
        <f>IF($A405="","",IFERROR($G405-$G405*INDEX(tblKurallar[deger_2025],MATCH("AYD-004",tblKurallar[kural_id],0)),0))</f>
        <v/>
      </c>
    </row>
    <row r="406">
      <c r="A406" s="30" t="n"/>
      <c r="B406" s="30" t="n"/>
      <c r="C406" s="30" t="n"/>
      <c r="D406" s="30" t="n"/>
      <c r="E406" s="30" t="n"/>
      <c r="F406" s="30" t="n"/>
      <c r="G406" s="31">
        <f>IF($A406="","",IFERROR(ROUND(MAX(0,$B406*($D406-1)),2),0))</f>
        <v/>
      </c>
      <c r="H406" s="31">
        <f>IF($A406="","",IFERROR(ROUND($G406*INDEX(tblKurallar[deger_2025],MATCH("AYD-002",tblKurallar[kural_id],0)),2),0))</f>
        <v/>
      </c>
      <c r="I406" s="31">
        <f>IF($A406="","",IFERROR($G406-$G406*INDEX(tblKurallar[deger_2025],MATCH("AYD-004",tblKurallar[kural_id],0)),0))</f>
        <v/>
      </c>
    </row>
    <row r="407">
      <c r="A407" s="30" t="n"/>
      <c r="B407" s="30" t="n"/>
      <c r="C407" s="30" t="n"/>
      <c r="D407" s="30" t="n"/>
      <c r="E407" s="30" t="n"/>
      <c r="F407" s="30" t="n"/>
      <c r="G407" s="31">
        <f>IF($A407="","",IFERROR(ROUND(MAX(0,$B407*($D407-1)),2),0))</f>
        <v/>
      </c>
      <c r="H407" s="31">
        <f>IF($A407="","",IFERROR(ROUND($G407*INDEX(tblKurallar[deger_2025],MATCH("AYD-002",tblKurallar[kural_id],0)),2),0))</f>
        <v/>
      </c>
      <c r="I407" s="31">
        <f>IF($A407="","",IFERROR($G407-$G407*INDEX(tblKurallar[deger_2025],MATCH("AYD-004",tblKurallar[kural_id],0)),0))</f>
        <v/>
      </c>
    </row>
    <row r="408">
      <c r="A408" s="30" t="n"/>
      <c r="B408" s="30" t="n"/>
      <c r="C408" s="30" t="n"/>
      <c r="D408" s="30" t="n"/>
      <c r="E408" s="30" t="n"/>
      <c r="F408" s="30" t="n"/>
      <c r="G408" s="31">
        <f>IF($A408="","",IFERROR(ROUND(MAX(0,$B408*($D408-1)),2),0))</f>
        <v/>
      </c>
      <c r="H408" s="31">
        <f>IF($A408="","",IFERROR(ROUND($G408*INDEX(tblKurallar[deger_2025],MATCH("AYD-002",tblKurallar[kural_id],0)),2),0))</f>
        <v/>
      </c>
      <c r="I408" s="31">
        <f>IF($A408="","",IFERROR($G408-$G408*INDEX(tblKurallar[deger_2025],MATCH("AYD-004",tblKurallar[kural_id],0)),0))</f>
        <v/>
      </c>
    </row>
    <row r="409">
      <c r="A409" s="30" t="n"/>
      <c r="B409" s="30" t="n"/>
      <c r="C409" s="30" t="n"/>
      <c r="D409" s="30" t="n"/>
      <c r="E409" s="30" t="n"/>
      <c r="F409" s="30" t="n"/>
      <c r="G409" s="31">
        <f>IF($A409="","",IFERROR(ROUND(MAX(0,$B409*($D409-1)),2),0))</f>
        <v/>
      </c>
      <c r="H409" s="31">
        <f>IF($A409="","",IFERROR(ROUND($G409*INDEX(tblKurallar[deger_2025],MATCH("AYD-002",tblKurallar[kural_id],0)),2),0))</f>
        <v/>
      </c>
      <c r="I409" s="31">
        <f>IF($A409="","",IFERROR($G409-$G409*INDEX(tblKurallar[deger_2025],MATCH("AYD-004",tblKurallar[kural_id],0)),0))</f>
        <v/>
      </c>
    </row>
    <row r="410">
      <c r="A410" s="30" t="n"/>
      <c r="B410" s="30" t="n"/>
      <c r="C410" s="30" t="n"/>
      <c r="D410" s="30" t="n"/>
      <c r="E410" s="30" t="n"/>
      <c r="F410" s="30" t="n"/>
      <c r="G410" s="31">
        <f>IF($A410="","",IFERROR(ROUND(MAX(0,$B410*($D410-1)),2),0))</f>
        <v/>
      </c>
      <c r="H410" s="31">
        <f>IF($A410="","",IFERROR(ROUND($G410*INDEX(tblKurallar[deger_2025],MATCH("AYD-002",tblKurallar[kural_id],0)),2),0))</f>
        <v/>
      </c>
      <c r="I410" s="31">
        <f>IF($A410="","",IFERROR($G410-$G410*INDEX(tblKurallar[deger_2025],MATCH("AYD-004",tblKurallar[kural_id],0)),0))</f>
        <v/>
      </c>
    </row>
    <row r="411">
      <c r="A411" s="30" t="n"/>
      <c r="B411" s="30" t="n"/>
      <c r="C411" s="30" t="n"/>
      <c r="D411" s="30" t="n"/>
      <c r="E411" s="30" t="n"/>
      <c r="F411" s="30" t="n"/>
      <c r="G411" s="31">
        <f>IF($A411="","",IFERROR(ROUND(MAX(0,$B411*($D411-1)),2),0))</f>
        <v/>
      </c>
      <c r="H411" s="31">
        <f>IF($A411="","",IFERROR(ROUND($G411*INDEX(tblKurallar[deger_2025],MATCH("AYD-002",tblKurallar[kural_id],0)),2),0))</f>
        <v/>
      </c>
      <c r="I411" s="31">
        <f>IF($A411="","",IFERROR($G411-$G411*INDEX(tblKurallar[deger_2025],MATCH("AYD-004",tblKurallar[kural_id],0)),0))</f>
        <v/>
      </c>
    </row>
    <row r="412">
      <c r="A412" s="30" t="n"/>
      <c r="B412" s="30" t="n"/>
      <c r="C412" s="30" t="n"/>
      <c r="D412" s="30" t="n"/>
      <c r="E412" s="30" t="n"/>
      <c r="F412" s="30" t="n"/>
      <c r="G412" s="31">
        <f>IF($A412="","",IFERROR(ROUND(MAX(0,$B412*($D412-1)),2),0))</f>
        <v/>
      </c>
      <c r="H412" s="31">
        <f>IF($A412="","",IFERROR(ROUND($G412*INDEX(tblKurallar[deger_2025],MATCH("AYD-002",tblKurallar[kural_id],0)),2),0))</f>
        <v/>
      </c>
      <c r="I412" s="31">
        <f>IF($A412="","",IFERROR($G412-$G412*INDEX(tblKurallar[deger_2025],MATCH("AYD-004",tblKurallar[kural_id],0)),0))</f>
        <v/>
      </c>
    </row>
    <row r="413">
      <c r="A413" s="30" t="n"/>
      <c r="B413" s="30" t="n"/>
      <c r="C413" s="30" t="n"/>
      <c r="D413" s="30" t="n"/>
      <c r="E413" s="30" t="n"/>
      <c r="F413" s="30" t="n"/>
      <c r="G413" s="31">
        <f>IF($A413="","",IFERROR(ROUND(MAX(0,$B413*($D413-1)),2),0))</f>
        <v/>
      </c>
      <c r="H413" s="31">
        <f>IF($A413="","",IFERROR(ROUND($G413*INDEX(tblKurallar[deger_2025],MATCH("AYD-002",tblKurallar[kural_id],0)),2),0))</f>
        <v/>
      </c>
      <c r="I413" s="31">
        <f>IF($A413="","",IFERROR($G413-$G413*INDEX(tblKurallar[deger_2025],MATCH("AYD-004",tblKurallar[kural_id],0)),0))</f>
        <v/>
      </c>
    </row>
    <row r="414">
      <c r="A414" s="30" t="n"/>
      <c r="B414" s="30" t="n"/>
      <c r="C414" s="30" t="n"/>
      <c r="D414" s="30" t="n"/>
      <c r="E414" s="30" t="n"/>
      <c r="F414" s="30" t="n"/>
      <c r="G414" s="31">
        <f>IF($A414="","",IFERROR(ROUND(MAX(0,$B414*($D414-1)),2),0))</f>
        <v/>
      </c>
      <c r="H414" s="31">
        <f>IF($A414="","",IFERROR(ROUND($G414*INDEX(tblKurallar[deger_2025],MATCH("AYD-002",tblKurallar[kural_id],0)),2),0))</f>
        <v/>
      </c>
      <c r="I414" s="31">
        <f>IF($A414="","",IFERROR($G414-$G414*INDEX(tblKurallar[deger_2025],MATCH("AYD-004",tblKurallar[kural_id],0)),0))</f>
        <v/>
      </c>
    </row>
    <row r="415">
      <c r="A415" s="30" t="n"/>
      <c r="B415" s="30" t="n"/>
      <c r="C415" s="30" t="n"/>
      <c r="D415" s="30" t="n"/>
      <c r="E415" s="30" t="n"/>
      <c r="F415" s="30" t="n"/>
      <c r="G415" s="31">
        <f>IF($A415="","",IFERROR(ROUND(MAX(0,$B415*($D415-1)),2),0))</f>
        <v/>
      </c>
      <c r="H415" s="31">
        <f>IF($A415="","",IFERROR(ROUND($G415*INDEX(tblKurallar[deger_2025],MATCH("AYD-002",tblKurallar[kural_id],0)),2),0))</f>
        <v/>
      </c>
      <c r="I415" s="31">
        <f>IF($A415="","",IFERROR($G415-$G415*INDEX(tblKurallar[deger_2025],MATCH("AYD-004",tblKurallar[kural_id],0)),0))</f>
        <v/>
      </c>
    </row>
    <row r="416">
      <c r="A416" s="30" t="n"/>
      <c r="B416" s="30" t="n"/>
      <c r="C416" s="30" t="n"/>
      <c r="D416" s="30" t="n"/>
      <c r="E416" s="30" t="n"/>
      <c r="F416" s="30" t="n"/>
      <c r="G416" s="31">
        <f>IF($A416="","",IFERROR(ROUND(MAX(0,$B416*($D416-1)),2),0))</f>
        <v/>
      </c>
      <c r="H416" s="31">
        <f>IF($A416="","",IFERROR(ROUND($G416*INDEX(tblKurallar[deger_2025],MATCH("AYD-002",tblKurallar[kural_id],0)),2),0))</f>
        <v/>
      </c>
      <c r="I416" s="31">
        <f>IF($A416="","",IFERROR($G416-$G416*INDEX(tblKurallar[deger_2025],MATCH("AYD-004",tblKurallar[kural_id],0)),0))</f>
        <v/>
      </c>
    </row>
    <row r="417">
      <c r="A417" s="30" t="n"/>
      <c r="B417" s="30" t="n"/>
      <c r="C417" s="30" t="n"/>
      <c r="D417" s="30" t="n"/>
      <c r="E417" s="30" t="n"/>
      <c r="F417" s="30" t="n"/>
      <c r="G417" s="31">
        <f>IF($A417="","",IFERROR(ROUND(MAX(0,$B417*($D417-1)),2),0))</f>
        <v/>
      </c>
      <c r="H417" s="31">
        <f>IF($A417="","",IFERROR(ROUND($G417*INDEX(tblKurallar[deger_2025],MATCH("AYD-002",tblKurallar[kural_id],0)),2),0))</f>
        <v/>
      </c>
      <c r="I417" s="31">
        <f>IF($A417="","",IFERROR($G417-$G417*INDEX(tblKurallar[deger_2025],MATCH("AYD-004",tblKurallar[kural_id],0)),0))</f>
        <v/>
      </c>
    </row>
    <row r="418">
      <c r="A418" s="30" t="n"/>
      <c r="B418" s="30" t="n"/>
      <c r="C418" s="30" t="n"/>
      <c r="D418" s="30" t="n"/>
      <c r="E418" s="30" t="n"/>
      <c r="F418" s="30" t="n"/>
      <c r="G418" s="31">
        <f>IF($A418="","",IFERROR(ROUND(MAX(0,$B418*($D418-1)),2),0))</f>
        <v/>
      </c>
      <c r="H418" s="31">
        <f>IF($A418="","",IFERROR(ROUND($G418*INDEX(tblKurallar[deger_2025],MATCH("AYD-002",tblKurallar[kural_id],0)),2),0))</f>
        <v/>
      </c>
      <c r="I418" s="31">
        <f>IF($A418="","",IFERROR($G418-$G418*INDEX(tblKurallar[deger_2025],MATCH("AYD-004",tblKurallar[kural_id],0)),0))</f>
        <v/>
      </c>
    </row>
    <row r="419">
      <c r="A419" s="30" t="n"/>
      <c r="B419" s="30" t="n"/>
      <c r="C419" s="30" t="n"/>
      <c r="D419" s="30" t="n"/>
      <c r="E419" s="30" t="n"/>
      <c r="F419" s="30" t="n"/>
      <c r="G419" s="31">
        <f>IF($A419="","",IFERROR(ROUND(MAX(0,$B419*($D419-1)),2),0))</f>
        <v/>
      </c>
      <c r="H419" s="31">
        <f>IF($A419="","",IFERROR(ROUND($G419*INDEX(tblKurallar[deger_2025],MATCH("AYD-002",tblKurallar[kural_id],0)),2),0))</f>
        <v/>
      </c>
      <c r="I419" s="31">
        <f>IF($A419="","",IFERROR($G419-$G419*INDEX(tblKurallar[deger_2025],MATCH("AYD-004",tblKurallar[kural_id],0)),0))</f>
        <v/>
      </c>
    </row>
    <row r="420">
      <c r="A420" s="30" t="n"/>
      <c r="B420" s="30" t="n"/>
      <c r="C420" s="30" t="n"/>
      <c r="D420" s="30" t="n"/>
      <c r="E420" s="30" t="n"/>
      <c r="F420" s="30" t="n"/>
      <c r="G420" s="31">
        <f>IF($A420="","",IFERROR(ROUND(MAX(0,$B420*($D420-1)),2),0))</f>
        <v/>
      </c>
      <c r="H420" s="31">
        <f>IF($A420="","",IFERROR(ROUND($G420*INDEX(tblKurallar[deger_2025],MATCH("AYD-002",tblKurallar[kural_id],0)),2),0))</f>
        <v/>
      </c>
      <c r="I420" s="31">
        <f>IF($A420="","",IFERROR($G420-$G420*INDEX(tblKurallar[deger_2025],MATCH("AYD-004",tblKurallar[kural_id],0)),0))</f>
        <v/>
      </c>
    </row>
    <row r="421">
      <c r="A421" s="30" t="n"/>
      <c r="B421" s="30" t="n"/>
      <c r="C421" s="30" t="n"/>
      <c r="D421" s="30" t="n"/>
      <c r="E421" s="30" t="n"/>
      <c r="F421" s="30" t="n"/>
      <c r="G421" s="31">
        <f>IF($A421="","",IFERROR(ROUND(MAX(0,$B421*($D421-1)),2),0))</f>
        <v/>
      </c>
      <c r="H421" s="31">
        <f>IF($A421="","",IFERROR(ROUND($G421*INDEX(tblKurallar[deger_2025],MATCH("AYD-002",tblKurallar[kural_id],0)),2),0))</f>
        <v/>
      </c>
      <c r="I421" s="31">
        <f>IF($A421="","",IFERROR($G421-$G421*INDEX(tblKurallar[deger_2025],MATCH("AYD-004",tblKurallar[kural_id],0)),0))</f>
        <v/>
      </c>
    </row>
    <row r="422">
      <c r="A422" s="30" t="n"/>
      <c r="B422" s="30" t="n"/>
      <c r="C422" s="30" t="n"/>
      <c r="D422" s="30" t="n"/>
      <c r="E422" s="30" t="n"/>
      <c r="F422" s="30" t="n"/>
      <c r="G422" s="31">
        <f>IF($A422="","",IFERROR(ROUND(MAX(0,$B422*($D422-1)),2),0))</f>
        <v/>
      </c>
      <c r="H422" s="31">
        <f>IF($A422="","",IFERROR(ROUND($G422*INDEX(tblKurallar[deger_2025],MATCH("AYD-002",tblKurallar[kural_id],0)),2),0))</f>
        <v/>
      </c>
      <c r="I422" s="31">
        <f>IF($A422="","",IFERROR($G422-$G422*INDEX(tblKurallar[deger_2025],MATCH("AYD-004",tblKurallar[kural_id],0)),0))</f>
        <v/>
      </c>
    </row>
    <row r="423">
      <c r="A423" s="30" t="n"/>
      <c r="B423" s="30" t="n"/>
      <c r="C423" s="30" t="n"/>
      <c r="D423" s="30" t="n"/>
      <c r="E423" s="30" t="n"/>
      <c r="F423" s="30" t="n"/>
      <c r="G423" s="31">
        <f>IF($A423="","",IFERROR(ROUND(MAX(0,$B423*($D423-1)),2),0))</f>
        <v/>
      </c>
      <c r="H423" s="31">
        <f>IF($A423="","",IFERROR(ROUND($G423*INDEX(tblKurallar[deger_2025],MATCH("AYD-002",tblKurallar[kural_id],0)),2),0))</f>
        <v/>
      </c>
      <c r="I423" s="31">
        <f>IF($A423="","",IFERROR($G423-$G423*INDEX(tblKurallar[deger_2025],MATCH("AYD-004",tblKurallar[kural_id],0)),0))</f>
        <v/>
      </c>
    </row>
    <row r="424">
      <c r="A424" s="30" t="n"/>
      <c r="B424" s="30" t="n"/>
      <c r="C424" s="30" t="n"/>
      <c r="D424" s="30" t="n"/>
      <c r="E424" s="30" t="n"/>
      <c r="F424" s="30" t="n"/>
      <c r="G424" s="31">
        <f>IF($A424="","",IFERROR(ROUND(MAX(0,$B424*($D424-1)),2),0))</f>
        <v/>
      </c>
      <c r="H424" s="31">
        <f>IF($A424="","",IFERROR(ROUND($G424*INDEX(tblKurallar[deger_2025],MATCH("AYD-002",tblKurallar[kural_id],0)),2),0))</f>
        <v/>
      </c>
      <c r="I424" s="31">
        <f>IF($A424="","",IFERROR($G424-$G424*INDEX(tblKurallar[deger_2025],MATCH("AYD-004",tblKurallar[kural_id],0)),0))</f>
        <v/>
      </c>
    </row>
    <row r="425">
      <c r="A425" s="30" t="n"/>
      <c r="B425" s="30" t="n"/>
      <c r="C425" s="30" t="n"/>
      <c r="D425" s="30" t="n"/>
      <c r="E425" s="30" t="n"/>
      <c r="F425" s="30" t="n"/>
      <c r="G425" s="31">
        <f>IF($A425="","",IFERROR(ROUND(MAX(0,$B425*($D425-1)),2),0))</f>
        <v/>
      </c>
      <c r="H425" s="31">
        <f>IF($A425="","",IFERROR(ROUND($G425*INDEX(tblKurallar[deger_2025],MATCH("AYD-002",tblKurallar[kural_id],0)),2),0))</f>
        <v/>
      </c>
      <c r="I425" s="31">
        <f>IF($A425="","",IFERROR($G425-$G425*INDEX(tblKurallar[deger_2025],MATCH("AYD-004",tblKurallar[kural_id],0)),0))</f>
        <v/>
      </c>
    </row>
    <row r="426">
      <c r="A426" s="30" t="n"/>
      <c r="B426" s="30" t="n"/>
      <c r="C426" s="30" t="n"/>
      <c r="D426" s="30" t="n"/>
      <c r="E426" s="30" t="n"/>
      <c r="F426" s="30" t="n"/>
      <c r="G426" s="31">
        <f>IF($A426="","",IFERROR(ROUND(MAX(0,$B426*($D426-1)),2),0))</f>
        <v/>
      </c>
      <c r="H426" s="31">
        <f>IF($A426="","",IFERROR(ROUND($G426*INDEX(tblKurallar[deger_2025],MATCH("AYD-002",tblKurallar[kural_id],0)),2),0))</f>
        <v/>
      </c>
      <c r="I426" s="31">
        <f>IF($A426="","",IFERROR($G426-$G426*INDEX(tblKurallar[deger_2025],MATCH("AYD-004",tblKurallar[kural_id],0)),0))</f>
        <v/>
      </c>
    </row>
    <row r="427">
      <c r="A427" s="30" t="n"/>
      <c r="B427" s="30" t="n"/>
      <c r="C427" s="30" t="n"/>
      <c r="D427" s="30" t="n"/>
      <c r="E427" s="30" t="n"/>
      <c r="F427" s="30" t="n"/>
      <c r="G427" s="31">
        <f>IF($A427="","",IFERROR(ROUND(MAX(0,$B427*($D427-1)),2),0))</f>
        <v/>
      </c>
      <c r="H427" s="31">
        <f>IF($A427="","",IFERROR(ROUND($G427*INDEX(tblKurallar[deger_2025],MATCH("AYD-002",tblKurallar[kural_id],0)),2),0))</f>
        <v/>
      </c>
      <c r="I427" s="31">
        <f>IF($A427="","",IFERROR($G427-$G427*INDEX(tblKurallar[deger_2025],MATCH("AYD-004",tblKurallar[kural_id],0)),0))</f>
        <v/>
      </c>
    </row>
    <row r="428">
      <c r="A428" s="30" t="n"/>
      <c r="B428" s="30" t="n"/>
      <c r="C428" s="30" t="n"/>
      <c r="D428" s="30" t="n"/>
      <c r="E428" s="30" t="n"/>
      <c r="F428" s="30" t="n"/>
      <c r="G428" s="31">
        <f>IF($A428="","",IFERROR(ROUND(MAX(0,$B428*($D428-1)),2),0))</f>
        <v/>
      </c>
      <c r="H428" s="31">
        <f>IF($A428="","",IFERROR(ROUND($G428*INDEX(tblKurallar[deger_2025],MATCH("AYD-002",tblKurallar[kural_id],0)),2),0))</f>
        <v/>
      </c>
      <c r="I428" s="31">
        <f>IF($A428="","",IFERROR($G428-$G428*INDEX(tblKurallar[deger_2025],MATCH("AYD-004",tblKurallar[kural_id],0)),0))</f>
        <v/>
      </c>
    </row>
    <row r="429">
      <c r="A429" s="30" t="n"/>
      <c r="B429" s="30" t="n"/>
      <c r="C429" s="30" t="n"/>
      <c r="D429" s="30" t="n"/>
      <c r="E429" s="30" t="n"/>
      <c r="F429" s="30" t="n"/>
      <c r="G429" s="31">
        <f>IF($A429="","",IFERROR(ROUND(MAX(0,$B429*($D429-1)),2),0))</f>
        <v/>
      </c>
      <c r="H429" s="31">
        <f>IF($A429="","",IFERROR(ROUND($G429*INDEX(tblKurallar[deger_2025],MATCH("AYD-002",tblKurallar[kural_id],0)),2),0))</f>
        <v/>
      </c>
      <c r="I429" s="31">
        <f>IF($A429="","",IFERROR($G429-$G429*INDEX(tblKurallar[deger_2025],MATCH("AYD-004",tblKurallar[kural_id],0)),0))</f>
        <v/>
      </c>
    </row>
    <row r="430">
      <c r="A430" s="30" t="n"/>
      <c r="B430" s="30" t="n"/>
      <c r="C430" s="30" t="n"/>
      <c r="D430" s="30" t="n"/>
      <c r="E430" s="30" t="n"/>
      <c r="F430" s="30" t="n"/>
      <c r="G430" s="31">
        <f>IF($A430="","",IFERROR(ROUND(MAX(0,$B430*($D430-1)),2),0))</f>
        <v/>
      </c>
      <c r="H430" s="31">
        <f>IF($A430="","",IFERROR(ROUND($G430*INDEX(tblKurallar[deger_2025],MATCH("AYD-002",tblKurallar[kural_id],0)),2),0))</f>
        <v/>
      </c>
      <c r="I430" s="31">
        <f>IF($A430="","",IFERROR($G430-$G430*INDEX(tblKurallar[deger_2025],MATCH("AYD-004",tblKurallar[kural_id],0)),0))</f>
        <v/>
      </c>
    </row>
    <row r="431">
      <c r="A431" s="30" t="n"/>
      <c r="B431" s="30" t="n"/>
      <c r="C431" s="30" t="n"/>
      <c r="D431" s="30" t="n"/>
      <c r="E431" s="30" t="n"/>
      <c r="F431" s="30" t="n"/>
      <c r="G431" s="31">
        <f>IF($A431="","",IFERROR(ROUND(MAX(0,$B431*($D431-1)),2),0))</f>
        <v/>
      </c>
      <c r="H431" s="31">
        <f>IF($A431="","",IFERROR(ROUND($G431*INDEX(tblKurallar[deger_2025],MATCH("AYD-002",tblKurallar[kural_id],0)),2),0))</f>
        <v/>
      </c>
      <c r="I431" s="31">
        <f>IF($A431="","",IFERROR($G431-$G431*INDEX(tblKurallar[deger_2025],MATCH("AYD-004",tblKurallar[kural_id],0)),0))</f>
        <v/>
      </c>
    </row>
    <row r="432">
      <c r="A432" s="30" t="n"/>
      <c r="B432" s="30" t="n"/>
      <c r="C432" s="30" t="n"/>
      <c r="D432" s="30" t="n"/>
      <c r="E432" s="30" t="n"/>
      <c r="F432" s="30" t="n"/>
      <c r="G432" s="31">
        <f>IF($A432="","",IFERROR(ROUND(MAX(0,$B432*($D432-1)),2),0))</f>
        <v/>
      </c>
      <c r="H432" s="31">
        <f>IF($A432="","",IFERROR(ROUND($G432*INDEX(tblKurallar[deger_2025],MATCH("AYD-002",tblKurallar[kural_id],0)),2),0))</f>
        <v/>
      </c>
      <c r="I432" s="31">
        <f>IF($A432="","",IFERROR($G432-$G432*INDEX(tblKurallar[deger_2025],MATCH("AYD-004",tblKurallar[kural_id],0)),0))</f>
        <v/>
      </c>
    </row>
    <row r="433">
      <c r="A433" s="30" t="n"/>
      <c r="B433" s="30" t="n"/>
      <c r="C433" s="30" t="n"/>
      <c r="D433" s="30" t="n"/>
      <c r="E433" s="30" t="n"/>
      <c r="F433" s="30" t="n"/>
      <c r="G433" s="31">
        <f>IF($A433="","",IFERROR(ROUND(MAX(0,$B433*($D433-1)),2),0))</f>
        <v/>
      </c>
      <c r="H433" s="31">
        <f>IF($A433="","",IFERROR(ROUND($G433*INDEX(tblKurallar[deger_2025],MATCH("AYD-002",tblKurallar[kural_id],0)),2),0))</f>
        <v/>
      </c>
      <c r="I433" s="31">
        <f>IF($A433="","",IFERROR($G433-$G433*INDEX(tblKurallar[deger_2025],MATCH("AYD-004",tblKurallar[kural_id],0)),0))</f>
        <v/>
      </c>
    </row>
    <row r="434">
      <c r="A434" s="30" t="n"/>
      <c r="B434" s="30" t="n"/>
      <c r="C434" s="30" t="n"/>
      <c r="D434" s="30" t="n"/>
      <c r="E434" s="30" t="n"/>
      <c r="F434" s="30" t="n"/>
      <c r="G434" s="31">
        <f>IF($A434="","",IFERROR(ROUND(MAX(0,$B434*($D434-1)),2),0))</f>
        <v/>
      </c>
      <c r="H434" s="31">
        <f>IF($A434="","",IFERROR(ROUND($G434*INDEX(tblKurallar[deger_2025],MATCH("AYD-002",tblKurallar[kural_id],0)),2),0))</f>
        <v/>
      </c>
      <c r="I434" s="31">
        <f>IF($A434="","",IFERROR($G434-$G434*INDEX(tblKurallar[deger_2025],MATCH("AYD-004",tblKurallar[kural_id],0)),0))</f>
        <v/>
      </c>
    </row>
    <row r="435">
      <c r="A435" s="30" t="n"/>
      <c r="B435" s="30" t="n"/>
      <c r="C435" s="30" t="n"/>
      <c r="D435" s="30" t="n"/>
      <c r="E435" s="30" t="n"/>
      <c r="F435" s="30" t="n"/>
      <c r="G435" s="31">
        <f>IF($A435="","",IFERROR(ROUND(MAX(0,$B435*($D435-1)),2),0))</f>
        <v/>
      </c>
      <c r="H435" s="31">
        <f>IF($A435="","",IFERROR(ROUND($G435*INDEX(tblKurallar[deger_2025],MATCH("AYD-002",tblKurallar[kural_id],0)),2),0))</f>
        <v/>
      </c>
      <c r="I435" s="31">
        <f>IF($A435="","",IFERROR($G435-$G435*INDEX(tblKurallar[deger_2025],MATCH("AYD-004",tblKurallar[kural_id],0)),0))</f>
        <v/>
      </c>
    </row>
    <row r="436">
      <c r="A436" s="30" t="n"/>
      <c r="B436" s="30" t="n"/>
      <c r="C436" s="30" t="n"/>
      <c r="D436" s="30" t="n"/>
      <c r="E436" s="30" t="n"/>
      <c r="F436" s="30" t="n"/>
      <c r="G436" s="31">
        <f>IF($A436="","",IFERROR(ROUND(MAX(0,$B436*($D436-1)),2),0))</f>
        <v/>
      </c>
      <c r="H436" s="31">
        <f>IF($A436="","",IFERROR(ROUND($G436*INDEX(tblKurallar[deger_2025],MATCH("AYD-002",tblKurallar[kural_id],0)),2),0))</f>
        <v/>
      </c>
      <c r="I436" s="31">
        <f>IF($A436="","",IFERROR($G436-$G436*INDEX(tblKurallar[deger_2025],MATCH("AYD-004",tblKurallar[kural_id],0)),0))</f>
        <v/>
      </c>
    </row>
    <row r="437">
      <c r="A437" s="30" t="n"/>
      <c r="B437" s="30" t="n"/>
      <c r="C437" s="30" t="n"/>
      <c r="D437" s="30" t="n"/>
      <c r="E437" s="30" t="n"/>
      <c r="F437" s="30" t="n"/>
      <c r="G437" s="31">
        <f>IF($A437="","",IFERROR(ROUND(MAX(0,$B437*($D437-1)),2),0))</f>
        <v/>
      </c>
      <c r="H437" s="31">
        <f>IF($A437="","",IFERROR(ROUND($G437*INDEX(tblKurallar[deger_2025],MATCH("AYD-002",tblKurallar[kural_id],0)),2),0))</f>
        <v/>
      </c>
      <c r="I437" s="31">
        <f>IF($A437="","",IFERROR($G437-$G437*INDEX(tblKurallar[deger_2025],MATCH("AYD-004",tblKurallar[kural_id],0)),0))</f>
        <v/>
      </c>
    </row>
    <row r="438">
      <c r="A438" s="30" t="n"/>
      <c r="B438" s="30" t="n"/>
      <c r="C438" s="30" t="n"/>
      <c r="D438" s="30" t="n"/>
      <c r="E438" s="30" t="n"/>
      <c r="F438" s="30" t="n"/>
      <c r="G438" s="31">
        <f>IF($A438="","",IFERROR(ROUND(MAX(0,$B438*($D438-1)),2),0))</f>
        <v/>
      </c>
      <c r="H438" s="31">
        <f>IF($A438="","",IFERROR(ROUND($G438*INDEX(tblKurallar[deger_2025],MATCH("AYD-002",tblKurallar[kural_id],0)),2),0))</f>
        <v/>
      </c>
      <c r="I438" s="31">
        <f>IF($A438="","",IFERROR($G438-$G438*INDEX(tblKurallar[deger_2025],MATCH("AYD-004",tblKurallar[kural_id],0)),0))</f>
        <v/>
      </c>
    </row>
    <row r="439">
      <c r="A439" s="30" t="n"/>
      <c r="B439" s="30" t="n"/>
      <c r="C439" s="30" t="n"/>
      <c r="D439" s="30" t="n"/>
      <c r="E439" s="30" t="n"/>
      <c r="F439" s="30" t="n"/>
      <c r="G439" s="31">
        <f>IF($A439="","",IFERROR(ROUND(MAX(0,$B439*($D439-1)),2),0))</f>
        <v/>
      </c>
      <c r="H439" s="31">
        <f>IF($A439="","",IFERROR(ROUND($G439*INDEX(tblKurallar[deger_2025],MATCH("AYD-002",tblKurallar[kural_id],0)),2),0))</f>
        <v/>
      </c>
      <c r="I439" s="31">
        <f>IF($A439="","",IFERROR($G439-$G439*INDEX(tblKurallar[deger_2025],MATCH("AYD-004",tblKurallar[kural_id],0)),0))</f>
        <v/>
      </c>
    </row>
    <row r="440">
      <c r="A440" s="30" t="n"/>
      <c r="B440" s="30" t="n"/>
      <c r="C440" s="30" t="n"/>
      <c r="D440" s="30" t="n"/>
      <c r="E440" s="30" t="n"/>
      <c r="F440" s="30" t="n"/>
      <c r="G440" s="31">
        <f>IF($A440="","",IFERROR(ROUND(MAX(0,$B440*($D440-1)),2),0))</f>
        <v/>
      </c>
      <c r="H440" s="31">
        <f>IF($A440="","",IFERROR(ROUND($G440*INDEX(tblKurallar[deger_2025],MATCH("AYD-002",tblKurallar[kural_id],0)),2),0))</f>
        <v/>
      </c>
      <c r="I440" s="31">
        <f>IF($A440="","",IFERROR($G440-$G440*INDEX(tblKurallar[deger_2025],MATCH("AYD-004",tblKurallar[kural_id],0)),0))</f>
        <v/>
      </c>
    </row>
    <row r="441">
      <c r="A441" s="30" t="n"/>
      <c r="B441" s="30" t="n"/>
      <c r="C441" s="30" t="n"/>
      <c r="D441" s="30" t="n"/>
      <c r="E441" s="30" t="n"/>
      <c r="F441" s="30" t="n"/>
      <c r="G441" s="31">
        <f>IF($A441="","",IFERROR(ROUND(MAX(0,$B441*($D441-1)),2),0))</f>
        <v/>
      </c>
      <c r="H441" s="31">
        <f>IF($A441="","",IFERROR(ROUND($G441*INDEX(tblKurallar[deger_2025],MATCH("AYD-002",tblKurallar[kural_id],0)),2),0))</f>
        <v/>
      </c>
      <c r="I441" s="31">
        <f>IF($A441="","",IFERROR($G441-$G441*INDEX(tblKurallar[deger_2025],MATCH("AYD-004",tblKurallar[kural_id],0)),0))</f>
        <v/>
      </c>
    </row>
    <row r="442">
      <c r="A442" s="30" t="n"/>
      <c r="B442" s="30" t="n"/>
      <c r="C442" s="30" t="n"/>
      <c r="D442" s="30" t="n"/>
      <c r="E442" s="30" t="n"/>
      <c r="F442" s="30" t="n"/>
      <c r="G442" s="31">
        <f>IF($A442="","",IFERROR(ROUND(MAX(0,$B442*($D442-1)),2),0))</f>
        <v/>
      </c>
      <c r="H442" s="31">
        <f>IF($A442="","",IFERROR(ROUND($G442*INDEX(tblKurallar[deger_2025],MATCH("AYD-002",tblKurallar[kural_id],0)),2),0))</f>
        <v/>
      </c>
      <c r="I442" s="31">
        <f>IF($A442="","",IFERROR($G442-$G442*INDEX(tblKurallar[deger_2025],MATCH("AYD-004",tblKurallar[kural_id],0)),0))</f>
        <v/>
      </c>
    </row>
    <row r="443">
      <c r="A443" s="30" t="n"/>
      <c r="B443" s="30" t="n"/>
      <c r="C443" s="30" t="n"/>
      <c r="D443" s="30" t="n"/>
      <c r="E443" s="30" t="n"/>
      <c r="F443" s="30" t="n"/>
      <c r="G443" s="31">
        <f>IF($A443="","",IFERROR(ROUND(MAX(0,$B443*($D443-1)),2),0))</f>
        <v/>
      </c>
      <c r="H443" s="31">
        <f>IF($A443="","",IFERROR(ROUND($G443*INDEX(tblKurallar[deger_2025],MATCH("AYD-002",tblKurallar[kural_id],0)),2),0))</f>
        <v/>
      </c>
      <c r="I443" s="31">
        <f>IF($A443="","",IFERROR($G443-$G443*INDEX(tblKurallar[deger_2025],MATCH("AYD-004",tblKurallar[kural_id],0)),0))</f>
        <v/>
      </c>
    </row>
    <row r="444">
      <c r="A444" s="30" t="n"/>
      <c r="B444" s="30" t="n"/>
      <c r="C444" s="30" t="n"/>
      <c r="D444" s="30" t="n"/>
      <c r="E444" s="30" t="n"/>
      <c r="F444" s="30" t="n"/>
      <c r="G444" s="31">
        <f>IF($A444="","",IFERROR(ROUND(MAX(0,$B444*($D444-1)),2),0))</f>
        <v/>
      </c>
      <c r="H444" s="31">
        <f>IF($A444="","",IFERROR(ROUND($G444*INDEX(tblKurallar[deger_2025],MATCH("AYD-002",tblKurallar[kural_id],0)),2),0))</f>
        <v/>
      </c>
      <c r="I444" s="31">
        <f>IF($A444="","",IFERROR($G444-$G444*INDEX(tblKurallar[deger_2025],MATCH("AYD-004",tblKurallar[kural_id],0)),0))</f>
        <v/>
      </c>
    </row>
    <row r="445">
      <c r="A445" s="30" t="n"/>
      <c r="B445" s="30" t="n"/>
      <c r="C445" s="30" t="n"/>
      <c r="D445" s="30" t="n"/>
      <c r="E445" s="30" t="n"/>
      <c r="F445" s="30" t="n"/>
      <c r="G445" s="31">
        <f>IF($A445="","",IFERROR(ROUND(MAX(0,$B445*($D445-1)),2),0))</f>
        <v/>
      </c>
      <c r="H445" s="31">
        <f>IF($A445="","",IFERROR(ROUND($G445*INDEX(tblKurallar[deger_2025],MATCH("AYD-002",tblKurallar[kural_id],0)),2),0))</f>
        <v/>
      </c>
      <c r="I445" s="31">
        <f>IF($A445="","",IFERROR($G445-$G445*INDEX(tblKurallar[deger_2025],MATCH("AYD-004",tblKurallar[kural_id],0)),0))</f>
        <v/>
      </c>
    </row>
    <row r="446">
      <c r="A446" s="30" t="n"/>
      <c r="B446" s="30" t="n"/>
      <c r="C446" s="30" t="n"/>
      <c r="D446" s="30" t="n"/>
      <c r="E446" s="30" t="n"/>
      <c r="F446" s="30" t="n"/>
      <c r="G446" s="31">
        <f>IF($A446="","",IFERROR(ROUND(MAX(0,$B446*($D446-1)),2),0))</f>
        <v/>
      </c>
      <c r="H446" s="31">
        <f>IF($A446="","",IFERROR(ROUND($G446*INDEX(tblKurallar[deger_2025],MATCH("AYD-002",tblKurallar[kural_id],0)),2),0))</f>
        <v/>
      </c>
      <c r="I446" s="31">
        <f>IF($A446="","",IFERROR($G446-$G446*INDEX(tblKurallar[deger_2025],MATCH("AYD-004",tblKurallar[kural_id],0)),0))</f>
        <v/>
      </c>
    </row>
    <row r="447">
      <c r="A447" s="30" t="n"/>
      <c r="B447" s="30" t="n"/>
      <c r="C447" s="30" t="n"/>
      <c r="D447" s="30" t="n"/>
      <c r="E447" s="30" t="n"/>
      <c r="F447" s="30" t="n"/>
      <c r="G447" s="31">
        <f>IF($A447="","",IFERROR(ROUND(MAX(0,$B447*($D447-1)),2),0))</f>
        <v/>
      </c>
      <c r="H447" s="31">
        <f>IF($A447="","",IFERROR(ROUND($G447*INDEX(tblKurallar[deger_2025],MATCH("AYD-002",tblKurallar[kural_id],0)),2),0))</f>
        <v/>
      </c>
      <c r="I447" s="31">
        <f>IF($A447="","",IFERROR($G447-$G447*INDEX(tblKurallar[deger_2025],MATCH("AYD-004",tblKurallar[kural_id],0)),0))</f>
        <v/>
      </c>
    </row>
    <row r="448">
      <c r="A448" s="30" t="n"/>
      <c r="B448" s="30" t="n"/>
      <c r="C448" s="30" t="n"/>
      <c r="D448" s="30" t="n"/>
      <c r="E448" s="30" t="n"/>
      <c r="F448" s="30" t="n"/>
      <c r="G448" s="31">
        <f>IF($A448="","",IFERROR(ROUND(MAX(0,$B448*($D448-1)),2),0))</f>
        <v/>
      </c>
      <c r="H448" s="31">
        <f>IF($A448="","",IFERROR(ROUND($G448*INDEX(tblKurallar[deger_2025],MATCH("AYD-002",tblKurallar[kural_id],0)),2),0))</f>
        <v/>
      </c>
      <c r="I448" s="31">
        <f>IF($A448="","",IFERROR($G448-$G448*INDEX(tblKurallar[deger_2025],MATCH("AYD-004",tblKurallar[kural_id],0)),0))</f>
        <v/>
      </c>
    </row>
    <row r="449">
      <c r="A449" s="30" t="n"/>
      <c r="B449" s="30" t="n"/>
      <c r="C449" s="30" t="n"/>
      <c r="D449" s="30" t="n"/>
      <c r="E449" s="30" t="n"/>
      <c r="F449" s="30" t="n"/>
      <c r="G449" s="31">
        <f>IF($A449="","",IFERROR(ROUND(MAX(0,$B449*($D449-1)),2),0))</f>
        <v/>
      </c>
      <c r="H449" s="31">
        <f>IF($A449="","",IFERROR(ROUND($G449*INDEX(tblKurallar[deger_2025],MATCH("AYD-002",tblKurallar[kural_id],0)),2),0))</f>
        <v/>
      </c>
      <c r="I449" s="31">
        <f>IF($A449="","",IFERROR($G449-$G449*INDEX(tblKurallar[deger_2025],MATCH("AYD-004",tblKurallar[kural_id],0)),0))</f>
        <v/>
      </c>
    </row>
    <row r="450">
      <c r="A450" s="30" t="n"/>
      <c r="B450" s="30" t="n"/>
      <c r="C450" s="30" t="n"/>
      <c r="D450" s="30" t="n"/>
      <c r="E450" s="30" t="n"/>
      <c r="F450" s="30" t="n"/>
      <c r="G450" s="31">
        <f>IF($A450="","",IFERROR(ROUND(MAX(0,$B450*($D450-1)),2),0))</f>
        <v/>
      </c>
      <c r="H450" s="31">
        <f>IF($A450="","",IFERROR(ROUND($G450*INDEX(tblKurallar[deger_2025],MATCH("AYD-002",tblKurallar[kural_id],0)),2),0))</f>
        <v/>
      </c>
      <c r="I450" s="31">
        <f>IF($A450="","",IFERROR($G450-$G450*INDEX(tblKurallar[deger_2025],MATCH("AYD-004",tblKurallar[kural_id],0)),0))</f>
        <v/>
      </c>
    </row>
    <row r="451">
      <c r="A451" s="30" t="n"/>
      <c r="B451" s="30" t="n"/>
      <c r="C451" s="30" t="n"/>
      <c r="D451" s="30" t="n"/>
      <c r="E451" s="30" t="n"/>
      <c r="F451" s="30" t="n"/>
      <c r="G451" s="31">
        <f>IF($A451="","",IFERROR(ROUND(MAX(0,$B451*($D451-1)),2),0))</f>
        <v/>
      </c>
      <c r="H451" s="31">
        <f>IF($A451="","",IFERROR(ROUND($G451*INDEX(tblKurallar[deger_2025],MATCH("AYD-002",tblKurallar[kural_id],0)),2),0))</f>
        <v/>
      </c>
      <c r="I451" s="31">
        <f>IF($A451="","",IFERROR($G451-$G451*INDEX(tblKurallar[deger_2025],MATCH("AYD-004",tblKurallar[kural_id],0)),0))</f>
        <v/>
      </c>
    </row>
    <row r="452">
      <c r="A452" s="30" t="n"/>
      <c r="B452" s="30" t="n"/>
      <c r="C452" s="30" t="n"/>
      <c r="D452" s="30" t="n"/>
      <c r="E452" s="30" t="n"/>
      <c r="F452" s="30" t="n"/>
      <c r="G452" s="31">
        <f>IF($A452="","",IFERROR(ROUND(MAX(0,$B452*($D452-1)),2),0))</f>
        <v/>
      </c>
      <c r="H452" s="31">
        <f>IF($A452="","",IFERROR(ROUND($G452*INDEX(tblKurallar[deger_2025],MATCH("AYD-002",tblKurallar[kural_id],0)),2),0))</f>
        <v/>
      </c>
      <c r="I452" s="31">
        <f>IF($A452="","",IFERROR($G452-$G452*INDEX(tblKurallar[deger_2025],MATCH("AYD-004",tblKurallar[kural_id],0)),0))</f>
        <v/>
      </c>
    </row>
    <row r="453">
      <c r="A453" s="30" t="n"/>
      <c r="B453" s="30" t="n"/>
      <c r="C453" s="30" t="n"/>
      <c r="D453" s="30" t="n"/>
      <c r="E453" s="30" t="n"/>
      <c r="F453" s="30" t="n"/>
      <c r="G453" s="31">
        <f>IF($A453="","",IFERROR(ROUND(MAX(0,$B453*($D453-1)),2),0))</f>
        <v/>
      </c>
      <c r="H453" s="31">
        <f>IF($A453="","",IFERROR(ROUND($G453*INDEX(tblKurallar[deger_2025],MATCH("AYD-002",tblKurallar[kural_id],0)),2),0))</f>
        <v/>
      </c>
      <c r="I453" s="31">
        <f>IF($A453="","",IFERROR($G453-$G453*INDEX(tblKurallar[deger_2025],MATCH("AYD-004",tblKurallar[kural_id],0)),0))</f>
        <v/>
      </c>
    </row>
    <row r="454">
      <c r="A454" s="30" t="n"/>
      <c r="B454" s="30" t="n"/>
      <c r="C454" s="30" t="n"/>
      <c r="D454" s="30" t="n"/>
      <c r="E454" s="30" t="n"/>
      <c r="F454" s="30" t="n"/>
      <c r="G454" s="31">
        <f>IF($A454="","",IFERROR(ROUND(MAX(0,$B454*($D454-1)),2),0))</f>
        <v/>
      </c>
      <c r="H454" s="31">
        <f>IF($A454="","",IFERROR(ROUND($G454*INDEX(tblKurallar[deger_2025],MATCH("AYD-002",tblKurallar[kural_id],0)),2),0))</f>
        <v/>
      </c>
      <c r="I454" s="31">
        <f>IF($A454="","",IFERROR($G454-$G454*INDEX(tblKurallar[deger_2025],MATCH("AYD-004",tblKurallar[kural_id],0)),0))</f>
        <v/>
      </c>
    </row>
    <row r="455">
      <c r="A455" s="30" t="n"/>
      <c r="B455" s="30" t="n"/>
      <c r="C455" s="30" t="n"/>
      <c r="D455" s="30" t="n"/>
      <c r="E455" s="30" t="n"/>
      <c r="F455" s="30" t="n"/>
      <c r="G455" s="31">
        <f>IF($A455="","",IFERROR(ROUND(MAX(0,$B455*($D455-1)),2),0))</f>
        <v/>
      </c>
      <c r="H455" s="31">
        <f>IF($A455="","",IFERROR(ROUND($G455*INDEX(tblKurallar[deger_2025],MATCH("AYD-002",tblKurallar[kural_id],0)),2),0))</f>
        <v/>
      </c>
      <c r="I455" s="31">
        <f>IF($A455="","",IFERROR($G455-$G455*INDEX(tblKurallar[deger_2025],MATCH("AYD-004",tblKurallar[kural_id],0)),0))</f>
        <v/>
      </c>
    </row>
    <row r="456">
      <c r="A456" s="30" t="n"/>
      <c r="B456" s="30" t="n"/>
      <c r="C456" s="30" t="n"/>
      <c r="D456" s="30" t="n"/>
      <c r="E456" s="30" t="n"/>
      <c r="F456" s="30" t="n"/>
      <c r="G456" s="31">
        <f>IF($A456="","",IFERROR(ROUND(MAX(0,$B456*($D456-1)),2),0))</f>
        <v/>
      </c>
      <c r="H456" s="31">
        <f>IF($A456="","",IFERROR(ROUND($G456*INDEX(tblKurallar[deger_2025],MATCH("AYD-002",tblKurallar[kural_id],0)),2),0))</f>
        <v/>
      </c>
      <c r="I456" s="31">
        <f>IF($A456="","",IFERROR($G456-$G456*INDEX(tblKurallar[deger_2025],MATCH("AYD-004",tblKurallar[kural_id],0)),0))</f>
        <v/>
      </c>
    </row>
    <row r="457">
      <c r="A457" s="30" t="n"/>
      <c r="B457" s="30" t="n"/>
      <c r="C457" s="30" t="n"/>
      <c r="D457" s="30" t="n"/>
      <c r="E457" s="30" t="n"/>
      <c r="F457" s="30" t="n"/>
      <c r="G457" s="31">
        <f>IF($A457="","",IFERROR(ROUND(MAX(0,$B457*($D457-1)),2),0))</f>
        <v/>
      </c>
      <c r="H457" s="31">
        <f>IF($A457="","",IFERROR(ROUND($G457*INDEX(tblKurallar[deger_2025],MATCH("AYD-002",tblKurallar[kural_id],0)),2),0))</f>
        <v/>
      </c>
      <c r="I457" s="31">
        <f>IF($A457="","",IFERROR($G457-$G457*INDEX(tblKurallar[deger_2025],MATCH("AYD-004",tblKurallar[kural_id],0)),0))</f>
        <v/>
      </c>
    </row>
    <row r="458">
      <c r="A458" s="30" t="n"/>
      <c r="B458" s="30" t="n"/>
      <c r="C458" s="30" t="n"/>
      <c r="D458" s="30" t="n"/>
      <c r="E458" s="30" t="n"/>
      <c r="F458" s="30" t="n"/>
      <c r="G458" s="31">
        <f>IF($A458="","",IFERROR(ROUND(MAX(0,$B458*($D458-1)),2),0))</f>
        <v/>
      </c>
      <c r="H458" s="31">
        <f>IF($A458="","",IFERROR(ROUND($G458*INDEX(tblKurallar[deger_2025],MATCH("AYD-002",tblKurallar[kural_id],0)),2),0))</f>
        <v/>
      </c>
      <c r="I458" s="31">
        <f>IF($A458="","",IFERROR($G458-$G458*INDEX(tblKurallar[deger_2025],MATCH("AYD-004",tblKurallar[kural_id],0)),0))</f>
        <v/>
      </c>
    </row>
    <row r="459">
      <c r="A459" s="30" t="n"/>
      <c r="B459" s="30" t="n"/>
      <c r="C459" s="30" t="n"/>
      <c r="D459" s="30" t="n"/>
      <c r="E459" s="30" t="n"/>
      <c r="F459" s="30" t="n"/>
      <c r="G459" s="31">
        <f>IF($A459="","",IFERROR(ROUND(MAX(0,$B459*($D459-1)),2),0))</f>
        <v/>
      </c>
      <c r="H459" s="31">
        <f>IF($A459="","",IFERROR(ROUND($G459*INDEX(tblKurallar[deger_2025],MATCH("AYD-002",tblKurallar[kural_id],0)),2),0))</f>
        <v/>
      </c>
      <c r="I459" s="31">
        <f>IF($A459="","",IFERROR($G459-$G459*INDEX(tblKurallar[deger_2025],MATCH("AYD-004",tblKurallar[kural_id],0)),0))</f>
        <v/>
      </c>
    </row>
    <row r="460">
      <c r="A460" s="30" t="n"/>
      <c r="B460" s="30" t="n"/>
      <c r="C460" s="30" t="n"/>
      <c r="D460" s="30" t="n"/>
      <c r="E460" s="30" t="n"/>
      <c r="F460" s="30" t="n"/>
      <c r="G460" s="31">
        <f>IF($A460="","",IFERROR(ROUND(MAX(0,$B460*($D460-1)),2),0))</f>
        <v/>
      </c>
      <c r="H460" s="31">
        <f>IF($A460="","",IFERROR(ROUND($G460*INDEX(tblKurallar[deger_2025],MATCH("AYD-002",tblKurallar[kural_id],0)),2),0))</f>
        <v/>
      </c>
      <c r="I460" s="31">
        <f>IF($A460="","",IFERROR($G460-$G460*INDEX(tblKurallar[deger_2025],MATCH("AYD-004",tblKurallar[kural_id],0)),0))</f>
        <v/>
      </c>
    </row>
    <row r="461">
      <c r="A461" s="30" t="n"/>
      <c r="B461" s="30" t="n"/>
      <c r="C461" s="30" t="n"/>
      <c r="D461" s="30" t="n"/>
      <c r="E461" s="30" t="n"/>
      <c r="F461" s="30" t="n"/>
      <c r="G461" s="31">
        <f>IF($A461="","",IFERROR(ROUND(MAX(0,$B461*($D461-1)),2),0))</f>
        <v/>
      </c>
      <c r="H461" s="31">
        <f>IF($A461="","",IFERROR(ROUND($G461*INDEX(tblKurallar[deger_2025],MATCH("AYD-002",tblKurallar[kural_id],0)),2),0))</f>
        <v/>
      </c>
      <c r="I461" s="31">
        <f>IF($A461="","",IFERROR($G461-$G461*INDEX(tblKurallar[deger_2025],MATCH("AYD-004",tblKurallar[kural_id],0)),0))</f>
        <v/>
      </c>
    </row>
    <row r="462">
      <c r="A462" s="30" t="n"/>
      <c r="B462" s="30" t="n"/>
      <c r="C462" s="30" t="n"/>
      <c r="D462" s="30" t="n"/>
      <c r="E462" s="30" t="n"/>
      <c r="F462" s="30" t="n"/>
      <c r="G462" s="31">
        <f>IF($A462="","",IFERROR(ROUND(MAX(0,$B462*($D462-1)),2),0))</f>
        <v/>
      </c>
      <c r="H462" s="31">
        <f>IF($A462="","",IFERROR(ROUND($G462*INDEX(tblKurallar[deger_2025],MATCH("AYD-002",tblKurallar[kural_id],0)),2),0))</f>
        <v/>
      </c>
      <c r="I462" s="31">
        <f>IF($A462="","",IFERROR($G462-$G462*INDEX(tblKurallar[deger_2025],MATCH("AYD-004",tblKurallar[kural_id],0)),0))</f>
        <v/>
      </c>
    </row>
    <row r="463">
      <c r="A463" s="30" t="n"/>
      <c r="B463" s="30" t="n"/>
      <c r="C463" s="30" t="n"/>
      <c r="D463" s="30" t="n"/>
      <c r="E463" s="30" t="n"/>
      <c r="F463" s="30" t="n"/>
      <c r="G463" s="31">
        <f>IF($A463="","",IFERROR(ROUND(MAX(0,$B463*($D463-1)),2),0))</f>
        <v/>
      </c>
      <c r="H463" s="31">
        <f>IF($A463="","",IFERROR(ROUND($G463*INDEX(tblKurallar[deger_2025],MATCH("AYD-002",tblKurallar[kural_id],0)),2),0))</f>
        <v/>
      </c>
      <c r="I463" s="31">
        <f>IF($A463="","",IFERROR($G463-$G463*INDEX(tblKurallar[deger_2025],MATCH("AYD-004",tblKurallar[kural_id],0)),0))</f>
        <v/>
      </c>
    </row>
    <row r="464">
      <c r="A464" s="30" t="n"/>
      <c r="B464" s="30" t="n"/>
      <c r="C464" s="30" t="n"/>
      <c r="D464" s="30" t="n"/>
      <c r="E464" s="30" t="n"/>
      <c r="F464" s="30" t="n"/>
      <c r="G464" s="31">
        <f>IF($A464="","",IFERROR(ROUND(MAX(0,$B464*($D464-1)),2),0))</f>
        <v/>
      </c>
      <c r="H464" s="31">
        <f>IF($A464="","",IFERROR(ROUND($G464*INDEX(tblKurallar[deger_2025],MATCH("AYD-002",tblKurallar[kural_id],0)),2),0))</f>
        <v/>
      </c>
      <c r="I464" s="31">
        <f>IF($A464="","",IFERROR($G464-$G464*INDEX(tblKurallar[deger_2025],MATCH("AYD-004",tblKurallar[kural_id],0)),0))</f>
        <v/>
      </c>
    </row>
    <row r="465">
      <c r="A465" s="30" t="n"/>
      <c r="B465" s="30" t="n"/>
      <c r="C465" s="30" t="n"/>
      <c r="D465" s="30" t="n"/>
      <c r="E465" s="30" t="n"/>
      <c r="F465" s="30" t="n"/>
      <c r="G465" s="31">
        <f>IF($A465="","",IFERROR(ROUND(MAX(0,$B465*($D465-1)),2),0))</f>
        <v/>
      </c>
      <c r="H465" s="31">
        <f>IF($A465="","",IFERROR(ROUND($G465*INDEX(tblKurallar[deger_2025],MATCH("AYD-002",tblKurallar[kural_id],0)),2),0))</f>
        <v/>
      </c>
      <c r="I465" s="31">
        <f>IF($A465="","",IFERROR($G465-$G465*INDEX(tblKurallar[deger_2025],MATCH("AYD-004",tblKurallar[kural_id],0)),0))</f>
        <v/>
      </c>
    </row>
    <row r="466">
      <c r="A466" s="30" t="n"/>
      <c r="B466" s="30" t="n"/>
      <c r="C466" s="30" t="n"/>
      <c r="D466" s="30" t="n"/>
      <c r="E466" s="30" t="n"/>
      <c r="F466" s="30" t="n"/>
      <c r="G466" s="31">
        <f>IF($A466="","",IFERROR(ROUND(MAX(0,$B466*($D466-1)),2),0))</f>
        <v/>
      </c>
      <c r="H466" s="31">
        <f>IF($A466="","",IFERROR(ROUND($G466*INDEX(tblKurallar[deger_2025],MATCH("AYD-002",tblKurallar[kural_id],0)),2),0))</f>
        <v/>
      </c>
      <c r="I466" s="31">
        <f>IF($A466="","",IFERROR($G466-$G466*INDEX(tblKurallar[deger_2025],MATCH("AYD-004",tblKurallar[kural_id],0)),0))</f>
        <v/>
      </c>
    </row>
    <row r="467">
      <c r="A467" s="30" t="n"/>
      <c r="B467" s="30" t="n"/>
      <c r="C467" s="30" t="n"/>
      <c r="D467" s="30" t="n"/>
      <c r="E467" s="30" t="n"/>
      <c r="F467" s="30" t="n"/>
      <c r="G467" s="31">
        <f>IF($A467="","",IFERROR(ROUND(MAX(0,$B467*($D467-1)),2),0))</f>
        <v/>
      </c>
      <c r="H467" s="31">
        <f>IF($A467="","",IFERROR(ROUND($G467*INDEX(tblKurallar[deger_2025],MATCH("AYD-002",tblKurallar[kural_id],0)),2),0))</f>
        <v/>
      </c>
      <c r="I467" s="31">
        <f>IF($A467="","",IFERROR($G467-$G467*INDEX(tblKurallar[deger_2025],MATCH("AYD-004",tblKurallar[kural_id],0)),0))</f>
        <v/>
      </c>
    </row>
    <row r="468">
      <c r="A468" s="30" t="n"/>
      <c r="B468" s="30" t="n"/>
      <c r="C468" s="30" t="n"/>
      <c r="D468" s="30" t="n"/>
      <c r="E468" s="30" t="n"/>
      <c r="F468" s="30" t="n"/>
      <c r="G468" s="31">
        <f>IF($A468="","",IFERROR(ROUND(MAX(0,$B468*($D468-1)),2),0))</f>
        <v/>
      </c>
      <c r="H468" s="31">
        <f>IF($A468="","",IFERROR(ROUND($G468*INDEX(tblKurallar[deger_2025],MATCH("AYD-002",tblKurallar[kural_id],0)),2),0))</f>
        <v/>
      </c>
      <c r="I468" s="31">
        <f>IF($A468="","",IFERROR($G468-$G468*INDEX(tblKurallar[deger_2025],MATCH("AYD-004",tblKurallar[kural_id],0)),0))</f>
        <v/>
      </c>
    </row>
    <row r="469">
      <c r="A469" s="30" t="n"/>
      <c r="B469" s="30" t="n"/>
      <c r="C469" s="30" t="n"/>
      <c r="D469" s="30" t="n"/>
      <c r="E469" s="30" t="n"/>
      <c r="F469" s="30" t="n"/>
      <c r="G469" s="31">
        <f>IF($A469="","",IFERROR(ROUND(MAX(0,$B469*($D469-1)),2),0))</f>
        <v/>
      </c>
      <c r="H469" s="31">
        <f>IF($A469="","",IFERROR(ROUND($G469*INDEX(tblKurallar[deger_2025],MATCH("AYD-002",tblKurallar[kural_id],0)),2),0))</f>
        <v/>
      </c>
      <c r="I469" s="31">
        <f>IF($A469="","",IFERROR($G469-$G469*INDEX(tblKurallar[deger_2025],MATCH("AYD-004",tblKurallar[kural_id],0)),0))</f>
        <v/>
      </c>
    </row>
    <row r="470">
      <c r="A470" s="30" t="n"/>
      <c r="B470" s="30" t="n"/>
      <c r="C470" s="30" t="n"/>
      <c r="D470" s="30" t="n"/>
      <c r="E470" s="30" t="n"/>
      <c r="F470" s="30" t="n"/>
      <c r="G470" s="31">
        <f>IF($A470="","",IFERROR(ROUND(MAX(0,$B470*($D470-1)),2),0))</f>
        <v/>
      </c>
      <c r="H470" s="31">
        <f>IF($A470="","",IFERROR(ROUND($G470*INDEX(tblKurallar[deger_2025],MATCH("AYD-002",tblKurallar[kural_id],0)),2),0))</f>
        <v/>
      </c>
      <c r="I470" s="31">
        <f>IF($A470="","",IFERROR($G470-$G470*INDEX(tblKurallar[deger_2025],MATCH("AYD-004",tblKurallar[kural_id],0)),0))</f>
        <v/>
      </c>
    </row>
    <row r="471">
      <c r="A471" s="30" t="n"/>
      <c r="B471" s="30" t="n"/>
      <c r="C471" s="30" t="n"/>
      <c r="D471" s="30" t="n"/>
      <c r="E471" s="30" t="n"/>
      <c r="F471" s="30" t="n"/>
      <c r="G471" s="31">
        <f>IF($A471="","",IFERROR(ROUND(MAX(0,$B471*($D471-1)),2),0))</f>
        <v/>
      </c>
      <c r="H471" s="31">
        <f>IF($A471="","",IFERROR(ROUND($G471*INDEX(tblKurallar[deger_2025],MATCH("AYD-002",tblKurallar[kural_id],0)),2),0))</f>
        <v/>
      </c>
      <c r="I471" s="31">
        <f>IF($A471="","",IFERROR($G471-$G471*INDEX(tblKurallar[deger_2025],MATCH("AYD-004",tblKurallar[kural_id],0)),0))</f>
        <v/>
      </c>
    </row>
    <row r="472">
      <c r="A472" s="30" t="n"/>
      <c r="B472" s="30" t="n"/>
      <c r="C472" s="30" t="n"/>
      <c r="D472" s="30" t="n"/>
      <c r="E472" s="30" t="n"/>
      <c r="F472" s="30" t="n"/>
      <c r="G472" s="31">
        <f>IF($A472="","",IFERROR(ROUND(MAX(0,$B472*($D472-1)),2),0))</f>
        <v/>
      </c>
      <c r="H472" s="31">
        <f>IF($A472="","",IFERROR(ROUND($G472*INDEX(tblKurallar[deger_2025],MATCH("AYD-002",tblKurallar[kural_id],0)),2),0))</f>
        <v/>
      </c>
      <c r="I472" s="31">
        <f>IF($A472="","",IFERROR($G472-$G472*INDEX(tblKurallar[deger_2025],MATCH("AYD-004",tblKurallar[kural_id],0)),0))</f>
        <v/>
      </c>
    </row>
    <row r="473">
      <c r="A473" s="30" t="n"/>
      <c r="B473" s="30" t="n"/>
      <c r="C473" s="30" t="n"/>
      <c r="D473" s="30" t="n"/>
      <c r="E473" s="30" t="n"/>
      <c r="F473" s="30" t="n"/>
      <c r="G473" s="31">
        <f>IF($A473="","",IFERROR(ROUND(MAX(0,$B473*($D473-1)),2),0))</f>
        <v/>
      </c>
      <c r="H473" s="31">
        <f>IF($A473="","",IFERROR(ROUND($G473*INDEX(tblKurallar[deger_2025],MATCH("AYD-002",tblKurallar[kural_id],0)),2),0))</f>
        <v/>
      </c>
      <c r="I473" s="31">
        <f>IF($A473="","",IFERROR($G473-$G473*INDEX(tblKurallar[deger_2025],MATCH("AYD-004",tblKurallar[kural_id],0)),0))</f>
        <v/>
      </c>
    </row>
    <row r="474">
      <c r="A474" s="30" t="n"/>
      <c r="B474" s="30" t="n"/>
      <c r="C474" s="30" t="n"/>
      <c r="D474" s="30" t="n"/>
      <c r="E474" s="30" t="n"/>
      <c r="F474" s="30" t="n"/>
      <c r="G474" s="31">
        <f>IF($A474="","",IFERROR(ROUND(MAX(0,$B474*($D474-1)),2),0))</f>
        <v/>
      </c>
      <c r="H474" s="31">
        <f>IF($A474="","",IFERROR(ROUND($G474*INDEX(tblKurallar[deger_2025],MATCH("AYD-002",tblKurallar[kural_id],0)),2),0))</f>
        <v/>
      </c>
      <c r="I474" s="31">
        <f>IF($A474="","",IFERROR($G474-$G474*INDEX(tblKurallar[deger_2025],MATCH("AYD-004",tblKurallar[kural_id],0)),0))</f>
        <v/>
      </c>
    </row>
    <row r="475">
      <c r="A475" s="30" t="n"/>
      <c r="B475" s="30" t="n"/>
      <c r="C475" s="30" t="n"/>
      <c r="D475" s="30" t="n"/>
      <c r="E475" s="30" t="n"/>
      <c r="F475" s="30" t="n"/>
      <c r="G475" s="31">
        <f>IF($A475="","",IFERROR(ROUND(MAX(0,$B475*($D475-1)),2),0))</f>
        <v/>
      </c>
      <c r="H475" s="31">
        <f>IF($A475="","",IFERROR(ROUND($G475*INDEX(tblKurallar[deger_2025],MATCH("AYD-002",tblKurallar[kural_id],0)),2),0))</f>
        <v/>
      </c>
      <c r="I475" s="31">
        <f>IF($A475="","",IFERROR($G475-$G475*INDEX(tblKurallar[deger_2025],MATCH("AYD-004",tblKurallar[kural_id],0)),0))</f>
        <v/>
      </c>
    </row>
    <row r="476">
      <c r="A476" s="30" t="n"/>
      <c r="B476" s="30" t="n"/>
      <c r="C476" s="30" t="n"/>
      <c r="D476" s="30" t="n"/>
      <c r="E476" s="30" t="n"/>
      <c r="F476" s="30" t="n"/>
      <c r="G476" s="31">
        <f>IF($A476="","",IFERROR(ROUND(MAX(0,$B476*($D476-1)),2),0))</f>
        <v/>
      </c>
      <c r="H476" s="31">
        <f>IF($A476="","",IFERROR(ROUND($G476*INDEX(tblKurallar[deger_2025],MATCH("AYD-002",tblKurallar[kural_id],0)),2),0))</f>
        <v/>
      </c>
      <c r="I476" s="31">
        <f>IF($A476="","",IFERROR($G476-$G476*INDEX(tblKurallar[deger_2025],MATCH("AYD-004",tblKurallar[kural_id],0)),0))</f>
        <v/>
      </c>
    </row>
    <row r="477">
      <c r="A477" s="30" t="n"/>
      <c r="B477" s="30" t="n"/>
      <c r="C477" s="30" t="n"/>
      <c r="D477" s="30" t="n"/>
      <c r="E477" s="30" t="n"/>
      <c r="F477" s="30" t="n"/>
      <c r="G477" s="31">
        <f>IF($A477="","",IFERROR(ROUND(MAX(0,$B477*($D477-1)),2),0))</f>
        <v/>
      </c>
      <c r="H477" s="31">
        <f>IF($A477="","",IFERROR(ROUND($G477*INDEX(tblKurallar[deger_2025],MATCH("AYD-002",tblKurallar[kural_id],0)),2),0))</f>
        <v/>
      </c>
      <c r="I477" s="31">
        <f>IF($A477="","",IFERROR($G477-$G477*INDEX(tblKurallar[deger_2025],MATCH("AYD-004",tblKurallar[kural_id],0)),0))</f>
        <v/>
      </c>
    </row>
    <row r="478">
      <c r="A478" s="30" t="n"/>
      <c r="B478" s="30" t="n"/>
      <c r="C478" s="30" t="n"/>
      <c r="D478" s="30" t="n"/>
      <c r="E478" s="30" t="n"/>
      <c r="F478" s="30" t="n"/>
      <c r="G478" s="31">
        <f>IF($A478="","",IFERROR(ROUND(MAX(0,$B478*($D478-1)),2),0))</f>
        <v/>
      </c>
      <c r="H478" s="31">
        <f>IF($A478="","",IFERROR(ROUND($G478*INDEX(tblKurallar[deger_2025],MATCH("AYD-002",tblKurallar[kural_id],0)),2),0))</f>
        <v/>
      </c>
      <c r="I478" s="31">
        <f>IF($A478="","",IFERROR($G478-$G478*INDEX(tblKurallar[deger_2025],MATCH("AYD-004",tblKurallar[kural_id],0)),0))</f>
        <v/>
      </c>
    </row>
    <row r="479">
      <c r="A479" s="30" t="n"/>
      <c r="B479" s="30" t="n"/>
      <c r="C479" s="30" t="n"/>
      <c r="D479" s="30" t="n"/>
      <c r="E479" s="30" t="n"/>
      <c r="F479" s="30" t="n"/>
      <c r="G479" s="31">
        <f>IF($A479="","",IFERROR(ROUND(MAX(0,$B479*($D479-1)),2),0))</f>
        <v/>
      </c>
      <c r="H479" s="31">
        <f>IF($A479="","",IFERROR(ROUND($G479*INDEX(tblKurallar[deger_2025],MATCH("AYD-002",tblKurallar[kural_id],0)),2),0))</f>
        <v/>
      </c>
      <c r="I479" s="31">
        <f>IF($A479="","",IFERROR($G479-$G479*INDEX(tblKurallar[deger_2025],MATCH("AYD-004",tblKurallar[kural_id],0)),0))</f>
        <v/>
      </c>
    </row>
    <row r="480">
      <c r="A480" s="30" t="n"/>
      <c r="B480" s="30" t="n"/>
      <c r="C480" s="30" t="n"/>
      <c r="D480" s="30" t="n"/>
      <c r="E480" s="30" t="n"/>
      <c r="F480" s="30" t="n"/>
      <c r="G480" s="31">
        <f>IF($A480="","",IFERROR(ROUND(MAX(0,$B480*($D480-1)),2),0))</f>
        <v/>
      </c>
      <c r="H480" s="31">
        <f>IF($A480="","",IFERROR(ROUND($G480*INDEX(tblKurallar[deger_2025],MATCH("AYD-002",tblKurallar[kural_id],0)),2),0))</f>
        <v/>
      </c>
      <c r="I480" s="31">
        <f>IF($A480="","",IFERROR($G480-$G480*INDEX(tblKurallar[deger_2025],MATCH("AYD-004",tblKurallar[kural_id],0)),0))</f>
        <v/>
      </c>
    </row>
    <row r="481">
      <c r="A481" s="30" t="n"/>
      <c r="B481" s="30" t="n"/>
      <c r="C481" s="30" t="n"/>
      <c r="D481" s="30" t="n"/>
      <c r="E481" s="30" t="n"/>
      <c r="F481" s="30" t="n"/>
      <c r="G481" s="31">
        <f>IF($A481="","",IFERROR(ROUND(MAX(0,$B481*($D481-1)),2),0))</f>
        <v/>
      </c>
      <c r="H481" s="31">
        <f>IF($A481="","",IFERROR(ROUND($G481*INDEX(tblKurallar[deger_2025],MATCH("AYD-002",tblKurallar[kural_id],0)),2),0))</f>
        <v/>
      </c>
      <c r="I481" s="31">
        <f>IF($A481="","",IFERROR($G481-$G481*INDEX(tblKurallar[deger_2025],MATCH("AYD-004",tblKurallar[kural_id],0)),0))</f>
        <v/>
      </c>
    </row>
    <row r="482">
      <c r="A482" s="30" t="n"/>
      <c r="B482" s="30" t="n"/>
      <c r="C482" s="30" t="n"/>
      <c r="D482" s="30" t="n"/>
      <c r="E482" s="30" t="n"/>
      <c r="F482" s="30" t="n"/>
      <c r="G482" s="31">
        <f>IF($A482="","",IFERROR(ROUND(MAX(0,$B482*($D482-1)),2),0))</f>
        <v/>
      </c>
      <c r="H482" s="31">
        <f>IF($A482="","",IFERROR(ROUND($G482*INDEX(tblKurallar[deger_2025],MATCH("AYD-002",tblKurallar[kural_id],0)),2),0))</f>
        <v/>
      </c>
      <c r="I482" s="31">
        <f>IF($A482="","",IFERROR($G482-$G482*INDEX(tblKurallar[deger_2025],MATCH("AYD-004",tblKurallar[kural_id],0)),0))</f>
        <v/>
      </c>
    </row>
    <row r="483">
      <c r="A483" s="30" t="n"/>
      <c r="B483" s="30" t="n"/>
      <c r="C483" s="30" t="n"/>
      <c r="D483" s="30" t="n"/>
      <c r="E483" s="30" t="n"/>
      <c r="F483" s="30" t="n"/>
      <c r="G483" s="31">
        <f>IF($A483="","",IFERROR(ROUND(MAX(0,$B483*($D483-1)),2),0))</f>
        <v/>
      </c>
      <c r="H483" s="31">
        <f>IF($A483="","",IFERROR(ROUND($G483*INDEX(tblKurallar[deger_2025],MATCH("AYD-002",tblKurallar[kural_id],0)),2),0))</f>
        <v/>
      </c>
      <c r="I483" s="31">
        <f>IF($A483="","",IFERROR($G483-$G483*INDEX(tblKurallar[deger_2025],MATCH("AYD-004",tblKurallar[kural_id],0)),0))</f>
        <v/>
      </c>
    </row>
    <row r="484">
      <c r="A484" s="30" t="n"/>
      <c r="B484" s="30" t="n"/>
      <c r="C484" s="30" t="n"/>
      <c r="D484" s="30" t="n"/>
      <c r="E484" s="30" t="n"/>
      <c r="F484" s="30" t="n"/>
      <c r="G484" s="31">
        <f>IF($A484="","",IFERROR(ROUND(MAX(0,$B484*($D484-1)),2),0))</f>
        <v/>
      </c>
      <c r="H484" s="31">
        <f>IF($A484="","",IFERROR(ROUND($G484*INDEX(tblKurallar[deger_2025],MATCH("AYD-002",tblKurallar[kural_id],0)),2),0))</f>
        <v/>
      </c>
      <c r="I484" s="31">
        <f>IF($A484="","",IFERROR($G484-$G484*INDEX(tblKurallar[deger_2025],MATCH("AYD-004",tblKurallar[kural_id],0)),0))</f>
        <v/>
      </c>
    </row>
    <row r="485">
      <c r="A485" s="30" t="n"/>
      <c r="B485" s="30" t="n"/>
      <c r="C485" s="30" t="n"/>
      <c r="D485" s="30" t="n"/>
      <c r="E485" s="30" t="n"/>
      <c r="F485" s="30" t="n"/>
      <c r="G485" s="31">
        <f>IF($A485="","",IFERROR(ROUND(MAX(0,$B485*($D485-1)),2),0))</f>
        <v/>
      </c>
      <c r="H485" s="31">
        <f>IF($A485="","",IFERROR(ROUND($G485*INDEX(tblKurallar[deger_2025],MATCH("AYD-002",tblKurallar[kural_id],0)),2),0))</f>
        <v/>
      </c>
      <c r="I485" s="31">
        <f>IF($A485="","",IFERROR($G485-$G485*INDEX(tblKurallar[deger_2025],MATCH("AYD-004",tblKurallar[kural_id],0)),0))</f>
        <v/>
      </c>
    </row>
    <row r="486">
      <c r="A486" s="30" t="n"/>
      <c r="B486" s="30" t="n"/>
      <c r="C486" s="30" t="n"/>
      <c r="D486" s="30" t="n"/>
      <c r="E486" s="30" t="n"/>
      <c r="F486" s="30" t="n"/>
      <c r="G486" s="31">
        <f>IF($A486="","",IFERROR(ROUND(MAX(0,$B486*($D486-1)),2),0))</f>
        <v/>
      </c>
      <c r="H486" s="31">
        <f>IF($A486="","",IFERROR(ROUND($G486*INDEX(tblKurallar[deger_2025],MATCH("AYD-002",tblKurallar[kural_id],0)),2),0))</f>
        <v/>
      </c>
      <c r="I486" s="31">
        <f>IF($A486="","",IFERROR($G486-$G486*INDEX(tblKurallar[deger_2025],MATCH("AYD-004",tblKurallar[kural_id],0)),0))</f>
        <v/>
      </c>
    </row>
    <row r="487">
      <c r="A487" s="30" t="n"/>
      <c r="B487" s="30" t="n"/>
      <c r="C487" s="30" t="n"/>
      <c r="D487" s="30" t="n"/>
      <c r="E487" s="30" t="n"/>
      <c r="F487" s="30" t="n"/>
      <c r="G487" s="31">
        <f>IF($A487="","",IFERROR(ROUND(MAX(0,$B487*($D487-1)),2),0))</f>
        <v/>
      </c>
      <c r="H487" s="31">
        <f>IF($A487="","",IFERROR(ROUND($G487*INDEX(tblKurallar[deger_2025],MATCH("AYD-002",tblKurallar[kural_id],0)),2),0))</f>
        <v/>
      </c>
      <c r="I487" s="31">
        <f>IF($A487="","",IFERROR($G487-$G487*INDEX(tblKurallar[deger_2025],MATCH("AYD-004",tblKurallar[kural_id],0)),0))</f>
        <v/>
      </c>
    </row>
    <row r="488">
      <c r="A488" s="30" t="n"/>
      <c r="B488" s="30" t="n"/>
      <c r="C488" s="30" t="n"/>
      <c r="D488" s="30" t="n"/>
      <c r="E488" s="30" t="n"/>
      <c r="F488" s="30" t="n"/>
      <c r="G488" s="31">
        <f>IF($A488="","",IFERROR(ROUND(MAX(0,$B488*($D488-1)),2),0))</f>
        <v/>
      </c>
      <c r="H488" s="31">
        <f>IF($A488="","",IFERROR(ROUND($G488*INDEX(tblKurallar[deger_2025],MATCH("AYD-002",tblKurallar[kural_id],0)),2),0))</f>
        <v/>
      </c>
      <c r="I488" s="31">
        <f>IF($A488="","",IFERROR($G488-$G488*INDEX(tblKurallar[deger_2025],MATCH("AYD-004",tblKurallar[kural_id],0)),0))</f>
        <v/>
      </c>
    </row>
    <row r="489">
      <c r="A489" s="30" t="n"/>
      <c r="B489" s="30" t="n"/>
      <c r="C489" s="30" t="n"/>
      <c r="D489" s="30" t="n"/>
      <c r="E489" s="30" t="n"/>
      <c r="F489" s="30" t="n"/>
      <c r="G489" s="31">
        <f>IF($A489="","",IFERROR(ROUND(MAX(0,$B489*($D489-1)),2),0))</f>
        <v/>
      </c>
      <c r="H489" s="31">
        <f>IF($A489="","",IFERROR(ROUND($G489*INDEX(tblKurallar[deger_2025],MATCH("AYD-002",tblKurallar[kural_id],0)),2),0))</f>
        <v/>
      </c>
      <c r="I489" s="31">
        <f>IF($A489="","",IFERROR($G489-$G489*INDEX(tblKurallar[deger_2025],MATCH("AYD-004",tblKurallar[kural_id],0)),0))</f>
        <v/>
      </c>
    </row>
    <row r="490">
      <c r="A490" s="30" t="n"/>
      <c r="B490" s="30" t="n"/>
      <c r="C490" s="30" t="n"/>
      <c r="D490" s="30" t="n"/>
      <c r="E490" s="30" t="n"/>
      <c r="F490" s="30" t="n"/>
      <c r="G490" s="31">
        <f>IF($A490="","",IFERROR(ROUND(MAX(0,$B490*($D490-1)),2),0))</f>
        <v/>
      </c>
      <c r="H490" s="31">
        <f>IF($A490="","",IFERROR(ROUND($G490*INDEX(tblKurallar[deger_2025],MATCH("AYD-002",tblKurallar[kural_id],0)),2),0))</f>
        <v/>
      </c>
      <c r="I490" s="31">
        <f>IF($A490="","",IFERROR($G490-$G490*INDEX(tblKurallar[deger_2025],MATCH("AYD-004",tblKurallar[kural_id],0)),0))</f>
        <v/>
      </c>
    </row>
    <row r="491">
      <c r="A491" s="30" t="n"/>
      <c r="B491" s="30" t="n"/>
      <c r="C491" s="30" t="n"/>
      <c r="D491" s="30" t="n"/>
      <c r="E491" s="30" t="n"/>
      <c r="F491" s="30" t="n"/>
      <c r="G491" s="31">
        <f>IF($A491="","",IFERROR(ROUND(MAX(0,$B491*($D491-1)),2),0))</f>
        <v/>
      </c>
      <c r="H491" s="31">
        <f>IF($A491="","",IFERROR(ROUND($G491*INDEX(tblKurallar[deger_2025],MATCH("AYD-002",tblKurallar[kural_id],0)),2),0))</f>
        <v/>
      </c>
      <c r="I491" s="31">
        <f>IF($A491="","",IFERROR($G491-$G491*INDEX(tblKurallar[deger_2025],MATCH("AYD-004",tblKurallar[kural_id],0)),0))</f>
        <v/>
      </c>
    </row>
    <row r="492">
      <c r="A492" s="30" t="n"/>
      <c r="B492" s="30" t="n"/>
      <c r="C492" s="30" t="n"/>
      <c r="D492" s="30" t="n"/>
      <c r="E492" s="30" t="n"/>
      <c r="F492" s="30" t="n"/>
      <c r="G492" s="31">
        <f>IF($A492="","",IFERROR(ROUND(MAX(0,$B492*($D492-1)),2),0))</f>
        <v/>
      </c>
      <c r="H492" s="31">
        <f>IF($A492="","",IFERROR(ROUND($G492*INDEX(tblKurallar[deger_2025],MATCH("AYD-002",tblKurallar[kural_id],0)),2),0))</f>
        <v/>
      </c>
      <c r="I492" s="31">
        <f>IF($A492="","",IFERROR($G492-$G492*INDEX(tblKurallar[deger_2025],MATCH("AYD-004",tblKurallar[kural_id],0)),0))</f>
        <v/>
      </c>
    </row>
    <row r="493">
      <c r="A493" s="30" t="n"/>
      <c r="B493" s="30" t="n"/>
      <c r="C493" s="30" t="n"/>
      <c r="D493" s="30" t="n"/>
      <c r="E493" s="30" t="n"/>
      <c r="F493" s="30" t="n"/>
      <c r="G493" s="31">
        <f>IF($A493="","",IFERROR(ROUND(MAX(0,$B493*($D493-1)),2),0))</f>
        <v/>
      </c>
      <c r="H493" s="31">
        <f>IF($A493="","",IFERROR(ROUND($G493*INDEX(tblKurallar[deger_2025],MATCH("AYD-002",tblKurallar[kural_id],0)),2),0))</f>
        <v/>
      </c>
      <c r="I493" s="31">
        <f>IF($A493="","",IFERROR($G493-$G493*INDEX(tblKurallar[deger_2025],MATCH("AYD-004",tblKurallar[kural_id],0)),0))</f>
        <v/>
      </c>
    </row>
    <row r="494">
      <c r="A494" s="30" t="n"/>
      <c r="B494" s="30" t="n"/>
      <c r="C494" s="30" t="n"/>
      <c r="D494" s="30" t="n"/>
      <c r="E494" s="30" t="n"/>
      <c r="F494" s="30" t="n"/>
      <c r="G494" s="31">
        <f>IF($A494="","",IFERROR(ROUND(MAX(0,$B494*($D494-1)),2),0))</f>
        <v/>
      </c>
      <c r="H494" s="31">
        <f>IF($A494="","",IFERROR(ROUND($G494*INDEX(tblKurallar[deger_2025],MATCH("AYD-002",tblKurallar[kural_id],0)),2),0))</f>
        <v/>
      </c>
      <c r="I494" s="31">
        <f>IF($A494="","",IFERROR($G494-$G494*INDEX(tblKurallar[deger_2025],MATCH("AYD-004",tblKurallar[kural_id],0)),0))</f>
        <v/>
      </c>
    </row>
    <row r="495">
      <c r="A495" s="30" t="n"/>
      <c r="B495" s="30" t="n"/>
      <c r="C495" s="30" t="n"/>
      <c r="D495" s="30" t="n"/>
      <c r="E495" s="30" t="n"/>
      <c r="F495" s="30" t="n"/>
      <c r="G495" s="31">
        <f>IF($A495="","",IFERROR(ROUND(MAX(0,$B495*($D495-1)),2),0))</f>
        <v/>
      </c>
      <c r="H495" s="31">
        <f>IF($A495="","",IFERROR(ROUND($G495*INDEX(tblKurallar[deger_2025],MATCH("AYD-002",tblKurallar[kural_id],0)),2),0))</f>
        <v/>
      </c>
      <c r="I495" s="31">
        <f>IF($A495="","",IFERROR($G495-$G495*INDEX(tblKurallar[deger_2025],MATCH("AYD-004",tblKurallar[kural_id],0)),0))</f>
        <v/>
      </c>
    </row>
    <row r="496">
      <c r="A496" s="30" t="n"/>
      <c r="B496" s="30" t="n"/>
      <c r="C496" s="30" t="n"/>
      <c r="D496" s="30" t="n"/>
      <c r="E496" s="30" t="n"/>
      <c r="F496" s="30" t="n"/>
      <c r="G496" s="31">
        <f>IF($A496="","",IFERROR(ROUND(MAX(0,$B496*($D496-1)),2),0))</f>
        <v/>
      </c>
      <c r="H496" s="31">
        <f>IF($A496="","",IFERROR(ROUND($G496*INDEX(tblKurallar[deger_2025],MATCH("AYD-002",tblKurallar[kural_id],0)),2),0))</f>
        <v/>
      </c>
      <c r="I496" s="31">
        <f>IF($A496="","",IFERROR($G496-$G496*INDEX(tblKurallar[deger_2025],MATCH("AYD-004",tblKurallar[kural_id],0)),0))</f>
        <v/>
      </c>
    </row>
    <row r="497">
      <c r="A497" s="30" t="n"/>
      <c r="B497" s="30" t="n"/>
      <c r="C497" s="30" t="n"/>
      <c r="D497" s="30" t="n"/>
      <c r="E497" s="30" t="n"/>
      <c r="F497" s="30" t="n"/>
      <c r="G497" s="31">
        <f>IF($A497="","",IFERROR(ROUND(MAX(0,$B497*($D497-1)),2),0))</f>
        <v/>
      </c>
      <c r="H497" s="31">
        <f>IF($A497="","",IFERROR(ROUND($G497*INDEX(tblKurallar[deger_2025],MATCH("AYD-002",tblKurallar[kural_id],0)),2),0))</f>
        <v/>
      </c>
      <c r="I497" s="31">
        <f>IF($A497="","",IFERROR($G497-$G497*INDEX(tblKurallar[deger_2025],MATCH("AYD-004",tblKurallar[kural_id],0)),0))</f>
        <v/>
      </c>
    </row>
    <row r="498">
      <c r="A498" s="30" t="n"/>
      <c r="B498" s="30" t="n"/>
      <c r="C498" s="30" t="n"/>
      <c r="D498" s="30" t="n"/>
      <c r="E498" s="30" t="n"/>
      <c r="F498" s="30" t="n"/>
      <c r="G498" s="31">
        <f>IF($A498="","",IFERROR(ROUND(MAX(0,$B498*($D498-1)),2),0))</f>
        <v/>
      </c>
      <c r="H498" s="31">
        <f>IF($A498="","",IFERROR(ROUND($G498*INDEX(tblKurallar[deger_2025],MATCH("AYD-002",tblKurallar[kural_id],0)),2),0))</f>
        <v/>
      </c>
      <c r="I498" s="31">
        <f>IF($A498="","",IFERROR($G498-$G498*INDEX(tblKurallar[deger_2025],MATCH("AYD-004",tblKurallar[kural_id],0)),0))</f>
        <v/>
      </c>
    </row>
    <row r="499">
      <c r="A499" s="30" t="n"/>
      <c r="B499" s="30" t="n"/>
      <c r="C499" s="30" t="n"/>
      <c r="D499" s="30" t="n"/>
      <c r="E499" s="30" t="n"/>
      <c r="F499" s="30" t="n"/>
      <c r="G499" s="31">
        <f>IF($A499="","",IFERROR(ROUND(MAX(0,$B499*($D499-1)),2),0))</f>
        <v/>
      </c>
      <c r="H499" s="31">
        <f>IF($A499="","",IFERROR(ROUND($G499*INDEX(tblKurallar[deger_2025],MATCH("AYD-002",tblKurallar[kural_id],0)),2),0))</f>
        <v/>
      </c>
      <c r="I499" s="31">
        <f>IF($A499="","",IFERROR($G499-$G499*INDEX(tblKurallar[deger_2025],MATCH("AYD-004",tblKurallar[kural_id],0)),0))</f>
        <v/>
      </c>
    </row>
    <row r="500">
      <c r="A500" s="30" t="n"/>
      <c r="B500" s="30" t="n"/>
      <c r="C500" s="30" t="n"/>
      <c r="D500" s="30" t="n"/>
      <c r="E500" s="30" t="n"/>
      <c r="F500" s="30" t="n"/>
      <c r="G500" s="31">
        <f>IF($A500="","",IFERROR(ROUND(MAX(0,$B500*($D500-1)),2),0))</f>
        <v/>
      </c>
      <c r="H500" s="31">
        <f>IF($A500="","",IFERROR(ROUND($G500*INDEX(tblKurallar[deger_2025],MATCH("AYD-002",tblKurallar[kural_id],0)),2),0))</f>
        <v/>
      </c>
      <c r="I500" s="31">
        <f>IF($A500="","",IFERROR($G500-$G500*INDEX(tblKurallar[deger_2025],MATCH("AYD-004",tblKurallar[kural_id],0)),0))</f>
        <v/>
      </c>
    </row>
    <row r="501">
      <c r="A501" s="30" t="n"/>
      <c r="B501" s="30" t="n"/>
      <c r="C501" s="30" t="n"/>
      <c r="D501" s="30" t="n"/>
      <c r="E501" s="30" t="n"/>
      <c r="F501" s="30" t="n"/>
      <c r="G501" s="31">
        <f>IF($A501="","",IFERROR(ROUND(MAX(0,$B501*($D501-1)),2),0))</f>
        <v/>
      </c>
      <c r="H501" s="31">
        <f>IF($A501="","",IFERROR(ROUND($G501*INDEX(tblKurallar[deger_2025],MATCH("AYD-002",tblKurallar[kural_id],0)),2),0))</f>
        <v/>
      </c>
      <c r="I501" s="31">
        <f>IF($A501="","",IFERROR($G501-$G501*INDEX(tblKurallar[deger_2025],MATCH("AYD-004",tblKurallar[kural_id],0)),0))</f>
        <v/>
      </c>
    </row>
    <row r="502">
      <c r="A502" s="30" t="n"/>
      <c r="B502" s="30" t="n"/>
      <c r="C502" s="30" t="n"/>
      <c r="D502" s="30" t="n"/>
      <c r="E502" s="30" t="n"/>
      <c r="F502" s="30" t="n"/>
      <c r="G502" s="31">
        <f>IF($A502="","",IFERROR(ROUND(MAX(0,$B502*($D502-1)),2),0))</f>
        <v/>
      </c>
      <c r="H502" s="31">
        <f>IF($A502="","",IFERROR(ROUND($G502*INDEX(tblKurallar[deger_2025],MATCH("AYD-002",tblKurallar[kural_id],0)),2),0))</f>
        <v/>
      </c>
      <c r="I502" s="31">
        <f>IF($A502="","",IFERROR($G502-$G502*INDEX(tblKurallar[deger_2025],MATCH("AYD-004",tblKurallar[kural_id],0)),0))</f>
        <v/>
      </c>
    </row>
    <row r="503">
      <c r="A503" s="30" t="n"/>
      <c r="B503" s="30" t="n"/>
      <c r="C503" s="30" t="n"/>
      <c r="D503" s="30" t="n"/>
      <c r="E503" s="30" t="n"/>
      <c r="F503" s="30" t="n"/>
      <c r="G503" s="31">
        <f>IF($A503="","",IFERROR(ROUND(MAX(0,$B503*($D503-1)),2),0))</f>
        <v/>
      </c>
      <c r="H503" s="31">
        <f>IF($A503="","",IFERROR(ROUND($G503*INDEX(tblKurallar[deger_2025],MATCH("AYD-002",tblKurallar[kural_id],0)),2),0))</f>
        <v/>
      </c>
      <c r="I503" s="31">
        <f>IF($A503="","",IFERROR($G503-$G503*INDEX(tblKurallar[deger_2025],MATCH("AYD-004",tblKurallar[kural_id],0)),0))</f>
        <v/>
      </c>
    </row>
    <row r="504">
      <c r="A504" s="30" t="n"/>
      <c r="B504" s="30" t="n"/>
      <c r="C504" s="30" t="n"/>
      <c r="D504" s="30" t="n"/>
      <c r="E504" s="30" t="n"/>
      <c r="F504" s="30" t="n"/>
      <c r="G504" s="31">
        <f>IF($A504="","",IFERROR(ROUND(MAX(0,$B504*($D504-1)),2),0))</f>
        <v/>
      </c>
      <c r="H504" s="31">
        <f>IF($A504="","",IFERROR(ROUND($G504*INDEX(tblKurallar[deger_2025],MATCH("AYD-002",tblKurallar[kural_id],0)),2),0))</f>
        <v/>
      </c>
      <c r="I504" s="31">
        <f>IF($A504="","",IFERROR($G504-$G504*INDEX(tblKurallar[deger_2025],MATCH("AYD-004",tblKurallar[kural_id],0)),0))</f>
        <v/>
      </c>
    </row>
    <row r="505">
      <c r="A505" s="30" t="n"/>
      <c r="B505" s="30" t="n"/>
      <c r="C505" s="30" t="n"/>
      <c r="D505" s="30" t="n"/>
      <c r="E505" s="30" t="n"/>
      <c r="F505" s="30" t="n"/>
      <c r="G505" s="31">
        <f>IF($A505="","",IFERROR(ROUND(MAX(0,$B505*($D505-1)),2),0))</f>
        <v/>
      </c>
      <c r="H505" s="31">
        <f>IF($A505="","",IFERROR(ROUND($G505*INDEX(tblKurallar[deger_2025],MATCH("AYD-002",tblKurallar[kural_id],0)),2),0))</f>
        <v/>
      </c>
      <c r="I505" s="31">
        <f>IF($A505="","",IFERROR($G505-$G505*INDEX(tblKurallar[deger_2025],MATCH("AYD-004",tblKurallar[kural_id],0)),0))</f>
        <v/>
      </c>
    </row>
    <row r="506">
      <c r="A506" s="30" t="n"/>
      <c r="B506" s="30" t="n"/>
      <c r="C506" s="30" t="n"/>
      <c r="D506" s="30" t="n"/>
      <c r="E506" s="30" t="n"/>
      <c r="F506" s="30" t="n"/>
      <c r="G506" s="31">
        <f>IF($A506="","",IFERROR(ROUND(MAX(0,$B506*($D506-1)),2),0))</f>
        <v/>
      </c>
      <c r="H506" s="31">
        <f>IF($A506="","",IFERROR(ROUND($G506*INDEX(tblKurallar[deger_2025],MATCH("AYD-002",tblKurallar[kural_id],0)),2),0))</f>
        <v/>
      </c>
      <c r="I506" s="31">
        <f>IF($A506="","",IFERROR($G506-$G506*INDEX(tblKurallar[deger_2025],MATCH("AYD-004",tblKurallar[kural_id],0)),0))</f>
        <v/>
      </c>
    </row>
    <row r="507">
      <c r="A507" s="30" t="n"/>
      <c r="B507" s="30" t="n"/>
      <c r="C507" s="30" t="n"/>
      <c r="D507" s="30" t="n"/>
      <c r="E507" s="30" t="n"/>
      <c r="F507" s="30" t="n"/>
      <c r="G507" s="31">
        <f>IF($A507="","",IFERROR(ROUND(MAX(0,$B507*($D507-1)),2),0))</f>
        <v/>
      </c>
      <c r="H507" s="31">
        <f>IF($A507="","",IFERROR(ROUND($G507*INDEX(tblKurallar[deger_2025],MATCH("AYD-002",tblKurallar[kural_id],0)),2),0))</f>
        <v/>
      </c>
      <c r="I507" s="31">
        <f>IF($A507="","",IFERROR($G507-$G507*INDEX(tblKurallar[deger_2025],MATCH("AYD-004",tblKurallar[kural_id],0)),0))</f>
        <v/>
      </c>
    </row>
    <row r="508">
      <c r="A508" s="30" t="n"/>
      <c r="B508" s="30" t="n"/>
      <c r="C508" s="30" t="n"/>
      <c r="D508" s="30" t="n"/>
      <c r="E508" s="30" t="n"/>
      <c r="F508" s="30" t="n"/>
      <c r="G508" s="31">
        <f>IF($A508="","",IFERROR(ROUND(MAX(0,$B508*($D508-1)),2),0))</f>
        <v/>
      </c>
      <c r="H508" s="31">
        <f>IF($A508="","",IFERROR(ROUND($G508*INDEX(tblKurallar[deger_2025],MATCH("AYD-002",tblKurallar[kural_id],0)),2),0))</f>
        <v/>
      </c>
      <c r="I508" s="31">
        <f>IF($A508="","",IFERROR($G508-$G508*INDEX(tblKurallar[deger_2025],MATCH("AYD-004",tblKurallar[kural_id],0)),0))</f>
        <v/>
      </c>
    </row>
    <row r="509">
      <c r="A509" s="30" t="n"/>
      <c r="B509" s="30" t="n"/>
      <c r="C509" s="30" t="n"/>
      <c r="D509" s="30" t="n"/>
      <c r="E509" s="30" t="n"/>
      <c r="F509" s="30" t="n"/>
      <c r="G509" s="31">
        <f>IF($A509="","",IFERROR(ROUND(MAX(0,$B509*($D509-1)),2),0))</f>
        <v/>
      </c>
      <c r="H509" s="31">
        <f>IF($A509="","",IFERROR(ROUND($G509*INDEX(tblKurallar[deger_2025],MATCH("AYD-002",tblKurallar[kural_id],0)),2),0))</f>
        <v/>
      </c>
      <c r="I509" s="31">
        <f>IF($A509="","",IFERROR($G509-$G509*INDEX(tblKurallar[deger_2025],MATCH("AYD-004",tblKurallar[kural_id],0)),0))</f>
        <v/>
      </c>
    </row>
    <row r="510">
      <c r="A510" s="30" t="n"/>
      <c r="B510" s="30" t="n"/>
      <c r="C510" s="30" t="n"/>
      <c r="D510" s="30" t="n"/>
      <c r="E510" s="30" t="n"/>
      <c r="F510" s="30" t="n"/>
      <c r="G510" s="31">
        <f>IF($A510="","",IFERROR(ROUND(MAX(0,$B510*($D510-1)),2),0))</f>
        <v/>
      </c>
      <c r="H510" s="31">
        <f>IF($A510="","",IFERROR(ROUND($G510*INDEX(tblKurallar[deger_2025],MATCH("AYD-002",tblKurallar[kural_id],0)),2),0))</f>
        <v/>
      </c>
      <c r="I510" s="31">
        <f>IF($A510="","",IFERROR($G510-$G510*INDEX(tblKurallar[deger_2025],MATCH("AYD-004",tblKurallar[kural_id],0)),0))</f>
        <v/>
      </c>
    </row>
    <row r="511">
      <c r="A511" s="30" t="n"/>
      <c r="B511" s="30" t="n"/>
      <c r="C511" s="30" t="n"/>
      <c r="D511" s="30" t="n"/>
      <c r="E511" s="30" t="n"/>
      <c r="F511" s="30" t="n"/>
      <c r="G511" s="31">
        <f>IF($A511="","",IFERROR(ROUND(MAX(0,$B511*($D511-1)),2),0))</f>
        <v/>
      </c>
      <c r="H511" s="31">
        <f>IF($A511="","",IFERROR(ROUND($G511*INDEX(tblKurallar[deger_2025],MATCH("AYD-002",tblKurallar[kural_id],0)),2),0))</f>
        <v/>
      </c>
      <c r="I511" s="31">
        <f>IF($A511="","",IFERROR($G511-$G511*INDEX(tblKurallar[deger_2025],MATCH("AYD-004",tblKurallar[kural_id],0)),0))</f>
        <v/>
      </c>
    </row>
    <row r="512">
      <c r="A512" s="30" t="n"/>
      <c r="B512" s="30" t="n"/>
      <c r="C512" s="30" t="n"/>
      <c r="D512" s="30" t="n"/>
      <c r="E512" s="30" t="n"/>
      <c r="F512" s="30" t="n"/>
      <c r="G512" s="31">
        <f>IF($A512="","",IFERROR(ROUND(MAX(0,$B512*($D512-1)),2),0))</f>
        <v/>
      </c>
      <c r="H512" s="31">
        <f>IF($A512="","",IFERROR(ROUND($G512*INDEX(tblKurallar[deger_2025],MATCH("AYD-002",tblKurallar[kural_id],0)),2),0))</f>
        <v/>
      </c>
      <c r="I512" s="31">
        <f>IF($A512="","",IFERROR($G512-$G512*INDEX(tblKurallar[deger_2025],MATCH("AYD-004",tblKurallar[kural_id],0)),0))</f>
        <v/>
      </c>
    </row>
    <row r="513">
      <c r="A513" s="30" t="n"/>
      <c r="B513" s="30" t="n"/>
      <c r="C513" s="30" t="n"/>
      <c r="D513" s="30" t="n"/>
      <c r="E513" s="30" t="n"/>
      <c r="F513" s="30" t="n"/>
      <c r="G513" s="31">
        <f>IF($A513="","",IFERROR(ROUND(MAX(0,$B513*($D513-1)),2),0))</f>
        <v/>
      </c>
      <c r="H513" s="31">
        <f>IF($A513="","",IFERROR(ROUND($G513*INDEX(tblKurallar[deger_2025],MATCH("AYD-002",tblKurallar[kural_id],0)),2),0))</f>
        <v/>
      </c>
      <c r="I513" s="31">
        <f>IF($A513="","",IFERROR($G513-$G513*INDEX(tblKurallar[deger_2025],MATCH("AYD-004",tblKurallar[kural_id],0)),0))</f>
        <v/>
      </c>
    </row>
    <row r="514">
      <c r="A514" s="30" t="n"/>
      <c r="B514" s="30" t="n"/>
      <c r="C514" s="30" t="n"/>
      <c r="D514" s="30" t="n"/>
      <c r="E514" s="30" t="n"/>
      <c r="F514" s="30" t="n"/>
      <c r="G514" s="31">
        <f>IF($A514="","",IFERROR(ROUND(MAX(0,$B514*($D514-1)),2),0))</f>
        <v/>
      </c>
      <c r="H514" s="31">
        <f>IF($A514="","",IFERROR(ROUND($G514*INDEX(tblKurallar[deger_2025],MATCH("AYD-002",tblKurallar[kural_id],0)),2),0))</f>
        <v/>
      </c>
      <c r="I514" s="31">
        <f>IF($A514="","",IFERROR($G514-$G514*INDEX(tblKurallar[deger_2025],MATCH("AYD-004",tblKurallar[kural_id],0)),0))</f>
        <v/>
      </c>
    </row>
    <row r="515">
      <c r="A515" s="30" t="n"/>
      <c r="B515" s="30" t="n"/>
      <c r="C515" s="30" t="n"/>
      <c r="D515" s="30" t="n"/>
      <c r="E515" s="30" t="n"/>
      <c r="F515" s="30" t="n"/>
      <c r="G515" s="31">
        <f>IF($A515="","",IFERROR(ROUND(MAX(0,$B515*($D515-1)),2),0))</f>
        <v/>
      </c>
      <c r="H515" s="31">
        <f>IF($A515="","",IFERROR(ROUND($G515*INDEX(tblKurallar[deger_2025],MATCH("AYD-002",tblKurallar[kural_id],0)),2),0))</f>
        <v/>
      </c>
      <c r="I515" s="31">
        <f>IF($A515="","",IFERROR($G515-$G515*INDEX(tblKurallar[deger_2025],MATCH("AYD-004",tblKurallar[kural_id],0)),0))</f>
        <v/>
      </c>
    </row>
    <row r="516">
      <c r="A516" s="30" t="n"/>
      <c r="B516" s="30" t="n"/>
      <c r="C516" s="30" t="n"/>
      <c r="D516" s="30" t="n"/>
      <c r="E516" s="30" t="n"/>
      <c r="F516" s="30" t="n"/>
      <c r="G516" s="31">
        <f>IF($A516="","",IFERROR(ROUND(MAX(0,$B516*($D516-1)),2),0))</f>
        <v/>
      </c>
      <c r="H516" s="31">
        <f>IF($A516="","",IFERROR(ROUND($G516*INDEX(tblKurallar[deger_2025],MATCH("AYD-002",tblKurallar[kural_id],0)),2),0))</f>
        <v/>
      </c>
      <c r="I516" s="31">
        <f>IF($A516="","",IFERROR($G516-$G516*INDEX(tblKurallar[deger_2025],MATCH("AYD-004",tblKurallar[kural_id],0)),0))</f>
        <v/>
      </c>
    </row>
    <row r="517">
      <c r="A517" s="30" t="n"/>
      <c r="B517" s="30" t="n"/>
      <c r="C517" s="30" t="n"/>
      <c r="D517" s="30" t="n"/>
      <c r="E517" s="30" t="n"/>
      <c r="F517" s="30" t="n"/>
      <c r="G517" s="31">
        <f>IF($A517="","",IFERROR(ROUND(MAX(0,$B517*($D517-1)),2),0))</f>
        <v/>
      </c>
      <c r="H517" s="31">
        <f>IF($A517="","",IFERROR(ROUND($G517*INDEX(tblKurallar[deger_2025],MATCH("AYD-002",tblKurallar[kural_id],0)),2),0))</f>
        <v/>
      </c>
      <c r="I517" s="31">
        <f>IF($A517="","",IFERROR($G517-$G517*INDEX(tblKurallar[deger_2025],MATCH("AYD-004",tblKurallar[kural_id],0)),0))</f>
        <v/>
      </c>
    </row>
    <row r="518">
      <c r="A518" s="30" t="n"/>
      <c r="B518" s="30" t="n"/>
      <c r="C518" s="30" t="n"/>
      <c r="D518" s="30" t="n"/>
      <c r="E518" s="30" t="n"/>
      <c r="F518" s="30" t="n"/>
      <c r="G518" s="31">
        <f>IF($A518="","",IFERROR(ROUND(MAX(0,$B518*($D518-1)),2),0))</f>
        <v/>
      </c>
      <c r="H518" s="31">
        <f>IF($A518="","",IFERROR(ROUND($G518*INDEX(tblKurallar[deger_2025],MATCH("AYD-002",tblKurallar[kural_id],0)),2),0))</f>
        <v/>
      </c>
      <c r="I518" s="31">
        <f>IF($A518="","",IFERROR($G518-$G518*INDEX(tblKurallar[deger_2025],MATCH("AYD-004",tblKurallar[kural_id],0)),0))</f>
        <v/>
      </c>
    </row>
    <row r="519">
      <c r="A519" s="30" t="n"/>
      <c r="B519" s="30" t="n"/>
      <c r="C519" s="30" t="n"/>
      <c r="D519" s="30" t="n"/>
      <c r="E519" s="30" t="n"/>
      <c r="F519" s="30" t="n"/>
      <c r="G519" s="31">
        <f>IF($A519="","",IFERROR(ROUND(MAX(0,$B519*($D519-1)),2),0))</f>
        <v/>
      </c>
      <c r="H519" s="31">
        <f>IF($A519="","",IFERROR(ROUND($G519*INDEX(tblKurallar[deger_2025],MATCH("AYD-002",tblKurallar[kural_id],0)),2),0))</f>
        <v/>
      </c>
      <c r="I519" s="31">
        <f>IF($A519="","",IFERROR($G519-$G519*INDEX(tblKurallar[deger_2025],MATCH("AYD-004",tblKurallar[kural_id],0)),0))</f>
        <v/>
      </c>
    </row>
    <row r="520">
      <c r="A520" s="30" t="n"/>
      <c r="B520" s="30" t="n"/>
      <c r="C520" s="30" t="n"/>
      <c r="D520" s="30" t="n"/>
      <c r="E520" s="30" t="n"/>
      <c r="F520" s="30" t="n"/>
      <c r="G520" s="31">
        <f>IF($A520="","",IFERROR(ROUND(MAX(0,$B520*($D520-1)),2),0))</f>
        <v/>
      </c>
      <c r="H520" s="31">
        <f>IF($A520="","",IFERROR(ROUND($G520*INDEX(tblKurallar[deger_2025],MATCH("AYD-002",tblKurallar[kural_id],0)),2),0))</f>
        <v/>
      </c>
      <c r="I520" s="31">
        <f>IF($A520="","",IFERROR($G520-$G520*INDEX(tblKurallar[deger_2025],MATCH("AYD-004",tblKurallar[kural_id],0)),0))</f>
        <v/>
      </c>
    </row>
    <row r="521">
      <c r="A521" s="30" t="n"/>
      <c r="B521" s="30" t="n"/>
      <c r="C521" s="30" t="n"/>
      <c r="D521" s="30" t="n"/>
      <c r="E521" s="30" t="n"/>
      <c r="F521" s="30" t="n"/>
      <c r="G521" s="31">
        <f>IF($A521="","",IFERROR(ROUND(MAX(0,$B521*($D521-1)),2),0))</f>
        <v/>
      </c>
      <c r="H521" s="31">
        <f>IF($A521="","",IFERROR(ROUND($G521*INDEX(tblKurallar[deger_2025],MATCH("AYD-002",tblKurallar[kural_id],0)),2),0))</f>
        <v/>
      </c>
      <c r="I521" s="31">
        <f>IF($A521="","",IFERROR($G521-$G521*INDEX(tblKurallar[deger_2025],MATCH("AYD-004",tblKurallar[kural_id],0)),0))</f>
        <v/>
      </c>
    </row>
    <row r="522">
      <c r="A522" s="30" t="n"/>
      <c r="B522" s="30" t="n"/>
      <c r="C522" s="30" t="n"/>
      <c r="D522" s="30" t="n"/>
      <c r="E522" s="30" t="n"/>
      <c r="F522" s="30" t="n"/>
      <c r="G522" s="31">
        <f>IF($A522="","",IFERROR(ROUND(MAX(0,$B522*($D522-1)),2),0))</f>
        <v/>
      </c>
      <c r="H522" s="31">
        <f>IF($A522="","",IFERROR(ROUND($G522*INDEX(tblKurallar[deger_2025],MATCH("AYD-002",tblKurallar[kural_id],0)),2),0))</f>
        <v/>
      </c>
      <c r="I522" s="31">
        <f>IF($A522="","",IFERROR($G522-$G522*INDEX(tblKurallar[deger_2025],MATCH("AYD-004",tblKurallar[kural_id],0)),0))</f>
        <v/>
      </c>
    </row>
    <row r="523">
      <c r="A523" s="30" t="n"/>
      <c r="B523" s="30" t="n"/>
      <c r="C523" s="30" t="n"/>
      <c r="D523" s="30" t="n"/>
      <c r="E523" s="30" t="n"/>
      <c r="F523" s="30" t="n"/>
      <c r="G523" s="31">
        <f>IF($A523="","",IFERROR(ROUND(MAX(0,$B523*($D523-1)),2),0))</f>
        <v/>
      </c>
      <c r="H523" s="31">
        <f>IF($A523="","",IFERROR(ROUND($G523*INDEX(tblKurallar[deger_2025],MATCH("AYD-002",tblKurallar[kural_id],0)),2),0))</f>
        <v/>
      </c>
      <c r="I523" s="31">
        <f>IF($A523="","",IFERROR($G523-$G523*INDEX(tblKurallar[deger_2025],MATCH("AYD-004",tblKurallar[kural_id],0)),0))</f>
        <v/>
      </c>
    </row>
    <row r="524">
      <c r="A524" s="30" t="n"/>
      <c r="B524" s="30" t="n"/>
      <c r="C524" s="30" t="n"/>
      <c r="D524" s="30" t="n"/>
      <c r="E524" s="30" t="n"/>
      <c r="F524" s="30" t="n"/>
      <c r="G524" s="31">
        <f>IF($A524="","",IFERROR(ROUND(MAX(0,$B524*($D524-1)),2),0))</f>
        <v/>
      </c>
      <c r="H524" s="31">
        <f>IF($A524="","",IFERROR(ROUND($G524*INDEX(tblKurallar[deger_2025],MATCH("AYD-002",tblKurallar[kural_id],0)),2),0))</f>
        <v/>
      </c>
      <c r="I524" s="31">
        <f>IF($A524="","",IFERROR($G524-$G524*INDEX(tblKurallar[deger_2025],MATCH("AYD-004",tblKurallar[kural_id],0)),0))</f>
        <v/>
      </c>
    </row>
    <row r="525">
      <c r="A525" s="30" t="n"/>
      <c r="B525" s="30" t="n"/>
      <c r="C525" s="30" t="n"/>
      <c r="D525" s="30" t="n"/>
      <c r="E525" s="30" t="n"/>
      <c r="F525" s="30" t="n"/>
      <c r="G525" s="31">
        <f>IF($A525="","",IFERROR(ROUND(MAX(0,$B525*($D525-1)),2),0))</f>
        <v/>
      </c>
      <c r="H525" s="31">
        <f>IF($A525="","",IFERROR(ROUND($G525*INDEX(tblKurallar[deger_2025],MATCH("AYD-002",tblKurallar[kural_id],0)),2),0))</f>
        <v/>
      </c>
      <c r="I525" s="31">
        <f>IF($A525="","",IFERROR($G525-$G525*INDEX(tblKurallar[deger_2025],MATCH("AYD-004",tblKurallar[kural_id],0)),0))</f>
        <v/>
      </c>
    </row>
    <row r="526">
      <c r="A526" s="30" t="n"/>
      <c r="B526" s="30" t="n"/>
      <c r="C526" s="30" t="n"/>
      <c r="D526" s="30" t="n"/>
      <c r="E526" s="30" t="n"/>
      <c r="F526" s="30" t="n"/>
      <c r="G526" s="31">
        <f>IF($A526="","",IFERROR(ROUND(MAX(0,$B526*($D526-1)),2),0))</f>
        <v/>
      </c>
      <c r="H526" s="31">
        <f>IF($A526="","",IFERROR(ROUND($G526*INDEX(tblKurallar[deger_2025],MATCH("AYD-002",tblKurallar[kural_id],0)),2),0))</f>
        <v/>
      </c>
      <c r="I526" s="31">
        <f>IF($A526="","",IFERROR($G526-$G526*INDEX(tblKurallar[deger_2025],MATCH("AYD-004",tblKurallar[kural_id],0)),0))</f>
        <v/>
      </c>
    </row>
    <row r="527">
      <c r="A527" s="30" t="n"/>
      <c r="B527" s="30" t="n"/>
      <c r="C527" s="30" t="n"/>
      <c r="D527" s="30" t="n"/>
      <c r="E527" s="30" t="n"/>
      <c r="F527" s="30" t="n"/>
      <c r="G527" s="31">
        <f>IF($A527="","",IFERROR(ROUND(MAX(0,$B527*($D527-1)),2),0))</f>
        <v/>
      </c>
      <c r="H527" s="31">
        <f>IF($A527="","",IFERROR(ROUND($G527*INDEX(tblKurallar[deger_2025],MATCH("AYD-002",tblKurallar[kural_id],0)),2),0))</f>
        <v/>
      </c>
      <c r="I527" s="31">
        <f>IF($A527="","",IFERROR($G527-$G527*INDEX(tblKurallar[deger_2025],MATCH("AYD-004",tblKurallar[kural_id],0)),0))</f>
        <v/>
      </c>
    </row>
    <row r="528">
      <c r="A528" s="30" t="n"/>
      <c r="B528" s="30" t="n"/>
      <c r="C528" s="30" t="n"/>
      <c r="D528" s="30" t="n"/>
      <c r="E528" s="30" t="n"/>
      <c r="F528" s="30" t="n"/>
      <c r="G528" s="31">
        <f>IF($A528="","",IFERROR(ROUND(MAX(0,$B528*($D528-1)),2),0))</f>
        <v/>
      </c>
      <c r="H528" s="31">
        <f>IF($A528="","",IFERROR(ROUND($G528*INDEX(tblKurallar[deger_2025],MATCH("AYD-002",tblKurallar[kural_id],0)),2),0))</f>
        <v/>
      </c>
      <c r="I528" s="31">
        <f>IF($A528="","",IFERROR($G528-$G528*INDEX(tblKurallar[deger_2025],MATCH("AYD-004",tblKurallar[kural_id],0)),0))</f>
        <v/>
      </c>
    </row>
    <row r="529">
      <c r="A529" s="30" t="n"/>
      <c r="B529" s="30" t="n"/>
      <c r="C529" s="30" t="n"/>
      <c r="D529" s="30" t="n"/>
      <c r="E529" s="30" t="n"/>
      <c r="F529" s="30" t="n"/>
      <c r="G529" s="31">
        <f>IF($A529="","",IFERROR(ROUND(MAX(0,$B529*($D529-1)),2),0))</f>
        <v/>
      </c>
      <c r="H529" s="31">
        <f>IF($A529="","",IFERROR(ROUND($G529*INDEX(tblKurallar[deger_2025],MATCH("AYD-002",tblKurallar[kural_id],0)),2),0))</f>
        <v/>
      </c>
      <c r="I529" s="31">
        <f>IF($A529="","",IFERROR($G529-$G529*INDEX(tblKurallar[deger_2025],MATCH("AYD-004",tblKurallar[kural_id],0)),0))</f>
        <v/>
      </c>
    </row>
    <row r="530">
      <c r="A530" s="30" t="n"/>
      <c r="B530" s="30" t="n"/>
      <c r="C530" s="30" t="n"/>
      <c r="D530" s="30" t="n"/>
      <c r="E530" s="30" t="n"/>
      <c r="F530" s="30" t="n"/>
      <c r="G530" s="31">
        <f>IF($A530="","",IFERROR(ROUND(MAX(0,$B530*($D530-1)),2),0))</f>
        <v/>
      </c>
      <c r="H530" s="31">
        <f>IF($A530="","",IFERROR(ROUND($G530*INDEX(tblKurallar[deger_2025],MATCH("AYD-002",tblKurallar[kural_id],0)),2),0))</f>
        <v/>
      </c>
      <c r="I530" s="31">
        <f>IF($A530="","",IFERROR($G530-$G530*INDEX(tblKurallar[deger_2025],MATCH("AYD-004",tblKurallar[kural_id],0)),0))</f>
        <v/>
      </c>
    </row>
    <row r="531">
      <c r="A531" s="30" t="n"/>
      <c r="B531" s="30" t="n"/>
      <c r="C531" s="30" t="n"/>
      <c r="D531" s="30" t="n"/>
      <c r="E531" s="30" t="n"/>
      <c r="F531" s="30" t="n"/>
      <c r="G531" s="31">
        <f>IF($A531="","",IFERROR(ROUND(MAX(0,$B531*($D531-1)),2),0))</f>
        <v/>
      </c>
      <c r="H531" s="31">
        <f>IF($A531="","",IFERROR(ROUND($G531*INDEX(tblKurallar[deger_2025],MATCH("AYD-002",tblKurallar[kural_id],0)),2),0))</f>
        <v/>
      </c>
      <c r="I531" s="31">
        <f>IF($A531="","",IFERROR($G531-$G531*INDEX(tblKurallar[deger_2025],MATCH("AYD-004",tblKurallar[kural_id],0)),0))</f>
        <v/>
      </c>
    </row>
    <row r="532">
      <c r="A532" s="30" t="n"/>
      <c r="B532" s="30" t="n"/>
      <c r="C532" s="30" t="n"/>
      <c r="D532" s="30" t="n"/>
      <c r="E532" s="30" t="n"/>
      <c r="F532" s="30" t="n"/>
      <c r="G532" s="31">
        <f>IF($A532="","",IFERROR(ROUND(MAX(0,$B532*($D532-1)),2),0))</f>
        <v/>
      </c>
      <c r="H532" s="31">
        <f>IF($A532="","",IFERROR(ROUND($G532*INDEX(tblKurallar[deger_2025],MATCH("AYD-002",tblKurallar[kural_id],0)),2),0))</f>
        <v/>
      </c>
      <c r="I532" s="31">
        <f>IF($A532="","",IFERROR($G532-$G532*INDEX(tblKurallar[deger_2025],MATCH("AYD-004",tblKurallar[kural_id],0)),0))</f>
        <v/>
      </c>
    </row>
    <row r="533">
      <c r="A533" s="30" t="n"/>
      <c r="B533" s="30" t="n"/>
      <c r="C533" s="30" t="n"/>
      <c r="D533" s="30" t="n"/>
      <c r="E533" s="30" t="n"/>
      <c r="F533" s="30" t="n"/>
      <c r="G533" s="31">
        <f>IF($A533="","",IFERROR(ROUND(MAX(0,$B533*($D533-1)),2),0))</f>
        <v/>
      </c>
      <c r="H533" s="31">
        <f>IF($A533="","",IFERROR(ROUND($G533*INDEX(tblKurallar[deger_2025],MATCH("AYD-002",tblKurallar[kural_id],0)),2),0))</f>
        <v/>
      </c>
      <c r="I533" s="31">
        <f>IF($A533="","",IFERROR($G533-$G533*INDEX(tblKurallar[deger_2025],MATCH("AYD-004",tblKurallar[kural_id],0)),0))</f>
        <v/>
      </c>
    </row>
    <row r="534">
      <c r="A534" s="30" t="n"/>
      <c r="B534" s="30" t="n"/>
      <c r="C534" s="30" t="n"/>
      <c r="D534" s="30" t="n"/>
      <c r="E534" s="30" t="n"/>
      <c r="F534" s="30" t="n"/>
      <c r="G534" s="31">
        <f>IF($A534="","",IFERROR(ROUND(MAX(0,$B534*($D534-1)),2),0))</f>
        <v/>
      </c>
      <c r="H534" s="31">
        <f>IF($A534="","",IFERROR(ROUND($G534*INDEX(tblKurallar[deger_2025],MATCH("AYD-002",tblKurallar[kural_id],0)),2),0))</f>
        <v/>
      </c>
      <c r="I534" s="31">
        <f>IF($A534="","",IFERROR($G534-$G534*INDEX(tblKurallar[deger_2025],MATCH("AYD-004",tblKurallar[kural_id],0)),0))</f>
        <v/>
      </c>
    </row>
    <row r="535">
      <c r="A535" s="30" t="n"/>
      <c r="B535" s="30" t="n"/>
      <c r="C535" s="30" t="n"/>
      <c r="D535" s="30" t="n"/>
      <c r="E535" s="30" t="n"/>
      <c r="F535" s="30" t="n"/>
      <c r="G535" s="31">
        <f>IF($A535="","",IFERROR(ROUND(MAX(0,$B535*($D535-1)),2),0))</f>
        <v/>
      </c>
      <c r="H535" s="31">
        <f>IF($A535="","",IFERROR(ROUND($G535*INDEX(tblKurallar[deger_2025],MATCH("AYD-002",tblKurallar[kural_id],0)),2),0))</f>
        <v/>
      </c>
      <c r="I535" s="31">
        <f>IF($A535="","",IFERROR($G535-$G535*INDEX(tblKurallar[deger_2025],MATCH("AYD-004",tblKurallar[kural_id],0)),0))</f>
        <v/>
      </c>
    </row>
    <row r="536">
      <c r="A536" s="30" t="n"/>
      <c r="B536" s="30" t="n"/>
      <c r="C536" s="30" t="n"/>
      <c r="D536" s="30" t="n"/>
      <c r="E536" s="30" t="n"/>
      <c r="F536" s="30" t="n"/>
      <c r="G536" s="31">
        <f>IF($A536="","",IFERROR(ROUND(MAX(0,$B536*($D536-1)),2),0))</f>
        <v/>
      </c>
      <c r="H536" s="31">
        <f>IF($A536="","",IFERROR(ROUND($G536*INDEX(tblKurallar[deger_2025],MATCH("AYD-002",tblKurallar[kural_id],0)),2),0))</f>
        <v/>
      </c>
      <c r="I536" s="31">
        <f>IF($A536="","",IFERROR($G536-$G536*INDEX(tblKurallar[deger_2025],MATCH("AYD-004",tblKurallar[kural_id],0)),0))</f>
        <v/>
      </c>
    </row>
    <row r="537">
      <c r="A537" s="30" t="n"/>
      <c r="B537" s="30" t="n"/>
      <c r="C537" s="30" t="n"/>
      <c r="D537" s="30" t="n"/>
      <c r="E537" s="30" t="n"/>
      <c r="F537" s="30" t="n"/>
      <c r="G537" s="31">
        <f>IF($A537="","",IFERROR(ROUND(MAX(0,$B537*($D537-1)),2),0))</f>
        <v/>
      </c>
      <c r="H537" s="31">
        <f>IF($A537="","",IFERROR(ROUND($G537*INDEX(tblKurallar[deger_2025],MATCH("AYD-002",tblKurallar[kural_id],0)),2),0))</f>
        <v/>
      </c>
      <c r="I537" s="31">
        <f>IF($A537="","",IFERROR($G537-$G537*INDEX(tblKurallar[deger_2025],MATCH("AYD-004",tblKurallar[kural_id],0)),0))</f>
        <v/>
      </c>
    </row>
    <row r="538">
      <c r="A538" s="30" t="n"/>
      <c r="B538" s="30" t="n"/>
      <c r="C538" s="30" t="n"/>
      <c r="D538" s="30" t="n"/>
      <c r="E538" s="30" t="n"/>
      <c r="F538" s="30" t="n"/>
      <c r="G538" s="31">
        <f>IF($A538="","",IFERROR(ROUND(MAX(0,$B538*($D538-1)),2),0))</f>
        <v/>
      </c>
      <c r="H538" s="31">
        <f>IF($A538="","",IFERROR(ROUND($G538*INDEX(tblKurallar[deger_2025],MATCH("AYD-002",tblKurallar[kural_id],0)),2),0))</f>
        <v/>
      </c>
      <c r="I538" s="31">
        <f>IF($A538="","",IFERROR($G538-$G538*INDEX(tblKurallar[deger_2025],MATCH("AYD-004",tblKurallar[kural_id],0)),0))</f>
        <v/>
      </c>
    </row>
    <row r="539">
      <c r="A539" s="30" t="n"/>
      <c r="B539" s="30" t="n"/>
      <c r="C539" s="30" t="n"/>
      <c r="D539" s="30" t="n"/>
      <c r="E539" s="30" t="n"/>
      <c r="F539" s="30" t="n"/>
      <c r="G539" s="31">
        <f>IF($A539="","",IFERROR(ROUND(MAX(0,$B539*($D539-1)),2),0))</f>
        <v/>
      </c>
      <c r="H539" s="31">
        <f>IF($A539="","",IFERROR(ROUND($G539*INDEX(tblKurallar[deger_2025],MATCH("AYD-002",tblKurallar[kural_id],0)),2),0))</f>
        <v/>
      </c>
      <c r="I539" s="31">
        <f>IF($A539="","",IFERROR($G539-$G539*INDEX(tblKurallar[deger_2025],MATCH("AYD-004",tblKurallar[kural_id],0)),0))</f>
        <v/>
      </c>
    </row>
    <row r="540">
      <c r="A540" s="30" t="n"/>
      <c r="B540" s="30" t="n"/>
      <c r="C540" s="30" t="n"/>
      <c r="D540" s="30" t="n"/>
      <c r="E540" s="30" t="n"/>
      <c r="F540" s="30" t="n"/>
      <c r="G540" s="31">
        <f>IF($A540="","",IFERROR(ROUND(MAX(0,$B540*($D540-1)),2),0))</f>
        <v/>
      </c>
      <c r="H540" s="31">
        <f>IF($A540="","",IFERROR(ROUND($G540*INDEX(tblKurallar[deger_2025],MATCH("AYD-002",tblKurallar[kural_id],0)),2),0))</f>
        <v/>
      </c>
      <c r="I540" s="31">
        <f>IF($A540="","",IFERROR($G540-$G540*INDEX(tblKurallar[deger_2025],MATCH("AYD-004",tblKurallar[kural_id],0)),0))</f>
        <v/>
      </c>
    </row>
    <row r="541">
      <c r="A541" s="30" t="n"/>
      <c r="B541" s="30" t="n"/>
      <c r="C541" s="30" t="n"/>
      <c r="D541" s="30" t="n"/>
      <c r="E541" s="30" t="n"/>
      <c r="F541" s="30" t="n"/>
      <c r="G541" s="31">
        <f>IF($A541="","",IFERROR(ROUND(MAX(0,$B541*($D541-1)),2),0))</f>
        <v/>
      </c>
      <c r="H541" s="31">
        <f>IF($A541="","",IFERROR(ROUND($G541*INDEX(tblKurallar[deger_2025],MATCH("AYD-002",tblKurallar[kural_id],0)),2),0))</f>
        <v/>
      </c>
      <c r="I541" s="31">
        <f>IF($A541="","",IFERROR($G541-$G541*INDEX(tblKurallar[deger_2025],MATCH("AYD-004",tblKurallar[kural_id],0)),0))</f>
        <v/>
      </c>
    </row>
    <row r="542">
      <c r="A542" s="30" t="n"/>
      <c r="B542" s="30" t="n"/>
      <c r="C542" s="30" t="n"/>
      <c r="D542" s="30" t="n"/>
      <c r="E542" s="30" t="n"/>
      <c r="F542" s="30" t="n"/>
      <c r="G542" s="31">
        <f>IF($A542="","",IFERROR(ROUND(MAX(0,$B542*($D542-1)),2),0))</f>
        <v/>
      </c>
      <c r="H542" s="31">
        <f>IF($A542="","",IFERROR(ROUND($G542*INDEX(tblKurallar[deger_2025],MATCH("AYD-002",tblKurallar[kural_id],0)),2),0))</f>
        <v/>
      </c>
      <c r="I542" s="31">
        <f>IF($A542="","",IFERROR($G542-$G542*INDEX(tblKurallar[deger_2025],MATCH("AYD-004",tblKurallar[kural_id],0)),0))</f>
        <v/>
      </c>
    </row>
    <row r="543">
      <c r="A543" s="30" t="n"/>
      <c r="B543" s="30" t="n"/>
      <c r="C543" s="30" t="n"/>
      <c r="D543" s="30" t="n"/>
      <c r="E543" s="30" t="n"/>
      <c r="F543" s="30" t="n"/>
      <c r="G543" s="31">
        <f>IF($A543="","",IFERROR(ROUND(MAX(0,$B543*($D543-1)),2),0))</f>
        <v/>
      </c>
      <c r="H543" s="31">
        <f>IF($A543="","",IFERROR(ROUND($G543*INDEX(tblKurallar[deger_2025],MATCH("AYD-002",tblKurallar[kural_id],0)),2),0))</f>
        <v/>
      </c>
      <c r="I543" s="31">
        <f>IF($A543="","",IFERROR($G543-$G543*INDEX(tblKurallar[deger_2025],MATCH("AYD-004",tblKurallar[kural_id],0)),0))</f>
        <v/>
      </c>
    </row>
    <row r="544">
      <c r="A544" s="30" t="n"/>
      <c r="B544" s="30" t="n"/>
      <c r="C544" s="30" t="n"/>
      <c r="D544" s="30" t="n"/>
      <c r="E544" s="30" t="n"/>
      <c r="F544" s="30" t="n"/>
      <c r="G544" s="31">
        <f>IF($A544="","",IFERROR(ROUND(MAX(0,$B544*($D544-1)),2),0))</f>
        <v/>
      </c>
      <c r="H544" s="31">
        <f>IF($A544="","",IFERROR(ROUND($G544*INDEX(tblKurallar[deger_2025],MATCH("AYD-002",tblKurallar[kural_id],0)),2),0))</f>
        <v/>
      </c>
      <c r="I544" s="31">
        <f>IF($A544="","",IFERROR($G544-$G544*INDEX(tblKurallar[deger_2025],MATCH("AYD-004",tblKurallar[kural_id],0)),0))</f>
        <v/>
      </c>
    </row>
    <row r="545">
      <c r="A545" s="30" t="n"/>
      <c r="B545" s="30" t="n"/>
      <c r="C545" s="30" t="n"/>
      <c r="D545" s="30" t="n"/>
      <c r="E545" s="30" t="n"/>
      <c r="F545" s="30" t="n"/>
      <c r="G545" s="31">
        <f>IF($A545="","",IFERROR(ROUND(MAX(0,$B545*($D545-1)),2),0))</f>
        <v/>
      </c>
      <c r="H545" s="31">
        <f>IF($A545="","",IFERROR(ROUND($G545*INDEX(tblKurallar[deger_2025],MATCH("AYD-002",tblKurallar[kural_id],0)),2),0))</f>
        <v/>
      </c>
      <c r="I545" s="31">
        <f>IF($A545="","",IFERROR($G545-$G545*INDEX(tblKurallar[deger_2025],MATCH("AYD-004",tblKurallar[kural_id],0)),0))</f>
        <v/>
      </c>
    </row>
    <row r="546">
      <c r="A546" s="30" t="n"/>
      <c r="B546" s="30" t="n"/>
      <c r="C546" s="30" t="n"/>
      <c r="D546" s="30" t="n"/>
      <c r="E546" s="30" t="n"/>
      <c r="F546" s="30" t="n"/>
      <c r="G546" s="31">
        <f>IF($A546="","",IFERROR(ROUND(MAX(0,$B546*($D546-1)),2),0))</f>
        <v/>
      </c>
      <c r="H546" s="31">
        <f>IF($A546="","",IFERROR(ROUND($G546*INDEX(tblKurallar[deger_2025],MATCH("AYD-002",tblKurallar[kural_id],0)),2),0))</f>
        <v/>
      </c>
      <c r="I546" s="31">
        <f>IF($A546="","",IFERROR($G546-$G546*INDEX(tblKurallar[deger_2025],MATCH("AYD-004",tblKurallar[kural_id],0)),0))</f>
        <v/>
      </c>
    </row>
    <row r="547">
      <c r="A547" s="30" t="n"/>
      <c r="B547" s="30" t="n"/>
      <c r="C547" s="30" t="n"/>
      <c r="D547" s="30" t="n"/>
      <c r="E547" s="30" t="n"/>
      <c r="F547" s="30" t="n"/>
      <c r="G547" s="31">
        <f>IF($A547="","",IFERROR(ROUND(MAX(0,$B547*($D547-1)),2),0))</f>
        <v/>
      </c>
      <c r="H547" s="31">
        <f>IF($A547="","",IFERROR(ROUND($G547*INDEX(tblKurallar[deger_2025],MATCH("AYD-002",tblKurallar[kural_id],0)),2),0))</f>
        <v/>
      </c>
      <c r="I547" s="31">
        <f>IF($A547="","",IFERROR($G547-$G547*INDEX(tblKurallar[deger_2025],MATCH("AYD-004",tblKurallar[kural_id],0)),0))</f>
        <v/>
      </c>
    </row>
    <row r="548">
      <c r="A548" s="30" t="n"/>
      <c r="B548" s="30" t="n"/>
      <c r="C548" s="30" t="n"/>
      <c r="D548" s="30" t="n"/>
      <c r="E548" s="30" t="n"/>
      <c r="F548" s="30" t="n"/>
      <c r="G548" s="31">
        <f>IF($A548="","",IFERROR(ROUND(MAX(0,$B548*($D548-1)),2),0))</f>
        <v/>
      </c>
      <c r="H548" s="31">
        <f>IF($A548="","",IFERROR(ROUND($G548*INDEX(tblKurallar[deger_2025],MATCH("AYD-002",tblKurallar[kural_id],0)),2),0))</f>
        <v/>
      </c>
      <c r="I548" s="31">
        <f>IF($A548="","",IFERROR($G548-$G548*INDEX(tblKurallar[deger_2025],MATCH("AYD-004",tblKurallar[kural_id],0)),0))</f>
        <v/>
      </c>
    </row>
    <row r="549">
      <c r="A549" s="30" t="n"/>
      <c r="B549" s="30" t="n"/>
      <c r="C549" s="30" t="n"/>
      <c r="D549" s="30" t="n"/>
      <c r="E549" s="30" t="n"/>
      <c r="F549" s="30" t="n"/>
      <c r="G549" s="31">
        <f>IF($A549="","",IFERROR(ROUND(MAX(0,$B549*($D549-1)),2),0))</f>
        <v/>
      </c>
      <c r="H549" s="31">
        <f>IF($A549="","",IFERROR(ROUND($G549*INDEX(tblKurallar[deger_2025],MATCH("AYD-002",tblKurallar[kural_id],0)),2),0))</f>
        <v/>
      </c>
      <c r="I549" s="31">
        <f>IF($A549="","",IFERROR($G549-$G549*INDEX(tblKurallar[deger_2025],MATCH("AYD-004",tblKurallar[kural_id],0)),0))</f>
        <v/>
      </c>
    </row>
    <row r="550">
      <c r="A550" s="30" t="n"/>
      <c r="B550" s="30" t="n"/>
      <c r="C550" s="30" t="n"/>
      <c r="D550" s="30" t="n"/>
      <c r="E550" s="30" t="n"/>
      <c r="F550" s="30" t="n"/>
      <c r="G550" s="31">
        <f>IF($A550="","",IFERROR(ROUND(MAX(0,$B550*($D550-1)),2),0))</f>
        <v/>
      </c>
      <c r="H550" s="31">
        <f>IF($A550="","",IFERROR(ROUND($G550*INDEX(tblKurallar[deger_2025],MATCH("AYD-002",tblKurallar[kural_id],0)),2),0))</f>
        <v/>
      </c>
      <c r="I550" s="31">
        <f>IF($A550="","",IFERROR($G550-$G550*INDEX(tblKurallar[deger_2025],MATCH("AYD-004",tblKurallar[kural_id],0)),0))</f>
        <v/>
      </c>
    </row>
    <row r="551">
      <c r="A551" s="30" t="n"/>
      <c r="B551" s="30" t="n"/>
      <c r="C551" s="30" t="n"/>
      <c r="D551" s="30" t="n"/>
      <c r="E551" s="30" t="n"/>
      <c r="F551" s="30" t="n"/>
      <c r="G551" s="31">
        <f>IF($A551="","",IFERROR(ROUND(MAX(0,$B551*($D551-1)),2),0))</f>
        <v/>
      </c>
      <c r="H551" s="31">
        <f>IF($A551="","",IFERROR(ROUND($G551*INDEX(tblKurallar[deger_2025],MATCH("AYD-002",tblKurallar[kural_id],0)),2),0))</f>
        <v/>
      </c>
      <c r="I551" s="31">
        <f>IF($A551="","",IFERROR($G551-$G551*INDEX(tblKurallar[deger_2025],MATCH("AYD-004",tblKurallar[kural_id],0)),0))</f>
        <v/>
      </c>
    </row>
    <row r="552">
      <c r="A552" s="30" t="n"/>
      <c r="B552" s="30" t="n"/>
      <c r="C552" s="30" t="n"/>
      <c r="D552" s="30" t="n"/>
      <c r="E552" s="30" t="n"/>
      <c r="F552" s="30" t="n"/>
      <c r="G552" s="31">
        <f>IF($A552="","",IFERROR(ROUND(MAX(0,$B552*($D552-1)),2),0))</f>
        <v/>
      </c>
      <c r="H552" s="31">
        <f>IF($A552="","",IFERROR(ROUND($G552*INDEX(tblKurallar[deger_2025],MATCH("AYD-002",tblKurallar[kural_id],0)),2),0))</f>
        <v/>
      </c>
      <c r="I552" s="31">
        <f>IF($A552="","",IFERROR($G552-$G552*INDEX(tblKurallar[deger_2025],MATCH("AYD-004",tblKurallar[kural_id],0)),0))</f>
        <v/>
      </c>
    </row>
    <row r="553">
      <c r="A553" s="30" t="n"/>
      <c r="B553" s="30" t="n"/>
      <c r="C553" s="30" t="n"/>
      <c r="D553" s="30" t="n"/>
      <c r="E553" s="30" t="n"/>
      <c r="F553" s="30" t="n"/>
      <c r="G553" s="31">
        <f>IF($A553="","",IFERROR(ROUND(MAX(0,$B553*($D553-1)),2),0))</f>
        <v/>
      </c>
      <c r="H553" s="31">
        <f>IF($A553="","",IFERROR(ROUND($G553*INDEX(tblKurallar[deger_2025],MATCH("AYD-002",tblKurallar[kural_id],0)),2),0))</f>
        <v/>
      </c>
      <c r="I553" s="31">
        <f>IF($A553="","",IFERROR($G553-$G553*INDEX(tblKurallar[deger_2025],MATCH("AYD-004",tblKurallar[kural_id],0)),0))</f>
        <v/>
      </c>
    </row>
    <row r="554">
      <c r="A554" s="30" t="n"/>
      <c r="B554" s="30" t="n"/>
      <c r="C554" s="30" t="n"/>
      <c r="D554" s="30" t="n"/>
      <c r="E554" s="30" t="n"/>
      <c r="F554" s="30" t="n"/>
      <c r="G554" s="31">
        <f>IF($A554="","",IFERROR(ROUND(MAX(0,$B554*($D554-1)),2),0))</f>
        <v/>
      </c>
      <c r="H554" s="31">
        <f>IF($A554="","",IFERROR(ROUND($G554*INDEX(tblKurallar[deger_2025],MATCH("AYD-002",tblKurallar[kural_id],0)),2),0))</f>
        <v/>
      </c>
      <c r="I554" s="31">
        <f>IF($A554="","",IFERROR($G554-$G554*INDEX(tblKurallar[deger_2025],MATCH("AYD-004",tblKurallar[kural_id],0)),0))</f>
        <v/>
      </c>
    </row>
    <row r="555">
      <c r="A555" s="30" t="n"/>
      <c r="B555" s="30" t="n"/>
      <c r="C555" s="30" t="n"/>
      <c r="D555" s="30" t="n"/>
      <c r="E555" s="30" t="n"/>
      <c r="F555" s="30" t="n"/>
      <c r="G555" s="31">
        <f>IF($A555="","",IFERROR(ROUND(MAX(0,$B555*($D555-1)),2),0))</f>
        <v/>
      </c>
      <c r="H555" s="31">
        <f>IF($A555="","",IFERROR(ROUND($G555*INDEX(tblKurallar[deger_2025],MATCH("AYD-002",tblKurallar[kural_id],0)),2),0))</f>
        <v/>
      </c>
      <c r="I555" s="31">
        <f>IF($A555="","",IFERROR($G555-$G555*INDEX(tblKurallar[deger_2025],MATCH("AYD-004",tblKurallar[kural_id],0)),0))</f>
        <v/>
      </c>
    </row>
    <row r="556">
      <c r="A556" s="30" t="n"/>
      <c r="B556" s="30" t="n"/>
      <c r="C556" s="30" t="n"/>
      <c r="D556" s="30" t="n"/>
      <c r="E556" s="30" t="n"/>
      <c r="F556" s="30" t="n"/>
      <c r="G556" s="31">
        <f>IF($A556="","",IFERROR(ROUND(MAX(0,$B556*($D556-1)),2),0))</f>
        <v/>
      </c>
      <c r="H556" s="31">
        <f>IF($A556="","",IFERROR(ROUND($G556*INDEX(tblKurallar[deger_2025],MATCH("AYD-002",tblKurallar[kural_id],0)),2),0))</f>
        <v/>
      </c>
      <c r="I556" s="31">
        <f>IF($A556="","",IFERROR($G556-$G556*INDEX(tblKurallar[deger_2025],MATCH("AYD-004",tblKurallar[kural_id],0)),0))</f>
        <v/>
      </c>
    </row>
    <row r="557">
      <c r="A557" s="30" t="n"/>
      <c r="B557" s="30" t="n"/>
      <c r="C557" s="30" t="n"/>
      <c r="D557" s="30" t="n"/>
      <c r="E557" s="30" t="n"/>
      <c r="F557" s="30" t="n"/>
      <c r="G557" s="31">
        <f>IF($A557="","",IFERROR(ROUND(MAX(0,$B557*($D557-1)),2),0))</f>
        <v/>
      </c>
      <c r="H557" s="31">
        <f>IF($A557="","",IFERROR(ROUND($G557*INDEX(tblKurallar[deger_2025],MATCH("AYD-002",tblKurallar[kural_id],0)),2),0))</f>
        <v/>
      </c>
      <c r="I557" s="31">
        <f>IF($A557="","",IFERROR($G557-$G557*INDEX(tblKurallar[deger_2025],MATCH("AYD-004",tblKurallar[kural_id],0)),0))</f>
        <v/>
      </c>
    </row>
    <row r="558">
      <c r="A558" s="30" t="n"/>
      <c r="B558" s="30" t="n"/>
      <c r="C558" s="30" t="n"/>
      <c r="D558" s="30" t="n"/>
      <c r="E558" s="30" t="n"/>
      <c r="F558" s="30" t="n"/>
      <c r="G558" s="31">
        <f>IF($A558="","",IFERROR(ROUND(MAX(0,$B558*($D558-1)),2),0))</f>
        <v/>
      </c>
      <c r="H558" s="31">
        <f>IF($A558="","",IFERROR(ROUND($G558*INDEX(tblKurallar[deger_2025],MATCH("AYD-002",tblKurallar[kural_id],0)),2),0))</f>
        <v/>
      </c>
      <c r="I558" s="31">
        <f>IF($A558="","",IFERROR($G558-$G558*INDEX(tblKurallar[deger_2025],MATCH("AYD-004",tblKurallar[kural_id],0)),0))</f>
        <v/>
      </c>
    </row>
    <row r="559">
      <c r="A559" s="30" t="n"/>
      <c r="B559" s="30" t="n"/>
      <c r="C559" s="30" t="n"/>
      <c r="D559" s="30" t="n"/>
      <c r="E559" s="30" t="n"/>
      <c r="F559" s="30" t="n"/>
      <c r="G559" s="31">
        <f>IF($A559="","",IFERROR(ROUND(MAX(0,$B559*($D559-1)),2),0))</f>
        <v/>
      </c>
      <c r="H559" s="31">
        <f>IF($A559="","",IFERROR(ROUND($G559*INDEX(tblKurallar[deger_2025],MATCH("AYD-002",tblKurallar[kural_id],0)),2),0))</f>
        <v/>
      </c>
      <c r="I559" s="31">
        <f>IF($A559="","",IFERROR($G559-$G559*INDEX(tblKurallar[deger_2025],MATCH("AYD-004",tblKurallar[kural_id],0)),0))</f>
        <v/>
      </c>
    </row>
    <row r="560">
      <c r="A560" s="30" t="n"/>
      <c r="B560" s="30" t="n"/>
      <c r="C560" s="30" t="n"/>
      <c r="D560" s="30" t="n"/>
      <c r="E560" s="30" t="n"/>
      <c r="F560" s="30" t="n"/>
      <c r="G560" s="31">
        <f>IF($A560="","",IFERROR(ROUND(MAX(0,$B560*($D560-1)),2),0))</f>
        <v/>
      </c>
      <c r="H560" s="31">
        <f>IF($A560="","",IFERROR(ROUND($G560*INDEX(tblKurallar[deger_2025],MATCH("AYD-002",tblKurallar[kural_id],0)),2),0))</f>
        <v/>
      </c>
      <c r="I560" s="31">
        <f>IF($A560="","",IFERROR($G560-$G560*INDEX(tblKurallar[deger_2025],MATCH("AYD-004",tblKurallar[kural_id],0)),0))</f>
        <v/>
      </c>
    </row>
    <row r="561">
      <c r="A561" s="30" t="n"/>
      <c r="B561" s="30" t="n"/>
      <c r="C561" s="30" t="n"/>
      <c r="D561" s="30" t="n"/>
      <c r="E561" s="30" t="n"/>
      <c r="F561" s="30" t="n"/>
      <c r="G561" s="31">
        <f>IF($A561="","",IFERROR(ROUND(MAX(0,$B561*($D561-1)),2),0))</f>
        <v/>
      </c>
      <c r="H561" s="31">
        <f>IF($A561="","",IFERROR(ROUND($G561*INDEX(tblKurallar[deger_2025],MATCH("AYD-002",tblKurallar[kural_id],0)),2),0))</f>
        <v/>
      </c>
      <c r="I561" s="31">
        <f>IF($A561="","",IFERROR($G561-$G561*INDEX(tblKurallar[deger_2025],MATCH("AYD-004",tblKurallar[kural_id],0)),0))</f>
        <v/>
      </c>
    </row>
    <row r="562">
      <c r="A562" s="30" t="n"/>
      <c r="B562" s="30" t="n"/>
      <c r="C562" s="30" t="n"/>
      <c r="D562" s="30" t="n"/>
      <c r="E562" s="30" t="n"/>
      <c r="F562" s="30" t="n"/>
      <c r="G562" s="31">
        <f>IF($A562="","",IFERROR(ROUND(MAX(0,$B562*($D562-1)),2),0))</f>
        <v/>
      </c>
      <c r="H562" s="31">
        <f>IF($A562="","",IFERROR(ROUND($G562*INDEX(tblKurallar[deger_2025],MATCH("AYD-002",tblKurallar[kural_id],0)),2),0))</f>
        <v/>
      </c>
      <c r="I562" s="31">
        <f>IF($A562="","",IFERROR($G562-$G562*INDEX(tblKurallar[deger_2025],MATCH("AYD-004",tblKurallar[kural_id],0)),0))</f>
        <v/>
      </c>
    </row>
    <row r="563">
      <c r="A563" s="30" t="n"/>
      <c r="B563" s="30" t="n"/>
      <c r="C563" s="30" t="n"/>
      <c r="D563" s="30" t="n"/>
      <c r="E563" s="30" t="n"/>
      <c r="F563" s="30" t="n"/>
      <c r="G563" s="31">
        <f>IF($A563="","",IFERROR(ROUND(MAX(0,$B563*($D563-1)),2),0))</f>
        <v/>
      </c>
      <c r="H563" s="31">
        <f>IF($A563="","",IFERROR(ROUND($G563*INDEX(tblKurallar[deger_2025],MATCH("AYD-002",tblKurallar[kural_id],0)),2),0))</f>
        <v/>
      </c>
      <c r="I563" s="31">
        <f>IF($A563="","",IFERROR($G563-$G563*INDEX(tblKurallar[deger_2025],MATCH("AYD-004",tblKurallar[kural_id],0)),0))</f>
        <v/>
      </c>
    </row>
    <row r="564">
      <c r="A564" s="30" t="n"/>
      <c r="B564" s="30" t="n"/>
      <c r="C564" s="30" t="n"/>
      <c r="D564" s="30" t="n"/>
      <c r="E564" s="30" t="n"/>
      <c r="F564" s="30" t="n"/>
      <c r="G564" s="31">
        <f>IF($A564="","",IFERROR(ROUND(MAX(0,$B564*($D564-1)),2),0))</f>
        <v/>
      </c>
      <c r="H564" s="31">
        <f>IF($A564="","",IFERROR(ROUND($G564*INDEX(tblKurallar[deger_2025],MATCH("AYD-002",tblKurallar[kural_id],0)),2),0))</f>
        <v/>
      </c>
      <c r="I564" s="31">
        <f>IF($A564="","",IFERROR($G564-$G564*INDEX(tblKurallar[deger_2025],MATCH("AYD-004",tblKurallar[kural_id],0)),0))</f>
        <v/>
      </c>
    </row>
    <row r="565">
      <c r="A565" s="30" t="n"/>
      <c r="B565" s="30" t="n"/>
      <c r="C565" s="30" t="n"/>
      <c r="D565" s="30" t="n"/>
      <c r="E565" s="30" t="n"/>
      <c r="F565" s="30" t="n"/>
      <c r="G565" s="31">
        <f>IF($A565="","",IFERROR(ROUND(MAX(0,$B565*($D565-1)),2),0))</f>
        <v/>
      </c>
      <c r="H565" s="31">
        <f>IF($A565="","",IFERROR(ROUND($G565*INDEX(tblKurallar[deger_2025],MATCH("AYD-002",tblKurallar[kural_id],0)),2),0))</f>
        <v/>
      </c>
      <c r="I565" s="31">
        <f>IF($A565="","",IFERROR($G565-$G565*INDEX(tblKurallar[deger_2025],MATCH("AYD-004",tblKurallar[kural_id],0)),0))</f>
        <v/>
      </c>
    </row>
    <row r="566">
      <c r="A566" s="30" t="n"/>
      <c r="B566" s="30" t="n"/>
      <c r="C566" s="30" t="n"/>
      <c r="D566" s="30" t="n"/>
      <c r="E566" s="30" t="n"/>
      <c r="F566" s="30" t="n"/>
      <c r="G566" s="31">
        <f>IF($A566="","",IFERROR(ROUND(MAX(0,$B566*($D566-1)),2),0))</f>
        <v/>
      </c>
      <c r="H566" s="31">
        <f>IF($A566="","",IFERROR(ROUND($G566*INDEX(tblKurallar[deger_2025],MATCH("AYD-002",tblKurallar[kural_id],0)),2),0))</f>
        <v/>
      </c>
      <c r="I566" s="31">
        <f>IF($A566="","",IFERROR($G566-$G566*INDEX(tblKurallar[deger_2025],MATCH("AYD-004",tblKurallar[kural_id],0)),0))</f>
        <v/>
      </c>
    </row>
    <row r="567">
      <c r="A567" s="30" t="n"/>
      <c r="B567" s="30" t="n"/>
      <c r="C567" s="30" t="n"/>
      <c r="D567" s="30" t="n"/>
      <c r="E567" s="30" t="n"/>
      <c r="F567" s="30" t="n"/>
      <c r="G567" s="31">
        <f>IF($A567="","",IFERROR(ROUND(MAX(0,$B567*($D567-1)),2),0))</f>
        <v/>
      </c>
      <c r="H567" s="31">
        <f>IF($A567="","",IFERROR(ROUND($G567*INDEX(tblKurallar[deger_2025],MATCH("AYD-002",tblKurallar[kural_id],0)),2),0))</f>
        <v/>
      </c>
      <c r="I567" s="31">
        <f>IF($A567="","",IFERROR($G567-$G567*INDEX(tblKurallar[deger_2025],MATCH("AYD-004",tblKurallar[kural_id],0)),0))</f>
        <v/>
      </c>
    </row>
    <row r="568">
      <c r="A568" s="30" t="n"/>
      <c r="B568" s="30" t="n"/>
      <c r="C568" s="30" t="n"/>
      <c r="D568" s="30" t="n"/>
      <c r="E568" s="30" t="n"/>
      <c r="F568" s="30" t="n"/>
      <c r="G568" s="31">
        <f>IF($A568="","",IFERROR(ROUND(MAX(0,$B568*($D568-1)),2),0))</f>
        <v/>
      </c>
      <c r="H568" s="31">
        <f>IF($A568="","",IFERROR(ROUND($G568*INDEX(tblKurallar[deger_2025],MATCH("AYD-002",tblKurallar[kural_id],0)),2),0))</f>
        <v/>
      </c>
      <c r="I568" s="31">
        <f>IF($A568="","",IFERROR($G568-$G568*INDEX(tblKurallar[deger_2025],MATCH("AYD-004",tblKurallar[kural_id],0)),0))</f>
        <v/>
      </c>
    </row>
    <row r="569">
      <c r="A569" s="30" t="n"/>
      <c r="B569" s="30" t="n"/>
      <c r="C569" s="30" t="n"/>
      <c r="D569" s="30" t="n"/>
      <c r="E569" s="30" t="n"/>
      <c r="F569" s="30" t="n"/>
      <c r="G569" s="31">
        <f>IF($A569="","",IFERROR(ROUND(MAX(0,$B569*($D569-1)),2),0))</f>
        <v/>
      </c>
      <c r="H569" s="31">
        <f>IF($A569="","",IFERROR(ROUND($G569*INDEX(tblKurallar[deger_2025],MATCH("AYD-002",tblKurallar[kural_id],0)),2),0))</f>
        <v/>
      </c>
      <c r="I569" s="31">
        <f>IF($A569="","",IFERROR($G569-$G569*INDEX(tblKurallar[deger_2025],MATCH("AYD-004",tblKurallar[kural_id],0)),0))</f>
        <v/>
      </c>
    </row>
    <row r="570">
      <c r="A570" s="30" t="n"/>
      <c r="B570" s="30" t="n"/>
      <c r="C570" s="30" t="n"/>
      <c r="D570" s="30" t="n"/>
      <c r="E570" s="30" t="n"/>
      <c r="F570" s="30" t="n"/>
      <c r="G570" s="31">
        <f>IF($A570="","",IFERROR(ROUND(MAX(0,$B570*($D570-1)),2),0))</f>
        <v/>
      </c>
      <c r="H570" s="31">
        <f>IF($A570="","",IFERROR(ROUND($G570*INDEX(tblKurallar[deger_2025],MATCH("AYD-002",tblKurallar[kural_id],0)),2),0))</f>
        <v/>
      </c>
      <c r="I570" s="31">
        <f>IF($A570="","",IFERROR($G570-$G570*INDEX(tblKurallar[deger_2025],MATCH("AYD-004",tblKurallar[kural_id],0)),0))</f>
        <v/>
      </c>
    </row>
    <row r="571">
      <c r="A571" s="30" t="n"/>
      <c r="B571" s="30" t="n"/>
      <c r="C571" s="30" t="n"/>
      <c r="D571" s="30" t="n"/>
      <c r="E571" s="30" t="n"/>
      <c r="F571" s="30" t="n"/>
      <c r="G571" s="31">
        <f>IF($A571="","",IFERROR(ROUND(MAX(0,$B571*($D571-1)),2),0))</f>
        <v/>
      </c>
      <c r="H571" s="31">
        <f>IF($A571="","",IFERROR(ROUND($G571*INDEX(tblKurallar[deger_2025],MATCH("AYD-002",tblKurallar[kural_id],0)),2),0))</f>
        <v/>
      </c>
      <c r="I571" s="31">
        <f>IF($A571="","",IFERROR($G571-$G571*INDEX(tblKurallar[deger_2025],MATCH("AYD-004",tblKurallar[kural_id],0)),0))</f>
        <v/>
      </c>
    </row>
    <row r="572">
      <c r="A572" s="30" t="n"/>
      <c r="B572" s="30" t="n"/>
      <c r="C572" s="30" t="n"/>
      <c r="D572" s="30" t="n"/>
      <c r="E572" s="30" t="n"/>
      <c r="F572" s="30" t="n"/>
      <c r="G572" s="31">
        <f>IF($A572="","",IFERROR(ROUND(MAX(0,$B572*($D572-1)),2),0))</f>
        <v/>
      </c>
      <c r="H572" s="31">
        <f>IF($A572="","",IFERROR(ROUND($G572*INDEX(tblKurallar[deger_2025],MATCH("AYD-002",tblKurallar[kural_id],0)),2),0))</f>
        <v/>
      </c>
      <c r="I572" s="31">
        <f>IF($A572="","",IFERROR($G572-$G572*INDEX(tblKurallar[deger_2025],MATCH("AYD-004",tblKurallar[kural_id],0)),0))</f>
        <v/>
      </c>
    </row>
    <row r="573">
      <c r="A573" s="30" t="n"/>
      <c r="B573" s="30" t="n"/>
      <c r="C573" s="30" t="n"/>
      <c r="D573" s="30" t="n"/>
      <c r="E573" s="30" t="n"/>
      <c r="F573" s="30" t="n"/>
      <c r="G573" s="31">
        <f>IF($A573="","",IFERROR(ROUND(MAX(0,$B573*($D573-1)),2),0))</f>
        <v/>
      </c>
      <c r="H573" s="31">
        <f>IF($A573="","",IFERROR(ROUND($G573*INDEX(tblKurallar[deger_2025],MATCH("AYD-002",tblKurallar[kural_id],0)),2),0))</f>
        <v/>
      </c>
      <c r="I573" s="31">
        <f>IF($A573="","",IFERROR($G573-$G573*INDEX(tblKurallar[deger_2025],MATCH("AYD-004",tblKurallar[kural_id],0)),0))</f>
        <v/>
      </c>
    </row>
    <row r="574">
      <c r="A574" s="30" t="n"/>
      <c r="B574" s="30" t="n"/>
      <c r="C574" s="30" t="n"/>
      <c r="D574" s="30" t="n"/>
      <c r="E574" s="30" t="n"/>
      <c r="F574" s="30" t="n"/>
      <c r="G574" s="31">
        <f>IF($A574="","",IFERROR(ROUND(MAX(0,$B574*($D574-1)),2),0))</f>
        <v/>
      </c>
      <c r="H574" s="31">
        <f>IF($A574="","",IFERROR(ROUND($G574*INDEX(tblKurallar[deger_2025],MATCH("AYD-002",tblKurallar[kural_id],0)),2),0))</f>
        <v/>
      </c>
      <c r="I574" s="31">
        <f>IF($A574="","",IFERROR($G574-$G574*INDEX(tblKurallar[deger_2025],MATCH("AYD-004",tblKurallar[kural_id],0)),0))</f>
        <v/>
      </c>
    </row>
    <row r="575">
      <c r="A575" s="30" t="n"/>
      <c r="B575" s="30" t="n"/>
      <c r="C575" s="30" t="n"/>
      <c r="D575" s="30" t="n"/>
      <c r="E575" s="30" t="n"/>
      <c r="F575" s="30" t="n"/>
      <c r="G575" s="31">
        <f>IF($A575="","",IFERROR(ROUND(MAX(0,$B575*($D575-1)),2),0))</f>
        <v/>
      </c>
      <c r="H575" s="31">
        <f>IF($A575="","",IFERROR(ROUND($G575*INDEX(tblKurallar[deger_2025],MATCH("AYD-002",tblKurallar[kural_id],0)),2),0))</f>
        <v/>
      </c>
      <c r="I575" s="31">
        <f>IF($A575="","",IFERROR($G575-$G575*INDEX(tblKurallar[deger_2025],MATCH("AYD-004",tblKurallar[kural_id],0)),0))</f>
        <v/>
      </c>
    </row>
    <row r="576">
      <c r="A576" s="30" t="n"/>
      <c r="B576" s="30" t="n"/>
      <c r="C576" s="30" t="n"/>
      <c r="D576" s="30" t="n"/>
      <c r="E576" s="30" t="n"/>
      <c r="F576" s="30" t="n"/>
      <c r="G576" s="31">
        <f>IF($A576="","",IFERROR(ROUND(MAX(0,$B576*($D576-1)),2),0))</f>
        <v/>
      </c>
      <c r="H576" s="31">
        <f>IF($A576="","",IFERROR(ROUND($G576*INDEX(tblKurallar[deger_2025],MATCH("AYD-002",tblKurallar[kural_id],0)),2),0))</f>
        <v/>
      </c>
      <c r="I576" s="31">
        <f>IF($A576="","",IFERROR($G576-$G576*INDEX(tblKurallar[deger_2025],MATCH("AYD-004",tblKurallar[kural_id],0)),0))</f>
        <v/>
      </c>
    </row>
    <row r="577">
      <c r="A577" s="30" t="n"/>
      <c r="B577" s="30" t="n"/>
      <c r="C577" s="30" t="n"/>
      <c r="D577" s="30" t="n"/>
      <c r="E577" s="30" t="n"/>
      <c r="F577" s="30" t="n"/>
      <c r="G577" s="31">
        <f>IF($A577="","",IFERROR(ROUND(MAX(0,$B577*($D577-1)),2),0))</f>
        <v/>
      </c>
      <c r="H577" s="31">
        <f>IF($A577="","",IFERROR(ROUND($G577*INDEX(tblKurallar[deger_2025],MATCH("AYD-002",tblKurallar[kural_id],0)),2),0))</f>
        <v/>
      </c>
      <c r="I577" s="31">
        <f>IF($A577="","",IFERROR($G577-$G577*INDEX(tblKurallar[deger_2025],MATCH("AYD-004",tblKurallar[kural_id],0)),0))</f>
        <v/>
      </c>
    </row>
    <row r="578">
      <c r="A578" s="30" t="n"/>
      <c r="B578" s="30" t="n"/>
      <c r="C578" s="30" t="n"/>
      <c r="D578" s="30" t="n"/>
      <c r="E578" s="30" t="n"/>
      <c r="F578" s="30" t="n"/>
      <c r="G578" s="31">
        <f>IF($A578="","",IFERROR(ROUND(MAX(0,$B578*($D578-1)),2),0))</f>
        <v/>
      </c>
      <c r="H578" s="31">
        <f>IF($A578="","",IFERROR(ROUND($G578*INDEX(tblKurallar[deger_2025],MATCH("AYD-002",tblKurallar[kural_id],0)),2),0))</f>
        <v/>
      </c>
      <c r="I578" s="31">
        <f>IF($A578="","",IFERROR($G578-$G578*INDEX(tblKurallar[deger_2025],MATCH("AYD-004",tblKurallar[kural_id],0)),0))</f>
        <v/>
      </c>
    </row>
    <row r="579">
      <c r="A579" s="30" t="n"/>
      <c r="B579" s="30" t="n"/>
      <c r="C579" s="30" t="n"/>
      <c r="D579" s="30" t="n"/>
      <c r="E579" s="30" t="n"/>
      <c r="F579" s="30" t="n"/>
      <c r="G579" s="31">
        <f>IF($A579="","",IFERROR(ROUND(MAX(0,$B579*($D579-1)),2),0))</f>
        <v/>
      </c>
      <c r="H579" s="31">
        <f>IF($A579="","",IFERROR(ROUND($G579*INDEX(tblKurallar[deger_2025],MATCH("AYD-002",tblKurallar[kural_id],0)),2),0))</f>
        <v/>
      </c>
      <c r="I579" s="31">
        <f>IF($A579="","",IFERROR($G579-$G579*INDEX(tblKurallar[deger_2025],MATCH("AYD-004",tblKurallar[kural_id],0)),0))</f>
        <v/>
      </c>
    </row>
    <row r="580">
      <c r="A580" s="30" t="n"/>
      <c r="B580" s="30" t="n"/>
      <c r="C580" s="30" t="n"/>
      <c r="D580" s="30" t="n"/>
      <c r="E580" s="30" t="n"/>
      <c r="F580" s="30" t="n"/>
      <c r="G580" s="31">
        <f>IF($A580="","",IFERROR(ROUND(MAX(0,$B580*($D580-1)),2),0))</f>
        <v/>
      </c>
      <c r="H580" s="31">
        <f>IF($A580="","",IFERROR(ROUND($G580*INDEX(tblKurallar[deger_2025],MATCH("AYD-002",tblKurallar[kural_id],0)),2),0))</f>
        <v/>
      </c>
      <c r="I580" s="31">
        <f>IF($A580="","",IFERROR($G580-$G580*INDEX(tblKurallar[deger_2025],MATCH("AYD-004",tblKurallar[kural_id],0)),0))</f>
        <v/>
      </c>
    </row>
    <row r="581">
      <c r="A581" s="30" t="n"/>
      <c r="B581" s="30" t="n"/>
      <c r="C581" s="30" t="n"/>
      <c r="D581" s="30" t="n"/>
      <c r="E581" s="30" t="n"/>
      <c r="F581" s="30" t="n"/>
      <c r="G581" s="31">
        <f>IF($A581="","",IFERROR(ROUND(MAX(0,$B581*($D581-1)),2),0))</f>
        <v/>
      </c>
      <c r="H581" s="31">
        <f>IF($A581="","",IFERROR(ROUND($G581*INDEX(tblKurallar[deger_2025],MATCH("AYD-002",tblKurallar[kural_id],0)),2),0))</f>
        <v/>
      </c>
      <c r="I581" s="31">
        <f>IF($A581="","",IFERROR($G581-$G581*INDEX(tblKurallar[deger_2025],MATCH("AYD-004",tblKurallar[kural_id],0)),0))</f>
        <v/>
      </c>
    </row>
    <row r="582">
      <c r="A582" s="30" t="n"/>
      <c r="B582" s="30" t="n"/>
      <c r="C582" s="30" t="n"/>
      <c r="D582" s="30" t="n"/>
      <c r="E582" s="30" t="n"/>
      <c r="F582" s="30" t="n"/>
      <c r="G582" s="31">
        <f>IF($A582="","",IFERROR(ROUND(MAX(0,$B582*($D582-1)),2),0))</f>
        <v/>
      </c>
      <c r="H582" s="31">
        <f>IF($A582="","",IFERROR(ROUND($G582*INDEX(tblKurallar[deger_2025],MATCH("AYD-002",tblKurallar[kural_id],0)),2),0))</f>
        <v/>
      </c>
      <c r="I582" s="31">
        <f>IF($A582="","",IFERROR($G582-$G582*INDEX(tblKurallar[deger_2025],MATCH("AYD-004",tblKurallar[kural_id],0)),0))</f>
        <v/>
      </c>
    </row>
    <row r="583">
      <c r="A583" s="30" t="n"/>
      <c r="B583" s="30" t="n"/>
      <c r="C583" s="30" t="n"/>
      <c r="D583" s="30" t="n"/>
      <c r="E583" s="30" t="n"/>
      <c r="F583" s="30" t="n"/>
      <c r="G583" s="31">
        <f>IF($A583="","",IFERROR(ROUND(MAX(0,$B583*($D583-1)),2),0))</f>
        <v/>
      </c>
      <c r="H583" s="31">
        <f>IF($A583="","",IFERROR(ROUND($G583*INDEX(tblKurallar[deger_2025],MATCH("AYD-002",tblKurallar[kural_id],0)),2),0))</f>
        <v/>
      </c>
      <c r="I583" s="31">
        <f>IF($A583="","",IFERROR($G583-$G583*INDEX(tblKurallar[deger_2025],MATCH("AYD-004",tblKurallar[kural_id],0)),0))</f>
        <v/>
      </c>
    </row>
    <row r="584">
      <c r="A584" s="30" t="n"/>
      <c r="B584" s="30" t="n"/>
      <c r="C584" s="30" t="n"/>
      <c r="D584" s="30" t="n"/>
      <c r="E584" s="30" t="n"/>
      <c r="F584" s="30" t="n"/>
      <c r="G584" s="31">
        <f>IF($A584="","",IFERROR(ROUND(MAX(0,$B584*($D584-1)),2),0))</f>
        <v/>
      </c>
      <c r="H584" s="31">
        <f>IF($A584="","",IFERROR(ROUND($G584*INDEX(tblKurallar[deger_2025],MATCH("AYD-002",tblKurallar[kural_id],0)),2),0))</f>
        <v/>
      </c>
      <c r="I584" s="31">
        <f>IF($A584="","",IFERROR($G584-$G584*INDEX(tblKurallar[deger_2025],MATCH("AYD-004",tblKurallar[kural_id],0)),0))</f>
        <v/>
      </c>
    </row>
    <row r="585">
      <c r="A585" s="30" t="n"/>
      <c r="B585" s="30" t="n"/>
      <c r="C585" s="30" t="n"/>
      <c r="D585" s="30" t="n"/>
      <c r="E585" s="30" t="n"/>
      <c r="F585" s="30" t="n"/>
      <c r="G585" s="31">
        <f>IF($A585="","",IFERROR(ROUND(MAX(0,$B585*($D585-1)),2),0))</f>
        <v/>
      </c>
      <c r="H585" s="31">
        <f>IF($A585="","",IFERROR(ROUND($G585*INDEX(tblKurallar[deger_2025],MATCH("AYD-002",tblKurallar[kural_id],0)),2),0))</f>
        <v/>
      </c>
      <c r="I585" s="31">
        <f>IF($A585="","",IFERROR($G585-$G585*INDEX(tblKurallar[deger_2025],MATCH("AYD-004",tblKurallar[kural_id],0)),0))</f>
        <v/>
      </c>
    </row>
    <row r="586">
      <c r="A586" s="30" t="n"/>
      <c r="B586" s="30" t="n"/>
      <c r="C586" s="30" t="n"/>
      <c r="D586" s="30" t="n"/>
      <c r="E586" s="30" t="n"/>
      <c r="F586" s="30" t="n"/>
      <c r="G586" s="31">
        <f>IF($A586="","",IFERROR(ROUND(MAX(0,$B586*($D586-1)),2),0))</f>
        <v/>
      </c>
      <c r="H586" s="31">
        <f>IF($A586="","",IFERROR(ROUND($G586*INDEX(tblKurallar[deger_2025],MATCH("AYD-002",tblKurallar[kural_id],0)),2),0))</f>
        <v/>
      </c>
      <c r="I586" s="31">
        <f>IF($A586="","",IFERROR($G586-$G586*INDEX(tblKurallar[deger_2025],MATCH("AYD-004",tblKurallar[kural_id],0)),0))</f>
        <v/>
      </c>
    </row>
    <row r="587">
      <c r="A587" s="30" t="n"/>
      <c r="B587" s="30" t="n"/>
      <c r="C587" s="30" t="n"/>
      <c r="D587" s="30" t="n"/>
      <c r="E587" s="30" t="n"/>
      <c r="F587" s="30" t="n"/>
      <c r="G587" s="31">
        <f>IF($A587="","",IFERROR(ROUND(MAX(0,$B587*($D587-1)),2),0))</f>
        <v/>
      </c>
      <c r="H587" s="31">
        <f>IF($A587="","",IFERROR(ROUND($G587*INDEX(tblKurallar[deger_2025],MATCH("AYD-002",tblKurallar[kural_id],0)),2),0))</f>
        <v/>
      </c>
      <c r="I587" s="31">
        <f>IF($A587="","",IFERROR($G587-$G587*INDEX(tblKurallar[deger_2025],MATCH("AYD-004",tblKurallar[kural_id],0)),0))</f>
        <v/>
      </c>
    </row>
    <row r="588">
      <c r="A588" s="30" t="n"/>
      <c r="B588" s="30" t="n"/>
      <c r="C588" s="30" t="n"/>
      <c r="D588" s="30" t="n"/>
      <c r="E588" s="30" t="n"/>
      <c r="F588" s="30" t="n"/>
      <c r="G588" s="31">
        <f>IF($A588="","",IFERROR(ROUND(MAX(0,$B588*($D588-1)),2),0))</f>
        <v/>
      </c>
      <c r="H588" s="31">
        <f>IF($A588="","",IFERROR(ROUND($G588*INDEX(tblKurallar[deger_2025],MATCH("AYD-002",tblKurallar[kural_id],0)),2),0))</f>
        <v/>
      </c>
      <c r="I588" s="31">
        <f>IF($A588="","",IFERROR($G588-$G588*INDEX(tblKurallar[deger_2025],MATCH("AYD-004",tblKurallar[kural_id],0)),0))</f>
        <v/>
      </c>
    </row>
    <row r="589">
      <c r="A589" s="30" t="n"/>
      <c r="B589" s="30" t="n"/>
      <c r="C589" s="30" t="n"/>
      <c r="D589" s="30" t="n"/>
      <c r="E589" s="30" t="n"/>
      <c r="F589" s="30" t="n"/>
      <c r="G589" s="31">
        <f>IF($A589="","",IFERROR(ROUND(MAX(0,$B589*($D589-1)),2),0))</f>
        <v/>
      </c>
      <c r="H589" s="31">
        <f>IF($A589="","",IFERROR(ROUND($G589*INDEX(tblKurallar[deger_2025],MATCH("AYD-002",tblKurallar[kural_id],0)),2),0))</f>
        <v/>
      </c>
      <c r="I589" s="31">
        <f>IF($A589="","",IFERROR($G589-$G589*INDEX(tblKurallar[deger_2025],MATCH("AYD-004",tblKurallar[kural_id],0)),0))</f>
        <v/>
      </c>
    </row>
    <row r="590">
      <c r="A590" s="30" t="n"/>
      <c r="B590" s="30" t="n"/>
      <c r="C590" s="30" t="n"/>
      <c r="D590" s="30" t="n"/>
      <c r="E590" s="30" t="n"/>
      <c r="F590" s="30" t="n"/>
      <c r="G590" s="31">
        <f>IF($A590="","",IFERROR(ROUND(MAX(0,$B590*($D590-1)),2),0))</f>
        <v/>
      </c>
      <c r="H590" s="31">
        <f>IF($A590="","",IFERROR(ROUND($G590*INDEX(tblKurallar[deger_2025],MATCH("AYD-002",tblKurallar[kural_id],0)),2),0))</f>
        <v/>
      </c>
      <c r="I590" s="31">
        <f>IF($A590="","",IFERROR($G590-$G590*INDEX(tblKurallar[deger_2025],MATCH("AYD-004",tblKurallar[kural_id],0)),0))</f>
        <v/>
      </c>
    </row>
    <row r="591">
      <c r="A591" s="30" t="n"/>
      <c r="B591" s="30" t="n"/>
      <c r="C591" s="30" t="n"/>
      <c r="D591" s="30" t="n"/>
      <c r="E591" s="30" t="n"/>
      <c r="F591" s="30" t="n"/>
      <c r="G591" s="31">
        <f>IF($A591="","",IFERROR(ROUND(MAX(0,$B591*($D591-1)),2),0))</f>
        <v/>
      </c>
      <c r="H591" s="31">
        <f>IF($A591="","",IFERROR(ROUND($G591*INDEX(tblKurallar[deger_2025],MATCH("AYD-002",tblKurallar[kural_id],0)),2),0))</f>
        <v/>
      </c>
      <c r="I591" s="31">
        <f>IF($A591="","",IFERROR($G591-$G591*INDEX(tblKurallar[deger_2025],MATCH("AYD-004",tblKurallar[kural_id],0)),0))</f>
        <v/>
      </c>
    </row>
    <row r="592">
      <c r="A592" s="30" t="n"/>
      <c r="B592" s="30" t="n"/>
      <c r="C592" s="30" t="n"/>
      <c r="D592" s="30" t="n"/>
      <c r="E592" s="30" t="n"/>
      <c r="F592" s="30" t="n"/>
      <c r="G592" s="31">
        <f>IF($A592="","",IFERROR(ROUND(MAX(0,$B592*($D592-1)),2),0))</f>
        <v/>
      </c>
      <c r="H592" s="31">
        <f>IF($A592="","",IFERROR(ROUND($G592*INDEX(tblKurallar[deger_2025],MATCH("AYD-002",tblKurallar[kural_id],0)),2),0))</f>
        <v/>
      </c>
      <c r="I592" s="31">
        <f>IF($A592="","",IFERROR($G592-$G592*INDEX(tblKurallar[deger_2025],MATCH("AYD-004",tblKurallar[kural_id],0)),0))</f>
        <v/>
      </c>
    </row>
    <row r="593">
      <c r="A593" s="30" t="n"/>
      <c r="B593" s="30" t="n"/>
      <c r="C593" s="30" t="n"/>
      <c r="D593" s="30" t="n"/>
      <c r="E593" s="30" t="n"/>
      <c r="F593" s="30" t="n"/>
      <c r="G593" s="31">
        <f>IF($A593="","",IFERROR(ROUND(MAX(0,$B593*($D593-1)),2),0))</f>
        <v/>
      </c>
      <c r="H593" s="31">
        <f>IF($A593="","",IFERROR(ROUND($G593*INDEX(tblKurallar[deger_2025],MATCH("AYD-002",tblKurallar[kural_id],0)),2),0))</f>
        <v/>
      </c>
      <c r="I593" s="31">
        <f>IF($A593="","",IFERROR($G593-$G593*INDEX(tblKurallar[deger_2025],MATCH("AYD-004",tblKurallar[kural_id],0)),0))</f>
        <v/>
      </c>
    </row>
    <row r="594">
      <c r="A594" s="30" t="n"/>
      <c r="B594" s="30" t="n"/>
      <c r="C594" s="30" t="n"/>
      <c r="D594" s="30" t="n"/>
      <c r="E594" s="30" t="n"/>
      <c r="F594" s="30" t="n"/>
      <c r="G594" s="31">
        <f>IF($A594="","",IFERROR(ROUND(MAX(0,$B594*($D594-1)),2),0))</f>
        <v/>
      </c>
      <c r="H594" s="31">
        <f>IF($A594="","",IFERROR(ROUND($G594*INDEX(tblKurallar[deger_2025],MATCH("AYD-002",tblKurallar[kural_id],0)),2),0))</f>
        <v/>
      </c>
      <c r="I594" s="31">
        <f>IF($A594="","",IFERROR($G594-$G594*INDEX(tblKurallar[deger_2025],MATCH("AYD-004",tblKurallar[kural_id],0)),0))</f>
        <v/>
      </c>
    </row>
    <row r="595">
      <c r="A595" s="30" t="n"/>
      <c r="B595" s="30" t="n"/>
      <c r="C595" s="30" t="n"/>
      <c r="D595" s="30" t="n"/>
      <c r="E595" s="30" t="n"/>
      <c r="F595" s="30" t="n"/>
      <c r="G595" s="31">
        <f>IF($A595="","",IFERROR(ROUND(MAX(0,$B595*($D595-1)),2),0))</f>
        <v/>
      </c>
      <c r="H595" s="31">
        <f>IF($A595="","",IFERROR(ROUND($G595*INDEX(tblKurallar[deger_2025],MATCH("AYD-002",tblKurallar[kural_id],0)),2),0))</f>
        <v/>
      </c>
      <c r="I595" s="31">
        <f>IF($A595="","",IFERROR($G595-$G595*INDEX(tblKurallar[deger_2025],MATCH("AYD-004",tblKurallar[kural_id],0)),0))</f>
        <v/>
      </c>
    </row>
    <row r="596">
      <c r="A596" s="30" t="n"/>
      <c r="B596" s="30" t="n"/>
      <c r="C596" s="30" t="n"/>
      <c r="D596" s="30" t="n"/>
      <c r="E596" s="30" t="n"/>
      <c r="F596" s="30" t="n"/>
      <c r="G596" s="31">
        <f>IF($A596="","",IFERROR(ROUND(MAX(0,$B596*($D596-1)),2),0))</f>
        <v/>
      </c>
      <c r="H596" s="31">
        <f>IF($A596="","",IFERROR(ROUND($G596*INDEX(tblKurallar[deger_2025],MATCH("AYD-002",tblKurallar[kural_id],0)),2),0))</f>
        <v/>
      </c>
      <c r="I596" s="31">
        <f>IF($A596="","",IFERROR($G596-$G596*INDEX(tblKurallar[deger_2025],MATCH("AYD-004",tblKurallar[kural_id],0)),0))</f>
        <v/>
      </c>
    </row>
    <row r="597">
      <c r="A597" s="30" t="n"/>
      <c r="B597" s="30" t="n"/>
      <c r="C597" s="30" t="n"/>
      <c r="D597" s="30" t="n"/>
      <c r="E597" s="30" t="n"/>
      <c r="F597" s="30" t="n"/>
      <c r="G597" s="31">
        <f>IF($A597="","",IFERROR(ROUND(MAX(0,$B597*($D597-1)),2),0))</f>
        <v/>
      </c>
      <c r="H597" s="31">
        <f>IF($A597="","",IFERROR(ROUND($G597*INDEX(tblKurallar[deger_2025],MATCH("AYD-002",tblKurallar[kural_id],0)),2),0))</f>
        <v/>
      </c>
      <c r="I597" s="31">
        <f>IF($A597="","",IFERROR($G597-$G597*INDEX(tblKurallar[deger_2025],MATCH("AYD-004",tblKurallar[kural_id],0)),0))</f>
        <v/>
      </c>
    </row>
    <row r="598">
      <c r="A598" s="30" t="n"/>
      <c r="B598" s="30" t="n"/>
      <c r="C598" s="30" t="n"/>
      <c r="D598" s="30" t="n"/>
      <c r="E598" s="30" t="n"/>
      <c r="F598" s="30" t="n"/>
      <c r="G598" s="31">
        <f>IF($A598="","",IFERROR(ROUND(MAX(0,$B598*($D598-1)),2),0))</f>
        <v/>
      </c>
      <c r="H598" s="31">
        <f>IF($A598="","",IFERROR(ROUND($G598*INDEX(tblKurallar[deger_2025],MATCH("AYD-002",tblKurallar[kural_id],0)),2),0))</f>
        <v/>
      </c>
      <c r="I598" s="31">
        <f>IF($A598="","",IFERROR($G598-$G598*INDEX(tblKurallar[deger_2025],MATCH("AYD-004",tblKurallar[kural_id],0)),0))</f>
        <v/>
      </c>
    </row>
    <row r="599">
      <c r="A599" s="30" t="n"/>
      <c r="B599" s="30" t="n"/>
      <c r="C599" s="30" t="n"/>
      <c r="D599" s="30" t="n"/>
      <c r="E599" s="30" t="n"/>
      <c r="F599" s="30" t="n"/>
      <c r="G599" s="31">
        <f>IF($A599="","",IFERROR(ROUND(MAX(0,$B599*($D599-1)),2),0))</f>
        <v/>
      </c>
      <c r="H599" s="31">
        <f>IF($A599="","",IFERROR(ROUND($G599*INDEX(tblKurallar[deger_2025],MATCH("AYD-002",tblKurallar[kural_id],0)),2),0))</f>
        <v/>
      </c>
      <c r="I599" s="31">
        <f>IF($A599="","",IFERROR($G599-$G599*INDEX(tblKurallar[deger_2025],MATCH("AYD-004",tblKurallar[kural_id],0)),0))</f>
        <v/>
      </c>
    </row>
    <row r="600">
      <c r="A600" s="30" t="n"/>
      <c r="B600" s="30" t="n"/>
      <c r="C600" s="30" t="n"/>
      <c r="D600" s="30" t="n"/>
      <c r="E600" s="30" t="n"/>
      <c r="F600" s="30" t="n"/>
      <c r="G600" s="31">
        <f>IF($A600="","",IFERROR(ROUND(MAX(0,$B600*($D600-1)),2),0))</f>
        <v/>
      </c>
      <c r="H600" s="31">
        <f>IF($A600="","",IFERROR(ROUND($G600*INDEX(tblKurallar[deger_2025],MATCH("AYD-002",tblKurallar[kural_id],0)),2),0))</f>
        <v/>
      </c>
      <c r="I600" s="31">
        <f>IF($A600="","",IFERROR($G600-$G600*INDEX(tblKurallar[deger_2025],MATCH("AYD-004",tblKurallar[kural_id],0)),0))</f>
        <v/>
      </c>
    </row>
    <row r="601">
      <c r="A601" s="30" t="n"/>
      <c r="B601" s="30" t="n"/>
      <c r="C601" s="30" t="n"/>
      <c r="D601" s="30" t="n"/>
      <c r="E601" s="30" t="n"/>
      <c r="F601" s="30" t="n"/>
      <c r="G601" s="31">
        <f>IF($A601="","",IFERROR(ROUND(MAX(0,$B601*($D601-1)),2),0))</f>
        <v/>
      </c>
      <c r="H601" s="31">
        <f>IF($A601="","",IFERROR(ROUND($G601*INDEX(tblKurallar[deger_2025],MATCH("AYD-002",tblKurallar[kural_id],0)),2),0))</f>
        <v/>
      </c>
      <c r="I601" s="31">
        <f>IF($A601="","",IFERROR($G601-$G601*INDEX(tblKurallar[deger_2025],MATCH("AYD-004",tblKurallar[kural_id],0)),0))</f>
        <v/>
      </c>
    </row>
    <row r="602">
      <c r="A602" s="30" t="n"/>
      <c r="B602" s="30" t="n"/>
      <c r="C602" s="30" t="n"/>
      <c r="D602" s="30" t="n"/>
      <c r="E602" s="30" t="n"/>
      <c r="F602" s="30" t="n"/>
      <c r="G602" s="31">
        <f>IF($A602="","",IFERROR(ROUND(MAX(0,$B602*($D602-1)),2),0))</f>
        <v/>
      </c>
      <c r="H602" s="31">
        <f>IF($A602="","",IFERROR(ROUND($G602*INDEX(tblKurallar[deger_2025],MATCH("AYD-002",tblKurallar[kural_id],0)),2),0))</f>
        <v/>
      </c>
      <c r="I602" s="31">
        <f>IF($A602="","",IFERROR($G602-$G602*INDEX(tblKurallar[deger_2025],MATCH("AYD-004",tblKurallar[kural_id],0)),0))</f>
        <v/>
      </c>
    </row>
    <row r="603">
      <c r="A603" s="30" t="n"/>
      <c r="B603" s="30" t="n"/>
      <c r="C603" s="30" t="n"/>
      <c r="D603" s="30" t="n"/>
      <c r="E603" s="30" t="n"/>
      <c r="F603" s="30" t="n"/>
      <c r="G603" s="31">
        <f>IF($A603="","",IFERROR(ROUND(MAX(0,$B603*($D603-1)),2),0))</f>
        <v/>
      </c>
      <c r="H603" s="31">
        <f>IF($A603="","",IFERROR(ROUND($G603*INDEX(tblKurallar[deger_2025],MATCH("AYD-002",tblKurallar[kural_id],0)),2),0))</f>
        <v/>
      </c>
      <c r="I603" s="31">
        <f>IF($A603="","",IFERROR($G603-$G603*INDEX(tblKurallar[deger_2025],MATCH("AYD-004",tblKurallar[kural_id],0)),0))</f>
        <v/>
      </c>
    </row>
    <row r="604">
      <c r="A604" s="30" t="n"/>
      <c r="B604" s="30" t="n"/>
      <c r="C604" s="30" t="n"/>
      <c r="D604" s="30" t="n"/>
      <c r="E604" s="30" t="n"/>
      <c r="F604" s="30" t="n"/>
      <c r="G604" s="31">
        <f>IF($A604="","",IFERROR(ROUND(MAX(0,$B604*($D604-1)),2),0))</f>
        <v/>
      </c>
      <c r="H604" s="31">
        <f>IF($A604="","",IFERROR(ROUND($G604*INDEX(tblKurallar[deger_2025],MATCH("AYD-002",tblKurallar[kural_id],0)),2),0))</f>
        <v/>
      </c>
      <c r="I604" s="31">
        <f>IF($A604="","",IFERROR($G604-$G604*INDEX(tblKurallar[deger_2025],MATCH("AYD-004",tblKurallar[kural_id],0)),0))</f>
        <v/>
      </c>
    </row>
    <row r="605">
      <c r="A605" s="30" t="n"/>
      <c r="B605" s="30" t="n"/>
      <c r="C605" s="30" t="n"/>
      <c r="D605" s="30" t="n"/>
      <c r="E605" s="30" t="n"/>
      <c r="F605" s="30" t="n"/>
      <c r="G605" s="31">
        <f>IF($A605="","",IFERROR(ROUND(MAX(0,$B605*($D605-1)),2),0))</f>
        <v/>
      </c>
      <c r="H605" s="31">
        <f>IF($A605="","",IFERROR(ROUND($G605*INDEX(tblKurallar[deger_2025],MATCH("AYD-002",tblKurallar[kural_id],0)),2),0))</f>
        <v/>
      </c>
      <c r="I605" s="31">
        <f>IF($A605="","",IFERROR($G605-$G605*INDEX(tblKurallar[deger_2025],MATCH("AYD-004",tblKurallar[kural_id],0)),0))</f>
        <v/>
      </c>
    </row>
    <row r="606">
      <c r="A606" s="30" t="n"/>
      <c r="B606" s="30" t="n"/>
      <c r="C606" s="30" t="n"/>
      <c r="D606" s="30" t="n"/>
      <c r="E606" s="30" t="n"/>
      <c r="F606" s="30" t="n"/>
      <c r="G606" s="31">
        <f>IF($A606="","",IFERROR(ROUND(MAX(0,$B606*($D606-1)),2),0))</f>
        <v/>
      </c>
      <c r="H606" s="31">
        <f>IF($A606="","",IFERROR(ROUND($G606*INDEX(tblKurallar[deger_2025],MATCH("AYD-002",tblKurallar[kural_id],0)),2),0))</f>
        <v/>
      </c>
      <c r="I606" s="31">
        <f>IF($A606="","",IFERROR($G606-$G606*INDEX(tblKurallar[deger_2025],MATCH("AYD-004",tblKurallar[kural_id],0)),0))</f>
        <v/>
      </c>
    </row>
    <row r="607">
      <c r="A607" s="30" t="n"/>
      <c r="B607" s="30" t="n"/>
      <c r="C607" s="30" t="n"/>
      <c r="D607" s="30" t="n"/>
      <c r="E607" s="30" t="n"/>
      <c r="F607" s="30" t="n"/>
      <c r="G607" s="31">
        <f>IF($A607="","",IFERROR(ROUND(MAX(0,$B607*($D607-1)),2),0))</f>
        <v/>
      </c>
      <c r="H607" s="31">
        <f>IF($A607="","",IFERROR(ROUND($G607*INDEX(tblKurallar[deger_2025],MATCH("AYD-002",tblKurallar[kural_id],0)),2),0))</f>
        <v/>
      </c>
      <c r="I607" s="31">
        <f>IF($A607="","",IFERROR($G607-$G607*INDEX(tblKurallar[deger_2025],MATCH("AYD-004",tblKurallar[kural_id],0)),0))</f>
        <v/>
      </c>
    </row>
    <row r="608">
      <c r="A608" s="30" t="n"/>
      <c r="B608" s="30" t="n"/>
      <c r="C608" s="30" t="n"/>
      <c r="D608" s="30" t="n"/>
      <c r="E608" s="30" t="n"/>
      <c r="F608" s="30" t="n"/>
      <c r="G608" s="31">
        <f>IF($A608="","",IFERROR(ROUND(MAX(0,$B608*($D608-1)),2),0))</f>
        <v/>
      </c>
      <c r="H608" s="31">
        <f>IF($A608="","",IFERROR(ROUND($G608*INDEX(tblKurallar[deger_2025],MATCH("AYD-002",tblKurallar[kural_id],0)),2),0))</f>
        <v/>
      </c>
      <c r="I608" s="31">
        <f>IF($A608="","",IFERROR($G608-$G608*INDEX(tblKurallar[deger_2025],MATCH("AYD-004",tblKurallar[kural_id],0)),0))</f>
        <v/>
      </c>
    </row>
    <row r="609">
      <c r="A609" s="30" t="n"/>
      <c r="B609" s="30" t="n"/>
      <c r="C609" s="30" t="n"/>
      <c r="D609" s="30" t="n"/>
      <c r="E609" s="30" t="n"/>
      <c r="F609" s="30" t="n"/>
      <c r="G609" s="31">
        <f>IF($A609="","",IFERROR(ROUND(MAX(0,$B609*($D609-1)),2),0))</f>
        <v/>
      </c>
      <c r="H609" s="31">
        <f>IF($A609="","",IFERROR(ROUND($G609*INDEX(tblKurallar[deger_2025],MATCH("AYD-002",tblKurallar[kural_id],0)),2),0))</f>
        <v/>
      </c>
      <c r="I609" s="31">
        <f>IF($A609="","",IFERROR($G609-$G609*INDEX(tblKurallar[deger_2025],MATCH("AYD-004",tblKurallar[kural_id],0)),0))</f>
        <v/>
      </c>
    </row>
    <row r="610">
      <c r="A610" s="30" t="n"/>
      <c r="B610" s="30" t="n"/>
      <c r="C610" s="30" t="n"/>
      <c r="D610" s="30" t="n"/>
      <c r="E610" s="30" t="n"/>
      <c r="F610" s="30" t="n"/>
      <c r="G610" s="31">
        <f>IF($A610="","",IFERROR(ROUND(MAX(0,$B610*($D610-1)),2),0))</f>
        <v/>
      </c>
      <c r="H610" s="31">
        <f>IF($A610="","",IFERROR(ROUND($G610*INDEX(tblKurallar[deger_2025],MATCH("AYD-002",tblKurallar[kural_id],0)),2),0))</f>
        <v/>
      </c>
      <c r="I610" s="31">
        <f>IF($A610="","",IFERROR($G610-$G610*INDEX(tblKurallar[deger_2025],MATCH("AYD-004",tblKurallar[kural_id],0)),0))</f>
        <v/>
      </c>
    </row>
    <row r="611">
      <c r="A611" s="30" t="n"/>
      <c r="B611" s="30" t="n"/>
      <c r="C611" s="30" t="n"/>
      <c r="D611" s="30" t="n"/>
      <c r="E611" s="30" t="n"/>
      <c r="F611" s="30" t="n"/>
      <c r="G611" s="31">
        <f>IF($A611="","",IFERROR(ROUND(MAX(0,$B611*($D611-1)),2),0))</f>
        <v/>
      </c>
      <c r="H611" s="31">
        <f>IF($A611="","",IFERROR(ROUND($G611*INDEX(tblKurallar[deger_2025],MATCH("AYD-002",tblKurallar[kural_id],0)),2),0))</f>
        <v/>
      </c>
      <c r="I611" s="31">
        <f>IF($A611="","",IFERROR($G611-$G611*INDEX(tblKurallar[deger_2025],MATCH("AYD-004",tblKurallar[kural_id],0)),0))</f>
        <v/>
      </c>
    </row>
    <row r="612">
      <c r="A612" s="30" t="n"/>
      <c r="B612" s="30" t="n"/>
      <c r="C612" s="30" t="n"/>
      <c r="D612" s="30" t="n"/>
      <c r="E612" s="30" t="n"/>
      <c r="F612" s="30" t="n"/>
      <c r="G612" s="31">
        <f>IF($A612="","",IFERROR(ROUND(MAX(0,$B612*($D612-1)),2),0))</f>
        <v/>
      </c>
      <c r="H612" s="31">
        <f>IF($A612="","",IFERROR(ROUND($G612*INDEX(tblKurallar[deger_2025],MATCH("AYD-002",tblKurallar[kural_id],0)),2),0))</f>
        <v/>
      </c>
      <c r="I612" s="31">
        <f>IF($A612="","",IFERROR($G612-$G612*INDEX(tblKurallar[deger_2025],MATCH("AYD-004",tblKurallar[kural_id],0)),0))</f>
        <v/>
      </c>
    </row>
    <row r="613">
      <c r="A613" s="30" t="n"/>
      <c r="B613" s="30" t="n"/>
      <c r="C613" s="30" t="n"/>
      <c r="D613" s="30" t="n"/>
      <c r="E613" s="30" t="n"/>
      <c r="F613" s="30" t="n"/>
      <c r="G613" s="31">
        <f>IF($A613="","",IFERROR(ROUND(MAX(0,$B613*($D613-1)),2),0))</f>
        <v/>
      </c>
      <c r="H613" s="31">
        <f>IF($A613="","",IFERROR(ROUND($G613*INDEX(tblKurallar[deger_2025],MATCH("AYD-002",tblKurallar[kural_id],0)),2),0))</f>
        <v/>
      </c>
      <c r="I613" s="31">
        <f>IF($A613="","",IFERROR($G613-$G613*INDEX(tblKurallar[deger_2025],MATCH("AYD-004",tblKurallar[kural_id],0)),0))</f>
        <v/>
      </c>
    </row>
    <row r="614">
      <c r="A614" s="30" t="n"/>
      <c r="B614" s="30" t="n"/>
      <c r="C614" s="30" t="n"/>
      <c r="D614" s="30" t="n"/>
      <c r="E614" s="30" t="n"/>
      <c r="F614" s="30" t="n"/>
      <c r="G614" s="31">
        <f>IF($A614="","",IFERROR(ROUND(MAX(0,$B614*($D614-1)),2),0))</f>
        <v/>
      </c>
      <c r="H614" s="31">
        <f>IF($A614="","",IFERROR(ROUND($G614*INDEX(tblKurallar[deger_2025],MATCH("AYD-002",tblKurallar[kural_id],0)),2),0))</f>
        <v/>
      </c>
      <c r="I614" s="31">
        <f>IF($A614="","",IFERROR($G614-$G614*INDEX(tblKurallar[deger_2025],MATCH("AYD-004",tblKurallar[kural_id],0)),0))</f>
        <v/>
      </c>
    </row>
    <row r="615">
      <c r="A615" s="30" t="n"/>
      <c r="B615" s="30" t="n"/>
      <c r="C615" s="30" t="n"/>
      <c r="D615" s="30" t="n"/>
      <c r="E615" s="30" t="n"/>
      <c r="F615" s="30" t="n"/>
      <c r="G615" s="31">
        <f>IF($A615="","",IFERROR(ROUND(MAX(0,$B615*($D615-1)),2),0))</f>
        <v/>
      </c>
      <c r="H615" s="31">
        <f>IF($A615="","",IFERROR(ROUND($G615*INDEX(tblKurallar[deger_2025],MATCH("AYD-002",tblKurallar[kural_id],0)),2),0))</f>
        <v/>
      </c>
      <c r="I615" s="31">
        <f>IF($A615="","",IFERROR($G615-$G615*INDEX(tblKurallar[deger_2025],MATCH("AYD-004",tblKurallar[kural_id],0)),0))</f>
        <v/>
      </c>
    </row>
    <row r="616">
      <c r="A616" s="30" t="n"/>
      <c r="B616" s="30" t="n"/>
      <c r="C616" s="30" t="n"/>
      <c r="D616" s="30" t="n"/>
      <c r="E616" s="30" t="n"/>
      <c r="F616" s="30" t="n"/>
      <c r="G616" s="31">
        <f>IF($A616="","",IFERROR(ROUND(MAX(0,$B616*($D616-1)),2),0))</f>
        <v/>
      </c>
      <c r="H616" s="31">
        <f>IF($A616="","",IFERROR(ROUND($G616*INDEX(tblKurallar[deger_2025],MATCH("AYD-002",tblKurallar[kural_id],0)),2),0))</f>
        <v/>
      </c>
      <c r="I616" s="31">
        <f>IF($A616="","",IFERROR($G616-$G616*INDEX(tblKurallar[deger_2025],MATCH("AYD-004",tblKurallar[kural_id],0)),0))</f>
        <v/>
      </c>
    </row>
    <row r="617">
      <c r="A617" s="30" t="n"/>
      <c r="B617" s="30" t="n"/>
      <c r="C617" s="30" t="n"/>
      <c r="D617" s="30" t="n"/>
      <c r="E617" s="30" t="n"/>
      <c r="F617" s="30" t="n"/>
      <c r="G617" s="31">
        <f>IF($A617="","",IFERROR(ROUND(MAX(0,$B617*($D617-1)),2),0))</f>
        <v/>
      </c>
      <c r="H617" s="31">
        <f>IF($A617="","",IFERROR(ROUND($G617*INDEX(tblKurallar[deger_2025],MATCH("AYD-002",tblKurallar[kural_id],0)),2),0))</f>
        <v/>
      </c>
      <c r="I617" s="31">
        <f>IF($A617="","",IFERROR($G617-$G617*INDEX(tblKurallar[deger_2025],MATCH("AYD-004",tblKurallar[kural_id],0)),0))</f>
        <v/>
      </c>
    </row>
    <row r="618">
      <c r="A618" s="30" t="n"/>
      <c r="B618" s="30" t="n"/>
      <c r="C618" s="30" t="n"/>
      <c r="D618" s="30" t="n"/>
      <c r="E618" s="30" t="n"/>
      <c r="F618" s="30" t="n"/>
      <c r="G618" s="31">
        <f>IF($A618="","",IFERROR(ROUND(MAX(0,$B618*($D618-1)),2),0))</f>
        <v/>
      </c>
      <c r="H618" s="31">
        <f>IF($A618="","",IFERROR(ROUND($G618*INDEX(tblKurallar[deger_2025],MATCH("AYD-002",tblKurallar[kural_id],0)),2),0))</f>
        <v/>
      </c>
      <c r="I618" s="31">
        <f>IF($A618="","",IFERROR($G618-$G618*INDEX(tblKurallar[deger_2025],MATCH("AYD-004",tblKurallar[kural_id],0)),0))</f>
        <v/>
      </c>
    </row>
    <row r="619">
      <c r="A619" s="30" t="n"/>
      <c r="B619" s="30" t="n"/>
      <c r="C619" s="30" t="n"/>
      <c r="D619" s="30" t="n"/>
      <c r="E619" s="30" t="n"/>
      <c r="F619" s="30" t="n"/>
      <c r="G619" s="31">
        <f>IF($A619="","",IFERROR(ROUND(MAX(0,$B619*($D619-1)),2),0))</f>
        <v/>
      </c>
      <c r="H619" s="31">
        <f>IF($A619="","",IFERROR(ROUND($G619*INDEX(tblKurallar[deger_2025],MATCH("AYD-002",tblKurallar[kural_id],0)),2),0))</f>
        <v/>
      </c>
      <c r="I619" s="31">
        <f>IF($A619="","",IFERROR($G619-$G619*INDEX(tblKurallar[deger_2025],MATCH("AYD-004",tblKurallar[kural_id],0)),0))</f>
        <v/>
      </c>
    </row>
    <row r="620">
      <c r="A620" s="30" t="n"/>
      <c r="B620" s="30" t="n"/>
      <c r="C620" s="30" t="n"/>
      <c r="D620" s="30" t="n"/>
      <c r="E620" s="30" t="n"/>
      <c r="F620" s="30" t="n"/>
      <c r="G620" s="31">
        <f>IF($A620="","",IFERROR(ROUND(MAX(0,$B620*($D620-1)),2),0))</f>
        <v/>
      </c>
      <c r="H620" s="31">
        <f>IF($A620="","",IFERROR(ROUND($G620*INDEX(tblKurallar[deger_2025],MATCH("AYD-002",tblKurallar[kural_id],0)),2),0))</f>
        <v/>
      </c>
      <c r="I620" s="31">
        <f>IF($A620="","",IFERROR($G620-$G620*INDEX(tblKurallar[deger_2025],MATCH("AYD-004",tblKurallar[kural_id],0)),0))</f>
        <v/>
      </c>
    </row>
    <row r="621">
      <c r="A621" s="30" t="n"/>
      <c r="B621" s="30" t="n"/>
      <c r="C621" s="30" t="n"/>
      <c r="D621" s="30" t="n"/>
      <c r="E621" s="30" t="n"/>
      <c r="F621" s="30" t="n"/>
      <c r="G621" s="31">
        <f>IF($A621="","",IFERROR(ROUND(MAX(0,$B621*($D621-1)),2),0))</f>
        <v/>
      </c>
      <c r="H621" s="31">
        <f>IF($A621="","",IFERROR(ROUND($G621*INDEX(tblKurallar[deger_2025],MATCH("AYD-002",tblKurallar[kural_id],0)),2),0))</f>
        <v/>
      </c>
      <c r="I621" s="31">
        <f>IF($A621="","",IFERROR($G621-$G621*INDEX(tblKurallar[deger_2025],MATCH("AYD-004",tblKurallar[kural_id],0)),0))</f>
        <v/>
      </c>
    </row>
    <row r="622">
      <c r="A622" s="30" t="n"/>
      <c r="B622" s="30" t="n"/>
      <c r="C622" s="30" t="n"/>
      <c r="D622" s="30" t="n"/>
      <c r="E622" s="30" t="n"/>
      <c r="F622" s="30" t="n"/>
      <c r="G622" s="31">
        <f>IF($A622="","",IFERROR(ROUND(MAX(0,$B622*($D622-1)),2),0))</f>
        <v/>
      </c>
      <c r="H622" s="31">
        <f>IF($A622="","",IFERROR(ROUND($G622*INDEX(tblKurallar[deger_2025],MATCH("AYD-002",tblKurallar[kural_id],0)),2),0))</f>
        <v/>
      </c>
      <c r="I622" s="31">
        <f>IF($A622="","",IFERROR($G622-$G622*INDEX(tblKurallar[deger_2025],MATCH("AYD-004",tblKurallar[kural_id],0)),0))</f>
        <v/>
      </c>
    </row>
    <row r="623">
      <c r="A623" s="30" t="n"/>
      <c r="B623" s="30" t="n"/>
      <c r="C623" s="30" t="n"/>
      <c r="D623" s="30" t="n"/>
      <c r="E623" s="30" t="n"/>
      <c r="F623" s="30" t="n"/>
      <c r="G623" s="31">
        <f>IF($A623="","",IFERROR(ROUND(MAX(0,$B623*($D623-1)),2),0))</f>
        <v/>
      </c>
      <c r="H623" s="31">
        <f>IF($A623="","",IFERROR(ROUND($G623*INDEX(tblKurallar[deger_2025],MATCH("AYD-002",tblKurallar[kural_id],0)),2),0))</f>
        <v/>
      </c>
      <c r="I623" s="31">
        <f>IF($A623="","",IFERROR($G623-$G623*INDEX(tblKurallar[deger_2025],MATCH("AYD-004",tblKurallar[kural_id],0)),0))</f>
        <v/>
      </c>
    </row>
    <row r="624">
      <c r="A624" s="30" t="n"/>
      <c r="B624" s="30" t="n"/>
      <c r="C624" s="30" t="n"/>
      <c r="D624" s="30" t="n"/>
      <c r="E624" s="30" t="n"/>
      <c r="F624" s="30" t="n"/>
      <c r="G624" s="31">
        <f>IF($A624="","",IFERROR(ROUND(MAX(0,$B624*($D624-1)),2),0))</f>
        <v/>
      </c>
      <c r="H624" s="31">
        <f>IF($A624="","",IFERROR(ROUND($G624*INDEX(tblKurallar[deger_2025],MATCH("AYD-002",tblKurallar[kural_id],0)),2),0))</f>
        <v/>
      </c>
      <c r="I624" s="31">
        <f>IF($A624="","",IFERROR($G624-$G624*INDEX(tblKurallar[deger_2025],MATCH("AYD-004",tblKurallar[kural_id],0)),0))</f>
        <v/>
      </c>
    </row>
    <row r="625">
      <c r="A625" s="30" t="n"/>
      <c r="B625" s="30" t="n"/>
      <c r="C625" s="30" t="n"/>
      <c r="D625" s="30" t="n"/>
      <c r="E625" s="30" t="n"/>
      <c r="F625" s="30" t="n"/>
      <c r="G625" s="31">
        <f>IF($A625="","",IFERROR(ROUND(MAX(0,$B625*($D625-1)),2),0))</f>
        <v/>
      </c>
      <c r="H625" s="31">
        <f>IF($A625="","",IFERROR(ROUND($G625*INDEX(tblKurallar[deger_2025],MATCH("AYD-002",tblKurallar[kural_id],0)),2),0))</f>
        <v/>
      </c>
      <c r="I625" s="31">
        <f>IF($A625="","",IFERROR($G625-$G625*INDEX(tblKurallar[deger_2025],MATCH("AYD-004",tblKurallar[kural_id],0)),0))</f>
        <v/>
      </c>
    </row>
    <row r="626">
      <c r="A626" s="30" t="n"/>
      <c r="B626" s="30" t="n"/>
      <c r="C626" s="30" t="n"/>
      <c r="D626" s="30" t="n"/>
      <c r="E626" s="30" t="n"/>
      <c r="F626" s="30" t="n"/>
      <c r="G626" s="31">
        <f>IF($A626="","",IFERROR(ROUND(MAX(0,$B626*($D626-1)),2),0))</f>
        <v/>
      </c>
      <c r="H626" s="31">
        <f>IF($A626="","",IFERROR(ROUND($G626*INDEX(tblKurallar[deger_2025],MATCH("AYD-002",tblKurallar[kural_id],0)),2),0))</f>
        <v/>
      </c>
      <c r="I626" s="31">
        <f>IF($A626="","",IFERROR($G626-$G626*INDEX(tblKurallar[deger_2025],MATCH("AYD-004",tblKurallar[kural_id],0)),0))</f>
        <v/>
      </c>
    </row>
    <row r="627">
      <c r="A627" s="30" t="n"/>
      <c r="B627" s="30" t="n"/>
      <c r="C627" s="30" t="n"/>
      <c r="D627" s="30" t="n"/>
      <c r="E627" s="30" t="n"/>
      <c r="F627" s="30" t="n"/>
      <c r="G627" s="31">
        <f>IF($A627="","",IFERROR(ROUND(MAX(0,$B627*($D627-1)),2),0))</f>
        <v/>
      </c>
      <c r="H627" s="31">
        <f>IF($A627="","",IFERROR(ROUND($G627*INDEX(tblKurallar[deger_2025],MATCH("AYD-002",tblKurallar[kural_id],0)),2),0))</f>
        <v/>
      </c>
      <c r="I627" s="31">
        <f>IF($A627="","",IFERROR($G627-$G627*INDEX(tblKurallar[deger_2025],MATCH("AYD-004",tblKurallar[kural_id],0)),0))</f>
        <v/>
      </c>
    </row>
    <row r="628">
      <c r="A628" s="30" t="n"/>
      <c r="B628" s="30" t="n"/>
      <c r="C628" s="30" t="n"/>
      <c r="D628" s="30" t="n"/>
      <c r="E628" s="30" t="n"/>
      <c r="F628" s="30" t="n"/>
      <c r="G628" s="31">
        <f>IF($A628="","",IFERROR(ROUND(MAX(0,$B628*($D628-1)),2),0))</f>
        <v/>
      </c>
      <c r="H628" s="31">
        <f>IF($A628="","",IFERROR(ROUND($G628*INDEX(tblKurallar[deger_2025],MATCH("AYD-002",tblKurallar[kural_id],0)),2),0))</f>
        <v/>
      </c>
      <c r="I628" s="31">
        <f>IF($A628="","",IFERROR($G628-$G628*INDEX(tblKurallar[deger_2025],MATCH("AYD-004",tblKurallar[kural_id],0)),0))</f>
        <v/>
      </c>
    </row>
    <row r="629">
      <c r="A629" s="30" t="n"/>
      <c r="B629" s="30" t="n"/>
      <c r="C629" s="30" t="n"/>
      <c r="D629" s="30" t="n"/>
      <c r="E629" s="30" t="n"/>
      <c r="F629" s="30" t="n"/>
      <c r="G629" s="31">
        <f>IF($A629="","",IFERROR(ROUND(MAX(0,$B629*($D629-1)),2),0))</f>
        <v/>
      </c>
      <c r="H629" s="31">
        <f>IF($A629="","",IFERROR(ROUND($G629*INDEX(tblKurallar[deger_2025],MATCH("AYD-002",tblKurallar[kural_id],0)),2),0))</f>
        <v/>
      </c>
      <c r="I629" s="31">
        <f>IF($A629="","",IFERROR($G629-$G629*INDEX(tblKurallar[deger_2025],MATCH("AYD-004",tblKurallar[kural_id],0)),0))</f>
        <v/>
      </c>
    </row>
    <row r="630">
      <c r="A630" s="30" t="n"/>
      <c r="B630" s="30" t="n"/>
      <c r="C630" s="30" t="n"/>
      <c r="D630" s="30" t="n"/>
      <c r="E630" s="30" t="n"/>
      <c r="F630" s="30" t="n"/>
      <c r="G630" s="31">
        <f>IF($A630="","",IFERROR(ROUND(MAX(0,$B630*($D630-1)),2),0))</f>
        <v/>
      </c>
      <c r="H630" s="31">
        <f>IF($A630="","",IFERROR(ROUND($G630*INDEX(tblKurallar[deger_2025],MATCH("AYD-002",tblKurallar[kural_id],0)),2),0))</f>
        <v/>
      </c>
      <c r="I630" s="31">
        <f>IF($A630="","",IFERROR($G630-$G630*INDEX(tblKurallar[deger_2025],MATCH("AYD-004",tblKurallar[kural_id],0)),0))</f>
        <v/>
      </c>
    </row>
    <row r="631">
      <c r="A631" s="30" t="n"/>
      <c r="B631" s="30" t="n"/>
      <c r="C631" s="30" t="n"/>
      <c r="D631" s="30" t="n"/>
      <c r="E631" s="30" t="n"/>
      <c r="F631" s="30" t="n"/>
      <c r="G631" s="31">
        <f>IF($A631="","",IFERROR(ROUND(MAX(0,$B631*($D631-1)),2),0))</f>
        <v/>
      </c>
      <c r="H631" s="31">
        <f>IF($A631="","",IFERROR(ROUND($G631*INDEX(tblKurallar[deger_2025],MATCH("AYD-002",tblKurallar[kural_id],0)),2),0))</f>
        <v/>
      </c>
      <c r="I631" s="31">
        <f>IF($A631="","",IFERROR($G631-$G631*INDEX(tblKurallar[deger_2025],MATCH("AYD-004",tblKurallar[kural_id],0)),0))</f>
        <v/>
      </c>
    </row>
    <row r="632">
      <c r="A632" s="30" t="n"/>
      <c r="B632" s="30" t="n"/>
      <c r="C632" s="30" t="n"/>
      <c r="D632" s="30" t="n"/>
      <c r="E632" s="30" t="n"/>
      <c r="F632" s="30" t="n"/>
      <c r="G632" s="31">
        <f>IF($A632="","",IFERROR(ROUND(MAX(0,$B632*($D632-1)),2),0))</f>
        <v/>
      </c>
      <c r="H632" s="31">
        <f>IF($A632="","",IFERROR(ROUND($G632*INDEX(tblKurallar[deger_2025],MATCH("AYD-002",tblKurallar[kural_id],0)),2),0))</f>
        <v/>
      </c>
      <c r="I632" s="31">
        <f>IF($A632="","",IFERROR($G632-$G632*INDEX(tblKurallar[deger_2025],MATCH("AYD-004",tblKurallar[kural_id],0)),0))</f>
        <v/>
      </c>
    </row>
    <row r="633">
      <c r="A633" s="30" t="n"/>
      <c r="B633" s="30" t="n"/>
      <c r="C633" s="30" t="n"/>
      <c r="D633" s="30" t="n"/>
      <c r="E633" s="30" t="n"/>
      <c r="F633" s="30" t="n"/>
      <c r="G633" s="31">
        <f>IF($A633="","",IFERROR(ROUND(MAX(0,$B633*($D633-1)),2),0))</f>
        <v/>
      </c>
      <c r="H633" s="31">
        <f>IF($A633="","",IFERROR(ROUND($G633*INDEX(tblKurallar[deger_2025],MATCH("AYD-002",tblKurallar[kural_id],0)),2),0))</f>
        <v/>
      </c>
      <c r="I633" s="31">
        <f>IF($A633="","",IFERROR($G633-$G633*INDEX(tblKurallar[deger_2025],MATCH("AYD-004",tblKurallar[kural_id],0)),0))</f>
        <v/>
      </c>
    </row>
    <row r="634">
      <c r="A634" s="30" t="n"/>
      <c r="B634" s="30" t="n"/>
      <c r="C634" s="30" t="n"/>
      <c r="D634" s="30" t="n"/>
      <c r="E634" s="30" t="n"/>
      <c r="F634" s="30" t="n"/>
      <c r="G634" s="31">
        <f>IF($A634="","",IFERROR(ROUND(MAX(0,$B634*($D634-1)),2),0))</f>
        <v/>
      </c>
      <c r="H634" s="31">
        <f>IF($A634="","",IFERROR(ROUND($G634*INDEX(tblKurallar[deger_2025],MATCH("AYD-002",tblKurallar[kural_id],0)),2),0))</f>
        <v/>
      </c>
      <c r="I634" s="31">
        <f>IF($A634="","",IFERROR($G634-$G634*INDEX(tblKurallar[deger_2025],MATCH("AYD-004",tblKurallar[kural_id],0)),0))</f>
        <v/>
      </c>
    </row>
    <row r="635">
      <c r="A635" s="30" t="n"/>
      <c r="B635" s="30" t="n"/>
      <c r="C635" s="30" t="n"/>
      <c r="D635" s="30" t="n"/>
      <c r="E635" s="30" t="n"/>
      <c r="F635" s="30" t="n"/>
      <c r="G635" s="31">
        <f>IF($A635="","",IFERROR(ROUND(MAX(0,$B635*($D635-1)),2),0))</f>
        <v/>
      </c>
      <c r="H635" s="31">
        <f>IF($A635="","",IFERROR(ROUND($G635*INDEX(tblKurallar[deger_2025],MATCH("AYD-002",tblKurallar[kural_id],0)),2),0))</f>
        <v/>
      </c>
      <c r="I635" s="31">
        <f>IF($A635="","",IFERROR($G635-$G635*INDEX(tblKurallar[deger_2025],MATCH("AYD-004",tblKurallar[kural_id],0)),0))</f>
        <v/>
      </c>
    </row>
    <row r="636">
      <c r="A636" s="30" t="n"/>
      <c r="B636" s="30" t="n"/>
      <c r="C636" s="30" t="n"/>
      <c r="D636" s="30" t="n"/>
      <c r="E636" s="30" t="n"/>
      <c r="F636" s="30" t="n"/>
      <c r="G636" s="31">
        <f>IF($A636="","",IFERROR(ROUND(MAX(0,$B636*($D636-1)),2),0))</f>
        <v/>
      </c>
      <c r="H636" s="31">
        <f>IF($A636="","",IFERROR(ROUND($G636*INDEX(tblKurallar[deger_2025],MATCH("AYD-002",tblKurallar[kural_id],0)),2),0))</f>
        <v/>
      </c>
      <c r="I636" s="31">
        <f>IF($A636="","",IFERROR($G636-$G636*INDEX(tblKurallar[deger_2025],MATCH("AYD-004",tblKurallar[kural_id],0)),0))</f>
        <v/>
      </c>
    </row>
    <row r="637">
      <c r="A637" s="30" t="n"/>
      <c r="B637" s="30" t="n"/>
      <c r="C637" s="30" t="n"/>
      <c r="D637" s="30" t="n"/>
      <c r="E637" s="30" t="n"/>
      <c r="F637" s="30" t="n"/>
      <c r="G637" s="31">
        <f>IF($A637="","",IFERROR(ROUND(MAX(0,$B637*($D637-1)),2),0))</f>
        <v/>
      </c>
      <c r="H637" s="31">
        <f>IF($A637="","",IFERROR(ROUND($G637*INDEX(tblKurallar[deger_2025],MATCH("AYD-002",tblKurallar[kural_id],0)),2),0))</f>
        <v/>
      </c>
      <c r="I637" s="31">
        <f>IF($A637="","",IFERROR($G637-$G637*INDEX(tblKurallar[deger_2025],MATCH("AYD-004",tblKurallar[kural_id],0)),0))</f>
        <v/>
      </c>
    </row>
    <row r="638">
      <c r="A638" s="30" t="n"/>
      <c r="B638" s="30" t="n"/>
      <c r="C638" s="30" t="n"/>
      <c r="D638" s="30" t="n"/>
      <c r="E638" s="30" t="n"/>
      <c r="F638" s="30" t="n"/>
      <c r="G638" s="31">
        <f>IF($A638="","",IFERROR(ROUND(MAX(0,$B638*($D638-1)),2),0))</f>
        <v/>
      </c>
      <c r="H638" s="31">
        <f>IF($A638="","",IFERROR(ROUND($G638*INDEX(tblKurallar[deger_2025],MATCH("AYD-002",tblKurallar[kural_id],0)),2),0))</f>
        <v/>
      </c>
      <c r="I638" s="31">
        <f>IF($A638="","",IFERROR($G638-$G638*INDEX(tblKurallar[deger_2025],MATCH("AYD-004",tblKurallar[kural_id],0)),0))</f>
        <v/>
      </c>
    </row>
    <row r="639">
      <c r="A639" s="30" t="n"/>
      <c r="B639" s="30" t="n"/>
      <c r="C639" s="30" t="n"/>
      <c r="D639" s="30" t="n"/>
      <c r="E639" s="30" t="n"/>
      <c r="F639" s="30" t="n"/>
      <c r="G639" s="31">
        <f>IF($A639="","",IFERROR(ROUND(MAX(0,$B639*($D639-1)),2),0))</f>
        <v/>
      </c>
      <c r="H639" s="31">
        <f>IF($A639="","",IFERROR(ROUND($G639*INDEX(tblKurallar[deger_2025],MATCH("AYD-002",tblKurallar[kural_id],0)),2),0))</f>
        <v/>
      </c>
      <c r="I639" s="31">
        <f>IF($A639="","",IFERROR($G639-$G639*INDEX(tblKurallar[deger_2025],MATCH("AYD-004",tblKurallar[kural_id],0)),0))</f>
        <v/>
      </c>
    </row>
    <row r="640">
      <c r="A640" s="30" t="n"/>
      <c r="B640" s="30" t="n"/>
      <c r="C640" s="30" t="n"/>
      <c r="D640" s="30" t="n"/>
      <c r="E640" s="30" t="n"/>
      <c r="F640" s="30" t="n"/>
      <c r="G640" s="31">
        <f>IF($A640="","",IFERROR(ROUND(MAX(0,$B640*($D640-1)),2),0))</f>
        <v/>
      </c>
      <c r="H640" s="31">
        <f>IF($A640="","",IFERROR(ROUND($G640*INDEX(tblKurallar[deger_2025],MATCH("AYD-002",tblKurallar[kural_id],0)),2),0))</f>
        <v/>
      </c>
      <c r="I640" s="31">
        <f>IF($A640="","",IFERROR($G640-$G640*INDEX(tblKurallar[deger_2025],MATCH("AYD-004",tblKurallar[kural_id],0)),0))</f>
        <v/>
      </c>
    </row>
    <row r="641">
      <c r="A641" s="30" t="n"/>
      <c r="B641" s="30" t="n"/>
      <c r="C641" s="30" t="n"/>
      <c r="D641" s="30" t="n"/>
      <c r="E641" s="30" t="n"/>
      <c r="F641" s="30" t="n"/>
      <c r="G641" s="31">
        <f>IF($A641="","",IFERROR(ROUND(MAX(0,$B641*($D641-1)),2),0))</f>
        <v/>
      </c>
      <c r="H641" s="31">
        <f>IF($A641="","",IFERROR(ROUND($G641*INDEX(tblKurallar[deger_2025],MATCH("AYD-002",tblKurallar[kural_id],0)),2),0))</f>
        <v/>
      </c>
      <c r="I641" s="31">
        <f>IF($A641="","",IFERROR($G641-$G641*INDEX(tblKurallar[deger_2025],MATCH("AYD-004",tblKurallar[kural_id],0)),0))</f>
        <v/>
      </c>
    </row>
    <row r="642">
      <c r="A642" s="30" t="n"/>
      <c r="B642" s="30" t="n"/>
      <c r="C642" s="30" t="n"/>
      <c r="D642" s="30" t="n"/>
      <c r="E642" s="30" t="n"/>
      <c r="F642" s="30" t="n"/>
      <c r="G642" s="31">
        <f>IF($A642="","",IFERROR(ROUND(MAX(0,$B642*($D642-1)),2),0))</f>
        <v/>
      </c>
      <c r="H642" s="31">
        <f>IF($A642="","",IFERROR(ROUND($G642*INDEX(tblKurallar[deger_2025],MATCH("AYD-002",tblKurallar[kural_id],0)),2),0))</f>
        <v/>
      </c>
      <c r="I642" s="31">
        <f>IF($A642="","",IFERROR($G642-$G642*INDEX(tblKurallar[deger_2025],MATCH("AYD-004",tblKurallar[kural_id],0)),0))</f>
        <v/>
      </c>
    </row>
    <row r="643">
      <c r="A643" s="30" t="n"/>
      <c r="B643" s="30" t="n"/>
      <c r="C643" s="30" t="n"/>
      <c r="D643" s="30" t="n"/>
      <c r="E643" s="30" t="n"/>
      <c r="F643" s="30" t="n"/>
      <c r="G643" s="31">
        <f>IF($A643="","",IFERROR(ROUND(MAX(0,$B643*($D643-1)),2),0))</f>
        <v/>
      </c>
      <c r="H643" s="31">
        <f>IF($A643="","",IFERROR(ROUND($G643*INDEX(tblKurallar[deger_2025],MATCH("AYD-002",tblKurallar[kural_id],0)),2),0))</f>
        <v/>
      </c>
      <c r="I643" s="31">
        <f>IF($A643="","",IFERROR($G643-$G643*INDEX(tblKurallar[deger_2025],MATCH("AYD-004",tblKurallar[kural_id],0)),0))</f>
        <v/>
      </c>
    </row>
    <row r="644">
      <c r="A644" s="30" t="n"/>
      <c r="B644" s="30" t="n"/>
      <c r="C644" s="30" t="n"/>
      <c r="D644" s="30" t="n"/>
      <c r="E644" s="30" t="n"/>
      <c r="F644" s="30" t="n"/>
      <c r="G644" s="31">
        <f>IF($A644="","",IFERROR(ROUND(MAX(0,$B644*($D644-1)),2),0))</f>
        <v/>
      </c>
      <c r="H644" s="31">
        <f>IF($A644="","",IFERROR(ROUND($G644*INDEX(tblKurallar[deger_2025],MATCH("AYD-002",tblKurallar[kural_id],0)),2),0))</f>
        <v/>
      </c>
      <c r="I644" s="31">
        <f>IF($A644="","",IFERROR($G644-$G644*INDEX(tblKurallar[deger_2025],MATCH("AYD-004",tblKurallar[kural_id],0)),0))</f>
        <v/>
      </c>
    </row>
    <row r="645">
      <c r="A645" s="30" t="n"/>
      <c r="B645" s="30" t="n"/>
      <c r="C645" s="30" t="n"/>
      <c r="D645" s="30" t="n"/>
      <c r="E645" s="30" t="n"/>
      <c r="F645" s="30" t="n"/>
      <c r="G645" s="31">
        <f>IF($A645="","",IFERROR(ROUND(MAX(0,$B645*($D645-1)),2),0))</f>
        <v/>
      </c>
      <c r="H645" s="31">
        <f>IF($A645="","",IFERROR(ROUND($G645*INDEX(tblKurallar[deger_2025],MATCH("AYD-002",tblKurallar[kural_id],0)),2),0))</f>
        <v/>
      </c>
      <c r="I645" s="31">
        <f>IF($A645="","",IFERROR($G645-$G645*INDEX(tblKurallar[deger_2025],MATCH("AYD-004",tblKurallar[kural_id],0)),0))</f>
        <v/>
      </c>
    </row>
    <row r="646">
      <c r="A646" s="30" t="n"/>
      <c r="B646" s="30" t="n"/>
      <c r="C646" s="30" t="n"/>
      <c r="D646" s="30" t="n"/>
      <c r="E646" s="30" t="n"/>
      <c r="F646" s="30" t="n"/>
      <c r="G646" s="31">
        <f>IF($A646="","",IFERROR(ROUND(MAX(0,$B646*($D646-1)),2),0))</f>
        <v/>
      </c>
      <c r="H646" s="31">
        <f>IF($A646="","",IFERROR(ROUND($G646*INDEX(tblKurallar[deger_2025],MATCH("AYD-002",tblKurallar[kural_id],0)),2),0))</f>
        <v/>
      </c>
      <c r="I646" s="31">
        <f>IF($A646="","",IFERROR($G646-$G646*INDEX(tblKurallar[deger_2025],MATCH("AYD-004",tblKurallar[kural_id],0)),0))</f>
        <v/>
      </c>
    </row>
    <row r="647">
      <c r="A647" s="30" t="n"/>
      <c r="B647" s="30" t="n"/>
      <c r="C647" s="30" t="n"/>
      <c r="D647" s="30" t="n"/>
      <c r="E647" s="30" t="n"/>
      <c r="F647" s="30" t="n"/>
      <c r="G647" s="31">
        <f>IF($A647="","",IFERROR(ROUND(MAX(0,$B647*($D647-1)),2),0))</f>
        <v/>
      </c>
      <c r="H647" s="31">
        <f>IF($A647="","",IFERROR(ROUND($G647*INDEX(tblKurallar[deger_2025],MATCH("AYD-002",tblKurallar[kural_id],0)),2),0))</f>
        <v/>
      </c>
      <c r="I647" s="31">
        <f>IF($A647="","",IFERROR($G647-$G647*INDEX(tblKurallar[deger_2025],MATCH("AYD-004",tblKurallar[kural_id],0)),0))</f>
        <v/>
      </c>
    </row>
    <row r="648">
      <c r="A648" s="30" t="n"/>
      <c r="B648" s="30" t="n"/>
      <c r="C648" s="30" t="n"/>
      <c r="D648" s="30" t="n"/>
      <c r="E648" s="30" t="n"/>
      <c r="F648" s="30" t="n"/>
      <c r="G648" s="31">
        <f>IF($A648="","",IFERROR(ROUND(MAX(0,$B648*($D648-1)),2),0))</f>
        <v/>
      </c>
      <c r="H648" s="31">
        <f>IF($A648="","",IFERROR(ROUND($G648*INDEX(tblKurallar[deger_2025],MATCH("AYD-002",tblKurallar[kural_id],0)),2),0))</f>
        <v/>
      </c>
      <c r="I648" s="31">
        <f>IF($A648="","",IFERROR($G648-$G648*INDEX(tblKurallar[deger_2025],MATCH("AYD-004",tblKurallar[kural_id],0)),0))</f>
        <v/>
      </c>
    </row>
    <row r="649">
      <c r="A649" s="30" t="n"/>
      <c r="B649" s="30" t="n"/>
      <c r="C649" s="30" t="n"/>
      <c r="D649" s="30" t="n"/>
      <c r="E649" s="30" t="n"/>
      <c r="F649" s="30" t="n"/>
      <c r="G649" s="31">
        <f>IF($A649="","",IFERROR(ROUND(MAX(0,$B649*($D649-1)),2),0))</f>
        <v/>
      </c>
      <c r="H649" s="31">
        <f>IF($A649="","",IFERROR(ROUND($G649*INDEX(tblKurallar[deger_2025],MATCH("AYD-002",tblKurallar[kural_id],0)),2),0))</f>
        <v/>
      </c>
      <c r="I649" s="31">
        <f>IF($A649="","",IFERROR($G649-$G649*INDEX(tblKurallar[deger_2025],MATCH("AYD-004",tblKurallar[kural_id],0)),0))</f>
        <v/>
      </c>
    </row>
    <row r="650">
      <c r="A650" s="30" t="n"/>
      <c r="B650" s="30" t="n"/>
      <c r="C650" s="30" t="n"/>
      <c r="D650" s="30" t="n"/>
      <c r="E650" s="30" t="n"/>
      <c r="F650" s="30" t="n"/>
      <c r="G650" s="31">
        <f>IF($A650="","",IFERROR(ROUND(MAX(0,$B650*($D650-1)),2),0))</f>
        <v/>
      </c>
      <c r="H650" s="31">
        <f>IF($A650="","",IFERROR(ROUND($G650*INDEX(tblKurallar[deger_2025],MATCH("AYD-002",tblKurallar[kural_id],0)),2),0))</f>
        <v/>
      </c>
      <c r="I650" s="31">
        <f>IF($A650="","",IFERROR($G650-$G650*INDEX(tblKurallar[deger_2025],MATCH("AYD-004",tblKurallar[kural_id],0)),0))</f>
        <v/>
      </c>
    </row>
    <row r="651">
      <c r="A651" s="30" t="n"/>
      <c r="B651" s="30" t="n"/>
      <c r="C651" s="30" t="n"/>
      <c r="D651" s="30" t="n"/>
      <c r="E651" s="30" t="n"/>
      <c r="F651" s="30" t="n"/>
      <c r="G651" s="31">
        <f>IF($A651="","",IFERROR(ROUND(MAX(0,$B651*($D651-1)),2),0))</f>
        <v/>
      </c>
      <c r="H651" s="31">
        <f>IF($A651="","",IFERROR(ROUND($G651*INDEX(tblKurallar[deger_2025],MATCH("AYD-002",tblKurallar[kural_id],0)),2),0))</f>
        <v/>
      </c>
      <c r="I651" s="31">
        <f>IF($A651="","",IFERROR($G651-$G651*INDEX(tblKurallar[deger_2025],MATCH("AYD-004",tblKurallar[kural_id],0)),0))</f>
        <v/>
      </c>
    </row>
    <row r="652">
      <c r="A652" s="30" t="n"/>
      <c r="B652" s="30" t="n"/>
      <c r="C652" s="30" t="n"/>
      <c r="D652" s="30" t="n"/>
      <c r="E652" s="30" t="n"/>
      <c r="F652" s="30" t="n"/>
      <c r="G652" s="31">
        <f>IF($A652="","",IFERROR(ROUND(MAX(0,$B652*($D652-1)),2),0))</f>
        <v/>
      </c>
      <c r="H652" s="31">
        <f>IF($A652="","",IFERROR(ROUND($G652*INDEX(tblKurallar[deger_2025],MATCH("AYD-002",tblKurallar[kural_id],0)),2),0))</f>
        <v/>
      </c>
      <c r="I652" s="31">
        <f>IF($A652="","",IFERROR($G652-$G652*INDEX(tblKurallar[deger_2025],MATCH("AYD-004",tblKurallar[kural_id],0)),0))</f>
        <v/>
      </c>
    </row>
    <row r="653">
      <c r="A653" s="30" t="n"/>
      <c r="B653" s="30" t="n"/>
      <c r="C653" s="30" t="n"/>
      <c r="D653" s="30" t="n"/>
      <c r="E653" s="30" t="n"/>
      <c r="F653" s="30" t="n"/>
      <c r="G653" s="31">
        <f>IF($A653="","",IFERROR(ROUND(MAX(0,$B653*($D653-1)),2),0))</f>
        <v/>
      </c>
      <c r="H653" s="31">
        <f>IF($A653="","",IFERROR(ROUND($G653*INDEX(tblKurallar[deger_2025],MATCH("AYD-002",tblKurallar[kural_id],0)),2),0))</f>
        <v/>
      </c>
      <c r="I653" s="31">
        <f>IF($A653="","",IFERROR($G653-$G653*INDEX(tblKurallar[deger_2025],MATCH("AYD-004",tblKurallar[kural_id],0)),0))</f>
        <v/>
      </c>
    </row>
    <row r="654">
      <c r="A654" s="30" t="n"/>
      <c r="B654" s="30" t="n"/>
      <c r="C654" s="30" t="n"/>
      <c r="D654" s="30" t="n"/>
      <c r="E654" s="30" t="n"/>
      <c r="F654" s="30" t="n"/>
      <c r="G654" s="31">
        <f>IF($A654="","",IFERROR(ROUND(MAX(0,$B654*($D654-1)),2),0))</f>
        <v/>
      </c>
      <c r="H654" s="31">
        <f>IF($A654="","",IFERROR(ROUND($G654*INDEX(tblKurallar[deger_2025],MATCH("AYD-002",tblKurallar[kural_id],0)),2),0))</f>
        <v/>
      </c>
      <c r="I654" s="31">
        <f>IF($A654="","",IFERROR($G654-$G654*INDEX(tblKurallar[deger_2025],MATCH("AYD-004",tblKurallar[kural_id],0)),0))</f>
        <v/>
      </c>
    </row>
    <row r="655">
      <c r="A655" s="30" t="n"/>
      <c r="B655" s="30" t="n"/>
      <c r="C655" s="30" t="n"/>
      <c r="D655" s="30" t="n"/>
      <c r="E655" s="30" t="n"/>
      <c r="F655" s="30" t="n"/>
      <c r="G655" s="31">
        <f>IF($A655="","",IFERROR(ROUND(MAX(0,$B655*($D655-1)),2),0))</f>
        <v/>
      </c>
      <c r="H655" s="31">
        <f>IF($A655="","",IFERROR(ROUND($G655*INDEX(tblKurallar[deger_2025],MATCH("AYD-002",tblKurallar[kural_id],0)),2),0))</f>
        <v/>
      </c>
      <c r="I655" s="31">
        <f>IF($A655="","",IFERROR($G655-$G655*INDEX(tblKurallar[deger_2025],MATCH("AYD-004",tblKurallar[kural_id],0)),0))</f>
        <v/>
      </c>
    </row>
    <row r="656">
      <c r="A656" s="30" t="n"/>
      <c r="B656" s="30" t="n"/>
      <c r="C656" s="30" t="n"/>
      <c r="D656" s="30" t="n"/>
      <c r="E656" s="30" t="n"/>
      <c r="F656" s="30" t="n"/>
      <c r="G656" s="31">
        <f>IF($A656="","",IFERROR(ROUND(MAX(0,$B656*($D656-1)),2),0))</f>
        <v/>
      </c>
      <c r="H656" s="31">
        <f>IF($A656="","",IFERROR(ROUND($G656*INDEX(tblKurallar[deger_2025],MATCH("AYD-002",tblKurallar[kural_id],0)),2),0))</f>
        <v/>
      </c>
      <c r="I656" s="31">
        <f>IF($A656="","",IFERROR($G656-$G656*INDEX(tblKurallar[deger_2025],MATCH("AYD-004",tblKurallar[kural_id],0)),0))</f>
        <v/>
      </c>
    </row>
    <row r="657">
      <c r="A657" s="30" t="n"/>
      <c r="B657" s="30" t="n"/>
      <c r="C657" s="30" t="n"/>
      <c r="D657" s="30" t="n"/>
      <c r="E657" s="30" t="n"/>
      <c r="F657" s="30" t="n"/>
      <c r="G657" s="31">
        <f>IF($A657="","",IFERROR(ROUND(MAX(0,$B657*($D657-1)),2),0))</f>
        <v/>
      </c>
      <c r="H657" s="31">
        <f>IF($A657="","",IFERROR(ROUND($G657*INDEX(tblKurallar[deger_2025],MATCH("AYD-002",tblKurallar[kural_id],0)),2),0))</f>
        <v/>
      </c>
      <c r="I657" s="31">
        <f>IF($A657="","",IFERROR($G657-$G657*INDEX(tblKurallar[deger_2025],MATCH("AYD-004",tblKurallar[kural_id],0)),0))</f>
        <v/>
      </c>
    </row>
    <row r="658">
      <c r="A658" s="30" t="n"/>
      <c r="B658" s="30" t="n"/>
      <c r="C658" s="30" t="n"/>
      <c r="D658" s="30" t="n"/>
      <c r="E658" s="30" t="n"/>
      <c r="F658" s="30" t="n"/>
      <c r="G658" s="31">
        <f>IF($A658="","",IFERROR(ROUND(MAX(0,$B658*($D658-1)),2),0))</f>
        <v/>
      </c>
      <c r="H658" s="31">
        <f>IF($A658="","",IFERROR(ROUND($G658*INDEX(tblKurallar[deger_2025],MATCH("AYD-002",tblKurallar[kural_id],0)),2),0))</f>
        <v/>
      </c>
      <c r="I658" s="31">
        <f>IF($A658="","",IFERROR($G658-$G658*INDEX(tblKurallar[deger_2025],MATCH("AYD-004",tblKurallar[kural_id],0)),0))</f>
        <v/>
      </c>
    </row>
    <row r="659">
      <c r="A659" s="30" t="n"/>
      <c r="B659" s="30" t="n"/>
      <c r="C659" s="30" t="n"/>
      <c r="D659" s="30" t="n"/>
      <c r="E659" s="30" t="n"/>
      <c r="F659" s="30" t="n"/>
      <c r="G659" s="31">
        <f>IF($A659="","",IFERROR(ROUND(MAX(0,$B659*($D659-1)),2),0))</f>
        <v/>
      </c>
      <c r="H659" s="31">
        <f>IF($A659="","",IFERROR(ROUND($G659*INDEX(tblKurallar[deger_2025],MATCH("AYD-002",tblKurallar[kural_id],0)),2),0))</f>
        <v/>
      </c>
      <c r="I659" s="31">
        <f>IF($A659="","",IFERROR($G659-$G659*INDEX(tblKurallar[deger_2025],MATCH("AYD-004",tblKurallar[kural_id],0)),0))</f>
        <v/>
      </c>
    </row>
    <row r="660">
      <c r="A660" s="30" t="n"/>
      <c r="B660" s="30" t="n"/>
      <c r="C660" s="30" t="n"/>
      <c r="D660" s="30" t="n"/>
      <c r="E660" s="30" t="n"/>
      <c r="F660" s="30" t="n"/>
      <c r="G660" s="31">
        <f>IF($A660="","",IFERROR(ROUND(MAX(0,$B660*($D660-1)),2),0))</f>
        <v/>
      </c>
      <c r="H660" s="31">
        <f>IF($A660="","",IFERROR(ROUND($G660*INDEX(tblKurallar[deger_2025],MATCH("AYD-002",tblKurallar[kural_id],0)),2),0))</f>
        <v/>
      </c>
      <c r="I660" s="31">
        <f>IF($A660="","",IFERROR($G660-$G660*INDEX(tblKurallar[deger_2025],MATCH("AYD-004",tblKurallar[kural_id],0)),0))</f>
        <v/>
      </c>
    </row>
    <row r="661">
      <c r="A661" s="30" t="n"/>
      <c r="B661" s="30" t="n"/>
      <c r="C661" s="30" t="n"/>
      <c r="D661" s="30" t="n"/>
      <c r="E661" s="30" t="n"/>
      <c r="F661" s="30" t="n"/>
      <c r="G661" s="31">
        <f>IF($A661="","",IFERROR(ROUND(MAX(0,$B661*($D661-1)),2),0))</f>
        <v/>
      </c>
      <c r="H661" s="31">
        <f>IF($A661="","",IFERROR(ROUND($G661*INDEX(tblKurallar[deger_2025],MATCH("AYD-002",tblKurallar[kural_id],0)),2),0))</f>
        <v/>
      </c>
      <c r="I661" s="31">
        <f>IF($A661="","",IFERROR($G661-$G661*INDEX(tblKurallar[deger_2025],MATCH("AYD-004",tblKurallar[kural_id],0)),0))</f>
        <v/>
      </c>
    </row>
    <row r="662">
      <c r="A662" s="30" t="n"/>
      <c r="B662" s="30" t="n"/>
      <c r="C662" s="30" t="n"/>
      <c r="D662" s="30" t="n"/>
      <c r="E662" s="30" t="n"/>
      <c r="F662" s="30" t="n"/>
      <c r="G662" s="31">
        <f>IF($A662="","",IFERROR(ROUND(MAX(0,$B662*($D662-1)),2),0))</f>
        <v/>
      </c>
      <c r="H662" s="31">
        <f>IF($A662="","",IFERROR(ROUND($G662*INDEX(tblKurallar[deger_2025],MATCH("AYD-002",tblKurallar[kural_id],0)),2),0))</f>
        <v/>
      </c>
      <c r="I662" s="31">
        <f>IF($A662="","",IFERROR($G662-$G662*INDEX(tblKurallar[deger_2025],MATCH("AYD-004",tblKurallar[kural_id],0)),0))</f>
        <v/>
      </c>
    </row>
    <row r="663">
      <c r="A663" s="30" t="n"/>
      <c r="B663" s="30" t="n"/>
      <c r="C663" s="30" t="n"/>
      <c r="D663" s="30" t="n"/>
      <c r="E663" s="30" t="n"/>
      <c r="F663" s="30" t="n"/>
      <c r="G663" s="31">
        <f>IF($A663="","",IFERROR(ROUND(MAX(0,$B663*($D663-1)),2),0))</f>
        <v/>
      </c>
      <c r="H663" s="31">
        <f>IF($A663="","",IFERROR(ROUND($G663*INDEX(tblKurallar[deger_2025],MATCH("AYD-002",tblKurallar[kural_id],0)),2),0))</f>
        <v/>
      </c>
      <c r="I663" s="31">
        <f>IF($A663="","",IFERROR($G663-$G663*INDEX(tblKurallar[deger_2025],MATCH("AYD-004",tblKurallar[kural_id],0)),0))</f>
        <v/>
      </c>
    </row>
    <row r="664">
      <c r="A664" s="30" t="n"/>
      <c r="B664" s="30" t="n"/>
      <c r="C664" s="30" t="n"/>
      <c r="D664" s="30" t="n"/>
      <c r="E664" s="30" t="n"/>
      <c r="F664" s="30" t="n"/>
      <c r="G664" s="31">
        <f>IF($A664="","",IFERROR(ROUND(MAX(0,$B664*($D664-1)),2),0))</f>
        <v/>
      </c>
      <c r="H664" s="31">
        <f>IF($A664="","",IFERROR(ROUND($G664*INDEX(tblKurallar[deger_2025],MATCH("AYD-002",tblKurallar[kural_id],0)),2),0))</f>
        <v/>
      </c>
      <c r="I664" s="31">
        <f>IF($A664="","",IFERROR($G664-$G664*INDEX(tblKurallar[deger_2025],MATCH("AYD-004",tblKurallar[kural_id],0)),0))</f>
        <v/>
      </c>
    </row>
    <row r="665">
      <c r="A665" s="30" t="n"/>
      <c r="B665" s="30" t="n"/>
      <c r="C665" s="30" t="n"/>
      <c r="D665" s="30" t="n"/>
      <c r="E665" s="30" t="n"/>
      <c r="F665" s="30" t="n"/>
      <c r="G665" s="31">
        <f>IF($A665="","",IFERROR(ROUND(MAX(0,$B665*($D665-1)),2),0))</f>
        <v/>
      </c>
      <c r="H665" s="31">
        <f>IF($A665="","",IFERROR(ROUND($G665*INDEX(tblKurallar[deger_2025],MATCH("AYD-002",tblKurallar[kural_id],0)),2),0))</f>
        <v/>
      </c>
      <c r="I665" s="31">
        <f>IF($A665="","",IFERROR($G665-$G665*INDEX(tblKurallar[deger_2025],MATCH("AYD-004",tblKurallar[kural_id],0)),0))</f>
        <v/>
      </c>
    </row>
    <row r="666">
      <c r="A666" s="30" t="n"/>
      <c r="B666" s="30" t="n"/>
      <c r="C666" s="30" t="n"/>
      <c r="D666" s="30" t="n"/>
      <c r="E666" s="30" t="n"/>
      <c r="F666" s="30" t="n"/>
      <c r="G666" s="31">
        <f>IF($A666="","",IFERROR(ROUND(MAX(0,$B666*($D666-1)),2),0))</f>
        <v/>
      </c>
      <c r="H666" s="31">
        <f>IF($A666="","",IFERROR(ROUND($G666*INDEX(tblKurallar[deger_2025],MATCH("AYD-002",tblKurallar[kural_id],0)),2),0))</f>
        <v/>
      </c>
      <c r="I666" s="31">
        <f>IF($A666="","",IFERROR($G666-$G666*INDEX(tblKurallar[deger_2025],MATCH("AYD-004",tblKurallar[kural_id],0)),0))</f>
        <v/>
      </c>
    </row>
    <row r="667">
      <c r="A667" s="30" t="n"/>
      <c r="B667" s="30" t="n"/>
      <c r="C667" s="30" t="n"/>
      <c r="D667" s="30" t="n"/>
      <c r="E667" s="30" t="n"/>
      <c r="F667" s="30" t="n"/>
      <c r="G667" s="31">
        <f>IF($A667="","",IFERROR(ROUND(MAX(0,$B667*($D667-1)),2),0))</f>
        <v/>
      </c>
      <c r="H667" s="31">
        <f>IF($A667="","",IFERROR(ROUND($G667*INDEX(tblKurallar[deger_2025],MATCH("AYD-002",tblKurallar[kural_id],0)),2),0))</f>
        <v/>
      </c>
      <c r="I667" s="31">
        <f>IF($A667="","",IFERROR($G667-$G667*INDEX(tblKurallar[deger_2025],MATCH("AYD-004",tblKurallar[kural_id],0)),0))</f>
        <v/>
      </c>
    </row>
    <row r="668">
      <c r="A668" s="30" t="n"/>
      <c r="B668" s="30" t="n"/>
      <c r="C668" s="30" t="n"/>
      <c r="D668" s="30" t="n"/>
      <c r="E668" s="30" t="n"/>
      <c r="F668" s="30" t="n"/>
      <c r="G668" s="31">
        <f>IF($A668="","",IFERROR(ROUND(MAX(0,$B668*($D668-1)),2),0))</f>
        <v/>
      </c>
      <c r="H668" s="31">
        <f>IF($A668="","",IFERROR(ROUND($G668*INDEX(tblKurallar[deger_2025],MATCH("AYD-002",tblKurallar[kural_id],0)),2),0))</f>
        <v/>
      </c>
      <c r="I668" s="31">
        <f>IF($A668="","",IFERROR($G668-$G668*INDEX(tblKurallar[deger_2025],MATCH("AYD-004",tblKurallar[kural_id],0)),0))</f>
        <v/>
      </c>
    </row>
    <row r="669">
      <c r="A669" s="30" t="n"/>
      <c r="B669" s="30" t="n"/>
      <c r="C669" s="30" t="n"/>
      <c r="D669" s="30" t="n"/>
      <c r="E669" s="30" t="n"/>
      <c r="F669" s="30" t="n"/>
      <c r="G669" s="31">
        <f>IF($A669="","",IFERROR(ROUND(MAX(0,$B669*($D669-1)),2),0))</f>
        <v/>
      </c>
      <c r="H669" s="31">
        <f>IF($A669="","",IFERROR(ROUND($G669*INDEX(tblKurallar[deger_2025],MATCH("AYD-002",tblKurallar[kural_id],0)),2),0))</f>
        <v/>
      </c>
      <c r="I669" s="31">
        <f>IF($A669="","",IFERROR($G669-$G669*INDEX(tblKurallar[deger_2025],MATCH("AYD-004",tblKurallar[kural_id],0)),0))</f>
        <v/>
      </c>
    </row>
    <row r="670">
      <c r="A670" s="30" t="n"/>
      <c r="B670" s="30" t="n"/>
      <c r="C670" s="30" t="n"/>
      <c r="D670" s="30" t="n"/>
      <c r="E670" s="30" t="n"/>
      <c r="F670" s="30" t="n"/>
      <c r="G670" s="31">
        <f>IF($A670="","",IFERROR(ROUND(MAX(0,$B670*($D670-1)),2),0))</f>
        <v/>
      </c>
      <c r="H670" s="31">
        <f>IF($A670="","",IFERROR(ROUND($G670*INDEX(tblKurallar[deger_2025],MATCH("AYD-002",tblKurallar[kural_id],0)),2),0))</f>
        <v/>
      </c>
      <c r="I670" s="31">
        <f>IF($A670="","",IFERROR($G670-$G670*INDEX(tblKurallar[deger_2025],MATCH("AYD-004",tblKurallar[kural_id],0)),0))</f>
        <v/>
      </c>
    </row>
    <row r="671">
      <c r="A671" s="30" t="n"/>
      <c r="B671" s="30" t="n"/>
      <c r="C671" s="30" t="n"/>
      <c r="D671" s="30" t="n"/>
      <c r="E671" s="30" t="n"/>
      <c r="F671" s="30" t="n"/>
      <c r="G671" s="31">
        <f>IF($A671="","",IFERROR(ROUND(MAX(0,$B671*($D671-1)),2),0))</f>
        <v/>
      </c>
      <c r="H671" s="31">
        <f>IF($A671="","",IFERROR(ROUND($G671*INDEX(tblKurallar[deger_2025],MATCH("AYD-002",tblKurallar[kural_id],0)),2),0))</f>
        <v/>
      </c>
      <c r="I671" s="31">
        <f>IF($A671="","",IFERROR($G671-$G671*INDEX(tblKurallar[deger_2025],MATCH("AYD-004",tblKurallar[kural_id],0)),0))</f>
        <v/>
      </c>
    </row>
    <row r="672">
      <c r="A672" s="30" t="n"/>
      <c r="B672" s="30" t="n"/>
      <c r="C672" s="30" t="n"/>
      <c r="D672" s="30" t="n"/>
      <c r="E672" s="30" t="n"/>
      <c r="F672" s="30" t="n"/>
      <c r="G672" s="31">
        <f>IF($A672="","",IFERROR(ROUND(MAX(0,$B672*($D672-1)),2),0))</f>
        <v/>
      </c>
      <c r="H672" s="31">
        <f>IF($A672="","",IFERROR(ROUND($G672*INDEX(tblKurallar[deger_2025],MATCH("AYD-002",tblKurallar[kural_id],0)),2),0))</f>
        <v/>
      </c>
      <c r="I672" s="31">
        <f>IF($A672="","",IFERROR($G672-$G672*INDEX(tblKurallar[deger_2025],MATCH("AYD-004",tblKurallar[kural_id],0)),0))</f>
        <v/>
      </c>
    </row>
    <row r="673">
      <c r="A673" s="30" t="n"/>
      <c r="B673" s="30" t="n"/>
      <c r="C673" s="30" t="n"/>
      <c r="D673" s="30" t="n"/>
      <c r="E673" s="30" t="n"/>
      <c r="F673" s="30" t="n"/>
      <c r="G673" s="31">
        <f>IF($A673="","",IFERROR(ROUND(MAX(0,$B673*($D673-1)),2),0))</f>
        <v/>
      </c>
      <c r="H673" s="31">
        <f>IF($A673="","",IFERROR(ROUND($G673*INDEX(tblKurallar[deger_2025],MATCH("AYD-002",tblKurallar[kural_id],0)),2),0))</f>
        <v/>
      </c>
      <c r="I673" s="31">
        <f>IF($A673="","",IFERROR($G673-$G673*INDEX(tblKurallar[deger_2025],MATCH("AYD-004",tblKurallar[kural_id],0)),0))</f>
        <v/>
      </c>
    </row>
    <row r="674">
      <c r="A674" s="30" t="n"/>
      <c r="B674" s="30" t="n"/>
      <c r="C674" s="30" t="n"/>
      <c r="D674" s="30" t="n"/>
      <c r="E674" s="30" t="n"/>
      <c r="F674" s="30" t="n"/>
      <c r="G674" s="31">
        <f>IF($A674="","",IFERROR(ROUND(MAX(0,$B674*($D674-1)),2),0))</f>
        <v/>
      </c>
      <c r="H674" s="31">
        <f>IF($A674="","",IFERROR(ROUND($G674*INDEX(tblKurallar[deger_2025],MATCH("AYD-002",tblKurallar[kural_id],0)),2),0))</f>
        <v/>
      </c>
      <c r="I674" s="31">
        <f>IF($A674="","",IFERROR($G674-$G674*INDEX(tblKurallar[deger_2025],MATCH("AYD-004",tblKurallar[kural_id],0)),0))</f>
        <v/>
      </c>
    </row>
    <row r="675">
      <c r="A675" s="30" t="n"/>
      <c r="B675" s="30" t="n"/>
      <c r="C675" s="30" t="n"/>
      <c r="D675" s="30" t="n"/>
      <c r="E675" s="30" t="n"/>
      <c r="F675" s="30" t="n"/>
      <c r="G675" s="31">
        <f>IF($A675="","",IFERROR(ROUND(MAX(0,$B675*($D675-1)),2),0))</f>
        <v/>
      </c>
      <c r="H675" s="31">
        <f>IF($A675="","",IFERROR(ROUND($G675*INDEX(tblKurallar[deger_2025],MATCH("AYD-002",tblKurallar[kural_id],0)),2),0))</f>
        <v/>
      </c>
      <c r="I675" s="31">
        <f>IF($A675="","",IFERROR($G675-$G675*INDEX(tblKurallar[deger_2025],MATCH("AYD-004",tblKurallar[kural_id],0)),0))</f>
        <v/>
      </c>
    </row>
    <row r="676">
      <c r="A676" s="30" t="n"/>
      <c r="B676" s="30" t="n"/>
      <c r="C676" s="30" t="n"/>
      <c r="D676" s="30" t="n"/>
      <c r="E676" s="30" t="n"/>
      <c r="F676" s="30" t="n"/>
      <c r="G676" s="31">
        <f>IF($A676="","",IFERROR(ROUND(MAX(0,$B676*($D676-1)),2),0))</f>
        <v/>
      </c>
      <c r="H676" s="31">
        <f>IF($A676="","",IFERROR(ROUND($G676*INDEX(tblKurallar[deger_2025],MATCH("AYD-002",tblKurallar[kural_id],0)),2),0))</f>
        <v/>
      </c>
      <c r="I676" s="31">
        <f>IF($A676="","",IFERROR($G676-$G676*INDEX(tblKurallar[deger_2025],MATCH("AYD-004",tblKurallar[kural_id],0)),0))</f>
        <v/>
      </c>
    </row>
    <row r="677">
      <c r="A677" s="30" t="n"/>
      <c r="B677" s="30" t="n"/>
      <c r="C677" s="30" t="n"/>
      <c r="D677" s="30" t="n"/>
      <c r="E677" s="30" t="n"/>
      <c r="F677" s="30" t="n"/>
      <c r="G677" s="31">
        <f>IF($A677="","",IFERROR(ROUND(MAX(0,$B677*($D677-1)),2),0))</f>
        <v/>
      </c>
      <c r="H677" s="31">
        <f>IF($A677="","",IFERROR(ROUND($G677*INDEX(tblKurallar[deger_2025],MATCH("AYD-002",tblKurallar[kural_id],0)),2),0))</f>
        <v/>
      </c>
      <c r="I677" s="31">
        <f>IF($A677="","",IFERROR($G677-$G677*INDEX(tblKurallar[deger_2025],MATCH("AYD-004",tblKurallar[kural_id],0)),0))</f>
        <v/>
      </c>
    </row>
    <row r="678">
      <c r="A678" s="30" t="n"/>
      <c r="B678" s="30" t="n"/>
      <c r="C678" s="30" t="n"/>
      <c r="D678" s="30" t="n"/>
      <c r="E678" s="30" t="n"/>
      <c r="F678" s="30" t="n"/>
      <c r="G678" s="31">
        <f>IF($A678="","",IFERROR(ROUND(MAX(0,$B678*($D678-1)),2),0))</f>
        <v/>
      </c>
      <c r="H678" s="31">
        <f>IF($A678="","",IFERROR(ROUND($G678*INDEX(tblKurallar[deger_2025],MATCH("AYD-002",tblKurallar[kural_id],0)),2),0))</f>
        <v/>
      </c>
      <c r="I678" s="31">
        <f>IF($A678="","",IFERROR($G678-$G678*INDEX(tblKurallar[deger_2025],MATCH("AYD-004",tblKurallar[kural_id],0)),0))</f>
        <v/>
      </c>
    </row>
    <row r="679">
      <c r="A679" s="30" t="n"/>
      <c r="B679" s="30" t="n"/>
      <c r="C679" s="30" t="n"/>
      <c r="D679" s="30" t="n"/>
      <c r="E679" s="30" t="n"/>
      <c r="F679" s="30" t="n"/>
      <c r="G679" s="31">
        <f>IF($A679="","",IFERROR(ROUND(MAX(0,$B679*($D679-1)),2),0))</f>
        <v/>
      </c>
      <c r="H679" s="31">
        <f>IF($A679="","",IFERROR(ROUND($G679*INDEX(tblKurallar[deger_2025],MATCH("AYD-002",tblKurallar[kural_id],0)),2),0))</f>
        <v/>
      </c>
      <c r="I679" s="31">
        <f>IF($A679="","",IFERROR($G679-$G679*INDEX(tblKurallar[deger_2025],MATCH("AYD-004",tblKurallar[kural_id],0)),0))</f>
        <v/>
      </c>
    </row>
    <row r="680">
      <c r="A680" s="30" t="n"/>
      <c r="B680" s="30" t="n"/>
      <c r="C680" s="30" t="n"/>
      <c r="D680" s="30" t="n"/>
      <c r="E680" s="30" t="n"/>
      <c r="F680" s="30" t="n"/>
      <c r="G680" s="31">
        <f>IF($A680="","",IFERROR(ROUND(MAX(0,$B680*($D680-1)),2),0))</f>
        <v/>
      </c>
      <c r="H680" s="31">
        <f>IF($A680="","",IFERROR(ROUND($G680*INDEX(tblKurallar[deger_2025],MATCH("AYD-002",tblKurallar[kural_id],0)),2),0))</f>
        <v/>
      </c>
      <c r="I680" s="31">
        <f>IF($A680="","",IFERROR($G680-$G680*INDEX(tblKurallar[deger_2025],MATCH("AYD-004",tblKurallar[kural_id],0)),0))</f>
        <v/>
      </c>
    </row>
    <row r="681">
      <c r="A681" s="30" t="n"/>
      <c r="B681" s="30" t="n"/>
      <c r="C681" s="30" t="n"/>
      <c r="D681" s="30" t="n"/>
      <c r="E681" s="30" t="n"/>
      <c r="F681" s="30" t="n"/>
      <c r="G681" s="31">
        <f>IF($A681="","",IFERROR(ROUND(MAX(0,$B681*($D681-1)),2),0))</f>
        <v/>
      </c>
      <c r="H681" s="31">
        <f>IF($A681="","",IFERROR(ROUND($G681*INDEX(tblKurallar[deger_2025],MATCH("AYD-002",tblKurallar[kural_id],0)),2),0))</f>
        <v/>
      </c>
      <c r="I681" s="31">
        <f>IF($A681="","",IFERROR($G681-$G681*INDEX(tblKurallar[deger_2025],MATCH("AYD-004",tblKurallar[kural_id],0)),0))</f>
        <v/>
      </c>
    </row>
    <row r="682">
      <c r="A682" s="30" t="n"/>
      <c r="B682" s="30" t="n"/>
      <c r="C682" s="30" t="n"/>
      <c r="D682" s="30" t="n"/>
      <c r="E682" s="30" t="n"/>
      <c r="F682" s="30" t="n"/>
      <c r="G682" s="31">
        <f>IF($A682="","",IFERROR(ROUND(MAX(0,$B682*($D682-1)),2),0))</f>
        <v/>
      </c>
      <c r="H682" s="31">
        <f>IF($A682="","",IFERROR(ROUND($G682*INDEX(tblKurallar[deger_2025],MATCH("AYD-002",tblKurallar[kural_id],0)),2),0))</f>
        <v/>
      </c>
      <c r="I682" s="31">
        <f>IF($A682="","",IFERROR($G682-$G682*INDEX(tblKurallar[deger_2025],MATCH("AYD-004",tblKurallar[kural_id],0)),0))</f>
        <v/>
      </c>
    </row>
    <row r="683">
      <c r="A683" s="30" t="n"/>
      <c r="B683" s="30" t="n"/>
      <c r="C683" s="30" t="n"/>
      <c r="D683" s="30" t="n"/>
      <c r="E683" s="30" t="n"/>
      <c r="F683" s="30" t="n"/>
      <c r="G683" s="31">
        <f>IF($A683="","",IFERROR(ROUND(MAX(0,$B683*($D683-1)),2),0))</f>
        <v/>
      </c>
      <c r="H683" s="31">
        <f>IF($A683="","",IFERROR(ROUND($G683*INDEX(tblKurallar[deger_2025],MATCH("AYD-002",tblKurallar[kural_id],0)),2),0))</f>
        <v/>
      </c>
      <c r="I683" s="31">
        <f>IF($A683="","",IFERROR($G683-$G683*INDEX(tblKurallar[deger_2025],MATCH("AYD-004",tblKurallar[kural_id],0)),0))</f>
        <v/>
      </c>
    </row>
    <row r="684">
      <c r="A684" s="30" t="n"/>
      <c r="B684" s="30" t="n"/>
      <c r="C684" s="30" t="n"/>
      <c r="D684" s="30" t="n"/>
      <c r="E684" s="30" t="n"/>
      <c r="F684" s="30" t="n"/>
      <c r="G684" s="31">
        <f>IF($A684="","",IFERROR(ROUND(MAX(0,$B684*($D684-1)),2),0))</f>
        <v/>
      </c>
      <c r="H684" s="31">
        <f>IF($A684="","",IFERROR(ROUND($G684*INDEX(tblKurallar[deger_2025],MATCH("AYD-002",tblKurallar[kural_id],0)),2),0))</f>
        <v/>
      </c>
      <c r="I684" s="31">
        <f>IF($A684="","",IFERROR($G684-$G684*INDEX(tblKurallar[deger_2025],MATCH("AYD-004",tblKurallar[kural_id],0)),0))</f>
        <v/>
      </c>
    </row>
    <row r="685">
      <c r="A685" s="30" t="n"/>
      <c r="B685" s="30" t="n"/>
      <c r="C685" s="30" t="n"/>
      <c r="D685" s="30" t="n"/>
      <c r="E685" s="30" t="n"/>
      <c r="F685" s="30" t="n"/>
      <c r="G685" s="31">
        <f>IF($A685="","",IFERROR(ROUND(MAX(0,$B685*($D685-1)),2),0))</f>
        <v/>
      </c>
      <c r="H685" s="31">
        <f>IF($A685="","",IFERROR(ROUND($G685*INDEX(tblKurallar[deger_2025],MATCH("AYD-002",tblKurallar[kural_id],0)),2),0))</f>
        <v/>
      </c>
      <c r="I685" s="31">
        <f>IF($A685="","",IFERROR($G685-$G685*INDEX(tblKurallar[deger_2025],MATCH("AYD-004",tblKurallar[kural_id],0)),0))</f>
        <v/>
      </c>
    </row>
    <row r="686">
      <c r="A686" s="30" t="n"/>
      <c r="B686" s="30" t="n"/>
      <c r="C686" s="30" t="n"/>
      <c r="D686" s="30" t="n"/>
      <c r="E686" s="30" t="n"/>
      <c r="F686" s="30" t="n"/>
      <c r="G686" s="31">
        <f>IF($A686="","",IFERROR(ROUND(MAX(0,$B686*($D686-1)),2),0))</f>
        <v/>
      </c>
      <c r="H686" s="31">
        <f>IF($A686="","",IFERROR(ROUND($G686*INDEX(tblKurallar[deger_2025],MATCH("AYD-002",tblKurallar[kural_id],0)),2),0))</f>
        <v/>
      </c>
      <c r="I686" s="31">
        <f>IF($A686="","",IFERROR($G686-$G686*INDEX(tblKurallar[deger_2025],MATCH("AYD-004",tblKurallar[kural_id],0)),0))</f>
        <v/>
      </c>
    </row>
    <row r="687">
      <c r="A687" s="30" t="n"/>
      <c r="B687" s="30" t="n"/>
      <c r="C687" s="30" t="n"/>
      <c r="D687" s="30" t="n"/>
      <c r="E687" s="30" t="n"/>
      <c r="F687" s="30" t="n"/>
      <c r="G687" s="31">
        <f>IF($A687="","",IFERROR(ROUND(MAX(0,$B687*($D687-1)),2),0))</f>
        <v/>
      </c>
      <c r="H687" s="31">
        <f>IF($A687="","",IFERROR(ROUND($G687*INDEX(tblKurallar[deger_2025],MATCH("AYD-002",tblKurallar[kural_id],0)),2),0))</f>
        <v/>
      </c>
      <c r="I687" s="31">
        <f>IF($A687="","",IFERROR($G687-$G687*INDEX(tblKurallar[deger_2025],MATCH("AYD-004",tblKurallar[kural_id],0)),0))</f>
        <v/>
      </c>
    </row>
    <row r="688">
      <c r="A688" s="30" t="n"/>
      <c r="B688" s="30" t="n"/>
      <c r="C688" s="30" t="n"/>
      <c r="D688" s="30" t="n"/>
      <c r="E688" s="30" t="n"/>
      <c r="F688" s="30" t="n"/>
      <c r="G688" s="31">
        <f>IF($A688="","",IFERROR(ROUND(MAX(0,$B688*($D688-1)),2),0))</f>
        <v/>
      </c>
      <c r="H688" s="31">
        <f>IF($A688="","",IFERROR(ROUND($G688*INDEX(tblKurallar[deger_2025],MATCH("AYD-002",tblKurallar[kural_id],0)),2),0))</f>
        <v/>
      </c>
      <c r="I688" s="31">
        <f>IF($A688="","",IFERROR($G688-$G688*INDEX(tblKurallar[deger_2025],MATCH("AYD-004",tblKurallar[kural_id],0)),0))</f>
        <v/>
      </c>
    </row>
    <row r="689">
      <c r="A689" s="30" t="n"/>
      <c r="B689" s="30" t="n"/>
      <c r="C689" s="30" t="n"/>
      <c r="D689" s="30" t="n"/>
      <c r="E689" s="30" t="n"/>
      <c r="F689" s="30" t="n"/>
      <c r="G689" s="31">
        <f>IF($A689="","",IFERROR(ROUND(MAX(0,$B689*($D689-1)),2),0))</f>
        <v/>
      </c>
      <c r="H689" s="31">
        <f>IF($A689="","",IFERROR(ROUND($G689*INDEX(tblKurallar[deger_2025],MATCH("AYD-002",tblKurallar[kural_id],0)),2),0))</f>
        <v/>
      </c>
      <c r="I689" s="31">
        <f>IF($A689="","",IFERROR($G689-$G689*INDEX(tblKurallar[deger_2025],MATCH("AYD-004",tblKurallar[kural_id],0)),0))</f>
        <v/>
      </c>
    </row>
    <row r="690">
      <c r="A690" s="30" t="n"/>
      <c r="B690" s="30" t="n"/>
      <c r="C690" s="30" t="n"/>
      <c r="D690" s="30" t="n"/>
      <c r="E690" s="30" t="n"/>
      <c r="F690" s="30" t="n"/>
      <c r="G690" s="31">
        <f>IF($A690="","",IFERROR(ROUND(MAX(0,$B690*($D690-1)),2),0))</f>
        <v/>
      </c>
      <c r="H690" s="31">
        <f>IF($A690="","",IFERROR(ROUND($G690*INDEX(tblKurallar[deger_2025],MATCH("AYD-002",tblKurallar[kural_id],0)),2),0))</f>
        <v/>
      </c>
      <c r="I690" s="31">
        <f>IF($A690="","",IFERROR($G690-$G690*INDEX(tblKurallar[deger_2025],MATCH("AYD-004",tblKurallar[kural_id],0)),0))</f>
        <v/>
      </c>
    </row>
    <row r="691">
      <c r="A691" s="30" t="n"/>
      <c r="B691" s="30" t="n"/>
      <c r="C691" s="30" t="n"/>
      <c r="D691" s="30" t="n"/>
      <c r="E691" s="30" t="n"/>
      <c r="F691" s="30" t="n"/>
      <c r="G691" s="31">
        <f>IF($A691="","",IFERROR(ROUND(MAX(0,$B691*($D691-1)),2),0))</f>
        <v/>
      </c>
      <c r="H691" s="31">
        <f>IF($A691="","",IFERROR(ROUND($G691*INDEX(tblKurallar[deger_2025],MATCH("AYD-002",tblKurallar[kural_id],0)),2),0))</f>
        <v/>
      </c>
      <c r="I691" s="31">
        <f>IF($A691="","",IFERROR($G691-$G691*INDEX(tblKurallar[deger_2025],MATCH("AYD-004",tblKurallar[kural_id],0)),0))</f>
        <v/>
      </c>
    </row>
    <row r="692">
      <c r="A692" s="30" t="n"/>
      <c r="B692" s="30" t="n"/>
      <c r="C692" s="30" t="n"/>
      <c r="D692" s="30" t="n"/>
      <c r="E692" s="30" t="n"/>
      <c r="F692" s="30" t="n"/>
      <c r="G692" s="31">
        <f>IF($A692="","",IFERROR(ROUND(MAX(0,$B692*($D692-1)),2),0))</f>
        <v/>
      </c>
      <c r="H692" s="31">
        <f>IF($A692="","",IFERROR(ROUND($G692*INDEX(tblKurallar[deger_2025],MATCH("AYD-002",tblKurallar[kural_id],0)),2),0))</f>
        <v/>
      </c>
      <c r="I692" s="31">
        <f>IF($A692="","",IFERROR($G692-$G692*INDEX(tblKurallar[deger_2025],MATCH("AYD-004",tblKurallar[kural_id],0)),0))</f>
        <v/>
      </c>
    </row>
    <row r="693">
      <c r="A693" s="30" t="n"/>
      <c r="B693" s="30" t="n"/>
      <c r="C693" s="30" t="n"/>
      <c r="D693" s="30" t="n"/>
      <c r="E693" s="30" t="n"/>
      <c r="F693" s="30" t="n"/>
      <c r="G693" s="31">
        <f>IF($A693="","",IFERROR(ROUND(MAX(0,$B693*($D693-1)),2),0))</f>
        <v/>
      </c>
      <c r="H693" s="31">
        <f>IF($A693="","",IFERROR(ROUND($G693*INDEX(tblKurallar[deger_2025],MATCH("AYD-002",tblKurallar[kural_id],0)),2),0))</f>
        <v/>
      </c>
      <c r="I693" s="31">
        <f>IF($A693="","",IFERROR($G693-$G693*INDEX(tblKurallar[deger_2025],MATCH("AYD-004",tblKurallar[kural_id],0)),0))</f>
        <v/>
      </c>
    </row>
    <row r="694">
      <c r="A694" s="30" t="n"/>
      <c r="B694" s="30" t="n"/>
      <c r="C694" s="30" t="n"/>
      <c r="D694" s="30" t="n"/>
      <c r="E694" s="30" t="n"/>
      <c r="F694" s="30" t="n"/>
      <c r="G694" s="31">
        <f>IF($A694="","",IFERROR(ROUND(MAX(0,$B694*($D694-1)),2),0))</f>
        <v/>
      </c>
      <c r="H694" s="31">
        <f>IF($A694="","",IFERROR(ROUND($G694*INDEX(tblKurallar[deger_2025],MATCH("AYD-002",tblKurallar[kural_id],0)),2),0))</f>
        <v/>
      </c>
      <c r="I694" s="31">
        <f>IF($A694="","",IFERROR($G694-$G694*INDEX(tblKurallar[deger_2025],MATCH("AYD-004",tblKurallar[kural_id],0)),0))</f>
        <v/>
      </c>
    </row>
    <row r="695">
      <c r="A695" s="30" t="n"/>
      <c r="B695" s="30" t="n"/>
      <c r="C695" s="30" t="n"/>
      <c r="D695" s="30" t="n"/>
      <c r="E695" s="30" t="n"/>
      <c r="F695" s="30" t="n"/>
      <c r="G695" s="31">
        <f>IF($A695="","",IFERROR(ROUND(MAX(0,$B695*($D695-1)),2),0))</f>
        <v/>
      </c>
      <c r="H695" s="31">
        <f>IF($A695="","",IFERROR(ROUND($G695*INDEX(tblKurallar[deger_2025],MATCH("AYD-002",tblKurallar[kural_id],0)),2),0))</f>
        <v/>
      </c>
      <c r="I695" s="31">
        <f>IF($A695="","",IFERROR($G695-$G695*INDEX(tblKurallar[deger_2025],MATCH("AYD-004",tblKurallar[kural_id],0)),0))</f>
        <v/>
      </c>
    </row>
    <row r="696">
      <c r="A696" s="30" t="n"/>
      <c r="B696" s="30" t="n"/>
      <c r="C696" s="30" t="n"/>
      <c r="D696" s="30" t="n"/>
      <c r="E696" s="30" t="n"/>
      <c r="F696" s="30" t="n"/>
      <c r="G696" s="31">
        <f>IF($A696="","",IFERROR(ROUND(MAX(0,$B696*($D696-1)),2),0))</f>
        <v/>
      </c>
      <c r="H696" s="31">
        <f>IF($A696="","",IFERROR(ROUND($G696*INDEX(tblKurallar[deger_2025],MATCH("AYD-002",tblKurallar[kural_id],0)),2),0))</f>
        <v/>
      </c>
      <c r="I696" s="31">
        <f>IF($A696="","",IFERROR($G696-$G696*INDEX(tblKurallar[deger_2025],MATCH("AYD-004",tblKurallar[kural_id],0)),0))</f>
        <v/>
      </c>
    </row>
    <row r="697">
      <c r="A697" s="30" t="n"/>
      <c r="B697" s="30" t="n"/>
      <c r="C697" s="30" t="n"/>
      <c r="D697" s="30" t="n"/>
      <c r="E697" s="30" t="n"/>
      <c r="F697" s="30" t="n"/>
      <c r="G697" s="31">
        <f>IF($A697="","",IFERROR(ROUND(MAX(0,$B697*($D697-1)),2),0))</f>
        <v/>
      </c>
      <c r="H697" s="31">
        <f>IF($A697="","",IFERROR(ROUND($G697*INDEX(tblKurallar[deger_2025],MATCH("AYD-002",tblKurallar[kural_id],0)),2),0))</f>
        <v/>
      </c>
      <c r="I697" s="31">
        <f>IF($A697="","",IFERROR($G697-$G697*INDEX(tblKurallar[deger_2025],MATCH("AYD-004",tblKurallar[kural_id],0)),0))</f>
        <v/>
      </c>
    </row>
    <row r="698">
      <c r="A698" s="30" t="n"/>
      <c r="B698" s="30" t="n"/>
      <c r="C698" s="30" t="n"/>
      <c r="D698" s="30" t="n"/>
      <c r="E698" s="30" t="n"/>
      <c r="F698" s="30" t="n"/>
      <c r="G698" s="31">
        <f>IF($A698="","",IFERROR(ROUND(MAX(0,$B698*($D698-1)),2),0))</f>
        <v/>
      </c>
      <c r="H698" s="31">
        <f>IF($A698="","",IFERROR(ROUND($G698*INDEX(tblKurallar[deger_2025],MATCH("AYD-002",tblKurallar[kural_id],0)),2),0))</f>
        <v/>
      </c>
      <c r="I698" s="31">
        <f>IF($A698="","",IFERROR($G698-$G698*INDEX(tblKurallar[deger_2025],MATCH("AYD-004",tblKurallar[kural_id],0)),0))</f>
        <v/>
      </c>
    </row>
    <row r="699">
      <c r="A699" s="30" t="n"/>
      <c r="B699" s="30" t="n"/>
      <c r="C699" s="30" t="n"/>
      <c r="D699" s="30" t="n"/>
      <c r="E699" s="30" t="n"/>
      <c r="F699" s="30" t="n"/>
      <c r="G699" s="31">
        <f>IF($A699="","",IFERROR(ROUND(MAX(0,$B699*($D699-1)),2),0))</f>
        <v/>
      </c>
      <c r="H699" s="31">
        <f>IF($A699="","",IFERROR(ROUND($G699*INDEX(tblKurallar[deger_2025],MATCH("AYD-002",tblKurallar[kural_id],0)),2),0))</f>
        <v/>
      </c>
      <c r="I699" s="31">
        <f>IF($A699="","",IFERROR($G699-$G699*INDEX(tblKurallar[deger_2025],MATCH("AYD-004",tblKurallar[kural_id],0)),0))</f>
        <v/>
      </c>
    </row>
    <row r="700">
      <c r="A700" s="30" t="n"/>
      <c r="B700" s="30" t="n"/>
      <c r="C700" s="30" t="n"/>
      <c r="D700" s="30" t="n"/>
      <c r="E700" s="30" t="n"/>
      <c r="F700" s="30" t="n"/>
      <c r="G700" s="31">
        <f>IF($A700="","",IFERROR(ROUND(MAX(0,$B700*($D700-1)),2),0))</f>
        <v/>
      </c>
      <c r="H700" s="31">
        <f>IF($A700="","",IFERROR(ROUND($G700*INDEX(tblKurallar[deger_2025],MATCH("AYD-002",tblKurallar[kural_id],0)),2),0))</f>
        <v/>
      </c>
      <c r="I700" s="31">
        <f>IF($A700="","",IFERROR($G700-$G700*INDEX(tblKurallar[deger_2025],MATCH("AYD-004",tblKurallar[kural_id],0)),0))</f>
        <v/>
      </c>
    </row>
    <row r="701">
      <c r="A701" s="30" t="n"/>
      <c r="B701" s="30" t="n"/>
      <c r="C701" s="30" t="n"/>
      <c r="D701" s="30" t="n"/>
      <c r="E701" s="30" t="n"/>
      <c r="F701" s="30" t="n"/>
      <c r="G701" s="31">
        <f>IF($A701="","",IFERROR(ROUND(MAX(0,$B701*($D701-1)),2),0))</f>
        <v/>
      </c>
      <c r="H701" s="31">
        <f>IF($A701="","",IFERROR(ROUND($G701*INDEX(tblKurallar[deger_2025],MATCH("AYD-002",tblKurallar[kural_id],0)),2),0))</f>
        <v/>
      </c>
      <c r="I701" s="31">
        <f>IF($A701="","",IFERROR($G701-$G701*INDEX(tblKurallar[deger_2025],MATCH("AYD-004",tblKurallar[kural_id],0)),0))</f>
        <v/>
      </c>
    </row>
    <row r="702">
      <c r="A702" s="30" t="n"/>
      <c r="B702" s="30" t="n"/>
      <c r="C702" s="30" t="n"/>
      <c r="D702" s="30" t="n"/>
      <c r="E702" s="30" t="n"/>
      <c r="F702" s="30" t="n"/>
      <c r="G702" s="31">
        <f>IF($A702="","",IFERROR(ROUND(MAX(0,$B702*($D702-1)),2),0))</f>
        <v/>
      </c>
      <c r="H702" s="31">
        <f>IF($A702="","",IFERROR(ROUND($G702*INDEX(tblKurallar[deger_2025],MATCH("AYD-002",tblKurallar[kural_id],0)),2),0))</f>
        <v/>
      </c>
      <c r="I702" s="31">
        <f>IF($A702="","",IFERROR($G702-$G702*INDEX(tblKurallar[deger_2025],MATCH("AYD-004",tblKurallar[kural_id],0)),0))</f>
        <v/>
      </c>
    </row>
    <row r="703">
      <c r="A703" s="30" t="n"/>
      <c r="B703" s="30" t="n"/>
      <c r="C703" s="30" t="n"/>
      <c r="D703" s="30" t="n"/>
      <c r="E703" s="30" t="n"/>
      <c r="F703" s="30" t="n"/>
      <c r="G703" s="31">
        <f>IF($A703="","",IFERROR(ROUND(MAX(0,$B703*($D703-1)),2),0))</f>
        <v/>
      </c>
      <c r="H703" s="31">
        <f>IF($A703="","",IFERROR(ROUND($G703*INDEX(tblKurallar[deger_2025],MATCH("AYD-002",tblKurallar[kural_id],0)),2),0))</f>
        <v/>
      </c>
      <c r="I703" s="31">
        <f>IF($A703="","",IFERROR($G703-$G703*INDEX(tblKurallar[deger_2025],MATCH("AYD-004",tblKurallar[kural_id],0)),0))</f>
        <v/>
      </c>
    </row>
    <row r="704">
      <c r="A704" s="30" t="n"/>
      <c r="B704" s="30" t="n"/>
      <c r="C704" s="30" t="n"/>
      <c r="D704" s="30" t="n"/>
      <c r="E704" s="30" t="n"/>
      <c r="F704" s="30" t="n"/>
      <c r="G704" s="31">
        <f>IF($A704="","",IFERROR(ROUND(MAX(0,$B704*($D704-1)),2),0))</f>
        <v/>
      </c>
      <c r="H704" s="31">
        <f>IF($A704="","",IFERROR(ROUND($G704*INDEX(tblKurallar[deger_2025],MATCH("AYD-002",tblKurallar[kural_id],0)),2),0))</f>
        <v/>
      </c>
      <c r="I704" s="31">
        <f>IF($A704="","",IFERROR($G704-$G704*INDEX(tblKurallar[deger_2025],MATCH("AYD-004",tblKurallar[kural_id],0)),0))</f>
        <v/>
      </c>
    </row>
    <row r="705">
      <c r="A705" s="30" t="n"/>
      <c r="B705" s="30" t="n"/>
      <c r="C705" s="30" t="n"/>
      <c r="D705" s="30" t="n"/>
      <c r="E705" s="30" t="n"/>
      <c r="F705" s="30" t="n"/>
      <c r="G705" s="31">
        <f>IF($A705="","",IFERROR(ROUND(MAX(0,$B705*($D705-1)),2),0))</f>
        <v/>
      </c>
      <c r="H705" s="31">
        <f>IF($A705="","",IFERROR(ROUND($G705*INDEX(tblKurallar[deger_2025],MATCH("AYD-002",tblKurallar[kural_id],0)),2),0))</f>
        <v/>
      </c>
      <c r="I705" s="31">
        <f>IF($A705="","",IFERROR($G705-$G705*INDEX(tblKurallar[deger_2025],MATCH("AYD-004",tblKurallar[kural_id],0)),0))</f>
        <v/>
      </c>
    </row>
    <row r="706">
      <c r="A706" s="30" t="n"/>
      <c r="B706" s="30" t="n"/>
      <c r="C706" s="30" t="n"/>
      <c r="D706" s="30" t="n"/>
      <c r="E706" s="30" t="n"/>
      <c r="F706" s="30" t="n"/>
      <c r="G706" s="31">
        <f>IF($A706="","",IFERROR(ROUND(MAX(0,$B706*($D706-1)),2),0))</f>
        <v/>
      </c>
      <c r="H706" s="31">
        <f>IF($A706="","",IFERROR(ROUND($G706*INDEX(tblKurallar[deger_2025],MATCH("AYD-002",tblKurallar[kural_id],0)),2),0))</f>
        <v/>
      </c>
      <c r="I706" s="31">
        <f>IF($A706="","",IFERROR($G706-$G706*INDEX(tblKurallar[deger_2025],MATCH("AYD-004",tblKurallar[kural_id],0)),0))</f>
        <v/>
      </c>
    </row>
    <row r="707">
      <c r="A707" s="30" t="n"/>
      <c r="B707" s="30" t="n"/>
      <c r="C707" s="30" t="n"/>
      <c r="D707" s="30" t="n"/>
      <c r="E707" s="30" t="n"/>
      <c r="F707" s="30" t="n"/>
      <c r="G707" s="31">
        <f>IF($A707="","",IFERROR(ROUND(MAX(0,$B707*($D707-1)),2),0))</f>
        <v/>
      </c>
      <c r="H707" s="31">
        <f>IF($A707="","",IFERROR(ROUND($G707*INDEX(tblKurallar[deger_2025],MATCH("AYD-002",tblKurallar[kural_id],0)),2),0))</f>
        <v/>
      </c>
      <c r="I707" s="31">
        <f>IF($A707="","",IFERROR($G707-$G707*INDEX(tblKurallar[deger_2025],MATCH("AYD-004",tblKurallar[kural_id],0)),0))</f>
        <v/>
      </c>
    </row>
    <row r="708">
      <c r="A708" s="30" t="n"/>
      <c r="B708" s="30" t="n"/>
      <c r="C708" s="30" t="n"/>
      <c r="D708" s="30" t="n"/>
      <c r="E708" s="30" t="n"/>
      <c r="F708" s="30" t="n"/>
      <c r="G708" s="31">
        <f>IF($A708="","",IFERROR(ROUND(MAX(0,$B708*($D708-1)),2),0))</f>
        <v/>
      </c>
      <c r="H708" s="31">
        <f>IF($A708="","",IFERROR(ROUND($G708*INDEX(tblKurallar[deger_2025],MATCH("AYD-002",tblKurallar[kural_id],0)),2),0))</f>
        <v/>
      </c>
      <c r="I708" s="31">
        <f>IF($A708="","",IFERROR($G708-$G708*INDEX(tblKurallar[deger_2025],MATCH("AYD-004",tblKurallar[kural_id],0)),0))</f>
        <v/>
      </c>
    </row>
    <row r="709">
      <c r="A709" s="30" t="n"/>
      <c r="B709" s="30" t="n"/>
      <c r="C709" s="30" t="n"/>
      <c r="D709" s="30" t="n"/>
      <c r="E709" s="30" t="n"/>
      <c r="F709" s="30" t="n"/>
      <c r="G709" s="31">
        <f>IF($A709="","",IFERROR(ROUND(MAX(0,$B709*($D709-1)),2),0))</f>
        <v/>
      </c>
      <c r="H709" s="31">
        <f>IF($A709="","",IFERROR(ROUND($G709*INDEX(tblKurallar[deger_2025],MATCH("AYD-002",tblKurallar[kural_id],0)),2),0))</f>
        <v/>
      </c>
      <c r="I709" s="31">
        <f>IF($A709="","",IFERROR($G709-$G709*INDEX(tblKurallar[deger_2025],MATCH("AYD-004",tblKurallar[kural_id],0)),0))</f>
        <v/>
      </c>
    </row>
    <row r="710">
      <c r="A710" s="30" t="n"/>
      <c r="B710" s="30" t="n"/>
      <c r="C710" s="30" t="n"/>
      <c r="D710" s="30" t="n"/>
      <c r="E710" s="30" t="n"/>
      <c r="F710" s="30" t="n"/>
      <c r="G710" s="31">
        <f>IF($A710="","",IFERROR(ROUND(MAX(0,$B710*($D710-1)),2),0))</f>
        <v/>
      </c>
      <c r="H710" s="31">
        <f>IF($A710="","",IFERROR(ROUND($G710*INDEX(tblKurallar[deger_2025],MATCH("AYD-002",tblKurallar[kural_id],0)),2),0))</f>
        <v/>
      </c>
      <c r="I710" s="31">
        <f>IF($A710="","",IFERROR($G710-$G710*INDEX(tblKurallar[deger_2025],MATCH("AYD-004",tblKurallar[kural_id],0)),0))</f>
        <v/>
      </c>
    </row>
    <row r="711">
      <c r="A711" s="30" t="n"/>
      <c r="B711" s="30" t="n"/>
      <c r="C711" s="30" t="n"/>
      <c r="D711" s="30" t="n"/>
      <c r="E711" s="30" t="n"/>
      <c r="F711" s="30" t="n"/>
      <c r="G711" s="31">
        <f>IF($A711="","",IFERROR(ROUND(MAX(0,$B711*($D711-1)),2),0))</f>
        <v/>
      </c>
      <c r="H711" s="31">
        <f>IF($A711="","",IFERROR(ROUND($G711*INDEX(tblKurallar[deger_2025],MATCH("AYD-002",tblKurallar[kural_id],0)),2),0))</f>
        <v/>
      </c>
      <c r="I711" s="31">
        <f>IF($A711="","",IFERROR($G711-$G711*INDEX(tblKurallar[deger_2025],MATCH("AYD-004",tblKurallar[kural_id],0)),0))</f>
        <v/>
      </c>
    </row>
    <row r="712">
      <c r="A712" s="30" t="n"/>
      <c r="B712" s="30" t="n"/>
      <c r="C712" s="30" t="n"/>
      <c r="D712" s="30" t="n"/>
      <c r="E712" s="30" t="n"/>
      <c r="F712" s="30" t="n"/>
      <c r="G712" s="31">
        <f>IF($A712="","",IFERROR(ROUND(MAX(0,$B712*($D712-1)),2),0))</f>
        <v/>
      </c>
      <c r="H712" s="31">
        <f>IF($A712="","",IFERROR(ROUND($G712*INDEX(tblKurallar[deger_2025],MATCH("AYD-002",tblKurallar[kural_id],0)),2),0))</f>
        <v/>
      </c>
      <c r="I712" s="31">
        <f>IF($A712="","",IFERROR($G712-$G712*INDEX(tblKurallar[deger_2025],MATCH("AYD-004",tblKurallar[kural_id],0)),0))</f>
        <v/>
      </c>
    </row>
    <row r="713">
      <c r="A713" s="30" t="n"/>
      <c r="B713" s="30" t="n"/>
      <c r="C713" s="30" t="n"/>
      <c r="D713" s="30" t="n"/>
      <c r="E713" s="30" t="n"/>
      <c r="F713" s="30" t="n"/>
      <c r="G713" s="31">
        <f>IF($A713="","",IFERROR(ROUND(MAX(0,$B713*($D713-1)),2),0))</f>
        <v/>
      </c>
      <c r="H713" s="31">
        <f>IF($A713="","",IFERROR(ROUND($G713*INDEX(tblKurallar[deger_2025],MATCH("AYD-002",tblKurallar[kural_id],0)),2),0))</f>
        <v/>
      </c>
      <c r="I713" s="31">
        <f>IF($A713="","",IFERROR($G713-$G713*INDEX(tblKurallar[deger_2025],MATCH("AYD-004",tblKurallar[kural_id],0)),0))</f>
        <v/>
      </c>
    </row>
    <row r="714">
      <c r="A714" s="30" t="n"/>
      <c r="B714" s="30" t="n"/>
      <c r="C714" s="30" t="n"/>
      <c r="D714" s="30" t="n"/>
      <c r="E714" s="30" t="n"/>
      <c r="F714" s="30" t="n"/>
      <c r="G714" s="31">
        <f>IF($A714="","",IFERROR(ROUND(MAX(0,$B714*($D714-1)),2),0))</f>
        <v/>
      </c>
      <c r="H714" s="31">
        <f>IF($A714="","",IFERROR(ROUND($G714*INDEX(tblKurallar[deger_2025],MATCH("AYD-002",tblKurallar[kural_id],0)),2),0))</f>
        <v/>
      </c>
      <c r="I714" s="31">
        <f>IF($A714="","",IFERROR($G714-$G714*INDEX(tblKurallar[deger_2025],MATCH("AYD-004",tblKurallar[kural_id],0)),0))</f>
        <v/>
      </c>
    </row>
    <row r="715">
      <c r="A715" s="30" t="n"/>
      <c r="B715" s="30" t="n"/>
      <c r="C715" s="30" t="n"/>
      <c r="D715" s="30" t="n"/>
      <c r="E715" s="30" t="n"/>
      <c r="F715" s="30" t="n"/>
      <c r="G715" s="31">
        <f>IF($A715="","",IFERROR(ROUND(MAX(0,$B715*($D715-1)),2),0))</f>
        <v/>
      </c>
      <c r="H715" s="31">
        <f>IF($A715="","",IFERROR(ROUND($G715*INDEX(tblKurallar[deger_2025],MATCH("AYD-002",tblKurallar[kural_id],0)),2),0))</f>
        <v/>
      </c>
      <c r="I715" s="31">
        <f>IF($A715="","",IFERROR($G715-$G715*INDEX(tblKurallar[deger_2025],MATCH("AYD-004",tblKurallar[kural_id],0)),0))</f>
        <v/>
      </c>
    </row>
    <row r="716">
      <c r="A716" s="30" t="n"/>
      <c r="B716" s="30" t="n"/>
      <c r="C716" s="30" t="n"/>
      <c r="D716" s="30" t="n"/>
      <c r="E716" s="30" t="n"/>
      <c r="F716" s="30" t="n"/>
      <c r="G716" s="31">
        <f>IF($A716="","",IFERROR(ROUND(MAX(0,$B716*($D716-1)),2),0))</f>
        <v/>
      </c>
      <c r="H716" s="31">
        <f>IF($A716="","",IFERROR(ROUND($G716*INDEX(tblKurallar[deger_2025],MATCH("AYD-002",tblKurallar[kural_id],0)),2),0))</f>
        <v/>
      </c>
      <c r="I716" s="31">
        <f>IF($A716="","",IFERROR($G716-$G716*INDEX(tblKurallar[deger_2025],MATCH("AYD-004",tblKurallar[kural_id],0)),0))</f>
        <v/>
      </c>
    </row>
    <row r="717">
      <c r="A717" s="30" t="n"/>
      <c r="B717" s="30" t="n"/>
      <c r="C717" s="30" t="n"/>
      <c r="D717" s="30" t="n"/>
      <c r="E717" s="30" t="n"/>
      <c r="F717" s="30" t="n"/>
      <c r="G717" s="31">
        <f>IF($A717="","",IFERROR(ROUND(MAX(0,$B717*($D717-1)),2),0))</f>
        <v/>
      </c>
      <c r="H717" s="31">
        <f>IF($A717="","",IFERROR(ROUND($G717*INDEX(tblKurallar[deger_2025],MATCH("AYD-002",tblKurallar[kural_id],0)),2),0))</f>
        <v/>
      </c>
      <c r="I717" s="31">
        <f>IF($A717="","",IFERROR($G717-$G717*INDEX(tblKurallar[deger_2025],MATCH("AYD-004",tblKurallar[kural_id],0)),0))</f>
        <v/>
      </c>
    </row>
    <row r="718">
      <c r="A718" s="30" t="n"/>
      <c r="B718" s="30" t="n"/>
      <c r="C718" s="30" t="n"/>
      <c r="D718" s="30" t="n"/>
      <c r="E718" s="30" t="n"/>
      <c r="F718" s="30" t="n"/>
      <c r="G718" s="31">
        <f>IF($A718="","",IFERROR(ROUND(MAX(0,$B718*($D718-1)),2),0))</f>
        <v/>
      </c>
      <c r="H718" s="31">
        <f>IF($A718="","",IFERROR(ROUND($G718*INDEX(tblKurallar[deger_2025],MATCH("AYD-002",tblKurallar[kural_id],0)),2),0))</f>
        <v/>
      </c>
      <c r="I718" s="31">
        <f>IF($A718="","",IFERROR($G718-$G718*INDEX(tblKurallar[deger_2025],MATCH("AYD-004",tblKurallar[kural_id],0)),0))</f>
        <v/>
      </c>
    </row>
    <row r="719">
      <c r="A719" s="30" t="n"/>
      <c r="B719" s="30" t="n"/>
      <c r="C719" s="30" t="n"/>
      <c r="D719" s="30" t="n"/>
      <c r="E719" s="30" t="n"/>
      <c r="F719" s="30" t="n"/>
      <c r="G719" s="31">
        <f>IF($A719="","",IFERROR(ROUND(MAX(0,$B719*($D719-1)),2),0))</f>
        <v/>
      </c>
      <c r="H719" s="31">
        <f>IF($A719="","",IFERROR(ROUND($G719*INDEX(tblKurallar[deger_2025],MATCH("AYD-002",tblKurallar[kural_id],0)),2),0))</f>
        <v/>
      </c>
      <c r="I719" s="31">
        <f>IF($A719="","",IFERROR($G719-$G719*INDEX(tblKurallar[deger_2025],MATCH("AYD-004",tblKurallar[kural_id],0)),0))</f>
        <v/>
      </c>
    </row>
    <row r="720">
      <c r="A720" s="30" t="n"/>
      <c r="B720" s="30" t="n"/>
      <c r="C720" s="30" t="n"/>
      <c r="D720" s="30" t="n"/>
      <c r="E720" s="30" t="n"/>
      <c r="F720" s="30" t="n"/>
      <c r="G720" s="31">
        <f>IF($A720="","",IFERROR(ROUND(MAX(0,$B720*($D720-1)),2),0))</f>
        <v/>
      </c>
      <c r="H720" s="31">
        <f>IF($A720="","",IFERROR(ROUND($G720*INDEX(tblKurallar[deger_2025],MATCH("AYD-002",tblKurallar[kural_id],0)),2),0))</f>
        <v/>
      </c>
      <c r="I720" s="31">
        <f>IF($A720="","",IFERROR($G720-$G720*INDEX(tblKurallar[deger_2025],MATCH("AYD-004",tblKurallar[kural_id],0)),0))</f>
        <v/>
      </c>
    </row>
    <row r="721">
      <c r="A721" s="30" t="n"/>
      <c r="B721" s="30" t="n"/>
      <c r="C721" s="30" t="n"/>
      <c r="D721" s="30" t="n"/>
      <c r="E721" s="30" t="n"/>
      <c r="F721" s="30" t="n"/>
      <c r="G721" s="31">
        <f>IF($A721="","",IFERROR(ROUND(MAX(0,$B721*($D721-1)),2),0))</f>
        <v/>
      </c>
      <c r="H721" s="31">
        <f>IF($A721="","",IFERROR(ROUND($G721*INDEX(tblKurallar[deger_2025],MATCH("AYD-002",tblKurallar[kural_id],0)),2),0))</f>
        <v/>
      </c>
      <c r="I721" s="31">
        <f>IF($A721="","",IFERROR($G721-$G721*INDEX(tblKurallar[deger_2025],MATCH("AYD-004",tblKurallar[kural_id],0)),0))</f>
        <v/>
      </c>
    </row>
    <row r="722">
      <c r="A722" s="30" t="n"/>
      <c r="B722" s="30" t="n"/>
      <c r="C722" s="30" t="n"/>
      <c r="D722" s="30" t="n"/>
      <c r="E722" s="30" t="n"/>
      <c r="F722" s="30" t="n"/>
      <c r="G722" s="31">
        <f>IF($A722="","",IFERROR(ROUND(MAX(0,$B722*($D722-1)),2),0))</f>
        <v/>
      </c>
      <c r="H722" s="31">
        <f>IF($A722="","",IFERROR(ROUND($G722*INDEX(tblKurallar[deger_2025],MATCH("AYD-002",tblKurallar[kural_id],0)),2),0))</f>
        <v/>
      </c>
      <c r="I722" s="31">
        <f>IF($A722="","",IFERROR($G722-$G722*INDEX(tblKurallar[deger_2025],MATCH("AYD-004",tblKurallar[kural_id],0)),0))</f>
        <v/>
      </c>
    </row>
    <row r="723">
      <c r="A723" s="30" t="n"/>
      <c r="B723" s="30" t="n"/>
      <c r="C723" s="30" t="n"/>
      <c r="D723" s="30" t="n"/>
      <c r="E723" s="30" t="n"/>
      <c r="F723" s="30" t="n"/>
      <c r="G723" s="31">
        <f>IF($A723="","",IFERROR(ROUND(MAX(0,$B723*($D723-1)),2),0))</f>
        <v/>
      </c>
      <c r="H723" s="31">
        <f>IF($A723="","",IFERROR(ROUND($G723*INDEX(tblKurallar[deger_2025],MATCH("AYD-002",tblKurallar[kural_id],0)),2),0))</f>
        <v/>
      </c>
      <c r="I723" s="31">
        <f>IF($A723="","",IFERROR($G723-$G723*INDEX(tblKurallar[deger_2025],MATCH("AYD-004",tblKurallar[kural_id],0)),0))</f>
        <v/>
      </c>
    </row>
    <row r="724">
      <c r="A724" s="30" t="n"/>
      <c r="B724" s="30" t="n"/>
      <c r="C724" s="30" t="n"/>
      <c r="D724" s="30" t="n"/>
      <c r="E724" s="30" t="n"/>
      <c r="F724" s="30" t="n"/>
      <c r="G724" s="31">
        <f>IF($A724="","",IFERROR(ROUND(MAX(0,$B724*($D724-1)),2),0))</f>
        <v/>
      </c>
      <c r="H724" s="31">
        <f>IF($A724="","",IFERROR(ROUND($G724*INDEX(tblKurallar[deger_2025],MATCH("AYD-002",tblKurallar[kural_id],0)),2),0))</f>
        <v/>
      </c>
      <c r="I724" s="31">
        <f>IF($A724="","",IFERROR($G724-$G724*INDEX(tblKurallar[deger_2025],MATCH("AYD-004",tblKurallar[kural_id],0)),0))</f>
        <v/>
      </c>
    </row>
    <row r="725">
      <c r="A725" s="30" t="n"/>
      <c r="B725" s="30" t="n"/>
      <c r="C725" s="30" t="n"/>
      <c r="D725" s="30" t="n"/>
      <c r="E725" s="30" t="n"/>
      <c r="F725" s="30" t="n"/>
      <c r="G725" s="31">
        <f>IF($A725="","",IFERROR(ROUND(MAX(0,$B725*($D725-1)),2),0))</f>
        <v/>
      </c>
      <c r="H725" s="31">
        <f>IF($A725="","",IFERROR(ROUND($G725*INDEX(tblKurallar[deger_2025],MATCH("AYD-002",tblKurallar[kural_id],0)),2),0))</f>
        <v/>
      </c>
      <c r="I725" s="31">
        <f>IF($A725="","",IFERROR($G725-$G725*INDEX(tblKurallar[deger_2025],MATCH("AYD-004",tblKurallar[kural_id],0)),0))</f>
        <v/>
      </c>
    </row>
    <row r="726">
      <c r="A726" s="30" t="n"/>
      <c r="B726" s="30" t="n"/>
      <c r="C726" s="30" t="n"/>
      <c r="D726" s="30" t="n"/>
      <c r="E726" s="30" t="n"/>
      <c r="F726" s="30" t="n"/>
      <c r="G726" s="31">
        <f>IF($A726="","",IFERROR(ROUND(MAX(0,$B726*($D726-1)),2),0))</f>
        <v/>
      </c>
      <c r="H726" s="31">
        <f>IF($A726="","",IFERROR(ROUND($G726*INDEX(tblKurallar[deger_2025],MATCH("AYD-002",tblKurallar[kural_id],0)),2),0))</f>
        <v/>
      </c>
      <c r="I726" s="31">
        <f>IF($A726="","",IFERROR($G726-$G726*INDEX(tblKurallar[deger_2025],MATCH("AYD-004",tblKurallar[kural_id],0)),0))</f>
        <v/>
      </c>
    </row>
    <row r="727">
      <c r="A727" s="30" t="n"/>
      <c r="B727" s="30" t="n"/>
      <c r="C727" s="30" t="n"/>
      <c r="D727" s="30" t="n"/>
      <c r="E727" s="30" t="n"/>
      <c r="F727" s="30" t="n"/>
      <c r="G727" s="31">
        <f>IF($A727="","",IFERROR(ROUND(MAX(0,$B727*($D727-1)),2),0))</f>
        <v/>
      </c>
      <c r="H727" s="31">
        <f>IF($A727="","",IFERROR(ROUND($G727*INDEX(tblKurallar[deger_2025],MATCH("AYD-002",tblKurallar[kural_id],0)),2),0))</f>
        <v/>
      </c>
      <c r="I727" s="31">
        <f>IF($A727="","",IFERROR($G727-$G727*INDEX(tblKurallar[deger_2025],MATCH("AYD-004",tblKurallar[kural_id],0)),0))</f>
        <v/>
      </c>
    </row>
    <row r="728">
      <c r="A728" s="30" t="n"/>
      <c r="B728" s="30" t="n"/>
      <c r="C728" s="30" t="n"/>
      <c r="D728" s="30" t="n"/>
      <c r="E728" s="30" t="n"/>
      <c r="F728" s="30" t="n"/>
      <c r="G728" s="31">
        <f>IF($A728="","",IFERROR(ROUND(MAX(0,$B728*($D728-1)),2),0))</f>
        <v/>
      </c>
      <c r="H728" s="31">
        <f>IF($A728="","",IFERROR(ROUND($G728*INDEX(tblKurallar[deger_2025],MATCH("AYD-002",tblKurallar[kural_id],0)),2),0))</f>
        <v/>
      </c>
      <c r="I728" s="31">
        <f>IF($A728="","",IFERROR($G728-$G728*INDEX(tblKurallar[deger_2025],MATCH("AYD-004",tblKurallar[kural_id],0)),0))</f>
        <v/>
      </c>
    </row>
    <row r="729">
      <c r="A729" s="30" t="n"/>
      <c r="B729" s="30" t="n"/>
      <c r="C729" s="30" t="n"/>
      <c r="D729" s="30" t="n"/>
      <c r="E729" s="30" t="n"/>
      <c r="F729" s="30" t="n"/>
      <c r="G729" s="31">
        <f>IF($A729="","",IFERROR(ROUND(MAX(0,$B729*($D729-1)),2),0))</f>
        <v/>
      </c>
      <c r="H729" s="31">
        <f>IF($A729="","",IFERROR(ROUND($G729*INDEX(tblKurallar[deger_2025],MATCH("AYD-002",tblKurallar[kural_id],0)),2),0))</f>
        <v/>
      </c>
      <c r="I729" s="31">
        <f>IF($A729="","",IFERROR($G729-$G729*INDEX(tblKurallar[deger_2025],MATCH("AYD-004",tblKurallar[kural_id],0)),0))</f>
        <v/>
      </c>
    </row>
    <row r="730">
      <c r="A730" s="30" t="n"/>
      <c r="B730" s="30" t="n"/>
      <c r="C730" s="30" t="n"/>
      <c r="D730" s="30" t="n"/>
      <c r="E730" s="30" t="n"/>
      <c r="F730" s="30" t="n"/>
      <c r="G730" s="31">
        <f>IF($A730="","",IFERROR(ROUND(MAX(0,$B730*($D730-1)),2),0))</f>
        <v/>
      </c>
      <c r="H730" s="31">
        <f>IF($A730="","",IFERROR(ROUND($G730*INDEX(tblKurallar[deger_2025],MATCH("AYD-002",tblKurallar[kural_id],0)),2),0))</f>
        <v/>
      </c>
      <c r="I730" s="31">
        <f>IF($A730="","",IFERROR($G730-$G730*INDEX(tblKurallar[deger_2025],MATCH("AYD-004",tblKurallar[kural_id],0)),0))</f>
        <v/>
      </c>
    </row>
    <row r="731">
      <c r="A731" s="30" t="n"/>
      <c r="B731" s="30" t="n"/>
      <c r="C731" s="30" t="n"/>
      <c r="D731" s="30" t="n"/>
      <c r="E731" s="30" t="n"/>
      <c r="F731" s="30" t="n"/>
      <c r="G731" s="31">
        <f>IF($A731="","",IFERROR(ROUND(MAX(0,$B731*($D731-1)),2),0))</f>
        <v/>
      </c>
      <c r="H731" s="31">
        <f>IF($A731="","",IFERROR(ROUND($G731*INDEX(tblKurallar[deger_2025],MATCH("AYD-002",tblKurallar[kural_id],0)),2),0))</f>
        <v/>
      </c>
      <c r="I731" s="31">
        <f>IF($A731="","",IFERROR($G731-$G731*INDEX(tblKurallar[deger_2025],MATCH("AYD-004",tblKurallar[kural_id],0)),0))</f>
        <v/>
      </c>
    </row>
    <row r="732">
      <c r="A732" s="30" t="n"/>
      <c r="B732" s="30" t="n"/>
      <c r="C732" s="30" t="n"/>
      <c r="D732" s="30" t="n"/>
      <c r="E732" s="30" t="n"/>
      <c r="F732" s="30" t="n"/>
      <c r="G732" s="31">
        <f>IF($A732="","",IFERROR(ROUND(MAX(0,$B732*($D732-1)),2),0))</f>
        <v/>
      </c>
      <c r="H732" s="31">
        <f>IF($A732="","",IFERROR(ROUND($G732*INDEX(tblKurallar[deger_2025],MATCH("AYD-002",tblKurallar[kural_id],0)),2),0))</f>
        <v/>
      </c>
      <c r="I732" s="31">
        <f>IF($A732="","",IFERROR($G732-$G732*INDEX(tblKurallar[deger_2025],MATCH("AYD-004",tblKurallar[kural_id],0)),0))</f>
        <v/>
      </c>
    </row>
    <row r="733">
      <c r="A733" s="30" t="n"/>
      <c r="B733" s="30" t="n"/>
      <c r="C733" s="30" t="n"/>
      <c r="D733" s="30" t="n"/>
      <c r="E733" s="30" t="n"/>
      <c r="F733" s="30" t="n"/>
      <c r="G733" s="31">
        <f>IF($A733="","",IFERROR(ROUND(MAX(0,$B733*($D733-1)),2),0))</f>
        <v/>
      </c>
      <c r="H733" s="31">
        <f>IF($A733="","",IFERROR(ROUND($G733*INDEX(tblKurallar[deger_2025],MATCH("AYD-002",tblKurallar[kural_id],0)),2),0))</f>
        <v/>
      </c>
      <c r="I733" s="31">
        <f>IF($A733="","",IFERROR($G733-$G733*INDEX(tblKurallar[deger_2025],MATCH("AYD-004",tblKurallar[kural_id],0)),0))</f>
        <v/>
      </c>
    </row>
    <row r="734">
      <c r="A734" s="30" t="n"/>
      <c r="B734" s="30" t="n"/>
      <c r="C734" s="30" t="n"/>
      <c r="D734" s="30" t="n"/>
      <c r="E734" s="30" t="n"/>
      <c r="F734" s="30" t="n"/>
      <c r="G734" s="31">
        <f>IF($A734="","",IFERROR(ROUND(MAX(0,$B734*($D734-1)),2),0))</f>
        <v/>
      </c>
      <c r="H734" s="31">
        <f>IF($A734="","",IFERROR(ROUND($G734*INDEX(tblKurallar[deger_2025],MATCH("AYD-002",tblKurallar[kural_id],0)),2),0))</f>
        <v/>
      </c>
      <c r="I734" s="31">
        <f>IF($A734="","",IFERROR($G734-$G734*INDEX(tblKurallar[deger_2025],MATCH("AYD-004",tblKurallar[kural_id],0)),0))</f>
        <v/>
      </c>
    </row>
    <row r="735">
      <c r="A735" s="30" t="n"/>
      <c r="B735" s="30" t="n"/>
      <c r="C735" s="30" t="n"/>
      <c r="D735" s="30" t="n"/>
      <c r="E735" s="30" t="n"/>
      <c r="F735" s="30" t="n"/>
      <c r="G735" s="31">
        <f>IF($A735="","",IFERROR(ROUND(MAX(0,$B735*($D735-1)),2),0))</f>
        <v/>
      </c>
      <c r="H735" s="31">
        <f>IF($A735="","",IFERROR(ROUND($G735*INDEX(tblKurallar[deger_2025],MATCH("AYD-002",tblKurallar[kural_id],0)),2),0))</f>
        <v/>
      </c>
      <c r="I735" s="31">
        <f>IF($A735="","",IFERROR($G735-$G735*INDEX(tblKurallar[deger_2025],MATCH("AYD-004",tblKurallar[kural_id],0)),0))</f>
        <v/>
      </c>
    </row>
    <row r="736">
      <c r="A736" s="30" t="n"/>
      <c r="B736" s="30" t="n"/>
      <c r="C736" s="30" t="n"/>
      <c r="D736" s="30" t="n"/>
      <c r="E736" s="30" t="n"/>
      <c r="F736" s="30" t="n"/>
      <c r="G736" s="31">
        <f>IF($A736="","",IFERROR(ROUND(MAX(0,$B736*($D736-1)),2),0))</f>
        <v/>
      </c>
      <c r="H736" s="31">
        <f>IF($A736="","",IFERROR(ROUND($G736*INDEX(tblKurallar[deger_2025],MATCH("AYD-002",tblKurallar[kural_id],0)),2),0))</f>
        <v/>
      </c>
      <c r="I736" s="31">
        <f>IF($A736="","",IFERROR($G736-$G736*INDEX(tblKurallar[deger_2025],MATCH("AYD-004",tblKurallar[kural_id],0)),0))</f>
        <v/>
      </c>
    </row>
    <row r="737">
      <c r="A737" s="30" t="n"/>
      <c r="B737" s="30" t="n"/>
      <c r="C737" s="30" t="n"/>
      <c r="D737" s="30" t="n"/>
      <c r="E737" s="30" t="n"/>
      <c r="F737" s="30" t="n"/>
      <c r="G737" s="31">
        <f>IF($A737="","",IFERROR(ROUND(MAX(0,$B737*($D737-1)),2),0))</f>
        <v/>
      </c>
      <c r="H737" s="31">
        <f>IF($A737="","",IFERROR(ROUND($G737*INDEX(tblKurallar[deger_2025],MATCH("AYD-002",tblKurallar[kural_id],0)),2),0))</f>
        <v/>
      </c>
      <c r="I737" s="31">
        <f>IF($A737="","",IFERROR($G737-$G737*INDEX(tblKurallar[deger_2025],MATCH("AYD-004",tblKurallar[kural_id],0)),0))</f>
        <v/>
      </c>
    </row>
    <row r="738">
      <c r="A738" s="30" t="n"/>
      <c r="B738" s="30" t="n"/>
      <c r="C738" s="30" t="n"/>
      <c r="D738" s="30" t="n"/>
      <c r="E738" s="30" t="n"/>
      <c r="F738" s="30" t="n"/>
      <c r="G738" s="31">
        <f>IF($A738="","",IFERROR(ROUND(MAX(0,$B738*($D738-1)),2),0))</f>
        <v/>
      </c>
      <c r="H738" s="31">
        <f>IF($A738="","",IFERROR(ROUND($G738*INDEX(tblKurallar[deger_2025],MATCH("AYD-002",tblKurallar[kural_id],0)),2),0))</f>
        <v/>
      </c>
      <c r="I738" s="31">
        <f>IF($A738="","",IFERROR($G738-$G738*INDEX(tblKurallar[deger_2025],MATCH("AYD-004",tblKurallar[kural_id],0)),0))</f>
        <v/>
      </c>
    </row>
    <row r="739">
      <c r="A739" s="30" t="n"/>
      <c r="B739" s="30" t="n"/>
      <c r="C739" s="30" t="n"/>
      <c r="D739" s="30" t="n"/>
      <c r="E739" s="30" t="n"/>
      <c r="F739" s="30" t="n"/>
      <c r="G739" s="31">
        <f>IF($A739="","",IFERROR(ROUND(MAX(0,$B739*($D739-1)),2),0))</f>
        <v/>
      </c>
      <c r="H739" s="31">
        <f>IF($A739="","",IFERROR(ROUND($G739*INDEX(tblKurallar[deger_2025],MATCH("AYD-002",tblKurallar[kural_id],0)),2),0))</f>
        <v/>
      </c>
      <c r="I739" s="31">
        <f>IF($A739="","",IFERROR($G739-$G739*INDEX(tblKurallar[deger_2025],MATCH("AYD-004",tblKurallar[kural_id],0)),0))</f>
        <v/>
      </c>
    </row>
    <row r="740">
      <c r="A740" s="30" t="n"/>
      <c r="B740" s="30" t="n"/>
      <c r="C740" s="30" t="n"/>
      <c r="D740" s="30" t="n"/>
      <c r="E740" s="30" t="n"/>
      <c r="F740" s="30" t="n"/>
      <c r="G740" s="31">
        <f>IF($A740="","",IFERROR(ROUND(MAX(0,$B740*($D740-1)),2),0))</f>
        <v/>
      </c>
      <c r="H740" s="31">
        <f>IF($A740="","",IFERROR(ROUND($G740*INDEX(tblKurallar[deger_2025],MATCH("AYD-002",tblKurallar[kural_id],0)),2),0))</f>
        <v/>
      </c>
      <c r="I740" s="31">
        <f>IF($A740="","",IFERROR($G740-$G740*INDEX(tblKurallar[deger_2025],MATCH("AYD-004",tblKurallar[kural_id],0)),0))</f>
        <v/>
      </c>
    </row>
    <row r="741">
      <c r="A741" s="30" t="n"/>
      <c r="B741" s="30" t="n"/>
      <c r="C741" s="30" t="n"/>
      <c r="D741" s="30" t="n"/>
      <c r="E741" s="30" t="n"/>
      <c r="F741" s="30" t="n"/>
      <c r="G741" s="31">
        <f>IF($A741="","",IFERROR(ROUND(MAX(0,$B741*($D741-1)),2),0))</f>
        <v/>
      </c>
      <c r="H741" s="31">
        <f>IF($A741="","",IFERROR(ROUND($G741*INDEX(tblKurallar[deger_2025],MATCH("AYD-002",tblKurallar[kural_id],0)),2),0))</f>
        <v/>
      </c>
      <c r="I741" s="31">
        <f>IF($A741="","",IFERROR($G741-$G741*INDEX(tblKurallar[deger_2025],MATCH("AYD-004",tblKurallar[kural_id],0)),0))</f>
        <v/>
      </c>
    </row>
    <row r="742">
      <c r="A742" s="30" t="n"/>
      <c r="B742" s="30" t="n"/>
      <c r="C742" s="30" t="n"/>
      <c r="D742" s="30" t="n"/>
      <c r="E742" s="30" t="n"/>
      <c r="F742" s="30" t="n"/>
      <c r="G742" s="31">
        <f>IF($A742="","",IFERROR(ROUND(MAX(0,$B742*($D742-1)),2),0))</f>
        <v/>
      </c>
      <c r="H742" s="31">
        <f>IF($A742="","",IFERROR(ROUND($G742*INDEX(tblKurallar[deger_2025],MATCH("AYD-002",tblKurallar[kural_id],0)),2),0))</f>
        <v/>
      </c>
      <c r="I742" s="31">
        <f>IF($A742="","",IFERROR($G742-$G742*INDEX(tblKurallar[deger_2025],MATCH("AYD-004",tblKurallar[kural_id],0)),0))</f>
        <v/>
      </c>
    </row>
    <row r="743">
      <c r="A743" s="30" t="n"/>
      <c r="B743" s="30" t="n"/>
      <c r="C743" s="30" t="n"/>
      <c r="D743" s="30" t="n"/>
      <c r="E743" s="30" t="n"/>
      <c r="F743" s="30" t="n"/>
      <c r="G743" s="31">
        <f>IF($A743="","",IFERROR(ROUND(MAX(0,$B743*($D743-1)),2),0))</f>
        <v/>
      </c>
      <c r="H743" s="31">
        <f>IF($A743="","",IFERROR(ROUND($G743*INDEX(tblKurallar[deger_2025],MATCH("AYD-002",tblKurallar[kural_id],0)),2),0))</f>
        <v/>
      </c>
      <c r="I743" s="31">
        <f>IF($A743="","",IFERROR($G743-$G743*INDEX(tblKurallar[deger_2025],MATCH("AYD-004",tblKurallar[kural_id],0)),0))</f>
        <v/>
      </c>
    </row>
    <row r="744">
      <c r="A744" s="30" t="n"/>
      <c r="B744" s="30" t="n"/>
      <c r="C744" s="30" t="n"/>
      <c r="D744" s="30" t="n"/>
      <c r="E744" s="30" t="n"/>
      <c r="F744" s="30" t="n"/>
      <c r="G744" s="31">
        <f>IF($A744="","",IFERROR(ROUND(MAX(0,$B744*($D744-1)),2),0))</f>
        <v/>
      </c>
      <c r="H744" s="31">
        <f>IF($A744="","",IFERROR(ROUND($G744*INDEX(tblKurallar[deger_2025],MATCH("AYD-002",tblKurallar[kural_id],0)),2),0))</f>
        <v/>
      </c>
      <c r="I744" s="31">
        <f>IF($A744="","",IFERROR($G744-$G744*INDEX(tblKurallar[deger_2025],MATCH("AYD-004",tblKurallar[kural_id],0)),0))</f>
        <v/>
      </c>
    </row>
    <row r="745">
      <c r="A745" s="30" t="n"/>
      <c r="B745" s="30" t="n"/>
      <c r="C745" s="30" t="n"/>
      <c r="D745" s="30" t="n"/>
      <c r="E745" s="30" t="n"/>
      <c r="F745" s="30" t="n"/>
      <c r="G745" s="31">
        <f>IF($A745="","",IFERROR(ROUND(MAX(0,$B745*($D745-1)),2),0))</f>
        <v/>
      </c>
      <c r="H745" s="31">
        <f>IF($A745="","",IFERROR(ROUND($G745*INDEX(tblKurallar[deger_2025],MATCH("AYD-002",tblKurallar[kural_id],0)),2),0))</f>
        <v/>
      </c>
      <c r="I745" s="31">
        <f>IF($A745="","",IFERROR($G745-$G745*INDEX(tblKurallar[deger_2025],MATCH("AYD-004",tblKurallar[kural_id],0)),0))</f>
        <v/>
      </c>
    </row>
    <row r="746">
      <c r="A746" s="30" t="n"/>
      <c r="B746" s="30" t="n"/>
      <c r="C746" s="30" t="n"/>
      <c r="D746" s="30" t="n"/>
      <c r="E746" s="30" t="n"/>
      <c r="F746" s="30" t="n"/>
      <c r="G746" s="31">
        <f>IF($A746="","",IFERROR(ROUND(MAX(0,$B746*($D746-1)),2),0))</f>
        <v/>
      </c>
      <c r="H746" s="31">
        <f>IF($A746="","",IFERROR(ROUND($G746*INDEX(tblKurallar[deger_2025],MATCH("AYD-002",tblKurallar[kural_id],0)),2),0))</f>
        <v/>
      </c>
      <c r="I746" s="31">
        <f>IF($A746="","",IFERROR($G746-$G746*INDEX(tblKurallar[deger_2025],MATCH("AYD-004",tblKurallar[kural_id],0)),0))</f>
        <v/>
      </c>
    </row>
    <row r="747">
      <c r="A747" s="30" t="n"/>
      <c r="B747" s="30" t="n"/>
      <c r="C747" s="30" t="n"/>
      <c r="D747" s="30" t="n"/>
      <c r="E747" s="30" t="n"/>
      <c r="F747" s="30" t="n"/>
      <c r="G747" s="31">
        <f>IF($A747="","",IFERROR(ROUND(MAX(0,$B747*($D747-1)),2),0))</f>
        <v/>
      </c>
      <c r="H747" s="31">
        <f>IF($A747="","",IFERROR(ROUND($G747*INDEX(tblKurallar[deger_2025],MATCH("AYD-002",tblKurallar[kural_id],0)),2),0))</f>
        <v/>
      </c>
      <c r="I747" s="31">
        <f>IF($A747="","",IFERROR($G747-$G747*INDEX(tblKurallar[deger_2025],MATCH("AYD-004",tblKurallar[kural_id],0)),0))</f>
        <v/>
      </c>
    </row>
    <row r="748">
      <c r="A748" s="30" t="n"/>
      <c r="B748" s="30" t="n"/>
      <c r="C748" s="30" t="n"/>
      <c r="D748" s="30" t="n"/>
      <c r="E748" s="30" t="n"/>
      <c r="F748" s="30" t="n"/>
      <c r="G748" s="31">
        <f>IF($A748="","",IFERROR(ROUND(MAX(0,$B748*($D748-1)),2),0))</f>
        <v/>
      </c>
      <c r="H748" s="31">
        <f>IF($A748="","",IFERROR(ROUND($G748*INDEX(tblKurallar[deger_2025],MATCH("AYD-002",tblKurallar[kural_id],0)),2),0))</f>
        <v/>
      </c>
      <c r="I748" s="31">
        <f>IF($A748="","",IFERROR($G748-$G748*INDEX(tblKurallar[deger_2025],MATCH("AYD-004",tblKurallar[kural_id],0)),0))</f>
        <v/>
      </c>
    </row>
    <row r="749">
      <c r="A749" s="30" t="n"/>
      <c r="B749" s="30" t="n"/>
      <c r="C749" s="30" t="n"/>
      <c r="D749" s="30" t="n"/>
      <c r="E749" s="30" t="n"/>
      <c r="F749" s="30" t="n"/>
      <c r="G749" s="31">
        <f>IF($A749="","",IFERROR(ROUND(MAX(0,$B749*($D749-1)),2),0))</f>
        <v/>
      </c>
      <c r="H749" s="31">
        <f>IF($A749="","",IFERROR(ROUND($G749*INDEX(tblKurallar[deger_2025],MATCH("AYD-002",tblKurallar[kural_id],0)),2),0))</f>
        <v/>
      </c>
      <c r="I749" s="31">
        <f>IF($A749="","",IFERROR($G749-$G749*INDEX(tblKurallar[deger_2025],MATCH("AYD-004",tblKurallar[kural_id],0)),0))</f>
        <v/>
      </c>
    </row>
    <row r="750">
      <c r="A750" s="30" t="n"/>
      <c r="B750" s="30" t="n"/>
      <c r="C750" s="30" t="n"/>
      <c r="D750" s="30" t="n"/>
      <c r="E750" s="30" t="n"/>
      <c r="F750" s="30" t="n"/>
      <c r="G750" s="31">
        <f>IF($A750="","",IFERROR(ROUND(MAX(0,$B750*($D750-1)),2),0))</f>
        <v/>
      </c>
      <c r="H750" s="31">
        <f>IF($A750="","",IFERROR(ROUND($G750*INDEX(tblKurallar[deger_2025],MATCH("AYD-002",tblKurallar[kural_id],0)),2),0))</f>
        <v/>
      </c>
      <c r="I750" s="31">
        <f>IF($A750="","",IFERROR($G750-$G750*INDEX(tblKurallar[deger_2025],MATCH("AYD-004",tblKurallar[kural_id],0)),0))</f>
        <v/>
      </c>
    </row>
    <row r="751">
      <c r="A751" s="30" t="n"/>
      <c r="B751" s="30" t="n"/>
      <c r="C751" s="30" t="n"/>
      <c r="D751" s="30" t="n"/>
      <c r="E751" s="30" t="n"/>
      <c r="F751" s="30" t="n"/>
      <c r="G751" s="31">
        <f>IF($A751="","",IFERROR(ROUND(MAX(0,$B751*($D751-1)),2),0))</f>
        <v/>
      </c>
      <c r="H751" s="31">
        <f>IF($A751="","",IFERROR(ROUND($G751*INDEX(tblKurallar[deger_2025],MATCH("AYD-002",tblKurallar[kural_id],0)),2),0))</f>
        <v/>
      </c>
      <c r="I751" s="31">
        <f>IF($A751="","",IFERROR($G751-$G751*INDEX(tblKurallar[deger_2025],MATCH("AYD-004",tblKurallar[kural_id],0)),0))</f>
        <v/>
      </c>
    </row>
    <row r="752">
      <c r="A752" s="30" t="n"/>
      <c r="B752" s="30" t="n"/>
      <c r="C752" s="30" t="n"/>
      <c r="D752" s="30" t="n"/>
      <c r="E752" s="30" t="n"/>
      <c r="F752" s="30" t="n"/>
      <c r="G752" s="31">
        <f>IF($A752="","",IFERROR(ROUND(MAX(0,$B752*($D752-1)),2),0))</f>
        <v/>
      </c>
      <c r="H752" s="31">
        <f>IF($A752="","",IFERROR(ROUND($G752*INDEX(tblKurallar[deger_2025],MATCH("AYD-002",tblKurallar[kural_id],0)),2),0))</f>
        <v/>
      </c>
      <c r="I752" s="31">
        <f>IF($A752="","",IFERROR($G752-$G752*INDEX(tblKurallar[deger_2025],MATCH("AYD-004",tblKurallar[kural_id],0)),0))</f>
        <v/>
      </c>
    </row>
    <row r="753">
      <c r="A753" s="30" t="n"/>
      <c r="B753" s="30" t="n"/>
      <c r="C753" s="30" t="n"/>
      <c r="D753" s="30" t="n"/>
      <c r="E753" s="30" t="n"/>
      <c r="F753" s="30" t="n"/>
      <c r="G753" s="31">
        <f>IF($A753="","",IFERROR(ROUND(MAX(0,$B753*($D753-1)),2),0))</f>
        <v/>
      </c>
      <c r="H753" s="31">
        <f>IF($A753="","",IFERROR(ROUND($G753*INDEX(tblKurallar[deger_2025],MATCH("AYD-002",tblKurallar[kural_id],0)),2),0))</f>
        <v/>
      </c>
      <c r="I753" s="31">
        <f>IF($A753="","",IFERROR($G753-$G753*INDEX(tblKurallar[deger_2025],MATCH("AYD-004",tblKurallar[kural_id],0)),0))</f>
        <v/>
      </c>
    </row>
    <row r="754">
      <c r="A754" s="30" t="n"/>
      <c r="B754" s="30" t="n"/>
      <c r="C754" s="30" t="n"/>
      <c r="D754" s="30" t="n"/>
      <c r="E754" s="30" t="n"/>
      <c r="F754" s="30" t="n"/>
      <c r="G754" s="31">
        <f>IF($A754="","",IFERROR(ROUND(MAX(0,$B754*($D754-1)),2),0))</f>
        <v/>
      </c>
      <c r="H754" s="31">
        <f>IF($A754="","",IFERROR(ROUND($G754*INDEX(tblKurallar[deger_2025],MATCH("AYD-002",tblKurallar[kural_id],0)),2),0))</f>
        <v/>
      </c>
      <c r="I754" s="31">
        <f>IF($A754="","",IFERROR($G754-$G754*INDEX(tblKurallar[deger_2025],MATCH("AYD-004",tblKurallar[kural_id],0)),0))</f>
        <v/>
      </c>
    </row>
    <row r="755">
      <c r="A755" s="30" t="n"/>
      <c r="B755" s="30" t="n"/>
      <c r="C755" s="30" t="n"/>
      <c r="D755" s="30" t="n"/>
      <c r="E755" s="30" t="n"/>
      <c r="F755" s="30" t="n"/>
      <c r="G755" s="31">
        <f>IF($A755="","",IFERROR(ROUND(MAX(0,$B755*($D755-1)),2),0))</f>
        <v/>
      </c>
      <c r="H755" s="31">
        <f>IF($A755="","",IFERROR(ROUND($G755*INDEX(tblKurallar[deger_2025],MATCH("AYD-002",tblKurallar[kural_id],0)),2),0))</f>
        <v/>
      </c>
      <c r="I755" s="31">
        <f>IF($A755="","",IFERROR($G755-$G755*INDEX(tblKurallar[deger_2025],MATCH("AYD-004",tblKurallar[kural_id],0)),0))</f>
        <v/>
      </c>
    </row>
    <row r="756">
      <c r="A756" s="30" t="n"/>
      <c r="B756" s="30" t="n"/>
      <c r="C756" s="30" t="n"/>
      <c r="D756" s="30" t="n"/>
      <c r="E756" s="30" t="n"/>
      <c r="F756" s="30" t="n"/>
      <c r="G756" s="31">
        <f>IF($A756="","",IFERROR(ROUND(MAX(0,$B756*($D756-1)),2),0))</f>
        <v/>
      </c>
      <c r="H756" s="31">
        <f>IF($A756="","",IFERROR(ROUND($G756*INDEX(tblKurallar[deger_2025],MATCH("AYD-002",tblKurallar[kural_id],0)),2),0))</f>
        <v/>
      </c>
      <c r="I756" s="31">
        <f>IF($A756="","",IFERROR($G756-$G756*INDEX(tblKurallar[deger_2025],MATCH("AYD-004",tblKurallar[kural_id],0)),0))</f>
        <v/>
      </c>
    </row>
    <row r="757">
      <c r="A757" s="30" t="n"/>
      <c r="B757" s="30" t="n"/>
      <c r="C757" s="30" t="n"/>
      <c r="D757" s="30" t="n"/>
      <c r="E757" s="30" t="n"/>
      <c r="F757" s="30" t="n"/>
      <c r="G757" s="31">
        <f>IF($A757="","",IFERROR(ROUND(MAX(0,$B757*($D757-1)),2),0))</f>
        <v/>
      </c>
      <c r="H757" s="31">
        <f>IF($A757="","",IFERROR(ROUND($G757*INDEX(tblKurallar[deger_2025],MATCH("AYD-002",tblKurallar[kural_id],0)),2),0))</f>
        <v/>
      </c>
      <c r="I757" s="31">
        <f>IF($A757="","",IFERROR($G757-$G757*INDEX(tblKurallar[deger_2025],MATCH("AYD-004",tblKurallar[kural_id],0)),0))</f>
        <v/>
      </c>
    </row>
    <row r="758">
      <c r="A758" s="30" t="n"/>
      <c r="B758" s="30" t="n"/>
      <c r="C758" s="30" t="n"/>
      <c r="D758" s="30" t="n"/>
      <c r="E758" s="30" t="n"/>
      <c r="F758" s="30" t="n"/>
      <c r="G758" s="31">
        <f>IF($A758="","",IFERROR(ROUND(MAX(0,$B758*($D758-1)),2),0))</f>
        <v/>
      </c>
      <c r="H758" s="31">
        <f>IF($A758="","",IFERROR(ROUND($G758*INDEX(tblKurallar[deger_2025],MATCH("AYD-002",tblKurallar[kural_id],0)),2),0))</f>
        <v/>
      </c>
      <c r="I758" s="31">
        <f>IF($A758="","",IFERROR($G758-$G758*INDEX(tblKurallar[deger_2025],MATCH("AYD-004",tblKurallar[kural_id],0)),0))</f>
        <v/>
      </c>
    </row>
    <row r="759">
      <c r="A759" s="30" t="n"/>
      <c r="B759" s="30" t="n"/>
      <c r="C759" s="30" t="n"/>
      <c r="D759" s="30" t="n"/>
      <c r="E759" s="30" t="n"/>
      <c r="F759" s="30" t="n"/>
      <c r="G759" s="31">
        <f>IF($A759="","",IFERROR(ROUND(MAX(0,$B759*($D759-1)),2),0))</f>
        <v/>
      </c>
      <c r="H759" s="31">
        <f>IF($A759="","",IFERROR(ROUND($G759*INDEX(tblKurallar[deger_2025],MATCH("AYD-002",tblKurallar[kural_id],0)),2),0))</f>
        <v/>
      </c>
      <c r="I759" s="31">
        <f>IF($A759="","",IFERROR($G759-$G759*INDEX(tblKurallar[deger_2025],MATCH("AYD-004",tblKurallar[kural_id],0)),0))</f>
        <v/>
      </c>
    </row>
    <row r="760">
      <c r="A760" s="30" t="n"/>
      <c r="B760" s="30" t="n"/>
      <c r="C760" s="30" t="n"/>
      <c r="D760" s="30" t="n"/>
      <c r="E760" s="30" t="n"/>
      <c r="F760" s="30" t="n"/>
      <c r="G760" s="31">
        <f>IF($A760="","",IFERROR(ROUND(MAX(0,$B760*($D760-1)),2),0))</f>
        <v/>
      </c>
      <c r="H760" s="31">
        <f>IF($A760="","",IFERROR(ROUND($G760*INDEX(tblKurallar[deger_2025],MATCH("AYD-002",tblKurallar[kural_id],0)),2),0))</f>
        <v/>
      </c>
      <c r="I760" s="31">
        <f>IF($A760="","",IFERROR($G760-$G760*INDEX(tblKurallar[deger_2025],MATCH("AYD-004",tblKurallar[kural_id],0)),0))</f>
        <v/>
      </c>
    </row>
    <row r="761">
      <c r="A761" s="30" t="n"/>
      <c r="B761" s="30" t="n"/>
      <c r="C761" s="30" t="n"/>
      <c r="D761" s="30" t="n"/>
      <c r="E761" s="30" t="n"/>
      <c r="F761" s="30" t="n"/>
      <c r="G761" s="31">
        <f>IF($A761="","",IFERROR(ROUND(MAX(0,$B761*($D761-1)),2),0))</f>
        <v/>
      </c>
      <c r="H761" s="31">
        <f>IF($A761="","",IFERROR(ROUND($G761*INDEX(tblKurallar[deger_2025],MATCH("AYD-002",tblKurallar[kural_id],0)),2),0))</f>
        <v/>
      </c>
      <c r="I761" s="31">
        <f>IF($A761="","",IFERROR($G761-$G761*INDEX(tblKurallar[deger_2025],MATCH("AYD-004",tblKurallar[kural_id],0)),0))</f>
        <v/>
      </c>
    </row>
    <row r="762">
      <c r="A762" s="30" t="n"/>
      <c r="B762" s="30" t="n"/>
      <c r="C762" s="30" t="n"/>
      <c r="D762" s="30" t="n"/>
      <c r="E762" s="30" t="n"/>
      <c r="F762" s="30" t="n"/>
      <c r="G762" s="31">
        <f>IF($A762="","",IFERROR(ROUND(MAX(0,$B762*($D762-1)),2),0))</f>
        <v/>
      </c>
      <c r="H762" s="31">
        <f>IF($A762="","",IFERROR(ROUND($G762*INDEX(tblKurallar[deger_2025],MATCH("AYD-002",tblKurallar[kural_id],0)),2),0))</f>
        <v/>
      </c>
      <c r="I762" s="31">
        <f>IF($A762="","",IFERROR($G762-$G762*INDEX(tblKurallar[deger_2025],MATCH("AYD-004",tblKurallar[kural_id],0)),0))</f>
        <v/>
      </c>
    </row>
    <row r="763">
      <c r="A763" s="30" t="n"/>
      <c r="B763" s="30" t="n"/>
      <c r="C763" s="30" t="n"/>
      <c r="D763" s="30" t="n"/>
      <c r="E763" s="30" t="n"/>
      <c r="F763" s="30" t="n"/>
      <c r="G763" s="31">
        <f>IF($A763="","",IFERROR(ROUND(MAX(0,$B763*($D763-1)),2),0))</f>
        <v/>
      </c>
      <c r="H763" s="31">
        <f>IF($A763="","",IFERROR(ROUND($G763*INDEX(tblKurallar[deger_2025],MATCH("AYD-002",tblKurallar[kural_id],0)),2),0))</f>
        <v/>
      </c>
      <c r="I763" s="31">
        <f>IF($A763="","",IFERROR($G763-$G763*INDEX(tblKurallar[deger_2025],MATCH("AYD-004",tblKurallar[kural_id],0)),0))</f>
        <v/>
      </c>
    </row>
    <row r="764">
      <c r="A764" s="30" t="n"/>
      <c r="B764" s="30" t="n"/>
      <c r="C764" s="30" t="n"/>
      <c r="D764" s="30" t="n"/>
      <c r="E764" s="30" t="n"/>
      <c r="F764" s="30" t="n"/>
      <c r="G764" s="31">
        <f>IF($A764="","",IFERROR(ROUND(MAX(0,$B764*($D764-1)),2),0))</f>
        <v/>
      </c>
      <c r="H764" s="31">
        <f>IF($A764="","",IFERROR(ROUND($G764*INDEX(tblKurallar[deger_2025],MATCH("AYD-002",tblKurallar[kural_id],0)),2),0))</f>
        <v/>
      </c>
      <c r="I764" s="31">
        <f>IF($A764="","",IFERROR($G764-$G764*INDEX(tblKurallar[deger_2025],MATCH("AYD-004",tblKurallar[kural_id],0)),0))</f>
        <v/>
      </c>
    </row>
    <row r="765">
      <c r="A765" s="30" t="n"/>
      <c r="B765" s="30" t="n"/>
      <c r="C765" s="30" t="n"/>
      <c r="D765" s="30" t="n"/>
      <c r="E765" s="30" t="n"/>
      <c r="F765" s="30" t="n"/>
      <c r="G765" s="31">
        <f>IF($A765="","",IFERROR(ROUND(MAX(0,$B765*($D765-1)),2),0))</f>
        <v/>
      </c>
      <c r="H765" s="31">
        <f>IF($A765="","",IFERROR(ROUND($G765*INDEX(tblKurallar[deger_2025],MATCH("AYD-002",tblKurallar[kural_id],0)),2),0))</f>
        <v/>
      </c>
      <c r="I765" s="31">
        <f>IF($A765="","",IFERROR($G765-$G765*INDEX(tblKurallar[deger_2025],MATCH("AYD-004",tblKurallar[kural_id],0)),0))</f>
        <v/>
      </c>
    </row>
    <row r="766">
      <c r="A766" s="30" t="n"/>
      <c r="B766" s="30" t="n"/>
      <c r="C766" s="30" t="n"/>
      <c r="D766" s="30" t="n"/>
      <c r="E766" s="30" t="n"/>
      <c r="F766" s="30" t="n"/>
      <c r="G766" s="31">
        <f>IF($A766="","",IFERROR(ROUND(MAX(0,$B766*($D766-1)),2),0))</f>
        <v/>
      </c>
      <c r="H766" s="31">
        <f>IF($A766="","",IFERROR(ROUND($G766*INDEX(tblKurallar[deger_2025],MATCH("AYD-002",tblKurallar[kural_id],0)),2),0))</f>
        <v/>
      </c>
      <c r="I766" s="31">
        <f>IF($A766="","",IFERROR($G766-$G766*INDEX(tblKurallar[deger_2025],MATCH("AYD-004",tblKurallar[kural_id],0)),0))</f>
        <v/>
      </c>
    </row>
    <row r="767">
      <c r="A767" s="30" t="n"/>
      <c r="B767" s="30" t="n"/>
      <c r="C767" s="30" t="n"/>
      <c r="D767" s="30" t="n"/>
      <c r="E767" s="30" t="n"/>
      <c r="F767" s="30" t="n"/>
      <c r="G767" s="31">
        <f>IF($A767="","",IFERROR(ROUND(MAX(0,$B767*($D767-1)),2),0))</f>
        <v/>
      </c>
      <c r="H767" s="31">
        <f>IF($A767="","",IFERROR(ROUND($G767*INDEX(tblKurallar[deger_2025],MATCH("AYD-002",tblKurallar[kural_id],0)),2),0))</f>
        <v/>
      </c>
      <c r="I767" s="31">
        <f>IF($A767="","",IFERROR($G767-$G767*INDEX(tblKurallar[deger_2025],MATCH("AYD-004",tblKurallar[kural_id],0)),0))</f>
        <v/>
      </c>
    </row>
    <row r="768">
      <c r="A768" s="30" t="n"/>
      <c r="B768" s="30" t="n"/>
      <c r="C768" s="30" t="n"/>
      <c r="D768" s="30" t="n"/>
      <c r="E768" s="30" t="n"/>
      <c r="F768" s="30" t="n"/>
      <c r="G768" s="31">
        <f>IF($A768="","",IFERROR(ROUND(MAX(0,$B768*($D768-1)),2),0))</f>
        <v/>
      </c>
      <c r="H768" s="31">
        <f>IF($A768="","",IFERROR(ROUND($G768*INDEX(tblKurallar[deger_2025],MATCH("AYD-002",tblKurallar[kural_id],0)),2),0))</f>
        <v/>
      </c>
      <c r="I768" s="31">
        <f>IF($A768="","",IFERROR($G768-$G768*INDEX(tblKurallar[deger_2025],MATCH("AYD-004",tblKurallar[kural_id],0)),0))</f>
        <v/>
      </c>
    </row>
    <row r="769">
      <c r="A769" s="30" t="n"/>
      <c r="B769" s="30" t="n"/>
      <c r="C769" s="30" t="n"/>
      <c r="D769" s="30" t="n"/>
      <c r="E769" s="30" t="n"/>
      <c r="F769" s="30" t="n"/>
      <c r="G769" s="31">
        <f>IF($A769="","",IFERROR(ROUND(MAX(0,$B769*($D769-1)),2),0))</f>
        <v/>
      </c>
      <c r="H769" s="31">
        <f>IF($A769="","",IFERROR(ROUND($G769*INDEX(tblKurallar[deger_2025],MATCH("AYD-002",tblKurallar[kural_id],0)),2),0))</f>
        <v/>
      </c>
      <c r="I769" s="31">
        <f>IF($A769="","",IFERROR($G769-$G769*INDEX(tblKurallar[deger_2025],MATCH("AYD-004",tblKurallar[kural_id],0)),0))</f>
        <v/>
      </c>
    </row>
    <row r="770">
      <c r="A770" s="30" t="n"/>
      <c r="B770" s="30" t="n"/>
      <c r="C770" s="30" t="n"/>
      <c r="D770" s="30" t="n"/>
      <c r="E770" s="30" t="n"/>
      <c r="F770" s="30" t="n"/>
      <c r="G770" s="31">
        <f>IF($A770="","",IFERROR(ROUND(MAX(0,$B770*($D770-1)),2),0))</f>
        <v/>
      </c>
      <c r="H770" s="31">
        <f>IF($A770="","",IFERROR(ROUND($G770*INDEX(tblKurallar[deger_2025],MATCH("AYD-002",tblKurallar[kural_id],0)),2),0))</f>
        <v/>
      </c>
      <c r="I770" s="31">
        <f>IF($A770="","",IFERROR($G770-$G770*INDEX(tblKurallar[deger_2025],MATCH("AYD-004",tblKurallar[kural_id],0)),0))</f>
        <v/>
      </c>
    </row>
    <row r="771">
      <c r="A771" s="30" t="n"/>
      <c r="B771" s="30" t="n"/>
      <c r="C771" s="30" t="n"/>
      <c r="D771" s="30" t="n"/>
      <c r="E771" s="30" t="n"/>
      <c r="F771" s="30" t="n"/>
      <c r="G771" s="31">
        <f>IF($A771="","",IFERROR(ROUND(MAX(0,$B771*($D771-1)),2),0))</f>
        <v/>
      </c>
      <c r="H771" s="31">
        <f>IF($A771="","",IFERROR(ROUND($G771*INDEX(tblKurallar[deger_2025],MATCH("AYD-002",tblKurallar[kural_id],0)),2),0))</f>
        <v/>
      </c>
      <c r="I771" s="31">
        <f>IF($A771="","",IFERROR($G771-$G771*INDEX(tblKurallar[deger_2025],MATCH("AYD-004",tblKurallar[kural_id],0)),0))</f>
        <v/>
      </c>
    </row>
    <row r="772">
      <c r="A772" s="30" t="n"/>
      <c r="B772" s="30" t="n"/>
      <c r="C772" s="30" t="n"/>
      <c r="D772" s="30" t="n"/>
      <c r="E772" s="30" t="n"/>
      <c r="F772" s="30" t="n"/>
      <c r="G772" s="31">
        <f>IF($A772="","",IFERROR(ROUND(MAX(0,$B772*($D772-1)),2),0))</f>
        <v/>
      </c>
      <c r="H772" s="31">
        <f>IF($A772="","",IFERROR(ROUND($G772*INDEX(tblKurallar[deger_2025],MATCH("AYD-002",tblKurallar[kural_id],0)),2),0))</f>
        <v/>
      </c>
      <c r="I772" s="31">
        <f>IF($A772="","",IFERROR($G772-$G772*INDEX(tblKurallar[deger_2025],MATCH("AYD-004",tblKurallar[kural_id],0)),0))</f>
        <v/>
      </c>
    </row>
    <row r="773">
      <c r="A773" s="30" t="n"/>
      <c r="B773" s="30" t="n"/>
      <c r="C773" s="30" t="n"/>
      <c r="D773" s="30" t="n"/>
      <c r="E773" s="30" t="n"/>
      <c r="F773" s="30" t="n"/>
      <c r="G773" s="31">
        <f>IF($A773="","",IFERROR(ROUND(MAX(0,$B773*($D773-1)),2),0))</f>
        <v/>
      </c>
      <c r="H773" s="31">
        <f>IF($A773="","",IFERROR(ROUND($G773*INDEX(tblKurallar[deger_2025],MATCH("AYD-002",tblKurallar[kural_id],0)),2),0))</f>
        <v/>
      </c>
      <c r="I773" s="31">
        <f>IF($A773="","",IFERROR($G773-$G773*INDEX(tblKurallar[deger_2025],MATCH("AYD-004",tblKurallar[kural_id],0)),0))</f>
        <v/>
      </c>
    </row>
    <row r="774">
      <c r="A774" s="30" t="n"/>
      <c r="B774" s="30" t="n"/>
      <c r="C774" s="30" t="n"/>
      <c r="D774" s="30" t="n"/>
      <c r="E774" s="30" t="n"/>
      <c r="F774" s="30" t="n"/>
      <c r="G774" s="31">
        <f>IF($A774="","",IFERROR(ROUND(MAX(0,$B774*($D774-1)),2),0))</f>
        <v/>
      </c>
      <c r="H774" s="31">
        <f>IF($A774="","",IFERROR(ROUND($G774*INDEX(tblKurallar[deger_2025],MATCH("AYD-002",tblKurallar[kural_id],0)),2),0))</f>
        <v/>
      </c>
      <c r="I774" s="31">
        <f>IF($A774="","",IFERROR($G774-$G774*INDEX(tblKurallar[deger_2025],MATCH("AYD-004",tblKurallar[kural_id],0)),0))</f>
        <v/>
      </c>
    </row>
    <row r="775">
      <c r="A775" s="30" t="n"/>
      <c r="B775" s="30" t="n"/>
      <c r="C775" s="30" t="n"/>
      <c r="D775" s="30" t="n"/>
      <c r="E775" s="30" t="n"/>
      <c r="F775" s="30" t="n"/>
      <c r="G775" s="31">
        <f>IF($A775="","",IFERROR(ROUND(MAX(0,$B775*($D775-1)),2),0))</f>
        <v/>
      </c>
      <c r="H775" s="31">
        <f>IF($A775="","",IFERROR(ROUND($G775*INDEX(tblKurallar[deger_2025],MATCH("AYD-002",tblKurallar[kural_id],0)),2),0))</f>
        <v/>
      </c>
      <c r="I775" s="31">
        <f>IF($A775="","",IFERROR($G775-$G775*INDEX(tblKurallar[deger_2025],MATCH("AYD-004",tblKurallar[kural_id],0)),0))</f>
        <v/>
      </c>
    </row>
    <row r="776">
      <c r="A776" s="30" t="n"/>
      <c r="B776" s="30" t="n"/>
      <c r="C776" s="30" t="n"/>
      <c r="D776" s="30" t="n"/>
      <c r="E776" s="30" t="n"/>
      <c r="F776" s="30" t="n"/>
      <c r="G776" s="31">
        <f>IF($A776="","",IFERROR(ROUND(MAX(0,$B776*($D776-1)),2),0))</f>
        <v/>
      </c>
      <c r="H776" s="31">
        <f>IF($A776="","",IFERROR(ROUND($G776*INDEX(tblKurallar[deger_2025],MATCH("AYD-002",tblKurallar[kural_id],0)),2),0))</f>
        <v/>
      </c>
      <c r="I776" s="31">
        <f>IF($A776="","",IFERROR($G776-$G776*INDEX(tblKurallar[deger_2025],MATCH("AYD-004",tblKurallar[kural_id],0)),0))</f>
        <v/>
      </c>
    </row>
    <row r="777">
      <c r="A777" s="30" t="n"/>
      <c r="B777" s="30" t="n"/>
      <c r="C777" s="30" t="n"/>
      <c r="D777" s="30" t="n"/>
      <c r="E777" s="30" t="n"/>
      <c r="F777" s="30" t="n"/>
      <c r="G777" s="31">
        <f>IF($A777="","",IFERROR(ROUND(MAX(0,$B777*($D777-1)),2),0))</f>
        <v/>
      </c>
      <c r="H777" s="31">
        <f>IF($A777="","",IFERROR(ROUND($G777*INDEX(tblKurallar[deger_2025],MATCH("AYD-002",tblKurallar[kural_id],0)),2),0))</f>
        <v/>
      </c>
      <c r="I777" s="31">
        <f>IF($A777="","",IFERROR($G777-$G777*INDEX(tblKurallar[deger_2025],MATCH("AYD-004",tblKurallar[kural_id],0)),0))</f>
        <v/>
      </c>
    </row>
    <row r="778">
      <c r="A778" s="30" t="n"/>
      <c r="B778" s="30" t="n"/>
      <c r="C778" s="30" t="n"/>
      <c r="D778" s="30" t="n"/>
      <c r="E778" s="30" t="n"/>
      <c r="F778" s="30" t="n"/>
      <c r="G778" s="31">
        <f>IF($A778="","",IFERROR(ROUND(MAX(0,$B778*($D778-1)),2),0))</f>
        <v/>
      </c>
      <c r="H778" s="31">
        <f>IF($A778="","",IFERROR(ROUND($G778*INDEX(tblKurallar[deger_2025],MATCH("AYD-002",tblKurallar[kural_id],0)),2),0))</f>
        <v/>
      </c>
      <c r="I778" s="31">
        <f>IF($A778="","",IFERROR($G778-$G778*INDEX(tblKurallar[deger_2025],MATCH("AYD-004",tblKurallar[kural_id],0)),0))</f>
        <v/>
      </c>
    </row>
    <row r="779">
      <c r="A779" s="30" t="n"/>
      <c r="B779" s="30" t="n"/>
      <c r="C779" s="30" t="n"/>
      <c r="D779" s="30" t="n"/>
      <c r="E779" s="30" t="n"/>
      <c r="F779" s="30" t="n"/>
      <c r="G779" s="31">
        <f>IF($A779="","",IFERROR(ROUND(MAX(0,$B779*($D779-1)),2),0))</f>
        <v/>
      </c>
      <c r="H779" s="31">
        <f>IF($A779="","",IFERROR(ROUND($G779*INDEX(tblKurallar[deger_2025],MATCH("AYD-002",tblKurallar[kural_id],0)),2),0))</f>
        <v/>
      </c>
      <c r="I779" s="31">
        <f>IF($A779="","",IFERROR($G779-$G779*INDEX(tblKurallar[deger_2025],MATCH("AYD-004",tblKurallar[kural_id],0)),0))</f>
        <v/>
      </c>
    </row>
    <row r="780">
      <c r="A780" s="30" t="n"/>
      <c r="B780" s="30" t="n"/>
      <c r="C780" s="30" t="n"/>
      <c r="D780" s="30" t="n"/>
      <c r="E780" s="30" t="n"/>
      <c r="F780" s="30" t="n"/>
      <c r="G780" s="31">
        <f>IF($A780="","",IFERROR(ROUND(MAX(0,$B780*($D780-1)),2),0))</f>
        <v/>
      </c>
      <c r="H780" s="31">
        <f>IF($A780="","",IFERROR(ROUND($G780*INDEX(tblKurallar[deger_2025],MATCH("AYD-002",tblKurallar[kural_id],0)),2),0))</f>
        <v/>
      </c>
      <c r="I780" s="31">
        <f>IF($A780="","",IFERROR($G780-$G780*INDEX(tblKurallar[deger_2025],MATCH("AYD-004",tblKurallar[kural_id],0)),0))</f>
        <v/>
      </c>
    </row>
    <row r="781">
      <c r="A781" s="30" t="n"/>
      <c r="B781" s="30" t="n"/>
      <c r="C781" s="30" t="n"/>
      <c r="D781" s="30" t="n"/>
      <c r="E781" s="30" t="n"/>
      <c r="F781" s="30" t="n"/>
      <c r="G781" s="31">
        <f>IF($A781="","",IFERROR(ROUND(MAX(0,$B781*($D781-1)),2),0))</f>
        <v/>
      </c>
      <c r="H781" s="31">
        <f>IF($A781="","",IFERROR(ROUND($G781*INDEX(tblKurallar[deger_2025],MATCH("AYD-002",tblKurallar[kural_id],0)),2),0))</f>
        <v/>
      </c>
      <c r="I781" s="31">
        <f>IF($A781="","",IFERROR($G781-$G781*INDEX(tblKurallar[deger_2025],MATCH("AYD-004",tblKurallar[kural_id],0)),0))</f>
        <v/>
      </c>
    </row>
    <row r="782">
      <c r="A782" s="30" t="n"/>
      <c r="B782" s="30" t="n"/>
      <c r="C782" s="30" t="n"/>
      <c r="D782" s="30" t="n"/>
      <c r="E782" s="30" t="n"/>
      <c r="F782" s="30" t="n"/>
      <c r="G782" s="31">
        <f>IF($A782="","",IFERROR(ROUND(MAX(0,$B782*($D782-1)),2),0))</f>
        <v/>
      </c>
      <c r="H782" s="31">
        <f>IF($A782="","",IFERROR(ROUND($G782*INDEX(tblKurallar[deger_2025],MATCH("AYD-002",tblKurallar[kural_id],0)),2),0))</f>
        <v/>
      </c>
      <c r="I782" s="31">
        <f>IF($A782="","",IFERROR($G782-$G782*INDEX(tblKurallar[deger_2025],MATCH("AYD-004",tblKurallar[kural_id],0)),0))</f>
        <v/>
      </c>
    </row>
    <row r="783">
      <c r="A783" s="30" t="n"/>
      <c r="B783" s="30" t="n"/>
      <c r="C783" s="30" t="n"/>
      <c r="D783" s="30" t="n"/>
      <c r="E783" s="30" t="n"/>
      <c r="F783" s="30" t="n"/>
      <c r="G783" s="31">
        <f>IF($A783="","",IFERROR(ROUND(MAX(0,$B783*($D783-1)),2),0))</f>
        <v/>
      </c>
      <c r="H783" s="31">
        <f>IF($A783="","",IFERROR(ROUND($G783*INDEX(tblKurallar[deger_2025],MATCH("AYD-002",tblKurallar[kural_id],0)),2),0))</f>
        <v/>
      </c>
      <c r="I783" s="31">
        <f>IF($A783="","",IFERROR($G783-$G783*INDEX(tblKurallar[deger_2025],MATCH("AYD-004",tblKurallar[kural_id],0)),0))</f>
        <v/>
      </c>
    </row>
    <row r="784">
      <c r="A784" s="30" t="n"/>
      <c r="B784" s="30" t="n"/>
      <c r="C784" s="30" t="n"/>
      <c r="D784" s="30" t="n"/>
      <c r="E784" s="30" t="n"/>
      <c r="F784" s="30" t="n"/>
      <c r="G784" s="31">
        <f>IF($A784="","",IFERROR(ROUND(MAX(0,$B784*($D784-1)),2),0))</f>
        <v/>
      </c>
      <c r="H784" s="31">
        <f>IF($A784="","",IFERROR(ROUND($G784*INDEX(tblKurallar[deger_2025],MATCH("AYD-002",tblKurallar[kural_id],0)),2),0))</f>
        <v/>
      </c>
      <c r="I784" s="31">
        <f>IF($A784="","",IFERROR($G784-$G784*INDEX(tblKurallar[deger_2025],MATCH("AYD-004",tblKurallar[kural_id],0)),0))</f>
        <v/>
      </c>
    </row>
    <row r="785">
      <c r="A785" s="30" t="n"/>
      <c r="B785" s="30" t="n"/>
      <c r="C785" s="30" t="n"/>
      <c r="D785" s="30" t="n"/>
      <c r="E785" s="30" t="n"/>
      <c r="F785" s="30" t="n"/>
      <c r="G785" s="31">
        <f>IF($A785="","",IFERROR(ROUND(MAX(0,$B785*($D785-1)),2),0))</f>
        <v/>
      </c>
      <c r="H785" s="31">
        <f>IF($A785="","",IFERROR(ROUND($G785*INDEX(tblKurallar[deger_2025],MATCH("AYD-002",tblKurallar[kural_id],0)),2),0))</f>
        <v/>
      </c>
      <c r="I785" s="31">
        <f>IF($A785="","",IFERROR($G785-$G785*INDEX(tblKurallar[deger_2025],MATCH("AYD-004",tblKurallar[kural_id],0)),0))</f>
        <v/>
      </c>
    </row>
    <row r="786">
      <c r="A786" s="30" t="n"/>
      <c r="B786" s="30" t="n"/>
      <c r="C786" s="30" t="n"/>
      <c r="D786" s="30" t="n"/>
      <c r="E786" s="30" t="n"/>
      <c r="F786" s="30" t="n"/>
      <c r="G786" s="31">
        <f>IF($A786="","",IFERROR(ROUND(MAX(0,$B786*($D786-1)),2),0))</f>
        <v/>
      </c>
      <c r="H786" s="31">
        <f>IF($A786="","",IFERROR(ROUND($G786*INDEX(tblKurallar[deger_2025],MATCH("AYD-002",tblKurallar[kural_id],0)),2),0))</f>
        <v/>
      </c>
      <c r="I786" s="31">
        <f>IF($A786="","",IFERROR($G786-$G786*INDEX(tblKurallar[deger_2025],MATCH("AYD-004",tblKurallar[kural_id],0)),0))</f>
        <v/>
      </c>
    </row>
    <row r="787">
      <c r="A787" s="30" t="n"/>
      <c r="B787" s="30" t="n"/>
      <c r="C787" s="30" t="n"/>
      <c r="D787" s="30" t="n"/>
      <c r="E787" s="30" t="n"/>
      <c r="F787" s="30" t="n"/>
      <c r="G787" s="31">
        <f>IF($A787="","",IFERROR(ROUND(MAX(0,$B787*($D787-1)),2),0))</f>
        <v/>
      </c>
      <c r="H787" s="31">
        <f>IF($A787="","",IFERROR(ROUND($G787*INDEX(tblKurallar[deger_2025],MATCH("AYD-002",tblKurallar[kural_id],0)),2),0))</f>
        <v/>
      </c>
      <c r="I787" s="31">
        <f>IF($A787="","",IFERROR($G787-$G787*INDEX(tblKurallar[deger_2025],MATCH("AYD-004",tblKurallar[kural_id],0)),0))</f>
        <v/>
      </c>
    </row>
    <row r="788">
      <c r="A788" s="30" t="n"/>
      <c r="B788" s="30" t="n"/>
      <c r="C788" s="30" t="n"/>
      <c r="D788" s="30" t="n"/>
      <c r="E788" s="30" t="n"/>
      <c r="F788" s="30" t="n"/>
      <c r="G788" s="31">
        <f>IF($A788="","",IFERROR(ROUND(MAX(0,$B788*($D788-1)),2),0))</f>
        <v/>
      </c>
      <c r="H788" s="31">
        <f>IF($A788="","",IFERROR(ROUND($G788*INDEX(tblKurallar[deger_2025],MATCH("AYD-002",tblKurallar[kural_id],0)),2),0))</f>
        <v/>
      </c>
      <c r="I788" s="31">
        <f>IF($A788="","",IFERROR($G788-$G788*INDEX(tblKurallar[deger_2025],MATCH("AYD-004",tblKurallar[kural_id],0)),0))</f>
        <v/>
      </c>
    </row>
    <row r="789">
      <c r="A789" s="30" t="n"/>
      <c r="B789" s="30" t="n"/>
      <c r="C789" s="30" t="n"/>
      <c r="D789" s="30" t="n"/>
      <c r="E789" s="30" t="n"/>
      <c r="F789" s="30" t="n"/>
      <c r="G789" s="31">
        <f>IF($A789="","",IFERROR(ROUND(MAX(0,$B789*($D789-1)),2),0))</f>
        <v/>
      </c>
      <c r="H789" s="31">
        <f>IF($A789="","",IFERROR(ROUND($G789*INDEX(tblKurallar[deger_2025],MATCH("AYD-002",tblKurallar[kural_id],0)),2),0))</f>
        <v/>
      </c>
      <c r="I789" s="31">
        <f>IF($A789="","",IFERROR($G789-$G789*INDEX(tblKurallar[deger_2025],MATCH("AYD-004",tblKurallar[kural_id],0)),0))</f>
        <v/>
      </c>
    </row>
    <row r="790">
      <c r="A790" s="30" t="n"/>
      <c r="B790" s="30" t="n"/>
      <c r="C790" s="30" t="n"/>
      <c r="D790" s="30" t="n"/>
      <c r="E790" s="30" t="n"/>
      <c r="F790" s="30" t="n"/>
      <c r="G790" s="31">
        <f>IF($A790="","",IFERROR(ROUND(MAX(0,$B790*($D790-1)),2),0))</f>
        <v/>
      </c>
      <c r="H790" s="31">
        <f>IF($A790="","",IFERROR(ROUND($G790*INDEX(tblKurallar[deger_2025],MATCH("AYD-002",tblKurallar[kural_id],0)),2),0))</f>
        <v/>
      </c>
      <c r="I790" s="31">
        <f>IF($A790="","",IFERROR($G790-$G790*INDEX(tblKurallar[deger_2025],MATCH("AYD-004",tblKurallar[kural_id],0)),0))</f>
        <v/>
      </c>
    </row>
    <row r="791">
      <c r="A791" s="30" t="n"/>
      <c r="B791" s="30" t="n"/>
      <c r="C791" s="30" t="n"/>
      <c r="D791" s="30" t="n"/>
      <c r="E791" s="30" t="n"/>
      <c r="F791" s="30" t="n"/>
      <c r="G791" s="31">
        <f>IF($A791="","",IFERROR(ROUND(MAX(0,$B791*($D791-1)),2),0))</f>
        <v/>
      </c>
      <c r="H791" s="31">
        <f>IF($A791="","",IFERROR(ROUND($G791*INDEX(tblKurallar[deger_2025],MATCH("AYD-002",tblKurallar[kural_id],0)),2),0))</f>
        <v/>
      </c>
      <c r="I791" s="31">
        <f>IF($A791="","",IFERROR($G791-$G791*INDEX(tblKurallar[deger_2025],MATCH("AYD-004",tblKurallar[kural_id],0)),0))</f>
        <v/>
      </c>
    </row>
    <row r="792">
      <c r="A792" s="30" t="n"/>
      <c r="B792" s="30" t="n"/>
      <c r="C792" s="30" t="n"/>
      <c r="D792" s="30" t="n"/>
      <c r="E792" s="30" t="n"/>
      <c r="F792" s="30" t="n"/>
      <c r="G792" s="31">
        <f>IF($A792="","",IFERROR(ROUND(MAX(0,$B792*($D792-1)),2),0))</f>
        <v/>
      </c>
      <c r="H792" s="31">
        <f>IF($A792="","",IFERROR(ROUND($G792*INDEX(tblKurallar[deger_2025],MATCH("AYD-002",tblKurallar[kural_id],0)),2),0))</f>
        <v/>
      </c>
      <c r="I792" s="31">
        <f>IF($A792="","",IFERROR($G792-$G792*INDEX(tblKurallar[deger_2025],MATCH("AYD-004",tblKurallar[kural_id],0)),0))</f>
        <v/>
      </c>
    </row>
    <row r="793">
      <c r="A793" s="30" t="n"/>
      <c r="B793" s="30" t="n"/>
      <c r="C793" s="30" t="n"/>
      <c r="D793" s="30" t="n"/>
      <c r="E793" s="30" t="n"/>
      <c r="F793" s="30" t="n"/>
      <c r="G793" s="31">
        <f>IF($A793="","",IFERROR(ROUND(MAX(0,$B793*($D793-1)),2),0))</f>
        <v/>
      </c>
      <c r="H793" s="31">
        <f>IF($A793="","",IFERROR(ROUND($G793*INDEX(tblKurallar[deger_2025],MATCH("AYD-002",tblKurallar[kural_id],0)),2),0))</f>
        <v/>
      </c>
      <c r="I793" s="31">
        <f>IF($A793="","",IFERROR($G793-$G793*INDEX(tblKurallar[deger_2025],MATCH("AYD-004",tblKurallar[kural_id],0)),0))</f>
        <v/>
      </c>
    </row>
    <row r="794">
      <c r="A794" s="30" t="n"/>
      <c r="B794" s="30" t="n"/>
      <c r="C794" s="30" t="n"/>
      <c r="D794" s="30" t="n"/>
      <c r="E794" s="30" t="n"/>
      <c r="F794" s="30" t="n"/>
      <c r="G794" s="31">
        <f>IF($A794="","",IFERROR(ROUND(MAX(0,$B794*($D794-1)),2),0))</f>
        <v/>
      </c>
      <c r="H794" s="31">
        <f>IF($A794="","",IFERROR(ROUND($G794*INDEX(tblKurallar[deger_2025],MATCH("AYD-002",tblKurallar[kural_id],0)),2),0))</f>
        <v/>
      </c>
      <c r="I794" s="31">
        <f>IF($A794="","",IFERROR($G794-$G794*INDEX(tblKurallar[deger_2025],MATCH("AYD-004",tblKurallar[kural_id],0)),0))</f>
        <v/>
      </c>
    </row>
    <row r="795">
      <c r="A795" s="30" t="n"/>
      <c r="B795" s="30" t="n"/>
      <c r="C795" s="30" t="n"/>
      <c r="D795" s="30" t="n"/>
      <c r="E795" s="30" t="n"/>
      <c r="F795" s="30" t="n"/>
      <c r="G795" s="31">
        <f>IF($A795="","",IFERROR(ROUND(MAX(0,$B795*($D795-1)),2),0))</f>
        <v/>
      </c>
      <c r="H795" s="31">
        <f>IF($A795="","",IFERROR(ROUND($G795*INDEX(tblKurallar[deger_2025],MATCH("AYD-002",tblKurallar[kural_id],0)),2),0))</f>
        <v/>
      </c>
      <c r="I795" s="31">
        <f>IF($A795="","",IFERROR($G795-$G795*INDEX(tblKurallar[deger_2025],MATCH("AYD-004",tblKurallar[kural_id],0)),0))</f>
        <v/>
      </c>
    </row>
    <row r="796">
      <c r="A796" s="30" t="n"/>
      <c r="B796" s="30" t="n"/>
      <c r="C796" s="30" t="n"/>
      <c r="D796" s="30" t="n"/>
      <c r="E796" s="30" t="n"/>
      <c r="F796" s="30" t="n"/>
      <c r="G796" s="31">
        <f>IF($A796="","",IFERROR(ROUND(MAX(0,$B796*($D796-1)),2),0))</f>
        <v/>
      </c>
      <c r="H796" s="31">
        <f>IF($A796="","",IFERROR(ROUND($G796*INDEX(tblKurallar[deger_2025],MATCH("AYD-002",tblKurallar[kural_id],0)),2),0))</f>
        <v/>
      </c>
      <c r="I796" s="31">
        <f>IF($A796="","",IFERROR($G796-$G796*INDEX(tblKurallar[deger_2025],MATCH("AYD-004",tblKurallar[kural_id],0)),0))</f>
        <v/>
      </c>
    </row>
    <row r="797">
      <c r="A797" s="30" t="n"/>
      <c r="B797" s="30" t="n"/>
      <c r="C797" s="30" t="n"/>
      <c r="D797" s="30" t="n"/>
      <c r="E797" s="30" t="n"/>
      <c r="F797" s="30" t="n"/>
      <c r="G797" s="31">
        <f>IF($A797="","",IFERROR(ROUND(MAX(0,$B797*($D797-1)),2),0))</f>
        <v/>
      </c>
      <c r="H797" s="31">
        <f>IF($A797="","",IFERROR(ROUND($G797*INDEX(tblKurallar[deger_2025],MATCH("AYD-002",tblKurallar[kural_id],0)),2),0))</f>
        <v/>
      </c>
      <c r="I797" s="31">
        <f>IF($A797="","",IFERROR($G797-$G797*INDEX(tblKurallar[deger_2025],MATCH("AYD-004",tblKurallar[kural_id],0)),0))</f>
        <v/>
      </c>
    </row>
    <row r="798">
      <c r="A798" s="30" t="n"/>
      <c r="B798" s="30" t="n"/>
      <c r="C798" s="30" t="n"/>
      <c r="D798" s="30" t="n"/>
      <c r="E798" s="30" t="n"/>
      <c r="F798" s="30" t="n"/>
      <c r="G798" s="31">
        <f>IF($A798="","",IFERROR(ROUND(MAX(0,$B798*($D798-1)),2),0))</f>
        <v/>
      </c>
      <c r="H798" s="31">
        <f>IF($A798="","",IFERROR(ROUND($G798*INDEX(tblKurallar[deger_2025],MATCH("AYD-002",tblKurallar[kural_id],0)),2),0))</f>
        <v/>
      </c>
      <c r="I798" s="31">
        <f>IF($A798="","",IFERROR($G798-$G798*INDEX(tblKurallar[deger_2025],MATCH("AYD-004",tblKurallar[kural_id],0)),0))</f>
        <v/>
      </c>
    </row>
    <row r="799">
      <c r="A799" s="30" t="n"/>
      <c r="B799" s="30" t="n"/>
      <c r="C799" s="30" t="n"/>
      <c r="D799" s="30" t="n"/>
      <c r="E799" s="30" t="n"/>
      <c r="F799" s="30" t="n"/>
      <c r="G799" s="31">
        <f>IF($A799="","",IFERROR(ROUND(MAX(0,$B799*($D799-1)),2),0))</f>
        <v/>
      </c>
      <c r="H799" s="31">
        <f>IF($A799="","",IFERROR(ROUND($G799*INDEX(tblKurallar[deger_2025],MATCH("AYD-002",tblKurallar[kural_id],0)),2),0))</f>
        <v/>
      </c>
      <c r="I799" s="31">
        <f>IF($A799="","",IFERROR($G799-$G799*INDEX(tblKurallar[deger_2025],MATCH("AYD-004",tblKurallar[kural_id],0)),0))</f>
        <v/>
      </c>
    </row>
    <row r="800">
      <c r="A800" s="30" t="n"/>
      <c r="B800" s="30" t="n"/>
      <c r="C800" s="30" t="n"/>
      <c r="D800" s="30" t="n"/>
      <c r="E800" s="30" t="n"/>
      <c r="F800" s="30" t="n"/>
      <c r="G800" s="31">
        <f>IF($A800="","",IFERROR(ROUND(MAX(0,$B800*($D800-1)),2),0))</f>
        <v/>
      </c>
      <c r="H800" s="31">
        <f>IF($A800="","",IFERROR(ROUND($G800*INDEX(tblKurallar[deger_2025],MATCH("AYD-002",tblKurallar[kural_id],0)),2),0))</f>
        <v/>
      </c>
      <c r="I800" s="31">
        <f>IF($A800="","",IFERROR($G800-$G800*INDEX(tblKurallar[deger_2025],MATCH("AYD-004",tblKurallar[kural_id],0)),0))</f>
        <v/>
      </c>
    </row>
    <row r="801">
      <c r="A801" s="30" t="n"/>
      <c r="B801" s="30" t="n"/>
      <c r="C801" s="30" t="n"/>
      <c r="D801" s="30" t="n"/>
      <c r="E801" s="30" t="n"/>
      <c r="F801" s="30" t="n"/>
      <c r="G801" s="31">
        <f>IF($A801="","",IFERROR(ROUND(MAX(0,$B801*($D801-1)),2),0))</f>
        <v/>
      </c>
      <c r="H801" s="31">
        <f>IF($A801="","",IFERROR(ROUND($G801*INDEX(tblKurallar[deger_2025],MATCH("AYD-002",tblKurallar[kural_id],0)),2),0))</f>
        <v/>
      </c>
      <c r="I801" s="31">
        <f>IF($A801="","",IFERROR($G801-$G801*INDEX(tblKurallar[deger_2025],MATCH("AYD-004",tblKurallar[kural_id],0)),0))</f>
        <v/>
      </c>
    </row>
    <row r="802">
      <c r="A802" s="30" t="n"/>
      <c r="B802" s="30" t="n"/>
      <c r="C802" s="30" t="n"/>
      <c r="D802" s="30" t="n"/>
      <c r="E802" s="30" t="n"/>
      <c r="F802" s="30" t="n"/>
      <c r="G802" s="31">
        <f>IF($A802="","",IFERROR(ROUND(MAX(0,$B802*($D802-1)),2),0))</f>
        <v/>
      </c>
      <c r="H802" s="31">
        <f>IF($A802="","",IFERROR(ROUND($G802*INDEX(tblKurallar[deger_2025],MATCH("AYD-002",tblKurallar[kural_id],0)),2),0))</f>
        <v/>
      </c>
      <c r="I802" s="31">
        <f>IF($A802="","",IFERROR($G802-$G802*INDEX(tblKurallar[deger_2025],MATCH("AYD-004",tblKurallar[kural_id],0)),0))</f>
        <v/>
      </c>
    </row>
    <row r="803">
      <c r="A803" s="30" t="n"/>
      <c r="B803" s="30" t="n"/>
      <c r="C803" s="30" t="n"/>
      <c r="D803" s="30" t="n"/>
      <c r="E803" s="30" t="n"/>
      <c r="F803" s="30" t="n"/>
      <c r="G803" s="31">
        <f>IF($A803="","",IFERROR(ROUND(MAX(0,$B803*($D803-1)),2),0))</f>
        <v/>
      </c>
      <c r="H803" s="31">
        <f>IF($A803="","",IFERROR(ROUND($G803*INDEX(tblKurallar[deger_2025],MATCH("AYD-002",tblKurallar[kural_id],0)),2),0))</f>
        <v/>
      </c>
      <c r="I803" s="31">
        <f>IF($A803="","",IFERROR($G803-$G803*INDEX(tblKurallar[deger_2025],MATCH("AYD-004",tblKurallar[kural_id],0)),0))</f>
        <v/>
      </c>
    </row>
    <row r="804">
      <c r="A804" s="30" t="n"/>
      <c r="B804" s="30" t="n"/>
      <c r="C804" s="30" t="n"/>
      <c r="D804" s="30" t="n"/>
      <c r="E804" s="30" t="n"/>
      <c r="F804" s="30" t="n"/>
      <c r="G804" s="31">
        <f>IF($A804="","",IFERROR(ROUND(MAX(0,$B804*($D804-1)),2),0))</f>
        <v/>
      </c>
      <c r="H804" s="31">
        <f>IF($A804="","",IFERROR(ROUND($G804*INDEX(tblKurallar[deger_2025],MATCH("AYD-002",tblKurallar[kural_id],0)),2),0))</f>
        <v/>
      </c>
      <c r="I804" s="31">
        <f>IF($A804="","",IFERROR($G804-$G804*INDEX(tblKurallar[deger_2025],MATCH("AYD-004",tblKurallar[kural_id],0)),0))</f>
        <v/>
      </c>
    </row>
    <row r="805">
      <c r="A805" s="30" t="n"/>
      <c r="B805" s="30" t="n"/>
      <c r="C805" s="30" t="n"/>
      <c r="D805" s="30" t="n"/>
      <c r="E805" s="30" t="n"/>
      <c r="F805" s="30" t="n"/>
      <c r="G805" s="31">
        <f>IF($A805="","",IFERROR(ROUND(MAX(0,$B805*($D805-1)),2),0))</f>
        <v/>
      </c>
      <c r="H805" s="31">
        <f>IF($A805="","",IFERROR(ROUND($G805*INDEX(tblKurallar[deger_2025],MATCH("AYD-002",tblKurallar[kural_id],0)),2),0))</f>
        <v/>
      </c>
      <c r="I805" s="31">
        <f>IF($A805="","",IFERROR($G805-$G805*INDEX(tblKurallar[deger_2025],MATCH("AYD-004",tblKurallar[kural_id],0)),0))</f>
        <v/>
      </c>
    </row>
    <row r="806">
      <c r="A806" s="30" t="n"/>
      <c r="B806" s="30" t="n"/>
      <c r="C806" s="30" t="n"/>
      <c r="D806" s="30" t="n"/>
      <c r="E806" s="30" t="n"/>
      <c r="F806" s="30" t="n"/>
      <c r="G806" s="31">
        <f>IF($A806="","",IFERROR(ROUND(MAX(0,$B806*($D806-1)),2),0))</f>
        <v/>
      </c>
      <c r="H806" s="31">
        <f>IF($A806="","",IFERROR(ROUND($G806*INDEX(tblKurallar[deger_2025],MATCH("AYD-002",tblKurallar[kural_id],0)),2),0))</f>
        <v/>
      </c>
      <c r="I806" s="31">
        <f>IF($A806="","",IFERROR($G806-$G806*INDEX(tblKurallar[deger_2025],MATCH("AYD-004",tblKurallar[kural_id],0)),0))</f>
        <v/>
      </c>
    </row>
    <row r="807">
      <c r="A807" s="30" t="n"/>
      <c r="B807" s="30" t="n"/>
      <c r="C807" s="30" t="n"/>
      <c r="D807" s="30" t="n"/>
      <c r="E807" s="30" t="n"/>
      <c r="F807" s="30" t="n"/>
      <c r="G807" s="31">
        <f>IF($A807="","",IFERROR(ROUND(MAX(0,$B807*($D807-1)),2),0))</f>
        <v/>
      </c>
      <c r="H807" s="31">
        <f>IF($A807="","",IFERROR(ROUND($G807*INDEX(tblKurallar[deger_2025],MATCH("AYD-002",tblKurallar[kural_id],0)),2),0))</f>
        <v/>
      </c>
      <c r="I807" s="31">
        <f>IF($A807="","",IFERROR($G807-$G807*INDEX(tblKurallar[deger_2025],MATCH("AYD-004",tblKurallar[kural_id],0)),0))</f>
        <v/>
      </c>
    </row>
    <row r="808">
      <c r="A808" s="30" t="n"/>
      <c r="B808" s="30" t="n"/>
      <c r="C808" s="30" t="n"/>
      <c r="D808" s="30" t="n"/>
      <c r="E808" s="30" t="n"/>
      <c r="F808" s="30" t="n"/>
      <c r="G808" s="31">
        <f>IF($A808="","",IFERROR(ROUND(MAX(0,$B808*($D808-1)),2),0))</f>
        <v/>
      </c>
      <c r="H808" s="31">
        <f>IF($A808="","",IFERROR(ROUND($G808*INDEX(tblKurallar[deger_2025],MATCH("AYD-002",tblKurallar[kural_id],0)),2),0))</f>
        <v/>
      </c>
      <c r="I808" s="31">
        <f>IF($A808="","",IFERROR($G808-$G808*INDEX(tblKurallar[deger_2025],MATCH("AYD-004",tblKurallar[kural_id],0)),0))</f>
        <v/>
      </c>
    </row>
    <row r="809">
      <c r="A809" s="30" t="n"/>
      <c r="B809" s="30" t="n"/>
      <c r="C809" s="30" t="n"/>
      <c r="D809" s="30" t="n"/>
      <c r="E809" s="30" t="n"/>
      <c r="F809" s="30" t="n"/>
      <c r="G809" s="31">
        <f>IF($A809="","",IFERROR(ROUND(MAX(0,$B809*($D809-1)),2),0))</f>
        <v/>
      </c>
      <c r="H809" s="31">
        <f>IF($A809="","",IFERROR(ROUND($G809*INDEX(tblKurallar[deger_2025],MATCH("AYD-002",tblKurallar[kural_id],0)),2),0))</f>
        <v/>
      </c>
      <c r="I809" s="31">
        <f>IF($A809="","",IFERROR($G809-$G809*INDEX(tblKurallar[deger_2025],MATCH("AYD-004",tblKurallar[kural_id],0)),0))</f>
        <v/>
      </c>
    </row>
    <row r="810">
      <c r="A810" s="30" t="n"/>
      <c r="B810" s="30" t="n"/>
      <c r="C810" s="30" t="n"/>
      <c r="D810" s="30" t="n"/>
      <c r="E810" s="30" t="n"/>
      <c r="F810" s="30" t="n"/>
      <c r="G810" s="31">
        <f>IF($A810="","",IFERROR(ROUND(MAX(0,$B810*($D810-1)),2),0))</f>
        <v/>
      </c>
      <c r="H810" s="31">
        <f>IF($A810="","",IFERROR(ROUND($G810*INDEX(tblKurallar[deger_2025],MATCH("AYD-002",tblKurallar[kural_id],0)),2),0))</f>
        <v/>
      </c>
      <c r="I810" s="31">
        <f>IF($A810="","",IFERROR($G810-$G810*INDEX(tblKurallar[deger_2025],MATCH("AYD-004",tblKurallar[kural_id],0)),0))</f>
        <v/>
      </c>
    </row>
    <row r="811">
      <c r="A811" s="30" t="n"/>
      <c r="B811" s="30" t="n"/>
      <c r="C811" s="30" t="n"/>
      <c r="D811" s="30" t="n"/>
      <c r="E811" s="30" t="n"/>
      <c r="F811" s="30" t="n"/>
      <c r="G811" s="31">
        <f>IF($A811="","",IFERROR(ROUND(MAX(0,$B811*($D811-1)),2),0))</f>
        <v/>
      </c>
      <c r="H811" s="31">
        <f>IF($A811="","",IFERROR(ROUND($G811*INDEX(tblKurallar[deger_2025],MATCH("AYD-002",tblKurallar[kural_id],0)),2),0))</f>
        <v/>
      </c>
      <c r="I811" s="31">
        <f>IF($A811="","",IFERROR($G811-$G811*INDEX(tblKurallar[deger_2025],MATCH("AYD-004",tblKurallar[kural_id],0)),0))</f>
        <v/>
      </c>
    </row>
    <row r="812">
      <c r="A812" s="30" t="n"/>
      <c r="B812" s="30" t="n"/>
      <c r="C812" s="30" t="n"/>
      <c r="D812" s="30" t="n"/>
      <c r="E812" s="30" t="n"/>
      <c r="F812" s="30" t="n"/>
      <c r="G812" s="31">
        <f>IF($A812="","",IFERROR(ROUND(MAX(0,$B812*($D812-1)),2),0))</f>
        <v/>
      </c>
      <c r="H812" s="31">
        <f>IF($A812="","",IFERROR(ROUND($G812*INDEX(tblKurallar[deger_2025],MATCH("AYD-002",tblKurallar[kural_id],0)),2),0))</f>
        <v/>
      </c>
      <c r="I812" s="31">
        <f>IF($A812="","",IFERROR($G812-$G812*INDEX(tblKurallar[deger_2025],MATCH("AYD-004",tblKurallar[kural_id],0)),0))</f>
        <v/>
      </c>
    </row>
    <row r="813">
      <c r="A813" s="30" t="n"/>
      <c r="B813" s="30" t="n"/>
      <c r="C813" s="30" t="n"/>
      <c r="D813" s="30" t="n"/>
      <c r="E813" s="30" t="n"/>
      <c r="F813" s="30" t="n"/>
      <c r="G813" s="31">
        <f>IF($A813="","",IFERROR(ROUND(MAX(0,$B813*($D813-1)),2),0))</f>
        <v/>
      </c>
      <c r="H813" s="31">
        <f>IF($A813="","",IFERROR(ROUND($G813*INDEX(tblKurallar[deger_2025],MATCH("AYD-002",tblKurallar[kural_id],0)),2),0))</f>
        <v/>
      </c>
      <c r="I813" s="31">
        <f>IF($A813="","",IFERROR($G813-$G813*INDEX(tblKurallar[deger_2025],MATCH("AYD-004",tblKurallar[kural_id],0)),0))</f>
        <v/>
      </c>
    </row>
    <row r="814">
      <c r="A814" s="30" t="n"/>
      <c r="B814" s="30" t="n"/>
      <c r="C814" s="30" t="n"/>
      <c r="D814" s="30" t="n"/>
      <c r="E814" s="30" t="n"/>
      <c r="F814" s="30" t="n"/>
      <c r="G814" s="31">
        <f>IF($A814="","",IFERROR(ROUND(MAX(0,$B814*($D814-1)),2),0))</f>
        <v/>
      </c>
      <c r="H814" s="31">
        <f>IF($A814="","",IFERROR(ROUND($G814*INDEX(tblKurallar[deger_2025],MATCH("AYD-002",tblKurallar[kural_id],0)),2),0))</f>
        <v/>
      </c>
      <c r="I814" s="31">
        <f>IF($A814="","",IFERROR($G814-$G814*INDEX(tblKurallar[deger_2025],MATCH("AYD-004",tblKurallar[kural_id],0)),0))</f>
        <v/>
      </c>
    </row>
    <row r="815">
      <c r="A815" s="30" t="n"/>
      <c r="B815" s="30" t="n"/>
      <c r="C815" s="30" t="n"/>
      <c r="D815" s="30" t="n"/>
      <c r="E815" s="30" t="n"/>
      <c r="F815" s="30" t="n"/>
      <c r="G815" s="31">
        <f>IF($A815="","",IFERROR(ROUND(MAX(0,$B815*($D815-1)),2),0))</f>
        <v/>
      </c>
      <c r="H815" s="31">
        <f>IF($A815="","",IFERROR(ROUND($G815*INDEX(tblKurallar[deger_2025],MATCH("AYD-002",tblKurallar[kural_id],0)),2),0))</f>
        <v/>
      </c>
      <c r="I815" s="31">
        <f>IF($A815="","",IFERROR($G815-$G815*INDEX(tblKurallar[deger_2025],MATCH("AYD-004",tblKurallar[kural_id],0)),0))</f>
        <v/>
      </c>
    </row>
    <row r="816">
      <c r="A816" s="30" t="n"/>
      <c r="B816" s="30" t="n"/>
      <c r="C816" s="30" t="n"/>
      <c r="D816" s="30" t="n"/>
      <c r="E816" s="30" t="n"/>
      <c r="F816" s="30" t="n"/>
      <c r="G816" s="31">
        <f>IF($A816="","",IFERROR(ROUND(MAX(0,$B816*($D816-1)),2),0))</f>
        <v/>
      </c>
      <c r="H816" s="31">
        <f>IF($A816="","",IFERROR(ROUND($G816*INDEX(tblKurallar[deger_2025],MATCH("AYD-002",tblKurallar[kural_id],0)),2),0))</f>
        <v/>
      </c>
      <c r="I816" s="31">
        <f>IF($A816="","",IFERROR($G816-$G816*INDEX(tblKurallar[deger_2025],MATCH("AYD-004",tblKurallar[kural_id],0)),0))</f>
        <v/>
      </c>
    </row>
    <row r="817">
      <c r="A817" s="30" t="n"/>
      <c r="B817" s="30" t="n"/>
      <c r="C817" s="30" t="n"/>
      <c r="D817" s="30" t="n"/>
      <c r="E817" s="30" t="n"/>
      <c r="F817" s="30" t="n"/>
      <c r="G817" s="31">
        <f>IF($A817="","",IFERROR(ROUND(MAX(0,$B817*($D817-1)),2),0))</f>
        <v/>
      </c>
      <c r="H817" s="31">
        <f>IF($A817="","",IFERROR(ROUND($G817*INDEX(tblKurallar[deger_2025],MATCH("AYD-002",tblKurallar[kural_id],0)),2),0))</f>
        <v/>
      </c>
      <c r="I817" s="31">
        <f>IF($A817="","",IFERROR($G817-$G817*INDEX(tblKurallar[deger_2025],MATCH("AYD-004",tblKurallar[kural_id],0)),0))</f>
        <v/>
      </c>
    </row>
    <row r="818">
      <c r="A818" s="30" t="n"/>
      <c r="B818" s="30" t="n"/>
      <c r="C818" s="30" t="n"/>
      <c r="D818" s="30" t="n"/>
      <c r="E818" s="30" t="n"/>
      <c r="F818" s="30" t="n"/>
      <c r="G818" s="31">
        <f>IF($A818="","",IFERROR(ROUND(MAX(0,$B818*($D818-1)),2),0))</f>
        <v/>
      </c>
      <c r="H818" s="31">
        <f>IF($A818="","",IFERROR(ROUND($G818*INDEX(tblKurallar[deger_2025],MATCH("AYD-002",tblKurallar[kural_id],0)),2),0))</f>
        <v/>
      </c>
      <c r="I818" s="31">
        <f>IF($A818="","",IFERROR($G818-$G818*INDEX(tblKurallar[deger_2025],MATCH("AYD-004",tblKurallar[kural_id],0)),0))</f>
        <v/>
      </c>
    </row>
    <row r="819">
      <c r="A819" s="30" t="n"/>
      <c r="B819" s="30" t="n"/>
      <c r="C819" s="30" t="n"/>
      <c r="D819" s="30" t="n"/>
      <c r="E819" s="30" t="n"/>
      <c r="F819" s="30" t="n"/>
      <c r="G819" s="31">
        <f>IF($A819="","",IFERROR(ROUND(MAX(0,$B819*($D819-1)),2),0))</f>
        <v/>
      </c>
      <c r="H819" s="31">
        <f>IF($A819="","",IFERROR(ROUND($G819*INDEX(tblKurallar[deger_2025],MATCH("AYD-002",tblKurallar[kural_id],0)),2),0))</f>
        <v/>
      </c>
      <c r="I819" s="31">
        <f>IF($A819="","",IFERROR($G819-$G819*INDEX(tblKurallar[deger_2025],MATCH("AYD-004",tblKurallar[kural_id],0)),0))</f>
        <v/>
      </c>
    </row>
    <row r="820">
      <c r="A820" s="30" t="n"/>
      <c r="B820" s="30" t="n"/>
      <c r="C820" s="30" t="n"/>
      <c r="D820" s="30" t="n"/>
      <c r="E820" s="30" t="n"/>
      <c r="F820" s="30" t="n"/>
      <c r="G820" s="31">
        <f>IF($A820="","",IFERROR(ROUND(MAX(0,$B820*($D820-1)),2),0))</f>
        <v/>
      </c>
      <c r="H820" s="31">
        <f>IF($A820="","",IFERROR(ROUND($G820*INDEX(tblKurallar[deger_2025],MATCH("AYD-002",tblKurallar[kural_id],0)),2),0))</f>
        <v/>
      </c>
      <c r="I820" s="31">
        <f>IF($A820="","",IFERROR($G820-$G820*INDEX(tblKurallar[deger_2025],MATCH("AYD-004",tblKurallar[kural_id],0)),0))</f>
        <v/>
      </c>
    </row>
    <row r="821">
      <c r="A821" s="30" t="n"/>
      <c r="B821" s="30" t="n"/>
      <c r="C821" s="30" t="n"/>
      <c r="D821" s="30" t="n"/>
      <c r="E821" s="30" t="n"/>
      <c r="F821" s="30" t="n"/>
      <c r="G821" s="31">
        <f>IF($A821="","",IFERROR(ROUND(MAX(0,$B821*($D821-1)),2),0))</f>
        <v/>
      </c>
      <c r="H821" s="31">
        <f>IF($A821="","",IFERROR(ROUND($G821*INDEX(tblKurallar[deger_2025],MATCH("AYD-002",tblKurallar[kural_id],0)),2),0))</f>
        <v/>
      </c>
      <c r="I821" s="31">
        <f>IF($A821="","",IFERROR($G821-$G821*INDEX(tblKurallar[deger_2025],MATCH("AYD-004",tblKurallar[kural_id],0)),0))</f>
        <v/>
      </c>
    </row>
    <row r="822">
      <c r="A822" s="30" t="n"/>
      <c r="B822" s="30" t="n"/>
      <c r="C822" s="30" t="n"/>
      <c r="D822" s="30" t="n"/>
      <c r="E822" s="30" t="n"/>
      <c r="F822" s="30" t="n"/>
      <c r="G822" s="31">
        <f>IF($A822="","",IFERROR(ROUND(MAX(0,$B822*($D822-1)),2),0))</f>
        <v/>
      </c>
      <c r="H822" s="31">
        <f>IF($A822="","",IFERROR(ROUND($G822*INDEX(tblKurallar[deger_2025],MATCH("AYD-002",tblKurallar[kural_id],0)),2),0))</f>
        <v/>
      </c>
      <c r="I822" s="31">
        <f>IF($A822="","",IFERROR($G822-$G822*INDEX(tblKurallar[deger_2025],MATCH("AYD-004",tblKurallar[kural_id],0)),0))</f>
        <v/>
      </c>
    </row>
    <row r="823">
      <c r="A823" s="30" t="n"/>
      <c r="B823" s="30" t="n"/>
      <c r="C823" s="30" t="n"/>
      <c r="D823" s="30" t="n"/>
      <c r="E823" s="30" t="n"/>
      <c r="F823" s="30" t="n"/>
      <c r="G823" s="31">
        <f>IF($A823="","",IFERROR(ROUND(MAX(0,$B823*($D823-1)),2),0))</f>
        <v/>
      </c>
      <c r="H823" s="31">
        <f>IF($A823="","",IFERROR(ROUND($G823*INDEX(tblKurallar[deger_2025],MATCH("AYD-002",tblKurallar[kural_id],0)),2),0))</f>
        <v/>
      </c>
      <c r="I823" s="31">
        <f>IF($A823="","",IFERROR($G823-$G823*INDEX(tblKurallar[deger_2025],MATCH("AYD-004",tblKurallar[kural_id],0)),0))</f>
        <v/>
      </c>
    </row>
    <row r="824">
      <c r="A824" s="30" t="n"/>
      <c r="B824" s="30" t="n"/>
      <c r="C824" s="30" t="n"/>
      <c r="D824" s="30" t="n"/>
      <c r="E824" s="30" t="n"/>
      <c r="F824" s="30" t="n"/>
      <c r="G824" s="31">
        <f>IF($A824="","",IFERROR(ROUND(MAX(0,$B824*($D824-1)),2),0))</f>
        <v/>
      </c>
      <c r="H824" s="31">
        <f>IF($A824="","",IFERROR(ROUND($G824*INDEX(tblKurallar[deger_2025],MATCH("AYD-002",tblKurallar[kural_id],0)),2),0))</f>
        <v/>
      </c>
      <c r="I824" s="31">
        <f>IF($A824="","",IFERROR($G824-$G824*INDEX(tblKurallar[deger_2025],MATCH("AYD-004",tblKurallar[kural_id],0)),0))</f>
        <v/>
      </c>
    </row>
    <row r="825">
      <c r="A825" s="30" t="n"/>
      <c r="B825" s="30" t="n"/>
      <c r="C825" s="30" t="n"/>
      <c r="D825" s="30" t="n"/>
      <c r="E825" s="30" t="n"/>
      <c r="F825" s="30" t="n"/>
      <c r="G825" s="31">
        <f>IF($A825="","",IFERROR(ROUND(MAX(0,$B825*($D825-1)),2),0))</f>
        <v/>
      </c>
      <c r="H825" s="31">
        <f>IF($A825="","",IFERROR(ROUND($G825*INDEX(tblKurallar[deger_2025],MATCH("AYD-002",tblKurallar[kural_id],0)),2),0))</f>
        <v/>
      </c>
      <c r="I825" s="31">
        <f>IF($A825="","",IFERROR($G825-$G825*INDEX(tblKurallar[deger_2025],MATCH("AYD-004",tblKurallar[kural_id],0)),0))</f>
        <v/>
      </c>
    </row>
    <row r="826">
      <c r="A826" s="30" t="n"/>
      <c r="B826" s="30" t="n"/>
      <c r="C826" s="30" t="n"/>
      <c r="D826" s="30" t="n"/>
      <c r="E826" s="30" t="n"/>
      <c r="F826" s="30" t="n"/>
      <c r="G826" s="31">
        <f>IF($A826="","",IFERROR(ROUND(MAX(0,$B826*($D826-1)),2),0))</f>
        <v/>
      </c>
      <c r="H826" s="31">
        <f>IF($A826="","",IFERROR(ROUND($G826*INDEX(tblKurallar[deger_2025],MATCH("AYD-002",tblKurallar[kural_id],0)),2),0))</f>
        <v/>
      </c>
      <c r="I826" s="31">
        <f>IF($A826="","",IFERROR($G826-$G826*INDEX(tblKurallar[deger_2025],MATCH("AYD-004",tblKurallar[kural_id],0)),0))</f>
        <v/>
      </c>
    </row>
    <row r="827">
      <c r="A827" s="30" t="n"/>
      <c r="B827" s="30" t="n"/>
      <c r="C827" s="30" t="n"/>
      <c r="D827" s="30" t="n"/>
      <c r="E827" s="30" t="n"/>
      <c r="F827" s="30" t="n"/>
      <c r="G827" s="31">
        <f>IF($A827="","",IFERROR(ROUND(MAX(0,$B827*($D827-1)),2),0))</f>
        <v/>
      </c>
      <c r="H827" s="31">
        <f>IF($A827="","",IFERROR(ROUND($G827*INDEX(tblKurallar[deger_2025],MATCH("AYD-002",tblKurallar[kural_id],0)),2),0))</f>
        <v/>
      </c>
      <c r="I827" s="31">
        <f>IF($A827="","",IFERROR($G827-$G827*INDEX(tblKurallar[deger_2025],MATCH("AYD-004",tblKurallar[kural_id],0)),0))</f>
        <v/>
      </c>
    </row>
    <row r="828">
      <c r="A828" s="30" t="n"/>
      <c r="B828" s="30" t="n"/>
      <c r="C828" s="30" t="n"/>
      <c r="D828" s="30" t="n"/>
      <c r="E828" s="30" t="n"/>
      <c r="F828" s="30" t="n"/>
      <c r="G828" s="31">
        <f>IF($A828="","",IFERROR(ROUND(MAX(0,$B828*($D828-1)),2),0))</f>
        <v/>
      </c>
      <c r="H828" s="31">
        <f>IF($A828="","",IFERROR(ROUND($G828*INDEX(tblKurallar[deger_2025],MATCH("AYD-002",tblKurallar[kural_id],0)),2),0))</f>
        <v/>
      </c>
      <c r="I828" s="31">
        <f>IF($A828="","",IFERROR($G828-$G828*INDEX(tblKurallar[deger_2025],MATCH("AYD-004",tblKurallar[kural_id],0)),0))</f>
        <v/>
      </c>
    </row>
    <row r="829">
      <c r="A829" s="30" t="n"/>
      <c r="B829" s="30" t="n"/>
      <c r="C829" s="30" t="n"/>
      <c r="D829" s="30" t="n"/>
      <c r="E829" s="30" t="n"/>
      <c r="F829" s="30" t="n"/>
      <c r="G829" s="31">
        <f>IF($A829="","",IFERROR(ROUND(MAX(0,$B829*($D829-1)),2),0))</f>
        <v/>
      </c>
      <c r="H829" s="31">
        <f>IF($A829="","",IFERROR(ROUND($G829*INDEX(tblKurallar[deger_2025],MATCH("AYD-002",tblKurallar[kural_id],0)),2),0))</f>
        <v/>
      </c>
      <c r="I829" s="31">
        <f>IF($A829="","",IFERROR($G829-$G829*INDEX(tblKurallar[deger_2025],MATCH("AYD-004",tblKurallar[kural_id],0)),0))</f>
        <v/>
      </c>
    </row>
    <row r="830">
      <c r="A830" s="30" t="n"/>
      <c r="B830" s="30" t="n"/>
      <c r="C830" s="30" t="n"/>
      <c r="D830" s="30" t="n"/>
      <c r="E830" s="30" t="n"/>
      <c r="F830" s="30" t="n"/>
      <c r="G830" s="31">
        <f>IF($A830="","",IFERROR(ROUND(MAX(0,$B830*($D830-1)),2),0))</f>
        <v/>
      </c>
      <c r="H830" s="31">
        <f>IF($A830="","",IFERROR(ROUND($G830*INDEX(tblKurallar[deger_2025],MATCH("AYD-002",tblKurallar[kural_id],0)),2),0))</f>
        <v/>
      </c>
      <c r="I830" s="31">
        <f>IF($A830="","",IFERROR($G830-$G830*INDEX(tblKurallar[deger_2025],MATCH("AYD-004",tblKurallar[kural_id],0)),0))</f>
        <v/>
      </c>
    </row>
    <row r="831">
      <c r="A831" s="30" t="n"/>
      <c r="B831" s="30" t="n"/>
      <c r="C831" s="30" t="n"/>
      <c r="D831" s="30" t="n"/>
      <c r="E831" s="30" t="n"/>
      <c r="F831" s="30" t="n"/>
      <c r="G831" s="31">
        <f>IF($A831="","",IFERROR(ROUND(MAX(0,$B831*($D831-1)),2),0))</f>
        <v/>
      </c>
      <c r="H831" s="31">
        <f>IF($A831="","",IFERROR(ROUND($G831*INDEX(tblKurallar[deger_2025],MATCH("AYD-002",tblKurallar[kural_id],0)),2),0))</f>
        <v/>
      </c>
      <c r="I831" s="31">
        <f>IF($A831="","",IFERROR($G831-$G831*INDEX(tblKurallar[deger_2025],MATCH("AYD-004",tblKurallar[kural_id],0)),0))</f>
        <v/>
      </c>
    </row>
    <row r="832">
      <c r="A832" s="30" t="n"/>
      <c r="B832" s="30" t="n"/>
      <c r="C832" s="30" t="n"/>
      <c r="D832" s="30" t="n"/>
      <c r="E832" s="30" t="n"/>
      <c r="F832" s="30" t="n"/>
      <c r="G832" s="31">
        <f>IF($A832="","",IFERROR(ROUND(MAX(0,$B832*($D832-1)),2),0))</f>
        <v/>
      </c>
      <c r="H832" s="31">
        <f>IF($A832="","",IFERROR(ROUND($G832*INDEX(tblKurallar[deger_2025],MATCH("AYD-002",tblKurallar[kural_id],0)),2),0))</f>
        <v/>
      </c>
      <c r="I832" s="31">
        <f>IF($A832="","",IFERROR($G832-$G832*INDEX(tblKurallar[deger_2025],MATCH("AYD-004",tblKurallar[kural_id],0)),0))</f>
        <v/>
      </c>
    </row>
    <row r="833">
      <c r="A833" s="30" t="n"/>
      <c r="B833" s="30" t="n"/>
      <c r="C833" s="30" t="n"/>
      <c r="D833" s="30" t="n"/>
      <c r="E833" s="30" t="n"/>
      <c r="F833" s="30" t="n"/>
      <c r="G833" s="31">
        <f>IF($A833="","",IFERROR(ROUND(MAX(0,$B833*($D833-1)),2),0))</f>
        <v/>
      </c>
      <c r="H833" s="31">
        <f>IF($A833="","",IFERROR(ROUND($G833*INDEX(tblKurallar[deger_2025],MATCH("AYD-002",tblKurallar[kural_id],0)),2),0))</f>
        <v/>
      </c>
      <c r="I833" s="31">
        <f>IF($A833="","",IFERROR($G833-$G833*INDEX(tblKurallar[deger_2025],MATCH("AYD-004",tblKurallar[kural_id],0)),0))</f>
        <v/>
      </c>
    </row>
    <row r="834">
      <c r="A834" s="30" t="n"/>
      <c r="B834" s="30" t="n"/>
      <c r="C834" s="30" t="n"/>
      <c r="D834" s="30" t="n"/>
      <c r="E834" s="30" t="n"/>
      <c r="F834" s="30" t="n"/>
      <c r="G834" s="31">
        <f>IF($A834="","",IFERROR(ROUND(MAX(0,$B834*($D834-1)),2),0))</f>
        <v/>
      </c>
      <c r="H834" s="31">
        <f>IF($A834="","",IFERROR(ROUND($G834*INDEX(tblKurallar[deger_2025],MATCH("AYD-002",tblKurallar[kural_id],0)),2),0))</f>
        <v/>
      </c>
      <c r="I834" s="31">
        <f>IF($A834="","",IFERROR($G834-$G834*INDEX(tblKurallar[deger_2025],MATCH("AYD-004",tblKurallar[kural_id],0)),0))</f>
        <v/>
      </c>
    </row>
    <row r="835">
      <c r="A835" s="30" t="n"/>
      <c r="B835" s="30" t="n"/>
      <c r="C835" s="30" t="n"/>
      <c r="D835" s="30" t="n"/>
      <c r="E835" s="30" t="n"/>
      <c r="F835" s="30" t="n"/>
      <c r="G835" s="31">
        <f>IF($A835="","",IFERROR(ROUND(MAX(0,$B835*($D835-1)),2),0))</f>
        <v/>
      </c>
      <c r="H835" s="31">
        <f>IF($A835="","",IFERROR(ROUND($G835*INDEX(tblKurallar[deger_2025],MATCH("AYD-002",tblKurallar[kural_id],0)),2),0))</f>
        <v/>
      </c>
      <c r="I835" s="31">
        <f>IF($A835="","",IFERROR($G835-$G835*INDEX(tblKurallar[deger_2025],MATCH("AYD-004",tblKurallar[kural_id],0)),0))</f>
        <v/>
      </c>
    </row>
    <row r="836">
      <c r="A836" s="30" t="n"/>
      <c r="B836" s="30" t="n"/>
      <c r="C836" s="30" t="n"/>
      <c r="D836" s="30" t="n"/>
      <c r="E836" s="30" t="n"/>
      <c r="F836" s="30" t="n"/>
      <c r="G836" s="31">
        <f>IF($A836="","",IFERROR(ROUND(MAX(0,$B836*($D836-1)),2),0))</f>
        <v/>
      </c>
      <c r="H836" s="31">
        <f>IF($A836="","",IFERROR(ROUND($G836*INDEX(tblKurallar[deger_2025],MATCH("AYD-002",tblKurallar[kural_id],0)),2),0))</f>
        <v/>
      </c>
      <c r="I836" s="31">
        <f>IF($A836="","",IFERROR($G836-$G836*INDEX(tblKurallar[deger_2025],MATCH("AYD-004",tblKurallar[kural_id],0)),0))</f>
        <v/>
      </c>
    </row>
    <row r="837">
      <c r="A837" s="30" t="n"/>
      <c r="B837" s="30" t="n"/>
      <c r="C837" s="30" t="n"/>
      <c r="D837" s="30" t="n"/>
      <c r="E837" s="30" t="n"/>
      <c r="F837" s="30" t="n"/>
      <c r="G837" s="31">
        <f>IF($A837="","",IFERROR(ROUND(MAX(0,$B837*($D837-1)),2),0))</f>
        <v/>
      </c>
      <c r="H837" s="31">
        <f>IF($A837="","",IFERROR(ROUND($G837*INDEX(tblKurallar[deger_2025],MATCH("AYD-002",tblKurallar[kural_id],0)),2),0))</f>
        <v/>
      </c>
      <c r="I837" s="31">
        <f>IF($A837="","",IFERROR($G837-$G837*INDEX(tblKurallar[deger_2025],MATCH("AYD-004",tblKurallar[kural_id],0)),0))</f>
        <v/>
      </c>
    </row>
    <row r="838">
      <c r="A838" s="30" t="n"/>
      <c r="B838" s="30" t="n"/>
      <c r="C838" s="30" t="n"/>
      <c r="D838" s="30" t="n"/>
      <c r="E838" s="30" t="n"/>
      <c r="F838" s="30" t="n"/>
      <c r="G838" s="31">
        <f>IF($A838="","",IFERROR(ROUND(MAX(0,$B838*($D838-1)),2),0))</f>
        <v/>
      </c>
      <c r="H838" s="31">
        <f>IF($A838="","",IFERROR(ROUND($G838*INDEX(tblKurallar[deger_2025],MATCH("AYD-002",tblKurallar[kural_id],0)),2),0))</f>
        <v/>
      </c>
      <c r="I838" s="31">
        <f>IF($A838="","",IFERROR($G838-$G838*INDEX(tblKurallar[deger_2025],MATCH("AYD-004",tblKurallar[kural_id],0)),0))</f>
        <v/>
      </c>
    </row>
    <row r="839">
      <c r="A839" s="30" t="n"/>
      <c r="B839" s="30" t="n"/>
      <c r="C839" s="30" t="n"/>
      <c r="D839" s="30" t="n"/>
      <c r="E839" s="30" t="n"/>
      <c r="F839" s="30" t="n"/>
      <c r="G839" s="31">
        <f>IF($A839="","",IFERROR(ROUND(MAX(0,$B839*($D839-1)),2),0))</f>
        <v/>
      </c>
      <c r="H839" s="31">
        <f>IF($A839="","",IFERROR(ROUND($G839*INDEX(tblKurallar[deger_2025],MATCH("AYD-002",tblKurallar[kural_id],0)),2),0))</f>
        <v/>
      </c>
      <c r="I839" s="31">
        <f>IF($A839="","",IFERROR($G839-$G839*INDEX(tblKurallar[deger_2025],MATCH("AYD-004",tblKurallar[kural_id],0)),0))</f>
        <v/>
      </c>
    </row>
    <row r="840">
      <c r="A840" s="30" t="n"/>
      <c r="B840" s="30" t="n"/>
      <c r="C840" s="30" t="n"/>
      <c r="D840" s="30" t="n"/>
      <c r="E840" s="30" t="n"/>
      <c r="F840" s="30" t="n"/>
      <c r="G840" s="31">
        <f>IF($A840="","",IFERROR(ROUND(MAX(0,$B840*($D840-1)),2),0))</f>
        <v/>
      </c>
      <c r="H840" s="31">
        <f>IF($A840="","",IFERROR(ROUND($G840*INDEX(tblKurallar[deger_2025],MATCH("AYD-002",tblKurallar[kural_id],0)),2),0))</f>
        <v/>
      </c>
      <c r="I840" s="31">
        <f>IF($A840="","",IFERROR($G840-$G840*INDEX(tblKurallar[deger_2025],MATCH("AYD-004",tblKurallar[kural_id],0)),0))</f>
        <v/>
      </c>
    </row>
    <row r="841">
      <c r="A841" s="30" t="n"/>
      <c r="B841" s="30" t="n"/>
      <c r="C841" s="30" t="n"/>
      <c r="D841" s="30" t="n"/>
      <c r="E841" s="30" t="n"/>
      <c r="F841" s="30" t="n"/>
      <c r="G841" s="31">
        <f>IF($A841="","",IFERROR(ROUND(MAX(0,$B841*($D841-1)),2),0))</f>
        <v/>
      </c>
      <c r="H841" s="31">
        <f>IF($A841="","",IFERROR(ROUND($G841*INDEX(tblKurallar[deger_2025],MATCH("AYD-002",tblKurallar[kural_id],0)),2),0))</f>
        <v/>
      </c>
      <c r="I841" s="31">
        <f>IF($A841="","",IFERROR($G841-$G841*INDEX(tblKurallar[deger_2025],MATCH("AYD-004",tblKurallar[kural_id],0)),0))</f>
        <v/>
      </c>
    </row>
    <row r="842">
      <c r="A842" s="30" t="n"/>
      <c r="B842" s="30" t="n"/>
      <c r="C842" s="30" t="n"/>
      <c r="D842" s="30" t="n"/>
      <c r="E842" s="30" t="n"/>
      <c r="F842" s="30" t="n"/>
      <c r="G842" s="31">
        <f>IF($A842="","",IFERROR(ROUND(MAX(0,$B842*($D842-1)),2),0))</f>
        <v/>
      </c>
      <c r="H842" s="31">
        <f>IF($A842="","",IFERROR(ROUND($G842*INDEX(tblKurallar[deger_2025],MATCH("AYD-002",tblKurallar[kural_id],0)),2),0))</f>
        <v/>
      </c>
      <c r="I842" s="31">
        <f>IF($A842="","",IFERROR($G842-$G842*INDEX(tblKurallar[deger_2025],MATCH("AYD-004",tblKurallar[kural_id],0)),0))</f>
        <v/>
      </c>
    </row>
    <row r="843">
      <c r="A843" s="30" t="n"/>
      <c r="B843" s="30" t="n"/>
      <c r="C843" s="30" t="n"/>
      <c r="D843" s="30" t="n"/>
      <c r="E843" s="30" t="n"/>
      <c r="F843" s="30" t="n"/>
      <c r="G843" s="31">
        <f>IF($A843="","",IFERROR(ROUND(MAX(0,$B843*($D843-1)),2),0))</f>
        <v/>
      </c>
      <c r="H843" s="31">
        <f>IF($A843="","",IFERROR(ROUND($G843*INDEX(tblKurallar[deger_2025],MATCH("AYD-002",tblKurallar[kural_id],0)),2),0))</f>
        <v/>
      </c>
      <c r="I843" s="31">
        <f>IF($A843="","",IFERROR($G843-$G843*INDEX(tblKurallar[deger_2025],MATCH("AYD-004",tblKurallar[kural_id],0)),0))</f>
        <v/>
      </c>
    </row>
    <row r="844">
      <c r="A844" s="30" t="n"/>
      <c r="B844" s="30" t="n"/>
      <c r="C844" s="30" t="n"/>
      <c r="D844" s="30" t="n"/>
      <c r="E844" s="30" t="n"/>
      <c r="F844" s="30" t="n"/>
      <c r="G844" s="31">
        <f>IF($A844="","",IFERROR(ROUND(MAX(0,$B844*($D844-1)),2),0))</f>
        <v/>
      </c>
      <c r="H844" s="31">
        <f>IF($A844="","",IFERROR(ROUND($G844*INDEX(tblKurallar[deger_2025],MATCH("AYD-002",tblKurallar[kural_id],0)),2),0))</f>
        <v/>
      </c>
      <c r="I844" s="31">
        <f>IF($A844="","",IFERROR($G844-$G844*INDEX(tblKurallar[deger_2025],MATCH("AYD-004",tblKurallar[kural_id],0)),0))</f>
        <v/>
      </c>
    </row>
    <row r="845">
      <c r="A845" s="30" t="n"/>
      <c r="B845" s="30" t="n"/>
      <c r="C845" s="30" t="n"/>
      <c r="D845" s="30" t="n"/>
      <c r="E845" s="30" t="n"/>
      <c r="F845" s="30" t="n"/>
      <c r="G845" s="31">
        <f>IF($A845="","",IFERROR(ROUND(MAX(0,$B845*($D845-1)),2),0))</f>
        <v/>
      </c>
      <c r="H845" s="31">
        <f>IF($A845="","",IFERROR(ROUND($G845*INDEX(tblKurallar[deger_2025],MATCH("AYD-002",tblKurallar[kural_id],0)),2),0))</f>
        <v/>
      </c>
      <c r="I845" s="31">
        <f>IF($A845="","",IFERROR($G845-$G845*INDEX(tblKurallar[deger_2025],MATCH("AYD-004",tblKurallar[kural_id],0)),0))</f>
        <v/>
      </c>
    </row>
    <row r="846">
      <c r="A846" s="30" t="n"/>
      <c r="B846" s="30" t="n"/>
      <c r="C846" s="30" t="n"/>
      <c r="D846" s="30" t="n"/>
      <c r="E846" s="30" t="n"/>
      <c r="F846" s="30" t="n"/>
      <c r="G846" s="31">
        <f>IF($A846="","",IFERROR(ROUND(MAX(0,$B846*($D846-1)),2),0))</f>
        <v/>
      </c>
      <c r="H846" s="31">
        <f>IF($A846="","",IFERROR(ROUND($G846*INDEX(tblKurallar[deger_2025],MATCH("AYD-002",tblKurallar[kural_id],0)),2),0))</f>
        <v/>
      </c>
      <c r="I846" s="31">
        <f>IF($A846="","",IFERROR($G846-$G846*INDEX(tblKurallar[deger_2025],MATCH("AYD-004",tblKurallar[kural_id],0)),0))</f>
        <v/>
      </c>
    </row>
    <row r="847">
      <c r="A847" s="30" t="n"/>
      <c r="B847" s="30" t="n"/>
      <c r="C847" s="30" t="n"/>
      <c r="D847" s="30" t="n"/>
      <c r="E847" s="30" t="n"/>
      <c r="F847" s="30" t="n"/>
      <c r="G847" s="31">
        <f>IF($A847="","",IFERROR(ROUND(MAX(0,$B847*($D847-1)),2),0))</f>
        <v/>
      </c>
      <c r="H847" s="31">
        <f>IF($A847="","",IFERROR(ROUND($G847*INDEX(tblKurallar[deger_2025],MATCH("AYD-002",tblKurallar[kural_id],0)),2),0))</f>
        <v/>
      </c>
      <c r="I847" s="31">
        <f>IF($A847="","",IFERROR($G847-$G847*INDEX(tblKurallar[deger_2025],MATCH("AYD-004",tblKurallar[kural_id],0)),0))</f>
        <v/>
      </c>
    </row>
    <row r="848">
      <c r="A848" s="30" t="n"/>
      <c r="B848" s="30" t="n"/>
      <c r="C848" s="30" t="n"/>
      <c r="D848" s="30" t="n"/>
      <c r="E848" s="30" t="n"/>
      <c r="F848" s="30" t="n"/>
      <c r="G848" s="31">
        <f>IF($A848="","",IFERROR(ROUND(MAX(0,$B848*($D848-1)),2),0))</f>
        <v/>
      </c>
      <c r="H848" s="31">
        <f>IF($A848="","",IFERROR(ROUND($G848*INDEX(tblKurallar[deger_2025],MATCH("AYD-002",tblKurallar[kural_id],0)),2),0))</f>
        <v/>
      </c>
      <c r="I848" s="31">
        <f>IF($A848="","",IFERROR($G848-$G848*INDEX(tblKurallar[deger_2025],MATCH("AYD-004",tblKurallar[kural_id],0)),0))</f>
        <v/>
      </c>
    </row>
    <row r="849">
      <c r="A849" s="30" t="n"/>
      <c r="B849" s="30" t="n"/>
      <c r="C849" s="30" t="n"/>
      <c r="D849" s="30" t="n"/>
      <c r="E849" s="30" t="n"/>
      <c r="F849" s="30" t="n"/>
      <c r="G849" s="31">
        <f>IF($A849="","",IFERROR(ROUND(MAX(0,$B849*($D849-1)),2),0))</f>
        <v/>
      </c>
      <c r="H849" s="31">
        <f>IF($A849="","",IFERROR(ROUND($G849*INDEX(tblKurallar[deger_2025],MATCH("AYD-002",tblKurallar[kural_id],0)),2),0))</f>
        <v/>
      </c>
      <c r="I849" s="31">
        <f>IF($A849="","",IFERROR($G849-$G849*INDEX(tblKurallar[deger_2025],MATCH("AYD-004",tblKurallar[kural_id],0)),0))</f>
        <v/>
      </c>
    </row>
    <row r="850">
      <c r="A850" s="30" t="n"/>
      <c r="B850" s="30" t="n"/>
      <c r="C850" s="30" t="n"/>
      <c r="D850" s="30" t="n"/>
      <c r="E850" s="30" t="n"/>
      <c r="F850" s="30" t="n"/>
      <c r="G850" s="31">
        <f>IF($A850="","",IFERROR(ROUND(MAX(0,$B850*($D850-1)),2),0))</f>
        <v/>
      </c>
      <c r="H850" s="31">
        <f>IF($A850="","",IFERROR(ROUND($G850*INDEX(tblKurallar[deger_2025],MATCH("AYD-002",tblKurallar[kural_id],0)),2),0))</f>
        <v/>
      </c>
      <c r="I850" s="31">
        <f>IF($A850="","",IFERROR($G850-$G850*INDEX(tblKurallar[deger_2025],MATCH("AYD-004",tblKurallar[kural_id],0)),0))</f>
        <v/>
      </c>
    </row>
    <row r="851">
      <c r="A851" s="30" t="n"/>
      <c r="B851" s="30" t="n"/>
      <c r="C851" s="30" t="n"/>
      <c r="D851" s="30" t="n"/>
      <c r="E851" s="30" t="n"/>
      <c r="F851" s="30" t="n"/>
      <c r="G851" s="31">
        <f>IF($A851="","",IFERROR(ROUND(MAX(0,$B851*($D851-1)),2),0))</f>
        <v/>
      </c>
      <c r="H851" s="31">
        <f>IF($A851="","",IFERROR(ROUND($G851*INDEX(tblKurallar[deger_2025],MATCH("AYD-002",tblKurallar[kural_id],0)),2),0))</f>
        <v/>
      </c>
      <c r="I851" s="31">
        <f>IF($A851="","",IFERROR($G851-$G851*INDEX(tblKurallar[deger_2025],MATCH("AYD-004",tblKurallar[kural_id],0)),0))</f>
        <v/>
      </c>
    </row>
    <row r="852">
      <c r="A852" s="30" t="n"/>
      <c r="B852" s="30" t="n"/>
      <c r="C852" s="30" t="n"/>
      <c r="D852" s="30" t="n"/>
      <c r="E852" s="30" t="n"/>
      <c r="F852" s="30" t="n"/>
      <c r="G852" s="31">
        <f>IF($A852="","",IFERROR(ROUND(MAX(0,$B852*($D852-1)),2),0))</f>
        <v/>
      </c>
      <c r="H852" s="31">
        <f>IF($A852="","",IFERROR(ROUND($G852*INDEX(tblKurallar[deger_2025],MATCH("AYD-002",tblKurallar[kural_id],0)),2),0))</f>
        <v/>
      </c>
      <c r="I852" s="31">
        <f>IF($A852="","",IFERROR($G852-$G852*INDEX(tblKurallar[deger_2025],MATCH("AYD-004",tblKurallar[kural_id],0)),0))</f>
        <v/>
      </c>
    </row>
    <row r="853">
      <c r="A853" s="30" t="n"/>
      <c r="B853" s="30" t="n"/>
      <c r="C853" s="30" t="n"/>
      <c r="D853" s="30" t="n"/>
      <c r="E853" s="30" t="n"/>
      <c r="F853" s="30" t="n"/>
      <c r="G853" s="31">
        <f>IF($A853="","",IFERROR(ROUND(MAX(0,$B853*($D853-1)),2),0))</f>
        <v/>
      </c>
      <c r="H853" s="31">
        <f>IF($A853="","",IFERROR(ROUND($G853*INDEX(tblKurallar[deger_2025],MATCH("AYD-002",tblKurallar[kural_id],0)),2),0))</f>
        <v/>
      </c>
      <c r="I853" s="31">
        <f>IF($A853="","",IFERROR($G853-$G853*INDEX(tblKurallar[deger_2025],MATCH("AYD-004",tblKurallar[kural_id],0)),0))</f>
        <v/>
      </c>
    </row>
    <row r="854">
      <c r="A854" s="30" t="n"/>
      <c r="B854" s="30" t="n"/>
      <c r="C854" s="30" t="n"/>
      <c r="D854" s="30" t="n"/>
      <c r="E854" s="30" t="n"/>
      <c r="F854" s="30" t="n"/>
      <c r="G854" s="31">
        <f>IF($A854="","",IFERROR(ROUND(MAX(0,$B854*($D854-1)),2),0))</f>
        <v/>
      </c>
      <c r="H854" s="31">
        <f>IF($A854="","",IFERROR(ROUND($G854*INDEX(tblKurallar[deger_2025],MATCH("AYD-002",tblKurallar[kural_id],0)),2),0))</f>
        <v/>
      </c>
      <c r="I854" s="31">
        <f>IF($A854="","",IFERROR($G854-$G854*INDEX(tblKurallar[deger_2025],MATCH("AYD-004",tblKurallar[kural_id],0)),0))</f>
        <v/>
      </c>
    </row>
    <row r="855">
      <c r="A855" s="30" t="n"/>
      <c r="B855" s="30" t="n"/>
      <c r="C855" s="30" t="n"/>
      <c r="D855" s="30" t="n"/>
      <c r="E855" s="30" t="n"/>
      <c r="F855" s="30" t="n"/>
      <c r="G855" s="31">
        <f>IF($A855="","",IFERROR(ROUND(MAX(0,$B855*($D855-1)),2),0))</f>
        <v/>
      </c>
      <c r="H855" s="31">
        <f>IF($A855="","",IFERROR(ROUND($G855*INDEX(tblKurallar[deger_2025],MATCH("AYD-002",tblKurallar[kural_id],0)),2),0))</f>
        <v/>
      </c>
      <c r="I855" s="31">
        <f>IF($A855="","",IFERROR($G855-$G855*INDEX(tblKurallar[deger_2025],MATCH("AYD-004",tblKurallar[kural_id],0)),0))</f>
        <v/>
      </c>
    </row>
    <row r="856">
      <c r="A856" s="30" t="n"/>
      <c r="B856" s="30" t="n"/>
      <c r="C856" s="30" t="n"/>
      <c r="D856" s="30" t="n"/>
      <c r="E856" s="30" t="n"/>
      <c r="F856" s="30" t="n"/>
      <c r="G856" s="31">
        <f>IF($A856="","",IFERROR(ROUND(MAX(0,$B856*($D856-1)),2),0))</f>
        <v/>
      </c>
      <c r="H856" s="31">
        <f>IF($A856="","",IFERROR(ROUND($G856*INDEX(tblKurallar[deger_2025],MATCH("AYD-002",tblKurallar[kural_id],0)),2),0))</f>
        <v/>
      </c>
      <c r="I856" s="31">
        <f>IF($A856="","",IFERROR($G856-$G856*INDEX(tblKurallar[deger_2025],MATCH("AYD-004",tblKurallar[kural_id],0)),0))</f>
        <v/>
      </c>
    </row>
    <row r="857">
      <c r="A857" s="30" t="n"/>
      <c r="B857" s="30" t="n"/>
      <c r="C857" s="30" t="n"/>
      <c r="D857" s="30" t="n"/>
      <c r="E857" s="30" t="n"/>
      <c r="F857" s="30" t="n"/>
      <c r="G857" s="31">
        <f>IF($A857="","",IFERROR(ROUND(MAX(0,$B857*($D857-1)),2),0))</f>
        <v/>
      </c>
      <c r="H857" s="31">
        <f>IF($A857="","",IFERROR(ROUND($G857*INDEX(tblKurallar[deger_2025],MATCH("AYD-002",tblKurallar[kural_id],0)),2),0))</f>
        <v/>
      </c>
      <c r="I857" s="31">
        <f>IF($A857="","",IFERROR($G857-$G857*INDEX(tblKurallar[deger_2025],MATCH("AYD-004",tblKurallar[kural_id],0)),0))</f>
        <v/>
      </c>
    </row>
    <row r="858">
      <c r="A858" s="30" t="n"/>
      <c r="B858" s="30" t="n"/>
      <c r="C858" s="30" t="n"/>
      <c r="D858" s="30" t="n"/>
      <c r="E858" s="30" t="n"/>
      <c r="F858" s="30" t="n"/>
      <c r="G858" s="31">
        <f>IF($A858="","",IFERROR(ROUND(MAX(0,$B858*($D858-1)),2),0))</f>
        <v/>
      </c>
      <c r="H858" s="31">
        <f>IF($A858="","",IFERROR(ROUND($G858*INDEX(tblKurallar[deger_2025],MATCH("AYD-002",tblKurallar[kural_id],0)),2),0))</f>
        <v/>
      </c>
      <c r="I858" s="31">
        <f>IF($A858="","",IFERROR($G858-$G858*INDEX(tblKurallar[deger_2025],MATCH("AYD-004",tblKurallar[kural_id],0)),0))</f>
        <v/>
      </c>
    </row>
    <row r="859">
      <c r="A859" s="30" t="n"/>
      <c r="B859" s="30" t="n"/>
      <c r="C859" s="30" t="n"/>
      <c r="D859" s="30" t="n"/>
      <c r="E859" s="30" t="n"/>
      <c r="F859" s="30" t="n"/>
      <c r="G859" s="31">
        <f>IF($A859="","",IFERROR(ROUND(MAX(0,$B859*($D859-1)),2),0))</f>
        <v/>
      </c>
      <c r="H859" s="31">
        <f>IF($A859="","",IFERROR(ROUND($G859*INDEX(tblKurallar[deger_2025],MATCH("AYD-002",tblKurallar[kural_id],0)),2),0))</f>
        <v/>
      </c>
      <c r="I859" s="31">
        <f>IF($A859="","",IFERROR($G859-$G859*INDEX(tblKurallar[deger_2025],MATCH("AYD-004",tblKurallar[kural_id],0)),0))</f>
        <v/>
      </c>
    </row>
    <row r="860">
      <c r="A860" s="30" t="n"/>
      <c r="B860" s="30" t="n"/>
      <c r="C860" s="30" t="n"/>
      <c r="D860" s="30" t="n"/>
      <c r="E860" s="30" t="n"/>
      <c r="F860" s="30" t="n"/>
      <c r="G860" s="31">
        <f>IF($A860="","",IFERROR(ROUND(MAX(0,$B860*($D860-1)),2),0))</f>
        <v/>
      </c>
      <c r="H860" s="31">
        <f>IF($A860="","",IFERROR(ROUND($G860*INDEX(tblKurallar[deger_2025],MATCH("AYD-002",tblKurallar[kural_id],0)),2),0))</f>
        <v/>
      </c>
      <c r="I860" s="31">
        <f>IF($A860="","",IFERROR($G860-$G860*INDEX(tblKurallar[deger_2025],MATCH("AYD-004",tblKurallar[kural_id],0)),0))</f>
        <v/>
      </c>
    </row>
    <row r="861">
      <c r="A861" s="30" t="n"/>
      <c r="B861" s="30" t="n"/>
      <c r="C861" s="30" t="n"/>
      <c r="D861" s="30" t="n"/>
      <c r="E861" s="30" t="n"/>
      <c r="F861" s="30" t="n"/>
      <c r="G861" s="31">
        <f>IF($A861="","",IFERROR(ROUND(MAX(0,$B861*($D861-1)),2),0))</f>
        <v/>
      </c>
      <c r="H861" s="31">
        <f>IF($A861="","",IFERROR(ROUND($G861*INDEX(tblKurallar[deger_2025],MATCH("AYD-002",tblKurallar[kural_id],0)),2),0))</f>
        <v/>
      </c>
      <c r="I861" s="31">
        <f>IF($A861="","",IFERROR($G861-$G861*INDEX(tblKurallar[deger_2025],MATCH("AYD-004",tblKurallar[kural_id],0)),0))</f>
        <v/>
      </c>
    </row>
    <row r="862">
      <c r="A862" s="30" t="n"/>
      <c r="B862" s="30" t="n"/>
      <c r="C862" s="30" t="n"/>
      <c r="D862" s="30" t="n"/>
      <c r="E862" s="30" t="n"/>
      <c r="F862" s="30" t="n"/>
      <c r="G862" s="31">
        <f>IF($A862="","",IFERROR(ROUND(MAX(0,$B862*($D862-1)),2),0))</f>
        <v/>
      </c>
      <c r="H862" s="31">
        <f>IF($A862="","",IFERROR(ROUND($G862*INDEX(tblKurallar[deger_2025],MATCH("AYD-002",tblKurallar[kural_id],0)),2),0))</f>
        <v/>
      </c>
      <c r="I862" s="31">
        <f>IF($A862="","",IFERROR($G862-$G862*INDEX(tblKurallar[deger_2025],MATCH("AYD-004",tblKurallar[kural_id],0)),0))</f>
        <v/>
      </c>
    </row>
    <row r="863">
      <c r="A863" s="30" t="n"/>
      <c r="B863" s="30" t="n"/>
      <c r="C863" s="30" t="n"/>
      <c r="D863" s="30" t="n"/>
      <c r="E863" s="30" t="n"/>
      <c r="F863" s="30" t="n"/>
      <c r="G863" s="31">
        <f>IF($A863="","",IFERROR(ROUND(MAX(0,$B863*($D863-1)),2),0))</f>
        <v/>
      </c>
      <c r="H863" s="31">
        <f>IF($A863="","",IFERROR(ROUND($G863*INDEX(tblKurallar[deger_2025],MATCH("AYD-002",tblKurallar[kural_id],0)),2),0))</f>
        <v/>
      </c>
      <c r="I863" s="31">
        <f>IF($A863="","",IFERROR($G863-$G863*INDEX(tblKurallar[deger_2025],MATCH("AYD-004",tblKurallar[kural_id],0)),0))</f>
        <v/>
      </c>
    </row>
    <row r="864">
      <c r="A864" s="30" t="n"/>
      <c r="B864" s="30" t="n"/>
      <c r="C864" s="30" t="n"/>
      <c r="D864" s="30" t="n"/>
      <c r="E864" s="30" t="n"/>
      <c r="F864" s="30" t="n"/>
      <c r="G864" s="31">
        <f>IF($A864="","",IFERROR(ROUND(MAX(0,$B864*($D864-1)),2),0))</f>
        <v/>
      </c>
      <c r="H864" s="31">
        <f>IF($A864="","",IFERROR(ROUND($G864*INDEX(tblKurallar[deger_2025],MATCH("AYD-002",tblKurallar[kural_id],0)),2),0))</f>
        <v/>
      </c>
      <c r="I864" s="31">
        <f>IF($A864="","",IFERROR($G864-$G864*INDEX(tblKurallar[deger_2025],MATCH("AYD-004",tblKurallar[kural_id],0)),0))</f>
        <v/>
      </c>
    </row>
    <row r="865">
      <c r="A865" s="30" t="n"/>
      <c r="B865" s="30" t="n"/>
      <c r="C865" s="30" t="n"/>
      <c r="D865" s="30" t="n"/>
      <c r="E865" s="30" t="n"/>
      <c r="F865" s="30" t="n"/>
      <c r="G865" s="31">
        <f>IF($A865="","",IFERROR(ROUND(MAX(0,$B865*($D865-1)),2),0))</f>
        <v/>
      </c>
      <c r="H865" s="31">
        <f>IF($A865="","",IFERROR(ROUND($G865*INDEX(tblKurallar[deger_2025],MATCH("AYD-002",tblKurallar[kural_id],0)),2),0))</f>
        <v/>
      </c>
      <c r="I865" s="31">
        <f>IF($A865="","",IFERROR($G865-$G865*INDEX(tblKurallar[deger_2025],MATCH("AYD-004",tblKurallar[kural_id],0)),0))</f>
        <v/>
      </c>
    </row>
    <row r="866">
      <c r="A866" s="30" t="n"/>
      <c r="B866" s="30" t="n"/>
      <c r="C866" s="30" t="n"/>
      <c r="D866" s="30" t="n"/>
      <c r="E866" s="30" t="n"/>
      <c r="F866" s="30" t="n"/>
      <c r="G866" s="31">
        <f>IF($A866="","",IFERROR(ROUND(MAX(0,$B866*($D866-1)),2),0))</f>
        <v/>
      </c>
      <c r="H866" s="31">
        <f>IF($A866="","",IFERROR(ROUND($G866*INDEX(tblKurallar[deger_2025],MATCH("AYD-002",tblKurallar[kural_id],0)),2),0))</f>
        <v/>
      </c>
      <c r="I866" s="31">
        <f>IF($A866="","",IFERROR($G866-$G866*INDEX(tblKurallar[deger_2025],MATCH("AYD-004",tblKurallar[kural_id],0)),0))</f>
        <v/>
      </c>
    </row>
    <row r="867">
      <c r="A867" s="30" t="n"/>
      <c r="B867" s="30" t="n"/>
      <c r="C867" s="30" t="n"/>
      <c r="D867" s="30" t="n"/>
      <c r="E867" s="30" t="n"/>
      <c r="F867" s="30" t="n"/>
      <c r="G867" s="31">
        <f>IF($A867="","",IFERROR(ROUND(MAX(0,$B867*($D867-1)),2),0))</f>
        <v/>
      </c>
      <c r="H867" s="31">
        <f>IF($A867="","",IFERROR(ROUND($G867*INDEX(tblKurallar[deger_2025],MATCH("AYD-002",tblKurallar[kural_id],0)),2),0))</f>
        <v/>
      </c>
      <c r="I867" s="31">
        <f>IF($A867="","",IFERROR($G867-$G867*INDEX(tblKurallar[deger_2025],MATCH("AYD-004",tblKurallar[kural_id],0)),0))</f>
        <v/>
      </c>
    </row>
    <row r="868">
      <c r="A868" s="30" t="n"/>
      <c r="B868" s="30" t="n"/>
      <c r="C868" s="30" t="n"/>
      <c r="D868" s="30" t="n"/>
      <c r="E868" s="30" t="n"/>
      <c r="F868" s="30" t="n"/>
      <c r="G868" s="31">
        <f>IF($A868="","",IFERROR(ROUND(MAX(0,$B868*($D868-1)),2),0))</f>
        <v/>
      </c>
      <c r="H868" s="31">
        <f>IF($A868="","",IFERROR(ROUND($G868*INDEX(tblKurallar[deger_2025],MATCH("AYD-002",tblKurallar[kural_id],0)),2),0))</f>
        <v/>
      </c>
      <c r="I868" s="31">
        <f>IF($A868="","",IFERROR($G868-$G868*INDEX(tblKurallar[deger_2025],MATCH("AYD-004",tblKurallar[kural_id],0)),0))</f>
        <v/>
      </c>
    </row>
    <row r="869">
      <c r="A869" s="30" t="n"/>
      <c r="B869" s="30" t="n"/>
      <c r="C869" s="30" t="n"/>
      <c r="D869" s="30" t="n"/>
      <c r="E869" s="30" t="n"/>
      <c r="F869" s="30" t="n"/>
      <c r="G869" s="31">
        <f>IF($A869="","",IFERROR(ROUND(MAX(0,$B869*($D869-1)),2),0))</f>
        <v/>
      </c>
      <c r="H869" s="31">
        <f>IF($A869="","",IFERROR(ROUND($G869*INDEX(tblKurallar[deger_2025],MATCH("AYD-002",tblKurallar[kural_id],0)),2),0))</f>
        <v/>
      </c>
      <c r="I869" s="31">
        <f>IF($A869="","",IFERROR($G869-$G869*INDEX(tblKurallar[deger_2025],MATCH("AYD-004",tblKurallar[kural_id],0)),0))</f>
        <v/>
      </c>
    </row>
    <row r="870">
      <c r="A870" s="30" t="n"/>
      <c r="B870" s="30" t="n"/>
      <c r="C870" s="30" t="n"/>
      <c r="D870" s="30" t="n"/>
      <c r="E870" s="30" t="n"/>
      <c r="F870" s="30" t="n"/>
      <c r="G870" s="31">
        <f>IF($A870="","",IFERROR(ROUND(MAX(0,$B870*($D870-1)),2),0))</f>
        <v/>
      </c>
      <c r="H870" s="31">
        <f>IF($A870="","",IFERROR(ROUND($G870*INDEX(tblKurallar[deger_2025],MATCH("AYD-002",tblKurallar[kural_id],0)),2),0))</f>
        <v/>
      </c>
      <c r="I870" s="31">
        <f>IF($A870="","",IFERROR($G870-$G870*INDEX(tblKurallar[deger_2025],MATCH("AYD-004",tblKurallar[kural_id],0)),0))</f>
        <v/>
      </c>
    </row>
    <row r="871">
      <c r="A871" s="30" t="n"/>
      <c r="B871" s="30" t="n"/>
      <c r="C871" s="30" t="n"/>
      <c r="D871" s="30" t="n"/>
      <c r="E871" s="30" t="n"/>
      <c r="F871" s="30" t="n"/>
      <c r="G871" s="31">
        <f>IF($A871="","",IFERROR(ROUND(MAX(0,$B871*($D871-1)),2),0))</f>
        <v/>
      </c>
      <c r="H871" s="31">
        <f>IF($A871="","",IFERROR(ROUND($G871*INDEX(tblKurallar[deger_2025],MATCH("AYD-002",tblKurallar[kural_id],0)),2),0))</f>
        <v/>
      </c>
      <c r="I871" s="31">
        <f>IF($A871="","",IFERROR($G871-$G871*INDEX(tblKurallar[deger_2025],MATCH("AYD-004",tblKurallar[kural_id],0)),0))</f>
        <v/>
      </c>
    </row>
    <row r="872">
      <c r="A872" s="30" t="n"/>
      <c r="B872" s="30" t="n"/>
      <c r="C872" s="30" t="n"/>
      <c r="D872" s="30" t="n"/>
      <c r="E872" s="30" t="n"/>
      <c r="F872" s="30" t="n"/>
      <c r="G872" s="31">
        <f>IF($A872="","",IFERROR(ROUND(MAX(0,$B872*($D872-1)),2),0))</f>
        <v/>
      </c>
      <c r="H872" s="31">
        <f>IF($A872="","",IFERROR(ROUND($G872*INDEX(tblKurallar[deger_2025],MATCH("AYD-002",tblKurallar[kural_id],0)),2),0))</f>
        <v/>
      </c>
      <c r="I872" s="31">
        <f>IF($A872="","",IFERROR($G872-$G872*INDEX(tblKurallar[deger_2025],MATCH("AYD-004",tblKurallar[kural_id],0)),0))</f>
        <v/>
      </c>
    </row>
    <row r="873">
      <c r="A873" s="30" t="n"/>
      <c r="B873" s="30" t="n"/>
      <c r="C873" s="30" t="n"/>
      <c r="D873" s="30" t="n"/>
      <c r="E873" s="30" t="n"/>
      <c r="F873" s="30" t="n"/>
      <c r="G873" s="31">
        <f>IF($A873="","",IFERROR(ROUND(MAX(0,$B873*($D873-1)),2),0))</f>
        <v/>
      </c>
      <c r="H873" s="31">
        <f>IF($A873="","",IFERROR(ROUND($G873*INDEX(tblKurallar[deger_2025],MATCH("AYD-002",tblKurallar[kural_id],0)),2),0))</f>
        <v/>
      </c>
      <c r="I873" s="31">
        <f>IF($A873="","",IFERROR($G873-$G873*INDEX(tblKurallar[deger_2025],MATCH("AYD-004",tblKurallar[kural_id],0)),0))</f>
        <v/>
      </c>
    </row>
    <row r="874">
      <c r="A874" s="30" t="n"/>
      <c r="B874" s="30" t="n"/>
      <c r="C874" s="30" t="n"/>
      <c r="D874" s="30" t="n"/>
      <c r="E874" s="30" t="n"/>
      <c r="F874" s="30" t="n"/>
      <c r="G874" s="31">
        <f>IF($A874="","",IFERROR(ROUND(MAX(0,$B874*($D874-1)),2),0))</f>
        <v/>
      </c>
      <c r="H874" s="31">
        <f>IF($A874="","",IFERROR(ROUND($G874*INDEX(tblKurallar[deger_2025],MATCH("AYD-002",tblKurallar[kural_id],0)),2),0))</f>
        <v/>
      </c>
      <c r="I874" s="31">
        <f>IF($A874="","",IFERROR($G874-$G874*INDEX(tblKurallar[deger_2025],MATCH("AYD-004",tblKurallar[kural_id],0)),0))</f>
        <v/>
      </c>
    </row>
    <row r="875">
      <c r="A875" s="30" t="n"/>
      <c r="B875" s="30" t="n"/>
      <c r="C875" s="30" t="n"/>
      <c r="D875" s="30" t="n"/>
      <c r="E875" s="30" t="n"/>
      <c r="F875" s="30" t="n"/>
      <c r="G875" s="31">
        <f>IF($A875="","",IFERROR(ROUND(MAX(0,$B875*($D875-1)),2),0))</f>
        <v/>
      </c>
      <c r="H875" s="31">
        <f>IF($A875="","",IFERROR(ROUND($G875*INDEX(tblKurallar[deger_2025],MATCH("AYD-002",tblKurallar[kural_id],0)),2),0))</f>
        <v/>
      </c>
      <c r="I875" s="31">
        <f>IF($A875="","",IFERROR($G875-$G875*INDEX(tblKurallar[deger_2025],MATCH("AYD-004",tblKurallar[kural_id],0)),0))</f>
        <v/>
      </c>
    </row>
    <row r="876">
      <c r="A876" s="30" t="n"/>
      <c r="B876" s="30" t="n"/>
      <c r="C876" s="30" t="n"/>
      <c r="D876" s="30" t="n"/>
      <c r="E876" s="30" t="n"/>
      <c r="F876" s="30" t="n"/>
      <c r="G876" s="31">
        <f>IF($A876="","",IFERROR(ROUND(MAX(0,$B876*($D876-1)),2),0))</f>
        <v/>
      </c>
      <c r="H876" s="31">
        <f>IF($A876="","",IFERROR(ROUND($G876*INDEX(tblKurallar[deger_2025],MATCH("AYD-002",tblKurallar[kural_id],0)),2),0))</f>
        <v/>
      </c>
      <c r="I876" s="31">
        <f>IF($A876="","",IFERROR($G876-$G876*INDEX(tblKurallar[deger_2025],MATCH("AYD-004",tblKurallar[kural_id],0)),0))</f>
        <v/>
      </c>
    </row>
    <row r="877">
      <c r="A877" s="30" t="n"/>
      <c r="B877" s="30" t="n"/>
      <c r="C877" s="30" t="n"/>
      <c r="D877" s="30" t="n"/>
      <c r="E877" s="30" t="n"/>
      <c r="F877" s="30" t="n"/>
      <c r="G877" s="31">
        <f>IF($A877="","",IFERROR(ROUND(MAX(0,$B877*($D877-1)),2),0))</f>
        <v/>
      </c>
      <c r="H877" s="31">
        <f>IF($A877="","",IFERROR(ROUND($G877*INDEX(tblKurallar[deger_2025],MATCH("AYD-002",tblKurallar[kural_id],0)),2),0))</f>
        <v/>
      </c>
      <c r="I877" s="31">
        <f>IF($A877="","",IFERROR($G877-$G877*INDEX(tblKurallar[deger_2025],MATCH("AYD-004",tblKurallar[kural_id],0)),0))</f>
        <v/>
      </c>
    </row>
    <row r="878">
      <c r="A878" s="30" t="n"/>
      <c r="B878" s="30" t="n"/>
      <c r="C878" s="30" t="n"/>
      <c r="D878" s="30" t="n"/>
      <c r="E878" s="30" t="n"/>
      <c r="F878" s="30" t="n"/>
      <c r="G878" s="31">
        <f>IF($A878="","",IFERROR(ROUND(MAX(0,$B878*($D878-1)),2),0))</f>
        <v/>
      </c>
      <c r="H878" s="31">
        <f>IF($A878="","",IFERROR(ROUND($G878*INDEX(tblKurallar[deger_2025],MATCH("AYD-002",tblKurallar[kural_id],0)),2),0))</f>
        <v/>
      </c>
      <c r="I878" s="31">
        <f>IF($A878="","",IFERROR($G878-$G878*INDEX(tblKurallar[deger_2025],MATCH("AYD-004",tblKurallar[kural_id],0)),0))</f>
        <v/>
      </c>
    </row>
    <row r="879">
      <c r="A879" s="30" t="n"/>
      <c r="B879" s="30" t="n"/>
      <c r="C879" s="30" t="n"/>
      <c r="D879" s="30" t="n"/>
      <c r="E879" s="30" t="n"/>
      <c r="F879" s="30" t="n"/>
      <c r="G879" s="31">
        <f>IF($A879="","",IFERROR(ROUND(MAX(0,$B879*($D879-1)),2),0))</f>
        <v/>
      </c>
      <c r="H879" s="31">
        <f>IF($A879="","",IFERROR(ROUND($G879*INDEX(tblKurallar[deger_2025],MATCH("AYD-002",tblKurallar[kural_id],0)),2),0))</f>
        <v/>
      </c>
      <c r="I879" s="31">
        <f>IF($A879="","",IFERROR($G879-$G879*INDEX(tblKurallar[deger_2025],MATCH("AYD-004",tblKurallar[kural_id],0)),0))</f>
        <v/>
      </c>
    </row>
    <row r="880">
      <c r="A880" s="30" t="n"/>
      <c r="B880" s="30" t="n"/>
      <c r="C880" s="30" t="n"/>
      <c r="D880" s="30" t="n"/>
      <c r="E880" s="30" t="n"/>
      <c r="F880" s="30" t="n"/>
      <c r="G880" s="31">
        <f>IF($A880="","",IFERROR(ROUND(MAX(0,$B880*($D880-1)),2),0))</f>
        <v/>
      </c>
      <c r="H880" s="31">
        <f>IF($A880="","",IFERROR(ROUND($G880*INDEX(tblKurallar[deger_2025],MATCH("AYD-002",tblKurallar[kural_id],0)),2),0))</f>
        <v/>
      </c>
      <c r="I880" s="31">
        <f>IF($A880="","",IFERROR($G880-$G880*INDEX(tblKurallar[deger_2025],MATCH("AYD-004",tblKurallar[kural_id],0)),0))</f>
        <v/>
      </c>
    </row>
    <row r="881">
      <c r="A881" s="30" t="n"/>
      <c r="B881" s="30" t="n"/>
      <c r="C881" s="30" t="n"/>
      <c r="D881" s="30" t="n"/>
      <c r="E881" s="30" t="n"/>
      <c r="F881" s="30" t="n"/>
      <c r="G881" s="31">
        <f>IF($A881="","",IFERROR(ROUND(MAX(0,$B881*($D881-1)),2),0))</f>
        <v/>
      </c>
      <c r="H881" s="31">
        <f>IF($A881="","",IFERROR(ROUND($G881*INDEX(tblKurallar[deger_2025],MATCH("AYD-002",tblKurallar[kural_id],0)),2),0))</f>
        <v/>
      </c>
      <c r="I881" s="31">
        <f>IF($A881="","",IFERROR($G881-$G881*INDEX(tblKurallar[deger_2025],MATCH("AYD-004",tblKurallar[kural_id],0)),0))</f>
        <v/>
      </c>
    </row>
    <row r="882">
      <c r="A882" s="30" t="n"/>
      <c r="B882" s="30" t="n"/>
      <c r="C882" s="30" t="n"/>
      <c r="D882" s="30" t="n"/>
      <c r="E882" s="30" t="n"/>
      <c r="F882" s="30" t="n"/>
      <c r="G882" s="31">
        <f>IF($A882="","",IFERROR(ROUND(MAX(0,$B882*($D882-1)),2),0))</f>
        <v/>
      </c>
      <c r="H882" s="31">
        <f>IF($A882="","",IFERROR(ROUND($G882*INDEX(tblKurallar[deger_2025],MATCH("AYD-002",tblKurallar[kural_id],0)),2),0))</f>
        <v/>
      </c>
      <c r="I882" s="31">
        <f>IF($A882="","",IFERROR($G882-$G882*INDEX(tblKurallar[deger_2025],MATCH("AYD-004",tblKurallar[kural_id],0)),0))</f>
        <v/>
      </c>
    </row>
    <row r="883">
      <c r="A883" s="30" t="n"/>
      <c r="B883" s="30" t="n"/>
      <c r="C883" s="30" t="n"/>
      <c r="D883" s="30" t="n"/>
      <c r="E883" s="30" t="n"/>
      <c r="F883" s="30" t="n"/>
      <c r="G883" s="31">
        <f>IF($A883="","",IFERROR(ROUND(MAX(0,$B883*($D883-1)),2),0))</f>
        <v/>
      </c>
      <c r="H883" s="31">
        <f>IF($A883="","",IFERROR(ROUND($G883*INDEX(tblKurallar[deger_2025],MATCH("AYD-002",tblKurallar[kural_id],0)),2),0))</f>
        <v/>
      </c>
      <c r="I883" s="31">
        <f>IF($A883="","",IFERROR($G883-$G883*INDEX(tblKurallar[deger_2025],MATCH("AYD-004",tblKurallar[kural_id],0)),0))</f>
        <v/>
      </c>
    </row>
    <row r="884">
      <c r="A884" s="30" t="n"/>
      <c r="B884" s="30" t="n"/>
      <c r="C884" s="30" t="n"/>
      <c r="D884" s="30" t="n"/>
      <c r="E884" s="30" t="n"/>
      <c r="F884" s="30" t="n"/>
      <c r="G884" s="31">
        <f>IF($A884="","",IFERROR(ROUND(MAX(0,$B884*($D884-1)),2),0))</f>
        <v/>
      </c>
      <c r="H884" s="31">
        <f>IF($A884="","",IFERROR(ROUND($G884*INDEX(tblKurallar[deger_2025],MATCH("AYD-002",tblKurallar[kural_id],0)),2),0))</f>
        <v/>
      </c>
      <c r="I884" s="31">
        <f>IF($A884="","",IFERROR($G884-$G884*INDEX(tblKurallar[deger_2025],MATCH("AYD-004",tblKurallar[kural_id],0)),0))</f>
        <v/>
      </c>
    </row>
    <row r="885">
      <c r="A885" s="30" t="n"/>
      <c r="B885" s="30" t="n"/>
      <c r="C885" s="30" t="n"/>
      <c r="D885" s="30" t="n"/>
      <c r="E885" s="30" t="n"/>
      <c r="F885" s="30" t="n"/>
      <c r="G885" s="31">
        <f>IF($A885="","",IFERROR(ROUND(MAX(0,$B885*($D885-1)),2),0))</f>
        <v/>
      </c>
      <c r="H885" s="31">
        <f>IF($A885="","",IFERROR(ROUND($G885*INDEX(tblKurallar[deger_2025],MATCH("AYD-002",tblKurallar[kural_id],0)),2),0))</f>
        <v/>
      </c>
      <c r="I885" s="31">
        <f>IF($A885="","",IFERROR($G885-$G885*INDEX(tblKurallar[deger_2025],MATCH("AYD-004",tblKurallar[kural_id],0)),0))</f>
        <v/>
      </c>
    </row>
    <row r="886">
      <c r="A886" s="30" t="n"/>
      <c r="B886" s="30" t="n"/>
      <c r="C886" s="30" t="n"/>
      <c r="D886" s="30" t="n"/>
      <c r="E886" s="30" t="n"/>
      <c r="F886" s="30" t="n"/>
      <c r="G886" s="31">
        <f>IF($A886="","",IFERROR(ROUND(MAX(0,$B886*($D886-1)),2),0))</f>
        <v/>
      </c>
      <c r="H886" s="31">
        <f>IF($A886="","",IFERROR(ROUND($G886*INDEX(tblKurallar[deger_2025],MATCH("AYD-002",tblKurallar[kural_id],0)),2),0))</f>
        <v/>
      </c>
      <c r="I886" s="31">
        <f>IF($A886="","",IFERROR($G886-$G886*INDEX(tblKurallar[deger_2025],MATCH("AYD-004",tblKurallar[kural_id],0)),0))</f>
        <v/>
      </c>
    </row>
    <row r="887">
      <c r="A887" s="30" t="n"/>
      <c r="B887" s="30" t="n"/>
      <c r="C887" s="30" t="n"/>
      <c r="D887" s="30" t="n"/>
      <c r="E887" s="30" t="n"/>
      <c r="F887" s="30" t="n"/>
      <c r="G887" s="31">
        <f>IF($A887="","",IFERROR(ROUND(MAX(0,$B887*($D887-1)),2),0))</f>
        <v/>
      </c>
      <c r="H887" s="31">
        <f>IF($A887="","",IFERROR(ROUND($G887*INDEX(tblKurallar[deger_2025],MATCH("AYD-002",tblKurallar[kural_id],0)),2),0))</f>
        <v/>
      </c>
      <c r="I887" s="31">
        <f>IF($A887="","",IFERROR($G887-$G887*INDEX(tblKurallar[deger_2025],MATCH("AYD-004",tblKurallar[kural_id],0)),0))</f>
        <v/>
      </c>
    </row>
    <row r="888">
      <c r="A888" s="30" t="n"/>
      <c r="B888" s="30" t="n"/>
      <c r="C888" s="30" t="n"/>
      <c r="D888" s="30" t="n"/>
      <c r="E888" s="30" t="n"/>
      <c r="F888" s="30" t="n"/>
      <c r="G888" s="31">
        <f>IF($A888="","",IFERROR(ROUND(MAX(0,$B888*($D888-1)),2),0))</f>
        <v/>
      </c>
      <c r="H888" s="31">
        <f>IF($A888="","",IFERROR(ROUND($G888*INDEX(tblKurallar[deger_2025],MATCH("AYD-002",tblKurallar[kural_id],0)),2),0))</f>
        <v/>
      </c>
      <c r="I888" s="31">
        <f>IF($A888="","",IFERROR($G888-$G888*INDEX(tblKurallar[deger_2025],MATCH("AYD-004",tblKurallar[kural_id],0)),0))</f>
        <v/>
      </c>
    </row>
    <row r="889">
      <c r="A889" s="30" t="n"/>
      <c r="B889" s="30" t="n"/>
      <c r="C889" s="30" t="n"/>
      <c r="D889" s="30" t="n"/>
      <c r="E889" s="30" t="n"/>
      <c r="F889" s="30" t="n"/>
      <c r="G889" s="31">
        <f>IF($A889="","",IFERROR(ROUND(MAX(0,$B889*($D889-1)),2),0))</f>
        <v/>
      </c>
      <c r="H889" s="31">
        <f>IF($A889="","",IFERROR(ROUND($G889*INDEX(tblKurallar[deger_2025],MATCH("AYD-002",tblKurallar[kural_id],0)),2),0))</f>
        <v/>
      </c>
      <c r="I889" s="31">
        <f>IF($A889="","",IFERROR($G889-$G889*INDEX(tblKurallar[deger_2025],MATCH("AYD-004",tblKurallar[kural_id],0)),0))</f>
        <v/>
      </c>
    </row>
    <row r="890">
      <c r="A890" s="30" t="n"/>
      <c r="B890" s="30" t="n"/>
      <c r="C890" s="30" t="n"/>
      <c r="D890" s="30" t="n"/>
      <c r="E890" s="30" t="n"/>
      <c r="F890" s="30" t="n"/>
      <c r="G890" s="31">
        <f>IF($A890="","",IFERROR(ROUND(MAX(0,$B890*($D890-1)),2),0))</f>
        <v/>
      </c>
      <c r="H890" s="31">
        <f>IF($A890="","",IFERROR(ROUND($G890*INDEX(tblKurallar[deger_2025],MATCH("AYD-002",tblKurallar[kural_id],0)),2),0))</f>
        <v/>
      </c>
      <c r="I890" s="31">
        <f>IF($A890="","",IFERROR($G890-$G890*INDEX(tblKurallar[deger_2025],MATCH("AYD-004",tblKurallar[kural_id],0)),0))</f>
        <v/>
      </c>
    </row>
    <row r="891">
      <c r="A891" s="30" t="n"/>
      <c r="B891" s="30" t="n"/>
      <c r="C891" s="30" t="n"/>
      <c r="D891" s="30" t="n"/>
      <c r="E891" s="30" t="n"/>
      <c r="F891" s="30" t="n"/>
      <c r="G891" s="31">
        <f>IF($A891="","",IFERROR(ROUND(MAX(0,$B891*($D891-1)),2),0))</f>
        <v/>
      </c>
      <c r="H891" s="31">
        <f>IF($A891="","",IFERROR(ROUND($G891*INDEX(tblKurallar[deger_2025],MATCH("AYD-002",tblKurallar[kural_id],0)),2),0))</f>
        <v/>
      </c>
      <c r="I891" s="31">
        <f>IF($A891="","",IFERROR($G891-$G891*INDEX(tblKurallar[deger_2025],MATCH("AYD-004",tblKurallar[kural_id],0)),0))</f>
        <v/>
      </c>
    </row>
    <row r="892">
      <c r="A892" s="30" t="n"/>
      <c r="B892" s="30" t="n"/>
      <c r="C892" s="30" t="n"/>
      <c r="D892" s="30" t="n"/>
      <c r="E892" s="30" t="n"/>
      <c r="F892" s="30" t="n"/>
      <c r="G892" s="31">
        <f>IF($A892="","",IFERROR(ROUND(MAX(0,$B892*($D892-1)),2),0))</f>
        <v/>
      </c>
      <c r="H892" s="31">
        <f>IF($A892="","",IFERROR(ROUND($G892*INDEX(tblKurallar[deger_2025],MATCH("AYD-002",tblKurallar[kural_id],0)),2),0))</f>
        <v/>
      </c>
      <c r="I892" s="31">
        <f>IF($A892="","",IFERROR($G892-$G892*INDEX(tblKurallar[deger_2025],MATCH("AYD-004",tblKurallar[kural_id],0)),0))</f>
        <v/>
      </c>
    </row>
    <row r="893">
      <c r="A893" s="30" t="n"/>
      <c r="B893" s="30" t="n"/>
      <c r="C893" s="30" t="n"/>
      <c r="D893" s="30" t="n"/>
      <c r="E893" s="30" t="n"/>
      <c r="F893" s="30" t="n"/>
      <c r="G893" s="31">
        <f>IF($A893="","",IFERROR(ROUND(MAX(0,$B893*($D893-1)),2),0))</f>
        <v/>
      </c>
      <c r="H893" s="31">
        <f>IF($A893="","",IFERROR(ROUND($G893*INDEX(tblKurallar[deger_2025],MATCH("AYD-002",tblKurallar[kural_id],0)),2),0))</f>
        <v/>
      </c>
      <c r="I893" s="31">
        <f>IF($A893="","",IFERROR($G893-$G893*INDEX(tblKurallar[deger_2025],MATCH("AYD-004",tblKurallar[kural_id],0)),0))</f>
        <v/>
      </c>
    </row>
    <row r="894">
      <c r="A894" s="30" t="n"/>
      <c r="B894" s="30" t="n"/>
      <c r="C894" s="30" t="n"/>
      <c r="D894" s="30" t="n"/>
      <c r="E894" s="30" t="n"/>
      <c r="F894" s="30" t="n"/>
      <c r="G894" s="31">
        <f>IF($A894="","",IFERROR(ROUND(MAX(0,$B894*($D894-1)),2),0))</f>
        <v/>
      </c>
      <c r="H894" s="31">
        <f>IF($A894="","",IFERROR(ROUND($G894*INDEX(tblKurallar[deger_2025],MATCH("AYD-002",tblKurallar[kural_id],0)),2),0))</f>
        <v/>
      </c>
      <c r="I894" s="31">
        <f>IF($A894="","",IFERROR($G894-$G894*INDEX(tblKurallar[deger_2025],MATCH("AYD-004",tblKurallar[kural_id],0)),0))</f>
        <v/>
      </c>
    </row>
    <row r="895">
      <c r="A895" s="30" t="n"/>
      <c r="B895" s="30" t="n"/>
      <c r="C895" s="30" t="n"/>
      <c r="D895" s="30" t="n"/>
      <c r="E895" s="30" t="n"/>
      <c r="F895" s="30" t="n"/>
      <c r="G895" s="31">
        <f>IF($A895="","",IFERROR(ROUND(MAX(0,$B895*($D895-1)),2),0))</f>
        <v/>
      </c>
      <c r="H895" s="31">
        <f>IF($A895="","",IFERROR(ROUND($G895*INDEX(tblKurallar[deger_2025],MATCH("AYD-002",tblKurallar[kural_id],0)),2),0))</f>
        <v/>
      </c>
      <c r="I895" s="31">
        <f>IF($A895="","",IFERROR($G895-$G895*INDEX(tblKurallar[deger_2025],MATCH("AYD-004",tblKurallar[kural_id],0)),0))</f>
        <v/>
      </c>
    </row>
    <row r="896">
      <c r="A896" s="30" t="n"/>
      <c r="B896" s="30" t="n"/>
      <c r="C896" s="30" t="n"/>
      <c r="D896" s="30" t="n"/>
      <c r="E896" s="30" t="n"/>
      <c r="F896" s="30" t="n"/>
      <c r="G896" s="31">
        <f>IF($A896="","",IFERROR(ROUND(MAX(0,$B896*($D896-1)),2),0))</f>
        <v/>
      </c>
      <c r="H896" s="31">
        <f>IF($A896="","",IFERROR(ROUND($G896*INDEX(tblKurallar[deger_2025],MATCH("AYD-002",tblKurallar[kural_id],0)),2),0))</f>
        <v/>
      </c>
      <c r="I896" s="31">
        <f>IF($A896="","",IFERROR($G896-$G896*INDEX(tblKurallar[deger_2025],MATCH("AYD-004",tblKurallar[kural_id],0)),0))</f>
        <v/>
      </c>
    </row>
    <row r="897">
      <c r="A897" s="30" t="n"/>
      <c r="B897" s="30" t="n"/>
      <c r="C897" s="30" t="n"/>
      <c r="D897" s="30" t="n"/>
      <c r="E897" s="30" t="n"/>
      <c r="F897" s="30" t="n"/>
      <c r="G897" s="31">
        <f>IF($A897="","",IFERROR(ROUND(MAX(0,$B897*($D897-1)),2),0))</f>
        <v/>
      </c>
      <c r="H897" s="31">
        <f>IF($A897="","",IFERROR(ROUND($G897*INDEX(tblKurallar[deger_2025],MATCH("AYD-002",tblKurallar[kural_id],0)),2),0))</f>
        <v/>
      </c>
      <c r="I897" s="31">
        <f>IF($A897="","",IFERROR($G897-$G897*INDEX(tblKurallar[deger_2025],MATCH("AYD-004",tblKurallar[kural_id],0)),0))</f>
        <v/>
      </c>
    </row>
    <row r="898">
      <c r="A898" s="30" t="n"/>
      <c r="B898" s="30" t="n"/>
      <c r="C898" s="30" t="n"/>
      <c r="D898" s="30" t="n"/>
      <c r="E898" s="30" t="n"/>
      <c r="F898" s="30" t="n"/>
      <c r="G898" s="31">
        <f>IF($A898="","",IFERROR(ROUND(MAX(0,$B898*($D898-1)),2),0))</f>
        <v/>
      </c>
      <c r="H898" s="31">
        <f>IF($A898="","",IFERROR(ROUND($G898*INDEX(tblKurallar[deger_2025],MATCH("AYD-002",tblKurallar[kural_id],0)),2),0))</f>
        <v/>
      </c>
      <c r="I898" s="31">
        <f>IF($A898="","",IFERROR($G898-$G898*INDEX(tblKurallar[deger_2025],MATCH("AYD-004",tblKurallar[kural_id],0)),0))</f>
        <v/>
      </c>
    </row>
    <row r="899">
      <c r="A899" s="30" t="n"/>
      <c r="B899" s="30" t="n"/>
      <c r="C899" s="30" t="n"/>
      <c r="D899" s="30" t="n"/>
      <c r="E899" s="30" t="n"/>
      <c r="F899" s="30" t="n"/>
      <c r="G899" s="31">
        <f>IF($A899="","",IFERROR(ROUND(MAX(0,$B899*($D899-1)),2),0))</f>
        <v/>
      </c>
      <c r="H899" s="31">
        <f>IF($A899="","",IFERROR(ROUND($G899*INDEX(tblKurallar[deger_2025],MATCH("AYD-002",tblKurallar[kural_id],0)),2),0))</f>
        <v/>
      </c>
      <c r="I899" s="31">
        <f>IF($A899="","",IFERROR($G899-$G899*INDEX(tblKurallar[deger_2025],MATCH("AYD-004",tblKurallar[kural_id],0)),0))</f>
        <v/>
      </c>
    </row>
    <row r="900">
      <c r="A900" s="30" t="n"/>
      <c r="B900" s="30" t="n"/>
      <c r="C900" s="30" t="n"/>
      <c r="D900" s="30" t="n"/>
      <c r="E900" s="30" t="n"/>
      <c r="F900" s="30" t="n"/>
      <c r="G900" s="31">
        <f>IF($A900="","",IFERROR(ROUND(MAX(0,$B900*($D900-1)),2),0))</f>
        <v/>
      </c>
      <c r="H900" s="31">
        <f>IF($A900="","",IFERROR(ROUND($G900*INDEX(tblKurallar[deger_2025],MATCH("AYD-002",tblKurallar[kural_id],0)),2),0))</f>
        <v/>
      </c>
      <c r="I900" s="31">
        <f>IF($A900="","",IFERROR($G900-$G900*INDEX(tblKurallar[deger_2025],MATCH("AYD-004",tblKurallar[kural_id],0)),0))</f>
        <v/>
      </c>
    </row>
    <row r="901">
      <c r="A901" s="30" t="n"/>
      <c r="B901" s="30" t="n"/>
      <c r="C901" s="30" t="n"/>
      <c r="D901" s="30" t="n"/>
      <c r="E901" s="30" t="n"/>
      <c r="F901" s="30" t="n"/>
      <c r="G901" s="31">
        <f>IF($A901="","",IFERROR(ROUND(MAX(0,$B901*($D901-1)),2),0))</f>
        <v/>
      </c>
      <c r="H901" s="31">
        <f>IF($A901="","",IFERROR(ROUND($G901*INDEX(tblKurallar[deger_2025],MATCH("AYD-002",tblKurallar[kural_id],0)),2),0))</f>
        <v/>
      </c>
      <c r="I901" s="31">
        <f>IF($A901="","",IFERROR($G901-$G901*INDEX(tblKurallar[deger_2025],MATCH("AYD-004",tblKurallar[kural_id],0)),0))</f>
        <v/>
      </c>
    </row>
    <row r="902">
      <c r="A902" s="30" t="n"/>
      <c r="B902" s="30" t="n"/>
      <c r="C902" s="30" t="n"/>
      <c r="D902" s="30" t="n"/>
      <c r="E902" s="30" t="n"/>
      <c r="F902" s="30" t="n"/>
      <c r="G902" s="31">
        <f>IF($A902="","",IFERROR(ROUND(MAX(0,$B902*($D902-1)),2),0))</f>
        <v/>
      </c>
      <c r="H902" s="31">
        <f>IF($A902="","",IFERROR(ROUND($G902*INDEX(tblKurallar[deger_2025],MATCH("AYD-002",tblKurallar[kural_id],0)),2),0))</f>
        <v/>
      </c>
      <c r="I902" s="31">
        <f>IF($A902="","",IFERROR($G902-$G902*INDEX(tblKurallar[deger_2025],MATCH("AYD-004",tblKurallar[kural_id],0)),0))</f>
        <v/>
      </c>
    </row>
    <row r="903">
      <c r="A903" s="30" t="n"/>
      <c r="B903" s="30" t="n"/>
      <c r="C903" s="30" t="n"/>
      <c r="D903" s="30" t="n"/>
      <c r="E903" s="30" t="n"/>
      <c r="F903" s="30" t="n"/>
      <c r="G903" s="31">
        <f>IF($A903="","",IFERROR(ROUND(MAX(0,$B903*($D903-1)),2),0))</f>
        <v/>
      </c>
      <c r="H903" s="31">
        <f>IF($A903="","",IFERROR(ROUND($G903*INDEX(tblKurallar[deger_2025],MATCH("AYD-002",tblKurallar[kural_id],0)),2),0))</f>
        <v/>
      </c>
      <c r="I903" s="31">
        <f>IF($A903="","",IFERROR($G903-$G903*INDEX(tblKurallar[deger_2025],MATCH("AYD-004",tblKurallar[kural_id],0)),0))</f>
        <v/>
      </c>
    </row>
    <row r="904">
      <c r="A904" s="30" t="n"/>
      <c r="B904" s="30" t="n"/>
      <c r="C904" s="30" t="n"/>
      <c r="D904" s="30" t="n"/>
      <c r="E904" s="30" t="n"/>
      <c r="F904" s="30" t="n"/>
      <c r="G904" s="31">
        <f>IF($A904="","",IFERROR(ROUND(MAX(0,$B904*($D904-1)),2),0))</f>
        <v/>
      </c>
      <c r="H904" s="31">
        <f>IF($A904="","",IFERROR(ROUND($G904*INDEX(tblKurallar[deger_2025],MATCH("AYD-002",tblKurallar[kural_id],0)),2),0))</f>
        <v/>
      </c>
      <c r="I904" s="31">
        <f>IF($A904="","",IFERROR($G904-$G904*INDEX(tblKurallar[deger_2025],MATCH("AYD-004",tblKurallar[kural_id],0)),0))</f>
        <v/>
      </c>
    </row>
    <row r="905">
      <c r="A905" s="30" t="n"/>
      <c r="B905" s="30" t="n"/>
      <c r="C905" s="30" t="n"/>
      <c r="D905" s="30" t="n"/>
      <c r="E905" s="30" t="n"/>
      <c r="F905" s="30" t="n"/>
      <c r="G905" s="31">
        <f>IF($A905="","",IFERROR(ROUND(MAX(0,$B905*($D905-1)),2),0))</f>
        <v/>
      </c>
      <c r="H905" s="31">
        <f>IF($A905="","",IFERROR(ROUND($G905*INDEX(tblKurallar[deger_2025],MATCH("AYD-002",tblKurallar[kural_id],0)),2),0))</f>
        <v/>
      </c>
      <c r="I905" s="31">
        <f>IF($A905="","",IFERROR($G905-$G905*INDEX(tblKurallar[deger_2025],MATCH("AYD-004",tblKurallar[kural_id],0)),0))</f>
        <v/>
      </c>
    </row>
    <row r="906">
      <c r="A906" s="30" t="n"/>
      <c r="B906" s="30" t="n"/>
      <c r="C906" s="30" t="n"/>
      <c r="D906" s="30" t="n"/>
      <c r="E906" s="30" t="n"/>
      <c r="F906" s="30" t="n"/>
      <c r="G906" s="31">
        <f>IF($A906="","",IFERROR(ROUND(MAX(0,$B906*($D906-1)),2),0))</f>
        <v/>
      </c>
      <c r="H906" s="31">
        <f>IF($A906="","",IFERROR(ROUND($G906*INDEX(tblKurallar[deger_2025],MATCH("AYD-002",tblKurallar[kural_id],0)),2),0))</f>
        <v/>
      </c>
      <c r="I906" s="31">
        <f>IF($A906="","",IFERROR($G906-$G906*INDEX(tblKurallar[deger_2025],MATCH("AYD-004",tblKurallar[kural_id],0)),0))</f>
        <v/>
      </c>
    </row>
    <row r="907">
      <c r="A907" s="30" t="n"/>
      <c r="B907" s="30" t="n"/>
      <c r="C907" s="30" t="n"/>
      <c r="D907" s="30" t="n"/>
      <c r="E907" s="30" t="n"/>
      <c r="F907" s="30" t="n"/>
      <c r="G907" s="31">
        <f>IF($A907="","",IFERROR(ROUND(MAX(0,$B907*($D907-1)),2),0))</f>
        <v/>
      </c>
      <c r="H907" s="31">
        <f>IF($A907="","",IFERROR(ROUND($G907*INDEX(tblKurallar[deger_2025],MATCH("AYD-002",tblKurallar[kural_id],0)),2),0))</f>
        <v/>
      </c>
      <c r="I907" s="31">
        <f>IF($A907="","",IFERROR($G907-$G907*INDEX(tblKurallar[deger_2025],MATCH("AYD-004",tblKurallar[kural_id],0)),0))</f>
        <v/>
      </c>
    </row>
    <row r="908">
      <c r="A908" s="30" t="n"/>
      <c r="B908" s="30" t="n"/>
      <c r="C908" s="30" t="n"/>
      <c r="D908" s="30" t="n"/>
      <c r="E908" s="30" t="n"/>
      <c r="F908" s="30" t="n"/>
      <c r="G908" s="31">
        <f>IF($A908="","",IFERROR(ROUND(MAX(0,$B908*($D908-1)),2),0))</f>
        <v/>
      </c>
      <c r="H908" s="31">
        <f>IF($A908="","",IFERROR(ROUND($G908*INDEX(tblKurallar[deger_2025],MATCH("AYD-002",tblKurallar[kural_id],0)),2),0))</f>
        <v/>
      </c>
      <c r="I908" s="31">
        <f>IF($A908="","",IFERROR($G908-$G908*INDEX(tblKurallar[deger_2025],MATCH("AYD-004",tblKurallar[kural_id],0)),0))</f>
        <v/>
      </c>
    </row>
    <row r="909">
      <c r="A909" s="30" t="n"/>
      <c r="B909" s="30" t="n"/>
      <c r="C909" s="30" t="n"/>
      <c r="D909" s="30" t="n"/>
      <c r="E909" s="30" t="n"/>
      <c r="F909" s="30" t="n"/>
      <c r="G909" s="31">
        <f>IF($A909="","",IFERROR(ROUND(MAX(0,$B909*($D909-1)),2),0))</f>
        <v/>
      </c>
      <c r="H909" s="31">
        <f>IF($A909="","",IFERROR(ROUND($G909*INDEX(tblKurallar[deger_2025],MATCH("AYD-002",tblKurallar[kural_id],0)),2),0))</f>
        <v/>
      </c>
      <c r="I909" s="31">
        <f>IF($A909="","",IFERROR($G909-$G909*INDEX(tblKurallar[deger_2025],MATCH("AYD-004",tblKurallar[kural_id],0)),0))</f>
        <v/>
      </c>
    </row>
    <row r="910">
      <c r="A910" s="30" t="n"/>
      <c r="B910" s="30" t="n"/>
      <c r="C910" s="30" t="n"/>
      <c r="D910" s="30" t="n"/>
      <c r="E910" s="30" t="n"/>
      <c r="F910" s="30" t="n"/>
      <c r="G910" s="31">
        <f>IF($A910="","",IFERROR(ROUND(MAX(0,$B910*($D910-1)),2),0))</f>
        <v/>
      </c>
      <c r="H910" s="31">
        <f>IF($A910="","",IFERROR(ROUND($G910*INDEX(tblKurallar[deger_2025],MATCH("AYD-002",tblKurallar[kural_id],0)),2),0))</f>
        <v/>
      </c>
      <c r="I910" s="31">
        <f>IF($A910="","",IFERROR($G910-$G910*INDEX(tblKurallar[deger_2025],MATCH("AYD-004",tblKurallar[kural_id],0)),0))</f>
        <v/>
      </c>
    </row>
    <row r="911">
      <c r="A911" s="30" t="n"/>
      <c r="B911" s="30" t="n"/>
      <c r="C911" s="30" t="n"/>
      <c r="D911" s="30" t="n"/>
      <c r="E911" s="30" t="n"/>
      <c r="F911" s="30" t="n"/>
      <c r="G911" s="31">
        <f>IF($A911="","",IFERROR(ROUND(MAX(0,$B911*($D911-1)),2),0))</f>
        <v/>
      </c>
      <c r="H911" s="31">
        <f>IF($A911="","",IFERROR(ROUND($G911*INDEX(tblKurallar[deger_2025],MATCH("AYD-002",tblKurallar[kural_id],0)),2),0))</f>
        <v/>
      </c>
      <c r="I911" s="31">
        <f>IF($A911="","",IFERROR($G911-$G911*INDEX(tblKurallar[deger_2025],MATCH("AYD-004",tblKurallar[kural_id],0)),0))</f>
        <v/>
      </c>
    </row>
    <row r="912">
      <c r="A912" s="30" t="n"/>
      <c r="B912" s="30" t="n"/>
      <c r="C912" s="30" t="n"/>
      <c r="D912" s="30" t="n"/>
      <c r="E912" s="30" t="n"/>
      <c r="F912" s="30" t="n"/>
      <c r="G912" s="31">
        <f>IF($A912="","",IFERROR(ROUND(MAX(0,$B912*($D912-1)),2),0))</f>
        <v/>
      </c>
      <c r="H912" s="31">
        <f>IF($A912="","",IFERROR(ROUND($G912*INDEX(tblKurallar[deger_2025],MATCH("AYD-002",tblKurallar[kural_id],0)),2),0))</f>
        <v/>
      </c>
      <c r="I912" s="31">
        <f>IF($A912="","",IFERROR($G912-$G912*INDEX(tblKurallar[deger_2025],MATCH("AYD-004",tblKurallar[kural_id],0)),0))</f>
        <v/>
      </c>
    </row>
    <row r="913">
      <c r="A913" s="30" t="n"/>
      <c r="B913" s="30" t="n"/>
      <c r="C913" s="30" t="n"/>
      <c r="D913" s="30" t="n"/>
      <c r="E913" s="30" t="n"/>
      <c r="F913" s="30" t="n"/>
      <c r="G913" s="31">
        <f>IF($A913="","",IFERROR(ROUND(MAX(0,$B913*($D913-1)),2),0))</f>
        <v/>
      </c>
      <c r="H913" s="31">
        <f>IF($A913="","",IFERROR(ROUND($G913*INDEX(tblKurallar[deger_2025],MATCH("AYD-002",tblKurallar[kural_id],0)),2),0))</f>
        <v/>
      </c>
      <c r="I913" s="31">
        <f>IF($A913="","",IFERROR($G913-$G913*INDEX(tblKurallar[deger_2025],MATCH("AYD-004",tblKurallar[kural_id],0)),0))</f>
        <v/>
      </c>
    </row>
    <row r="914">
      <c r="A914" s="30" t="n"/>
      <c r="B914" s="30" t="n"/>
      <c r="C914" s="30" t="n"/>
      <c r="D914" s="30" t="n"/>
      <c r="E914" s="30" t="n"/>
      <c r="F914" s="30" t="n"/>
      <c r="G914" s="31">
        <f>IF($A914="","",IFERROR(ROUND(MAX(0,$B914*($D914-1)),2),0))</f>
        <v/>
      </c>
      <c r="H914" s="31">
        <f>IF($A914="","",IFERROR(ROUND($G914*INDEX(tblKurallar[deger_2025],MATCH("AYD-002",tblKurallar[kural_id],0)),2),0))</f>
        <v/>
      </c>
      <c r="I914" s="31">
        <f>IF($A914="","",IFERROR($G914-$G914*INDEX(tblKurallar[deger_2025],MATCH("AYD-004",tblKurallar[kural_id],0)),0))</f>
        <v/>
      </c>
    </row>
    <row r="915">
      <c r="A915" s="30" t="n"/>
      <c r="B915" s="30" t="n"/>
      <c r="C915" s="30" t="n"/>
      <c r="D915" s="30" t="n"/>
      <c r="E915" s="30" t="n"/>
      <c r="F915" s="30" t="n"/>
      <c r="G915" s="31">
        <f>IF($A915="","",IFERROR(ROUND(MAX(0,$B915*($D915-1)),2),0))</f>
        <v/>
      </c>
      <c r="H915" s="31">
        <f>IF($A915="","",IFERROR(ROUND($G915*INDEX(tblKurallar[deger_2025],MATCH("AYD-002",tblKurallar[kural_id],0)),2),0))</f>
        <v/>
      </c>
      <c r="I915" s="31">
        <f>IF($A915="","",IFERROR($G915-$G915*INDEX(tblKurallar[deger_2025],MATCH("AYD-004",tblKurallar[kural_id],0)),0))</f>
        <v/>
      </c>
    </row>
    <row r="916">
      <c r="A916" s="30" t="n"/>
      <c r="B916" s="30" t="n"/>
      <c r="C916" s="30" t="n"/>
      <c r="D916" s="30" t="n"/>
      <c r="E916" s="30" t="n"/>
      <c r="F916" s="30" t="n"/>
      <c r="G916" s="31">
        <f>IF($A916="","",IFERROR(ROUND(MAX(0,$B916*($D916-1)),2),0))</f>
        <v/>
      </c>
      <c r="H916" s="31">
        <f>IF($A916="","",IFERROR(ROUND($G916*INDEX(tblKurallar[deger_2025],MATCH("AYD-002",tblKurallar[kural_id],0)),2),0))</f>
        <v/>
      </c>
      <c r="I916" s="31">
        <f>IF($A916="","",IFERROR($G916-$G916*INDEX(tblKurallar[deger_2025],MATCH("AYD-004",tblKurallar[kural_id],0)),0))</f>
        <v/>
      </c>
    </row>
    <row r="917">
      <c r="A917" s="30" t="n"/>
      <c r="B917" s="30" t="n"/>
      <c r="C917" s="30" t="n"/>
      <c r="D917" s="30" t="n"/>
      <c r="E917" s="30" t="n"/>
      <c r="F917" s="30" t="n"/>
      <c r="G917" s="31">
        <f>IF($A917="","",IFERROR(ROUND(MAX(0,$B917*($D917-1)),2),0))</f>
        <v/>
      </c>
      <c r="H917" s="31">
        <f>IF($A917="","",IFERROR(ROUND($G917*INDEX(tblKurallar[deger_2025],MATCH("AYD-002",tblKurallar[kural_id],0)),2),0))</f>
        <v/>
      </c>
      <c r="I917" s="31">
        <f>IF($A917="","",IFERROR($G917-$G917*INDEX(tblKurallar[deger_2025],MATCH("AYD-004",tblKurallar[kural_id],0)),0))</f>
        <v/>
      </c>
    </row>
    <row r="918">
      <c r="A918" s="30" t="n"/>
      <c r="B918" s="30" t="n"/>
      <c r="C918" s="30" t="n"/>
      <c r="D918" s="30" t="n"/>
      <c r="E918" s="30" t="n"/>
      <c r="F918" s="30" t="n"/>
      <c r="G918" s="31">
        <f>IF($A918="","",IFERROR(ROUND(MAX(0,$B918*($D918-1)),2),0))</f>
        <v/>
      </c>
      <c r="H918" s="31">
        <f>IF($A918="","",IFERROR(ROUND($G918*INDEX(tblKurallar[deger_2025],MATCH("AYD-002",tblKurallar[kural_id],0)),2),0))</f>
        <v/>
      </c>
      <c r="I918" s="31">
        <f>IF($A918="","",IFERROR($G918-$G918*INDEX(tblKurallar[deger_2025],MATCH("AYD-004",tblKurallar[kural_id],0)),0))</f>
        <v/>
      </c>
    </row>
    <row r="919">
      <c r="A919" s="30" t="n"/>
      <c r="B919" s="30" t="n"/>
      <c r="C919" s="30" t="n"/>
      <c r="D919" s="30" t="n"/>
      <c r="E919" s="30" t="n"/>
      <c r="F919" s="30" t="n"/>
      <c r="G919" s="31">
        <f>IF($A919="","",IFERROR(ROUND(MAX(0,$B919*($D919-1)),2),0))</f>
        <v/>
      </c>
      <c r="H919" s="31">
        <f>IF($A919="","",IFERROR(ROUND($G919*INDEX(tblKurallar[deger_2025],MATCH("AYD-002",tblKurallar[kural_id],0)),2),0))</f>
        <v/>
      </c>
      <c r="I919" s="31">
        <f>IF($A919="","",IFERROR($G919-$G919*INDEX(tblKurallar[deger_2025],MATCH("AYD-004",tblKurallar[kural_id],0)),0))</f>
        <v/>
      </c>
    </row>
    <row r="920">
      <c r="A920" s="30" t="n"/>
      <c r="B920" s="30" t="n"/>
      <c r="C920" s="30" t="n"/>
      <c r="D920" s="30" t="n"/>
      <c r="E920" s="30" t="n"/>
      <c r="F920" s="30" t="n"/>
      <c r="G920" s="31">
        <f>IF($A920="","",IFERROR(ROUND(MAX(0,$B920*($D920-1)),2),0))</f>
        <v/>
      </c>
      <c r="H920" s="31">
        <f>IF($A920="","",IFERROR(ROUND($G920*INDEX(tblKurallar[deger_2025],MATCH("AYD-002",tblKurallar[kural_id],0)),2),0))</f>
        <v/>
      </c>
      <c r="I920" s="31">
        <f>IF($A920="","",IFERROR($G920-$G920*INDEX(tblKurallar[deger_2025],MATCH("AYD-004",tblKurallar[kural_id],0)),0))</f>
        <v/>
      </c>
    </row>
    <row r="921">
      <c r="A921" s="30" t="n"/>
      <c r="B921" s="30" t="n"/>
      <c r="C921" s="30" t="n"/>
      <c r="D921" s="30" t="n"/>
      <c r="E921" s="30" t="n"/>
      <c r="F921" s="30" t="n"/>
      <c r="G921" s="31">
        <f>IF($A921="","",IFERROR(ROUND(MAX(0,$B921*($D921-1)),2),0))</f>
        <v/>
      </c>
      <c r="H921" s="31">
        <f>IF($A921="","",IFERROR(ROUND($G921*INDEX(tblKurallar[deger_2025],MATCH("AYD-002",tblKurallar[kural_id],0)),2),0))</f>
        <v/>
      </c>
      <c r="I921" s="31">
        <f>IF($A921="","",IFERROR($G921-$G921*INDEX(tblKurallar[deger_2025],MATCH("AYD-004",tblKurallar[kural_id],0)),0))</f>
        <v/>
      </c>
    </row>
    <row r="922">
      <c r="A922" s="30" t="n"/>
      <c r="B922" s="30" t="n"/>
      <c r="C922" s="30" t="n"/>
      <c r="D922" s="30" t="n"/>
      <c r="E922" s="30" t="n"/>
      <c r="F922" s="30" t="n"/>
      <c r="G922" s="31">
        <f>IF($A922="","",IFERROR(ROUND(MAX(0,$B922*($D922-1)),2),0))</f>
        <v/>
      </c>
      <c r="H922" s="31">
        <f>IF($A922="","",IFERROR(ROUND($G922*INDEX(tblKurallar[deger_2025],MATCH("AYD-002",tblKurallar[kural_id],0)),2),0))</f>
        <v/>
      </c>
      <c r="I922" s="31">
        <f>IF($A922="","",IFERROR($G922-$G922*INDEX(tblKurallar[deger_2025],MATCH("AYD-004",tblKurallar[kural_id],0)),0))</f>
        <v/>
      </c>
    </row>
    <row r="923">
      <c r="A923" s="30" t="n"/>
      <c r="B923" s="30" t="n"/>
      <c r="C923" s="30" t="n"/>
      <c r="D923" s="30" t="n"/>
      <c r="E923" s="30" t="n"/>
      <c r="F923" s="30" t="n"/>
      <c r="G923" s="31">
        <f>IF($A923="","",IFERROR(ROUND(MAX(0,$B923*($D923-1)),2),0))</f>
        <v/>
      </c>
      <c r="H923" s="31">
        <f>IF($A923="","",IFERROR(ROUND($G923*INDEX(tblKurallar[deger_2025],MATCH("AYD-002",tblKurallar[kural_id],0)),2),0))</f>
        <v/>
      </c>
      <c r="I923" s="31">
        <f>IF($A923="","",IFERROR($G923-$G923*INDEX(tblKurallar[deger_2025],MATCH("AYD-004",tblKurallar[kural_id],0)),0))</f>
        <v/>
      </c>
    </row>
    <row r="924">
      <c r="A924" s="30" t="n"/>
      <c r="B924" s="30" t="n"/>
      <c r="C924" s="30" t="n"/>
      <c r="D924" s="30" t="n"/>
      <c r="E924" s="30" t="n"/>
      <c r="F924" s="30" t="n"/>
      <c r="G924" s="31">
        <f>IF($A924="","",IFERROR(ROUND(MAX(0,$B924*($D924-1)),2),0))</f>
        <v/>
      </c>
      <c r="H924" s="31">
        <f>IF($A924="","",IFERROR(ROUND($G924*INDEX(tblKurallar[deger_2025],MATCH("AYD-002",tblKurallar[kural_id],0)),2),0))</f>
        <v/>
      </c>
      <c r="I924" s="31">
        <f>IF($A924="","",IFERROR($G924-$G924*INDEX(tblKurallar[deger_2025],MATCH("AYD-004",tblKurallar[kural_id],0)),0))</f>
        <v/>
      </c>
    </row>
    <row r="925">
      <c r="A925" s="30" t="n"/>
      <c r="B925" s="30" t="n"/>
      <c r="C925" s="30" t="n"/>
      <c r="D925" s="30" t="n"/>
      <c r="E925" s="30" t="n"/>
      <c r="F925" s="30" t="n"/>
      <c r="G925" s="31">
        <f>IF($A925="","",IFERROR(ROUND(MAX(0,$B925*($D925-1)),2),0))</f>
        <v/>
      </c>
      <c r="H925" s="31">
        <f>IF($A925="","",IFERROR(ROUND($G925*INDEX(tblKurallar[deger_2025],MATCH("AYD-002",tblKurallar[kural_id],0)),2),0))</f>
        <v/>
      </c>
      <c r="I925" s="31">
        <f>IF($A925="","",IFERROR($G925-$G925*INDEX(tblKurallar[deger_2025],MATCH("AYD-004",tblKurallar[kural_id],0)),0))</f>
        <v/>
      </c>
    </row>
    <row r="926">
      <c r="A926" s="30" t="n"/>
      <c r="B926" s="30" t="n"/>
      <c r="C926" s="30" t="n"/>
      <c r="D926" s="30" t="n"/>
      <c r="E926" s="30" t="n"/>
      <c r="F926" s="30" t="n"/>
      <c r="G926" s="31">
        <f>IF($A926="","",IFERROR(ROUND(MAX(0,$B926*($D926-1)),2),0))</f>
        <v/>
      </c>
      <c r="H926" s="31">
        <f>IF($A926="","",IFERROR(ROUND($G926*INDEX(tblKurallar[deger_2025],MATCH("AYD-002",tblKurallar[kural_id],0)),2),0))</f>
        <v/>
      </c>
      <c r="I926" s="31">
        <f>IF($A926="","",IFERROR($G926-$G926*INDEX(tblKurallar[deger_2025],MATCH("AYD-004",tblKurallar[kural_id],0)),0))</f>
        <v/>
      </c>
    </row>
    <row r="927">
      <c r="A927" s="30" t="n"/>
      <c r="B927" s="30" t="n"/>
      <c r="C927" s="30" t="n"/>
      <c r="D927" s="30" t="n"/>
      <c r="E927" s="30" t="n"/>
      <c r="F927" s="30" t="n"/>
      <c r="G927" s="31">
        <f>IF($A927="","",IFERROR(ROUND(MAX(0,$B927*($D927-1)),2),0))</f>
        <v/>
      </c>
      <c r="H927" s="31">
        <f>IF($A927="","",IFERROR(ROUND($G927*INDEX(tblKurallar[deger_2025],MATCH("AYD-002",tblKurallar[kural_id],0)),2),0))</f>
        <v/>
      </c>
      <c r="I927" s="31">
        <f>IF($A927="","",IFERROR($G927-$G927*INDEX(tblKurallar[deger_2025],MATCH("AYD-004",tblKurallar[kural_id],0)),0))</f>
        <v/>
      </c>
    </row>
    <row r="928">
      <c r="A928" s="30" t="n"/>
      <c r="B928" s="30" t="n"/>
      <c r="C928" s="30" t="n"/>
      <c r="D928" s="30" t="n"/>
      <c r="E928" s="30" t="n"/>
      <c r="F928" s="30" t="n"/>
      <c r="G928" s="31">
        <f>IF($A928="","",IFERROR(ROUND(MAX(0,$B928*($D928-1)),2),0))</f>
        <v/>
      </c>
      <c r="H928" s="31">
        <f>IF($A928="","",IFERROR(ROUND($G928*INDEX(tblKurallar[deger_2025],MATCH("AYD-002",tblKurallar[kural_id],0)),2),0))</f>
        <v/>
      </c>
      <c r="I928" s="31">
        <f>IF($A928="","",IFERROR($G928-$G928*INDEX(tblKurallar[deger_2025],MATCH("AYD-004",tblKurallar[kural_id],0)),0))</f>
        <v/>
      </c>
    </row>
    <row r="929">
      <c r="A929" s="30" t="n"/>
      <c r="B929" s="30" t="n"/>
      <c r="C929" s="30" t="n"/>
      <c r="D929" s="30" t="n"/>
      <c r="E929" s="30" t="n"/>
      <c r="F929" s="30" t="n"/>
      <c r="G929" s="31">
        <f>IF($A929="","",IFERROR(ROUND(MAX(0,$B929*($D929-1)),2),0))</f>
        <v/>
      </c>
      <c r="H929" s="31">
        <f>IF($A929="","",IFERROR(ROUND($G929*INDEX(tblKurallar[deger_2025],MATCH("AYD-002",tblKurallar[kural_id],0)),2),0))</f>
        <v/>
      </c>
      <c r="I929" s="31">
        <f>IF($A929="","",IFERROR($G929-$G929*INDEX(tblKurallar[deger_2025],MATCH("AYD-004",tblKurallar[kural_id],0)),0))</f>
        <v/>
      </c>
    </row>
    <row r="930">
      <c r="A930" s="30" t="n"/>
      <c r="B930" s="30" t="n"/>
      <c r="C930" s="30" t="n"/>
      <c r="D930" s="30" t="n"/>
      <c r="E930" s="30" t="n"/>
      <c r="F930" s="30" t="n"/>
      <c r="G930" s="31">
        <f>IF($A930="","",IFERROR(ROUND(MAX(0,$B930*($D930-1)),2),0))</f>
        <v/>
      </c>
      <c r="H930" s="31">
        <f>IF($A930="","",IFERROR(ROUND($G930*INDEX(tblKurallar[deger_2025],MATCH("AYD-002",tblKurallar[kural_id],0)),2),0))</f>
        <v/>
      </c>
      <c r="I930" s="31">
        <f>IF($A930="","",IFERROR($G930-$G930*INDEX(tblKurallar[deger_2025],MATCH("AYD-004",tblKurallar[kural_id],0)),0))</f>
        <v/>
      </c>
    </row>
    <row r="931">
      <c r="A931" s="30" t="n"/>
      <c r="B931" s="30" t="n"/>
      <c r="C931" s="30" t="n"/>
      <c r="D931" s="30" t="n"/>
      <c r="E931" s="30" t="n"/>
      <c r="F931" s="30" t="n"/>
      <c r="G931" s="31">
        <f>IF($A931="","",IFERROR(ROUND(MAX(0,$B931*($D931-1)),2),0))</f>
        <v/>
      </c>
      <c r="H931" s="31">
        <f>IF($A931="","",IFERROR(ROUND($G931*INDEX(tblKurallar[deger_2025],MATCH("AYD-002",tblKurallar[kural_id],0)),2),0))</f>
        <v/>
      </c>
      <c r="I931" s="31">
        <f>IF($A931="","",IFERROR($G931-$G931*INDEX(tblKurallar[deger_2025],MATCH("AYD-004",tblKurallar[kural_id],0)),0))</f>
        <v/>
      </c>
    </row>
    <row r="932">
      <c r="A932" s="30" t="n"/>
      <c r="B932" s="30" t="n"/>
      <c r="C932" s="30" t="n"/>
      <c r="D932" s="30" t="n"/>
      <c r="E932" s="30" t="n"/>
      <c r="F932" s="30" t="n"/>
      <c r="G932" s="31">
        <f>IF($A932="","",IFERROR(ROUND(MAX(0,$B932*($D932-1)),2),0))</f>
        <v/>
      </c>
      <c r="H932" s="31">
        <f>IF($A932="","",IFERROR(ROUND($G932*INDEX(tblKurallar[deger_2025],MATCH("AYD-002",tblKurallar[kural_id],0)),2),0))</f>
        <v/>
      </c>
      <c r="I932" s="31">
        <f>IF($A932="","",IFERROR($G932-$G932*INDEX(tblKurallar[deger_2025],MATCH("AYD-004",tblKurallar[kural_id],0)),0))</f>
        <v/>
      </c>
    </row>
    <row r="933">
      <c r="A933" s="30" t="n"/>
      <c r="B933" s="30" t="n"/>
      <c r="C933" s="30" t="n"/>
      <c r="D933" s="30" t="n"/>
      <c r="E933" s="30" t="n"/>
      <c r="F933" s="30" t="n"/>
      <c r="G933" s="31">
        <f>IF($A933="","",IFERROR(ROUND(MAX(0,$B933*($D933-1)),2),0))</f>
        <v/>
      </c>
      <c r="H933" s="31">
        <f>IF($A933="","",IFERROR(ROUND($G933*INDEX(tblKurallar[deger_2025],MATCH("AYD-002",tblKurallar[kural_id],0)),2),0))</f>
        <v/>
      </c>
      <c r="I933" s="31">
        <f>IF($A933="","",IFERROR($G933-$G933*INDEX(tblKurallar[deger_2025],MATCH("AYD-004",tblKurallar[kural_id],0)),0))</f>
        <v/>
      </c>
    </row>
    <row r="934">
      <c r="A934" s="30" t="n"/>
      <c r="B934" s="30" t="n"/>
      <c r="C934" s="30" t="n"/>
      <c r="D934" s="30" t="n"/>
      <c r="E934" s="30" t="n"/>
      <c r="F934" s="30" t="n"/>
      <c r="G934" s="31">
        <f>IF($A934="","",IFERROR(ROUND(MAX(0,$B934*($D934-1)),2),0))</f>
        <v/>
      </c>
      <c r="H934" s="31">
        <f>IF($A934="","",IFERROR(ROUND($G934*INDEX(tblKurallar[deger_2025],MATCH("AYD-002",tblKurallar[kural_id],0)),2),0))</f>
        <v/>
      </c>
      <c r="I934" s="31">
        <f>IF($A934="","",IFERROR($G934-$G934*INDEX(tblKurallar[deger_2025],MATCH("AYD-004",tblKurallar[kural_id],0)),0))</f>
        <v/>
      </c>
    </row>
    <row r="935">
      <c r="A935" s="30" t="n"/>
      <c r="B935" s="30" t="n"/>
      <c r="C935" s="30" t="n"/>
      <c r="D935" s="30" t="n"/>
      <c r="E935" s="30" t="n"/>
      <c r="F935" s="30" t="n"/>
      <c r="G935" s="31">
        <f>IF($A935="","",IFERROR(ROUND(MAX(0,$B935*($D935-1)),2),0))</f>
        <v/>
      </c>
      <c r="H935" s="31">
        <f>IF($A935="","",IFERROR(ROUND($G935*INDEX(tblKurallar[deger_2025],MATCH("AYD-002",tblKurallar[kural_id],0)),2),0))</f>
        <v/>
      </c>
      <c r="I935" s="31">
        <f>IF($A935="","",IFERROR($G935-$G935*INDEX(tblKurallar[deger_2025],MATCH("AYD-004",tblKurallar[kural_id],0)),0))</f>
        <v/>
      </c>
    </row>
    <row r="936">
      <c r="A936" s="30" t="n"/>
      <c r="B936" s="30" t="n"/>
      <c r="C936" s="30" t="n"/>
      <c r="D936" s="30" t="n"/>
      <c r="E936" s="30" t="n"/>
      <c r="F936" s="30" t="n"/>
      <c r="G936" s="31">
        <f>IF($A936="","",IFERROR(ROUND(MAX(0,$B936*($D936-1)),2),0))</f>
        <v/>
      </c>
      <c r="H936" s="31">
        <f>IF($A936="","",IFERROR(ROUND($G936*INDEX(tblKurallar[deger_2025],MATCH("AYD-002",tblKurallar[kural_id],0)),2),0))</f>
        <v/>
      </c>
      <c r="I936" s="31">
        <f>IF($A936="","",IFERROR($G936-$G936*INDEX(tblKurallar[deger_2025],MATCH("AYD-004",tblKurallar[kural_id],0)),0))</f>
        <v/>
      </c>
    </row>
    <row r="937">
      <c r="A937" s="30" t="n"/>
      <c r="B937" s="30" t="n"/>
      <c r="C937" s="30" t="n"/>
      <c r="D937" s="30" t="n"/>
      <c r="E937" s="30" t="n"/>
      <c r="F937" s="30" t="n"/>
      <c r="G937" s="31">
        <f>IF($A937="","",IFERROR(ROUND(MAX(0,$B937*($D937-1)),2),0))</f>
        <v/>
      </c>
      <c r="H937" s="31">
        <f>IF($A937="","",IFERROR(ROUND($G937*INDEX(tblKurallar[deger_2025],MATCH("AYD-002",tblKurallar[kural_id],0)),2),0))</f>
        <v/>
      </c>
      <c r="I937" s="31">
        <f>IF($A937="","",IFERROR($G937-$G937*INDEX(tblKurallar[deger_2025],MATCH("AYD-004",tblKurallar[kural_id],0)),0))</f>
        <v/>
      </c>
    </row>
    <row r="938">
      <c r="A938" s="30" t="n"/>
      <c r="B938" s="30" t="n"/>
      <c r="C938" s="30" t="n"/>
      <c r="D938" s="30" t="n"/>
      <c r="E938" s="30" t="n"/>
      <c r="F938" s="30" t="n"/>
      <c r="G938" s="31">
        <f>IF($A938="","",IFERROR(ROUND(MAX(0,$B938*($D938-1)),2),0))</f>
        <v/>
      </c>
      <c r="H938" s="31">
        <f>IF($A938="","",IFERROR(ROUND($G938*INDEX(tblKurallar[deger_2025],MATCH("AYD-002",tblKurallar[kural_id],0)),2),0))</f>
        <v/>
      </c>
      <c r="I938" s="31">
        <f>IF($A938="","",IFERROR($G938-$G938*INDEX(tblKurallar[deger_2025],MATCH("AYD-004",tblKurallar[kural_id],0)),0))</f>
        <v/>
      </c>
    </row>
    <row r="939">
      <c r="A939" s="30" t="n"/>
      <c r="B939" s="30" t="n"/>
      <c r="C939" s="30" t="n"/>
      <c r="D939" s="30" t="n"/>
      <c r="E939" s="30" t="n"/>
      <c r="F939" s="30" t="n"/>
      <c r="G939" s="31">
        <f>IF($A939="","",IFERROR(ROUND(MAX(0,$B939*($D939-1)),2),0))</f>
        <v/>
      </c>
      <c r="H939" s="31">
        <f>IF($A939="","",IFERROR(ROUND($G939*INDEX(tblKurallar[deger_2025],MATCH("AYD-002",tblKurallar[kural_id],0)),2),0))</f>
        <v/>
      </c>
      <c r="I939" s="31">
        <f>IF($A939="","",IFERROR($G939-$G939*INDEX(tblKurallar[deger_2025],MATCH("AYD-004",tblKurallar[kural_id],0)),0))</f>
        <v/>
      </c>
    </row>
    <row r="940">
      <c r="A940" s="30" t="n"/>
      <c r="B940" s="30" t="n"/>
      <c r="C940" s="30" t="n"/>
      <c r="D940" s="30" t="n"/>
      <c r="E940" s="30" t="n"/>
      <c r="F940" s="30" t="n"/>
      <c r="G940" s="31">
        <f>IF($A940="","",IFERROR(ROUND(MAX(0,$B940*($D940-1)),2),0))</f>
        <v/>
      </c>
      <c r="H940" s="31">
        <f>IF($A940="","",IFERROR(ROUND($G940*INDEX(tblKurallar[deger_2025],MATCH("AYD-002",tblKurallar[kural_id],0)),2),0))</f>
        <v/>
      </c>
      <c r="I940" s="31">
        <f>IF($A940="","",IFERROR($G940-$G940*INDEX(tblKurallar[deger_2025],MATCH("AYD-004",tblKurallar[kural_id],0)),0))</f>
        <v/>
      </c>
    </row>
    <row r="941">
      <c r="A941" s="30" t="n"/>
      <c r="B941" s="30" t="n"/>
      <c r="C941" s="30" t="n"/>
      <c r="D941" s="30" t="n"/>
      <c r="E941" s="30" t="n"/>
      <c r="F941" s="30" t="n"/>
      <c r="G941" s="31">
        <f>IF($A941="","",IFERROR(ROUND(MAX(0,$B941*($D941-1)),2),0))</f>
        <v/>
      </c>
      <c r="H941" s="31">
        <f>IF($A941="","",IFERROR(ROUND($G941*INDEX(tblKurallar[deger_2025],MATCH("AYD-002",tblKurallar[kural_id],0)),2),0))</f>
        <v/>
      </c>
      <c r="I941" s="31">
        <f>IF($A941="","",IFERROR($G941-$G941*INDEX(tblKurallar[deger_2025],MATCH("AYD-004",tblKurallar[kural_id],0)),0))</f>
        <v/>
      </c>
    </row>
    <row r="942">
      <c r="A942" s="30" t="n"/>
      <c r="B942" s="30" t="n"/>
      <c r="C942" s="30" t="n"/>
      <c r="D942" s="30" t="n"/>
      <c r="E942" s="30" t="n"/>
      <c r="F942" s="30" t="n"/>
      <c r="G942" s="31">
        <f>IF($A942="","",IFERROR(ROUND(MAX(0,$B942*($D942-1)),2),0))</f>
        <v/>
      </c>
      <c r="H942" s="31">
        <f>IF($A942="","",IFERROR(ROUND($G942*INDEX(tblKurallar[deger_2025],MATCH("AYD-002",tblKurallar[kural_id],0)),2),0))</f>
        <v/>
      </c>
      <c r="I942" s="31">
        <f>IF($A942="","",IFERROR($G942-$G942*INDEX(tblKurallar[deger_2025],MATCH("AYD-004",tblKurallar[kural_id],0)),0))</f>
        <v/>
      </c>
    </row>
    <row r="943">
      <c r="A943" s="30" t="n"/>
      <c r="B943" s="30" t="n"/>
      <c r="C943" s="30" t="n"/>
      <c r="D943" s="30" t="n"/>
      <c r="E943" s="30" t="n"/>
      <c r="F943" s="30" t="n"/>
      <c r="G943" s="31">
        <f>IF($A943="","",IFERROR(ROUND(MAX(0,$B943*($D943-1)),2),0))</f>
        <v/>
      </c>
      <c r="H943" s="31">
        <f>IF($A943="","",IFERROR(ROUND($G943*INDEX(tblKurallar[deger_2025],MATCH("AYD-002",tblKurallar[kural_id],0)),2),0))</f>
        <v/>
      </c>
      <c r="I943" s="31">
        <f>IF($A943="","",IFERROR($G943-$G943*INDEX(tblKurallar[deger_2025],MATCH("AYD-004",tblKurallar[kural_id],0)),0))</f>
        <v/>
      </c>
    </row>
    <row r="944">
      <c r="A944" s="30" t="n"/>
      <c r="B944" s="30" t="n"/>
      <c r="C944" s="30" t="n"/>
      <c r="D944" s="30" t="n"/>
      <c r="E944" s="30" t="n"/>
      <c r="F944" s="30" t="n"/>
      <c r="G944" s="31">
        <f>IF($A944="","",IFERROR(ROUND(MAX(0,$B944*($D944-1)),2),0))</f>
        <v/>
      </c>
      <c r="H944" s="31">
        <f>IF($A944="","",IFERROR(ROUND($G944*INDEX(tblKurallar[deger_2025],MATCH("AYD-002",tblKurallar[kural_id],0)),2),0))</f>
        <v/>
      </c>
      <c r="I944" s="31">
        <f>IF($A944="","",IFERROR($G944-$G944*INDEX(tblKurallar[deger_2025],MATCH("AYD-004",tblKurallar[kural_id],0)),0))</f>
        <v/>
      </c>
    </row>
    <row r="945">
      <c r="A945" s="30" t="n"/>
      <c r="B945" s="30" t="n"/>
      <c r="C945" s="30" t="n"/>
      <c r="D945" s="30" t="n"/>
      <c r="E945" s="30" t="n"/>
      <c r="F945" s="30" t="n"/>
      <c r="G945" s="31">
        <f>IF($A945="","",IFERROR(ROUND(MAX(0,$B945*($D945-1)),2),0))</f>
        <v/>
      </c>
      <c r="H945" s="31">
        <f>IF($A945="","",IFERROR(ROUND($G945*INDEX(tblKurallar[deger_2025],MATCH("AYD-002",tblKurallar[kural_id],0)),2),0))</f>
        <v/>
      </c>
      <c r="I945" s="31">
        <f>IF($A945="","",IFERROR($G945-$G945*INDEX(tblKurallar[deger_2025],MATCH("AYD-004",tblKurallar[kural_id],0)),0))</f>
        <v/>
      </c>
    </row>
    <row r="946">
      <c r="A946" s="30" t="n"/>
      <c r="B946" s="30" t="n"/>
      <c r="C946" s="30" t="n"/>
      <c r="D946" s="30" t="n"/>
      <c r="E946" s="30" t="n"/>
      <c r="F946" s="30" t="n"/>
      <c r="G946" s="31">
        <f>IF($A946="","",IFERROR(ROUND(MAX(0,$B946*($D946-1)),2),0))</f>
        <v/>
      </c>
      <c r="H946" s="31">
        <f>IF($A946="","",IFERROR(ROUND($G946*INDEX(tblKurallar[deger_2025],MATCH("AYD-002",tblKurallar[kural_id],0)),2),0))</f>
        <v/>
      </c>
      <c r="I946" s="31">
        <f>IF($A946="","",IFERROR($G946-$G946*INDEX(tblKurallar[deger_2025],MATCH("AYD-004",tblKurallar[kural_id],0)),0))</f>
        <v/>
      </c>
    </row>
    <row r="947">
      <c r="A947" s="30" t="n"/>
      <c r="B947" s="30" t="n"/>
      <c r="C947" s="30" t="n"/>
      <c r="D947" s="30" t="n"/>
      <c r="E947" s="30" t="n"/>
      <c r="F947" s="30" t="n"/>
      <c r="G947" s="31">
        <f>IF($A947="","",IFERROR(ROUND(MAX(0,$B947*($D947-1)),2),0))</f>
        <v/>
      </c>
      <c r="H947" s="31">
        <f>IF($A947="","",IFERROR(ROUND($G947*INDEX(tblKurallar[deger_2025],MATCH("AYD-002",tblKurallar[kural_id],0)),2),0))</f>
        <v/>
      </c>
      <c r="I947" s="31">
        <f>IF($A947="","",IFERROR($G947-$G947*INDEX(tblKurallar[deger_2025],MATCH("AYD-004",tblKurallar[kural_id],0)),0))</f>
        <v/>
      </c>
    </row>
    <row r="948">
      <c r="A948" s="30" t="n"/>
      <c r="B948" s="30" t="n"/>
      <c r="C948" s="30" t="n"/>
      <c r="D948" s="30" t="n"/>
      <c r="E948" s="30" t="n"/>
      <c r="F948" s="30" t="n"/>
      <c r="G948" s="31">
        <f>IF($A948="","",IFERROR(ROUND(MAX(0,$B948*($D948-1)),2),0))</f>
        <v/>
      </c>
      <c r="H948" s="31">
        <f>IF($A948="","",IFERROR(ROUND($G948*INDEX(tblKurallar[deger_2025],MATCH("AYD-002",tblKurallar[kural_id],0)),2),0))</f>
        <v/>
      </c>
      <c r="I948" s="31">
        <f>IF($A948="","",IFERROR($G948-$G948*INDEX(tblKurallar[deger_2025],MATCH("AYD-004",tblKurallar[kural_id],0)),0))</f>
        <v/>
      </c>
    </row>
    <row r="949">
      <c r="A949" s="30" t="n"/>
      <c r="B949" s="30" t="n"/>
      <c r="C949" s="30" t="n"/>
      <c r="D949" s="30" t="n"/>
      <c r="E949" s="30" t="n"/>
      <c r="F949" s="30" t="n"/>
      <c r="G949" s="31">
        <f>IF($A949="","",IFERROR(ROUND(MAX(0,$B949*($D949-1)),2),0))</f>
        <v/>
      </c>
      <c r="H949" s="31">
        <f>IF($A949="","",IFERROR(ROUND($G949*INDEX(tblKurallar[deger_2025],MATCH("AYD-002",tblKurallar[kural_id],0)),2),0))</f>
        <v/>
      </c>
      <c r="I949" s="31">
        <f>IF($A949="","",IFERROR($G949-$G949*INDEX(tblKurallar[deger_2025],MATCH("AYD-004",tblKurallar[kural_id],0)),0))</f>
        <v/>
      </c>
    </row>
    <row r="950">
      <c r="A950" s="30" t="n"/>
      <c r="B950" s="30" t="n"/>
      <c r="C950" s="30" t="n"/>
      <c r="D950" s="30" t="n"/>
      <c r="E950" s="30" t="n"/>
      <c r="F950" s="30" t="n"/>
      <c r="G950" s="31">
        <f>IF($A950="","",IFERROR(ROUND(MAX(0,$B950*($D950-1)),2),0))</f>
        <v/>
      </c>
      <c r="H950" s="31">
        <f>IF($A950="","",IFERROR(ROUND($G950*INDEX(tblKurallar[deger_2025],MATCH("AYD-002",tblKurallar[kural_id],0)),2),0))</f>
        <v/>
      </c>
      <c r="I950" s="31">
        <f>IF($A950="","",IFERROR($G950-$G950*INDEX(tblKurallar[deger_2025],MATCH("AYD-004",tblKurallar[kural_id],0)),0))</f>
        <v/>
      </c>
    </row>
    <row r="951">
      <c r="A951" s="30" t="n"/>
      <c r="B951" s="30" t="n"/>
      <c r="C951" s="30" t="n"/>
      <c r="D951" s="30" t="n"/>
      <c r="E951" s="30" t="n"/>
      <c r="F951" s="30" t="n"/>
      <c r="G951" s="31">
        <f>IF($A951="","",IFERROR(ROUND(MAX(0,$B951*($D951-1)),2),0))</f>
        <v/>
      </c>
      <c r="H951" s="31">
        <f>IF($A951="","",IFERROR(ROUND($G951*INDEX(tblKurallar[deger_2025],MATCH("AYD-002",tblKurallar[kural_id],0)),2),0))</f>
        <v/>
      </c>
      <c r="I951" s="31">
        <f>IF($A951="","",IFERROR($G951-$G951*INDEX(tblKurallar[deger_2025],MATCH("AYD-004",tblKurallar[kural_id],0)),0))</f>
        <v/>
      </c>
    </row>
    <row r="952">
      <c r="A952" s="30" t="n"/>
      <c r="B952" s="30" t="n"/>
      <c r="C952" s="30" t="n"/>
      <c r="D952" s="30" t="n"/>
      <c r="E952" s="30" t="n"/>
      <c r="F952" s="30" t="n"/>
      <c r="G952" s="31">
        <f>IF($A952="","",IFERROR(ROUND(MAX(0,$B952*($D952-1)),2),0))</f>
        <v/>
      </c>
      <c r="H952" s="31">
        <f>IF($A952="","",IFERROR(ROUND($G952*INDEX(tblKurallar[deger_2025],MATCH("AYD-002",tblKurallar[kural_id],0)),2),0))</f>
        <v/>
      </c>
      <c r="I952" s="31">
        <f>IF($A952="","",IFERROR($G952-$G952*INDEX(tblKurallar[deger_2025],MATCH("AYD-004",tblKurallar[kural_id],0)),0))</f>
        <v/>
      </c>
    </row>
    <row r="953">
      <c r="A953" s="30" t="n"/>
      <c r="B953" s="30" t="n"/>
      <c r="C953" s="30" t="n"/>
      <c r="D953" s="30" t="n"/>
      <c r="E953" s="30" t="n"/>
      <c r="F953" s="30" t="n"/>
      <c r="G953" s="31">
        <f>IF($A953="","",IFERROR(ROUND(MAX(0,$B953*($D953-1)),2),0))</f>
        <v/>
      </c>
      <c r="H953" s="31">
        <f>IF($A953="","",IFERROR(ROUND($G953*INDEX(tblKurallar[deger_2025],MATCH("AYD-002",tblKurallar[kural_id],0)),2),0))</f>
        <v/>
      </c>
      <c r="I953" s="31">
        <f>IF($A953="","",IFERROR($G953-$G953*INDEX(tblKurallar[deger_2025],MATCH("AYD-004",tblKurallar[kural_id],0)),0))</f>
        <v/>
      </c>
    </row>
    <row r="954">
      <c r="A954" s="30" t="n"/>
      <c r="B954" s="30" t="n"/>
      <c r="C954" s="30" t="n"/>
      <c r="D954" s="30" t="n"/>
      <c r="E954" s="30" t="n"/>
      <c r="F954" s="30" t="n"/>
      <c r="G954" s="31">
        <f>IF($A954="","",IFERROR(ROUND(MAX(0,$B954*($D954-1)),2),0))</f>
        <v/>
      </c>
      <c r="H954" s="31">
        <f>IF($A954="","",IFERROR(ROUND($G954*INDEX(tblKurallar[deger_2025],MATCH("AYD-002",tblKurallar[kural_id],0)),2),0))</f>
        <v/>
      </c>
      <c r="I954" s="31">
        <f>IF($A954="","",IFERROR($G954-$G954*INDEX(tblKurallar[deger_2025],MATCH("AYD-004",tblKurallar[kural_id],0)),0))</f>
        <v/>
      </c>
    </row>
    <row r="955">
      <c r="A955" s="30" t="n"/>
      <c r="B955" s="30" t="n"/>
      <c r="C955" s="30" t="n"/>
      <c r="D955" s="30" t="n"/>
      <c r="E955" s="30" t="n"/>
      <c r="F955" s="30" t="n"/>
      <c r="G955" s="31">
        <f>IF($A955="","",IFERROR(ROUND(MAX(0,$B955*($D955-1)),2),0))</f>
        <v/>
      </c>
      <c r="H955" s="31">
        <f>IF($A955="","",IFERROR(ROUND($G955*INDEX(tblKurallar[deger_2025],MATCH("AYD-002",tblKurallar[kural_id],0)),2),0))</f>
        <v/>
      </c>
      <c r="I955" s="31">
        <f>IF($A955="","",IFERROR($G955-$G955*INDEX(tblKurallar[deger_2025],MATCH("AYD-004",tblKurallar[kural_id],0)),0))</f>
        <v/>
      </c>
    </row>
    <row r="956">
      <c r="A956" s="30" t="n"/>
      <c r="B956" s="30" t="n"/>
      <c r="C956" s="30" t="n"/>
      <c r="D956" s="30" t="n"/>
      <c r="E956" s="30" t="n"/>
      <c r="F956" s="30" t="n"/>
      <c r="G956" s="31">
        <f>IF($A956="","",IFERROR(ROUND(MAX(0,$B956*($D956-1)),2),0))</f>
        <v/>
      </c>
      <c r="H956" s="31">
        <f>IF($A956="","",IFERROR(ROUND($G956*INDEX(tblKurallar[deger_2025],MATCH("AYD-002",tblKurallar[kural_id],0)),2),0))</f>
        <v/>
      </c>
      <c r="I956" s="31">
        <f>IF($A956="","",IFERROR($G956-$G956*INDEX(tblKurallar[deger_2025],MATCH("AYD-004",tblKurallar[kural_id],0)),0))</f>
        <v/>
      </c>
    </row>
    <row r="957">
      <c r="A957" s="30" t="n"/>
      <c r="B957" s="30" t="n"/>
      <c r="C957" s="30" t="n"/>
      <c r="D957" s="30" t="n"/>
      <c r="E957" s="30" t="n"/>
      <c r="F957" s="30" t="n"/>
      <c r="G957" s="31">
        <f>IF($A957="","",IFERROR(ROUND(MAX(0,$B957*($D957-1)),2),0))</f>
        <v/>
      </c>
      <c r="H957" s="31">
        <f>IF($A957="","",IFERROR(ROUND($G957*INDEX(tblKurallar[deger_2025],MATCH("AYD-002",tblKurallar[kural_id],0)),2),0))</f>
        <v/>
      </c>
      <c r="I957" s="31">
        <f>IF($A957="","",IFERROR($G957-$G957*INDEX(tblKurallar[deger_2025],MATCH("AYD-004",tblKurallar[kural_id],0)),0))</f>
        <v/>
      </c>
    </row>
    <row r="958">
      <c r="A958" s="30" t="n"/>
      <c r="B958" s="30" t="n"/>
      <c r="C958" s="30" t="n"/>
      <c r="D958" s="30" t="n"/>
      <c r="E958" s="30" t="n"/>
      <c r="F958" s="30" t="n"/>
      <c r="G958" s="31">
        <f>IF($A958="","",IFERROR(ROUND(MAX(0,$B958*($D958-1)),2),0))</f>
        <v/>
      </c>
      <c r="H958" s="31">
        <f>IF($A958="","",IFERROR(ROUND($G958*INDEX(tblKurallar[deger_2025],MATCH("AYD-002",tblKurallar[kural_id],0)),2),0))</f>
        <v/>
      </c>
      <c r="I958" s="31">
        <f>IF($A958="","",IFERROR($G958-$G958*INDEX(tblKurallar[deger_2025],MATCH("AYD-004",tblKurallar[kural_id],0)),0))</f>
        <v/>
      </c>
    </row>
    <row r="959">
      <c r="A959" s="30" t="n"/>
      <c r="B959" s="30" t="n"/>
      <c r="C959" s="30" t="n"/>
      <c r="D959" s="30" t="n"/>
      <c r="E959" s="30" t="n"/>
      <c r="F959" s="30" t="n"/>
      <c r="G959" s="31">
        <f>IF($A959="","",IFERROR(ROUND(MAX(0,$B959*($D959-1)),2),0))</f>
        <v/>
      </c>
      <c r="H959" s="31">
        <f>IF($A959="","",IFERROR(ROUND($G959*INDEX(tblKurallar[deger_2025],MATCH("AYD-002",tblKurallar[kural_id],0)),2),0))</f>
        <v/>
      </c>
      <c r="I959" s="31">
        <f>IF($A959="","",IFERROR($G959-$G959*INDEX(tblKurallar[deger_2025],MATCH("AYD-004",tblKurallar[kural_id],0)),0))</f>
        <v/>
      </c>
    </row>
    <row r="960">
      <c r="A960" s="30" t="n"/>
      <c r="B960" s="30" t="n"/>
      <c r="C960" s="30" t="n"/>
      <c r="D960" s="30" t="n"/>
      <c r="E960" s="30" t="n"/>
      <c r="F960" s="30" t="n"/>
      <c r="G960" s="31">
        <f>IF($A960="","",IFERROR(ROUND(MAX(0,$B960*($D960-1)),2),0))</f>
        <v/>
      </c>
      <c r="H960" s="31">
        <f>IF($A960="","",IFERROR(ROUND($G960*INDEX(tblKurallar[deger_2025],MATCH("AYD-002",tblKurallar[kural_id],0)),2),0))</f>
        <v/>
      </c>
      <c r="I960" s="31">
        <f>IF($A960="","",IFERROR($G960-$G960*INDEX(tblKurallar[deger_2025],MATCH("AYD-004",tblKurallar[kural_id],0)),0))</f>
        <v/>
      </c>
    </row>
    <row r="961">
      <c r="A961" s="30" t="n"/>
      <c r="B961" s="30" t="n"/>
      <c r="C961" s="30" t="n"/>
      <c r="D961" s="30" t="n"/>
      <c r="E961" s="30" t="n"/>
      <c r="F961" s="30" t="n"/>
      <c r="G961" s="31">
        <f>IF($A961="","",IFERROR(ROUND(MAX(0,$B961*($D961-1)),2),0))</f>
        <v/>
      </c>
      <c r="H961" s="31">
        <f>IF($A961="","",IFERROR(ROUND($G961*INDEX(tblKurallar[deger_2025],MATCH("AYD-002",tblKurallar[kural_id],0)),2),0))</f>
        <v/>
      </c>
      <c r="I961" s="31">
        <f>IF($A961="","",IFERROR($G961-$G961*INDEX(tblKurallar[deger_2025],MATCH("AYD-004",tblKurallar[kural_id],0)),0))</f>
        <v/>
      </c>
    </row>
    <row r="962">
      <c r="A962" s="30" t="n"/>
      <c r="B962" s="30" t="n"/>
      <c r="C962" s="30" t="n"/>
      <c r="D962" s="30" t="n"/>
      <c r="E962" s="30" t="n"/>
      <c r="F962" s="30" t="n"/>
      <c r="G962" s="31">
        <f>IF($A962="","",IFERROR(ROUND(MAX(0,$B962*($D962-1)),2),0))</f>
        <v/>
      </c>
      <c r="H962" s="31">
        <f>IF($A962="","",IFERROR(ROUND($G962*INDEX(tblKurallar[deger_2025],MATCH("AYD-002",tblKurallar[kural_id],0)),2),0))</f>
        <v/>
      </c>
      <c r="I962" s="31">
        <f>IF($A962="","",IFERROR($G962-$G962*INDEX(tblKurallar[deger_2025],MATCH("AYD-004",tblKurallar[kural_id],0)),0))</f>
        <v/>
      </c>
    </row>
    <row r="963">
      <c r="A963" s="30" t="n"/>
      <c r="B963" s="30" t="n"/>
      <c r="C963" s="30" t="n"/>
      <c r="D963" s="30" t="n"/>
      <c r="E963" s="30" t="n"/>
      <c r="F963" s="30" t="n"/>
      <c r="G963" s="31">
        <f>IF($A963="","",IFERROR(ROUND(MAX(0,$B963*($D963-1)),2),0))</f>
        <v/>
      </c>
      <c r="H963" s="31">
        <f>IF($A963="","",IFERROR(ROUND($G963*INDEX(tblKurallar[deger_2025],MATCH("AYD-002",tblKurallar[kural_id],0)),2),0))</f>
        <v/>
      </c>
      <c r="I963" s="31">
        <f>IF($A963="","",IFERROR($G963-$G963*INDEX(tblKurallar[deger_2025],MATCH("AYD-004",tblKurallar[kural_id],0)),0))</f>
        <v/>
      </c>
    </row>
    <row r="964">
      <c r="A964" s="30" t="n"/>
      <c r="B964" s="30" t="n"/>
      <c r="C964" s="30" t="n"/>
      <c r="D964" s="30" t="n"/>
      <c r="E964" s="30" t="n"/>
      <c r="F964" s="30" t="n"/>
      <c r="G964" s="31">
        <f>IF($A964="","",IFERROR(ROUND(MAX(0,$B964*($D964-1)),2),0))</f>
        <v/>
      </c>
      <c r="H964" s="31">
        <f>IF($A964="","",IFERROR(ROUND($G964*INDEX(tblKurallar[deger_2025],MATCH("AYD-002",tblKurallar[kural_id],0)),2),0))</f>
        <v/>
      </c>
      <c r="I964" s="31">
        <f>IF($A964="","",IFERROR($G964-$G964*INDEX(tblKurallar[deger_2025],MATCH("AYD-004",tblKurallar[kural_id],0)),0))</f>
        <v/>
      </c>
    </row>
    <row r="965">
      <c r="A965" s="30" t="n"/>
      <c r="B965" s="30" t="n"/>
      <c r="C965" s="30" t="n"/>
      <c r="D965" s="30" t="n"/>
      <c r="E965" s="30" t="n"/>
      <c r="F965" s="30" t="n"/>
      <c r="G965" s="31">
        <f>IF($A965="","",IFERROR(ROUND(MAX(0,$B965*($D965-1)),2),0))</f>
        <v/>
      </c>
      <c r="H965" s="31">
        <f>IF($A965="","",IFERROR(ROUND($G965*INDEX(tblKurallar[deger_2025],MATCH("AYD-002",tblKurallar[kural_id],0)),2),0))</f>
        <v/>
      </c>
      <c r="I965" s="31">
        <f>IF($A965="","",IFERROR($G965-$G965*INDEX(tblKurallar[deger_2025],MATCH("AYD-004",tblKurallar[kural_id],0)),0))</f>
        <v/>
      </c>
    </row>
    <row r="966">
      <c r="A966" s="30" t="n"/>
      <c r="B966" s="30" t="n"/>
      <c r="C966" s="30" t="n"/>
      <c r="D966" s="30" t="n"/>
      <c r="E966" s="30" t="n"/>
      <c r="F966" s="30" t="n"/>
      <c r="G966" s="31">
        <f>IF($A966="","",IFERROR(ROUND(MAX(0,$B966*($D966-1)),2),0))</f>
        <v/>
      </c>
      <c r="H966" s="31">
        <f>IF($A966="","",IFERROR(ROUND($G966*INDEX(tblKurallar[deger_2025],MATCH("AYD-002",tblKurallar[kural_id],0)),2),0))</f>
        <v/>
      </c>
      <c r="I966" s="31">
        <f>IF($A966="","",IFERROR($G966-$G966*INDEX(tblKurallar[deger_2025],MATCH("AYD-004",tblKurallar[kural_id],0)),0))</f>
        <v/>
      </c>
    </row>
    <row r="967">
      <c r="A967" s="30" t="n"/>
      <c r="B967" s="30" t="n"/>
      <c r="C967" s="30" t="n"/>
      <c r="D967" s="30" t="n"/>
      <c r="E967" s="30" t="n"/>
      <c r="F967" s="30" t="n"/>
      <c r="G967" s="31">
        <f>IF($A967="","",IFERROR(ROUND(MAX(0,$B967*($D967-1)),2),0))</f>
        <v/>
      </c>
      <c r="H967" s="31">
        <f>IF($A967="","",IFERROR(ROUND($G967*INDEX(tblKurallar[deger_2025],MATCH("AYD-002",tblKurallar[kural_id],0)),2),0))</f>
        <v/>
      </c>
      <c r="I967" s="31">
        <f>IF($A967="","",IFERROR($G967-$G967*INDEX(tblKurallar[deger_2025],MATCH("AYD-004",tblKurallar[kural_id],0)),0))</f>
        <v/>
      </c>
    </row>
    <row r="968">
      <c r="A968" s="30" t="n"/>
      <c r="B968" s="30" t="n"/>
      <c r="C968" s="30" t="n"/>
      <c r="D968" s="30" t="n"/>
      <c r="E968" s="30" t="n"/>
      <c r="F968" s="30" t="n"/>
      <c r="G968" s="31">
        <f>IF($A968="","",IFERROR(ROUND(MAX(0,$B968*($D968-1)),2),0))</f>
        <v/>
      </c>
      <c r="H968" s="31">
        <f>IF($A968="","",IFERROR(ROUND($G968*INDEX(tblKurallar[deger_2025],MATCH("AYD-002",tblKurallar[kural_id],0)),2),0))</f>
        <v/>
      </c>
      <c r="I968" s="31">
        <f>IF($A968="","",IFERROR($G968-$G968*INDEX(tblKurallar[deger_2025],MATCH("AYD-004",tblKurallar[kural_id],0)),0))</f>
        <v/>
      </c>
    </row>
    <row r="969">
      <c r="A969" s="30" t="n"/>
      <c r="B969" s="30" t="n"/>
      <c r="C969" s="30" t="n"/>
      <c r="D969" s="30" t="n"/>
      <c r="E969" s="30" t="n"/>
      <c r="F969" s="30" t="n"/>
      <c r="G969" s="31">
        <f>IF($A969="","",IFERROR(ROUND(MAX(0,$B969*($D969-1)),2),0))</f>
        <v/>
      </c>
      <c r="H969" s="31">
        <f>IF($A969="","",IFERROR(ROUND($G969*INDEX(tblKurallar[deger_2025],MATCH("AYD-002",tblKurallar[kural_id],0)),2),0))</f>
        <v/>
      </c>
      <c r="I969" s="31">
        <f>IF($A969="","",IFERROR($G969-$G969*INDEX(tblKurallar[deger_2025],MATCH("AYD-004",tblKurallar[kural_id],0)),0))</f>
        <v/>
      </c>
    </row>
    <row r="970">
      <c r="A970" s="30" t="n"/>
      <c r="B970" s="30" t="n"/>
      <c r="C970" s="30" t="n"/>
      <c r="D970" s="30" t="n"/>
      <c r="E970" s="30" t="n"/>
      <c r="F970" s="30" t="n"/>
      <c r="G970" s="31">
        <f>IF($A970="","",IFERROR(ROUND(MAX(0,$B970*($D970-1)),2),0))</f>
        <v/>
      </c>
      <c r="H970" s="31">
        <f>IF($A970="","",IFERROR(ROUND($G970*INDEX(tblKurallar[deger_2025],MATCH("AYD-002",tblKurallar[kural_id],0)),2),0))</f>
        <v/>
      </c>
      <c r="I970" s="31">
        <f>IF($A970="","",IFERROR($G970-$G970*INDEX(tblKurallar[deger_2025],MATCH("AYD-004",tblKurallar[kural_id],0)),0))</f>
        <v/>
      </c>
    </row>
    <row r="971">
      <c r="A971" s="30" t="n"/>
      <c r="B971" s="30" t="n"/>
      <c r="C971" s="30" t="n"/>
      <c r="D971" s="30" t="n"/>
      <c r="E971" s="30" t="n"/>
      <c r="F971" s="30" t="n"/>
      <c r="G971" s="31">
        <f>IF($A971="","",IFERROR(ROUND(MAX(0,$B971*($D971-1)),2),0))</f>
        <v/>
      </c>
      <c r="H971" s="31">
        <f>IF($A971="","",IFERROR(ROUND($G971*INDEX(tblKurallar[deger_2025],MATCH("AYD-002",tblKurallar[kural_id],0)),2),0))</f>
        <v/>
      </c>
      <c r="I971" s="31">
        <f>IF($A971="","",IFERROR($G971-$G971*INDEX(tblKurallar[deger_2025],MATCH("AYD-004",tblKurallar[kural_id],0)),0))</f>
        <v/>
      </c>
    </row>
    <row r="972">
      <c r="A972" s="30" t="n"/>
      <c r="B972" s="30" t="n"/>
      <c r="C972" s="30" t="n"/>
      <c r="D972" s="30" t="n"/>
      <c r="E972" s="30" t="n"/>
      <c r="F972" s="30" t="n"/>
      <c r="G972" s="31">
        <f>IF($A972="","",IFERROR(ROUND(MAX(0,$B972*($D972-1)),2),0))</f>
        <v/>
      </c>
      <c r="H972" s="31">
        <f>IF($A972="","",IFERROR(ROUND($G972*INDEX(tblKurallar[deger_2025],MATCH("AYD-002",tblKurallar[kural_id],0)),2),0))</f>
        <v/>
      </c>
      <c r="I972" s="31">
        <f>IF($A972="","",IFERROR($G972-$G972*INDEX(tblKurallar[deger_2025],MATCH("AYD-004",tblKurallar[kural_id],0)),0))</f>
        <v/>
      </c>
    </row>
    <row r="973">
      <c r="A973" s="30" t="n"/>
      <c r="B973" s="30" t="n"/>
      <c r="C973" s="30" t="n"/>
      <c r="D973" s="30" t="n"/>
      <c r="E973" s="30" t="n"/>
      <c r="F973" s="30" t="n"/>
      <c r="G973" s="31">
        <f>IF($A973="","",IFERROR(ROUND(MAX(0,$B973*($D973-1)),2),0))</f>
        <v/>
      </c>
      <c r="H973" s="31">
        <f>IF($A973="","",IFERROR(ROUND($G973*INDEX(tblKurallar[deger_2025],MATCH("AYD-002",tblKurallar[kural_id],0)),2),0))</f>
        <v/>
      </c>
      <c r="I973" s="31">
        <f>IF($A973="","",IFERROR($G973-$G973*INDEX(tblKurallar[deger_2025],MATCH("AYD-004",tblKurallar[kural_id],0)),0))</f>
        <v/>
      </c>
    </row>
    <row r="974">
      <c r="A974" s="30" t="n"/>
      <c r="B974" s="30" t="n"/>
      <c r="C974" s="30" t="n"/>
      <c r="D974" s="30" t="n"/>
      <c r="E974" s="30" t="n"/>
      <c r="F974" s="30" t="n"/>
      <c r="G974" s="31">
        <f>IF($A974="","",IFERROR(ROUND(MAX(0,$B974*($D974-1)),2),0))</f>
        <v/>
      </c>
      <c r="H974" s="31">
        <f>IF($A974="","",IFERROR(ROUND($G974*INDEX(tblKurallar[deger_2025],MATCH("AYD-002",tblKurallar[kural_id],0)),2),0))</f>
        <v/>
      </c>
      <c r="I974" s="31">
        <f>IF($A974="","",IFERROR($G974-$G974*INDEX(tblKurallar[deger_2025],MATCH("AYD-004",tblKurallar[kural_id],0)),0))</f>
        <v/>
      </c>
    </row>
    <row r="975">
      <c r="A975" s="30" t="n"/>
      <c r="B975" s="30" t="n"/>
      <c r="C975" s="30" t="n"/>
      <c r="D975" s="30" t="n"/>
      <c r="E975" s="30" t="n"/>
      <c r="F975" s="30" t="n"/>
      <c r="G975" s="31">
        <f>IF($A975="","",IFERROR(ROUND(MAX(0,$B975*($D975-1)),2),0))</f>
        <v/>
      </c>
      <c r="H975" s="31">
        <f>IF($A975="","",IFERROR(ROUND($G975*INDEX(tblKurallar[deger_2025],MATCH("AYD-002",tblKurallar[kural_id],0)),2),0))</f>
        <v/>
      </c>
      <c r="I975" s="31">
        <f>IF($A975="","",IFERROR($G975-$G975*INDEX(tblKurallar[deger_2025],MATCH("AYD-004",tblKurallar[kural_id],0)),0))</f>
        <v/>
      </c>
    </row>
    <row r="976">
      <c r="A976" s="30" t="n"/>
      <c r="B976" s="30" t="n"/>
      <c r="C976" s="30" t="n"/>
      <c r="D976" s="30" t="n"/>
      <c r="E976" s="30" t="n"/>
      <c r="F976" s="30" t="n"/>
      <c r="G976" s="31">
        <f>IF($A976="","",IFERROR(ROUND(MAX(0,$B976*($D976-1)),2),0))</f>
        <v/>
      </c>
      <c r="H976" s="31">
        <f>IF($A976="","",IFERROR(ROUND($G976*INDEX(tblKurallar[deger_2025],MATCH("AYD-002",tblKurallar[kural_id],0)),2),0))</f>
        <v/>
      </c>
      <c r="I976" s="31">
        <f>IF($A976="","",IFERROR($G976-$G976*INDEX(tblKurallar[deger_2025],MATCH("AYD-004",tblKurallar[kural_id],0)),0))</f>
        <v/>
      </c>
    </row>
    <row r="977">
      <c r="A977" s="30" t="n"/>
      <c r="B977" s="30" t="n"/>
      <c r="C977" s="30" t="n"/>
      <c r="D977" s="30" t="n"/>
      <c r="E977" s="30" t="n"/>
      <c r="F977" s="30" t="n"/>
      <c r="G977" s="31">
        <f>IF($A977="","",IFERROR(ROUND(MAX(0,$B977*($D977-1)),2),0))</f>
        <v/>
      </c>
      <c r="H977" s="31">
        <f>IF($A977="","",IFERROR(ROUND($G977*INDEX(tblKurallar[deger_2025],MATCH("AYD-002",tblKurallar[kural_id],0)),2),0))</f>
        <v/>
      </c>
      <c r="I977" s="31">
        <f>IF($A977="","",IFERROR($G977-$G977*INDEX(tblKurallar[deger_2025],MATCH("AYD-004",tblKurallar[kural_id],0)),0))</f>
        <v/>
      </c>
    </row>
    <row r="978">
      <c r="A978" s="30" t="n"/>
      <c r="B978" s="30" t="n"/>
      <c r="C978" s="30" t="n"/>
      <c r="D978" s="30" t="n"/>
      <c r="E978" s="30" t="n"/>
      <c r="F978" s="30" t="n"/>
      <c r="G978" s="31">
        <f>IF($A978="","",IFERROR(ROUND(MAX(0,$B978*($D978-1)),2),0))</f>
        <v/>
      </c>
      <c r="H978" s="31">
        <f>IF($A978="","",IFERROR(ROUND($G978*INDEX(tblKurallar[deger_2025],MATCH("AYD-002",tblKurallar[kural_id],0)),2),0))</f>
        <v/>
      </c>
      <c r="I978" s="31">
        <f>IF($A978="","",IFERROR($G978-$G978*INDEX(tblKurallar[deger_2025],MATCH("AYD-004",tblKurallar[kural_id],0)),0))</f>
        <v/>
      </c>
    </row>
    <row r="979">
      <c r="A979" s="30" t="n"/>
      <c r="B979" s="30" t="n"/>
      <c r="C979" s="30" t="n"/>
      <c r="D979" s="30" t="n"/>
      <c r="E979" s="30" t="n"/>
      <c r="F979" s="30" t="n"/>
      <c r="G979" s="31">
        <f>IF($A979="","",IFERROR(ROUND(MAX(0,$B979*($D979-1)),2),0))</f>
        <v/>
      </c>
      <c r="H979" s="31">
        <f>IF($A979="","",IFERROR(ROUND($G979*INDEX(tblKurallar[deger_2025],MATCH("AYD-002",tblKurallar[kural_id],0)),2),0))</f>
        <v/>
      </c>
      <c r="I979" s="31">
        <f>IF($A979="","",IFERROR($G979-$G979*INDEX(tblKurallar[deger_2025],MATCH("AYD-004",tblKurallar[kural_id],0)),0))</f>
        <v/>
      </c>
    </row>
    <row r="980">
      <c r="A980" s="30" t="n"/>
      <c r="B980" s="30" t="n"/>
      <c r="C980" s="30" t="n"/>
      <c r="D980" s="30" t="n"/>
      <c r="E980" s="30" t="n"/>
      <c r="F980" s="30" t="n"/>
      <c r="G980" s="31">
        <f>IF($A980="","",IFERROR(ROUND(MAX(0,$B980*($D980-1)),2),0))</f>
        <v/>
      </c>
      <c r="H980" s="31">
        <f>IF($A980="","",IFERROR(ROUND($G980*INDEX(tblKurallar[deger_2025],MATCH("AYD-002",tblKurallar[kural_id],0)),2),0))</f>
        <v/>
      </c>
      <c r="I980" s="31">
        <f>IF($A980="","",IFERROR($G980-$G980*INDEX(tblKurallar[deger_2025],MATCH("AYD-004",tblKurallar[kural_id],0)),0))</f>
        <v/>
      </c>
    </row>
    <row r="981">
      <c r="A981" s="30" t="n"/>
      <c r="B981" s="30" t="n"/>
      <c r="C981" s="30" t="n"/>
      <c r="D981" s="30" t="n"/>
      <c r="E981" s="30" t="n"/>
      <c r="F981" s="30" t="n"/>
      <c r="G981" s="31">
        <f>IF($A981="","",IFERROR(ROUND(MAX(0,$B981*($D981-1)),2),0))</f>
        <v/>
      </c>
      <c r="H981" s="31">
        <f>IF($A981="","",IFERROR(ROUND($G981*INDEX(tblKurallar[deger_2025],MATCH("AYD-002",tblKurallar[kural_id],0)),2),0))</f>
        <v/>
      </c>
      <c r="I981" s="31">
        <f>IF($A981="","",IFERROR($G981-$G981*INDEX(tblKurallar[deger_2025],MATCH("AYD-004",tblKurallar[kural_id],0)),0))</f>
        <v/>
      </c>
    </row>
    <row r="982">
      <c r="A982" s="30" t="n"/>
      <c r="B982" s="30" t="n"/>
      <c r="C982" s="30" t="n"/>
      <c r="D982" s="30" t="n"/>
      <c r="E982" s="30" t="n"/>
      <c r="F982" s="30" t="n"/>
      <c r="G982" s="31">
        <f>IF($A982="","",IFERROR(ROUND(MAX(0,$B982*($D982-1)),2),0))</f>
        <v/>
      </c>
      <c r="H982" s="31">
        <f>IF($A982="","",IFERROR(ROUND($G982*INDEX(tblKurallar[deger_2025],MATCH("AYD-002",tblKurallar[kural_id],0)),2),0))</f>
        <v/>
      </c>
      <c r="I982" s="31">
        <f>IF($A982="","",IFERROR($G982-$G982*INDEX(tblKurallar[deger_2025],MATCH("AYD-004",tblKurallar[kural_id],0)),0))</f>
        <v/>
      </c>
    </row>
    <row r="983">
      <c r="A983" s="30" t="n"/>
      <c r="B983" s="30" t="n"/>
      <c r="C983" s="30" t="n"/>
      <c r="D983" s="30" t="n"/>
      <c r="E983" s="30" t="n"/>
      <c r="F983" s="30" t="n"/>
      <c r="G983" s="31">
        <f>IF($A983="","",IFERROR(ROUND(MAX(0,$B983*($D983-1)),2),0))</f>
        <v/>
      </c>
      <c r="H983" s="31">
        <f>IF($A983="","",IFERROR(ROUND($G983*INDEX(tblKurallar[deger_2025],MATCH("AYD-002",tblKurallar[kural_id],0)),2),0))</f>
        <v/>
      </c>
      <c r="I983" s="31">
        <f>IF($A983="","",IFERROR($G983-$G983*INDEX(tblKurallar[deger_2025],MATCH("AYD-004",tblKurallar[kural_id],0)),0))</f>
        <v/>
      </c>
    </row>
    <row r="984">
      <c r="A984" s="30" t="n"/>
      <c r="B984" s="30" t="n"/>
      <c r="C984" s="30" t="n"/>
      <c r="D984" s="30" t="n"/>
      <c r="E984" s="30" t="n"/>
      <c r="F984" s="30" t="n"/>
      <c r="G984" s="31">
        <f>IF($A984="","",IFERROR(ROUND(MAX(0,$B984*($D984-1)),2),0))</f>
        <v/>
      </c>
      <c r="H984" s="31">
        <f>IF($A984="","",IFERROR(ROUND($G984*INDEX(tblKurallar[deger_2025],MATCH("AYD-002",tblKurallar[kural_id],0)),2),0))</f>
        <v/>
      </c>
      <c r="I984" s="31">
        <f>IF($A984="","",IFERROR($G984-$G984*INDEX(tblKurallar[deger_2025],MATCH("AYD-004",tblKurallar[kural_id],0)),0))</f>
        <v/>
      </c>
    </row>
    <row r="985">
      <c r="A985" s="30" t="n"/>
      <c r="B985" s="30" t="n"/>
      <c r="C985" s="30" t="n"/>
      <c r="D985" s="30" t="n"/>
      <c r="E985" s="30" t="n"/>
      <c r="F985" s="30" t="n"/>
      <c r="G985" s="31">
        <f>IF($A985="","",IFERROR(ROUND(MAX(0,$B985*($D985-1)),2),0))</f>
        <v/>
      </c>
      <c r="H985" s="31">
        <f>IF($A985="","",IFERROR(ROUND($G985*INDEX(tblKurallar[deger_2025],MATCH("AYD-002",tblKurallar[kural_id],0)),2),0))</f>
        <v/>
      </c>
      <c r="I985" s="31">
        <f>IF($A985="","",IFERROR($G985-$G985*INDEX(tblKurallar[deger_2025],MATCH("AYD-004",tblKurallar[kural_id],0)),0))</f>
        <v/>
      </c>
    </row>
    <row r="986">
      <c r="A986" s="30" t="n"/>
      <c r="B986" s="30" t="n"/>
      <c r="C986" s="30" t="n"/>
      <c r="D986" s="30" t="n"/>
      <c r="E986" s="30" t="n"/>
      <c r="F986" s="30" t="n"/>
      <c r="G986" s="31">
        <f>IF($A986="","",IFERROR(ROUND(MAX(0,$B986*($D986-1)),2),0))</f>
        <v/>
      </c>
      <c r="H986" s="31">
        <f>IF($A986="","",IFERROR(ROUND($G986*INDEX(tblKurallar[deger_2025],MATCH("AYD-002",tblKurallar[kural_id],0)),2),0))</f>
        <v/>
      </c>
      <c r="I986" s="31">
        <f>IF($A986="","",IFERROR($G986-$G986*INDEX(tblKurallar[deger_2025],MATCH("AYD-004",tblKurallar[kural_id],0)),0))</f>
        <v/>
      </c>
    </row>
    <row r="987">
      <c r="A987" s="30" t="n"/>
      <c r="B987" s="30" t="n"/>
      <c r="C987" s="30" t="n"/>
      <c r="D987" s="30" t="n"/>
      <c r="E987" s="30" t="n"/>
      <c r="F987" s="30" t="n"/>
      <c r="G987" s="31">
        <f>IF($A987="","",IFERROR(ROUND(MAX(0,$B987*($D987-1)),2),0))</f>
        <v/>
      </c>
      <c r="H987" s="31">
        <f>IF($A987="","",IFERROR(ROUND($G987*INDEX(tblKurallar[deger_2025],MATCH("AYD-002",tblKurallar[kural_id],0)),2),0))</f>
        <v/>
      </c>
      <c r="I987" s="31">
        <f>IF($A987="","",IFERROR($G987-$G987*INDEX(tblKurallar[deger_2025],MATCH("AYD-004",tblKurallar[kural_id],0)),0))</f>
        <v/>
      </c>
    </row>
    <row r="988">
      <c r="A988" s="30" t="n"/>
      <c r="B988" s="30" t="n"/>
      <c r="C988" s="30" t="n"/>
      <c r="D988" s="30" t="n"/>
      <c r="E988" s="30" t="n"/>
      <c r="F988" s="30" t="n"/>
      <c r="G988" s="31">
        <f>IF($A988="","",IFERROR(ROUND(MAX(0,$B988*($D988-1)),2),0))</f>
        <v/>
      </c>
      <c r="H988" s="31">
        <f>IF($A988="","",IFERROR(ROUND($G988*INDEX(tblKurallar[deger_2025],MATCH("AYD-002",tblKurallar[kural_id],0)),2),0))</f>
        <v/>
      </c>
      <c r="I988" s="31">
        <f>IF($A988="","",IFERROR($G988-$G988*INDEX(tblKurallar[deger_2025],MATCH("AYD-004",tblKurallar[kural_id],0)),0))</f>
        <v/>
      </c>
    </row>
    <row r="989">
      <c r="A989" s="30" t="n"/>
      <c r="B989" s="30" t="n"/>
      <c r="C989" s="30" t="n"/>
      <c r="D989" s="30" t="n"/>
      <c r="E989" s="30" t="n"/>
      <c r="F989" s="30" t="n"/>
      <c r="G989" s="31">
        <f>IF($A989="","",IFERROR(ROUND(MAX(0,$B989*($D989-1)),2),0))</f>
        <v/>
      </c>
      <c r="H989" s="31">
        <f>IF($A989="","",IFERROR(ROUND($G989*INDEX(tblKurallar[deger_2025],MATCH("AYD-002",tblKurallar[kural_id],0)),2),0))</f>
        <v/>
      </c>
      <c r="I989" s="31">
        <f>IF($A989="","",IFERROR($G989-$G989*INDEX(tblKurallar[deger_2025],MATCH("AYD-004",tblKurallar[kural_id],0)),0))</f>
        <v/>
      </c>
    </row>
    <row r="990">
      <c r="A990" s="30" t="n"/>
      <c r="B990" s="30" t="n"/>
      <c r="C990" s="30" t="n"/>
      <c r="D990" s="30" t="n"/>
      <c r="E990" s="30" t="n"/>
      <c r="F990" s="30" t="n"/>
      <c r="G990" s="31">
        <f>IF($A990="","",IFERROR(ROUND(MAX(0,$B990*($D990-1)),2),0))</f>
        <v/>
      </c>
      <c r="H990" s="31">
        <f>IF($A990="","",IFERROR(ROUND($G990*INDEX(tblKurallar[deger_2025],MATCH("AYD-002",tblKurallar[kural_id],0)),2),0))</f>
        <v/>
      </c>
      <c r="I990" s="31">
        <f>IF($A990="","",IFERROR($G990-$G990*INDEX(tblKurallar[deger_2025],MATCH("AYD-004",tblKurallar[kural_id],0)),0))</f>
        <v/>
      </c>
    </row>
    <row r="991">
      <c r="A991" s="30" t="n"/>
      <c r="B991" s="30" t="n"/>
      <c r="C991" s="30" t="n"/>
      <c r="D991" s="30" t="n"/>
      <c r="E991" s="30" t="n"/>
      <c r="F991" s="30" t="n"/>
      <c r="G991" s="31">
        <f>IF($A991="","",IFERROR(ROUND(MAX(0,$B991*($D991-1)),2),0))</f>
        <v/>
      </c>
      <c r="H991" s="31">
        <f>IF($A991="","",IFERROR(ROUND($G991*INDEX(tblKurallar[deger_2025],MATCH("AYD-002",tblKurallar[kural_id],0)),2),0))</f>
        <v/>
      </c>
      <c r="I991" s="31">
        <f>IF($A991="","",IFERROR($G991-$G991*INDEX(tblKurallar[deger_2025],MATCH("AYD-004",tblKurallar[kural_id],0)),0))</f>
        <v/>
      </c>
    </row>
    <row r="992">
      <c r="A992" s="30" t="n"/>
      <c r="B992" s="30" t="n"/>
      <c r="C992" s="30" t="n"/>
      <c r="D992" s="30" t="n"/>
      <c r="E992" s="30" t="n"/>
      <c r="F992" s="30" t="n"/>
      <c r="G992" s="31">
        <f>IF($A992="","",IFERROR(ROUND(MAX(0,$B992*($D992-1)),2),0))</f>
        <v/>
      </c>
      <c r="H992" s="31">
        <f>IF($A992="","",IFERROR(ROUND($G992*INDEX(tblKurallar[deger_2025],MATCH("AYD-002",tblKurallar[kural_id],0)),2),0))</f>
        <v/>
      </c>
      <c r="I992" s="31">
        <f>IF($A992="","",IFERROR($G992-$G992*INDEX(tblKurallar[deger_2025],MATCH("AYD-004",tblKurallar[kural_id],0)),0))</f>
        <v/>
      </c>
    </row>
    <row r="993">
      <c r="A993" s="30" t="n"/>
      <c r="B993" s="30" t="n"/>
      <c r="C993" s="30" t="n"/>
      <c r="D993" s="30" t="n"/>
      <c r="E993" s="30" t="n"/>
      <c r="F993" s="30" t="n"/>
      <c r="G993" s="31">
        <f>IF($A993="","",IFERROR(ROUND(MAX(0,$B993*($D993-1)),2),0))</f>
        <v/>
      </c>
      <c r="H993" s="31">
        <f>IF($A993="","",IFERROR(ROUND($G993*INDEX(tblKurallar[deger_2025],MATCH("AYD-002",tblKurallar[kural_id],0)),2),0))</f>
        <v/>
      </c>
      <c r="I993" s="31">
        <f>IF($A993="","",IFERROR($G993-$G993*INDEX(tblKurallar[deger_2025],MATCH("AYD-004",tblKurallar[kural_id],0)),0))</f>
        <v/>
      </c>
    </row>
    <row r="994">
      <c r="A994" s="30" t="n"/>
      <c r="B994" s="30" t="n"/>
      <c r="C994" s="30" t="n"/>
      <c r="D994" s="30" t="n"/>
      <c r="E994" s="30" t="n"/>
      <c r="F994" s="30" t="n"/>
      <c r="G994" s="31">
        <f>IF($A994="","",IFERROR(ROUND(MAX(0,$B994*($D994-1)),2),0))</f>
        <v/>
      </c>
      <c r="H994" s="31">
        <f>IF($A994="","",IFERROR(ROUND($G994*INDEX(tblKurallar[deger_2025],MATCH("AYD-002",tblKurallar[kural_id],0)),2),0))</f>
        <v/>
      </c>
      <c r="I994" s="31">
        <f>IF($A994="","",IFERROR($G994-$G994*INDEX(tblKurallar[deger_2025],MATCH("AYD-004",tblKurallar[kural_id],0)),0))</f>
        <v/>
      </c>
    </row>
    <row r="995">
      <c r="A995" s="30" t="n"/>
      <c r="B995" s="30" t="n"/>
      <c r="C995" s="30" t="n"/>
      <c r="D995" s="30" t="n"/>
      <c r="E995" s="30" t="n"/>
      <c r="F995" s="30" t="n"/>
      <c r="G995" s="31">
        <f>IF($A995="","",IFERROR(ROUND(MAX(0,$B995*($D995-1)),2),0))</f>
        <v/>
      </c>
      <c r="H995" s="31">
        <f>IF($A995="","",IFERROR(ROUND($G995*INDEX(tblKurallar[deger_2025],MATCH("AYD-002",tblKurallar[kural_id],0)),2),0))</f>
        <v/>
      </c>
      <c r="I995" s="31">
        <f>IF($A995="","",IFERROR($G995-$G995*INDEX(tblKurallar[deger_2025],MATCH("AYD-004",tblKurallar[kural_id],0)),0))</f>
        <v/>
      </c>
    </row>
    <row r="996">
      <c r="A996" s="30" t="n"/>
      <c r="B996" s="30" t="n"/>
      <c r="C996" s="30" t="n"/>
      <c r="D996" s="30" t="n"/>
      <c r="E996" s="30" t="n"/>
      <c r="F996" s="30" t="n"/>
      <c r="G996" s="31">
        <f>IF($A996="","",IFERROR(ROUND(MAX(0,$B996*($D996-1)),2),0))</f>
        <v/>
      </c>
      <c r="H996" s="31">
        <f>IF($A996="","",IFERROR(ROUND($G996*INDEX(tblKurallar[deger_2025],MATCH("AYD-002",tblKurallar[kural_id],0)),2),0))</f>
        <v/>
      </c>
      <c r="I996" s="31">
        <f>IF($A996="","",IFERROR($G996-$G996*INDEX(tblKurallar[deger_2025],MATCH("AYD-004",tblKurallar[kural_id],0)),0))</f>
        <v/>
      </c>
    </row>
    <row r="997">
      <c r="A997" s="30" t="n"/>
      <c r="B997" s="30" t="n"/>
      <c r="C997" s="30" t="n"/>
      <c r="D997" s="30" t="n"/>
      <c r="E997" s="30" t="n"/>
      <c r="F997" s="30" t="n"/>
      <c r="G997" s="31">
        <f>IF($A997="","",IFERROR(ROUND(MAX(0,$B997*($D997-1)),2),0))</f>
        <v/>
      </c>
      <c r="H997" s="31">
        <f>IF($A997="","",IFERROR(ROUND($G997*INDEX(tblKurallar[deger_2025],MATCH("AYD-002",tblKurallar[kural_id],0)),2),0))</f>
        <v/>
      </c>
      <c r="I997" s="31">
        <f>IF($A997="","",IFERROR($G997-$G997*INDEX(tblKurallar[deger_2025],MATCH("AYD-004",tblKurallar[kural_id],0)),0))</f>
        <v/>
      </c>
    </row>
    <row r="998">
      <c r="A998" s="30" t="n"/>
      <c r="B998" s="30" t="n"/>
      <c r="C998" s="30" t="n"/>
      <c r="D998" s="30" t="n"/>
      <c r="E998" s="30" t="n"/>
      <c r="F998" s="30" t="n"/>
      <c r="G998" s="31">
        <f>IF($A998="","",IFERROR(ROUND(MAX(0,$B998*($D998-1)),2),0))</f>
        <v/>
      </c>
      <c r="H998" s="31">
        <f>IF($A998="","",IFERROR(ROUND($G998*INDEX(tblKurallar[deger_2025],MATCH("AYD-002",tblKurallar[kural_id],0)),2),0))</f>
        <v/>
      </c>
      <c r="I998" s="31">
        <f>IF($A998="","",IFERROR($G998-$G998*INDEX(tblKurallar[deger_2025],MATCH("AYD-004",tblKurallar[kural_id],0)),0))</f>
        <v/>
      </c>
    </row>
    <row r="999">
      <c r="A999" s="30" t="n"/>
      <c r="B999" s="30" t="n"/>
      <c r="C999" s="30" t="n"/>
      <c r="D999" s="30" t="n"/>
      <c r="E999" s="30" t="n"/>
      <c r="F999" s="30" t="n"/>
      <c r="G999" s="31">
        <f>IF($A999="","",IFERROR(ROUND(MAX(0,$B999*($D999-1)),2),0))</f>
        <v/>
      </c>
      <c r="H999" s="31">
        <f>IF($A999="","",IFERROR(ROUND($G999*INDEX(tblKurallar[deger_2025],MATCH("AYD-002",tblKurallar[kural_id],0)),2),0))</f>
        <v/>
      </c>
      <c r="I999" s="31">
        <f>IF($A999="","",IFERROR($G999-$G999*INDEX(tblKurallar[deger_2025],MATCH("AYD-004",tblKurallar[kural_id],0)),0))</f>
        <v/>
      </c>
    </row>
    <row r="1000">
      <c r="A1000" s="30" t="n"/>
      <c r="B1000" s="30" t="n"/>
      <c r="C1000" s="30" t="n"/>
      <c r="D1000" s="30" t="n"/>
      <c r="E1000" s="30" t="n"/>
      <c r="F1000" s="30" t="n"/>
      <c r="G1000" s="31">
        <f>IF($A1000="","",IFERROR(ROUND(MAX(0,$B1000*($D1000-1)),2),0))</f>
        <v/>
      </c>
      <c r="H1000" s="31">
        <f>IF($A1000="","",IFERROR(ROUND($G1000*INDEX(tblKurallar[deger_2025],MATCH("AYD-002",tblKurallar[kural_id],0)),2),0))</f>
        <v/>
      </c>
      <c r="I1000" s="31">
        <f>IF($A1000="","",IFERROR($G1000-$G1000*INDEX(tblKurallar[deger_2025],MATCH("AYD-004",tblKurallar[kural_id],0)),0))</f>
        <v/>
      </c>
    </row>
    <row r="1001">
      <c r="A1001" s="30" t="n"/>
      <c r="B1001" s="30" t="n"/>
      <c r="C1001" s="30" t="n"/>
      <c r="D1001" s="30" t="n"/>
      <c r="E1001" s="30" t="n"/>
      <c r="F1001" s="30" t="n"/>
      <c r="G1001" s="31">
        <f>IF($A1001="","",IFERROR(ROUND(MAX(0,$B1001*($D1001-1)),2),0))</f>
        <v/>
      </c>
      <c r="H1001" s="31">
        <f>IF($A1001="","",IFERROR(ROUND($G1001*INDEX(tblKurallar[deger_2025],MATCH("AYD-002",tblKurallar[kural_id],0)),2),0))</f>
        <v/>
      </c>
      <c r="I1001" s="31">
        <f>IF($A1001="","",IFERROR($G1001-$G1001*INDEX(tblKurallar[deger_2025],MATCH("AYD-004",tblKurallar[kural_id],0)),0))</f>
        <v/>
      </c>
    </row>
    <row r="1002">
      <c r="A1002" s="30" t="n"/>
      <c r="B1002" s="30" t="n"/>
      <c r="C1002" s="30" t="n"/>
      <c r="D1002" s="30" t="n"/>
      <c r="E1002" s="30" t="n"/>
      <c r="F1002" s="30" t="n"/>
      <c r="G1002" s="31">
        <f>IF($A1002="","",IFERROR(ROUND(MAX(0,$B1002*($D1002-1)),2),0))</f>
        <v/>
      </c>
      <c r="H1002" s="31">
        <f>IF($A1002="","",IFERROR(ROUND($G1002*INDEX(tblKurallar[deger_2025],MATCH("AYD-002",tblKurallar[kural_id],0)),2),0))</f>
        <v/>
      </c>
      <c r="I1002" s="31">
        <f>IF($A1002="","",IFERROR($G1002-$G1002*INDEX(tblKurallar[deger_2025],MATCH("AYD-004",tblKurallar[kural_id],0)),0))</f>
        <v/>
      </c>
    </row>
    <row r="1003">
      <c r="A1003" s="30" t="n"/>
      <c r="B1003" s="30" t="n"/>
      <c r="C1003" s="30" t="n"/>
      <c r="D1003" s="30" t="n"/>
      <c r="E1003" s="30" t="n"/>
      <c r="F1003" s="30" t="n"/>
      <c r="G1003" s="31">
        <f>IF($A1003="","",IFERROR(ROUND(MAX(0,$B1003*($D1003-1)),2),0))</f>
        <v/>
      </c>
      <c r="H1003" s="31">
        <f>IF($A1003="","",IFERROR(ROUND($G1003*INDEX(tblKurallar[deger_2025],MATCH("AYD-002",tblKurallar[kural_id],0)),2),0))</f>
        <v/>
      </c>
      <c r="I1003" s="31">
        <f>IF($A1003="","",IFERROR($G1003-$G1003*INDEX(tblKurallar[deger_2025],MATCH("AYD-004",tblKurallar[kural_id],0)),0))</f>
        <v/>
      </c>
    </row>
    <row r="1004">
      <c r="A1004" s="30" t="n"/>
      <c r="B1004" s="30" t="n"/>
      <c r="C1004" s="30" t="n"/>
      <c r="D1004" s="30" t="n"/>
      <c r="E1004" s="30" t="n"/>
      <c r="F1004" s="30" t="n"/>
      <c r="G1004" s="31">
        <f>IF($A1004="","",IFERROR(ROUND(MAX(0,$B1004*($D1004-1)),2),0))</f>
        <v/>
      </c>
      <c r="H1004" s="31">
        <f>IF($A1004="","",IFERROR(ROUND($G1004*INDEX(tblKurallar[deger_2025],MATCH("AYD-002",tblKurallar[kural_id],0)),2),0))</f>
        <v/>
      </c>
      <c r="I1004" s="31">
        <f>IF($A1004="","",IFERROR($G1004-$G1004*INDEX(tblKurallar[deger_2025],MATCH("AYD-004",tblKurallar[kural_id],0)),0))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B6:B20">
    <cfRule type="cellIs" priority="1" operator="lessThan" dxfId="5">
      <formula>0</formula>
    </cfRule>
  </conditionalFormatting>
  <conditionalFormatting sqref="C6:C20">
    <cfRule type="cellIs" priority="2" operator="lessThan" dxfId="5">
      <formula>0</formula>
    </cfRule>
  </conditionalFormatting>
  <conditionalFormatting sqref="D6:D20">
    <cfRule type="cellIs" priority="3" operator="lessThan" dxfId="5">
      <formula>0</formula>
    </cfRule>
  </conditionalFormatting>
  <conditionalFormatting sqref="E6:E20">
    <cfRule type="cellIs" priority="4" operator="lessThan" dxfId="5">
      <formula>0</formula>
    </cfRule>
  </conditionalFormatting>
  <conditionalFormatting sqref="G6:G20">
    <cfRule type="cellIs" priority="5" operator="lessThan" dxfId="5">
      <formula>0</formula>
    </cfRule>
    <cfRule type="cellIs" priority="8" operator="greaterThan" dxfId="3">
      <formula>0</formula>
    </cfRule>
  </conditionalFormatting>
  <conditionalFormatting sqref="H6:H20">
    <cfRule type="cellIs" priority="6" operator="lessThan" dxfId="5">
      <formula>0</formula>
    </cfRule>
  </conditionalFormatting>
  <conditionalFormatting sqref="I6:I20">
    <cfRule type="cellIs" priority="7" operator="lessThan" dxfId="5">
      <formula>0</formula>
    </cfRule>
  </conditionalFormatting>
  <dataValidations count="4">
    <dataValidation sqref="B6:B1004" showDropDown="0" showInputMessage="1" showErrorMessage="1" allowBlank="1" errorTitle="Geçersiz" error="0 ile 1e12 arasında." promptTitle="Maliyet" prompt="Maliyet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Birikmiş" prompt="Birikmiş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1 ile 10." promptTitle="Endeks" prompt="1-10 çarpan." type="decimal" errorStyle="stop" operator="between">
      <formula1>1</formula1>
      <formula2>10</formula2>
    </dataValidation>
    <dataValidation sqref="F6:F1004" showDropDown="0" showInputMessage="1" showErrorMessage="1" allowBlank="1" errorTitle="Geçersiz" error="A veya B." promptTitle="Öncelik" prompt="A veya B." type="list" errorStyle="stop">
      <formula1>ListeYorumAB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tabColor rgb="00595959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.5" customWidth="1" min="3" max="3"/>
    <col width="13" customWidth="1" min="4" max="4"/>
    <col width="14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LISTELER — Amortisman + 2026 Yeniden Değerleme</t>
        </is>
      </c>
    </row>
    <row r="3" ht="22" customHeight="1">
      <c r="A3" s="225" t="inlineStr">
        <is>
          <t>Doğrulama listeleri</t>
        </is>
      </c>
    </row>
    <row r="5">
      <c r="A5" s="38" t="inlineStr">
        <is>
          <t>Yıllar</t>
        </is>
      </c>
      <c r="C5" s="38" t="inlineStr">
        <is>
          <t>Öncelik A/B</t>
        </is>
      </c>
      <c r="E5" s="38" t="inlineStr">
        <is>
          <t>Evet/Hayır</t>
        </is>
      </c>
    </row>
    <row r="6">
      <c r="A6" s="61" t="n">
        <v>2025</v>
      </c>
      <c r="C6" s="58" t="inlineStr">
        <is>
          <t>A</t>
        </is>
      </c>
      <c r="E6" s="58" t="inlineStr">
        <is>
          <t>Evet</t>
        </is>
      </c>
    </row>
    <row r="7">
      <c r="A7" s="61" t="n">
        <v>2026</v>
      </c>
      <c r="C7" s="58" t="inlineStr">
        <is>
          <t>B</t>
        </is>
      </c>
      <c r="E7" s="58" t="inlineStr">
        <is>
          <t>Hayır</t>
        </is>
      </c>
    </row>
    <row r="8">
      <c r="A8" s="61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4.5" customWidth="1" min="2" max="2"/>
    <col width="10.5" customWidth="1" min="3" max="3"/>
    <col width="39.5" customWidth="1" min="4" max="4"/>
    <col width="22" customWidth="1" min="5" max="5"/>
    <col width="19.5" customWidth="1" min="6" max="6"/>
    <col width="20.5" customWidth="1" min="7" max="7"/>
    <col width="12" customWidth="1" min="8" max="8"/>
    <col width="13" customWidth="1" min="9" max="9"/>
  </cols>
  <sheetData>
    <row r="1" ht="32" customHeight="1">
      <c r="A1" s="206" t="inlineStr">
        <is>
          <t>AYARLAR — Amortisman + 2026 Yeniden Değerleme</t>
        </is>
      </c>
    </row>
    <row r="3" ht="22" customHeight="1">
      <c r="A3" s="225" t="inlineStr">
        <is>
          <t>Parametreler (tek kaynak)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aciklama</t>
        </is>
      </c>
      <c r="E5" s="12" t="inlineStr">
        <is>
          <t>kaynak</t>
        </is>
      </c>
      <c r="F5" s="12" t="inlineStr">
        <is>
          <t>yururluk_tarihi</t>
        </is>
      </c>
      <c r="G5" s="12" t="inlineStr">
        <is>
          <t>dogrulama_tarihi</t>
        </is>
      </c>
      <c r="H5" s="12" t="inlineStr">
        <is>
          <t>kontrol</t>
        </is>
      </c>
    </row>
    <row r="6">
      <c r="A6" s="23" t="inlineStr">
        <is>
          <t>hesapYili</t>
        </is>
      </c>
      <c r="B6" s="41" t="n">
        <v>2025</v>
      </c>
      <c r="C6" s="23" t="inlineStr">
        <is>
          <t>yıl</t>
        </is>
      </c>
      <c r="D6" s="23" t="inlineStr">
        <is>
          <t>Aktif hesap yılı</t>
        </is>
      </c>
      <c r="E6" s="23" t="inlineStr">
        <is>
          <t>Kullanıcı / GIRDI</t>
        </is>
      </c>
      <c r="F6" s="23" t="inlineStr">
        <is>
          <t>01.01.2025</t>
        </is>
      </c>
      <c r="G6" s="23" t="inlineStr">
        <is>
          <t>14.08.2026</t>
        </is>
      </c>
      <c r="H6" s="62">
        <f>IF(A6="","",IF(B6="","EKSİK","TAM"))</f>
        <v/>
      </c>
    </row>
    <row r="7">
      <c r="A7" s="23" t="inlineStr">
        <is>
          <t>raporTarihi</t>
        </is>
      </c>
      <c r="B7" s="63" t="n">
        <v>46248</v>
      </c>
      <c r="C7" s="23" t="inlineStr">
        <is>
          <t>tarih</t>
        </is>
      </c>
      <c r="D7" s="23" t="inlineStr">
        <is>
          <t>Rapor tarihi (sabit)</t>
        </is>
      </c>
      <c r="E7" s="23" t="inlineStr">
        <is>
          <t>Üretim</t>
        </is>
      </c>
      <c r="F7" s="23" t="inlineStr">
        <is>
          <t>01.01.2025</t>
        </is>
      </c>
      <c r="G7" s="23" t="inlineStr">
        <is>
          <t>14.08.2026</t>
        </is>
      </c>
      <c r="H7" s="62">
        <f>IF(A7="","",IF(B7="","EKSİK","TAM"))</f>
        <v/>
      </c>
    </row>
    <row r="8">
      <c r="A8" s="23" t="inlineStr">
        <is>
          <t>ayd_tolerans</t>
        </is>
      </c>
      <c r="B8" s="64" t="n">
        <v>0.01</v>
      </c>
      <c r="C8" s="23" t="inlineStr">
        <is>
          <t>TL</t>
        </is>
      </c>
      <c r="D8" s="23" t="inlineStr">
        <is>
          <t>Vaka tutarlılık toleransı</t>
        </is>
      </c>
      <c r="E8" s="23" t="inlineStr">
        <is>
          <t>Uygulama notu</t>
        </is>
      </c>
      <c r="F8" s="23" t="inlineStr">
        <is>
          <t>01.01.2025</t>
        </is>
      </c>
      <c r="G8" s="23" t="inlineStr">
        <is>
          <t>14.08.2026</t>
        </is>
      </c>
      <c r="H8" s="62">
        <f>IF(A8="","",IF(B8="","EKSİK","TAM"))</f>
        <v/>
      </c>
    </row>
    <row r="9">
      <c r="A9" s="23" t="inlineStr">
        <is>
          <t>ayd_farkEsik</t>
        </is>
      </c>
      <c r="B9" s="64" t="n">
        <v>100000</v>
      </c>
      <c r="C9" s="23" t="inlineStr">
        <is>
          <t>TL</t>
        </is>
      </c>
      <c r="D9" s="23" t="inlineStr">
        <is>
          <t>PANO fark uyarı eşiği</t>
        </is>
      </c>
      <c r="E9" s="23" t="inlineStr">
        <is>
          <t>İç politika</t>
        </is>
      </c>
      <c r="F9" s="23" t="inlineStr">
        <is>
          <t>01.01.2025</t>
        </is>
      </c>
      <c r="G9" s="23" t="inlineStr">
        <is>
          <t>14.08.2026</t>
        </is>
      </c>
      <c r="H9" s="62">
        <f>IF(A9="","",IF(B9="","EKSİK","TAM"))</f>
        <v/>
      </c>
    </row>
    <row r="10">
      <c r="A10" s="23" t="inlineStr">
        <is>
          <t>ayd_senaryoIyi</t>
        </is>
      </c>
      <c r="B10" s="39" t="n">
        <v>0.9</v>
      </c>
      <c r="C10" s="23" t="inlineStr">
        <is>
          <t>çarpan</t>
        </is>
      </c>
      <c r="D10" s="23" t="inlineStr">
        <is>
          <t>İyimser maliyet çarpanı</t>
        </is>
      </c>
      <c r="E10" s="23" t="inlineStr">
        <is>
          <t>Model varsayımı</t>
        </is>
      </c>
      <c r="F10" s="23" t="inlineStr">
        <is>
          <t>01.01.2025</t>
        </is>
      </c>
      <c r="G10" s="23" t="inlineStr">
        <is>
          <t>14.08.2026</t>
        </is>
      </c>
      <c r="H10" s="62">
        <f>IF(A10="","",IF(B10="","EKSİK","TAM"))</f>
        <v/>
      </c>
    </row>
    <row r="11">
      <c r="A11" s="23" t="inlineStr">
        <is>
          <t>ayd_senaryoKotu</t>
        </is>
      </c>
      <c r="B11" s="39" t="n">
        <v>1.1</v>
      </c>
      <c r="C11" s="23" t="inlineStr">
        <is>
          <t>çarpan</t>
        </is>
      </c>
      <c r="D11" s="23" t="inlineStr">
        <is>
          <t>Kötümser maliyet çarpanı</t>
        </is>
      </c>
      <c r="E11" s="23" t="inlineStr">
        <is>
          <t>Model varsayımı</t>
        </is>
      </c>
      <c r="F11" s="23" t="inlineStr">
        <is>
          <t>01.01.2025</t>
        </is>
      </c>
      <c r="G11" s="23" t="inlineStr">
        <is>
          <t>14.08.2026</t>
        </is>
      </c>
      <c r="H11" s="62">
        <f>IF(A11="","",IF(B11="","EKSİK","TAM"))</f>
        <v/>
      </c>
    </row>
    <row r="12">
      <c r="A12" s="23" t="inlineStr">
        <is>
          <t>ayd_oranArtisPuan</t>
        </is>
      </c>
      <c r="B12" s="40" t="n">
        <v>0.01</v>
      </c>
      <c r="C12" s="23" t="inlineStr">
        <is>
          <t>oran</t>
        </is>
      </c>
      <c r="D12" s="23" t="inlineStr">
        <is>
          <t>M-SEN fon +1 puan</t>
        </is>
      </c>
      <c r="E12" s="23" t="inlineStr">
        <is>
          <t>Senaryo motoru</t>
        </is>
      </c>
      <c r="F12" s="23" t="inlineStr">
        <is>
          <t>01.01.2025</t>
        </is>
      </c>
      <c r="G12" s="23" t="inlineStr">
        <is>
          <t>14.08.2026</t>
        </is>
      </c>
      <c r="H12" s="62">
        <f>IF(A12="","",IF(B12="","EKSİK","TAM"))</f>
        <v/>
      </c>
    </row>
    <row r="13">
      <c r="A13" s="23" t="inlineStr">
        <is>
          <t>ayd_tahminAlt</t>
        </is>
      </c>
      <c r="B13" s="39" t="n">
        <v>0.85</v>
      </c>
      <c r="C13" s="23" t="inlineStr">
        <is>
          <t>çarpan</t>
        </is>
      </c>
      <c r="D13" s="23" t="inlineStr">
        <is>
          <t>Tahmin alt bant</t>
        </is>
      </c>
      <c r="E13" s="23" t="inlineStr">
        <is>
          <t>Model varsayımı</t>
        </is>
      </c>
      <c r="F13" s="23" t="inlineStr">
        <is>
          <t>01.01.2025</t>
        </is>
      </c>
      <c r="G13" s="23" t="inlineStr">
        <is>
          <t>14.08.2026</t>
        </is>
      </c>
      <c r="H13" s="62">
        <f>IF(A13="","",IF(B13="","EKSİK","TAM"))</f>
        <v/>
      </c>
    </row>
    <row r="14">
      <c r="A14" s="23" t="inlineStr">
        <is>
          <t>ayd_tahminUst</t>
        </is>
      </c>
      <c r="B14" s="39" t="n">
        <v>1.15</v>
      </c>
      <c r="C14" s="23" t="inlineStr">
        <is>
          <t>çarpan</t>
        </is>
      </c>
      <c r="D14" s="23" t="inlineStr">
        <is>
          <t>Tahmin üst bant</t>
        </is>
      </c>
      <c r="E14" s="23" t="inlineStr">
        <is>
          <t>Model varsayımı</t>
        </is>
      </c>
      <c r="F14" s="23" t="inlineStr">
        <is>
          <t>01.01.2025</t>
        </is>
      </c>
      <c r="G14" s="23" t="inlineStr">
        <is>
          <t>14.08.2026</t>
        </is>
      </c>
      <c r="H14" s="62">
        <f>IF(A14="","",IF(B14="","EKSİK","TAM"))</f>
        <v/>
      </c>
    </row>
    <row r="15">
      <c r="A15" s="23" t="inlineStr">
        <is>
          <t>ayd_tornadoMaliyet</t>
        </is>
      </c>
      <c r="B15" s="39" t="n">
        <v>1.05</v>
      </c>
      <c r="C15" s="23" t="inlineStr">
        <is>
          <t>çarpan</t>
        </is>
      </c>
      <c r="D15" s="23" t="inlineStr">
        <is>
          <t>Tornado maliyet şoku</t>
        </is>
      </c>
      <c r="E15" s="23" t="inlineStr">
        <is>
          <t>Model varsayımı</t>
        </is>
      </c>
      <c r="F15" s="23" t="inlineStr">
        <is>
          <t>01.01.2025</t>
        </is>
      </c>
      <c r="G15" s="23" t="inlineStr">
        <is>
          <t>14.08.2026</t>
        </is>
      </c>
      <c r="H15" s="62">
        <f>IF(A15="","",IF(B15="","EKSİK","TAM"))</f>
        <v/>
      </c>
    </row>
    <row r="16">
      <c r="A16" s="23" t="inlineStr">
        <is>
          <t>ayd_tornadoEndeks</t>
        </is>
      </c>
      <c r="B16" s="39" t="n">
        <v>1.05</v>
      </c>
      <c r="C16" s="23" t="inlineStr">
        <is>
          <t>çarpan</t>
        </is>
      </c>
      <c r="D16" s="23" t="inlineStr">
        <is>
          <t>Tornado endeks şoku</t>
        </is>
      </c>
      <c r="E16" s="23" t="inlineStr">
        <is>
          <t>Model varsayımı</t>
        </is>
      </c>
      <c r="F16" s="23" t="inlineStr">
        <is>
          <t>01.01.2025</t>
        </is>
      </c>
      <c r="G16" s="23" t="inlineStr">
        <is>
          <t>14.08.2026</t>
        </is>
      </c>
      <c r="H16" s="62">
        <f>IF(A16="","",IF(B16="","EKSİK","TAM"))</f>
        <v/>
      </c>
    </row>
    <row r="17">
      <c r="A17" s="23" t="inlineStr">
        <is>
          <t>ayd_tasarrufCarpan</t>
        </is>
      </c>
      <c r="B17" s="39" t="n">
        <v>0.5</v>
      </c>
      <c r="C17" s="23" t="inlineStr">
        <is>
          <t>çarpan</t>
        </is>
      </c>
      <c r="D17" s="23" t="inlineStr">
        <is>
          <t>Vergi tasarrufu ağırlığı</t>
        </is>
      </c>
      <c r="E17" s="23" t="inlineStr">
        <is>
          <t>Belirsizlik A/B</t>
        </is>
      </c>
      <c r="F17" s="23" t="inlineStr">
        <is>
          <t>01.01.2025</t>
        </is>
      </c>
      <c r="G17" s="23" t="inlineStr">
        <is>
          <t>14.08.2026</t>
        </is>
      </c>
      <c r="H17" s="62">
        <f>IF(A17="","",IF(B17="","EKSİK","TAM"))</f>
        <v/>
      </c>
    </row>
    <row r="18">
      <c r="A18" s="23" t="inlineStr">
        <is>
          <t>ayd_yuzdelikOran</t>
        </is>
      </c>
      <c r="B18" s="40" t="n">
        <v>0.9</v>
      </c>
      <c r="C18" s="23" t="inlineStr">
        <is>
          <t>oran</t>
        </is>
      </c>
      <c r="D18" s="23" t="inlineStr">
        <is>
          <t>Yüzdelik P90</t>
        </is>
      </c>
      <c r="E18" s="23" t="inlineStr">
        <is>
          <t>İstatistik</t>
        </is>
      </c>
      <c r="F18" s="23" t="inlineStr">
        <is>
          <t>01.01.2025</t>
        </is>
      </c>
      <c r="G18" s="23" t="inlineStr">
        <is>
          <t>14.08.2026</t>
        </is>
      </c>
      <c r="H18" s="62">
        <f>IF(A18="","",IF(B18="","EKSİK","TAM"))</f>
        <v/>
      </c>
    </row>
    <row r="19">
      <c r="A19" s="23" t="inlineStr">
        <is>
          <t>ayd_parmakIzi</t>
        </is>
      </c>
      <c r="B19" s="65" t="inlineStr">
        <is>
          <t>1f3f3f92f999b072</t>
        </is>
      </c>
      <c r="C19" s="23" t="inlineStr">
        <is>
          <t>metin</t>
        </is>
      </c>
      <c r="D19" s="23" t="inlineStr">
        <is>
          <t>Dosya parmak izi etiketi</t>
        </is>
      </c>
      <c r="E19" s="23" t="inlineStr">
        <is>
          <t>Üretim</t>
        </is>
      </c>
      <c r="F19" s="23" t="inlineStr">
        <is>
          <t>01.01.2025</t>
        </is>
      </c>
      <c r="G19" s="23" t="inlineStr">
        <is>
          <t>14.08.2026</t>
        </is>
      </c>
      <c r="H19" s="62">
        <f>IF(A19="","",IF(B19="","EKSİK","TAM"))</f>
        <v/>
      </c>
    </row>
    <row r="20">
      <c r="A20" s="23" t="inlineStr">
        <is>
          <t>dosya_surumu</t>
        </is>
      </c>
      <c r="B20" s="65" t="inlineStr">
        <is>
          <t>1.0.0</t>
        </is>
      </c>
      <c r="C20" s="23" t="inlineStr">
        <is>
          <t>metin</t>
        </is>
      </c>
      <c r="D20" s="23" t="inlineStr">
        <is>
          <t>Ürün sürümü</t>
        </is>
      </c>
      <c r="E20" s="23" t="inlineStr">
        <is>
          <t>ExcelArşiv</t>
        </is>
      </c>
      <c r="F20" s="23" t="inlineStr">
        <is>
          <t>01.01.2025</t>
        </is>
      </c>
      <c r="G20" s="23" t="inlineStr">
        <is>
          <t>14.08.2026</t>
        </is>
      </c>
      <c r="H20" s="62">
        <f>IF(A20="","",IF(B20="","EKSİK","TAM"))</f>
        <v/>
      </c>
    </row>
    <row r="21">
      <c r="A21" s="23" t="inlineStr">
        <is>
          <t>ayd_girisBeklenen</t>
        </is>
      </c>
      <c r="B21" s="41" t="n">
        <v>8</v>
      </c>
      <c r="C21" s="23" t="inlineStr">
        <is>
          <t>adet</t>
        </is>
      </c>
      <c r="D21" s="23" t="inlineStr">
        <is>
          <t>Zorunlu giriş alanı sayısı</t>
        </is>
      </c>
      <c r="E21" s="23" t="inlineStr">
        <is>
          <t>Ürün mimarisi</t>
        </is>
      </c>
      <c r="F21" s="23" t="inlineStr">
        <is>
          <t>01.01.2025</t>
        </is>
      </c>
      <c r="G21" s="23" t="inlineStr">
        <is>
          <t>14.08.2026</t>
        </is>
      </c>
      <c r="H21" s="62">
        <f>IF(A21="","",IF(B21="","EKSİK","TAM"))</f>
        <v/>
      </c>
    </row>
    <row r="22">
      <c r="A22" s="23" t="inlineStr">
        <is>
          <t>ayd_riskDusuk</t>
        </is>
      </c>
      <c r="B22" s="41" t="n">
        <v>15</v>
      </c>
      <c r="C22" s="23" t="inlineStr">
        <is>
          <t>puan</t>
        </is>
      </c>
      <c r="D22" s="23" t="inlineStr">
        <is>
          <t>Düşük risk skoru</t>
        </is>
      </c>
      <c r="E22" s="23" t="inlineStr">
        <is>
          <t>İç politika</t>
        </is>
      </c>
      <c r="F22" s="23" t="inlineStr">
        <is>
          <t>01.01.2025</t>
        </is>
      </c>
      <c r="G22" s="23" t="inlineStr">
        <is>
          <t>14.08.2026</t>
        </is>
      </c>
      <c r="H22" s="62">
        <f>IF(A22="","",IF(B22="","EKSİK","TAM"))</f>
        <v/>
      </c>
    </row>
    <row r="23">
      <c r="A23" s="23" t="inlineStr">
        <is>
          <t>ayd_riskOrta</t>
        </is>
      </c>
      <c r="B23" s="41" t="n">
        <v>55</v>
      </c>
      <c r="C23" s="23" t="inlineStr">
        <is>
          <t>puan</t>
        </is>
      </c>
      <c r="D23" s="23" t="inlineStr">
        <is>
          <t>Orta risk skoru</t>
        </is>
      </c>
      <c r="E23" s="23" t="inlineStr">
        <is>
          <t>İç politika</t>
        </is>
      </c>
      <c r="F23" s="23" t="inlineStr">
        <is>
          <t>01.01.2025</t>
        </is>
      </c>
      <c r="G23" s="23" t="inlineStr">
        <is>
          <t>14.08.2026</t>
        </is>
      </c>
      <c r="H23" s="62">
        <f>IF(A23="","",IF(B23="","EKSİK","TAM"))</f>
        <v/>
      </c>
    </row>
    <row r="24">
      <c r="A24" s="23" t="inlineStr">
        <is>
          <t>ayd_riskYuksek</t>
        </is>
      </c>
      <c r="B24" s="41" t="n">
        <v>85</v>
      </c>
      <c r="C24" s="23" t="inlineStr">
        <is>
          <t>puan</t>
        </is>
      </c>
      <c r="D24" s="23" t="inlineStr">
        <is>
          <t>Yüksek risk skoru</t>
        </is>
      </c>
      <c r="E24" s="23" t="inlineStr">
        <is>
          <t>İç politika</t>
        </is>
      </c>
      <c r="F24" s="23" t="inlineStr">
        <is>
          <t>01.01.2025</t>
        </is>
      </c>
      <c r="G24" s="23" t="inlineStr">
        <is>
          <t>14.08.2026</t>
        </is>
      </c>
      <c r="H24" s="62">
        <f>IF(A24="","",IF(B24="","EKSİK","TAM"))</f>
        <v/>
      </c>
    </row>
    <row r="25">
      <c r="A25" s="23" t="inlineStr">
        <is>
          <t>ayd_kararEsik</t>
        </is>
      </c>
      <c r="B25" s="64" t="n">
        <v>25000</v>
      </c>
      <c r="C25" s="23" t="inlineStr">
        <is>
          <t>TL</t>
        </is>
      </c>
      <c r="D25" s="23" t="inlineStr">
        <is>
          <t>YAP/BEKLE fayda fark eşiği</t>
        </is>
      </c>
      <c r="E25" s="23" t="inlineStr">
        <is>
          <t>İç politika</t>
        </is>
      </c>
      <c r="F25" s="23" t="inlineStr">
        <is>
          <t>01.01.2025</t>
        </is>
      </c>
      <c r="G25" s="23" t="inlineStr">
        <is>
          <t>14.08.2026</t>
        </is>
      </c>
      <c r="H25" s="62">
        <f>IF(A25="","",IF(B25="","EKSİK","TAM"))</f>
        <v/>
      </c>
    </row>
    <row r="26">
      <c r="A26" s="23" t="inlineStr">
        <is>
          <t>ayd_yilTaban</t>
        </is>
      </c>
      <c r="B26" s="41" t="n">
        <v>2024</v>
      </c>
      <c r="C26" s="23" t="inlineStr">
        <is>
          <t>yıl</t>
        </is>
      </c>
      <c r="D26" s="23" t="inlineStr">
        <is>
          <t>CHOOSE yıl tabanı (hesapYili−taban)</t>
        </is>
      </c>
      <c r="E26" s="23" t="inlineStr">
        <is>
          <t>Ürün mimarisi</t>
        </is>
      </c>
      <c r="F26" s="23" t="inlineStr">
        <is>
          <t>01.01.2025</t>
        </is>
      </c>
      <c r="G26" s="23" t="inlineStr">
        <is>
          <t>14.08.2026</t>
        </is>
      </c>
      <c r="H26" s="62">
        <f>IF(A26="","",IF(B26="","EKSİK","TAM"))</f>
        <v/>
      </c>
    </row>
    <row r="27">
      <c r="A27" s="23" t="inlineStr">
        <is>
          <t>ayd_yuvarMax</t>
        </is>
      </c>
      <c r="B27" s="41" t="n">
        <v>10</v>
      </c>
      <c r="C27" s="23" t="inlineStr">
        <is>
          <t>adet</t>
        </is>
      </c>
      <c r="D27" s="23" t="inlineStr">
        <is>
          <t>ROUND basamak tavanı</t>
        </is>
      </c>
      <c r="E27" s="23" t="inlineStr">
        <is>
          <t>Ürün mimarisi</t>
        </is>
      </c>
      <c r="F27" s="23" t="inlineStr">
        <is>
          <t>01.01.2025</t>
        </is>
      </c>
      <c r="G27" s="23" t="inlineStr">
        <is>
          <t>14.08.2026</t>
        </is>
      </c>
      <c r="H27" s="62">
        <f>IF(A27="","",IF(B27="","EKSİK","TAM"))</f>
        <v/>
      </c>
    </row>
    <row r="28">
      <c r="A28" s="23" t="inlineStr">
        <is>
          <t>vaka_maliyet_1</t>
        </is>
      </c>
      <c r="B28" s="64" t="n">
        <v>1000000</v>
      </c>
      <c r="C28" s="23" t="inlineStr">
        <is>
          <t>TL</t>
        </is>
      </c>
      <c r="D28" s="23" t="inlineStr">
        <is>
          <t>Vaka1 maliyet</t>
        </is>
      </c>
      <c r="E28" s="23" t="inlineStr">
        <is>
          <t>Tebliğ örneği</t>
        </is>
      </c>
      <c r="F28" s="23" t="inlineStr">
        <is>
          <t>01.01.2025</t>
        </is>
      </c>
      <c r="G28" s="23" t="inlineStr">
        <is>
          <t>14.08.2026</t>
        </is>
      </c>
      <c r="H28" s="62">
        <f>IF(A28="","",IF(B28="","EKSİK","TAM"))</f>
        <v/>
      </c>
    </row>
    <row r="29">
      <c r="A29" s="23" t="inlineStr">
        <is>
          <t>vaka_endeks_1</t>
        </is>
      </c>
      <c r="B29" s="39" t="n">
        <v>1.45</v>
      </c>
      <c r="C29" s="23" t="inlineStr">
        <is>
          <t>çarpan</t>
        </is>
      </c>
      <c r="D29" s="23" t="inlineStr">
        <is>
          <t>Vaka1 endeks</t>
        </is>
      </c>
      <c r="E29" s="23" t="inlineStr">
        <is>
          <t>Tebliğ örneği</t>
        </is>
      </c>
      <c r="F29" s="23" t="inlineStr">
        <is>
          <t>01.01.2025</t>
        </is>
      </c>
      <c r="G29" s="23" t="inlineStr">
        <is>
          <t>14.08.2026</t>
        </is>
      </c>
      <c r="H29" s="62">
        <f>IF(A29="","",IF(B29="","EKSİK","TAM"))</f>
        <v/>
      </c>
    </row>
    <row r="30">
      <c r="A30" s="23" t="inlineStr">
        <is>
          <t>vaka_maliyet_2</t>
        </is>
      </c>
      <c r="B30" s="64" t="n">
        <v>2000000</v>
      </c>
      <c r="C30" s="23" t="inlineStr">
        <is>
          <t>TL</t>
        </is>
      </c>
      <c r="D30" s="23" t="inlineStr">
        <is>
          <t>Vaka2 maliyet</t>
        </is>
      </c>
      <c r="E30" s="23" t="inlineStr">
        <is>
          <t>Tebliğ örneği</t>
        </is>
      </c>
      <c r="F30" s="23" t="inlineStr">
        <is>
          <t>01.01.2025</t>
        </is>
      </c>
      <c r="G30" s="23" t="inlineStr">
        <is>
          <t>14.08.2026</t>
        </is>
      </c>
      <c r="H30" s="62">
        <f>IF(A30="","",IF(B30="","EKSİK","TAM"))</f>
        <v/>
      </c>
    </row>
    <row r="31">
      <c r="A31" s="23" t="inlineStr">
        <is>
          <t>vaka_endeks_2</t>
        </is>
      </c>
      <c r="B31" s="39" t="n">
        <v>1.2</v>
      </c>
      <c r="C31" s="23" t="inlineStr">
        <is>
          <t>çarpan</t>
        </is>
      </c>
      <c r="D31" s="23" t="inlineStr">
        <is>
          <t>Vaka2 endeks</t>
        </is>
      </c>
      <c r="E31" s="23" t="inlineStr">
        <is>
          <t>Tebliğ örneği</t>
        </is>
      </c>
      <c r="F31" s="23" t="inlineStr">
        <is>
          <t>01.01.2025</t>
        </is>
      </c>
      <c r="G31" s="23" t="inlineStr">
        <is>
          <t>14.08.2026</t>
        </is>
      </c>
      <c r="H31" s="62">
        <f>IF(A31="","",IF(B31="","EKSİK","TAM"))</f>
        <v/>
      </c>
    </row>
    <row r="32">
      <c r="A32" s="23" t="inlineStr">
        <is>
          <t>vaka_maliyet_3</t>
        </is>
      </c>
      <c r="B32" s="64" t="n">
        <v>500000</v>
      </c>
      <c r="C32" s="23" t="inlineStr">
        <is>
          <t>TL</t>
        </is>
      </c>
      <c r="D32" s="23" t="inlineStr">
        <is>
          <t>Vaka3 maliyet</t>
        </is>
      </c>
      <c r="E32" s="23" t="inlineStr">
        <is>
          <t>Tebliğ örneği</t>
        </is>
      </c>
      <c r="F32" s="23" t="inlineStr">
        <is>
          <t>01.01.2025</t>
        </is>
      </c>
      <c r="G32" s="23" t="inlineStr">
        <is>
          <t>14.08.2026</t>
        </is>
      </c>
      <c r="H32" s="62">
        <f>IF(A32="","",IF(B32="","EKSİK","TAM"))</f>
        <v/>
      </c>
    </row>
    <row r="33">
      <c r="A33" s="23" t="inlineStr">
        <is>
          <t>vaka_endeks_3</t>
        </is>
      </c>
      <c r="B33" s="39" t="n">
        <v>1.1</v>
      </c>
      <c r="C33" s="23" t="inlineStr">
        <is>
          <t>çarpan</t>
        </is>
      </c>
      <c r="D33" s="23" t="inlineStr">
        <is>
          <t>Vaka3 endeks</t>
        </is>
      </c>
      <c r="E33" s="23" t="inlineStr">
        <is>
          <t>Tebliğ örneği</t>
        </is>
      </c>
      <c r="F33" s="23" t="inlineStr">
        <is>
          <t>01.01.2025</t>
        </is>
      </c>
      <c r="G33" s="23" t="inlineStr">
        <is>
          <t>14.08.2026</t>
        </is>
      </c>
      <c r="H33" s="62">
        <f>IF(A33="","",IF(B33="","EKSİK","TAM"))</f>
        <v/>
      </c>
    </row>
    <row r="35">
      <c r="B35" s="66" t="inlineStr">
        <is>
          <t>Parametre satırları yukarıda; ad tanımları B kolonuna bağlı.</t>
        </is>
      </c>
    </row>
    <row r="37">
      <c r="B37" s="59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112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6" t="inlineStr">
        <is>
          <t>KILAVUZ — Amortisman + 2026 Yeniden Değerleme</t>
        </is>
      </c>
    </row>
    <row r="3">
      <c r="A3" s="20" t="inlineStr">
        <is>
          <t>Karar kuralları</t>
        </is>
      </c>
    </row>
    <row r="5">
      <c r="A5" s="45" t="inlineStr">
        <is>
          <t>• VERİ YOK — giriş tablosu boşsa hesap yapılmaz.</t>
        </is>
      </c>
    </row>
    <row r="6">
      <c r="A6" s="45" t="inlineStr">
        <is>
          <t>• YAP — yeniden değerleme farkı pozitif ve yol farkı eşik dışı; 298/Ç veya Geç.32 uygulanır.</t>
        </is>
      </c>
    </row>
    <row r="7">
      <c r="A7" s="45" t="inlineStr">
        <is>
          <t>• YAPMA — endeks artışı yok veya fark sıfır; yeniden değerleme yapılmamalı.</t>
        </is>
      </c>
    </row>
    <row r="8">
      <c r="A8" s="45" t="inlineStr">
        <is>
          <t>• BEKLE — 298/Ç ve Geç.32 net faydaları eşik içinde; öncelik ve amortisman cetveli gözden geçirilir.</t>
        </is>
      </c>
    </row>
    <row r="9">
      <c r="A9" s="45" t="inlineStr">
        <is>
          <t>• AMORTISMAN — yıllık amortisman cetveli yeniden değerleme öncesi/sonrası yan yanadır.</t>
        </is>
      </c>
    </row>
    <row r="11">
      <c r="A11" s="67" t="inlineStr">
        <is>
          <t>Belirsizlik beyanları (M05)</t>
        </is>
      </c>
    </row>
    <row r="12">
      <c r="A12" s="68" t="inlineStr">
        <is>
          <t>Bu nokta mevzuatta tartışmalıdır; dosya yorum A ve yorum B sonucunu yan yana gösterir: gec32_vs_298c_oncelik</t>
        </is>
      </c>
    </row>
    <row r="14">
      <c r="A14" s="9" t="inlineStr">
        <is>
          <t>Yorum A</t>
        </is>
      </c>
      <c r="B14" s="45" t="inlineStr">
        <is>
          <t>298/Ç yolu öncelikli değerlendirilir. Fon yükü düşük; özkaynak artışı ana ölçüttür. Bu nokta mevzuatta tartışmalıdır; sonuç yorum B ile yan yana okunmalıdır.</t>
        </is>
      </c>
    </row>
    <row r="15">
      <c r="A15" s="9" t="inlineStr">
        <is>
          <t>Yorum B</t>
        </is>
      </c>
      <c r="B15" s="45" t="inlineStr">
        <is>
          <t>Geçici 32 yolu öncelikli değerlendirilir. Fon vergisi nakit çıkışıdır; ek amortisman vergi tasarrufu net faydaya eklenir. Dosya her iki yorumun sonucunu MOTOR'da üretir.</t>
        </is>
      </c>
    </row>
    <row r="17">
      <c r="A17" s="9" t="inlineStr">
        <is>
          <t>Kullanım sırası</t>
        </is>
      </c>
    </row>
    <row r="18">
      <c r="A18" s="45" t="inlineStr">
        <is>
          <t>PANO → GIRDI → AMORTISMAN → KURALLAR → MOTOR → SENARYO → VAKALAR → KANIT_RAPORU → AYARLAR → KILAVUZ.</t>
        </is>
      </c>
    </row>
    <row r="20">
      <c r="A20" s="6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B15:J15"/>
    <mergeCell ref="A8:T8"/>
    <mergeCell ref="A6:T6"/>
    <mergeCell ref="A9:T9"/>
    <mergeCell ref="A12:T12"/>
    <mergeCell ref="A18:J18"/>
    <mergeCell ref="B14:J14"/>
    <mergeCell ref="A1:I1"/>
    <mergeCell ref="A7:T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2026-08-14T18:40:09Z</dcterms:created>
  <dcterms:modified xmlns:dcterms="http://purl.org/dc/terms/" xmlns:xsi="http://www.w3.org/2001/XMLSchema-instance" xsi:type="dcterms:W3CDTF">2026-09-25T22:34:02Z</dcterms:modified>
</cp:coreProperties>
</file>