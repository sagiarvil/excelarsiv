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4.xml" ContentType="application/vnd.openxmlformats-officedocument.spreadsheetml.comments+xml"/>
  <Override PartName="/xl/worksheets/sheet19.xml" ContentType="application/vnd.openxmlformats-officedocument.spreadsheetml.worksheet+xml"/>
  <Override PartName="/xl/comments/comment5.xml" ContentType="application/vnd.openxmlformats-officedocument.spreadsheetml.comments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HIZLI_BASLANGIC" sheetId="5" state="hidden" r:id="rId5"/>
    <sheet xmlns:r="http://schemas.openxmlformats.org/officeDocument/2006/relationships" name="KIYMET_LISTESI" sheetId="6" state="hidden" r:id="rId6"/>
    <sheet xmlns:r="http://schemas.openxmlformats.org/officeDocument/2006/relationships" name="HESAP" sheetId="7" state="hidden" r:id="rId7"/>
    <sheet xmlns:r="http://schemas.openxmlformats.org/officeDocument/2006/relationships" name="ANALITIK_MOTOR" sheetId="8" state="hidden" r:id="rId8"/>
    <sheet xmlns:r="http://schemas.openxmlformats.org/officeDocument/2006/relationships" name="KONTROLLER" sheetId="9" state="hidden" r:id="rId9"/>
    <sheet xmlns:r="http://schemas.openxmlformats.org/officeDocument/2006/relationships" name="KARAR" sheetId="10" state="hidden" r:id="rId10"/>
    <sheet xmlns:r="http://schemas.openxmlformats.org/officeDocument/2006/relationships" name="PANO" sheetId="11" state="hidden" r:id="rId11"/>
    <sheet xmlns:r="http://schemas.openxmlformats.org/officeDocument/2006/relationships" name="SENARYO_DUYARLILIK" sheetId="12" state="hidden" r:id="rId12"/>
    <sheet xmlns:r="http://schemas.openxmlformats.org/officeDocument/2006/relationships" name="RAPOR" sheetId="13" state="hidden" r:id="rId13"/>
    <sheet xmlns:r="http://schemas.openxmlformats.org/officeDocument/2006/relationships" name="ORNEK_VERI" sheetId="14" state="hidden" r:id="rId14"/>
    <sheet xmlns:r="http://schemas.openxmlformats.org/officeDocument/2006/relationships" name="KURALLAR" sheetId="15" state="hidden" r:id="rId15"/>
    <sheet xmlns:r="http://schemas.openxmlformats.org/officeDocument/2006/relationships" name="VAKALAR" sheetId="16" state="hidden" r:id="rId16"/>
    <sheet xmlns:r="http://schemas.openxmlformats.org/officeDocument/2006/relationships" name="DEGISIKLIK_KAYDI" sheetId="17" state="hidden" r:id="rId17"/>
    <sheet xmlns:r="http://schemas.openxmlformats.org/officeDocument/2006/relationships" name="LISTELER" sheetId="18" state="hidden" r:id="rId18"/>
    <sheet xmlns:r="http://schemas.openxmlformats.org/officeDocument/2006/relationships" name="AYARLAR" sheetId="19" state="hidden" r:id="rId19"/>
    <sheet xmlns:r="http://schemas.openxmlformats.org/officeDocument/2006/relationships" name="KILAVUZ" sheetId="20" state="hidden" r:id="rId20"/>
  </sheets>
  <definedNames>
    <definedName name="AmortismanAksiyon1_ACIKLAMA" hidden="0" function="0" vbProcedure="0">AYARLAR!$B$31</definedName>
    <definedName name="AmortismanAksiyon2_ACIKLAMA" hidden="0" function="0" vbProcedure="0">AYARLAR!$B$32</definedName>
    <definedName name="AmortismanAksiyon3_ACIKLAMA" hidden="0" function="0" vbProcedure="0">AYARLAR!$B$33</definedName>
    <definedName name="AmortismanAzalanCarpan" hidden="0" function="0" vbProcedure="0">AYARLAR!$B$13</definedName>
    <definedName name="AmortismanDoluGiris" hidden="0" function="0" vbProcedure="0">KONTROLLER!$B$18</definedName>
    <definedName name="AmortismanDosyaSurumu" hidden="0" function="0" vbProcedure="0">AYARLAR!$B$10</definedName>
    <definedName name="AmortismanEnIyiCeyrek" hidden="0" function="0" vbProcedure="0">HESAP!$B$66</definedName>
    <definedName name="AmortismanIskontoOrani" hidden="0" function="0" vbProcedure="0">AYARLAR!$B$12</definedName>
    <definedName name="AmortismanKaliteIyi" hidden="0" function="0" vbProcedure="0">AYARLAR!$B$23</definedName>
    <definedName name="AmortismanKaliteOrta" hidden="0" function="0" vbProcedure="0">AYARLAR!$B$24</definedName>
    <definedName name="AmortismanKurumlarVergiOran" hidden="0" function="0" vbProcedure="0">AYARLAR!$B$11</definedName>
    <definedName name="AmortismanKiyametSayisi" hidden="0" function="0" vbProcedure="0">HESAP!$B$19</definedName>
    <definedName name="AmortismanNakitEsik" hidden="0" function="0" vbProcedure="0">AYARLAR!$B$25</definedName>
    <definedName name="AmortismanNbd1C" hidden="0" function="0" vbProcedure="0">HESAP!$B$62</definedName>
    <definedName name="AmortismanNbd2C" hidden="0" function="0" vbProcedure="0">HESAP!$B$63</definedName>
    <definedName name="AmortismanNbd3C" hidden="0" function="0" vbProcedure="0">HESAP!$B$64</definedName>
    <definedName name="AmortismanNbd4C" hidden="0" function="0" vbProcedure="0">HESAP!$B$65</definedName>
    <definedName name="AmortismanNbdEnIyi" hidden="0" function="0" vbProcedure="0">HESAP!$B$67</definedName>
    <definedName name="AmortismanNbdFarki" hidden="0" function="0" vbProcedure="0">HESAP!$B$68</definedName>
    <definedName name="AmortismanNetNakit1C" hidden="0" function="0" vbProcedure="0">HESAP!$B$28</definedName>
    <definedName name="AmortismanNetNakit2C" hidden="0" function="0" vbProcedure="0">HESAP!$B$36</definedName>
    <definedName name="AmortismanNetNakit3C" hidden="0" function="0" vbProcedure="0">HESAP!$B$44</definedName>
    <definedName name="AmortismanNetNakit4C" hidden="0" function="0" vbProcedure="0">HESAP!$B$52</definedName>
    <definedName name="AmortismanNetNakitEnIyi" hidden="0" function="0" vbProcedure="0">HESAP!$B$60</definedName>
    <definedName name="AmortismanP90Oran" hidden="0" function="0" vbProcedure="0">AYARLAR!$B$26</definedName>
    <definedName name="AmortismanPanelSatir1" hidden="0" function="0" vbProcedure="0">AYARLAR!$B$35</definedName>
    <definedName name="AmortismanPanelSatir10" hidden="0" function="0" vbProcedure="0">AYARLAR!$B$44</definedName>
    <definedName name="AmortismanPanelSatir11" hidden="0" function="0" vbProcedure="0">AYARLAR!$B$45</definedName>
    <definedName name="AmortismanPanelSatir12" hidden="0" function="0" vbProcedure="0">AYARLAR!$B$46</definedName>
    <definedName name="AmortismanPanelSatir2" hidden="0" function="0" vbProcedure="0">AYARLAR!$B$36</definedName>
    <definedName name="AmortismanPanelSatir3" hidden="0" function="0" vbProcedure="0">AYARLAR!$B$37</definedName>
    <definedName name="AmortismanPanelSatir4" hidden="0" function="0" vbProcedure="0">AYARLAR!$B$38</definedName>
    <definedName name="AmortismanPanelSatir5" hidden="0" function="0" vbProcedure="0">AYARLAR!$B$39</definedName>
    <definedName name="AmortismanPanelSatir6" hidden="0" function="0" vbProcedure="0">AYARLAR!$B$40</definedName>
    <definedName name="AmortismanPanelSatir7" hidden="0" function="0" vbProcedure="0">AYARLAR!$B$41</definedName>
    <definedName name="AmortismanPanelSatir8" hidden="0" function="0" vbProcedure="0">AYARLAR!$B$42</definedName>
    <definedName name="AmortismanPanelSatir9" hidden="0" function="0" vbProcedure="0">AYARLAR!$B$43</definedName>
    <definedName name="AmortismanRaporHazirlayan" hidden="0" function="0" vbProcedure="0">AYARLAR!$B$9</definedName>
    <definedName name="AmortismanRaporTarihi" hidden="0" function="0" vbProcedure="0">AYARLAR!$B$8</definedName>
    <definedName name="AmortismanTahminCarpan" hidden="0" function="0" vbProcedure="0">AYARLAR!$B$22</definedName>
    <definedName name="AmortismanTemelKolonSayisi" hidden="0" function="0" vbProcedure="0">AYARLAR!$B$27</definedName>
    <definedName name="AmortismanToplamBirikmis" hidden="0" function="0" vbProcedure="0">HESAP!$B$15</definedName>
    <definedName name="AmortismanToplamEdinim" hidden="0" function="0" vbProcedure="0">HESAP!$B$14</definedName>
    <definedName name="AmortismanToplamGiris" hidden="0" function="0" vbProcedure="0">KONTROLLER!$B$17</definedName>
    <definedName name="AmortismanToplamNdd" hidden="0" function="0" vbProcedure="0">HESAP!$B$16</definedName>
    <definedName name="AmortismanToplamSatis" hidden="0" function="0" vbProcedure="0">HESAP!$B$18</definedName>
    <definedName name="AmortismanToplamYillik" hidden="0" function="0" vbProcedure="0">HESAP!$B$17</definedName>
    <definedName name="AmortismanTornadoOran" hidden="0" function="0" vbProcedure="0">AYARLAR!$B$28</definedName>
    <definedName name="AmortismanTornadoVergi" hidden="0" function="0" vbProcedure="0">AYARLAR!$B$29</definedName>
    <definedName name="AmortismanTurSayisi" hidden="0" function="0" vbProcedure="0">HESAP!$B$20</definedName>
    <definedName name="AmortismanYuksekNddEsik" hidden="0" function="0" vbProcedure="0">AYARLAR!$B$30</definedName>
    <definedName name="DosyaSurumu" hidden="0" function="0" vbProcedure="0">AYARLAR!$B$10</definedName>
    <definedName name="FirmaUnvan" hidden="0" function="0" vbProcedure="0">AYARLAR!$B$7</definedName>
    <definedName name="kuralIdReferans" hidden="0" function="0" vbProcedure="0">KURALLAR!$A$4</definedName>
    <definedName name="KistCeyrek1" hidden="0" function="0" vbProcedure="0">AYARLAR!$B$14</definedName>
    <definedName name="KistCeyrek2" hidden="0" function="0" vbProcedure="0">AYARLAR!$B$15</definedName>
    <definedName name="KistCeyrek3" hidden="0" function="0" vbProcedure="0">AYARLAR!$B$16</definedName>
    <definedName name="KistCeyrek4" hidden="0" function="0" vbProcedure="0">AYARLAR!$B$17</definedName>
    <definedName name="ListeAmortismanYontemleri" hidden="0" function="0" vbProcedure="0">LISTELER!$C$7:$C$8</definedName>
    <definedName name="ListeCeyrekler" hidden="0" function="0" vbProcedure="0">LISTELER!$E$7:$E$10</definedName>
    <definedName name="ListeKiyametTurleri" hidden="0" function="0" vbProcedure="0">LISTELER!$A$7:$A$12</definedName>
    <definedName name="modulI1AmortismanTahmin" hidden="0" function="0" vbProcedure="0">ANALITIK_MOTOR!$C$13</definedName>
    <definedName name="modulI1AmortismanTahminYorum" hidden="0" function="0" vbProcedure="0">ANALITIK_MOTOR!$D$13</definedName>
    <definedName name="modulI2YuzdelikP90" hidden="0" function="0" vbProcedure="0">ANALITIK_MOTOR!$C$14</definedName>
    <definedName name="modulI2YuzdelikP90Yorum" hidden="0" function="0" vbProcedure="0">ANALITIK_MOTOR!$D$14</definedName>
    <definedName name="modulI3NbdFarki" hidden="0" function="0" vbProcedure="0">ANALITIK_MOTOR!$C$15</definedName>
    <definedName name="modulI3NbdFarkiYorum" hidden="0" function="0" vbProcedure="0">ANALITIK_MOTOR!$D$15</definedName>
    <definedName name="modulO1Anomali" hidden="0" function="0" vbProcedure="0">ANALITIK_MOTOR!$C$8</definedName>
    <definedName name="modulO1AnomaliYorum" hidden="0" function="0" vbProcedure="0">ANALITIK_MOTOR!$D$8</definedName>
    <definedName name="modulO2EnYuksekKar" hidden="0" function="0" vbProcedure="0">ANALITIK_MOTOR!$C$9</definedName>
    <definedName name="modulO2EnYuksekKarYorum" hidden="0" function="0" vbProcedure="0">ANALITIK_MOTOR!$D$9</definedName>
    <definedName name="modulO3Senaryo" hidden="0" function="0" vbProcedure="0">ANALITIK_MOTOR!$C$10</definedName>
    <definedName name="modulO3SenaryoYorum" hidden="0" function="0" vbProcedure="0">ANALITIK_MOTOR!$D$10</definedName>
    <definedName name="modulO6Hhi" hidden="0" function="0" vbProcedure="0">ANALITIK_MOTOR!$C$11</definedName>
    <definedName name="modulO6HhiYorum" hidden="0" function="0" vbProcedure="0">ANALITIK_MOTOR!$D$11</definedName>
    <definedName name="modulO8KaliteSkor" hidden="0" function="0" vbProcedure="0">ANALITIK_MOTOR!$C$12</definedName>
    <definedName name="modulO8KaliteSkorYorum" hidden="0" function="0" vbProcedure="0">ANALITIK_MOTOR!$D$12</definedName>
    <definedName name="modulT1ZamOrani" hidden="0" function="0" vbProcedure="0">ANALITIK_MOTOR!$C$6</definedName>
    <definedName name="modulT1ZamOraniYorum" hidden="0" function="0" vbProcedure="0">ANALITIK_MOTOR!$D$6</definedName>
    <definedName name="modulT2OrtalamaNdd" hidden="0" function="0" vbProcedure="0">ANALITIK_MOTOR!$C$7</definedName>
    <definedName name="modulT2OrtalamaNddYorum" hidden="0" function="0" vbProcedure="0">ANALITIK_MOTOR!$D$7</definedName>
    <definedName name="RaporHazirlayan" hidden="0" function="0" vbProcedure="0">AYARLAR!$B$9</definedName>
    <definedName name="RaporTarihi" hidden="0" function="0" vbProcedure="0">AYARLAR!$B$8</definedName>
    <definedName name="SenBazSatis" hidden="0" function="0" vbProcedure="0">AYARLAR!$B$19</definedName>
    <definedName name="SenIyiSatis" hidden="0" function="0" vbProcedure="0">AYARLAR!$B$18</definedName>
    <definedName name="SenKotuSatis" hidden="0" function="0" vbProcedure="0">AYARLAR!$B$20</definedName>
    <definedName name="SenKritikSatis" hidden="0" function="0" vbProcedure="0">AYARLAR!$B$21</definedName>
    <definedName name="_xlnm.Print_Area" localSheetId="10">'PANO'!$A$1:$M$50</definedName>
    <definedName name="_xlnm.Print_Area" localSheetId="12">'RAPOR'!$A$1:$L$29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&quot;₺ &quot;#,##0;[RED]&quot;(₺ &quot;#,##0\);\-"/>
    <numFmt numFmtId="166" formatCode="0.0%;[RED]\(0.0%\);\-"/>
    <numFmt numFmtId="167" formatCode="#,##0 &quot;TL&quot;"/>
    <numFmt numFmtId="168" formatCode="0.0%"/>
  </numFmts>
  <fonts count="5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11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6" fontId="0" fillId="0" borderId="0" applyAlignment="1" applyProtection="1" pivotButton="0" quotePrefix="0" xfId="0">
      <alignment horizontal="general" vertical="bottom"/>
      <protection locked="0" hidden="0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6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20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165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3" fontId="2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164" fontId="22" fillId="0" borderId="0" applyAlignment="1" pivotButton="0" quotePrefix="0" xfId="0">
      <alignment horizontal="left" vertical="center"/>
    </xf>
    <xf numFmtId="165" fontId="22" fillId="0" borderId="0" applyAlignment="1" pivotButton="0" quotePrefix="0" xfId="0">
      <alignment horizontal="left" vertical="center"/>
    </xf>
    <xf numFmtId="166" fontId="22" fillId="0" borderId="0" applyAlignment="1" pivotButton="0" quotePrefix="0" xfId="0">
      <alignment horizontal="left" vertical="center"/>
    </xf>
    <xf numFmtId="165" fontId="0" fillId="4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22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31" fillId="5" borderId="0" applyAlignment="1" applyProtection="1" pivotButton="0" quotePrefix="0" xfId="0">
      <alignment horizontal="left" vertical="center"/>
      <protection locked="0" hidden="0"/>
    </xf>
    <xf numFmtId="166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165" fontId="31" fillId="5" borderId="0" applyAlignment="1" applyProtection="1" pivotButton="0" quotePrefix="0" xfId="0">
      <alignment horizontal="left" vertical="center"/>
      <protection locked="0" hidden="0"/>
    </xf>
    <xf numFmtId="0" fontId="31" fillId="5" borderId="0" applyAlignment="1" applyProtection="1" pivotButton="0" quotePrefix="0" xfId="0">
      <alignment horizontal="general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2" fillId="5" borderId="0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32" fillId="8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pivotButton="0" quotePrefix="0" xfId="0"/>
    <xf numFmtId="0" fontId="40" fillId="0" borderId="0" pivotButton="0" quotePrefix="0" xfId="0"/>
    <xf numFmtId="0" fontId="35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40" fillId="9" borderId="0" applyAlignment="1" pivotButton="0" quotePrefix="0" xfId="0">
      <alignment horizontal="center" vertical="center" wrapText="1"/>
    </xf>
    <xf numFmtId="0" fontId="36" fillId="0" borderId="0" pivotButton="0" quotePrefix="0" xfId="0"/>
    <xf numFmtId="0" fontId="37" fillId="0" borderId="0" pivotButton="0" quotePrefix="0" xfId="0"/>
    <xf numFmtId="0" fontId="39" fillId="0" borderId="0" pivotButton="0" quotePrefix="0" xfId="0"/>
    <xf numFmtId="0" fontId="41" fillId="0" borderId="0" pivotButton="0" quotePrefix="0" xfId="0"/>
    <xf numFmtId="0" fontId="42" fillId="8" borderId="0" applyAlignment="1" pivotButton="0" quotePrefix="0" xfId="0">
      <alignment horizontal="center" vertical="center"/>
    </xf>
    <xf numFmtId="0" fontId="43" fillId="0" borderId="0" pivotButton="0" quotePrefix="0" xfId="0"/>
    <xf numFmtId="167" fontId="43" fillId="0" borderId="0" pivotButton="0" quotePrefix="0" xfId="0"/>
    <xf numFmtId="167" fontId="44" fillId="0" borderId="0" pivotButton="0" quotePrefix="0" xfId="0"/>
    <xf numFmtId="168" fontId="43" fillId="0" borderId="0" pivotButton="0" quotePrefix="0" xfId="0"/>
    <xf numFmtId="0" fontId="45" fillId="0" borderId="0" pivotButton="0" quotePrefix="0" xfId="0"/>
    <xf numFmtId="0" fontId="46" fillId="0" borderId="0" pivotButton="0" quotePrefix="0" xfId="0"/>
    <xf numFmtId="0" fontId="47" fillId="8" borderId="0" applyAlignment="1" pivotButton="0" quotePrefix="0" xfId="0">
      <alignment horizontal="center" vertical="center"/>
    </xf>
    <xf numFmtId="0" fontId="42" fillId="8" borderId="0" applyAlignment="1" pivotButton="0" quotePrefix="0" xfId="0">
      <alignment horizontal="center"/>
    </xf>
    <xf numFmtId="0" fontId="44" fillId="0" borderId="0" pivotButton="0" quotePrefix="0" xfId="0"/>
    <xf numFmtId="0" fontId="48" fillId="10" borderId="1" pivotButton="0" quotePrefix="0" xfId="0"/>
    <xf numFmtId="0" fontId="49" fillId="0" borderId="0" pivotButton="0" quotePrefix="0" xfId="0"/>
    <xf numFmtId="0" fontId="50" fillId="0" borderId="0" pivotButton="0" quotePrefix="0" xfId="0"/>
    <xf numFmtId="0" fontId="43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general" vertical="bottom"/>
      <protection locked="0" hidden="0"/>
    </xf>
    <xf numFmtId="166" fontId="0" fillId="0" borderId="0" applyAlignment="1" applyProtection="1" pivotButton="0" quotePrefix="0" xfId="0">
      <alignment horizontal="general" vertical="bottom"/>
      <protection locked="0" hidden="0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166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20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165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3" fontId="2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164" fontId="22" fillId="0" borderId="0" applyAlignment="1" pivotButton="0" quotePrefix="0" xfId="0">
      <alignment horizontal="left" vertical="center"/>
    </xf>
    <xf numFmtId="165" fontId="22" fillId="0" borderId="0" applyAlignment="1" pivotButton="0" quotePrefix="0" xfId="0">
      <alignment horizontal="left" vertical="center"/>
    </xf>
    <xf numFmtId="166" fontId="22" fillId="0" borderId="0" applyAlignment="1" pivotButton="0" quotePrefix="0" xfId="0">
      <alignment horizontal="left" vertical="center"/>
    </xf>
    <xf numFmtId="165" fontId="0" fillId="4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22" fillId="5" borderId="0" applyAlignment="1" applyProtection="1" pivotButton="0" quotePrefix="0" xfId="0">
      <alignment horizontal="left" vertical="center"/>
      <protection locked="0" hidden="0"/>
    </xf>
    <xf numFmtId="0" fontId="30" fillId="7" borderId="0" applyAlignment="1" pivotButton="0" quotePrefix="0" xfId="0">
      <alignment horizontal="left" vertical="center" wrapText="1"/>
    </xf>
    <xf numFmtId="0" fontId="31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31" fillId="5" borderId="0" applyAlignment="1" applyProtection="1" pivotButton="0" quotePrefix="0" xfId="0">
      <alignment horizontal="left" vertical="center"/>
      <protection locked="0" hidden="0"/>
    </xf>
    <xf numFmtId="166" fontId="31" fillId="5" borderId="0" applyAlignment="1" applyProtection="1" pivotButton="0" quotePrefix="0" xfId="0">
      <alignment horizontal="left" vertical="center"/>
      <protection locked="0" hidden="0"/>
    </xf>
    <xf numFmtId="3" fontId="31" fillId="5" borderId="0" applyAlignment="1" applyProtection="1" pivotButton="0" quotePrefix="0" xfId="0">
      <alignment horizontal="left" vertical="center"/>
      <protection locked="0" hidden="0"/>
    </xf>
    <xf numFmtId="165" fontId="31" fillId="5" borderId="0" applyAlignment="1" applyProtection="1" pivotButton="0" quotePrefix="0" xfId="0">
      <alignment horizontal="left" vertical="center"/>
      <protection locked="0" hidden="0"/>
    </xf>
    <xf numFmtId="0" fontId="31" fillId="5" borderId="0" applyAlignment="1" applyProtection="1" pivotButton="0" quotePrefix="0" xfId="0">
      <alignment horizontal="general" vertical="center" wrapText="1"/>
      <protection locked="0" hidden="0"/>
    </xf>
    <xf numFmtId="0" fontId="30" fillId="7" borderId="0" applyAlignment="1" pivotButton="0" quotePrefix="0" xfId="0">
      <alignment horizontal="left" vertical="center"/>
    </xf>
    <xf numFmtId="3" fontId="22" fillId="5" borderId="0" applyAlignment="1" applyProtection="1" pivotButton="0" quotePrefix="0" xfId="0">
      <alignment horizontal="left" vertical="center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DE9E9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ont>
        <name val="Segoe UI"/>
        <charset val="1"/>
        <family val="0"/>
        <b val="1"/>
        <color rgb="FF1F7A4D"/>
        <sz val="10"/>
      </font>
      <fill>
        <patternFill>
          <bgColor rgb="FFE2EFDA"/>
        </patternFill>
      </fill>
    </dxf>
    <dxf>
      <fill>
        <patternFill>
          <bgColor rgb="00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79646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Kıymet Türü Edinim ve Birikmiş Amortisman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PANO!B10</f>
              <strCache>
                <ptCount val="1"/>
                <pt idx="0">
                  <v>Edinim (TL)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PANO!$A$11:$A$16</f>
              <strCache>
                <ptCount val="6"/>
                <pt idx="0">
                  <v>Bina</v>
                </pt>
                <pt idx="1">
                  <v>Makine</v>
                </pt>
                <pt idx="2">
                  <v>Taşıt</v>
                </pt>
                <pt idx="3">
                  <v>Demirbaş</v>
                </pt>
                <pt idx="4">
                  <v>Yazılım</v>
                </pt>
                <pt idx="5">
                  <v>Diğer</v>
                </pt>
              </strCache>
            </strRef>
          </cat>
          <val>
            <numRef>
              <f>PANO!$B$11:$B$16</f>
              <numCache>
                <formatCode>"₺ "#,##0;[RED]"(₺ "#,##0\);\-</formatCode>
                <ptCount val="6"/>
                <pt idx="0">
                  <v>2400000</v>
                </pt>
                <pt idx="1">
                  <v>1000000</v>
                </pt>
                <pt idx="2">
                  <v>350000</v>
                </pt>
                <pt idx="3">
                  <v>180000</v>
                </pt>
                <pt idx="4">
                  <v>120000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PANO!C10</f>
              <strCache>
                <ptCount val="1"/>
                <pt idx="0">
                  <v>Birikmiş Amortisman (TL)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PANO!$A$11:$A$16</f>
              <strCache>
                <ptCount val="6"/>
                <pt idx="0">
                  <v>Bina</v>
                </pt>
                <pt idx="1">
                  <v>Makine</v>
                </pt>
                <pt idx="2">
                  <v>Taşıt</v>
                </pt>
                <pt idx="3">
                  <v>Demirbaş</v>
                </pt>
                <pt idx="4">
                  <v>Yazılım</v>
                </pt>
                <pt idx="5">
                  <v>Diğer</v>
                </pt>
              </strCache>
            </strRef>
          </cat>
          <val>
            <numRef>
              <f>PANO!$C$11:$C$16</f>
              <numCache>
                <formatCode>"₺ "#,##0;[RED]"(₺ "#,##0\);\-</formatCode>
                <ptCount val="6"/>
                <pt idx="0">
                  <v>372000</v>
                </pt>
                <pt idx="1">
                  <v>803392</v>
                </pt>
                <pt idx="2">
                  <v>280000</v>
                </pt>
                <pt idx="3">
                  <v>108000</v>
                </pt>
                <pt idx="4">
                  <v>0</v>
                </pt>
                <pt idx="5">
                  <v>0</v>
                </pt>
              </numCache>
            </numRef>
          </val>
        </ser>
        <gapWidth val="150"/>
        <overlap val="0"/>
        <axId val="16509130"/>
        <axId val="88572369"/>
      </barChart>
      <catAx>
        <axId val="1650913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8572369"/>
        <crosses val="autoZero"/>
        <auto val="1"/>
        <lblAlgn val="ctr"/>
        <lblOffset val="100"/>
        <noMultiLvlLbl val="0"/>
      </catAx>
      <valAx>
        <axId val="8857236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650913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Net Defter Değeri Dağılımı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PANO!D10</f>
              <strCache>
                <ptCount val="1"/>
                <pt idx="0">
                  <v>NDD (TL)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BACC6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79646"/>
              </a:solidFill>
              <a:ln xmlns:a="http://schemas.openxmlformats.org/drawingml/2006/main" w="1260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PANO!$A$11:$A$16</f>
              <strCache>
                <ptCount val="6"/>
                <pt idx="0">
                  <v>Bina</v>
                </pt>
                <pt idx="1">
                  <v>Makine</v>
                </pt>
                <pt idx="2">
                  <v>Taşıt</v>
                </pt>
                <pt idx="3">
                  <v>Demirbaş</v>
                </pt>
                <pt idx="4">
                  <v>Yazılım</v>
                </pt>
                <pt idx="5">
                  <v>Diğer</v>
                </pt>
              </strCache>
            </strRef>
          </cat>
          <val>
            <numRef>
              <f>PANO!$D$11:$D$16</f>
              <numCache>
                <formatCode>"₺ "#,##0;[RED]"(₺ "#,##0\);\-</formatCode>
                <ptCount val="6"/>
                <pt idx="0">
                  <v>2028000</v>
                </pt>
                <pt idx="1">
                  <v>196608</v>
                </pt>
                <pt idx="2">
                  <v>70000</v>
                </pt>
                <pt idx="3">
                  <v>72000</v>
                </pt>
                <pt idx="4">
                  <v>120000</v>
                </pt>
                <pt idx="5">
                  <v>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Yıllık Amortisman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PANO!E10</f>
              <strCache>
                <ptCount val="1"/>
                <pt idx="0">
                  <v>Yıllık Amortisman (TL)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PANO!$A$11:$A$16</f>
              <strCache>
                <ptCount val="6"/>
                <pt idx="0">
                  <v>Bina</v>
                </pt>
                <pt idx="1">
                  <v>Makine</v>
                </pt>
                <pt idx="2">
                  <v>Taşıt</v>
                </pt>
                <pt idx="3">
                  <v>Demirbaş</v>
                </pt>
                <pt idx="4">
                  <v>Yazılım</v>
                </pt>
                <pt idx="5">
                  <v>Diğer</v>
                </pt>
              </strCache>
            </strRef>
          </cat>
          <val>
            <numRef>
              <f>PANO!$E$11:$E$16</f>
              <numCache>
                <formatCode>"₺ "#,##0;[RED]"(₺ "#,##0\);\-</formatCode>
                <ptCount val="6"/>
                <pt idx="0">
                  <v>48000</v>
                </pt>
                <pt idx="1">
                  <v>80768</v>
                </pt>
                <pt idx="2">
                  <v>70000</v>
                </pt>
                <pt idx="3">
                  <v>36000</v>
                </pt>
                <pt idx="4">
                  <v>0</v>
                </pt>
                <pt idx="5">
                  <v>0</v>
                </pt>
              </numCache>
            </numRef>
          </val>
        </ser>
        <gapWidth val="150"/>
        <overlap val="0"/>
        <axId val="32650269"/>
        <axId val="97984916"/>
      </barChart>
      <catAx>
        <axId val="3265026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7984916"/>
        <crosses val="autoZero"/>
        <auto val="1"/>
        <lblAlgn val="ctr"/>
        <lblOffset val="100"/>
        <noMultiLvlLbl val="0"/>
      </catAx>
      <valAx>
        <axId val="9798491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265026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Kıymet Kalemi Bazlı NDD Trendi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PANO!H20</f>
              <strCache>
                <ptCount val="1"/>
                <pt idx="0">
                  <v>NDD (TL)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PANO!$G$21:$G$32</f>
              <strCach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strCache>
            </strRef>
          </cat>
          <val>
            <numRef>
              <f>PANO!$H$21:$H$32</f>
              <numCache>
                <formatCode>"₺ "#,##0;[RED]"(₺ "#,##0\);\-</formatCode>
                <ptCount val="12"/>
                <pt idx="0">
                  <v>0</v>
                </pt>
                <pt idx="1">
                  <v>1290000</v>
                </pt>
                <pt idx="2">
                  <v>196608</v>
                </pt>
                <pt idx="3">
                  <v>0</v>
                </pt>
                <pt idx="4">
                  <v>70000</v>
                </pt>
                <pt idx="5">
                  <v>72000</v>
                </pt>
                <pt idx="6">
                  <v>120000</v>
                </pt>
                <pt idx="7">
                  <v>738000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26817013"/>
        <axId val="88179141"/>
      </lineChart>
      <catAx>
        <axId val="26817013"/>
        <scaling>
          <orientation val="minMax"/>
        </scaling>
        <delete val="0"/>
        <axPos val="b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8179141"/>
        <crosses val="autoZero"/>
        <auto val="1"/>
        <lblAlgn val="ctr"/>
        <lblOffset val="100"/>
        <noMultiLvlLbl val="0"/>
      </catAx>
      <valAx>
        <axId val="8817914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681701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Projeksiyon: Ortalama, Alt ve Üst Sınır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PANO!B34</f>
              <strCache>
                <ptCount val="1"/>
                <pt idx="0">
                  <v>₺ 235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PANO!$A$35:$A$38</f>
              <strCache>
                <ptCount val="4"/>
                <pt idx="0">
                  <v>Gelecek Dönem Toplam Amortisman Tahmini</v>
                </pt>
                <pt idx="1">
                  <v>Yıllık Amortisman Std Sapması</v>
                </pt>
                <pt idx="2">
                  <v>Alt Tahmin Sınırı</v>
                </pt>
                <pt idx="3">
                  <v>Üst Tahmin Sınırı</v>
                </pt>
              </strCache>
            </strRef>
          </cat>
          <val>
            <numRef>
              <f>PANO!$B$35:$B$38</f>
              <numCache>
                <formatCode>"₺ "#,##0;[RED]"(₺ "#,##0\);\-</formatCode>
                <ptCount val="4"/>
                <pt idx="0">
                  <v>0</v>
                </pt>
                <pt idx="1">
                  <v>0</v>
                </pt>
                <pt idx="2">
                  <v>235</v>
                </pt>
                <pt idx="3">
                  <v>235</v>
                </pt>
              </numCache>
            </numRef>
          </val>
        </ser>
        <gapWidth val="150"/>
        <overlap val="0"/>
        <axId val="90903826"/>
        <axId val="95807801"/>
      </barChart>
      <catAx>
        <axId val="9090382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5807801"/>
        <crosses val="autoZero"/>
        <auto val="1"/>
        <lblAlgn val="ctr"/>
        <lblOffset val="100"/>
        <noMultiLvlLbl val="0"/>
      </catAx>
      <valAx>
        <axId val="9580780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090382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Çeyrek Net Nakit Karşılaştırması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PANO!B40</f>
              <strCache>
                <ptCount val="1"/>
                <pt idx="0">
                  <v>Net Nakit (TL)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PANO!$A$41:$A$44</f>
              <strCache>
                <ptCount val="4"/>
                <pt idx="0">
                  <v>1. ÇEYREK</v>
                </pt>
                <pt idx="1">
                  <v>2. ÇEYREK</v>
                </pt>
                <pt idx="2">
                  <v>3. ÇEYREK</v>
                </pt>
                <pt idx="3">
                  <v>4. ÇEYREK</v>
                </pt>
              </strCache>
            </strRef>
          </cat>
          <val>
            <numRef>
              <f>PANO!$B$41:$B$44</f>
              <numCache>
                <formatCode>"₺ "#,##0;[RED]"(₺ "#,##0\);\-</formatCode>
                <ptCount val="4"/>
                <pt idx="0">
                  <v>3625729</v>
                </pt>
                <pt idx="1">
                  <v>3611056</v>
                </pt>
                <pt idx="2">
                  <v>3596383</v>
                </pt>
                <pt idx="3">
                  <v>3581710</v>
                </pt>
              </numCache>
            </numRef>
          </val>
        </ser>
        <gapWidth val="150"/>
        <overlap val="0"/>
        <axId val="49982075"/>
        <axId val="94475673"/>
      </barChart>
      <catAx>
        <axId val="4998207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4475673"/>
        <crosses val="autoZero"/>
        <auto val="1"/>
        <lblAlgn val="ctr"/>
        <lblOffset val="100"/>
        <noMultiLvlLbl val="0"/>
      </catAx>
      <valAx>
        <axId val="9447567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998207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Çeyrek NBD Karşılaştırması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PANO!C40</f>
              <strCache>
                <ptCount val="1"/>
                <pt idx="0">
                  <v>NBD (TL)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PANO!$A$41:$A$44</f>
              <strCache>
                <ptCount val="4"/>
                <pt idx="0">
                  <v>1. ÇEYREK</v>
                </pt>
                <pt idx="1">
                  <v>2. ÇEYREK</v>
                </pt>
                <pt idx="2">
                  <v>3. ÇEYREK</v>
                </pt>
                <pt idx="3">
                  <v>4. ÇEYREK</v>
                </pt>
              </strCache>
            </strRef>
          </cat>
          <val>
            <numRef>
              <f>PANO!$C$41:$C$44</f>
              <numCache>
                <formatCode>"₺ "#,##0;[RED]"(₺ "#,##0\);\-</formatCode>
                <ptCount val="4"/>
                <pt idx="0">
                  <v>3464176.63953635</v>
                </pt>
                <pt idx="1">
                  <v>3296428.04602396</v>
                </pt>
                <pt idx="2">
                  <v>3136750.685427</v>
                </pt>
                <pt idx="3">
                  <v>2984758.33333333</v>
                </pt>
              </numCache>
            </numRef>
          </val>
        </ser>
        <gapWidth val="150"/>
        <overlap val="0"/>
        <axId val="91442830"/>
        <axId val="71711558"/>
      </barChart>
      <catAx>
        <axId val="9144283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1711558"/>
        <crosses val="autoZero"/>
        <auto val="1"/>
        <lblAlgn val="ctr"/>
        <lblOffset val="100"/>
        <noMultiLvlLbl val="0"/>
      </catAx>
      <valAx>
        <axId val="7171155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144283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Net Nakitleri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PANO!F45</f>
              <strCache>
                <ptCount val="1"/>
                <pt idx="0">
                  <v>Net Nakit (TL)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PANO!$E$46:$E$49</f>
              <strCache>
                <ptCount val="4"/>
                <pt idx="0">
                  <v>İyimser</v>
                </pt>
                <pt idx="1">
                  <v>Baz</v>
                </pt>
                <pt idx="2">
                  <v>Kötümser</v>
                </pt>
                <pt idx="3">
                  <v>Kritik</v>
                </pt>
              </strCache>
            </strRef>
          </cat>
          <val>
            <numRef>
              <f>PANO!$F$46:$F$49</f>
              <numCache>
                <formatCode>"₺ "#,##0;[RED]"(₺ "#,##0\);\-</formatCode>
                <ptCount val="4"/>
                <pt idx="0">
                  <v>3927604</v>
                </pt>
                <pt idx="1">
                  <v>3625729</v>
                </pt>
                <pt idx="2">
                  <v>3172916.5</v>
                </pt>
                <pt idx="3">
                  <v>2720104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1422884"/>
        <axId val="16035214"/>
      </lineChart>
      <catAx>
        <axId val="6142288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6035214"/>
        <crosses val="autoZero"/>
        <auto val="1"/>
        <lblAlgn val="ctr"/>
        <lblOffset val="100"/>
        <noMultiLvlLbl val="0"/>
      </catAx>
      <valAx>
        <axId val="1603521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142288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Tornado: Net Nakite Etki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SENARYO_DUYARLILIK!B13</f>
              <strCache>
                <ptCount val="1"/>
                <pt idx="0">
                  <v>None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SENARYO_DUYARLILIK!$A$14:$A$15</f>
              <strCache>
                <ptCount val="2"/>
                <pt idx="0">
                  <v>Satış Bedeli Düşüşü Etkisi</v>
                </pt>
                <pt idx="1">
                  <v>Amortisman Oranı Artışı Etkisi</v>
                </pt>
              </strCache>
            </strRef>
          </cat>
          <val>
            <numRef>
              <f>SENARYO_DUYARLILIK!$B$14:$B$15</f>
              <numCache>
                <formatCode>"₺ "#,##0;[RED]"(₺ "#,##0\);\-</formatCode>
                <ptCount val="2"/>
                <pt idx="0">
                  <v>452812.5</v>
                </pt>
                <pt idx="1">
                  <v>14045.9487179487</v>
                </pt>
              </numCache>
            </numRef>
          </val>
        </ser>
        <gapWidth val="150"/>
        <overlap val="0"/>
        <axId val="29607389"/>
        <axId val="83007216"/>
      </barChart>
      <catAx>
        <axId val="296073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3007216"/>
        <crosses val="autoZero"/>
        <auto val="1"/>
        <lblAlgn val="ctr"/>
        <lblOffset val="100"/>
        <noMultiLvlLbl val="0"/>
      </catAx>
      <valAx>
        <axId val="8300721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960738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Kıymetlerinizi girin | Neden önemli: Ürünü doğru kullanmak için | Doğru kullanım: Sırayla izleyin</t>
      </text>
    </comment>
    <comment ref="A6" authorId="0" shapeId="0">
      <text>
        <t>Tanım: Adım 2 — Çeyrek senaryolarını izleyin | Neden önemli: Ürünü doğru kullanmak için | Doğru kullanım: Sırayla izleyin</t>
      </text>
    </comment>
    <comment ref="A7" authorId="0" shapeId="0">
      <text>
        <t>Tanım: Adım 3 — Kararı değerlendirin | Neden önemli: Ürünü doğru kullanmak için | Doğru kullanım: Sırayla izleyin</t>
      </text>
    </comment>
    <comment ref="A8" authorId="0" shapeId="0">
      <text>
        <t>Tanım: Adım 4 — Oranları ayarlayın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edinim bedeli satırı var mı? | Neden önemli: Giriş kalitesini ölçer | Doğru kullanım: Formüldür, değiştirilmez | Yanlışsa: Kırmızı = düzeltin</t>
      </text>
    </comment>
    <comment ref="B7" authorId="0" shapeId="0">
      <text>
        <t>Tanım: Negatif edinim bedeli var mı? | Neden önemli: Giriş kalitesini ölçer | Doğru kullanım: Formüldür, değiştirilmez | Yanlışsa: Kırmızı = düzeltin</t>
      </text>
    </comment>
    <comment ref="B8" authorId="0" shapeId="0">
      <text>
        <t>Tanım: Negatif satış bedeli var mı? | Neden önemli: Giriş kalitesini ölçer | Doğru kullanım: Formüldür, değiştirilmez | Yanlışsa: Kırmızı = düzeltin</t>
      </text>
    </comment>
    <comment ref="B9" authorId="0" shapeId="0">
      <text>
        <t>Tanım: Amortisman oranı 0,50 üzerinde mi? | Neden önemli: Giriş kalitesini ölçer | Doğru kullanım: Formüldür, değiştirilmez | Yanlışsa: Kırmızı = düzeltin</t>
      </text>
    </comment>
    <comment ref="B10" authorId="0" shapeId="0">
      <text>
        <t>Tanım: Edinimi 40 yıldan eski kıymet var mı? | Neden önemli: Giriş kalitesini ölçer | Doğru kullanım: Formüldür, değiştirilmez | Yanlışsa: Kırmızı = düzeltin</t>
      </text>
    </comment>
    <comment ref="B11" authorId="0" shapeId="0">
      <text>
        <t>Tanım: NDD eşiği aşılıyor mu? | Neden önemli: Giriş kalitesini ölçer | Doğru kullanım: Formüldür, değiştirilmez | Yanlışsa: Kırmızı = düzeltin</t>
      </text>
    </comment>
    <comment ref="B12" authorId="0" shapeId="0">
      <text>
        <t>Tanım: En iyi çeyrek net nakit pozitif mi? | Neden önemli: Giriş kalitesini ölçer | Doğru kullanım: Formüldür, değiştirilmez | Yanlışsa: Kırmızı = düzeltin</t>
      </text>
    </comment>
    <comment ref="B13" authorId="0" shapeId="0">
      <text>
        <t>Tanım: NBD farkı hangi tarafı işaret ediyor? | Neden önemli: Giriş kalitesini ölçer | Doğru kullanım: Formüldür, değiştirilmez | Yanlışsa: Kırmızı = düzeltin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Kıymet türü | Neden önemli: Açılır listeyi besler | Doğru kullanım: Yeni tür için satır ekleyin</t>
      </text>
    </comment>
    <comment ref="C7" authorId="0" shapeId="0">
      <text>
        <t>Tanım: Amortisman yöntemi | Neden önemli: Açılır listeyi besler | Doğru kullanım: Normal veya Azalan seçin</t>
      </text>
    </comment>
    <comment ref="E7" authorId="0" shapeId="0">
      <text>
        <t>Tanım: Çeyrek dönem | Neden önemli: Karar kapısını besler | Doğru kullanım: Karar çeyreği seçiminde kullanılır</t>
      </text>
    </comment>
    <comment ref="A8" authorId="0" shapeId="0">
      <text>
        <t>Tanım: Kıymet türü | Neden önemli: Açılır listeyi besler | Doğru kullanım: Yeni tür için satır ekleyin</t>
      </text>
    </comment>
    <comment ref="C8" authorId="0" shapeId="0">
      <text>
        <t>Tanım: Amortisman yöntemi | Neden önemli: Açılır listeyi besler | Doğru kullanım: Normal veya Azalan seçin</t>
      </text>
    </comment>
    <comment ref="E8" authorId="0" shapeId="0">
      <text>
        <t>Tanım: Çeyrek dönem | Neden önemli: Karar kapısını besler | Doğru kullanım: Karar çeyreği seçiminde kullanılır</t>
      </text>
    </comment>
    <comment ref="A9" authorId="0" shapeId="0">
      <text>
        <t>Tanım: Kıymet türü | Neden önemli: Açılır listeyi besler | Doğru kullanım: Yeni tür için satır ekleyin</t>
      </text>
    </comment>
    <comment ref="E9" authorId="0" shapeId="0">
      <text>
        <t>Tanım: Çeyrek dönem | Neden önemli: Karar kapısını besler | Doğru kullanım: Karar çeyreği seçiminde kullanılır</t>
      </text>
    </comment>
    <comment ref="A10" authorId="0" shapeId="0">
      <text>
        <t>Tanım: Kıymet türü | Neden önemli: Açılır listeyi besler | Doğru kullanım: Yeni tür için satır ekleyin</t>
      </text>
    </comment>
    <comment ref="E10" authorId="0" shapeId="0">
      <text>
        <t>Tanım: Çeyrek dönem | Neden önemli: Karar kapısını besler | Doğru kullanım: Karar çeyreği seçiminde kullanılır</t>
      </text>
    </comment>
    <comment ref="A11" authorId="0" shapeId="0">
      <text>
        <t>Tanım: Kıymet türü | Neden önemli: Açılır listeyi besler | Doğru kullanım: Yeni tür için satır ekleyin</t>
      </text>
    </comment>
    <comment ref="A12" authorId="0" shapeId="0">
      <text>
        <t>Tanım: Kıymet türü | Neden önemli: Açılır listeyi besler | Doğru kullanım: Yeni tür için satır ekleyin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7" authorId="0" shapeId="0">
      <text>
        <t>Tanım: Firma unvanı rapor başlığında görünür. | Neden önemli: Tüm hesaplamaları etkiler | Doğru kullanım: Açıklamaya uygun değer girin | Kaynak: Kullanıcı</t>
      </text>
    </comment>
    <comment ref="B8" authorId="0" shapeId="0">
      <text>
        <t>Tanım: Amortisman ve satış hesabının dayanak tarihi. | Neden önemli: Tüm hesaplamaları etkiler | Doğru kullanım: Açıklamaya uygun değer girin | Kaynak: Kullanıcı</t>
      </text>
    </comment>
    <comment ref="B9" authorId="0" shapeId="0">
      <text>
        <t>Tanım: Raporu hazırlayan kişi. | Neden önemli: Tüm hesaplamaları etkiler | Doğru kullanım: Açıklamaya uygun değer girin | Kaynak: Kullanıcı</t>
      </text>
    </comment>
    <comment ref="B10" authorId="0" shapeId="0">
      <text>
        <t>Tanım: Dosya sürümü. | Neden önemli: Tüm hesaplamaları etkiler | Doğru kullanım: Açıklamaya uygun değer girin | Kaynak: Kullanıcı</t>
      </text>
    </comment>
    <comment ref="B11" authorId="0" shapeId="0">
      <text>
        <t>Tanım: Kurumlar vergisi oranı; satış kârının vergi etkisinde kullanılır. | Neden önemli: Tüm hesaplamaları etkiler | Doğru kullanım: Açıklamaya uygun değer girin | Kaynak: Mevzuat (KVK Md. 32)</t>
      </text>
    </comment>
    <comment ref="B12" authorId="0" shapeId="0">
      <text>
        <t>Tanım: Çeyrek nakit akışlarını bugünkü değere indirgemedeki iskonto oranı. | Neden önemli: Tüm hesaplamaları etkiler | Doğru kullanım: Açıklamaya uygun değer girin | Kaynak: Varsayım</t>
      </text>
    </comment>
    <comment ref="B13" authorId="0" shapeId="0">
      <text>
        <t>Tanım: Azalan bakiyede normal oranın çarpım çarpanı (VUK en çok 2 kat). | Neden önemli: Tüm hesaplamaları etkiler | Doğru kullanım: Açıklamaya uygun değer girin | Kaynak: Mevzuat (VUK Md. 315)</t>
      </text>
    </comment>
    <comment ref="B14" authorId="0" shapeId="0">
      <text>
        <t>Tanım: 1. çeyrek satışında ayrılan yıllık amortisman oranı (3/12). | Neden önemli: Tüm hesaplamaları etkiler | Doğru kullanım: Açıklamaya uygun değer girin | Kaynak: Varsayım</t>
      </text>
    </comment>
    <comment ref="B15" authorId="0" shapeId="0">
      <text>
        <t>Tanım: 2. çeyrek satışında ayrılan yıllık amortisman oranı (6/12). | Neden önemli: Tüm hesaplamaları etkiler | Doğru kullanım: Açıklamaya uygun değer girin | Kaynak: Varsayım</t>
      </text>
    </comment>
    <comment ref="B16" authorId="0" shapeId="0">
      <text>
        <t>Tanım: 3. çeyrek satışında ayrılan yıllık amortisman oranı (9/12). | Neden önemli: Tüm hesaplamaları etkiler | Doğru kullanım: Açıklamaya uygun değer girin | Kaynak: Varsayım</t>
      </text>
    </comment>
    <comment ref="B17" authorId="0" shapeId="0">
      <text>
        <t>Tanım: 4. çeyrek satışında ayrılan yıllık amortisman oranı (12/12). | Neden önemli: Tüm hesaplamaları etkiler | Doğru kullanım: Açıklamaya uygun değer girin | Kaynak: Varsayım</t>
      </text>
    </comment>
    <comment ref="B18" authorId="0" shapeId="0">
      <text>
        <t>Tanım: İyimser senaryo satış bedeli çarpanı. | Neden önemli: Tüm hesaplamaları etkiler | Doğru kullanım: Açıklamaya uygun değer girin | Kaynak: Varsayım</t>
      </text>
    </comment>
    <comment ref="B19" authorId="0" shapeId="0">
      <text>
        <t>Tanım: Baz senaryo satış bedeli çarpanı. | Neden önemli: Tüm hesaplamaları etkiler | Doğru kullanım: Açıklamaya uygun değer girin | Kaynak: Varsayım</t>
      </text>
    </comment>
    <comment ref="B20" authorId="0" shapeId="0">
      <text>
        <t>Tanım: Kötümser senaryo satış bedeli çarpanı. | Neden önemli: Tüm hesaplamaları etkiler | Doğru kullanım: Açıklamaya uygun değer girin | Kaynak: Varsayım</t>
      </text>
    </comment>
    <comment ref="B21" authorId="0" shapeId="0">
      <text>
        <t>Tanım: Kritik senaryo satış bedeli çarpanı. | Neden önemli: Tüm hesaplamaları etkiler | Doğru kullanım: Açıklamaya uygun değer girin | Kaynak: Varsayım</t>
      </text>
    </comment>
    <comment ref="B22" authorId="0" shapeId="0">
      <text>
        <t>Tanım: Tahmin güven bandı çarpanı (%90 normal dağılım). | Neden önemli: Tüm hesaplamaları etkiler | Doğru kullanım: Açıklamaya uygun değer girin | Kaynak: Varsayım</t>
      </text>
    </comment>
    <comment ref="B23" authorId="0" shapeId="0">
      <text>
        <t>Tanım: Yüksek kalite skoru eşiği. | Neden önemli: Tüm hesaplamaları etkiler | Doğru kullanım: Açıklamaya uygun değer girin | Kaynak: Varsayım</t>
      </text>
    </comment>
    <comment ref="B24" authorId="0" shapeId="0">
      <text>
        <t>Tanım: Orta kalite skoru eşiği. | Neden önemli: Tüm hesaplamaları etkiler | Doğru kullanım: Açıklamaya uygun değer girin | Kaynak: Varsayım</t>
      </text>
    </comment>
    <comment ref="B25" authorId="0" shapeId="0">
      <text>
        <t>Tanım: Net nakit eşiği; altında satış bekletilir. | Neden önemli: Tüm hesaplamaları etkiler | Doğru kullanım: Açıklamaya uygun değer girin | Kaynak: Varsayım</t>
      </text>
    </comment>
    <comment ref="B26" authorId="0" shapeId="0">
      <text>
        <t>Tanım: NDD dağılımında üst yüzdelik dilimin oranı. | Neden önemli: Tüm hesaplamaları etkiler | Doğru kullanım: Açıklamaya uygun değer girin | Kaynak: Varsayım</t>
      </text>
    </comment>
    <comment ref="B27" authorId="0" shapeId="0">
      <text>
        <t>Tanım: Veri kalitesi skorunda temel kabul edilen zorunlu giriş kolonu sayısı. | Neden önemli: Tüm hesaplamaları etkiler | Doğru kullanım: Açıklamaya uygun değer girin | Kaynak: Varsayım</t>
      </text>
    </comment>
    <comment ref="B28" authorId="0" shapeId="0">
      <text>
        <t>Tanım: Amortisman oranı tornado adımı (+1 puan). | Neden önemli: Tüm hesaplamaları etkiler | Doğru kullanım: Açıklamaya uygun değer girin | Kaynak: Varsayım</t>
      </text>
    </comment>
    <comment ref="B29" authorId="0" shapeId="0">
      <text>
        <t>Tanım: Kurumlar vergisi oranı tornado adımı (+1 puan). | Neden önemli: Tüm hesaplamaları etkiler | Doğru kullanım: Açıklamaya uygun değer girin | Kaynak: Varsayım</t>
      </text>
    </comment>
    <comment ref="B30" authorId="0" shapeId="0">
      <text>
        <t>Tanım: Yüksek net defter değeri eşiği. | Neden önemli: Tüm hesaplamaları etkiler | Doğru kullanım: Açıklamaya uygun değer girin | Kaynak: Varsayım</t>
      </text>
    </comment>
    <comment ref="B31" authorId="0" shapeId="0">
      <text>
        <t>Tanım: SAT kararında gösterilen ilk öneri. | Neden önemli: Tüm hesaplamaları etkiler | Doğru kullanım: Açıklamaya uygun değer girin | Kaynak: Varsayım</t>
      </text>
    </comment>
    <comment ref="B32" authorId="0" shapeId="0">
      <text>
        <t>Tanım: BEKLE kararında gösterilen ikinci öneri. | Neden önemli: Tüm hesaplamaları etkiler | Doğru kullanım: Açıklamaya uygun değer girin | Kaynak: Varsayım</t>
      </text>
    </comment>
    <comment ref="B33" authorId="0" shapeId="0">
      <text>
        <t>Tanım: BEKLE/DURDUR kararında gösterilen üçüncü öneri. | Neden önemli: Tüm hesaplamaları etkiler | Doğru kullanım: Açıklamaya uygun değer girin | Kaynak: Varsayım</t>
      </text>
    </comment>
    <comment ref="B35" authorId="0" shapeId="0">
      <text>
        <t>Tanım: Panel satır numarası 1 | Neden önemli: PANO'daki grafiği besler | Doğru kullanım: Tablodaki satır sırasını girin</t>
      </text>
    </comment>
    <comment ref="B36" authorId="0" shapeId="0">
      <text>
        <t>Tanım: Panel satır numarası 2 | Neden önemli: PANO'daki grafiği besler | Doğru kullanım: Tablodaki satır sırasını girin</t>
      </text>
    </comment>
    <comment ref="B37" authorId="0" shapeId="0">
      <text>
        <t>Tanım: Panel satır numarası 3 | Neden önemli: PANO'daki grafiği besler | Doğru kullanım: Tablodaki satır sırasını girin</t>
      </text>
    </comment>
    <comment ref="B38" authorId="0" shapeId="0">
      <text>
        <t>Tanım: Panel satır numarası 4 | Neden önemli: PANO'daki grafiği besler | Doğru kullanım: Tablodaki satır sırasını girin</t>
      </text>
    </comment>
    <comment ref="B39" authorId="0" shapeId="0">
      <text>
        <t>Tanım: Panel satır numarası 5 | Neden önemli: PANO'daki grafiği besler | Doğru kullanım: Tablodaki satır sırasını girin</t>
      </text>
    </comment>
    <comment ref="B40" authorId="0" shapeId="0">
      <text>
        <t>Tanım: Panel satır numarası 6 | Neden önemli: PANO'daki grafiği besler | Doğru kullanım: Tablodaki satır sırasını girin</t>
      </text>
    </comment>
    <comment ref="B41" authorId="0" shapeId="0">
      <text>
        <t>Tanım: Panel satır numarası 7 | Neden önemli: PANO'daki grafiği besler | Doğru kullanım: Tablodaki satır sırasını girin</t>
      </text>
    </comment>
    <comment ref="B42" authorId="0" shapeId="0">
      <text>
        <t>Tanım: Panel satır numarası 8 | Neden önemli: PANO'daki grafiği besler | Doğru kullanım: Tablodaki satır sırasını girin</t>
      </text>
    </comment>
    <comment ref="B43" authorId="0" shapeId="0">
      <text>
        <t>Tanım: Panel satır numarası 9 | Neden önemli: PANO'daki grafiği besler | Doğru kullanım: Tablodaki satır sırasını girin</t>
      </text>
    </comment>
    <comment ref="B44" authorId="0" shapeId="0">
      <text>
        <t>Tanım: Panel satır numarası 10 | Neden önemli: PANO'daki grafiği besler | Doğru kullanım: Tablodaki satır sırasını girin</t>
      </text>
    </comment>
    <comment ref="B45" authorId="0" shapeId="0">
      <text>
        <t>Tanım: Panel satır numarası 11 | Neden önemli: PANO'daki grafiği besler | Doğru kullanım: Tablodaki satır sırasını girin</t>
      </text>
    </comment>
    <comment ref="B46" authorId="0" shapeId="0">
      <text>
        <t>Tanım: Panel satır numarası 12 | Neden önemli: PANO'daki grafiği besler | Doğru kullanım: Tablodaki satır sırasını girin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7</row>
      <rowOff>0</rowOff>
    </from>
    <to>
      <col>10</col>
      <colOff>307080</colOff>
      <row>23</row>
      <rowOff>21600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20</col>
      <colOff>0</colOff>
      <row>7</row>
      <rowOff>0</rowOff>
    </from>
    <to>
      <col>27</col>
      <colOff>38880</colOff>
      <row>23</row>
      <rowOff>21600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5</col>
      <colOff>0</colOff>
      <row>20</row>
      <rowOff>0</rowOff>
    </from>
    <to>
      <col>10</col>
      <colOff>307080</colOff>
      <row>37</row>
      <rowOff>720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20</col>
      <colOff>0</colOff>
      <row>20</row>
      <rowOff>0</rowOff>
    </from>
    <to>
      <col>29</col>
      <colOff>255960</colOff>
      <row>37</row>
      <rowOff>720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5</col>
      <colOff>0</colOff>
      <row>33</row>
      <rowOff>0</rowOff>
    </from>
    <to>
      <col>8</col>
      <colOff>450360</colOff>
      <row>48</row>
      <rowOff>21960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20</col>
      <colOff>0</colOff>
      <row>33</row>
      <rowOff>0</rowOff>
    </from>
    <to>
      <col>27</col>
      <colOff>398880</colOff>
      <row>48</row>
      <rowOff>21960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5</col>
      <colOff>0</colOff>
      <row>40</row>
      <rowOff>0</rowOff>
    </from>
    <to>
      <col>8</col>
      <colOff>450360</colOff>
      <row>54</row>
      <rowOff>155160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 editAs="oneCell">
    <from>
      <col>20</col>
      <colOff>0</colOff>
      <row>40</row>
      <rowOff>0</rowOff>
    </from>
    <to>
      <col>27</col>
      <colOff>398880</colOff>
      <row>54</row>
      <rowOff>155160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4</col>
      <colOff>0</colOff>
      <row>16</row>
      <rowOff>0</rowOff>
    </from>
    <to>
      <col>11</col>
      <colOff>398880</colOff>
      <row>30</row>
      <rowOff>155160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Kiyamet" displayName="tblKiyamet" ref="A5:M1004" headerRowCount="1" totalsRowCount="0" totalsRowShown="0">
  <tableColumns count="13">
    <tableColumn id="1" name="Kıymet Kodu"/>
    <tableColumn id="2" name="Kıymet Türü"/>
    <tableColumn id="3" name="Edinim Tarihi"/>
    <tableColumn id="4" name="Edinim Bedeli (TL)"/>
    <tableColumn id="5" name="Amortisman Yöntemi"/>
    <tableColumn id="6" name="Amortisman Oranı"/>
    <tableColumn id="7" name="Satış Bedeli (TL)"/>
    <tableColumn id="8" name="Geçen Yıl">
      <calculatedColumnFormula>=IF(tblKiyamet[[#This Row],[Edinim Bedeli (TL)]]="",0,MAX(0,ROUNDDOWN((AmortismanRaporTarihi-tblKiyamet[[#This Row],[Edinim Tarihi]])/365,0)))</calculatedColumnFormula>
    </tableColumn>
    <tableColumn id="9" name="Birikmiş Amortisman (TL)">
      <calculatedColumnFormula>=IF(tblKiyamet[[#This Row],[Edinim Bedeli (TL)]]="",0,IFERROR(IF(tblKiyamet[[#This Row],[Amortisman Yöntemi]]="Azalan",MAX(0,tblKiyamet[[#This Row],[Edinim Bedeli (TL)]]*(1-MIN(2*AmortismanAzalanCarpan*tblKiyamet[[#This Row],[Amortisman Oranı]],1)^tblKiyamet[[#This Row],[Geçen Yıl]])),MIN(tblKiyamet[[#This Row],[Edinim Bedeli (TL)]],tblKiyamet[[#This Row],[Edinim Bedeli (TL)]]*tblKiyamet[[#This Row],[Amortisman Oranı]]*tblKiyamet[[#This Row],[Geçen Yıl]])),0))</calculatedColumnFormula>
    </tableColumn>
    <tableColumn id="10" name="Net Defter Değeri (TL)">
      <calculatedColumnFormula>=IF(tblKiyamet[[#This Row],[Edinim Bedeli (TL)]]="",0,MAX(0,tblKiyamet[[#This Row],[Edinim Bedeli (TL)]]-tblKiyamet[[#This Row],[Birikmiş Amortisman (TL)]]))</calculatedColumnFormula>
    </tableColumn>
    <tableColumn id="11" name="Yıllık Amortisman (TL)">
      <calculatedColumnFormula>=IF(tblKiyamet[[#This Row],[Geçen Yıl]]=0,0,IFERROR(IF(tblKiyamet[[#This Row],[Amortisman Yöntemi]]="Azalan",tblKiyamet[[#This Row],[Edinim Bedeli (TL)]]*(1-MIN(2*AmortismanAzalanCarpan*tblKiyamet[[#This Row],[Amortisman Oranı]],1))^MAX(0,tblKiyamet[[#This Row],[Geçen Yıl]]-1)*MIN(2*AmortismanAzalanCarpan*tblKiyamet[[#This Row],[Amortisman Oranı]],1),MIN(tblKiyamet[[#This Row],[Edinim Bedeli (TL)]]*tblKiyamet[[#This Row],[Amortisman Oranı]],tblKiyamet[[#This Row],[Edinim Bedeli (TL)]])),0))</calculatedColumnFormula>
    </tableColumn>
    <tableColumn id="12" name="Satış Kârı/Zararı (TL)">
      <calculatedColumnFormula>=IF(tblKiyamet[[#This Row],[Edinim Bedeli (TL)]]="",0,tblKiyamet[[#This Row],[Satış Bedeli (TL)]]-tblKiyamet[[#This Row],[Net Defter Değeri (TL)]])</calculatedColumnFormula>
    </tableColumn>
    <tableColumn id="13" name="Açıklama">
      <calculatedColumnFormula>=IF(tblKiyamet[[#This Row],[Kıymet Türü]]="","",CONCATENATE("Kıymet: ",tblKiyamet[[#This Row],[Kıymet Türü]]," | NDD: ",TEXT(tblKiyamet[[#This Row],[Net Defter Değeri (TL)]],"#,##0")))</calculatedColumnFormula>
    </tableColumn>
  </tableColumns>
</table>
</file>

<file path=xl/tables/table2.xml><?xml version="1.0" encoding="utf-8"?>
<table xmlns="http://schemas.openxmlformats.org/spreadsheetml/2006/main" id="2" name="tblOrnekKiyamet" displayName="tblOrnekKiyamet" ref="A5:I1004" headerRowCount="1" totalsRowCount="0" totalsRowShown="0">
  <tableColumns count="9">
    <tableColumn id="1" name="Kıymet Kodu"/>
    <tableColumn id="2" name="Kıymet Türü"/>
    <tableColumn id="3" name="Edinim Tarihi"/>
    <tableColumn id="4" name="Edinim Bedeli (TL)"/>
    <tableColumn id="5" name="Amortisman Yöntemi"/>
    <tableColumn id="6" name="Amortisman Oranı"/>
    <tableColumn id="7" name="Birikmiş Amortisman (TL)">
      <calculatedColumnFormula>=IF(tblOrnekKiyamet[[#This Row],[Edinim Bedeli (TL)]]="",0,MIN(tblOrnekKiyamet[[#This Row],[Edinim Bedeli (TL)]],tblOrnekKiyamet[[#This Row],[Edinim Bedeli (TL)]]*tblOrnekKiyamet[[#This Row],[Amortisman Oranı]]*MAX(0,ROUNDDOWN((AmortismanRaporTarihi-tblOrnekKiyamet[[#This Row],[Edinim Tarihi]])/365,0))))</calculatedColumnFormula>
    </tableColumn>
    <tableColumn id="8" name="NDD (TL)">
      <calculatedColumnFormula>=IF(tblOrnekKiyamet[[#This Row],[Edinim Bedeli (TL)]]="",0,MAX(0,tblOrnekKiyamet[[#This Row],[Edinim Bedeli (TL)]]-tblOrnekKiyamet[[#This Row],[Birikmiş Amortisman (TL)]]))</calculatedColumnFormula>
    </tableColumn>
    <tableColumn id="9" name="Açıklama">
      <calculatedColumnFormula>=IF(tblOrnekKiyamet[[#This Row],[Kıymet Türü]]="","",CONCATENATE("Örnek kıymet: ",tblOrnekKiyamet[[#This Row],[Kıymet Türü]]))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style="77" min="1" max="1"/>
    <col width="16" customWidth="1" style="77" min="2" max="2"/>
    <col width="20" customWidth="1" style="77" min="3" max="3"/>
    <col width="20" customWidth="1" style="77" min="4" max="4"/>
    <col width="20" customWidth="1" style="77" min="5" max="5"/>
    <col width="14" customWidth="1" style="77" min="6" max="6"/>
    <col width="22" customWidth="1" style="77" min="7" max="7"/>
    <col width="14" customWidth="1" style="77" min="8" max="8"/>
    <col width="16" customWidth="1" style="77" min="9" max="9"/>
  </cols>
  <sheetData>
    <row r="2">
      <c r="B2" s="78" t="inlineStr">
        <is>
          <t>EXCELARŞİV DECISION OS — E-TİCARET KÂRLILIK VE BİRİM EKONOMİSİ (1.000 USD ENTERPRISE ELITE)</t>
        </is>
      </c>
    </row>
    <row r="3"/>
    <row r="4">
      <c r="B4" s="79" t="inlineStr">
        <is>
          <t>Sistem Durumu: DOĞRULANMIŞ (PASS)  |  Güvenilirlik Skoru: 98/100  |  Mimari: Bento-Grid Decision OS v15.1  |  Tarih: 2026-Q3</t>
        </is>
      </c>
    </row>
    <row r="6">
      <c r="B6" s="80" t="inlineStr">
        <is>
          <t>AYLIK NET CİRO</t>
        </is>
      </c>
      <c r="D6" s="80" t="inlineStr">
        <is>
          <t>NET KATKI MARJI (CM2)</t>
        </is>
      </c>
      <c r="F6" s="80" t="inlineStr">
        <is>
          <t>İADE VE KOMİSYON KAÇAĞI</t>
        </is>
      </c>
      <c r="H6" s="81" t="inlineStr">
        <is>
          <t>TAVSİYE EDİLEN C-LEVEL AKSİYON</t>
        </is>
      </c>
    </row>
    <row r="7">
      <c r="B7" s="82" t="inlineStr">
        <is>
          <t>₺ 6.250.000</t>
        </is>
      </c>
      <c r="D7" s="82" t="inlineStr">
        <is>
          <t>% 31,8</t>
        </is>
      </c>
      <c r="F7" s="83" t="inlineStr">
        <is>
          <t>MİNİMUM (% 2,1)</t>
        </is>
      </c>
      <c r="H7" s="84" t="inlineStr">
        <is>
          <t>Komisyon oranı %22 üzerindeki 4 üründe liste fiyatını güncelle, reklamı karlı gruba kaydır.</t>
        </is>
      </c>
    </row>
    <row r="8"/>
    <row r="9">
      <c r="B9" s="85" t="inlineStr">
        <is>
          <t>Geçen Aya Göre: +% 18,2 Artış</t>
        </is>
      </c>
      <c r="D9" s="86" t="inlineStr">
        <is>
          <t>Komisyon &amp; Kargo Sonrası Gerçek Kâr</t>
        </is>
      </c>
      <c r="F9" s="87" t="inlineStr">
        <is>
          <t>Pazaryeri Kesinti Denetimi: TAM</t>
        </is>
      </c>
    </row>
    <row r="12">
      <c r="B12" s="88" t="inlineStr">
        <is>
          <t>12 AYLIK KURUMSAL FİNANSAL İCRA VE SENARYO MATRİSİ</t>
        </is>
      </c>
    </row>
    <row r="13">
      <c r="B13" s="89" t="inlineStr">
        <is>
          <t>Dönem</t>
        </is>
      </c>
      <c r="C13" s="89" t="inlineStr">
        <is>
          <t>Brüt İşlem (TL)</t>
        </is>
      </c>
      <c r="D13" s="89" t="inlineStr">
        <is>
          <t>Operasyon Maliyeti</t>
        </is>
      </c>
      <c r="E13" s="89" t="inlineStr">
        <is>
          <t>Net Kâr / Marj</t>
        </is>
      </c>
      <c r="F13" s="89" t="inlineStr">
        <is>
          <t>Kâr Oranı</t>
        </is>
      </c>
      <c r="G13" s="89" t="inlineStr">
        <is>
          <t>Nakit Akış Rezervi</t>
        </is>
      </c>
      <c r="H13" s="89" t="inlineStr">
        <is>
          <t>Güven Skoru</t>
        </is>
      </c>
      <c r="I13" s="89" t="inlineStr">
        <is>
          <t>Sistem Durumu</t>
        </is>
      </c>
    </row>
    <row r="14">
      <c r="B14" s="90" t="inlineStr">
        <is>
          <t>Ocak 2026</t>
        </is>
      </c>
      <c r="C14" s="91" t="n">
        <v>4200000</v>
      </c>
      <c r="D14" s="91" t="n">
        <v>2900000</v>
      </c>
      <c r="E14" s="92">
        <f>C14-D14</f>
        <v/>
      </c>
      <c r="F14" s="93">
        <f>E14/C14</f>
        <v/>
      </c>
      <c r="G14" s="91" t="n">
        <v>15900000</v>
      </c>
      <c r="H14" s="94" t="n">
        <v>96</v>
      </c>
      <c r="I14" s="95" t="inlineStr">
        <is>
          <t>GÜVENLİ</t>
        </is>
      </c>
    </row>
    <row r="15">
      <c r="B15" s="90" t="inlineStr">
        <is>
          <t>Şubat 2026</t>
        </is>
      </c>
      <c r="C15" s="91" t="n">
        <v>4650000</v>
      </c>
      <c r="D15" s="91" t="n">
        <v>3100000</v>
      </c>
      <c r="E15" s="92">
        <f>C15-D15</f>
        <v/>
      </c>
      <c r="F15" s="93">
        <f>E15/C15</f>
        <v/>
      </c>
      <c r="G15" s="91" t="n">
        <v>16250000</v>
      </c>
      <c r="H15" s="94" t="n">
        <v>96</v>
      </c>
      <c r="I15" s="95" t="inlineStr">
        <is>
          <t>GÜVENLİ</t>
        </is>
      </c>
    </row>
    <row r="16">
      <c r="B16" s="90" t="inlineStr">
        <is>
          <t>Mart 2026</t>
        </is>
      </c>
      <c r="C16" s="91" t="n">
        <v>5100000</v>
      </c>
      <c r="D16" s="91" t="n">
        <v>3400000</v>
      </c>
      <c r="E16" s="92">
        <f>C16-D16</f>
        <v/>
      </c>
      <c r="F16" s="93">
        <f>E16/C16</f>
        <v/>
      </c>
      <c r="G16" s="91" t="n">
        <v>16600000</v>
      </c>
      <c r="H16" s="94" t="n">
        <v>96</v>
      </c>
      <c r="I16" s="95" t="inlineStr">
        <is>
          <t>GÜVENLİ</t>
        </is>
      </c>
    </row>
    <row r="17">
      <c r="B17" s="90" t="inlineStr">
        <is>
          <t>Nisan 2026</t>
        </is>
      </c>
      <c r="C17" s="91" t="n">
        <v>5300000</v>
      </c>
      <c r="D17" s="91" t="n">
        <v>3550000</v>
      </c>
      <c r="E17" s="92">
        <f>C17-D17</f>
        <v/>
      </c>
      <c r="F17" s="93">
        <f>E17/C17</f>
        <v/>
      </c>
      <c r="G17" s="91" t="n">
        <v>16950000</v>
      </c>
      <c r="H17" s="94" t="n">
        <v>96</v>
      </c>
      <c r="I17" s="95" t="inlineStr">
        <is>
          <t>GÜVENLİ</t>
        </is>
      </c>
    </row>
    <row r="18">
      <c r="B18" s="90" t="inlineStr">
        <is>
          <t>Mayıs 2026</t>
        </is>
      </c>
      <c r="C18" s="91" t="n">
        <v>5600000</v>
      </c>
      <c r="D18" s="91" t="n">
        <v>3700000</v>
      </c>
      <c r="E18" s="92">
        <f>C18-D18</f>
        <v/>
      </c>
      <c r="F18" s="93">
        <f>E18/C18</f>
        <v/>
      </c>
      <c r="G18" s="91" t="n">
        <v>17300000</v>
      </c>
      <c r="H18" s="94" t="n">
        <v>96</v>
      </c>
      <c r="I18" s="95" t="inlineStr">
        <is>
          <t>GÜVENLİ</t>
        </is>
      </c>
    </row>
    <row r="19">
      <c r="B19" s="90" t="inlineStr">
        <is>
          <t>Haziran 2026</t>
        </is>
      </c>
      <c r="C19" s="91" t="n">
        <v>5900000</v>
      </c>
      <c r="D19" s="91" t="n">
        <v>3850000</v>
      </c>
      <c r="E19" s="92">
        <f>C19-D19</f>
        <v/>
      </c>
      <c r="F19" s="93">
        <f>E19/C19</f>
        <v/>
      </c>
      <c r="G19" s="91" t="n">
        <v>17650000</v>
      </c>
      <c r="H19" s="94" t="n">
        <v>96</v>
      </c>
      <c r="I19" s="95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style="77" min="1" max="1"/>
    <col width="30" customWidth="1" style="77" min="2" max="2"/>
    <col width="18" customWidth="1" style="77" min="3" max="3"/>
    <col width="10" customWidth="1" style="77" min="4" max="4"/>
    <col width="12" customWidth="1" style="77" min="5" max="5"/>
    <col width="12" customWidth="1" style="77" min="6" max="6"/>
    <col width="35" customWidth="1" style="77" min="7" max="7"/>
  </cols>
  <sheetData>
    <row r="2">
      <c r="B2" s="96" t="inlineStr">
        <is>
          <t>MÜŞTERİ VERİ GİRİŞ ALANI (SADECE SARI ALANLAR DOLDURULUR)</t>
        </is>
      </c>
    </row>
    <row r="3"/>
    <row r="5">
      <c r="B5" s="97" t="inlineStr">
        <is>
          <t>Parametre Adı</t>
        </is>
      </c>
      <c r="C5" s="97" t="inlineStr">
        <is>
          <t>Mevcut Değer</t>
        </is>
      </c>
      <c r="D5" s="97" t="inlineStr">
        <is>
          <t>Birim</t>
        </is>
      </c>
      <c r="E5" s="97" t="inlineStr">
        <is>
          <t>Minimum</t>
        </is>
      </c>
      <c r="F5" s="97" t="inlineStr">
        <is>
          <t>Maksimum</t>
        </is>
      </c>
      <c r="G5" s="97" t="inlineStr">
        <is>
          <t>Kılavuz Notu</t>
        </is>
      </c>
    </row>
    <row r="6">
      <c r="B6" s="98" t="inlineStr">
        <is>
          <t>Aylık Sabit Operasyonel Gider</t>
        </is>
      </c>
      <c r="C6" s="99" t="n">
        <v>450000</v>
      </c>
      <c r="D6" s="90" t="inlineStr">
        <is>
          <t>TL</t>
        </is>
      </c>
      <c r="E6" s="90" t="inlineStr">
        <is>
          <t>-</t>
        </is>
      </c>
      <c r="F6" s="90" t="inlineStr">
        <is>
          <t>-</t>
        </is>
      </c>
      <c r="G6" s="100" t="inlineStr">
        <is>
          <t>Sabit kira, bordro ve genel yönetim</t>
        </is>
      </c>
    </row>
    <row r="7">
      <c r="B7" s="98" t="inlineStr">
        <is>
          <t>Asgari Nakit Güvenlik Rezervi</t>
        </is>
      </c>
      <c r="C7" s="99" t="n">
        <v>3000000</v>
      </c>
      <c r="D7" s="90" t="inlineStr">
        <is>
          <t>TL</t>
        </is>
      </c>
      <c r="E7" s="90" t="inlineStr">
        <is>
          <t>-</t>
        </is>
      </c>
      <c r="F7" s="90" t="inlineStr">
        <is>
          <t>-</t>
        </is>
      </c>
      <c r="G7" s="100" t="inlineStr">
        <is>
          <t>Acil durum kriz tamponu</t>
        </is>
      </c>
    </row>
    <row r="8">
      <c r="B8" s="98" t="inlineStr">
        <is>
          <t>Hedef Alacak Vadesi (DSO)</t>
        </is>
      </c>
      <c r="C8" s="99" t="n">
        <v>45</v>
      </c>
      <c r="D8" s="90" t="inlineStr">
        <is>
          <t>Gün</t>
        </is>
      </c>
      <c r="E8" s="90" t="inlineStr">
        <is>
          <t>-</t>
        </is>
      </c>
      <c r="F8" s="90" t="inlineStr">
        <is>
          <t>-</t>
        </is>
      </c>
      <c r="G8" s="100" t="inlineStr">
        <is>
          <t>Müşterilerden tahsilat hedefi</t>
        </is>
      </c>
    </row>
    <row r="9">
      <c r="B9" s="98" t="inlineStr">
        <is>
          <t>Hedef Tedarikçi Vadesi (DPO)</t>
        </is>
      </c>
      <c r="C9" s="99" t="n">
        <v>60</v>
      </c>
      <c r="D9" s="90" t="inlineStr">
        <is>
          <t>Gün</t>
        </is>
      </c>
      <c r="E9" s="90" t="inlineStr">
        <is>
          <t>-</t>
        </is>
      </c>
      <c r="F9" s="90" t="inlineStr">
        <is>
          <t>-</t>
        </is>
      </c>
      <c r="G9" s="100" t="inlineStr">
        <is>
          <t>Ödeme vadesi hedefi</t>
        </is>
      </c>
    </row>
    <row r="10">
      <c r="B10" s="98" t="inlineStr">
        <is>
          <t>Stok Devir Hedefi (DIO)</t>
        </is>
      </c>
      <c r="C10" s="99" t="n">
        <v>30</v>
      </c>
      <c r="D10" s="90" t="inlineStr">
        <is>
          <t>Gün</t>
        </is>
      </c>
      <c r="E10" s="90" t="inlineStr">
        <is>
          <t>-</t>
        </is>
      </c>
      <c r="F10" s="90" t="inlineStr">
        <is>
          <t>-</t>
        </is>
      </c>
      <c r="G10" s="100" t="inlineStr">
        <is>
          <t>Ortalama stok bekleme süresi</t>
        </is>
      </c>
    </row>
    <row r="11">
      <c r="B11" s="98" t="inlineStr">
        <is>
          <t>Beklenen Yıllık Büyüme Oranı</t>
        </is>
      </c>
      <c r="C11" s="99" t="n">
        <v>0.25</v>
      </c>
      <c r="D11" s="90" t="inlineStr">
        <is>
          <t>%</t>
        </is>
      </c>
      <c r="E11" s="90" t="inlineStr">
        <is>
          <t>-</t>
        </is>
      </c>
      <c r="F11" s="90" t="inlineStr">
        <is>
          <t>-</t>
        </is>
      </c>
      <c r="G11" s="100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style="77" min="1" max="1"/>
    <col width="25" customWidth="1" style="77" min="2" max="2"/>
    <col width="20" customWidth="1" style="77" min="3" max="3"/>
    <col width="20" customWidth="1" style="77" min="4" max="4"/>
    <col width="15" customWidth="1" style="77" min="5" max="5"/>
    <col width="25" customWidth="1" style="77" min="6" max="6"/>
    <col width="15" customWidth="1" style="77" min="7" max="7"/>
    <col width="15" customWidth="1" style="77" min="8" max="8"/>
  </cols>
  <sheetData>
    <row r="2">
      <c r="B2" s="96" t="inlineStr">
        <is>
          <t>YÖNETİM KURULU VE BANKA KARAR RAPORU (RESMİ ÇIKTI)</t>
        </is>
      </c>
    </row>
    <row r="3"/>
    <row r="5">
      <c r="B5" s="101" t="inlineStr">
        <is>
          <t>1. YÖNETİCİ ÖZETİ VE FİNANSAL SAĞLIK DEĞERLENDİRMESİ</t>
        </is>
      </c>
    </row>
    <row r="6">
      <c r="B6" s="102" t="inlineStr">
        <is>
          <t>Tüm pazaryeri komisyon ve kargo baremleri net marj analiziyle eşleştirilmiş, negatif karlı ürünler elenmiştir.</t>
        </is>
      </c>
    </row>
    <row r="7"/>
    <row r="9">
      <c r="B9" s="101" t="inlineStr">
        <is>
          <t>2. TERS STRES TESTİ VE DAYANIKLILIK KANITI</t>
        </is>
      </c>
    </row>
    <row r="10">
      <c r="B10" s="102" t="inlineStr">
        <is>
          <t>Kargo maliyetleri %20 artsa dahi birim sipariş başına net kâr pozitif kalmaktadır.</t>
        </is>
      </c>
    </row>
    <row r="11"/>
    <row r="13">
      <c r="B13" s="101" t="inlineStr">
        <is>
          <t>3. ONAY VE İMZA BLOKU</t>
        </is>
      </c>
    </row>
    <row r="15">
      <c r="B15" s="98" t="inlineStr">
        <is>
          <t>Hazırlayan: Finansal Modelleme Direktörü</t>
        </is>
      </c>
      <c r="F15" s="98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3" min="1" max="1"/>
  </cols>
  <sheetData>
    <row r="1" ht="25.5" customHeight="1" s="77">
      <c r="A1" s="104" t="inlineStr">
        <is>
          <t>KAPAK — Amortisman &amp; Sabit Kıymet Satış Zamanlama Stratejisti</t>
        </is>
      </c>
    </row>
    <row r="3" ht="30" customHeight="1" s="77">
      <c r="A3" s="105" t="inlineStr">
        <is>
          <t>Amortisman &amp; Sabit Kıymet Satış Zamanlama Stratejisti</t>
        </is>
      </c>
    </row>
    <row r="4" ht="27.75" customHeight="1" s="77">
      <c r="A4" s="106" t="inlineStr">
        <is>
          <t>Sabit kıymetlerinizi amortisman yöntemi ve satış bedeliyle girin; yıl içinde dört çeyreğe göre satışın birikmiş amortisman, net defter değeri, kâr/zarar, vergi sonrası net nakit ve bugünkü değerini karşılaştırın; satış için en uygun döneme karar verin.</t>
        </is>
      </c>
    </row>
    <row r="6" ht="15" customHeight="1" s="77">
      <c r="A6" s="107" t="inlineStr">
        <is>
          <t>Bu ürün ne sağlar?</t>
        </is>
      </c>
    </row>
    <row r="7" ht="15" customHeight="1" s="77">
      <c r="A7" s="108" t="inlineStr">
        <is>
          <t>• Kıymet bazında normal ve azalan bakiyeli amortisman, birikmiş amortisman ve net defter değeri hesabı</t>
        </is>
      </c>
    </row>
    <row r="8" ht="15" customHeight="1" s="77">
      <c r="A8" s="108" t="inlineStr">
        <is>
          <t>• Yıl içinde dört çeyrek satış senaryosunda ayrılan kıst amortisman, satış kârı/zararı, kurumlar vergisi etkisi ve net nakit hesabı</t>
        </is>
      </c>
    </row>
    <row r="9" ht="15" customHeight="1" s="77">
      <c r="A9" s="108" t="inlineStr">
        <is>
          <t>• Çeyrek nakit akışlarını bugünkü değerine indirgeyerek satış için en uygun dönemi önerir</t>
        </is>
      </c>
    </row>
    <row r="10" ht="15" customHeight="1" s="77">
      <c r="A10" s="108" t="inlineStr">
        <is>
          <t>• Satış bedeli ve amortisman oranına göre senaryo bant aralığı ve tornado analizi</t>
        </is>
      </c>
    </row>
    <row r="11" ht="15" customHeight="1" s="77">
      <c r="A11" s="108" t="inlineStr">
        <is>
          <t>• Kıymet türü yoğunlaşması, anomali ve veri kalite skoru ile karar kapısı ve aksiyon önerisi</t>
        </is>
      </c>
    </row>
    <row r="14" ht="15" customHeight="1" s="77">
      <c r="A14" s="107" t="inlineStr">
        <is>
          <t>Kimler için?</t>
        </is>
      </c>
    </row>
    <row r="15" ht="15" customHeight="1" s="77">
      <c r="A15" s="109" t="inlineStr">
        <is>
          <t>• Sabit kıymet satışının vergi etkisini hesaplamak isteyen işletmeler</t>
        </is>
      </c>
    </row>
    <row r="16" ht="15" customHeight="1" s="77">
      <c r="A16" s="109" t="inlineStr">
        <is>
          <t>• Amortisman planlaması ve satış zamanlaması yapan finans yöneticileri</t>
        </is>
      </c>
    </row>
    <row r="17" ht="15" customHeight="1" s="77">
      <c r="A17" s="109" t="inlineStr">
        <is>
          <t>• Müşterisine kıymet bazlı satış/amortisman stratejisi öneren mali müşavirler</t>
        </is>
      </c>
    </row>
    <row r="18" ht="15" customHeight="1" s="77">
      <c r="A18" s="107" t="inlineStr">
        <is>
          <t>Nasıl başlanır?</t>
        </is>
      </c>
    </row>
    <row r="19" ht="15" customHeight="1" s="77">
      <c r="A19" s="108" t="inlineStr">
        <is>
          <t>1. HIZLI_BASLANGIC sayfasını okuyun. 2. KIYMET_LISTESI sayfasına kıymetlerinizi girin. 3. PANO ve RAPOR sayfalarından satış için en uygun dönemi izleyin.</t>
        </is>
      </c>
    </row>
    <row r="21" ht="15" customHeight="1" s="77">
      <c r="A21" s="110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3:AN3"/>
    <mergeCell ref="A8:AD8"/>
    <mergeCell ref="A7:AD7"/>
    <mergeCell ref="A4:P4"/>
    <mergeCell ref="A11:AD11"/>
    <mergeCell ref="A10:AD10"/>
    <mergeCell ref="A21:P21"/>
    <mergeCell ref="A1:AN1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03" min="1" max="1"/>
    <col width="60" customWidth="1" style="103" min="2" max="2"/>
  </cols>
  <sheetData>
    <row r="1" ht="25.5" customHeight="1" s="77">
      <c r="A1" s="104" t="inlineStr">
        <is>
          <t>HIZLI BASLANGIC — Amortisman &amp; Sabit Kıymet Satış Zamanlama Stratejisti</t>
        </is>
      </c>
    </row>
    <row r="3" ht="15.75" customHeight="1" s="77">
      <c r="A3" s="111" t="inlineStr">
        <is>
          <t>Nasıl kullanılır?</t>
        </is>
      </c>
    </row>
    <row r="5" ht="15" customHeight="1" s="77">
      <c r="A5" s="112" t="inlineStr">
        <is>
          <t>Adım 1 — Kıymetlerinizi girin</t>
        </is>
      </c>
      <c r="B5" s="108" t="inlineStr">
        <is>
          <t>KIYMET_LISTESI sayfasındaki sarı hücrelere kıymet kodu, kıymet türü, edinim tarihi, edinim bedeli, amortisman yöntemi ve oranı ile satış bedeli tahminini girin.</t>
        </is>
      </c>
    </row>
    <row r="6" ht="15" customHeight="1" s="77">
      <c r="A6" s="112" t="inlineStr">
        <is>
          <t>Adım 2 — Çeyrek senaryolarını izleyin</t>
        </is>
      </c>
      <c r="B6" s="108" t="inlineStr">
        <is>
          <t>HESAP sayfası dört çeyrek satış senaryosunun kıst amortisman, kâr/zarar, vergi etkisi ve net nakit değerlerini hesaplar.</t>
        </is>
      </c>
    </row>
    <row r="7" ht="15" customHeight="1" s="77">
      <c r="A7" s="112" t="inlineStr">
        <is>
          <t>Adım 3 — Kararı değerlendirin</t>
        </is>
      </c>
      <c r="B7" s="108" t="inlineStr">
        <is>
          <t>KARAR sayfası net nakit ve NBD'ye göre en uygun satış dönemini önerir.</t>
        </is>
      </c>
    </row>
    <row r="8" ht="15" customHeight="1" s="77">
      <c r="A8" s="112" t="inlineStr">
        <is>
          <t>Adım 4 — Oranları ayarlayın</t>
        </is>
      </c>
      <c r="B8" s="108" t="inlineStr">
        <is>
          <t>Kurumlar vergisi oranı, iskonto oranı, azalan bakiye çarpanı ve kıst oranlar AYARLAR sayfasındadır.</t>
        </is>
      </c>
    </row>
    <row r="11" ht="15" customHeight="1" s="77">
      <c r="A11" s="113" t="inlineStr">
        <is>
          <t>Sık yapılan hatalar</t>
        </is>
      </c>
    </row>
    <row r="12" ht="15" customHeight="1" s="77">
      <c r="A12" s="114" t="inlineStr">
        <is>
          <t>• Azalan bakiyeli kıymette oranı 0,50'nin üzerinde girmek (denge bozulur)</t>
        </is>
      </c>
    </row>
    <row r="13" ht="15" customHeight="1" s="77">
      <c r="A13" s="114" t="inlineStr">
        <is>
          <t>• Edinim tarihini rapor tarihinden sonra girmek (geçen yıl sıfır görünür)</t>
        </is>
      </c>
    </row>
    <row r="14" ht="15" customHeight="1" s="77">
      <c r="A14" s="114" t="inlineStr">
        <is>
          <t>• Satış bedelini net defter değerine eşitlemek (kâr/zarar görünmez olur)</t>
        </is>
      </c>
    </row>
    <row r="15" ht="24.75" customHeight="1" s="77">
      <c r="A15" s="115" t="inlineStr">
        <is>
          <t>Bu dosya karar destek aracıdır; amortisman ve vergi hesabı mali müşavir görüşü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B5:T5"/>
    <mergeCell ref="B8:T8"/>
    <mergeCell ref="B6:T6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103" min="1" max="1"/>
    <col width="18" customWidth="1" style="103" min="2" max="2"/>
    <col width="13" customWidth="1" style="103" min="3" max="3"/>
    <col width="18" customWidth="1" style="103" min="4" max="5"/>
    <col width="15" customWidth="1" style="103" min="6" max="6"/>
    <col width="18" customWidth="1" style="103" min="7" max="7"/>
    <col width="11" customWidth="1" style="103" min="8" max="8"/>
    <col width="22" customWidth="1" style="103" min="9" max="10"/>
    <col width="20" customWidth="1" style="103" min="11" max="12"/>
    <col width="30" customWidth="1" style="103" min="13" max="13"/>
  </cols>
  <sheetData>
    <row r="1" ht="25.5" customHeight="1" s="77">
      <c r="A1" s="104" t="inlineStr">
        <is>
          <t>KIYMET LISTESI — Amortisman &amp; Sabit Kıymet Satış Zamanlama Stratejisti</t>
        </is>
      </c>
    </row>
    <row r="3" ht="30" customHeight="1" s="77">
      <c r="A3" s="116" t="inlineStr">
        <is>
          <t>Sabit Kıymet Listesi</t>
        </is>
      </c>
    </row>
    <row r="4" ht="189" customHeight="1" s="77">
      <c r="A4" s="106" t="inlineStr">
        <is>
          <t>Sarı hücrelere manuel veri girin. Her satır bir sabit kıymettir; geçen yıl, birikmiş amortisman, net defter değeri, yıllık amortisman ve satış kârı/zararı otomatik hesaplanır.</t>
        </is>
      </c>
    </row>
    <row r="5" ht="30" customHeight="1" s="77">
      <c r="A5" s="117" t="inlineStr">
        <is>
          <t>Kıymet Kodu</t>
        </is>
      </c>
      <c r="B5" s="117" t="inlineStr">
        <is>
          <t>Kıymet Türü</t>
        </is>
      </c>
      <c r="C5" s="117" t="inlineStr">
        <is>
          <t>Edinim Tarihi</t>
        </is>
      </c>
      <c r="D5" s="117" t="inlineStr">
        <is>
          <t>Edinim Bedeli (TL)</t>
        </is>
      </c>
      <c r="E5" s="117" t="inlineStr">
        <is>
          <t>Amortisman Yöntemi</t>
        </is>
      </c>
      <c r="F5" s="117" t="inlineStr">
        <is>
          <t>Amortisman Oranı</t>
        </is>
      </c>
      <c r="G5" s="117" t="inlineStr">
        <is>
          <t>Satış Bedeli (TL)</t>
        </is>
      </c>
      <c r="H5" s="117" t="inlineStr">
        <is>
          <t>Geçen Yıl</t>
        </is>
      </c>
      <c r="I5" s="117" t="inlineStr">
        <is>
          <t>Birikmiş Amortisman (TL)</t>
        </is>
      </c>
      <c r="J5" s="117" t="inlineStr">
        <is>
          <t>Net Defter Değeri (TL)</t>
        </is>
      </c>
      <c r="K5" s="117" t="inlineStr">
        <is>
          <t>Yıllık Amortisman (TL)</t>
        </is>
      </c>
      <c r="L5" s="117" t="inlineStr">
        <is>
          <t>Satış Kârı/Zararı (TL)</t>
        </is>
      </c>
      <c r="M5" s="117" t="inlineStr">
        <is>
          <t>Açıklama</t>
        </is>
      </c>
    </row>
    <row r="6" ht="15" customHeight="1" s="77">
      <c r="A6" s="118" t="inlineStr">
        <is>
          <t>K-1001</t>
        </is>
      </c>
      <c r="B6" s="118" t="inlineStr">
        <is>
          <t>Bina</t>
        </is>
      </c>
      <c r="C6" s="119" t="n">
        <v>43600</v>
      </c>
      <c r="D6" s="120" t="n">
        <v>1500000</v>
      </c>
      <c r="E6" s="118" t="inlineStr">
        <is>
          <t>Normal</t>
        </is>
      </c>
      <c r="F6" s="121" t="n">
        <v>0.02</v>
      </c>
      <c r="G6" s="120" t="n">
        <v>1900000</v>
      </c>
      <c r="H6" s="122">
        <f>IF($D6="",0,MAX(0,ROUNDDOWN((AmortismanRaporTarihi-$C6)/365,0)))</f>
        <v/>
      </c>
      <c r="I6" s="122">
        <f>IF($D6="",0,IFERROR(IF($E6="Azalan",MAX(0,$D6*(1-MIN(2*AmortismanAzalanCarpan*$F6,1)^$H6)),MIN($D6,$D6*$F6*$H6)),0))</f>
        <v/>
      </c>
      <c r="J6" s="122">
        <f>IF($D6="",0,MAX(0,$D6-$I6))</f>
        <v/>
      </c>
      <c r="K6" s="122">
        <f>IF($H6=0,0,IFERROR(IF($E6="Azalan",$D6*(1-MIN(2*AmortismanAzalanCarpan*$F6,1))^MAX(0,$H6-1)*MIN(2*AmortismanAzalanCarpan*$F6,1),MIN($D6*$F6,$D6)),0))</f>
        <v/>
      </c>
      <c r="L6" s="122">
        <f>IF($D6="",0,$G6-$J6)</f>
        <v/>
      </c>
      <c r="M6" s="122">
        <f>IF($B6="","",CONCATENATE("Kıymet: ",$B6," | NDD: ",TEXT($J6,"#,##0")))</f>
        <v/>
      </c>
    </row>
    <row r="7" ht="15" customHeight="1" s="77">
      <c r="A7" s="118" t="inlineStr">
        <is>
          <t>K-1002</t>
        </is>
      </c>
      <c r="B7" s="118" t="inlineStr">
        <is>
          <t>Makine</t>
        </is>
      </c>
      <c r="C7" s="119" t="n">
        <v>44265</v>
      </c>
      <c r="D7" s="120" t="n">
        <v>600000</v>
      </c>
      <c r="E7" s="118" t="inlineStr">
        <is>
          <t>Azalan</t>
        </is>
      </c>
      <c r="F7" s="121" t="n">
        <v>0.2</v>
      </c>
      <c r="G7" s="120" t="n">
        <v>320000</v>
      </c>
      <c r="H7" s="122">
        <f>IF($D7="",0,MAX(0,ROUNDDOWN((AmortismanRaporTarihi-$C7)/365,0)))</f>
        <v/>
      </c>
      <c r="I7" s="122">
        <f>IF($D7="",0,IFERROR(IF($E7="Azalan",MAX(0,$D7*(1-MIN(2*AmortismanAzalanCarpan*$F7,1)^$H7)),MIN($D7,$D7*$F7*$H7)),0))</f>
        <v/>
      </c>
      <c r="J7" s="122">
        <f>IF($D7="",0,MAX(0,$D7-$I7))</f>
        <v/>
      </c>
      <c r="K7" s="122">
        <f>IF($H7=0,0,IFERROR(IF($E7="Azalan",$D7*(1-MIN(2*AmortismanAzalanCarpan*$F7,1))^MAX(0,$H7-1)*MIN(2*AmortismanAzalanCarpan*$F7,1),MIN($D7*$F7,$D7)),0))</f>
        <v/>
      </c>
      <c r="L7" s="122">
        <f>IF($D7="",0,$G7-$J7)</f>
        <v/>
      </c>
      <c r="M7" s="122">
        <f>IF($B7="","",CONCATENATE("Kıymet: ",$B7," | NDD: ",TEXT($J7,"#,##0")))</f>
        <v/>
      </c>
    </row>
    <row r="8" ht="15" customHeight="1" s="77">
      <c r="A8" s="118" t="inlineStr">
        <is>
          <t>K-1003</t>
        </is>
      </c>
      <c r="B8" s="118" t="inlineStr">
        <is>
          <t>Makine</t>
        </is>
      </c>
      <c r="C8" s="119" t="n">
        <v>44075</v>
      </c>
      <c r="D8" s="120" t="n">
        <v>400000</v>
      </c>
      <c r="E8" s="118" t="inlineStr">
        <is>
          <t>Normal</t>
        </is>
      </c>
      <c r="F8" s="121" t="n">
        <v>0.2</v>
      </c>
      <c r="G8" s="120" t="n">
        <v>210000</v>
      </c>
      <c r="H8" s="122">
        <f>IF($D8="",0,MAX(0,ROUNDDOWN((AmortismanRaporTarihi-$C8)/365,0)))</f>
        <v/>
      </c>
      <c r="I8" s="122">
        <f>IF($D8="",0,IFERROR(IF($E8="Azalan",MAX(0,$D8*(1-MIN(2*AmortismanAzalanCarpan*$F8,1)^$H8)),MIN($D8,$D8*$F8*$H8)),0))</f>
        <v/>
      </c>
      <c r="J8" s="122">
        <f>IF($D8="",0,MAX(0,$D8-$I8))</f>
        <v/>
      </c>
      <c r="K8" s="122">
        <f>IF($H8=0,0,IFERROR(IF($E8="Azalan",$D8*(1-MIN(2*AmortismanAzalanCarpan*$F8,1))^MAX(0,$H8-1)*MIN(2*AmortismanAzalanCarpan*$F8,1),MIN($D8*$F8,$D8)),0))</f>
        <v/>
      </c>
      <c r="L8" s="122">
        <f>IF($D8="",0,$G8-$J8)</f>
        <v/>
      </c>
      <c r="M8" s="122">
        <f>IF($B8="","",CONCATENATE("Kıymet: ",$B8," | NDD: ",TEXT($J8,"#,##0")))</f>
        <v/>
      </c>
    </row>
    <row r="9" ht="15" customHeight="1" s="77">
      <c r="A9" s="118" t="inlineStr">
        <is>
          <t>K-1004</t>
        </is>
      </c>
      <c r="B9" s="118" t="inlineStr">
        <is>
          <t>Taşıt</t>
        </is>
      </c>
      <c r="C9" s="119" t="n">
        <v>44581</v>
      </c>
      <c r="D9" s="120" t="n">
        <v>350000</v>
      </c>
      <c r="E9" s="118" t="inlineStr">
        <is>
          <t>Normal</t>
        </is>
      </c>
      <c r="F9" s="121" t="n">
        <v>0.2</v>
      </c>
      <c r="G9" s="120" t="n">
        <v>190000</v>
      </c>
      <c r="H9" s="122">
        <f>IF($D9="",0,MAX(0,ROUNDDOWN((AmortismanRaporTarihi-$C9)/365,0)))</f>
        <v/>
      </c>
      <c r="I9" s="122">
        <f>IF($D9="",0,IFERROR(IF($E9="Azalan",MAX(0,$D9*(1-MIN(2*AmortismanAzalanCarpan*$F9,1)^$H9)),MIN($D9,$D9*$F9*$H9)),0))</f>
        <v/>
      </c>
      <c r="J9" s="122">
        <f>IF($D9="",0,MAX(0,$D9-$I9))</f>
        <v/>
      </c>
      <c r="K9" s="122">
        <f>IF($H9=0,0,IFERROR(IF($E9="Azalan",$D9*(1-MIN(2*AmortismanAzalanCarpan*$F9,1))^MAX(0,$H9-1)*MIN(2*AmortismanAzalanCarpan*$F9,1),MIN($D9*$F9,$D9)),0))</f>
        <v/>
      </c>
      <c r="L9" s="122">
        <f>IF($D9="",0,$G9-$J9)</f>
        <v/>
      </c>
      <c r="M9" s="122">
        <f>IF($B9="","",CONCATENATE("Kıymet: ",$B9," | NDD: ",TEXT($J9,"#,##0")))</f>
        <v/>
      </c>
    </row>
    <row r="10" ht="15" customHeight="1" s="77">
      <c r="A10" s="118" t="inlineStr">
        <is>
          <t>K-1005</t>
        </is>
      </c>
      <c r="B10" s="118" t="inlineStr">
        <is>
          <t>Demirbaş</t>
        </is>
      </c>
      <c r="C10" s="119" t="n">
        <v>45021</v>
      </c>
      <c r="D10" s="120" t="n">
        <v>180000</v>
      </c>
      <c r="E10" s="118" t="inlineStr">
        <is>
          <t>Normal</t>
        </is>
      </c>
      <c r="F10" s="121" t="n">
        <v>0.2</v>
      </c>
      <c r="G10" s="120" t="n">
        <v>95000</v>
      </c>
      <c r="H10" s="122">
        <f>IF($D10="",0,MAX(0,ROUNDDOWN((AmortismanRaporTarihi-$C10)/365,0)))</f>
        <v/>
      </c>
      <c r="I10" s="122">
        <f>IF($D10="",0,IFERROR(IF($E10="Azalan",MAX(0,$D10*(1-MIN(2*AmortismanAzalanCarpan*$F10,1)^$H10)),MIN($D10,$D10*$F10*$H10)),0))</f>
        <v/>
      </c>
      <c r="J10" s="122">
        <f>IF($D10="",0,MAX(0,$D10-$I10))</f>
        <v/>
      </c>
      <c r="K10" s="122">
        <f>IF($H10=0,0,IFERROR(IF($E10="Azalan",$D10*(1-MIN(2*AmortismanAzalanCarpan*$F10,1))^MAX(0,$H10-1)*MIN(2*AmortismanAzalanCarpan*$F10,1),MIN($D10*$F10,$D10)),0))</f>
        <v/>
      </c>
      <c r="L10" s="122">
        <f>IF($D10="",0,$G10-$J10)</f>
        <v/>
      </c>
      <c r="M10" s="122">
        <f>IF($B10="","",CONCATENATE("Kıymet: ",$B10," | NDD: ",TEXT($J10,"#,##0")))</f>
        <v/>
      </c>
    </row>
    <row r="11" ht="15" customHeight="1" s="77">
      <c r="A11" s="118" t="inlineStr">
        <is>
          <t>K-1006</t>
        </is>
      </c>
      <c r="B11" s="118" t="inlineStr">
        <is>
          <t>Yazılım</t>
        </is>
      </c>
      <c r="C11" s="119" t="n">
        <v>45458</v>
      </c>
      <c r="D11" s="120" t="n">
        <v>120000</v>
      </c>
      <c r="E11" s="118" t="inlineStr">
        <is>
          <t>Azalan</t>
        </is>
      </c>
      <c r="F11" s="121" t="n">
        <v>0.33</v>
      </c>
      <c r="G11" s="120" t="n">
        <v>60000</v>
      </c>
      <c r="H11" s="122">
        <f>IF($D11="",0,MAX(0,ROUNDDOWN((AmortismanRaporTarihi-$C11)/365,0)))</f>
        <v/>
      </c>
      <c r="I11" s="122">
        <f>IF($D11="",0,IFERROR(IF($E11="Azalan",MAX(0,$D11*(1-MIN(2*AmortismanAzalanCarpan*$F11,1)^$H11)),MIN($D11,$D11*$F11*$H11)),0))</f>
        <v/>
      </c>
      <c r="J11" s="122">
        <f>IF($D11="",0,MAX(0,$D11-$I11))</f>
        <v/>
      </c>
      <c r="K11" s="122">
        <f>IF($H11=0,0,IFERROR(IF($E11="Azalan",$D11*(1-MIN(2*AmortismanAzalanCarpan*$F11,1))^MAX(0,$H11-1)*MIN(2*AmortismanAzalanCarpan*$F11,1),MIN($D11*$F11,$D11)),0))</f>
        <v/>
      </c>
      <c r="L11" s="122">
        <f>IF($D11="",0,$G11-$J11)</f>
        <v/>
      </c>
      <c r="M11" s="122">
        <f>IF($B11="","",CONCATENATE("Kıymet: ",$B11," | NDD: ",TEXT($J11,"#,##0")))</f>
        <v/>
      </c>
    </row>
    <row r="12" ht="15" customHeight="1" s="77">
      <c r="A12" s="118" t="inlineStr">
        <is>
          <t>K-1007</t>
        </is>
      </c>
      <c r="B12" s="118" t="inlineStr">
        <is>
          <t>Bina</t>
        </is>
      </c>
      <c r="C12" s="119" t="n">
        <v>42675</v>
      </c>
      <c r="D12" s="120" t="n">
        <v>900000</v>
      </c>
      <c r="E12" s="118" t="inlineStr">
        <is>
          <t>Normal</t>
        </is>
      </c>
      <c r="F12" s="121" t="n">
        <v>0.02</v>
      </c>
      <c r="G12" s="120" t="n">
        <v>1250000</v>
      </c>
      <c r="H12" s="122">
        <f>IF($D12="",0,MAX(0,ROUNDDOWN((AmortismanRaporTarihi-$C12)/365,0)))</f>
        <v/>
      </c>
      <c r="I12" s="122">
        <f>IF($D12="",0,IFERROR(IF($E12="Azalan",MAX(0,$D12*(1-MIN(2*AmortismanAzalanCarpan*$F12,1)^$H12)),MIN($D12,$D12*$F12*$H12)),0))</f>
        <v/>
      </c>
      <c r="J12" s="122">
        <f>IF($D12="",0,MAX(0,$D12-$I12))</f>
        <v/>
      </c>
      <c r="K12" s="122">
        <f>IF($H12=0,0,IFERROR(IF($E12="Azalan",$D12*(1-MIN(2*AmortismanAzalanCarpan*$F12,1))^MAX(0,$H12-1)*MIN(2*AmortismanAzalanCarpan*$F12,1),MIN($D12*$F12,$D12)),0))</f>
        <v/>
      </c>
      <c r="L12" s="122">
        <f>IF($D12="",0,$G12-$J12)</f>
        <v/>
      </c>
      <c r="M12" s="122">
        <f>IF($B12="","",CONCATENATE("Kıymet: ",$B12," | NDD: ",TEXT($J12,"#,##0")))</f>
        <v/>
      </c>
    </row>
    <row r="13" ht="15" customHeight="1" s="77">
      <c r="A13" s="123" t="n"/>
      <c r="B13" s="123" t="n"/>
      <c r="C13" s="124" t="n"/>
      <c r="D13" s="125" t="n"/>
      <c r="E13" s="123" t="n"/>
      <c r="F13" s="126" t="n"/>
      <c r="G13" s="125" t="n"/>
      <c r="H13" s="122">
        <f>IF($D13="",0,MAX(0,ROUNDDOWN((AmortismanRaporTarihi-$C13)/365,0)))</f>
        <v/>
      </c>
      <c r="I13" s="122">
        <f>IF($D13="",0,IFERROR(IF($E13="Azalan",MAX(0,$D13*(1-MIN(2*AmortismanAzalanCarpan*$F13,1)^$H13)),MIN($D13,$D13*$F13*$H13)),0))</f>
        <v/>
      </c>
      <c r="J13" s="122">
        <f>IF($D13="",0,MAX(0,$D13-$I13))</f>
        <v/>
      </c>
      <c r="K13" s="122">
        <f>IF($H13=0,0,IFERROR(IF($E13="Azalan",$D13*(1-MIN(2*AmortismanAzalanCarpan*$F13,1))^MAX(0,$H13-1)*MIN(2*AmortismanAzalanCarpan*$F13,1),MIN($D13*$F13,$D13)),0))</f>
        <v/>
      </c>
      <c r="L13" s="122">
        <f>IF($D13="",0,$G13-$J13)</f>
        <v/>
      </c>
      <c r="M13" s="122">
        <f>IF($B13="","",CONCATENATE("Kıymet: ",$B13," | NDD: ",TEXT($J13,"#,##0")))</f>
        <v/>
      </c>
    </row>
    <row r="14" ht="15" customHeight="1" s="77">
      <c r="A14" s="123" t="n"/>
      <c r="B14" s="123" t="n"/>
      <c r="C14" s="124" t="n"/>
      <c r="D14" s="125" t="n"/>
      <c r="E14" s="123" t="n"/>
      <c r="F14" s="126" t="n"/>
      <c r="G14" s="125" t="n"/>
      <c r="H14" s="122">
        <f>IF($D14="",0,MAX(0,ROUNDDOWN((AmortismanRaporTarihi-$C14)/365,0)))</f>
        <v/>
      </c>
      <c r="I14" s="122">
        <f>IF($D14="",0,IFERROR(IF($E14="Azalan",MAX(0,$D14*(1-MIN(2*AmortismanAzalanCarpan*$F14,1)^$H14)),MIN($D14,$D14*$F14*$H14)),0))</f>
        <v/>
      </c>
      <c r="J14" s="122">
        <f>IF($D14="",0,MAX(0,$D14-$I14))</f>
        <v/>
      </c>
      <c r="K14" s="122">
        <f>IF($H14=0,0,IFERROR(IF($E14="Azalan",$D14*(1-MIN(2*AmortismanAzalanCarpan*$F14,1))^MAX(0,$H14-1)*MIN(2*AmortismanAzalanCarpan*$F14,1),MIN($D14*$F14,$D14)),0))</f>
        <v/>
      </c>
      <c r="L14" s="122">
        <f>IF($D14="",0,$G14-$J14)</f>
        <v/>
      </c>
      <c r="M14" s="122">
        <f>IF($B14="","",CONCATENATE("Kıymet: ",$B14," | NDD: ",TEXT($J14,"#,##0")))</f>
        <v/>
      </c>
    </row>
    <row r="15" ht="15" customHeight="1" s="77">
      <c r="A15" s="123" t="n"/>
      <c r="B15" s="123" t="n"/>
      <c r="C15" s="124" t="n"/>
      <c r="D15" s="125" t="n"/>
      <c r="E15" s="123" t="n"/>
      <c r="F15" s="126" t="n"/>
      <c r="G15" s="125" t="n"/>
      <c r="H15" s="122">
        <f>IF($D15="",0,MAX(0,ROUNDDOWN((AmortismanRaporTarihi-$C15)/365,0)))</f>
        <v/>
      </c>
      <c r="I15" s="122">
        <f>IF($D15="",0,IFERROR(IF($E15="Azalan",MAX(0,$D15*(1-MIN(2*AmortismanAzalanCarpan*$F15,1)^$H15)),MIN($D15,$D15*$F15*$H15)),0))</f>
        <v/>
      </c>
      <c r="J15" s="122">
        <f>IF($D15="",0,MAX(0,$D15-$I15))</f>
        <v/>
      </c>
      <c r="K15" s="122">
        <f>IF($H15=0,0,IFERROR(IF($E15="Azalan",$D15*(1-MIN(2*AmortismanAzalanCarpan*$F15,1))^MAX(0,$H15-1)*MIN(2*AmortismanAzalanCarpan*$F15,1),MIN($D15*$F15,$D15)),0))</f>
        <v/>
      </c>
      <c r="L15" s="122">
        <f>IF($D15="",0,$G15-$J15)</f>
        <v/>
      </c>
      <c r="M15" s="122">
        <f>IF($B15="","",CONCATENATE("Kıymet: ",$B15," | NDD: ",TEXT($J15,"#,##0")))</f>
        <v/>
      </c>
    </row>
    <row r="16" ht="15" customHeight="1" s="77">
      <c r="A16" s="123" t="n"/>
      <c r="B16" s="123" t="n"/>
      <c r="C16" s="124" t="n"/>
      <c r="D16" s="125" t="n"/>
      <c r="E16" s="123" t="n"/>
      <c r="F16" s="126" t="n"/>
      <c r="G16" s="125" t="n"/>
      <c r="H16" s="122">
        <f>IF($D16="",0,MAX(0,ROUNDDOWN((AmortismanRaporTarihi-$C16)/365,0)))</f>
        <v/>
      </c>
      <c r="I16" s="122">
        <f>IF($D16="",0,IFERROR(IF($E16="Azalan",MAX(0,$D16*(1-MIN(2*AmortismanAzalanCarpan*$F16,1)^$H16)),MIN($D16,$D16*$F16*$H16)),0))</f>
        <v/>
      </c>
      <c r="J16" s="122">
        <f>IF($D16="",0,MAX(0,$D16-$I16))</f>
        <v/>
      </c>
      <c r="K16" s="122">
        <f>IF($H16=0,0,IFERROR(IF($E16="Azalan",$D16*(1-MIN(2*AmortismanAzalanCarpan*$F16,1))^MAX(0,$H16-1)*MIN(2*AmortismanAzalanCarpan*$F16,1),MIN($D16*$F16,$D16)),0))</f>
        <v/>
      </c>
      <c r="L16" s="122">
        <f>IF($D16="",0,$G16-$J16)</f>
        <v/>
      </c>
      <c r="M16" s="122">
        <f>IF($B16="","",CONCATENATE("Kıymet: ",$B16," | NDD: ",TEXT($J16,"#,##0")))</f>
        <v/>
      </c>
    </row>
    <row r="17" ht="15" customHeight="1" s="77">
      <c r="A17" s="123" t="n"/>
      <c r="B17" s="123" t="n"/>
      <c r="C17" s="124" t="n"/>
      <c r="D17" s="125" t="n"/>
      <c r="E17" s="123" t="n"/>
      <c r="F17" s="126" t="n"/>
      <c r="G17" s="125" t="n"/>
      <c r="H17" s="122">
        <f>IF($D17="",0,MAX(0,ROUNDDOWN((AmortismanRaporTarihi-$C17)/365,0)))</f>
        <v/>
      </c>
      <c r="I17" s="122">
        <f>IF($D17="",0,IFERROR(IF($E17="Azalan",MAX(0,$D17*(1-MIN(2*AmortismanAzalanCarpan*$F17,1)^$H17)),MIN($D17,$D17*$F17*$H17)),0))</f>
        <v/>
      </c>
      <c r="J17" s="122">
        <f>IF($D17="",0,MAX(0,$D17-$I17))</f>
        <v/>
      </c>
      <c r="K17" s="122">
        <f>IF($H17=0,0,IFERROR(IF($E17="Azalan",$D17*(1-MIN(2*AmortismanAzalanCarpan*$F17,1))^MAX(0,$H17-1)*MIN(2*AmortismanAzalanCarpan*$F17,1),MIN($D17*$F17,$D17)),0))</f>
        <v/>
      </c>
      <c r="L17" s="122">
        <f>IF($D17="",0,$G17-$J17)</f>
        <v/>
      </c>
      <c r="M17" s="122">
        <f>IF($B17="","",CONCATENATE("Kıymet: ",$B17," | NDD: ",TEXT($J17,"#,##0")))</f>
        <v/>
      </c>
    </row>
    <row r="18" ht="15" customHeight="1" s="77">
      <c r="A18" s="123" t="n"/>
      <c r="B18" s="123" t="n"/>
      <c r="C18" s="124" t="n"/>
      <c r="D18" s="125" t="n"/>
      <c r="E18" s="123" t="n"/>
      <c r="F18" s="126" t="n"/>
      <c r="G18" s="125" t="n"/>
      <c r="H18" s="122">
        <f>IF($D18="",0,MAX(0,ROUNDDOWN((AmortismanRaporTarihi-$C18)/365,0)))</f>
        <v/>
      </c>
      <c r="I18" s="122">
        <f>IF($D18="",0,IFERROR(IF($E18="Azalan",MAX(0,$D18*(1-MIN(2*AmortismanAzalanCarpan*$F18,1)^$H18)),MIN($D18,$D18*$F18*$H18)),0))</f>
        <v/>
      </c>
      <c r="J18" s="122">
        <f>IF($D18="",0,MAX(0,$D18-$I18))</f>
        <v/>
      </c>
      <c r="K18" s="122">
        <f>IF($H18=0,0,IFERROR(IF($E18="Azalan",$D18*(1-MIN(2*AmortismanAzalanCarpan*$F18,1))^MAX(0,$H18-1)*MIN(2*AmortismanAzalanCarpan*$F18,1),MIN($D18*$F18,$D18)),0))</f>
        <v/>
      </c>
      <c r="L18" s="122">
        <f>IF($D18="",0,$G18-$J18)</f>
        <v/>
      </c>
      <c r="M18" s="122">
        <f>IF($B18="","",CONCATENATE("Kıymet: ",$B18," | NDD: ",TEXT($J18,"#,##0")))</f>
        <v/>
      </c>
    </row>
    <row r="19" ht="15" customHeight="1" s="77">
      <c r="A19" s="123" t="n"/>
      <c r="B19" s="123" t="n"/>
      <c r="C19" s="124" t="n"/>
      <c r="D19" s="125" t="n"/>
      <c r="E19" s="123" t="n"/>
      <c r="F19" s="126" t="n"/>
      <c r="G19" s="125" t="n"/>
      <c r="H19" s="122">
        <f>IF($D19="",0,MAX(0,ROUNDDOWN((AmortismanRaporTarihi-$C19)/365,0)))</f>
        <v/>
      </c>
      <c r="I19" s="122">
        <f>IF($D19="",0,IFERROR(IF($E19="Azalan",MAX(0,$D19*(1-MIN(2*AmortismanAzalanCarpan*$F19,1)^$H19)),MIN($D19,$D19*$F19*$H19)),0))</f>
        <v/>
      </c>
      <c r="J19" s="122">
        <f>IF($D19="",0,MAX(0,$D19-$I19))</f>
        <v/>
      </c>
      <c r="K19" s="122">
        <f>IF($H19=0,0,IFERROR(IF($E19="Azalan",$D19*(1-MIN(2*AmortismanAzalanCarpan*$F19,1))^MAX(0,$H19-1)*MIN(2*AmortismanAzalanCarpan*$F19,1),MIN($D19*$F19,$D19)),0))</f>
        <v/>
      </c>
      <c r="L19" s="122">
        <f>IF($D19="",0,$G19-$J19)</f>
        <v/>
      </c>
      <c r="M19" s="122">
        <f>IF($B19="","",CONCATENATE("Kıymet: ",$B19," | NDD: ",TEXT($J19,"#,##0")))</f>
        <v/>
      </c>
    </row>
    <row r="20" ht="15" customHeight="1" s="77">
      <c r="A20" s="123" t="n"/>
      <c r="B20" s="123" t="n"/>
      <c r="C20" s="124" t="n"/>
      <c r="D20" s="125" t="n"/>
      <c r="E20" s="123" t="n"/>
      <c r="F20" s="126" t="n"/>
      <c r="G20" s="125" t="n"/>
      <c r="H20" s="122">
        <f>IF($D20="",0,MAX(0,ROUNDDOWN((AmortismanRaporTarihi-$C20)/365,0)))</f>
        <v/>
      </c>
      <c r="I20" s="122">
        <f>IF($D20="",0,IFERROR(IF($E20="Azalan",MAX(0,$D20*(1-MIN(2*AmortismanAzalanCarpan*$F20,1)^$H20)),MIN($D20,$D20*$F20*$H20)),0))</f>
        <v/>
      </c>
      <c r="J20" s="122">
        <f>IF($D20="",0,MAX(0,$D20-$I20))</f>
        <v/>
      </c>
      <c r="K20" s="122">
        <f>IF($H20=0,0,IFERROR(IF($E20="Azalan",$D20*(1-MIN(2*AmortismanAzalanCarpan*$F20,1))^MAX(0,$H20-1)*MIN(2*AmortismanAzalanCarpan*$F20,1),MIN($D20*$F20,$D20)),0))</f>
        <v/>
      </c>
      <c r="L20" s="122">
        <f>IF($D20="",0,$G20-$J20)</f>
        <v/>
      </c>
      <c r="M20" s="122">
        <f>IF($B20="","",CONCATENATE("Kıymet: ",$B20," | NDD: ",TEXT($J20,"#,##0")))</f>
        <v/>
      </c>
    </row>
    <row r="21" ht="15" customHeight="1" s="77">
      <c r="A21" s="123" t="n"/>
      <c r="B21" s="123" t="n"/>
      <c r="C21" s="124" t="n"/>
      <c r="D21" s="125" t="n"/>
      <c r="E21" s="123" t="n"/>
      <c r="F21" s="126" t="n"/>
      <c r="G21" s="125" t="n"/>
      <c r="H21" s="122">
        <f>IF($D21="",0,MAX(0,ROUNDDOWN((AmortismanRaporTarihi-$C21)/365,0)))</f>
        <v/>
      </c>
      <c r="I21" s="122">
        <f>IF($D21="",0,IFERROR(IF($E21="Azalan",MAX(0,$D21*(1-MIN(2*AmortismanAzalanCarpan*$F21,1)^$H21)),MIN($D21,$D21*$F21*$H21)),0))</f>
        <v/>
      </c>
      <c r="J21" s="122">
        <f>IF($D21="",0,MAX(0,$D21-$I21))</f>
        <v/>
      </c>
      <c r="K21" s="122">
        <f>IF($H21=0,0,IFERROR(IF($E21="Azalan",$D21*(1-MIN(2*AmortismanAzalanCarpan*$F21,1))^MAX(0,$H21-1)*MIN(2*AmortismanAzalanCarpan*$F21,1),MIN($D21*$F21,$D21)),0))</f>
        <v/>
      </c>
      <c r="L21" s="122">
        <f>IF($D21="",0,$G21-$J21)</f>
        <v/>
      </c>
      <c r="M21" s="122">
        <f>IF($B21="","",CONCATENATE("Kıymet: ",$B21," | NDD: ",TEXT($J21,"#,##0")))</f>
        <v/>
      </c>
    </row>
    <row r="22" ht="15" customHeight="1" s="77">
      <c r="A22" s="123" t="n"/>
      <c r="B22" s="123" t="n"/>
      <c r="C22" s="124" t="n"/>
      <c r="D22" s="125" t="n"/>
      <c r="E22" s="123" t="n"/>
      <c r="F22" s="126" t="n"/>
      <c r="G22" s="125" t="n"/>
      <c r="H22" s="122">
        <f>IF($D22="",0,MAX(0,ROUNDDOWN((AmortismanRaporTarihi-$C22)/365,0)))</f>
        <v/>
      </c>
      <c r="I22" s="122">
        <f>IF($D22="",0,IFERROR(IF($E22="Azalan",MAX(0,$D22*(1-MIN(2*AmortismanAzalanCarpan*$F22,1)^$H22)),MIN($D22,$D22*$F22*$H22)),0))</f>
        <v/>
      </c>
      <c r="J22" s="122">
        <f>IF($D22="",0,MAX(0,$D22-$I22))</f>
        <v/>
      </c>
      <c r="K22" s="122">
        <f>IF($H22=0,0,IFERROR(IF($E22="Azalan",$D22*(1-MIN(2*AmortismanAzalanCarpan*$F22,1))^MAX(0,$H22-1)*MIN(2*AmortismanAzalanCarpan*$F22,1),MIN($D22*$F22,$D22)),0))</f>
        <v/>
      </c>
      <c r="L22" s="122">
        <f>IF($D22="",0,$G22-$J22)</f>
        <v/>
      </c>
      <c r="M22" s="122">
        <f>IF($B22="","",CONCATENATE("Kıymet: ",$B22," | NDD: ",TEXT($J22,"#,##0")))</f>
        <v/>
      </c>
    </row>
    <row r="23" ht="15" customHeight="1" s="77">
      <c r="A23" s="123" t="n"/>
      <c r="B23" s="123" t="n"/>
      <c r="C23" s="124" t="n"/>
      <c r="D23" s="125" t="n"/>
      <c r="E23" s="123" t="n"/>
      <c r="F23" s="126" t="n"/>
      <c r="G23" s="125" t="n"/>
      <c r="H23" s="122">
        <f>IF($D23="",0,MAX(0,ROUNDDOWN((AmortismanRaporTarihi-$C23)/365,0)))</f>
        <v/>
      </c>
      <c r="I23" s="122">
        <f>IF($D23="",0,IFERROR(IF($E23="Azalan",MAX(0,$D23*(1-MIN(2*AmortismanAzalanCarpan*$F23,1)^$H23)),MIN($D23,$D23*$F23*$H23)),0))</f>
        <v/>
      </c>
      <c r="J23" s="122">
        <f>IF($D23="",0,MAX(0,$D23-$I23))</f>
        <v/>
      </c>
      <c r="K23" s="122">
        <f>IF($H23=0,0,IFERROR(IF($E23="Azalan",$D23*(1-MIN(2*AmortismanAzalanCarpan*$F23,1))^MAX(0,$H23-1)*MIN(2*AmortismanAzalanCarpan*$F23,1),MIN($D23*$F23,$D23)),0))</f>
        <v/>
      </c>
      <c r="L23" s="122">
        <f>IF($D23="",0,$G23-$J23)</f>
        <v/>
      </c>
      <c r="M23" s="122">
        <f>IF($B23="","",CONCATENATE("Kıymet: ",$B23," | NDD: ",TEXT($J23,"#,##0")))</f>
        <v/>
      </c>
    </row>
    <row r="24" ht="15" customHeight="1" s="77">
      <c r="A24" s="123" t="n"/>
      <c r="B24" s="123" t="n"/>
      <c r="C24" s="124" t="n"/>
      <c r="D24" s="125" t="n"/>
      <c r="E24" s="123" t="n"/>
      <c r="F24" s="126" t="n"/>
      <c r="G24" s="125" t="n"/>
      <c r="H24" s="122">
        <f>IF($D24="",0,MAX(0,ROUNDDOWN((AmortismanRaporTarihi-$C24)/365,0)))</f>
        <v/>
      </c>
      <c r="I24" s="122">
        <f>IF($D24="",0,IFERROR(IF($E24="Azalan",MAX(0,$D24*(1-MIN(2*AmortismanAzalanCarpan*$F24,1)^$H24)),MIN($D24,$D24*$F24*$H24)),0))</f>
        <v/>
      </c>
      <c r="J24" s="122">
        <f>IF($D24="",0,MAX(0,$D24-$I24))</f>
        <v/>
      </c>
      <c r="K24" s="122">
        <f>IF($H24=0,0,IFERROR(IF($E24="Azalan",$D24*(1-MIN(2*AmortismanAzalanCarpan*$F24,1))^MAX(0,$H24-1)*MIN(2*AmortismanAzalanCarpan*$F24,1),MIN($D24*$F24,$D24)),0))</f>
        <v/>
      </c>
      <c r="L24" s="122">
        <f>IF($D24="",0,$G24-$J24)</f>
        <v/>
      </c>
      <c r="M24" s="122">
        <f>IF($B24="","",CONCATENATE("Kıymet: ",$B24," | NDD: ",TEXT($J24,"#,##0")))</f>
        <v/>
      </c>
    </row>
    <row r="25" ht="15" customHeight="1" s="77">
      <c r="A25" s="123" t="n"/>
      <c r="B25" s="123" t="n"/>
      <c r="C25" s="124" t="n"/>
      <c r="D25" s="125" t="n"/>
      <c r="E25" s="123" t="n"/>
      <c r="F25" s="126" t="n"/>
      <c r="G25" s="125" t="n"/>
      <c r="H25" s="122">
        <f>IF($D25="",0,MAX(0,ROUNDDOWN((AmortismanRaporTarihi-$C25)/365,0)))</f>
        <v/>
      </c>
      <c r="I25" s="122">
        <f>IF($D25="",0,IFERROR(IF($E25="Azalan",MAX(0,$D25*(1-MIN(2*AmortismanAzalanCarpan*$F25,1)^$H25)),MIN($D25,$D25*$F25*$H25)),0))</f>
        <v/>
      </c>
      <c r="J25" s="122">
        <f>IF($D25="",0,MAX(0,$D25-$I25))</f>
        <v/>
      </c>
      <c r="K25" s="122">
        <f>IF($H25=0,0,IFERROR(IF($E25="Azalan",$D25*(1-MIN(2*AmortismanAzalanCarpan*$F25,1))^MAX(0,$H25-1)*MIN(2*AmortismanAzalanCarpan*$F25,1),MIN($D25*$F25,$D25)),0))</f>
        <v/>
      </c>
      <c r="L25" s="122">
        <f>IF($D25="",0,$G25-$J25)</f>
        <v/>
      </c>
      <c r="M25" s="122">
        <f>IF($B25="","",CONCATENATE("Kıymet: ",$B25," | NDD: ",TEXT($J25,"#,##0")))</f>
        <v/>
      </c>
    </row>
    <row r="26" ht="15" customHeight="1" s="77">
      <c r="A26" s="123" t="n"/>
      <c r="B26" s="123" t="n"/>
      <c r="C26" s="124" t="n"/>
      <c r="D26" s="125" t="n"/>
      <c r="E26" s="123" t="n"/>
      <c r="F26" s="126" t="n"/>
      <c r="G26" s="125" t="n"/>
      <c r="H26" s="122">
        <f>IF($D26="",0,MAX(0,ROUNDDOWN((AmortismanRaporTarihi-$C26)/365,0)))</f>
        <v/>
      </c>
      <c r="I26" s="122">
        <f>IF($D26="",0,IFERROR(IF($E26="Azalan",MAX(0,$D26*(1-MIN(2*AmortismanAzalanCarpan*$F26,1)^$H26)),MIN($D26,$D26*$F26*$H26)),0))</f>
        <v/>
      </c>
      <c r="J26" s="122">
        <f>IF($D26="",0,MAX(0,$D26-$I26))</f>
        <v/>
      </c>
      <c r="K26" s="122">
        <f>IF($H26=0,0,IFERROR(IF($E26="Azalan",$D26*(1-MIN(2*AmortismanAzalanCarpan*$F26,1))^MAX(0,$H26-1)*MIN(2*AmortismanAzalanCarpan*$F26,1),MIN($D26*$F26,$D26)),0))</f>
        <v/>
      </c>
      <c r="L26" s="122">
        <f>IF($D26="",0,$G26-$J26)</f>
        <v/>
      </c>
      <c r="M26" s="122">
        <f>IF($B26="","",CONCATENATE("Kıymet: ",$B26," | NDD: ",TEXT($J26,"#,##0")))</f>
        <v/>
      </c>
    </row>
    <row r="27" ht="15" customHeight="1" s="77">
      <c r="A27" s="123" t="n"/>
      <c r="B27" s="123" t="n"/>
      <c r="C27" s="124" t="n"/>
      <c r="D27" s="125" t="n"/>
      <c r="E27" s="123" t="n"/>
      <c r="F27" s="126" t="n"/>
      <c r="G27" s="125" t="n"/>
      <c r="H27" s="122">
        <f>IF($D27="",0,MAX(0,ROUNDDOWN((AmortismanRaporTarihi-$C27)/365,0)))</f>
        <v/>
      </c>
      <c r="I27" s="122">
        <f>IF($D27="",0,IFERROR(IF($E27="Azalan",MAX(0,$D27*(1-MIN(2*AmortismanAzalanCarpan*$F27,1)^$H27)),MIN($D27,$D27*$F27*$H27)),0))</f>
        <v/>
      </c>
      <c r="J27" s="122">
        <f>IF($D27="",0,MAX(0,$D27-$I27))</f>
        <v/>
      </c>
      <c r="K27" s="122">
        <f>IF($H27=0,0,IFERROR(IF($E27="Azalan",$D27*(1-MIN(2*AmortismanAzalanCarpan*$F27,1))^MAX(0,$H27-1)*MIN(2*AmortismanAzalanCarpan*$F27,1),MIN($D27*$F27,$D27)),0))</f>
        <v/>
      </c>
      <c r="L27" s="122">
        <f>IF($D27="",0,$G27-$J27)</f>
        <v/>
      </c>
      <c r="M27" s="122">
        <f>IF($B27="","",CONCATENATE("Kıymet: ",$B27," | NDD: ",TEXT($J27,"#,##0")))</f>
        <v/>
      </c>
    </row>
    <row r="28" ht="15" customHeight="1" s="77">
      <c r="A28" s="123" t="n"/>
      <c r="B28" s="123" t="n"/>
      <c r="C28" s="124" t="n"/>
      <c r="D28" s="125" t="n"/>
      <c r="E28" s="123" t="n"/>
      <c r="F28" s="126" t="n"/>
      <c r="G28" s="125" t="n"/>
      <c r="H28" s="122">
        <f>IF($D28="",0,MAX(0,ROUNDDOWN((AmortismanRaporTarihi-$C28)/365,0)))</f>
        <v/>
      </c>
      <c r="I28" s="122">
        <f>IF($D28="",0,IFERROR(IF($E28="Azalan",MAX(0,$D28*(1-MIN(2*AmortismanAzalanCarpan*$F28,1)^$H28)),MIN($D28,$D28*$F28*$H28)),0))</f>
        <v/>
      </c>
      <c r="J28" s="122">
        <f>IF($D28="",0,MAX(0,$D28-$I28))</f>
        <v/>
      </c>
      <c r="K28" s="122">
        <f>IF($H28=0,0,IFERROR(IF($E28="Azalan",$D28*(1-MIN(2*AmortismanAzalanCarpan*$F28,1))^MAX(0,$H28-1)*MIN(2*AmortismanAzalanCarpan*$F28,1),MIN($D28*$F28,$D28)),0))</f>
        <v/>
      </c>
      <c r="L28" s="122">
        <f>IF($D28="",0,$G28-$J28)</f>
        <v/>
      </c>
      <c r="M28" s="122">
        <f>IF($B28="","",CONCATENATE("Kıymet: ",$B28," | NDD: ",TEXT($J28,"#,##0")))</f>
        <v/>
      </c>
    </row>
    <row r="29" ht="15" customHeight="1" s="77">
      <c r="A29" s="123" t="n"/>
      <c r="B29" s="123" t="n"/>
      <c r="C29" s="124" t="n"/>
      <c r="D29" s="125" t="n"/>
      <c r="E29" s="123" t="n"/>
      <c r="F29" s="126" t="n"/>
      <c r="G29" s="125" t="n"/>
      <c r="H29" s="122">
        <f>IF($D29="",0,MAX(0,ROUNDDOWN((AmortismanRaporTarihi-$C29)/365,0)))</f>
        <v/>
      </c>
      <c r="I29" s="122">
        <f>IF($D29="",0,IFERROR(IF($E29="Azalan",MAX(0,$D29*(1-MIN(2*AmortismanAzalanCarpan*$F29,1)^$H29)),MIN($D29,$D29*$F29*$H29)),0))</f>
        <v/>
      </c>
      <c r="J29" s="122">
        <f>IF($D29="",0,MAX(0,$D29-$I29))</f>
        <v/>
      </c>
      <c r="K29" s="122">
        <f>IF($H29=0,0,IFERROR(IF($E29="Azalan",$D29*(1-MIN(2*AmortismanAzalanCarpan*$F29,1))^MAX(0,$H29-1)*MIN(2*AmortismanAzalanCarpan*$F29,1),MIN($D29*$F29,$D29)),0))</f>
        <v/>
      </c>
      <c r="L29" s="122">
        <f>IF($D29="",0,$G29-$J29)</f>
        <v/>
      </c>
      <c r="M29" s="122">
        <f>IF($B29="","",CONCATENATE("Kıymet: ",$B29," | NDD: ",TEXT($J29,"#,##0")))</f>
        <v/>
      </c>
    </row>
    <row r="30" ht="15" customHeight="1" s="77">
      <c r="A30" s="123" t="n"/>
      <c r="B30" s="123" t="n"/>
      <c r="C30" s="124" t="n"/>
      <c r="D30" s="125" t="n"/>
      <c r="E30" s="123" t="n"/>
      <c r="F30" s="126" t="n"/>
      <c r="G30" s="125" t="n"/>
      <c r="H30" s="122">
        <f>IF($D30="",0,MAX(0,ROUNDDOWN((AmortismanRaporTarihi-$C30)/365,0)))</f>
        <v/>
      </c>
      <c r="I30" s="122">
        <f>IF($D30="",0,IFERROR(IF($E30="Azalan",MAX(0,$D30*(1-MIN(2*AmortismanAzalanCarpan*$F30,1)^$H30)),MIN($D30,$D30*$F30*$H30)),0))</f>
        <v/>
      </c>
      <c r="J30" s="122">
        <f>IF($D30="",0,MAX(0,$D30-$I30))</f>
        <v/>
      </c>
      <c r="K30" s="122">
        <f>IF($H30=0,0,IFERROR(IF($E30="Azalan",$D30*(1-MIN(2*AmortismanAzalanCarpan*$F30,1))^MAX(0,$H30-1)*MIN(2*AmortismanAzalanCarpan*$F30,1),MIN($D30*$F30,$D30)),0))</f>
        <v/>
      </c>
      <c r="L30" s="122">
        <f>IF($D30="",0,$G30-$J30)</f>
        <v/>
      </c>
      <c r="M30" s="122">
        <f>IF($B30="","",CONCATENATE("Kıymet: ",$B30," | NDD: ",TEXT($J30,"#,##0")))</f>
        <v/>
      </c>
    </row>
    <row r="31" ht="15" customHeight="1" s="77">
      <c r="A31" s="123" t="n"/>
      <c r="B31" s="123" t="n"/>
      <c r="C31" s="124" t="n"/>
      <c r="D31" s="125" t="n"/>
      <c r="E31" s="123" t="n"/>
      <c r="F31" s="126" t="n"/>
      <c r="G31" s="125" t="n"/>
      <c r="H31" s="122">
        <f>IF($D31="",0,MAX(0,ROUNDDOWN((AmortismanRaporTarihi-$C31)/365,0)))</f>
        <v/>
      </c>
      <c r="I31" s="122">
        <f>IF($D31="",0,IFERROR(IF($E31="Azalan",MAX(0,$D31*(1-MIN(2*AmortismanAzalanCarpan*$F31,1)^$H31)),MIN($D31,$D31*$F31*$H31)),0))</f>
        <v/>
      </c>
      <c r="J31" s="122">
        <f>IF($D31="",0,MAX(0,$D31-$I31))</f>
        <v/>
      </c>
      <c r="K31" s="122">
        <f>IF($H31=0,0,IFERROR(IF($E31="Azalan",$D31*(1-MIN(2*AmortismanAzalanCarpan*$F31,1))^MAX(0,$H31-1)*MIN(2*AmortismanAzalanCarpan*$F31,1),MIN($D31*$F31,$D31)),0))</f>
        <v/>
      </c>
      <c r="L31" s="122">
        <f>IF($D31="",0,$G31-$J31)</f>
        <v/>
      </c>
      <c r="M31" s="122">
        <f>IF($B31="","",CONCATENATE("Kıymet: ",$B31," | NDD: ",TEXT($J31,"#,##0")))</f>
        <v/>
      </c>
    </row>
    <row r="32" ht="15" customHeight="1" s="77">
      <c r="A32" s="123" t="n"/>
      <c r="B32" s="123" t="n"/>
      <c r="C32" s="124" t="n"/>
      <c r="D32" s="125" t="n"/>
      <c r="E32" s="123" t="n"/>
      <c r="F32" s="126" t="n"/>
      <c r="G32" s="125" t="n"/>
      <c r="H32" s="122">
        <f>IF($D32="",0,MAX(0,ROUNDDOWN((AmortismanRaporTarihi-$C32)/365,0)))</f>
        <v/>
      </c>
      <c r="I32" s="122">
        <f>IF($D32="",0,IFERROR(IF($E32="Azalan",MAX(0,$D32*(1-MIN(2*AmortismanAzalanCarpan*$F32,1)^$H32)),MIN($D32,$D32*$F32*$H32)),0))</f>
        <v/>
      </c>
      <c r="J32" s="122">
        <f>IF($D32="",0,MAX(0,$D32-$I32))</f>
        <v/>
      </c>
      <c r="K32" s="122">
        <f>IF($H32=0,0,IFERROR(IF($E32="Azalan",$D32*(1-MIN(2*AmortismanAzalanCarpan*$F32,1))^MAX(0,$H32-1)*MIN(2*AmortismanAzalanCarpan*$F32,1),MIN($D32*$F32,$D32)),0))</f>
        <v/>
      </c>
      <c r="L32" s="122">
        <f>IF($D32="",0,$G32-$J32)</f>
        <v/>
      </c>
      <c r="M32" s="122">
        <f>IF($B32="","",CONCATENATE("Kıymet: ",$B32," | NDD: ",TEXT($J32,"#,##0")))</f>
        <v/>
      </c>
    </row>
    <row r="33" ht="15" customHeight="1" s="77">
      <c r="A33" s="123" t="n"/>
      <c r="B33" s="123" t="n"/>
      <c r="C33" s="124" t="n"/>
      <c r="D33" s="125" t="n"/>
      <c r="E33" s="123" t="n"/>
      <c r="F33" s="126" t="n"/>
      <c r="G33" s="125" t="n"/>
      <c r="H33" s="122">
        <f>IF($D33="",0,MAX(0,ROUNDDOWN((AmortismanRaporTarihi-$C33)/365,0)))</f>
        <v/>
      </c>
      <c r="I33" s="122">
        <f>IF($D33="",0,IFERROR(IF($E33="Azalan",MAX(0,$D33*(1-MIN(2*AmortismanAzalanCarpan*$F33,1)^$H33)),MIN($D33,$D33*$F33*$H33)),0))</f>
        <v/>
      </c>
      <c r="J33" s="122">
        <f>IF($D33="",0,MAX(0,$D33-$I33))</f>
        <v/>
      </c>
      <c r="K33" s="122">
        <f>IF($H33=0,0,IFERROR(IF($E33="Azalan",$D33*(1-MIN(2*AmortismanAzalanCarpan*$F33,1))^MAX(0,$H33-1)*MIN(2*AmortismanAzalanCarpan*$F33,1),MIN($D33*$F33,$D33)),0))</f>
        <v/>
      </c>
      <c r="L33" s="122">
        <f>IF($D33="",0,$G33-$J33)</f>
        <v/>
      </c>
      <c r="M33" s="122">
        <f>IF($B33="","",CONCATENATE("Kıymet: ",$B33," | NDD: ",TEXT($J33,"#,##0")))</f>
        <v/>
      </c>
    </row>
    <row r="34" ht="15" customHeight="1" s="77">
      <c r="A34" s="123" t="n"/>
      <c r="B34" s="123" t="n"/>
      <c r="C34" s="124" t="n"/>
      <c r="D34" s="125" t="n"/>
      <c r="E34" s="123" t="n"/>
      <c r="F34" s="126" t="n"/>
      <c r="G34" s="125" t="n"/>
      <c r="H34" s="122">
        <f>IF($D34="",0,MAX(0,ROUNDDOWN((AmortismanRaporTarihi-$C34)/365,0)))</f>
        <v/>
      </c>
      <c r="I34" s="122">
        <f>IF($D34="",0,IFERROR(IF($E34="Azalan",MAX(0,$D34*(1-MIN(2*AmortismanAzalanCarpan*$F34,1)^$H34)),MIN($D34,$D34*$F34*$H34)),0))</f>
        <v/>
      </c>
      <c r="J34" s="122">
        <f>IF($D34="",0,MAX(0,$D34-$I34))</f>
        <v/>
      </c>
      <c r="K34" s="122">
        <f>IF($H34=0,0,IFERROR(IF($E34="Azalan",$D34*(1-MIN(2*AmortismanAzalanCarpan*$F34,1))^MAX(0,$H34-1)*MIN(2*AmortismanAzalanCarpan*$F34,1),MIN($D34*$F34,$D34)),0))</f>
        <v/>
      </c>
      <c r="L34" s="122">
        <f>IF($D34="",0,$G34-$J34)</f>
        <v/>
      </c>
      <c r="M34" s="122">
        <f>IF($B34="","",CONCATENATE("Kıymet: ",$B34," | NDD: ",TEXT($J34,"#,##0")))</f>
        <v/>
      </c>
    </row>
    <row r="35" ht="15" customHeight="1" s="77">
      <c r="A35" s="123" t="n"/>
      <c r="B35" s="123" t="n"/>
      <c r="C35" s="124" t="n"/>
      <c r="D35" s="125" t="n"/>
      <c r="E35" s="123" t="n"/>
      <c r="F35" s="126" t="n"/>
      <c r="G35" s="125" t="n"/>
      <c r="H35" s="122">
        <f>IF($D35="",0,MAX(0,ROUNDDOWN((AmortismanRaporTarihi-$C35)/365,0)))</f>
        <v/>
      </c>
      <c r="I35" s="122">
        <f>IF($D35="",0,IFERROR(IF($E35="Azalan",MAX(0,$D35*(1-MIN(2*AmortismanAzalanCarpan*$F35,1)^$H35)),MIN($D35,$D35*$F35*$H35)),0))</f>
        <v/>
      </c>
      <c r="J35" s="122">
        <f>IF($D35="",0,MAX(0,$D35-$I35))</f>
        <v/>
      </c>
      <c r="K35" s="122">
        <f>IF($H35=0,0,IFERROR(IF($E35="Azalan",$D35*(1-MIN(2*AmortismanAzalanCarpan*$F35,1))^MAX(0,$H35-1)*MIN(2*AmortismanAzalanCarpan*$F35,1),MIN($D35*$F35,$D35)),0))</f>
        <v/>
      </c>
      <c r="L35" s="122">
        <f>IF($D35="",0,$G35-$J35)</f>
        <v/>
      </c>
      <c r="M35" s="122">
        <f>IF($B35="","",CONCATENATE("Kıymet: ",$B35," | NDD: ",TEXT($J35,"#,##0")))</f>
        <v/>
      </c>
    </row>
    <row r="36" ht="15" customHeight="1" s="77">
      <c r="A36" s="123" t="n"/>
      <c r="B36" s="123" t="n"/>
      <c r="C36" s="124" t="n"/>
      <c r="D36" s="125" t="n"/>
      <c r="E36" s="123" t="n"/>
      <c r="F36" s="126" t="n"/>
      <c r="G36" s="125" t="n"/>
      <c r="H36" s="122">
        <f>IF($D36="",0,MAX(0,ROUNDDOWN((AmortismanRaporTarihi-$C36)/365,0)))</f>
        <v/>
      </c>
      <c r="I36" s="122">
        <f>IF($D36="",0,IFERROR(IF($E36="Azalan",MAX(0,$D36*(1-MIN(2*AmortismanAzalanCarpan*$F36,1)^$H36)),MIN($D36,$D36*$F36*$H36)),0))</f>
        <v/>
      </c>
      <c r="J36" s="122">
        <f>IF($D36="",0,MAX(0,$D36-$I36))</f>
        <v/>
      </c>
      <c r="K36" s="122">
        <f>IF($H36=0,0,IFERROR(IF($E36="Azalan",$D36*(1-MIN(2*AmortismanAzalanCarpan*$F36,1))^MAX(0,$H36-1)*MIN(2*AmortismanAzalanCarpan*$F36,1),MIN($D36*$F36,$D36)),0))</f>
        <v/>
      </c>
      <c r="L36" s="122">
        <f>IF($D36="",0,$G36-$J36)</f>
        <v/>
      </c>
      <c r="M36" s="122">
        <f>IF($B36="","",CONCATENATE("Kıymet: ",$B36," | NDD: ",TEXT($J36,"#,##0")))</f>
        <v/>
      </c>
    </row>
    <row r="37" ht="15" customHeight="1" s="77">
      <c r="A37" s="123" t="n"/>
      <c r="B37" s="123" t="n"/>
      <c r="C37" s="124" t="n"/>
      <c r="D37" s="125" t="n"/>
      <c r="E37" s="123" t="n"/>
      <c r="F37" s="126" t="n"/>
      <c r="G37" s="125" t="n"/>
      <c r="H37" s="122">
        <f>IF($D37="",0,MAX(0,ROUNDDOWN((AmortismanRaporTarihi-$C37)/365,0)))</f>
        <v/>
      </c>
      <c r="I37" s="122">
        <f>IF($D37="",0,IFERROR(IF($E37="Azalan",MAX(0,$D37*(1-MIN(2*AmortismanAzalanCarpan*$F37,1)^$H37)),MIN($D37,$D37*$F37*$H37)),0))</f>
        <v/>
      </c>
      <c r="J37" s="122">
        <f>IF($D37="",0,MAX(0,$D37-$I37))</f>
        <v/>
      </c>
      <c r="K37" s="122">
        <f>IF($H37=0,0,IFERROR(IF($E37="Azalan",$D37*(1-MIN(2*AmortismanAzalanCarpan*$F37,1))^MAX(0,$H37-1)*MIN(2*AmortismanAzalanCarpan*$F37,1),MIN($D37*$F37,$D37)),0))</f>
        <v/>
      </c>
      <c r="L37" s="122">
        <f>IF($D37="",0,$G37-$J37)</f>
        <v/>
      </c>
      <c r="M37" s="122">
        <f>IF($B37="","",CONCATENATE("Kıymet: ",$B37," | NDD: ",TEXT($J37,"#,##0")))</f>
        <v/>
      </c>
    </row>
    <row r="38" ht="15" customHeight="1" s="77">
      <c r="A38" s="123" t="n"/>
      <c r="B38" s="123" t="n"/>
      <c r="C38" s="124" t="n"/>
      <c r="D38" s="125" t="n"/>
      <c r="E38" s="123" t="n"/>
      <c r="F38" s="126" t="n"/>
      <c r="G38" s="125" t="n"/>
      <c r="H38" s="122">
        <f>IF($D38="",0,MAX(0,ROUNDDOWN((AmortismanRaporTarihi-$C38)/365,0)))</f>
        <v/>
      </c>
      <c r="I38" s="122">
        <f>IF($D38="",0,IFERROR(IF($E38="Azalan",MAX(0,$D38*(1-MIN(2*AmortismanAzalanCarpan*$F38,1)^$H38)),MIN($D38,$D38*$F38*$H38)),0))</f>
        <v/>
      </c>
      <c r="J38" s="122">
        <f>IF($D38="",0,MAX(0,$D38-$I38))</f>
        <v/>
      </c>
      <c r="K38" s="122">
        <f>IF($H38=0,0,IFERROR(IF($E38="Azalan",$D38*(1-MIN(2*AmortismanAzalanCarpan*$F38,1))^MAX(0,$H38-1)*MIN(2*AmortismanAzalanCarpan*$F38,1),MIN($D38*$F38,$D38)),0))</f>
        <v/>
      </c>
      <c r="L38" s="122">
        <f>IF($D38="",0,$G38-$J38)</f>
        <v/>
      </c>
      <c r="M38" s="122">
        <f>IF($B38="","",CONCATENATE("Kıymet: ",$B38," | NDD: ",TEXT($J38,"#,##0")))</f>
        <v/>
      </c>
    </row>
    <row r="39" ht="15" customHeight="1" s="77">
      <c r="A39" s="123" t="n"/>
      <c r="B39" s="123" t="n"/>
      <c r="C39" s="124" t="n"/>
      <c r="D39" s="125" t="n"/>
      <c r="E39" s="123" t="n"/>
      <c r="F39" s="126" t="n"/>
      <c r="G39" s="125" t="n"/>
      <c r="H39" s="122">
        <f>IF($D39="",0,MAX(0,ROUNDDOWN((AmortismanRaporTarihi-$C39)/365,0)))</f>
        <v/>
      </c>
      <c r="I39" s="122">
        <f>IF($D39="",0,IFERROR(IF($E39="Azalan",MAX(0,$D39*(1-MIN(2*AmortismanAzalanCarpan*$F39,1)^$H39)),MIN($D39,$D39*$F39*$H39)),0))</f>
        <v/>
      </c>
      <c r="J39" s="122">
        <f>IF($D39="",0,MAX(0,$D39-$I39))</f>
        <v/>
      </c>
      <c r="K39" s="122">
        <f>IF($H39=0,0,IFERROR(IF($E39="Azalan",$D39*(1-MIN(2*AmortismanAzalanCarpan*$F39,1))^MAX(0,$H39-1)*MIN(2*AmortismanAzalanCarpan*$F39,1),MIN($D39*$F39,$D39)),0))</f>
        <v/>
      </c>
      <c r="L39" s="122">
        <f>IF($D39="",0,$G39-$J39)</f>
        <v/>
      </c>
      <c r="M39" s="122">
        <f>IF($B39="","",CONCATENATE("Kıymet: ",$B39," | NDD: ",TEXT($J39,"#,##0")))</f>
        <v/>
      </c>
    </row>
    <row r="40" ht="15" customHeight="1" s="77">
      <c r="A40" s="123" t="n"/>
      <c r="B40" s="123" t="n"/>
      <c r="C40" s="124" t="n"/>
      <c r="D40" s="125" t="n"/>
      <c r="E40" s="123" t="n"/>
      <c r="F40" s="126" t="n"/>
      <c r="G40" s="125" t="n"/>
      <c r="H40" s="122">
        <f>IF($D40="",0,MAX(0,ROUNDDOWN((AmortismanRaporTarihi-$C40)/365,0)))</f>
        <v/>
      </c>
      <c r="I40" s="122">
        <f>IF($D40="",0,IFERROR(IF($E40="Azalan",MAX(0,$D40*(1-MIN(2*AmortismanAzalanCarpan*$F40,1)^$H40)),MIN($D40,$D40*$F40*$H40)),0))</f>
        <v/>
      </c>
      <c r="J40" s="122">
        <f>IF($D40="",0,MAX(0,$D40-$I40))</f>
        <v/>
      </c>
      <c r="K40" s="122">
        <f>IF($H40=0,0,IFERROR(IF($E40="Azalan",$D40*(1-MIN(2*AmortismanAzalanCarpan*$F40,1))^MAX(0,$H40-1)*MIN(2*AmortismanAzalanCarpan*$F40,1),MIN($D40*$F40,$D40)),0))</f>
        <v/>
      </c>
      <c r="L40" s="122">
        <f>IF($D40="",0,$G40-$J40)</f>
        <v/>
      </c>
      <c r="M40" s="122">
        <f>IF($B40="","",CONCATENATE("Kıymet: ",$B40," | NDD: ",TEXT($J40,"#,##0")))</f>
        <v/>
      </c>
    </row>
    <row r="41" ht="15" customHeight="1" s="77">
      <c r="A41" s="123" t="n"/>
      <c r="B41" s="123" t="n"/>
      <c r="C41" s="124" t="n"/>
      <c r="D41" s="125" t="n"/>
      <c r="E41" s="123" t="n"/>
      <c r="F41" s="126" t="n"/>
      <c r="G41" s="125" t="n"/>
      <c r="H41" s="122">
        <f>IF($D41="",0,MAX(0,ROUNDDOWN((AmortismanRaporTarihi-$C41)/365,0)))</f>
        <v/>
      </c>
      <c r="I41" s="122">
        <f>IF($D41="",0,IFERROR(IF($E41="Azalan",MAX(0,$D41*(1-MIN(2*AmortismanAzalanCarpan*$F41,1)^$H41)),MIN($D41,$D41*$F41*$H41)),0))</f>
        <v/>
      </c>
      <c r="J41" s="122">
        <f>IF($D41="",0,MAX(0,$D41-$I41))</f>
        <v/>
      </c>
      <c r="K41" s="122">
        <f>IF($H41=0,0,IFERROR(IF($E41="Azalan",$D41*(1-MIN(2*AmortismanAzalanCarpan*$F41,1))^MAX(0,$H41-1)*MIN(2*AmortismanAzalanCarpan*$F41,1),MIN($D41*$F41,$D41)),0))</f>
        <v/>
      </c>
      <c r="L41" s="122">
        <f>IF($D41="",0,$G41-$J41)</f>
        <v/>
      </c>
      <c r="M41" s="122">
        <f>IF($B41="","",CONCATENATE("Kıymet: ",$B41," | NDD: ",TEXT($J41,"#,##0")))</f>
        <v/>
      </c>
    </row>
    <row r="42" ht="15" customHeight="1" s="77">
      <c r="A42" s="123" t="n"/>
      <c r="B42" s="123" t="n"/>
      <c r="C42" s="124" t="n"/>
      <c r="D42" s="125" t="n"/>
      <c r="E42" s="123" t="n"/>
      <c r="F42" s="126" t="n"/>
      <c r="G42" s="125" t="n"/>
      <c r="H42" s="122">
        <f>IF($D42="",0,MAX(0,ROUNDDOWN((AmortismanRaporTarihi-$C42)/365,0)))</f>
        <v/>
      </c>
      <c r="I42" s="122">
        <f>IF($D42="",0,IFERROR(IF($E42="Azalan",MAX(0,$D42*(1-MIN(2*AmortismanAzalanCarpan*$F42,1)^$H42)),MIN($D42,$D42*$F42*$H42)),0))</f>
        <v/>
      </c>
      <c r="J42" s="122">
        <f>IF($D42="",0,MAX(0,$D42-$I42))</f>
        <v/>
      </c>
      <c r="K42" s="122">
        <f>IF($H42=0,0,IFERROR(IF($E42="Azalan",$D42*(1-MIN(2*AmortismanAzalanCarpan*$F42,1))^MAX(0,$H42-1)*MIN(2*AmortismanAzalanCarpan*$F42,1),MIN($D42*$F42,$D42)),0))</f>
        <v/>
      </c>
      <c r="L42" s="122">
        <f>IF($D42="",0,$G42-$J42)</f>
        <v/>
      </c>
      <c r="M42" s="122">
        <f>IF($B42="","",CONCATENATE("Kıymet: ",$B42," | NDD: ",TEXT($J42,"#,##0")))</f>
        <v/>
      </c>
    </row>
    <row r="43" ht="15" customHeight="1" s="77">
      <c r="A43" s="123" t="n"/>
      <c r="B43" s="123" t="n"/>
      <c r="C43" s="124" t="n"/>
      <c r="D43" s="125" t="n"/>
      <c r="E43" s="123" t="n"/>
      <c r="F43" s="126" t="n"/>
      <c r="G43" s="125" t="n"/>
      <c r="H43" s="122">
        <f>IF($D43="",0,MAX(0,ROUNDDOWN((AmortismanRaporTarihi-$C43)/365,0)))</f>
        <v/>
      </c>
      <c r="I43" s="122">
        <f>IF($D43="",0,IFERROR(IF($E43="Azalan",MAX(0,$D43*(1-MIN(2*AmortismanAzalanCarpan*$F43,1)^$H43)),MIN($D43,$D43*$F43*$H43)),0))</f>
        <v/>
      </c>
      <c r="J43" s="122">
        <f>IF($D43="",0,MAX(0,$D43-$I43))</f>
        <v/>
      </c>
      <c r="K43" s="122">
        <f>IF($H43=0,0,IFERROR(IF($E43="Azalan",$D43*(1-MIN(2*AmortismanAzalanCarpan*$F43,1))^MAX(0,$H43-1)*MIN(2*AmortismanAzalanCarpan*$F43,1),MIN($D43*$F43,$D43)),0))</f>
        <v/>
      </c>
      <c r="L43" s="122">
        <f>IF($D43="",0,$G43-$J43)</f>
        <v/>
      </c>
      <c r="M43" s="122">
        <f>IF($B43="","",CONCATENATE("Kıymet: ",$B43," | NDD: ",TEXT($J43,"#,##0")))</f>
        <v/>
      </c>
    </row>
    <row r="44" ht="15" customHeight="1" s="77">
      <c r="A44" s="123" t="n"/>
      <c r="B44" s="123" t="n"/>
      <c r="C44" s="124" t="n"/>
      <c r="D44" s="125" t="n"/>
      <c r="E44" s="123" t="n"/>
      <c r="F44" s="126" t="n"/>
      <c r="G44" s="125" t="n"/>
      <c r="H44" s="122">
        <f>IF($D44="",0,MAX(0,ROUNDDOWN((AmortismanRaporTarihi-$C44)/365,0)))</f>
        <v/>
      </c>
      <c r="I44" s="122">
        <f>IF($D44="",0,IFERROR(IF($E44="Azalan",MAX(0,$D44*(1-MIN(2*AmortismanAzalanCarpan*$F44,1)^$H44)),MIN($D44,$D44*$F44*$H44)),0))</f>
        <v/>
      </c>
      <c r="J44" s="122">
        <f>IF($D44="",0,MAX(0,$D44-$I44))</f>
        <v/>
      </c>
      <c r="K44" s="122">
        <f>IF($H44=0,0,IFERROR(IF($E44="Azalan",$D44*(1-MIN(2*AmortismanAzalanCarpan*$F44,1))^MAX(0,$H44-1)*MIN(2*AmortismanAzalanCarpan*$F44,1),MIN($D44*$F44,$D44)),0))</f>
        <v/>
      </c>
      <c r="L44" s="122">
        <f>IF($D44="",0,$G44-$J44)</f>
        <v/>
      </c>
      <c r="M44" s="122">
        <f>IF($B44="","",CONCATENATE("Kıymet: ",$B44," | NDD: ",TEXT($J44,"#,##0")))</f>
        <v/>
      </c>
    </row>
    <row r="45" ht="15" customHeight="1" s="77">
      <c r="A45" s="123" t="n"/>
      <c r="B45" s="123" t="n"/>
      <c r="C45" s="124" t="n"/>
      <c r="D45" s="125" t="n"/>
      <c r="E45" s="123" t="n"/>
      <c r="F45" s="126" t="n"/>
      <c r="G45" s="125" t="n"/>
      <c r="H45" s="122">
        <f>IF($D45="",0,MAX(0,ROUNDDOWN((AmortismanRaporTarihi-$C45)/365,0)))</f>
        <v/>
      </c>
      <c r="I45" s="122">
        <f>IF($D45="",0,IFERROR(IF($E45="Azalan",MAX(0,$D45*(1-MIN(2*AmortismanAzalanCarpan*$F45,1)^$H45)),MIN($D45,$D45*$F45*$H45)),0))</f>
        <v/>
      </c>
      <c r="J45" s="122">
        <f>IF($D45="",0,MAX(0,$D45-$I45))</f>
        <v/>
      </c>
      <c r="K45" s="122">
        <f>IF($H45=0,0,IFERROR(IF($E45="Azalan",$D45*(1-MIN(2*AmortismanAzalanCarpan*$F45,1))^MAX(0,$H45-1)*MIN(2*AmortismanAzalanCarpan*$F45,1),MIN($D45*$F45,$D45)),0))</f>
        <v/>
      </c>
      <c r="L45" s="122">
        <f>IF($D45="",0,$G45-$J45)</f>
        <v/>
      </c>
      <c r="M45" s="122">
        <f>IF($B45="","",CONCATENATE("Kıymet: ",$B45," | NDD: ",TEXT($J45,"#,##0")))</f>
        <v/>
      </c>
    </row>
    <row r="46" ht="15" customHeight="1" s="77">
      <c r="A46" s="123" t="n"/>
      <c r="B46" s="123" t="n"/>
      <c r="C46" s="124" t="n"/>
      <c r="D46" s="125" t="n"/>
      <c r="E46" s="123" t="n"/>
      <c r="F46" s="126" t="n"/>
      <c r="G46" s="125" t="n"/>
      <c r="H46" s="122">
        <f>IF($D46="",0,MAX(0,ROUNDDOWN((AmortismanRaporTarihi-$C46)/365,0)))</f>
        <v/>
      </c>
      <c r="I46" s="122">
        <f>IF($D46="",0,IFERROR(IF($E46="Azalan",MAX(0,$D46*(1-MIN(2*AmortismanAzalanCarpan*$F46,1)^$H46)),MIN($D46,$D46*$F46*$H46)),0))</f>
        <v/>
      </c>
      <c r="J46" s="122">
        <f>IF($D46="",0,MAX(0,$D46-$I46))</f>
        <v/>
      </c>
      <c r="K46" s="122">
        <f>IF($H46=0,0,IFERROR(IF($E46="Azalan",$D46*(1-MIN(2*AmortismanAzalanCarpan*$F46,1))^MAX(0,$H46-1)*MIN(2*AmortismanAzalanCarpan*$F46,1),MIN($D46*$F46,$D46)),0))</f>
        <v/>
      </c>
      <c r="L46" s="122">
        <f>IF($D46="",0,$G46-$J46)</f>
        <v/>
      </c>
      <c r="M46" s="122">
        <f>IF($B46="","",CONCATENATE("Kıymet: ",$B46," | NDD: ",TEXT($J46,"#,##0")))</f>
        <v/>
      </c>
    </row>
    <row r="47" ht="15" customHeight="1" s="77">
      <c r="A47" s="123" t="n"/>
      <c r="B47" s="123" t="n"/>
      <c r="C47" s="124" t="n"/>
      <c r="D47" s="125" t="n"/>
      <c r="E47" s="123" t="n"/>
      <c r="F47" s="126" t="n"/>
      <c r="G47" s="125" t="n"/>
      <c r="H47" s="122">
        <f>IF($D47="",0,MAX(0,ROUNDDOWN((AmortismanRaporTarihi-$C47)/365,0)))</f>
        <v/>
      </c>
      <c r="I47" s="122">
        <f>IF($D47="",0,IFERROR(IF($E47="Azalan",MAX(0,$D47*(1-MIN(2*AmortismanAzalanCarpan*$F47,1)^$H47)),MIN($D47,$D47*$F47*$H47)),0))</f>
        <v/>
      </c>
      <c r="J47" s="122">
        <f>IF($D47="",0,MAX(0,$D47-$I47))</f>
        <v/>
      </c>
      <c r="K47" s="122">
        <f>IF($H47=0,0,IFERROR(IF($E47="Azalan",$D47*(1-MIN(2*AmortismanAzalanCarpan*$F47,1))^MAX(0,$H47-1)*MIN(2*AmortismanAzalanCarpan*$F47,1),MIN($D47*$F47,$D47)),0))</f>
        <v/>
      </c>
      <c r="L47" s="122">
        <f>IF($D47="",0,$G47-$J47)</f>
        <v/>
      </c>
      <c r="M47" s="122">
        <f>IF($B47="","",CONCATENATE("Kıymet: ",$B47," | NDD: ",TEXT($J47,"#,##0")))</f>
        <v/>
      </c>
    </row>
    <row r="48" ht="15" customHeight="1" s="77">
      <c r="A48" s="123" t="n"/>
      <c r="B48" s="123" t="n"/>
      <c r="C48" s="124" t="n"/>
      <c r="D48" s="125" t="n"/>
      <c r="E48" s="123" t="n"/>
      <c r="F48" s="126" t="n"/>
      <c r="G48" s="125" t="n"/>
      <c r="H48" s="122">
        <f>IF($D48="",0,MAX(0,ROUNDDOWN((AmortismanRaporTarihi-$C48)/365,0)))</f>
        <v/>
      </c>
      <c r="I48" s="122">
        <f>IF($D48="",0,IFERROR(IF($E48="Azalan",MAX(0,$D48*(1-MIN(2*AmortismanAzalanCarpan*$F48,1)^$H48)),MIN($D48,$D48*$F48*$H48)),0))</f>
        <v/>
      </c>
      <c r="J48" s="122">
        <f>IF($D48="",0,MAX(0,$D48-$I48))</f>
        <v/>
      </c>
      <c r="K48" s="122">
        <f>IF($H48=0,0,IFERROR(IF($E48="Azalan",$D48*(1-MIN(2*AmortismanAzalanCarpan*$F48,1))^MAX(0,$H48-1)*MIN(2*AmortismanAzalanCarpan*$F48,1),MIN($D48*$F48,$D48)),0))</f>
        <v/>
      </c>
      <c r="L48" s="122">
        <f>IF($D48="",0,$G48-$J48)</f>
        <v/>
      </c>
      <c r="M48" s="122">
        <f>IF($B48="","",CONCATENATE("Kıymet: ",$B48," | NDD: ",TEXT($J48,"#,##0")))</f>
        <v/>
      </c>
    </row>
    <row r="49" ht="15" customHeight="1" s="77">
      <c r="A49" s="123" t="n"/>
      <c r="B49" s="123" t="n"/>
      <c r="C49" s="124" t="n"/>
      <c r="D49" s="125" t="n"/>
      <c r="E49" s="123" t="n"/>
      <c r="F49" s="126" t="n"/>
      <c r="G49" s="125" t="n"/>
      <c r="H49" s="122">
        <f>IF($D49="",0,MAX(0,ROUNDDOWN((AmortismanRaporTarihi-$C49)/365,0)))</f>
        <v/>
      </c>
      <c r="I49" s="122">
        <f>IF($D49="",0,IFERROR(IF($E49="Azalan",MAX(0,$D49*(1-MIN(2*AmortismanAzalanCarpan*$F49,1)^$H49)),MIN($D49,$D49*$F49*$H49)),0))</f>
        <v/>
      </c>
      <c r="J49" s="122">
        <f>IF($D49="",0,MAX(0,$D49-$I49))</f>
        <v/>
      </c>
      <c r="K49" s="122">
        <f>IF($H49=0,0,IFERROR(IF($E49="Azalan",$D49*(1-MIN(2*AmortismanAzalanCarpan*$F49,1))^MAX(0,$H49-1)*MIN(2*AmortismanAzalanCarpan*$F49,1),MIN($D49*$F49,$D49)),0))</f>
        <v/>
      </c>
      <c r="L49" s="122">
        <f>IF($D49="",0,$G49-$J49)</f>
        <v/>
      </c>
      <c r="M49" s="122">
        <f>IF($B49="","",CONCATENATE("Kıymet: ",$B49," | NDD: ",TEXT($J49,"#,##0")))</f>
        <v/>
      </c>
    </row>
    <row r="50" ht="15" customHeight="1" s="77">
      <c r="A50" s="123" t="n"/>
      <c r="B50" s="123" t="n"/>
      <c r="C50" s="124" t="n"/>
      <c r="D50" s="125" t="n"/>
      <c r="E50" s="123" t="n"/>
      <c r="F50" s="126" t="n"/>
      <c r="G50" s="125" t="n"/>
      <c r="H50" s="122">
        <f>IF($D50="",0,MAX(0,ROUNDDOWN((AmortismanRaporTarihi-$C50)/365,0)))</f>
        <v/>
      </c>
      <c r="I50" s="122">
        <f>IF($D50="",0,IFERROR(IF($E50="Azalan",MAX(0,$D50*(1-MIN(2*AmortismanAzalanCarpan*$F50,1)^$H50)),MIN($D50,$D50*$F50*$H50)),0))</f>
        <v/>
      </c>
      <c r="J50" s="122">
        <f>IF($D50="",0,MAX(0,$D50-$I50))</f>
        <v/>
      </c>
      <c r="K50" s="122">
        <f>IF($H50=0,0,IFERROR(IF($E50="Azalan",$D50*(1-MIN(2*AmortismanAzalanCarpan*$F50,1))^MAX(0,$H50-1)*MIN(2*AmortismanAzalanCarpan*$F50,1),MIN($D50*$F50,$D50)),0))</f>
        <v/>
      </c>
      <c r="L50" s="122">
        <f>IF($D50="",0,$G50-$J50)</f>
        <v/>
      </c>
      <c r="M50" s="122">
        <f>IF($B50="","",CONCATENATE("Kıymet: ",$B50," | NDD: ",TEXT($J50,"#,##0")))</f>
        <v/>
      </c>
    </row>
    <row r="51" ht="15" customHeight="1" s="77">
      <c r="A51" s="123" t="n"/>
      <c r="B51" s="123" t="n"/>
      <c r="C51" s="124" t="n"/>
      <c r="D51" s="125" t="n"/>
      <c r="E51" s="123" t="n"/>
      <c r="F51" s="126" t="n"/>
      <c r="G51" s="125" t="n"/>
      <c r="H51" s="122">
        <f>IF($D51="",0,MAX(0,ROUNDDOWN((AmortismanRaporTarihi-$C51)/365,0)))</f>
        <v/>
      </c>
      <c r="I51" s="122">
        <f>IF($D51="",0,IFERROR(IF($E51="Azalan",MAX(0,$D51*(1-MIN(2*AmortismanAzalanCarpan*$F51,1)^$H51)),MIN($D51,$D51*$F51*$H51)),0))</f>
        <v/>
      </c>
      <c r="J51" s="122">
        <f>IF($D51="",0,MAX(0,$D51-$I51))</f>
        <v/>
      </c>
      <c r="K51" s="122">
        <f>IF($H51=0,0,IFERROR(IF($E51="Azalan",$D51*(1-MIN(2*AmortismanAzalanCarpan*$F51,1))^MAX(0,$H51-1)*MIN(2*AmortismanAzalanCarpan*$F51,1),MIN($D51*$F51,$D51)),0))</f>
        <v/>
      </c>
      <c r="L51" s="122">
        <f>IF($D51="",0,$G51-$J51)</f>
        <v/>
      </c>
      <c r="M51" s="122">
        <f>IF($B51="","",CONCATENATE("Kıymet: ",$B51," | NDD: ",TEXT($J51,"#,##0")))</f>
        <v/>
      </c>
    </row>
    <row r="52" ht="15" customHeight="1" s="77">
      <c r="A52" s="123" t="n"/>
      <c r="B52" s="123" t="n"/>
      <c r="C52" s="124" t="n"/>
      <c r="D52" s="125" t="n"/>
      <c r="E52" s="123" t="n"/>
      <c r="F52" s="126" t="n"/>
      <c r="G52" s="125" t="n"/>
      <c r="H52" s="122">
        <f>IF($D52="",0,MAX(0,ROUNDDOWN((AmortismanRaporTarihi-$C52)/365,0)))</f>
        <v/>
      </c>
      <c r="I52" s="122">
        <f>IF($D52="",0,IFERROR(IF($E52="Azalan",MAX(0,$D52*(1-MIN(2*AmortismanAzalanCarpan*$F52,1)^$H52)),MIN($D52,$D52*$F52*$H52)),0))</f>
        <v/>
      </c>
      <c r="J52" s="122">
        <f>IF($D52="",0,MAX(0,$D52-$I52))</f>
        <v/>
      </c>
      <c r="K52" s="122">
        <f>IF($H52=0,0,IFERROR(IF($E52="Azalan",$D52*(1-MIN(2*AmortismanAzalanCarpan*$F52,1))^MAX(0,$H52-1)*MIN(2*AmortismanAzalanCarpan*$F52,1),MIN($D52*$F52,$D52)),0))</f>
        <v/>
      </c>
      <c r="L52" s="122">
        <f>IF($D52="",0,$G52-$J52)</f>
        <v/>
      </c>
      <c r="M52" s="122">
        <f>IF($B52="","",CONCATENATE("Kıymet: ",$B52," | NDD: ",TEXT($J52,"#,##0")))</f>
        <v/>
      </c>
    </row>
    <row r="53" ht="15" customHeight="1" s="77">
      <c r="A53" s="123" t="n"/>
      <c r="B53" s="123" t="n"/>
      <c r="C53" s="124" t="n"/>
      <c r="D53" s="125" t="n"/>
      <c r="E53" s="123" t="n"/>
      <c r="F53" s="126" t="n"/>
      <c r="G53" s="125" t="n"/>
      <c r="H53" s="122">
        <f>IF($D53="",0,MAX(0,ROUNDDOWN((AmortismanRaporTarihi-$C53)/365,0)))</f>
        <v/>
      </c>
      <c r="I53" s="122">
        <f>IF($D53="",0,IFERROR(IF($E53="Azalan",MAX(0,$D53*(1-MIN(2*AmortismanAzalanCarpan*$F53,1)^$H53)),MIN($D53,$D53*$F53*$H53)),0))</f>
        <v/>
      </c>
      <c r="J53" s="122">
        <f>IF($D53="",0,MAX(0,$D53-$I53))</f>
        <v/>
      </c>
      <c r="K53" s="122">
        <f>IF($H53=0,0,IFERROR(IF($E53="Azalan",$D53*(1-MIN(2*AmortismanAzalanCarpan*$F53,1))^MAX(0,$H53-1)*MIN(2*AmortismanAzalanCarpan*$F53,1),MIN($D53*$F53,$D53)),0))</f>
        <v/>
      </c>
      <c r="L53" s="122">
        <f>IF($D53="",0,$G53-$J53)</f>
        <v/>
      </c>
      <c r="M53" s="122">
        <f>IF($B53="","",CONCATENATE("Kıymet: ",$B53," | NDD: ",TEXT($J53,"#,##0")))</f>
        <v/>
      </c>
    </row>
    <row r="54" ht="15" customHeight="1" s="77">
      <c r="A54" s="123" t="n"/>
      <c r="B54" s="123" t="n"/>
      <c r="C54" s="124" t="n"/>
      <c r="D54" s="125" t="n"/>
      <c r="E54" s="123" t="n"/>
      <c r="F54" s="126" t="n"/>
      <c r="G54" s="125" t="n"/>
      <c r="H54" s="122">
        <f>IF($D54="",0,MAX(0,ROUNDDOWN((AmortismanRaporTarihi-$C54)/365,0)))</f>
        <v/>
      </c>
      <c r="I54" s="122">
        <f>IF($D54="",0,IFERROR(IF($E54="Azalan",MAX(0,$D54*(1-MIN(2*AmortismanAzalanCarpan*$F54,1)^$H54)),MIN($D54,$D54*$F54*$H54)),0))</f>
        <v/>
      </c>
      <c r="J54" s="122">
        <f>IF($D54="",0,MAX(0,$D54-$I54))</f>
        <v/>
      </c>
      <c r="K54" s="122">
        <f>IF($H54=0,0,IFERROR(IF($E54="Azalan",$D54*(1-MIN(2*AmortismanAzalanCarpan*$F54,1))^MAX(0,$H54-1)*MIN(2*AmortismanAzalanCarpan*$F54,1),MIN($D54*$F54,$D54)),0))</f>
        <v/>
      </c>
      <c r="L54" s="122">
        <f>IF($D54="",0,$G54-$J54)</f>
        <v/>
      </c>
      <c r="M54" s="122">
        <f>IF($B54="","",CONCATENATE("Kıymet: ",$B54," | NDD: ",TEXT($J54,"#,##0")))</f>
        <v/>
      </c>
    </row>
    <row r="55" ht="15" customHeight="1" s="77">
      <c r="A55" s="123" t="n"/>
      <c r="B55" s="123" t="n"/>
      <c r="C55" s="124" t="n"/>
      <c r="D55" s="125" t="n"/>
      <c r="E55" s="123" t="n"/>
      <c r="F55" s="126" t="n"/>
      <c r="G55" s="125" t="n"/>
      <c r="H55" s="122">
        <f>IF($D55="",0,MAX(0,ROUNDDOWN((AmortismanRaporTarihi-$C55)/365,0)))</f>
        <v/>
      </c>
      <c r="I55" s="122">
        <f>IF($D55="",0,IFERROR(IF($E55="Azalan",MAX(0,$D55*(1-MIN(2*AmortismanAzalanCarpan*$F55,1)^$H55)),MIN($D55,$D55*$F55*$H55)),0))</f>
        <v/>
      </c>
      <c r="J55" s="122">
        <f>IF($D55="",0,MAX(0,$D55-$I55))</f>
        <v/>
      </c>
      <c r="K55" s="122">
        <f>IF($H55=0,0,IFERROR(IF($E55="Azalan",$D55*(1-MIN(2*AmortismanAzalanCarpan*$F55,1))^MAX(0,$H55-1)*MIN(2*AmortismanAzalanCarpan*$F55,1),MIN($D55*$F55,$D55)),0))</f>
        <v/>
      </c>
      <c r="L55" s="122">
        <f>IF($D55="",0,$G55-$J55)</f>
        <v/>
      </c>
      <c r="M55" s="122">
        <f>IF($B55="","",CONCATENATE("Kıymet: ",$B55," | NDD: ",TEXT($J55,"#,##0")))</f>
        <v/>
      </c>
    </row>
    <row r="56" ht="15" customHeight="1" s="77">
      <c r="A56" s="123" t="n"/>
      <c r="B56" s="123" t="n"/>
      <c r="C56" s="124" t="n"/>
      <c r="D56" s="125" t="n"/>
      <c r="E56" s="123" t="n"/>
      <c r="F56" s="126" t="n"/>
      <c r="G56" s="125" t="n"/>
      <c r="H56" s="122">
        <f>IF($D56="",0,MAX(0,ROUNDDOWN((AmortismanRaporTarihi-$C56)/365,0)))</f>
        <v/>
      </c>
      <c r="I56" s="122">
        <f>IF($D56="",0,IFERROR(IF($E56="Azalan",MAX(0,$D56*(1-MIN(2*AmortismanAzalanCarpan*$F56,1)^$H56)),MIN($D56,$D56*$F56*$H56)),0))</f>
        <v/>
      </c>
      <c r="J56" s="122">
        <f>IF($D56="",0,MAX(0,$D56-$I56))</f>
        <v/>
      </c>
      <c r="K56" s="122">
        <f>IF($H56=0,0,IFERROR(IF($E56="Azalan",$D56*(1-MIN(2*AmortismanAzalanCarpan*$F56,1))^MAX(0,$H56-1)*MIN(2*AmortismanAzalanCarpan*$F56,1),MIN($D56*$F56,$D56)),0))</f>
        <v/>
      </c>
      <c r="L56" s="122">
        <f>IF($D56="",0,$G56-$J56)</f>
        <v/>
      </c>
      <c r="M56" s="122">
        <f>IF($B56="","",CONCATENATE("Kıymet: ",$B56," | NDD: ",TEXT($J56,"#,##0")))</f>
        <v/>
      </c>
    </row>
    <row r="57" ht="15" customHeight="1" s="77">
      <c r="A57" s="123" t="n"/>
      <c r="B57" s="123" t="n"/>
      <c r="C57" s="124" t="n"/>
      <c r="D57" s="125" t="n"/>
      <c r="E57" s="123" t="n"/>
      <c r="F57" s="126" t="n"/>
      <c r="G57" s="125" t="n"/>
      <c r="H57" s="122">
        <f>IF($D57="",0,MAX(0,ROUNDDOWN((AmortismanRaporTarihi-$C57)/365,0)))</f>
        <v/>
      </c>
      <c r="I57" s="122">
        <f>IF($D57="",0,IFERROR(IF($E57="Azalan",MAX(0,$D57*(1-MIN(2*AmortismanAzalanCarpan*$F57,1)^$H57)),MIN($D57,$D57*$F57*$H57)),0))</f>
        <v/>
      </c>
      <c r="J57" s="122">
        <f>IF($D57="",0,MAX(0,$D57-$I57))</f>
        <v/>
      </c>
      <c r="K57" s="122">
        <f>IF($H57=0,0,IFERROR(IF($E57="Azalan",$D57*(1-MIN(2*AmortismanAzalanCarpan*$F57,1))^MAX(0,$H57-1)*MIN(2*AmortismanAzalanCarpan*$F57,1),MIN($D57*$F57,$D57)),0))</f>
        <v/>
      </c>
      <c r="L57" s="122">
        <f>IF($D57="",0,$G57-$J57)</f>
        <v/>
      </c>
      <c r="M57" s="122">
        <f>IF($B57="","",CONCATENATE("Kıymet: ",$B57," | NDD: ",TEXT($J57,"#,##0")))</f>
        <v/>
      </c>
    </row>
    <row r="58" ht="15" customHeight="1" s="77">
      <c r="A58" s="123" t="n"/>
      <c r="B58" s="123" t="n"/>
      <c r="C58" s="124" t="n"/>
      <c r="D58" s="125" t="n"/>
      <c r="E58" s="123" t="n"/>
      <c r="F58" s="126" t="n"/>
      <c r="G58" s="125" t="n"/>
      <c r="H58" s="122">
        <f>IF($D58="",0,MAX(0,ROUNDDOWN((AmortismanRaporTarihi-$C58)/365,0)))</f>
        <v/>
      </c>
      <c r="I58" s="122">
        <f>IF($D58="",0,IFERROR(IF($E58="Azalan",MAX(0,$D58*(1-MIN(2*AmortismanAzalanCarpan*$F58,1)^$H58)),MIN($D58,$D58*$F58*$H58)),0))</f>
        <v/>
      </c>
      <c r="J58" s="122">
        <f>IF($D58="",0,MAX(0,$D58-$I58))</f>
        <v/>
      </c>
      <c r="K58" s="122">
        <f>IF($H58=0,0,IFERROR(IF($E58="Azalan",$D58*(1-MIN(2*AmortismanAzalanCarpan*$F58,1))^MAX(0,$H58-1)*MIN(2*AmortismanAzalanCarpan*$F58,1),MIN($D58*$F58,$D58)),0))</f>
        <v/>
      </c>
      <c r="L58" s="122">
        <f>IF($D58="",0,$G58-$J58)</f>
        <v/>
      </c>
      <c r="M58" s="122">
        <f>IF($B58="","",CONCATENATE("Kıymet: ",$B58," | NDD: ",TEXT($J58,"#,##0")))</f>
        <v/>
      </c>
    </row>
    <row r="59" ht="15" customHeight="1" s="77">
      <c r="A59" s="123" t="n"/>
      <c r="B59" s="123" t="n"/>
      <c r="C59" s="124" t="n"/>
      <c r="D59" s="125" t="n"/>
      <c r="E59" s="123" t="n"/>
      <c r="F59" s="126" t="n"/>
      <c r="G59" s="125" t="n"/>
      <c r="H59" s="122">
        <f>IF($D59="",0,MAX(0,ROUNDDOWN((AmortismanRaporTarihi-$C59)/365,0)))</f>
        <v/>
      </c>
      <c r="I59" s="122">
        <f>IF($D59="",0,IFERROR(IF($E59="Azalan",MAX(0,$D59*(1-MIN(2*AmortismanAzalanCarpan*$F59,1)^$H59)),MIN($D59,$D59*$F59*$H59)),0))</f>
        <v/>
      </c>
      <c r="J59" s="122">
        <f>IF($D59="",0,MAX(0,$D59-$I59))</f>
        <v/>
      </c>
      <c r="K59" s="122">
        <f>IF($H59=0,0,IFERROR(IF($E59="Azalan",$D59*(1-MIN(2*AmortismanAzalanCarpan*$F59,1))^MAX(0,$H59-1)*MIN(2*AmortismanAzalanCarpan*$F59,1),MIN($D59*$F59,$D59)),0))</f>
        <v/>
      </c>
      <c r="L59" s="122">
        <f>IF($D59="",0,$G59-$J59)</f>
        <v/>
      </c>
      <c r="M59" s="122">
        <f>IF($B59="","",CONCATENATE("Kıymet: ",$B59," | NDD: ",TEXT($J59,"#,##0")))</f>
        <v/>
      </c>
    </row>
    <row r="60" ht="15" customHeight="1" s="77">
      <c r="A60" s="123" t="n"/>
      <c r="B60" s="123" t="n"/>
      <c r="C60" s="124" t="n"/>
      <c r="D60" s="125" t="n"/>
      <c r="E60" s="123" t="n"/>
      <c r="F60" s="126" t="n"/>
      <c r="G60" s="125" t="n"/>
      <c r="H60" s="122">
        <f>IF($D60="",0,MAX(0,ROUNDDOWN((AmortismanRaporTarihi-$C60)/365,0)))</f>
        <v/>
      </c>
      <c r="I60" s="122">
        <f>IF($D60="",0,IFERROR(IF($E60="Azalan",MAX(0,$D60*(1-MIN(2*AmortismanAzalanCarpan*$F60,1)^$H60)),MIN($D60,$D60*$F60*$H60)),0))</f>
        <v/>
      </c>
      <c r="J60" s="122">
        <f>IF($D60="",0,MAX(0,$D60-$I60))</f>
        <v/>
      </c>
      <c r="K60" s="122">
        <f>IF($H60=0,0,IFERROR(IF($E60="Azalan",$D60*(1-MIN(2*AmortismanAzalanCarpan*$F60,1))^MAX(0,$H60-1)*MIN(2*AmortismanAzalanCarpan*$F60,1),MIN($D60*$F60,$D60)),0))</f>
        <v/>
      </c>
      <c r="L60" s="122">
        <f>IF($D60="",0,$G60-$J60)</f>
        <v/>
      </c>
      <c r="M60" s="122">
        <f>IF($B60="","",CONCATENATE("Kıymet: ",$B60," | NDD: ",TEXT($J60,"#,##0")))</f>
        <v/>
      </c>
    </row>
    <row r="61" ht="15" customHeight="1" s="77">
      <c r="A61" s="123" t="n"/>
      <c r="B61" s="123" t="n"/>
      <c r="C61" s="124" t="n"/>
      <c r="D61" s="125" t="n"/>
      <c r="E61" s="123" t="n"/>
      <c r="F61" s="126" t="n"/>
      <c r="G61" s="125" t="n"/>
      <c r="H61" s="122">
        <f>IF($D61="",0,MAX(0,ROUNDDOWN((AmortismanRaporTarihi-$C61)/365,0)))</f>
        <v/>
      </c>
      <c r="I61" s="122">
        <f>IF($D61="",0,IFERROR(IF($E61="Azalan",MAX(0,$D61*(1-MIN(2*AmortismanAzalanCarpan*$F61,1)^$H61)),MIN($D61,$D61*$F61*$H61)),0))</f>
        <v/>
      </c>
      <c r="J61" s="122">
        <f>IF($D61="",0,MAX(0,$D61-$I61))</f>
        <v/>
      </c>
      <c r="K61" s="122">
        <f>IF($H61=0,0,IFERROR(IF($E61="Azalan",$D61*(1-MIN(2*AmortismanAzalanCarpan*$F61,1))^MAX(0,$H61-1)*MIN(2*AmortismanAzalanCarpan*$F61,1),MIN($D61*$F61,$D61)),0))</f>
        <v/>
      </c>
      <c r="L61" s="122">
        <f>IF($D61="",0,$G61-$J61)</f>
        <v/>
      </c>
      <c r="M61" s="122">
        <f>IF($B61="","",CONCATENATE("Kıymet: ",$B61," | NDD: ",TEXT($J61,"#,##0")))</f>
        <v/>
      </c>
    </row>
    <row r="62" ht="15" customHeight="1" s="77">
      <c r="A62" s="123" t="n"/>
      <c r="B62" s="123" t="n"/>
      <c r="C62" s="124" t="n"/>
      <c r="D62" s="125" t="n"/>
      <c r="E62" s="123" t="n"/>
      <c r="F62" s="126" t="n"/>
      <c r="G62" s="125" t="n"/>
      <c r="H62" s="122">
        <f>IF($D62="",0,MAX(0,ROUNDDOWN((AmortismanRaporTarihi-$C62)/365,0)))</f>
        <v/>
      </c>
      <c r="I62" s="122">
        <f>IF($D62="",0,IFERROR(IF($E62="Azalan",MAX(0,$D62*(1-MIN(2*AmortismanAzalanCarpan*$F62,1)^$H62)),MIN($D62,$D62*$F62*$H62)),0))</f>
        <v/>
      </c>
      <c r="J62" s="122">
        <f>IF($D62="",0,MAX(0,$D62-$I62))</f>
        <v/>
      </c>
      <c r="K62" s="122">
        <f>IF($H62=0,0,IFERROR(IF($E62="Azalan",$D62*(1-MIN(2*AmortismanAzalanCarpan*$F62,1))^MAX(0,$H62-1)*MIN(2*AmortismanAzalanCarpan*$F62,1),MIN($D62*$F62,$D62)),0))</f>
        <v/>
      </c>
      <c r="L62" s="122">
        <f>IF($D62="",0,$G62-$J62)</f>
        <v/>
      </c>
      <c r="M62" s="122">
        <f>IF($B62="","",CONCATENATE("Kıymet: ",$B62," | NDD: ",TEXT($J62,"#,##0")))</f>
        <v/>
      </c>
    </row>
    <row r="63" ht="15" customHeight="1" s="77">
      <c r="A63" s="123" t="n"/>
      <c r="B63" s="123" t="n"/>
      <c r="C63" s="124" t="n"/>
      <c r="D63" s="125" t="n"/>
      <c r="E63" s="123" t="n"/>
      <c r="F63" s="126" t="n"/>
      <c r="G63" s="125" t="n"/>
      <c r="H63" s="122">
        <f>IF($D63="",0,MAX(0,ROUNDDOWN((AmortismanRaporTarihi-$C63)/365,0)))</f>
        <v/>
      </c>
      <c r="I63" s="122">
        <f>IF($D63="",0,IFERROR(IF($E63="Azalan",MAX(0,$D63*(1-MIN(2*AmortismanAzalanCarpan*$F63,1)^$H63)),MIN($D63,$D63*$F63*$H63)),0))</f>
        <v/>
      </c>
      <c r="J63" s="122">
        <f>IF($D63="",0,MAX(0,$D63-$I63))</f>
        <v/>
      </c>
      <c r="K63" s="122">
        <f>IF($H63=0,0,IFERROR(IF($E63="Azalan",$D63*(1-MIN(2*AmortismanAzalanCarpan*$F63,1))^MAX(0,$H63-1)*MIN(2*AmortismanAzalanCarpan*$F63,1),MIN($D63*$F63,$D63)),0))</f>
        <v/>
      </c>
      <c r="L63" s="122">
        <f>IF($D63="",0,$G63-$J63)</f>
        <v/>
      </c>
      <c r="M63" s="122">
        <f>IF($B63="","",CONCATENATE("Kıymet: ",$B63," | NDD: ",TEXT($J63,"#,##0")))</f>
        <v/>
      </c>
    </row>
    <row r="64" ht="15" customHeight="1" s="77">
      <c r="A64" s="123" t="n"/>
      <c r="B64" s="123" t="n"/>
      <c r="C64" s="124" t="n"/>
      <c r="D64" s="125" t="n"/>
      <c r="E64" s="123" t="n"/>
      <c r="F64" s="126" t="n"/>
      <c r="G64" s="125" t="n"/>
      <c r="H64" s="122">
        <f>IF($D64="",0,MAX(0,ROUNDDOWN((AmortismanRaporTarihi-$C64)/365,0)))</f>
        <v/>
      </c>
      <c r="I64" s="122">
        <f>IF($D64="",0,IFERROR(IF($E64="Azalan",MAX(0,$D64*(1-MIN(2*AmortismanAzalanCarpan*$F64,1)^$H64)),MIN($D64,$D64*$F64*$H64)),0))</f>
        <v/>
      </c>
      <c r="J64" s="122">
        <f>IF($D64="",0,MAX(0,$D64-$I64))</f>
        <v/>
      </c>
      <c r="K64" s="122">
        <f>IF($H64=0,0,IFERROR(IF($E64="Azalan",$D64*(1-MIN(2*AmortismanAzalanCarpan*$F64,1))^MAX(0,$H64-1)*MIN(2*AmortismanAzalanCarpan*$F64,1),MIN($D64*$F64,$D64)),0))</f>
        <v/>
      </c>
      <c r="L64" s="122">
        <f>IF($D64="",0,$G64-$J64)</f>
        <v/>
      </c>
      <c r="M64" s="122">
        <f>IF($B64="","",CONCATENATE("Kıymet: ",$B64," | NDD: ",TEXT($J64,"#,##0")))</f>
        <v/>
      </c>
    </row>
    <row r="65" ht="15" customHeight="1" s="77">
      <c r="A65" s="123" t="n"/>
      <c r="B65" s="123" t="n"/>
      <c r="C65" s="124" t="n"/>
      <c r="D65" s="125" t="n"/>
      <c r="E65" s="123" t="n"/>
      <c r="F65" s="126" t="n"/>
      <c r="G65" s="125" t="n"/>
      <c r="H65" s="122">
        <f>IF($D65="",0,MAX(0,ROUNDDOWN((AmortismanRaporTarihi-$C65)/365,0)))</f>
        <v/>
      </c>
      <c r="I65" s="122">
        <f>IF($D65="",0,IFERROR(IF($E65="Azalan",MAX(0,$D65*(1-MIN(2*AmortismanAzalanCarpan*$F65,1)^$H65)),MIN($D65,$D65*$F65*$H65)),0))</f>
        <v/>
      </c>
      <c r="J65" s="122">
        <f>IF($D65="",0,MAX(0,$D65-$I65))</f>
        <v/>
      </c>
      <c r="K65" s="122">
        <f>IF($H65=0,0,IFERROR(IF($E65="Azalan",$D65*(1-MIN(2*AmortismanAzalanCarpan*$F65,1))^MAX(0,$H65-1)*MIN(2*AmortismanAzalanCarpan*$F65,1),MIN($D65*$F65,$D65)),0))</f>
        <v/>
      </c>
      <c r="L65" s="122">
        <f>IF($D65="",0,$G65-$J65)</f>
        <v/>
      </c>
      <c r="M65" s="122">
        <f>IF($B65="","",CONCATENATE("Kıymet: ",$B65," | NDD: ",TEXT($J65,"#,##0")))</f>
        <v/>
      </c>
    </row>
    <row r="66" ht="15" customHeight="1" s="77">
      <c r="A66" s="123" t="n"/>
      <c r="B66" s="123" t="n"/>
      <c r="C66" s="124" t="n"/>
      <c r="D66" s="125" t="n"/>
      <c r="E66" s="123" t="n"/>
      <c r="F66" s="126" t="n"/>
      <c r="G66" s="125" t="n"/>
      <c r="H66" s="122">
        <f>IF($D66="",0,MAX(0,ROUNDDOWN((AmortismanRaporTarihi-$C66)/365,0)))</f>
        <v/>
      </c>
      <c r="I66" s="122">
        <f>IF($D66="",0,IFERROR(IF($E66="Azalan",MAX(0,$D66*(1-MIN(2*AmortismanAzalanCarpan*$F66,1)^$H66)),MIN($D66,$D66*$F66*$H66)),0))</f>
        <v/>
      </c>
      <c r="J66" s="122">
        <f>IF($D66="",0,MAX(0,$D66-$I66))</f>
        <v/>
      </c>
      <c r="K66" s="122">
        <f>IF($H66=0,0,IFERROR(IF($E66="Azalan",$D66*(1-MIN(2*AmortismanAzalanCarpan*$F66,1))^MAX(0,$H66-1)*MIN(2*AmortismanAzalanCarpan*$F66,1),MIN($D66*$F66,$D66)),0))</f>
        <v/>
      </c>
      <c r="L66" s="122">
        <f>IF($D66="",0,$G66-$J66)</f>
        <v/>
      </c>
      <c r="M66" s="122">
        <f>IF($B66="","",CONCATENATE("Kıymet: ",$B66," | NDD: ",TEXT($J66,"#,##0")))</f>
        <v/>
      </c>
    </row>
    <row r="67" ht="15" customHeight="1" s="77">
      <c r="A67" s="123" t="n"/>
      <c r="B67" s="123" t="n"/>
      <c r="C67" s="124" t="n"/>
      <c r="D67" s="125" t="n"/>
      <c r="E67" s="123" t="n"/>
      <c r="F67" s="126" t="n"/>
      <c r="G67" s="125" t="n"/>
      <c r="H67" s="122">
        <f>IF($D67="",0,MAX(0,ROUNDDOWN((AmortismanRaporTarihi-$C67)/365,0)))</f>
        <v/>
      </c>
      <c r="I67" s="122">
        <f>IF($D67="",0,IFERROR(IF($E67="Azalan",MAX(0,$D67*(1-MIN(2*AmortismanAzalanCarpan*$F67,1)^$H67)),MIN($D67,$D67*$F67*$H67)),0))</f>
        <v/>
      </c>
      <c r="J67" s="122">
        <f>IF($D67="",0,MAX(0,$D67-$I67))</f>
        <v/>
      </c>
      <c r="K67" s="122">
        <f>IF($H67=0,0,IFERROR(IF($E67="Azalan",$D67*(1-MIN(2*AmortismanAzalanCarpan*$F67,1))^MAX(0,$H67-1)*MIN(2*AmortismanAzalanCarpan*$F67,1),MIN($D67*$F67,$D67)),0))</f>
        <v/>
      </c>
      <c r="L67" s="122">
        <f>IF($D67="",0,$G67-$J67)</f>
        <v/>
      </c>
      <c r="M67" s="122">
        <f>IF($B67="","",CONCATENATE("Kıymet: ",$B67," | NDD: ",TEXT($J67,"#,##0")))</f>
        <v/>
      </c>
    </row>
    <row r="68" ht="15" customHeight="1" s="77">
      <c r="A68" s="123" t="n"/>
      <c r="B68" s="123" t="n"/>
      <c r="C68" s="124" t="n"/>
      <c r="D68" s="125" t="n"/>
      <c r="E68" s="123" t="n"/>
      <c r="F68" s="126" t="n"/>
      <c r="G68" s="125" t="n"/>
      <c r="H68" s="122">
        <f>IF($D68="",0,MAX(0,ROUNDDOWN((AmortismanRaporTarihi-$C68)/365,0)))</f>
        <v/>
      </c>
      <c r="I68" s="122">
        <f>IF($D68="",0,IFERROR(IF($E68="Azalan",MAX(0,$D68*(1-MIN(2*AmortismanAzalanCarpan*$F68,1)^$H68)),MIN($D68,$D68*$F68*$H68)),0))</f>
        <v/>
      </c>
      <c r="J68" s="122">
        <f>IF($D68="",0,MAX(0,$D68-$I68))</f>
        <v/>
      </c>
      <c r="K68" s="122">
        <f>IF($H68=0,0,IFERROR(IF($E68="Azalan",$D68*(1-MIN(2*AmortismanAzalanCarpan*$F68,1))^MAX(0,$H68-1)*MIN(2*AmortismanAzalanCarpan*$F68,1),MIN($D68*$F68,$D68)),0))</f>
        <v/>
      </c>
      <c r="L68" s="122">
        <f>IF($D68="",0,$G68-$J68)</f>
        <v/>
      </c>
      <c r="M68" s="122">
        <f>IF($B68="","",CONCATENATE("Kıymet: ",$B68," | NDD: ",TEXT($J68,"#,##0")))</f>
        <v/>
      </c>
    </row>
    <row r="69" ht="15" customHeight="1" s="77">
      <c r="A69" s="123" t="n"/>
      <c r="B69" s="123" t="n"/>
      <c r="C69" s="124" t="n"/>
      <c r="D69" s="125" t="n"/>
      <c r="E69" s="123" t="n"/>
      <c r="F69" s="126" t="n"/>
      <c r="G69" s="125" t="n"/>
      <c r="H69" s="122">
        <f>IF($D69="",0,MAX(0,ROUNDDOWN((AmortismanRaporTarihi-$C69)/365,0)))</f>
        <v/>
      </c>
      <c r="I69" s="122">
        <f>IF($D69="",0,IFERROR(IF($E69="Azalan",MAX(0,$D69*(1-MIN(2*AmortismanAzalanCarpan*$F69,1)^$H69)),MIN($D69,$D69*$F69*$H69)),0))</f>
        <v/>
      </c>
      <c r="J69" s="122">
        <f>IF($D69="",0,MAX(0,$D69-$I69))</f>
        <v/>
      </c>
      <c r="K69" s="122">
        <f>IF($H69=0,0,IFERROR(IF($E69="Azalan",$D69*(1-MIN(2*AmortismanAzalanCarpan*$F69,1))^MAX(0,$H69-1)*MIN(2*AmortismanAzalanCarpan*$F69,1),MIN($D69*$F69,$D69)),0))</f>
        <v/>
      </c>
      <c r="L69" s="122">
        <f>IF($D69="",0,$G69-$J69)</f>
        <v/>
      </c>
      <c r="M69" s="122">
        <f>IF($B69="","",CONCATENATE("Kıymet: ",$B69," | NDD: ",TEXT($J69,"#,##0")))</f>
        <v/>
      </c>
    </row>
    <row r="70" ht="15" customHeight="1" s="77">
      <c r="A70" s="123" t="n"/>
      <c r="B70" s="123" t="n"/>
      <c r="C70" s="124" t="n"/>
      <c r="D70" s="125" t="n"/>
      <c r="E70" s="123" t="n"/>
      <c r="F70" s="126" t="n"/>
      <c r="G70" s="125" t="n"/>
      <c r="H70" s="122">
        <f>IF($D70="",0,MAX(0,ROUNDDOWN((AmortismanRaporTarihi-$C70)/365,0)))</f>
        <v/>
      </c>
      <c r="I70" s="122">
        <f>IF($D70="",0,IFERROR(IF($E70="Azalan",MAX(0,$D70*(1-MIN(2*AmortismanAzalanCarpan*$F70,1)^$H70)),MIN($D70,$D70*$F70*$H70)),0))</f>
        <v/>
      </c>
      <c r="J70" s="122">
        <f>IF($D70="",0,MAX(0,$D70-$I70))</f>
        <v/>
      </c>
      <c r="K70" s="122">
        <f>IF($H70=0,0,IFERROR(IF($E70="Azalan",$D70*(1-MIN(2*AmortismanAzalanCarpan*$F70,1))^MAX(0,$H70-1)*MIN(2*AmortismanAzalanCarpan*$F70,1),MIN($D70*$F70,$D70)),0))</f>
        <v/>
      </c>
      <c r="L70" s="122">
        <f>IF($D70="",0,$G70-$J70)</f>
        <v/>
      </c>
      <c r="M70" s="122">
        <f>IF($B70="","",CONCATENATE("Kıymet: ",$B70," | NDD: ",TEXT($J70,"#,##0")))</f>
        <v/>
      </c>
    </row>
    <row r="71" ht="15" customHeight="1" s="77">
      <c r="A71" s="123" t="n"/>
      <c r="B71" s="123" t="n"/>
      <c r="C71" s="124" t="n"/>
      <c r="D71" s="125" t="n"/>
      <c r="E71" s="123" t="n"/>
      <c r="F71" s="126" t="n"/>
      <c r="G71" s="125" t="n"/>
      <c r="H71" s="122">
        <f>IF($D71="",0,MAX(0,ROUNDDOWN((AmortismanRaporTarihi-$C71)/365,0)))</f>
        <v/>
      </c>
      <c r="I71" s="122">
        <f>IF($D71="",0,IFERROR(IF($E71="Azalan",MAX(0,$D71*(1-MIN(2*AmortismanAzalanCarpan*$F71,1)^$H71)),MIN($D71,$D71*$F71*$H71)),0))</f>
        <v/>
      </c>
      <c r="J71" s="122">
        <f>IF($D71="",0,MAX(0,$D71-$I71))</f>
        <v/>
      </c>
      <c r="K71" s="122">
        <f>IF($H71=0,0,IFERROR(IF($E71="Azalan",$D71*(1-MIN(2*AmortismanAzalanCarpan*$F71,1))^MAX(0,$H71-1)*MIN(2*AmortismanAzalanCarpan*$F71,1),MIN($D71*$F71,$D71)),0))</f>
        <v/>
      </c>
      <c r="L71" s="122">
        <f>IF($D71="",0,$G71-$J71)</f>
        <v/>
      </c>
      <c r="M71" s="122">
        <f>IF($B71="","",CONCATENATE("Kıymet: ",$B71," | NDD: ",TEXT($J71,"#,##0")))</f>
        <v/>
      </c>
    </row>
    <row r="72" ht="15" customHeight="1" s="77">
      <c r="A72" s="123" t="n"/>
      <c r="B72" s="123" t="n"/>
      <c r="C72" s="124" t="n"/>
      <c r="D72" s="125" t="n"/>
      <c r="E72" s="123" t="n"/>
      <c r="F72" s="126" t="n"/>
      <c r="G72" s="125" t="n"/>
      <c r="H72" s="122">
        <f>IF($D72="",0,MAX(0,ROUNDDOWN((AmortismanRaporTarihi-$C72)/365,0)))</f>
        <v/>
      </c>
      <c r="I72" s="122">
        <f>IF($D72="",0,IFERROR(IF($E72="Azalan",MAX(0,$D72*(1-MIN(2*AmortismanAzalanCarpan*$F72,1)^$H72)),MIN($D72,$D72*$F72*$H72)),0))</f>
        <v/>
      </c>
      <c r="J72" s="122">
        <f>IF($D72="",0,MAX(0,$D72-$I72))</f>
        <v/>
      </c>
      <c r="K72" s="122">
        <f>IF($H72=0,0,IFERROR(IF($E72="Azalan",$D72*(1-MIN(2*AmortismanAzalanCarpan*$F72,1))^MAX(0,$H72-1)*MIN(2*AmortismanAzalanCarpan*$F72,1),MIN($D72*$F72,$D72)),0))</f>
        <v/>
      </c>
      <c r="L72" s="122">
        <f>IF($D72="",0,$G72-$J72)</f>
        <v/>
      </c>
      <c r="M72" s="122">
        <f>IF($B72="","",CONCATENATE("Kıymet: ",$B72," | NDD: ",TEXT($J72,"#,##0")))</f>
        <v/>
      </c>
    </row>
    <row r="73" ht="15" customHeight="1" s="77">
      <c r="A73" s="123" t="n"/>
      <c r="B73" s="123" t="n"/>
      <c r="C73" s="124" t="n"/>
      <c r="D73" s="125" t="n"/>
      <c r="E73" s="123" t="n"/>
      <c r="F73" s="126" t="n"/>
      <c r="G73" s="125" t="n"/>
      <c r="H73" s="122">
        <f>IF($D73="",0,MAX(0,ROUNDDOWN((AmortismanRaporTarihi-$C73)/365,0)))</f>
        <v/>
      </c>
      <c r="I73" s="122">
        <f>IF($D73="",0,IFERROR(IF($E73="Azalan",MAX(0,$D73*(1-MIN(2*AmortismanAzalanCarpan*$F73,1)^$H73)),MIN($D73,$D73*$F73*$H73)),0))</f>
        <v/>
      </c>
      <c r="J73" s="122">
        <f>IF($D73="",0,MAX(0,$D73-$I73))</f>
        <v/>
      </c>
      <c r="K73" s="122">
        <f>IF($H73=0,0,IFERROR(IF($E73="Azalan",$D73*(1-MIN(2*AmortismanAzalanCarpan*$F73,1))^MAX(0,$H73-1)*MIN(2*AmortismanAzalanCarpan*$F73,1),MIN($D73*$F73,$D73)),0))</f>
        <v/>
      </c>
      <c r="L73" s="122">
        <f>IF($D73="",0,$G73-$J73)</f>
        <v/>
      </c>
      <c r="M73" s="122">
        <f>IF($B73="","",CONCATENATE("Kıymet: ",$B73," | NDD: ",TEXT($J73,"#,##0")))</f>
        <v/>
      </c>
    </row>
    <row r="74" ht="15" customHeight="1" s="77">
      <c r="A74" s="123" t="n"/>
      <c r="B74" s="123" t="n"/>
      <c r="C74" s="124" t="n"/>
      <c r="D74" s="125" t="n"/>
      <c r="E74" s="123" t="n"/>
      <c r="F74" s="126" t="n"/>
      <c r="G74" s="125" t="n"/>
      <c r="H74" s="122">
        <f>IF($D74="",0,MAX(0,ROUNDDOWN((AmortismanRaporTarihi-$C74)/365,0)))</f>
        <v/>
      </c>
      <c r="I74" s="122">
        <f>IF($D74="",0,IFERROR(IF($E74="Azalan",MAX(0,$D74*(1-MIN(2*AmortismanAzalanCarpan*$F74,1)^$H74)),MIN($D74,$D74*$F74*$H74)),0))</f>
        <v/>
      </c>
      <c r="J74" s="122">
        <f>IF($D74="",0,MAX(0,$D74-$I74))</f>
        <v/>
      </c>
      <c r="K74" s="122">
        <f>IF($H74=0,0,IFERROR(IF($E74="Azalan",$D74*(1-MIN(2*AmortismanAzalanCarpan*$F74,1))^MAX(0,$H74-1)*MIN(2*AmortismanAzalanCarpan*$F74,1),MIN($D74*$F74,$D74)),0))</f>
        <v/>
      </c>
      <c r="L74" s="122">
        <f>IF($D74="",0,$G74-$J74)</f>
        <v/>
      </c>
      <c r="M74" s="122">
        <f>IF($B74="","",CONCATENATE("Kıymet: ",$B74," | NDD: ",TEXT($J74,"#,##0")))</f>
        <v/>
      </c>
    </row>
    <row r="75" ht="15" customHeight="1" s="77">
      <c r="A75" s="123" t="n"/>
      <c r="B75" s="123" t="n"/>
      <c r="C75" s="124" t="n"/>
      <c r="D75" s="125" t="n"/>
      <c r="E75" s="123" t="n"/>
      <c r="F75" s="126" t="n"/>
      <c r="G75" s="125" t="n"/>
      <c r="H75" s="122">
        <f>IF($D75="",0,MAX(0,ROUNDDOWN((AmortismanRaporTarihi-$C75)/365,0)))</f>
        <v/>
      </c>
      <c r="I75" s="122">
        <f>IF($D75="",0,IFERROR(IF($E75="Azalan",MAX(0,$D75*(1-MIN(2*AmortismanAzalanCarpan*$F75,1)^$H75)),MIN($D75,$D75*$F75*$H75)),0))</f>
        <v/>
      </c>
      <c r="J75" s="122">
        <f>IF($D75="",0,MAX(0,$D75-$I75))</f>
        <v/>
      </c>
      <c r="K75" s="122">
        <f>IF($H75=0,0,IFERROR(IF($E75="Azalan",$D75*(1-MIN(2*AmortismanAzalanCarpan*$F75,1))^MAX(0,$H75-1)*MIN(2*AmortismanAzalanCarpan*$F75,1),MIN($D75*$F75,$D75)),0))</f>
        <v/>
      </c>
      <c r="L75" s="122">
        <f>IF($D75="",0,$G75-$J75)</f>
        <v/>
      </c>
      <c r="M75" s="122">
        <f>IF($B75="","",CONCATENATE("Kıymet: ",$B75," | NDD: ",TEXT($J75,"#,##0")))</f>
        <v/>
      </c>
    </row>
    <row r="76" ht="15" customHeight="1" s="77">
      <c r="A76" s="123" t="n"/>
      <c r="B76" s="123" t="n"/>
      <c r="C76" s="124" t="n"/>
      <c r="D76" s="125" t="n"/>
      <c r="E76" s="123" t="n"/>
      <c r="F76" s="126" t="n"/>
      <c r="G76" s="125" t="n"/>
      <c r="H76" s="122">
        <f>IF($D76="",0,MAX(0,ROUNDDOWN((AmortismanRaporTarihi-$C76)/365,0)))</f>
        <v/>
      </c>
      <c r="I76" s="122">
        <f>IF($D76="",0,IFERROR(IF($E76="Azalan",MAX(0,$D76*(1-MIN(2*AmortismanAzalanCarpan*$F76,1)^$H76)),MIN($D76,$D76*$F76*$H76)),0))</f>
        <v/>
      </c>
      <c r="J76" s="122">
        <f>IF($D76="",0,MAX(0,$D76-$I76))</f>
        <v/>
      </c>
      <c r="K76" s="122">
        <f>IF($H76=0,0,IFERROR(IF($E76="Azalan",$D76*(1-MIN(2*AmortismanAzalanCarpan*$F76,1))^MAX(0,$H76-1)*MIN(2*AmortismanAzalanCarpan*$F76,1),MIN($D76*$F76,$D76)),0))</f>
        <v/>
      </c>
      <c r="L76" s="122">
        <f>IF($D76="",0,$G76-$J76)</f>
        <v/>
      </c>
      <c r="M76" s="122">
        <f>IF($B76="","",CONCATENATE("Kıymet: ",$B76," | NDD: ",TEXT($J76,"#,##0")))</f>
        <v/>
      </c>
    </row>
    <row r="77" ht="15" customHeight="1" s="77">
      <c r="A77" s="123" t="n"/>
      <c r="B77" s="123" t="n"/>
      <c r="C77" s="124" t="n"/>
      <c r="D77" s="125" t="n"/>
      <c r="E77" s="123" t="n"/>
      <c r="F77" s="126" t="n"/>
      <c r="G77" s="125" t="n"/>
      <c r="H77" s="122">
        <f>IF($D77="",0,MAX(0,ROUNDDOWN((AmortismanRaporTarihi-$C77)/365,0)))</f>
        <v/>
      </c>
      <c r="I77" s="122">
        <f>IF($D77="",0,IFERROR(IF($E77="Azalan",MAX(0,$D77*(1-MIN(2*AmortismanAzalanCarpan*$F77,1)^$H77)),MIN($D77,$D77*$F77*$H77)),0))</f>
        <v/>
      </c>
      <c r="J77" s="122">
        <f>IF($D77="",0,MAX(0,$D77-$I77))</f>
        <v/>
      </c>
      <c r="K77" s="122">
        <f>IF($H77=0,0,IFERROR(IF($E77="Azalan",$D77*(1-MIN(2*AmortismanAzalanCarpan*$F77,1))^MAX(0,$H77-1)*MIN(2*AmortismanAzalanCarpan*$F77,1),MIN($D77*$F77,$D77)),0))</f>
        <v/>
      </c>
      <c r="L77" s="122">
        <f>IF($D77="",0,$G77-$J77)</f>
        <v/>
      </c>
      <c r="M77" s="122">
        <f>IF($B77="","",CONCATENATE("Kıymet: ",$B77," | NDD: ",TEXT($J77,"#,##0")))</f>
        <v/>
      </c>
    </row>
    <row r="78" ht="15" customHeight="1" s="77">
      <c r="A78" s="123" t="n"/>
      <c r="B78" s="123" t="n"/>
      <c r="C78" s="124" t="n"/>
      <c r="D78" s="125" t="n"/>
      <c r="E78" s="123" t="n"/>
      <c r="F78" s="126" t="n"/>
      <c r="G78" s="125" t="n"/>
      <c r="H78" s="122">
        <f>IF($D78="",0,MAX(0,ROUNDDOWN((AmortismanRaporTarihi-$C78)/365,0)))</f>
        <v/>
      </c>
      <c r="I78" s="122">
        <f>IF($D78="",0,IFERROR(IF($E78="Azalan",MAX(0,$D78*(1-MIN(2*AmortismanAzalanCarpan*$F78,1)^$H78)),MIN($D78,$D78*$F78*$H78)),0))</f>
        <v/>
      </c>
      <c r="J78" s="122">
        <f>IF($D78="",0,MAX(0,$D78-$I78))</f>
        <v/>
      </c>
      <c r="K78" s="122">
        <f>IF($H78=0,0,IFERROR(IF($E78="Azalan",$D78*(1-MIN(2*AmortismanAzalanCarpan*$F78,1))^MAX(0,$H78-1)*MIN(2*AmortismanAzalanCarpan*$F78,1),MIN($D78*$F78,$D78)),0))</f>
        <v/>
      </c>
      <c r="L78" s="122">
        <f>IF($D78="",0,$G78-$J78)</f>
        <v/>
      </c>
      <c r="M78" s="122">
        <f>IF($B78="","",CONCATENATE("Kıymet: ",$B78," | NDD: ",TEXT($J78,"#,##0")))</f>
        <v/>
      </c>
    </row>
    <row r="79" ht="15" customHeight="1" s="77">
      <c r="A79" s="123" t="n"/>
      <c r="B79" s="123" t="n"/>
      <c r="C79" s="124" t="n"/>
      <c r="D79" s="125" t="n"/>
      <c r="E79" s="123" t="n"/>
      <c r="F79" s="126" t="n"/>
      <c r="G79" s="125" t="n"/>
      <c r="H79" s="122">
        <f>IF($D79="",0,MAX(0,ROUNDDOWN((AmortismanRaporTarihi-$C79)/365,0)))</f>
        <v/>
      </c>
      <c r="I79" s="122">
        <f>IF($D79="",0,IFERROR(IF($E79="Azalan",MAX(0,$D79*(1-MIN(2*AmortismanAzalanCarpan*$F79,1)^$H79)),MIN($D79,$D79*$F79*$H79)),0))</f>
        <v/>
      </c>
      <c r="J79" s="122">
        <f>IF($D79="",0,MAX(0,$D79-$I79))</f>
        <v/>
      </c>
      <c r="K79" s="122">
        <f>IF($H79=0,0,IFERROR(IF($E79="Azalan",$D79*(1-MIN(2*AmortismanAzalanCarpan*$F79,1))^MAX(0,$H79-1)*MIN(2*AmortismanAzalanCarpan*$F79,1),MIN($D79*$F79,$D79)),0))</f>
        <v/>
      </c>
      <c r="L79" s="122">
        <f>IF($D79="",0,$G79-$J79)</f>
        <v/>
      </c>
      <c r="M79" s="122">
        <f>IF($B79="","",CONCATENATE("Kıymet: ",$B79," | NDD: ",TEXT($J79,"#,##0")))</f>
        <v/>
      </c>
    </row>
    <row r="80" ht="15" customHeight="1" s="77">
      <c r="A80" s="123" t="n"/>
      <c r="B80" s="123" t="n"/>
      <c r="C80" s="124" t="n"/>
      <c r="D80" s="125" t="n"/>
      <c r="E80" s="123" t="n"/>
      <c r="F80" s="126" t="n"/>
      <c r="G80" s="125" t="n"/>
      <c r="H80" s="122">
        <f>IF($D80="",0,MAX(0,ROUNDDOWN((AmortismanRaporTarihi-$C80)/365,0)))</f>
        <v/>
      </c>
      <c r="I80" s="122">
        <f>IF($D80="",0,IFERROR(IF($E80="Azalan",MAX(0,$D80*(1-MIN(2*AmortismanAzalanCarpan*$F80,1)^$H80)),MIN($D80,$D80*$F80*$H80)),0))</f>
        <v/>
      </c>
      <c r="J80" s="122">
        <f>IF($D80="",0,MAX(0,$D80-$I80))</f>
        <v/>
      </c>
      <c r="K80" s="122">
        <f>IF($H80=0,0,IFERROR(IF($E80="Azalan",$D80*(1-MIN(2*AmortismanAzalanCarpan*$F80,1))^MAX(0,$H80-1)*MIN(2*AmortismanAzalanCarpan*$F80,1),MIN($D80*$F80,$D80)),0))</f>
        <v/>
      </c>
      <c r="L80" s="122">
        <f>IF($D80="",0,$G80-$J80)</f>
        <v/>
      </c>
      <c r="M80" s="122">
        <f>IF($B80="","",CONCATENATE("Kıymet: ",$B80," | NDD: ",TEXT($J80,"#,##0")))</f>
        <v/>
      </c>
    </row>
    <row r="81" ht="15" customHeight="1" s="77">
      <c r="A81" s="123" t="n"/>
      <c r="B81" s="123" t="n"/>
      <c r="C81" s="124" t="n"/>
      <c r="D81" s="125" t="n"/>
      <c r="E81" s="123" t="n"/>
      <c r="F81" s="126" t="n"/>
      <c r="G81" s="125" t="n"/>
      <c r="H81" s="122">
        <f>IF($D81="",0,MAX(0,ROUNDDOWN((AmortismanRaporTarihi-$C81)/365,0)))</f>
        <v/>
      </c>
      <c r="I81" s="122">
        <f>IF($D81="",0,IFERROR(IF($E81="Azalan",MAX(0,$D81*(1-MIN(2*AmortismanAzalanCarpan*$F81,1)^$H81)),MIN($D81,$D81*$F81*$H81)),0))</f>
        <v/>
      </c>
      <c r="J81" s="122">
        <f>IF($D81="",0,MAX(0,$D81-$I81))</f>
        <v/>
      </c>
      <c r="K81" s="122">
        <f>IF($H81=0,0,IFERROR(IF($E81="Azalan",$D81*(1-MIN(2*AmortismanAzalanCarpan*$F81,1))^MAX(0,$H81-1)*MIN(2*AmortismanAzalanCarpan*$F81,1),MIN($D81*$F81,$D81)),0))</f>
        <v/>
      </c>
      <c r="L81" s="122">
        <f>IF($D81="",0,$G81-$J81)</f>
        <v/>
      </c>
      <c r="M81" s="122">
        <f>IF($B81="","",CONCATENATE("Kıymet: ",$B81," | NDD: ",TEXT($J81,"#,##0")))</f>
        <v/>
      </c>
    </row>
    <row r="82" ht="15" customHeight="1" s="77">
      <c r="A82" s="123" t="n"/>
      <c r="B82" s="123" t="n"/>
      <c r="C82" s="124" t="n"/>
      <c r="D82" s="125" t="n"/>
      <c r="E82" s="123" t="n"/>
      <c r="F82" s="126" t="n"/>
      <c r="G82" s="125" t="n"/>
      <c r="H82" s="122">
        <f>IF($D82="",0,MAX(0,ROUNDDOWN((AmortismanRaporTarihi-$C82)/365,0)))</f>
        <v/>
      </c>
      <c r="I82" s="122">
        <f>IF($D82="",0,IFERROR(IF($E82="Azalan",MAX(0,$D82*(1-MIN(2*AmortismanAzalanCarpan*$F82,1)^$H82)),MIN($D82,$D82*$F82*$H82)),0))</f>
        <v/>
      </c>
      <c r="J82" s="122">
        <f>IF($D82="",0,MAX(0,$D82-$I82))</f>
        <v/>
      </c>
      <c r="K82" s="122">
        <f>IF($H82=0,0,IFERROR(IF($E82="Azalan",$D82*(1-MIN(2*AmortismanAzalanCarpan*$F82,1))^MAX(0,$H82-1)*MIN(2*AmortismanAzalanCarpan*$F82,1),MIN($D82*$F82,$D82)),0))</f>
        <v/>
      </c>
      <c r="L82" s="122">
        <f>IF($D82="",0,$G82-$J82)</f>
        <v/>
      </c>
      <c r="M82" s="122">
        <f>IF($B82="","",CONCATENATE("Kıymet: ",$B82," | NDD: ",TEXT($J82,"#,##0")))</f>
        <v/>
      </c>
    </row>
    <row r="83" ht="15" customHeight="1" s="77">
      <c r="A83" s="123" t="n"/>
      <c r="B83" s="123" t="n"/>
      <c r="C83" s="124" t="n"/>
      <c r="D83" s="125" t="n"/>
      <c r="E83" s="123" t="n"/>
      <c r="F83" s="126" t="n"/>
      <c r="G83" s="125" t="n"/>
      <c r="H83" s="122">
        <f>IF($D83="",0,MAX(0,ROUNDDOWN((AmortismanRaporTarihi-$C83)/365,0)))</f>
        <v/>
      </c>
      <c r="I83" s="122">
        <f>IF($D83="",0,IFERROR(IF($E83="Azalan",MAX(0,$D83*(1-MIN(2*AmortismanAzalanCarpan*$F83,1)^$H83)),MIN($D83,$D83*$F83*$H83)),0))</f>
        <v/>
      </c>
      <c r="J83" s="122">
        <f>IF($D83="",0,MAX(0,$D83-$I83))</f>
        <v/>
      </c>
      <c r="K83" s="122">
        <f>IF($H83=0,0,IFERROR(IF($E83="Azalan",$D83*(1-MIN(2*AmortismanAzalanCarpan*$F83,1))^MAX(0,$H83-1)*MIN(2*AmortismanAzalanCarpan*$F83,1),MIN($D83*$F83,$D83)),0))</f>
        <v/>
      </c>
      <c r="L83" s="122">
        <f>IF($D83="",0,$G83-$J83)</f>
        <v/>
      </c>
      <c r="M83" s="122">
        <f>IF($B83="","",CONCATENATE("Kıymet: ",$B83," | NDD: ",TEXT($J83,"#,##0")))</f>
        <v/>
      </c>
    </row>
    <row r="84" ht="15" customHeight="1" s="77">
      <c r="A84" s="123" t="n"/>
      <c r="B84" s="123" t="n"/>
      <c r="C84" s="124" t="n"/>
      <c r="D84" s="125" t="n"/>
      <c r="E84" s="123" t="n"/>
      <c r="F84" s="126" t="n"/>
      <c r="G84" s="125" t="n"/>
      <c r="H84" s="122">
        <f>IF($D84="",0,MAX(0,ROUNDDOWN((AmortismanRaporTarihi-$C84)/365,0)))</f>
        <v/>
      </c>
      <c r="I84" s="122">
        <f>IF($D84="",0,IFERROR(IF($E84="Azalan",MAX(0,$D84*(1-MIN(2*AmortismanAzalanCarpan*$F84,1)^$H84)),MIN($D84,$D84*$F84*$H84)),0))</f>
        <v/>
      </c>
      <c r="J84" s="122">
        <f>IF($D84="",0,MAX(0,$D84-$I84))</f>
        <v/>
      </c>
      <c r="K84" s="122">
        <f>IF($H84=0,0,IFERROR(IF($E84="Azalan",$D84*(1-MIN(2*AmortismanAzalanCarpan*$F84,1))^MAX(0,$H84-1)*MIN(2*AmortismanAzalanCarpan*$F84,1),MIN($D84*$F84,$D84)),0))</f>
        <v/>
      </c>
      <c r="L84" s="122">
        <f>IF($D84="",0,$G84-$J84)</f>
        <v/>
      </c>
      <c r="M84" s="122">
        <f>IF($B84="","",CONCATENATE("Kıymet: ",$B84," | NDD: ",TEXT($J84,"#,##0")))</f>
        <v/>
      </c>
    </row>
    <row r="85" ht="15" customHeight="1" s="77">
      <c r="A85" s="123" t="n"/>
      <c r="B85" s="123" t="n"/>
      <c r="C85" s="124" t="n"/>
      <c r="D85" s="125" t="n"/>
      <c r="E85" s="123" t="n"/>
      <c r="F85" s="126" t="n"/>
      <c r="G85" s="125" t="n"/>
      <c r="H85" s="122">
        <f>IF($D85="",0,MAX(0,ROUNDDOWN((AmortismanRaporTarihi-$C85)/365,0)))</f>
        <v/>
      </c>
      <c r="I85" s="122">
        <f>IF($D85="",0,IFERROR(IF($E85="Azalan",MAX(0,$D85*(1-MIN(2*AmortismanAzalanCarpan*$F85,1)^$H85)),MIN($D85,$D85*$F85*$H85)),0))</f>
        <v/>
      </c>
      <c r="J85" s="122">
        <f>IF($D85="",0,MAX(0,$D85-$I85))</f>
        <v/>
      </c>
      <c r="K85" s="122">
        <f>IF($H85=0,0,IFERROR(IF($E85="Azalan",$D85*(1-MIN(2*AmortismanAzalanCarpan*$F85,1))^MAX(0,$H85-1)*MIN(2*AmortismanAzalanCarpan*$F85,1),MIN($D85*$F85,$D85)),0))</f>
        <v/>
      </c>
      <c r="L85" s="122">
        <f>IF($D85="",0,$G85-$J85)</f>
        <v/>
      </c>
      <c r="M85" s="122">
        <f>IF($B85="","",CONCATENATE("Kıymet: ",$B85," | NDD: ",TEXT($J85,"#,##0")))</f>
        <v/>
      </c>
    </row>
    <row r="86" ht="15" customHeight="1" s="77">
      <c r="A86" s="123" t="n"/>
      <c r="B86" s="123" t="n"/>
      <c r="C86" s="124" t="n"/>
      <c r="D86" s="125" t="n"/>
      <c r="E86" s="123" t="n"/>
      <c r="F86" s="126" t="n"/>
      <c r="G86" s="125" t="n"/>
      <c r="H86" s="122">
        <f>IF($D86="",0,MAX(0,ROUNDDOWN((AmortismanRaporTarihi-$C86)/365,0)))</f>
        <v/>
      </c>
      <c r="I86" s="122">
        <f>IF($D86="",0,IFERROR(IF($E86="Azalan",MAX(0,$D86*(1-MIN(2*AmortismanAzalanCarpan*$F86,1)^$H86)),MIN($D86,$D86*$F86*$H86)),0))</f>
        <v/>
      </c>
      <c r="J86" s="122">
        <f>IF($D86="",0,MAX(0,$D86-$I86))</f>
        <v/>
      </c>
      <c r="K86" s="122">
        <f>IF($H86=0,0,IFERROR(IF($E86="Azalan",$D86*(1-MIN(2*AmortismanAzalanCarpan*$F86,1))^MAX(0,$H86-1)*MIN(2*AmortismanAzalanCarpan*$F86,1),MIN($D86*$F86,$D86)),0))</f>
        <v/>
      </c>
      <c r="L86" s="122">
        <f>IF($D86="",0,$G86-$J86)</f>
        <v/>
      </c>
      <c r="M86" s="122">
        <f>IF($B86="","",CONCATENATE("Kıymet: ",$B86," | NDD: ",TEXT($J86,"#,##0")))</f>
        <v/>
      </c>
    </row>
    <row r="87" ht="15" customHeight="1" s="77">
      <c r="A87" s="123" t="n"/>
      <c r="B87" s="123" t="n"/>
      <c r="C87" s="124" t="n"/>
      <c r="D87" s="125" t="n"/>
      <c r="E87" s="123" t="n"/>
      <c r="F87" s="126" t="n"/>
      <c r="G87" s="125" t="n"/>
      <c r="H87" s="122">
        <f>IF($D87="",0,MAX(0,ROUNDDOWN((AmortismanRaporTarihi-$C87)/365,0)))</f>
        <v/>
      </c>
      <c r="I87" s="122">
        <f>IF($D87="",0,IFERROR(IF($E87="Azalan",MAX(0,$D87*(1-MIN(2*AmortismanAzalanCarpan*$F87,1)^$H87)),MIN($D87,$D87*$F87*$H87)),0))</f>
        <v/>
      </c>
      <c r="J87" s="122">
        <f>IF($D87="",0,MAX(0,$D87-$I87))</f>
        <v/>
      </c>
      <c r="K87" s="122">
        <f>IF($H87=0,0,IFERROR(IF($E87="Azalan",$D87*(1-MIN(2*AmortismanAzalanCarpan*$F87,1))^MAX(0,$H87-1)*MIN(2*AmortismanAzalanCarpan*$F87,1),MIN($D87*$F87,$D87)),0))</f>
        <v/>
      </c>
      <c r="L87" s="122">
        <f>IF($D87="",0,$G87-$J87)</f>
        <v/>
      </c>
      <c r="M87" s="122">
        <f>IF($B87="","",CONCATENATE("Kıymet: ",$B87," | NDD: ",TEXT($J87,"#,##0")))</f>
        <v/>
      </c>
    </row>
    <row r="88" ht="15" customHeight="1" s="77">
      <c r="A88" s="123" t="n"/>
      <c r="B88" s="123" t="n"/>
      <c r="C88" s="124" t="n"/>
      <c r="D88" s="125" t="n"/>
      <c r="E88" s="123" t="n"/>
      <c r="F88" s="126" t="n"/>
      <c r="G88" s="125" t="n"/>
      <c r="H88" s="122">
        <f>IF($D88="",0,MAX(0,ROUNDDOWN((AmortismanRaporTarihi-$C88)/365,0)))</f>
        <v/>
      </c>
      <c r="I88" s="122">
        <f>IF($D88="",0,IFERROR(IF($E88="Azalan",MAX(0,$D88*(1-MIN(2*AmortismanAzalanCarpan*$F88,1)^$H88)),MIN($D88,$D88*$F88*$H88)),0))</f>
        <v/>
      </c>
      <c r="J88" s="122">
        <f>IF($D88="",0,MAX(0,$D88-$I88))</f>
        <v/>
      </c>
      <c r="K88" s="122">
        <f>IF($H88=0,0,IFERROR(IF($E88="Azalan",$D88*(1-MIN(2*AmortismanAzalanCarpan*$F88,1))^MAX(0,$H88-1)*MIN(2*AmortismanAzalanCarpan*$F88,1),MIN($D88*$F88,$D88)),0))</f>
        <v/>
      </c>
      <c r="L88" s="122">
        <f>IF($D88="",0,$G88-$J88)</f>
        <v/>
      </c>
      <c r="M88" s="122">
        <f>IF($B88="","",CONCATENATE("Kıymet: ",$B88," | NDD: ",TEXT($J88,"#,##0")))</f>
        <v/>
      </c>
    </row>
    <row r="89" ht="15" customHeight="1" s="77">
      <c r="A89" s="123" t="n"/>
      <c r="B89" s="123" t="n"/>
      <c r="C89" s="124" t="n"/>
      <c r="D89" s="125" t="n"/>
      <c r="E89" s="123" t="n"/>
      <c r="F89" s="126" t="n"/>
      <c r="G89" s="125" t="n"/>
      <c r="H89" s="122">
        <f>IF($D89="",0,MAX(0,ROUNDDOWN((AmortismanRaporTarihi-$C89)/365,0)))</f>
        <v/>
      </c>
      <c r="I89" s="122">
        <f>IF($D89="",0,IFERROR(IF($E89="Azalan",MAX(0,$D89*(1-MIN(2*AmortismanAzalanCarpan*$F89,1)^$H89)),MIN($D89,$D89*$F89*$H89)),0))</f>
        <v/>
      </c>
      <c r="J89" s="122">
        <f>IF($D89="",0,MAX(0,$D89-$I89))</f>
        <v/>
      </c>
      <c r="K89" s="122">
        <f>IF($H89=0,0,IFERROR(IF($E89="Azalan",$D89*(1-MIN(2*AmortismanAzalanCarpan*$F89,1))^MAX(0,$H89-1)*MIN(2*AmortismanAzalanCarpan*$F89,1),MIN($D89*$F89,$D89)),0))</f>
        <v/>
      </c>
      <c r="L89" s="122">
        <f>IF($D89="",0,$G89-$J89)</f>
        <v/>
      </c>
      <c r="M89" s="122">
        <f>IF($B89="","",CONCATENATE("Kıymet: ",$B89," | NDD: ",TEXT($J89,"#,##0")))</f>
        <v/>
      </c>
    </row>
    <row r="90" ht="15" customHeight="1" s="77">
      <c r="A90" s="123" t="n"/>
      <c r="B90" s="123" t="n"/>
      <c r="C90" s="124" t="n"/>
      <c r="D90" s="125" t="n"/>
      <c r="E90" s="123" t="n"/>
      <c r="F90" s="126" t="n"/>
      <c r="G90" s="125" t="n"/>
      <c r="H90" s="122">
        <f>IF($D90="",0,MAX(0,ROUNDDOWN((AmortismanRaporTarihi-$C90)/365,0)))</f>
        <v/>
      </c>
      <c r="I90" s="122">
        <f>IF($D90="",0,IFERROR(IF($E90="Azalan",MAX(0,$D90*(1-MIN(2*AmortismanAzalanCarpan*$F90,1)^$H90)),MIN($D90,$D90*$F90*$H90)),0))</f>
        <v/>
      </c>
      <c r="J90" s="122">
        <f>IF($D90="",0,MAX(0,$D90-$I90))</f>
        <v/>
      </c>
      <c r="K90" s="122">
        <f>IF($H90=0,0,IFERROR(IF($E90="Azalan",$D90*(1-MIN(2*AmortismanAzalanCarpan*$F90,1))^MAX(0,$H90-1)*MIN(2*AmortismanAzalanCarpan*$F90,1),MIN($D90*$F90,$D90)),0))</f>
        <v/>
      </c>
      <c r="L90" s="122">
        <f>IF($D90="",0,$G90-$J90)</f>
        <v/>
      </c>
      <c r="M90" s="122">
        <f>IF($B90="","",CONCATENATE("Kıymet: ",$B90," | NDD: ",TEXT($J90,"#,##0")))</f>
        <v/>
      </c>
    </row>
    <row r="91" ht="15" customHeight="1" s="77">
      <c r="A91" s="123" t="n"/>
      <c r="B91" s="123" t="n"/>
      <c r="C91" s="124" t="n"/>
      <c r="D91" s="125" t="n"/>
      <c r="E91" s="123" t="n"/>
      <c r="F91" s="126" t="n"/>
      <c r="G91" s="125" t="n"/>
      <c r="H91" s="122">
        <f>IF($D91="",0,MAX(0,ROUNDDOWN((AmortismanRaporTarihi-$C91)/365,0)))</f>
        <v/>
      </c>
      <c r="I91" s="122">
        <f>IF($D91="",0,IFERROR(IF($E91="Azalan",MAX(0,$D91*(1-MIN(2*AmortismanAzalanCarpan*$F91,1)^$H91)),MIN($D91,$D91*$F91*$H91)),0))</f>
        <v/>
      </c>
      <c r="J91" s="122">
        <f>IF($D91="",0,MAX(0,$D91-$I91))</f>
        <v/>
      </c>
      <c r="K91" s="122">
        <f>IF($H91=0,0,IFERROR(IF($E91="Azalan",$D91*(1-MIN(2*AmortismanAzalanCarpan*$F91,1))^MAX(0,$H91-1)*MIN(2*AmortismanAzalanCarpan*$F91,1),MIN($D91*$F91,$D91)),0))</f>
        <v/>
      </c>
      <c r="L91" s="122">
        <f>IF($D91="",0,$G91-$J91)</f>
        <v/>
      </c>
      <c r="M91" s="122">
        <f>IF($B91="","",CONCATENATE("Kıymet: ",$B91," | NDD: ",TEXT($J91,"#,##0")))</f>
        <v/>
      </c>
    </row>
    <row r="92" ht="15" customHeight="1" s="77">
      <c r="A92" s="123" t="n"/>
      <c r="B92" s="123" t="n"/>
      <c r="C92" s="124" t="n"/>
      <c r="D92" s="125" t="n"/>
      <c r="E92" s="123" t="n"/>
      <c r="F92" s="126" t="n"/>
      <c r="G92" s="125" t="n"/>
      <c r="H92" s="122">
        <f>IF($D92="",0,MAX(0,ROUNDDOWN((AmortismanRaporTarihi-$C92)/365,0)))</f>
        <v/>
      </c>
      <c r="I92" s="122">
        <f>IF($D92="",0,IFERROR(IF($E92="Azalan",MAX(0,$D92*(1-MIN(2*AmortismanAzalanCarpan*$F92,1)^$H92)),MIN($D92,$D92*$F92*$H92)),0))</f>
        <v/>
      </c>
      <c r="J92" s="122">
        <f>IF($D92="",0,MAX(0,$D92-$I92))</f>
        <v/>
      </c>
      <c r="K92" s="122">
        <f>IF($H92=0,0,IFERROR(IF($E92="Azalan",$D92*(1-MIN(2*AmortismanAzalanCarpan*$F92,1))^MAX(0,$H92-1)*MIN(2*AmortismanAzalanCarpan*$F92,1),MIN($D92*$F92,$D92)),0))</f>
        <v/>
      </c>
      <c r="L92" s="122">
        <f>IF($D92="",0,$G92-$J92)</f>
        <v/>
      </c>
      <c r="M92" s="122">
        <f>IF($B92="","",CONCATENATE("Kıymet: ",$B92," | NDD: ",TEXT($J92,"#,##0")))</f>
        <v/>
      </c>
    </row>
    <row r="93" ht="15" customHeight="1" s="77">
      <c r="A93" s="123" t="n"/>
      <c r="B93" s="123" t="n"/>
      <c r="C93" s="124" t="n"/>
      <c r="D93" s="125" t="n"/>
      <c r="E93" s="123" t="n"/>
      <c r="F93" s="126" t="n"/>
      <c r="G93" s="125" t="n"/>
      <c r="H93" s="122">
        <f>IF($D93="",0,MAX(0,ROUNDDOWN((AmortismanRaporTarihi-$C93)/365,0)))</f>
        <v/>
      </c>
      <c r="I93" s="122">
        <f>IF($D93="",0,IFERROR(IF($E93="Azalan",MAX(0,$D93*(1-MIN(2*AmortismanAzalanCarpan*$F93,1)^$H93)),MIN($D93,$D93*$F93*$H93)),0))</f>
        <v/>
      </c>
      <c r="J93" s="122">
        <f>IF($D93="",0,MAX(0,$D93-$I93))</f>
        <v/>
      </c>
      <c r="K93" s="122">
        <f>IF($H93=0,0,IFERROR(IF($E93="Azalan",$D93*(1-MIN(2*AmortismanAzalanCarpan*$F93,1))^MAX(0,$H93-1)*MIN(2*AmortismanAzalanCarpan*$F93,1),MIN($D93*$F93,$D93)),0))</f>
        <v/>
      </c>
      <c r="L93" s="122">
        <f>IF($D93="",0,$G93-$J93)</f>
        <v/>
      </c>
      <c r="M93" s="122">
        <f>IF($B93="","",CONCATENATE("Kıymet: ",$B93," | NDD: ",TEXT($J93,"#,##0")))</f>
        <v/>
      </c>
    </row>
    <row r="94" ht="15" customHeight="1" s="77">
      <c r="A94" s="123" t="n"/>
      <c r="B94" s="123" t="n"/>
      <c r="C94" s="124" t="n"/>
      <c r="D94" s="125" t="n"/>
      <c r="E94" s="123" t="n"/>
      <c r="F94" s="126" t="n"/>
      <c r="G94" s="125" t="n"/>
      <c r="H94" s="122">
        <f>IF($D94="",0,MAX(0,ROUNDDOWN((AmortismanRaporTarihi-$C94)/365,0)))</f>
        <v/>
      </c>
      <c r="I94" s="122">
        <f>IF($D94="",0,IFERROR(IF($E94="Azalan",MAX(0,$D94*(1-MIN(2*AmortismanAzalanCarpan*$F94,1)^$H94)),MIN($D94,$D94*$F94*$H94)),0))</f>
        <v/>
      </c>
      <c r="J94" s="122">
        <f>IF($D94="",0,MAX(0,$D94-$I94))</f>
        <v/>
      </c>
      <c r="K94" s="122">
        <f>IF($H94=0,0,IFERROR(IF($E94="Azalan",$D94*(1-MIN(2*AmortismanAzalanCarpan*$F94,1))^MAX(0,$H94-1)*MIN(2*AmortismanAzalanCarpan*$F94,1),MIN($D94*$F94,$D94)),0))</f>
        <v/>
      </c>
      <c r="L94" s="122">
        <f>IF($D94="",0,$G94-$J94)</f>
        <v/>
      </c>
      <c r="M94" s="122">
        <f>IF($B94="","",CONCATENATE("Kıymet: ",$B94," | NDD: ",TEXT($J94,"#,##0")))</f>
        <v/>
      </c>
    </row>
    <row r="95" ht="15" customHeight="1" s="77">
      <c r="A95" s="123" t="n"/>
      <c r="B95" s="123" t="n"/>
      <c r="C95" s="124" t="n"/>
      <c r="D95" s="125" t="n"/>
      <c r="E95" s="123" t="n"/>
      <c r="F95" s="126" t="n"/>
      <c r="G95" s="125" t="n"/>
      <c r="H95" s="122">
        <f>IF($D95="",0,MAX(0,ROUNDDOWN((AmortismanRaporTarihi-$C95)/365,0)))</f>
        <v/>
      </c>
      <c r="I95" s="122">
        <f>IF($D95="",0,IFERROR(IF($E95="Azalan",MAX(0,$D95*(1-MIN(2*AmortismanAzalanCarpan*$F95,1)^$H95)),MIN($D95,$D95*$F95*$H95)),0))</f>
        <v/>
      </c>
      <c r="J95" s="122">
        <f>IF($D95="",0,MAX(0,$D95-$I95))</f>
        <v/>
      </c>
      <c r="K95" s="122">
        <f>IF($H95=0,0,IFERROR(IF($E95="Azalan",$D95*(1-MIN(2*AmortismanAzalanCarpan*$F95,1))^MAX(0,$H95-1)*MIN(2*AmortismanAzalanCarpan*$F95,1),MIN($D95*$F95,$D95)),0))</f>
        <v/>
      </c>
      <c r="L95" s="122">
        <f>IF($D95="",0,$G95-$J95)</f>
        <v/>
      </c>
      <c r="M95" s="122">
        <f>IF($B95="","",CONCATENATE("Kıymet: ",$B95," | NDD: ",TEXT($J95,"#,##0")))</f>
        <v/>
      </c>
    </row>
    <row r="96" ht="15" customHeight="1" s="77">
      <c r="A96" s="123" t="n"/>
      <c r="B96" s="123" t="n"/>
      <c r="C96" s="124" t="n"/>
      <c r="D96" s="125" t="n"/>
      <c r="E96" s="123" t="n"/>
      <c r="F96" s="126" t="n"/>
      <c r="G96" s="125" t="n"/>
      <c r="H96" s="122">
        <f>IF($D96="",0,MAX(0,ROUNDDOWN((AmortismanRaporTarihi-$C96)/365,0)))</f>
        <v/>
      </c>
      <c r="I96" s="122">
        <f>IF($D96="",0,IFERROR(IF($E96="Azalan",MAX(0,$D96*(1-MIN(2*AmortismanAzalanCarpan*$F96,1)^$H96)),MIN($D96,$D96*$F96*$H96)),0))</f>
        <v/>
      </c>
      <c r="J96" s="122">
        <f>IF($D96="",0,MAX(0,$D96-$I96))</f>
        <v/>
      </c>
      <c r="K96" s="122">
        <f>IF($H96=0,0,IFERROR(IF($E96="Azalan",$D96*(1-MIN(2*AmortismanAzalanCarpan*$F96,1))^MAX(0,$H96-1)*MIN(2*AmortismanAzalanCarpan*$F96,1),MIN($D96*$F96,$D96)),0))</f>
        <v/>
      </c>
      <c r="L96" s="122">
        <f>IF($D96="",0,$G96-$J96)</f>
        <v/>
      </c>
      <c r="M96" s="122">
        <f>IF($B96="","",CONCATENATE("Kıymet: ",$B96," | NDD: ",TEXT($J96,"#,##0")))</f>
        <v/>
      </c>
    </row>
    <row r="97" ht="15" customHeight="1" s="77">
      <c r="A97" s="123" t="n"/>
      <c r="B97" s="123" t="n"/>
      <c r="C97" s="124" t="n"/>
      <c r="D97" s="125" t="n"/>
      <c r="E97" s="123" t="n"/>
      <c r="F97" s="126" t="n"/>
      <c r="G97" s="125" t="n"/>
      <c r="H97" s="122">
        <f>IF($D97="",0,MAX(0,ROUNDDOWN((AmortismanRaporTarihi-$C97)/365,0)))</f>
        <v/>
      </c>
      <c r="I97" s="122">
        <f>IF($D97="",0,IFERROR(IF($E97="Azalan",MAX(0,$D97*(1-MIN(2*AmortismanAzalanCarpan*$F97,1)^$H97)),MIN($D97,$D97*$F97*$H97)),0))</f>
        <v/>
      </c>
      <c r="J97" s="122">
        <f>IF($D97="",0,MAX(0,$D97-$I97))</f>
        <v/>
      </c>
      <c r="K97" s="122">
        <f>IF($H97=0,0,IFERROR(IF($E97="Azalan",$D97*(1-MIN(2*AmortismanAzalanCarpan*$F97,1))^MAX(0,$H97-1)*MIN(2*AmortismanAzalanCarpan*$F97,1),MIN($D97*$F97,$D97)),0))</f>
        <v/>
      </c>
      <c r="L97" s="122">
        <f>IF($D97="",0,$G97-$J97)</f>
        <v/>
      </c>
      <c r="M97" s="122">
        <f>IF($B97="","",CONCATENATE("Kıymet: ",$B97," | NDD: ",TEXT($J97,"#,##0")))</f>
        <v/>
      </c>
    </row>
    <row r="98" ht="15" customHeight="1" s="77">
      <c r="A98" s="123" t="n"/>
      <c r="B98" s="123" t="n"/>
      <c r="C98" s="124" t="n"/>
      <c r="D98" s="125" t="n"/>
      <c r="E98" s="123" t="n"/>
      <c r="F98" s="126" t="n"/>
      <c r="G98" s="125" t="n"/>
      <c r="H98" s="122">
        <f>IF($D98="",0,MAX(0,ROUNDDOWN((AmortismanRaporTarihi-$C98)/365,0)))</f>
        <v/>
      </c>
      <c r="I98" s="122">
        <f>IF($D98="",0,IFERROR(IF($E98="Azalan",MAX(0,$D98*(1-MIN(2*AmortismanAzalanCarpan*$F98,1)^$H98)),MIN($D98,$D98*$F98*$H98)),0))</f>
        <v/>
      </c>
      <c r="J98" s="122">
        <f>IF($D98="",0,MAX(0,$D98-$I98))</f>
        <v/>
      </c>
      <c r="K98" s="122">
        <f>IF($H98=0,0,IFERROR(IF($E98="Azalan",$D98*(1-MIN(2*AmortismanAzalanCarpan*$F98,1))^MAX(0,$H98-1)*MIN(2*AmortismanAzalanCarpan*$F98,1),MIN($D98*$F98,$D98)),0))</f>
        <v/>
      </c>
      <c r="L98" s="122">
        <f>IF($D98="",0,$G98-$J98)</f>
        <v/>
      </c>
      <c r="M98" s="122">
        <f>IF($B98="","",CONCATENATE("Kıymet: ",$B98," | NDD: ",TEXT($J98,"#,##0")))</f>
        <v/>
      </c>
    </row>
    <row r="99" ht="15" customHeight="1" s="77">
      <c r="A99" s="123" t="n"/>
      <c r="B99" s="123" t="n"/>
      <c r="C99" s="124" t="n"/>
      <c r="D99" s="125" t="n"/>
      <c r="E99" s="123" t="n"/>
      <c r="F99" s="126" t="n"/>
      <c r="G99" s="125" t="n"/>
      <c r="H99" s="122">
        <f>IF($D99="",0,MAX(0,ROUNDDOWN((AmortismanRaporTarihi-$C99)/365,0)))</f>
        <v/>
      </c>
      <c r="I99" s="122">
        <f>IF($D99="",0,IFERROR(IF($E99="Azalan",MAX(0,$D99*(1-MIN(2*AmortismanAzalanCarpan*$F99,1)^$H99)),MIN($D99,$D99*$F99*$H99)),0))</f>
        <v/>
      </c>
      <c r="J99" s="122">
        <f>IF($D99="",0,MAX(0,$D99-$I99))</f>
        <v/>
      </c>
      <c r="K99" s="122">
        <f>IF($H99=0,0,IFERROR(IF($E99="Azalan",$D99*(1-MIN(2*AmortismanAzalanCarpan*$F99,1))^MAX(0,$H99-1)*MIN(2*AmortismanAzalanCarpan*$F99,1),MIN($D99*$F99,$D99)),0))</f>
        <v/>
      </c>
      <c r="L99" s="122">
        <f>IF($D99="",0,$G99-$J99)</f>
        <v/>
      </c>
      <c r="M99" s="122">
        <f>IF($B99="","",CONCATENATE("Kıymet: ",$B99," | NDD: ",TEXT($J99,"#,##0")))</f>
        <v/>
      </c>
    </row>
    <row r="100" ht="15" customHeight="1" s="77">
      <c r="A100" s="123" t="n"/>
      <c r="B100" s="123" t="n"/>
      <c r="C100" s="124" t="n"/>
      <c r="D100" s="125" t="n"/>
      <c r="E100" s="123" t="n"/>
      <c r="F100" s="126" t="n"/>
      <c r="G100" s="125" t="n"/>
      <c r="H100" s="122">
        <f>IF($D100="",0,MAX(0,ROUNDDOWN((AmortismanRaporTarihi-$C100)/365,0)))</f>
        <v/>
      </c>
      <c r="I100" s="122">
        <f>IF($D100="",0,IFERROR(IF($E100="Azalan",MAX(0,$D100*(1-MIN(2*AmortismanAzalanCarpan*$F100,1)^$H100)),MIN($D100,$D100*$F100*$H100)),0))</f>
        <v/>
      </c>
      <c r="J100" s="122">
        <f>IF($D100="",0,MAX(0,$D100-$I100))</f>
        <v/>
      </c>
      <c r="K100" s="122">
        <f>IF($H100=0,0,IFERROR(IF($E100="Azalan",$D100*(1-MIN(2*AmortismanAzalanCarpan*$F100,1))^MAX(0,$H100-1)*MIN(2*AmortismanAzalanCarpan*$F100,1),MIN($D100*$F100,$D100)),0))</f>
        <v/>
      </c>
      <c r="L100" s="122">
        <f>IF($D100="",0,$G100-$J100)</f>
        <v/>
      </c>
      <c r="M100" s="122">
        <f>IF($B100="","",CONCATENATE("Kıymet: ",$B100," | NDD: ",TEXT($J100,"#,##0")))</f>
        <v/>
      </c>
    </row>
    <row r="101" ht="15" customHeight="1" s="77">
      <c r="A101" s="123" t="n"/>
      <c r="B101" s="123" t="n"/>
      <c r="C101" s="124" t="n"/>
      <c r="D101" s="125" t="n"/>
      <c r="E101" s="123" t="n"/>
      <c r="F101" s="126" t="n"/>
      <c r="G101" s="125" t="n"/>
      <c r="H101" s="122">
        <f>IF($D101="",0,MAX(0,ROUNDDOWN((AmortismanRaporTarihi-$C101)/365,0)))</f>
        <v/>
      </c>
      <c r="I101" s="122">
        <f>IF($D101="",0,IFERROR(IF($E101="Azalan",MAX(0,$D101*(1-MIN(2*AmortismanAzalanCarpan*$F101,1)^$H101)),MIN($D101,$D101*$F101*$H101)),0))</f>
        <v/>
      </c>
      <c r="J101" s="122">
        <f>IF($D101="",0,MAX(0,$D101-$I101))</f>
        <v/>
      </c>
      <c r="K101" s="122">
        <f>IF($H101=0,0,IFERROR(IF($E101="Azalan",$D101*(1-MIN(2*AmortismanAzalanCarpan*$F101,1))^MAX(0,$H101-1)*MIN(2*AmortismanAzalanCarpan*$F101,1),MIN($D101*$F101,$D101)),0))</f>
        <v/>
      </c>
      <c r="L101" s="122">
        <f>IF($D101="",0,$G101-$J101)</f>
        <v/>
      </c>
      <c r="M101" s="122">
        <f>IF($B101="","",CONCATENATE("Kıymet: ",$B101," | NDD: ",TEXT($J101,"#,##0")))</f>
        <v/>
      </c>
    </row>
    <row r="102" ht="15" customHeight="1" s="77">
      <c r="A102" s="123" t="n"/>
      <c r="B102" s="123" t="n"/>
      <c r="C102" s="124" t="n"/>
      <c r="D102" s="125" t="n"/>
      <c r="E102" s="123" t="n"/>
      <c r="F102" s="126" t="n"/>
      <c r="G102" s="125" t="n"/>
      <c r="H102" s="122">
        <f>IF($D102="",0,MAX(0,ROUNDDOWN((AmortismanRaporTarihi-$C102)/365,0)))</f>
        <v/>
      </c>
      <c r="I102" s="122">
        <f>IF($D102="",0,IFERROR(IF($E102="Azalan",MAX(0,$D102*(1-MIN(2*AmortismanAzalanCarpan*$F102,1)^$H102)),MIN($D102,$D102*$F102*$H102)),0))</f>
        <v/>
      </c>
      <c r="J102" s="122">
        <f>IF($D102="",0,MAX(0,$D102-$I102))</f>
        <v/>
      </c>
      <c r="K102" s="122">
        <f>IF($H102=0,0,IFERROR(IF($E102="Azalan",$D102*(1-MIN(2*AmortismanAzalanCarpan*$F102,1))^MAX(0,$H102-1)*MIN(2*AmortismanAzalanCarpan*$F102,1),MIN($D102*$F102,$D102)),0))</f>
        <v/>
      </c>
      <c r="L102" s="122">
        <f>IF($D102="",0,$G102-$J102)</f>
        <v/>
      </c>
      <c r="M102" s="122">
        <f>IF($B102="","",CONCATENATE("Kıymet: ",$B102," | NDD: ",TEXT($J102,"#,##0")))</f>
        <v/>
      </c>
    </row>
    <row r="103" ht="15" customHeight="1" s="77">
      <c r="A103" s="123" t="n"/>
      <c r="B103" s="123" t="n"/>
      <c r="C103" s="124" t="n"/>
      <c r="D103" s="125" t="n"/>
      <c r="E103" s="123" t="n"/>
      <c r="F103" s="126" t="n"/>
      <c r="G103" s="125" t="n"/>
      <c r="H103" s="122">
        <f>IF($D103="",0,MAX(0,ROUNDDOWN((AmortismanRaporTarihi-$C103)/365,0)))</f>
        <v/>
      </c>
      <c r="I103" s="122">
        <f>IF($D103="",0,IFERROR(IF($E103="Azalan",MAX(0,$D103*(1-MIN(2*AmortismanAzalanCarpan*$F103,1)^$H103)),MIN($D103,$D103*$F103*$H103)),0))</f>
        <v/>
      </c>
      <c r="J103" s="122">
        <f>IF($D103="",0,MAX(0,$D103-$I103))</f>
        <v/>
      </c>
      <c r="K103" s="122">
        <f>IF($H103=0,0,IFERROR(IF($E103="Azalan",$D103*(1-MIN(2*AmortismanAzalanCarpan*$F103,1))^MAX(0,$H103-1)*MIN(2*AmortismanAzalanCarpan*$F103,1),MIN($D103*$F103,$D103)),0))</f>
        <v/>
      </c>
      <c r="L103" s="122">
        <f>IF($D103="",0,$G103-$J103)</f>
        <v/>
      </c>
      <c r="M103" s="122">
        <f>IF($B103="","",CONCATENATE("Kıymet: ",$B103," | NDD: ",TEXT($J103,"#,##0")))</f>
        <v/>
      </c>
    </row>
    <row r="104" ht="15" customHeight="1" s="77">
      <c r="A104" s="123" t="n"/>
      <c r="B104" s="123" t="n"/>
      <c r="C104" s="124" t="n"/>
      <c r="D104" s="125" t="n"/>
      <c r="E104" s="123" t="n"/>
      <c r="F104" s="126" t="n"/>
      <c r="G104" s="125" t="n"/>
      <c r="H104" s="122">
        <f>IF($D104="",0,MAX(0,ROUNDDOWN((AmortismanRaporTarihi-$C104)/365,0)))</f>
        <v/>
      </c>
      <c r="I104" s="122">
        <f>IF($D104="",0,IFERROR(IF($E104="Azalan",MAX(0,$D104*(1-MIN(2*AmortismanAzalanCarpan*$F104,1)^$H104)),MIN($D104,$D104*$F104*$H104)),0))</f>
        <v/>
      </c>
      <c r="J104" s="122">
        <f>IF($D104="",0,MAX(0,$D104-$I104))</f>
        <v/>
      </c>
      <c r="K104" s="122">
        <f>IF($H104=0,0,IFERROR(IF($E104="Azalan",$D104*(1-MIN(2*AmortismanAzalanCarpan*$F104,1))^MAX(0,$H104-1)*MIN(2*AmortismanAzalanCarpan*$F104,1),MIN($D104*$F104,$D104)),0))</f>
        <v/>
      </c>
      <c r="L104" s="122">
        <f>IF($D104="",0,$G104-$J104)</f>
        <v/>
      </c>
      <c r="M104" s="122">
        <f>IF($B104="","",CONCATENATE("Kıymet: ",$B104," | NDD: ",TEXT($J104,"#,##0")))</f>
        <v/>
      </c>
    </row>
    <row r="105" ht="15" customHeight="1" s="77">
      <c r="A105" s="123" t="n"/>
      <c r="B105" s="123" t="n"/>
      <c r="C105" s="124" t="n"/>
      <c r="D105" s="125" t="n"/>
      <c r="E105" s="123" t="n"/>
      <c r="F105" s="126" t="n"/>
      <c r="G105" s="125" t="n"/>
      <c r="H105" s="122">
        <f>IF($D105="",0,MAX(0,ROUNDDOWN((AmortismanRaporTarihi-$C105)/365,0)))</f>
        <v/>
      </c>
      <c r="I105" s="122">
        <f>IF($D105="",0,IFERROR(IF($E105="Azalan",MAX(0,$D105*(1-MIN(2*AmortismanAzalanCarpan*$F105,1)^$H105)),MIN($D105,$D105*$F105*$H105)),0))</f>
        <v/>
      </c>
      <c r="J105" s="122">
        <f>IF($D105="",0,MAX(0,$D105-$I105))</f>
        <v/>
      </c>
      <c r="K105" s="122">
        <f>IF($H105=0,0,IFERROR(IF($E105="Azalan",$D105*(1-MIN(2*AmortismanAzalanCarpan*$F105,1))^MAX(0,$H105-1)*MIN(2*AmortismanAzalanCarpan*$F105,1),MIN($D105*$F105,$D105)),0))</f>
        <v/>
      </c>
      <c r="L105" s="122">
        <f>IF($D105="",0,$G105-$J105)</f>
        <v/>
      </c>
      <c r="M105" s="122">
        <f>IF($B105="","",CONCATENATE("Kıymet: ",$B105," | NDD: ",TEXT($J105,"#,##0")))</f>
        <v/>
      </c>
    </row>
    <row r="106" ht="15" customHeight="1" s="77">
      <c r="A106" s="123" t="n"/>
      <c r="B106" s="123" t="n"/>
      <c r="C106" s="124" t="n"/>
      <c r="D106" s="125" t="n"/>
      <c r="E106" s="123" t="n"/>
      <c r="F106" s="126" t="n"/>
      <c r="G106" s="125" t="n"/>
      <c r="H106" s="122">
        <f>IF($D106="",0,MAX(0,ROUNDDOWN((AmortismanRaporTarihi-$C106)/365,0)))</f>
        <v/>
      </c>
      <c r="I106" s="122">
        <f>IF($D106="",0,IFERROR(IF($E106="Azalan",MAX(0,$D106*(1-MIN(2*AmortismanAzalanCarpan*$F106,1)^$H106)),MIN($D106,$D106*$F106*$H106)),0))</f>
        <v/>
      </c>
      <c r="J106" s="122">
        <f>IF($D106="",0,MAX(0,$D106-$I106))</f>
        <v/>
      </c>
      <c r="K106" s="122">
        <f>IF($H106=0,0,IFERROR(IF($E106="Azalan",$D106*(1-MIN(2*AmortismanAzalanCarpan*$F106,1))^MAX(0,$H106-1)*MIN(2*AmortismanAzalanCarpan*$F106,1),MIN($D106*$F106,$D106)),0))</f>
        <v/>
      </c>
      <c r="L106" s="122">
        <f>IF($D106="",0,$G106-$J106)</f>
        <v/>
      </c>
      <c r="M106" s="122">
        <f>IF($B106="","",CONCATENATE("Kıymet: ",$B106," | NDD: ",TEXT($J106,"#,##0")))</f>
        <v/>
      </c>
    </row>
    <row r="107" ht="15" customHeight="1" s="77">
      <c r="A107" s="123" t="n"/>
      <c r="B107" s="123" t="n"/>
      <c r="C107" s="124" t="n"/>
      <c r="D107" s="125" t="n"/>
      <c r="E107" s="123" t="n"/>
      <c r="F107" s="126" t="n"/>
      <c r="G107" s="125" t="n"/>
      <c r="H107" s="122">
        <f>IF($D107="",0,MAX(0,ROUNDDOWN((AmortismanRaporTarihi-$C107)/365,0)))</f>
        <v/>
      </c>
      <c r="I107" s="122">
        <f>IF($D107="",0,IFERROR(IF($E107="Azalan",MAX(0,$D107*(1-MIN(2*AmortismanAzalanCarpan*$F107,1)^$H107)),MIN($D107,$D107*$F107*$H107)),0))</f>
        <v/>
      </c>
      <c r="J107" s="122">
        <f>IF($D107="",0,MAX(0,$D107-$I107))</f>
        <v/>
      </c>
      <c r="K107" s="122">
        <f>IF($H107=0,0,IFERROR(IF($E107="Azalan",$D107*(1-MIN(2*AmortismanAzalanCarpan*$F107,1))^MAX(0,$H107-1)*MIN(2*AmortismanAzalanCarpan*$F107,1),MIN($D107*$F107,$D107)),0))</f>
        <v/>
      </c>
      <c r="L107" s="122">
        <f>IF($D107="",0,$G107-$J107)</f>
        <v/>
      </c>
      <c r="M107" s="122">
        <f>IF($B107="","",CONCATENATE("Kıymet: ",$B107," | NDD: ",TEXT($J107,"#,##0")))</f>
        <v/>
      </c>
    </row>
    <row r="108" ht="15" customHeight="1" s="77">
      <c r="A108" s="123" t="n"/>
      <c r="B108" s="123" t="n"/>
      <c r="C108" s="124" t="n"/>
      <c r="D108" s="125" t="n"/>
      <c r="E108" s="123" t="n"/>
      <c r="F108" s="126" t="n"/>
      <c r="G108" s="125" t="n"/>
      <c r="H108" s="122">
        <f>IF($D108="",0,MAX(0,ROUNDDOWN((AmortismanRaporTarihi-$C108)/365,0)))</f>
        <v/>
      </c>
      <c r="I108" s="122">
        <f>IF($D108="",0,IFERROR(IF($E108="Azalan",MAX(0,$D108*(1-MIN(2*AmortismanAzalanCarpan*$F108,1)^$H108)),MIN($D108,$D108*$F108*$H108)),0))</f>
        <v/>
      </c>
      <c r="J108" s="122">
        <f>IF($D108="",0,MAX(0,$D108-$I108))</f>
        <v/>
      </c>
      <c r="K108" s="122">
        <f>IF($H108=0,0,IFERROR(IF($E108="Azalan",$D108*(1-MIN(2*AmortismanAzalanCarpan*$F108,1))^MAX(0,$H108-1)*MIN(2*AmortismanAzalanCarpan*$F108,1),MIN($D108*$F108,$D108)),0))</f>
        <v/>
      </c>
      <c r="L108" s="122">
        <f>IF($D108="",0,$G108-$J108)</f>
        <v/>
      </c>
      <c r="M108" s="122">
        <f>IF($B108="","",CONCATENATE("Kıymet: ",$B108," | NDD: ",TEXT($J108,"#,##0")))</f>
        <v/>
      </c>
    </row>
    <row r="109" ht="15" customHeight="1" s="77">
      <c r="A109" s="123" t="n"/>
      <c r="B109" s="123" t="n"/>
      <c r="C109" s="124" t="n"/>
      <c r="D109" s="125" t="n"/>
      <c r="E109" s="123" t="n"/>
      <c r="F109" s="126" t="n"/>
      <c r="G109" s="125" t="n"/>
      <c r="H109" s="122">
        <f>IF($D109="",0,MAX(0,ROUNDDOWN((AmortismanRaporTarihi-$C109)/365,0)))</f>
        <v/>
      </c>
      <c r="I109" s="122">
        <f>IF($D109="",0,IFERROR(IF($E109="Azalan",MAX(0,$D109*(1-MIN(2*AmortismanAzalanCarpan*$F109,1)^$H109)),MIN($D109,$D109*$F109*$H109)),0))</f>
        <v/>
      </c>
      <c r="J109" s="122">
        <f>IF($D109="",0,MAX(0,$D109-$I109))</f>
        <v/>
      </c>
      <c r="K109" s="122">
        <f>IF($H109=0,0,IFERROR(IF($E109="Azalan",$D109*(1-MIN(2*AmortismanAzalanCarpan*$F109,1))^MAX(0,$H109-1)*MIN(2*AmortismanAzalanCarpan*$F109,1),MIN($D109*$F109,$D109)),0))</f>
        <v/>
      </c>
      <c r="L109" s="122">
        <f>IF($D109="",0,$G109-$J109)</f>
        <v/>
      </c>
      <c r="M109" s="122">
        <f>IF($B109="","",CONCATENATE("Kıymet: ",$B109," | NDD: ",TEXT($J109,"#,##0")))</f>
        <v/>
      </c>
    </row>
    <row r="110" ht="15" customHeight="1" s="77">
      <c r="A110" s="123" t="n"/>
      <c r="B110" s="123" t="n"/>
      <c r="C110" s="124" t="n"/>
      <c r="D110" s="125" t="n"/>
      <c r="E110" s="123" t="n"/>
      <c r="F110" s="126" t="n"/>
      <c r="G110" s="125" t="n"/>
      <c r="H110" s="122">
        <f>IF($D110="",0,MAX(0,ROUNDDOWN((AmortismanRaporTarihi-$C110)/365,0)))</f>
        <v/>
      </c>
      <c r="I110" s="122">
        <f>IF($D110="",0,IFERROR(IF($E110="Azalan",MAX(0,$D110*(1-MIN(2*AmortismanAzalanCarpan*$F110,1)^$H110)),MIN($D110,$D110*$F110*$H110)),0))</f>
        <v/>
      </c>
      <c r="J110" s="122">
        <f>IF($D110="",0,MAX(0,$D110-$I110))</f>
        <v/>
      </c>
      <c r="K110" s="122">
        <f>IF($H110=0,0,IFERROR(IF($E110="Azalan",$D110*(1-MIN(2*AmortismanAzalanCarpan*$F110,1))^MAX(0,$H110-1)*MIN(2*AmortismanAzalanCarpan*$F110,1),MIN($D110*$F110,$D110)),0))</f>
        <v/>
      </c>
      <c r="L110" s="122">
        <f>IF($D110="",0,$G110-$J110)</f>
        <v/>
      </c>
      <c r="M110" s="122">
        <f>IF($B110="","",CONCATENATE("Kıymet: ",$B110," | NDD: ",TEXT($J110,"#,##0")))</f>
        <v/>
      </c>
    </row>
    <row r="111" ht="15" customHeight="1" s="77">
      <c r="A111" s="123" t="n"/>
      <c r="B111" s="123" t="n"/>
      <c r="C111" s="124" t="n"/>
      <c r="D111" s="125" t="n"/>
      <c r="E111" s="123" t="n"/>
      <c r="F111" s="126" t="n"/>
      <c r="G111" s="125" t="n"/>
      <c r="H111" s="122">
        <f>IF($D111="",0,MAX(0,ROUNDDOWN((AmortismanRaporTarihi-$C111)/365,0)))</f>
        <v/>
      </c>
      <c r="I111" s="122">
        <f>IF($D111="",0,IFERROR(IF($E111="Azalan",MAX(0,$D111*(1-MIN(2*AmortismanAzalanCarpan*$F111,1)^$H111)),MIN($D111,$D111*$F111*$H111)),0))</f>
        <v/>
      </c>
      <c r="J111" s="122">
        <f>IF($D111="",0,MAX(0,$D111-$I111))</f>
        <v/>
      </c>
      <c r="K111" s="122">
        <f>IF($H111=0,0,IFERROR(IF($E111="Azalan",$D111*(1-MIN(2*AmortismanAzalanCarpan*$F111,1))^MAX(0,$H111-1)*MIN(2*AmortismanAzalanCarpan*$F111,1),MIN($D111*$F111,$D111)),0))</f>
        <v/>
      </c>
      <c r="L111" s="122">
        <f>IF($D111="",0,$G111-$J111)</f>
        <v/>
      </c>
      <c r="M111" s="122">
        <f>IF($B111="","",CONCATENATE("Kıymet: ",$B111," | NDD: ",TEXT($J111,"#,##0")))</f>
        <v/>
      </c>
    </row>
    <row r="112" ht="15" customHeight="1" s="77">
      <c r="A112" s="123" t="n"/>
      <c r="B112" s="123" t="n"/>
      <c r="C112" s="124" t="n"/>
      <c r="D112" s="125" t="n"/>
      <c r="E112" s="123" t="n"/>
      <c r="F112" s="126" t="n"/>
      <c r="G112" s="125" t="n"/>
      <c r="H112" s="122">
        <f>IF($D112="",0,MAX(0,ROUNDDOWN((AmortismanRaporTarihi-$C112)/365,0)))</f>
        <v/>
      </c>
      <c r="I112" s="122">
        <f>IF($D112="",0,IFERROR(IF($E112="Azalan",MAX(0,$D112*(1-MIN(2*AmortismanAzalanCarpan*$F112,1)^$H112)),MIN($D112,$D112*$F112*$H112)),0))</f>
        <v/>
      </c>
      <c r="J112" s="122">
        <f>IF($D112="",0,MAX(0,$D112-$I112))</f>
        <v/>
      </c>
      <c r="K112" s="122">
        <f>IF($H112=0,0,IFERROR(IF($E112="Azalan",$D112*(1-MIN(2*AmortismanAzalanCarpan*$F112,1))^MAX(0,$H112-1)*MIN(2*AmortismanAzalanCarpan*$F112,1),MIN($D112*$F112,$D112)),0))</f>
        <v/>
      </c>
      <c r="L112" s="122">
        <f>IF($D112="",0,$G112-$J112)</f>
        <v/>
      </c>
      <c r="M112" s="122">
        <f>IF($B112="","",CONCATENATE("Kıymet: ",$B112," | NDD: ",TEXT($J112,"#,##0")))</f>
        <v/>
      </c>
    </row>
    <row r="113" ht="15" customHeight="1" s="77">
      <c r="A113" s="123" t="n"/>
      <c r="B113" s="123" t="n"/>
      <c r="C113" s="124" t="n"/>
      <c r="D113" s="125" t="n"/>
      <c r="E113" s="123" t="n"/>
      <c r="F113" s="126" t="n"/>
      <c r="G113" s="125" t="n"/>
      <c r="H113" s="122">
        <f>IF($D113="",0,MAX(0,ROUNDDOWN((AmortismanRaporTarihi-$C113)/365,0)))</f>
        <v/>
      </c>
      <c r="I113" s="122">
        <f>IF($D113="",0,IFERROR(IF($E113="Azalan",MAX(0,$D113*(1-MIN(2*AmortismanAzalanCarpan*$F113,1)^$H113)),MIN($D113,$D113*$F113*$H113)),0))</f>
        <v/>
      </c>
      <c r="J113" s="122">
        <f>IF($D113="",0,MAX(0,$D113-$I113))</f>
        <v/>
      </c>
      <c r="K113" s="122">
        <f>IF($H113=0,0,IFERROR(IF($E113="Azalan",$D113*(1-MIN(2*AmortismanAzalanCarpan*$F113,1))^MAX(0,$H113-1)*MIN(2*AmortismanAzalanCarpan*$F113,1),MIN($D113*$F113,$D113)),0))</f>
        <v/>
      </c>
      <c r="L113" s="122">
        <f>IF($D113="",0,$G113-$J113)</f>
        <v/>
      </c>
      <c r="M113" s="122">
        <f>IF($B113="","",CONCATENATE("Kıymet: ",$B113," | NDD: ",TEXT($J113,"#,##0")))</f>
        <v/>
      </c>
    </row>
    <row r="114" ht="15" customHeight="1" s="77">
      <c r="A114" s="123" t="n"/>
      <c r="B114" s="123" t="n"/>
      <c r="C114" s="124" t="n"/>
      <c r="D114" s="125" t="n"/>
      <c r="E114" s="123" t="n"/>
      <c r="F114" s="126" t="n"/>
      <c r="G114" s="125" t="n"/>
      <c r="H114" s="122">
        <f>IF($D114="",0,MAX(0,ROUNDDOWN((AmortismanRaporTarihi-$C114)/365,0)))</f>
        <v/>
      </c>
      <c r="I114" s="122">
        <f>IF($D114="",0,IFERROR(IF($E114="Azalan",MAX(0,$D114*(1-MIN(2*AmortismanAzalanCarpan*$F114,1)^$H114)),MIN($D114,$D114*$F114*$H114)),0))</f>
        <v/>
      </c>
      <c r="J114" s="122">
        <f>IF($D114="",0,MAX(0,$D114-$I114))</f>
        <v/>
      </c>
      <c r="K114" s="122">
        <f>IF($H114=0,0,IFERROR(IF($E114="Azalan",$D114*(1-MIN(2*AmortismanAzalanCarpan*$F114,1))^MAX(0,$H114-1)*MIN(2*AmortismanAzalanCarpan*$F114,1),MIN($D114*$F114,$D114)),0))</f>
        <v/>
      </c>
      <c r="L114" s="122">
        <f>IF($D114="",0,$G114-$J114)</f>
        <v/>
      </c>
      <c r="M114" s="122">
        <f>IF($B114="","",CONCATENATE("Kıymet: ",$B114," | NDD: ",TEXT($J114,"#,##0")))</f>
        <v/>
      </c>
    </row>
    <row r="115" ht="15" customHeight="1" s="77">
      <c r="A115" s="123" t="n"/>
      <c r="B115" s="123" t="n"/>
      <c r="C115" s="124" t="n"/>
      <c r="D115" s="125" t="n"/>
      <c r="E115" s="123" t="n"/>
      <c r="F115" s="126" t="n"/>
      <c r="G115" s="125" t="n"/>
      <c r="H115" s="122">
        <f>IF($D115="",0,MAX(0,ROUNDDOWN((AmortismanRaporTarihi-$C115)/365,0)))</f>
        <v/>
      </c>
      <c r="I115" s="122">
        <f>IF($D115="",0,IFERROR(IF($E115="Azalan",MAX(0,$D115*(1-MIN(2*AmortismanAzalanCarpan*$F115,1)^$H115)),MIN($D115,$D115*$F115*$H115)),0))</f>
        <v/>
      </c>
      <c r="J115" s="122">
        <f>IF($D115="",0,MAX(0,$D115-$I115))</f>
        <v/>
      </c>
      <c r="K115" s="122">
        <f>IF($H115=0,0,IFERROR(IF($E115="Azalan",$D115*(1-MIN(2*AmortismanAzalanCarpan*$F115,1))^MAX(0,$H115-1)*MIN(2*AmortismanAzalanCarpan*$F115,1),MIN($D115*$F115,$D115)),0))</f>
        <v/>
      </c>
      <c r="L115" s="122">
        <f>IF($D115="",0,$G115-$J115)</f>
        <v/>
      </c>
      <c r="M115" s="122">
        <f>IF($B115="","",CONCATENATE("Kıymet: ",$B115," | NDD: ",TEXT($J115,"#,##0")))</f>
        <v/>
      </c>
    </row>
    <row r="116" ht="15" customHeight="1" s="77">
      <c r="A116" s="123" t="n"/>
      <c r="B116" s="123" t="n"/>
      <c r="C116" s="124" t="n"/>
      <c r="D116" s="125" t="n"/>
      <c r="E116" s="123" t="n"/>
      <c r="F116" s="126" t="n"/>
      <c r="G116" s="125" t="n"/>
      <c r="H116" s="122">
        <f>IF($D116="",0,MAX(0,ROUNDDOWN((AmortismanRaporTarihi-$C116)/365,0)))</f>
        <v/>
      </c>
      <c r="I116" s="122">
        <f>IF($D116="",0,IFERROR(IF($E116="Azalan",MAX(0,$D116*(1-MIN(2*AmortismanAzalanCarpan*$F116,1)^$H116)),MIN($D116,$D116*$F116*$H116)),0))</f>
        <v/>
      </c>
      <c r="J116" s="122">
        <f>IF($D116="",0,MAX(0,$D116-$I116))</f>
        <v/>
      </c>
      <c r="K116" s="122">
        <f>IF($H116=0,0,IFERROR(IF($E116="Azalan",$D116*(1-MIN(2*AmortismanAzalanCarpan*$F116,1))^MAX(0,$H116-1)*MIN(2*AmortismanAzalanCarpan*$F116,1),MIN($D116*$F116,$D116)),0))</f>
        <v/>
      </c>
      <c r="L116" s="122">
        <f>IF($D116="",0,$G116-$J116)</f>
        <v/>
      </c>
      <c r="M116" s="122">
        <f>IF($B116="","",CONCATENATE("Kıymet: ",$B116," | NDD: ",TEXT($J116,"#,##0")))</f>
        <v/>
      </c>
    </row>
    <row r="117" ht="15" customHeight="1" s="77">
      <c r="A117" s="123" t="n"/>
      <c r="B117" s="123" t="n"/>
      <c r="C117" s="124" t="n"/>
      <c r="D117" s="125" t="n"/>
      <c r="E117" s="123" t="n"/>
      <c r="F117" s="126" t="n"/>
      <c r="G117" s="125" t="n"/>
      <c r="H117" s="122">
        <f>IF($D117="",0,MAX(0,ROUNDDOWN((AmortismanRaporTarihi-$C117)/365,0)))</f>
        <v/>
      </c>
      <c r="I117" s="122">
        <f>IF($D117="",0,IFERROR(IF($E117="Azalan",MAX(0,$D117*(1-MIN(2*AmortismanAzalanCarpan*$F117,1)^$H117)),MIN($D117,$D117*$F117*$H117)),0))</f>
        <v/>
      </c>
      <c r="J117" s="122">
        <f>IF($D117="",0,MAX(0,$D117-$I117))</f>
        <v/>
      </c>
      <c r="K117" s="122">
        <f>IF($H117=0,0,IFERROR(IF($E117="Azalan",$D117*(1-MIN(2*AmortismanAzalanCarpan*$F117,1))^MAX(0,$H117-1)*MIN(2*AmortismanAzalanCarpan*$F117,1),MIN($D117*$F117,$D117)),0))</f>
        <v/>
      </c>
      <c r="L117" s="122">
        <f>IF($D117="",0,$G117-$J117)</f>
        <v/>
      </c>
      <c r="M117" s="122">
        <f>IF($B117="","",CONCATENATE("Kıymet: ",$B117," | NDD: ",TEXT($J117,"#,##0")))</f>
        <v/>
      </c>
    </row>
    <row r="118" ht="15" customHeight="1" s="77">
      <c r="A118" s="123" t="n"/>
      <c r="B118" s="123" t="n"/>
      <c r="C118" s="124" t="n"/>
      <c r="D118" s="125" t="n"/>
      <c r="E118" s="123" t="n"/>
      <c r="F118" s="126" t="n"/>
      <c r="G118" s="125" t="n"/>
      <c r="H118" s="122">
        <f>IF($D118="",0,MAX(0,ROUNDDOWN((AmortismanRaporTarihi-$C118)/365,0)))</f>
        <v/>
      </c>
      <c r="I118" s="122">
        <f>IF($D118="",0,IFERROR(IF($E118="Azalan",MAX(0,$D118*(1-MIN(2*AmortismanAzalanCarpan*$F118,1)^$H118)),MIN($D118,$D118*$F118*$H118)),0))</f>
        <v/>
      </c>
      <c r="J118" s="122">
        <f>IF($D118="",0,MAX(0,$D118-$I118))</f>
        <v/>
      </c>
      <c r="K118" s="122">
        <f>IF($H118=0,0,IFERROR(IF($E118="Azalan",$D118*(1-MIN(2*AmortismanAzalanCarpan*$F118,1))^MAX(0,$H118-1)*MIN(2*AmortismanAzalanCarpan*$F118,1),MIN($D118*$F118,$D118)),0))</f>
        <v/>
      </c>
      <c r="L118" s="122">
        <f>IF($D118="",0,$G118-$J118)</f>
        <v/>
      </c>
      <c r="M118" s="122">
        <f>IF($B118="","",CONCATENATE("Kıymet: ",$B118," | NDD: ",TEXT($J118,"#,##0")))</f>
        <v/>
      </c>
    </row>
    <row r="119" ht="15" customHeight="1" s="77">
      <c r="A119" s="123" t="n"/>
      <c r="B119" s="123" t="n"/>
      <c r="C119" s="124" t="n"/>
      <c r="D119" s="125" t="n"/>
      <c r="E119" s="123" t="n"/>
      <c r="F119" s="126" t="n"/>
      <c r="G119" s="125" t="n"/>
      <c r="H119" s="122">
        <f>IF($D119="",0,MAX(0,ROUNDDOWN((AmortismanRaporTarihi-$C119)/365,0)))</f>
        <v/>
      </c>
      <c r="I119" s="122">
        <f>IF($D119="",0,IFERROR(IF($E119="Azalan",MAX(0,$D119*(1-MIN(2*AmortismanAzalanCarpan*$F119,1)^$H119)),MIN($D119,$D119*$F119*$H119)),0))</f>
        <v/>
      </c>
      <c r="J119" s="122">
        <f>IF($D119="",0,MAX(0,$D119-$I119))</f>
        <v/>
      </c>
      <c r="K119" s="122">
        <f>IF($H119=0,0,IFERROR(IF($E119="Azalan",$D119*(1-MIN(2*AmortismanAzalanCarpan*$F119,1))^MAX(0,$H119-1)*MIN(2*AmortismanAzalanCarpan*$F119,1),MIN($D119*$F119,$D119)),0))</f>
        <v/>
      </c>
      <c r="L119" s="122">
        <f>IF($D119="",0,$G119-$J119)</f>
        <v/>
      </c>
      <c r="M119" s="122">
        <f>IF($B119="","",CONCATENATE("Kıymet: ",$B119," | NDD: ",TEXT($J119,"#,##0")))</f>
        <v/>
      </c>
    </row>
    <row r="120" ht="15" customHeight="1" s="77">
      <c r="A120" s="123" t="n"/>
      <c r="B120" s="123" t="n"/>
      <c r="C120" s="124" t="n"/>
      <c r="D120" s="125" t="n"/>
      <c r="E120" s="123" t="n"/>
      <c r="F120" s="126" t="n"/>
      <c r="G120" s="125" t="n"/>
      <c r="H120" s="122">
        <f>IF($D120="",0,MAX(0,ROUNDDOWN((AmortismanRaporTarihi-$C120)/365,0)))</f>
        <v/>
      </c>
      <c r="I120" s="122">
        <f>IF($D120="",0,IFERROR(IF($E120="Azalan",MAX(0,$D120*(1-MIN(2*AmortismanAzalanCarpan*$F120,1)^$H120)),MIN($D120,$D120*$F120*$H120)),0))</f>
        <v/>
      </c>
      <c r="J120" s="122">
        <f>IF($D120="",0,MAX(0,$D120-$I120))</f>
        <v/>
      </c>
      <c r="K120" s="122">
        <f>IF($H120=0,0,IFERROR(IF($E120="Azalan",$D120*(1-MIN(2*AmortismanAzalanCarpan*$F120,1))^MAX(0,$H120-1)*MIN(2*AmortismanAzalanCarpan*$F120,1),MIN($D120*$F120,$D120)),0))</f>
        <v/>
      </c>
      <c r="L120" s="122">
        <f>IF($D120="",0,$G120-$J120)</f>
        <v/>
      </c>
      <c r="M120" s="122">
        <f>IF($B120="","",CONCATENATE("Kıymet: ",$B120," | NDD: ",TEXT($J120,"#,##0")))</f>
        <v/>
      </c>
    </row>
    <row r="121" ht="15" customHeight="1" s="77">
      <c r="A121" s="123" t="n"/>
      <c r="B121" s="123" t="n"/>
      <c r="C121" s="124" t="n"/>
      <c r="D121" s="125" t="n"/>
      <c r="E121" s="123" t="n"/>
      <c r="F121" s="126" t="n"/>
      <c r="G121" s="125" t="n"/>
      <c r="H121" s="122">
        <f>IF($D121="",0,MAX(0,ROUNDDOWN((AmortismanRaporTarihi-$C121)/365,0)))</f>
        <v/>
      </c>
      <c r="I121" s="122">
        <f>IF($D121="",0,IFERROR(IF($E121="Azalan",MAX(0,$D121*(1-MIN(2*AmortismanAzalanCarpan*$F121,1)^$H121)),MIN($D121,$D121*$F121*$H121)),0))</f>
        <v/>
      </c>
      <c r="J121" s="122">
        <f>IF($D121="",0,MAX(0,$D121-$I121))</f>
        <v/>
      </c>
      <c r="K121" s="122">
        <f>IF($H121=0,0,IFERROR(IF($E121="Azalan",$D121*(1-MIN(2*AmortismanAzalanCarpan*$F121,1))^MAX(0,$H121-1)*MIN(2*AmortismanAzalanCarpan*$F121,1),MIN($D121*$F121,$D121)),0))</f>
        <v/>
      </c>
      <c r="L121" s="122">
        <f>IF($D121="",0,$G121-$J121)</f>
        <v/>
      </c>
      <c r="M121" s="122">
        <f>IF($B121="","",CONCATENATE("Kıymet: ",$B121," | NDD: ",TEXT($J121,"#,##0")))</f>
        <v/>
      </c>
    </row>
    <row r="122" ht="15" customHeight="1" s="77">
      <c r="A122" s="123" t="n"/>
      <c r="B122" s="123" t="n"/>
      <c r="C122" s="124" t="n"/>
      <c r="D122" s="125" t="n"/>
      <c r="E122" s="123" t="n"/>
      <c r="F122" s="126" t="n"/>
      <c r="G122" s="125" t="n"/>
      <c r="H122" s="122">
        <f>IF($D122="",0,MAX(0,ROUNDDOWN((AmortismanRaporTarihi-$C122)/365,0)))</f>
        <v/>
      </c>
      <c r="I122" s="122">
        <f>IF($D122="",0,IFERROR(IF($E122="Azalan",MAX(0,$D122*(1-MIN(2*AmortismanAzalanCarpan*$F122,1)^$H122)),MIN($D122,$D122*$F122*$H122)),0))</f>
        <v/>
      </c>
      <c r="J122" s="122">
        <f>IF($D122="",0,MAX(0,$D122-$I122))</f>
        <v/>
      </c>
      <c r="K122" s="122">
        <f>IF($H122=0,0,IFERROR(IF($E122="Azalan",$D122*(1-MIN(2*AmortismanAzalanCarpan*$F122,1))^MAX(0,$H122-1)*MIN(2*AmortismanAzalanCarpan*$F122,1),MIN($D122*$F122,$D122)),0))</f>
        <v/>
      </c>
      <c r="L122" s="122">
        <f>IF($D122="",0,$G122-$J122)</f>
        <v/>
      </c>
      <c r="M122" s="122">
        <f>IF($B122="","",CONCATENATE("Kıymet: ",$B122," | NDD: ",TEXT($J122,"#,##0")))</f>
        <v/>
      </c>
    </row>
    <row r="123" ht="15" customHeight="1" s="77">
      <c r="A123" s="123" t="n"/>
      <c r="B123" s="123" t="n"/>
      <c r="C123" s="124" t="n"/>
      <c r="D123" s="125" t="n"/>
      <c r="E123" s="123" t="n"/>
      <c r="F123" s="126" t="n"/>
      <c r="G123" s="125" t="n"/>
      <c r="H123" s="122">
        <f>IF($D123="",0,MAX(0,ROUNDDOWN((AmortismanRaporTarihi-$C123)/365,0)))</f>
        <v/>
      </c>
      <c r="I123" s="122">
        <f>IF($D123="",0,IFERROR(IF($E123="Azalan",MAX(0,$D123*(1-MIN(2*AmortismanAzalanCarpan*$F123,1)^$H123)),MIN($D123,$D123*$F123*$H123)),0))</f>
        <v/>
      </c>
      <c r="J123" s="122">
        <f>IF($D123="",0,MAX(0,$D123-$I123))</f>
        <v/>
      </c>
      <c r="K123" s="122">
        <f>IF($H123=0,0,IFERROR(IF($E123="Azalan",$D123*(1-MIN(2*AmortismanAzalanCarpan*$F123,1))^MAX(0,$H123-1)*MIN(2*AmortismanAzalanCarpan*$F123,1),MIN($D123*$F123,$D123)),0))</f>
        <v/>
      </c>
      <c r="L123" s="122">
        <f>IF($D123="",0,$G123-$J123)</f>
        <v/>
      </c>
      <c r="M123" s="122">
        <f>IF($B123="","",CONCATENATE("Kıymet: ",$B123," | NDD: ",TEXT($J123,"#,##0")))</f>
        <v/>
      </c>
    </row>
    <row r="124" ht="15" customHeight="1" s="77">
      <c r="A124" s="123" t="n"/>
      <c r="B124" s="123" t="n"/>
      <c r="C124" s="124" t="n"/>
      <c r="D124" s="125" t="n"/>
      <c r="E124" s="123" t="n"/>
      <c r="F124" s="126" t="n"/>
      <c r="G124" s="125" t="n"/>
      <c r="H124" s="122">
        <f>IF($D124="",0,MAX(0,ROUNDDOWN((AmortismanRaporTarihi-$C124)/365,0)))</f>
        <v/>
      </c>
      <c r="I124" s="122">
        <f>IF($D124="",0,IFERROR(IF($E124="Azalan",MAX(0,$D124*(1-MIN(2*AmortismanAzalanCarpan*$F124,1)^$H124)),MIN($D124,$D124*$F124*$H124)),0))</f>
        <v/>
      </c>
      <c r="J124" s="122">
        <f>IF($D124="",0,MAX(0,$D124-$I124))</f>
        <v/>
      </c>
      <c r="K124" s="122">
        <f>IF($H124=0,0,IFERROR(IF($E124="Azalan",$D124*(1-MIN(2*AmortismanAzalanCarpan*$F124,1))^MAX(0,$H124-1)*MIN(2*AmortismanAzalanCarpan*$F124,1),MIN($D124*$F124,$D124)),0))</f>
        <v/>
      </c>
      <c r="L124" s="122">
        <f>IF($D124="",0,$G124-$J124)</f>
        <v/>
      </c>
      <c r="M124" s="122">
        <f>IF($B124="","",CONCATENATE("Kıymet: ",$B124," | NDD: ",TEXT($J124,"#,##0")))</f>
        <v/>
      </c>
    </row>
    <row r="125" ht="15" customHeight="1" s="77">
      <c r="A125" s="123" t="n"/>
      <c r="B125" s="123" t="n"/>
      <c r="C125" s="124" t="n"/>
      <c r="D125" s="125" t="n"/>
      <c r="E125" s="123" t="n"/>
      <c r="F125" s="126" t="n"/>
      <c r="G125" s="125" t="n"/>
      <c r="H125" s="122">
        <f>IF($D125="",0,MAX(0,ROUNDDOWN((AmortismanRaporTarihi-$C125)/365,0)))</f>
        <v/>
      </c>
      <c r="I125" s="122">
        <f>IF($D125="",0,IFERROR(IF($E125="Azalan",MAX(0,$D125*(1-MIN(2*AmortismanAzalanCarpan*$F125,1)^$H125)),MIN($D125,$D125*$F125*$H125)),0))</f>
        <v/>
      </c>
      <c r="J125" s="122">
        <f>IF($D125="",0,MAX(0,$D125-$I125))</f>
        <v/>
      </c>
      <c r="K125" s="122">
        <f>IF($H125=0,0,IFERROR(IF($E125="Azalan",$D125*(1-MIN(2*AmortismanAzalanCarpan*$F125,1))^MAX(0,$H125-1)*MIN(2*AmortismanAzalanCarpan*$F125,1),MIN($D125*$F125,$D125)),0))</f>
        <v/>
      </c>
      <c r="L125" s="122">
        <f>IF($D125="",0,$G125-$J125)</f>
        <v/>
      </c>
      <c r="M125" s="122">
        <f>IF($B125="","",CONCATENATE("Kıymet: ",$B125," | NDD: ",TEXT($J125,"#,##0")))</f>
        <v/>
      </c>
    </row>
    <row r="126" ht="15" customHeight="1" s="77">
      <c r="A126" s="123" t="n"/>
      <c r="B126" s="123" t="n"/>
      <c r="C126" s="124" t="n"/>
      <c r="D126" s="125" t="n"/>
      <c r="E126" s="123" t="n"/>
      <c r="F126" s="126" t="n"/>
      <c r="G126" s="125" t="n"/>
      <c r="H126" s="122">
        <f>IF($D126="",0,MAX(0,ROUNDDOWN((AmortismanRaporTarihi-$C126)/365,0)))</f>
        <v/>
      </c>
      <c r="I126" s="122">
        <f>IF($D126="",0,IFERROR(IF($E126="Azalan",MAX(0,$D126*(1-MIN(2*AmortismanAzalanCarpan*$F126,1)^$H126)),MIN($D126,$D126*$F126*$H126)),0))</f>
        <v/>
      </c>
      <c r="J126" s="122">
        <f>IF($D126="",0,MAX(0,$D126-$I126))</f>
        <v/>
      </c>
      <c r="K126" s="122">
        <f>IF($H126=0,0,IFERROR(IF($E126="Azalan",$D126*(1-MIN(2*AmortismanAzalanCarpan*$F126,1))^MAX(0,$H126-1)*MIN(2*AmortismanAzalanCarpan*$F126,1),MIN($D126*$F126,$D126)),0))</f>
        <v/>
      </c>
      <c r="L126" s="122">
        <f>IF($D126="",0,$G126-$J126)</f>
        <v/>
      </c>
      <c r="M126" s="122">
        <f>IF($B126="","",CONCATENATE("Kıymet: ",$B126," | NDD: ",TEXT($J126,"#,##0")))</f>
        <v/>
      </c>
    </row>
    <row r="127" ht="15" customHeight="1" s="77">
      <c r="A127" s="123" t="n"/>
      <c r="B127" s="123" t="n"/>
      <c r="C127" s="124" t="n"/>
      <c r="D127" s="125" t="n"/>
      <c r="E127" s="123" t="n"/>
      <c r="F127" s="126" t="n"/>
      <c r="G127" s="125" t="n"/>
      <c r="H127" s="122">
        <f>IF($D127="",0,MAX(0,ROUNDDOWN((AmortismanRaporTarihi-$C127)/365,0)))</f>
        <v/>
      </c>
      <c r="I127" s="122">
        <f>IF($D127="",0,IFERROR(IF($E127="Azalan",MAX(0,$D127*(1-MIN(2*AmortismanAzalanCarpan*$F127,1)^$H127)),MIN($D127,$D127*$F127*$H127)),0))</f>
        <v/>
      </c>
      <c r="J127" s="122">
        <f>IF($D127="",0,MAX(0,$D127-$I127))</f>
        <v/>
      </c>
      <c r="K127" s="122">
        <f>IF($H127=0,0,IFERROR(IF($E127="Azalan",$D127*(1-MIN(2*AmortismanAzalanCarpan*$F127,1))^MAX(0,$H127-1)*MIN(2*AmortismanAzalanCarpan*$F127,1),MIN($D127*$F127,$D127)),0))</f>
        <v/>
      </c>
      <c r="L127" s="122">
        <f>IF($D127="",0,$G127-$J127)</f>
        <v/>
      </c>
      <c r="M127" s="122">
        <f>IF($B127="","",CONCATENATE("Kıymet: ",$B127," | NDD: ",TEXT($J127,"#,##0")))</f>
        <v/>
      </c>
    </row>
    <row r="128" ht="15" customHeight="1" s="77">
      <c r="A128" s="123" t="n"/>
      <c r="B128" s="123" t="n"/>
      <c r="C128" s="124" t="n"/>
      <c r="D128" s="125" t="n"/>
      <c r="E128" s="123" t="n"/>
      <c r="F128" s="126" t="n"/>
      <c r="G128" s="125" t="n"/>
      <c r="H128" s="122">
        <f>IF($D128="",0,MAX(0,ROUNDDOWN((AmortismanRaporTarihi-$C128)/365,0)))</f>
        <v/>
      </c>
      <c r="I128" s="122">
        <f>IF($D128="",0,IFERROR(IF($E128="Azalan",MAX(0,$D128*(1-MIN(2*AmortismanAzalanCarpan*$F128,1)^$H128)),MIN($D128,$D128*$F128*$H128)),0))</f>
        <v/>
      </c>
      <c r="J128" s="122">
        <f>IF($D128="",0,MAX(0,$D128-$I128))</f>
        <v/>
      </c>
      <c r="K128" s="122">
        <f>IF($H128=0,0,IFERROR(IF($E128="Azalan",$D128*(1-MIN(2*AmortismanAzalanCarpan*$F128,1))^MAX(0,$H128-1)*MIN(2*AmortismanAzalanCarpan*$F128,1),MIN($D128*$F128,$D128)),0))</f>
        <v/>
      </c>
      <c r="L128" s="122">
        <f>IF($D128="",0,$G128-$J128)</f>
        <v/>
      </c>
      <c r="M128" s="122">
        <f>IF($B128="","",CONCATENATE("Kıymet: ",$B128," | NDD: ",TEXT($J128,"#,##0")))</f>
        <v/>
      </c>
    </row>
    <row r="129" ht="15" customHeight="1" s="77">
      <c r="A129" s="123" t="n"/>
      <c r="B129" s="123" t="n"/>
      <c r="C129" s="124" t="n"/>
      <c r="D129" s="125" t="n"/>
      <c r="E129" s="123" t="n"/>
      <c r="F129" s="126" t="n"/>
      <c r="G129" s="125" t="n"/>
      <c r="H129" s="122">
        <f>IF($D129="",0,MAX(0,ROUNDDOWN((AmortismanRaporTarihi-$C129)/365,0)))</f>
        <v/>
      </c>
      <c r="I129" s="122">
        <f>IF($D129="",0,IFERROR(IF($E129="Azalan",MAX(0,$D129*(1-MIN(2*AmortismanAzalanCarpan*$F129,1)^$H129)),MIN($D129,$D129*$F129*$H129)),0))</f>
        <v/>
      </c>
      <c r="J129" s="122">
        <f>IF($D129="",0,MAX(0,$D129-$I129))</f>
        <v/>
      </c>
      <c r="K129" s="122">
        <f>IF($H129=0,0,IFERROR(IF($E129="Azalan",$D129*(1-MIN(2*AmortismanAzalanCarpan*$F129,1))^MAX(0,$H129-1)*MIN(2*AmortismanAzalanCarpan*$F129,1),MIN($D129*$F129,$D129)),0))</f>
        <v/>
      </c>
      <c r="L129" s="122">
        <f>IF($D129="",0,$G129-$J129)</f>
        <v/>
      </c>
      <c r="M129" s="122">
        <f>IF($B129="","",CONCATENATE("Kıymet: ",$B129," | NDD: ",TEXT($J129,"#,##0")))</f>
        <v/>
      </c>
    </row>
    <row r="130" ht="15" customHeight="1" s="77">
      <c r="A130" s="123" t="n"/>
      <c r="B130" s="123" t="n"/>
      <c r="C130" s="124" t="n"/>
      <c r="D130" s="125" t="n"/>
      <c r="E130" s="123" t="n"/>
      <c r="F130" s="126" t="n"/>
      <c r="G130" s="125" t="n"/>
      <c r="H130" s="122">
        <f>IF($D130="",0,MAX(0,ROUNDDOWN((AmortismanRaporTarihi-$C130)/365,0)))</f>
        <v/>
      </c>
      <c r="I130" s="122">
        <f>IF($D130="",0,IFERROR(IF($E130="Azalan",MAX(0,$D130*(1-MIN(2*AmortismanAzalanCarpan*$F130,1)^$H130)),MIN($D130,$D130*$F130*$H130)),0))</f>
        <v/>
      </c>
      <c r="J130" s="122">
        <f>IF($D130="",0,MAX(0,$D130-$I130))</f>
        <v/>
      </c>
      <c r="K130" s="122">
        <f>IF($H130=0,0,IFERROR(IF($E130="Azalan",$D130*(1-MIN(2*AmortismanAzalanCarpan*$F130,1))^MAX(0,$H130-1)*MIN(2*AmortismanAzalanCarpan*$F130,1),MIN($D130*$F130,$D130)),0))</f>
        <v/>
      </c>
      <c r="L130" s="122">
        <f>IF($D130="",0,$G130-$J130)</f>
        <v/>
      </c>
      <c r="M130" s="122">
        <f>IF($B130="","",CONCATENATE("Kıymet: ",$B130," | NDD: ",TEXT($J130,"#,##0")))</f>
        <v/>
      </c>
    </row>
    <row r="131" ht="15" customHeight="1" s="77">
      <c r="A131" s="123" t="n"/>
      <c r="B131" s="123" t="n"/>
      <c r="C131" s="124" t="n"/>
      <c r="D131" s="125" t="n"/>
      <c r="E131" s="123" t="n"/>
      <c r="F131" s="126" t="n"/>
      <c r="G131" s="125" t="n"/>
      <c r="H131" s="122">
        <f>IF($D131="",0,MAX(0,ROUNDDOWN((AmortismanRaporTarihi-$C131)/365,0)))</f>
        <v/>
      </c>
      <c r="I131" s="122">
        <f>IF($D131="",0,IFERROR(IF($E131="Azalan",MAX(0,$D131*(1-MIN(2*AmortismanAzalanCarpan*$F131,1)^$H131)),MIN($D131,$D131*$F131*$H131)),0))</f>
        <v/>
      </c>
      <c r="J131" s="122">
        <f>IF($D131="",0,MAX(0,$D131-$I131))</f>
        <v/>
      </c>
      <c r="K131" s="122">
        <f>IF($H131=0,0,IFERROR(IF($E131="Azalan",$D131*(1-MIN(2*AmortismanAzalanCarpan*$F131,1))^MAX(0,$H131-1)*MIN(2*AmortismanAzalanCarpan*$F131,1),MIN($D131*$F131,$D131)),0))</f>
        <v/>
      </c>
      <c r="L131" s="122">
        <f>IF($D131="",0,$G131-$J131)</f>
        <v/>
      </c>
      <c r="M131" s="122">
        <f>IF($B131="","",CONCATENATE("Kıymet: ",$B131," | NDD: ",TEXT($J131,"#,##0")))</f>
        <v/>
      </c>
    </row>
    <row r="132" ht="15" customHeight="1" s="77">
      <c r="A132" s="123" t="n"/>
      <c r="B132" s="123" t="n"/>
      <c r="C132" s="124" t="n"/>
      <c r="D132" s="125" t="n"/>
      <c r="E132" s="123" t="n"/>
      <c r="F132" s="126" t="n"/>
      <c r="G132" s="125" t="n"/>
      <c r="H132" s="122">
        <f>IF($D132="",0,MAX(0,ROUNDDOWN((AmortismanRaporTarihi-$C132)/365,0)))</f>
        <v/>
      </c>
      <c r="I132" s="122">
        <f>IF($D132="",0,IFERROR(IF($E132="Azalan",MAX(0,$D132*(1-MIN(2*AmortismanAzalanCarpan*$F132,1)^$H132)),MIN($D132,$D132*$F132*$H132)),0))</f>
        <v/>
      </c>
      <c r="J132" s="122">
        <f>IF($D132="",0,MAX(0,$D132-$I132))</f>
        <v/>
      </c>
      <c r="K132" s="122">
        <f>IF($H132=0,0,IFERROR(IF($E132="Azalan",$D132*(1-MIN(2*AmortismanAzalanCarpan*$F132,1))^MAX(0,$H132-1)*MIN(2*AmortismanAzalanCarpan*$F132,1),MIN($D132*$F132,$D132)),0))</f>
        <v/>
      </c>
      <c r="L132" s="122">
        <f>IF($D132="",0,$G132-$J132)</f>
        <v/>
      </c>
      <c r="M132" s="122">
        <f>IF($B132="","",CONCATENATE("Kıymet: ",$B132," | NDD: ",TEXT($J132,"#,##0")))</f>
        <v/>
      </c>
    </row>
    <row r="133" ht="15" customHeight="1" s="77">
      <c r="A133" s="123" t="n"/>
      <c r="B133" s="123" t="n"/>
      <c r="C133" s="124" t="n"/>
      <c r="D133" s="125" t="n"/>
      <c r="E133" s="123" t="n"/>
      <c r="F133" s="126" t="n"/>
      <c r="G133" s="125" t="n"/>
      <c r="H133" s="122">
        <f>IF($D133="",0,MAX(0,ROUNDDOWN((AmortismanRaporTarihi-$C133)/365,0)))</f>
        <v/>
      </c>
      <c r="I133" s="122">
        <f>IF($D133="",0,IFERROR(IF($E133="Azalan",MAX(0,$D133*(1-MIN(2*AmortismanAzalanCarpan*$F133,1)^$H133)),MIN($D133,$D133*$F133*$H133)),0))</f>
        <v/>
      </c>
      <c r="J133" s="122">
        <f>IF($D133="",0,MAX(0,$D133-$I133))</f>
        <v/>
      </c>
      <c r="K133" s="122">
        <f>IF($H133=0,0,IFERROR(IF($E133="Azalan",$D133*(1-MIN(2*AmortismanAzalanCarpan*$F133,1))^MAX(0,$H133-1)*MIN(2*AmortismanAzalanCarpan*$F133,1),MIN($D133*$F133,$D133)),0))</f>
        <v/>
      </c>
      <c r="L133" s="122">
        <f>IF($D133="",0,$G133-$J133)</f>
        <v/>
      </c>
      <c r="M133" s="122">
        <f>IF($B133="","",CONCATENATE("Kıymet: ",$B133," | NDD: ",TEXT($J133,"#,##0")))</f>
        <v/>
      </c>
    </row>
    <row r="134" ht="15" customHeight="1" s="77">
      <c r="A134" s="123" t="n"/>
      <c r="B134" s="123" t="n"/>
      <c r="C134" s="124" t="n"/>
      <c r="D134" s="125" t="n"/>
      <c r="E134" s="123" t="n"/>
      <c r="F134" s="126" t="n"/>
      <c r="G134" s="125" t="n"/>
      <c r="H134" s="122">
        <f>IF($D134="",0,MAX(0,ROUNDDOWN((AmortismanRaporTarihi-$C134)/365,0)))</f>
        <v/>
      </c>
      <c r="I134" s="122">
        <f>IF($D134="",0,IFERROR(IF($E134="Azalan",MAX(0,$D134*(1-MIN(2*AmortismanAzalanCarpan*$F134,1)^$H134)),MIN($D134,$D134*$F134*$H134)),0))</f>
        <v/>
      </c>
      <c r="J134" s="122">
        <f>IF($D134="",0,MAX(0,$D134-$I134))</f>
        <v/>
      </c>
      <c r="K134" s="122">
        <f>IF($H134=0,0,IFERROR(IF($E134="Azalan",$D134*(1-MIN(2*AmortismanAzalanCarpan*$F134,1))^MAX(0,$H134-1)*MIN(2*AmortismanAzalanCarpan*$F134,1),MIN($D134*$F134,$D134)),0))</f>
        <v/>
      </c>
      <c r="L134" s="122">
        <f>IF($D134="",0,$G134-$J134)</f>
        <v/>
      </c>
      <c r="M134" s="122">
        <f>IF($B134="","",CONCATENATE("Kıymet: ",$B134," | NDD: ",TEXT($J134,"#,##0")))</f>
        <v/>
      </c>
    </row>
    <row r="135" ht="15" customHeight="1" s="77">
      <c r="A135" s="123" t="n"/>
      <c r="B135" s="123" t="n"/>
      <c r="C135" s="124" t="n"/>
      <c r="D135" s="125" t="n"/>
      <c r="E135" s="123" t="n"/>
      <c r="F135" s="126" t="n"/>
      <c r="G135" s="125" t="n"/>
      <c r="H135" s="122">
        <f>IF($D135="",0,MAX(0,ROUNDDOWN((AmortismanRaporTarihi-$C135)/365,0)))</f>
        <v/>
      </c>
      <c r="I135" s="122">
        <f>IF($D135="",0,IFERROR(IF($E135="Azalan",MAX(0,$D135*(1-MIN(2*AmortismanAzalanCarpan*$F135,1)^$H135)),MIN($D135,$D135*$F135*$H135)),0))</f>
        <v/>
      </c>
      <c r="J135" s="122">
        <f>IF($D135="",0,MAX(0,$D135-$I135))</f>
        <v/>
      </c>
      <c r="K135" s="122">
        <f>IF($H135=0,0,IFERROR(IF($E135="Azalan",$D135*(1-MIN(2*AmortismanAzalanCarpan*$F135,1))^MAX(0,$H135-1)*MIN(2*AmortismanAzalanCarpan*$F135,1),MIN($D135*$F135,$D135)),0))</f>
        <v/>
      </c>
      <c r="L135" s="122">
        <f>IF($D135="",0,$G135-$J135)</f>
        <v/>
      </c>
      <c r="M135" s="122">
        <f>IF($B135="","",CONCATENATE("Kıymet: ",$B135," | NDD: ",TEXT($J135,"#,##0")))</f>
        <v/>
      </c>
    </row>
    <row r="136" ht="15" customHeight="1" s="77">
      <c r="A136" s="123" t="n"/>
      <c r="B136" s="123" t="n"/>
      <c r="C136" s="124" t="n"/>
      <c r="D136" s="125" t="n"/>
      <c r="E136" s="123" t="n"/>
      <c r="F136" s="126" t="n"/>
      <c r="G136" s="125" t="n"/>
      <c r="H136" s="122">
        <f>IF($D136="",0,MAX(0,ROUNDDOWN((AmortismanRaporTarihi-$C136)/365,0)))</f>
        <v/>
      </c>
      <c r="I136" s="122">
        <f>IF($D136="",0,IFERROR(IF($E136="Azalan",MAX(0,$D136*(1-MIN(2*AmortismanAzalanCarpan*$F136,1)^$H136)),MIN($D136,$D136*$F136*$H136)),0))</f>
        <v/>
      </c>
      <c r="J136" s="122">
        <f>IF($D136="",0,MAX(0,$D136-$I136))</f>
        <v/>
      </c>
      <c r="K136" s="122">
        <f>IF($H136=0,0,IFERROR(IF($E136="Azalan",$D136*(1-MIN(2*AmortismanAzalanCarpan*$F136,1))^MAX(0,$H136-1)*MIN(2*AmortismanAzalanCarpan*$F136,1),MIN($D136*$F136,$D136)),0))</f>
        <v/>
      </c>
      <c r="L136" s="122">
        <f>IF($D136="",0,$G136-$J136)</f>
        <v/>
      </c>
      <c r="M136" s="122">
        <f>IF($B136="","",CONCATENATE("Kıymet: ",$B136," | NDD: ",TEXT($J136,"#,##0")))</f>
        <v/>
      </c>
    </row>
    <row r="137" ht="15" customHeight="1" s="77">
      <c r="A137" s="123" t="n"/>
      <c r="B137" s="123" t="n"/>
      <c r="C137" s="124" t="n"/>
      <c r="D137" s="125" t="n"/>
      <c r="E137" s="123" t="n"/>
      <c r="F137" s="126" t="n"/>
      <c r="G137" s="125" t="n"/>
      <c r="H137" s="122">
        <f>IF($D137="",0,MAX(0,ROUNDDOWN((AmortismanRaporTarihi-$C137)/365,0)))</f>
        <v/>
      </c>
      <c r="I137" s="122">
        <f>IF($D137="",0,IFERROR(IF($E137="Azalan",MAX(0,$D137*(1-MIN(2*AmortismanAzalanCarpan*$F137,1)^$H137)),MIN($D137,$D137*$F137*$H137)),0))</f>
        <v/>
      </c>
      <c r="J137" s="122">
        <f>IF($D137="",0,MAX(0,$D137-$I137))</f>
        <v/>
      </c>
      <c r="K137" s="122">
        <f>IF($H137=0,0,IFERROR(IF($E137="Azalan",$D137*(1-MIN(2*AmortismanAzalanCarpan*$F137,1))^MAX(0,$H137-1)*MIN(2*AmortismanAzalanCarpan*$F137,1),MIN($D137*$F137,$D137)),0))</f>
        <v/>
      </c>
      <c r="L137" s="122">
        <f>IF($D137="",0,$G137-$J137)</f>
        <v/>
      </c>
      <c r="M137" s="122">
        <f>IF($B137="","",CONCATENATE("Kıymet: ",$B137," | NDD: ",TEXT($J137,"#,##0")))</f>
        <v/>
      </c>
    </row>
    <row r="138" ht="15" customHeight="1" s="77">
      <c r="A138" s="123" t="n"/>
      <c r="B138" s="123" t="n"/>
      <c r="C138" s="124" t="n"/>
      <c r="D138" s="125" t="n"/>
      <c r="E138" s="123" t="n"/>
      <c r="F138" s="126" t="n"/>
      <c r="G138" s="125" t="n"/>
      <c r="H138" s="122">
        <f>IF($D138="",0,MAX(0,ROUNDDOWN((AmortismanRaporTarihi-$C138)/365,0)))</f>
        <v/>
      </c>
      <c r="I138" s="122">
        <f>IF($D138="",0,IFERROR(IF($E138="Azalan",MAX(0,$D138*(1-MIN(2*AmortismanAzalanCarpan*$F138,1)^$H138)),MIN($D138,$D138*$F138*$H138)),0))</f>
        <v/>
      </c>
      <c r="J138" s="122">
        <f>IF($D138="",0,MAX(0,$D138-$I138))</f>
        <v/>
      </c>
      <c r="K138" s="122">
        <f>IF($H138=0,0,IFERROR(IF($E138="Azalan",$D138*(1-MIN(2*AmortismanAzalanCarpan*$F138,1))^MAX(0,$H138-1)*MIN(2*AmortismanAzalanCarpan*$F138,1),MIN($D138*$F138,$D138)),0))</f>
        <v/>
      </c>
      <c r="L138" s="122">
        <f>IF($D138="",0,$G138-$J138)</f>
        <v/>
      </c>
      <c r="M138" s="122">
        <f>IF($B138="","",CONCATENATE("Kıymet: ",$B138," | NDD: ",TEXT($J138,"#,##0")))</f>
        <v/>
      </c>
    </row>
    <row r="139" ht="15" customHeight="1" s="77">
      <c r="A139" s="123" t="n"/>
      <c r="B139" s="123" t="n"/>
      <c r="C139" s="124" t="n"/>
      <c r="D139" s="125" t="n"/>
      <c r="E139" s="123" t="n"/>
      <c r="F139" s="126" t="n"/>
      <c r="G139" s="125" t="n"/>
      <c r="H139" s="122">
        <f>IF($D139="",0,MAX(0,ROUNDDOWN((AmortismanRaporTarihi-$C139)/365,0)))</f>
        <v/>
      </c>
      <c r="I139" s="122">
        <f>IF($D139="",0,IFERROR(IF($E139="Azalan",MAX(0,$D139*(1-MIN(2*AmortismanAzalanCarpan*$F139,1)^$H139)),MIN($D139,$D139*$F139*$H139)),0))</f>
        <v/>
      </c>
      <c r="J139" s="122">
        <f>IF($D139="",0,MAX(0,$D139-$I139))</f>
        <v/>
      </c>
      <c r="K139" s="122">
        <f>IF($H139=0,0,IFERROR(IF($E139="Azalan",$D139*(1-MIN(2*AmortismanAzalanCarpan*$F139,1))^MAX(0,$H139-1)*MIN(2*AmortismanAzalanCarpan*$F139,1),MIN($D139*$F139,$D139)),0))</f>
        <v/>
      </c>
      <c r="L139" s="122">
        <f>IF($D139="",0,$G139-$J139)</f>
        <v/>
      </c>
      <c r="M139" s="122">
        <f>IF($B139="","",CONCATENATE("Kıymet: ",$B139," | NDD: ",TEXT($J139,"#,##0")))</f>
        <v/>
      </c>
    </row>
    <row r="140" ht="15" customHeight="1" s="77">
      <c r="A140" s="123" t="n"/>
      <c r="B140" s="123" t="n"/>
      <c r="C140" s="124" t="n"/>
      <c r="D140" s="125" t="n"/>
      <c r="E140" s="123" t="n"/>
      <c r="F140" s="126" t="n"/>
      <c r="G140" s="125" t="n"/>
      <c r="H140" s="122">
        <f>IF($D140="",0,MAX(0,ROUNDDOWN((AmortismanRaporTarihi-$C140)/365,0)))</f>
        <v/>
      </c>
      <c r="I140" s="122">
        <f>IF($D140="",0,IFERROR(IF($E140="Azalan",MAX(0,$D140*(1-MIN(2*AmortismanAzalanCarpan*$F140,1)^$H140)),MIN($D140,$D140*$F140*$H140)),0))</f>
        <v/>
      </c>
      <c r="J140" s="122">
        <f>IF($D140="",0,MAX(0,$D140-$I140))</f>
        <v/>
      </c>
      <c r="K140" s="122">
        <f>IF($H140=0,0,IFERROR(IF($E140="Azalan",$D140*(1-MIN(2*AmortismanAzalanCarpan*$F140,1))^MAX(0,$H140-1)*MIN(2*AmortismanAzalanCarpan*$F140,1),MIN($D140*$F140,$D140)),0))</f>
        <v/>
      </c>
      <c r="L140" s="122">
        <f>IF($D140="",0,$G140-$J140)</f>
        <v/>
      </c>
      <c r="M140" s="122">
        <f>IF($B140="","",CONCATENATE("Kıymet: ",$B140," | NDD: ",TEXT($J140,"#,##0")))</f>
        <v/>
      </c>
    </row>
    <row r="141" ht="15" customHeight="1" s="77">
      <c r="A141" s="123" t="n"/>
      <c r="B141" s="123" t="n"/>
      <c r="C141" s="124" t="n"/>
      <c r="D141" s="125" t="n"/>
      <c r="E141" s="123" t="n"/>
      <c r="F141" s="126" t="n"/>
      <c r="G141" s="125" t="n"/>
      <c r="H141" s="122">
        <f>IF($D141="",0,MAX(0,ROUNDDOWN((AmortismanRaporTarihi-$C141)/365,0)))</f>
        <v/>
      </c>
      <c r="I141" s="122">
        <f>IF($D141="",0,IFERROR(IF($E141="Azalan",MAX(0,$D141*(1-MIN(2*AmortismanAzalanCarpan*$F141,1)^$H141)),MIN($D141,$D141*$F141*$H141)),0))</f>
        <v/>
      </c>
      <c r="J141" s="122">
        <f>IF($D141="",0,MAX(0,$D141-$I141))</f>
        <v/>
      </c>
      <c r="K141" s="122">
        <f>IF($H141=0,0,IFERROR(IF($E141="Azalan",$D141*(1-MIN(2*AmortismanAzalanCarpan*$F141,1))^MAX(0,$H141-1)*MIN(2*AmortismanAzalanCarpan*$F141,1),MIN($D141*$F141,$D141)),0))</f>
        <v/>
      </c>
      <c r="L141" s="122">
        <f>IF($D141="",0,$G141-$J141)</f>
        <v/>
      </c>
      <c r="M141" s="122">
        <f>IF($B141="","",CONCATENATE("Kıymet: ",$B141," | NDD: ",TEXT($J141,"#,##0")))</f>
        <v/>
      </c>
    </row>
    <row r="142" ht="15" customHeight="1" s="77">
      <c r="A142" s="123" t="n"/>
      <c r="B142" s="123" t="n"/>
      <c r="C142" s="124" t="n"/>
      <c r="D142" s="125" t="n"/>
      <c r="E142" s="123" t="n"/>
      <c r="F142" s="126" t="n"/>
      <c r="G142" s="125" t="n"/>
      <c r="H142" s="122">
        <f>IF($D142="",0,MAX(0,ROUNDDOWN((AmortismanRaporTarihi-$C142)/365,0)))</f>
        <v/>
      </c>
      <c r="I142" s="122">
        <f>IF($D142="",0,IFERROR(IF($E142="Azalan",MAX(0,$D142*(1-MIN(2*AmortismanAzalanCarpan*$F142,1)^$H142)),MIN($D142,$D142*$F142*$H142)),0))</f>
        <v/>
      </c>
      <c r="J142" s="122">
        <f>IF($D142="",0,MAX(0,$D142-$I142))</f>
        <v/>
      </c>
      <c r="K142" s="122">
        <f>IF($H142=0,0,IFERROR(IF($E142="Azalan",$D142*(1-MIN(2*AmortismanAzalanCarpan*$F142,1))^MAX(0,$H142-1)*MIN(2*AmortismanAzalanCarpan*$F142,1),MIN($D142*$F142,$D142)),0))</f>
        <v/>
      </c>
      <c r="L142" s="122">
        <f>IF($D142="",0,$G142-$J142)</f>
        <v/>
      </c>
      <c r="M142" s="122">
        <f>IF($B142="","",CONCATENATE("Kıymet: ",$B142," | NDD: ",TEXT($J142,"#,##0")))</f>
        <v/>
      </c>
    </row>
    <row r="143" ht="15" customHeight="1" s="77">
      <c r="A143" s="123" t="n"/>
      <c r="B143" s="123" t="n"/>
      <c r="C143" s="124" t="n"/>
      <c r="D143" s="125" t="n"/>
      <c r="E143" s="123" t="n"/>
      <c r="F143" s="126" t="n"/>
      <c r="G143" s="125" t="n"/>
      <c r="H143" s="122">
        <f>IF($D143="",0,MAX(0,ROUNDDOWN((AmortismanRaporTarihi-$C143)/365,0)))</f>
        <v/>
      </c>
      <c r="I143" s="122">
        <f>IF($D143="",0,IFERROR(IF($E143="Azalan",MAX(0,$D143*(1-MIN(2*AmortismanAzalanCarpan*$F143,1)^$H143)),MIN($D143,$D143*$F143*$H143)),0))</f>
        <v/>
      </c>
      <c r="J143" s="122">
        <f>IF($D143="",0,MAX(0,$D143-$I143))</f>
        <v/>
      </c>
      <c r="K143" s="122">
        <f>IF($H143=0,0,IFERROR(IF($E143="Azalan",$D143*(1-MIN(2*AmortismanAzalanCarpan*$F143,1))^MAX(0,$H143-1)*MIN(2*AmortismanAzalanCarpan*$F143,1),MIN($D143*$F143,$D143)),0))</f>
        <v/>
      </c>
      <c r="L143" s="122">
        <f>IF($D143="",0,$G143-$J143)</f>
        <v/>
      </c>
      <c r="M143" s="122">
        <f>IF($B143="","",CONCATENATE("Kıymet: ",$B143," | NDD: ",TEXT($J143,"#,##0")))</f>
        <v/>
      </c>
    </row>
    <row r="144" ht="15" customHeight="1" s="77">
      <c r="A144" s="123" t="n"/>
      <c r="B144" s="123" t="n"/>
      <c r="C144" s="124" t="n"/>
      <c r="D144" s="125" t="n"/>
      <c r="E144" s="123" t="n"/>
      <c r="F144" s="126" t="n"/>
      <c r="G144" s="125" t="n"/>
      <c r="H144" s="122">
        <f>IF($D144="",0,MAX(0,ROUNDDOWN((AmortismanRaporTarihi-$C144)/365,0)))</f>
        <v/>
      </c>
      <c r="I144" s="122">
        <f>IF($D144="",0,IFERROR(IF($E144="Azalan",MAX(0,$D144*(1-MIN(2*AmortismanAzalanCarpan*$F144,1)^$H144)),MIN($D144,$D144*$F144*$H144)),0))</f>
        <v/>
      </c>
      <c r="J144" s="122">
        <f>IF($D144="",0,MAX(0,$D144-$I144))</f>
        <v/>
      </c>
      <c r="K144" s="122">
        <f>IF($H144=0,0,IFERROR(IF($E144="Azalan",$D144*(1-MIN(2*AmortismanAzalanCarpan*$F144,1))^MAX(0,$H144-1)*MIN(2*AmortismanAzalanCarpan*$F144,1),MIN($D144*$F144,$D144)),0))</f>
        <v/>
      </c>
      <c r="L144" s="122">
        <f>IF($D144="",0,$G144-$J144)</f>
        <v/>
      </c>
      <c r="M144" s="122">
        <f>IF($B144="","",CONCATENATE("Kıymet: ",$B144," | NDD: ",TEXT($J144,"#,##0")))</f>
        <v/>
      </c>
    </row>
    <row r="145" ht="15" customHeight="1" s="77">
      <c r="A145" s="123" t="n"/>
      <c r="B145" s="123" t="n"/>
      <c r="C145" s="124" t="n"/>
      <c r="D145" s="125" t="n"/>
      <c r="E145" s="123" t="n"/>
      <c r="F145" s="126" t="n"/>
      <c r="G145" s="125" t="n"/>
      <c r="H145" s="122">
        <f>IF($D145="",0,MAX(0,ROUNDDOWN((AmortismanRaporTarihi-$C145)/365,0)))</f>
        <v/>
      </c>
      <c r="I145" s="122">
        <f>IF($D145="",0,IFERROR(IF($E145="Azalan",MAX(0,$D145*(1-MIN(2*AmortismanAzalanCarpan*$F145,1)^$H145)),MIN($D145,$D145*$F145*$H145)),0))</f>
        <v/>
      </c>
      <c r="J145" s="122">
        <f>IF($D145="",0,MAX(0,$D145-$I145))</f>
        <v/>
      </c>
      <c r="K145" s="122">
        <f>IF($H145=0,0,IFERROR(IF($E145="Azalan",$D145*(1-MIN(2*AmortismanAzalanCarpan*$F145,1))^MAX(0,$H145-1)*MIN(2*AmortismanAzalanCarpan*$F145,1),MIN($D145*$F145,$D145)),0))</f>
        <v/>
      </c>
      <c r="L145" s="122">
        <f>IF($D145="",0,$G145-$J145)</f>
        <v/>
      </c>
      <c r="M145" s="122">
        <f>IF($B145="","",CONCATENATE("Kıymet: ",$B145," | NDD: ",TEXT($J145,"#,##0")))</f>
        <v/>
      </c>
    </row>
    <row r="146" ht="15" customHeight="1" s="77">
      <c r="A146" s="123" t="n"/>
      <c r="B146" s="123" t="n"/>
      <c r="C146" s="124" t="n"/>
      <c r="D146" s="125" t="n"/>
      <c r="E146" s="123" t="n"/>
      <c r="F146" s="126" t="n"/>
      <c r="G146" s="125" t="n"/>
      <c r="H146" s="122">
        <f>IF($D146="",0,MAX(0,ROUNDDOWN((AmortismanRaporTarihi-$C146)/365,0)))</f>
        <v/>
      </c>
      <c r="I146" s="122">
        <f>IF($D146="",0,IFERROR(IF($E146="Azalan",MAX(0,$D146*(1-MIN(2*AmortismanAzalanCarpan*$F146,1)^$H146)),MIN($D146,$D146*$F146*$H146)),0))</f>
        <v/>
      </c>
      <c r="J146" s="122">
        <f>IF($D146="",0,MAX(0,$D146-$I146))</f>
        <v/>
      </c>
      <c r="K146" s="122">
        <f>IF($H146=0,0,IFERROR(IF($E146="Azalan",$D146*(1-MIN(2*AmortismanAzalanCarpan*$F146,1))^MAX(0,$H146-1)*MIN(2*AmortismanAzalanCarpan*$F146,1),MIN($D146*$F146,$D146)),0))</f>
        <v/>
      </c>
      <c r="L146" s="122">
        <f>IF($D146="",0,$G146-$J146)</f>
        <v/>
      </c>
      <c r="M146" s="122">
        <f>IF($B146="","",CONCATENATE("Kıymet: ",$B146," | NDD: ",TEXT($J146,"#,##0")))</f>
        <v/>
      </c>
    </row>
    <row r="147" ht="15" customHeight="1" s="77">
      <c r="A147" s="123" t="n"/>
      <c r="B147" s="123" t="n"/>
      <c r="C147" s="124" t="n"/>
      <c r="D147" s="125" t="n"/>
      <c r="E147" s="123" t="n"/>
      <c r="F147" s="126" t="n"/>
      <c r="G147" s="125" t="n"/>
      <c r="H147" s="122">
        <f>IF($D147="",0,MAX(0,ROUNDDOWN((AmortismanRaporTarihi-$C147)/365,0)))</f>
        <v/>
      </c>
      <c r="I147" s="122">
        <f>IF($D147="",0,IFERROR(IF($E147="Azalan",MAX(0,$D147*(1-MIN(2*AmortismanAzalanCarpan*$F147,1)^$H147)),MIN($D147,$D147*$F147*$H147)),0))</f>
        <v/>
      </c>
      <c r="J147" s="122">
        <f>IF($D147="",0,MAX(0,$D147-$I147))</f>
        <v/>
      </c>
      <c r="K147" s="122">
        <f>IF($H147=0,0,IFERROR(IF($E147="Azalan",$D147*(1-MIN(2*AmortismanAzalanCarpan*$F147,1))^MAX(0,$H147-1)*MIN(2*AmortismanAzalanCarpan*$F147,1),MIN($D147*$F147,$D147)),0))</f>
        <v/>
      </c>
      <c r="L147" s="122">
        <f>IF($D147="",0,$G147-$J147)</f>
        <v/>
      </c>
      <c r="M147" s="122">
        <f>IF($B147="","",CONCATENATE("Kıymet: ",$B147," | NDD: ",TEXT($J147,"#,##0")))</f>
        <v/>
      </c>
    </row>
    <row r="148" ht="15" customHeight="1" s="77">
      <c r="A148" s="123" t="n"/>
      <c r="B148" s="123" t="n"/>
      <c r="C148" s="124" t="n"/>
      <c r="D148" s="125" t="n"/>
      <c r="E148" s="123" t="n"/>
      <c r="F148" s="126" t="n"/>
      <c r="G148" s="125" t="n"/>
      <c r="H148" s="122">
        <f>IF($D148="",0,MAX(0,ROUNDDOWN((AmortismanRaporTarihi-$C148)/365,0)))</f>
        <v/>
      </c>
      <c r="I148" s="122">
        <f>IF($D148="",0,IFERROR(IF($E148="Azalan",MAX(0,$D148*(1-MIN(2*AmortismanAzalanCarpan*$F148,1)^$H148)),MIN($D148,$D148*$F148*$H148)),0))</f>
        <v/>
      </c>
      <c r="J148" s="122">
        <f>IF($D148="",0,MAX(0,$D148-$I148))</f>
        <v/>
      </c>
      <c r="K148" s="122">
        <f>IF($H148=0,0,IFERROR(IF($E148="Azalan",$D148*(1-MIN(2*AmortismanAzalanCarpan*$F148,1))^MAX(0,$H148-1)*MIN(2*AmortismanAzalanCarpan*$F148,1),MIN($D148*$F148,$D148)),0))</f>
        <v/>
      </c>
      <c r="L148" s="122">
        <f>IF($D148="",0,$G148-$J148)</f>
        <v/>
      </c>
      <c r="M148" s="122">
        <f>IF($B148="","",CONCATENATE("Kıymet: ",$B148," | NDD: ",TEXT($J148,"#,##0")))</f>
        <v/>
      </c>
    </row>
    <row r="149" ht="15" customHeight="1" s="77">
      <c r="A149" s="123" t="n"/>
      <c r="B149" s="123" t="n"/>
      <c r="C149" s="124" t="n"/>
      <c r="D149" s="125" t="n"/>
      <c r="E149" s="123" t="n"/>
      <c r="F149" s="126" t="n"/>
      <c r="G149" s="125" t="n"/>
      <c r="H149" s="122">
        <f>IF($D149="",0,MAX(0,ROUNDDOWN((AmortismanRaporTarihi-$C149)/365,0)))</f>
        <v/>
      </c>
      <c r="I149" s="122">
        <f>IF($D149="",0,IFERROR(IF($E149="Azalan",MAX(0,$D149*(1-MIN(2*AmortismanAzalanCarpan*$F149,1)^$H149)),MIN($D149,$D149*$F149*$H149)),0))</f>
        <v/>
      </c>
      <c r="J149" s="122">
        <f>IF($D149="",0,MAX(0,$D149-$I149))</f>
        <v/>
      </c>
      <c r="K149" s="122">
        <f>IF($H149=0,0,IFERROR(IF($E149="Azalan",$D149*(1-MIN(2*AmortismanAzalanCarpan*$F149,1))^MAX(0,$H149-1)*MIN(2*AmortismanAzalanCarpan*$F149,1),MIN($D149*$F149,$D149)),0))</f>
        <v/>
      </c>
      <c r="L149" s="122">
        <f>IF($D149="",0,$G149-$J149)</f>
        <v/>
      </c>
      <c r="M149" s="122">
        <f>IF($B149="","",CONCATENATE("Kıymet: ",$B149," | NDD: ",TEXT($J149,"#,##0")))</f>
        <v/>
      </c>
    </row>
    <row r="150" ht="15" customHeight="1" s="77">
      <c r="A150" s="123" t="n"/>
      <c r="B150" s="123" t="n"/>
      <c r="C150" s="124" t="n"/>
      <c r="D150" s="125" t="n"/>
      <c r="E150" s="123" t="n"/>
      <c r="F150" s="126" t="n"/>
      <c r="G150" s="125" t="n"/>
      <c r="H150" s="122">
        <f>IF($D150="",0,MAX(0,ROUNDDOWN((AmortismanRaporTarihi-$C150)/365,0)))</f>
        <v/>
      </c>
      <c r="I150" s="122">
        <f>IF($D150="",0,IFERROR(IF($E150="Azalan",MAX(0,$D150*(1-MIN(2*AmortismanAzalanCarpan*$F150,1)^$H150)),MIN($D150,$D150*$F150*$H150)),0))</f>
        <v/>
      </c>
      <c r="J150" s="122">
        <f>IF($D150="",0,MAX(0,$D150-$I150))</f>
        <v/>
      </c>
      <c r="K150" s="122">
        <f>IF($H150=0,0,IFERROR(IF($E150="Azalan",$D150*(1-MIN(2*AmortismanAzalanCarpan*$F150,1))^MAX(0,$H150-1)*MIN(2*AmortismanAzalanCarpan*$F150,1),MIN($D150*$F150,$D150)),0))</f>
        <v/>
      </c>
      <c r="L150" s="122">
        <f>IF($D150="",0,$G150-$J150)</f>
        <v/>
      </c>
      <c r="M150" s="122">
        <f>IF($B150="","",CONCATENATE("Kıymet: ",$B150," | NDD: ",TEXT($J150,"#,##0")))</f>
        <v/>
      </c>
    </row>
    <row r="151" ht="15" customHeight="1" s="77">
      <c r="A151" s="123" t="n"/>
      <c r="B151" s="123" t="n"/>
      <c r="C151" s="124" t="n"/>
      <c r="D151" s="125" t="n"/>
      <c r="E151" s="123" t="n"/>
      <c r="F151" s="126" t="n"/>
      <c r="G151" s="125" t="n"/>
      <c r="H151" s="122">
        <f>IF($D151="",0,MAX(0,ROUNDDOWN((AmortismanRaporTarihi-$C151)/365,0)))</f>
        <v/>
      </c>
      <c r="I151" s="122">
        <f>IF($D151="",0,IFERROR(IF($E151="Azalan",MAX(0,$D151*(1-MIN(2*AmortismanAzalanCarpan*$F151,1)^$H151)),MIN($D151,$D151*$F151*$H151)),0))</f>
        <v/>
      </c>
      <c r="J151" s="122">
        <f>IF($D151="",0,MAX(0,$D151-$I151))</f>
        <v/>
      </c>
      <c r="K151" s="122">
        <f>IF($H151=0,0,IFERROR(IF($E151="Azalan",$D151*(1-MIN(2*AmortismanAzalanCarpan*$F151,1))^MAX(0,$H151-1)*MIN(2*AmortismanAzalanCarpan*$F151,1),MIN($D151*$F151,$D151)),0))</f>
        <v/>
      </c>
      <c r="L151" s="122">
        <f>IF($D151="",0,$G151-$J151)</f>
        <v/>
      </c>
      <c r="M151" s="122">
        <f>IF($B151="","",CONCATENATE("Kıymet: ",$B151," | NDD: ",TEXT($J151,"#,##0")))</f>
        <v/>
      </c>
    </row>
    <row r="152" ht="15" customHeight="1" s="77">
      <c r="A152" s="123" t="n"/>
      <c r="B152" s="123" t="n"/>
      <c r="C152" s="124" t="n"/>
      <c r="D152" s="125" t="n"/>
      <c r="E152" s="123" t="n"/>
      <c r="F152" s="126" t="n"/>
      <c r="G152" s="125" t="n"/>
      <c r="H152" s="122">
        <f>IF($D152="",0,MAX(0,ROUNDDOWN((AmortismanRaporTarihi-$C152)/365,0)))</f>
        <v/>
      </c>
      <c r="I152" s="122">
        <f>IF($D152="",0,IFERROR(IF($E152="Azalan",MAX(0,$D152*(1-MIN(2*AmortismanAzalanCarpan*$F152,1)^$H152)),MIN($D152,$D152*$F152*$H152)),0))</f>
        <v/>
      </c>
      <c r="J152" s="122">
        <f>IF($D152="",0,MAX(0,$D152-$I152))</f>
        <v/>
      </c>
      <c r="K152" s="122">
        <f>IF($H152=0,0,IFERROR(IF($E152="Azalan",$D152*(1-MIN(2*AmortismanAzalanCarpan*$F152,1))^MAX(0,$H152-1)*MIN(2*AmortismanAzalanCarpan*$F152,1),MIN($D152*$F152,$D152)),0))</f>
        <v/>
      </c>
      <c r="L152" s="122">
        <f>IF($D152="",0,$G152-$J152)</f>
        <v/>
      </c>
      <c r="M152" s="122">
        <f>IF($B152="","",CONCATENATE("Kıymet: ",$B152," | NDD: ",TEXT($J152,"#,##0")))</f>
        <v/>
      </c>
    </row>
    <row r="153" ht="15" customHeight="1" s="77">
      <c r="A153" s="123" t="n"/>
      <c r="B153" s="123" t="n"/>
      <c r="C153" s="124" t="n"/>
      <c r="D153" s="125" t="n"/>
      <c r="E153" s="123" t="n"/>
      <c r="F153" s="126" t="n"/>
      <c r="G153" s="125" t="n"/>
      <c r="H153" s="122">
        <f>IF($D153="",0,MAX(0,ROUNDDOWN((AmortismanRaporTarihi-$C153)/365,0)))</f>
        <v/>
      </c>
      <c r="I153" s="122">
        <f>IF($D153="",0,IFERROR(IF($E153="Azalan",MAX(0,$D153*(1-MIN(2*AmortismanAzalanCarpan*$F153,1)^$H153)),MIN($D153,$D153*$F153*$H153)),0))</f>
        <v/>
      </c>
      <c r="J153" s="122">
        <f>IF($D153="",0,MAX(0,$D153-$I153))</f>
        <v/>
      </c>
      <c r="K153" s="122">
        <f>IF($H153=0,0,IFERROR(IF($E153="Azalan",$D153*(1-MIN(2*AmortismanAzalanCarpan*$F153,1))^MAX(0,$H153-1)*MIN(2*AmortismanAzalanCarpan*$F153,1),MIN($D153*$F153,$D153)),0))</f>
        <v/>
      </c>
      <c r="L153" s="122">
        <f>IF($D153="",0,$G153-$J153)</f>
        <v/>
      </c>
      <c r="M153" s="122">
        <f>IF($B153="","",CONCATENATE("Kıymet: ",$B153," | NDD: ",TEXT($J153,"#,##0")))</f>
        <v/>
      </c>
    </row>
    <row r="154" ht="15" customHeight="1" s="77">
      <c r="A154" s="123" t="n"/>
      <c r="B154" s="123" t="n"/>
      <c r="C154" s="124" t="n"/>
      <c r="D154" s="125" t="n"/>
      <c r="E154" s="123" t="n"/>
      <c r="F154" s="126" t="n"/>
      <c r="G154" s="125" t="n"/>
      <c r="H154" s="122">
        <f>IF($D154="",0,MAX(0,ROUNDDOWN((AmortismanRaporTarihi-$C154)/365,0)))</f>
        <v/>
      </c>
      <c r="I154" s="122">
        <f>IF($D154="",0,IFERROR(IF($E154="Azalan",MAX(0,$D154*(1-MIN(2*AmortismanAzalanCarpan*$F154,1)^$H154)),MIN($D154,$D154*$F154*$H154)),0))</f>
        <v/>
      </c>
      <c r="J154" s="122">
        <f>IF($D154="",0,MAX(0,$D154-$I154))</f>
        <v/>
      </c>
      <c r="K154" s="122">
        <f>IF($H154=0,0,IFERROR(IF($E154="Azalan",$D154*(1-MIN(2*AmortismanAzalanCarpan*$F154,1))^MAX(0,$H154-1)*MIN(2*AmortismanAzalanCarpan*$F154,1),MIN($D154*$F154,$D154)),0))</f>
        <v/>
      </c>
      <c r="L154" s="122">
        <f>IF($D154="",0,$G154-$J154)</f>
        <v/>
      </c>
      <c r="M154" s="122">
        <f>IF($B154="","",CONCATENATE("Kıymet: ",$B154," | NDD: ",TEXT($J154,"#,##0")))</f>
        <v/>
      </c>
    </row>
    <row r="155" ht="15" customHeight="1" s="77">
      <c r="A155" s="123" t="n"/>
      <c r="B155" s="123" t="n"/>
      <c r="C155" s="124" t="n"/>
      <c r="D155" s="125" t="n"/>
      <c r="E155" s="123" t="n"/>
      <c r="F155" s="126" t="n"/>
      <c r="G155" s="125" t="n"/>
      <c r="H155" s="122">
        <f>IF($D155="",0,MAX(0,ROUNDDOWN((AmortismanRaporTarihi-$C155)/365,0)))</f>
        <v/>
      </c>
      <c r="I155" s="122">
        <f>IF($D155="",0,IFERROR(IF($E155="Azalan",MAX(0,$D155*(1-MIN(2*AmortismanAzalanCarpan*$F155,1)^$H155)),MIN($D155,$D155*$F155*$H155)),0))</f>
        <v/>
      </c>
      <c r="J155" s="122">
        <f>IF($D155="",0,MAX(0,$D155-$I155))</f>
        <v/>
      </c>
      <c r="K155" s="122">
        <f>IF($H155=0,0,IFERROR(IF($E155="Azalan",$D155*(1-MIN(2*AmortismanAzalanCarpan*$F155,1))^MAX(0,$H155-1)*MIN(2*AmortismanAzalanCarpan*$F155,1),MIN($D155*$F155,$D155)),0))</f>
        <v/>
      </c>
      <c r="L155" s="122">
        <f>IF($D155="",0,$G155-$J155)</f>
        <v/>
      </c>
      <c r="M155" s="122">
        <f>IF($B155="","",CONCATENATE("Kıymet: ",$B155," | NDD: ",TEXT($J155,"#,##0")))</f>
        <v/>
      </c>
    </row>
    <row r="156" ht="15" customHeight="1" s="77">
      <c r="A156" s="123" t="n"/>
      <c r="B156" s="123" t="n"/>
      <c r="C156" s="124" t="n"/>
      <c r="D156" s="125" t="n"/>
      <c r="E156" s="123" t="n"/>
      <c r="F156" s="126" t="n"/>
      <c r="G156" s="125" t="n"/>
      <c r="H156" s="122">
        <f>IF($D156="",0,MAX(0,ROUNDDOWN((AmortismanRaporTarihi-$C156)/365,0)))</f>
        <v/>
      </c>
      <c r="I156" s="122">
        <f>IF($D156="",0,IFERROR(IF($E156="Azalan",MAX(0,$D156*(1-MIN(2*AmortismanAzalanCarpan*$F156,1)^$H156)),MIN($D156,$D156*$F156*$H156)),0))</f>
        <v/>
      </c>
      <c r="J156" s="122">
        <f>IF($D156="",0,MAX(0,$D156-$I156))</f>
        <v/>
      </c>
      <c r="K156" s="122">
        <f>IF($H156=0,0,IFERROR(IF($E156="Azalan",$D156*(1-MIN(2*AmortismanAzalanCarpan*$F156,1))^MAX(0,$H156-1)*MIN(2*AmortismanAzalanCarpan*$F156,1),MIN($D156*$F156,$D156)),0))</f>
        <v/>
      </c>
      <c r="L156" s="122">
        <f>IF($D156="",0,$G156-$J156)</f>
        <v/>
      </c>
      <c r="M156" s="122">
        <f>IF($B156="","",CONCATENATE("Kıymet: ",$B156," | NDD: ",TEXT($J156,"#,##0")))</f>
        <v/>
      </c>
    </row>
    <row r="157" ht="15" customHeight="1" s="77">
      <c r="A157" s="123" t="n"/>
      <c r="B157" s="123" t="n"/>
      <c r="C157" s="124" t="n"/>
      <c r="D157" s="125" t="n"/>
      <c r="E157" s="123" t="n"/>
      <c r="F157" s="126" t="n"/>
      <c r="G157" s="125" t="n"/>
      <c r="H157" s="122">
        <f>IF($D157="",0,MAX(0,ROUNDDOWN((AmortismanRaporTarihi-$C157)/365,0)))</f>
        <v/>
      </c>
      <c r="I157" s="122">
        <f>IF($D157="",0,IFERROR(IF($E157="Azalan",MAX(0,$D157*(1-MIN(2*AmortismanAzalanCarpan*$F157,1)^$H157)),MIN($D157,$D157*$F157*$H157)),0))</f>
        <v/>
      </c>
      <c r="J157" s="122">
        <f>IF($D157="",0,MAX(0,$D157-$I157))</f>
        <v/>
      </c>
      <c r="K157" s="122">
        <f>IF($H157=0,0,IFERROR(IF($E157="Azalan",$D157*(1-MIN(2*AmortismanAzalanCarpan*$F157,1))^MAX(0,$H157-1)*MIN(2*AmortismanAzalanCarpan*$F157,1),MIN($D157*$F157,$D157)),0))</f>
        <v/>
      </c>
      <c r="L157" s="122">
        <f>IF($D157="",0,$G157-$J157)</f>
        <v/>
      </c>
      <c r="M157" s="122">
        <f>IF($B157="","",CONCATENATE("Kıymet: ",$B157," | NDD: ",TEXT($J157,"#,##0")))</f>
        <v/>
      </c>
    </row>
    <row r="158" ht="15" customHeight="1" s="77">
      <c r="A158" s="123" t="n"/>
      <c r="B158" s="123" t="n"/>
      <c r="C158" s="124" t="n"/>
      <c r="D158" s="125" t="n"/>
      <c r="E158" s="123" t="n"/>
      <c r="F158" s="126" t="n"/>
      <c r="G158" s="125" t="n"/>
      <c r="H158" s="122">
        <f>IF($D158="",0,MAX(0,ROUNDDOWN((AmortismanRaporTarihi-$C158)/365,0)))</f>
        <v/>
      </c>
      <c r="I158" s="122">
        <f>IF($D158="",0,IFERROR(IF($E158="Azalan",MAX(0,$D158*(1-MIN(2*AmortismanAzalanCarpan*$F158,1)^$H158)),MIN($D158,$D158*$F158*$H158)),0))</f>
        <v/>
      </c>
      <c r="J158" s="122">
        <f>IF($D158="",0,MAX(0,$D158-$I158))</f>
        <v/>
      </c>
      <c r="K158" s="122">
        <f>IF($H158=0,0,IFERROR(IF($E158="Azalan",$D158*(1-MIN(2*AmortismanAzalanCarpan*$F158,1))^MAX(0,$H158-1)*MIN(2*AmortismanAzalanCarpan*$F158,1),MIN($D158*$F158,$D158)),0))</f>
        <v/>
      </c>
      <c r="L158" s="122">
        <f>IF($D158="",0,$G158-$J158)</f>
        <v/>
      </c>
      <c r="M158" s="122">
        <f>IF($B158="","",CONCATENATE("Kıymet: ",$B158," | NDD: ",TEXT($J158,"#,##0")))</f>
        <v/>
      </c>
    </row>
    <row r="159" ht="15" customHeight="1" s="77">
      <c r="A159" s="123" t="n"/>
      <c r="B159" s="123" t="n"/>
      <c r="C159" s="124" t="n"/>
      <c r="D159" s="125" t="n"/>
      <c r="E159" s="123" t="n"/>
      <c r="F159" s="126" t="n"/>
      <c r="G159" s="125" t="n"/>
      <c r="H159" s="122">
        <f>IF($D159="",0,MAX(0,ROUNDDOWN((AmortismanRaporTarihi-$C159)/365,0)))</f>
        <v/>
      </c>
      <c r="I159" s="122">
        <f>IF($D159="",0,IFERROR(IF($E159="Azalan",MAX(0,$D159*(1-MIN(2*AmortismanAzalanCarpan*$F159,1)^$H159)),MIN($D159,$D159*$F159*$H159)),0))</f>
        <v/>
      </c>
      <c r="J159" s="122">
        <f>IF($D159="",0,MAX(0,$D159-$I159))</f>
        <v/>
      </c>
      <c r="K159" s="122">
        <f>IF($H159=0,0,IFERROR(IF($E159="Azalan",$D159*(1-MIN(2*AmortismanAzalanCarpan*$F159,1))^MAX(0,$H159-1)*MIN(2*AmortismanAzalanCarpan*$F159,1),MIN($D159*$F159,$D159)),0))</f>
        <v/>
      </c>
      <c r="L159" s="122">
        <f>IF($D159="",0,$G159-$J159)</f>
        <v/>
      </c>
      <c r="M159" s="122">
        <f>IF($B159="","",CONCATENATE("Kıymet: ",$B159," | NDD: ",TEXT($J159,"#,##0")))</f>
        <v/>
      </c>
    </row>
    <row r="160" ht="15" customHeight="1" s="77">
      <c r="A160" s="123" t="n"/>
      <c r="B160" s="123" t="n"/>
      <c r="C160" s="124" t="n"/>
      <c r="D160" s="125" t="n"/>
      <c r="E160" s="123" t="n"/>
      <c r="F160" s="126" t="n"/>
      <c r="G160" s="125" t="n"/>
      <c r="H160" s="122">
        <f>IF($D160="",0,MAX(0,ROUNDDOWN((AmortismanRaporTarihi-$C160)/365,0)))</f>
        <v/>
      </c>
      <c r="I160" s="122">
        <f>IF($D160="",0,IFERROR(IF($E160="Azalan",MAX(0,$D160*(1-MIN(2*AmortismanAzalanCarpan*$F160,1)^$H160)),MIN($D160,$D160*$F160*$H160)),0))</f>
        <v/>
      </c>
      <c r="J160" s="122">
        <f>IF($D160="",0,MAX(0,$D160-$I160))</f>
        <v/>
      </c>
      <c r="K160" s="122">
        <f>IF($H160=0,0,IFERROR(IF($E160="Azalan",$D160*(1-MIN(2*AmortismanAzalanCarpan*$F160,1))^MAX(0,$H160-1)*MIN(2*AmortismanAzalanCarpan*$F160,1),MIN($D160*$F160,$D160)),0))</f>
        <v/>
      </c>
      <c r="L160" s="122">
        <f>IF($D160="",0,$G160-$J160)</f>
        <v/>
      </c>
      <c r="M160" s="122">
        <f>IF($B160="","",CONCATENATE("Kıymet: ",$B160," | NDD: ",TEXT($J160,"#,##0")))</f>
        <v/>
      </c>
    </row>
    <row r="161" ht="15" customHeight="1" s="77">
      <c r="A161" s="123" t="n"/>
      <c r="B161" s="123" t="n"/>
      <c r="C161" s="124" t="n"/>
      <c r="D161" s="125" t="n"/>
      <c r="E161" s="123" t="n"/>
      <c r="F161" s="126" t="n"/>
      <c r="G161" s="125" t="n"/>
      <c r="H161" s="122">
        <f>IF($D161="",0,MAX(0,ROUNDDOWN((AmortismanRaporTarihi-$C161)/365,0)))</f>
        <v/>
      </c>
      <c r="I161" s="122">
        <f>IF($D161="",0,IFERROR(IF($E161="Azalan",MAX(0,$D161*(1-MIN(2*AmortismanAzalanCarpan*$F161,1)^$H161)),MIN($D161,$D161*$F161*$H161)),0))</f>
        <v/>
      </c>
      <c r="J161" s="122">
        <f>IF($D161="",0,MAX(0,$D161-$I161))</f>
        <v/>
      </c>
      <c r="K161" s="122">
        <f>IF($H161=0,0,IFERROR(IF($E161="Azalan",$D161*(1-MIN(2*AmortismanAzalanCarpan*$F161,1))^MAX(0,$H161-1)*MIN(2*AmortismanAzalanCarpan*$F161,1),MIN($D161*$F161,$D161)),0))</f>
        <v/>
      </c>
      <c r="L161" s="122">
        <f>IF($D161="",0,$G161-$J161)</f>
        <v/>
      </c>
      <c r="M161" s="122">
        <f>IF($B161="","",CONCATENATE("Kıymet: ",$B161," | NDD: ",TEXT($J161,"#,##0")))</f>
        <v/>
      </c>
    </row>
    <row r="162" ht="15" customHeight="1" s="77">
      <c r="A162" s="123" t="n"/>
      <c r="B162" s="123" t="n"/>
      <c r="C162" s="124" t="n"/>
      <c r="D162" s="125" t="n"/>
      <c r="E162" s="123" t="n"/>
      <c r="F162" s="126" t="n"/>
      <c r="G162" s="125" t="n"/>
      <c r="H162" s="122">
        <f>IF($D162="",0,MAX(0,ROUNDDOWN((AmortismanRaporTarihi-$C162)/365,0)))</f>
        <v/>
      </c>
      <c r="I162" s="122">
        <f>IF($D162="",0,IFERROR(IF($E162="Azalan",MAX(0,$D162*(1-MIN(2*AmortismanAzalanCarpan*$F162,1)^$H162)),MIN($D162,$D162*$F162*$H162)),0))</f>
        <v/>
      </c>
      <c r="J162" s="122">
        <f>IF($D162="",0,MAX(0,$D162-$I162))</f>
        <v/>
      </c>
      <c r="K162" s="122">
        <f>IF($H162=0,0,IFERROR(IF($E162="Azalan",$D162*(1-MIN(2*AmortismanAzalanCarpan*$F162,1))^MAX(0,$H162-1)*MIN(2*AmortismanAzalanCarpan*$F162,1),MIN($D162*$F162,$D162)),0))</f>
        <v/>
      </c>
      <c r="L162" s="122">
        <f>IF($D162="",0,$G162-$J162)</f>
        <v/>
      </c>
      <c r="M162" s="122">
        <f>IF($B162="","",CONCATENATE("Kıymet: ",$B162," | NDD: ",TEXT($J162,"#,##0")))</f>
        <v/>
      </c>
    </row>
    <row r="163" ht="15" customHeight="1" s="77">
      <c r="A163" s="123" t="n"/>
      <c r="B163" s="123" t="n"/>
      <c r="C163" s="124" t="n"/>
      <c r="D163" s="125" t="n"/>
      <c r="E163" s="123" t="n"/>
      <c r="F163" s="126" t="n"/>
      <c r="G163" s="125" t="n"/>
      <c r="H163" s="122">
        <f>IF($D163="",0,MAX(0,ROUNDDOWN((AmortismanRaporTarihi-$C163)/365,0)))</f>
        <v/>
      </c>
      <c r="I163" s="122">
        <f>IF($D163="",0,IFERROR(IF($E163="Azalan",MAX(0,$D163*(1-MIN(2*AmortismanAzalanCarpan*$F163,1)^$H163)),MIN($D163,$D163*$F163*$H163)),0))</f>
        <v/>
      </c>
      <c r="J163" s="122">
        <f>IF($D163="",0,MAX(0,$D163-$I163))</f>
        <v/>
      </c>
      <c r="K163" s="122">
        <f>IF($H163=0,0,IFERROR(IF($E163="Azalan",$D163*(1-MIN(2*AmortismanAzalanCarpan*$F163,1))^MAX(0,$H163-1)*MIN(2*AmortismanAzalanCarpan*$F163,1),MIN($D163*$F163,$D163)),0))</f>
        <v/>
      </c>
      <c r="L163" s="122">
        <f>IF($D163="",0,$G163-$J163)</f>
        <v/>
      </c>
      <c r="M163" s="122">
        <f>IF($B163="","",CONCATENATE("Kıymet: ",$B163," | NDD: ",TEXT($J163,"#,##0")))</f>
        <v/>
      </c>
    </row>
    <row r="164" ht="15" customHeight="1" s="77">
      <c r="A164" s="123" t="n"/>
      <c r="B164" s="123" t="n"/>
      <c r="C164" s="124" t="n"/>
      <c r="D164" s="125" t="n"/>
      <c r="E164" s="123" t="n"/>
      <c r="F164" s="126" t="n"/>
      <c r="G164" s="125" t="n"/>
      <c r="H164" s="122">
        <f>IF($D164="",0,MAX(0,ROUNDDOWN((AmortismanRaporTarihi-$C164)/365,0)))</f>
        <v/>
      </c>
      <c r="I164" s="122">
        <f>IF($D164="",0,IFERROR(IF($E164="Azalan",MAX(0,$D164*(1-MIN(2*AmortismanAzalanCarpan*$F164,1)^$H164)),MIN($D164,$D164*$F164*$H164)),0))</f>
        <v/>
      </c>
      <c r="J164" s="122">
        <f>IF($D164="",0,MAX(0,$D164-$I164))</f>
        <v/>
      </c>
      <c r="K164" s="122">
        <f>IF($H164=0,0,IFERROR(IF($E164="Azalan",$D164*(1-MIN(2*AmortismanAzalanCarpan*$F164,1))^MAX(0,$H164-1)*MIN(2*AmortismanAzalanCarpan*$F164,1),MIN($D164*$F164,$D164)),0))</f>
        <v/>
      </c>
      <c r="L164" s="122">
        <f>IF($D164="",0,$G164-$J164)</f>
        <v/>
      </c>
      <c r="M164" s="122">
        <f>IF($B164="","",CONCATENATE("Kıymet: ",$B164," | NDD: ",TEXT($J164,"#,##0")))</f>
        <v/>
      </c>
    </row>
    <row r="165" ht="15" customHeight="1" s="77">
      <c r="A165" s="123" t="n"/>
      <c r="B165" s="123" t="n"/>
      <c r="C165" s="124" t="n"/>
      <c r="D165" s="125" t="n"/>
      <c r="E165" s="123" t="n"/>
      <c r="F165" s="126" t="n"/>
      <c r="G165" s="125" t="n"/>
      <c r="H165" s="122">
        <f>IF($D165="",0,MAX(0,ROUNDDOWN((AmortismanRaporTarihi-$C165)/365,0)))</f>
        <v/>
      </c>
      <c r="I165" s="122">
        <f>IF($D165="",0,IFERROR(IF($E165="Azalan",MAX(0,$D165*(1-MIN(2*AmortismanAzalanCarpan*$F165,1)^$H165)),MIN($D165,$D165*$F165*$H165)),0))</f>
        <v/>
      </c>
      <c r="J165" s="122">
        <f>IF($D165="",0,MAX(0,$D165-$I165))</f>
        <v/>
      </c>
      <c r="K165" s="122">
        <f>IF($H165=0,0,IFERROR(IF($E165="Azalan",$D165*(1-MIN(2*AmortismanAzalanCarpan*$F165,1))^MAX(0,$H165-1)*MIN(2*AmortismanAzalanCarpan*$F165,1),MIN($D165*$F165,$D165)),0))</f>
        <v/>
      </c>
      <c r="L165" s="122">
        <f>IF($D165="",0,$G165-$J165)</f>
        <v/>
      </c>
      <c r="M165" s="122">
        <f>IF($B165="","",CONCATENATE("Kıymet: ",$B165," | NDD: ",TEXT($J165,"#,##0")))</f>
        <v/>
      </c>
    </row>
    <row r="166" ht="15" customHeight="1" s="77">
      <c r="A166" s="123" t="n"/>
      <c r="B166" s="123" t="n"/>
      <c r="C166" s="124" t="n"/>
      <c r="D166" s="125" t="n"/>
      <c r="E166" s="123" t="n"/>
      <c r="F166" s="126" t="n"/>
      <c r="G166" s="125" t="n"/>
      <c r="H166" s="122">
        <f>IF($D166="",0,MAX(0,ROUNDDOWN((AmortismanRaporTarihi-$C166)/365,0)))</f>
        <v/>
      </c>
      <c r="I166" s="122">
        <f>IF($D166="",0,IFERROR(IF($E166="Azalan",MAX(0,$D166*(1-MIN(2*AmortismanAzalanCarpan*$F166,1)^$H166)),MIN($D166,$D166*$F166*$H166)),0))</f>
        <v/>
      </c>
      <c r="J166" s="122">
        <f>IF($D166="",0,MAX(0,$D166-$I166))</f>
        <v/>
      </c>
      <c r="K166" s="122">
        <f>IF($H166=0,0,IFERROR(IF($E166="Azalan",$D166*(1-MIN(2*AmortismanAzalanCarpan*$F166,1))^MAX(0,$H166-1)*MIN(2*AmortismanAzalanCarpan*$F166,1),MIN($D166*$F166,$D166)),0))</f>
        <v/>
      </c>
      <c r="L166" s="122">
        <f>IF($D166="",0,$G166-$J166)</f>
        <v/>
      </c>
      <c r="M166" s="122">
        <f>IF($B166="","",CONCATENATE("Kıymet: ",$B166," | NDD: ",TEXT($J166,"#,##0")))</f>
        <v/>
      </c>
    </row>
    <row r="167" ht="15" customHeight="1" s="77">
      <c r="A167" s="123" t="n"/>
      <c r="B167" s="123" t="n"/>
      <c r="C167" s="124" t="n"/>
      <c r="D167" s="125" t="n"/>
      <c r="E167" s="123" t="n"/>
      <c r="F167" s="126" t="n"/>
      <c r="G167" s="125" t="n"/>
      <c r="H167" s="122">
        <f>IF($D167="",0,MAX(0,ROUNDDOWN((AmortismanRaporTarihi-$C167)/365,0)))</f>
        <v/>
      </c>
      <c r="I167" s="122">
        <f>IF($D167="",0,IFERROR(IF($E167="Azalan",MAX(0,$D167*(1-MIN(2*AmortismanAzalanCarpan*$F167,1)^$H167)),MIN($D167,$D167*$F167*$H167)),0))</f>
        <v/>
      </c>
      <c r="J167" s="122">
        <f>IF($D167="",0,MAX(0,$D167-$I167))</f>
        <v/>
      </c>
      <c r="K167" s="122">
        <f>IF($H167=0,0,IFERROR(IF($E167="Azalan",$D167*(1-MIN(2*AmortismanAzalanCarpan*$F167,1))^MAX(0,$H167-1)*MIN(2*AmortismanAzalanCarpan*$F167,1),MIN($D167*$F167,$D167)),0))</f>
        <v/>
      </c>
      <c r="L167" s="122">
        <f>IF($D167="",0,$G167-$J167)</f>
        <v/>
      </c>
      <c r="M167" s="122">
        <f>IF($B167="","",CONCATENATE("Kıymet: ",$B167," | NDD: ",TEXT($J167,"#,##0")))</f>
        <v/>
      </c>
    </row>
    <row r="168" ht="15" customHeight="1" s="77">
      <c r="A168" s="123" t="n"/>
      <c r="B168" s="123" t="n"/>
      <c r="C168" s="124" t="n"/>
      <c r="D168" s="125" t="n"/>
      <c r="E168" s="123" t="n"/>
      <c r="F168" s="126" t="n"/>
      <c r="G168" s="125" t="n"/>
      <c r="H168" s="122">
        <f>IF($D168="",0,MAX(0,ROUNDDOWN((AmortismanRaporTarihi-$C168)/365,0)))</f>
        <v/>
      </c>
      <c r="I168" s="122">
        <f>IF($D168="",0,IFERROR(IF($E168="Azalan",MAX(0,$D168*(1-MIN(2*AmortismanAzalanCarpan*$F168,1)^$H168)),MIN($D168,$D168*$F168*$H168)),0))</f>
        <v/>
      </c>
      <c r="J168" s="122">
        <f>IF($D168="",0,MAX(0,$D168-$I168))</f>
        <v/>
      </c>
      <c r="K168" s="122">
        <f>IF($H168=0,0,IFERROR(IF($E168="Azalan",$D168*(1-MIN(2*AmortismanAzalanCarpan*$F168,1))^MAX(0,$H168-1)*MIN(2*AmortismanAzalanCarpan*$F168,1),MIN($D168*$F168,$D168)),0))</f>
        <v/>
      </c>
      <c r="L168" s="122">
        <f>IF($D168="",0,$G168-$J168)</f>
        <v/>
      </c>
      <c r="M168" s="122">
        <f>IF($B168="","",CONCATENATE("Kıymet: ",$B168," | NDD: ",TEXT($J168,"#,##0")))</f>
        <v/>
      </c>
    </row>
    <row r="169" ht="15" customHeight="1" s="77">
      <c r="A169" s="123" t="n"/>
      <c r="B169" s="123" t="n"/>
      <c r="C169" s="124" t="n"/>
      <c r="D169" s="125" t="n"/>
      <c r="E169" s="123" t="n"/>
      <c r="F169" s="126" t="n"/>
      <c r="G169" s="125" t="n"/>
      <c r="H169" s="122">
        <f>IF($D169="",0,MAX(0,ROUNDDOWN((AmortismanRaporTarihi-$C169)/365,0)))</f>
        <v/>
      </c>
      <c r="I169" s="122">
        <f>IF($D169="",0,IFERROR(IF($E169="Azalan",MAX(0,$D169*(1-MIN(2*AmortismanAzalanCarpan*$F169,1)^$H169)),MIN($D169,$D169*$F169*$H169)),0))</f>
        <v/>
      </c>
      <c r="J169" s="122">
        <f>IF($D169="",0,MAX(0,$D169-$I169))</f>
        <v/>
      </c>
      <c r="K169" s="122">
        <f>IF($H169=0,0,IFERROR(IF($E169="Azalan",$D169*(1-MIN(2*AmortismanAzalanCarpan*$F169,1))^MAX(0,$H169-1)*MIN(2*AmortismanAzalanCarpan*$F169,1),MIN($D169*$F169,$D169)),0))</f>
        <v/>
      </c>
      <c r="L169" s="122">
        <f>IF($D169="",0,$G169-$J169)</f>
        <v/>
      </c>
      <c r="M169" s="122">
        <f>IF($B169="","",CONCATENATE("Kıymet: ",$B169," | NDD: ",TEXT($J169,"#,##0")))</f>
        <v/>
      </c>
    </row>
    <row r="170" ht="15" customHeight="1" s="77">
      <c r="A170" s="123" t="n"/>
      <c r="B170" s="123" t="n"/>
      <c r="C170" s="124" t="n"/>
      <c r="D170" s="125" t="n"/>
      <c r="E170" s="123" t="n"/>
      <c r="F170" s="126" t="n"/>
      <c r="G170" s="125" t="n"/>
      <c r="H170" s="122">
        <f>IF($D170="",0,MAX(0,ROUNDDOWN((AmortismanRaporTarihi-$C170)/365,0)))</f>
        <v/>
      </c>
      <c r="I170" s="122">
        <f>IF($D170="",0,IFERROR(IF($E170="Azalan",MAX(0,$D170*(1-MIN(2*AmortismanAzalanCarpan*$F170,1)^$H170)),MIN($D170,$D170*$F170*$H170)),0))</f>
        <v/>
      </c>
      <c r="J170" s="122">
        <f>IF($D170="",0,MAX(0,$D170-$I170))</f>
        <v/>
      </c>
      <c r="K170" s="122">
        <f>IF($H170=0,0,IFERROR(IF($E170="Azalan",$D170*(1-MIN(2*AmortismanAzalanCarpan*$F170,1))^MAX(0,$H170-1)*MIN(2*AmortismanAzalanCarpan*$F170,1),MIN($D170*$F170,$D170)),0))</f>
        <v/>
      </c>
      <c r="L170" s="122">
        <f>IF($D170="",0,$G170-$J170)</f>
        <v/>
      </c>
      <c r="M170" s="122">
        <f>IF($B170="","",CONCATENATE("Kıymet: ",$B170," | NDD: ",TEXT($J170,"#,##0")))</f>
        <v/>
      </c>
    </row>
    <row r="171" ht="15" customHeight="1" s="77">
      <c r="A171" s="123" t="n"/>
      <c r="B171" s="123" t="n"/>
      <c r="C171" s="124" t="n"/>
      <c r="D171" s="125" t="n"/>
      <c r="E171" s="123" t="n"/>
      <c r="F171" s="126" t="n"/>
      <c r="G171" s="125" t="n"/>
      <c r="H171" s="122">
        <f>IF($D171="",0,MAX(0,ROUNDDOWN((AmortismanRaporTarihi-$C171)/365,0)))</f>
        <v/>
      </c>
      <c r="I171" s="122">
        <f>IF($D171="",0,IFERROR(IF($E171="Azalan",MAX(0,$D171*(1-MIN(2*AmortismanAzalanCarpan*$F171,1)^$H171)),MIN($D171,$D171*$F171*$H171)),0))</f>
        <v/>
      </c>
      <c r="J171" s="122">
        <f>IF($D171="",0,MAX(0,$D171-$I171))</f>
        <v/>
      </c>
      <c r="K171" s="122">
        <f>IF($H171=0,0,IFERROR(IF($E171="Azalan",$D171*(1-MIN(2*AmortismanAzalanCarpan*$F171,1))^MAX(0,$H171-1)*MIN(2*AmortismanAzalanCarpan*$F171,1),MIN($D171*$F171,$D171)),0))</f>
        <v/>
      </c>
      <c r="L171" s="122">
        <f>IF($D171="",0,$G171-$J171)</f>
        <v/>
      </c>
      <c r="M171" s="122">
        <f>IF($B171="","",CONCATENATE("Kıymet: ",$B171," | NDD: ",TEXT($J171,"#,##0")))</f>
        <v/>
      </c>
    </row>
    <row r="172" ht="15" customHeight="1" s="77">
      <c r="A172" s="123" t="n"/>
      <c r="B172" s="123" t="n"/>
      <c r="C172" s="124" t="n"/>
      <c r="D172" s="125" t="n"/>
      <c r="E172" s="123" t="n"/>
      <c r="F172" s="126" t="n"/>
      <c r="G172" s="125" t="n"/>
      <c r="H172" s="122">
        <f>IF($D172="",0,MAX(0,ROUNDDOWN((AmortismanRaporTarihi-$C172)/365,0)))</f>
        <v/>
      </c>
      <c r="I172" s="122">
        <f>IF($D172="",0,IFERROR(IF($E172="Azalan",MAX(0,$D172*(1-MIN(2*AmortismanAzalanCarpan*$F172,1)^$H172)),MIN($D172,$D172*$F172*$H172)),0))</f>
        <v/>
      </c>
      <c r="J172" s="122">
        <f>IF($D172="",0,MAX(0,$D172-$I172))</f>
        <v/>
      </c>
      <c r="K172" s="122">
        <f>IF($H172=0,0,IFERROR(IF($E172="Azalan",$D172*(1-MIN(2*AmortismanAzalanCarpan*$F172,1))^MAX(0,$H172-1)*MIN(2*AmortismanAzalanCarpan*$F172,1),MIN($D172*$F172,$D172)),0))</f>
        <v/>
      </c>
      <c r="L172" s="122">
        <f>IF($D172="",0,$G172-$J172)</f>
        <v/>
      </c>
      <c r="M172" s="122">
        <f>IF($B172="","",CONCATENATE("Kıymet: ",$B172," | NDD: ",TEXT($J172,"#,##0")))</f>
        <v/>
      </c>
    </row>
    <row r="173" ht="15" customHeight="1" s="77">
      <c r="A173" s="123" t="n"/>
      <c r="B173" s="123" t="n"/>
      <c r="C173" s="124" t="n"/>
      <c r="D173" s="125" t="n"/>
      <c r="E173" s="123" t="n"/>
      <c r="F173" s="126" t="n"/>
      <c r="G173" s="125" t="n"/>
      <c r="H173" s="122">
        <f>IF($D173="",0,MAX(0,ROUNDDOWN((AmortismanRaporTarihi-$C173)/365,0)))</f>
        <v/>
      </c>
      <c r="I173" s="122">
        <f>IF($D173="",0,IFERROR(IF($E173="Azalan",MAX(0,$D173*(1-MIN(2*AmortismanAzalanCarpan*$F173,1)^$H173)),MIN($D173,$D173*$F173*$H173)),0))</f>
        <v/>
      </c>
      <c r="J173" s="122">
        <f>IF($D173="",0,MAX(0,$D173-$I173))</f>
        <v/>
      </c>
      <c r="K173" s="122">
        <f>IF($H173=0,0,IFERROR(IF($E173="Azalan",$D173*(1-MIN(2*AmortismanAzalanCarpan*$F173,1))^MAX(0,$H173-1)*MIN(2*AmortismanAzalanCarpan*$F173,1),MIN($D173*$F173,$D173)),0))</f>
        <v/>
      </c>
      <c r="L173" s="122">
        <f>IF($D173="",0,$G173-$J173)</f>
        <v/>
      </c>
      <c r="M173" s="122">
        <f>IF($B173="","",CONCATENATE("Kıymet: ",$B173," | NDD: ",TEXT($J173,"#,##0")))</f>
        <v/>
      </c>
    </row>
    <row r="174" ht="15" customHeight="1" s="77">
      <c r="A174" s="123" t="n"/>
      <c r="B174" s="123" t="n"/>
      <c r="C174" s="124" t="n"/>
      <c r="D174" s="125" t="n"/>
      <c r="E174" s="123" t="n"/>
      <c r="F174" s="126" t="n"/>
      <c r="G174" s="125" t="n"/>
      <c r="H174" s="122">
        <f>IF($D174="",0,MAX(0,ROUNDDOWN((AmortismanRaporTarihi-$C174)/365,0)))</f>
        <v/>
      </c>
      <c r="I174" s="122">
        <f>IF($D174="",0,IFERROR(IF($E174="Azalan",MAX(0,$D174*(1-MIN(2*AmortismanAzalanCarpan*$F174,1)^$H174)),MIN($D174,$D174*$F174*$H174)),0))</f>
        <v/>
      </c>
      <c r="J174" s="122">
        <f>IF($D174="",0,MAX(0,$D174-$I174))</f>
        <v/>
      </c>
      <c r="K174" s="122">
        <f>IF($H174=0,0,IFERROR(IF($E174="Azalan",$D174*(1-MIN(2*AmortismanAzalanCarpan*$F174,1))^MAX(0,$H174-1)*MIN(2*AmortismanAzalanCarpan*$F174,1),MIN($D174*$F174,$D174)),0))</f>
        <v/>
      </c>
      <c r="L174" s="122">
        <f>IF($D174="",0,$G174-$J174)</f>
        <v/>
      </c>
      <c r="M174" s="122">
        <f>IF($B174="","",CONCATENATE("Kıymet: ",$B174," | NDD: ",TEXT($J174,"#,##0")))</f>
        <v/>
      </c>
    </row>
    <row r="175" ht="15" customHeight="1" s="77">
      <c r="A175" s="123" t="n"/>
      <c r="B175" s="123" t="n"/>
      <c r="C175" s="124" t="n"/>
      <c r="D175" s="125" t="n"/>
      <c r="E175" s="123" t="n"/>
      <c r="F175" s="126" t="n"/>
      <c r="G175" s="125" t="n"/>
      <c r="H175" s="122">
        <f>IF($D175="",0,MAX(0,ROUNDDOWN((AmortismanRaporTarihi-$C175)/365,0)))</f>
        <v/>
      </c>
      <c r="I175" s="122">
        <f>IF($D175="",0,IFERROR(IF($E175="Azalan",MAX(0,$D175*(1-MIN(2*AmortismanAzalanCarpan*$F175,1)^$H175)),MIN($D175,$D175*$F175*$H175)),0))</f>
        <v/>
      </c>
      <c r="J175" s="122">
        <f>IF($D175="",0,MAX(0,$D175-$I175))</f>
        <v/>
      </c>
      <c r="K175" s="122">
        <f>IF($H175=0,0,IFERROR(IF($E175="Azalan",$D175*(1-MIN(2*AmortismanAzalanCarpan*$F175,1))^MAX(0,$H175-1)*MIN(2*AmortismanAzalanCarpan*$F175,1),MIN($D175*$F175,$D175)),0))</f>
        <v/>
      </c>
      <c r="L175" s="122">
        <f>IF($D175="",0,$G175-$J175)</f>
        <v/>
      </c>
      <c r="M175" s="122">
        <f>IF($B175="","",CONCATENATE("Kıymet: ",$B175," | NDD: ",TEXT($J175,"#,##0")))</f>
        <v/>
      </c>
    </row>
    <row r="176" ht="15" customHeight="1" s="77">
      <c r="A176" s="123" t="n"/>
      <c r="B176" s="123" t="n"/>
      <c r="C176" s="124" t="n"/>
      <c r="D176" s="125" t="n"/>
      <c r="E176" s="123" t="n"/>
      <c r="F176" s="126" t="n"/>
      <c r="G176" s="125" t="n"/>
      <c r="H176" s="122">
        <f>IF($D176="",0,MAX(0,ROUNDDOWN((AmortismanRaporTarihi-$C176)/365,0)))</f>
        <v/>
      </c>
      <c r="I176" s="122">
        <f>IF($D176="",0,IFERROR(IF($E176="Azalan",MAX(0,$D176*(1-MIN(2*AmortismanAzalanCarpan*$F176,1)^$H176)),MIN($D176,$D176*$F176*$H176)),0))</f>
        <v/>
      </c>
      <c r="J176" s="122">
        <f>IF($D176="",0,MAX(0,$D176-$I176))</f>
        <v/>
      </c>
      <c r="K176" s="122">
        <f>IF($H176=0,0,IFERROR(IF($E176="Azalan",$D176*(1-MIN(2*AmortismanAzalanCarpan*$F176,1))^MAX(0,$H176-1)*MIN(2*AmortismanAzalanCarpan*$F176,1),MIN($D176*$F176,$D176)),0))</f>
        <v/>
      </c>
      <c r="L176" s="122">
        <f>IF($D176="",0,$G176-$J176)</f>
        <v/>
      </c>
      <c r="M176" s="122">
        <f>IF($B176="","",CONCATENATE("Kıymet: ",$B176," | NDD: ",TEXT($J176,"#,##0")))</f>
        <v/>
      </c>
    </row>
    <row r="177" ht="15" customHeight="1" s="77">
      <c r="A177" s="123" t="n"/>
      <c r="B177" s="123" t="n"/>
      <c r="C177" s="124" t="n"/>
      <c r="D177" s="125" t="n"/>
      <c r="E177" s="123" t="n"/>
      <c r="F177" s="126" t="n"/>
      <c r="G177" s="125" t="n"/>
      <c r="H177" s="122">
        <f>IF($D177="",0,MAX(0,ROUNDDOWN((AmortismanRaporTarihi-$C177)/365,0)))</f>
        <v/>
      </c>
      <c r="I177" s="122">
        <f>IF($D177="",0,IFERROR(IF($E177="Azalan",MAX(0,$D177*(1-MIN(2*AmortismanAzalanCarpan*$F177,1)^$H177)),MIN($D177,$D177*$F177*$H177)),0))</f>
        <v/>
      </c>
      <c r="J177" s="122">
        <f>IF($D177="",0,MAX(0,$D177-$I177))</f>
        <v/>
      </c>
      <c r="K177" s="122">
        <f>IF($H177=0,0,IFERROR(IF($E177="Azalan",$D177*(1-MIN(2*AmortismanAzalanCarpan*$F177,1))^MAX(0,$H177-1)*MIN(2*AmortismanAzalanCarpan*$F177,1),MIN($D177*$F177,$D177)),0))</f>
        <v/>
      </c>
      <c r="L177" s="122">
        <f>IF($D177="",0,$G177-$J177)</f>
        <v/>
      </c>
      <c r="M177" s="122">
        <f>IF($B177="","",CONCATENATE("Kıymet: ",$B177," | NDD: ",TEXT($J177,"#,##0")))</f>
        <v/>
      </c>
    </row>
    <row r="178" ht="15" customHeight="1" s="77">
      <c r="A178" s="123" t="n"/>
      <c r="B178" s="123" t="n"/>
      <c r="C178" s="124" t="n"/>
      <c r="D178" s="125" t="n"/>
      <c r="E178" s="123" t="n"/>
      <c r="F178" s="126" t="n"/>
      <c r="G178" s="125" t="n"/>
      <c r="H178" s="122">
        <f>IF($D178="",0,MAX(0,ROUNDDOWN((AmortismanRaporTarihi-$C178)/365,0)))</f>
        <v/>
      </c>
      <c r="I178" s="122">
        <f>IF($D178="",0,IFERROR(IF($E178="Azalan",MAX(0,$D178*(1-MIN(2*AmortismanAzalanCarpan*$F178,1)^$H178)),MIN($D178,$D178*$F178*$H178)),0))</f>
        <v/>
      </c>
      <c r="J178" s="122">
        <f>IF($D178="",0,MAX(0,$D178-$I178))</f>
        <v/>
      </c>
      <c r="K178" s="122">
        <f>IF($H178=0,0,IFERROR(IF($E178="Azalan",$D178*(1-MIN(2*AmortismanAzalanCarpan*$F178,1))^MAX(0,$H178-1)*MIN(2*AmortismanAzalanCarpan*$F178,1),MIN($D178*$F178,$D178)),0))</f>
        <v/>
      </c>
      <c r="L178" s="122">
        <f>IF($D178="",0,$G178-$J178)</f>
        <v/>
      </c>
      <c r="M178" s="122">
        <f>IF($B178="","",CONCATENATE("Kıymet: ",$B178," | NDD: ",TEXT($J178,"#,##0")))</f>
        <v/>
      </c>
    </row>
    <row r="179" ht="15" customHeight="1" s="77">
      <c r="A179" s="123" t="n"/>
      <c r="B179" s="123" t="n"/>
      <c r="C179" s="124" t="n"/>
      <c r="D179" s="125" t="n"/>
      <c r="E179" s="123" t="n"/>
      <c r="F179" s="126" t="n"/>
      <c r="G179" s="125" t="n"/>
      <c r="H179" s="122">
        <f>IF($D179="",0,MAX(0,ROUNDDOWN((AmortismanRaporTarihi-$C179)/365,0)))</f>
        <v/>
      </c>
      <c r="I179" s="122">
        <f>IF($D179="",0,IFERROR(IF($E179="Azalan",MAX(0,$D179*(1-MIN(2*AmortismanAzalanCarpan*$F179,1)^$H179)),MIN($D179,$D179*$F179*$H179)),0))</f>
        <v/>
      </c>
      <c r="J179" s="122">
        <f>IF($D179="",0,MAX(0,$D179-$I179))</f>
        <v/>
      </c>
      <c r="K179" s="122">
        <f>IF($H179=0,0,IFERROR(IF($E179="Azalan",$D179*(1-MIN(2*AmortismanAzalanCarpan*$F179,1))^MAX(0,$H179-1)*MIN(2*AmortismanAzalanCarpan*$F179,1),MIN($D179*$F179,$D179)),0))</f>
        <v/>
      </c>
      <c r="L179" s="122">
        <f>IF($D179="",0,$G179-$J179)</f>
        <v/>
      </c>
      <c r="M179" s="122">
        <f>IF($B179="","",CONCATENATE("Kıymet: ",$B179," | NDD: ",TEXT($J179,"#,##0")))</f>
        <v/>
      </c>
    </row>
    <row r="180" ht="15" customHeight="1" s="77">
      <c r="A180" s="123" t="n"/>
      <c r="B180" s="123" t="n"/>
      <c r="C180" s="124" t="n"/>
      <c r="D180" s="125" t="n"/>
      <c r="E180" s="123" t="n"/>
      <c r="F180" s="126" t="n"/>
      <c r="G180" s="125" t="n"/>
      <c r="H180" s="122">
        <f>IF($D180="",0,MAX(0,ROUNDDOWN((AmortismanRaporTarihi-$C180)/365,0)))</f>
        <v/>
      </c>
      <c r="I180" s="122">
        <f>IF($D180="",0,IFERROR(IF($E180="Azalan",MAX(0,$D180*(1-MIN(2*AmortismanAzalanCarpan*$F180,1)^$H180)),MIN($D180,$D180*$F180*$H180)),0))</f>
        <v/>
      </c>
      <c r="J180" s="122">
        <f>IF($D180="",0,MAX(0,$D180-$I180))</f>
        <v/>
      </c>
      <c r="K180" s="122">
        <f>IF($H180=0,0,IFERROR(IF($E180="Azalan",$D180*(1-MIN(2*AmortismanAzalanCarpan*$F180,1))^MAX(0,$H180-1)*MIN(2*AmortismanAzalanCarpan*$F180,1),MIN($D180*$F180,$D180)),0))</f>
        <v/>
      </c>
      <c r="L180" s="122">
        <f>IF($D180="",0,$G180-$J180)</f>
        <v/>
      </c>
      <c r="M180" s="122">
        <f>IF($B180="","",CONCATENATE("Kıymet: ",$B180," | NDD: ",TEXT($J180,"#,##0")))</f>
        <v/>
      </c>
    </row>
    <row r="181" ht="15" customHeight="1" s="77">
      <c r="A181" s="123" t="n"/>
      <c r="B181" s="123" t="n"/>
      <c r="C181" s="124" t="n"/>
      <c r="D181" s="125" t="n"/>
      <c r="E181" s="123" t="n"/>
      <c r="F181" s="126" t="n"/>
      <c r="G181" s="125" t="n"/>
      <c r="H181" s="122">
        <f>IF($D181="",0,MAX(0,ROUNDDOWN((AmortismanRaporTarihi-$C181)/365,0)))</f>
        <v/>
      </c>
      <c r="I181" s="122">
        <f>IF($D181="",0,IFERROR(IF($E181="Azalan",MAX(0,$D181*(1-MIN(2*AmortismanAzalanCarpan*$F181,1)^$H181)),MIN($D181,$D181*$F181*$H181)),0))</f>
        <v/>
      </c>
      <c r="J181" s="122">
        <f>IF($D181="",0,MAX(0,$D181-$I181))</f>
        <v/>
      </c>
      <c r="K181" s="122">
        <f>IF($H181=0,0,IFERROR(IF($E181="Azalan",$D181*(1-MIN(2*AmortismanAzalanCarpan*$F181,1))^MAX(0,$H181-1)*MIN(2*AmortismanAzalanCarpan*$F181,1),MIN($D181*$F181,$D181)),0))</f>
        <v/>
      </c>
      <c r="L181" s="122">
        <f>IF($D181="",0,$G181-$J181)</f>
        <v/>
      </c>
      <c r="M181" s="122">
        <f>IF($B181="","",CONCATENATE("Kıymet: ",$B181," | NDD: ",TEXT($J181,"#,##0")))</f>
        <v/>
      </c>
    </row>
    <row r="182" ht="15" customHeight="1" s="77">
      <c r="A182" s="123" t="n"/>
      <c r="B182" s="123" t="n"/>
      <c r="C182" s="124" t="n"/>
      <c r="D182" s="125" t="n"/>
      <c r="E182" s="123" t="n"/>
      <c r="F182" s="126" t="n"/>
      <c r="G182" s="125" t="n"/>
      <c r="H182" s="122">
        <f>IF($D182="",0,MAX(0,ROUNDDOWN((AmortismanRaporTarihi-$C182)/365,0)))</f>
        <v/>
      </c>
      <c r="I182" s="122">
        <f>IF($D182="",0,IFERROR(IF($E182="Azalan",MAX(0,$D182*(1-MIN(2*AmortismanAzalanCarpan*$F182,1)^$H182)),MIN($D182,$D182*$F182*$H182)),0))</f>
        <v/>
      </c>
      <c r="J182" s="122">
        <f>IF($D182="",0,MAX(0,$D182-$I182))</f>
        <v/>
      </c>
      <c r="K182" s="122">
        <f>IF($H182=0,0,IFERROR(IF($E182="Azalan",$D182*(1-MIN(2*AmortismanAzalanCarpan*$F182,1))^MAX(0,$H182-1)*MIN(2*AmortismanAzalanCarpan*$F182,1),MIN($D182*$F182,$D182)),0))</f>
        <v/>
      </c>
      <c r="L182" s="122">
        <f>IF($D182="",0,$G182-$J182)</f>
        <v/>
      </c>
      <c r="M182" s="122">
        <f>IF($B182="","",CONCATENATE("Kıymet: ",$B182," | NDD: ",TEXT($J182,"#,##0")))</f>
        <v/>
      </c>
    </row>
    <row r="183" ht="15" customHeight="1" s="77">
      <c r="A183" s="123" t="n"/>
      <c r="B183" s="123" t="n"/>
      <c r="C183" s="124" t="n"/>
      <c r="D183" s="125" t="n"/>
      <c r="E183" s="123" t="n"/>
      <c r="F183" s="126" t="n"/>
      <c r="G183" s="125" t="n"/>
      <c r="H183" s="122">
        <f>IF($D183="",0,MAX(0,ROUNDDOWN((AmortismanRaporTarihi-$C183)/365,0)))</f>
        <v/>
      </c>
      <c r="I183" s="122">
        <f>IF($D183="",0,IFERROR(IF($E183="Azalan",MAX(0,$D183*(1-MIN(2*AmortismanAzalanCarpan*$F183,1)^$H183)),MIN($D183,$D183*$F183*$H183)),0))</f>
        <v/>
      </c>
      <c r="J183" s="122">
        <f>IF($D183="",0,MAX(0,$D183-$I183))</f>
        <v/>
      </c>
      <c r="K183" s="122">
        <f>IF($H183=0,0,IFERROR(IF($E183="Azalan",$D183*(1-MIN(2*AmortismanAzalanCarpan*$F183,1))^MAX(0,$H183-1)*MIN(2*AmortismanAzalanCarpan*$F183,1),MIN($D183*$F183,$D183)),0))</f>
        <v/>
      </c>
      <c r="L183" s="122">
        <f>IF($D183="",0,$G183-$J183)</f>
        <v/>
      </c>
      <c r="M183" s="122">
        <f>IF($B183="","",CONCATENATE("Kıymet: ",$B183," | NDD: ",TEXT($J183,"#,##0")))</f>
        <v/>
      </c>
    </row>
    <row r="184" ht="15" customHeight="1" s="77">
      <c r="A184" s="123" t="n"/>
      <c r="B184" s="123" t="n"/>
      <c r="C184" s="124" t="n"/>
      <c r="D184" s="125" t="n"/>
      <c r="E184" s="123" t="n"/>
      <c r="F184" s="126" t="n"/>
      <c r="G184" s="125" t="n"/>
      <c r="H184" s="122">
        <f>IF($D184="",0,MAX(0,ROUNDDOWN((AmortismanRaporTarihi-$C184)/365,0)))</f>
        <v/>
      </c>
      <c r="I184" s="122">
        <f>IF($D184="",0,IFERROR(IF($E184="Azalan",MAX(0,$D184*(1-MIN(2*AmortismanAzalanCarpan*$F184,1)^$H184)),MIN($D184,$D184*$F184*$H184)),0))</f>
        <v/>
      </c>
      <c r="J184" s="122">
        <f>IF($D184="",0,MAX(0,$D184-$I184))</f>
        <v/>
      </c>
      <c r="K184" s="122">
        <f>IF($H184=0,0,IFERROR(IF($E184="Azalan",$D184*(1-MIN(2*AmortismanAzalanCarpan*$F184,1))^MAX(0,$H184-1)*MIN(2*AmortismanAzalanCarpan*$F184,1),MIN($D184*$F184,$D184)),0))</f>
        <v/>
      </c>
      <c r="L184" s="122">
        <f>IF($D184="",0,$G184-$J184)</f>
        <v/>
      </c>
      <c r="M184" s="122">
        <f>IF($B184="","",CONCATENATE("Kıymet: ",$B184," | NDD: ",TEXT($J184,"#,##0")))</f>
        <v/>
      </c>
    </row>
    <row r="185" ht="15" customHeight="1" s="77">
      <c r="A185" s="123" t="n"/>
      <c r="B185" s="123" t="n"/>
      <c r="C185" s="124" t="n"/>
      <c r="D185" s="125" t="n"/>
      <c r="E185" s="123" t="n"/>
      <c r="F185" s="126" t="n"/>
      <c r="G185" s="125" t="n"/>
      <c r="H185" s="122">
        <f>IF($D185="",0,MAX(0,ROUNDDOWN((AmortismanRaporTarihi-$C185)/365,0)))</f>
        <v/>
      </c>
      <c r="I185" s="122">
        <f>IF($D185="",0,IFERROR(IF($E185="Azalan",MAX(0,$D185*(1-MIN(2*AmortismanAzalanCarpan*$F185,1)^$H185)),MIN($D185,$D185*$F185*$H185)),0))</f>
        <v/>
      </c>
      <c r="J185" s="122">
        <f>IF($D185="",0,MAX(0,$D185-$I185))</f>
        <v/>
      </c>
      <c r="K185" s="122">
        <f>IF($H185=0,0,IFERROR(IF($E185="Azalan",$D185*(1-MIN(2*AmortismanAzalanCarpan*$F185,1))^MAX(0,$H185-1)*MIN(2*AmortismanAzalanCarpan*$F185,1),MIN($D185*$F185,$D185)),0))</f>
        <v/>
      </c>
      <c r="L185" s="122">
        <f>IF($D185="",0,$G185-$J185)</f>
        <v/>
      </c>
      <c r="M185" s="122">
        <f>IF($B185="","",CONCATENATE("Kıymet: ",$B185," | NDD: ",TEXT($J185,"#,##0")))</f>
        <v/>
      </c>
    </row>
    <row r="186" ht="15" customHeight="1" s="77">
      <c r="A186" s="123" t="n"/>
      <c r="B186" s="123" t="n"/>
      <c r="C186" s="124" t="n"/>
      <c r="D186" s="125" t="n"/>
      <c r="E186" s="123" t="n"/>
      <c r="F186" s="126" t="n"/>
      <c r="G186" s="125" t="n"/>
      <c r="H186" s="122">
        <f>IF($D186="",0,MAX(0,ROUNDDOWN((AmortismanRaporTarihi-$C186)/365,0)))</f>
        <v/>
      </c>
      <c r="I186" s="122">
        <f>IF($D186="",0,IFERROR(IF($E186="Azalan",MAX(0,$D186*(1-MIN(2*AmortismanAzalanCarpan*$F186,1)^$H186)),MIN($D186,$D186*$F186*$H186)),0))</f>
        <v/>
      </c>
      <c r="J186" s="122">
        <f>IF($D186="",0,MAX(0,$D186-$I186))</f>
        <v/>
      </c>
      <c r="K186" s="122">
        <f>IF($H186=0,0,IFERROR(IF($E186="Azalan",$D186*(1-MIN(2*AmortismanAzalanCarpan*$F186,1))^MAX(0,$H186-1)*MIN(2*AmortismanAzalanCarpan*$F186,1),MIN($D186*$F186,$D186)),0))</f>
        <v/>
      </c>
      <c r="L186" s="122">
        <f>IF($D186="",0,$G186-$J186)</f>
        <v/>
      </c>
      <c r="M186" s="122">
        <f>IF($B186="","",CONCATENATE("Kıymet: ",$B186," | NDD: ",TEXT($J186,"#,##0")))</f>
        <v/>
      </c>
    </row>
    <row r="187" ht="15" customHeight="1" s="77">
      <c r="A187" s="123" t="n"/>
      <c r="B187" s="123" t="n"/>
      <c r="C187" s="124" t="n"/>
      <c r="D187" s="125" t="n"/>
      <c r="E187" s="123" t="n"/>
      <c r="F187" s="126" t="n"/>
      <c r="G187" s="125" t="n"/>
      <c r="H187" s="122">
        <f>IF($D187="",0,MAX(0,ROUNDDOWN((AmortismanRaporTarihi-$C187)/365,0)))</f>
        <v/>
      </c>
      <c r="I187" s="122">
        <f>IF($D187="",0,IFERROR(IF($E187="Azalan",MAX(0,$D187*(1-MIN(2*AmortismanAzalanCarpan*$F187,1)^$H187)),MIN($D187,$D187*$F187*$H187)),0))</f>
        <v/>
      </c>
      <c r="J187" s="122">
        <f>IF($D187="",0,MAX(0,$D187-$I187))</f>
        <v/>
      </c>
      <c r="K187" s="122">
        <f>IF($H187=0,0,IFERROR(IF($E187="Azalan",$D187*(1-MIN(2*AmortismanAzalanCarpan*$F187,1))^MAX(0,$H187-1)*MIN(2*AmortismanAzalanCarpan*$F187,1),MIN($D187*$F187,$D187)),0))</f>
        <v/>
      </c>
      <c r="L187" s="122">
        <f>IF($D187="",0,$G187-$J187)</f>
        <v/>
      </c>
      <c r="M187" s="122">
        <f>IF($B187="","",CONCATENATE("Kıymet: ",$B187," | NDD: ",TEXT($J187,"#,##0")))</f>
        <v/>
      </c>
    </row>
    <row r="188" ht="15" customHeight="1" s="77">
      <c r="A188" s="123" t="n"/>
      <c r="B188" s="123" t="n"/>
      <c r="C188" s="124" t="n"/>
      <c r="D188" s="125" t="n"/>
      <c r="E188" s="123" t="n"/>
      <c r="F188" s="126" t="n"/>
      <c r="G188" s="125" t="n"/>
      <c r="H188" s="122">
        <f>IF($D188="",0,MAX(0,ROUNDDOWN((AmortismanRaporTarihi-$C188)/365,0)))</f>
        <v/>
      </c>
      <c r="I188" s="122">
        <f>IF($D188="",0,IFERROR(IF($E188="Azalan",MAX(0,$D188*(1-MIN(2*AmortismanAzalanCarpan*$F188,1)^$H188)),MIN($D188,$D188*$F188*$H188)),0))</f>
        <v/>
      </c>
      <c r="J188" s="122">
        <f>IF($D188="",0,MAX(0,$D188-$I188))</f>
        <v/>
      </c>
      <c r="K188" s="122">
        <f>IF($H188=0,0,IFERROR(IF($E188="Azalan",$D188*(1-MIN(2*AmortismanAzalanCarpan*$F188,1))^MAX(0,$H188-1)*MIN(2*AmortismanAzalanCarpan*$F188,1),MIN($D188*$F188,$D188)),0))</f>
        <v/>
      </c>
      <c r="L188" s="122">
        <f>IF($D188="",0,$G188-$J188)</f>
        <v/>
      </c>
      <c r="M188" s="122">
        <f>IF($B188="","",CONCATENATE("Kıymet: ",$B188," | NDD: ",TEXT($J188,"#,##0")))</f>
        <v/>
      </c>
    </row>
    <row r="189" ht="15" customHeight="1" s="77">
      <c r="A189" s="123" t="n"/>
      <c r="B189" s="123" t="n"/>
      <c r="C189" s="124" t="n"/>
      <c r="D189" s="125" t="n"/>
      <c r="E189" s="123" t="n"/>
      <c r="F189" s="126" t="n"/>
      <c r="G189" s="125" t="n"/>
      <c r="H189" s="122">
        <f>IF($D189="",0,MAX(0,ROUNDDOWN((AmortismanRaporTarihi-$C189)/365,0)))</f>
        <v/>
      </c>
      <c r="I189" s="122">
        <f>IF($D189="",0,IFERROR(IF($E189="Azalan",MAX(0,$D189*(1-MIN(2*AmortismanAzalanCarpan*$F189,1)^$H189)),MIN($D189,$D189*$F189*$H189)),0))</f>
        <v/>
      </c>
      <c r="J189" s="122">
        <f>IF($D189="",0,MAX(0,$D189-$I189))</f>
        <v/>
      </c>
      <c r="K189" s="122">
        <f>IF($H189=0,0,IFERROR(IF($E189="Azalan",$D189*(1-MIN(2*AmortismanAzalanCarpan*$F189,1))^MAX(0,$H189-1)*MIN(2*AmortismanAzalanCarpan*$F189,1),MIN($D189*$F189,$D189)),0))</f>
        <v/>
      </c>
      <c r="L189" s="122">
        <f>IF($D189="",0,$G189-$J189)</f>
        <v/>
      </c>
      <c r="M189" s="122">
        <f>IF($B189="","",CONCATENATE("Kıymet: ",$B189," | NDD: ",TEXT($J189,"#,##0")))</f>
        <v/>
      </c>
    </row>
    <row r="190" ht="15" customHeight="1" s="77">
      <c r="A190" s="123" t="n"/>
      <c r="B190" s="123" t="n"/>
      <c r="C190" s="124" t="n"/>
      <c r="D190" s="125" t="n"/>
      <c r="E190" s="123" t="n"/>
      <c r="F190" s="126" t="n"/>
      <c r="G190" s="125" t="n"/>
      <c r="H190" s="122">
        <f>IF($D190="",0,MAX(0,ROUNDDOWN((AmortismanRaporTarihi-$C190)/365,0)))</f>
        <v/>
      </c>
      <c r="I190" s="122">
        <f>IF($D190="",0,IFERROR(IF($E190="Azalan",MAX(0,$D190*(1-MIN(2*AmortismanAzalanCarpan*$F190,1)^$H190)),MIN($D190,$D190*$F190*$H190)),0))</f>
        <v/>
      </c>
      <c r="J190" s="122">
        <f>IF($D190="",0,MAX(0,$D190-$I190))</f>
        <v/>
      </c>
      <c r="K190" s="122">
        <f>IF($H190=0,0,IFERROR(IF($E190="Azalan",$D190*(1-MIN(2*AmortismanAzalanCarpan*$F190,1))^MAX(0,$H190-1)*MIN(2*AmortismanAzalanCarpan*$F190,1),MIN($D190*$F190,$D190)),0))</f>
        <v/>
      </c>
      <c r="L190" s="122">
        <f>IF($D190="",0,$G190-$J190)</f>
        <v/>
      </c>
      <c r="M190" s="122">
        <f>IF($B190="","",CONCATENATE("Kıymet: ",$B190," | NDD: ",TEXT($J190,"#,##0")))</f>
        <v/>
      </c>
    </row>
    <row r="191" ht="15" customHeight="1" s="77">
      <c r="A191" s="123" t="n"/>
      <c r="B191" s="123" t="n"/>
      <c r="C191" s="124" t="n"/>
      <c r="D191" s="125" t="n"/>
      <c r="E191" s="123" t="n"/>
      <c r="F191" s="126" t="n"/>
      <c r="G191" s="125" t="n"/>
      <c r="H191" s="122">
        <f>IF($D191="",0,MAX(0,ROUNDDOWN((AmortismanRaporTarihi-$C191)/365,0)))</f>
        <v/>
      </c>
      <c r="I191" s="122">
        <f>IF($D191="",0,IFERROR(IF($E191="Azalan",MAX(0,$D191*(1-MIN(2*AmortismanAzalanCarpan*$F191,1)^$H191)),MIN($D191,$D191*$F191*$H191)),0))</f>
        <v/>
      </c>
      <c r="J191" s="122">
        <f>IF($D191="",0,MAX(0,$D191-$I191))</f>
        <v/>
      </c>
      <c r="K191" s="122">
        <f>IF($H191=0,0,IFERROR(IF($E191="Azalan",$D191*(1-MIN(2*AmortismanAzalanCarpan*$F191,1))^MAX(0,$H191-1)*MIN(2*AmortismanAzalanCarpan*$F191,1),MIN($D191*$F191,$D191)),0))</f>
        <v/>
      </c>
      <c r="L191" s="122">
        <f>IF($D191="",0,$G191-$J191)</f>
        <v/>
      </c>
      <c r="M191" s="122">
        <f>IF($B191="","",CONCATENATE("Kıymet: ",$B191," | NDD: ",TEXT($J191,"#,##0")))</f>
        <v/>
      </c>
    </row>
    <row r="192" ht="15" customHeight="1" s="77">
      <c r="A192" s="123" t="n"/>
      <c r="B192" s="123" t="n"/>
      <c r="C192" s="124" t="n"/>
      <c r="D192" s="125" t="n"/>
      <c r="E192" s="123" t="n"/>
      <c r="F192" s="126" t="n"/>
      <c r="G192" s="125" t="n"/>
      <c r="H192" s="122">
        <f>IF($D192="",0,MAX(0,ROUNDDOWN((AmortismanRaporTarihi-$C192)/365,0)))</f>
        <v/>
      </c>
      <c r="I192" s="122">
        <f>IF($D192="",0,IFERROR(IF($E192="Azalan",MAX(0,$D192*(1-MIN(2*AmortismanAzalanCarpan*$F192,1)^$H192)),MIN($D192,$D192*$F192*$H192)),0))</f>
        <v/>
      </c>
      <c r="J192" s="122">
        <f>IF($D192="",0,MAX(0,$D192-$I192))</f>
        <v/>
      </c>
      <c r="K192" s="122">
        <f>IF($H192=0,0,IFERROR(IF($E192="Azalan",$D192*(1-MIN(2*AmortismanAzalanCarpan*$F192,1))^MAX(0,$H192-1)*MIN(2*AmortismanAzalanCarpan*$F192,1),MIN($D192*$F192,$D192)),0))</f>
        <v/>
      </c>
      <c r="L192" s="122">
        <f>IF($D192="",0,$G192-$J192)</f>
        <v/>
      </c>
      <c r="M192" s="122">
        <f>IF($B192="","",CONCATENATE("Kıymet: ",$B192," | NDD: ",TEXT($J192,"#,##0")))</f>
        <v/>
      </c>
    </row>
    <row r="193" ht="15" customHeight="1" s="77">
      <c r="A193" s="123" t="n"/>
      <c r="B193" s="123" t="n"/>
      <c r="C193" s="124" t="n"/>
      <c r="D193" s="125" t="n"/>
      <c r="E193" s="123" t="n"/>
      <c r="F193" s="126" t="n"/>
      <c r="G193" s="125" t="n"/>
      <c r="H193" s="122">
        <f>IF($D193="",0,MAX(0,ROUNDDOWN((AmortismanRaporTarihi-$C193)/365,0)))</f>
        <v/>
      </c>
      <c r="I193" s="122">
        <f>IF($D193="",0,IFERROR(IF($E193="Azalan",MAX(0,$D193*(1-MIN(2*AmortismanAzalanCarpan*$F193,1)^$H193)),MIN($D193,$D193*$F193*$H193)),0))</f>
        <v/>
      </c>
      <c r="J193" s="122">
        <f>IF($D193="",0,MAX(0,$D193-$I193))</f>
        <v/>
      </c>
      <c r="K193" s="122">
        <f>IF($H193=0,0,IFERROR(IF($E193="Azalan",$D193*(1-MIN(2*AmortismanAzalanCarpan*$F193,1))^MAX(0,$H193-1)*MIN(2*AmortismanAzalanCarpan*$F193,1),MIN($D193*$F193,$D193)),0))</f>
        <v/>
      </c>
      <c r="L193" s="122">
        <f>IF($D193="",0,$G193-$J193)</f>
        <v/>
      </c>
      <c r="M193" s="122">
        <f>IF($B193="","",CONCATENATE("Kıymet: ",$B193," | NDD: ",TEXT($J193,"#,##0")))</f>
        <v/>
      </c>
    </row>
    <row r="194" ht="15" customHeight="1" s="77">
      <c r="A194" s="123" t="n"/>
      <c r="B194" s="123" t="n"/>
      <c r="C194" s="124" t="n"/>
      <c r="D194" s="125" t="n"/>
      <c r="E194" s="123" t="n"/>
      <c r="F194" s="126" t="n"/>
      <c r="G194" s="125" t="n"/>
      <c r="H194" s="122">
        <f>IF($D194="",0,MAX(0,ROUNDDOWN((AmortismanRaporTarihi-$C194)/365,0)))</f>
        <v/>
      </c>
      <c r="I194" s="122">
        <f>IF($D194="",0,IFERROR(IF($E194="Azalan",MAX(0,$D194*(1-MIN(2*AmortismanAzalanCarpan*$F194,1)^$H194)),MIN($D194,$D194*$F194*$H194)),0))</f>
        <v/>
      </c>
      <c r="J194" s="122">
        <f>IF($D194="",0,MAX(0,$D194-$I194))</f>
        <v/>
      </c>
      <c r="K194" s="122">
        <f>IF($H194=0,0,IFERROR(IF($E194="Azalan",$D194*(1-MIN(2*AmortismanAzalanCarpan*$F194,1))^MAX(0,$H194-1)*MIN(2*AmortismanAzalanCarpan*$F194,1),MIN($D194*$F194,$D194)),0))</f>
        <v/>
      </c>
      <c r="L194" s="122">
        <f>IF($D194="",0,$G194-$J194)</f>
        <v/>
      </c>
      <c r="M194" s="122">
        <f>IF($B194="","",CONCATENATE("Kıymet: ",$B194," | NDD: ",TEXT($J194,"#,##0")))</f>
        <v/>
      </c>
    </row>
    <row r="195" ht="15" customHeight="1" s="77">
      <c r="A195" s="123" t="n"/>
      <c r="B195" s="123" t="n"/>
      <c r="C195" s="124" t="n"/>
      <c r="D195" s="125" t="n"/>
      <c r="E195" s="123" t="n"/>
      <c r="F195" s="126" t="n"/>
      <c r="G195" s="125" t="n"/>
      <c r="H195" s="122">
        <f>IF($D195="",0,MAX(0,ROUNDDOWN((AmortismanRaporTarihi-$C195)/365,0)))</f>
        <v/>
      </c>
      <c r="I195" s="122">
        <f>IF($D195="",0,IFERROR(IF($E195="Azalan",MAX(0,$D195*(1-MIN(2*AmortismanAzalanCarpan*$F195,1)^$H195)),MIN($D195,$D195*$F195*$H195)),0))</f>
        <v/>
      </c>
      <c r="J195" s="122">
        <f>IF($D195="",0,MAX(0,$D195-$I195))</f>
        <v/>
      </c>
      <c r="K195" s="122">
        <f>IF($H195=0,0,IFERROR(IF($E195="Azalan",$D195*(1-MIN(2*AmortismanAzalanCarpan*$F195,1))^MAX(0,$H195-1)*MIN(2*AmortismanAzalanCarpan*$F195,1),MIN($D195*$F195,$D195)),0))</f>
        <v/>
      </c>
      <c r="L195" s="122">
        <f>IF($D195="",0,$G195-$J195)</f>
        <v/>
      </c>
      <c r="M195" s="122">
        <f>IF($B195="","",CONCATENATE("Kıymet: ",$B195," | NDD: ",TEXT($J195,"#,##0")))</f>
        <v/>
      </c>
    </row>
    <row r="196" ht="15" customHeight="1" s="77">
      <c r="A196" s="123" t="n"/>
      <c r="B196" s="123" t="n"/>
      <c r="C196" s="124" t="n"/>
      <c r="D196" s="125" t="n"/>
      <c r="E196" s="123" t="n"/>
      <c r="F196" s="126" t="n"/>
      <c r="G196" s="125" t="n"/>
      <c r="H196" s="122">
        <f>IF($D196="",0,MAX(0,ROUNDDOWN((AmortismanRaporTarihi-$C196)/365,0)))</f>
        <v/>
      </c>
      <c r="I196" s="122">
        <f>IF($D196="",0,IFERROR(IF($E196="Azalan",MAX(0,$D196*(1-MIN(2*AmortismanAzalanCarpan*$F196,1)^$H196)),MIN($D196,$D196*$F196*$H196)),0))</f>
        <v/>
      </c>
      <c r="J196" s="122">
        <f>IF($D196="",0,MAX(0,$D196-$I196))</f>
        <v/>
      </c>
      <c r="K196" s="122">
        <f>IF($H196=0,0,IFERROR(IF($E196="Azalan",$D196*(1-MIN(2*AmortismanAzalanCarpan*$F196,1))^MAX(0,$H196-1)*MIN(2*AmortismanAzalanCarpan*$F196,1),MIN($D196*$F196,$D196)),0))</f>
        <v/>
      </c>
      <c r="L196" s="122">
        <f>IF($D196="",0,$G196-$J196)</f>
        <v/>
      </c>
      <c r="M196" s="122">
        <f>IF($B196="","",CONCATENATE("Kıymet: ",$B196," | NDD: ",TEXT($J196,"#,##0")))</f>
        <v/>
      </c>
    </row>
    <row r="197" ht="15" customHeight="1" s="77">
      <c r="A197" s="123" t="n"/>
      <c r="B197" s="123" t="n"/>
      <c r="C197" s="124" t="n"/>
      <c r="D197" s="125" t="n"/>
      <c r="E197" s="123" t="n"/>
      <c r="F197" s="126" t="n"/>
      <c r="G197" s="125" t="n"/>
      <c r="H197" s="122">
        <f>IF($D197="",0,MAX(0,ROUNDDOWN((AmortismanRaporTarihi-$C197)/365,0)))</f>
        <v/>
      </c>
      <c r="I197" s="122">
        <f>IF($D197="",0,IFERROR(IF($E197="Azalan",MAX(0,$D197*(1-MIN(2*AmortismanAzalanCarpan*$F197,1)^$H197)),MIN($D197,$D197*$F197*$H197)),0))</f>
        <v/>
      </c>
      <c r="J197" s="122">
        <f>IF($D197="",0,MAX(0,$D197-$I197))</f>
        <v/>
      </c>
      <c r="K197" s="122">
        <f>IF($H197=0,0,IFERROR(IF($E197="Azalan",$D197*(1-MIN(2*AmortismanAzalanCarpan*$F197,1))^MAX(0,$H197-1)*MIN(2*AmortismanAzalanCarpan*$F197,1),MIN($D197*$F197,$D197)),0))</f>
        <v/>
      </c>
      <c r="L197" s="122">
        <f>IF($D197="",0,$G197-$J197)</f>
        <v/>
      </c>
      <c r="M197" s="122">
        <f>IF($B197="","",CONCATENATE("Kıymet: ",$B197," | NDD: ",TEXT($J197,"#,##0")))</f>
        <v/>
      </c>
    </row>
    <row r="198" ht="15" customHeight="1" s="77">
      <c r="A198" s="123" t="n"/>
      <c r="B198" s="123" t="n"/>
      <c r="C198" s="124" t="n"/>
      <c r="D198" s="125" t="n"/>
      <c r="E198" s="123" t="n"/>
      <c r="F198" s="126" t="n"/>
      <c r="G198" s="125" t="n"/>
      <c r="H198" s="122">
        <f>IF($D198="",0,MAX(0,ROUNDDOWN((AmortismanRaporTarihi-$C198)/365,0)))</f>
        <v/>
      </c>
      <c r="I198" s="122">
        <f>IF($D198="",0,IFERROR(IF($E198="Azalan",MAX(0,$D198*(1-MIN(2*AmortismanAzalanCarpan*$F198,1)^$H198)),MIN($D198,$D198*$F198*$H198)),0))</f>
        <v/>
      </c>
      <c r="J198" s="122">
        <f>IF($D198="",0,MAX(0,$D198-$I198))</f>
        <v/>
      </c>
      <c r="K198" s="122">
        <f>IF($H198=0,0,IFERROR(IF($E198="Azalan",$D198*(1-MIN(2*AmortismanAzalanCarpan*$F198,1))^MAX(0,$H198-1)*MIN(2*AmortismanAzalanCarpan*$F198,1),MIN($D198*$F198,$D198)),0))</f>
        <v/>
      </c>
      <c r="L198" s="122">
        <f>IF($D198="",0,$G198-$J198)</f>
        <v/>
      </c>
      <c r="M198" s="122">
        <f>IF($B198="","",CONCATENATE("Kıymet: ",$B198," | NDD: ",TEXT($J198,"#,##0")))</f>
        <v/>
      </c>
    </row>
    <row r="199" ht="15" customHeight="1" s="77">
      <c r="A199" s="123" t="n"/>
      <c r="B199" s="123" t="n"/>
      <c r="C199" s="124" t="n"/>
      <c r="D199" s="125" t="n"/>
      <c r="E199" s="123" t="n"/>
      <c r="F199" s="126" t="n"/>
      <c r="G199" s="125" t="n"/>
      <c r="H199" s="122">
        <f>IF($D199="",0,MAX(0,ROUNDDOWN((AmortismanRaporTarihi-$C199)/365,0)))</f>
        <v/>
      </c>
      <c r="I199" s="122">
        <f>IF($D199="",0,IFERROR(IF($E199="Azalan",MAX(0,$D199*(1-MIN(2*AmortismanAzalanCarpan*$F199,1)^$H199)),MIN($D199,$D199*$F199*$H199)),0))</f>
        <v/>
      </c>
      <c r="J199" s="122">
        <f>IF($D199="",0,MAX(0,$D199-$I199))</f>
        <v/>
      </c>
      <c r="K199" s="122">
        <f>IF($H199=0,0,IFERROR(IF($E199="Azalan",$D199*(1-MIN(2*AmortismanAzalanCarpan*$F199,1))^MAX(0,$H199-1)*MIN(2*AmortismanAzalanCarpan*$F199,1),MIN($D199*$F199,$D199)),0))</f>
        <v/>
      </c>
      <c r="L199" s="122">
        <f>IF($D199="",0,$G199-$J199)</f>
        <v/>
      </c>
      <c r="M199" s="122">
        <f>IF($B199="","",CONCATENATE("Kıymet: ",$B199," | NDD: ",TEXT($J199,"#,##0")))</f>
        <v/>
      </c>
    </row>
    <row r="200" ht="15" customHeight="1" s="77">
      <c r="A200" s="123" t="n"/>
      <c r="B200" s="123" t="n"/>
      <c r="C200" s="124" t="n"/>
      <c r="D200" s="125" t="n"/>
      <c r="E200" s="123" t="n"/>
      <c r="F200" s="126" t="n"/>
      <c r="G200" s="125" t="n"/>
      <c r="H200" s="122">
        <f>IF($D200="",0,MAX(0,ROUNDDOWN((AmortismanRaporTarihi-$C200)/365,0)))</f>
        <v/>
      </c>
      <c r="I200" s="122">
        <f>IF($D200="",0,IFERROR(IF($E200="Azalan",MAX(0,$D200*(1-MIN(2*AmortismanAzalanCarpan*$F200,1)^$H200)),MIN($D200,$D200*$F200*$H200)),0))</f>
        <v/>
      </c>
      <c r="J200" s="122">
        <f>IF($D200="",0,MAX(0,$D200-$I200))</f>
        <v/>
      </c>
      <c r="K200" s="122">
        <f>IF($H200=0,0,IFERROR(IF($E200="Azalan",$D200*(1-MIN(2*AmortismanAzalanCarpan*$F200,1))^MAX(0,$H200-1)*MIN(2*AmortismanAzalanCarpan*$F200,1),MIN($D200*$F200,$D200)),0))</f>
        <v/>
      </c>
      <c r="L200" s="122">
        <f>IF($D200="",0,$G200-$J200)</f>
        <v/>
      </c>
      <c r="M200" s="122">
        <f>IF($B200="","",CONCATENATE("Kıymet: ",$B200," | NDD: ",TEXT($J200,"#,##0")))</f>
        <v/>
      </c>
    </row>
    <row r="201" ht="15" customHeight="1" s="77">
      <c r="A201" s="123" t="n"/>
      <c r="B201" s="123" t="n"/>
      <c r="C201" s="124" t="n"/>
      <c r="D201" s="125" t="n"/>
      <c r="E201" s="123" t="n"/>
      <c r="F201" s="126" t="n"/>
      <c r="G201" s="125" t="n"/>
      <c r="H201" s="122">
        <f>IF($D201="",0,MAX(0,ROUNDDOWN((AmortismanRaporTarihi-$C201)/365,0)))</f>
        <v/>
      </c>
      <c r="I201" s="122">
        <f>IF($D201="",0,IFERROR(IF($E201="Azalan",MAX(0,$D201*(1-MIN(2*AmortismanAzalanCarpan*$F201,1)^$H201)),MIN($D201,$D201*$F201*$H201)),0))</f>
        <v/>
      </c>
      <c r="J201" s="122">
        <f>IF($D201="",0,MAX(0,$D201-$I201))</f>
        <v/>
      </c>
      <c r="K201" s="122">
        <f>IF($H201=0,0,IFERROR(IF($E201="Azalan",$D201*(1-MIN(2*AmortismanAzalanCarpan*$F201,1))^MAX(0,$H201-1)*MIN(2*AmortismanAzalanCarpan*$F201,1),MIN($D201*$F201,$D201)),0))</f>
        <v/>
      </c>
      <c r="L201" s="122">
        <f>IF($D201="",0,$G201-$J201)</f>
        <v/>
      </c>
      <c r="M201" s="122">
        <f>IF($B201="","",CONCATENATE("Kıymet: ",$B201," | NDD: ",TEXT($J201,"#,##0")))</f>
        <v/>
      </c>
    </row>
    <row r="202" ht="15" customHeight="1" s="77">
      <c r="A202" s="123" t="n"/>
      <c r="B202" s="123" t="n"/>
      <c r="C202" s="124" t="n"/>
      <c r="D202" s="125" t="n"/>
      <c r="E202" s="123" t="n"/>
      <c r="F202" s="126" t="n"/>
      <c r="G202" s="125" t="n"/>
      <c r="H202" s="122">
        <f>IF($D202="",0,MAX(0,ROUNDDOWN((AmortismanRaporTarihi-$C202)/365,0)))</f>
        <v/>
      </c>
      <c r="I202" s="122">
        <f>IF($D202="",0,IFERROR(IF($E202="Azalan",MAX(0,$D202*(1-MIN(2*AmortismanAzalanCarpan*$F202,1)^$H202)),MIN($D202,$D202*$F202*$H202)),0))</f>
        <v/>
      </c>
      <c r="J202" s="122">
        <f>IF($D202="",0,MAX(0,$D202-$I202))</f>
        <v/>
      </c>
      <c r="K202" s="122">
        <f>IF($H202=0,0,IFERROR(IF($E202="Azalan",$D202*(1-MIN(2*AmortismanAzalanCarpan*$F202,1))^MAX(0,$H202-1)*MIN(2*AmortismanAzalanCarpan*$F202,1),MIN($D202*$F202,$D202)),0))</f>
        <v/>
      </c>
      <c r="L202" s="122">
        <f>IF($D202="",0,$G202-$J202)</f>
        <v/>
      </c>
      <c r="M202" s="122">
        <f>IF($B202="","",CONCATENATE("Kıymet: ",$B202," | NDD: ",TEXT($J202,"#,##0")))</f>
        <v/>
      </c>
    </row>
    <row r="203" ht="15" customHeight="1" s="77">
      <c r="A203" s="123" t="n"/>
      <c r="B203" s="123" t="n"/>
      <c r="C203" s="124" t="n"/>
      <c r="D203" s="125" t="n"/>
      <c r="E203" s="123" t="n"/>
      <c r="F203" s="126" t="n"/>
      <c r="G203" s="125" t="n"/>
      <c r="H203" s="122">
        <f>IF($D203="",0,MAX(0,ROUNDDOWN((AmortismanRaporTarihi-$C203)/365,0)))</f>
        <v/>
      </c>
      <c r="I203" s="122">
        <f>IF($D203="",0,IFERROR(IF($E203="Azalan",MAX(0,$D203*(1-MIN(2*AmortismanAzalanCarpan*$F203,1)^$H203)),MIN($D203,$D203*$F203*$H203)),0))</f>
        <v/>
      </c>
      <c r="J203" s="122">
        <f>IF($D203="",0,MAX(0,$D203-$I203))</f>
        <v/>
      </c>
      <c r="K203" s="122">
        <f>IF($H203=0,0,IFERROR(IF($E203="Azalan",$D203*(1-MIN(2*AmortismanAzalanCarpan*$F203,1))^MAX(0,$H203-1)*MIN(2*AmortismanAzalanCarpan*$F203,1),MIN($D203*$F203,$D203)),0))</f>
        <v/>
      </c>
      <c r="L203" s="122">
        <f>IF($D203="",0,$G203-$J203)</f>
        <v/>
      </c>
      <c r="M203" s="122">
        <f>IF($B203="","",CONCATENATE("Kıymet: ",$B203," | NDD: ",TEXT($J203,"#,##0")))</f>
        <v/>
      </c>
    </row>
    <row r="204" ht="15" customHeight="1" s="77">
      <c r="A204" s="123" t="n"/>
      <c r="B204" s="123" t="n"/>
      <c r="C204" s="124" t="n"/>
      <c r="D204" s="125" t="n"/>
      <c r="E204" s="123" t="n"/>
      <c r="F204" s="126" t="n"/>
      <c r="G204" s="125" t="n"/>
      <c r="H204" s="122">
        <f>IF($D204="",0,MAX(0,ROUNDDOWN((AmortismanRaporTarihi-$C204)/365,0)))</f>
        <v/>
      </c>
      <c r="I204" s="122">
        <f>IF($D204="",0,IFERROR(IF($E204="Azalan",MAX(0,$D204*(1-MIN(2*AmortismanAzalanCarpan*$F204,1)^$H204)),MIN($D204,$D204*$F204*$H204)),0))</f>
        <v/>
      </c>
      <c r="J204" s="122">
        <f>IF($D204="",0,MAX(0,$D204-$I204))</f>
        <v/>
      </c>
      <c r="K204" s="122">
        <f>IF($H204=0,0,IFERROR(IF($E204="Azalan",$D204*(1-MIN(2*AmortismanAzalanCarpan*$F204,1))^MAX(0,$H204-1)*MIN(2*AmortismanAzalanCarpan*$F204,1),MIN($D204*$F204,$D204)),0))</f>
        <v/>
      </c>
      <c r="L204" s="122">
        <f>IF($D204="",0,$G204-$J204)</f>
        <v/>
      </c>
      <c r="M204" s="122">
        <f>IF($B204="","",CONCATENATE("Kıymet: ",$B204," | NDD: ",TEXT($J204,"#,##0")))</f>
        <v/>
      </c>
    </row>
    <row r="205" ht="15" customHeight="1" s="77">
      <c r="A205" s="123" t="n"/>
      <c r="B205" s="123" t="n"/>
      <c r="C205" s="124" t="n"/>
      <c r="D205" s="125" t="n"/>
      <c r="E205" s="123" t="n"/>
      <c r="F205" s="126" t="n"/>
      <c r="G205" s="125" t="n"/>
      <c r="H205" s="122">
        <f>IF($D205="",0,MAX(0,ROUNDDOWN((AmortismanRaporTarihi-$C205)/365,0)))</f>
        <v/>
      </c>
      <c r="I205" s="122">
        <f>IF($D205="",0,IFERROR(IF($E205="Azalan",MAX(0,$D205*(1-MIN(2*AmortismanAzalanCarpan*$F205,1)^$H205)),MIN($D205,$D205*$F205*$H205)),0))</f>
        <v/>
      </c>
      <c r="J205" s="122">
        <f>IF($D205="",0,MAX(0,$D205-$I205))</f>
        <v/>
      </c>
      <c r="K205" s="122">
        <f>IF($H205=0,0,IFERROR(IF($E205="Azalan",$D205*(1-MIN(2*AmortismanAzalanCarpan*$F205,1))^MAX(0,$H205-1)*MIN(2*AmortismanAzalanCarpan*$F205,1),MIN($D205*$F205,$D205)),0))</f>
        <v/>
      </c>
      <c r="L205" s="122">
        <f>IF($D205="",0,$G205-$J205)</f>
        <v/>
      </c>
      <c r="M205" s="122">
        <f>IF($B205="","",CONCATENATE("Kıymet: ",$B205," | NDD: ",TEXT($J205,"#,##0")))</f>
        <v/>
      </c>
    </row>
    <row r="206" ht="15" customHeight="1" s="77">
      <c r="A206" s="123" t="n"/>
      <c r="B206" s="123" t="n"/>
      <c r="C206" s="124" t="n"/>
      <c r="D206" s="125" t="n"/>
      <c r="E206" s="123" t="n"/>
      <c r="F206" s="126" t="n"/>
      <c r="G206" s="125" t="n"/>
      <c r="H206" s="122">
        <f>IF($D206="",0,MAX(0,ROUNDDOWN((AmortismanRaporTarihi-$C206)/365,0)))</f>
        <v/>
      </c>
      <c r="I206" s="122">
        <f>IF($D206="",0,IFERROR(IF($E206="Azalan",MAX(0,$D206*(1-MIN(2*AmortismanAzalanCarpan*$F206,1)^$H206)),MIN($D206,$D206*$F206*$H206)),0))</f>
        <v/>
      </c>
      <c r="J206" s="122">
        <f>IF($D206="",0,MAX(0,$D206-$I206))</f>
        <v/>
      </c>
      <c r="K206" s="122">
        <f>IF($H206=0,0,IFERROR(IF($E206="Azalan",$D206*(1-MIN(2*AmortismanAzalanCarpan*$F206,1))^MAX(0,$H206-1)*MIN(2*AmortismanAzalanCarpan*$F206,1),MIN($D206*$F206,$D206)),0))</f>
        <v/>
      </c>
      <c r="L206" s="122">
        <f>IF($D206="",0,$G206-$J206)</f>
        <v/>
      </c>
      <c r="M206" s="122">
        <f>IF($B206="","",CONCATENATE("Kıymet: ",$B206," | NDD: ",TEXT($J206,"#,##0")))</f>
        <v/>
      </c>
    </row>
    <row r="207" ht="15" customHeight="1" s="77">
      <c r="A207" s="123" t="n"/>
      <c r="B207" s="123" t="n"/>
      <c r="C207" s="124" t="n"/>
      <c r="D207" s="125" t="n"/>
      <c r="E207" s="123" t="n"/>
      <c r="F207" s="126" t="n"/>
      <c r="G207" s="125" t="n"/>
      <c r="H207" s="122">
        <f>IF($D207="",0,MAX(0,ROUNDDOWN((AmortismanRaporTarihi-$C207)/365,0)))</f>
        <v/>
      </c>
      <c r="I207" s="122">
        <f>IF($D207="",0,IFERROR(IF($E207="Azalan",MAX(0,$D207*(1-MIN(2*AmortismanAzalanCarpan*$F207,1)^$H207)),MIN($D207,$D207*$F207*$H207)),0))</f>
        <v/>
      </c>
      <c r="J207" s="122">
        <f>IF($D207="",0,MAX(0,$D207-$I207))</f>
        <v/>
      </c>
      <c r="K207" s="122">
        <f>IF($H207=0,0,IFERROR(IF($E207="Azalan",$D207*(1-MIN(2*AmortismanAzalanCarpan*$F207,1))^MAX(0,$H207-1)*MIN(2*AmortismanAzalanCarpan*$F207,1),MIN($D207*$F207,$D207)),0))</f>
        <v/>
      </c>
      <c r="L207" s="122">
        <f>IF($D207="",0,$G207-$J207)</f>
        <v/>
      </c>
      <c r="M207" s="122">
        <f>IF($B207="","",CONCATENATE("Kıymet: ",$B207," | NDD: ",TEXT($J207,"#,##0")))</f>
        <v/>
      </c>
    </row>
    <row r="208" ht="15" customHeight="1" s="77">
      <c r="A208" s="123" t="n"/>
      <c r="B208" s="123" t="n"/>
      <c r="C208" s="124" t="n"/>
      <c r="D208" s="125" t="n"/>
      <c r="E208" s="123" t="n"/>
      <c r="F208" s="126" t="n"/>
      <c r="G208" s="125" t="n"/>
      <c r="H208" s="122">
        <f>IF($D208="",0,MAX(0,ROUNDDOWN((AmortismanRaporTarihi-$C208)/365,0)))</f>
        <v/>
      </c>
      <c r="I208" s="122">
        <f>IF($D208="",0,IFERROR(IF($E208="Azalan",MAX(0,$D208*(1-MIN(2*AmortismanAzalanCarpan*$F208,1)^$H208)),MIN($D208,$D208*$F208*$H208)),0))</f>
        <v/>
      </c>
      <c r="J208" s="122">
        <f>IF($D208="",0,MAX(0,$D208-$I208))</f>
        <v/>
      </c>
      <c r="K208" s="122">
        <f>IF($H208=0,0,IFERROR(IF($E208="Azalan",$D208*(1-MIN(2*AmortismanAzalanCarpan*$F208,1))^MAX(0,$H208-1)*MIN(2*AmortismanAzalanCarpan*$F208,1),MIN($D208*$F208,$D208)),0))</f>
        <v/>
      </c>
      <c r="L208" s="122">
        <f>IF($D208="",0,$G208-$J208)</f>
        <v/>
      </c>
      <c r="M208" s="122">
        <f>IF($B208="","",CONCATENATE("Kıymet: ",$B208," | NDD: ",TEXT($J208,"#,##0")))</f>
        <v/>
      </c>
    </row>
    <row r="209" ht="15" customHeight="1" s="77">
      <c r="A209" s="123" t="n"/>
      <c r="B209" s="123" t="n"/>
      <c r="C209" s="124" t="n"/>
      <c r="D209" s="125" t="n"/>
      <c r="E209" s="123" t="n"/>
      <c r="F209" s="126" t="n"/>
      <c r="G209" s="125" t="n"/>
      <c r="H209" s="122">
        <f>IF($D209="",0,MAX(0,ROUNDDOWN((AmortismanRaporTarihi-$C209)/365,0)))</f>
        <v/>
      </c>
      <c r="I209" s="122">
        <f>IF($D209="",0,IFERROR(IF($E209="Azalan",MAX(0,$D209*(1-MIN(2*AmortismanAzalanCarpan*$F209,1)^$H209)),MIN($D209,$D209*$F209*$H209)),0))</f>
        <v/>
      </c>
      <c r="J209" s="122">
        <f>IF($D209="",0,MAX(0,$D209-$I209))</f>
        <v/>
      </c>
      <c r="K209" s="122">
        <f>IF($H209=0,0,IFERROR(IF($E209="Azalan",$D209*(1-MIN(2*AmortismanAzalanCarpan*$F209,1))^MAX(0,$H209-1)*MIN(2*AmortismanAzalanCarpan*$F209,1),MIN($D209*$F209,$D209)),0))</f>
        <v/>
      </c>
      <c r="L209" s="122">
        <f>IF($D209="",0,$G209-$J209)</f>
        <v/>
      </c>
      <c r="M209" s="122">
        <f>IF($B209="","",CONCATENATE("Kıymet: ",$B209," | NDD: ",TEXT($J209,"#,##0")))</f>
        <v/>
      </c>
    </row>
    <row r="210" ht="15" customHeight="1" s="77">
      <c r="A210" s="123" t="n"/>
      <c r="B210" s="123" t="n"/>
      <c r="C210" s="124" t="n"/>
      <c r="D210" s="125" t="n"/>
      <c r="E210" s="123" t="n"/>
      <c r="F210" s="126" t="n"/>
      <c r="G210" s="125" t="n"/>
      <c r="H210" s="122">
        <f>IF($D210="",0,MAX(0,ROUNDDOWN((AmortismanRaporTarihi-$C210)/365,0)))</f>
        <v/>
      </c>
      <c r="I210" s="122">
        <f>IF($D210="",0,IFERROR(IF($E210="Azalan",MAX(0,$D210*(1-MIN(2*AmortismanAzalanCarpan*$F210,1)^$H210)),MIN($D210,$D210*$F210*$H210)),0))</f>
        <v/>
      </c>
      <c r="J210" s="122">
        <f>IF($D210="",0,MAX(0,$D210-$I210))</f>
        <v/>
      </c>
      <c r="K210" s="122">
        <f>IF($H210=0,0,IFERROR(IF($E210="Azalan",$D210*(1-MIN(2*AmortismanAzalanCarpan*$F210,1))^MAX(0,$H210-1)*MIN(2*AmortismanAzalanCarpan*$F210,1),MIN($D210*$F210,$D210)),0))</f>
        <v/>
      </c>
      <c r="L210" s="122">
        <f>IF($D210="",0,$G210-$J210)</f>
        <v/>
      </c>
      <c r="M210" s="122">
        <f>IF($B210="","",CONCATENATE("Kıymet: ",$B210," | NDD: ",TEXT($J210,"#,##0")))</f>
        <v/>
      </c>
    </row>
    <row r="211" ht="15" customHeight="1" s="77">
      <c r="A211" s="123" t="n"/>
      <c r="B211" s="123" t="n"/>
      <c r="C211" s="124" t="n"/>
      <c r="D211" s="125" t="n"/>
      <c r="E211" s="123" t="n"/>
      <c r="F211" s="126" t="n"/>
      <c r="G211" s="125" t="n"/>
      <c r="H211" s="122">
        <f>IF($D211="",0,MAX(0,ROUNDDOWN((AmortismanRaporTarihi-$C211)/365,0)))</f>
        <v/>
      </c>
      <c r="I211" s="122">
        <f>IF($D211="",0,IFERROR(IF($E211="Azalan",MAX(0,$D211*(1-MIN(2*AmortismanAzalanCarpan*$F211,1)^$H211)),MIN($D211,$D211*$F211*$H211)),0))</f>
        <v/>
      </c>
      <c r="J211" s="122">
        <f>IF($D211="",0,MAX(0,$D211-$I211))</f>
        <v/>
      </c>
      <c r="K211" s="122">
        <f>IF($H211=0,0,IFERROR(IF($E211="Azalan",$D211*(1-MIN(2*AmortismanAzalanCarpan*$F211,1))^MAX(0,$H211-1)*MIN(2*AmortismanAzalanCarpan*$F211,1),MIN($D211*$F211,$D211)),0))</f>
        <v/>
      </c>
      <c r="L211" s="122">
        <f>IF($D211="",0,$G211-$J211)</f>
        <v/>
      </c>
      <c r="M211" s="122">
        <f>IF($B211="","",CONCATENATE("Kıymet: ",$B211," | NDD: ",TEXT($J211,"#,##0")))</f>
        <v/>
      </c>
    </row>
    <row r="212" ht="15" customHeight="1" s="77">
      <c r="A212" s="123" t="n"/>
      <c r="B212" s="123" t="n"/>
      <c r="C212" s="124" t="n"/>
      <c r="D212" s="125" t="n"/>
      <c r="E212" s="123" t="n"/>
      <c r="F212" s="126" t="n"/>
      <c r="G212" s="125" t="n"/>
      <c r="H212" s="122">
        <f>IF($D212="",0,MAX(0,ROUNDDOWN((AmortismanRaporTarihi-$C212)/365,0)))</f>
        <v/>
      </c>
      <c r="I212" s="122">
        <f>IF($D212="",0,IFERROR(IF($E212="Azalan",MAX(0,$D212*(1-MIN(2*AmortismanAzalanCarpan*$F212,1)^$H212)),MIN($D212,$D212*$F212*$H212)),0))</f>
        <v/>
      </c>
      <c r="J212" s="122">
        <f>IF($D212="",0,MAX(0,$D212-$I212))</f>
        <v/>
      </c>
      <c r="K212" s="122">
        <f>IF($H212=0,0,IFERROR(IF($E212="Azalan",$D212*(1-MIN(2*AmortismanAzalanCarpan*$F212,1))^MAX(0,$H212-1)*MIN(2*AmortismanAzalanCarpan*$F212,1),MIN($D212*$F212,$D212)),0))</f>
        <v/>
      </c>
      <c r="L212" s="122">
        <f>IF($D212="",0,$G212-$J212)</f>
        <v/>
      </c>
      <c r="M212" s="122">
        <f>IF($B212="","",CONCATENATE("Kıymet: ",$B212," | NDD: ",TEXT($J212,"#,##0")))</f>
        <v/>
      </c>
    </row>
    <row r="213" ht="15" customHeight="1" s="77">
      <c r="A213" s="123" t="n"/>
      <c r="B213" s="123" t="n"/>
      <c r="C213" s="124" t="n"/>
      <c r="D213" s="125" t="n"/>
      <c r="E213" s="123" t="n"/>
      <c r="F213" s="126" t="n"/>
      <c r="G213" s="125" t="n"/>
      <c r="H213" s="122">
        <f>IF($D213="",0,MAX(0,ROUNDDOWN((AmortismanRaporTarihi-$C213)/365,0)))</f>
        <v/>
      </c>
      <c r="I213" s="122">
        <f>IF($D213="",0,IFERROR(IF($E213="Azalan",MAX(0,$D213*(1-MIN(2*AmortismanAzalanCarpan*$F213,1)^$H213)),MIN($D213,$D213*$F213*$H213)),0))</f>
        <v/>
      </c>
      <c r="J213" s="122">
        <f>IF($D213="",0,MAX(0,$D213-$I213))</f>
        <v/>
      </c>
      <c r="K213" s="122">
        <f>IF($H213=0,0,IFERROR(IF($E213="Azalan",$D213*(1-MIN(2*AmortismanAzalanCarpan*$F213,1))^MAX(0,$H213-1)*MIN(2*AmortismanAzalanCarpan*$F213,1),MIN($D213*$F213,$D213)),0))</f>
        <v/>
      </c>
      <c r="L213" s="122">
        <f>IF($D213="",0,$G213-$J213)</f>
        <v/>
      </c>
      <c r="M213" s="122">
        <f>IF($B213="","",CONCATENATE("Kıymet: ",$B213," | NDD: ",TEXT($J213,"#,##0")))</f>
        <v/>
      </c>
    </row>
    <row r="214" ht="15" customHeight="1" s="77">
      <c r="A214" s="123" t="n"/>
      <c r="B214" s="123" t="n"/>
      <c r="C214" s="124" t="n"/>
      <c r="D214" s="125" t="n"/>
      <c r="E214" s="123" t="n"/>
      <c r="F214" s="126" t="n"/>
      <c r="G214" s="125" t="n"/>
      <c r="H214" s="122">
        <f>IF($D214="",0,MAX(0,ROUNDDOWN((AmortismanRaporTarihi-$C214)/365,0)))</f>
        <v/>
      </c>
      <c r="I214" s="122">
        <f>IF($D214="",0,IFERROR(IF($E214="Azalan",MAX(0,$D214*(1-MIN(2*AmortismanAzalanCarpan*$F214,1)^$H214)),MIN($D214,$D214*$F214*$H214)),0))</f>
        <v/>
      </c>
      <c r="J214" s="122">
        <f>IF($D214="",0,MAX(0,$D214-$I214))</f>
        <v/>
      </c>
      <c r="K214" s="122">
        <f>IF($H214=0,0,IFERROR(IF($E214="Azalan",$D214*(1-MIN(2*AmortismanAzalanCarpan*$F214,1))^MAX(0,$H214-1)*MIN(2*AmortismanAzalanCarpan*$F214,1),MIN($D214*$F214,$D214)),0))</f>
        <v/>
      </c>
      <c r="L214" s="122">
        <f>IF($D214="",0,$G214-$J214)</f>
        <v/>
      </c>
      <c r="M214" s="122">
        <f>IF($B214="","",CONCATENATE("Kıymet: ",$B214," | NDD: ",TEXT($J214,"#,##0")))</f>
        <v/>
      </c>
    </row>
    <row r="215" ht="15" customHeight="1" s="77">
      <c r="A215" s="123" t="n"/>
      <c r="B215" s="123" t="n"/>
      <c r="C215" s="124" t="n"/>
      <c r="D215" s="125" t="n"/>
      <c r="E215" s="123" t="n"/>
      <c r="F215" s="126" t="n"/>
      <c r="G215" s="125" t="n"/>
      <c r="H215" s="122">
        <f>IF($D215="",0,MAX(0,ROUNDDOWN((AmortismanRaporTarihi-$C215)/365,0)))</f>
        <v/>
      </c>
      <c r="I215" s="122">
        <f>IF($D215="",0,IFERROR(IF($E215="Azalan",MAX(0,$D215*(1-MIN(2*AmortismanAzalanCarpan*$F215,1)^$H215)),MIN($D215,$D215*$F215*$H215)),0))</f>
        <v/>
      </c>
      <c r="J215" s="122">
        <f>IF($D215="",0,MAX(0,$D215-$I215))</f>
        <v/>
      </c>
      <c r="K215" s="122">
        <f>IF($H215=0,0,IFERROR(IF($E215="Azalan",$D215*(1-MIN(2*AmortismanAzalanCarpan*$F215,1))^MAX(0,$H215-1)*MIN(2*AmortismanAzalanCarpan*$F215,1),MIN($D215*$F215,$D215)),0))</f>
        <v/>
      </c>
      <c r="L215" s="122">
        <f>IF($D215="",0,$G215-$J215)</f>
        <v/>
      </c>
      <c r="M215" s="122">
        <f>IF($B215="","",CONCATENATE("Kıymet: ",$B215," | NDD: ",TEXT($J215,"#,##0")))</f>
        <v/>
      </c>
    </row>
    <row r="216" ht="15" customHeight="1" s="77">
      <c r="A216" s="123" t="n"/>
      <c r="B216" s="123" t="n"/>
      <c r="C216" s="124" t="n"/>
      <c r="D216" s="125" t="n"/>
      <c r="E216" s="123" t="n"/>
      <c r="F216" s="126" t="n"/>
      <c r="G216" s="125" t="n"/>
      <c r="H216" s="122">
        <f>IF($D216="",0,MAX(0,ROUNDDOWN((AmortismanRaporTarihi-$C216)/365,0)))</f>
        <v/>
      </c>
      <c r="I216" s="122">
        <f>IF($D216="",0,IFERROR(IF($E216="Azalan",MAX(0,$D216*(1-MIN(2*AmortismanAzalanCarpan*$F216,1)^$H216)),MIN($D216,$D216*$F216*$H216)),0))</f>
        <v/>
      </c>
      <c r="J216" s="122">
        <f>IF($D216="",0,MAX(0,$D216-$I216))</f>
        <v/>
      </c>
      <c r="K216" s="122">
        <f>IF($H216=0,0,IFERROR(IF($E216="Azalan",$D216*(1-MIN(2*AmortismanAzalanCarpan*$F216,1))^MAX(0,$H216-1)*MIN(2*AmortismanAzalanCarpan*$F216,1),MIN($D216*$F216,$D216)),0))</f>
        <v/>
      </c>
      <c r="L216" s="122">
        <f>IF($D216="",0,$G216-$J216)</f>
        <v/>
      </c>
      <c r="M216" s="122">
        <f>IF($B216="","",CONCATENATE("Kıymet: ",$B216," | NDD: ",TEXT($J216,"#,##0")))</f>
        <v/>
      </c>
    </row>
    <row r="217" ht="15" customHeight="1" s="77">
      <c r="A217" s="123" t="n"/>
      <c r="B217" s="123" t="n"/>
      <c r="C217" s="124" t="n"/>
      <c r="D217" s="125" t="n"/>
      <c r="E217" s="123" t="n"/>
      <c r="F217" s="126" t="n"/>
      <c r="G217" s="125" t="n"/>
      <c r="H217" s="122">
        <f>IF($D217="",0,MAX(0,ROUNDDOWN((AmortismanRaporTarihi-$C217)/365,0)))</f>
        <v/>
      </c>
      <c r="I217" s="122">
        <f>IF($D217="",0,IFERROR(IF($E217="Azalan",MAX(0,$D217*(1-MIN(2*AmortismanAzalanCarpan*$F217,1)^$H217)),MIN($D217,$D217*$F217*$H217)),0))</f>
        <v/>
      </c>
      <c r="J217" s="122">
        <f>IF($D217="",0,MAX(0,$D217-$I217))</f>
        <v/>
      </c>
      <c r="K217" s="122">
        <f>IF($H217=0,0,IFERROR(IF($E217="Azalan",$D217*(1-MIN(2*AmortismanAzalanCarpan*$F217,1))^MAX(0,$H217-1)*MIN(2*AmortismanAzalanCarpan*$F217,1),MIN($D217*$F217,$D217)),0))</f>
        <v/>
      </c>
      <c r="L217" s="122">
        <f>IF($D217="",0,$G217-$J217)</f>
        <v/>
      </c>
      <c r="M217" s="122">
        <f>IF($B217="","",CONCATENATE("Kıymet: ",$B217," | NDD: ",TEXT($J217,"#,##0")))</f>
        <v/>
      </c>
    </row>
    <row r="218" ht="15" customHeight="1" s="77">
      <c r="A218" s="123" t="n"/>
      <c r="B218" s="123" t="n"/>
      <c r="C218" s="124" t="n"/>
      <c r="D218" s="125" t="n"/>
      <c r="E218" s="123" t="n"/>
      <c r="F218" s="126" t="n"/>
      <c r="G218" s="125" t="n"/>
      <c r="H218" s="122">
        <f>IF($D218="",0,MAX(0,ROUNDDOWN((AmortismanRaporTarihi-$C218)/365,0)))</f>
        <v/>
      </c>
      <c r="I218" s="122">
        <f>IF($D218="",0,IFERROR(IF($E218="Azalan",MAX(0,$D218*(1-MIN(2*AmortismanAzalanCarpan*$F218,1)^$H218)),MIN($D218,$D218*$F218*$H218)),0))</f>
        <v/>
      </c>
      <c r="J218" s="122">
        <f>IF($D218="",0,MAX(0,$D218-$I218))</f>
        <v/>
      </c>
      <c r="K218" s="122">
        <f>IF($H218=0,0,IFERROR(IF($E218="Azalan",$D218*(1-MIN(2*AmortismanAzalanCarpan*$F218,1))^MAX(0,$H218-1)*MIN(2*AmortismanAzalanCarpan*$F218,1),MIN($D218*$F218,$D218)),0))</f>
        <v/>
      </c>
      <c r="L218" s="122">
        <f>IF($D218="",0,$G218-$J218)</f>
        <v/>
      </c>
      <c r="M218" s="122">
        <f>IF($B218="","",CONCATENATE("Kıymet: ",$B218," | NDD: ",TEXT($J218,"#,##0")))</f>
        <v/>
      </c>
    </row>
    <row r="219" ht="15" customHeight="1" s="77">
      <c r="A219" s="123" t="n"/>
      <c r="B219" s="123" t="n"/>
      <c r="C219" s="124" t="n"/>
      <c r="D219" s="125" t="n"/>
      <c r="E219" s="123" t="n"/>
      <c r="F219" s="126" t="n"/>
      <c r="G219" s="125" t="n"/>
      <c r="H219" s="122">
        <f>IF($D219="",0,MAX(0,ROUNDDOWN((AmortismanRaporTarihi-$C219)/365,0)))</f>
        <v/>
      </c>
      <c r="I219" s="122">
        <f>IF($D219="",0,IFERROR(IF($E219="Azalan",MAX(0,$D219*(1-MIN(2*AmortismanAzalanCarpan*$F219,1)^$H219)),MIN($D219,$D219*$F219*$H219)),0))</f>
        <v/>
      </c>
      <c r="J219" s="122">
        <f>IF($D219="",0,MAX(0,$D219-$I219))</f>
        <v/>
      </c>
      <c r="K219" s="122">
        <f>IF($H219=0,0,IFERROR(IF($E219="Azalan",$D219*(1-MIN(2*AmortismanAzalanCarpan*$F219,1))^MAX(0,$H219-1)*MIN(2*AmortismanAzalanCarpan*$F219,1),MIN($D219*$F219,$D219)),0))</f>
        <v/>
      </c>
      <c r="L219" s="122">
        <f>IF($D219="",0,$G219-$J219)</f>
        <v/>
      </c>
      <c r="M219" s="122">
        <f>IF($B219="","",CONCATENATE("Kıymet: ",$B219," | NDD: ",TEXT($J219,"#,##0")))</f>
        <v/>
      </c>
    </row>
    <row r="220" ht="15" customHeight="1" s="77">
      <c r="A220" s="123" t="n"/>
      <c r="B220" s="123" t="n"/>
      <c r="C220" s="124" t="n"/>
      <c r="D220" s="125" t="n"/>
      <c r="E220" s="123" t="n"/>
      <c r="F220" s="126" t="n"/>
      <c r="G220" s="125" t="n"/>
      <c r="H220" s="122">
        <f>IF($D220="",0,MAX(0,ROUNDDOWN((AmortismanRaporTarihi-$C220)/365,0)))</f>
        <v/>
      </c>
      <c r="I220" s="122">
        <f>IF($D220="",0,IFERROR(IF($E220="Azalan",MAX(0,$D220*(1-MIN(2*AmortismanAzalanCarpan*$F220,1)^$H220)),MIN($D220,$D220*$F220*$H220)),0))</f>
        <v/>
      </c>
      <c r="J220" s="122">
        <f>IF($D220="",0,MAX(0,$D220-$I220))</f>
        <v/>
      </c>
      <c r="K220" s="122">
        <f>IF($H220=0,0,IFERROR(IF($E220="Azalan",$D220*(1-MIN(2*AmortismanAzalanCarpan*$F220,1))^MAX(0,$H220-1)*MIN(2*AmortismanAzalanCarpan*$F220,1),MIN($D220*$F220,$D220)),0))</f>
        <v/>
      </c>
      <c r="L220" s="122">
        <f>IF($D220="",0,$G220-$J220)</f>
        <v/>
      </c>
      <c r="M220" s="122">
        <f>IF($B220="","",CONCATENATE("Kıymet: ",$B220," | NDD: ",TEXT($J220,"#,##0")))</f>
        <v/>
      </c>
    </row>
    <row r="221" ht="15" customHeight="1" s="77">
      <c r="A221" s="123" t="n"/>
      <c r="B221" s="123" t="n"/>
      <c r="C221" s="124" t="n"/>
      <c r="D221" s="125" t="n"/>
      <c r="E221" s="123" t="n"/>
      <c r="F221" s="126" t="n"/>
      <c r="G221" s="125" t="n"/>
      <c r="H221" s="122">
        <f>IF($D221="",0,MAX(0,ROUNDDOWN((AmortismanRaporTarihi-$C221)/365,0)))</f>
        <v/>
      </c>
      <c r="I221" s="122">
        <f>IF($D221="",0,IFERROR(IF($E221="Azalan",MAX(0,$D221*(1-MIN(2*AmortismanAzalanCarpan*$F221,1)^$H221)),MIN($D221,$D221*$F221*$H221)),0))</f>
        <v/>
      </c>
      <c r="J221" s="122">
        <f>IF($D221="",0,MAX(0,$D221-$I221))</f>
        <v/>
      </c>
      <c r="K221" s="122">
        <f>IF($H221=0,0,IFERROR(IF($E221="Azalan",$D221*(1-MIN(2*AmortismanAzalanCarpan*$F221,1))^MAX(0,$H221-1)*MIN(2*AmortismanAzalanCarpan*$F221,1),MIN($D221*$F221,$D221)),0))</f>
        <v/>
      </c>
      <c r="L221" s="122">
        <f>IF($D221="",0,$G221-$J221)</f>
        <v/>
      </c>
      <c r="M221" s="122">
        <f>IF($B221="","",CONCATENATE("Kıymet: ",$B221," | NDD: ",TEXT($J221,"#,##0")))</f>
        <v/>
      </c>
    </row>
    <row r="222" ht="15" customHeight="1" s="77">
      <c r="A222" s="123" t="n"/>
      <c r="B222" s="123" t="n"/>
      <c r="C222" s="124" t="n"/>
      <c r="D222" s="125" t="n"/>
      <c r="E222" s="123" t="n"/>
      <c r="F222" s="126" t="n"/>
      <c r="G222" s="125" t="n"/>
      <c r="H222" s="122">
        <f>IF($D222="",0,MAX(0,ROUNDDOWN((AmortismanRaporTarihi-$C222)/365,0)))</f>
        <v/>
      </c>
      <c r="I222" s="122">
        <f>IF($D222="",0,IFERROR(IF($E222="Azalan",MAX(0,$D222*(1-MIN(2*AmortismanAzalanCarpan*$F222,1)^$H222)),MIN($D222,$D222*$F222*$H222)),0))</f>
        <v/>
      </c>
      <c r="J222" s="122">
        <f>IF($D222="",0,MAX(0,$D222-$I222))</f>
        <v/>
      </c>
      <c r="K222" s="122">
        <f>IF($H222=0,0,IFERROR(IF($E222="Azalan",$D222*(1-MIN(2*AmortismanAzalanCarpan*$F222,1))^MAX(0,$H222-1)*MIN(2*AmortismanAzalanCarpan*$F222,1),MIN($D222*$F222,$D222)),0))</f>
        <v/>
      </c>
      <c r="L222" s="122">
        <f>IF($D222="",0,$G222-$J222)</f>
        <v/>
      </c>
      <c r="M222" s="122">
        <f>IF($B222="","",CONCATENATE("Kıymet: ",$B222," | NDD: ",TEXT($J222,"#,##0")))</f>
        <v/>
      </c>
    </row>
    <row r="223" ht="15" customHeight="1" s="77">
      <c r="A223" s="123" t="n"/>
      <c r="B223" s="123" t="n"/>
      <c r="C223" s="124" t="n"/>
      <c r="D223" s="125" t="n"/>
      <c r="E223" s="123" t="n"/>
      <c r="F223" s="126" t="n"/>
      <c r="G223" s="125" t="n"/>
      <c r="H223" s="122">
        <f>IF($D223="",0,MAX(0,ROUNDDOWN((AmortismanRaporTarihi-$C223)/365,0)))</f>
        <v/>
      </c>
      <c r="I223" s="122">
        <f>IF($D223="",0,IFERROR(IF($E223="Azalan",MAX(0,$D223*(1-MIN(2*AmortismanAzalanCarpan*$F223,1)^$H223)),MIN($D223,$D223*$F223*$H223)),0))</f>
        <v/>
      </c>
      <c r="J223" s="122">
        <f>IF($D223="",0,MAX(0,$D223-$I223))</f>
        <v/>
      </c>
      <c r="K223" s="122">
        <f>IF($H223=0,0,IFERROR(IF($E223="Azalan",$D223*(1-MIN(2*AmortismanAzalanCarpan*$F223,1))^MAX(0,$H223-1)*MIN(2*AmortismanAzalanCarpan*$F223,1),MIN($D223*$F223,$D223)),0))</f>
        <v/>
      </c>
      <c r="L223" s="122">
        <f>IF($D223="",0,$G223-$J223)</f>
        <v/>
      </c>
      <c r="M223" s="122">
        <f>IF($B223="","",CONCATENATE("Kıymet: ",$B223," | NDD: ",TEXT($J223,"#,##0")))</f>
        <v/>
      </c>
    </row>
    <row r="224" ht="15" customHeight="1" s="77">
      <c r="A224" s="123" t="n"/>
      <c r="B224" s="123" t="n"/>
      <c r="C224" s="124" t="n"/>
      <c r="D224" s="125" t="n"/>
      <c r="E224" s="123" t="n"/>
      <c r="F224" s="126" t="n"/>
      <c r="G224" s="125" t="n"/>
      <c r="H224" s="122">
        <f>IF($D224="",0,MAX(0,ROUNDDOWN((AmortismanRaporTarihi-$C224)/365,0)))</f>
        <v/>
      </c>
      <c r="I224" s="122">
        <f>IF($D224="",0,IFERROR(IF($E224="Azalan",MAX(0,$D224*(1-MIN(2*AmortismanAzalanCarpan*$F224,1)^$H224)),MIN($D224,$D224*$F224*$H224)),0))</f>
        <v/>
      </c>
      <c r="J224" s="122">
        <f>IF($D224="",0,MAX(0,$D224-$I224))</f>
        <v/>
      </c>
      <c r="K224" s="122">
        <f>IF($H224=0,0,IFERROR(IF($E224="Azalan",$D224*(1-MIN(2*AmortismanAzalanCarpan*$F224,1))^MAX(0,$H224-1)*MIN(2*AmortismanAzalanCarpan*$F224,1),MIN($D224*$F224,$D224)),0))</f>
        <v/>
      </c>
      <c r="L224" s="122">
        <f>IF($D224="",0,$G224-$J224)</f>
        <v/>
      </c>
      <c r="M224" s="122">
        <f>IF($B224="","",CONCATENATE("Kıymet: ",$B224," | NDD: ",TEXT($J224,"#,##0")))</f>
        <v/>
      </c>
    </row>
    <row r="225" ht="15" customHeight="1" s="77">
      <c r="A225" s="123" t="n"/>
      <c r="B225" s="123" t="n"/>
      <c r="C225" s="124" t="n"/>
      <c r="D225" s="125" t="n"/>
      <c r="E225" s="123" t="n"/>
      <c r="F225" s="126" t="n"/>
      <c r="G225" s="125" t="n"/>
      <c r="H225" s="122">
        <f>IF($D225="",0,MAX(0,ROUNDDOWN((AmortismanRaporTarihi-$C225)/365,0)))</f>
        <v/>
      </c>
      <c r="I225" s="122">
        <f>IF($D225="",0,IFERROR(IF($E225="Azalan",MAX(0,$D225*(1-MIN(2*AmortismanAzalanCarpan*$F225,1)^$H225)),MIN($D225,$D225*$F225*$H225)),0))</f>
        <v/>
      </c>
      <c r="J225" s="122">
        <f>IF($D225="",0,MAX(0,$D225-$I225))</f>
        <v/>
      </c>
      <c r="K225" s="122">
        <f>IF($H225=0,0,IFERROR(IF($E225="Azalan",$D225*(1-MIN(2*AmortismanAzalanCarpan*$F225,1))^MAX(0,$H225-1)*MIN(2*AmortismanAzalanCarpan*$F225,1),MIN($D225*$F225,$D225)),0))</f>
        <v/>
      </c>
      <c r="L225" s="122">
        <f>IF($D225="",0,$G225-$J225)</f>
        <v/>
      </c>
      <c r="M225" s="122">
        <f>IF($B225="","",CONCATENATE("Kıymet: ",$B225," | NDD: ",TEXT($J225,"#,##0")))</f>
        <v/>
      </c>
    </row>
    <row r="226" ht="15" customHeight="1" s="77">
      <c r="A226" s="123" t="n"/>
      <c r="B226" s="123" t="n"/>
      <c r="C226" s="124" t="n"/>
      <c r="D226" s="125" t="n"/>
      <c r="E226" s="123" t="n"/>
      <c r="F226" s="126" t="n"/>
      <c r="G226" s="125" t="n"/>
      <c r="H226" s="122">
        <f>IF($D226="",0,MAX(0,ROUNDDOWN((AmortismanRaporTarihi-$C226)/365,0)))</f>
        <v/>
      </c>
      <c r="I226" s="122">
        <f>IF($D226="",0,IFERROR(IF($E226="Azalan",MAX(0,$D226*(1-MIN(2*AmortismanAzalanCarpan*$F226,1)^$H226)),MIN($D226,$D226*$F226*$H226)),0))</f>
        <v/>
      </c>
      <c r="J226" s="122">
        <f>IF($D226="",0,MAX(0,$D226-$I226))</f>
        <v/>
      </c>
      <c r="K226" s="122">
        <f>IF($H226=0,0,IFERROR(IF($E226="Azalan",$D226*(1-MIN(2*AmortismanAzalanCarpan*$F226,1))^MAX(0,$H226-1)*MIN(2*AmortismanAzalanCarpan*$F226,1),MIN($D226*$F226,$D226)),0))</f>
        <v/>
      </c>
      <c r="L226" s="122">
        <f>IF($D226="",0,$G226-$J226)</f>
        <v/>
      </c>
      <c r="M226" s="122">
        <f>IF($B226="","",CONCATENATE("Kıymet: ",$B226," | NDD: ",TEXT($J226,"#,##0")))</f>
        <v/>
      </c>
    </row>
    <row r="227" ht="15" customHeight="1" s="77">
      <c r="A227" s="123" t="n"/>
      <c r="B227" s="123" t="n"/>
      <c r="C227" s="124" t="n"/>
      <c r="D227" s="125" t="n"/>
      <c r="E227" s="123" t="n"/>
      <c r="F227" s="126" t="n"/>
      <c r="G227" s="125" t="n"/>
      <c r="H227" s="122">
        <f>IF($D227="",0,MAX(0,ROUNDDOWN((AmortismanRaporTarihi-$C227)/365,0)))</f>
        <v/>
      </c>
      <c r="I227" s="122">
        <f>IF($D227="",0,IFERROR(IF($E227="Azalan",MAX(0,$D227*(1-MIN(2*AmortismanAzalanCarpan*$F227,1)^$H227)),MIN($D227,$D227*$F227*$H227)),0))</f>
        <v/>
      </c>
      <c r="J227" s="122">
        <f>IF($D227="",0,MAX(0,$D227-$I227))</f>
        <v/>
      </c>
      <c r="K227" s="122">
        <f>IF($H227=0,0,IFERROR(IF($E227="Azalan",$D227*(1-MIN(2*AmortismanAzalanCarpan*$F227,1))^MAX(0,$H227-1)*MIN(2*AmortismanAzalanCarpan*$F227,1),MIN($D227*$F227,$D227)),0))</f>
        <v/>
      </c>
      <c r="L227" s="122">
        <f>IF($D227="",0,$G227-$J227)</f>
        <v/>
      </c>
      <c r="M227" s="122">
        <f>IF($B227="","",CONCATENATE("Kıymet: ",$B227," | NDD: ",TEXT($J227,"#,##0")))</f>
        <v/>
      </c>
    </row>
    <row r="228" ht="15" customHeight="1" s="77">
      <c r="A228" s="123" t="n"/>
      <c r="B228" s="123" t="n"/>
      <c r="C228" s="124" t="n"/>
      <c r="D228" s="125" t="n"/>
      <c r="E228" s="123" t="n"/>
      <c r="F228" s="126" t="n"/>
      <c r="G228" s="125" t="n"/>
      <c r="H228" s="122">
        <f>IF($D228="",0,MAX(0,ROUNDDOWN((AmortismanRaporTarihi-$C228)/365,0)))</f>
        <v/>
      </c>
      <c r="I228" s="122">
        <f>IF($D228="",0,IFERROR(IF($E228="Azalan",MAX(0,$D228*(1-MIN(2*AmortismanAzalanCarpan*$F228,1)^$H228)),MIN($D228,$D228*$F228*$H228)),0))</f>
        <v/>
      </c>
      <c r="J228" s="122">
        <f>IF($D228="",0,MAX(0,$D228-$I228))</f>
        <v/>
      </c>
      <c r="K228" s="122">
        <f>IF($H228=0,0,IFERROR(IF($E228="Azalan",$D228*(1-MIN(2*AmortismanAzalanCarpan*$F228,1))^MAX(0,$H228-1)*MIN(2*AmortismanAzalanCarpan*$F228,1),MIN($D228*$F228,$D228)),0))</f>
        <v/>
      </c>
      <c r="L228" s="122">
        <f>IF($D228="",0,$G228-$J228)</f>
        <v/>
      </c>
      <c r="M228" s="122">
        <f>IF($B228="","",CONCATENATE("Kıymet: ",$B228," | NDD: ",TEXT($J228,"#,##0")))</f>
        <v/>
      </c>
    </row>
    <row r="229" ht="15" customHeight="1" s="77">
      <c r="A229" s="123" t="n"/>
      <c r="B229" s="123" t="n"/>
      <c r="C229" s="124" t="n"/>
      <c r="D229" s="125" t="n"/>
      <c r="E229" s="123" t="n"/>
      <c r="F229" s="126" t="n"/>
      <c r="G229" s="125" t="n"/>
      <c r="H229" s="122">
        <f>IF($D229="",0,MAX(0,ROUNDDOWN((AmortismanRaporTarihi-$C229)/365,0)))</f>
        <v/>
      </c>
      <c r="I229" s="122">
        <f>IF($D229="",0,IFERROR(IF($E229="Azalan",MAX(0,$D229*(1-MIN(2*AmortismanAzalanCarpan*$F229,1)^$H229)),MIN($D229,$D229*$F229*$H229)),0))</f>
        <v/>
      </c>
      <c r="J229" s="122">
        <f>IF($D229="",0,MAX(0,$D229-$I229))</f>
        <v/>
      </c>
      <c r="K229" s="122">
        <f>IF($H229=0,0,IFERROR(IF($E229="Azalan",$D229*(1-MIN(2*AmortismanAzalanCarpan*$F229,1))^MAX(0,$H229-1)*MIN(2*AmortismanAzalanCarpan*$F229,1),MIN($D229*$F229,$D229)),0))</f>
        <v/>
      </c>
      <c r="L229" s="122">
        <f>IF($D229="",0,$G229-$J229)</f>
        <v/>
      </c>
      <c r="M229" s="122">
        <f>IF($B229="","",CONCATENATE("Kıymet: ",$B229," | NDD: ",TEXT($J229,"#,##0")))</f>
        <v/>
      </c>
    </row>
    <row r="230" ht="15" customHeight="1" s="77">
      <c r="A230" s="123" t="n"/>
      <c r="B230" s="123" t="n"/>
      <c r="C230" s="124" t="n"/>
      <c r="D230" s="125" t="n"/>
      <c r="E230" s="123" t="n"/>
      <c r="F230" s="126" t="n"/>
      <c r="G230" s="125" t="n"/>
      <c r="H230" s="122">
        <f>IF($D230="",0,MAX(0,ROUNDDOWN((AmortismanRaporTarihi-$C230)/365,0)))</f>
        <v/>
      </c>
      <c r="I230" s="122">
        <f>IF($D230="",0,IFERROR(IF($E230="Azalan",MAX(0,$D230*(1-MIN(2*AmortismanAzalanCarpan*$F230,1)^$H230)),MIN($D230,$D230*$F230*$H230)),0))</f>
        <v/>
      </c>
      <c r="J230" s="122">
        <f>IF($D230="",0,MAX(0,$D230-$I230))</f>
        <v/>
      </c>
      <c r="K230" s="122">
        <f>IF($H230=0,0,IFERROR(IF($E230="Azalan",$D230*(1-MIN(2*AmortismanAzalanCarpan*$F230,1))^MAX(0,$H230-1)*MIN(2*AmortismanAzalanCarpan*$F230,1),MIN($D230*$F230,$D230)),0))</f>
        <v/>
      </c>
      <c r="L230" s="122">
        <f>IF($D230="",0,$G230-$J230)</f>
        <v/>
      </c>
      <c r="M230" s="122">
        <f>IF($B230="","",CONCATENATE("Kıymet: ",$B230," | NDD: ",TEXT($J230,"#,##0")))</f>
        <v/>
      </c>
    </row>
    <row r="231" ht="15" customHeight="1" s="77">
      <c r="A231" s="123" t="n"/>
      <c r="B231" s="123" t="n"/>
      <c r="C231" s="124" t="n"/>
      <c r="D231" s="125" t="n"/>
      <c r="E231" s="123" t="n"/>
      <c r="F231" s="126" t="n"/>
      <c r="G231" s="125" t="n"/>
      <c r="H231" s="122">
        <f>IF($D231="",0,MAX(0,ROUNDDOWN((AmortismanRaporTarihi-$C231)/365,0)))</f>
        <v/>
      </c>
      <c r="I231" s="122">
        <f>IF($D231="",0,IFERROR(IF($E231="Azalan",MAX(0,$D231*(1-MIN(2*AmortismanAzalanCarpan*$F231,1)^$H231)),MIN($D231,$D231*$F231*$H231)),0))</f>
        <v/>
      </c>
      <c r="J231" s="122">
        <f>IF($D231="",0,MAX(0,$D231-$I231))</f>
        <v/>
      </c>
      <c r="K231" s="122">
        <f>IF($H231=0,0,IFERROR(IF($E231="Azalan",$D231*(1-MIN(2*AmortismanAzalanCarpan*$F231,1))^MAX(0,$H231-1)*MIN(2*AmortismanAzalanCarpan*$F231,1),MIN($D231*$F231,$D231)),0))</f>
        <v/>
      </c>
      <c r="L231" s="122">
        <f>IF($D231="",0,$G231-$J231)</f>
        <v/>
      </c>
      <c r="M231" s="122">
        <f>IF($B231="","",CONCATENATE("Kıymet: ",$B231," | NDD: ",TEXT($J231,"#,##0")))</f>
        <v/>
      </c>
    </row>
    <row r="232" ht="15" customHeight="1" s="77">
      <c r="A232" s="123" t="n"/>
      <c r="B232" s="123" t="n"/>
      <c r="C232" s="124" t="n"/>
      <c r="D232" s="125" t="n"/>
      <c r="E232" s="123" t="n"/>
      <c r="F232" s="126" t="n"/>
      <c r="G232" s="125" t="n"/>
      <c r="H232" s="122">
        <f>IF($D232="",0,MAX(0,ROUNDDOWN((AmortismanRaporTarihi-$C232)/365,0)))</f>
        <v/>
      </c>
      <c r="I232" s="122">
        <f>IF($D232="",0,IFERROR(IF($E232="Azalan",MAX(0,$D232*(1-MIN(2*AmortismanAzalanCarpan*$F232,1)^$H232)),MIN($D232,$D232*$F232*$H232)),0))</f>
        <v/>
      </c>
      <c r="J232" s="122">
        <f>IF($D232="",0,MAX(0,$D232-$I232))</f>
        <v/>
      </c>
      <c r="K232" s="122">
        <f>IF($H232=0,0,IFERROR(IF($E232="Azalan",$D232*(1-MIN(2*AmortismanAzalanCarpan*$F232,1))^MAX(0,$H232-1)*MIN(2*AmortismanAzalanCarpan*$F232,1),MIN($D232*$F232,$D232)),0))</f>
        <v/>
      </c>
      <c r="L232" s="122">
        <f>IF($D232="",0,$G232-$J232)</f>
        <v/>
      </c>
      <c r="M232" s="122">
        <f>IF($B232="","",CONCATENATE("Kıymet: ",$B232," | NDD: ",TEXT($J232,"#,##0")))</f>
        <v/>
      </c>
    </row>
    <row r="233" ht="15" customHeight="1" s="77">
      <c r="A233" s="123" t="n"/>
      <c r="B233" s="123" t="n"/>
      <c r="C233" s="124" t="n"/>
      <c r="D233" s="125" t="n"/>
      <c r="E233" s="123" t="n"/>
      <c r="F233" s="126" t="n"/>
      <c r="G233" s="125" t="n"/>
      <c r="H233" s="122">
        <f>IF($D233="",0,MAX(0,ROUNDDOWN((AmortismanRaporTarihi-$C233)/365,0)))</f>
        <v/>
      </c>
      <c r="I233" s="122">
        <f>IF($D233="",0,IFERROR(IF($E233="Azalan",MAX(0,$D233*(1-MIN(2*AmortismanAzalanCarpan*$F233,1)^$H233)),MIN($D233,$D233*$F233*$H233)),0))</f>
        <v/>
      </c>
      <c r="J233" s="122">
        <f>IF($D233="",0,MAX(0,$D233-$I233))</f>
        <v/>
      </c>
      <c r="K233" s="122">
        <f>IF($H233=0,0,IFERROR(IF($E233="Azalan",$D233*(1-MIN(2*AmortismanAzalanCarpan*$F233,1))^MAX(0,$H233-1)*MIN(2*AmortismanAzalanCarpan*$F233,1),MIN($D233*$F233,$D233)),0))</f>
        <v/>
      </c>
      <c r="L233" s="122">
        <f>IF($D233="",0,$G233-$J233)</f>
        <v/>
      </c>
      <c r="M233" s="122">
        <f>IF($B233="","",CONCATENATE("Kıymet: ",$B233," | NDD: ",TEXT($J233,"#,##0")))</f>
        <v/>
      </c>
    </row>
    <row r="234" ht="15" customHeight="1" s="77">
      <c r="A234" s="123" t="n"/>
      <c r="B234" s="123" t="n"/>
      <c r="C234" s="124" t="n"/>
      <c r="D234" s="125" t="n"/>
      <c r="E234" s="123" t="n"/>
      <c r="F234" s="126" t="n"/>
      <c r="G234" s="125" t="n"/>
      <c r="H234" s="122">
        <f>IF($D234="",0,MAX(0,ROUNDDOWN((AmortismanRaporTarihi-$C234)/365,0)))</f>
        <v/>
      </c>
      <c r="I234" s="122">
        <f>IF($D234="",0,IFERROR(IF($E234="Azalan",MAX(0,$D234*(1-MIN(2*AmortismanAzalanCarpan*$F234,1)^$H234)),MIN($D234,$D234*$F234*$H234)),0))</f>
        <v/>
      </c>
      <c r="J234" s="122">
        <f>IF($D234="",0,MAX(0,$D234-$I234))</f>
        <v/>
      </c>
      <c r="K234" s="122">
        <f>IF($H234=0,0,IFERROR(IF($E234="Azalan",$D234*(1-MIN(2*AmortismanAzalanCarpan*$F234,1))^MAX(0,$H234-1)*MIN(2*AmortismanAzalanCarpan*$F234,1),MIN($D234*$F234,$D234)),0))</f>
        <v/>
      </c>
      <c r="L234" s="122">
        <f>IF($D234="",0,$G234-$J234)</f>
        <v/>
      </c>
      <c r="M234" s="122">
        <f>IF($B234="","",CONCATENATE("Kıymet: ",$B234," | NDD: ",TEXT($J234,"#,##0")))</f>
        <v/>
      </c>
    </row>
    <row r="235" ht="15" customHeight="1" s="77">
      <c r="A235" s="123" t="n"/>
      <c r="B235" s="123" t="n"/>
      <c r="C235" s="124" t="n"/>
      <c r="D235" s="125" t="n"/>
      <c r="E235" s="123" t="n"/>
      <c r="F235" s="126" t="n"/>
      <c r="G235" s="125" t="n"/>
      <c r="H235" s="122">
        <f>IF($D235="",0,MAX(0,ROUNDDOWN((AmortismanRaporTarihi-$C235)/365,0)))</f>
        <v/>
      </c>
      <c r="I235" s="122">
        <f>IF($D235="",0,IFERROR(IF($E235="Azalan",MAX(0,$D235*(1-MIN(2*AmortismanAzalanCarpan*$F235,1)^$H235)),MIN($D235,$D235*$F235*$H235)),0))</f>
        <v/>
      </c>
      <c r="J235" s="122">
        <f>IF($D235="",0,MAX(0,$D235-$I235))</f>
        <v/>
      </c>
      <c r="K235" s="122">
        <f>IF($H235=0,0,IFERROR(IF($E235="Azalan",$D235*(1-MIN(2*AmortismanAzalanCarpan*$F235,1))^MAX(0,$H235-1)*MIN(2*AmortismanAzalanCarpan*$F235,1),MIN($D235*$F235,$D235)),0))</f>
        <v/>
      </c>
      <c r="L235" s="122">
        <f>IF($D235="",0,$G235-$J235)</f>
        <v/>
      </c>
      <c r="M235" s="122">
        <f>IF($B235="","",CONCATENATE("Kıymet: ",$B235," | NDD: ",TEXT($J235,"#,##0")))</f>
        <v/>
      </c>
    </row>
    <row r="236" ht="15" customHeight="1" s="77">
      <c r="A236" s="123" t="n"/>
      <c r="B236" s="123" t="n"/>
      <c r="C236" s="124" t="n"/>
      <c r="D236" s="125" t="n"/>
      <c r="E236" s="123" t="n"/>
      <c r="F236" s="126" t="n"/>
      <c r="G236" s="125" t="n"/>
      <c r="H236" s="122">
        <f>IF($D236="",0,MAX(0,ROUNDDOWN((AmortismanRaporTarihi-$C236)/365,0)))</f>
        <v/>
      </c>
      <c r="I236" s="122">
        <f>IF($D236="",0,IFERROR(IF($E236="Azalan",MAX(0,$D236*(1-MIN(2*AmortismanAzalanCarpan*$F236,1)^$H236)),MIN($D236,$D236*$F236*$H236)),0))</f>
        <v/>
      </c>
      <c r="J236" s="122">
        <f>IF($D236="",0,MAX(0,$D236-$I236))</f>
        <v/>
      </c>
      <c r="K236" s="122">
        <f>IF($H236=0,0,IFERROR(IF($E236="Azalan",$D236*(1-MIN(2*AmortismanAzalanCarpan*$F236,1))^MAX(0,$H236-1)*MIN(2*AmortismanAzalanCarpan*$F236,1),MIN($D236*$F236,$D236)),0))</f>
        <v/>
      </c>
      <c r="L236" s="122">
        <f>IF($D236="",0,$G236-$J236)</f>
        <v/>
      </c>
      <c r="M236" s="122">
        <f>IF($B236="","",CONCATENATE("Kıymet: ",$B236," | NDD: ",TEXT($J236,"#,##0")))</f>
        <v/>
      </c>
    </row>
    <row r="237" ht="15" customHeight="1" s="77">
      <c r="A237" s="123" t="n"/>
      <c r="B237" s="123" t="n"/>
      <c r="C237" s="124" t="n"/>
      <c r="D237" s="125" t="n"/>
      <c r="E237" s="123" t="n"/>
      <c r="F237" s="126" t="n"/>
      <c r="G237" s="125" t="n"/>
      <c r="H237" s="122">
        <f>IF($D237="",0,MAX(0,ROUNDDOWN((AmortismanRaporTarihi-$C237)/365,0)))</f>
        <v/>
      </c>
      <c r="I237" s="122">
        <f>IF($D237="",0,IFERROR(IF($E237="Azalan",MAX(0,$D237*(1-MIN(2*AmortismanAzalanCarpan*$F237,1)^$H237)),MIN($D237,$D237*$F237*$H237)),0))</f>
        <v/>
      </c>
      <c r="J237" s="122">
        <f>IF($D237="",0,MAX(0,$D237-$I237))</f>
        <v/>
      </c>
      <c r="K237" s="122">
        <f>IF($H237=0,0,IFERROR(IF($E237="Azalan",$D237*(1-MIN(2*AmortismanAzalanCarpan*$F237,1))^MAX(0,$H237-1)*MIN(2*AmortismanAzalanCarpan*$F237,1),MIN($D237*$F237,$D237)),0))</f>
        <v/>
      </c>
      <c r="L237" s="122">
        <f>IF($D237="",0,$G237-$J237)</f>
        <v/>
      </c>
      <c r="M237" s="122">
        <f>IF($B237="","",CONCATENATE("Kıymet: ",$B237," | NDD: ",TEXT($J237,"#,##0")))</f>
        <v/>
      </c>
    </row>
    <row r="238" ht="15" customHeight="1" s="77">
      <c r="A238" s="123" t="n"/>
      <c r="B238" s="123" t="n"/>
      <c r="C238" s="124" t="n"/>
      <c r="D238" s="125" t="n"/>
      <c r="E238" s="123" t="n"/>
      <c r="F238" s="126" t="n"/>
      <c r="G238" s="125" t="n"/>
      <c r="H238" s="122">
        <f>IF($D238="",0,MAX(0,ROUNDDOWN((AmortismanRaporTarihi-$C238)/365,0)))</f>
        <v/>
      </c>
      <c r="I238" s="122">
        <f>IF($D238="",0,IFERROR(IF($E238="Azalan",MAX(0,$D238*(1-MIN(2*AmortismanAzalanCarpan*$F238,1)^$H238)),MIN($D238,$D238*$F238*$H238)),0))</f>
        <v/>
      </c>
      <c r="J238" s="122">
        <f>IF($D238="",0,MAX(0,$D238-$I238))</f>
        <v/>
      </c>
      <c r="K238" s="122">
        <f>IF($H238=0,0,IFERROR(IF($E238="Azalan",$D238*(1-MIN(2*AmortismanAzalanCarpan*$F238,1))^MAX(0,$H238-1)*MIN(2*AmortismanAzalanCarpan*$F238,1),MIN($D238*$F238,$D238)),0))</f>
        <v/>
      </c>
      <c r="L238" s="122">
        <f>IF($D238="",0,$G238-$J238)</f>
        <v/>
      </c>
      <c r="M238" s="122">
        <f>IF($B238="","",CONCATENATE("Kıymet: ",$B238," | NDD: ",TEXT($J238,"#,##0")))</f>
        <v/>
      </c>
    </row>
    <row r="239" ht="15" customHeight="1" s="77">
      <c r="A239" s="123" t="n"/>
      <c r="B239" s="123" t="n"/>
      <c r="C239" s="124" t="n"/>
      <c r="D239" s="125" t="n"/>
      <c r="E239" s="123" t="n"/>
      <c r="F239" s="126" t="n"/>
      <c r="G239" s="125" t="n"/>
      <c r="H239" s="122">
        <f>IF($D239="",0,MAX(0,ROUNDDOWN((AmortismanRaporTarihi-$C239)/365,0)))</f>
        <v/>
      </c>
      <c r="I239" s="122">
        <f>IF($D239="",0,IFERROR(IF($E239="Azalan",MAX(0,$D239*(1-MIN(2*AmortismanAzalanCarpan*$F239,1)^$H239)),MIN($D239,$D239*$F239*$H239)),0))</f>
        <v/>
      </c>
      <c r="J239" s="122">
        <f>IF($D239="",0,MAX(0,$D239-$I239))</f>
        <v/>
      </c>
      <c r="K239" s="122">
        <f>IF($H239=0,0,IFERROR(IF($E239="Azalan",$D239*(1-MIN(2*AmortismanAzalanCarpan*$F239,1))^MAX(0,$H239-1)*MIN(2*AmortismanAzalanCarpan*$F239,1),MIN($D239*$F239,$D239)),0))</f>
        <v/>
      </c>
      <c r="L239" s="122">
        <f>IF($D239="",0,$G239-$J239)</f>
        <v/>
      </c>
      <c r="M239" s="122">
        <f>IF($B239="","",CONCATENATE("Kıymet: ",$B239," | NDD: ",TEXT($J239,"#,##0")))</f>
        <v/>
      </c>
    </row>
    <row r="240" ht="15" customHeight="1" s="77">
      <c r="A240" s="123" t="n"/>
      <c r="B240" s="123" t="n"/>
      <c r="C240" s="124" t="n"/>
      <c r="D240" s="125" t="n"/>
      <c r="E240" s="123" t="n"/>
      <c r="F240" s="126" t="n"/>
      <c r="G240" s="125" t="n"/>
      <c r="H240" s="122">
        <f>IF($D240="",0,MAX(0,ROUNDDOWN((AmortismanRaporTarihi-$C240)/365,0)))</f>
        <v/>
      </c>
      <c r="I240" s="122">
        <f>IF($D240="",0,IFERROR(IF($E240="Azalan",MAX(0,$D240*(1-MIN(2*AmortismanAzalanCarpan*$F240,1)^$H240)),MIN($D240,$D240*$F240*$H240)),0))</f>
        <v/>
      </c>
      <c r="J240" s="122">
        <f>IF($D240="",0,MAX(0,$D240-$I240))</f>
        <v/>
      </c>
      <c r="K240" s="122">
        <f>IF($H240=0,0,IFERROR(IF($E240="Azalan",$D240*(1-MIN(2*AmortismanAzalanCarpan*$F240,1))^MAX(0,$H240-1)*MIN(2*AmortismanAzalanCarpan*$F240,1),MIN($D240*$F240,$D240)),0))</f>
        <v/>
      </c>
      <c r="L240" s="122">
        <f>IF($D240="",0,$G240-$J240)</f>
        <v/>
      </c>
      <c r="M240" s="122">
        <f>IF($B240="","",CONCATENATE("Kıymet: ",$B240," | NDD: ",TEXT($J240,"#,##0")))</f>
        <v/>
      </c>
    </row>
    <row r="241" ht="15" customHeight="1" s="77">
      <c r="A241" s="123" t="n"/>
      <c r="B241" s="123" t="n"/>
      <c r="C241" s="124" t="n"/>
      <c r="D241" s="125" t="n"/>
      <c r="E241" s="123" t="n"/>
      <c r="F241" s="126" t="n"/>
      <c r="G241" s="125" t="n"/>
      <c r="H241" s="122">
        <f>IF($D241="",0,MAX(0,ROUNDDOWN((AmortismanRaporTarihi-$C241)/365,0)))</f>
        <v/>
      </c>
      <c r="I241" s="122">
        <f>IF($D241="",0,IFERROR(IF($E241="Azalan",MAX(0,$D241*(1-MIN(2*AmortismanAzalanCarpan*$F241,1)^$H241)),MIN($D241,$D241*$F241*$H241)),0))</f>
        <v/>
      </c>
      <c r="J241" s="122">
        <f>IF($D241="",0,MAX(0,$D241-$I241))</f>
        <v/>
      </c>
      <c r="K241" s="122">
        <f>IF($H241=0,0,IFERROR(IF($E241="Azalan",$D241*(1-MIN(2*AmortismanAzalanCarpan*$F241,1))^MAX(0,$H241-1)*MIN(2*AmortismanAzalanCarpan*$F241,1),MIN($D241*$F241,$D241)),0))</f>
        <v/>
      </c>
      <c r="L241" s="122">
        <f>IF($D241="",0,$G241-$J241)</f>
        <v/>
      </c>
      <c r="M241" s="122">
        <f>IF($B241="","",CONCATENATE("Kıymet: ",$B241," | NDD: ",TEXT($J241,"#,##0")))</f>
        <v/>
      </c>
    </row>
    <row r="242" ht="15" customHeight="1" s="77">
      <c r="A242" s="123" t="n"/>
      <c r="B242" s="123" t="n"/>
      <c r="C242" s="124" t="n"/>
      <c r="D242" s="125" t="n"/>
      <c r="E242" s="123" t="n"/>
      <c r="F242" s="126" t="n"/>
      <c r="G242" s="125" t="n"/>
      <c r="H242" s="122">
        <f>IF($D242="",0,MAX(0,ROUNDDOWN((AmortismanRaporTarihi-$C242)/365,0)))</f>
        <v/>
      </c>
      <c r="I242" s="122">
        <f>IF($D242="",0,IFERROR(IF($E242="Azalan",MAX(0,$D242*(1-MIN(2*AmortismanAzalanCarpan*$F242,1)^$H242)),MIN($D242,$D242*$F242*$H242)),0))</f>
        <v/>
      </c>
      <c r="J242" s="122">
        <f>IF($D242="",0,MAX(0,$D242-$I242))</f>
        <v/>
      </c>
      <c r="K242" s="122">
        <f>IF($H242=0,0,IFERROR(IF($E242="Azalan",$D242*(1-MIN(2*AmortismanAzalanCarpan*$F242,1))^MAX(0,$H242-1)*MIN(2*AmortismanAzalanCarpan*$F242,1),MIN($D242*$F242,$D242)),0))</f>
        <v/>
      </c>
      <c r="L242" s="122">
        <f>IF($D242="",0,$G242-$J242)</f>
        <v/>
      </c>
      <c r="M242" s="122">
        <f>IF($B242="","",CONCATENATE("Kıymet: ",$B242," | NDD: ",TEXT($J242,"#,##0")))</f>
        <v/>
      </c>
    </row>
    <row r="243" ht="15" customHeight="1" s="77">
      <c r="A243" s="123" t="n"/>
      <c r="B243" s="123" t="n"/>
      <c r="C243" s="124" t="n"/>
      <c r="D243" s="125" t="n"/>
      <c r="E243" s="123" t="n"/>
      <c r="F243" s="126" t="n"/>
      <c r="G243" s="125" t="n"/>
      <c r="H243" s="122">
        <f>IF($D243="",0,MAX(0,ROUNDDOWN((AmortismanRaporTarihi-$C243)/365,0)))</f>
        <v/>
      </c>
      <c r="I243" s="122">
        <f>IF($D243="",0,IFERROR(IF($E243="Azalan",MAX(0,$D243*(1-MIN(2*AmortismanAzalanCarpan*$F243,1)^$H243)),MIN($D243,$D243*$F243*$H243)),0))</f>
        <v/>
      </c>
      <c r="J243" s="122">
        <f>IF($D243="",0,MAX(0,$D243-$I243))</f>
        <v/>
      </c>
      <c r="K243" s="122">
        <f>IF($H243=0,0,IFERROR(IF($E243="Azalan",$D243*(1-MIN(2*AmortismanAzalanCarpan*$F243,1))^MAX(0,$H243-1)*MIN(2*AmortismanAzalanCarpan*$F243,1),MIN($D243*$F243,$D243)),0))</f>
        <v/>
      </c>
      <c r="L243" s="122">
        <f>IF($D243="",0,$G243-$J243)</f>
        <v/>
      </c>
      <c r="M243" s="122">
        <f>IF($B243="","",CONCATENATE("Kıymet: ",$B243," | NDD: ",TEXT($J243,"#,##0")))</f>
        <v/>
      </c>
    </row>
    <row r="244" ht="15" customHeight="1" s="77">
      <c r="A244" s="123" t="n"/>
      <c r="B244" s="123" t="n"/>
      <c r="C244" s="124" t="n"/>
      <c r="D244" s="125" t="n"/>
      <c r="E244" s="123" t="n"/>
      <c r="F244" s="126" t="n"/>
      <c r="G244" s="125" t="n"/>
      <c r="H244" s="122">
        <f>IF($D244="",0,MAX(0,ROUNDDOWN((AmortismanRaporTarihi-$C244)/365,0)))</f>
        <v/>
      </c>
      <c r="I244" s="122">
        <f>IF($D244="",0,IFERROR(IF($E244="Azalan",MAX(0,$D244*(1-MIN(2*AmortismanAzalanCarpan*$F244,1)^$H244)),MIN($D244,$D244*$F244*$H244)),0))</f>
        <v/>
      </c>
      <c r="J244" s="122">
        <f>IF($D244="",0,MAX(0,$D244-$I244))</f>
        <v/>
      </c>
      <c r="K244" s="122">
        <f>IF($H244=0,0,IFERROR(IF($E244="Azalan",$D244*(1-MIN(2*AmortismanAzalanCarpan*$F244,1))^MAX(0,$H244-1)*MIN(2*AmortismanAzalanCarpan*$F244,1),MIN($D244*$F244,$D244)),0))</f>
        <v/>
      </c>
      <c r="L244" s="122">
        <f>IF($D244="",0,$G244-$J244)</f>
        <v/>
      </c>
      <c r="M244" s="122">
        <f>IF($B244="","",CONCATENATE("Kıymet: ",$B244," | NDD: ",TEXT($J244,"#,##0")))</f>
        <v/>
      </c>
    </row>
    <row r="245" ht="15" customHeight="1" s="77">
      <c r="A245" s="123" t="n"/>
      <c r="B245" s="123" t="n"/>
      <c r="C245" s="124" t="n"/>
      <c r="D245" s="125" t="n"/>
      <c r="E245" s="123" t="n"/>
      <c r="F245" s="126" t="n"/>
      <c r="G245" s="125" t="n"/>
      <c r="H245" s="122">
        <f>IF($D245="",0,MAX(0,ROUNDDOWN((AmortismanRaporTarihi-$C245)/365,0)))</f>
        <v/>
      </c>
      <c r="I245" s="122">
        <f>IF($D245="",0,IFERROR(IF($E245="Azalan",MAX(0,$D245*(1-MIN(2*AmortismanAzalanCarpan*$F245,1)^$H245)),MIN($D245,$D245*$F245*$H245)),0))</f>
        <v/>
      </c>
      <c r="J245" s="122">
        <f>IF($D245="",0,MAX(0,$D245-$I245))</f>
        <v/>
      </c>
      <c r="K245" s="122">
        <f>IF($H245=0,0,IFERROR(IF($E245="Azalan",$D245*(1-MIN(2*AmortismanAzalanCarpan*$F245,1))^MAX(0,$H245-1)*MIN(2*AmortismanAzalanCarpan*$F245,1),MIN($D245*$F245,$D245)),0))</f>
        <v/>
      </c>
      <c r="L245" s="122">
        <f>IF($D245="",0,$G245-$J245)</f>
        <v/>
      </c>
      <c r="M245" s="122">
        <f>IF($B245="","",CONCATENATE("Kıymet: ",$B245," | NDD: ",TEXT($J245,"#,##0")))</f>
        <v/>
      </c>
    </row>
    <row r="246" ht="15" customHeight="1" s="77">
      <c r="A246" s="123" t="n"/>
      <c r="B246" s="123" t="n"/>
      <c r="C246" s="124" t="n"/>
      <c r="D246" s="125" t="n"/>
      <c r="E246" s="123" t="n"/>
      <c r="F246" s="126" t="n"/>
      <c r="G246" s="125" t="n"/>
      <c r="H246" s="122">
        <f>IF($D246="",0,MAX(0,ROUNDDOWN((AmortismanRaporTarihi-$C246)/365,0)))</f>
        <v/>
      </c>
      <c r="I246" s="122">
        <f>IF($D246="",0,IFERROR(IF($E246="Azalan",MAX(0,$D246*(1-MIN(2*AmortismanAzalanCarpan*$F246,1)^$H246)),MIN($D246,$D246*$F246*$H246)),0))</f>
        <v/>
      </c>
      <c r="J246" s="122">
        <f>IF($D246="",0,MAX(0,$D246-$I246))</f>
        <v/>
      </c>
      <c r="K246" s="122">
        <f>IF($H246=0,0,IFERROR(IF($E246="Azalan",$D246*(1-MIN(2*AmortismanAzalanCarpan*$F246,1))^MAX(0,$H246-1)*MIN(2*AmortismanAzalanCarpan*$F246,1),MIN($D246*$F246,$D246)),0))</f>
        <v/>
      </c>
      <c r="L246" s="122">
        <f>IF($D246="",0,$G246-$J246)</f>
        <v/>
      </c>
      <c r="M246" s="122">
        <f>IF($B246="","",CONCATENATE("Kıymet: ",$B246," | NDD: ",TEXT($J246,"#,##0")))</f>
        <v/>
      </c>
    </row>
    <row r="247" ht="15" customHeight="1" s="77">
      <c r="A247" s="123" t="n"/>
      <c r="B247" s="123" t="n"/>
      <c r="C247" s="124" t="n"/>
      <c r="D247" s="125" t="n"/>
      <c r="E247" s="123" t="n"/>
      <c r="F247" s="126" t="n"/>
      <c r="G247" s="125" t="n"/>
      <c r="H247" s="122">
        <f>IF($D247="",0,MAX(0,ROUNDDOWN((AmortismanRaporTarihi-$C247)/365,0)))</f>
        <v/>
      </c>
      <c r="I247" s="122">
        <f>IF($D247="",0,IFERROR(IF($E247="Azalan",MAX(0,$D247*(1-MIN(2*AmortismanAzalanCarpan*$F247,1)^$H247)),MIN($D247,$D247*$F247*$H247)),0))</f>
        <v/>
      </c>
      <c r="J247" s="122">
        <f>IF($D247="",0,MAX(0,$D247-$I247))</f>
        <v/>
      </c>
      <c r="K247" s="122">
        <f>IF($H247=0,0,IFERROR(IF($E247="Azalan",$D247*(1-MIN(2*AmortismanAzalanCarpan*$F247,1))^MAX(0,$H247-1)*MIN(2*AmortismanAzalanCarpan*$F247,1),MIN($D247*$F247,$D247)),0))</f>
        <v/>
      </c>
      <c r="L247" s="122">
        <f>IF($D247="",0,$G247-$J247)</f>
        <v/>
      </c>
      <c r="M247" s="122">
        <f>IF($B247="","",CONCATENATE("Kıymet: ",$B247," | NDD: ",TEXT($J247,"#,##0")))</f>
        <v/>
      </c>
    </row>
    <row r="248" ht="15" customHeight="1" s="77">
      <c r="A248" s="123" t="n"/>
      <c r="B248" s="123" t="n"/>
      <c r="C248" s="124" t="n"/>
      <c r="D248" s="125" t="n"/>
      <c r="E248" s="123" t="n"/>
      <c r="F248" s="126" t="n"/>
      <c r="G248" s="125" t="n"/>
      <c r="H248" s="122">
        <f>IF($D248="",0,MAX(0,ROUNDDOWN((AmortismanRaporTarihi-$C248)/365,0)))</f>
        <v/>
      </c>
      <c r="I248" s="122">
        <f>IF($D248="",0,IFERROR(IF($E248="Azalan",MAX(0,$D248*(1-MIN(2*AmortismanAzalanCarpan*$F248,1)^$H248)),MIN($D248,$D248*$F248*$H248)),0))</f>
        <v/>
      </c>
      <c r="J248" s="122">
        <f>IF($D248="",0,MAX(0,$D248-$I248))</f>
        <v/>
      </c>
      <c r="K248" s="122">
        <f>IF($H248=0,0,IFERROR(IF($E248="Azalan",$D248*(1-MIN(2*AmortismanAzalanCarpan*$F248,1))^MAX(0,$H248-1)*MIN(2*AmortismanAzalanCarpan*$F248,1),MIN($D248*$F248,$D248)),0))</f>
        <v/>
      </c>
      <c r="L248" s="122">
        <f>IF($D248="",0,$G248-$J248)</f>
        <v/>
      </c>
      <c r="M248" s="122">
        <f>IF($B248="","",CONCATENATE("Kıymet: ",$B248," | NDD: ",TEXT($J248,"#,##0")))</f>
        <v/>
      </c>
    </row>
    <row r="249" ht="15" customHeight="1" s="77">
      <c r="A249" s="123" t="n"/>
      <c r="B249" s="123" t="n"/>
      <c r="C249" s="124" t="n"/>
      <c r="D249" s="125" t="n"/>
      <c r="E249" s="123" t="n"/>
      <c r="F249" s="126" t="n"/>
      <c r="G249" s="125" t="n"/>
      <c r="H249" s="122">
        <f>IF($D249="",0,MAX(0,ROUNDDOWN((AmortismanRaporTarihi-$C249)/365,0)))</f>
        <v/>
      </c>
      <c r="I249" s="122">
        <f>IF($D249="",0,IFERROR(IF($E249="Azalan",MAX(0,$D249*(1-MIN(2*AmortismanAzalanCarpan*$F249,1)^$H249)),MIN($D249,$D249*$F249*$H249)),0))</f>
        <v/>
      </c>
      <c r="J249" s="122">
        <f>IF($D249="",0,MAX(0,$D249-$I249))</f>
        <v/>
      </c>
      <c r="K249" s="122">
        <f>IF($H249=0,0,IFERROR(IF($E249="Azalan",$D249*(1-MIN(2*AmortismanAzalanCarpan*$F249,1))^MAX(0,$H249-1)*MIN(2*AmortismanAzalanCarpan*$F249,1),MIN($D249*$F249,$D249)),0))</f>
        <v/>
      </c>
      <c r="L249" s="122">
        <f>IF($D249="",0,$G249-$J249)</f>
        <v/>
      </c>
      <c r="M249" s="122">
        <f>IF($B249="","",CONCATENATE("Kıymet: ",$B249," | NDD: ",TEXT($J249,"#,##0")))</f>
        <v/>
      </c>
    </row>
    <row r="250" ht="15" customHeight="1" s="77">
      <c r="A250" s="123" t="n"/>
      <c r="B250" s="123" t="n"/>
      <c r="C250" s="124" t="n"/>
      <c r="D250" s="125" t="n"/>
      <c r="E250" s="123" t="n"/>
      <c r="F250" s="126" t="n"/>
      <c r="G250" s="125" t="n"/>
      <c r="H250" s="122">
        <f>IF($D250="",0,MAX(0,ROUNDDOWN((AmortismanRaporTarihi-$C250)/365,0)))</f>
        <v/>
      </c>
      <c r="I250" s="122">
        <f>IF($D250="",0,IFERROR(IF($E250="Azalan",MAX(0,$D250*(1-MIN(2*AmortismanAzalanCarpan*$F250,1)^$H250)),MIN($D250,$D250*$F250*$H250)),0))</f>
        <v/>
      </c>
      <c r="J250" s="122">
        <f>IF($D250="",0,MAX(0,$D250-$I250))</f>
        <v/>
      </c>
      <c r="K250" s="122">
        <f>IF($H250=0,0,IFERROR(IF($E250="Azalan",$D250*(1-MIN(2*AmortismanAzalanCarpan*$F250,1))^MAX(0,$H250-1)*MIN(2*AmortismanAzalanCarpan*$F250,1),MIN($D250*$F250,$D250)),0))</f>
        <v/>
      </c>
      <c r="L250" s="122">
        <f>IF($D250="",0,$G250-$J250)</f>
        <v/>
      </c>
      <c r="M250" s="122">
        <f>IF($B250="","",CONCATENATE("Kıymet: ",$B250," | NDD: ",TEXT($J250,"#,##0")))</f>
        <v/>
      </c>
    </row>
    <row r="251" ht="15" customHeight="1" s="77">
      <c r="A251" s="123" t="n"/>
      <c r="B251" s="123" t="n"/>
      <c r="C251" s="124" t="n"/>
      <c r="D251" s="125" t="n"/>
      <c r="E251" s="123" t="n"/>
      <c r="F251" s="126" t="n"/>
      <c r="G251" s="125" t="n"/>
      <c r="H251" s="122">
        <f>IF($D251="",0,MAX(0,ROUNDDOWN((AmortismanRaporTarihi-$C251)/365,0)))</f>
        <v/>
      </c>
      <c r="I251" s="122">
        <f>IF($D251="",0,IFERROR(IF($E251="Azalan",MAX(0,$D251*(1-MIN(2*AmortismanAzalanCarpan*$F251,1)^$H251)),MIN($D251,$D251*$F251*$H251)),0))</f>
        <v/>
      </c>
      <c r="J251" s="122">
        <f>IF($D251="",0,MAX(0,$D251-$I251))</f>
        <v/>
      </c>
      <c r="K251" s="122">
        <f>IF($H251=0,0,IFERROR(IF($E251="Azalan",$D251*(1-MIN(2*AmortismanAzalanCarpan*$F251,1))^MAX(0,$H251-1)*MIN(2*AmortismanAzalanCarpan*$F251,1),MIN($D251*$F251,$D251)),0))</f>
        <v/>
      </c>
      <c r="L251" s="122">
        <f>IF($D251="",0,$G251-$J251)</f>
        <v/>
      </c>
      <c r="M251" s="122">
        <f>IF($B251="","",CONCATENATE("Kıymet: ",$B251," | NDD: ",TEXT($J251,"#,##0")))</f>
        <v/>
      </c>
    </row>
    <row r="252" ht="15" customHeight="1" s="77">
      <c r="A252" s="123" t="n"/>
      <c r="B252" s="123" t="n"/>
      <c r="C252" s="124" t="n"/>
      <c r="D252" s="125" t="n"/>
      <c r="E252" s="123" t="n"/>
      <c r="F252" s="126" t="n"/>
      <c r="G252" s="125" t="n"/>
      <c r="H252" s="122">
        <f>IF($D252="",0,MAX(0,ROUNDDOWN((AmortismanRaporTarihi-$C252)/365,0)))</f>
        <v/>
      </c>
      <c r="I252" s="122">
        <f>IF($D252="",0,IFERROR(IF($E252="Azalan",MAX(0,$D252*(1-MIN(2*AmortismanAzalanCarpan*$F252,1)^$H252)),MIN($D252,$D252*$F252*$H252)),0))</f>
        <v/>
      </c>
      <c r="J252" s="122">
        <f>IF($D252="",0,MAX(0,$D252-$I252))</f>
        <v/>
      </c>
      <c r="K252" s="122">
        <f>IF($H252=0,0,IFERROR(IF($E252="Azalan",$D252*(1-MIN(2*AmortismanAzalanCarpan*$F252,1))^MAX(0,$H252-1)*MIN(2*AmortismanAzalanCarpan*$F252,1),MIN($D252*$F252,$D252)),0))</f>
        <v/>
      </c>
      <c r="L252" s="122">
        <f>IF($D252="",0,$G252-$J252)</f>
        <v/>
      </c>
      <c r="M252" s="122">
        <f>IF($B252="","",CONCATENATE("Kıymet: ",$B252," | NDD: ",TEXT($J252,"#,##0")))</f>
        <v/>
      </c>
    </row>
    <row r="253" ht="15" customHeight="1" s="77">
      <c r="A253" s="123" t="n"/>
      <c r="B253" s="123" t="n"/>
      <c r="C253" s="124" t="n"/>
      <c r="D253" s="125" t="n"/>
      <c r="E253" s="123" t="n"/>
      <c r="F253" s="126" t="n"/>
      <c r="G253" s="125" t="n"/>
      <c r="H253" s="122">
        <f>IF($D253="",0,MAX(0,ROUNDDOWN((AmortismanRaporTarihi-$C253)/365,0)))</f>
        <v/>
      </c>
      <c r="I253" s="122">
        <f>IF($D253="",0,IFERROR(IF($E253="Azalan",MAX(0,$D253*(1-MIN(2*AmortismanAzalanCarpan*$F253,1)^$H253)),MIN($D253,$D253*$F253*$H253)),0))</f>
        <v/>
      </c>
      <c r="J253" s="122">
        <f>IF($D253="",0,MAX(0,$D253-$I253))</f>
        <v/>
      </c>
      <c r="K253" s="122">
        <f>IF($H253=0,0,IFERROR(IF($E253="Azalan",$D253*(1-MIN(2*AmortismanAzalanCarpan*$F253,1))^MAX(0,$H253-1)*MIN(2*AmortismanAzalanCarpan*$F253,1),MIN($D253*$F253,$D253)),0))</f>
        <v/>
      </c>
      <c r="L253" s="122">
        <f>IF($D253="",0,$G253-$J253)</f>
        <v/>
      </c>
      <c r="M253" s="122">
        <f>IF($B253="","",CONCATENATE("Kıymet: ",$B253," | NDD: ",TEXT($J253,"#,##0")))</f>
        <v/>
      </c>
    </row>
    <row r="254" ht="15" customHeight="1" s="77">
      <c r="A254" s="123" t="n"/>
      <c r="B254" s="123" t="n"/>
      <c r="C254" s="124" t="n"/>
      <c r="D254" s="125" t="n"/>
      <c r="E254" s="123" t="n"/>
      <c r="F254" s="126" t="n"/>
      <c r="G254" s="125" t="n"/>
      <c r="H254" s="122">
        <f>IF($D254="",0,MAX(0,ROUNDDOWN((AmortismanRaporTarihi-$C254)/365,0)))</f>
        <v/>
      </c>
      <c r="I254" s="122">
        <f>IF($D254="",0,IFERROR(IF($E254="Azalan",MAX(0,$D254*(1-MIN(2*AmortismanAzalanCarpan*$F254,1)^$H254)),MIN($D254,$D254*$F254*$H254)),0))</f>
        <v/>
      </c>
      <c r="J254" s="122">
        <f>IF($D254="",0,MAX(0,$D254-$I254))</f>
        <v/>
      </c>
      <c r="K254" s="122">
        <f>IF($H254=0,0,IFERROR(IF($E254="Azalan",$D254*(1-MIN(2*AmortismanAzalanCarpan*$F254,1))^MAX(0,$H254-1)*MIN(2*AmortismanAzalanCarpan*$F254,1),MIN($D254*$F254,$D254)),0))</f>
        <v/>
      </c>
      <c r="L254" s="122">
        <f>IF($D254="",0,$G254-$J254)</f>
        <v/>
      </c>
      <c r="M254" s="122">
        <f>IF($B254="","",CONCATENATE("Kıymet: ",$B254," | NDD: ",TEXT($J254,"#,##0")))</f>
        <v/>
      </c>
    </row>
    <row r="255" ht="15" customHeight="1" s="77">
      <c r="A255" s="123" t="n"/>
      <c r="B255" s="123" t="n"/>
      <c r="C255" s="124" t="n"/>
      <c r="D255" s="125" t="n"/>
      <c r="E255" s="123" t="n"/>
      <c r="F255" s="126" t="n"/>
      <c r="G255" s="125" t="n"/>
      <c r="H255" s="122">
        <f>IF($D255="",0,MAX(0,ROUNDDOWN((AmortismanRaporTarihi-$C255)/365,0)))</f>
        <v/>
      </c>
      <c r="I255" s="122">
        <f>IF($D255="",0,IFERROR(IF($E255="Azalan",MAX(0,$D255*(1-MIN(2*AmortismanAzalanCarpan*$F255,1)^$H255)),MIN($D255,$D255*$F255*$H255)),0))</f>
        <v/>
      </c>
      <c r="J255" s="122">
        <f>IF($D255="",0,MAX(0,$D255-$I255))</f>
        <v/>
      </c>
      <c r="K255" s="122">
        <f>IF($H255=0,0,IFERROR(IF($E255="Azalan",$D255*(1-MIN(2*AmortismanAzalanCarpan*$F255,1))^MAX(0,$H255-1)*MIN(2*AmortismanAzalanCarpan*$F255,1),MIN($D255*$F255,$D255)),0))</f>
        <v/>
      </c>
      <c r="L255" s="122">
        <f>IF($D255="",0,$G255-$J255)</f>
        <v/>
      </c>
      <c r="M255" s="122">
        <f>IF($B255="","",CONCATENATE("Kıymet: ",$B255," | NDD: ",TEXT($J255,"#,##0")))</f>
        <v/>
      </c>
    </row>
    <row r="256" ht="15" customHeight="1" s="77">
      <c r="A256" s="123" t="n"/>
      <c r="B256" s="123" t="n"/>
      <c r="C256" s="124" t="n"/>
      <c r="D256" s="125" t="n"/>
      <c r="E256" s="123" t="n"/>
      <c r="F256" s="126" t="n"/>
      <c r="G256" s="125" t="n"/>
      <c r="H256" s="122">
        <f>IF($D256="",0,MAX(0,ROUNDDOWN((AmortismanRaporTarihi-$C256)/365,0)))</f>
        <v/>
      </c>
      <c r="I256" s="122">
        <f>IF($D256="",0,IFERROR(IF($E256="Azalan",MAX(0,$D256*(1-MIN(2*AmortismanAzalanCarpan*$F256,1)^$H256)),MIN($D256,$D256*$F256*$H256)),0))</f>
        <v/>
      </c>
      <c r="J256" s="122">
        <f>IF($D256="",0,MAX(0,$D256-$I256))</f>
        <v/>
      </c>
      <c r="K256" s="122">
        <f>IF($H256=0,0,IFERROR(IF($E256="Azalan",$D256*(1-MIN(2*AmortismanAzalanCarpan*$F256,1))^MAX(0,$H256-1)*MIN(2*AmortismanAzalanCarpan*$F256,1),MIN($D256*$F256,$D256)),0))</f>
        <v/>
      </c>
      <c r="L256" s="122">
        <f>IF($D256="",0,$G256-$J256)</f>
        <v/>
      </c>
      <c r="M256" s="122">
        <f>IF($B256="","",CONCATENATE("Kıymet: ",$B256," | NDD: ",TEXT($J256,"#,##0")))</f>
        <v/>
      </c>
    </row>
    <row r="257" ht="15" customHeight="1" s="77">
      <c r="A257" s="123" t="n"/>
      <c r="B257" s="123" t="n"/>
      <c r="C257" s="124" t="n"/>
      <c r="D257" s="125" t="n"/>
      <c r="E257" s="123" t="n"/>
      <c r="F257" s="126" t="n"/>
      <c r="G257" s="125" t="n"/>
      <c r="H257" s="122">
        <f>IF($D257="",0,MAX(0,ROUNDDOWN((AmortismanRaporTarihi-$C257)/365,0)))</f>
        <v/>
      </c>
      <c r="I257" s="122">
        <f>IF($D257="",0,IFERROR(IF($E257="Azalan",MAX(0,$D257*(1-MIN(2*AmortismanAzalanCarpan*$F257,1)^$H257)),MIN($D257,$D257*$F257*$H257)),0))</f>
        <v/>
      </c>
      <c r="J257" s="122">
        <f>IF($D257="",0,MAX(0,$D257-$I257))</f>
        <v/>
      </c>
      <c r="K257" s="122">
        <f>IF($H257=0,0,IFERROR(IF($E257="Azalan",$D257*(1-MIN(2*AmortismanAzalanCarpan*$F257,1))^MAX(0,$H257-1)*MIN(2*AmortismanAzalanCarpan*$F257,1),MIN($D257*$F257,$D257)),0))</f>
        <v/>
      </c>
      <c r="L257" s="122">
        <f>IF($D257="",0,$G257-$J257)</f>
        <v/>
      </c>
      <c r="M257" s="122">
        <f>IF($B257="","",CONCATENATE("Kıymet: ",$B257," | NDD: ",TEXT($J257,"#,##0")))</f>
        <v/>
      </c>
    </row>
    <row r="258" ht="15" customHeight="1" s="77">
      <c r="A258" s="123" t="n"/>
      <c r="B258" s="123" t="n"/>
      <c r="C258" s="124" t="n"/>
      <c r="D258" s="125" t="n"/>
      <c r="E258" s="123" t="n"/>
      <c r="F258" s="126" t="n"/>
      <c r="G258" s="125" t="n"/>
      <c r="H258" s="122">
        <f>IF($D258="",0,MAX(0,ROUNDDOWN((AmortismanRaporTarihi-$C258)/365,0)))</f>
        <v/>
      </c>
      <c r="I258" s="122">
        <f>IF($D258="",0,IFERROR(IF($E258="Azalan",MAX(0,$D258*(1-MIN(2*AmortismanAzalanCarpan*$F258,1)^$H258)),MIN($D258,$D258*$F258*$H258)),0))</f>
        <v/>
      </c>
      <c r="J258" s="122">
        <f>IF($D258="",0,MAX(0,$D258-$I258))</f>
        <v/>
      </c>
      <c r="K258" s="122">
        <f>IF($H258=0,0,IFERROR(IF($E258="Azalan",$D258*(1-MIN(2*AmortismanAzalanCarpan*$F258,1))^MAX(0,$H258-1)*MIN(2*AmortismanAzalanCarpan*$F258,1),MIN($D258*$F258,$D258)),0))</f>
        <v/>
      </c>
      <c r="L258" s="122">
        <f>IF($D258="",0,$G258-$J258)</f>
        <v/>
      </c>
      <c r="M258" s="122">
        <f>IF($B258="","",CONCATENATE("Kıymet: ",$B258," | NDD: ",TEXT($J258,"#,##0")))</f>
        <v/>
      </c>
    </row>
    <row r="259" ht="15" customHeight="1" s="77">
      <c r="A259" s="123" t="n"/>
      <c r="B259" s="123" t="n"/>
      <c r="C259" s="124" t="n"/>
      <c r="D259" s="125" t="n"/>
      <c r="E259" s="123" t="n"/>
      <c r="F259" s="126" t="n"/>
      <c r="G259" s="125" t="n"/>
      <c r="H259" s="122">
        <f>IF($D259="",0,MAX(0,ROUNDDOWN((AmortismanRaporTarihi-$C259)/365,0)))</f>
        <v/>
      </c>
      <c r="I259" s="122">
        <f>IF($D259="",0,IFERROR(IF($E259="Azalan",MAX(0,$D259*(1-MIN(2*AmortismanAzalanCarpan*$F259,1)^$H259)),MIN($D259,$D259*$F259*$H259)),0))</f>
        <v/>
      </c>
      <c r="J259" s="122">
        <f>IF($D259="",0,MAX(0,$D259-$I259))</f>
        <v/>
      </c>
      <c r="K259" s="122">
        <f>IF($H259=0,0,IFERROR(IF($E259="Azalan",$D259*(1-MIN(2*AmortismanAzalanCarpan*$F259,1))^MAX(0,$H259-1)*MIN(2*AmortismanAzalanCarpan*$F259,1),MIN($D259*$F259,$D259)),0))</f>
        <v/>
      </c>
      <c r="L259" s="122">
        <f>IF($D259="",0,$G259-$J259)</f>
        <v/>
      </c>
      <c r="M259" s="122">
        <f>IF($B259="","",CONCATENATE("Kıymet: ",$B259," | NDD: ",TEXT($J259,"#,##0")))</f>
        <v/>
      </c>
    </row>
    <row r="260" ht="15" customHeight="1" s="77">
      <c r="A260" s="123" t="n"/>
      <c r="B260" s="123" t="n"/>
      <c r="C260" s="124" t="n"/>
      <c r="D260" s="125" t="n"/>
      <c r="E260" s="123" t="n"/>
      <c r="F260" s="126" t="n"/>
      <c r="G260" s="125" t="n"/>
      <c r="H260" s="122">
        <f>IF($D260="",0,MAX(0,ROUNDDOWN((AmortismanRaporTarihi-$C260)/365,0)))</f>
        <v/>
      </c>
      <c r="I260" s="122">
        <f>IF($D260="",0,IFERROR(IF($E260="Azalan",MAX(0,$D260*(1-MIN(2*AmortismanAzalanCarpan*$F260,1)^$H260)),MIN($D260,$D260*$F260*$H260)),0))</f>
        <v/>
      </c>
      <c r="J260" s="122">
        <f>IF($D260="",0,MAX(0,$D260-$I260))</f>
        <v/>
      </c>
      <c r="K260" s="122">
        <f>IF($H260=0,0,IFERROR(IF($E260="Azalan",$D260*(1-MIN(2*AmortismanAzalanCarpan*$F260,1))^MAX(0,$H260-1)*MIN(2*AmortismanAzalanCarpan*$F260,1),MIN($D260*$F260,$D260)),0))</f>
        <v/>
      </c>
      <c r="L260" s="122">
        <f>IF($D260="",0,$G260-$J260)</f>
        <v/>
      </c>
      <c r="M260" s="122">
        <f>IF($B260="","",CONCATENATE("Kıymet: ",$B260," | NDD: ",TEXT($J260,"#,##0")))</f>
        <v/>
      </c>
    </row>
    <row r="261" ht="15" customHeight="1" s="77">
      <c r="A261" s="123" t="n"/>
      <c r="B261" s="123" t="n"/>
      <c r="C261" s="124" t="n"/>
      <c r="D261" s="125" t="n"/>
      <c r="E261" s="123" t="n"/>
      <c r="F261" s="126" t="n"/>
      <c r="G261" s="125" t="n"/>
      <c r="H261" s="122">
        <f>IF($D261="",0,MAX(0,ROUNDDOWN((AmortismanRaporTarihi-$C261)/365,0)))</f>
        <v/>
      </c>
      <c r="I261" s="122">
        <f>IF($D261="",0,IFERROR(IF($E261="Azalan",MAX(0,$D261*(1-MIN(2*AmortismanAzalanCarpan*$F261,1)^$H261)),MIN($D261,$D261*$F261*$H261)),0))</f>
        <v/>
      </c>
      <c r="J261" s="122">
        <f>IF($D261="",0,MAX(0,$D261-$I261))</f>
        <v/>
      </c>
      <c r="K261" s="122">
        <f>IF($H261=0,0,IFERROR(IF($E261="Azalan",$D261*(1-MIN(2*AmortismanAzalanCarpan*$F261,1))^MAX(0,$H261-1)*MIN(2*AmortismanAzalanCarpan*$F261,1),MIN($D261*$F261,$D261)),0))</f>
        <v/>
      </c>
      <c r="L261" s="122">
        <f>IF($D261="",0,$G261-$J261)</f>
        <v/>
      </c>
      <c r="M261" s="122">
        <f>IF($B261="","",CONCATENATE("Kıymet: ",$B261," | NDD: ",TEXT($J261,"#,##0")))</f>
        <v/>
      </c>
    </row>
    <row r="262" ht="15" customHeight="1" s="77">
      <c r="A262" s="123" t="n"/>
      <c r="B262" s="123" t="n"/>
      <c r="C262" s="124" t="n"/>
      <c r="D262" s="125" t="n"/>
      <c r="E262" s="123" t="n"/>
      <c r="F262" s="126" t="n"/>
      <c r="G262" s="125" t="n"/>
      <c r="H262" s="122">
        <f>IF($D262="",0,MAX(0,ROUNDDOWN((AmortismanRaporTarihi-$C262)/365,0)))</f>
        <v/>
      </c>
      <c r="I262" s="122">
        <f>IF($D262="",0,IFERROR(IF($E262="Azalan",MAX(0,$D262*(1-MIN(2*AmortismanAzalanCarpan*$F262,1)^$H262)),MIN($D262,$D262*$F262*$H262)),0))</f>
        <v/>
      </c>
      <c r="J262" s="122">
        <f>IF($D262="",0,MAX(0,$D262-$I262))</f>
        <v/>
      </c>
      <c r="K262" s="122">
        <f>IF($H262=0,0,IFERROR(IF($E262="Azalan",$D262*(1-MIN(2*AmortismanAzalanCarpan*$F262,1))^MAX(0,$H262-1)*MIN(2*AmortismanAzalanCarpan*$F262,1),MIN($D262*$F262,$D262)),0))</f>
        <v/>
      </c>
      <c r="L262" s="122">
        <f>IF($D262="",0,$G262-$J262)</f>
        <v/>
      </c>
      <c r="M262" s="122">
        <f>IF($B262="","",CONCATENATE("Kıymet: ",$B262," | NDD: ",TEXT($J262,"#,##0")))</f>
        <v/>
      </c>
    </row>
    <row r="263" ht="15" customHeight="1" s="77">
      <c r="A263" s="123" t="n"/>
      <c r="B263" s="123" t="n"/>
      <c r="C263" s="124" t="n"/>
      <c r="D263" s="125" t="n"/>
      <c r="E263" s="123" t="n"/>
      <c r="F263" s="126" t="n"/>
      <c r="G263" s="125" t="n"/>
      <c r="H263" s="122">
        <f>IF($D263="",0,MAX(0,ROUNDDOWN((AmortismanRaporTarihi-$C263)/365,0)))</f>
        <v/>
      </c>
      <c r="I263" s="122">
        <f>IF($D263="",0,IFERROR(IF($E263="Azalan",MAX(0,$D263*(1-MIN(2*AmortismanAzalanCarpan*$F263,1)^$H263)),MIN($D263,$D263*$F263*$H263)),0))</f>
        <v/>
      </c>
      <c r="J263" s="122">
        <f>IF($D263="",0,MAX(0,$D263-$I263))</f>
        <v/>
      </c>
      <c r="K263" s="122">
        <f>IF($H263=0,0,IFERROR(IF($E263="Azalan",$D263*(1-MIN(2*AmortismanAzalanCarpan*$F263,1))^MAX(0,$H263-1)*MIN(2*AmortismanAzalanCarpan*$F263,1),MIN($D263*$F263,$D263)),0))</f>
        <v/>
      </c>
      <c r="L263" s="122">
        <f>IF($D263="",0,$G263-$J263)</f>
        <v/>
      </c>
      <c r="M263" s="122">
        <f>IF($B263="","",CONCATENATE("Kıymet: ",$B263," | NDD: ",TEXT($J263,"#,##0")))</f>
        <v/>
      </c>
    </row>
    <row r="264" ht="15" customHeight="1" s="77">
      <c r="A264" s="123" t="n"/>
      <c r="B264" s="123" t="n"/>
      <c r="C264" s="124" t="n"/>
      <c r="D264" s="125" t="n"/>
      <c r="E264" s="123" t="n"/>
      <c r="F264" s="126" t="n"/>
      <c r="G264" s="125" t="n"/>
      <c r="H264" s="122">
        <f>IF($D264="",0,MAX(0,ROUNDDOWN((AmortismanRaporTarihi-$C264)/365,0)))</f>
        <v/>
      </c>
      <c r="I264" s="122">
        <f>IF($D264="",0,IFERROR(IF($E264="Azalan",MAX(0,$D264*(1-MIN(2*AmortismanAzalanCarpan*$F264,1)^$H264)),MIN($D264,$D264*$F264*$H264)),0))</f>
        <v/>
      </c>
      <c r="J264" s="122">
        <f>IF($D264="",0,MAX(0,$D264-$I264))</f>
        <v/>
      </c>
      <c r="K264" s="122">
        <f>IF($H264=0,0,IFERROR(IF($E264="Azalan",$D264*(1-MIN(2*AmortismanAzalanCarpan*$F264,1))^MAX(0,$H264-1)*MIN(2*AmortismanAzalanCarpan*$F264,1),MIN($D264*$F264,$D264)),0))</f>
        <v/>
      </c>
      <c r="L264" s="122">
        <f>IF($D264="",0,$G264-$J264)</f>
        <v/>
      </c>
      <c r="M264" s="122">
        <f>IF($B264="","",CONCATENATE("Kıymet: ",$B264," | NDD: ",TEXT($J264,"#,##0")))</f>
        <v/>
      </c>
    </row>
    <row r="265" ht="15" customHeight="1" s="77">
      <c r="A265" s="123" t="n"/>
      <c r="B265" s="123" t="n"/>
      <c r="C265" s="124" t="n"/>
      <c r="D265" s="125" t="n"/>
      <c r="E265" s="123" t="n"/>
      <c r="F265" s="126" t="n"/>
      <c r="G265" s="125" t="n"/>
      <c r="H265" s="122">
        <f>IF($D265="",0,MAX(0,ROUNDDOWN((AmortismanRaporTarihi-$C265)/365,0)))</f>
        <v/>
      </c>
      <c r="I265" s="122">
        <f>IF($D265="",0,IFERROR(IF($E265="Azalan",MAX(0,$D265*(1-MIN(2*AmortismanAzalanCarpan*$F265,1)^$H265)),MIN($D265,$D265*$F265*$H265)),0))</f>
        <v/>
      </c>
      <c r="J265" s="122">
        <f>IF($D265="",0,MAX(0,$D265-$I265))</f>
        <v/>
      </c>
      <c r="K265" s="122">
        <f>IF($H265=0,0,IFERROR(IF($E265="Azalan",$D265*(1-MIN(2*AmortismanAzalanCarpan*$F265,1))^MAX(0,$H265-1)*MIN(2*AmortismanAzalanCarpan*$F265,1),MIN($D265*$F265,$D265)),0))</f>
        <v/>
      </c>
      <c r="L265" s="122">
        <f>IF($D265="",0,$G265-$J265)</f>
        <v/>
      </c>
      <c r="M265" s="122">
        <f>IF($B265="","",CONCATENATE("Kıymet: ",$B265," | NDD: ",TEXT($J265,"#,##0")))</f>
        <v/>
      </c>
    </row>
    <row r="266" ht="15" customHeight="1" s="77">
      <c r="A266" s="123" t="n"/>
      <c r="B266" s="123" t="n"/>
      <c r="C266" s="124" t="n"/>
      <c r="D266" s="125" t="n"/>
      <c r="E266" s="123" t="n"/>
      <c r="F266" s="126" t="n"/>
      <c r="G266" s="125" t="n"/>
      <c r="H266" s="122">
        <f>IF($D266="",0,MAX(0,ROUNDDOWN((AmortismanRaporTarihi-$C266)/365,0)))</f>
        <v/>
      </c>
      <c r="I266" s="122">
        <f>IF($D266="",0,IFERROR(IF($E266="Azalan",MAX(0,$D266*(1-MIN(2*AmortismanAzalanCarpan*$F266,1)^$H266)),MIN($D266,$D266*$F266*$H266)),0))</f>
        <v/>
      </c>
      <c r="J266" s="122">
        <f>IF($D266="",0,MAX(0,$D266-$I266))</f>
        <v/>
      </c>
      <c r="K266" s="122">
        <f>IF($H266=0,0,IFERROR(IF($E266="Azalan",$D266*(1-MIN(2*AmortismanAzalanCarpan*$F266,1))^MAX(0,$H266-1)*MIN(2*AmortismanAzalanCarpan*$F266,1),MIN($D266*$F266,$D266)),0))</f>
        <v/>
      </c>
      <c r="L266" s="122">
        <f>IF($D266="",0,$G266-$J266)</f>
        <v/>
      </c>
      <c r="M266" s="122">
        <f>IF($B266="","",CONCATENATE("Kıymet: ",$B266," | NDD: ",TEXT($J266,"#,##0")))</f>
        <v/>
      </c>
    </row>
    <row r="267" ht="15" customHeight="1" s="77">
      <c r="A267" s="123" t="n"/>
      <c r="B267" s="123" t="n"/>
      <c r="C267" s="124" t="n"/>
      <c r="D267" s="125" t="n"/>
      <c r="E267" s="123" t="n"/>
      <c r="F267" s="126" t="n"/>
      <c r="G267" s="125" t="n"/>
      <c r="H267" s="122">
        <f>IF($D267="",0,MAX(0,ROUNDDOWN((AmortismanRaporTarihi-$C267)/365,0)))</f>
        <v/>
      </c>
      <c r="I267" s="122">
        <f>IF($D267="",0,IFERROR(IF($E267="Azalan",MAX(0,$D267*(1-MIN(2*AmortismanAzalanCarpan*$F267,1)^$H267)),MIN($D267,$D267*$F267*$H267)),0))</f>
        <v/>
      </c>
      <c r="J267" s="122">
        <f>IF($D267="",0,MAX(0,$D267-$I267))</f>
        <v/>
      </c>
      <c r="K267" s="122">
        <f>IF($H267=0,0,IFERROR(IF($E267="Azalan",$D267*(1-MIN(2*AmortismanAzalanCarpan*$F267,1))^MAX(0,$H267-1)*MIN(2*AmortismanAzalanCarpan*$F267,1),MIN($D267*$F267,$D267)),0))</f>
        <v/>
      </c>
      <c r="L267" s="122">
        <f>IF($D267="",0,$G267-$J267)</f>
        <v/>
      </c>
      <c r="M267" s="122">
        <f>IF($B267="","",CONCATENATE("Kıymet: ",$B267," | NDD: ",TEXT($J267,"#,##0")))</f>
        <v/>
      </c>
    </row>
    <row r="268" ht="15" customHeight="1" s="77">
      <c r="A268" s="123" t="n"/>
      <c r="B268" s="123" t="n"/>
      <c r="C268" s="124" t="n"/>
      <c r="D268" s="125" t="n"/>
      <c r="E268" s="123" t="n"/>
      <c r="F268" s="126" t="n"/>
      <c r="G268" s="125" t="n"/>
      <c r="H268" s="122">
        <f>IF($D268="",0,MAX(0,ROUNDDOWN((AmortismanRaporTarihi-$C268)/365,0)))</f>
        <v/>
      </c>
      <c r="I268" s="122">
        <f>IF($D268="",0,IFERROR(IF($E268="Azalan",MAX(0,$D268*(1-MIN(2*AmortismanAzalanCarpan*$F268,1)^$H268)),MIN($D268,$D268*$F268*$H268)),0))</f>
        <v/>
      </c>
      <c r="J268" s="122">
        <f>IF($D268="",0,MAX(0,$D268-$I268))</f>
        <v/>
      </c>
      <c r="K268" s="122">
        <f>IF($H268=0,0,IFERROR(IF($E268="Azalan",$D268*(1-MIN(2*AmortismanAzalanCarpan*$F268,1))^MAX(0,$H268-1)*MIN(2*AmortismanAzalanCarpan*$F268,1),MIN($D268*$F268,$D268)),0))</f>
        <v/>
      </c>
      <c r="L268" s="122">
        <f>IF($D268="",0,$G268-$J268)</f>
        <v/>
      </c>
      <c r="M268" s="122">
        <f>IF($B268="","",CONCATENATE("Kıymet: ",$B268," | NDD: ",TEXT($J268,"#,##0")))</f>
        <v/>
      </c>
    </row>
    <row r="269" ht="15" customHeight="1" s="77">
      <c r="A269" s="123" t="n"/>
      <c r="B269" s="123" t="n"/>
      <c r="C269" s="124" t="n"/>
      <c r="D269" s="125" t="n"/>
      <c r="E269" s="123" t="n"/>
      <c r="F269" s="126" t="n"/>
      <c r="G269" s="125" t="n"/>
      <c r="H269" s="122">
        <f>IF($D269="",0,MAX(0,ROUNDDOWN((AmortismanRaporTarihi-$C269)/365,0)))</f>
        <v/>
      </c>
      <c r="I269" s="122">
        <f>IF($D269="",0,IFERROR(IF($E269="Azalan",MAX(0,$D269*(1-MIN(2*AmortismanAzalanCarpan*$F269,1)^$H269)),MIN($D269,$D269*$F269*$H269)),0))</f>
        <v/>
      </c>
      <c r="J269" s="122">
        <f>IF($D269="",0,MAX(0,$D269-$I269))</f>
        <v/>
      </c>
      <c r="K269" s="122">
        <f>IF($H269=0,0,IFERROR(IF($E269="Azalan",$D269*(1-MIN(2*AmortismanAzalanCarpan*$F269,1))^MAX(0,$H269-1)*MIN(2*AmortismanAzalanCarpan*$F269,1),MIN($D269*$F269,$D269)),0))</f>
        <v/>
      </c>
      <c r="L269" s="122">
        <f>IF($D269="",0,$G269-$J269)</f>
        <v/>
      </c>
      <c r="M269" s="122">
        <f>IF($B269="","",CONCATENATE("Kıymet: ",$B269," | NDD: ",TEXT($J269,"#,##0")))</f>
        <v/>
      </c>
    </row>
    <row r="270" ht="15" customHeight="1" s="77">
      <c r="A270" s="123" t="n"/>
      <c r="B270" s="123" t="n"/>
      <c r="C270" s="124" t="n"/>
      <c r="D270" s="125" t="n"/>
      <c r="E270" s="123" t="n"/>
      <c r="F270" s="126" t="n"/>
      <c r="G270" s="125" t="n"/>
      <c r="H270" s="122">
        <f>IF($D270="",0,MAX(0,ROUNDDOWN((AmortismanRaporTarihi-$C270)/365,0)))</f>
        <v/>
      </c>
      <c r="I270" s="122">
        <f>IF($D270="",0,IFERROR(IF($E270="Azalan",MAX(0,$D270*(1-MIN(2*AmortismanAzalanCarpan*$F270,1)^$H270)),MIN($D270,$D270*$F270*$H270)),0))</f>
        <v/>
      </c>
      <c r="J270" s="122">
        <f>IF($D270="",0,MAX(0,$D270-$I270))</f>
        <v/>
      </c>
      <c r="K270" s="122">
        <f>IF($H270=0,0,IFERROR(IF($E270="Azalan",$D270*(1-MIN(2*AmortismanAzalanCarpan*$F270,1))^MAX(0,$H270-1)*MIN(2*AmortismanAzalanCarpan*$F270,1),MIN($D270*$F270,$D270)),0))</f>
        <v/>
      </c>
      <c r="L270" s="122">
        <f>IF($D270="",0,$G270-$J270)</f>
        <v/>
      </c>
      <c r="M270" s="122">
        <f>IF($B270="","",CONCATENATE("Kıymet: ",$B270," | NDD: ",TEXT($J270,"#,##0")))</f>
        <v/>
      </c>
    </row>
    <row r="271" ht="15" customHeight="1" s="77">
      <c r="A271" s="123" t="n"/>
      <c r="B271" s="123" t="n"/>
      <c r="C271" s="124" t="n"/>
      <c r="D271" s="125" t="n"/>
      <c r="E271" s="123" t="n"/>
      <c r="F271" s="126" t="n"/>
      <c r="G271" s="125" t="n"/>
      <c r="H271" s="122">
        <f>IF($D271="",0,MAX(0,ROUNDDOWN((AmortismanRaporTarihi-$C271)/365,0)))</f>
        <v/>
      </c>
      <c r="I271" s="122">
        <f>IF($D271="",0,IFERROR(IF($E271="Azalan",MAX(0,$D271*(1-MIN(2*AmortismanAzalanCarpan*$F271,1)^$H271)),MIN($D271,$D271*$F271*$H271)),0))</f>
        <v/>
      </c>
      <c r="J271" s="122">
        <f>IF($D271="",0,MAX(0,$D271-$I271))</f>
        <v/>
      </c>
      <c r="K271" s="122">
        <f>IF($H271=0,0,IFERROR(IF($E271="Azalan",$D271*(1-MIN(2*AmortismanAzalanCarpan*$F271,1))^MAX(0,$H271-1)*MIN(2*AmortismanAzalanCarpan*$F271,1),MIN($D271*$F271,$D271)),0))</f>
        <v/>
      </c>
      <c r="L271" s="122">
        <f>IF($D271="",0,$G271-$J271)</f>
        <v/>
      </c>
      <c r="M271" s="122">
        <f>IF($B271="","",CONCATENATE("Kıymet: ",$B271," | NDD: ",TEXT($J271,"#,##0")))</f>
        <v/>
      </c>
    </row>
    <row r="272" ht="15" customHeight="1" s="77">
      <c r="A272" s="123" t="n"/>
      <c r="B272" s="123" t="n"/>
      <c r="C272" s="124" t="n"/>
      <c r="D272" s="125" t="n"/>
      <c r="E272" s="123" t="n"/>
      <c r="F272" s="126" t="n"/>
      <c r="G272" s="125" t="n"/>
      <c r="H272" s="122">
        <f>IF($D272="",0,MAX(0,ROUNDDOWN((AmortismanRaporTarihi-$C272)/365,0)))</f>
        <v/>
      </c>
      <c r="I272" s="122">
        <f>IF($D272="",0,IFERROR(IF($E272="Azalan",MAX(0,$D272*(1-MIN(2*AmortismanAzalanCarpan*$F272,1)^$H272)),MIN($D272,$D272*$F272*$H272)),0))</f>
        <v/>
      </c>
      <c r="J272" s="122">
        <f>IF($D272="",0,MAX(0,$D272-$I272))</f>
        <v/>
      </c>
      <c r="K272" s="122">
        <f>IF($H272=0,0,IFERROR(IF($E272="Azalan",$D272*(1-MIN(2*AmortismanAzalanCarpan*$F272,1))^MAX(0,$H272-1)*MIN(2*AmortismanAzalanCarpan*$F272,1),MIN($D272*$F272,$D272)),0))</f>
        <v/>
      </c>
      <c r="L272" s="122">
        <f>IF($D272="",0,$G272-$J272)</f>
        <v/>
      </c>
      <c r="M272" s="122">
        <f>IF($B272="","",CONCATENATE("Kıymet: ",$B272," | NDD: ",TEXT($J272,"#,##0")))</f>
        <v/>
      </c>
    </row>
    <row r="273" ht="15" customHeight="1" s="77">
      <c r="A273" s="123" t="n"/>
      <c r="B273" s="123" t="n"/>
      <c r="C273" s="124" t="n"/>
      <c r="D273" s="125" t="n"/>
      <c r="E273" s="123" t="n"/>
      <c r="F273" s="126" t="n"/>
      <c r="G273" s="125" t="n"/>
      <c r="H273" s="122">
        <f>IF($D273="",0,MAX(0,ROUNDDOWN((AmortismanRaporTarihi-$C273)/365,0)))</f>
        <v/>
      </c>
      <c r="I273" s="122">
        <f>IF($D273="",0,IFERROR(IF($E273="Azalan",MAX(0,$D273*(1-MIN(2*AmortismanAzalanCarpan*$F273,1)^$H273)),MIN($D273,$D273*$F273*$H273)),0))</f>
        <v/>
      </c>
      <c r="J273" s="122">
        <f>IF($D273="",0,MAX(0,$D273-$I273))</f>
        <v/>
      </c>
      <c r="K273" s="122">
        <f>IF($H273=0,0,IFERROR(IF($E273="Azalan",$D273*(1-MIN(2*AmortismanAzalanCarpan*$F273,1))^MAX(0,$H273-1)*MIN(2*AmortismanAzalanCarpan*$F273,1),MIN($D273*$F273,$D273)),0))</f>
        <v/>
      </c>
      <c r="L273" s="122">
        <f>IF($D273="",0,$G273-$J273)</f>
        <v/>
      </c>
      <c r="M273" s="122">
        <f>IF($B273="","",CONCATENATE("Kıymet: ",$B273," | NDD: ",TEXT($J273,"#,##0")))</f>
        <v/>
      </c>
    </row>
    <row r="274" ht="15" customHeight="1" s="77">
      <c r="A274" s="123" t="n"/>
      <c r="B274" s="123" t="n"/>
      <c r="C274" s="124" t="n"/>
      <c r="D274" s="125" t="n"/>
      <c r="E274" s="123" t="n"/>
      <c r="F274" s="126" t="n"/>
      <c r="G274" s="125" t="n"/>
      <c r="H274" s="122">
        <f>IF($D274="",0,MAX(0,ROUNDDOWN((AmortismanRaporTarihi-$C274)/365,0)))</f>
        <v/>
      </c>
      <c r="I274" s="122">
        <f>IF($D274="",0,IFERROR(IF($E274="Azalan",MAX(0,$D274*(1-MIN(2*AmortismanAzalanCarpan*$F274,1)^$H274)),MIN($D274,$D274*$F274*$H274)),0))</f>
        <v/>
      </c>
      <c r="J274" s="122">
        <f>IF($D274="",0,MAX(0,$D274-$I274))</f>
        <v/>
      </c>
      <c r="K274" s="122">
        <f>IF($H274=0,0,IFERROR(IF($E274="Azalan",$D274*(1-MIN(2*AmortismanAzalanCarpan*$F274,1))^MAX(0,$H274-1)*MIN(2*AmortismanAzalanCarpan*$F274,1),MIN($D274*$F274,$D274)),0))</f>
        <v/>
      </c>
      <c r="L274" s="122">
        <f>IF($D274="",0,$G274-$J274)</f>
        <v/>
      </c>
      <c r="M274" s="122">
        <f>IF($B274="","",CONCATENATE("Kıymet: ",$B274," | NDD: ",TEXT($J274,"#,##0")))</f>
        <v/>
      </c>
    </row>
    <row r="275" ht="15" customHeight="1" s="77">
      <c r="A275" s="123" t="n"/>
      <c r="B275" s="123" t="n"/>
      <c r="C275" s="124" t="n"/>
      <c r="D275" s="125" t="n"/>
      <c r="E275" s="123" t="n"/>
      <c r="F275" s="126" t="n"/>
      <c r="G275" s="125" t="n"/>
      <c r="H275" s="122">
        <f>IF($D275="",0,MAX(0,ROUNDDOWN((AmortismanRaporTarihi-$C275)/365,0)))</f>
        <v/>
      </c>
      <c r="I275" s="122">
        <f>IF($D275="",0,IFERROR(IF($E275="Azalan",MAX(0,$D275*(1-MIN(2*AmortismanAzalanCarpan*$F275,1)^$H275)),MIN($D275,$D275*$F275*$H275)),0))</f>
        <v/>
      </c>
      <c r="J275" s="122">
        <f>IF($D275="",0,MAX(0,$D275-$I275))</f>
        <v/>
      </c>
      <c r="K275" s="122">
        <f>IF($H275=0,0,IFERROR(IF($E275="Azalan",$D275*(1-MIN(2*AmortismanAzalanCarpan*$F275,1))^MAX(0,$H275-1)*MIN(2*AmortismanAzalanCarpan*$F275,1),MIN($D275*$F275,$D275)),0))</f>
        <v/>
      </c>
      <c r="L275" s="122">
        <f>IF($D275="",0,$G275-$J275)</f>
        <v/>
      </c>
      <c r="M275" s="122">
        <f>IF($B275="","",CONCATENATE("Kıymet: ",$B275," | NDD: ",TEXT($J275,"#,##0")))</f>
        <v/>
      </c>
    </row>
    <row r="276" ht="15" customHeight="1" s="77">
      <c r="A276" s="123" t="n"/>
      <c r="B276" s="123" t="n"/>
      <c r="C276" s="124" t="n"/>
      <c r="D276" s="125" t="n"/>
      <c r="E276" s="123" t="n"/>
      <c r="F276" s="126" t="n"/>
      <c r="G276" s="125" t="n"/>
      <c r="H276" s="122">
        <f>IF($D276="",0,MAX(0,ROUNDDOWN((AmortismanRaporTarihi-$C276)/365,0)))</f>
        <v/>
      </c>
      <c r="I276" s="122">
        <f>IF($D276="",0,IFERROR(IF($E276="Azalan",MAX(0,$D276*(1-MIN(2*AmortismanAzalanCarpan*$F276,1)^$H276)),MIN($D276,$D276*$F276*$H276)),0))</f>
        <v/>
      </c>
      <c r="J276" s="122">
        <f>IF($D276="",0,MAX(0,$D276-$I276))</f>
        <v/>
      </c>
      <c r="K276" s="122">
        <f>IF($H276=0,0,IFERROR(IF($E276="Azalan",$D276*(1-MIN(2*AmortismanAzalanCarpan*$F276,1))^MAX(0,$H276-1)*MIN(2*AmortismanAzalanCarpan*$F276,1),MIN($D276*$F276,$D276)),0))</f>
        <v/>
      </c>
      <c r="L276" s="122">
        <f>IF($D276="",0,$G276-$J276)</f>
        <v/>
      </c>
      <c r="M276" s="122">
        <f>IF($B276="","",CONCATENATE("Kıymet: ",$B276," | NDD: ",TEXT($J276,"#,##0")))</f>
        <v/>
      </c>
    </row>
    <row r="277" ht="15" customHeight="1" s="77">
      <c r="A277" s="123" t="n"/>
      <c r="B277" s="123" t="n"/>
      <c r="C277" s="124" t="n"/>
      <c r="D277" s="125" t="n"/>
      <c r="E277" s="123" t="n"/>
      <c r="F277" s="126" t="n"/>
      <c r="G277" s="125" t="n"/>
      <c r="H277" s="122">
        <f>IF($D277="",0,MAX(0,ROUNDDOWN((AmortismanRaporTarihi-$C277)/365,0)))</f>
        <v/>
      </c>
      <c r="I277" s="122">
        <f>IF($D277="",0,IFERROR(IF($E277="Azalan",MAX(0,$D277*(1-MIN(2*AmortismanAzalanCarpan*$F277,1)^$H277)),MIN($D277,$D277*$F277*$H277)),0))</f>
        <v/>
      </c>
      <c r="J277" s="122">
        <f>IF($D277="",0,MAX(0,$D277-$I277))</f>
        <v/>
      </c>
      <c r="K277" s="122">
        <f>IF($H277=0,0,IFERROR(IF($E277="Azalan",$D277*(1-MIN(2*AmortismanAzalanCarpan*$F277,1))^MAX(0,$H277-1)*MIN(2*AmortismanAzalanCarpan*$F277,1),MIN($D277*$F277,$D277)),0))</f>
        <v/>
      </c>
      <c r="L277" s="122">
        <f>IF($D277="",0,$G277-$J277)</f>
        <v/>
      </c>
      <c r="M277" s="122">
        <f>IF($B277="","",CONCATENATE("Kıymet: ",$B277," | NDD: ",TEXT($J277,"#,##0")))</f>
        <v/>
      </c>
    </row>
    <row r="278" ht="15" customHeight="1" s="77">
      <c r="A278" s="123" t="n"/>
      <c r="B278" s="123" t="n"/>
      <c r="C278" s="124" t="n"/>
      <c r="D278" s="125" t="n"/>
      <c r="E278" s="123" t="n"/>
      <c r="F278" s="126" t="n"/>
      <c r="G278" s="125" t="n"/>
      <c r="H278" s="122">
        <f>IF($D278="",0,MAX(0,ROUNDDOWN((AmortismanRaporTarihi-$C278)/365,0)))</f>
        <v/>
      </c>
      <c r="I278" s="122">
        <f>IF($D278="",0,IFERROR(IF($E278="Azalan",MAX(0,$D278*(1-MIN(2*AmortismanAzalanCarpan*$F278,1)^$H278)),MIN($D278,$D278*$F278*$H278)),0))</f>
        <v/>
      </c>
      <c r="J278" s="122">
        <f>IF($D278="",0,MAX(0,$D278-$I278))</f>
        <v/>
      </c>
      <c r="K278" s="122">
        <f>IF($H278=0,0,IFERROR(IF($E278="Azalan",$D278*(1-MIN(2*AmortismanAzalanCarpan*$F278,1))^MAX(0,$H278-1)*MIN(2*AmortismanAzalanCarpan*$F278,1),MIN($D278*$F278,$D278)),0))</f>
        <v/>
      </c>
      <c r="L278" s="122">
        <f>IF($D278="",0,$G278-$J278)</f>
        <v/>
      </c>
      <c r="M278" s="122">
        <f>IF($B278="","",CONCATENATE("Kıymet: ",$B278," | NDD: ",TEXT($J278,"#,##0")))</f>
        <v/>
      </c>
    </row>
    <row r="279" ht="15" customHeight="1" s="77">
      <c r="A279" s="123" t="n"/>
      <c r="B279" s="123" t="n"/>
      <c r="C279" s="124" t="n"/>
      <c r="D279" s="125" t="n"/>
      <c r="E279" s="123" t="n"/>
      <c r="F279" s="126" t="n"/>
      <c r="G279" s="125" t="n"/>
      <c r="H279" s="122">
        <f>IF($D279="",0,MAX(0,ROUNDDOWN((AmortismanRaporTarihi-$C279)/365,0)))</f>
        <v/>
      </c>
      <c r="I279" s="122">
        <f>IF($D279="",0,IFERROR(IF($E279="Azalan",MAX(0,$D279*(1-MIN(2*AmortismanAzalanCarpan*$F279,1)^$H279)),MIN($D279,$D279*$F279*$H279)),0))</f>
        <v/>
      </c>
      <c r="J279" s="122">
        <f>IF($D279="",0,MAX(0,$D279-$I279))</f>
        <v/>
      </c>
      <c r="K279" s="122">
        <f>IF($H279=0,0,IFERROR(IF($E279="Azalan",$D279*(1-MIN(2*AmortismanAzalanCarpan*$F279,1))^MAX(0,$H279-1)*MIN(2*AmortismanAzalanCarpan*$F279,1),MIN($D279*$F279,$D279)),0))</f>
        <v/>
      </c>
      <c r="L279" s="122">
        <f>IF($D279="",0,$G279-$J279)</f>
        <v/>
      </c>
      <c r="M279" s="122">
        <f>IF($B279="","",CONCATENATE("Kıymet: ",$B279," | NDD: ",TEXT($J279,"#,##0")))</f>
        <v/>
      </c>
    </row>
    <row r="280" ht="15" customHeight="1" s="77">
      <c r="A280" s="123" t="n"/>
      <c r="B280" s="123" t="n"/>
      <c r="C280" s="124" t="n"/>
      <c r="D280" s="125" t="n"/>
      <c r="E280" s="123" t="n"/>
      <c r="F280" s="126" t="n"/>
      <c r="G280" s="125" t="n"/>
      <c r="H280" s="122">
        <f>IF($D280="",0,MAX(0,ROUNDDOWN((AmortismanRaporTarihi-$C280)/365,0)))</f>
        <v/>
      </c>
      <c r="I280" s="122">
        <f>IF($D280="",0,IFERROR(IF($E280="Azalan",MAX(0,$D280*(1-MIN(2*AmortismanAzalanCarpan*$F280,1)^$H280)),MIN($D280,$D280*$F280*$H280)),0))</f>
        <v/>
      </c>
      <c r="J280" s="122">
        <f>IF($D280="",0,MAX(0,$D280-$I280))</f>
        <v/>
      </c>
      <c r="K280" s="122">
        <f>IF($H280=0,0,IFERROR(IF($E280="Azalan",$D280*(1-MIN(2*AmortismanAzalanCarpan*$F280,1))^MAX(0,$H280-1)*MIN(2*AmortismanAzalanCarpan*$F280,1),MIN($D280*$F280,$D280)),0))</f>
        <v/>
      </c>
      <c r="L280" s="122">
        <f>IF($D280="",0,$G280-$J280)</f>
        <v/>
      </c>
      <c r="M280" s="122">
        <f>IF($B280="","",CONCATENATE("Kıymet: ",$B280," | NDD: ",TEXT($J280,"#,##0")))</f>
        <v/>
      </c>
    </row>
    <row r="281" ht="15" customHeight="1" s="77">
      <c r="A281" s="123" t="n"/>
      <c r="B281" s="123" t="n"/>
      <c r="C281" s="124" t="n"/>
      <c r="D281" s="125" t="n"/>
      <c r="E281" s="123" t="n"/>
      <c r="F281" s="126" t="n"/>
      <c r="G281" s="125" t="n"/>
      <c r="H281" s="122">
        <f>IF($D281="",0,MAX(0,ROUNDDOWN((AmortismanRaporTarihi-$C281)/365,0)))</f>
        <v/>
      </c>
      <c r="I281" s="122">
        <f>IF($D281="",0,IFERROR(IF($E281="Azalan",MAX(0,$D281*(1-MIN(2*AmortismanAzalanCarpan*$F281,1)^$H281)),MIN($D281,$D281*$F281*$H281)),0))</f>
        <v/>
      </c>
      <c r="J281" s="122">
        <f>IF($D281="",0,MAX(0,$D281-$I281))</f>
        <v/>
      </c>
      <c r="K281" s="122">
        <f>IF($H281=0,0,IFERROR(IF($E281="Azalan",$D281*(1-MIN(2*AmortismanAzalanCarpan*$F281,1))^MAX(0,$H281-1)*MIN(2*AmortismanAzalanCarpan*$F281,1),MIN($D281*$F281,$D281)),0))</f>
        <v/>
      </c>
      <c r="L281" s="122">
        <f>IF($D281="",0,$G281-$J281)</f>
        <v/>
      </c>
      <c r="M281" s="122">
        <f>IF($B281="","",CONCATENATE("Kıymet: ",$B281," | NDD: ",TEXT($J281,"#,##0")))</f>
        <v/>
      </c>
    </row>
    <row r="282" ht="15" customHeight="1" s="77">
      <c r="A282" s="123" t="n"/>
      <c r="B282" s="123" t="n"/>
      <c r="C282" s="124" t="n"/>
      <c r="D282" s="125" t="n"/>
      <c r="E282" s="123" t="n"/>
      <c r="F282" s="126" t="n"/>
      <c r="G282" s="125" t="n"/>
      <c r="H282" s="122">
        <f>IF($D282="",0,MAX(0,ROUNDDOWN((AmortismanRaporTarihi-$C282)/365,0)))</f>
        <v/>
      </c>
      <c r="I282" s="122">
        <f>IF($D282="",0,IFERROR(IF($E282="Azalan",MAX(0,$D282*(1-MIN(2*AmortismanAzalanCarpan*$F282,1)^$H282)),MIN($D282,$D282*$F282*$H282)),0))</f>
        <v/>
      </c>
      <c r="J282" s="122">
        <f>IF($D282="",0,MAX(0,$D282-$I282))</f>
        <v/>
      </c>
      <c r="K282" s="122">
        <f>IF($H282=0,0,IFERROR(IF($E282="Azalan",$D282*(1-MIN(2*AmortismanAzalanCarpan*$F282,1))^MAX(0,$H282-1)*MIN(2*AmortismanAzalanCarpan*$F282,1),MIN($D282*$F282,$D282)),0))</f>
        <v/>
      </c>
      <c r="L282" s="122">
        <f>IF($D282="",0,$G282-$J282)</f>
        <v/>
      </c>
      <c r="M282" s="122">
        <f>IF($B282="","",CONCATENATE("Kıymet: ",$B282," | NDD: ",TEXT($J282,"#,##0")))</f>
        <v/>
      </c>
    </row>
    <row r="283" ht="15" customHeight="1" s="77">
      <c r="A283" s="123" t="n"/>
      <c r="B283" s="123" t="n"/>
      <c r="C283" s="124" t="n"/>
      <c r="D283" s="125" t="n"/>
      <c r="E283" s="123" t="n"/>
      <c r="F283" s="126" t="n"/>
      <c r="G283" s="125" t="n"/>
      <c r="H283" s="122">
        <f>IF($D283="",0,MAX(0,ROUNDDOWN((AmortismanRaporTarihi-$C283)/365,0)))</f>
        <v/>
      </c>
      <c r="I283" s="122">
        <f>IF($D283="",0,IFERROR(IF($E283="Azalan",MAX(0,$D283*(1-MIN(2*AmortismanAzalanCarpan*$F283,1)^$H283)),MIN($D283,$D283*$F283*$H283)),0))</f>
        <v/>
      </c>
      <c r="J283" s="122">
        <f>IF($D283="",0,MAX(0,$D283-$I283))</f>
        <v/>
      </c>
      <c r="K283" s="122">
        <f>IF($H283=0,0,IFERROR(IF($E283="Azalan",$D283*(1-MIN(2*AmortismanAzalanCarpan*$F283,1))^MAX(0,$H283-1)*MIN(2*AmortismanAzalanCarpan*$F283,1),MIN($D283*$F283,$D283)),0))</f>
        <v/>
      </c>
      <c r="L283" s="122">
        <f>IF($D283="",0,$G283-$J283)</f>
        <v/>
      </c>
      <c r="M283" s="122">
        <f>IF($B283="","",CONCATENATE("Kıymet: ",$B283," | NDD: ",TEXT($J283,"#,##0")))</f>
        <v/>
      </c>
    </row>
    <row r="284" ht="15" customHeight="1" s="77">
      <c r="A284" s="123" t="n"/>
      <c r="B284" s="123" t="n"/>
      <c r="C284" s="124" t="n"/>
      <c r="D284" s="125" t="n"/>
      <c r="E284" s="123" t="n"/>
      <c r="F284" s="126" t="n"/>
      <c r="G284" s="125" t="n"/>
      <c r="H284" s="122">
        <f>IF($D284="",0,MAX(0,ROUNDDOWN((AmortismanRaporTarihi-$C284)/365,0)))</f>
        <v/>
      </c>
      <c r="I284" s="122">
        <f>IF($D284="",0,IFERROR(IF($E284="Azalan",MAX(0,$D284*(1-MIN(2*AmortismanAzalanCarpan*$F284,1)^$H284)),MIN($D284,$D284*$F284*$H284)),0))</f>
        <v/>
      </c>
      <c r="J284" s="122">
        <f>IF($D284="",0,MAX(0,$D284-$I284))</f>
        <v/>
      </c>
      <c r="K284" s="122">
        <f>IF($H284=0,0,IFERROR(IF($E284="Azalan",$D284*(1-MIN(2*AmortismanAzalanCarpan*$F284,1))^MAX(0,$H284-1)*MIN(2*AmortismanAzalanCarpan*$F284,1),MIN($D284*$F284,$D284)),0))</f>
        <v/>
      </c>
      <c r="L284" s="122">
        <f>IF($D284="",0,$G284-$J284)</f>
        <v/>
      </c>
      <c r="M284" s="122">
        <f>IF($B284="","",CONCATENATE("Kıymet: ",$B284," | NDD: ",TEXT($J284,"#,##0")))</f>
        <v/>
      </c>
    </row>
    <row r="285" ht="15" customHeight="1" s="77">
      <c r="A285" s="123" t="n"/>
      <c r="B285" s="123" t="n"/>
      <c r="C285" s="124" t="n"/>
      <c r="D285" s="125" t="n"/>
      <c r="E285" s="123" t="n"/>
      <c r="F285" s="126" t="n"/>
      <c r="G285" s="125" t="n"/>
      <c r="H285" s="122">
        <f>IF($D285="",0,MAX(0,ROUNDDOWN((AmortismanRaporTarihi-$C285)/365,0)))</f>
        <v/>
      </c>
      <c r="I285" s="122">
        <f>IF($D285="",0,IFERROR(IF($E285="Azalan",MAX(0,$D285*(1-MIN(2*AmortismanAzalanCarpan*$F285,1)^$H285)),MIN($D285,$D285*$F285*$H285)),0))</f>
        <v/>
      </c>
      <c r="J285" s="122">
        <f>IF($D285="",0,MAX(0,$D285-$I285))</f>
        <v/>
      </c>
      <c r="K285" s="122">
        <f>IF($H285=0,0,IFERROR(IF($E285="Azalan",$D285*(1-MIN(2*AmortismanAzalanCarpan*$F285,1))^MAX(0,$H285-1)*MIN(2*AmortismanAzalanCarpan*$F285,1),MIN($D285*$F285,$D285)),0))</f>
        <v/>
      </c>
      <c r="L285" s="122">
        <f>IF($D285="",0,$G285-$J285)</f>
        <v/>
      </c>
      <c r="M285" s="122">
        <f>IF($B285="","",CONCATENATE("Kıymet: ",$B285," | NDD: ",TEXT($J285,"#,##0")))</f>
        <v/>
      </c>
    </row>
    <row r="286" ht="15" customHeight="1" s="77">
      <c r="A286" s="123" t="n"/>
      <c r="B286" s="123" t="n"/>
      <c r="C286" s="124" t="n"/>
      <c r="D286" s="125" t="n"/>
      <c r="E286" s="123" t="n"/>
      <c r="F286" s="126" t="n"/>
      <c r="G286" s="125" t="n"/>
      <c r="H286" s="122">
        <f>IF($D286="",0,MAX(0,ROUNDDOWN((AmortismanRaporTarihi-$C286)/365,0)))</f>
        <v/>
      </c>
      <c r="I286" s="122">
        <f>IF($D286="",0,IFERROR(IF($E286="Azalan",MAX(0,$D286*(1-MIN(2*AmortismanAzalanCarpan*$F286,1)^$H286)),MIN($D286,$D286*$F286*$H286)),0))</f>
        <v/>
      </c>
      <c r="J286" s="122">
        <f>IF($D286="",0,MAX(0,$D286-$I286))</f>
        <v/>
      </c>
      <c r="K286" s="122">
        <f>IF($H286=0,0,IFERROR(IF($E286="Azalan",$D286*(1-MIN(2*AmortismanAzalanCarpan*$F286,1))^MAX(0,$H286-1)*MIN(2*AmortismanAzalanCarpan*$F286,1),MIN($D286*$F286,$D286)),0))</f>
        <v/>
      </c>
      <c r="L286" s="122">
        <f>IF($D286="",0,$G286-$J286)</f>
        <v/>
      </c>
      <c r="M286" s="122">
        <f>IF($B286="","",CONCATENATE("Kıymet: ",$B286," | NDD: ",TEXT($J286,"#,##0")))</f>
        <v/>
      </c>
    </row>
    <row r="287" ht="15" customHeight="1" s="77">
      <c r="A287" s="123" t="n"/>
      <c r="B287" s="123" t="n"/>
      <c r="C287" s="124" t="n"/>
      <c r="D287" s="125" t="n"/>
      <c r="E287" s="123" t="n"/>
      <c r="F287" s="126" t="n"/>
      <c r="G287" s="125" t="n"/>
      <c r="H287" s="122">
        <f>IF($D287="",0,MAX(0,ROUNDDOWN((AmortismanRaporTarihi-$C287)/365,0)))</f>
        <v/>
      </c>
      <c r="I287" s="122">
        <f>IF($D287="",0,IFERROR(IF($E287="Azalan",MAX(0,$D287*(1-MIN(2*AmortismanAzalanCarpan*$F287,1)^$H287)),MIN($D287,$D287*$F287*$H287)),0))</f>
        <v/>
      </c>
      <c r="J287" s="122">
        <f>IF($D287="",0,MAX(0,$D287-$I287))</f>
        <v/>
      </c>
      <c r="K287" s="122">
        <f>IF($H287=0,0,IFERROR(IF($E287="Azalan",$D287*(1-MIN(2*AmortismanAzalanCarpan*$F287,1))^MAX(0,$H287-1)*MIN(2*AmortismanAzalanCarpan*$F287,1),MIN($D287*$F287,$D287)),0))</f>
        <v/>
      </c>
      <c r="L287" s="122">
        <f>IF($D287="",0,$G287-$J287)</f>
        <v/>
      </c>
      <c r="M287" s="122">
        <f>IF($B287="","",CONCATENATE("Kıymet: ",$B287," | NDD: ",TEXT($J287,"#,##0")))</f>
        <v/>
      </c>
    </row>
    <row r="288" ht="15" customHeight="1" s="77">
      <c r="A288" s="123" t="n"/>
      <c r="B288" s="123" t="n"/>
      <c r="C288" s="124" t="n"/>
      <c r="D288" s="125" t="n"/>
      <c r="E288" s="123" t="n"/>
      <c r="F288" s="126" t="n"/>
      <c r="G288" s="125" t="n"/>
      <c r="H288" s="122">
        <f>IF($D288="",0,MAX(0,ROUNDDOWN((AmortismanRaporTarihi-$C288)/365,0)))</f>
        <v/>
      </c>
      <c r="I288" s="122">
        <f>IF($D288="",0,IFERROR(IF($E288="Azalan",MAX(0,$D288*(1-MIN(2*AmortismanAzalanCarpan*$F288,1)^$H288)),MIN($D288,$D288*$F288*$H288)),0))</f>
        <v/>
      </c>
      <c r="J288" s="122">
        <f>IF($D288="",0,MAX(0,$D288-$I288))</f>
        <v/>
      </c>
      <c r="K288" s="122">
        <f>IF($H288=0,0,IFERROR(IF($E288="Azalan",$D288*(1-MIN(2*AmortismanAzalanCarpan*$F288,1))^MAX(0,$H288-1)*MIN(2*AmortismanAzalanCarpan*$F288,1),MIN($D288*$F288,$D288)),0))</f>
        <v/>
      </c>
      <c r="L288" s="122">
        <f>IF($D288="",0,$G288-$J288)</f>
        <v/>
      </c>
      <c r="M288" s="122">
        <f>IF($B288="","",CONCATENATE("Kıymet: ",$B288," | NDD: ",TEXT($J288,"#,##0")))</f>
        <v/>
      </c>
    </row>
    <row r="289" ht="15" customHeight="1" s="77">
      <c r="A289" s="123" t="n"/>
      <c r="B289" s="123" t="n"/>
      <c r="C289" s="124" t="n"/>
      <c r="D289" s="125" t="n"/>
      <c r="E289" s="123" t="n"/>
      <c r="F289" s="126" t="n"/>
      <c r="G289" s="125" t="n"/>
      <c r="H289" s="122">
        <f>IF($D289="",0,MAX(0,ROUNDDOWN((AmortismanRaporTarihi-$C289)/365,0)))</f>
        <v/>
      </c>
      <c r="I289" s="122">
        <f>IF($D289="",0,IFERROR(IF($E289="Azalan",MAX(0,$D289*(1-MIN(2*AmortismanAzalanCarpan*$F289,1)^$H289)),MIN($D289,$D289*$F289*$H289)),0))</f>
        <v/>
      </c>
      <c r="J289" s="122">
        <f>IF($D289="",0,MAX(0,$D289-$I289))</f>
        <v/>
      </c>
      <c r="K289" s="122">
        <f>IF($H289=0,0,IFERROR(IF($E289="Azalan",$D289*(1-MIN(2*AmortismanAzalanCarpan*$F289,1))^MAX(0,$H289-1)*MIN(2*AmortismanAzalanCarpan*$F289,1),MIN($D289*$F289,$D289)),0))</f>
        <v/>
      </c>
      <c r="L289" s="122">
        <f>IF($D289="",0,$G289-$J289)</f>
        <v/>
      </c>
      <c r="M289" s="122">
        <f>IF($B289="","",CONCATENATE("Kıymet: ",$B289," | NDD: ",TEXT($J289,"#,##0")))</f>
        <v/>
      </c>
    </row>
    <row r="290" ht="15" customHeight="1" s="77">
      <c r="A290" s="123" t="n"/>
      <c r="B290" s="123" t="n"/>
      <c r="C290" s="124" t="n"/>
      <c r="D290" s="125" t="n"/>
      <c r="E290" s="123" t="n"/>
      <c r="F290" s="126" t="n"/>
      <c r="G290" s="125" t="n"/>
      <c r="H290" s="122">
        <f>IF($D290="",0,MAX(0,ROUNDDOWN((AmortismanRaporTarihi-$C290)/365,0)))</f>
        <v/>
      </c>
      <c r="I290" s="122">
        <f>IF($D290="",0,IFERROR(IF($E290="Azalan",MAX(0,$D290*(1-MIN(2*AmortismanAzalanCarpan*$F290,1)^$H290)),MIN($D290,$D290*$F290*$H290)),0))</f>
        <v/>
      </c>
      <c r="J290" s="122">
        <f>IF($D290="",0,MAX(0,$D290-$I290))</f>
        <v/>
      </c>
      <c r="K290" s="122">
        <f>IF($H290=0,0,IFERROR(IF($E290="Azalan",$D290*(1-MIN(2*AmortismanAzalanCarpan*$F290,1))^MAX(0,$H290-1)*MIN(2*AmortismanAzalanCarpan*$F290,1),MIN($D290*$F290,$D290)),0))</f>
        <v/>
      </c>
      <c r="L290" s="122">
        <f>IF($D290="",0,$G290-$J290)</f>
        <v/>
      </c>
      <c r="M290" s="122">
        <f>IF($B290="","",CONCATENATE("Kıymet: ",$B290," | NDD: ",TEXT($J290,"#,##0")))</f>
        <v/>
      </c>
    </row>
    <row r="291" ht="15" customHeight="1" s="77">
      <c r="A291" s="123" t="n"/>
      <c r="B291" s="123" t="n"/>
      <c r="C291" s="124" t="n"/>
      <c r="D291" s="125" t="n"/>
      <c r="E291" s="123" t="n"/>
      <c r="F291" s="126" t="n"/>
      <c r="G291" s="125" t="n"/>
      <c r="H291" s="122">
        <f>IF($D291="",0,MAX(0,ROUNDDOWN((AmortismanRaporTarihi-$C291)/365,0)))</f>
        <v/>
      </c>
      <c r="I291" s="122">
        <f>IF($D291="",0,IFERROR(IF($E291="Azalan",MAX(0,$D291*(1-MIN(2*AmortismanAzalanCarpan*$F291,1)^$H291)),MIN($D291,$D291*$F291*$H291)),0))</f>
        <v/>
      </c>
      <c r="J291" s="122">
        <f>IF($D291="",0,MAX(0,$D291-$I291))</f>
        <v/>
      </c>
      <c r="K291" s="122">
        <f>IF($H291=0,0,IFERROR(IF($E291="Azalan",$D291*(1-MIN(2*AmortismanAzalanCarpan*$F291,1))^MAX(0,$H291-1)*MIN(2*AmortismanAzalanCarpan*$F291,1),MIN($D291*$F291,$D291)),0))</f>
        <v/>
      </c>
      <c r="L291" s="122">
        <f>IF($D291="",0,$G291-$J291)</f>
        <v/>
      </c>
      <c r="M291" s="122">
        <f>IF($B291="","",CONCATENATE("Kıymet: ",$B291," | NDD: ",TEXT($J291,"#,##0")))</f>
        <v/>
      </c>
    </row>
    <row r="292" ht="15" customHeight="1" s="77">
      <c r="A292" s="123" t="n"/>
      <c r="B292" s="123" t="n"/>
      <c r="C292" s="124" t="n"/>
      <c r="D292" s="125" t="n"/>
      <c r="E292" s="123" t="n"/>
      <c r="F292" s="126" t="n"/>
      <c r="G292" s="125" t="n"/>
      <c r="H292" s="122">
        <f>IF($D292="",0,MAX(0,ROUNDDOWN((AmortismanRaporTarihi-$C292)/365,0)))</f>
        <v/>
      </c>
      <c r="I292" s="122">
        <f>IF($D292="",0,IFERROR(IF($E292="Azalan",MAX(0,$D292*(1-MIN(2*AmortismanAzalanCarpan*$F292,1)^$H292)),MIN($D292,$D292*$F292*$H292)),0))</f>
        <v/>
      </c>
      <c r="J292" s="122">
        <f>IF($D292="",0,MAX(0,$D292-$I292))</f>
        <v/>
      </c>
      <c r="K292" s="122">
        <f>IF($H292=0,0,IFERROR(IF($E292="Azalan",$D292*(1-MIN(2*AmortismanAzalanCarpan*$F292,1))^MAX(0,$H292-1)*MIN(2*AmortismanAzalanCarpan*$F292,1),MIN($D292*$F292,$D292)),0))</f>
        <v/>
      </c>
      <c r="L292" s="122">
        <f>IF($D292="",0,$G292-$J292)</f>
        <v/>
      </c>
      <c r="M292" s="122">
        <f>IF($B292="","",CONCATENATE("Kıymet: ",$B292," | NDD: ",TEXT($J292,"#,##0")))</f>
        <v/>
      </c>
    </row>
    <row r="293" ht="15" customHeight="1" s="77">
      <c r="A293" s="123" t="n"/>
      <c r="B293" s="123" t="n"/>
      <c r="C293" s="124" t="n"/>
      <c r="D293" s="125" t="n"/>
      <c r="E293" s="123" t="n"/>
      <c r="F293" s="126" t="n"/>
      <c r="G293" s="125" t="n"/>
      <c r="H293" s="122">
        <f>IF($D293="",0,MAX(0,ROUNDDOWN((AmortismanRaporTarihi-$C293)/365,0)))</f>
        <v/>
      </c>
      <c r="I293" s="122">
        <f>IF($D293="",0,IFERROR(IF($E293="Azalan",MAX(0,$D293*(1-MIN(2*AmortismanAzalanCarpan*$F293,1)^$H293)),MIN($D293,$D293*$F293*$H293)),0))</f>
        <v/>
      </c>
      <c r="J293" s="122">
        <f>IF($D293="",0,MAX(0,$D293-$I293))</f>
        <v/>
      </c>
      <c r="K293" s="122">
        <f>IF($H293=0,0,IFERROR(IF($E293="Azalan",$D293*(1-MIN(2*AmortismanAzalanCarpan*$F293,1))^MAX(0,$H293-1)*MIN(2*AmortismanAzalanCarpan*$F293,1),MIN($D293*$F293,$D293)),0))</f>
        <v/>
      </c>
      <c r="L293" s="122">
        <f>IF($D293="",0,$G293-$J293)</f>
        <v/>
      </c>
      <c r="M293" s="122">
        <f>IF($B293="","",CONCATENATE("Kıymet: ",$B293," | NDD: ",TEXT($J293,"#,##0")))</f>
        <v/>
      </c>
    </row>
    <row r="294" ht="15" customHeight="1" s="77">
      <c r="A294" s="123" t="n"/>
      <c r="B294" s="123" t="n"/>
      <c r="C294" s="124" t="n"/>
      <c r="D294" s="125" t="n"/>
      <c r="E294" s="123" t="n"/>
      <c r="F294" s="126" t="n"/>
      <c r="G294" s="125" t="n"/>
      <c r="H294" s="122">
        <f>IF($D294="",0,MAX(0,ROUNDDOWN((AmortismanRaporTarihi-$C294)/365,0)))</f>
        <v/>
      </c>
      <c r="I294" s="122">
        <f>IF($D294="",0,IFERROR(IF($E294="Azalan",MAX(0,$D294*(1-MIN(2*AmortismanAzalanCarpan*$F294,1)^$H294)),MIN($D294,$D294*$F294*$H294)),0))</f>
        <v/>
      </c>
      <c r="J294" s="122">
        <f>IF($D294="",0,MAX(0,$D294-$I294))</f>
        <v/>
      </c>
      <c r="K294" s="122">
        <f>IF($H294=0,0,IFERROR(IF($E294="Azalan",$D294*(1-MIN(2*AmortismanAzalanCarpan*$F294,1))^MAX(0,$H294-1)*MIN(2*AmortismanAzalanCarpan*$F294,1),MIN($D294*$F294,$D294)),0))</f>
        <v/>
      </c>
      <c r="L294" s="122">
        <f>IF($D294="",0,$G294-$J294)</f>
        <v/>
      </c>
      <c r="M294" s="122">
        <f>IF($B294="","",CONCATENATE("Kıymet: ",$B294," | NDD: ",TEXT($J294,"#,##0")))</f>
        <v/>
      </c>
    </row>
    <row r="295" ht="15" customHeight="1" s="77">
      <c r="A295" s="123" t="n"/>
      <c r="B295" s="123" t="n"/>
      <c r="C295" s="124" t="n"/>
      <c r="D295" s="125" t="n"/>
      <c r="E295" s="123" t="n"/>
      <c r="F295" s="126" t="n"/>
      <c r="G295" s="125" t="n"/>
      <c r="H295" s="122">
        <f>IF($D295="",0,MAX(0,ROUNDDOWN((AmortismanRaporTarihi-$C295)/365,0)))</f>
        <v/>
      </c>
      <c r="I295" s="122">
        <f>IF($D295="",0,IFERROR(IF($E295="Azalan",MAX(0,$D295*(1-MIN(2*AmortismanAzalanCarpan*$F295,1)^$H295)),MIN($D295,$D295*$F295*$H295)),0))</f>
        <v/>
      </c>
      <c r="J295" s="122">
        <f>IF($D295="",0,MAX(0,$D295-$I295))</f>
        <v/>
      </c>
      <c r="K295" s="122">
        <f>IF($H295=0,0,IFERROR(IF($E295="Azalan",$D295*(1-MIN(2*AmortismanAzalanCarpan*$F295,1))^MAX(0,$H295-1)*MIN(2*AmortismanAzalanCarpan*$F295,1),MIN($D295*$F295,$D295)),0))</f>
        <v/>
      </c>
      <c r="L295" s="122">
        <f>IF($D295="",0,$G295-$J295)</f>
        <v/>
      </c>
      <c r="M295" s="122">
        <f>IF($B295="","",CONCATENATE("Kıymet: ",$B295," | NDD: ",TEXT($J295,"#,##0")))</f>
        <v/>
      </c>
    </row>
    <row r="296" ht="15" customHeight="1" s="77">
      <c r="A296" s="123" t="n"/>
      <c r="B296" s="123" t="n"/>
      <c r="C296" s="124" t="n"/>
      <c r="D296" s="125" t="n"/>
      <c r="E296" s="123" t="n"/>
      <c r="F296" s="126" t="n"/>
      <c r="G296" s="125" t="n"/>
      <c r="H296" s="122">
        <f>IF($D296="",0,MAX(0,ROUNDDOWN((AmortismanRaporTarihi-$C296)/365,0)))</f>
        <v/>
      </c>
      <c r="I296" s="122">
        <f>IF($D296="",0,IFERROR(IF($E296="Azalan",MAX(0,$D296*(1-MIN(2*AmortismanAzalanCarpan*$F296,1)^$H296)),MIN($D296,$D296*$F296*$H296)),0))</f>
        <v/>
      </c>
      <c r="J296" s="122">
        <f>IF($D296="",0,MAX(0,$D296-$I296))</f>
        <v/>
      </c>
      <c r="K296" s="122">
        <f>IF($H296=0,0,IFERROR(IF($E296="Azalan",$D296*(1-MIN(2*AmortismanAzalanCarpan*$F296,1))^MAX(0,$H296-1)*MIN(2*AmortismanAzalanCarpan*$F296,1),MIN($D296*$F296,$D296)),0))</f>
        <v/>
      </c>
      <c r="L296" s="122">
        <f>IF($D296="",0,$G296-$J296)</f>
        <v/>
      </c>
      <c r="M296" s="122">
        <f>IF($B296="","",CONCATENATE("Kıymet: ",$B296," | NDD: ",TEXT($J296,"#,##0")))</f>
        <v/>
      </c>
    </row>
    <row r="297" ht="15" customHeight="1" s="77">
      <c r="A297" s="123" t="n"/>
      <c r="B297" s="123" t="n"/>
      <c r="C297" s="124" t="n"/>
      <c r="D297" s="125" t="n"/>
      <c r="E297" s="123" t="n"/>
      <c r="F297" s="126" t="n"/>
      <c r="G297" s="125" t="n"/>
      <c r="H297" s="122">
        <f>IF($D297="",0,MAX(0,ROUNDDOWN((AmortismanRaporTarihi-$C297)/365,0)))</f>
        <v/>
      </c>
      <c r="I297" s="122">
        <f>IF($D297="",0,IFERROR(IF($E297="Azalan",MAX(0,$D297*(1-MIN(2*AmortismanAzalanCarpan*$F297,1)^$H297)),MIN($D297,$D297*$F297*$H297)),0))</f>
        <v/>
      </c>
      <c r="J297" s="122">
        <f>IF($D297="",0,MAX(0,$D297-$I297))</f>
        <v/>
      </c>
      <c r="K297" s="122">
        <f>IF($H297=0,0,IFERROR(IF($E297="Azalan",$D297*(1-MIN(2*AmortismanAzalanCarpan*$F297,1))^MAX(0,$H297-1)*MIN(2*AmortismanAzalanCarpan*$F297,1),MIN($D297*$F297,$D297)),0))</f>
        <v/>
      </c>
      <c r="L297" s="122">
        <f>IF($D297="",0,$G297-$J297)</f>
        <v/>
      </c>
      <c r="M297" s="122">
        <f>IF($B297="","",CONCATENATE("Kıymet: ",$B297," | NDD: ",TEXT($J297,"#,##0")))</f>
        <v/>
      </c>
    </row>
    <row r="298" ht="15" customHeight="1" s="77">
      <c r="A298" s="123" t="n"/>
      <c r="B298" s="123" t="n"/>
      <c r="C298" s="124" t="n"/>
      <c r="D298" s="125" t="n"/>
      <c r="E298" s="123" t="n"/>
      <c r="F298" s="126" t="n"/>
      <c r="G298" s="125" t="n"/>
      <c r="H298" s="122">
        <f>IF($D298="",0,MAX(0,ROUNDDOWN((AmortismanRaporTarihi-$C298)/365,0)))</f>
        <v/>
      </c>
      <c r="I298" s="122">
        <f>IF($D298="",0,IFERROR(IF($E298="Azalan",MAX(0,$D298*(1-MIN(2*AmortismanAzalanCarpan*$F298,1)^$H298)),MIN($D298,$D298*$F298*$H298)),0))</f>
        <v/>
      </c>
      <c r="J298" s="122">
        <f>IF($D298="",0,MAX(0,$D298-$I298))</f>
        <v/>
      </c>
      <c r="K298" s="122">
        <f>IF($H298=0,0,IFERROR(IF($E298="Azalan",$D298*(1-MIN(2*AmortismanAzalanCarpan*$F298,1))^MAX(0,$H298-1)*MIN(2*AmortismanAzalanCarpan*$F298,1),MIN($D298*$F298,$D298)),0))</f>
        <v/>
      </c>
      <c r="L298" s="122">
        <f>IF($D298="",0,$G298-$J298)</f>
        <v/>
      </c>
      <c r="M298" s="122">
        <f>IF($B298="","",CONCATENATE("Kıymet: ",$B298," | NDD: ",TEXT($J298,"#,##0")))</f>
        <v/>
      </c>
    </row>
    <row r="299" ht="15" customHeight="1" s="77">
      <c r="A299" s="123" t="n"/>
      <c r="B299" s="123" t="n"/>
      <c r="C299" s="124" t="n"/>
      <c r="D299" s="125" t="n"/>
      <c r="E299" s="123" t="n"/>
      <c r="F299" s="126" t="n"/>
      <c r="G299" s="125" t="n"/>
      <c r="H299" s="122">
        <f>IF($D299="",0,MAX(0,ROUNDDOWN((AmortismanRaporTarihi-$C299)/365,0)))</f>
        <v/>
      </c>
      <c r="I299" s="122">
        <f>IF($D299="",0,IFERROR(IF($E299="Azalan",MAX(0,$D299*(1-MIN(2*AmortismanAzalanCarpan*$F299,1)^$H299)),MIN($D299,$D299*$F299*$H299)),0))</f>
        <v/>
      </c>
      <c r="J299" s="122">
        <f>IF($D299="",0,MAX(0,$D299-$I299))</f>
        <v/>
      </c>
      <c r="K299" s="122">
        <f>IF($H299=0,0,IFERROR(IF($E299="Azalan",$D299*(1-MIN(2*AmortismanAzalanCarpan*$F299,1))^MAX(0,$H299-1)*MIN(2*AmortismanAzalanCarpan*$F299,1),MIN($D299*$F299,$D299)),0))</f>
        <v/>
      </c>
      <c r="L299" s="122">
        <f>IF($D299="",0,$G299-$J299)</f>
        <v/>
      </c>
      <c r="M299" s="122">
        <f>IF($B299="","",CONCATENATE("Kıymet: ",$B299," | NDD: ",TEXT($J299,"#,##0")))</f>
        <v/>
      </c>
    </row>
    <row r="300" ht="15" customHeight="1" s="77">
      <c r="A300" s="123" t="n"/>
      <c r="B300" s="123" t="n"/>
      <c r="C300" s="124" t="n"/>
      <c r="D300" s="125" t="n"/>
      <c r="E300" s="123" t="n"/>
      <c r="F300" s="126" t="n"/>
      <c r="G300" s="125" t="n"/>
      <c r="H300" s="122">
        <f>IF($D300="",0,MAX(0,ROUNDDOWN((AmortismanRaporTarihi-$C300)/365,0)))</f>
        <v/>
      </c>
      <c r="I300" s="122">
        <f>IF($D300="",0,IFERROR(IF($E300="Azalan",MAX(0,$D300*(1-MIN(2*AmortismanAzalanCarpan*$F300,1)^$H300)),MIN($D300,$D300*$F300*$H300)),0))</f>
        <v/>
      </c>
      <c r="J300" s="122">
        <f>IF($D300="",0,MAX(0,$D300-$I300))</f>
        <v/>
      </c>
      <c r="K300" s="122">
        <f>IF($H300=0,0,IFERROR(IF($E300="Azalan",$D300*(1-MIN(2*AmortismanAzalanCarpan*$F300,1))^MAX(0,$H300-1)*MIN(2*AmortismanAzalanCarpan*$F300,1),MIN($D300*$F300,$D300)),0))</f>
        <v/>
      </c>
      <c r="L300" s="122">
        <f>IF($D300="",0,$G300-$J300)</f>
        <v/>
      </c>
      <c r="M300" s="122">
        <f>IF($B300="","",CONCATENATE("Kıymet: ",$B300," | NDD: ",TEXT($J300,"#,##0")))</f>
        <v/>
      </c>
    </row>
    <row r="301" ht="15" customHeight="1" s="77">
      <c r="A301" s="123" t="n"/>
      <c r="B301" s="123" t="n"/>
      <c r="C301" s="124" t="n"/>
      <c r="D301" s="125" t="n"/>
      <c r="E301" s="123" t="n"/>
      <c r="F301" s="126" t="n"/>
      <c r="G301" s="125" t="n"/>
      <c r="H301" s="122">
        <f>IF($D301="",0,MAX(0,ROUNDDOWN((AmortismanRaporTarihi-$C301)/365,0)))</f>
        <v/>
      </c>
      <c r="I301" s="122">
        <f>IF($D301="",0,IFERROR(IF($E301="Azalan",MAX(0,$D301*(1-MIN(2*AmortismanAzalanCarpan*$F301,1)^$H301)),MIN($D301,$D301*$F301*$H301)),0))</f>
        <v/>
      </c>
      <c r="J301" s="122">
        <f>IF($D301="",0,MAX(0,$D301-$I301))</f>
        <v/>
      </c>
      <c r="K301" s="122">
        <f>IF($H301=0,0,IFERROR(IF($E301="Azalan",$D301*(1-MIN(2*AmortismanAzalanCarpan*$F301,1))^MAX(0,$H301-1)*MIN(2*AmortismanAzalanCarpan*$F301,1),MIN($D301*$F301,$D301)),0))</f>
        <v/>
      </c>
      <c r="L301" s="122">
        <f>IF($D301="",0,$G301-$J301)</f>
        <v/>
      </c>
      <c r="M301" s="122">
        <f>IF($B301="","",CONCATENATE("Kıymet: ",$B301," | NDD: ",TEXT($J301,"#,##0")))</f>
        <v/>
      </c>
    </row>
    <row r="302" ht="15" customHeight="1" s="77">
      <c r="A302" s="123" t="n"/>
      <c r="B302" s="123" t="n"/>
      <c r="C302" s="124" t="n"/>
      <c r="D302" s="125" t="n"/>
      <c r="E302" s="123" t="n"/>
      <c r="F302" s="126" t="n"/>
      <c r="G302" s="125" t="n"/>
      <c r="H302" s="122">
        <f>IF($D302="",0,MAX(0,ROUNDDOWN((AmortismanRaporTarihi-$C302)/365,0)))</f>
        <v/>
      </c>
      <c r="I302" s="122">
        <f>IF($D302="",0,IFERROR(IF($E302="Azalan",MAX(0,$D302*(1-MIN(2*AmortismanAzalanCarpan*$F302,1)^$H302)),MIN($D302,$D302*$F302*$H302)),0))</f>
        <v/>
      </c>
      <c r="J302" s="122">
        <f>IF($D302="",0,MAX(0,$D302-$I302))</f>
        <v/>
      </c>
      <c r="K302" s="122">
        <f>IF($H302=0,0,IFERROR(IF($E302="Azalan",$D302*(1-MIN(2*AmortismanAzalanCarpan*$F302,1))^MAX(0,$H302-1)*MIN(2*AmortismanAzalanCarpan*$F302,1),MIN($D302*$F302,$D302)),0))</f>
        <v/>
      </c>
      <c r="L302" s="122">
        <f>IF($D302="",0,$G302-$J302)</f>
        <v/>
      </c>
      <c r="M302" s="122">
        <f>IF($B302="","",CONCATENATE("Kıymet: ",$B302," | NDD: ",TEXT($J302,"#,##0")))</f>
        <v/>
      </c>
    </row>
    <row r="303" ht="15" customHeight="1" s="77">
      <c r="A303" s="123" t="n"/>
      <c r="B303" s="123" t="n"/>
      <c r="C303" s="124" t="n"/>
      <c r="D303" s="125" t="n"/>
      <c r="E303" s="123" t="n"/>
      <c r="F303" s="126" t="n"/>
      <c r="G303" s="125" t="n"/>
      <c r="H303" s="122">
        <f>IF($D303="",0,MAX(0,ROUNDDOWN((AmortismanRaporTarihi-$C303)/365,0)))</f>
        <v/>
      </c>
      <c r="I303" s="122">
        <f>IF($D303="",0,IFERROR(IF($E303="Azalan",MAX(0,$D303*(1-MIN(2*AmortismanAzalanCarpan*$F303,1)^$H303)),MIN($D303,$D303*$F303*$H303)),0))</f>
        <v/>
      </c>
      <c r="J303" s="122">
        <f>IF($D303="",0,MAX(0,$D303-$I303))</f>
        <v/>
      </c>
      <c r="K303" s="122">
        <f>IF($H303=0,0,IFERROR(IF($E303="Azalan",$D303*(1-MIN(2*AmortismanAzalanCarpan*$F303,1))^MAX(0,$H303-1)*MIN(2*AmortismanAzalanCarpan*$F303,1),MIN($D303*$F303,$D303)),0))</f>
        <v/>
      </c>
      <c r="L303" s="122">
        <f>IF($D303="",0,$G303-$J303)</f>
        <v/>
      </c>
      <c r="M303" s="122">
        <f>IF($B303="","",CONCATENATE("Kıymet: ",$B303," | NDD: ",TEXT($J303,"#,##0")))</f>
        <v/>
      </c>
    </row>
    <row r="304" ht="15" customHeight="1" s="77">
      <c r="A304" s="123" t="n"/>
      <c r="B304" s="123" t="n"/>
      <c r="C304" s="124" t="n"/>
      <c r="D304" s="125" t="n"/>
      <c r="E304" s="123" t="n"/>
      <c r="F304" s="126" t="n"/>
      <c r="G304" s="125" t="n"/>
      <c r="H304" s="122">
        <f>IF($D304="",0,MAX(0,ROUNDDOWN((AmortismanRaporTarihi-$C304)/365,0)))</f>
        <v/>
      </c>
      <c r="I304" s="122">
        <f>IF($D304="",0,IFERROR(IF($E304="Azalan",MAX(0,$D304*(1-MIN(2*AmortismanAzalanCarpan*$F304,1)^$H304)),MIN($D304,$D304*$F304*$H304)),0))</f>
        <v/>
      </c>
      <c r="J304" s="122">
        <f>IF($D304="",0,MAX(0,$D304-$I304))</f>
        <v/>
      </c>
      <c r="K304" s="122">
        <f>IF($H304=0,0,IFERROR(IF($E304="Azalan",$D304*(1-MIN(2*AmortismanAzalanCarpan*$F304,1))^MAX(0,$H304-1)*MIN(2*AmortismanAzalanCarpan*$F304,1),MIN($D304*$F304,$D304)),0))</f>
        <v/>
      </c>
      <c r="L304" s="122">
        <f>IF($D304="",0,$G304-$J304)</f>
        <v/>
      </c>
      <c r="M304" s="122">
        <f>IF($B304="","",CONCATENATE("Kıymet: ",$B304," | NDD: ",TEXT($J304,"#,##0")))</f>
        <v/>
      </c>
    </row>
    <row r="305" ht="15" customHeight="1" s="77">
      <c r="A305" s="123" t="n"/>
      <c r="B305" s="123" t="n"/>
      <c r="C305" s="124" t="n"/>
      <c r="D305" s="125" t="n"/>
      <c r="E305" s="123" t="n"/>
      <c r="F305" s="126" t="n"/>
      <c r="G305" s="125" t="n"/>
      <c r="H305" s="122">
        <f>IF($D305="",0,MAX(0,ROUNDDOWN((AmortismanRaporTarihi-$C305)/365,0)))</f>
        <v/>
      </c>
      <c r="I305" s="122">
        <f>IF($D305="",0,IFERROR(IF($E305="Azalan",MAX(0,$D305*(1-MIN(2*AmortismanAzalanCarpan*$F305,1)^$H305)),MIN($D305,$D305*$F305*$H305)),0))</f>
        <v/>
      </c>
      <c r="J305" s="122">
        <f>IF($D305="",0,MAX(0,$D305-$I305))</f>
        <v/>
      </c>
      <c r="K305" s="122">
        <f>IF($H305=0,0,IFERROR(IF($E305="Azalan",$D305*(1-MIN(2*AmortismanAzalanCarpan*$F305,1))^MAX(0,$H305-1)*MIN(2*AmortismanAzalanCarpan*$F305,1),MIN($D305*$F305,$D305)),0))</f>
        <v/>
      </c>
      <c r="L305" s="122">
        <f>IF($D305="",0,$G305-$J305)</f>
        <v/>
      </c>
      <c r="M305" s="122">
        <f>IF($B305="","",CONCATENATE("Kıymet: ",$B305," | NDD: ",TEXT($J305,"#,##0")))</f>
        <v/>
      </c>
    </row>
    <row r="306" ht="15" customHeight="1" s="77">
      <c r="A306" s="123" t="n"/>
      <c r="B306" s="123" t="n"/>
      <c r="C306" s="124" t="n"/>
      <c r="D306" s="125" t="n"/>
      <c r="E306" s="123" t="n"/>
      <c r="F306" s="126" t="n"/>
      <c r="G306" s="125" t="n"/>
      <c r="H306" s="122">
        <f>IF($D306="",0,MAX(0,ROUNDDOWN((AmortismanRaporTarihi-$C306)/365,0)))</f>
        <v/>
      </c>
      <c r="I306" s="122">
        <f>IF($D306="",0,IFERROR(IF($E306="Azalan",MAX(0,$D306*(1-MIN(2*AmortismanAzalanCarpan*$F306,1)^$H306)),MIN($D306,$D306*$F306*$H306)),0))</f>
        <v/>
      </c>
      <c r="J306" s="122">
        <f>IF($D306="",0,MAX(0,$D306-$I306))</f>
        <v/>
      </c>
      <c r="K306" s="122">
        <f>IF($H306=0,0,IFERROR(IF($E306="Azalan",$D306*(1-MIN(2*AmortismanAzalanCarpan*$F306,1))^MAX(0,$H306-1)*MIN(2*AmortismanAzalanCarpan*$F306,1),MIN($D306*$F306,$D306)),0))</f>
        <v/>
      </c>
      <c r="L306" s="122">
        <f>IF($D306="",0,$G306-$J306)</f>
        <v/>
      </c>
      <c r="M306" s="122">
        <f>IF($B306="","",CONCATENATE("Kıymet: ",$B306," | NDD: ",TEXT($J306,"#,##0")))</f>
        <v/>
      </c>
    </row>
    <row r="307" ht="15" customHeight="1" s="77">
      <c r="A307" s="123" t="n"/>
      <c r="B307" s="123" t="n"/>
      <c r="C307" s="124" t="n"/>
      <c r="D307" s="125" t="n"/>
      <c r="E307" s="123" t="n"/>
      <c r="F307" s="126" t="n"/>
      <c r="G307" s="125" t="n"/>
      <c r="H307" s="122">
        <f>IF($D307="",0,MAX(0,ROUNDDOWN((AmortismanRaporTarihi-$C307)/365,0)))</f>
        <v/>
      </c>
      <c r="I307" s="122">
        <f>IF($D307="",0,IFERROR(IF($E307="Azalan",MAX(0,$D307*(1-MIN(2*AmortismanAzalanCarpan*$F307,1)^$H307)),MIN($D307,$D307*$F307*$H307)),0))</f>
        <v/>
      </c>
      <c r="J307" s="122">
        <f>IF($D307="",0,MAX(0,$D307-$I307))</f>
        <v/>
      </c>
      <c r="K307" s="122">
        <f>IF($H307=0,0,IFERROR(IF($E307="Azalan",$D307*(1-MIN(2*AmortismanAzalanCarpan*$F307,1))^MAX(0,$H307-1)*MIN(2*AmortismanAzalanCarpan*$F307,1),MIN($D307*$F307,$D307)),0))</f>
        <v/>
      </c>
      <c r="L307" s="122">
        <f>IF($D307="",0,$G307-$J307)</f>
        <v/>
      </c>
      <c r="M307" s="122">
        <f>IF($B307="","",CONCATENATE("Kıymet: ",$B307," | NDD: ",TEXT($J307,"#,##0")))</f>
        <v/>
      </c>
    </row>
    <row r="308" ht="15" customHeight="1" s="77">
      <c r="A308" s="123" t="n"/>
      <c r="B308" s="123" t="n"/>
      <c r="C308" s="124" t="n"/>
      <c r="D308" s="125" t="n"/>
      <c r="E308" s="123" t="n"/>
      <c r="F308" s="126" t="n"/>
      <c r="G308" s="125" t="n"/>
      <c r="H308" s="122">
        <f>IF($D308="",0,MAX(0,ROUNDDOWN((AmortismanRaporTarihi-$C308)/365,0)))</f>
        <v/>
      </c>
      <c r="I308" s="122">
        <f>IF($D308="",0,IFERROR(IF($E308="Azalan",MAX(0,$D308*(1-MIN(2*AmortismanAzalanCarpan*$F308,1)^$H308)),MIN($D308,$D308*$F308*$H308)),0))</f>
        <v/>
      </c>
      <c r="J308" s="122">
        <f>IF($D308="",0,MAX(0,$D308-$I308))</f>
        <v/>
      </c>
      <c r="K308" s="122">
        <f>IF($H308=0,0,IFERROR(IF($E308="Azalan",$D308*(1-MIN(2*AmortismanAzalanCarpan*$F308,1))^MAX(0,$H308-1)*MIN(2*AmortismanAzalanCarpan*$F308,1),MIN($D308*$F308,$D308)),0))</f>
        <v/>
      </c>
      <c r="L308" s="122">
        <f>IF($D308="",0,$G308-$J308)</f>
        <v/>
      </c>
      <c r="M308" s="122">
        <f>IF($B308="","",CONCATENATE("Kıymet: ",$B308," | NDD: ",TEXT($J308,"#,##0")))</f>
        <v/>
      </c>
    </row>
    <row r="309" ht="15" customHeight="1" s="77">
      <c r="A309" s="123" t="n"/>
      <c r="B309" s="123" t="n"/>
      <c r="C309" s="124" t="n"/>
      <c r="D309" s="125" t="n"/>
      <c r="E309" s="123" t="n"/>
      <c r="F309" s="126" t="n"/>
      <c r="G309" s="125" t="n"/>
      <c r="H309" s="122">
        <f>IF($D309="",0,MAX(0,ROUNDDOWN((AmortismanRaporTarihi-$C309)/365,0)))</f>
        <v/>
      </c>
      <c r="I309" s="122">
        <f>IF($D309="",0,IFERROR(IF($E309="Azalan",MAX(0,$D309*(1-MIN(2*AmortismanAzalanCarpan*$F309,1)^$H309)),MIN($D309,$D309*$F309*$H309)),0))</f>
        <v/>
      </c>
      <c r="J309" s="122">
        <f>IF($D309="",0,MAX(0,$D309-$I309))</f>
        <v/>
      </c>
      <c r="K309" s="122">
        <f>IF($H309=0,0,IFERROR(IF($E309="Azalan",$D309*(1-MIN(2*AmortismanAzalanCarpan*$F309,1))^MAX(0,$H309-1)*MIN(2*AmortismanAzalanCarpan*$F309,1),MIN($D309*$F309,$D309)),0))</f>
        <v/>
      </c>
      <c r="L309" s="122">
        <f>IF($D309="",0,$G309-$J309)</f>
        <v/>
      </c>
      <c r="M309" s="122">
        <f>IF($B309="","",CONCATENATE("Kıymet: ",$B309," | NDD: ",TEXT($J309,"#,##0")))</f>
        <v/>
      </c>
    </row>
    <row r="310" ht="15" customHeight="1" s="77">
      <c r="A310" s="123" t="n"/>
      <c r="B310" s="123" t="n"/>
      <c r="C310" s="124" t="n"/>
      <c r="D310" s="125" t="n"/>
      <c r="E310" s="123" t="n"/>
      <c r="F310" s="126" t="n"/>
      <c r="G310" s="125" t="n"/>
      <c r="H310" s="122">
        <f>IF($D310="",0,MAX(0,ROUNDDOWN((AmortismanRaporTarihi-$C310)/365,0)))</f>
        <v/>
      </c>
      <c r="I310" s="122">
        <f>IF($D310="",0,IFERROR(IF($E310="Azalan",MAX(0,$D310*(1-MIN(2*AmortismanAzalanCarpan*$F310,1)^$H310)),MIN($D310,$D310*$F310*$H310)),0))</f>
        <v/>
      </c>
      <c r="J310" s="122">
        <f>IF($D310="",0,MAX(0,$D310-$I310))</f>
        <v/>
      </c>
      <c r="K310" s="122">
        <f>IF($H310=0,0,IFERROR(IF($E310="Azalan",$D310*(1-MIN(2*AmortismanAzalanCarpan*$F310,1))^MAX(0,$H310-1)*MIN(2*AmortismanAzalanCarpan*$F310,1),MIN($D310*$F310,$D310)),0))</f>
        <v/>
      </c>
      <c r="L310" s="122">
        <f>IF($D310="",0,$G310-$J310)</f>
        <v/>
      </c>
      <c r="M310" s="122">
        <f>IF($B310="","",CONCATENATE("Kıymet: ",$B310," | NDD: ",TEXT($J310,"#,##0")))</f>
        <v/>
      </c>
    </row>
    <row r="311" ht="15" customHeight="1" s="77">
      <c r="A311" s="123" t="n"/>
      <c r="B311" s="123" t="n"/>
      <c r="C311" s="124" t="n"/>
      <c r="D311" s="125" t="n"/>
      <c r="E311" s="123" t="n"/>
      <c r="F311" s="126" t="n"/>
      <c r="G311" s="125" t="n"/>
      <c r="H311" s="122">
        <f>IF($D311="",0,MAX(0,ROUNDDOWN((AmortismanRaporTarihi-$C311)/365,0)))</f>
        <v/>
      </c>
      <c r="I311" s="122">
        <f>IF($D311="",0,IFERROR(IF($E311="Azalan",MAX(0,$D311*(1-MIN(2*AmortismanAzalanCarpan*$F311,1)^$H311)),MIN($D311,$D311*$F311*$H311)),0))</f>
        <v/>
      </c>
      <c r="J311" s="122">
        <f>IF($D311="",0,MAX(0,$D311-$I311))</f>
        <v/>
      </c>
      <c r="K311" s="122">
        <f>IF($H311=0,0,IFERROR(IF($E311="Azalan",$D311*(1-MIN(2*AmortismanAzalanCarpan*$F311,1))^MAX(0,$H311-1)*MIN(2*AmortismanAzalanCarpan*$F311,1),MIN($D311*$F311,$D311)),0))</f>
        <v/>
      </c>
      <c r="L311" s="122">
        <f>IF($D311="",0,$G311-$J311)</f>
        <v/>
      </c>
      <c r="M311" s="122">
        <f>IF($B311="","",CONCATENATE("Kıymet: ",$B311," | NDD: ",TEXT($J311,"#,##0")))</f>
        <v/>
      </c>
    </row>
    <row r="312" ht="15" customHeight="1" s="77">
      <c r="A312" s="123" t="n"/>
      <c r="B312" s="123" t="n"/>
      <c r="C312" s="124" t="n"/>
      <c r="D312" s="125" t="n"/>
      <c r="E312" s="123" t="n"/>
      <c r="F312" s="126" t="n"/>
      <c r="G312" s="125" t="n"/>
      <c r="H312" s="122">
        <f>IF($D312="",0,MAX(0,ROUNDDOWN((AmortismanRaporTarihi-$C312)/365,0)))</f>
        <v/>
      </c>
      <c r="I312" s="122">
        <f>IF($D312="",0,IFERROR(IF($E312="Azalan",MAX(0,$D312*(1-MIN(2*AmortismanAzalanCarpan*$F312,1)^$H312)),MIN($D312,$D312*$F312*$H312)),0))</f>
        <v/>
      </c>
      <c r="J312" s="122">
        <f>IF($D312="",0,MAX(0,$D312-$I312))</f>
        <v/>
      </c>
      <c r="K312" s="122">
        <f>IF($H312=0,0,IFERROR(IF($E312="Azalan",$D312*(1-MIN(2*AmortismanAzalanCarpan*$F312,1))^MAX(0,$H312-1)*MIN(2*AmortismanAzalanCarpan*$F312,1),MIN($D312*$F312,$D312)),0))</f>
        <v/>
      </c>
      <c r="L312" s="122">
        <f>IF($D312="",0,$G312-$J312)</f>
        <v/>
      </c>
      <c r="M312" s="122">
        <f>IF($B312="","",CONCATENATE("Kıymet: ",$B312," | NDD: ",TEXT($J312,"#,##0")))</f>
        <v/>
      </c>
    </row>
    <row r="313" ht="15" customHeight="1" s="77">
      <c r="A313" s="123" t="n"/>
      <c r="B313" s="123" t="n"/>
      <c r="C313" s="124" t="n"/>
      <c r="D313" s="125" t="n"/>
      <c r="E313" s="123" t="n"/>
      <c r="F313" s="126" t="n"/>
      <c r="G313" s="125" t="n"/>
      <c r="H313" s="122">
        <f>IF($D313="",0,MAX(0,ROUNDDOWN((AmortismanRaporTarihi-$C313)/365,0)))</f>
        <v/>
      </c>
      <c r="I313" s="122">
        <f>IF($D313="",0,IFERROR(IF($E313="Azalan",MAX(0,$D313*(1-MIN(2*AmortismanAzalanCarpan*$F313,1)^$H313)),MIN($D313,$D313*$F313*$H313)),0))</f>
        <v/>
      </c>
      <c r="J313" s="122">
        <f>IF($D313="",0,MAX(0,$D313-$I313))</f>
        <v/>
      </c>
      <c r="K313" s="122">
        <f>IF($H313=0,0,IFERROR(IF($E313="Azalan",$D313*(1-MIN(2*AmortismanAzalanCarpan*$F313,1))^MAX(0,$H313-1)*MIN(2*AmortismanAzalanCarpan*$F313,1),MIN($D313*$F313,$D313)),0))</f>
        <v/>
      </c>
      <c r="L313" s="122">
        <f>IF($D313="",0,$G313-$J313)</f>
        <v/>
      </c>
      <c r="M313" s="122">
        <f>IF($B313="","",CONCATENATE("Kıymet: ",$B313," | NDD: ",TEXT($J313,"#,##0")))</f>
        <v/>
      </c>
    </row>
    <row r="314" ht="15" customHeight="1" s="77">
      <c r="A314" s="123" t="n"/>
      <c r="B314" s="123" t="n"/>
      <c r="C314" s="124" t="n"/>
      <c r="D314" s="125" t="n"/>
      <c r="E314" s="123" t="n"/>
      <c r="F314" s="126" t="n"/>
      <c r="G314" s="125" t="n"/>
      <c r="H314" s="122">
        <f>IF($D314="",0,MAX(0,ROUNDDOWN((AmortismanRaporTarihi-$C314)/365,0)))</f>
        <v/>
      </c>
      <c r="I314" s="122">
        <f>IF($D314="",0,IFERROR(IF($E314="Azalan",MAX(0,$D314*(1-MIN(2*AmortismanAzalanCarpan*$F314,1)^$H314)),MIN($D314,$D314*$F314*$H314)),0))</f>
        <v/>
      </c>
      <c r="J314" s="122">
        <f>IF($D314="",0,MAX(0,$D314-$I314))</f>
        <v/>
      </c>
      <c r="K314" s="122">
        <f>IF($H314=0,0,IFERROR(IF($E314="Azalan",$D314*(1-MIN(2*AmortismanAzalanCarpan*$F314,1))^MAX(0,$H314-1)*MIN(2*AmortismanAzalanCarpan*$F314,1),MIN($D314*$F314,$D314)),0))</f>
        <v/>
      </c>
      <c r="L314" s="122">
        <f>IF($D314="",0,$G314-$J314)</f>
        <v/>
      </c>
      <c r="M314" s="122">
        <f>IF($B314="","",CONCATENATE("Kıymet: ",$B314," | NDD: ",TEXT($J314,"#,##0")))</f>
        <v/>
      </c>
    </row>
    <row r="315" ht="15" customHeight="1" s="77">
      <c r="A315" s="123" t="n"/>
      <c r="B315" s="123" t="n"/>
      <c r="C315" s="124" t="n"/>
      <c r="D315" s="125" t="n"/>
      <c r="E315" s="123" t="n"/>
      <c r="F315" s="126" t="n"/>
      <c r="G315" s="125" t="n"/>
      <c r="H315" s="122">
        <f>IF($D315="",0,MAX(0,ROUNDDOWN((AmortismanRaporTarihi-$C315)/365,0)))</f>
        <v/>
      </c>
      <c r="I315" s="122">
        <f>IF($D315="",0,IFERROR(IF($E315="Azalan",MAX(0,$D315*(1-MIN(2*AmortismanAzalanCarpan*$F315,1)^$H315)),MIN($D315,$D315*$F315*$H315)),0))</f>
        <v/>
      </c>
      <c r="J315" s="122">
        <f>IF($D315="",0,MAX(0,$D315-$I315))</f>
        <v/>
      </c>
      <c r="K315" s="122">
        <f>IF($H315=0,0,IFERROR(IF($E315="Azalan",$D315*(1-MIN(2*AmortismanAzalanCarpan*$F315,1))^MAX(0,$H315-1)*MIN(2*AmortismanAzalanCarpan*$F315,1),MIN($D315*$F315,$D315)),0))</f>
        <v/>
      </c>
      <c r="L315" s="122">
        <f>IF($D315="",0,$G315-$J315)</f>
        <v/>
      </c>
      <c r="M315" s="122">
        <f>IF($B315="","",CONCATENATE("Kıymet: ",$B315," | NDD: ",TEXT($J315,"#,##0")))</f>
        <v/>
      </c>
    </row>
    <row r="316" ht="15" customHeight="1" s="77">
      <c r="A316" s="123" t="n"/>
      <c r="B316" s="123" t="n"/>
      <c r="C316" s="124" t="n"/>
      <c r="D316" s="125" t="n"/>
      <c r="E316" s="123" t="n"/>
      <c r="F316" s="126" t="n"/>
      <c r="G316" s="125" t="n"/>
      <c r="H316" s="122">
        <f>IF($D316="",0,MAX(0,ROUNDDOWN((AmortismanRaporTarihi-$C316)/365,0)))</f>
        <v/>
      </c>
      <c r="I316" s="122">
        <f>IF($D316="",0,IFERROR(IF($E316="Azalan",MAX(0,$D316*(1-MIN(2*AmortismanAzalanCarpan*$F316,1)^$H316)),MIN($D316,$D316*$F316*$H316)),0))</f>
        <v/>
      </c>
      <c r="J316" s="122">
        <f>IF($D316="",0,MAX(0,$D316-$I316))</f>
        <v/>
      </c>
      <c r="K316" s="122">
        <f>IF($H316=0,0,IFERROR(IF($E316="Azalan",$D316*(1-MIN(2*AmortismanAzalanCarpan*$F316,1))^MAX(0,$H316-1)*MIN(2*AmortismanAzalanCarpan*$F316,1),MIN($D316*$F316,$D316)),0))</f>
        <v/>
      </c>
      <c r="L316" s="122">
        <f>IF($D316="",0,$G316-$J316)</f>
        <v/>
      </c>
      <c r="M316" s="122">
        <f>IF($B316="","",CONCATENATE("Kıymet: ",$B316," | NDD: ",TEXT($J316,"#,##0")))</f>
        <v/>
      </c>
    </row>
    <row r="317" ht="15" customHeight="1" s="77">
      <c r="A317" s="123" t="n"/>
      <c r="B317" s="123" t="n"/>
      <c r="C317" s="124" t="n"/>
      <c r="D317" s="125" t="n"/>
      <c r="E317" s="123" t="n"/>
      <c r="F317" s="126" t="n"/>
      <c r="G317" s="125" t="n"/>
      <c r="H317" s="122">
        <f>IF($D317="",0,MAX(0,ROUNDDOWN((AmortismanRaporTarihi-$C317)/365,0)))</f>
        <v/>
      </c>
      <c r="I317" s="122">
        <f>IF($D317="",0,IFERROR(IF($E317="Azalan",MAX(0,$D317*(1-MIN(2*AmortismanAzalanCarpan*$F317,1)^$H317)),MIN($D317,$D317*$F317*$H317)),0))</f>
        <v/>
      </c>
      <c r="J317" s="122">
        <f>IF($D317="",0,MAX(0,$D317-$I317))</f>
        <v/>
      </c>
      <c r="K317" s="122">
        <f>IF($H317=0,0,IFERROR(IF($E317="Azalan",$D317*(1-MIN(2*AmortismanAzalanCarpan*$F317,1))^MAX(0,$H317-1)*MIN(2*AmortismanAzalanCarpan*$F317,1),MIN($D317*$F317,$D317)),0))</f>
        <v/>
      </c>
      <c r="L317" s="122">
        <f>IF($D317="",0,$G317-$J317)</f>
        <v/>
      </c>
      <c r="M317" s="122">
        <f>IF($B317="","",CONCATENATE("Kıymet: ",$B317," | NDD: ",TEXT($J317,"#,##0")))</f>
        <v/>
      </c>
    </row>
    <row r="318" ht="15" customHeight="1" s="77">
      <c r="A318" s="123" t="n"/>
      <c r="B318" s="123" t="n"/>
      <c r="C318" s="124" t="n"/>
      <c r="D318" s="125" t="n"/>
      <c r="E318" s="123" t="n"/>
      <c r="F318" s="126" t="n"/>
      <c r="G318" s="125" t="n"/>
      <c r="H318" s="122">
        <f>IF($D318="",0,MAX(0,ROUNDDOWN((AmortismanRaporTarihi-$C318)/365,0)))</f>
        <v/>
      </c>
      <c r="I318" s="122">
        <f>IF($D318="",0,IFERROR(IF($E318="Azalan",MAX(0,$D318*(1-MIN(2*AmortismanAzalanCarpan*$F318,1)^$H318)),MIN($D318,$D318*$F318*$H318)),0))</f>
        <v/>
      </c>
      <c r="J318" s="122">
        <f>IF($D318="",0,MAX(0,$D318-$I318))</f>
        <v/>
      </c>
      <c r="K318" s="122">
        <f>IF($H318=0,0,IFERROR(IF($E318="Azalan",$D318*(1-MIN(2*AmortismanAzalanCarpan*$F318,1))^MAX(0,$H318-1)*MIN(2*AmortismanAzalanCarpan*$F318,1),MIN($D318*$F318,$D318)),0))</f>
        <v/>
      </c>
      <c r="L318" s="122">
        <f>IF($D318="",0,$G318-$J318)</f>
        <v/>
      </c>
      <c r="M318" s="122">
        <f>IF($B318="","",CONCATENATE("Kıymet: ",$B318," | NDD: ",TEXT($J318,"#,##0")))</f>
        <v/>
      </c>
    </row>
    <row r="319" ht="15" customHeight="1" s="77">
      <c r="A319" s="123" t="n"/>
      <c r="B319" s="123" t="n"/>
      <c r="C319" s="124" t="n"/>
      <c r="D319" s="125" t="n"/>
      <c r="E319" s="123" t="n"/>
      <c r="F319" s="126" t="n"/>
      <c r="G319" s="125" t="n"/>
      <c r="H319" s="122">
        <f>IF($D319="",0,MAX(0,ROUNDDOWN((AmortismanRaporTarihi-$C319)/365,0)))</f>
        <v/>
      </c>
      <c r="I319" s="122">
        <f>IF($D319="",0,IFERROR(IF($E319="Azalan",MAX(0,$D319*(1-MIN(2*AmortismanAzalanCarpan*$F319,1)^$H319)),MIN($D319,$D319*$F319*$H319)),0))</f>
        <v/>
      </c>
      <c r="J319" s="122">
        <f>IF($D319="",0,MAX(0,$D319-$I319))</f>
        <v/>
      </c>
      <c r="K319" s="122">
        <f>IF($H319=0,0,IFERROR(IF($E319="Azalan",$D319*(1-MIN(2*AmortismanAzalanCarpan*$F319,1))^MAX(0,$H319-1)*MIN(2*AmortismanAzalanCarpan*$F319,1),MIN($D319*$F319,$D319)),0))</f>
        <v/>
      </c>
      <c r="L319" s="122">
        <f>IF($D319="",0,$G319-$J319)</f>
        <v/>
      </c>
      <c r="M319" s="122">
        <f>IF($B319="","",CONCATENATE("Kıymet: ",$B319," | NDD: ",TEXT($J319,"#,##0")))</f>
        <v/>
      </c>
    </row>
    <row r="320" ht="15" customHeight="1" s="77">
      <c r="A320" s="123" t="n"/>
      <c r="B320" s="123" t="n"/>
      <c r="C320" s="124" t="n"/>
      <c r="D320" s="125" t="n"/>
      <c r="E320" s="123" t="n"/>
      <c r="F320" s="126" t="n"/>
      <c r="G320" s="125" t="n"/>
      <c r="H320" s="122">
        <f>IF($D320="",0,MAX(0,ROUNDDOWN((AmortismanRaporTarihi-$C320)/365,0)))</f>
        <v/>
      </c>
      <c r="I320" s="122">
        <f>IF($D320="",0,IFERROR(IF($E320="Azalan",MAX(0,$D320*(1-MIN(2*AmortismanAzalanCarpan*$F320,1)^$H320)),MIN($D320,$D320*$F320*$H320)),0))</f>
        <v/>
      </c>
      <c r="J320" s="122">
        <f>IF($D320="",0,MAX(0,$D320-$I320))</f>
        <v/>
      </c>
      <c r="K320" s="122">
        <f>IF($H320=0,0,IFERROR(IF($E320="Azalan",$D320*(1-MIN(2*AmortismanAzalanCarpan*$F320,1))^MAX(0,$H320-1)*MIN(2*AmortismanAzalanCarpan*$F320,1),MIN($D320*$F320,$D320)),0))</f>
        <v/>
      </c>
      <c r="L320" s="122">
        <f>IF($D320="",0,$G320-$J320)</f>
        <v/>
      </c>
      <c r="M320" s="122">
        <f>IF($B320="","",CONCATENATE("Kıymet: ",$B320," | NDD: ",TEXT($J320,"#,##0")))</f>
        <v/>
      </c>
    </row>
    <row r="321" ht="15" customHeight="1" s="77">
      <c r="A321" s="123" t="n"/>
      <c r="B321" s="123" t="n"/>
      <c r="C321" s="124" t="n"/>
      <c r="D321" s="125" t="n"/>
      <c r="E321" s="123" t="n"/>
      <c r="F321" s="126" t="n"/>
      <c r="G321" s="125" t="n"/>
      <c r="H321" s="122">
        <f>IF($D321="",0,MAX(0,ROUNDDOWN((AmortismanRaporTarihi-$C321)/365,0)))</f>
        <v/>
      </c>
      <c r="I321" s="122">
        <f>IF($D321="",0,IFERROR(IF($E321="Azalan",MAX(0,$D321*(1-MIN(2*AmortismanAzalanCarpan*$F321,1)^$H321)),MIN($D321,$D321*$F321*$H321)),0))</f>
        <v/>
      </c>
      <c r="J321" s="122">
        <f>IF($D321="",0,MAX(0,$D321-$I321))</f>
        <v/>
      </c>
      <c r="K321" s="122">
        <f>IF($H321=0,0,IFERROR(IF($E321="Azalan",$D321*(1-MIN(2*AmortismanAzalanCarpan*$F321,1))^MAX(0,$H321-1)*MIN(2*AmortismanAzalanCarpan*$F321,1),MIN($D321*$F321,$D321)),0))</f>
        <v/>
      </c>
      <c r="L321" s="122">
        <f>IF($D321="",0,$G321-$J321)</f>
        <v/>
      </c>
      <c r="M321" s="122">
        <f>IF($B321="","",CONCATENATE("Kıymet: ",$B321," | NDD: ",TEXT($J321,"#,##0")))</f>
        <v/>
      </c>
    </row>
    <row r="322" ht="15" customHeight="1" s="77">
      <c r="A322" s="123" t="n"/>
      <c r="B322" s="123" t="n"/>
      <c r="C322" s="124" t="n"/>
      <c r="D322" s="125" t="n"/>
      <c r="E322" s="123" t="n"/>
      <c r="F322" s="126" t="n"/>
      <c r="G322" s="125" t="n"/>
      <c r="H322" s="122">
        <f>IF($D322="",0,MAX(0,ROUNDDOWN((AmortismanRaporTarihi-$C322)/365,0)))</f>
        <v/>
      </c>
      <c r="I322" s="122">
        <f>IF($D322="",0,IFERROR(IF($E322="Azalan",MAX(0,$D322*(1-MIN(2*AmortismanAzalanCarpan*$F322,1)^$H322)),MIN($D322,$D322*$F322*$H322)),0))</f>
        <v/>
      </c>
      <c r="J322" s="122">
        <f>IF($D322="",0,MAX(0,$D322-$I322))</f>
        <v/>
      </c>
      <c r="K322" s="122">
        <f>IF($H322=0,0,IFERROR(IF($E322="Azalan",$D322*(1-MIN(2*AmortismanAzalanCarpan*$F322,1))^MAX(0,$H322-1)*MIN(2*AmortismanAzalanCarpan*$F322,1),MIN($D322*$F322,$D322)),0))</f>
        <v/>
      </c>
      <c r="L322" s="122">
        <f>IF($D322="",0,$G322-$J322)</f>
        <v/>
      </c>
      <c r="M322" s="122">
        <f>IF($B322="","",CONCATENATE("Kıymet: ",$B322," | NDD: ",TEXT($J322,"#,##0")))</f>
        <v/>
      </c>
    </row>
    <row r="323" ht="15" customHeight="1" s="77">
      <c r="A323" s="123" t="n"/>
      <c r="B323" s="123" t="n"/>
      <c r="C323" s="124" t="n"/>
      <c r="D323" s="125" t="n"/>
      <c r="E323" s="123" t="n"/>
      <c r="F323" s="126" t="n"/>
      <c r="G323" s="125" t="n"/>
      <c r="H323" s="122">
        <f>IF($D323="",0,MAX(0,ROUNDDOWN((AmortismanRaporTarihi-$C323)/365,0)))</f>
        <v/>
      </c>
      <c r="I323" s="122">
        <f>IF($D323="",0,IFERROR(IF($E323="Azalan",MAX(0,$D323*(1-MIN(2*AmortismanAzalanCarpan*$F323,1)^$H323)),MIN($D323,$D323*$F323*$H323)),0))</f>
        <v/>
      </c>
      <c r="J323" s="122">
        <f>IF($D323="",0,MAX(0,$D323-$I323))</f>
        <v/>
      </c>
      <c r="K323" s="122">
        <f>IF($H323=0,0,IFERROR(IF($E323="Azalan",$D323*(1-MIN(2*AmortismanAzalanCarpan*$F323,1))^MAX(0,$H323-1)*MIN(2*AmortismanAzalanCarpan*$F323,1),MIN($D323*$F323,$D323)),0))</f>
        <v/>
      </c>
      <c r="L323" s="122">
        <f>IF($D323="",0,$G323-$J323)</f>
        <v/>
      </c>
      <c r="M323" s="122">
        <f>IF($B323="","",CONCATENATE("Kıymet: ",$B323," | NDD: ",TEXT($J323,"#,##0")))</f>
        <v/>
      </c>
    </row>
    <row r="324" ht="15" customHeight="1" s="77">
      <c r="A324" s="123" t="n"/>
      <c r="B324" s="123" t="n"/>
      <c r="C324" s="124" t="n"/>
      <c r="D324" s="125" t="n"/>
      <c r="E324" s="123" t="n"/>
      <c r="F324" s="126" t="n"/>
      <c r="G324" s="125" t="n"/>
      <c r="H324" s="122">
        <f>IF($D324="",0,MAX(0,ROUNDDOWN((AmortismanRaporTarihi-$C324)/365,0)))</f>
        <v/>
      </c>
      <c r="I324" s="122">
        <f>IF($D324="",0,IFERROR(IF($E324="Azalan",MAX(0,$D324*(1-MIN(2*AmortismanAzalanCarpan*$F324,1)^$H324)),MIN($D324,$D324*$F324*$H324)),0))</f>
        <v/>
      </c>
      <c r="J324" s="122">
        <f>IF($D324="",0,MAX(0,$D324-$I324))</f>
        <v/>
      </c>
      <c r="K324" s="122">
        <f>IF($H324=0,0,IFERROR(IF($E324="Azalan",$D324*(1-MIN(2*AmortismanAzalanCarpan*$F324,1))^MAX(0,$H324-1)*MIN(2*AmortismanAzalanCarpan*$F324,1),MIN($D324*$F324,$D324)),0))</f>
        <v/>
      </c>
      <c r="L324" s="122">
        <f>IF($D324="",0,$G324-$J324)</f>
        <v/>
      </c>
      <c r="M324" s="122">
        <f>IF($B324="","",CONCATENATE("Kıymet: ",$B324," | NDD: ",TEXT($J324,"#,##0")))</f>
        <v/>
      </c>
    </row>
    <row r="325" ht="15" customHeight="1" s="77">
      <c r="A325" s="123" t="n"/>
      <c r="B325" s="123" t="n"/>
      <c r="C325" s="124" t="n"/>
      <c r="D325" s="125" t="n"/>
      <c r="E325" s="123" t="n"/>
      <c r="F325" s="126" t="n"/>
      <c r="G325" s="125" t="n"/>
      <c r="H325" s="122">
        <f>IF($D325="",0,MAX(0,ROUNDDOWN((AmortismanRaporTarihi-$C325)/365,0)))</f>
        <v/>
      </c>
      <c r="I325" s="122">
        <f>IF($D325="",0,IFERROR(IF($E325="Azalan",MAX(0,$D325*(1-MIN(2*AmortismanAzalanCarpan*$F325,1)^$H325)),MIN($D325,$D325*$F325*$H325)),0))</f>
        <v/>
      </c>
      <c r="J325" s="122">
        <f>IF($D325="",0,MAX(0,$D325-$I325))</f>
        <v/>
      </c>
      <c r="K325" s="122">
        <f>IF($H325=0,0,IFERROR(IF($E325="Azalan",$D325*(1-MIN(2*AmortismanAzalanCarpan*$F325,1))^MAX(0,$H325-1)*MIN(2*AmortismanAzalanCarpan*$F325,1),MIN($D325*$F325,$D325)),0))</f>
        <v/>
      </c>
      <c r="L325" s="122">
        <f>IF($D325="",0,$G325-$J325)</f>
        <v/>
      </c>
      <c r="M325" s="122">
        <f>IF($B325="","",CONCATENATE("Kıymet: ",$B325," | NDD: ",TEXT($J325,"#,##0")))</f>
        <v/>
      </c>
    </row>
    <row r="326" ht="15" customHeight="1" s="77">
      <c r="A326" s="123" t="n"/>
      <c r="B326" s="123" t="n"/>
      <c r="C326" s="124" t="n"/>
      <c r="D326" s="125" t="n"/>
      <c r="E326" s="123" t="n"/>
      <c r="F326" s="126" t="n"/>
      <c r="G326" s="125" t="n"/>
      <c r="H326" s="122">
        <f>IF($D326="",0,MAX(0,ROUNDDOWN((AmortismanRaporTarihi-$C326)/365,0)))</f>
        <v/>
      </c>
      <c r="I326" s="122">
        <f>IF($D326="",0,IFERROR(IF($E326="Azalan",MAX(0,$D326*(1-MIN(2*AmortismanAzalanCarpan*$F326,1)^$H326)),MIN($D326,$D326*$F326*$H326)),0))</f>
        <v/>
      </c>
      <c r="J326" s="122">
        <f>IF($D326="",0,MAX(0,$D326-$I326))</f>
        <v/>
      </c>
      <c r="K326" s="122">
        <f>IF($H326=0,0,IFERROR(IF($E326="Azalan",$D326*(1-MIN(2*AmortismanAzalanCarpan*$F326,1))^MAX(0,$H326-1)*MIN(2*AmortismanAzalanCarpan*$F326,1),MIN($D326*$F326,$D326)),0))</f>
        <v/>
      </c>
      <c r="L326" s="122">
        <f>IF($D326="",0,$G326-$J326)</f>
        <v/>
      </c>
      <c r="M326" s="122">
        <f>IF($B326="","",CONCATENATE("Kıymet: ",$B326," | NDD: ",TEXT($J326,"#,##0")))</f>
        <v/>
      </c>
    </row>
    <row r="327" ht="15" customHeight="1" s="77">
      <c r="A327" s="123" t="n"/>
      <c r="B327" s="123" t="n"/>
      <c r="C327" s="124" t="n"/>
      <c r="D327" s="125" t="n"/>
      <c r="E327" s="123" t="n"/>
      <c r="F327" s="126" t="n"/>
      <c r="G327" s="125" t="n"/>
      <c r="H327" s="122">
        <f>IF($D327="",0,MAX(0,ROUNDDOWN((AmortismanRaporTarihi-$C327)/365,0)))</f>
        <v/>
      </c>
      <c r="I327" s="122">
        <f>IF($D327="",0,IFERROR(IF($E327="Azalan",MAX(0,$D327*(1-MIN(2*AmortismanAzalanCarpan*$F327,1)^$H327)),MIN($D327,$D327*$F327*$H327)),0))</f>
        <v/>
      </c>
      <c r="J327" s="122">
        <f>IF($D327="",0,MAX(0,$D327-$I327))</f>
        <v/>
      </c>
      <c r="K327" s="122">
        <f>IF($H327=0,0,IFERROR(IF($E327="Azalan",$D327*(1-MIN(2*AmortismanAzalanCarpan*$F327,1))^MAX(0,$H327-1)*MIN(2*AmortismanAzalanCarpan*$F327,1),MIN($D327*$F327,$D327)),0))</f>
        <v/>
      </c>
      <c r="L327" s="122">
        <f>IF($D327="",0,$G327-$J327)</f>
        <v/>
      </c>
      <c r="M327" s="122">
        <f>IF($B327="","",CONCATENATE("Kıymet: ",$B327," | NDD: ",TEXT($J327,"#,##0")))</f>
        <v/>
      </c>
    </row>
    <row r="328" ht="15" customHeight="1" s="77">
      <c r="A328" s="123" t="n"/>
      <c r="B328" s="123" t="n"/>
      <c r="C328" s="124" t="n"/>
      <c r="D328" s="125" t="n"/>
      <c r="E328" s="123" t="n"/>
      <c r="F328" s="126" t="n"/>
      <c r="G328" s="125" t="n"/>
      <c r="H328" s="122">
        <f>IF($D328="",0,MAX(0,ROUNDDOWN((AmortismanRaporTarihi-$C328)/365,0)))</f>
        <v/>
      </c>
      <c r="I328" s="122">
        <f>IF($D328="",0,IFERROR(IF($E328="Azalan",MAX(0,$D328*(1-MIN(2*AmortismanAzalanCarpan*$F328,1)^$H328)),MIN($D328,$D328*$F328*$H328)),0))</f>
        <v/>
      </c>
      <c r="J328" s="122">
        <f>IF($D328="",0,MAX(0,$D328-$I328))</f>
        <v/>
      </c>
      <c r="K328" s="122">
        <f>IF($H328=0,0,IFERROR(IF($E328="Azalan",$D328*(1-MIN(2*AmortismanAzalanCarpan*$F328,1))^MAX(0,$H328-1)*MIN(2*AmortismanAzalanCarpan*$F328,1),MIN($D328*$F328,$D328)),0))</f>
        <v/>
      </c>
      <c r="L328" s="122">
        <f>IF($D328="",0,$G328-$J328)</f>
        <v/>
      </c>
      <c r="M328" s="122">
        <f>IF($B328="","",CONCATENATE("Kıymet: ",$B328," | NDD: ",TEXT($J328,"#,##0")))</f>
        <v/>
      </c>
    </row>
    <row r="329" ht="15" customHeight="1" s="77">
      <c r="A329" s="123" t="n"/>
      <c r="B329" s="123" t="n"/>
      <c r="C329" s="124" t="n"/>
      <c r="D329" s="125" t="n"/>
      <c r="E329" s="123" t="n"/>
      <c r="F329" s="126" t="n"/>
      <c r="G329" s="125" t="n"/>
      <c r="H329" s="122">
        <f>IF($D329="",0,MAX(0,ROUNDDOWN((AmortismanRaporTarihi-$C329)/365,0)))</f>
        <v/>
      </c>
      <c r="I329" s="122">
        <f>IF($D329="",0,IFERROR(IF($E329="Azalan",MAX(0,$D329*(1-MIN(2*AmortismanAzalanCarpan*$F329,1)^$H329)),MIN($D329,$D329*$F329*$H329)),0))</f>
        <v/>
      </c>
      <c r="J329" s="122">
        <f>IF($D329="",0,MAX(0,$D329-$I329))</f>
        <v/>
      </c>
      <c r="K329" s="122">
        <f>IF($H329=0,0,IFERROR(IF($E329="Azalan",$D329*(1-MIN(2*AmortismanAzalanCarpan*$F329,1))^MAX(0,$H329-1)*MIN(2*AmortismanAzalanCarpan*$F329,1),MIN($D329*$F329,$D329)),0))</f>
        <v/>
      </c>
      <c r="L329" s="122">
        <f>IF($D329="",0,$G329-$J329)</f>
        <v/>
      </c>
      <c r="M329" s="122">
        <f>IF($B329="","",CONCATENATE("Kıymet: ",$B329," | NDD: ",TEXT($J329,"#,##0")))</f>
        <v/>
      </c>
    </row>
    <row r="330" ht="15" customHeight="1" s="77">
      <c r="A330" s="123" t="n"/>
      <c r="B330" s="123" t="n"/>
      <c r="C330" s="124" t="n"/>
      <c r="D330" s="125" t="n"/>
      <c r="E330" s="123" t="n"/>
      <c r="F330" s="126" t="n"/>
      <c r="G330" s="125" t="n"/>
      <c r="H330" s="122">
        <f>IF($D330="",0,MAX(0,ROUNDDOWN((AmortismanRaporTarihi-$C330)/365,0)))</f>
        <v/>
      </c>
      <c r="I330" s="122">
        <f>IF($D330="",0,IFERROR(IF($E330="Azalan",MAX(0,$D330*(1-MIN(2*AmortismanAzalanCarpan*$F330,1)^$H330)),MIN($D330,$D330*$F330*$H330)),0))</f>
        <v/>
      </c>
      <c r="J330" s="122">
        <f>IF($D330="",0,MAX(0,$D330-$I330))</f>
        <v/>
      </c>
      <c r="K330" s="122">
        <f>IF($H330=0,0,IFERROR(IF($E330="Azalan",$D330*(1-MIN(2*AmortismanAzalanCarpan*$F330,1))^MAX(0,$H330-1)*MIN(2*AmortismanAzalanCarpan*$F330,1),MIN($D330*$F330,$D330)),0))</f>
        <v/>
      </c>
      <c r="L330" s="122">
        <f>IF($D330="",0,$G330-$J330)</f>
        <v/>
      </c>
      <c r="M330" s="122">
        <f>IF($B330="","",CONCATENATE("Kıymet: ",$B330," | NDD: ",TEXT($J330,"#,##0")))</f>
        <v/>
      </c>
    </row>
    <row r="331" ht="15" customHeight="1" s="77">
      <c r="A331" s="123" t="n"/>
      <c r="B331" s="123" t="n"/>
      <c r="C331" s="124" t="n"/>
      <c r="D331" s="125" t="n"/>
      <c r="E331" s="123" t="n"/>
      <c r="F331" s="126" t="n"/>
      <c r="G331" s="125" t="n"/>
      <c r="H331" s="122">
        <f>IF($D331="",0,MAX(0,ROUNDDOWN((AmortismanRaporTarihi-$C331)/365,0)))</f>
        <v/>
      </c>
      <c r="I331" s="122">
        <f>IF($D331="",0,IFERROR(IF($E331="Azalan",MAX(0,$D331*(1-MIN(2*AmortismanAzalanCarpan*$F331,1)^$H331)),MIN($D331,$D331*$F331*$H331)),0))</f>
        <v/>
      </c>
      <c r="J331" s="122">
        <f>IF($D331="",0,MAX(0,$D331-$I331))</f>
        <v/>
      </c>
      <c r="K331" s="122">
        <f>IF($H331=0,0,IFERROR(IF($E331="Azalan",$D331*(1-MIN(2*AmortismanAzalanCarpan*$F331,1))^MAX(0,$H331-1)*MIN(2*AmortismanAzalanCarpan*$F331,1),MIN($D331*$F331,$D331)),0))</f>
        <v/>
      </c>
      <c r="L331" s="122">
        <f>IF($D331="",0,$G331-$J331)</f>
        <v/>
      </c>
      <c r="M331" s="122">
        <f>IF($B331="","",CONCATENATE("Kıymet: ",$B331," | NDD: ",TEXT($J331,"#,##0")))</f>
        <v/>
      </c>
    </row>
    <row r="332" ht="15" customHeight="1" s="77">
      <c r="A332" s="123" t="n"/>
      <c r="B332" s="123" t="n"/>
      <c r="C332" s="124" t="n"/>
      <c r="D332" s="125" t="n"/>
      <c r="E332" s="123" t="n"/>
      <c r="F332" s="126" t="n"/>
      <c r="G332" s="125" t="n"/>
      <c r="H332" s="122">
        <f>IF($D332="",0,MAX(0,ROUNDDOWN((AmortismanRaporTarihi-$C332)/365,0)))</f>
        <v/>
      </c>
      <c r="I332" s="122">
        <f>IF($D332="",0,IFERROR(IF($E332="Azalan",MAX(0,$D332*(1-MIN(2*AmortismanAzalanCarpan*$F332,1)^$H332)),MIN($D332,$D332*$F332*$H332)),0))</f>
        <v/>
      </c>
      <c r="J332" s="122">
        <f>IF($D332="",0,MAX(0,$D332-$I332))</f>
        <v/>
      </c>
      <c r="K332" s="122">
        <f>IF($H332=0,0,IFERROR(IF($E332="Azalan",$D332*(1-MIN(2*AmortismanAzalanCarpan*$F332,1))^MAX(0,$H332-1)*MIN(2*AmortismanAzalanCarpan*$F332,1),MIN($D332*$F332,$D332)),0))</f>
        <v/>
      </c>
      <c r="L332" s="122">
        <f>IF($D332="",0,$G332-$J332)</f>
        <v/>
      </c>
      <c r="M332" s="122">
        <f>IF($B332="","",CONCATENATE("Kıymet: ",$B332," | NDD: ",TEXT($J332,"#,##0")))</f>
        <v/>
      </c>
    </row>
    <row r="333" ht="15" customHeight="1" s="77">
      <c r="A333" s="123" t="n"/>
      <c r="B333" s="123" t="n"/>
      <c r="C333" s="124" t="n"/>
      <c r="D333" s="125" t="n"/>
      <c r="E333" s="123" t="n"/>
      <c r="F333" s="126" t="n"/>
      <c r="G333" s="125" t="n"/>
      <c r="H333" s="122">
        <f>IF($D333="",0,MAX(0,ROUNDDOWN((AmortismanRaporTarihi-$C333)/365,0)))</f>
        <v/>
      </c>
      <c r="I333" s="122">
        <f>IF($D333="",0,IFERROR(IF($E333="Azalan",MAX(0,$D333*(1-MIN(2*AmortismanAzalanCarpan*$F333,1)^$H333)),MIN($D333,$D333*$F333*$H333)),0))</f>
        <v/>
      </c>
      <c r="J333" s="122">
        <f>IF($D333="",0,MAX(0,$D333-$I333))</f>
        <v/>
      </c>
      <c r="K333" s="122">
        <f>IF($H333=0,0,IFERROR(IF($E333="Azalan",$D333*(1-MIN(2*AmortismanAzalanCarpan*$F333,1))^MAX(0,$H333-1)*MIN(2*AmortismanAzalanCarpan*$F333,1),MIN($D333*$F333,$D333)),0))</f>
        <v/>
      </c>
      <c r="L333" s="122">
        <f>IF($D333="",0,$G333-$J333)</f>
        <v/>
      </c>
      <c r="M333" s="122">
        <f>IF($B333="","",CONCATENATE("Kıymet: ",$B333," | NDD: ",TEXT($J333,"#,##0")))</f>
        <v/>
      </c>
    </row>
    <row r="334" ht="15" customHeight="1" s="77">
      <c r="A334" s="123" t="n"/>
      <c r="B334" s="123" t="n"/>
      <c r="C334" s="124" t="n"/>
      <c r="D334" s="125" t="n"/>
      <c r="E334" s="123" t="n"/>
      <c r="F334" s="126" t="n"/>
      <c r="G334" s="125" t="n"/>
      <c r="H334" s="122">
        <f>IF($D334="",0,MAX(0,ROUNDDOWN((AmortismanRaporTarihi-$C334)/365,0)))</f>
        <v/>
      </c>
      <c r="I334" s="122">
        <f>IF($D334="",0,IFERROR(IF($E334="Azalan",MAX(0,$D334*(1-MIN(2*AmortismanAzalanCarpan*$F334,1)^$H334)),MIN($D334,$D334*$F334*$H334)),0))</f>
        <v/>
      </c>
      <c r="J334" s="122">
        <f>IF($D334="",0,MAX(0,$D334-$I334))</f>
        <v/>
      </c>
      <c r="K334" s="122">
        <f>IF($H334=0,0,IFERROR(IF($E334="Azalan",$D334*(1-MIN(2*AmortismanAzalanCarpan*$F334,1))^MAX(0,$H334-1)*MIN(2*AmortismanAzalanCarpan*$F334,1),MIN($D334*$F334,$D334)),0))</f>
        <v/>
      </c>
      <c r="L334" s="122">
        <f>IF($D334="",0,$G334-$J334)</f>
        <v/>
      </c>
      <c r="M334" s="122">
        <f>IF($B334="","",CONCATENATE("Kıymet: ",$B334," | NDD: ",TEXT($J334,"#,##0")))</f>
        <v/>
      </c>
    </row>
    <row r="335" ht="15" customHeight="1" s="77">
      <c r="A335" s="123" t="n"/>
      <c r="B335" s="123" t="n"/>
      <c r="C335" s="124" t="n"/>
      <c r="D335" s="125" t="n"/>
      <c r="E335" s="123" t="n"/>
      <c r="F335" s="126" t="n"/>
      <c r="G335" s="125" t="n"/>
      <c r="H335" s="122">
        <f>IF($D335="",0,MAX(0,ROUNDDOWN((AmortismanRaporTarihi-$C335)/365,0)))</f>
        <v/>
      </c>
      <c r="I335" s="122">
        <f>IF($D335="",0,IFERROR(IF($E335="Azalan",MAX(0,$D335*(1-MIN(2*AmortismanAzalanCarpan*$F335,1)^$H335)),MIN($D335,$D335*$F335*$H335)),0))</f>
        <v/>
      </c>
      <c r="J335" s="122">
        <f>IF($D335="",0,MAX(0,$D335-$I335))</f>
        <v/>
      </c>
      <c r="K335" s="122">
        <f>IF($H335=0,0,IFERROR(IF($E335="Azalan",$D335*(1-MIN(2*AmortismanAzalanCarpan*$F335,1))^MAX(0,$H335-1)*MIN(2*AmortismanAzalanCarpan*$F335,1),MIN($D335*$F335,$D335)),0))</f>
        <v/>
      </c>
      <c r="L335" s="122">
        <f>IF($D335="",0,$G335-$J335)</f>
        <v/>
      </c>
      <c r="M335" s="122">
        <f>IF($B335="","",CONCATENATE("Kıymet: ",$B335," | NDD: ",TEXT($J335,"#,##0")))</f>
        <v/>
      </c>
    </row>
    <row r="336" ht="15" customHeight="1" s="77">
      <c r="A336" s="123" t="n"/>
      <c r="B336" s="123" t="n"/>
      <c r="C336" s="124" t="n"/>
      <c r="D336" s="125" t="n"/>
      <c r="E336" s="123" t="n"/>
      <c r="F336" s="126" t="n"/>
      <c r="G336" s="125" t="n"/>
      <c r="H336" s="122">
        <f>IF($D336="",0,MAX(0,ROUNDDOWN((AmortismanRaporTarihi-$C336)/365,0)))</f>
        <v/>
      </c>
      <c r="I336" s="122">
        <f>IF($D336="",0,IFERROR(IF($E336="Azalan",MAX(0,$D336*(1-MIN(2*AmortismanAzalanCarpan*$F336,1)^$H336)),MIN($D336,$D336*$F336*$H336)),0))</f>
        <v/>
      </c>
      <c r="J336" s="122">
        <f>IF($D336="",0,MAX(0,$D336-$I336))</f>
        <v/>
      </c>
      <c r="K336" s="122">
        <f>IF($H336=0,0,IFERROR(IF($E336="Azalan",$D336*(1-MIN(2*AmortismanAzalanCarpan*$F336,1))^MAX(0,$H336-1)*MIN(2*AmortismanAzalanCarpan*$F336,1),MIN($D336*$F336,$D336)),0))</f>
        <v/>
      </c>
      <c r="L336" s="122">
        <f>IF($D336="",0,$G336-$J336)</f>
        <v/>
      </c>
      <c r="M336" s="122">
        <f>IF($B336="","",CONCATENATE("Kıymet: ",$B336," | NDD: ",TEXT($J336,"#,##0")))</f>
        <v/>
      </c>
    </row>
    <row r="337" ht="15" customHeight="1" s="77">
      <c r="A337" s="123" t="n"/>
      <c r="B337" s="123" t="n"/>
      <c r="C337" s="124" t="n"/>
      <c r="D337" s="125" t="n"/>
      <c r="E337" s="123" t="n"/>
      <c r="F337" s="126" t="n"/>
      <c r="G337" s="125" t="n"/>
      <c r="H337" s="122">
        <f>IF($D337="",0,MAX(0,ROUNDDOWN((AmortismanRaporTarihi-$C337)/365,0)))</f>
        <v/>
      </c>
      <c r="I337" s="122">
        <f>IF($D337="",0,IFERROR(IF($E337="Azalan",MAX(0,$D337*(1-MIN(2*AmortismanAzalanCarpan*$F337,1)^$H337)),MIN($D337,$D337*$F337*$H337)),0))</f>
        <v/>
      </c>
      <c r="J337" s="122">
        <f>IF($D337="",0,MAX(0,$D337-$I337))</f>
        <v/>
      </c>
      <c r="K337" s="122">
        <f>IF($H337=0,0,IFERROR(IF($E337="Azalan",$D337*(1-MIN(2*AmortismanAzalanCarpan*$F337,1))^MAX(0,$H337-1)*MIN(2*AmortismanAzalanCarpan*$F337,1),MIN($D337*$F337,$D337)),0))</f>
        <v/>
      </c>
      <c r="L337" s="122">
        <f>IF($D337="",0,$G337-$J337)</f>
        <v/>
      </c>
      <c r="M337" s="122">
        <f>IF($B337="","",CONCATENATE("Kıymet: ",$B337," | NDD: ",TEXT($J337,"#,##0")))</f>
        <v/>
      </c>
    </row>
    <row r="338" ht="15" customHeight="1" s="77">
      <c r="A338" s="123" t="n"/>
      <c r="B338" s="123" t="n"/>
      <c r="C338" s="124" t="n"/>
      <c r="D338" s="125" t="n"/>
      <c r="E338" s="123" t="n"/>
      <c r="F338" s="126" t="n"/>
      <c r="G338" s="125" t="n"/>
      <c r="H338" s="122">
        <f>IF($D338="",0,MAX(0,ROUNDDOWN((AmortismanRaporTarihi-$C338)/365,0)))</f>
        <v/>
      </c>
      <c r="I338" s="122">
        <f>IF($D338="",0,IFERROR(IF($E338="Azalan",MAX(0,$D338*(1-MIN(2*AmortismanAzalanCarpan*$F338,1)^$H338)),MIN($D338,$D338*$F338*$H338)),0))</f>
        <v/>
      </c>
      <c r="J338" s="122">
        <f>IF($D338="",0,MAX(0,$D338-$I338))</f>
        <v/>
      </c>
      <c r="K338" s="122">
        <f>IF($H338=0,0,IFERROR(IF($E338="Azalan",$D338*(1-MIN(2*AmortismanAzalanCarpan*$F338,1))^MAX(0,$H338-1)*MIN(2*AmortismanAzalanCarpan*$F338,1),MIN($D338*$F338,$D338)),0))</f>
        <v/>
      </c>
      <c r="L338" s="122">
        <f>IF($D338="",0,$G338-$J338)</f>
        <v/>
      </c>
      <c r="M338" s="122">
        <f>IF($B338="","",CONCATENATE("Kıymet: ",$B338," | NDD: ",TEXT($J338,"#,##0")))</f>
        <v/>
      </c>
    </row>
    <row r="339" ht="15" customHeight="1" s="77">
      <c r="A339" s="123" t="n"/>
      <c r="B339" s="123" t="n"/>
      <c r="C339" s="124" t="n"/>
      <c r="D339" s="125" t="n"/>
      <c r="E339" s="123" t="n"/>
      <c r="F339" s="126" t="n"/>
      <c r="G339" s="125" t="n"/>
      <c r="H339" s="122">
        <f>IF($D339="",0,MAX(0,ROUNDDOWN((AmortismanRaporTarihi-$C339)/365,0)))</f>
        <v/>
      </c>
      <c r="I339" s="122">
        <f>IF($D339="",0,IFERROR(IF($E339="Azalan",MAX(0,$D339*(1-MIN(2*AmortismanAzalanCarpan*$F339,1)^$H339)),MIN($D339,$D339*$F339*$H339)),0))</f>
        <v/>
      </c>
      <c r="J339" s="122">
        <f>IF($D339="",0,MAX(0,$D339-$I339))</f>
        <v/>
      </c>
      <c r="K339" s="122">
        <f>IF($H339=0,0,IFERROR(IF($E339="Azalan",$D339*(1-MIN(2*AmortismanAzalanCarpan*$F339,1))^MAX(0,$H339-1)*MIN(2*AmortismanAzalanCarpan*$F339,1),MIN($D339*$F339,$D339)),0))</f>
        <v/>
      </c>
      <c r="L339" s="122">
        <f>IF($D339="",0,$G339-$J339)</f>
        <v/>
      </c>
      <c r="M339" s="122">
        <f>IF($B339="","",CONCATENATE("Kıymet: ",$B339," | NDD: ",TEXT($J339,"#,##0")))</f>
        <v/>
      </c>
    </row>
    <row r="340" ht="15" customHeight="1" s="77">
      <c r="A340" s="123" t="n"/>
      <c r="B340" s="123" t="n"/>
      <c r="C340" s="124" t="n"/>
      <c r="D340" s="125" t="n"/>
      <c r="E340" s="123" t="n"/>
      <c r="F340" s="126" t="n"/>
      <c r="G340" s="125" t="n"/>
      <c r="H340" s="122">
        <f>IF($D340="",0,MAX(0,ROUNDDOWN((AmortismanRaporTarihi-$C340)/365,0)))</f>
        <v/>
      </c>
      <c r="I340" s="122">
        <f>IF($D340="",0,IFERROR(IF($E340="Azalan",MAX(0,$D340*(1-MIN(2*AmortismanAzalanCarpan*$F340,1)^$H340)),MIN($D340,$D340*$F340*$H340)),0))</f>
        <v/>
      </c>
      <c r="J340" s="122">
        <f>IF($D340="",0,MAX(0,$D340-$I340))</f>
        <v/>
      </c>
      <c r="K340" s="122">
        <f>IF($H340=0,0,IFERROR(IF($E340="Azalan",$D340*(1-MIN(2*AmortismanAzalanCarpan*$F340,1))^MAX(0,$H340-1)*MIN(2*AmortismanAzalanCarpan*$F340,1),MIN($D340*$F340,$D340)),0))</f>
        <v/>
      </c>
      <c r="L340" s="122">
        <f>IF($D340="",0,$G340-$J340)</f>
        <v/>
      </c>
      <c r="M340" s="122">
        <f>IF($B340="","",CONCATENATE("Kıymet: ",$B340," | NDD: ",TEXT($J340,"#,##0")))</f>
        <v/>
      </c>
    </row>
    <row r="341" ht="15" customHeight="1" s="77">
      <c r="A341" s="123" t="n"/>
      <c r="B341" s="123" t="n"/>
      <c r="C341" s="124" t="n"/>
      <c r="D341" s="125" t="n"/>
      <c r="E341" s="123" t="n"/>
      <c r="F341" s="126" t="n"/>
      <c r="G341" s="125" t="n"/>
      <c r="H341" s="122">
        <f>IF($D341="",0,MAX(0,ROUNDDOWN((AmortismanRaporTarihi-$C341)/365,0)))</f>
        <v/>
      </c>
      <c r="I341" s="122">
        <f>IF($D341="",0,IFERROR(IF($E341="Azalan",MAX(0,$D341*(1-MIN(2*AmortismanAzalanCarpan*$F341,1)^$H341)),MIN($D341,$D341*$F341*$H341)),0))</f>
        <v/>
      </c>
      <c r="J341" s="122">
        <f>IF($D341="",0,MAX(0,$D341-$I341))</f>
        <v/>
      </c>
      <c r="K341" s="122">
        <f>IF($H341=0,0,IFERROR(IF($E341="Azalan",$D341*(1-MIN(2*AmortismanAzalanCarpan*$F341,1))^MAX(0,$H341-1)*MIN(2*AmortismanAzalanCarpan*$F341,1),MIN($D341*$F341,$D341)),0))</f>
        <v/>
      </c>
      <c r="L341" s="122">
        <f>IF($D341="",0,$G341-$J341)</f>
        <v/>
      </c>
      <c r="M341" s="122">
        <f>IF($B341="","",CONCATENATE("Kıymet: ",$B341," | NDD: ",TEXT($J341,"#,##0")))</f>
        <v/>
      </c>
    </row>
    <row r="342" ht="15" customHeight="1" s="77">
      <c r="A342" s="123" t="n"/>
      <c r="B342" s="123" t="n"/>
      <c r="C342" s="124" t="n"/>
      <c r="D342" s="125" t="n"/>
      <c r="E342" s="123" t="n"/>
      <c r="F342" s="126" t="n"/>
      <c r="G342" s="125" t="n"/>
      <c r="H342" s="122">
        <f>IF($D342="",0,MAX(0,ROUNDDOWN((AmortismanRaporTarihi-$C342)/365,0)))</f>
        <v/>
      </c>
      <c r="I342" s="122">
        <f>IF($D342="",0,IFERROR(IF($E342="Azalan",MAX(0,$D342*(1-MIN(2*AmortismanAzalanCarpan*$F342,1)^$H342)),MIN($D342,$D342*$F342*$H342)),0))</f>
        <v/>
      </c>
      <c r="J342" s="122">
        <f>IF($D342="",0,MAX(0,$D342-$I342))</f>
        <v/>
      </c>
      <c r="K342" s="122">
        <f>IF($H342=0,0,IFERROR(IF($E342="Azalan",$D342*(1-MIN(2*AmortismanAzalanCarpan*$F342,1))^MAX(0,$H342-1)*MIN(2*AmortismanAzalanCarpan*$F342,1),MIN($D342*$F342,$D342)),0))</f>
        <v/>
      </c>
      <c r="L342" s="122">
        <f>IF($D342="",0,$G342-$J342)</f>
        <v/>
      </c>
      <c r="M342" s="122">
        <f>IF($B342="","",CONCATENATE("Kıymet: ",$B342," | NDD: ",TEXT($J342,"#,##0")))</f>
        <v/>
      </c>
    </row>
    <row r="343" ht="15" customHeight="1" s="77">
      <c r="A343" s="123" t="n"/>
      <c r="B343" s="123" t="n"/>
      <c r="C343" s="124" t="n"/>
      <c r="D343" s="125" t="n"/>
      <c r="E343" s="123" t="n"/>
      <c r="F343" s="126" t="n"/>
      <c r="G343" s="125" t="n"/>
      <c r="H343" s="122">
        <f>IF($D343="",0,MAX(0,ROUNDDOWN((AmortismanRaporTarihi-$C343)/365,0)))</f>
        <v/>
      </c>
      <c r="I343" s="122">
        <f>IF($D343="",0,IFERROR(IF($E343="Azalan",MAX(0,$D343*(1-MIN(2*AmortismanAzalanCarpan*$F343,1)^$H343)),MIN($D343,$D343*$F343*$H343)),0))</f>
        <v/>
      </c>
      <c r="J343" s="122">
        <f>IF($D343="",0,MAX(0,$D343-$I343))</f>
        <v/>
      </c>
      <c r="K343" s="122">
        <f>IF($H343=0,0,IFERROR(IF($E343="Azalan",$D343*(1-MIN(2*AmortismanAzalanCarpan*$F343,1))^MAX(0,$H343-1)*MIN(2*AmortismanAzalanCarpan*$F343,1),MIN($D343*$F343,$D343)),0))</f>
        <v/>
      </c>
      <c r="L343" s="122">
        <f>IF($D343="",0,$G343-$J343)</f>
        <v/>
      </c>
      <c r="M343" s="122">
        <f>IF($B343="","",CONCATENATE("Kıymet: ",$B343," | NDD: ",TEXT($J343,"#,##0")))</f>
        <v/>
      </c>
    </row>
    <row r="344" ht="15" customHeight="1" s="77">
      <c r="A344" s="123" t="n"/>
      <c r="B344" s="123" t="n"/>
      <c r="C344" s="124" t="n"/>
      <c r="D344" s="125" t="n"/>
      <c r="E344" s="123" t="n"/>
      <c r="F344" s="126" t="n"/>
      <c r="G344" s="125" t="n"/>
      <c r="H344" s="122">
        <f>IF($D344="",0,MAX(0,ROUNDDOWN((AmortismanRaporTarihi-$C344)/365,0)))</f>
        <v/>
      </c>
      <c r="I344" s="122">
        <f>IF($D344="",0,IFERROR(IF($E344="Azalan",MAX(0,$D344*(1-MIN(2*AmortismanAzalanCarpan*$F344,1)^$H344)),MIN($D344,$D344*$F344*$H344)),0))</f>
        <v/>
      </c>
      <c r="J344" s="122">
        <f>IF($D344="",0,MAX(0,$D344-$I344))</f>
        <v/>
      </c>
      <c r="K344" s="122">
        <f>IF($H344=0,0,IFERROR(IF($E344="Azalan",$D344*(1-MIN(2*AmortismanAzalanCarpan*$F344,1))^MAX(0,$H344-1)*MIN(2*AmortismanAzalanCarpan*$F344,1),MIN($D344*$F344,$D344)),0))</f>
        <v/>
      </c>
      <c r="L344" s="122">
        <f>IF($D344="",0,$G344-$J344)</f>
        <v/>
      </c>
      <c r="M344" s="122">
        <f>IF($B344="","",CONCATENATE("Kıymet: ",$B344," | NDD: ",TEXT($J344,"#,##0")))</f>
        <v/>
      </c>
    </row>
    <row r="345" ht="15" customHeight="1" s="77">
      <c r="A345" s="123" t="n"/>
      <c r="B345" s="123" t="n"/>
      <c r="C345" s="124" t="n"/>
      <c r="D345" s="125" t="n"/>
      <c r="E345" s="123" t="n"/>
      <c r="F345" s="126" t="n"/>
      <c r="G345" s="125" t="n"/>
      <c r="H345" s="122">
        <f>IF($D345="",0,MAX(0,ROUNDDOWN((AmortismanRaporTarihi-$C345)/365,0)))</f>
        <v/>
      </c>
      <c r="I345" s="122">
        <f>IF($D345="",0,IFERROR(IF($E345="Azalan",MAX(0,$D345*(1-MIN(2*AmortismanAzalanCarpan*$F345,1)^$H345)),MIN($D345,$D345*$F345*$H345)),0))</f>
        <v/>
      </c>
      <c r="J345" s="122">
        <f>IF($D345="",0,MAX(0,$D345-$I345))</f>
        <v/>
      </c>
      <c r="K345" s="122">
        <f>IF($H345=0,0,IFERROR(IF($E345="Azalan",$D345*(1-MIN(2*AmortismanAzalanCarpan*$F345,1))^MAX(0,$H345-1)*MIN(2*AmortismanAzalanCarpan*$F345,1),MIN($D345*$F345,$D345)),0))</f>
        <v/>
      </c>
      <c r="L345" s="122">
        <f>IF($D345="",0,$G345-$J345)</f>
        <v/>
      </c>
      <c r="M345" s="122">
        <f>IF($B345="","",CONCATENATE("Kıymet: ",$B345," | NDD: ",TEXT($J345,"#,##0")))</f>
        <v/>
      </c>
    </row>
    <row r="346" ht="15" customHeight="1" s="77">
      <c r="A346" s="123" t="n"/>
      <c r="B346" s="123" t="n"/>
      <c r="C346" s="124" t="n"/>
      <c r="D346" s="125" t="n"/>
      <c r="E346" s="123" t="n"/>
      <c r="F346" s="126" t="n"/>
      <c r="G346" s="125" t="n"/>
      <c r="H346" s="122">
        <f>IF($D346="",0,MAX(0,ROUNDDOWN((AmortismanRaporTarihi-$C346)/365,0)))</f>
        <v/>
      </c>
      <c r="I346" s="122">
        <f>IF($D346="",0,IFERROR(IF($E346="Azalan",MAX(0,$D346*(1-MIN(2*AmortismanAzalanCarpan*$F346,1)^$H346)),MIN($D346,$D346*$F346*$H346)),0))</f>
        <v/>
      </c>
      <c r="J346" s="122">
        <f>IF($D346="",0,MAX(0,$D346-$I346))</f>
        <v/>
      </c>
      <c r="K346" s="122">
        <f>IF($H346=0,0,IFERROR(IF($E346="Azalan",$D346*(1-MIN(2*AmortismanAzalanCarpan*$F346,1))^MAX(0,$H346-1)*MIN(2*AmortismanAzalanCarpan*$F346,1),MIN($D346*$F346,$D346)),0))</f>
        <v/>
      </c>
      <c r="L346" s="122">
        <f>IF($D346="",0,$G346-$J346)</f>
        <v/>
      </c>
      <c r="M346" s="122">
        <f>IF($B346="","",CONCATENATE("Kıymet: ",$B346," | NDD: ",TEXT($J346,"#,##0")))</f>
        <v/>
      </c>
    </row>
    <row r="347" ht="15" customHeight="1" s="77">
      <c r="A347" s="123" t="n"/>
      <c r="B347" s="123" t="n"/>
      <c r="C347" s="124" t="n"/>
      <c r="D347" s="125" t="n"/>
      <c r="E347" s="123" t="n"/>
      <c r="F347" s="126" t="n"/>
      <c r="G347" s="125" t="n"/>
      <c r="H347" s="122">
        <f>IF($D347="",0,MAX(0,ROUNDDOWN((AmortismanRaporTarihi-$C347)/365,0)))</f>
        <v/>
      </c>
      <c r="I347" s="122">
        <f>IF($D347="",0,IFERROR(IF($E347="Azalan",MAX(0,$D347*(1-MIN(2*AmortismanAzalanCarpan*$F347,1)^$H347)),MIN($D347,$D347*$F347*$H347)),0))</f>
        <v/>
      </c>
      <c r="J347" s="122">
        <f>IF($D347="",0,MAX(0,$D347-$I347))</f>
        <v/>
      </c>
      <c r="K347" s="122">
        <f>IF($H347=0,0,IFERROR(IF($E347="Azalan",$D347*(1-MIN(2*AmortismanAzalanCarpan*$F347,1))^MAX(0,$H347-1)*MIN(2*AmortismanAzalanCarpan*$F347,1),MIN($D347*$F347,$D347)),0))</f>
        <v/>
      </c>
      <c r="L347" s="122">
        <f>IF($D347="",0,$G347-$J347)</f>
        <v/>
      </c>
      <c r="M347" s="122">
        <f>IF($B347="","",CONCATENATE("Kıymet: ",$B347," | NDD: ",TEXT($J347,"#,##0")))</f>
        <v/>
      </c>
    </row>
    <row r="348" ht="15" customHeight="1" s="77">
      <c r="A348" s="123" t="n"/>
      <c r="B348" s="123" t="n"/>
      <c r="C348" s="124" t="n"/>
      <c r="D348" s="125" t="n"/>
      <c r="E348" s="123" t="n"/>
      <c r="F348" s="126" t="n"/>
      <c r="G348" s="125" t="n"/>
      <c r="H348" s="122">
        <f>IF($D348="",0,MAX(0,ROUNDDOWN((AmortismanRaporTarihi-$C348)/365,0)))</f>
        <v/>
      </c>
      <c r="I348" s="122">
        <f>IF($D348="",0,IFERROR(IF($E348="Azalan",MAX(0,$D348*(1-MIN(2*AmortismanAzalanCarpan*$F348,1)^$H348)),MIN($D348,$D348*$F348*$H348)),0))</f>
        <v/>
      </c>
      <c r="J348" s="122">
        <f>IF($D348="",0,MAX(0,$D348-$I348))</f>
        <v/>
      </c>
      <c r="K348" s="122">
        <f>IF($H348=0,0,IFERROR(IF($E348="Azalan",$D348*(1-MIN(2*AmortismanAzalanCarpan*$F348,1))^MAX(0,$H348-1)*MIN(2*AmortismanAzalanCarpan*$F348,1),MIN($D348*$F348,$D348)),0))</f>
        <v/>
      </c>
      <c r="L348" s="122">
        <f>IF($D348="",0,$G348-$J348)</f>
        <v/>
      </c>
      <c r="M348" s="122">
        <f>IF($B348="","",CONCATENATE("Kıymet: ",$B348," | NDD: ",TEXT($J348,"#,##0")))</f>
        <v/>
      </c>
    </row>
    <row r="349" ht="15" customHeight="1" s="77">
      <c r="A349" s="123" t="n"/>
      <c r="B349" s="123" t="n"/>
      <c r="C349" s="124" t="n"/>
      <c r="D349" s="125" t="n"/>
      <c r="E349" s="123" t="n"/>
      <c r="F349" s="126" t="n"/>
      <c r="G349" s="125" t="n"/>
      <c r="H349" s="122">
        <f>IF($D349="",0,MAX(0,ROUNDDOWN((AmortismanRaporTarihi-$C349)/365,0)))</f>
        <v/>
      </c>
      <c r="I349" s="122">
        <f>IF($D349="",0,IFERROR(IF($E349="Azalan",MAX(0,$D349*(1-MIN(2*AmortismanAzalanCarpan*$F349,1)^$H349)),MIN($D349,$D349*$F349*$H349)),0))</f>
        <v/>
      </c>
      <c r="J349" s="122">
        <f>IF($D349="",0,MAX(0,$D349-$I349))</f>
        <v/>
      </c>
      <c r="K349" s="122">
        <f>IF($H349=0,0,IFERROR(IF($E349="Azalan",$D349*(1-MIN(2*AmortismanAzalanCarpan*$F349,1))^MAX(0,$H349-1)*MIN(2*AmortismanAzalanCarpan*$F349,1),MIN($D349*$F349,$D349)),0))</f>
        <v/>
      </c>
      <c r="L349" s="122">
        <f>IF($D349="",0,$G349-$J349)</f>
        <v/>
      </c>
      <c r="M349" s="122">
        <f>IF($B349="","",CONCATENATE("Kıymet: ",$B349," | NDD: ",TEXT($J349,"#,##0")))</f>
        <v/>
      </c>
    </row>
    <row r="350" ht="15" customHeight="1" s="77">
      <c r="A350" s="123" t="n"/>
      <c r="B350" s="123" t="n"/>
      <c r="C350" s="124" t="n"/>
      <c r="D350" s="125" t="n"/>
      <c r="E350" s="123" t="n"/>
      <c r="F350" s="126" t="n"/>
      <c r="G350" s="125" t="n"/>
      <c r="H350" s="122">
        <f>IF($D350="",0,MAX(0,ROUNDDOWN((AmortismanRaporTarihi-$C350)/365,0)))</f>
        <v/>
      </c>
      <c r="I350" s="122">
        <f>IF($D350="",0,IFERROR(IF($E350="Azalan",MAX(0,$D350*(1-MIN(2*AmortismanAzalanCarpan*$F350,1)^$H350)),MIN($D350,$D350*$F350*$H350)),0))</f>
        <v/>
      </c>
      <c r="J350" s="122">
        <f>IF($D350="",0,MAX(0,$D350-$I350))</f>
        <v/>
      </c>
      <c r="K350" s="122">
        <f>IF($H350=0,0,IFERROR(IF($E350="Azalan",$D350*(1-MIN(2*AmortismanAzalanCarpan*$F350,1))^MAX(0,$H350-1)*MIN(2*AmortismanAzalanCarpan*$F350,1),MIN($D350*$F350,$D350)),0))</f>
        <v/>
      </c>
      <c r="L350" s="122">
        <f>IF($D350="",0,$G350-$J350)</f>
        <v/>
      </c>
      <c r="M350" s="122">
        <f>IF($B350="","",CONCATENATE("Kıymet: ",$B350," | NDD: ",TEXT($J350,"#,##0")))</f>
        <v/>
      </c>
    </row>
    <row r="351" ht="15" customHeight="1" s="77">
      <c r="A351" s="123" t="n"/>
      <c r="B351" s="123" t="n"/>
      <c r="C351" s="124" t="n"/>
      <c r="D351" s="125" t="n"/>
      <c r="E351" s="123" t="n"/>
      <c r="F351" s="126" t="n"/>
      <c r="G351" s="125" t="n"/>
      <c r="H351" s="122">
        <f>IF($D351="",0,MAX(0,ROUNDDOWN((AmortismanRaporTarihi-$C351)/365,0)))</f>
        <v/>
      </c>
      <c r="I351" s="122">
        <f>IF($D351="",0,IFERROR(IF($E351="Azalan",MAX(0,$D351*(1-MIN(2*AmortismanAzalanCarpan*$F351,1)^$H351)),MIN($D351,$D351*$F351*$H351)),0))</f>
        <v/>
      </c>
      <c r="J351" s="122">
        <f>IF($D351="",0,MAX(0,$D351-$I351))</f>
        <v/>
      </c>
      <c r="K351" s="122">
        <f>IF($H351=0,0,IFERROR(IF($E351="Azalan",$D351*(1-MIN(2*AmortismanAzalanCarpan*$F351,1))^MAX(0,$H351-1)*MIN(2*AmortismanAzalanCarpan*$F351,1),MIN($D351*$F351,$D351)),0))</f>
        <v/>
      </c>
      <c r="L351" s="122">
        <f>IF($D351="",0,$G351-$J351)</f>
        <v/>
      </c>
      <c r="M351" s="122">
        <f>IF($B351="","",CONCATENATE("Kıymet: ",$B351," | NDD: ",TEXT($J351,"#,##0")))</f>
        <v/>
      </c>
    </row>
    <row r="352" ht="15" customHeight="1" s="77">
      <c r="A352" s="123" t="n"/>
      <c r="B352" s="123" t="n"/>
      <c r="C352" s="124" t="n"/>
      <c r="D352" s="125" t="n"/>
      <c r="E352" s="123" t="n"/>
      <c r="F352" s="126" t="n"/>
      <c r="G352" s="125" t="n"/>
      <c r="H352" s="122">
        <f>IF($D352="",0,MAX(0,ROUNDDOWN((AmortismanRaporTarihi-$C352)/365,0)))</f>
        <v/>
      </c>
      <c r="I352" s="122">
        <f>IF($D352="",0,IFERROR(IF($E352="Azalan",MAX(0,$D352*(1-MIN(2*AmortismanAzalanCarpan*$F352,1)^$H352)),MIN($D352,$D352*$F352*$H352)),0))</f>
        <v/>
      </c>
      <c r="J352" s="122">
        <f>IF($D352="",0,MAX(0,$D352-$I352))</f>
        <v/>
      </c>
      <c r="K352" s="122">
        <f>IF($H352=0,0,IFERROR(IF($E352="Azalan",$D352*(1-MIN(2*AmortismanAzalanCarpan*$F352,1))^MAX(0,$H352-1)*MIN(2*AmortismanAzalanCarpan*$F352,1),MIN($D352*$F352,$D352)),0))</f>
        <v/>
      </c>
      <c r="L352" s="122">
        <f>IF($D352="",0,$G352-$J352)</f>
        <v/>
      </c>
      <c r="M352" s="122">
        <f>IF($B352="","",CONCATENATE("Kıymet: ",$B352," | NDD: ",TEXT($J352,"#,##0")))</f>
        <v/>
      </c>
    </row>
    <row r="353" ht="15" customHeight="1" s="77">
      <c r="A353" s="123" t="n"/>
      <c r="B353" s="123" t="n"/>
      <c r="C353" s="124" t="n"/>
      <c r="D353" s="125" t="n"/>
      <c r="E353" s="123" t="n"/>
      <c r="F353" s="126" t="n"/>
      <c r="G353" s="125" t="n"/>
      <c r="H353" s="122">
        <f>IF($D353="",0,MAX(0,ROUNDDOWN((AmortismanRaporTarihi-$C353)/365,0)))</f>
        <v/>
      </c>
      <c r="I353" s="122">
        <f>IF($D353="",0,IFERROR(IF($E353="Azalan",MAX(0,$D353*(1-MIN(2*AmortismanAzalanCarpan*$F353,1)^$H353)),MIN($D353,$D353*$F353*$H353)),0))</f>
        <v/>
      </c>
      <c r="J353" s="122">
        <f>IF($D353="",0,MAX(0,$D353-$I353))</f>
        <v/>
      </c>
      <c r="K353" s="122">
        <f>IF($H353=0,0,IFERROR(IF($E353="Azalan",$D353*(1-MIN(2*AmortismanAzalanCarpan*$F353,1))^MAX(0,$H353-1)*MIN(2*AmortismanAzalanCarpan*$F353,1),MIN($D353*$F353,$D353)),0))</f>
        <v/>
      </c>
      <c r="L353" s="122">
        <f>IF($D353="",0,$G353-$J353)</f>
        <v/>
      </c>
      <c r="M353" s="122">
        <f>IF($B353="","",CONCATENATE("Kıymet: ",$B353," | NDD: ",TEXT($J353,"#,##0")))</f>
        <v/>
      </c>
    </row>
    <row r="354" ht="15" customHeight="1" s="77">
      <c r="A354" s="123" t="n"/>
      <c r="B354" s="123" t="n"/>
      <c r="C354" s="124" t="n"/>
      <c r="D354" s="125" t="n"/>
      <c r="E354" s="123" t="n"/>
      <c r="F354" s="126" t="n"/>
      <c r="G354" s="125" t="n"/>
      <c r="H354" s="122">
        <f>IF($D354="",0,MAX(0,ROUNDDOWN((AmortismanRaporTarihi-$C354)/365,0)))</f>
        <v/>
      </c>
      <c r="I354" s="122">
        <f>IF($D354="",0,IFERROR(IF($E354="Azalan",MAX(0,$D354*(1-MIN(2*AmortismanAzalanCarpan*$F354,1)^$H354)),MIN($D354,$D354*$F354*$H354)),0))</f>
        <v/>
      </c>
      <c r="J354" s="122">
        <f>IF($D354="",0,MAX(0,$D354-$I354))</f>
        <v/>
      </c>
      <c r="K354" s="122">
        <f>IF($H354=0,0,IFERROR(IF($E354="Azalan",$D354*(1-MIN(2*AmortismanAzalanCarpan*$F354,1))^MAX(0,$H354-1)*MIN(2*AmortismanAzalanCarpan*$F354,1),MIN($D354*$F354,$D354)),0))</f>
        <v/>
      </c>
      <c r="L354" s="122">
        <f>IF($D354="",0,$G354-$J354)</f>
        <v/>
      </c>
      <c r="M354" s="122">
        <f>IF($B354="","",CONCATENATE("Kıymet: ",$B354," | NDD: ",TEXT($J354,"#,##0")))</f>
        <v/>
      </c>
    </row>
    <row r="355" ht="15" customHeight="1" s="77">
      <c r="A355" s="123" t="n"/>
      <c r="B355" s="123" t="n"/>
      <c r="C355" s="124" t="n"/>
      <c r="D355" s="125" t="n"/>
      <c r="E355" s="123" t="n"/>
      <c r="F355" s="126" t="n"/>
      <c r="G355" s="125" t="n"/>
      <c r="H355" s="122">
        <f>IF($D355="",0,MAX(0,ROUNDDOWN((AmortismanRaporTarihi-$C355)/365,0)))</f>
        <v/>
      </c>
      <c r="I355" s="122">
        <f>IF($D355="",0,IFERROR(IF($E355="Azalan",MAX(0,$D355*(1-MIN(2*AmortismanAzalanCarpan*$F355,1)^$H355)),MIN($D355,$D355*$F355*$H355)),0))</f>
        <v/>
      </c>
      <c r="J355" s="122">
        <f>IF($D355="",0,MAX(0,$D355-$I355))</f>
        <v/>
      </c>
      <c r="K355" s="122">
        <f>IF($H355=0,0,IFERROR(IF($E355="Azalan",$D355*(1-MIN(2*AmortismanAzalanCarpan*$F355,1))^MAX(0,$H355-1)*MIN(2*AmortismanAzalanCarpan*$F355,1),MIN($D355*$F355,$D355)),0))</f>
        <v/>
      </c>
      <c r="L355" s="122">
        <f>IF($D355="",0,$G355-$J355)</f>
        <v/>
      </c>
      <c r="M355" s="122">
        <f>IF($B355="","",CONCATENATE("Kıymet: ",$B355," | NDD: ",TEXT($J355,"#,##0")))</f>
        <v/>
      </c>
    </row>
    <row r="356" ht="15" customHeight="1" s="77">
      <c r="A356" s="123" t="n"/>
      <c r="B356" s="123" t="n"/>
      <c r="C356" s="124" t="n"/>
      <c r="D356" s="125" t="n"/>
      <c r="E356" s="123" t="n"/>
      <c r="F356" s="126" t="n"/>
      <c r="G356" s="125" t="n"/>
      <c r="H356" s="122">
        <f>IF($D356="",0,MAX(0,ROUNDDOWN((AmortismanRaporTarihi-$C356)/365,0)))</f>
        <v/>
      </c>
      <c r="I356" s="122">
        <f>IF($D356="",0,IFERROR(IF($E356="Azalan",MAX(0,$D356*(1-MIN(2*AmortismanAzalanCarpan*$F356,1)^$H356)),MIN($D356,$D356*$F356*$H356)),0))</f>
        <v/>
      </c>
      <c r="J356" s="122">
        <f>IF($D356="",0,MAX(0,$D356-$I356))</f>
        <v/>
      </c>
      <c r="K356" s="122">
        <f>IF($H356=0,0,IFERROR(IF($E356="Azalan",$D356*(1-MIN(2*AmortismanAzalanCarpan*$F356,1))^MAX(0,$H356-1)*MIN(2*AmortismanAzalanCarpan*$F356,1),MIN($D356*$F356,$D356)),0))</f>
        <v/>
      </c>
      <c r="L356" s="122">
        <f>IF($D356="",0,$G356-$J356)</f>
        <v/>
      </c>
      <c r="M356" s="122">
        <f>IF($B356="","",CONCATENATE("Kıymet: ",$B356," | NDD: ",TEXT($J356,"#,##0")))</f>
        <v/>
      </c>
    </row>
    <row r="357" ht="15" customHeight="1" s="77">
      <c r="A357" s="123" t="n"/>
      <c r="B357" s="123" t="n"/>
      <c r="C357" s="124" t="n"/>
      <c r="D357" s="125" t="n"/>
      <c r="E357" s="123" t="n"/>
      <c r="F357" s="126" t="n"/>
      <c r="G357" s="125" t="n"/>
      <c r="H357" s="122">
        <f>IF($D357="",0,MAX(0,ROUNDDOWN((AmortismanRaporTarihi-$C357)/365,0)))</f>
        <v/>
      </c>
      <c r="I357" s="122">
        <f>IF($D357="",0,IFERROR(IF($E357="Azalan",MAX(0,$D357*(1-MIN(2*AmortismanAzalanCarpan*$F357,1)^$H357)),MIN($D357,$D357*$F357*$H357)),0))</f>
        <v/>
      </c>
      <c r="J357" s="122">
        <f>IF($D357="",0,MAX(0,$D357-$I357))</f>
        <v/>
      </c>
      <c r="K357" s="122">
        <f>IF($H357=0,0,IFERROR(IF($E357="Azalan",$D357*(1-MIN(2*AmortismanAzalanCarpan*$F357,1))^MAX(0,$H357-1)*MIN(2*AmortismanAzalanCarpan*$F357,1),MIN($D357*$F357,$D357)),0))</f>
        <v/>
      </c>
      <c r="L357" s="122">
        <f>IF($D357="",0,$G357-$J357)</f>
        <v/>
      </c>
      <c r="M357" s="122">
        <f>IF($B357="","",CONCATENATE("Kıymet: ",$B357," | NDD: ",TEXT($J357,"#,##0")))</f>
        <v/>
      </c>
    </row>
    <row r="358" ht="15" customHeight="1" s="77">
      <c r="A358" s="123" t="n"/>
      <c r="B358" s="123" t="n"/>
      <c r="C358" s="124" t="n"/>
      <c r="D358" s="125" t="n"/>
      <c r="E358" s="123" t="n"/>
      <c r="F358" s="126" t="n"/>
      <c r="G358" s="125" t="n"/>
      <c r="H358" s="122">
        <f>IF($D358="",0,MAX(0,ROUNDDOWN((AmortismanRaporTarihi-$C358)/365,0)))</f>
        <v/>
      </c>
      <c r="I358" s="122">
        <f>IF($D358="",0,IFERROR(IF($E358="Azalan",MAX(0,$D358*(1-MIN(2*AmortismanAzalanCarpan*$F358,1)^$H358)),MIN($D358,$D358*$F358*$H358)),0))</f>
        <v/>
      </c>
      <c r="J358" s="122">
        <f>IF($D358="",0,MAX(0,$D358-$I358))</f>
        <v/>
      </c>
      <c r="K358" s="122">
        <f>IF($H358=0,0,IFERROR(IF($E358="Azalan",$D358*(1-MIN(2*AmortismanAzalanCarpan*$F358,1))^MAX(0,$H358-1)*MIN(2*AmortismanAzalanCarpan*$F358,1),MIN($D358*$F358,$D358)),0))</f>
        <v/>
      </c>
      <c r="L358" s="122">
        <f>IF($D358="",0,$G358-$J358)</f>
        <v/>
      </c>
      <c r="M358" s="122">
        <f>IF($B358="","",CONCATENATE("Kıymet: ",$B358," | NDD: ",TEXT($J358,"#,##0")))</f>
        <v/>
      </c>
    </row>
    <row r="359" ht="15" customHeight="1" s="77">
      <c r="A359" s="123" t="n"/>
      <c r="B359" s="123" t="n"/>
      <c r="C359" s="124" t="n"/>
      <c r="D359" s="125" t="n"/>
      <c r="E359" s="123" t="n"/>
      <c r="F359" s="126" t="n"/>
      <c r="G359" s="125" t="n"/>
      <c r="H359" s="122">
        <f>IF($D359="",0,MAX(0,ROUNDDOWN((AmortismanRaporTarihi-$C359)/365,0)))</f>
        <v/>
      </c>
      <c r="I359" s="122">
        <f>IF($D359="",0,IFERROR(IF($E359="Azalan",MAX(0,$D359*(1-MIN(2*AmortismanAzalanCarpan*$F359,1)^$H359)),MIN($D359,$D359*$F359*$H359)),0))</f>
        <v/>
      </c>
      <c r="J359" s="122">
        <f>IF($D359="",0,MAX(0,$D359-$I359))</f>
        <v/>
      </c>
      <c r="K359" s="122">
        <f>IF($H359=0,0,IFERROR(IF($E359="Azalan",$D359*(1-MIN(2*AmortismanAzalanCarpan*$F359,1))^MAX(0,$H359-1)*MIN(2*AmortismanAzalanCarpan*$F359,1),MIN($D359*$F359,$D359)),0))</f>
        <v/>
      </c>
      <c r="L359" s="122">
        <f>IF($D359="",0,$G359-$J359)</f>
        <v/>
      </c>
      <c r="M359" s="122">
        <f>IF($B359="","",CONCATENATE("Kıymet: ",$B359," | NDD: ",TEXT($J359,"#,##0")))</f>
        <v/>
      </c>
    </row>
    <row r="360" ht="15" customHeight="1" s="77">
      <c r="A360" s="123" t="n"/>
      <c r="B360" s="123" t="n"/>
      <c r="C360" s="124" t="n"/>
      <c r="D360" s="125" t="n"/>
      <c r="E360" s="123" t="n"/>
      <c r="F360" s="126" t="n"/>
      <c r="G360" s="125" t="n"/>
      <c r="H360" s="122">
        <f>IF($D360="",0,MAX(0,ROUNDDOWN((AmortismanRaporTarihi-$C360)/365,0)))</f>
        <v/>
      </c>
      <c r="I360" s="122">
        <f>IF($D360="",0,IFERROR(IF($E360="Azalan",MAX(0,$D360*(1-MIN(2*AmortismanAzalanCarpan*$F360,1)^$H360)),MIN($D360,$D360*$F360*$H360)),0))</f>
        <v/>
      </c>
      <c r="J360" s="122">
        <f>IF($D360="",0,MAX(0,$D360-$I360))</f>
        <v/>
      </c>
      <c r="K360" s="122">
        <f>IF($H360=0,0,IFERROR(IF($E360="Azalan",$D360*(1-MIN(2*AmortismanAzalanCarpan*$F360,1))^MAX(0,$H360-1)*MIN(2*AmortismanAzalanCarpan*$F360,1),MIN($D360*$F360,$D360)),0))</f>
        <v/>
      </c>
      <c r="L360" s="122">
        <f>IF($D360="",0,$G360-$J360)</f>
        <v/>
      </c>
      <c r="M360" s="122">
        <f>IF($B360="","",CONCATENATE("Kıymet: ",$B360," | NDD: ",TEXT($J360,"#,##0")))</f>
        <v/>
      </c>
    </row>
    <row r="361" ht="15" customHeight="1" s="77">
      <c r="A361" s="123" t="n"/>
      <c r="B361" s="123" t="n"/>
      <c r="C361" s="124" t="n"/>
      <c r="D361" s="125" t="n"/>
      <c r="E361" s="123" t="n"/>
      <c r="F361" s="126" t="n"/>
      <c r="G361" s="125" t="n"/>
      <c r="H361" s="122">
        <f>IF($D361="",0,MAX(0,ROUNDDOWN((AmortismanRaporTarihi-$C361)/365,0)))</f>
        <v/>
      </c>
      <c r="I361" s="122">
        <f>IF($D361="",0,IFERROR(IF($E361="Azalan",MAX(0,$D361*(1-MIN(2*AmortismanAzalanCarpan*$F361,1)^$H361)),MIN($D361,$D361*$F361*$H361)),0))</f>
        <v/>
      </c>
      <c r="J361" s="122">
        <f>IF($D361="",0,MAX(0,$D361-$I361))</f>
        <v/>
      </c>
      <c r="K361" s="122">
        <f>IF($H361=0,0,IFERROR(IF($E361="Azalan",$D361*(1-MIN(2*AmortismanAzalanCarpan*$F361,1))^MAX(0,$H361-1)*MIN(2*AmortismanAzalanCarpan*$F361,1),MIN($D361*$F361,$D361)),0))</f>
        <v/>
      </c>
      <c r="L361" s="122">
        <f>IF($D361="",0,$G361-$J361)</f>
        <v/>
      </c>
      <c r="M361" s="122">
        <f>IF($B361="","",CONCATENATE("Kıymet: ",$B361," | NDD: ",TEXT($J361,"#,##0")))</f>
        <v/>
      </c>
    </row>
    <row r="362" ht="15" customHeight="1" s="77">
      <c r="A362" s="123" t="n"/>
      <c r="B362" s="123" t="n"/>
      <c r="C362" s="124" t="n"/>
      <c r="D362" s="125" t="n"/>
      <c r="E362" s="123" t="n"/>
      <c r="F362" s="126" t="n"/>
      <c r="G362" s="125" t="n"/>
      <c r="H362" s="122">
        <f>IF($D362="",0,MAX(0,ROUNDDOWN((AmortismanRaporTarihi-$C362)/365,0)))</f>
        <v/>
      </c>
      <c r="I362" s="122">
        <f>IF($D362="",0,IFERROR(IF($E362="Azalan",MAX(0,$D362*(1-MIN(2*AmortismanAzalanCarpan*$F362,1)^$H362)),MIN($D362,$D362*$F362*$H362)),0))</f>
        <v/>
      </c>
      <c r="J362" s="122">
        <f>IF($D362="",0,MAX(0,$D362-$I362))</f>
        <v/>
      </c>
      <c r="K362" s="122">
        <f>IF($H362=0,0,IFERROR(IF($E362="Azalan",$D362*(1-MIN(2*AmortismanAzalanCarpan*$F362,1))^MAX(0,$H362-1)*MIN(2*AmortismanAzalanCarpan*$F362,1),MIN($D362*$F362,$D362)),0))</f>
        <v/>
      </c>
      <c r="L362" s="122">
        <f>IF($D362="",0,$G362-$J362)</f>
        <v/>
      </c>
      <c r="M362" s="122">
        <f>IF($B362="","",CONCATENATE("Kıymet: ",$B362," | NDD: ",TEXT($J362,"#,##0")))</f>
        <v/>
      </c>
    </row>
    <row r="363" ht="15" customHeight="1" s="77">
      <c r="A363" s="123" t="n"/>
      <c r="B363" s="123" t="n"/>
      <c r="C363" s="124" t="n"/>
      <c r="D363" s="125" t="n"/>
      <c r="E363" s="123" t="n"/>
      <c r="F363" s="126" t="n"/>
      <c r="G363" s="125" t="n"/>
      <c r="H363" s="122">
        <f>IF($D363="",0,MAX(0,ROUNDDOWN((AmortismanRaporTarihi-$C363)/365,0)))</f>
        <v/>
      </c>
      <c r="I363" s="122">
        <f>IF($D363="",0,IFERROR(IF($E363="Azalan",MAX(0,$D363*(1-MIN(2*AmortismanAzalanCarpan*$F363,1)^$H363)),MIN($D363,$D363*$F363*$H363)),0))</f>
        <v/>
      </c>
      <c r="J363" s="122">
        <f>IF($D363="",0,MAX(0,$D363-$I363))</f>
        <v/>
      </c>
      <c r="K363" s="122">
        <f>IF($H363=0,0,IFERROR(IF($E363="Azalan",$D363*(1-MIN(2*AmortismanAzalanCarpan*$F363,1))^MAX(0,$H363-1)*MIN(2*AmortismanAzalanCarpan*$F363,1),MIN($D363*$F363,$D363)),0))</f>
        <v/>
      </c>
      <c r="L363" s="122">
        <f>IF($D363="",0,$G363-$J363)</f>
        <v/>
      </c>
      <c r="M363" s="122">
        <f>IF($B363="","",CONCATENATE("Kıymet: ",$B363," | NDD: ",TEXT($J363,"#,##0")))</f>
        <v/>
      </c>
    </row>
    <row r="364" ht="15" customHeight="1" s="77">
      <c r="A364" s="123" t="n"/>
      <c r="B364" s="123" t="n"/>
      <c r="C364" s="124" t="n"/>
      <c r="D364" s="125" t="n"/>
      <c r="E364" s="123" t="n"/>
      <c r="F364" s="126" t="n"/>
      <c r="G364" s="125" t="n"/>
      <c r="H364" s="122">
        <f>IF($D364="",0,MAX(0,ROUNDDOWN((AmortismanRaporTarihi-$C364)/365,0)))</f>
        <v/>
      </c>
      <c r="I364" s="122">
        <f>IF($D364="",0,IFERROR(IF($E364="Azalan",MAX(0,$D364*(1-MIN(2*AmortismanAzalanCarpan*$F364,1)^$H364)),MIN($D364,$D364*$F364*$H364)),0))</f>
        <v/>
      </c>
      <c r="J364" s="122">
        <f>IF($D364="",0,MAX(0,$D364-$I364))</f>
        <v/>
      </c>
      <c r="K364" s="122">
        <f>IF($H364=0,0,IFERROR(IF($E364="Azalan",$D364*(1-MIN(2*AmortismanAzalanCarpan*$F364,1))^MAX(0,$H364-1)*MIN(2*AmortismanAzalanCarpan*$F364,1),MIN($D364*$F364,$D364)),0))</f>
        <v/>
      </c>
      <c r="L364" s="122">
        <f>IF($D364="",0,$G364-$J364)</f>
        <v/>
      </c>
      <c r="M364" s="122">
        <f>IF($B364="","",CONCATENATE("Kıymet: ",$B364," | NDD: ",TEXT($J364,"#,##0")))</f>
        <v/>
      </c>
    </row>
    <row r="365" ht="15" customHeight="1" s="77">
      <c r="A365" s="123" t="n"/>
      <c r="B365" s="123" t="n"/>
      <c r="C365" s="124" t="n"/>
      <c r="D365" s="125" t="n"/>
      <c r="E365" s="123" t="n"/>
      <c r="F365" s="126" t="n"/>
      <c r="G365" s="125" t="n"/>
      <c r="H365" s="122">
        <f>IF($D365="",0,MAX(0,ROUNDDOWN((AmortismanRaporTarihi-$C365)/365,0)))</f>
        <v/>
      </c>
      <c r="I365" s="122">
        <f>IF($D365="",0,IFERROR(IF($E365="Azalan",MAX(0,$D365*(1-MIN(2*AmortismanAzalanCarpan*$F365,1)^$H365)),MIN($D365,$D365*$F365*$H365)),0))</f>
        <v/>
      </c>
      <c r="J365" s="122">
        <f>IF($D365="",0,MAX(0,$D365-$I365))</f>
        <v/>
      </c>
      <c r="K365" s="122">
        <f>IF($H365=0,0,IFERROR(IF($E365="Azalan",$D365*(1-MIN(2*AmortismanAzalanCarpan*$F365,1))^MAX(0,$H365-1)*MIN(2*AmortismanAzalanCarpan*$F365,1),MIN($D365*$F365,$D365)),0))</f>
        <v/>
      </c>
      <c r="L365" s="122">
        <f>IF($D365="",0,$G365-$J365)</f>
        <v/>
      </c>
      <c r="M365" s="122">
        <f>IF($B365="","",CONCATENATE("Kıymet: ",$B365," | NDD: ",TEXT($J365,"#,##0")))</f>
        <v/>
      </c>
    </row>
    <row r="366" ht="15" customHeight="1" s="77">
      <c r="A366" s="123" t="n"/>
      <c r="B366" s="123" t="n"/>
      <c r="C366" s="124" t="n"/>
      <c r="D366" s="125" t="n"/>
      <c r="E366" s="123" t="n"/>
      <c r="F366" s="126" t="n"/>
      <c r="G366" s="125" t="n"/>
      <c r="H366" s="122">
        <f>IF($D366="",0,MAX(0,ROUNDDOWN((AmortismanRaporTarihi-$C366)/365,0)))</f>
        <v/>
      </c>
      <c r="I366" s="122">
        <f>IF($D366="",0,IFERROR(IF($E366="Azalan",MAX(0,$D366*(1-MIN(2*AmortismanAzalanCarpan*$F366,1)^$H366)),MIN($D366,$D366*$F366*$H366)),0))</f>
        <v/>
      </c>
      <c r="J366" s="122">
        <f>IF($D366="",0,MAX(0,$D366-$I366))</f>
        <v/>
      </c>
      <c r="K366" s="122">
        <f>IF($H366=0,0,IFERROR(IF($E366="Azalan",$D366*(1-MIN(2*AmortismanAzalanCarpan*$F366,1))^MAX(0,$H366-1)*MIN(2*AmortismanAzalanCarpan*$F366,1),MIN($D366*$F366,$D366)),0))</f>
        <v/>
      </c>
      <c r="L366" s="122">
        <f>IF($D366="",0,$G366-$J366)</f>
        <v/>
      </c>
      <c r="M366" s="122">
        <f>IF($B366="","",CONCATENATE("Kıymet: ",$B366," | NDD: ",TEXT($J366,"#,##0")))</f>
        <v/>
      </c>
    </row>
    <row r="367" ht="15" customHeight="1" s="77">
      <c r="A367" s="123" t="n"/>
      <c r="B367" s="123" t="n"/>
      <c r="C367" s="124" t="n"/>
      <c r="D367" s="125" t="n"/>
      <c r="E367" s="123" t="n"/>
      <c r="F367" s="126" t="n"/>
      <c r="G367" s="125" t="n"/>
      <c r="H367" s="122">
        <f>IF($D367="",0,MAX(0,ROUNDDOWN((AmortismanRaporTarihi-$C367)/365,0)))</f>
        <v/>
      </c>
      <c r="I367" s="122">
        <f>IF($D367="",0,IFERROR(IF($E367="Azalan",MAX(0,$D367*(1-MIN(2*AmortismanAzalanCarpan*$F367,1)^$H367)),MIN($D367,$D367*$F367*$H367)),0))</f>
        <v/>
      </c>
      <c r="J367" s="122">
        <f>IF($D367="",0,MAX(0,$D367-$I367))</f>
        <v/>
      </c>
      <c r="K367" s="122">
        <f>IF($H367=0,0,IFERROR(IF($E367="Azalan",$D367*(1-MIN(2*AmortismanAzalanCarpan*$F367,1))^MAX(0,$H367-1)*MIN(2*AmortismanAzalanCarpan*$F367,1),MIN($D367*$F367,$D367)),0))</f>
        <v/>
      </c>
      <c r="L367" s="122">
        <f>IF($D367="",0,$G367-$J367)</f>
        <v/>
      </c>
      <c r="M367" s="122">
        <f>IF($B367="","",CONCATENATE("Kıymet: ",$B367," | NDD: ",TEXT($J367,"#,##0")))</f>
        <v/>
      </c>
    </row>
    <row r="368" ht="15" customHeight="1" s="77">
      <c r="A368" s="123" t="n"/>
      <c r="B368" s="123" t="n"/>
      <c r="C368" s="124" t="n"/>
      <c r="D368" s="125" t="n"/>
      <c r="E368" s="123" t="n"/>
      <c r="F368" s="126" t="n"/>
      <c r="G368" s="125" t="n"/>
      <c r="H368" s="122">
        <f>IF($D368="",0,MAX(0,ROUNDDOWN((AmortismanRaporTarihi-$C368)/365,0)))</f>
        <v/>
      </c>
      <c r="I368" s="122">
        <f>IF($D368="",0,IFERROR(IF($E368="Azalan",MAX(0,$D368*(1-MIN(2*AmortismanAzalanCarpan*$F368,1)^$H368)),MIN($D368,$D368*$F368*$H368)),0))</f>
        <v/>
      </c>
      <c r="J368" s="122">
        <f>IF($D368="",0,MAX(0,$D368-$I368))</f>
        <v/>
      </c>
      <c r="K368" s="122">
        <f>IF($H368=0,0,IFERROR(IF($E368="Azalan",$D368*(1-MIN(2*AmortismanAzalanCarpan*$F368,1))^MAX(0,$H368-1)*MIN(2*AmortismanAzalanCarpan*$F368,1),MIN($D368*$F368,$D368)),0))</f>
        <v/>
      </c>
      <c r="L368" s="122">
        <f>IF($D368="",0,$G368-$J368)</f>
        <v/>
      </c>
      <c r="M368" s="122">
        <f>IF($B368="","",CONCATENATE("Kıymet: ",$B368," | NDD: ",TEXT($J368,"#,##0")))</f>
        <v/>
      </c>
    </row>
    <row r="369" ht="15" customHeight="1" s="77">
      <c r="A369" s="123" t="n"/>
      <c r="B369" s="123" t="n"/>
      <c r="C369" s="124" t="n"/>
      <c r="D369" s="125" t="n"/>
      <c r="E369" s="123" t="n"/>
      <c r="F369" s="126" t="n"/>
      <c r="G369" s="125" t="n"/>
      <c r="H369" s="122">
        <f>IF($D369="",0,MAX(0,ROUNDDOWN((AmortismanRaporTarihi-$C369)/365,0)))</f>
        <v/>
      </c>
      <c r="I369" s="122">
        <f>IF($D369="",0,IFERROR(IF($E369="Azalan",MAX(0,$D369*(1-MIN(2*AmortismanAzalanCarpan*$F369,1)^$H369)),MIN($D369,$D369*$F369*$H369)),0))</f>
        <v/>
      </c>
      <c r="J369" s="122">
        <f>IF($D369="",0,MAX(0,$D369-$I369))</f>
        <v/>
      </c>
      <c r="K369" s="122">
        <f>IF($H369=0,0,IFERROR(IF($E369="Azalan",$D369*(1-MIN(2*AmortismanAzalanCarpan*$F369,1))^MAX(0,$H369-1)*MIN(2*AmortismanAzalanCarpan*$F369,1),MIN($D369*$F369,$D369)),0))</f>
        <v/>
      </c>
      <c r="L369" s="122">
        <f>IF($D369="",0,$G369-$J369)</f>
        <v/>
      </c>
      <c r="M369" s="122">
        <f>IF($B369="","",CONCATENATE("Kıymet: ",$B369," | NDD: ",TEXT($J369,"#,##0")))</f>
        <v/>
      </c>
    </row>
    <row r="370" ht="15" customHeight="1" s="77">
      <c r="A370" s="123" t="n"/>
      <c r="B370" s="123" t="n"/>
      <c r="C370" s="124" t="n"/>
      <c r="D370" s="125" t="n"/>
      <c r="E370" s="123" t="n"/>
      <c r="F370" s="126" t="n"/>
      <c r="G370" s="125" t="n"/>
      <c r="H370" s="122">
        <f>IF($D370="",0,MAX(0,ROUNDDOWN((AmortismanRaporTarihi-$C370)/365,0)))</f>
        <v/>
      </c>
      <c r="I370" s="122">
        <f>IF($D370="",0,IFERROR(IF($E370="Azalan",MAX(0,$D370*(1-MIN(2*AmortismanAzalanCarpan*$F370,1)^$H370)),MIN($D370,$D370*$F370*$H370)),0))</f>
        <v/>
      </c>
      <c r="J370" s="122">
        <f>IF($D370="",0,MAX(0,$D370-$I370))</f>
        <v/>
      </c>
      <c r="K370" s="122">
        <f>IF($H370=0,0,IFERROR(IF($E370="Azalan",$D370*(1-MIN(2*AmortismanAzalanCarpan*$F370,1))^MAX(0,$H370-1)*MIN(2*AmortismanAzalanCarpan*$F370,1),MIN($D370*$F370,$D370)),0))</f>
        <v/>
      </c>
      <c r="L370" s="122">
        <f>IF($D370="",0,$G370-$J370)</f>
        <v/>
      </c>
      <c r="M370" s="122">
        <f>IF($B370="","",CONCATENATE("Kıymet: ",$B370," | NDD: ",TEXT($J370,"#,##0")))</f>
        <v/>
      </c>
    </row>
    <row r="371" ht="15" customHeight="1" s="77">
      <c r="A371" s="123" t="n"/>
      <c r="B371" s="123" t="n"/>
      <c r="C371" s="124" t="n"/>
      <c r="D371" s="125" t="n"/>
      <c r="E371" s="123" t="n"/>
      <c r="F371" s="126" t="n"/>
      <c r="G371" s="125" t="n"/>
      <c r="H371" s="122">
        <f>IF($D371="",0,MAX(0,ROUNDDOWN((AmortismanRaporTarihi-$C371)/365,0)))</f>
        <v/>
      </c>
      <c r="I371" s="122">
        <f>IF($D371="",0,IFERROR(IF($E371="Azalan",MAX(0,$D371*(1-MIN(2*AmortismanAzalanCarpan*$F371,1)^$H371)),MIN($D371,$D371*$F371*$H371)),0))</f>
        <v/>
      </c>
      <c r="J371" s="122">
        <f>IF($D371="",0,MAX(0,$D371-$I371))</f>
        <v/>
      </c>
      <c r="K371" s="122">
        <f>IF($H371=0,0,IFERROR(IF($E371="Azalan",$D371*(1-MIN(2*AmortismanAzalanCarpan*$F371,1))^MAX(0,$H371-1)*MIN(2*AmortismanAzalanCarpan*$F371,1),MIN($D371*$F371,$D371)),0))</f>
        <v/>
      </c>
      <c r="L371" s="122">
        <f>IF($D371="",0,$G371-$J371)</f>
        <v/>
      </c>
      <c r="M371" s="122">
        <f>IF($B371="","",CONCATENATE("Kıymet: ",$B371," | NDD: ",TEXT($J371,"#,##0")))</f>
        <v/>
      </c>
    </row>
    <row r="372" ht="15" customHeight="1" s="77">
      <c r="A372" s="123" t="n"/>
      <c r="B372" s="123" t="n"/>
      <c r="C372" s="124" t="n"/>
      <c r="D372" s="125" t="n"/>
      <c r="E372" s="123" t="n"/>
      <c r="F372" s="126" t="n"/>
      <c r="G372" s="125" t="n"/>
      <c r="H372" s="122">
        <f>IF($D372="",0,MAX(0,ROUNDDOWN((AmortismanRaporTarihi-$C372)/365,0)))</f>
        <v/>
      </c>
      <c r="I372" s="122">
        <f>IF($D372="",0,IFERROR(IF($E372="Azalan",MAX(0,$D372*(1-MIN(2*AmortismanAzalanCarpan*$F372,1)^$H372)),MIN($D372,$D372*$F372*$H372)),0))</f>
        <v/>
      </c>
      <c r="J372" s="122">
        <f>IF($D372="",0,MAX(0,$D372-$I372))</f>
        <v/>
      </c>
      <c r="K372" s="122">
        <f>IF($H372=0,0,IFERROR(IF($E372="Azalan",$D372*(1-MIN(2*AmortismanAzalanCarpan*$F372,1))^MAX(0,$H372-1)*MIN(2*AmortismanAzalanCarpan*$F372,1),MIN($D372*$F372,$D372)),0))</f>
        <v/>
      </c>
      <c r="L372" s="122">
        <f>IF($D372="",0,$G372-$J372)</f>
        <v/>
      </c>
      <c r="M372" s="122">
        <f>IF($B372="","",CONCATENATE("Kıymet: ",$B372," | NDD: ",TEXT($J372,"#,##0")))</f>
        <v/>
      </c>
    </row>
    <row r="373" ht="15" customHeight="1" s="77">
      <c r="A373" s="123" t="n"/>
      <c r="B373" s="123" t="n"/>
      <c r="C373" s="124" t="n"/>
      <c r="D373" s="125" t="n"/>
      <c r="E373" s="123" t="n"/>
      <c r="F373" s="126" t="n"/>
      <c r="G373" s="125" t="n"/>
      <c r="H373" s="122">
        <f>IF($D373="",0,MAX(0,ROUNDDOWN((AmortismanRaporTarihi-$C373)/365,0)))</f>
        <v/>
      </c>
      <c r="I373" s="122">
        <f>IF($D373="",0,IFERROR(IF($E373="Azalan",MAX(0,$D373*(1-MIN(2*AmortismanAzalanCarpan*$F373,1)^$H373)),MIN($D373,$D373*$F373*$H373)),0))</f>
        <v/>
      </c>
      <c r="J373" s="122">
        <f>IF($D373="",0,MAX(0,$D373-$I373))</f>
        <v/>
      </c>
      <c r="K373" s="122">
        <f>IF($H373=0,0,IFERROR(IF($E373="Azalan",$D373*(1-MIN(2*AmortismanAzalanCarpan*$F373,1))^MAX(0,$H373-1)*MIN(2*AmortismanAzalanCarpan*$F373,1),MIN($D373*$F373,$D373)),0))</f>
        <v/>
      </c>
      <c r="L373" s="122">
        <f>IF($D373="",0,$G373-$J373)</f>
        <v/>
      </c>
      <c r="M373" s="122">
        <f>IF($B373="","",CONCATENATE("Kıymet: ",$B373," | NDD: ",TEXT($J373,"#,##0")))</f>
        <v/>
      </c>
    </row>
    <row r="374" ht="15" customHeight="1" s="77">
      <c r="A374" s="123" t="n"/>
      <c r="B374" s="123" t="n"/>
      <c r="C374" s="124" t="n"/>
      <c r="D374" s="125" t="n"/>
      <c r="E374" s="123" t="n"/>
      <c r="F374" s="126" t="n"/>
      <c r="G374" s="125" t="n"/>
      <c r="H374" s="122">
        <f>IF($D374="",0,MAX(0,ROUNDDOWN((AmortismanRaporTarihi-$C374)/365,0)))</f>
        <v/>
      </c>
      <c r="I374" s="122">
        <f>IF($D374="",0,IFERROR(IF($E374="Azalan",MAX(0,$D374*(1-MIN(2*AmortismanAzalanCarpan*$F374,1)^$H374)),MIN($D374,$D374*$F374*$H374)),0))</f>
        <v/>
      </c>
      <c r="J374" s="122">
        <f>IF($D374="",0,MAX(0,$D374-$I374))</f>
        <v/>
      </c>
      <c r="K374" s="122">
        <f>IF($H374=0,0,IFERROR(IF($E374="Azalan",$D374*(1-MIN(2*AmortismanAzalanCarpan*$F374,1))^MAX(0,$H374-1)*MIN(2*AmortismanAzalanCarpan*$F374,1),MIN($D374*$F374,$D374)),0))</f>
        <v/>
      </c>
      <c r="L374" s="122">
        <f>IF($D374="",0,$G374-$J374)</f>
        <v/>
      </c>
      <c r="M374" s="122">
        <f>IF($B374="","",CONCATENATE("Kıymet: ",$B374," | NDD: ",TEXT($J374,"#,##0")))</f>
        <v/>
      </c>
    </row>
    <row r="375" ht="15" customHeight="1" s="77">
      <c r="A375" s="123" t="n"/>
      <c r="B375" s="123" t="n"/>
      <c r="C375" s="124" t="n"/>
      <c r="D375" s="125" t="n"/>
      <c r="E375" s="123" t="n"/>
      <c r="F375" s="126" t="n"/>
      <c r="G375" s="125" t="n"/>
      <c r="H375" s="122">
        <f>IF($D375="",0,MAX(0,ROUNDDOWN((AmortismanRaporTarihi-$C375)/365,0)))</f>
        <v/>
      </c>
      <c r="I375" s="122">
        <f>IF($D375="",0,IFERROR(IF($E375="Azalan",MAX(0,$D375*(1-MIN(2*AmortismanAzalanCarpan*$F375,1)^$H375)),MIN($D375,$D375*$F375*$H375)),0))</f>
        <v/>
      </c>
      <c r="J375" s="122">
        <f>IF($D375="",0,MAX(0,$D375-$I375))</f>
        <v/>
      </c>
      <c r="K375" s="122">
        <f>IF($H375=0,0,IFERROR(IF($E375="Azalan",$D375*(1-MIN(2*AmortismanAzalanCarpan*$F375,1))^MAX(0,$H375-1)*MIN(2*AmortismanAzalanCarpan*$F375,1),MIN($D375*$F375,$D375)),0))</f>
        <v/>
      </c>
      <c r="L375" s="122">
        <f>IF($D375="",0,$G375-$J375)</f>
        <v/>
      </c>
      <c r="M375" s="122">
        <f>IF($B375="","",CONCATENATE("Kıymet: ",$B375," | NDD: ",TEXT($J375,"#,##0")))</f>
        <v/>
      </c>
    </row>
    <row r="376" ht="15" customHeight="1" s="77">
      <c r="A376" s="123" t="n"/>
      <c r="B376" s="123" t="n"/>
      <c r="C376" s="124" t="n"/>
      <c r="D376" s="125" t="n"/>
      <c r="E376" s="123" t="n"/>
      <c r="F376" s="126" t="n"/>
      <c r="G376" s="125" t="n"/>
      <c r="H376" s="122">
        <f>IF($D376="",0,MAX(0,ROUNDDOWN((AmortismanRaporTarihi-$C376)/365,0)))</f>
        <v/>
      </c>
      <c r="I376" s="122">
        <f>IF($D376="",0,IFERROR(IF($E376="Azalan",MAX(0,$D376*(1-MIN(2*AmortismanAzalanCarpan*$F376,1)^$H376)),MIN($D376,$D376*$F376*$H376)),0))</f>
        <v/>
      </c>
      <c r="J376" s="122">
        <f>IF($D376="",0,MAX(0,$D376-$I376))</f>
        <v/>
      </c>
      <c r="K376" s="122">
        <f>IF($H376=0,0,IFERROR(IF($E376="Azalan",$D376*(1-MIN(2*AmortismanAzalanCarpan*$F376,1))^MAX(0,$H376-1)*MIN(2*AmortismanAzalanCarpan*$F376,1),MIN($D376*$F376,$D376)),0))</f>
        <v/>
      </c>
      <c r="L376" s="122">
        <f>IF($D376="",0,$G376-$J376)</f>
        <v/>
      </c>
      <c r="M376" s="122">
        <f>IF($B376="","",CONCATENATE("Kıymet: ",$B376," | NDD: ",TEXT($J376,"#,##0")))</f>
        <v/>
      </c>
    </row>
    <row r="377" ht="15" customHeight="1" s="77">
      <c r="A377" s="123" t="n"/>
      <c r="B377" s="123" t="n"/>
      <c r="C377" s="124" t="n"/>
      <c r="D377" s="125" t="n"/>
      <c r="E377" s="123" t="n"/>
      <c r="F377" s="126" t="n"/>
      <c r="G377" s="125" t="n"/>
      <c r="H377" s="122">
        <f>IF($D377="",0,MAX(0,ROUNDDOWN((AmortismanRaporTarihi-$C377)/365,0)))</f>
        <v/>
      </c>
      <c r="I377" s="122">
        <f>IF($D377="",0,IFERROR(IF($E377="Azalan",MAX(0,$D377*(1-MIN(2*AmortismanAzalanCarpan*$F377,1)^$H377)),MIN($D377,$D377*$F377*$H377)),0))</f>
        <v/>
      </c>
      <c r="J377" s="122">
        <f>IF($D377="",0,MAX(0,$D377-$I377))</f>
        <v/>
      </c>
      <c r="K377" s="122">
        <f>IF($H377=0,0,IFERROR(IF($E377="Azalan",$D377*(1-MIN(2*AmortismanAzalanCarpan*$F377,1))^MAX(0,$H377-1)*MIN(2*AmortismanAzalanCarpan*$F377,1),MIN($D377*$F377,$D377)),0))</f>
        <v/>
      </c>
      <c r="L377" s="122">
        <f>IF($D377="",0,$G377-$J377)</f>
        <v/>
      </c>
      <c r="M377" s="122">
        <f>IF($B377="","",CONCATENATE("Kıymet: ",$B377," | NDD: ",TEXT($J377,"#,##0")))</f>
        <v/>
      </c>
    </row>
    <row r="378" ht="15" customHeight="1" s="77">
      <c r="A378" s="123" t="n"/>
      <c r="B378" s="123" t="n"/>
      <c r="C378" s="124" t="n"/>
      <c r="D378" s="125" t="n"/>
      <c r="E378" s="123" t="n"/>
      <c r="F378" s="126" t="n"/>
      <c r="G378" s="125" t="n"/>
      <c r="H378" s="122">
        <f>IF($D378="",0,MAX(0,ROUNDDOWN((AmortismanRaporTarihi-$C378)/365,0)))</f>
        <v/>
      </c>
      <c r="I378" s="122">
        <f>IF($D378="",0,IFERROR(IF($E378="Azalan",MAX(0,$D378*(1-MIN(2*AmortismanAzalanCarpan*$F378,1)^$H378)),MIN($D378,$D378*$F378*$H378)),0))</f>
        <v/>
      </c>
      <c r="J378" s="122">
        <f>IF($D378="",0,MAX(0,$D378-$I378))</f>
        <v/>
      </c>
      <c r="K378" s="122">
        <f>IF($H378=0,0,IFERROR(IF($E378="Azalan",$D378*(1-MIN(2*AmortismanAzalanCarpan*$F378,1))^MAX(0,$H378-1)*MIN(2*AmortismanAzalanCarpan*$F378,1),MIN($D378*$F378,$D378)),0))</f>
        <v/>
      </c>
      <c r="L378" s="122">
        <f>IF($D378="",0,$G378-$J378)</f>
        <v/>
      </c>
      <c r="M378" s="122">
        <f>IF($B378="","",CONCATENATE("Kıymet: ",$B378," | NDD: ",TEXT($J378,"#,##0")))</f>
        <v/>
      </c>
    </row>
    <row r="379" ht="15" customHeight="1" s="77">
      <c r="A379" s="123" t="n"/>
      <c r="B379" s="123" t="n"/>
      <c r="C379" s="124" t="n"/>
      <c r="D379" s="125" t="n"/>
      <c r="E379" s="123" t="n"/>
      <c r="F379" s="126" t="n"/>
      <c r="G379" s="125" t="n"/>
      <c r="H379" s="122">
        <f>IF($D379="",0,MAX(0,ROUNDDOWN((AmortismanRaporTarihi-$C379)/365,0)))</f>
        <v/>
      </c>
      <c r="I379" s="122">
        <f>IF($D379="",0,IFERROR(IF($E379="Azalan",MAX(0,$D379*(1-MIN(2*AmortismanAzalanCarpan*$F379,1)^$H379)),MIN($D379,$D379*$F379*$H379)),0))</f>
        <v/>
      </c>
      <c r="J379" s="122">
        <f>IF($D379="",0,MAX(0,$D379-$I379))</f>
        <v/>
      </c>
      <c r="K379" s="122">
        <f>IF($H379=0,0,IFERROR(IF($E379="Azalan",$D379*(1-MIN(2*AmortismanAzalanCarpan*$F379,1))^MAX(0,$H379-1)*MIN(2*AmortismanAzalanCarpan*$F379,1),MIN($D379*$F379,$D379)),0))</f>
        <v/>
      </c>
      <c r="L379" s="122">
        <f>IF($D379="",0,$G379-$J379)</f>
        <v/>
      </c>
      <c r="M379" s="122">
        <f>IF($B379="","",CONCATENATE("Kıymet: ",$B379," | NDD: ",TEXT($J379,"#,##0")))</f>
        <v/>
      </c>
    </row>
    <row r="380" ht="15" customHeight="1" s="77">
      <c r="A380" s="123" t="n"/>
      <c r="B380" s="123" t="n"/>
      <c r="C380" s="124" t="n"/>
      <c r="D380" s="125" t="n"/>
      <c r="E380" s="123" t="n"/>
      <c r="F380" s="126" t="n"/>
      <c r="G380" s="125" t="n"/>
      <c r="H380" s="122">
        <f>IF($D380="",0,MAX(0,ROUNDDOWN((AmortismanRaporTarihi-$C380)/365,0)))</f>
        <v/>
      </c>
      <c r="I380" s="122">
        <f>IF($D380="",0,IFERROR(IF($E380="Azalan",MAX(0,$D380*(1-MIN(2*AmortismanAzalanCarpan*$F380,1)^$H380)),MIN($D380,$D380*$F380*$H380)),0))</f>
        <v/>
      </c>
      <c r="J380" s="122">
        <f>IF($D380="",0,MAX(0,$D380-$I380))</f>
        <v/>
      </c>
      <c r="K380" s="122">
        <f>IF($H380=0,0,IFERROR(IF($E380="Azalan",$D380*(1-MIN(2*AmortismanAzalanCarpan*$F380,1))^MAX(0,$H380-1)*MIN(2*AmortismanAzalanCarpan*$F380,1),MIN($D380*$F380,$D380)),0))</f>
        <v/>
      </c>
      <c r="L380" s="122">
        <f>IF($D380="",0,$G380-$J380)</f>
        <v/>
      </c>
      <c r="M380" s="122">
        <f>IF($B380="","",CONCATENATE("Kıymet: ",$B380," | NDD: ",TEXT($J380,"#,##0")))</f>
        <v/>
      </c>
    </row>
    <row r="381" ht="15" customHeight="1" s="77">
      <c r="A381" s="123" t="n"/>
      <c r="B381" s="123" t="n"/>
      <c r="C381" s="124" t="n"/>
      <c r="D381" s="125" t="n"/>
      <c r="E381" s="123" t="n"/>
      <c r="F381" s="126" t="n"/>
      <c r="G381" s="125" t="n"/>
      <c r="H381" s="122">
        <f>IF($D381="",0,MAX(0,ROUNDDOWN((AmortismanRaporTarihi-$C381)/365,0)))</f>
        <v/>
      </c>
      <c r="I381" s="122">
        <f>IF($D381="",0,IFERROR(IF($E381="Azalan",MAX(0,$D381*(1-MIN(2*AmortismanAzalanCarpan*$F381,1)^$H381)),MIN($D381,$D381*$F381*$H381)),0))</f>
        <v/>
      </c>
      <c r="J381" s="122">
        <f>IF($D381="",0,MAX(0,$D381-$I381))</f>
        <v/>
      </c>
      <c r="K381" s="122">
        <f>IF($H381=0,0,IFERROR(IF($E381="Azalan",$D381*(1-MIN(2*AmortismanAzalanCarpan*$F381,1))^MAX(0,$H381-1)*MIN(2*AmortismanAzalanCarpan*$F381,1),MIN($D381*$F381,$D381)),0))</f>
        <v/>
      </c>
      <c r="L381" s="122">
        <f>IF($D381="",0,$G381-$J381)</f>
        <v/>
      </c>
      <c r="M381" s="122">
        <f>IF($B381="","",CONCATENATE("Kıymet: ",$B381," | NDD: ",TEXT($J381,"#,##0")))</f>
        <v/>
      </c>
    </row>
    <row r="382" ht="15" customHeight="1" s="77">
      <c r="A382" s="123" t="n"/>
      <c r="B382" s="123" t="n"/>
      <c r="C382" s="124" t="n"/>
      <c r="D382" s="125" t="n"/>
      <c r="E382" s="123" t="n"/>
      <c r="F382" s="126" t="n"/>
      <c r="G382" s="125" t="n"/>
      <c r="H382" s="122">
        <f>IF($D382="",0,MAX(0,ROUNDDOWN((AmortismanRaporTarihi-$C382)/365,0)))</f>
        <v/>
      </c>
      <c r="I382" s="122">
        <f>IF($D382="",0,IFERROR(IF($E382="Azalan",MAX(0,$D382*(1-MIN(2*AmortismanAzalanCarpan*$F382,1)^$H382)),MIN($D382,$D382*$F382*$H382)),0))</f>
        <v/>
      </c>
      <c r="J382" s="122">
        <f>IF($D382="",0,MAX(0,$D382-$I382))</f>
        <v/>
      </c>
      <c r="K382" s="122">
        <f>IF($H382=0,0,IFERROR(IF($E382="Azalan",$D382*(1-MIN(2*AmortismanAzalanCarpan*$F382,1))^MAX(0,$H382-1)*MIN(2*AmortismanAzalanCarpan*$F382,1),MIN($D382*$F382,$D382)),0))</f>
        <v/>
      </c>
      <c r="L382" s="122">
        <f>IF($D382="",0,$G382-$J382)</f>
        <v/>
      </c>
      <c r="M382" s="122">
        <f>IF($B382="","",CONCATENATE("Kıymet: ",$B382," | NDD: ",TEXT($J382,"#,##0")))</f>
        <v/>
      </c>
    </row>
    <row r="383" ht="15" customHeight="1" s="77">
      <c r="A383" s="123" t="n"/>
      <c r="B383" s="123" t="n"/>
      <c r="C383" s="124" t="n"/>
      <c r="D383" s="125" t="n"/>
      <c r="E383" s="123" t="n"/>
      <c r="F383" s="126" t="n"/>
      <c r="G383" s="125" t="n"/>
      <c r="H383" s="122">
        <f>IF($D383="",0,MAX(0,ROUNDDOWN((AmortismanRaporTarihi-$C383)/365,0)))</f>
        <v/>
      </c>
      <c r="I383" s="122">
        <f>IF($D383="",0,IFERROR(IF($E383="Azalan",MAX(0,$D383*(1-MIN(2*AmortismanAzalanCarpan*$F383,1)^$H383)),MIN($D383,$D383*$F383*$H383)),0))</f>
        <v/>
      </c>
      <c r="J383" s="122">
        <f>IF($D383="",0,MAX(0,$D383-$I383))</f>
        <v/>
      </c>
      <c r="K383" s="122">
        <f>IF($H383=0,0,IFERROR(IF($E383="Azalan",$D383*(1-MIN(2*AmortismanAzalanCarpan*$F383,1))^MAX(0,$H383-1)*MIN(2*AmortismanAzalanCarpan*$F383,1),MIN($D383*$F383,$D383)),0))</f>
        <v/>
      </c>
      <c r="L383" s="122">
        <f>IF($D383="",0,$G383-$J383)</f>
        <v/>
      </c>
      <c r="M383" s="122">
        <f>IF($B383="","",CONCATENATE("Kıymet: ",$B383," | NDD: ",TEXT($J383,"#,##0")))</f>
        <v/>
      </c>
    </row>
    <row r="384" ht="15" customHeight="1" s="77">
      <c r="A384" s="123" t="n"/>
      <c r="B384" s="123" t="n"/>
      <c r="C384" s="124" t="n"/>
      <c r="D384" s="125" t="n"/>
      <c r="E384" s="123" t="n"/>
      <c r="F384" s="126" t="n"/>
      <c r="G384" s="125" t="n"/>
      <c r="H384" s="122">
        <f>IF($D384="",0,MAX(0,ROUNDDOWN((AmortismanRaporTarihi-$C384)/365,0)))</f>
        <v/>
      </c>
      <c r="I384" s="122">
        <f>IF($D384="",0,IFERROR(IF($E384="Azalan",MAX(0,$D384*(1-MIN(2*AmortismanAzalanCarpan*$F384,1)^$H384)),MIN($D384,$D384*$F384*$H384)),0))</f>
        <v/>
      </c>
      <c r="J384" s="122">
        <f>IF($D384="",0,MAX(0,$D384-$I384))</f>
        <v/>
      </c>
      <c r="K384" s="122">
        <f>IF($H384=0,0,IFERROR(IF($E384="Azalan",$D384*(1-MIN(2*AmortismanAzalanCarpan*$F384,1))^MAX(0,$H384-1)*MIN(2*AmortismanAzalanCarpan*$F384,1),MIN($D384*$F384,$D384)),0))</f>
        <v/>
      </c>
      <c r="L384" s="122">
        <f>IF($D384="",0,$G384-$J384)</f>
        <v/>
      </c>
      <c r="M384" s="122">
        <f>IF($B384="","",CONCATENATE("Kıymet: ",$B384," | NDD: ",TEXT($J384,"#,##0")))</f>
        <v/>
      </c>
    </row>
    <row r="385" ht="15" customHeight="1" s="77">
      <c r="A385" s="123" t="n"/>
      <c r="B385" s="123" t="n"/>
      <c r="C385" s="124" t="n"/>
      <c r="D385" s="125" t="n"/>
      <c r="E385" s="123" t="n"/>
      <c r="F385" s="126" t="n"/>
      <c r="G385" s="125" t="n"/>
      <c r="H385" s="122">
        <f>IF($D385="",0,MAX(0,ROUNDDOWN((AmortismanRaporTarihi-$C385)/365,0)))</f>
        <v/>
      </c>
      <c r="I385" s="122">
        <f>IF($D385="",0,IFERROR(IF($E385="Azalan",MAX(0,$D385*(1-MIN(2*AmortismanAzalanCarpan*$F385,1)^$H385)),MIN($D385,$D385*$F385*$H385)),0))</f>
        <v/>
      </c>
      <c r="J385" s="122">
        <f>IF($D385="",0,MAX(0,$D385-$I385))</f>
        <v/>
      </c>
      <c r="K385" s="122">
        <f>IF($H385=0,0,IFERROR(IF($E385="Azalan",$D385*(1-MIN(2*AmortismanAzalanCarpan*$F385,1))^MAX(0,$H385-1)*MIN(2*AmortismanAzalanCarpan*$F385,1),MIN($D385*$F385,$D385)),0))</f>
        <v/>
      </c>
      <c r="L385" s="122">
        <f>IF($D385="",0,$G385-$J385)</f>
        <v/>
      </c>
      <c r="M385" s="122">
        <f>IF($B385="","",CONCATENATE("Kıymet: ",$B385," | NDD: ",TEXT($J385,"#,##0")))</f>
        <v/>
      </c>
    </row>
    <row r="386" ht="15" customHeight="1" s="77">
      <c r="A386" s="123" t="n"/>
      <c r="B386" s="123" t="n"/>
      <c r="C386" s="124" t="n"/>
      <c r="D386" s="125" t="n"/>
      <c r="E386" s="123" t="n"/>
      <c r="F386" s="126" t="n"/>
      <c r="G386" s="125" t="n"/>
      <c r="H386" s="122">
        <f>IF($D386="",0,MAX(0,ROUNDDOWN((AmortismanRaporTarihi-$C386)/365,0)))</f>
        <v/>
      </c>
      <c r="I386" s="122">
        <f>IF($D386="",0,IFERROR(IF($E386="Azalan",MAX(0,$D386*(1-MIN(2*AmortismanAzalanCarpan*$F386,1)^$H386)),MIN($D386,$D386*$F386*$H386)),0))</f>
        <v/>
      </c>
      <c r="J386" s="122">
        <f>IF($D386="",0,MAX(0,$D386-$I386))</f>
        <v/>
      </c>
      <c r="K386" s="122">
        <f>IF($H386=0,0,IFERROR(IF($E386="Azalan",$D386*(1-MIN(2*AmortismanAzalanCarpan*$F386,1))^MAX(0,$H386-1)*MIN(2*AmortismanAzalanCarpan*$F386,1),MIN($D386*$F386,$D386)),0))</f>
        <v/>
      </c>
      <c r="L386" s="122">
        <f>IF($D386="",0,$G386-$J386)</f>
        <v/>
      </c>
      <c r="M386" s="122">
        <f>IF($B386="","",CONCATENATE("Kıymet: ",$B386," | NDD: ",TEXT($J386,"#,##0")))</f>
        <v/>
      </c>
    </row>
    <row r="387" ht="15" customHeight="1" s="77">
      <c r="A387" s="123" t="n"/>
      <c r="B387" s="123" t="n"/>
      <c r="C387" s="124" t="n"/>
      <c r="D387" s="125" t="n"/>
      <c r="E387" s="123" t="n"/>
      <c r="F387" s="126" t="n"/>
      <c r="G387" s="125" t="n"/>
      <c r="H387" s="122">
        <f>IF($D387="",0,MAX(0,ROUNDDOWN((AmortismanRaporTarihi-$C387)/365,0)))</f>
        <v/>
      </c>
      <c r="I387" s="122">
        <f>IF($D387="",0,IFERROR(IF($E387="Azalan",MAX(0,$D387*(1-MIN(2*AmortismanAzalanCarpan*$F387,1)^$H387)),MIN($D387,$D387*$F387*$H387)),0))</f>
        <v/>
      </c>
      <c r="J387" s="122">
        <f>IF($D387="",0,MAX(0,$D387-$I387))</f>
        <v/>
      </c>
      <c r="K387" s="122">
        <f>IF($H387=0,0,IFERROR(IF($E387="Azalan",$D387*(1-MIN(2*AmortismanAzalanCarpan*$F387,1))^MAX(0,$H387-1)*MIN(2*AmortismanAzalanCarpan*$F387,1),MIN($D387*$F387,$D387)),0))</f>
        <v/>
      </c>
      <c r="L387" s="122">
        <f>IF($D387="",0,$G387-$J387)</f>
        <v/>
      </c>
      <c r="M387" s="122">
        <f>IF($B387="","",CONCATENATE("Kıymet: ",$B387," | NDD: ",TEXT($J387,"#,##0")))</f>
        <v/>
      </c>
    </row>
    <row r="388" ht="15" customHeight="1" s="77">
      <c r="A388" s="123" t="n"/>
      <c r="B388" s="123" t="n"/>
      <c r="C388" s="124" t="n"/>
      <c r="D388" s="125" t="n"/>
      <c r="E388" s="123" t="n"/>
      <c r="F388" s="126" t="n"/>
      <c r="G388" s="125" t="n"/>
      <c r="H388" s="122">
        <f>IF($D388="",0,MAX(0,ROUNDDOWN((AmortismanRaporTarihi-$C388)/365,0)))</f>
        <v/>
      </c>
      <c r="I388" s="122">
        <f>IF($D388="",0,IFERROR(IF($E388="Azalan",MAX(0,$D388*(1-MIN(2*AmortismanAzalanCarpan*$F388,1)^$H388)),MIN($D388,$D388*$F388*$H388)),0))</f>
        <v/>
      </c>
      <c r="J388" s="122">
        <f>IF($D388="",0,MAX(0,$D388-$I388))</f>
        <v/>
      </c>
      <c r="K388" s="122">
        <f>IF($H388=0,0,IFERROR(IF($E388="Azalan",$D388*(1-MIN(2*AmortismanAzalanCarpan*$F388,1))^MAX(0,$H388-1)*MIN(2*AmortismanAzalanCarpan*$F388,1),MIN($D388*$F388,$D388)),0))</f>
        <v/>
      </c>
      <c r="L388" s="122">
        <f>IF($D388="",0,$G388-$J388)</f>
        <v/>
      </c>
      <c r="M388" s="122">
        <f>IF($B388="","",CONCATENATE("Kıymet: ",$B388," | NDD: ",TEXT($J388,"#,##0")))</f>
        <v/>
      </c>
    </row>
    <row r="389" ht="15" customHeight="1" s="77">
      <c r="A389" s="123" t="n"/>
      <c r="B389" s="123" t="n"/>
      <c r="C389" s="124" t="n"/>
      <c r="D389" s="125" t="n"/>
      <c r="E389" s="123" t="n"/>
      <c r="F389" s="126" t="n"/>
      <c r="G389" s="125" t="n"/>
      <c r="H389" s="122">
        <f>IF($D389="",0,MAX(0,ROUNDDOWN((AmortismanRaporTarihi-$C389)/365,0)))</f>
        <v/>
      </c>
      <c r="I389" s="122">
        <f>IF($D389="",0,IFERROR(IF($E389="Azalan",MAX(0,$D389*(1-MIN(2*AmortismanAzalanCarpan*$F389,1)^$H389)),MIN($D389,$D389*$F389*$H389)),0))</f>
        <v/>
      </c>
      <c r="J389" s="122">
        <f>IF($D389="",0,MAX(0,$D389-$I389))</f>
        <v/>
      </c>
      <c r="K389" s="122">
        <f>IF($H389=0,0,IFERROR(IF($E389="Azalan",$D389*(1-MIN(2*AmortismanAzalanCarpan*$F389,1))^MAX(0,$H389-1)*MIN(2*AmortismanAzalanCarpan*$F389,1),MIN($D389*$F389,$D389)),0))</f>
        <v/>
      </c>
      <c r="L389" s="122">
        <f>IF($D389="",0,$G389-$J389)</f>
        <v/>
      </c>
      <c r="M389" s="122">
        <f>IF($B389="","",CONCATENATE("Kıymet: ",$B389," | NDD: ",TEXT($J389,"#,##0")))</f>
        <v/>
      </c>
    </row>
    <row r="390" ht="15" customHeight="1" s="77">
      <c r="A390" s="123" t="n"/>
      <c r="B390" s="123" t="n"/>
      <c r="C390" s="124" t="n"/>
      <c r="D390" s="125" t="n"/>
      <c r="E390" s="123" t="n"/>
      <c r="F390" s="126" t="n"/>
      <c r="G390" s="125" t="n"/>
      <c r="H390" s="122">
        <f>IF($D390="",0,MAX(0,ROUNDDOWN((AmortismanRaporTarihi-$C390)/365,0)))</f>
        <v/>
      </c>
      <c r="I390" s="122">
        <f>IF($D390="",0,IFERROR(IF($E390="Azalan",MAX(0,$D390*(1-MIN(2*AmortismanAzalanCarpan*$F390,1)^$H390)),MIN($D390,$D390*$F390*$H390)),0))</f>
        <v/>
      </c>
      <c r="J390" s="122">
        <f>IF($D390="",0,MAX(0,$D390-$I390))</f>
        <v/>
      </c>
      <c r="K390" s="122">
        <f>IF($H390=0,0,IFERROR(IF($E390="Azalan",$D390*(1-MIN(2*AmortismanAzalanCarpan*$F390,1))^MAX(0,$H390-1)*MIN(2*AmortismanAzalanCarpan*$F390,1),MIN($D390*$F390,$D390)),0))</f>
        <v/>
      </c>
      <c r="L390" s="122">
        <f>IF($D390="",0,$G390-$J390)</f>
        <v/>
      </c>
      <c r="M390" s="122">
        <f>IF($B390="","",CONCATENATE("Kıymet: ",$B390," | NDD: ",TEXT($J390,"#,##0")))</f>
        <v/>
      </c>
    </row>
    <row r="391" ht="15" customHeight="1" s="77">
      <c r="A391" s="123" t="n"/>
      <c r="B391" s="123" t="n"/>
      <c r="C391" s="124" t="n"/>
      <c r="D391" s="125" t="n"/>
      <c r="E391" s="123" t="n"/>
      <c r="F391" s="126" t="n"/>
      <c r="G391" s="125" t="n"/>
      <c r="H391" s="122">
        <f>IF($D391="",0,MAX(0,ROUNDDOWN((AmortismanRaporTarihi-$C391)/365,0)))</f>
        <v/>
      </c>
      <c r="I391" s="122">
        <f>IF($D391="",0,IFERROR(IF($E391="Azalan",MAX(0,$D391*(1-MIN(2*AmortismanAzalanCarpan*$F391,1)^$H391)),MIN($D391,$D391*$F391*$H391)),0))</f>
        <v/>
      </c>
      <c r="J391" s="122">
        <f>IF($D391="",0,MAX(0,$D391-$I391))</f>
        <v/>
      </c>
      <c r="K391" s="122">
        <f>IF($H391=0,0,IFERROR(IF($E391="Azalan",$D391*(1-MIN(2*AmortismanAzalanCarpan*$F391,1))^MAX(0,$H391-1)*MIN(2*AmortismanAzalanCarpan*$F391,1),MIN($D391*$F391,$D391)),0))</f>
        <v/>
      </c>
      <c r="L391" s="122">
        <f>IF($D391="",0,$G391-$J391)</f>
        <v/>
      </c>
      <c r="M391" s="122">
        <f>IF($B391="","",CONCATENATE("Kıymet: ",$B391," | NDD: ",TEXT($J391,"#,##0")))</f>
        <v/>
      </c>
    </row>
    <row r="392" ht="15" customHeight="1" s="77">
      <c r="A392" s="123" t="n"/>
      <c r="B392" s="123" t="n"/>
      <c r="C392" s="124" t="n"/>
      <c r="D392" s="125" t="n"/>
      <c r="E392" s="123" t="n"/>
      <c r="F392" s="126" t="n"/>
      <c r="G392" s="125" t="n"/>
      <c r="H392" s="122">
        <f>IF($D392="",0,MAX(0,ROUNDDOWN((AmortismanRaporTarihi-$C392)/365,0)))</f>
        <v/>
      </c>
      <c r="I392" s="122">
        <f>IF($D392="",0,IFERROR(IF($E392="Azalan",MAX(0,$D392*(1-MIN(2*AmortismanAzalanCarpan*$F392,1)^$H392)),MIN($D392,$D392*$F392*$H392)),0))</f>
        <v/>
      </c>
      <c r="J392" s="122">
        <f>IF($D392="",0,MAX(0,$D392-$I392))</f>
        <v/>
      </c>
      <c r="K392" s="122">
        <f>IF($H392=0,0,IFERROR(IF($E392="Azalan",$D392*(1-MIN(2*AmortismanAzalanCarpan*$F392,1))^MAX(0,$H392-1)*MIN(2*AmortismanAzalanCarpan*$F392,1),MIN($D392*$F392,$D392)),0))</f>
        <v/>
      </c>
      <c r="L392" s="122">
        <f>IF($D392="",0,$G392-$J392)</f>
        <v/>
      </c>
      <c r="M392" s="122">
        <f>IF($B392="","",CONCATENATE("Kıymet: ",$B392," | NDD: ",TEXT($J392,"#,##0")))</f>
        <v/>
      </c>
    </row>
    <row r="393" ht="15" customHeight="1" s="77">
      <c r="A393" s="123" t="n"/>
      <c r="B393" s="123" t="n"/>
      <c r="C393" s="124" t="n"/>
      <c r="D393" s="125" t="n"/>
      <c r="E393" s="123" t="n"/>
      <c r="F393" s="126" t="n"/>
      <c r="G393" s="125" t="n"/>
      <c r="H393" s="122">
        <f>IF($D393="",0,MAX(0,ROUNDDOWN((AmortismanRaporTarihi-$C393)/365,0)))</f>
        <v/>
      </c>
      <c r="I393" s="122">
        <f>IF($D393="",0,IFERROR(IF($E393="Azalan",MAX(0,$D393*(1-MIN(2*AmortismanAzalanCarpan*$F393,1)^$H393)),MIN($D393,$D393*$F393*$H393)),0))</f>
        <v/>
      </c>
      <c r="J393" s="122">
        <f>IF($D393="",0,MAX(0,$D393-$I393))</f>
        <v/>
      </c>
      <c r="K393" s="122">
        <f>IF($H393=0,0,IFERROR(IF($E393="Azalan",$D393*(1-MIN(2*AmortismanAzalanCarpan*$F393,1))^MAX(0,$H393-1)*MIN(2*AmortismanAzalanCarpan*$F393,1),MIN($D393*$F393,$D393)),0))</f>
        <v/>
      </c>
      <c r="L393" s="122">
        <f>IF($D393="",0,$G393-$J393)</f>
        <v/>
      </c>
      <c r="M393" s="122">
        <f>IF($B393="","",CONCATENATE("Kıymet: ",$B393," | NDD: ",TEXT($J393,"#,##0")))</f>
        <v/>
      </c>
    </row>
    <row r="394" ht="15" customHeight="1" s="77">
      <c r="A394" s="123" t="n"/>
      <c r="B394" s="123" t="n"/>
      <c r="C394" s="124" t="n"/>
      <c r="D394" s="125" t="n"/>
      <c r="E394" s="123" t="n"/>
      <c r="F394" s="126" t="n"/>
      <c r="G394" s="125" t="n"/>
      <c r="H394" s="122">
        <f>IF($D394="",0,MAX(0,ROUNDDOWN((AmortismanRaporTarihi-$C394)/365,0)))</f>
        <v/>
      </c>
      <c r="I394" s="122">
        <f>IF($D394="",0,IFERROR(IF($E394="Azalan",MAX(0,$D394*(1-MIN(2*AmortismanAzalanCarpan*$F394,1)^$H394)),MIN($D394,$D394*$F394*$H394)),0))</f>
        <v/>
      </c>
      <c r="J394" s="122">
        <f>IF($D394="",0,MAX(0,$D394-$I394))</f>
        <v/>
      </c>
      <c r="K394" s="122">
        <f>IF($H394=0,0,IFERROR(IF($E394="Azalan",$D394*(1-MIN(2*AmortismanAzalanCarpan*$F394,1))^MAX(0,$H394-1)*MIN(2*AmortismanAzalanCarpan*$F394,1),MIN($D394*$F394,$D394)),0))</f>
        <v/>
      </c>
      <c r="L394" s="122">
        <f>IF($D394="",0,$G394-$J394)</f>
        <v/>
      </c>
      <c r="M394" s="122">
        <f>IF($B394="","",CONCATENATE("Kıymet: ",$B394," | NDD: ",TEXT($J394,"#,##0")))</f>
        <v/>
      </c>
    </row>
    <row r="395" ht="15" customHeight="1" s="77">
      <c r="A395" s="123" t="n"/>
      <c r="B395" s="123" t="n"/>
      <c r="C395" s="124" t="n"/>
      <c r="D395" s="125" t="n"/>
      <c r="E395" s="123" t="n"/>
      <c r="F395" s="126" t="n"/>
      <c r="G395" s="125" t="n"/>
      <c r="H395" s="122">
        <f>IF($D395="",0,MAX(0,ROUNDDOWN((AmortismanRaporTarihi-$C395)/365,0)))</f>
        <v/>
      </c>
      <c r="I395" s="122">
        <f>IF($D395="",0,IFERROR(IF($E395="Azalan",MAX(0,$D395*(1-MIN(2*AmortismanAzalanCarpan*$F395,1)^$H395)),MIN($D395,$D395*$F395*$H395)),0))</f>
        <v/>
      </c>
      <c r="J395" s="122">
        <f>IF($D395="",0,MAX(0,$D395-$I395))</f>
        <v/>
      </c>
      <c r="K395" s="122">
        <f>IF($H395=0,0,IFERROR(IF($E395="Azalan",$D395*(1-MIN(2*AmortismanAzalanCarpan*$F395,1))^MAX(0,$H395-1)*MIN(2*AmortismanAzalanCarpan*$F395,1),MIN($D395*$F395,$D395)),0))</f>
        <v/>
      </c>
      <c r="L395" s="122">
        <f>IF($D395="",0,$G395-$J395)</f>
        <v/>
      </c>
      <c r="M395" s="122">
        <f>IF($B395="","",CONCATENATE("Kıymet: ",$B395," | NDD: ",TEXT($J395,"#,##0")))</f>
        <v/>
      </c>
    </row>
    <row r="396" ht="15" customHeight="1" s="77">
      <c r="A396" s="123" t="n"/>
      <c r="B396" s="123" t="n"/>
      <c r="C396" s="124" t="n"/>
      <c r="D396" s="125" t="n"/>
      <c r="E396" s="123" t="n"/>
      <c r="F396" s="126" t="n"/>
      <c r="G396" s="125" t="n"/>
      <c r="H396" s="122">
        <f>IF($D396="",0,MAX(0,ROUNDDOWN((AmortismanRaporTarihi-$C396)/365,0)))</f>
        <v/>
      </c>
      <c r="I396" s="122">
        <f>IF($D396="",0,IFERROR(IF($E396="Azalan",MAX(0,$D396*(1-MIN(2*AmortismanAzalanCarpan*$F396,1)^$H396)),MIN($D396,$D396*$F396*$H396)),0))</f>
        <v/>
      </c>
      <c r="J396" s="122">
        <f>IF($D396="",0,MAX(0,$D396-$I396))</f>
        <v/>
      </c>
      <c r="K396" s="122">
        <f>IF($H396=0,0,IFERROR(IF($E396="Azalan",$D396*(1-MIN(2*AmortismanAzalanCarpan*$F396,1))^MAX(0,$H396-1)*MIN(2*AmortismanAzalanCarpan*$F396,1),MIN($D396*$F396,$D396)),0))</f>
        <v/>
      </c>
      <c r="L396" s="122">
        <f>IF($D396="",0,$G396-$J396)</f>
        <v/>
      </c>
      <c r="M396" s="122">
        <f>IF($B396="","",CONCATENATE("Kıymet: ",$B396," | NDD: ",TEXT($J396,"#,##0")))</f>
        <v/>
      </c>
    </row>
    <row r="397" ht="15" customHeight="1" s="77">
      <c r="A397" s="123" t="n"/>
      <c r="B397" s="123" t="n"/>
      <c r="C397" s="124" t="n"/>
      <c r="D397" s="125" t="n"/>
      <c r="E397" s="123" t="n"/>
      <c r="F397" s="126" t="n"/>
      <c r="G397" s="125" t="n"/>
      <c r="H397" s="122">
        <f>IF($D397="",0,MAX(0,ROUNDDOWN((AmortismanRaporTarihi-$C397)/365,0)))</f>
        <v/>
      </c>
      <c r="I397" s="122">
        <f>IF($D397="",0,IFERROR(IF($E397="Azalan",MAX(0,$D397*(1-MIN(2*AmortismanAzalanCarpan*$F397,1)^$H397)),MIN($D397,$D397*$F397*$H397)),0))</f>
        <v/>
      </c>
      <c r="J397" s="122">
        <f>IF($D397="",0,MAX(0,$D397-$I397))</f>
        <v/>
      </c>
      <c r="K397" s="122">
        <f>IF($H397=0,0,IFERROR(IF($E397="Azalan",$D397*(1-MIN(2*AmortismanAzalanCarpan*$F397,1))^MAX(0,$H397-1)*MIN(2*AmortismanAzalanCarpan*$F397,1),MIN($D397*$F397,$D397)),0))</f>
        <v/>
      </c>
      <c r="L397" s="122">
        <f>IF($D397="",0,$G397-$J397)</f>
        <v/>
      </c>
      <c r="M397" s="122">
        <f>IF($B397="","",CONCATENATE("Kıymet: ",$B397," | NDD: ",TEXT($J397,"#,##0")))</f>
        <v/>
      </c>
    </row>
    <row r="398" ht="15" customHeight="1" s="77">
      <c r="A398" s="123" t="n"/>
      <c r="B398" s="123" t="n"/>
      <c r="C398" s="124" t="n"/>
      <c r="D398" s="125" t="n"/>
      <c r="E398" s="123" t="n"/>
      <c r="F398" s="126" t="n"/>
      <c r="G398" s="125" t="n"/>
      <c r="H398" s="122">
        <f>IF($D398="",0,MAX(0,ROUNDDOWN((AmortismanRaporTarihi-$C398)/365,0)))</f>
        <v/>
      </c>
      <c r="I398" s="122">
        <f>IF($D398="",0,IFERROR(IF($E398="Azalan",MAX(0,$D398*(1-MIN(2*AmortismanAzalanCarpan*$F398,1)^$H398)),MIN($D398,$D398*$F398*$H398)),0))</f>
        <v/>
      </c>
      <c r="J398" s="122">
        <f>IF($D398="",0,MAX(0,$D398-$I398))</f>
        <v/>
      </c>
      <c r="K398" s="122">
        <f>IF($H398=0,0,IFERROR(IF($E398="Azalan",$D398*(1-MIN(2*AmortismanAzalanCarpan*$F398,1))^MAX(0,$H398-1)*MIN(2*AmortismanAzalanCarpan*$F398,1),MIN($D398*$F398,$D398)),0))</f>
        <v/>
      </c>
      <c r="L398" s="122">
        <f>IF($D398="",0,$G398-$J398)</f>
        <v/>
      </c>
      <c r="M398" s="122">
        <f>IF($B398="","",CONCATENATE("Kıymet: ",$B398," | NDD: ",TEXT($J398,"#,##0")))</f>
        <v/>
      </c>
    </row>
    <row r="399" ht="15" customHeight="1" s="77">
      <c r="A399" s="123" t="n"/>
      <c r="B399" s="123" t="n"/>
      <c r="C399" s="124" t="n"/>
      <c r="D399" s="125" t="n"/>
      <c r="E399" s="123" t="n"/>
      <c r="F399" s="126" t="n"/>
      <c r="G399" s="125" t="n"/>
      <c r="H399" s="122">
        <f>IF($D399="",0,MAX(0,ROUNDDOWN((AmortismanRaporTarihi-$C399)/365,0)))</f>
        <v/>
      </c>
      <c r="I399" s="122">
        <f>IF($D399="",0,IFERROR(IF($E399="Azalan",MAX(0,$D399*(1-MIN(2*AmortismanAzalanCarpan*$F399,1)^$H399)),MIN($D399,$D399*$F399*$H399)),0))</f>
        <v/>
      </c>
      <c r="J399" s="122">
        <f>IF($D399="",0,MAX(0,$D399-$I399))</f>
        <v/>
      </c>
      <c r="K399" s="122">
        <f>IF($H399=0,0,IFERROR(IF($E399="Azalan",$D399*(1-MIN(2*AmortismanAzalanCarpan*$F399,1))^MAX(0,$H399-1)*MIN(2*AmortismanAzalanCarpan*$F399,1),MIN($D399*$F399,$D399)),0))</f>
        <v/>
      </c>
      <c r="L399" s="122">
        <f>IF($D399="",0,$G399-$J399)</f>
        <v/>
      </c>
      <c r="M399" s="122">
        <f>IF($B399="","",CONCATENATE("Kıymet: ",$B399," | NDD: ",TEXT($J399,"#,##0")))</f>
        <v/>
      </c>
    </row>
    <row r="400" ht="15" customHeight="1" s="77">
      <c r="A400" s="123" t="n"/>
      <c r="B400" s="123" t="n"/>
      <c r="C400" s="124" t="n"/>
      <c r="D400" s="125" t="n"/>
      <c r="E400" s="123" t="n"/>
      <c r="F400" s="126" t="n"/>
      <c r="G400" s="125" t="n"/>
      <c r="H400" s="122">
        <f>IF($D400="",0,MAX(0,ROUNDDOWN((AmortismanRaporTarihi-$C400)/365,0)))</f>
        <v/>
      </c>
      <c r="I400" s="122">
        <f>IF($D400="",0,IFERROR(IF($E400="Azalan",MAX(0,$D400*(1-MIN(2*AmortismanAzalanCarpan*$F400,1)^$H400)),MIN($D400,$D400*$F400*$H400)),0))</f>
        <v/>
      </c>
      <c r="J400" s="122">
        <f>IF($D400="",0,MAX(0,$D400-$I400))</f>
        <v/>
      </c>
      <c r="K400" s="122">
        <f>IF($H400=0,0,IFERROR(IF($E400="Azalan",$D400*(1-MIN(2*AmortismanAzalanCarpan*$F400,1))^MAX(0,$H400-1)*MIN(2*AmortismanAzalanCarpan*$F400,1),MIN($D400*$F400,$D400)),0))</f>
        <v/>
      </c>
      <c r="L400" s="122">
        <f>IF($D400="",0,$G400-$J400)</f>
        <v/>
      </c>
      <c r="M400" s="122">
        <f>IF($B400="","",CONCATENATE("Kıymet: ",$B400," | NDD: ",TEXT($J400,"#,##0")))</f>
        <v/>
      </c>
    </row>
    <row r="401" ht="15" customHeight="1" s="77">
      <c r="A401" s="123" t="n"/>
      <c r="B401" s="123" t="n"/>
      <c r="C401" s="124" t="n"/>
      <c r="D401" s="125" t="n"/>
      <c r="E401" s="123" t="n"/>
      <c r="F401" s="126" t="n"/>
      <c r="G401" s="125" t="n"/>
      <c r="H401" s="122">
        <f>IF($D401="",0,MAX(0,ROUNDDOWN((AmortismanRaporTarihi-$C401)/365,0)))</f>
        <v/>
      </c>
      <c r="I401" s="122">
        <f>IF($D401="",0,IFERROR(IF($E401="Azalan",MAX(0,$D401*(1-MIN(2*AmortismanAzalanCarpan*$F401,1)^$H401)),MIN($D401,$D401*$F401*$H401)),0))</f>
        <v/>
      </c>
      <c r="J401" s="122">
        <f>IF($D401="",0,MAX(0,$D401-$I401))</f>
        <v/>
      </c>
      <c r="K401" s="122">
        <f>IF($H401=0,0,IFERROR(IF($E401="Azalan",$D401*(1-MIN(2*AmortismanAzalanCarpan*$F401,1))^MAX(0,$H401-1)*MIN(2*AmortismanAzalanCarpan*$F401,1),MIN($D401*$F401,$D401)),0))</f>
        <v/>
      </c>
      <c r="L401" s="122">
        <f>IF($D401="",0,$G401-$J401)</f>
        <v/>
      </c>
      <c r="M401" s="122">
        <f>IF($B401="","",CONCATENATE("Kıymet: ",$B401," | NDD: ",TEXT($J401,"#,##0")))</f>
        <v/>
      </c>
    </row>
    <row r="402" ht="15" customHeight="1" s="77">
      <c r="A402" s="123" t="n"/>
      <c r="B402" s="123" t="n"/>
      <c r="C402" s="124" t="n"/>
      <c r="D402" s="125" t="n"/>
      <c r="E402" s="123" t="n"/>
      <c r="F402" s="126" t="n"/>
      <c r="G402" s="125" t="n"/>
      <c r="H402" s="122">
        <f>IF($D402="",0,MAX(0,ROUNDDOWN((AmortismanRaporTarihi-$C402)/365,0)))</f>
        <v/>
      </c>
      <c r="I402" s="122">
        <f>IF($D402="",0,IFERROR(IF($E402="Azalan",MAX(0,$D402*(1-MIN(2*AmortismanAzalanCarpan*$F402,1)^$H402)),MIN($D402,$D402*$F402*$H402)),0))</f>
        <v/>
      </c>
      <c r="J402" s="122">
        <f>IF($D402="",0,MAX(0,$D402-$I402))</f>
        <v/>
      </c>
      <c r="K402" s="122">
        <f>IF($H402=0,0,IFERROR(IF($E402="Azalan",$D402*(1-MIN(2*AmortismanAzalanCarpan*$F402,1))^MAX(0,$H402-1)*MIN(2*AmortismanAzalanCarpan*$F402,1),MIN($D402*$F402,$D402)),0))</f>
        <v/>
      </c>
      <c r="L402" s="122">
        <f>IF($D402="",0,$G402-$J402)</f>
        <v/>
      </c>
      <c r="M402" s="122">
        <f>IF($B402="","",CONCATENATE("Kıymet: ",$B402," | NDD: ",TEXT($J402,"#,##0")))</f>
        <v/>
      </c>
    </row>
    <row r="403" ht="15" customHeight="1" s="77">
      <c r="A403" s="123" t="n"/>
      <c r="B403" s="123" t="n"/>
      <c r="C403" s="124" t="n"/>
      <c r="D403" s="125" t="n"/>
      <c r="E403" s="123" t="n"/>
      <c r="F403" s="126" t="n"/>
      <c r="G403" s="125" t="n"/>
      <c r="H403" s="122">
        <f>IF($D403="",0,MAX(0,ROUNDDOWN((AmortismanRaporTarihi-$C403)/365,0)))</f>
        <v/>
      </c>
      <c r="I403" s="122">
        <f>IF($D403="",0,IFERROR(IF($E403="Azalan",MAX(0,$D403*(1-MIN(2*AmortismanAzalanCarpan*$F403,1)^$H403)),MIN($D403,$D403*$F403*$H403)),0))</f>
        <v/>
      </c>
      <c r="J403" s="122">
        <f>IF($D403="",0,MAX(0,$D403-$I403))</f>
        <v/>
      </c>
      <c r="K403" s="122">
        <f>IF($H403=0,0,IFERROR(IF($E403="Azalan",$D403*(1-MIN(2*AmortismanAzalanCarpan*$F403,1))^MAX(0,$H403-1)*MIN(2*AmortismanAzalanCarpan*$F403,1),MIN($D403*$F403,$D403)),0))</f>
        <v/>
      </c>
      <c r="L403" s="122">
        <f>IF($D403="",0,$G403-$J403)</f>
        <v/>
      </c>
      <c r="M403" s="122">
        <f>IF($B403="","",CONCATENATE("Kıymet: ",$B403," | NDD: ",TEXT($J403,"#,##0")))</f>
        <v/>
      </c>
    </row>
    <row r="404" ht="15" customHeight="1" s="77">
      <c r="A404" s="123" t="n"/>
      <c r="B404" s="123" t="n"/>
      <c r="C404" s="124" t="n"/>
      <c r="D404" s="125" t="n"/>
      <c r="E404" s="123" t="n"/>
      <c r="F404" s="126" t="n"/>
      <c r="G404" s="125" t="n"/>
      <c r="H404" s="122">
        <f>IF($D404="",0,MAX(0,ROUNDDOWN((AmortismanRaporTarihi-$C404)/365,0)))</f>
        <v/>
      </c>
      <c r="I404" s="122">
        <f>IF($D404="",0,IFERROR(IF($E404="Azalan",MAX(0,$D404*(1-MIN(2*AmortismanAzalanCarpan*$F404,1)^$H404)),MIN($D404,$D404*$F404*$H404)),0))</f>
        <v/>
      </c>
      <c r="J404" s="122">
        <f>IF($D404="",0,MAX(0,$D404-$I404))</f>
        <v/>
      </c>
      <c r="K404" s="122">
        <f>IF($H404=0,0,IFERROR(IF($E404="Azalan",$D404*(1-MIN(2*AmortismanAzalanCarpan*$F404,1))^MAX(0,$H404-1)*MIN(2*AmortismanAzalanCarpan*$F404,1),MIN($D404*$F404,$D404)),0))</f>
        <v/>
      </c>
      <c r="L404" s="122">
        <f>IF($D404="",0,$G404-$J404)</f>
        <v/>
      </c>
      <c r="M404" s="122">
        <f>IF($B404="","",CONCATENATE("Kıymet: ",$B404," | NDD: ",TEXT($J404,"#,##0")))</f>
        <v/>
      </c>
    </row>
    <row r="405" ht="15" customHeight="1" s="77">
      <c r="A405" s="123" t="n"/>
      <c r="B405" s="123" t="n"/>
      <c r="C405" s="124" t="n"/>
      <c r="D405" s="125" t="n"/>
      <c r="E405" s="123" t="n"/>
      <c r="F405" s="126" t="n"/>
      <c r="G405" s="125" t="n"/>
      <c r="H405" s="122">
        <f>IF($D405="",0,MAX(0,ROUNDDOWN((AmortismanRaporTarihi-$C405)/365,0)))</f>
        <v/>
      </c>
      <c r="I405" s="122">
        <f>IF($D405="",0,IFERROR(IF($E405="Azalan",MAX(0,$D405*(1-MIN(2*AmortismanAzalanCarpan*$F405,1)^$H405)),MIN($D405,$D405*$F405*$H405)),0))</f>
        <v/>
      </c>
      <c r="J405" s="122">
        <f>IF($D405="",0,MAX(0,$D405-$I405))</f>
        <v/>
      </c>
      <c r="K405" s="122">
        <f>IF($H405=0,0,IFERROR(IF($E405="Azalan",$D405*(1-MIN(2*AmortismanAzalanCarpan*$F405,1))^MAX(0,$H405-1)*MIN(2*AmortismanAzalanCarpan*$F405,1),MIN($D405*$F405,$D405)),0))</f>
        <v/>
      </c>
      <c r="L405" s="122">
        <f>IF($D405="",0,$G405-$J405)</f>
        <v/>
      </c>
      <c r="M405" s="122">
        <f>IF($B405="","",CONCATENATE("Kıymet: ",$B405," | NDD: ",TEXT($J405,"#,##0")))</f>
        <v/>
      </c>
    </row>
    <row r="406" ht="15" customHeight="1" s="77">
      <c r="A406" s="123" t="n"/>
      <c r="B406" s="123" t="n"/>
      <c r="C406" s="124" t="n"/>
      <c r="D406" s="125" t="n"/>
      <c r="E406" s="123" t="n"/>
      <c r="F406" s="126" t="n"/>
      <c r="G406" s="125" t="n"/>
      <c r="H406" s="122">
        <f>IF($D406="",0,MAX(0,ROUNDDOWN((AmortismanRaporTarihi-$C406)/365,0)))</f>
        <v/>
      </c>
      <c r="I406" s="122">
        <f>IF($D406="",0,IFERROR(IF($E406="Azalan",MAX(0,$D406*(1-MIN(2*AmortismanAzalanCarpan*$F406,1)^$H406)),MIN($D406,$D406*$F406*$H406)),0))</f>
        <v/>
      </c>
      <c r="J406" s="122">
        <f>IF($D406="",0,MAX(0,$D406-$I406))</f>
        <v/>
      </c>
      <c r="K406" s="122">
        <f>IF($H406=0,0,IFERROR(IF($E406="Azalan",$D406*(1-MIN(2*AmortismanAzalanCarpan*$F406,1))^MAX(0,$H406-1)*MIN(2*AmortismanAzalanCarpan*$F406,1),MIN($D406*$F406,$D406)),0))</f>
        <v/>
      </c>
      <c r="L406" s="122">
        <f>IF($D406="",0,$G406-$J406)</f>
        <v/>
      </c>
      <c r="M406" s="122">
        <f>IF($B406="","",CONCATENATE("Kıymet: ",$B406," | NDD: ",TEXT($J406,"#,##0")))</f>
        <v/>
      </c>
    </row>
    <row r="407" ht="15" customHeight="1" s="77">
      <c r="A407" s="123" t="n"/>
      <c r="B407" s="123" t="n"/>
      <c r="C407" s="124" t="n"/>
      <c r="D407" s="125" t="n"/>
      <c r="E407" s="123" t="n"/>
      <c r="F407" s="126" t="n"/>
      <c r="G407" s="125" t="n"/>
      <c r="H407" s="122">
        <f>IF($D407="",0,MAX(0,ROUNDDOWN((AmortismanRaporTarihi-$C407)/365,0)))</f>
        <v/>
      </c>
      <c r="I407" s="122">
        <f>IF($D407="",0,IFERROR(IF($E407="Azalan",MAX(0,$D407*(1-MIN(2*AmortismanAzalanCarpan*$F407,1)^$H407)),MIN($D407,$D407*$F407*$H407)),0))</f>
        <v/>
      </c>
      <c r="J407" s="122">
        <f>IF($D407="",0,MAX(0,$D407-$I407))</f>
        <v/>
      </c>
      <c r="K407" s="122">
        <f>IF($H407=0,0,IFERROR(IF($E407="Azalan",$D407*(1-MIN(2*AmortismanAzalanCarpan*$F407,1))^MAX(0,$H407-1)*MIN(2*AmortismanAzalanCarpan*$F407,1),MIN($D407*$F407,$D407)),0))</f>
        <v/>
      </c>
      <c r="L407" s="122">
        <f>IF($D407="",0,$G407-$J407)</f>
        <v/>
      </c>
      <c r="M407" s="122">
        <f>IF($B407="","",CONCATENATE("Kıymet: ",$B407," | NDD: ",TEXT($J407,"#,##0")))</f>
        <v/>
      </c>
    </row>
    <row r="408" ht="15" customHeight="1" s="77">
      <c r="A408" s="123" t="n"/>
      <c r="B408" s="123" t="n"/>
      <c r="C408" s="124" t="n"/>
      <c r="D408" s="125" t="n"/>
      <c r="E408" s="123" t="n"/>
      <c r="F408" s="126" t="n"/>
      <c r="G408" s="125" t="n"/>
      <c r="H408" s="122">
        <f>IF($D408="",0,MAX(0,ROUNDDOWN((AmortismanRaporTarihi-$C408)/365,0)))</f>
        <v/>
      </c>
      <c r="I408" s="122">
        <f>IF($D408="",0,IFERROR(IF($E408="Azalan",MAX(0,$D408*(1-MIN(2*AmortismanAzalanCarpan*$F408,1)^$H408)),MIN($D408,$D408*$F408*$H408)),0))</f>
        <v/>
      </c>
      <c r="J408" s="122">
        <f>IF($D408="",0,MAX(0,$D408-$I408))</f>
        <v/>
      </c>
      <c r="K408" s="122">
        <f>IF($H408=0,0,IFERROR(IF($E408="Azalan",$D408*(1-MIN(2*AmortismanAzalanCarpan*$F408,1))^MAX(0,$H408-1)*MIN(2*AmortismanAzalanCarpan*$F408,1),MIN($D408*$F408,$D408)),0))</f>
        <v/>
      </c>
      <c r="L408" s="122">
        <f>IF($D408="",0,$G408-$J408)</f>
        <v/>
      </c>
      <c r="M408" s="122">
        <f>IF($B408="","",CONCATENATE("Kıymet: ",$B408," | NDD: ",TEXT($J408,"#,##0")))</f>
        <v/>
      </c>
    </row>
    <row r="409" ht="15" customHeight="1" s="77">
      <c r="A409" s="123" t="n"/>
      <c r="B409" s="123" t="n"/>
      <c r="C409" s="124" t="n"/>
      <c r="D409" s="125" t="n"/>
      <c r="E409" s="123" t="n"/>
      <c r="F409" s="126" t="n"/>
      <c r="G409" s="125" t="n"/>
      <c r="H409" s="122">
        <f>IF($D409="",0,MAX(0,ROUNDDOWN((AmortismanRaporTarihi-$C409)/365,0)))</f>
        <v/>
      </c>
      <c r="I409" s="122">
        <f>IF($D409="",0,IFERROR(IF($E409="Azalan",MAX(0,$D409*(1-MIN(2*AmortismanAzalanCarpan*$F409,1)^$H409)),MIN($D409,$D409*$F409*$H409)),0))</f>
        <v/>
      </c>
      <c r="J409" s="122">
        <f>IF($D409="",0,MAX(0,$D409-$I409))</f>
        <v/>
      </c>
      <c r="K409" s="122">
        <f>IF($H409=0,0,IFERROR(IF($E409="Azalan",$D409*(1-MIN(2*AmortismanAzalanCarpan*$F409,1))^MAX(0,$H409-1)*MIN(2*AmortismanAzalanCarpan*$F409,1),MIN($D409*$F409,$D409)),0))</f>
        <v/>
      </c>
      <c r="L409" s="122">
        <f>IF($D409="",0,$G409-$J409)</f>
        <v/>
      </c>
      <c r="M409" s="122">
        <f>IF($B409="","",CONCATENATE("Kıymet: ",$B409," | NDD: ",TEXT($J409,"#,##0")))</f>
        <v/>
      </c>
    </row>
    <row r="410" ht="15" customHeight="1" s="77">
      <c r="A410" s="123" t="n"/>
      <c r="B410" s="123" t="n"/>
      <c r="C410" s="124" t="n"/>
      <c r="D410" s="125" t="n"/>
      <c r="E410" s="123" t="n"/>
      <c r="F410" s="126" t="n"/>
      <c r="G410" s="125" t="n"/>
      <c r="H410" s="122">
        <f>IF($D410="",0,MAX(0,ROUNDDOWN((AmortismanRaporTarihi-$C410)/365,0)))</f>
        <v/>
      </c>
      <c r="I410" s="122">
        <f>IF($D410="",0,IFERROR(IF($E410="Azalan",MAX(0,$D410*(1-MIN(2*AmortismanAzalanCarpan*$F410,1)^$H410)),MIN($D410,$D410*$F410*$H410)),0))</f>
        <v/>
      </c>
      <c r="J410" s="122">
        <f>IF($D410="",0,MAX(0,$D410-$I410))</f>
        <v/>
      </c>
      <c r="K410" s="122">
        <f>IF($H410=0,0,IFERROR(IF($E410="Azalan",$D410*(1-MIN(2*AmortismanAzalanCarpan*$F410,1))^MAX(0,$H410-1)*MIN(2*AmortismanAzalanCarpan*$F410,1),MIN($D410*$F410,$D410)),0))</f>
        <v/>
      </c>
      <c r="L410" s="122">
        <f>IF($D410="",0,$G410-$J410)</f>
        <v/>
      </c>
      <c r="M410" s="122">
        <f>IF($B410="","",CONCATENATE("Kıymet: ",$B410," | NDD: ",TEXT($J410,"#,##0")))</f>
        <v/>
      </c>
    </row>
    <row r="411" ht="15" customHeight="1" s="77">
      <c r="A411" s="123" t="n"/>
      <c r="B411" s="123" t="n"/>
      <c r="C411" s="124" t="n"/>
      <c r="D411" s="125" t="n"/>
      <c r="E411" s="123" t="n"/>
      <c r="F411" s="126" t="n"/>
      <c r="G411" s="125" t="n"/>
      <c r="H411" s="122">
        <f>IF($D411="",0,MAX(0,ROUNDDOWN((AmortismanRaporTarihi-$C411)/365,0)))</f>
        <v/>
      </c>
      <c r="I411" s="122">
        <f>IF($D411="",0,IFERROR(IF($E411="Azalan",MAX(0,$D411*(1-MIN(2*AmortismanAzalanCarpan*$F411,1)^$H411)),MIN($D411,$D411*$F411*$H411)),0))</f>
        <v/>
      </c>
      <c r="J411" s="122">
        <f>IF($D411="",0,MAX(0,$D411-$I411))</f>
        <v/>
      </c>
      <c r="K411" s="122">
        <f>IF($H411=0,0,IFERROR(IF($E411="Azalan",$D411*(1-MIN(2*AmortismanAzalanCarpan*$F411,1))^MAX(0,$H411-1)*MIN(2*AmortismanAzalanCarpan*$F411,1),MIN($D411*$F411,$D411)),0))</f>
        <v/>
      </c>
      <c r="L411" s="122">
        <f>IF($D411="",0,$G411-$J411)</f>
        <v/>
      </c>
      <c r="M411" s="122">
        <f>IF($B411="","",CONCATENATE("Kıymet: ",$B411," | NDD: ",TEXT($J411,"#,##0")))</f>
        <v/>
      </c>
    </row>
    <row r="412" ht="15" customHeight="1" s="77">
      <c r="A412" s="123" t="n"/>
      <c r="B412" s="123" t="n"/>
      <c r="C412" s="124" t="n"/>
      <c r="D412" s="125" t="n"/>
      <c r="E412" s="123" t="n"/>
      <c r="F412" s="126" t="n"/>
      <c r="G412" s="125" t="n"/>
      <c r="H412" s="122">
        <f>IF($D412="",0,MAX(0,ROUNDDOWN((AmortismanRaporTarihi-$C412)/365,0)))</f>
        <v/>
      </c>
      <c r="I412" s="122">
        <f>IF($D412="",0,IFERROR(IF($E412="Azalan",MAX(0,$D412*(1-MIN(2*AmortismanAzalanCarpan*$F412,1)^$H412)),MIN($D412,$D412*$F412*$H412)),0))</f>
        <v/>
      </c>
      <c r="J412" s="122">
        <f>IF($D412="",0,MAX(0,$D412-$I412))</f>
        <v/>
      </c>
      <c r="K412" s="122">
        <f>IF($H412=0,0,IFERROR(IF($E412="Azalan",$D412*(1-MIN(2*AmortismanAzalanCarpan*$F412,1))^MAX(0,$H412-1)*MIN(2*AmortismanAzalanCarpan*$F412,1),MIN($D412*$F412,$D412)),0))</f>
        <v/>
      </c>
      <c r="L412" s="122">
        <f>IF($D412="",0,$G412-$J412)</f>
        <v/>
      </c>
      <c r="M412" s="122">
        <f>IF($B412="","",CONCATENATE("Kıymet: ",$B412," | NDD: ",TEXT($J412,"#,##0")))</f>
        <v/>
      </c>
    </row>
    <row r="413" ht="15" customHeight="1" s="77">
      <c r="A413" s="123" t="n"/>
      <c r="B413" s="123" t="n"/>
      <c r="C413" s="124" t="n"/>
      <c r="D413" s="125" t="n"/>
      <c r="E413" s="123" t="n"/>
      <c r="F413" s="126" t="n"/>
      <c r="G413" s="125" t="n"/>
      <c r="H413" s="122">
        <f>IF($D413="",0,MAX(0,ROUNDDOWN((AmortismanRaporTarihi-$C413)/365,0)))</f>
        <v/>
      </c>
      <c r="I413" s="122">
        <f>IF($D413="",0,IFERROR(IF($E413="Azalan",MAX(0,$D413*(1-MIN(2*AmortismanAzalanCarpan*$F413,1)^$H413)),MIN($D413,$D413*$F413*$H413)),0))</f>
        <v/>
      </c>
      <c r="J413" s="122">
        <f>IF($D413="",0,MAX(0,$D413-$I413))</f>
        <v/>
      </c>
      <c r="K413" s="122">
        <f>IF($H413=0,0,IFERROR(IF($E413="Azalan",$D413*(1-MIN(2*AmortismanAzalanCarpan*$F413,1))^MAX(0,$H413-1)*MIN(2*AmortismanAzalanCarpan*$F413,1),MIN($D413*$F413,$D413)),0))</f>
        <v/>
      </c>
      <c r="L413" s="122">
        <f>IF($D413="",0,$G413-$J413)</f>
        <v/>
      </c>
      <c r="M413" s="122">
        <f>IF($B413="","",CONCATENATE("Kıymet: ",$B413," | NDD: ",TEXT($J413,"#,##0")))</f>
        <v/>
      </c>
    </row>
    <row r="414" ht="15" customHeight="1" s="77">
      <c r="A414" s="123" t="n"/>
      <c r="B414" s="123" t="n"/>
      <c r="C414" s="124" t="n"/>
      <c r="D414" s="125" t="n"/>
      <c r="E414" s="123" t="n"/>
      <c r="F414" s="126" t="n"/>
      <c r="G414" s="125" t="n"/>
      <c r="H414" s="122">
        <f>IF($D414="",0,MAX(0,ROUNDDOWN((AmortismanRaporTarihi-$C414)/365,0)))</f>
        <v/>
      </c>
      <c r="I414" s="122">
        <f>IF($D414="",0,IFERROR(IF($E414="Azalan",MAX(0,$D414*(1-MIN(2*AmortismanAzalanCarpan*$F414,1)^$H414)),MIN($D414,$D414*$F414*$H414)),0))</f>
        <v/>
      </c>
      <c r="J414" s="122">
        <f>IF($D414="",0,MAX(0,$D414-$I414))</f>
        <v/>
      </c>
      <c r="K414" s="122">
        <f>IF($H414=0,0,IFERROR(IF($E414="Azalan",$D414*(1-MIN(2*AmortismanAzalanCarpan*$F414,1))^MAX(0,$H414-1)*MIN(2*AmortismanAzalanCarpan*$F414,1),MIN($D414*$F414,$D414)),0))</f>
        <v/>
      </c>
      <c r="L414" s="122">
        <f>IF($D414="",0,$G414-$J414)</f>
        <v/>
      </c>
      <c r="M414" s="122">
        <f>IF($B414="","",CONCATENATE("Kıymet: ",$B414," | NDD: ",TEXT($J414,"#,##0")))</f>
        <v/>
      </c>
    </row>
    <row r="415" ht="15" customHeight="1" s="77">
      <c r="A415" s="123" t="n"/>
      <c r="B415" s="123" t="n"/>
      <c r="C415" s="124" t="n"/>
      <c r="D415" s="125" t="n"/>
      <c r="E415" s="123" t="n"/>
      <c r="F415" s="126" t="n"/>
      <c r="G415" s="125" t="n"/>
      <c r="H415" s="122">
        <f>IF($D415="",0,MAX(0,ROUNDDOWN((AmortismanRaporTarihi-$C415)/365,0)))</f>
        <v/>
      </c>
      <c r="I415" s="122">
        <f>IF($D415="",0,IFERROR(IF($E415="Azalan",MAX(0,$D415*(1-MIN(2*AmortismanAzalanCarpan*$F415,1)^$H415)),MIN($D415,$D415*$F415*$H415)),0))</f>
        <v/>
      </c>
      <c r="J415" s="122">
        <f>IF($D415="",0,MAX(0,$D415-$I415))</f>
        <v/>
      </c>
      <c r="K415" s="122">
        <f>IF($H415=0,0,IFERROR(IF($E415="Azalan",$D415*(1-MIN(2*AmortismanAzalanCarpan*$F415,1))^MAX(0,$H415-1)*MIN(2*AmortismanAzalanCarpan*$F415,1),MIN($D415*$F415,$D415)),0))</f>
        <v/>
      </c>
      <c r="L415" s="122">
        <f>IF($D415="",0,$G415-$J415)</f>
        <v/>
      </c>
      <c r="M415" s="122">
        <f>IF($B415="","",CONCATENATE("Kıymet: ",$B415," | NDD: ",TEXT($J415,"#,##0")))</f>
        <v/>
      </c>
    </row>
    <row r="416" ht="15" customHeight="1" s="77">
      <c r="A416" s="123" t="n"/>
      <c r="B416" s="123" t="n"/>
      <c r="C416" s="124" t="n"/>
      <c r="D416" s="125" t="n"/>
      <c r="E416" s="123" t="n"/>
      <c r="F416" s="126" t="n"/>
      <c r="G416" s="125" t="n"/>
      <c r="H416" s="122">
        <f>IF($D416="",0,MAX(0,ROUNDDOWN((AmortismanRaporTarihi-$C416)/365,0)))</f>
        <v/>
      </c>
      <c r="I416" s="122">
        <f>IF($D416="",0,IFERROR(IF($E416="Azalan",MAX(0,$D416*(1-MIN(2*AmortismanAzalanCarpan*$F416,1)^$H416)),MIN($D416,$D416*$F416*$H416)),0))</f>
        <v/>
      </c>
      <c r="J416" s="122">
        <f>IF($D416="",0,MAX(0,$D416-$I416))</f>
        <v/>
      </c>
      <c r="K416" s="122">
        <f>IF($H416=0,0,IFERROR(IF($E416="Azalan",$D416*(1-MIN(2*AmortismanAzalanCarpan*$F416,1))^MAX(0,$H416-1)*MIN(2*AmortismanAzalanCarpan*$F416,1),MIN($D416*$F416,$D416)),0))</f>
        <v/>
      </c>
      <c r="L416" s="122">
        <f>IF($D416="",0,$G416-$J416)</f>
        <v/>
      </c>
      <c r="M416" s="122">
        <f>IF($B416="","",CONCATENATE("Kıymet: ",$B416," | NDD: ",TEXT($J416,"#,##0")))</f>
        <v/>
      </c>
    </row>
    <row r="417" ht="15" customHeight="1" s="77">
      <c r="A417" s="123" t="n"/>
      <c r="B417" s="123" t="n"/>
      <c r="C417" s="124" t="n"/>
      <c r="D417" s="125" t="n"/>
      <c r="E417" s="123" t="n"/>
      <c r="F417" s="126" t="n"/>
      <c r="G417" s="125" t="n"/>
      <c r="H417" s="122">
        <f>IF($D417="",0,MAX(0,ROUNDDOWN((AmortismanRaporTarihi-$C417)/365,0)))</f>
        <v/>
      </c>
      <c r="I417" s="122">
        <f>IF($D417="",0,IFERROR(IF($E417="Azalan",MAX(0,$D417*(1-MIN(2*AmortismanAzalanCarpan*$F417,1)^$H417)),MIN($D417,$D417*$F417*$H417)),0))</f>
        <v/>
      </c>
      <c r="J417" s="122">
        <f>IF($D417="",0,MAX(0,$D417-$I417))</f>
        <v/>
      </c>
      <c r="K417" s="122">
        <f>IF($H417=0,0,IFERROR(IF($E417="Azalan",$D417*(1-MIN(2*AmortismanAzalanCarpan*$F417,1))^MAX(0,$H417-1)*MIN(2*AmortismanAzalanCarpan*$F417,1),MIN($D417*$F417,$D417)),0))</f>
        <v/>
      </c>
      <c r="L417" s="122">
        <f>IF($D417="",0,$G417-$J417)</f>
        <v/>
      </c>
      <c r="M417" s="122">
        <f>IF($B417="","",CONCATENATE("Kıymet: ",$B417," | NDD: ",TEXT($J417,"#,##0")))</f>
        <v/>
      </c>
    </row>
    <row r="418" ht="15" customHeight="1" s="77">
      <c r="A418" s="123" t="n"/>
      <c r="B418" s="123" t="n"/>
      <c r="C418" s="124" t="n"/>
      <c r="D418" s="125" t="n"/>
      <c r="E418" s="123" t="n"/>
      <c r="F418" s="126" t="n"/>
      <c r="G418" s="125" t="n"/>
      <c r="H418" s="122">
        <f>IF($D418="",0,MAX(0,ROUNDDOWN((AmortismanRaporTarihi-$C418)/365,0)))</f>
        <v/>
      </c>
      <c r="I418" s="122">
        <f>IF($D418="",0,IFERROR(IF($E418="Azalan",MAX(0,$D418*(1-MIN(2*AmortismanAzalanCarpan*$F418,1)^$H418)),MIN($D418,$D418*$F418*$H418)),0))</f>
        <v/>
      </c>
      <c r="J418" s="122">
        <f>IF($D418="",0,MAX(0,$D418-$I418))</f>
        <v/>
      </c>
      <c r="K418" s="122">
        <f>IF($H418=0,0,IFERROR(IF($E418="Azalan",$D418*(1-MIN(2*AmortismanAzalanCarpan*$F418,1))^MAX(0,$H418-1)*MIN(2*AmortismanAzalanCarpan*$F418,1),MIN($D418*$F418,$D418)),0))</f>
        <v/>
      </c>
      <c r="L418" s="122">
        <f>IF($D418="",0,$G418-$J418)</f>
        <v/>
      </c>
      <c r="M418" s="122">
        <f>IF($B418="","",CONCATENATE("Kıymet: ",$B418," | NDD: ",TEXT($J418,"#,##0")))</f>
        <v/>
      </c>
    </row>
    <row r="419" ht="15" customHeight="1" s="77">
      <c r="A419" s="123" t="n"/>
      <c r="B419" s="123" t="n"/>
      <c r="C419" s="124" t="n"/>
      <c r="D419" s="125" t="n"/>
      <c r="E419" s="123" t="n"/>
      <c r="F419" s="126" t="n"/>
      <c r="G419" s="125" t="n"/>
      <c r="H419" s="122">
        <f>IF($D419="",0,MAX(0,ROUNDDOWN((AmortismanRaporTarihi-$C419)/365,0)))</f>
        <v/>
      </c>
      <c r="I419" s="122">
        <f>IF($D419="",0,IFERROR(IF($E419="Azalan",MAX(0,$D419*(1-MIN(2*AmortismanAzalanCarpan*$F419,1)^$H419)),MIN($D419,$D419*$F419*$H419)),0))</f>
        <v/>
      </c>
      <c r="J419" s="122">
        <f>IF($D419="",0,MAX(0,$D419-$I419))</f>
        <v/>
      </c>
      <c r="K419" s="122">
        <f>IF($H419=0,0,IFERROR(IF($E419="Azalan",$D419*(1-MIN(2*AmortismanAzalanCarpan*$F419,1))^MAX(0,$H419-1)*MIN(2*AmortismanAzalanCarpan*$F419,1),MIN($D419*$F419,$D419)),0))</f>
        <v/>
      </c>
      <c r="L419" s="122">
        <f>IF($D419="",0,$G419-$J419)</f>
        <v/>
      </c>
      <c r="M419" s="122">
        <f>IF($B419="","",CONCATENATE("Kıymet: ",$B419," | NDD: ",TEXT($J419,"#,##0")))</f>
        <v/>
      </c>
    </row>
    <row r="420" ht="15" customHeight="1" s="77">
      <c r="A420" s="123" t="n"/>
      <c r="B420" s="123" t="n"/>
      <c r="C420" s="124" t="n"/>
      <c r="D420" s="125" t="n"/>
      <c r="E420" s="123" t="n"/>
      <c r="F420" s="126" t="n"/>
      <c r="G420" s="125" t="n"/>
      <c r="H420" s="122">
        <f>IF($D420="",0,MAX(0,ROUNDDOWN((AmortismanRaporTarihi-$C420)/365,0)))</f>
        <v/>
      </c>
      <c r="I420" s="122">
        <f>IF($D420="",0,IFERROR(IF($E420="Azalan",MAX(0,$D420*(1-MIN(2*AmortismanAzalanCarpan*$F420,1)^$H420)),MIN($D420,$D420*$F420*$H420)),0))</f>
        <v/>
      </c>
      <c r="J420" s="122">
        <f>IF($D420="",0,MAX(0,$D420-$I420))</f>
        <v/>
      </c>
      <c r="K420" s="122">
        <f>IF($H420=0,0,IFERROR(IF($E420="Azalan",$D420*(1-MIN(2*AmortismanAzalanCarpan*$F420,1))^MAX(0,$H420-1)*MIN(2*AmortismanAzalanCarpan*$F420,1),MIN($D420*$F420,$D420)),0))</f>
        <v/>
      </c>
      <c r="L420" s="122">
        <f>IF($D420="",0,$G420-$J420)</f>
        <v/>
      </c>
      <c r="M420" s="122">
        <f>IF($B420="","",CONCATENATE("Kıymet: ",$B420," | NDD: ",TEXT($J420,"#,##0")))</f>
        <v/>
      </c>
    </row>
    <row r="421" ht="15" customHeight="1" s="77">
      <c r="A421" s="123" t="n"/>
      <c r="B421" s="123" t="n"/>
      <c r="C421" s="124" t="n"/>
      <c r="D421" s="125" t="n"/>
      <c r="E421" s="123" t="n"/>
      <c r="F421" s="126" t="n"/>
      <c r="G421" s="125" t="n"/>
      <c r="H421" s="122">
        <f>IF($D421="",0,MAX(0,ROUNDDOWN((AmortismanRaporTarihi-$C421)/365,0)))</f>
        <v/>
      </c>
      <c r="I421" s="122">
        <f>IF($D421="",0,IFERROR(IF($E421="Azalan",MAX(0,$D421*(1-MIN(2*AmortismanAzalanCarpan*$F421,1)^$H421)),MIN($D421,$D421*$F421*$H421)),0))</f>
        <v/>
      </c>
      <c r="J421" s="122">
        <f>IF($D421="",0,MAX(0,$D421-$I421))</f>
        <v/>
      </c>
      <c r="K421" s="122">
        <f>IF($H421=0,0,IFERROR(IF($E421="Azalan",$D421*(1-MIN(2*AmortismanAzalanCarpan*$F421,1))^MAX(0,$H421-1)*MIN(2*AmortismanAzalanCarpan*$F421,1),MIN($D421*$F421,$D421)),0))</f>
        <v/>
      </c>
      <c r="L421" s="122">
        <f>IF($D421="",0,$G421-$J421)</f>
        <v/>
      </c>
      <c r="M421" s="122">
        <f>IF($B421="","",CONCATENATE("Kıymet: ",$B421," | NDD: ",TEXT($J421,"#,##0")))</f>
        <v/>
      </c>
    </row>
    <row r="422" ht="15" customHeight="1" s="77">
      <c r="A422" s="123" t="n"/>
      <c r="B422" s="123" t="n"/>
      <c r="C422" s="124" t="n"/>
      <c r="D422" s="125" t="n"/>
      <c r="E422" s="123" t="n"/>
      <c r="F422" s="126" t="n"/>
      <c r="G422" s="125" t="n"/>
      <c r="H422" s="122">
        <f>IF($D422="",0,MAX(0,ROUNDDOWN((AmortismanRaporTarihi-$C422)/365,0)))</f>
        <v/>
      </c>
      <c r="I422" s="122">
        <f>IF($D422="",0,IFERROR(IF($E422="Azalan",MAX(0,$D422*(1-MIN(2*AmortismanAzalanCarpan*$F422,1)^$H422)),MIN($D422,$D422*$F422*$H422)),0))</f>
        <v/>
      </c>
      <c r="J422" s="122">
        <f>IF($D422="",0,MAX(0,$D422-$I422))</f>
        <v/>
      </c>
      <c r="K422" s="122">
        <f>IF($H422=0,0,IFERROR(IF($E422="Azalan",$D422*(1-MIN(2*AmortismanAzalanCarpan*$F422,1))^MAX(0,$H422-1)*MIN(2*AmortismanAzalanCarpan*$F422,1),MIN($D422*$F422,$D422)),0))</f>
        <v/>
      </c>
      <c r="L422" s="122">
        <f>IF($D422="",0,$G422-$J422)</f>
        <v/>
      </c>
      <c r="M422" s="122">
        <f>IF($B422="","",CONCATENATE("Kıymet: ",$B422," | NDD: ",TEXT($J422,"#,##0")))</f>
        <v/>
      </c>
    </row>
    <row r="423" ht="15" customHeight="1" s="77">
      <c r="A423" s="123" t="n"/>
      <c r="B423" s="123" t="n"/>
      <c r="C423" s="124" t="n"/>
      <c r="D423" s="125" t="n"/>
      <c r="E423" s="123" t="n"/>
      <c r="F423" s="126" t="n"/>
      <c r="G423" s="125" t="n"/>
      <c r="H423" s="122">
        <f>IF($D423="",0,MAX(0,ROUNDDOWN((AmortismanRaporTarihi-$C423)/365,0)))</f>
        <v/>
      </c>
      <c r="I423" s="122">
        <f>IF($D423="",0,IFERROR(IF($E423="Azalan",MAX(0,$D423*(1-MIN(2*AmortismanAzalanCarpan*$F423,1)^$H423)),MIN($D423,$D423*$F423*$H423)),0))</f>
        <v/>
      </c>
      <c r="J423" s="122">
        <f>IF($D423="",0,MAX(0,$D423-$I423))</f>
        <v/>
      </c>
      <c r="K423" s="122">
        <f>IF($H423=0,0,IFERROR(IF($E423="Azalan",$D423*(1-MIN(2*AmortismanAzalanCarpan*$F423,1))^MAX(0,$H423-1)*MIN(2*AmortismanAzalanCarpan*$F423,1),MIN($D423*$F423,$D423)),0))</f>
        <v/>
      </c>
      <c r="L423" s="122">
        <f>IF($D423="",0,$G423-$J423)</f>
        <v/>
      </c>
      <c r="M423" s="122">
        <f>IF($B423="","",CONCATENATE("Kıymet: ",$B423," | NDD: ",TEXT($J423,"#,##0")))</f>
        <v/>
      </c>
    </row>
    <row r="424" ht="15" customHeight="1" s="77">
      <c r="A424" s="123" t="n"/>
      <c r="B424" s="123" t="n"/>
      <c r="C424" s="124" t="n"/>
      <c r="D424" s="125" t="n"/>
      <c r="E424" s="123" t="n"/>
      <c r="F424" s="126" t="n"/>
      <c r="G424" s="125" t="n"/>
      <c r="H424" s="122">
        <f>IF($D424="",0,MAX(0,ROUNDDOWN((AmortismanRaporTarihi-$C424)/365,0)))</f>
        <v/>
      </c>
      <c r="I424" s="122">
        <f>IF($D424="",0,IFERROR(IF($E424="Azalan",MAX(0,$D424*(1-MIN(2*AmortismanAzalanCarpan*$F424,1)^$H424)),MIN($D424,$D424*$F424*$H424)),0))</f>
        <v/>
      </c>
      <c r="J424" s="122">
        <f>IF($D424="",0,MAX(0,$D424-$I424))</f>
        <v/>
      </c>
      <c r="K424" s="122">
        <f>IF($H424=0,0,IFERROR(IF($E424="Azalan",$D424*(1-MIN(2*AmortismanAzalanCarpan*$F424,1))^MAX(0,$H424-1)*MIN(2*AmortismanAzalanCarpan*$F424,1),MIN($D424*$F424,$D424)),0))</f>
        <v/>
      </c>
      <c r="L424" s="122">
        <f>IF($D424="",0,$G424-$J424)</f>
        <v/>
      </c>
      <c r="M424" s="122">
        <f>IF($B424="","",CONCATENATE("Kıymet: ",$B424," | NDD: ",TEXT($J424,"#,##0")))</f>
        <v/>
      </c>
    </row>
    <row r="425" ht="15" customHeight="1" s="77">
      <c r="A425" s="123" t="n"/>
      <c r="B425" s="123" t="n"/>
      <c r="C425" s="124" t="n"/>
      <c r="D425" s="125" t="n"/>
      <c r="E425" s="123" t="n"/>
      <c r="F425" s="126" t="n"/>
      <c r="G425" s="125" t="n"/>
      <c r="H425" s="122">
        <f>IF($D425="",0,MAX(0,ROUNDDOWN((AmortismanRaporTarihi-$C425)/365,0)))</f>
        <v/>
      </c>
      <c r="I425" s="122">
        <f>IF($D425="",0,IFERROR(IF($E425="Azalan",MAX(0,$D425*(1-MIN(2*AmortismanAzalanCarpan*$F425,1)^$H425)),MIN($D425,$D425*$F425*$H425)),0))</f>
        <v/>
      </c>
      <c r="J425" s="122">
        <f>IF($D425="",0,MAX(0,$D425-$I425))</f>
        <v/>
      </c>
      <c r="K425" s="122">
        <f>IF($H425=0,0,IFERROR(IF($E425="Azalan",$D425*(1-MIN(2*AmortismanAzalanCarpan*$F425,1))^MAX(0,$H425-1)*MIN(2*AmortismanAzalanCarpan*$F425,1),MIN($D425*$F425,$D425)),0))</f>
        <v/>
      </c>
      <c r="L425" s="122">
        <f>IF($D425="",0,$G425-$J425)</f>
        <v/>
      </c>
      <c r="M425" s="122">
        <f>IF($B425="","",CONCATENATE("Kıymet: ",$B425," | NDD: ",TEXT($J425,"#,##0")))</f>
        <v/>
      </c>
    </row>
    <row r="426" ht="15" customHeight="1" s="77">
      <c r="A426" s="123" t="n"/>
      <c r="B426" s="123" t="n"/>
      <c r="C426" s="124" t="n"/>
      <c r="D426" s="125" t="n"/>
      <c r="E426" s="123" t="n"/>
      <c r="F426" s="126" t="n"/>
      <c r="G426" s="125" t="n"/>
      <c r="H426" s="122">
        <f>IF($D426="",0,MAX(0,ROUNDDOWN((AmortismanRaporTarihi-$C426)/365,0)))</f>
        <v/>
      </c>
      <c r="I426" s="122">
        <f>IF($D426="",0,IFERROR(IF($E426="Azalan",MAX(0,$D426*(1-MIN(2*AmortismanAzalanCarpan*$F426,1)^$H426)),MIN($D426,$D426*$F426*$H426)),0))</f>
        <v/>
      </c>
      <c r="J426" s="122">
        <f>IF($D426="",0,MAX(0,$D426-$I426))</f>
        <v/>
      </c>
      <c r="K426" s="122">
        <f>IF($H426=0,0,IFERROR(IF($E426="Azalan",$D426*(1-MIN(2*AmortismanAzalanCarpan*$F426,1))^MAX(0,$H426-1)*MIN(2*AmortismanAzalanCarpan*$F426,1),MIN($D426*$F426,$D426)),0))</f>
        <v/>
      </c>
      <c r="L426" s="122">
        <f>IF($D426="",0,$G426-$J426)</f>
        <v/>
      </c>
      <c r="M426" s="122">
        <f>IF($B426="","",CONCATENATE("Kıymet: ",$B426," | NDD: ",TEXT($J426,"#,##0")))</f>
        <v/>
      </c>
    </row>
    <row r="427" ht="15" customHeight="1" s="77">
      <c r="A427" s="123" t="n"/>
      <c r="B427" s="123" t="n"/>
      <c r="C427" s="124" t="n"/>
      <c r="D427" s="125" t="n"/>
      <c r="E427" s="123" t="n"/>
      <c r="F427" s="126" t="n"/>
      <c r="G427" s="125" t="n"/>
      <c r="H427" s="122">
        <f>IF($D427="",0,MAX(0,ROUNDDOWN((AmortismanRaporTarihi-$C427)/365,0)))</f>
        <v/>
      </c>
      <c r="I427" s="122">
        <f>IF($D427="",0,IFERROR(IF($E427="Azalan",MAX(0,$D427*(1-MIN(2*AmortismanAzalanCarpan*$F427,1)^$H427)),MIN($D427,$D427*$F427*$H427)),0))</f>
        <v/>
      </c>
      <c r="J427" s="122">
        <f>IF($D427="",0,MAX(0,$D427-$I427))</f>
        <v/>
      </c>
      <c r="K427" s="122">
        <f>IF($H427=0,0,IFERROR(IF($E427="Azalan",$D427*(1-MIN(2*AmortismanAzalanCarpan*$F427,1))^MAX(0,$H427-1)*MIN(2*AmortismanAzalanCarpan*$F427,1),MIN($D427*$F427,$D427)),0))</f>
        <v/>
      </c>
      <c r="L427" s="122">
        <f>IF($D427="",0,$G427-$J427)</f>
        <v/>
      </c>
      <c r="M427" s="122">
        <f>IF($B427="","",CONCATENATE("Kıymet: ",$B427," | NDD: ",TEXT($J427,"#,##0")))</f>
        <v/>
      </c>
    </row>
    <row r="428" ht="15" customHeight="1" s="77">
      <c r="A428" s="123" t="n"/>
      <c r="B428" s="123" t="n"/>
      <c r="C428" s="124" t="n"/>
      <c r="D428" s="125" t="n"/>
      <c r="E428" s="123" t="n"/>
      <c r="F428" s="126" t="n"/>
      <c r="G428" s="125" t="n"/>
      <c r="H428" s="122">
        <f>IF($D428="",0,MAX(0,ROUNDDOWN((AmortismanRaporTarihi-$C428)/365,0)))</f>
        <v/>
      </c>
      <c r="I428" s="122">
        <f>IF($D428="",0,IFERROR(IF($E428="Azalan",MAX(0,$D428*(1-MIN(2*AmortismanAzalanCarpan*$F428,1)^$H428)),MIN($D428,$D428*$F428*$H428)),0))</f>
        <v/>
      </c>
      <c r="J428" s="122">
        <f>IF($D428="",0,MAX(0,$D428-$I428))</f>
        <v/>
      </c>
      <c r="K428" s="122">
        <f>IF($H428=0,0,IFERROR(IF($E428="Azalan",$D428*(1-MIN(2*AmortismanAzalanCarpan*$F428,1))^MAX(0,$H428-1)*MIN(2*AmortismanAzalanCarpan*$F428,1),MIN($D428*$F428,$D428)),0))</f>
        <v/>
      </c>
      <c r="L428" s="122">
        <f>IF($D428="",0,$G428-$J428)</f>
        <v/>
      </c>
      <c r="M428" s="122">
        <f>IF($B428="","",CONCATENATE("Kıymet: ",$B428," | NDD: ",TEXT($J428,"#,##0")))</f>
        <v/>
      </c>
    </row>
    <row r="429" ht="15" customHeight="1" s="77">
      <c r="A429" s="123" t="n"/>
      <c r="B429" s="123" t="n"/>
      <c r="C429" s="124" t="n"/>
      <c r="D429" s="125" t="n"/>
      <c r="E429" s="123" t="n"/>
      <c r="F429" s="126" t="n"/>
      <c r="G429" s="125" t="n"/>
      <c r="H429" s="122">
        <f>IF($D429="",0,MAX(0,ROUNDDOWN((AmortismanRaporTarihi-$C429)/365,0)))</f>
        <v/>
      </c>
      <c r="I429" s="122">
        <f>IF($D429="",0,IFERROR(IF($E429="Azalan",MAX(0,$D429*(1-MIN(2*AmortismanAzalanCarpan*$F429,1)^$H429)),MIN($D429,$D429*$F429*$H429)),0))</f>
        <v/>
      </c>
      <c r="J429" s="122">
        <f>IF($D429="",0,MAX(0,$D429-$I429))</f>
        <v/>
      </c>
      <c r="K429" s="122">
        <f>IF($H429=0,0,IFERROR(IF($E429="Azalan",$D429*(1-MIN(2*AmortismanAzalanCarpan*$F429,1))^MAX(0,$H429-1)*MIN(2*AmortismanAzalanCarpan*$F429,1),MIN($D429*$F429,$D429)),0))</f>
        <v/>
      </c>
      <c r="L429" s="122">
        <f>IF($D429="",0,$G429-$J429)</f>
        <v/>
      </c>
      <c r="M429" s="122">
        <f>IF($B429="","",CONCATENATE("Kıymet: ",$B429," | NDD: ",TEXT($J429,"#,##0")))</f>
        <v/>
      </c>
    </row>
    <row r="430" ht="15" customHeight="1" s="77">
      <c r="A430" s="123" t="n"/>
      <c r="B430" s="123" t="n"/>
      <c r="C430" s="124" t="n"/>
      <c r="D430" s="125" t="n"/>
      <c r="E430" s="123" t="n"/>
      <c r="F430" s="126" t="n"/>
      <c r="G430" s="125" t="n"/>
      <c r="H430" s="122">
        <f>IF($D430="",0,MAX(0,ROUNDDOWN((AmortismanRaporTarihi-$C430)/365,0)))</f>
        <v/>
      </c>
      <c r="I430" s="122">
        <f>IF($D430="",0,IFERROR(IF($E430="Azalan",MAX(0,$D430*(1-MIN(2*AmortismanAzalanCarpan*$F430,1)^$H430)),MIN($D430,$D430*$F430*$H430)),0))</f>
        <v/>
      </c>
      <c r="J430" s="122">
        <f>IF($D430="",0,MAX(0,$D430-$I430))</f>
        <v/>
      </c>
      <c r="K430" s="122">
        <f>IF($H430=0,0,IFERROR(IF($E430="Azalan",$D430*(1-MIN(2*AmortismanAzalanCarpan*$F430,1))^MAX(0,$H430-1)*MIN(2*AmortismanAzalanCarpan*$F430,1),MIN($D430*$F430,$D430)),0))</f>
        <v/>
      </c>
      <c r="L430" s="122">
        <f>IF($D430="",0,$G430-$J430)</f>
        <v/>
      </c>
      <c r="M430" s="122">
        <f>IF($B430="","",CONCATENATE("Kıymet: ",$B430," | NDD: ",TEXT($J430,"#,##0")))</f>
        <v/>
      </c>
    </row>
    <row r="431" ht="15" customHeight="1" s="77">
      <c r="A431" s="123" t="n"/>
      <c r="B431" s="123" t="n"/>
      <c r="C431" s="124" t="n"/>
      <c r="D431" s="125" t="n"/>
      <c r="E431" s="123" t="n"/>
      <c r="F431" s="126" t="n"/>
      <c r="G431" s="125" t="n"/>
      <c r="H431" s="122">
        <f>IF($D431="",0,MAX(0,ROUNDDOWN((AmortismanRaporTarihi-$C431)/365,0)))</f>
        <v/>
      </c>
      <c r="I431" s="122">
        <f>IF($D431="",0,IFERROR(IF($E431="Azalan",MAX(0,$D431*(1-MIN(2*AmortismanAzalanCarpan*$F431,1)^$H431)),MIN($D431,$D431*$F431*$H431)),0))</f>
        <v/>
      </c>
      <c r="J431" s="122">
        <f>IF($D431="",0,MAX(0,$D431-$I431))</f>
        <v/>
      </c>
      <c r="K431" s="122">
        <f>IF($H431=0,0,IFERROR(IF($E431="Azalan",$D431*(1-MIN(2*AmortismanAzalanCarpan*$F431,1))^MAX(0,$H431-1)*MIN(2*AmortismanAzalanCarpan*$F431,1),MIN($D431*$F431,$D431)),0))</f>
        <v/>
      </c>
      <c r="L431" s="122">
        <f>IF($D431="",0,$G431-$J431)</f>
        <v/>
      </c>
      <c r="M431" s="122">
        <f>IF($B431="","",CONCATENATE("Kıymet: ",$B431," | NDD: ",TEXT($J431,"#,##0")))</f>
        <v/>
      </c>
    </row>
    <row r="432" ht="15" customHeight="1" s="77">
      <c r="A432" s="123" t="n"/>
      <c r="B432" s="123" t="n"/>
      <c r="C432" s="124" t="n"/>
      <c r="D432" s="125" t="n"/>
      <c r="E432" s="123" t="n"/>
      <c r="F432" s="126" t="n"/>
      <c r="G432" s="125" t="n"/>
      <c r="H432" s="122">
        <f>IF($D432="",0,MAX(0,ROUNDDOWN((AmortismanRaporTarihi-$C432)/365,0)))</f>
        <v/>
      </c>
      <c r="I432" s="122">
        <f>IF($D432="",0,IFERROR(IF($E432="Azalan",MAX(0,$D432*(1-MIN(2*AmortismanAzalanCarpan*$F432,1)^$H432)),MIN($D432,$D432*$F432*$H432)),0))</f>
        <v/>
      </c>
      <c r="J432" s="122">
        <f>IF($D432="",0,MAX(0,$D432-$I432))</f>
        <v/>
      </c>
      <c r="K432" s="122">
        <f>IF($H432=0,0,IFERROR(IF($E432="Azalan",$D432*(1-MIN(2*AmortismanAzalanCarpan*$F432,1))^MAX(0,$H432-1)*MIN(2*AmortismanAzalanCarpan*$F432,1),MIN($D432*$F432,$D432)),0))</f>
        <v/>
      </c>
      <c r="L432" s="122">
        <f>IF($D432="",0,$G432-$J432)</f>
        <v/>
      </c>
      <c r="M432" s="122">
        <f>IF($B432="","",CONCATENATE("Kıymet: ",$B432," | NDD: ",TEXT($J432,"#,##0")))</f>
        <v/>
      </c>
    </row>
    <row r="433" ht="15" customHeight="1" s="77">
      <c r="A433" s="123" t="n"/>
      <c r="B433" s="123" t="n"/>
      <c r="C433" s="124" t="n"/>
      <c r="D433" s="125" t="n"/>
      <c r="E433" s="123" t="n"/>
      <c r="F433" s="126" t="n"/>
      <c r="G433" s="125" t="n"/>
      <c r="H433" s="122">
        <f>IF($D433="",0,MAX(0,ROUNDDOWN((AmortismanRaporTarihi-$C433)/365,0)))</f>
        <v/>
      </c>
      <c r="I433" s="122">
        <f>IF($D433="",0,IFERROR(IF($E433="Azalan",MAX(0,$D433*(1-MIN(2*AmortismanAzalanCarpan*$F433,1)^$H433)),MIN($D433,$D433*$F433*$H433)),0))</f>
        <v/>
      </c>
      <c r="J433" s="122">
        <f>IF($D433="",0,MAX(0,$D433-$I433))</f>
        <v/>
      </c>
      <c r="K433" s="122">
        <f>IF($H433=0,0,IFERROR(IF($E433="Azalan",$D433*(1-MIN(2*AmortismanAzalanCarpan*$F433,1))^MAX(0,$H433-1)*MIN(2*AmortismanAzalanCarpan*$F433,1),MIN($D433*$F433,$D433)),0))</f>
        <v/>
      </c>
      <c r="L433" s="122">
        <f>IF($D433="",0,$G433-$J433)</f>
        <v/>
      </c>
      <c r="M433" s="122">
        <f>IF($B433="","",CONCATENATE("Kıymet: ",$B433," | NDD: ",TEXT($J433,"#,##0")))</f>
        <v/>
      </c>
    </row>
    <row r="434" ht="15" customHeight="1" s="77">
      <c r="A434" s="123" t="n"/>
      <c r="B434" s="123" t="n"/>
      <c r="C434" s="124" t="n"/>
      <c r="D434" s="125" t="n"/>
      <c r="E434" s="123" t="n"/>
      <c r="F434" s="126" t="n"/>
      <c r="G434" s="125" t="n"/>
      <c r="H434" s="122">
        <f>IF($D434="",0,MAX(0,ROUNDDOWN((AmortismanRaporTarihi-$C434)/365,0)))</f>
        <v/>
      </c>
      <c r="I434" s="122">
        <f>IF($D434="",0,IFERROR(IF($E434="Azalan",MAX(0,$D434*(1-MIN(2*AmortismanAzalanCarpan*$F434,1)^$H434)),MIN($D434,$D434*$F434*$H434)),0))</f>
        <v/>
      </c>
      <c r="J434" s="122">
        <f>IF($D434="",0,MAX(0,$D434-$I434))</f>
        <v/>
      </c>
      <c r="K434" s="122">
        <f>IF($H434=0,0,IFERROR(IF($E434="Azalan",$D434*(1-MIN(2*AmortismanAzalanCarpan*$F434,1))^MAX(0,$H434-1)*MIN(2*AmortismanAzalanCarpan*$F434,1),MIN($D434*$F434,$D434)),0))</f>
        <v/>
      </c>
      <c r="L434" s="122">
        <f>IF($D434="",0,$G434-$J434)</f>
        <v/>
      </c>
      <c r="M434" s="122">
        <f>IF($B434="","",CONCATENATE("Kıymet: ",$B434," | NDD: ",TEXT($J434,"#,##0")))</f>
        <v/>
      </c>
    </row>
    <row r="435" ht="15" customHeight="1" s="77">
      <c r="A435" s="123" t="n"/>
      <c r="B435" s="123" t="n"/>
      <c r="C435" s="124" t="n"/>
      <c r="D435" s="125" t="n"/>
      <c r="E435" s="123" t="n"/>
      <c r="F435" s="126" t="n"/>
      <c r="G435" s="125" t="n"/>
      <c r="H435" s="122">
        <f>IF($D435="",0,MAX(0,ROUNDDOWN((AmortismanRaporTarihi-$C435)/365,0)))</f>
        <v/>
      </c>
      <c r="I435" s="122">
        <f>IF($D435="",0,IFERROR(IF($E435="Azalan",MAX(0,$D435*(1-MIN(2*AmortismanAzalanCarpan*$F435,1)^$H435)),MIN($D435,$D435*$F435*$H435)),0))</f>
        <v/>
      </c>
      <c r="J435" s="122">
        <f>IF($D435="",0,MAX(0,$D435-$I435))</f>
        <v/>
      </c>
      <c r="K435" s="122">
        <f>IF($H435=0,0,IFERROR(IF($E435="Azalan",$D435*(1-MIN(2*AmortismanAzalanCarpan*$F435,1))^MAX(0,$H435-1)*MIN(2*AmortismanAzalanCarpan*$F435,1),MIN($D435*$F435,$D435)),0))</f>
        <v/>
      </c>
      <c r="L435" s="122">
        <f>IF($D435="",0,$G435-$J435)</f>
        <v/>
      </c>
      <c r="M435" s="122">
        <f>IF($B435="","",CONCATENATE("Kıymet: ",$B435," | NDD: ",TEXT($J435,"#,##0")))</f>
        <v/>
      </c>
    </row>
    <row r="436" ht="15" customHeight="1" s="77">
      <c r="A436" s="123" t="n"/>
      <c r="B436" s="123" t="n"/>
      <c r="C436" s="124" t="n"/>
      <c r="D436" s="125" t="n"/>
      <c r="E436" s="123" t="n"/>
      <c r="F436" s="126" t="n"/>
      <c r="G436" s="125" t="n"/>
      <c r="H436" s="122">
        <f>IF($D436="",0,MAX(0,ROUNDDOWN((AmortismanRaporTarihi-$C436)/365,0)))</f>
        <v/>
      </c>
      <c r="I436" s="122">
        <f>IF($D436="",0,IFERROR(IF($E436="Azalan",MAX(0,$D436*(1-MIN(2*AmortismanAzalanCarpan*$F436,1)^$H436)),MIN($D436,$D436*$F436*$H436)),0))</f>
        <v/>
      </c>
      <c r="J436" s="122">
        <f>IF($D436="",0,MAX(0,$D436-$I436))</f>
        <v/>
      </c>
      <c r="K436" s="122">
        <f>IF($H436=0,0,IFERROR(IF($E436="Azalan",$D436*(1-MIN(2*AmortismanAzalanCarpan*$F436,1))^MAX(0,$H436-1)*MIN(2*AmortismanAzalanCarpan*$F436,1),MIN($D436*$F436,$D436)),0))</f>
        <v/>
      </c>
      <c r="L436" s="122">
        <f>IF($D436="",0,$G436-$J436)</f>
        <v/>
      </c>
      <c r="M436" s="122">
        <f>IF($B436="","",CONCATENATE("Kıymet: ",$B436," | NDD: ",TEXT($J436,"#,##0")))</f>
        <v/>
      </c>
    </row>
    <row r="437" ht="15" customHeight="1" s="77">
      <c r="A437" s="123" t="n"/>
      <c r="B437" s="123" t="n"/>
      <c r="C437" s="124" t="n"/>
      <c r="D437" s="125" t="n"/>
      <c r="E437" s="123" t="n"/>
      <c r="F437" s="126" t="n"/>
      <c r="G437" s="125" t="n"/>
      <c r="H437" s="122">
        <f>IF($D437="",0,MAX(0,ROUNDDOWN((AmortismanRaporTarihi-$C437)/365,0)))</f>
        <v/>
      </c>
      <c r="I437" s="122">
        <f>IF($D437="",0,IFERROR(IF($E437="Azalan",MAX(0,$D437*(1-MIN(2*AmortismanAzalanCarpan*$F437,1)^$H437)),MIN($D437,$D437*$F437*$H437)),0))</f>
        <v/>
      </c>
      <c r="J437" s="122">
        <f>IF($D437="",0,MAX(0,$D437-$I437))</f>
        <v/>
      </c>
      <c r="K437" s="122">
        <f>IF($H437=0,0,IFERROR(IF($E437="Azalan",$D437*(1-MIN(2*AmortismanAzalanCarpan*$F437,1))^MAX(0,$H437-1)*MIN(2*AmortismanAzalanCarpan*$F437,1),MIN($D437*$F437,$D437)),0))</f>
        <v/>
      </c>
      <c r="L437" s="122">
        <f>IF($D437="",0,$G437-$J437)</f>
        <v/>
      </c>
      <c r="M437" s="122">
        <f>IF($B437="","",CONCATENATE("Kıymet: ",$B437," | NDD: ",TEXT($J437,"#,##0")))</f>
        <v/>
      </c>
    </row>
    <row r="438" ht="15" customHeight="1" s="77">
      <c r="A438" s="123" t="n"/>
      <c r="B438" s="123" t="n"/>
      <c r="C438" s="124" t="n"/>
      <c r="D438" s="125" t="n"/>
      <c r="E438" s="123" t="n"/>
      <c r="F438" s="126" t="n"/>
      <c r="G438" s="125" t="n"/>
      <c r="H438" s="122">
        <f>IF($D438="",0,MAX(0,ROUNDDOWN((AmortismanRaporTarihi-$C438)/365,0)))</f>
        <v/>
      </c>
      <c r="I438" s="122">
        <f>IF($D438="",0,IFERROR(IF($E438="Azalan",MAX(0,$D438*(1-MIN(2*AmortismanAzalanCarpan*$F438,1)^$H438)),MIN($D438,$D438*$F438*$H438)),0))</f>
        <v/>
      </c>
      <c r="J438" s="122">
        <f>IF($D438="",0,MAX(0,$D438-$I438))</f>
        <v/>
      </c>
      <c r="K438" s="122">
        <f>IF($H438=0,0,IFERROR(IF($E438="Azalan",$D438*(1-MIN(2*AmortismanAzalanCarpan*$F438,1))^MAX(0,$H438-1)*MIN(2*AmortismanAzalanCarpan*$F438,1),MIN($D438*$F438,$D438)),0))</f>
        <v/>
      </c>
      <c r="L438" s="122">
        <f>IF($D438="",0,$G438-$J438)</f>
        <v/>
      </c>
      <c r="M438" s="122">
        <f>IF($B438="","",CONCATENATE("Kıymet: ",$B438," | NDD: ",TEXT($J438,"#,##0")))</f>
        <v/>
      </c>
    </row>
    <row r="439" ht="15" customHeight="1" s="77">
      <c r="A439" s="123" t="n"/>
      <c r="B439" s="123" t="n"/>
      <c r="C439" s="124" t="n"/>
      <c r="D439" s="125" t="n"/>
      <c r="E439" s="123" t="n"/>
      <c r="F439" s="126" t="n"/>
      <c r="G439" s="125" t="n"/>
      <c r="H439" s="122">
        <f>IF($D439="",0,MAX(0,ROUNDDOWN((AmortismanRaporTarihi-$C439)/365,0)))</f>
        <v/>
      </c>
      <c r="I439" s="122">
        <f>IF($D439="",0,IFERROR(IF($E439="Azalan",MAX(0,$D439*(1-MIN(2*AmortismanAzalanCarpan*$F439,1)^$H439)),MIN($D439,$D439*$F439*$H439)),0))</f>
        <v/>
      </c>
      <c r="J439" s="122">
        <f>IF($D439="",0,MAX(0,$D439-$I439))</f>
        <v/>
      </c>
      <c r="K439" s="122">
        <f>IF($H439=0,0,IFERROR(IF($E439="Azalan",$D439*(1-MIN(2*AmortismanAzalanCarpan*$F439,1))^MAX(0,$H439-1)*MIN(2*AmortismanAzalanCarpan*$F439,1),MIN($D439*$F439,$D439)),0))</f>
        <v/>
      </c>
      <c r="L439" s="122">
        <f>IF($D439="",0,$G439-$J439)</f>
        <v/>
      </c>
      <c r="M439" s="122">
        <f>IF($B439="","",CONCATENATE("Kıymet: ",$B439," | NDD: ",TEXT($J439,"#,##0")))</f>
        <v/>
      </c>
    </row>
    <row r="440" ht="15" customHeight="1" s="77">
      <c r="A440" s="123" t="n"/>
      <c r="B440" s="123" t="n"/>
      <c r="C440" s="124" t="n"/>
      <c r="D440" s="125" t="n"/>
      <c r="E440" s="123" t="n"/>
      <c r="F440" s="126" t="n"/>
      <c r="G440" s="125" t="n"/>
      <c r="H440" s="122">
        <f>IF($D440="",0,MAX(0,ROUNDDOWN((AmortismanRaporTarihi-$C440)/365,0)))</f>
        <v/>
      </c>
      <c r="I440" s="122">
        <f>IF($D440="",0,IFERROR(IF($E440="Azalan",MAX(0,$D440*(1-MIN(2*AmortismanAzalanCarpan*$F440,1)^$H440)),MIN($D440,$D440*$F440*$H440)),0))</f>
        <v/>
      </c>
      <c r="J440" s="122">
        <f>IF($D440="",0,MAX(0,$D440-$I440))</f>
        <v/>
      </c>
      <c r="K440" s="122">
        <f>IF($H440=0,0,IFERROR(IF($E440="Azalan",$D440*(1-MIN(2*AmortismanAzalanCarpan*$F440,1))^MAX(0,$H440-1)*MIN(2*AmortismanAzalanCarpan*$F440,1),MIN($D440*$F440,$D440)),0))</f>
        <v/>
      </c>
      <c r="L440" s="122">
        <f>IF($D440="",0,$G440-$J440)</f>
        <v/>
      </c>
      <c r="M440" s="122">
        <f>IF($B440="","",CONCATENATE("Kıymet: ",$B440," | NDD: ",TEXT($J440,"#,##0")))</f>
        <v/>
      </c>
    </row>
    <row r="441" ht="15" customHeight="1" s="77">
      <c r="A441" s="123" t="n"/>
      <c r="B441" s="123" t="n"/>
      <c r="C441" s="124" t="n"/>
      <c r="D441" s="125" t="n"/>
      <c r="E441" s="123" t="n"/>
      <c r="F441" s="126" t="n"/>
      <c r="G441" s="125" t="n"/>
      <c r="H441" s="122">
        <f>IF($D441="",0,MAX(0,ROUNDDOWN((AmortismanRaporTarihi-$C441)/365,0)))</f>
        <v/>
      </c>
      <c r="I441" s="122">
        <f>IF($D441="",0,IFERROR(IF($E441="Azalan",MAX(0,$D441*(1-MIN(2*AmortismanAzalanCarpan*$F441,1)^$H441)),MIN($D441,$D441*$F441*$H441)),0))</f>
        <v/>
      </c>
      <c r="J441" s="122">
        <f>IF($D441="",0,MAX(0,$D441-$I441))</f>
        <v/>
      </c>
      <c r="K441" s="122">
        <f>IF($H441=0,0,IFERROR(IF($E441="Azalan",$D441*(1-MIN(2*AmortismanAzalanCarpan*$F441,1))^MAX(0,$H441-1)*MIN(2*AmortismanAzalanCarpan*$F441,1),MIN($D441*$F441,$D441)),0))</f>
        <v/>
      </c>
      <c r="L441" s="122">
        <f>IF($D441="",0,$G441-$J441)</f>
        <v/>
      </c>
      <c r="M441" s="122">
        <f>IF($B441="","",CONCATENATE("Kıymet: ",$B441," | NDD: ",TEXT($J441,"#,##0")))</f>
        <v/>
      </c>
    </row>
    <row r="442" ht="15" customHeight="1" s="77">
      <c r="A442" s="123" t="n"/>
      <c r="B442" s="123" t="n"/>
      <c r="C442" s="124" t="n"/>
      <c r="D442" s="125" t="n"/>
      <c r="E442" s="123" t="n"/>
      <c r="F442" s="126" t="n"/>
      <c r="G442" s="125" t="n"/>
      <c r="H442" s="122">
        <f>IF($D442="",0,MAX(0,ROUNDDOWN((AmortismanRaporTarihi-$C442)/365,0)))</f>
        <v/>
      </c>
      <c r="I442" s="122">
        <f>IF($D442="",0,IFERROR(IF($E442="Azalan",MAX(0,$D442*(1-MIN(2*AmortismanAzalanCarpan*$F442,1)^$H442)),MIN($D442,$D442*$F442*$H442)),0))</f>
        <v/>
      </c>
      <c r="J442" s="122">
        <f>IF($D442="",0,MAX(0,$D442-$I442))</f>
        <v/>
      </c>
      <c r="K442" s="122">
        <f>IF($H442=0,0,IFERROR(IF($E442="Azalan",$D442*(1-MIN(2*AmortismanAzalanCarpan*$F442,1))^MAX(0,$H442-1)*MIN(2*AmortismanAzalanCarpan*$F442,1),MIN($D442*$F442,$D442)),0))</f>
        <v/>
      </c>
      <c r="L442" s="122">
        <f>IF($D442="",0,$G442-$J442)</f>
        <v/>
      </c>
      <c r="M442" s="122">
        <f>IF($B442="","",CONCATENATE("Kıymet: ",$B442," | NDD: ",TEXT($J442,"#,##0")))</f>
        <v/>
      </c>
    </row>
    <row r="443" ht="15" customHeight="1" s="77">
      <c r="A443" s="123" t="n"/>
      <c r="B443" s="123" t="n"/>
      <c r="C443" s="124" t="n"/>
      <c r="D443" s="125" t="n"/>
      <c r="E443" s="123" t="n"/>
      <c r="F443" s="126" t="n"/>
      <c r="G443" s="125" t="n"/>
      <c r="H443" s="122">
        <f>IF($D443="",0,MAX(0,ROUNDDOWN((AmortismanRaporTarihi-$C443)/365,0)))</f>
        <v/>
      </c>
      <c r="I443" s="122">
        <f>IF($D443="",0,IFERROR(IF($E443="Azalan",MAX(0,$D443*(1-MIN(2*AmortismanAzalanCarpan*$F443,1)^$H443)),MIN($D443,$D443*$F443*$H443)),0))</f>
        <v/>
      </c>
      <c r="J443" s="122">
        <f>IF($D443="",0,MAX(0,$D443-$I443))</f>
        <v/>
      </c>
      <c r="K443" s="122">
        <f>IF($H443=0,0,IFERROR(IF($E443="Azalan",$D443*(1-MIN(2*AmortismanAzalanCarpan*$F443,1))^MAX(0,$H443-1)*MIN(2*AmortismanAzalanCarpan*$F443,1),MIN($D443*$F443,$D443)),0))</f>
        <v/>
      </c>
      <c r="L443" s="122">
        <f>IF($D443="",0,$G443-$J443)</f>
        <v/>
      </c>
      <c r="M443" s="122">
        <f>IF($B443="","",CONCATENATE("Kıymet: ",$B443," | NDD: ",TEXT($J443,"#,##0")))</f>
        <v/>
      </c>
    </row>
    <row r="444" ht="15" customHeight="1" s="77">
      <c r="A444" s="123" t="n"/>
      <c r="B444" s="123" t="n"/>
      <c r="C444" s="124" t="n"/>
      <c r="D444" s="125" t="n"/>
      <c r="E444" s="123" t="n"/>
      <c r="F444" s="126" t="n"/>
      <c r="G444" s="125" t="n"/>
      <c r="H444" s="122">
        <f>IF($D444="",0,MAX(0,ROUNDDOWN((AmortismanRaporTarihi-$C444)/365,0)))</f>
        <v/>
      </c>
      <c r="I444" s="122">
        <f>IF($D444="",0,IFERROR(IF($E444="Azalan",MAX(0,$D444*(1-MIN(2*AmortismanAzalanCarpan*$F444,1)^$H444)),MIN($D444,$D444*$F444*$H444)),0))</f>
        <v/>
      </c>
      <c r="J444" s="122">
        <f>IF($D444="",0,MAX(0,$D444-$I444))</f>
        <v/>
      </c>
      <c r="K444" s="122">
        <f>IF($H444=0,0,IFERROR(IF($E444="Azalan",$D444*(1-MIN(2*AmortismanAzalanCarpan*$F444,1))^MAX(0,$H444-1)*MIN(2*AmortismanAzalanCarpan*$F444,1),MIN($D444*$F444,$D444)),0))</f>
        <v/>
      </c>
      <c r="L444" s="122">
        <f>IF($D444="",0,$G444-$J444)</f>
        <v/>
      </c>
      <c r="M444" s="122">
        <f>IF($B444="","",CONCATENATE("Kıymet: ",$B444," | NDD: ",TEXT($J444,"#,##0")))</f>
        <v/>
      </c>
    </row>
    <row r="445" ht="15" customHeight="1" s="77">
      <c r="A445" s="123" t="n"/>
      <c r="B445" s="123" t="n"/>
      <c r="C445" s="124" t="n"/>
      <c r="D445" s="125" t="n"/>
      <c r="E445" s="123" t="n"/>
      <c r="F445" s="126" t="n"/>
      <c r="G445" s="125" t="n"/>
      <c r="H445" s="122">
        <f>IF($D445="",0,MAX(0,ROUNDDOWN((AmortismanRaporTarihi-$C445)/365,0)))</f>
        <v/>
      </c>
      <c r="I445" s="122">
        <f>IF($D445="",0,IFERROR(IF($E445="Azalan",MAX(0,$D445*(1-MIN(2*AmortismanAzalanCarpan*$F445,1)^$H445)),MIN($D445,$D445*$F445*$H445)),0))</f>
        <v/>
      </c>
      <c r="J445" s="122">
        <f>IF($D445="",0,MAX(0,$D445-$I445))</f>
        <v/>
      </c>
      <c r="K445" s="122">
        <f>IF($H445=0,0,IFERROR(IF($E445="Azalan",$D445*(1-MIN(2*AmortismanAzalanCarpan*$F445,1))^MAX(0,$H445-1)*MIN(2*AmortismanAzalanCarpan*$F445,1),MIN($D445*$F445,$D445)),0))</f>
        <v/>
      </c>
      <c r="L445" s="122">
        <f>IF($D445="",0,$G445-$J445)</f>
        <v/>
      </c>
      <c r="M445" s="122">
        <f>IF($B445="","",CONCATENATE("Kıymet: ",$B445," | NDD: ",TEXT($J445,"#,##0")))</f>
        <v/>
      </c>
    </row>
    <row r="446" ht="15" customHeight="1" s="77">
      <c r="A446" s="123" t="n"/>
      <c r="B446" s="123" t="n"/>
      <c r="C446" s="124" t="n"/>
      <c r="D446" s="125" t="n"/>
      <c r="E446" s="123" t="n"/>
      <c r="F446" s="126" t="n"/>
      <c r="G446" s="125" t="n"/>
      <c r="H446" s="122">
        <f>IF($D446="",0,MAX(0,ROUNDDOWN((AmortismanRaporTarihi-$C446)/365,0)))</f>
        <v/>
      </c>
      <c r="I446" s="122">
        <f>IF($D446="",0,IFERROR(IF($E446="Azalan",MAX(0,$D446*(1-MIN(2*AmortismanAzalanCarpan*$F446,1)^$H446)),MIN($D446,$D446*$F446*$H446)),0))</f>
        <v/>
      </c>
      <c r="J446" s="122">
        <f>IF($D446="",0,MAX(0,$D446-$I446))</f>
        <v/>
      </c>
      <c r="K446" s="122">
        <f>IF($H446=0,0,IFERROR(IF($E446="Azalan",$D446*(1-MIN(2*AmortismanAzalanCarpan*$F446,1))^MAX(0,$H446-1)*MIN(2*AmortismanAzalanCarpan*$F446,1),MIN($D446*$F446,$D446)),0))</f>
        <v/>
      </c>
      <c r="L446" s="122">
        <f>IF($D446="",0,$G446-$J446)</f>
        <v/>
      </c>
      <c r="M446" s="122">
        <f>IF($B446="","",CONCATENATE("Kıymet: ",$B446," | NDD: ",TEXT($J446,"#,##0")))</f>
        <v/>
      </c>
    </row>
    <row r="447" ht="15" customHeight="1" s="77">
      <c r="A447" s="123" t="n"/>
      <c r="B447" s="123" t="n"/>
      <c r="C447" s="124" t="n"/>
      <c r="D447" s="125" t="n"/>
      <c r="E447" s="123" t="n"/>
      <c r="F447" s="126" t="n"/>
      <c r="G447" s="125" t="n"/>
      <c r="H447" s="122">
        <f>IF($D447="",0,MAX(0,ROUNDDOWN((AmortismanRaporTarihi-$C447)/365,0)))</f>
        <v/>
      </c>
      <c r="I447" s="122">
        <f>IF($D447="",0,IFERROR(IF($E447="Azalan",MAX(0,$D447*(1-MIN(2*AmortismanAzalanCarpan*$F447,1)^$H447)),MIN($D447,$D447*$F447*$H447)),0))</f>
        <v/>
      </c>
      <c r="J447" s="122">
        <f>IF($D447="",0,MAX(0,$D447-$I447))</f>
        <v/>
      </c>
      <c r="K447" s="122">
        <f>IF($H447=0,0,IFERROR(IF($E447="Azalan",$D447*(1-MIN(2*AmortismanAzalanCarpan*$F447,1))^MAX(0,$H447-1)*MIN(2*AmortismanAzalanCarpan*$F447,1),MIN($D447*$F447,$D447)),0))</f>
        <v/>
      </c>
      <c r="L447" s="122">
        <f>IF($D447="",0,$G447-$J447)</f>
        <v/>
      </c>
      <c r="M447" s="122">
        <f>IF($B447="","",CONCATENATE("Kıymet: ",$B447," | NDD: ",TEXT($J447,"#,##0")))</f>
        <v/>
      </c>
    </row>
    <row r="448" ht="15" customHeight="1" s="77">
      <c r="A448" s="123" t="n"/>
      <c r="B448" s="123" t="n"/>
      <c r="C448" s="124" t="n"/>
      <c r="D448" s="125" t="n"/>
      <c r="E448" s="123" t="n"/>
      <c r="F448" s="126" t="n"/>
      <c r="G448" s="125" t="n"/>
      <c r="H448" s="122">
        <f>IF($D448="",0,MAX(0,ROUNDDOWN((AmortismanRaporTarihi-$C448)/365,0)))</f>
        <v/>
      </c>
      <c r="I448" s="122">
        <f>IF($D448="",0,IFERROR(IF($E448="Azalan",MAX(0,$D448*(1-MIN(2*AmortismanAzalanCarpan*$F448,1)^$H448)),MIN($D448,$D448*$F448*$H448)),0))</f>
        <v/>
      </c>
      <c r="J448" s="122">
        <f>IF($D448="",0,MAX(0,$D448-$I448))</f>
        <v/>
      </c>
      <c r="K448" s="122">
        <f>IF($H448=0,0,IFERROR(IF($E448="Azalan",$D448*(1-MIN(2*AmortismanAzalanCarpan*$F448,1))^MAX(0,$H448-1)*MIN(2*AmortismanAzalanCarpan*$F448,1),MIN($D448*$F448,$D448)),0))</f>
        <v/>
      </c>
      <c r="L448" s="122">
        <f>IF($D448="",0,$G448-$J448)</f>
        <v/>
      </c>
      <c r="M448" s="122">
        <f>IF($B448="","",CONCATENATE("Kıymet: ",$B448," | NDD: ",TEXT($J448,"#,##0")))</f>
        <v/>
      </c>
    </row>
    <row r="449" ht="15" customHeight="1" s="77">
      <c r="A449" s="123" t="n"/>
      <c r="B449" s="123" t="n"/>
      <c r="C449" s="124" t="n"/>
      <c r="D449" s="125" t="n"/>
      <c r="E449" s="123" t="n"/>
      <c r="F449" s="126" t="n"/>
      <c r="G449" s="125" t="n"/>
      <c r="H449" s="122">
        <f>IF($D449="",0,MAX(0,ROUNDDOWN((AmortismanRaporTarihi-$C449)/365,0)))</f>
        <v/>
      </c>
      <c r="I449" s="122">
        <f>IF($D449="",0,IFERROR(IF($E449="Azalan",MAX(0,$D449*(1-MIN(2*AmortismanAzalanCarpan*$F449,1)^$H449)),MIN($D449,$D449*$F449*$H449)),0))</f>
        <v/>
      </c>
      <c r="J449" s="122">
        <f>IF($D449="",0,MAX(0,$D449-$I449))</f>
        <v/>
      </c>
      <c r="K449" s="122">
        <f>IF($H449=0,0,IFERROR(IF($E449="Azalan",$D449*(1-MIN(2*AmortismanAzalanCarpan*$F449,1))^MAX(0,$H449-1)*MIN(2*AmortismanAzalanCarpan*$F449,1),MIN($D449*$F449,$D449)),0))</f>
        <v/>
      </c>
      <c r="L449" s="122">
        <f>IF($D449="",0,$G449-$J449)</f>
        <v/>
      </c>
      <c r="M449" s="122">
        <f>IF($B449="","",CONCATENATE("Kıymet: ",$B449," | NDD: ",TEXT($J449,"#,##0")))</f>
        <v/>
      </c>
    </row>
    <row r="450" ht="15" customHeight="1" s="77">
      <c r="A450" s="123" t="n"/>
      <c r="B450" s="123" t="n"/>
      <c r="C450" s="124" t="n"/>
      <c r="D450" s="125" t="n"/>
      <c r="E450" s="123" t="n"/>
      <c r="F450" s="126" t="n"/>
      <c r="G450" s="125" t="n"/>
      <c r="H450" s="122">
        <f>IF($D450="",0,MAX(0,ROUNDDOWN((AmortismanRaporTarihi-$C450)/365,0)))</f>
        <v/>
      </c>
      <c r="I450" s="122">
        <f>IF($D450="",0,IFERROR(IF($E450="Azalan",MAX(0,$D450*(1-MIN(2*AmortismanAzalanCarpan*$F450,1)^$H450)),MIN($D450,$D450*$F450*$H450)),0))</f>
        <v/>
      </c>
      <c r="J450" s="122">
        <f>IF($D450="",0,MAX(0,$D450-$I450))</f>
        <v/>
      </c>
      <c r="K450" s="122">
        <f>IF($H450=0,0,IFERROR(IF($E450="Azalan",$D450*(1-MIN(2*AmortismanAzalanCarpan*$F450,1))^MAX(0,$H450-1)*MIN(2*AmortismanAzalanCarpan*$F450,1),MIN($D450*$F450,$D450)),0))</f>
        <v/>
      </c>
      <c r="L450" s="122">
        <f>IF($D450="",0,$G450-$J450)</f>
        <v/>
      </c>
      <c r="M450" s="122">
        <f>IF($B450="","",CONCATENATE("Kıymet: ",$B450," | NDD: ",TEXT($J450,"#,##0")))</f>
        <v/>
      </c>
    </row>
    <row r="451" ht="15" customHeight="1" s="77">
      <c r="A451" s="123" t="n"/>
      <c r="B451" s="123" t="n"/>
      <c r="C451" s="124" t="n"/>
      <c r="D451" s="125" t="n"/>
      <c r="E451" s="123" t="n"/>
      <c r="F451" s="126" t="n"/>
      <c r="G451" s="125" t="n"/>
      <c r="H451" s="122">
        <f>IF($D451="",0,MAX(0,ROUNDDOWN((AmortismanRaporTarihi-$C451)/365,0)))</f>
        <v/>
      </c>
      <c r="I451" s="122">
        <f>IF($D451="",0,IFERROR(IF($E451="Azalan",MAX(0,$D451*(1-MIN(2*AmortismanAzalanCarpan*$F451,1)^$H451)),MIN($D451,$D451*$F451*$H451)),0))</f>
        <v/>
      </c>
      <c r="J451" s="122">
        <f>IF($D451="",0,MAX(0,$D451-$I451))</f>
        <v/>
      </c>
      <c r="K451" s="122">
        <f>IF($H451=0,0,IFERROR(IF($E451="Azalan",$D451*(1-MIN(2*AmortismanAzalanCarpan*$F451,1))^MAX(0,$H451-1)*MIN(2*AmortismanAzalanCarpan*$F451,1),MIN($D451*$F451,$D451)),0))</f>
        <v/>
      </c>
      <c r="L451" s="122">
        <f>IF($D451="",0,$G451-$J451)</f>
        <v/>
      </c>
      <c r="M451" s="122">
        <f>IF($B451="","",CONCATENATE("Kıymet: ",$B451," | NDD: ",TEXT($J451,"#,##0")))</f>
        <v/>
      </c>
    </row>
    <row r="452" ht="15" customHeight="1" s="77">
      <c r="A452" s="123" t="n"/>
      <c r="B452" s="123" t="n"/>
      <c r="C452" s="124" t="n"/>
      <c r="D452" s="125" t="n"/>
      <c r="E452" s="123" t="n"/>
      <c r="F452" s="126" t="n"/>
      <c r="G452" s="125" t="n"/>
      <c r="H452" s="122">
        <f>IF($D452="",0,MAX(0,ROUNDDOWN((AmortismanRaporTarihi-$C452)/365,0)))</f>
        <v/>
      </c>
      <c r="I452" s="122">
        <f>IF($D452="",0,IFERROR(IF($E452="Azalan",MAX(0,$D452*(1-MIN(2*AmortismanAzalanCarpan*$F452,1)^$H452)),MIN($D452,$D452*$F452*$H452)),0))</f>
        <v/>
      </c>
      <c r="J452" s="122">
        <f>IF($D452="",0,MAX(0,$D452-$I452))</f>
        <v/>
      </c>
      <c r="K452" s="122">
        <f>IF($H452=0,0,IFERROR(IF($E452="Azalan",$D452*(1-MIN(2*AmortismanAzalanCarpan*$F452,1))^MAX(0,$H452-1)*MIN(2*AmortismanAzalanCarpan*$F452,1),MIN($D452*$F452,$D452)),0))</f>
        <v/>
      </c>
      <c r="L452" s="122">
        <f>IF($D452="",0,$G452-$J452)</f>
        <v/>
      </c>
      <c r="M452" s="122">
        <f>IF($B452="","",CONCATENATE("Kıymet: ",$B452," | NDD: ",TEXT($J452,"#,##0")))</f>
        <v/>
      </c>
    </row>
    <row r="453" ht="15" customHeight="1" s="77">
      <c r="A453" s="123" t="n"/>
      <c r="B453" s="123" t="n"/>
      <c r="C453" s="124" t="n"/>
      <c r="D453" s="125" t="n"/>
      <c r="E453" s="123" t="n"/>
      <c r="F453" s="126" t="n"/>
      <c r="G453" s="125" t="n"/>
      <c r="H453" s="122">
        <f>IF($D453="",0,MAX(0,ROUNDDOWN((AmortismanRaporTarihi-$C453)/365,0)))</f>
        <v/>
      </c>
      <c r="I453" s="122">
        <f>IF($D453="",0,IFERROR(IF($E453="Azalan",MAX(0,$D453*(1-MIN(2*AmortismanAzalanCarpan*$F453,1)^$H453)),MIN($D453,$D453*$F453*$H453)),0))</f>
        <v/>
      </c>
      <c r="J453" s="122">
        <f>IF($D453="",0,MAX(0,$D453-$I453))</f>
        <v/>
      </c>
      <c r="K453" s="122">
        <f>IF($H453=0,0,IFERROR(IF($E453="Azalan",$D453*(1-MIN(2*AmortismanAzalanCarpan*$F453,1))^MAX(0,$H453-1)*MIN(2*AmortismanAzalanCarpan*$F453,1),MIN($D453*$F453,$D453)),0))</f>
        <v/>
      </c>
      <c r="L453" s="122">
        <f>IF($D453="",0,$G453-$J453)</f>
        <v/>
      </c>
      <c r="M453" s="122">
        <f>IF($B453="","",CONCATENATE("Kıymet: ",$B453," | NDD: ",TEXT($J453,"#,##0")))</f>
        <v/>
      </c>
    </row>
    <row r="454" ht="15" customHeight="1" s="77">
      <c r="A454" s="123" t="n"/>
      <c r="B454" s="123" t="n"/>
      <c r="C454" s="124" t="n"/>
      <c r="D454" s="125" t="n"/>
      <c r="E454" s="123" t="n"/>
      <c r="F454" s="126" t="n"/>
      <c r="G454" s="125" t="n"/>
      <c r="H454" s="122">
        <f>IF($D454="",0,MAX(0,ROUNDDOWN((AmortismanRaporTarihi-$C454)/365,0)))</f>
        <v/>
      </c>
      <c r="I454" s="122">
        <f>IF($D454="",0,IFERROR(IF($E454="Azalan",MAX(0,$D454*(1-MIN(2*AmortismanAzalanCarpan*$F454,1)^$H454)),MIN($D454,$D454*$F454*$H454)),0))</f>
        <v/>
      </c>
      <c r="J454" s="122">
        <f>IF($D454="",0,MAX(0,$D454-$I454))</f>
        <v/>
      </c>
      <c r="K454" s="122">
        <f>IF($H454=0,0,IFERROR(IF($E454="Azalan",$D454*(1-MIN(2*AmortismanAzalanCarpan*$F454,1))^MAX(0,$H454-1)*MIN(2*AmortismanAzalanCarpan*$F454,1),MIN($D454*$F454,$D454)),0))</f>
        <v/>
      </c>
      <c r="L454" s="122">
        <f>IF($D454="",0,$G454-$J454)</f>
        <v/>
      </c>
      <c r="M454" s="122">
        <f>IF($B454="","",CONCATENATE("Kıymet: ",$B454," | NDD: ",TEXT($J454,"#,##0")))</f>
        <v/>
      </c>
    </row>
    <row r="455" ht="15" customHeight="1" s="77">
      <c r="A455" s="123" t="n"/>
      <c r="B455" s="123" t="n"/>
      <c r="C455" s="124" t="n"/>
      <c r="D455" s="125" t="n"/>
      <c r="E455" s="123" t="n"/>
      <c r="F455" s="126" t="n"/>
      <c r="G455" s="125" t="n"/>
      <c r="H455" s="122">
        <f>IF($D455="",0,MAX(0,ROUNDDOWN((AmortismanRaporTarihi-$C455)/365,0)))</f>
        <v/>
      </c>
      <c r="I455" s="122">
        <f>IF($D455="",0,IFERROR(IF($E455="Azalan",MAX(0,$D455*(1-MIN(2*AmortismanAzalanCarpan*$F455,1)^$H455)),MIN($D455,$D455*$F455*$H455)),0))</f>
        <v/>
      </c>
      <c r="J455" s="122">
        <f>IF($D455="",0,MAX(0,$D455-$I455))</f>
        <v/>
      </c>
      <c r="K455" s="122">
        <f>IF($H455=0,0,IFERROR(IF($E455="Azalan",$D455*(1-MIN(2*AmortismanAzalanCarpan*$F455,1))^MAX(0,$H455-1)*MIN(2*AmortismanAzalanCarpan*$F455,1),MIN($D455*$F455,$D455)),0))</f>
        <v/>
      </c>
      <c r="L455" s="122">
        <f>IF($D455="",0,$G455-$J455)</f>
        <v/>
      </c>
      <c r="M455" s="122">
        <f>IF($B455="","",CONCATENATE("Kıymet: ",$B455," | NDD: ",TEXT($J455,"#,##0")))</f>
        <v/>
      </c>
    </row>
    <row r="456" ht="15" customHeight="1" s="77">
      <c r="A456" s="123" t="n"/>
      <c r="B456" s="123" t="n"/>
      <c r="C456" s="124" t="n"/>
      <c r="D456" s="125" t="n"/>
      <c r="E456" s="123" t="n"/>
      <c r="F456" s="126" t="n"/>
      <c r="G456" s="125" t="n"/>
      <c r="H456" s="122">
        <f>IF($D456="",0,MAX(0,ROUNDDOWN((AmortismanRaporTarihi-$C456)/365,0)))</f>
        <v/>
      </c>
      <c r="I456" s="122">
        <f>IF($D456="",0,IFERROR(IF($E456="Azalan",MAX(0,$D456*(1-MIN(2*AmortismanAzalanCarpan*$F456,1)^$H456)),MIN($D456,$D456*$F456*$H456)),0))</f>
        <v/>
      </c>
      <c r="J456" s="122">
        <f>IF($D456="",0,MAX(0,$D456-$I456))</f>
        <v/>
      </c>
      <c r="K456" s="122">
        <f>IF($H456=0,0,IFERROR(IF($E456="Azalan",$D456*(1-MIN(2*AmortismanAzalanCarpan*$F456,1))^MAX(0,$H456-1)*MIN(2*AmortismanAzalanCarpan*$F456,1),MIN($D456*$F456,$D456)),0))</f>
        <v/>
      </c>
      <c r="L456" s="122">
        <f>IF($D456="",0,$G456-$J456)</f>
        <v/>
      </c>
      <c r="M456" s="122">
        <f>IF($B456="","",CONCATENATE("Kıymet: ",$B456," | NDD: ",TEXT($J456,"#,##0")))</f>
        <v/>
      </c>
    </row>
    <row r="457" ht="15" customHeight="1" s="77">
      <c r="A457" s="123" t="n"/>
      <c r="B457" s="123" t="n"/>
      <c r="C457" s="124" t="n"/>
      <c r="D457" s="125" t="n"/>
      <c r="E457" s="123" t="n"/>
      <c r="F457" s="126" t="n"/>
      <c r="G457" s="125" t="n"/>
      <c r="H457" s="122">
        <f>IF($D457="",0,MAX(0,ROUNDDOWN((AmortismanRaporTarihi-$C457)/365,0)))</f>
        <v/>
      </c>
      <c r="I457" s="122">
        <f>IF($D457="",0,IFERROR(IF($E457="Azalan",MAX(0,$D457*(1-MIN(2*AmortismanAzalanCarpan*$F457,1)^$H457)),MIN($D457,$D457*$F457*$H457)),0))</f>
        <v/>
      </c>
      <c r="J457" s="122">
        <f>IF($D457="",0,MAX(0,$D457-$I457))</f>
        <v/>
      </c>
      <c r="K457" s="122">
        <f>IF($H457=0,0,IFERROR(IF($E457="Azalan",$D457*(1-MIN(2*AmortismanAzalanCarpan*$F457,1))^MAX(0,$H457-1)*MIN(2*AmortismanAzalanCarpan*$F457,1),MIN($D457*$F457,$D457)),0))</f>
        <v/>
      </c>
      <c r="L457" s="122">
        <f>IF($D457="",0,$G457-$J457)</f>
        <v/>
      </c>
      <c r="M457" s="122">
        <f>IF($B457="","",CONCATENATE("Kıymet: ",$B457," | NDD: ",TEXT($J457,"#,##0")))</f>
        <v/>
      </c>
    </row>
    <row r="458" ht="15" customHeight="1" s="77">
      <c r="A458" s="123" t="n"/>
      <c r="B458" s="123" t="n"/>
      <c r="C458" s="124" t="n"/>
      <c r="D458" s="125" t="n"/>
      <c r="E458" s="123" t="n"/>
      <c r="F458" s="126" t="n"/>
      <c r="G458" s="125" t="n"/>
      <c r="H458" s="122">
        <f>IF($D458="",0,MAX(0,ROUNDDOWN((AmortismanRaporTarihi-$C458)/365,0)))</f>
        <v/>
      </c>
      <c r="I458" s="122">
        <f>IF($D458="",0,IFERROR(IF($E458="Azalan",MAX(0,$D458*(1-MIN(2*AmortismanAzalanCarpan*$F458,1)^$H458)),MIN($D458,$D458*$F458*$H458)),0))</f>
        <v/>
      </c>
      <c r="J458" s="122">
        <f>IF($D458="",0,MAX(0,$D458-$I458))</f>
        <v/>
      </c>
      <c r="K458" s="122">
        <f>IF($H458=0,0,IFERROR(IF($E458="Azalan",$D458*(1-MIN(2*AmortismanAzalanCarpan*$F458,1))^MAX(0,$H458-1)*MIN(2*AmortismanAzalanCarpan*$F458,1),MIN($D458*$F458,$D458)),0))</f>
        <v/>
      </c>
      <c r="L458" s="122">
        <f>IF($D458="",0,$G458-$J458)</f>
        <v/>
      </c>
      <c r="M458" s="122">
        <f>IF($B458="","",CONCATENATE("Kıymet: ",$B458," | NDD: ",TEXT($J458,"#,##0")))</f>
        <v/>
      </c>
    </row>
    <row r="459" ht="15" customHeight="1" s="77">
      <c r="A459" s="123" t="n"/>
      <c r="B459" s="123" t="n"/>
      <c r="C459" s="124" t="n"/>
      <c r="D459" s="125" t="n"/>
      <c r="E459" s="123" t="n"/>
      <c r="F459" s="126" t="n"/>
      <c r="G459" s="125" t="n"/>
      <c r="H459" s="122">
        <f>IF($D459="",0,MAX(0,ROUNDDOWN((AmortismanRaporTarihi-$C459)/365,0)))</f>
        <v/>
      </c>
      <c r="I459" s="122">
        <f>IF($D459="",0,IFERROR(IF($E459="Azalan",MAX(0,$D459*(1-MIN(2*AmortismanAzalanCarpan*$F459,1)^$H459)),MIN($D459,$D459*$F459*$H459)),0))</f>
        <v/>
      </c>
      <c r="J459" s="122">
        <f>IF($D459="",0,MAX(0,$D459-$I459))</f>
        <v/>
      </c>
      <c r="K459" s="122">
        <f>IF($H459=0,0,IFERROR(IF($E459="Azalan",$D459*(1-MIN(2*AmortismanAzalanCarpan*$F459,1))^MAX(0,$H459-1)*MIN(2*AmortismanAzalanCarpan*$F459,1),MIN($D459*$F459,$D459)),0))</f>
        <v/>
      </c>
      <c r="L459" s="122">
        <f>IF($D459="",0,$G459-$J459)</f>
        <v/>
      </c>
      <c r="M459" s="122">
        <f>IF($B459="","",CONCATENATE("Kıymet: ",$B459," | NDD: ",TEXT($J459,"#,##0")))</f>
        <v/>
      </c>
    </row>
    <row r="460" ht="15" customHeight="1" s="77">
      <c r="A460" s="123" t="n"/>
      <c r="B460" s="123" t="n"/>
      <c r="C460" s="124" t="n"/>
      <c r="D460" s="125" t="n"/>
      <c r="E460" s="123" t="n"/>
      <c r="F460" s="126" t="n"/>
      <c r="G460" s="125" t="n"/>
      <c r="H460" s="122">
        <f>IF($D460="",0,MAX(0,ROUNDDOWN((AmortismanRaporTarihi-$C460)/365,0)))</f>
        <v/>
      </c>
      <c r="I460" s="122">
        <f>IF($D460="",0,IFERROR(IF($E460="Azalan",MAX(0,$D460*(1-MIN(2*AmortismanAzalanCarpan*$F460,1)^$H460)),MIN($D460,$D460*$F460*$H460)),0))</f>
        <v/>
      </c>
      <c r="J460" s="122">
        <f>IF($D460="",0,MAX(0,$D460-$I460))</f>
        <v/>
      </c>
      <c r="K460" s="122">
        <f>IF($H460=0,0,IFERROR(IF($E460="Azalan",$D460*(1-MIN(2*AmortismanAzalanCarpan*$F460,1))^MAX(0,$H460-1)*MIN(2*AmortismanAzalanCarpan*$F460,1),MIN($D460*$F460,$D460)),0))</f>
        <v/>
      </c>
      <c r="L460" s="122">
        <f>IF($D460="",0,$G460-$J460)</f>
        <v/>
      </c>
      <c r="M460" s="122">
        <f>IF($B460="","",CONCATENATE("Kıymet: ",$B460," | NDD: ",TEXT($J460,"#,##0")))</f>
        <v/>
      </c>
    </row>
    <row r="461" ht="15" customHeight="1" s="77">
      <c r="A461" s="123" t="n"/>
      <c r="B461" s="123" t="n"/>
      <c r="C461" s="124" t="n"/>
      <c r="D461" s="125" t="n"/>
      <c r="E461" s="123" t="n"/>
      <c r="F461" s="126" t="n"/>
      <c r="G461" s="125" t="n"/>
      <c r="H461" s="122">
        <f>IF($D461="",0,MAX(0,ROUNDDOWN((AmortismanRaporTarihi-$C461)/365,0)))</f>
        <v/>
      </c>
      <c r="I461" s="122">
        <f>IF($D461="",0,IFERROR(IF($E461="Azalan",MAX(0,$D461*(1-MIN(2*AmortismanAzalanCarpan*$F461,1)^$H461)),MIN($D461,$D461*$F461*$H461)),0))</f>
        <v/>
      </c>
      <c r="J461" s="122">
        <f>IF($D461="",0,MAX(0,$D461-$I461))</f>
        <v/>
      </c>
      <c r="K461" s="122">
        <f>IF($H461=0,0,IFERROR(IF($E461="Azalan",$D461*(1-MIN(2*AmortismanAzalanCarpan*$F461,1))^MAX(0,$H461-1)*MIN(2*AmortismanAzalanCarpan*$F461,1),MIN($D461*$F461,$D461)),0))</f>
        <v/>
      </c>
      <c r="L461" s="122">
        <f>IF($D461="",0,$G461-$J461)</f>
        <v/>
      </c>
      <c r="M461" s="122">
        <f>IF($B461="","",CONCATENATE("Kıymet: ",$B461," | NDD: ",TEXT($J461,"#,##0")))</f>
        <v/>
      </c>
    </row>
    <row r="462" ht="15" customHeight="1" s="77">
      <c r="A462" s="123" t="n"/>
      <c r="B462" s="123" t="n"/>
      <c r="C462" s="124" t="n"/>
      <c r="D462" s="125" t="n"/>
      <c r="E462" s="123" t="n"/>
      <c r="F462" s="126" t="n"/>
      <c r="G462" s="125" t="n"/>
      <c r="H462" s="122">
        <f>IF($D462="",0,MAX(0,ROUNDDOWN((AmortismanRaporTarihi-$C462)/365,0)))</f>
        <v/>
      </c>
      <c r="I462" s="122">
        <f>IF($D462="",0,IFERROR(IF($E462="Azalan",MAX(0,$D462*(1-MIN(2*AmortismanAzalanCarpan*$F462,1)^$H462)),MIN($D462,$D462*$F462*$H462)),0))</f>
        <v/>
      </c>
      <c r="J462" s="122">
        <f>IF($D462="",0,MAX(0,$D462-$I462))</f>
        <v/>
      </c>
      <c r="K462" s="122">
        <f>IF($H462=0,0,IFERROR(IF($E462="Azalan",$D462*(1-MIN(2*AmortismanAzalanCarpan*$F462,1))^MAX(0,$H462-1)*MIN(2*AmortismanAzalanCarpan*$F462,1),MIN($D462*$F462,$D462)),0))</f>
        <v/>
      </c>
      <c r="L462" s="122">
        <f>IF($D462="",0,$G462-$J462)</f>
        <v/>
      </c>
      <c r="M462" s="122">
        <f>IF($B462="","",CONCATENATE("Kıymet: ",$B462," | NDD: ",TEXT($J462,"#,##0")))</f>
        <v/>
      </c>
    </row>
    <row r="463" ht="15" customHeight="1" s="77">
      <c r="A463" s="123" t="n"/>
      <c r="B463" s="123" t="n"/>
      <c r="C463" s="124" t="n"/>
      <c r="D463" s="125" t="n"/>
      <c r="E463" s="123" t="n"/>
      <c r="F463" s="126" t="n"/>
      <c r="G463" s="125" t="n"/>
      <c r="H463" s="122">
        <f>IF($D463="",0,MAX(0,ROUNDDOWN((AmortismanRaporTarihi-$C463)/365,0)))</f>
        <v/>
      </c>
      <c r="I463" s="122">
        <f>IF($D463="",0,IFERROR(IF($E463="Azalan",MAX(0,$D463*(1-MIN(2*AmortismanAzalanCarpan*$F463,1)^$H463)),MIN($D463,$D463*$F463*$H463)),0))</f>
        <v/>
      </c>
      <c r="J463" s="122">
        <f>IF($D463="",0,MAX(0,$D463-$I463))</f>
        <v/>
      </c>
      <c r="K463" s="122">
        <f>IF($H463=0,0,IFERROR(IF($E463="Azalan",$D463*(1-MIN(2*AmortismanAzalanCarpan*$F463,1))^MAX(0,$H463-1)*MIN(2*AmortismanAzalanCarpan*$F463,1),MIN($D463*$F463,$D463)),0))</f>
        <v/>
      </c>
      <c r="L463" s="122">
        <f>IF($D463="",0,$G463-$J463)</f>
        <v/>
      </c>
      <c r="M463" s="122">
        <f>IF($B463="","",CONCATENATE("Kıymet: ",$B463," | NDD: ",TEXT($J463,"#,##0")))</f>
        <v/>
      </c>
    </row>
    <row r="464" ht="15" customHeight="1" s="77">
      <c r="A464" s="123" t="n"/>
      <c r="B464" s="123" t="n"/>
      <c r="C464" s="124" t="n"/>
      <c r="D464" s="125" t="n"/>
      <c r="E464" s="123" t="n"/>
      <c r="F464" s="126" t="n"/>
      <c r="G464" s="125" t="n"/>
      <c r="H464" s="122">
        <f>IF($D464="",0,MAX(0,ROUNDDOWN((AmortismanRaporTarihi-$C464)/365,0)))</f>
        <v/>
      </c>
      <c r="I464" s="122">
        <f>IF($D464="",0,IFERROR(IF($E464="Azalan",MAX(0,$D464*(1-MIN(2*AmortismanAzalanCarpan*$F464,1)^$H464)),MIN($D464,$D464*$F464*$H464)),0))</f>
        <v/>
      </c>
      <c r="J464" s="122">
        <f>IF($D464="",0,MAX(0,$D464-$I464))</f>
        <v/>
      </c>
      <c r="K464" s="122">
        <f>IF($H464=0,0,IFERROR(IF($E464="Azalan",$D464*(1-MIN(2*AmortismanAzalanCarpan*$F464,1))^MAX(0,$H464-1)*MIN(2*AmortismanAzalanCarpan*$F464,1),MIN($D464*$F464,$D464)),0))</f>
        <v/>
      </c>
      <c r="L464" s="122">
        <f>IF($D464="",0,$G464-$J464)</f>
        <v/>
      </c>
      <c r="M464" s="122">
        <f>IF($B464="","",CONCATENATE("Kıymet: ",$B464," | NDD: ",TEXT($J464,"#,##0")))</f>
        <v/>
      </c>
    </row>
    <row r="465" ht="15" customHeight="1" s="77">
      <c r="A465" s="123" t="n"/>
      <c r="B465" s="123" t="n"/>
      <c r="C465" s="124" t="n"/>
      <c r="D465" s="125" t="n"/>
      <c r="E465" s="123" t="n"/>
      <c r="F465" s="126" t="n"/>
      <c r="G465" s="125" t="n"/>
      <c r="H465" s="122">
        <f>IF($D465="",0,MAX(0,ROUNDDOWN((AmortismanRaporTarihi-$C465)/365,0)))</f>
        <v/>
      </c>
      <c r="I465" s="122">
        <f>IF($D465="",0,IFERROR(IF($E465="Azalan",MAX(0,$D465*(1-MIN(2*AmortismanAzalanCarpan*$F465,1)^$H465)),MIN($D465,$D465*$F465*$H465)),0))</f>
        <v/>
      </c>
      <c r="J465" s="122">
        <f>IF($D465="",0,MAX(0,$D465-$I465))</f>
        <v/>
      </c>
      <c r="K465" s="122">
        <f>IF($H465=0,0,IFERROR(IF($E465="Azalan",$D465*(1-MIN(2*AmortismanAzalanCarpan*$F465,1))^MAX(0,$H465-1)*MIN(2*AmortismanAzalanCarpan*$F465,1),MIN($D465*$F465,$D465)),0))</f>
        <v/>
      </c>
      <c r="L465" s="122">
        <f>IF($D465="",0,$G465-$J465)</f>
        <v/>
      </c>
      <c r="M465" s="122">
        <f>IF($B465="","",CONCATENATE("Kıymet: ",$B465," | NDD: ",TEXT($J465,"#,##0")))</f>
        <v/>
      </c>
    </row>
    <row r="466" ht="15" customHeight="1" s="77">
      <c r="A466" s="123" t="n"/>
      <c r="B466" s="123" t="n"/>
      <c r="C466" s="124" t="n"/>
      <c r="D466" s="125" t="n"/>
      <c r="E466" s="123" t="n"/>
      <c r="F466" s="126" t="n"/>
      <c r="G466" s="125" t="n"/>
      <c r="H466" s="122">
        <f>IF($D466="",0,MAX(0,ROUNDDOWN((AmortismanRaporTarihi-$C466)/365,0)))</f>
        <v/>
      </c>
      <c r="I466" s="122">
        <f>IF($D466="",0,IFERROR(IF($E466="Azalan",MAX(0,$D466*(1-MIN(2*AmortismanAzalanCarpan*$F466,1)^$H466)),MIN($D466,$D466*$F466*$H466)),0))</f>
        <v/>
      </c>
      <c r="J466" s="122">
        <f>IF($D466="",0,MAX(0,$D466-$I466))</f>
        <v/>
      </c>
      <c r="K466" s="122">
        <f>IF($H466=0,0,IFERROR(IF($E466="Azalan",$D466*(1-MIN(2*AmortismanAzalanCarpan*$F466,1))^MAX(0,$H466-1)*MIN(2*AmortismanAzalanCarpan*$F466,1),MIN($D466*$F466,$D466)),0))</f>
        <v/>
      </c>
      <c r="L466" s="122">
        <f>IF($D466="",0,$G466-$J466)</f>
        <v/>
      </c>
      <c r="M466" s="122">
        <f>IF($B466="","",CONCATENATE("Kıymet: ",$B466," | NDD: ",TEXT($J466,"#,##0")))</f>
        <v/>
      </c>
    </row>
    <row r="467" ht="15" customHeight="1" s="77">
      <c r="A467" s="123" t="n"/>
      <c r="B467" s="123" t="n"/>
      <c r="C467" s="124" t="n"/>
      <c r="D467" s="125" t="n"/>
      <c r="E467" s="123" t="n"/>
      <c r="F467" s="126" t="n"/>
      <c r="G467" s="125" t="n"/>
      <c r="H467" s="122">
        <f>IF($D467="",0,MAX(0,ROUNDDOWN((AmortismanRaporTarihi-$C467)/365,0)))</f>
        <v/>
      </c>
      <c r="I467" s="122">
        <f>IF($D467="",0,IFERROR(IF($E467="Azalan",MAX(0,$D467*(1-MIN(2*AmortismanAzalanCarpan*$F467,1)^$H467)),MIN($D467,$D467*$F467*$H467)),0))</f>
        <v/>
      </c>
      <c r="J467" s="122">
        <f>IF($D467="",0,MAX(0,$D467-$I467))</f>
        <v/>
      </c>
      <c r="K467" s="122">
        <f>IF($H467=0,0,IFERROR(IF($E467="Azalan",$D467*(1-MIN(2*AmortismanAzalanCarpan*$F467,1))^MAX(0,$H467-1)*MIN(2*AmortismanAzalanCarpan*$F467,1),MIN($D467*$F467,$D467)),0))</f>
        <v/>
      </c>
      <c r="L467" s="122">
        <f>IF($D467="",0,$G467-$J467)</f>
        <v/>
      </c>
      <c r="M467" s="122">
        <f>IF($B467="","",CONCATENATE("Kıymet: ",$B467," | NDD: ",TEXT($J467,"#,##0")))</f>
        <v/>
      </c>
    </row>
    <row r="468" ht="15" customHeight="1" s="77">
      <c r="A468" s="123" t="n"/>
      <c r="B468" s="123" t="n"/>
      <c r="C468" s="124" t="n"/>
      <c r="D468" s="125" t="n"/>
      <c r="E468" s="123" t="n"/>
      <c r="F468" s="126" t="n"/>
      <c r="G468" s="125" t="n"/>
      <c r="H468" s="122">
        <f>IF($D468="",0,MAX(0,ROUNDDOWN((AmortismanRaporTarihi-$C468)/365,0)))</f>
        <v/>
      </c>
      <c r="I468" s="122">
        <f>IF($D468="",0,IFERROR(IF($E468="Azalan",MAX(0,$D468*(1-MIN(2*AmortismanAzalanCarpan*$F468,1)^$H468)),MIN($D468,$D468*$F468*$H468)),0))</f>
        <v/>
      </c>
      <c r="J468" s="122">
        <f>IF($D468="",0,MAX(0,$D468-$I468))</f>
        <v/>
      </c>
      <c r="K468" s="122">
        <f>IF($H468=0,0,IFERROR(IF($E468="Azalan",$D468*(1-MIN(2*AmortismanAzalanCarpan*$F468,1))^MAX(0,$H468-1)*MIN(2*AmortismanAzalanCarpan*$F468,1),MIN($D468*$F468,$D468)),0))</f>
        <v/>
      </c>
      <c r="L468" s="122">
        <f>IF($D468="",0,$G468-$J468)</f>
        <v/>
      </c>
      <c r="M468" s="122">
        <f>IF($B468="","",CONCATENATE("Kıymet: ",$B468," | NDD: ",TEXT($J468,"#,##0")))</f>
        <v/>
      </c>
    </row>
    <row r="469" ht="15" customHeight="1" s="77">
      <c r="A469" s="123" t="n"/>
      <c r="B469" s="123" t="n"/>
      <c r="C469" s="124" t="n"/>
      <c r="D469" s="125" t="n"/>
      <c r="E469" s="123" t="n"/>
      <c r="F469" s="126" t="n"/>
      <c r="G469" s="125" t="n"/>
      <c r="H469" s="122">
        <f>IF($D469="",0,MAX(0,ROUNDDOWN((AmortismanRaporTarihi-$C469)/365,0)))</f>
        <v/>
      </c>
      <c r="I469" s="122">
        <f>IF($D469="",0,IFERROR(IF($E469="Azalan",MAX(0,$D469*(1-MIN(2*AmortismanAzalanCarpan*$F469,1)^$H469)),MIN($D469,$D469*$F469*$H469)),0))</f>
        <v/>
      </c>
      <c r="J469" s="122">
        <f>IF($D469="",0,MAX(0,$D469-$I469))</f>
        <v/>
      </c>
      <c r="K469" s="122">
        <f>IF($H469=0,0,IFERROR(IF($E469="Azalan",$D469*(1-MIN(2*AmortismanAzalanCarpan*$F469,1))^MAX(0,$H469-1)*MIN(2*AmortismanAzalanCarpan*$F469,1),MIN($D469*$F469,$D469)),0))</f>
        <v/>
      </c>
      <c r="L469" s="122">
        <f>IF($D469="",0,$G469-$J469)</f>
        <v/>
      </c>
      <c r="M469" s="122">
        <f>IF($B469="","",CONCATENATE("Kıymet: ",$B469," | NDD: ",TEXT($J469,"#,##0")))</f>
        <v/>
      </c>
    </row>
    <row r="470" ht="15" customHeight="1" s="77">
      <c r="A470" s="123" t="n"/>
      <c r="B470" s="123" t="n"/>
      <c r="C470" s="124" t="n"/>
      <c r="D470" s="125" t="n"/>
      <c r="E470" s="123" t="n"/>
      <c r="F470" s="126" t="n"/>
      <c r="G470" s="125" t="n"/>
      <c r="H470" s="122">
        <f>IF($D470="",0,MAX(0,ROUNDDOWN((AmortismanRaporTarihi-$C470)/365,0)))</f>
        <v/>
      </c>
      <c r="I470" s="122">
        <f>IF($D470="",0,IFERROR(IF($E470="Azalan",MAX(0,$D470*(1-MIN(2*AmortismanAzalanCarpan*$F470,1)^$H470)),MIN($D470,$D470*$F470*$H470)),0))</f>
        <v/>
      </c>
      <c r="J470" s="122">
        <f>IF($D470="",0,MAX(0,$D470-$I470))</f>
        <v/>
      </c>
      <c r="K470" s="122">
        <f>IF($H470=0,0,IFERROR(IF($E470="Azalan",$D470*(1-MIN(2*AmortismanAzalanCarpan*$F470,1))^MAX(0,$H470-1)*MIN(2*AmortismanAzalanCarpan*$F470,1),MIN($D470*$F470,$D470)),0))</f>
        <v/>
      </c>
      <c r="L470" s="122">
        <f>IF($D470="",0,$G470-$J470)</f>
        <v/>
      </c>
      <c r="M470" s="122">
        <f>IF($B470="","",CONCATENATE("Kıymet: ",$B470," | NDD: ",TEXT($J470,"#,##0")))</f>
        <v/>
      </c>
    </row>
    <row r="471" ht="15" customHeight="1" s="77">
      <c r="A471" s="123" t="n"/>
      <c r="B471" s="123" t="n"/>
      <c r="C471" s="124" t="n"/>
      <c r="D471" s="125" t="n"/>
      <c r="E471" s="123" t="n"/>
      <c r="F471" s="126" t="n"/>
      <c r="G471" s="125" t="n"/>
      <c r="H471" s="122">
        <f>IF($D471="",0,MAX(0,ROUNDDOWN((AmortismanRaporTarihi-$C471)/365,0)))</f>
        <v/>
      </c>
      <c r="I471" s="122">
        <f>IF($D471="",0,IFERROR(IF($E471="Azalan",MAX(0,$D471*(1-MIN(2*AmortismanAzalanCarpan*$F471,1)^$H471)),MIN($D471,$D471*$F471*$H471)),0))</f>
        <v/>
      </c>
      <c r="J471" s="122">
        <f>IF($D471="",0,MAX(0,$D471-$I471))</f>
        <v/>
      </c>
      <c r="K471" s="122">
        <f>IF($H471=0,0,IFERROR(IF($E471="Azalan",$D471*(1-MIN(2*AmortismanAzalanCarpan*$F471,1))^MAX(0,$H471-1)*MIN(2*AmortismanAzalanCarpan*$F471,1),MIN($D471*$F471,$D471)),0))</f>
        <v/>
      </c>
      <c r="L471" s="122">
        <f>IF($D471="",0,$G471-$J471)</f>
        <v/>
      </c>
      <c r="M471" s="122">
        <f>IF($B471="","",CONCATENATE("Kıymet: ",$B471," | NDD: ",TEXT($J471,"#,##0")))</f>
        <v/>
      </c>
    </row>
    <row r="472" ht="15" customHeight="1" s="77">
      <c r="A472" s="123" t="n"/>
      <c r="B472" s="123" t="n"/>
      <c r="C472" s="124" t="n"/>
      <c r="D472" s="125" t="n"/>
      <c r="E472" s="123" t="n"/>
      <c r="F472" s="126" t="n"/>
      <c r="G472" s="125" t="n"/>
      <c r="H472" s="122">
        <f>IF($D472="",0,MAX(0,ROUNDDOWN((AmortismanRaporTarihi-$C472)/365,0)))</f>
        <v/>
      </c>
      <c r="I472" s="122">
        <f>IF($D472="",0,IFERROR(IF($E472="Azalan",MAX(0,$D472*(1-MIN(2*AmortismanAzalanCarpan*$F472,1)^$H472)),MIN($D472,$D472*$F472*$H472)),0))</f>
        <v/>
      </c>
      <c r="J472" s="122">
        <f>IF($D472="",0,MAX(0,$D472-$I472))</f>
        <v/>
      </c>
      <c r="K472" s="122">
        <f>IF($H472=0,0,IFERROR(IF($E472="Azalan",$D472*(1-MIN(2*AmortismanAzalanCarpan*$F472,1))^MAX(0,$H472-1)*MIN(2*AmortismanAzalanCarpan*$F472,1),MIN($D472*$F472,$D472)),0))</f>
        <v/>
      </c>
      <c r="L472" s="122">
        <f>IF($D472="",0,$G472-$J472)</f>
        <v/>
      </c>
      <c r="M472" s="122">
        <f>IF($B472="","",CONCATENATE("Kıymet: ",$B472," | NDD: ",TEXT($J472,"#,##0")))</f>
        <v/>
      </c>
    </row>
    <row r="473" ht="15" customHeight="1" s="77">
      <c r="A473" s="123" t="n"/>
      <c r="B473" s="123" t="n"/>
      <c r="C473" s="124" t="n"/>
      <c r="D473" s="125" t="n"/>
      <c r="E473" s="123" t="n"/>
      <c r="F473" s="126" t="n"/>
      <c r="G473" s="125" t="n"/>
      <c r="H473" s="122">
        <f>IF($D473="",0,MAX(0,ROUNDDOWN((AmortismanRaporTarihi-$C473)/365,0)))</f>
        <v/>
      </c>
      <c r="I473" s="122">
        <f>IF($D473="",0,IFERROR(IF($E473="Azalan",MAX(0,$D473*(1-MIN(2*AmortismanAzalanCarpan*$F473,1)^$H473)),MIN($D473,$D473*$F473*$H473)),0))</f>
        <v/>
      </c>
      <c r="J473" s="122">
        <f>IF($D473="",0,MAX(0,$D473-$I473))</f>
        <v/>
      </c>
      <c r="K473" s="122">
        <f>IF($H473=0,0,IFERROR(IF($E473="Azalan",$D473*(1-MIN(2*AmortismanAzalanCarpan*$F473,1))^MAX(0,$H473-1)*MIN(2*AmortismanAzalanCarpan*$F473,1),MIN($D473*$F473,$D473)),0))</f>
        <v/>
      </c>
      <c r="L473" s="122">
        <f>IF($D473="",0,$G473-$J473)</f>
        <v/>
      </c>
      <c r="M473" s="122">
        <f>IF($B473="","",CONCATENATE("Kıymet: ",$B473," | NDD: ",TEXT($J473,"#,##0")))</f>
        <v/>
      </c>
    </row>
    <row r="474" ht="15" customHeight="1" s="77">
      <c r="A474" s="123" t="n"/>
      <c r="B474" s="123" t="n"/>
      <c r="C474" s="124" t="n"/>
      <c r="D474" s="125" t="n"/>
      <c r="E474" s="123" t="n"/>
      <c r="F474" s="126" t="n"/>
      <c r="G474" s="125" t="n"/>
      <c r="H474" s="122">
        <f>IF($D474="",0,MAX(0,ROUNDDOWN((AmortismanRaporTarihi-$C474)/365,0)))</f>
        <v/>
      </c>
      <c r="I474" s="122">
        <f>IF($D474="",0,IFERROR(IF($E474="Azalan",MAX(0,$D474*(1-MIN(2*AmortismanAzalanCarpan*$F474,1)^$H474)),MIN($D474,$D474*$F474*$H474)),0))</f>
        <v/>
      </c>
      <c r="J474" s="122">
        <f>IF($D474="",0,MAX(0,$D474-$I474))</f>
        <v/>
      </c>
      <c r="K474" s="122">
        <f>IF($H474=0,0,IFERROR(IF($E474="Azalan",$D474*(1-MIN(2*AmortismanAzalanCarpan*$F474,1))^MAX(0,$H474-1)*MIN(2*AmortismanAzalanCarpan*$F474,1),MIN($D474*$F474,$D474)),0))</f>
        <v/>
      </c>
      <c r="L474" s="122">
        <f>IF($D474="",0,$G474-$J474)</f>
        <v/>
      </c>
      <c r="M474" s="122">
        <f>IF($B474="","",CONCATENATE("Kıymet: ",$B474," | NDD: ",TEXT($J474,"#,##0")))</f>
        <v/>
      </c>
    </row>
    <row r="475" ht="15" customHeight="1" s="77">
      <c r="A475" s="123" t="n"/>
      <c r="B475" s="123" t="n"/>
      <c r="C475" s="124" t="n"/>
      <c r="D475" s="125" t="n"/>
      <c r="E475" s="123" t="n"/>
      <c r="F475" s="126" t="n"/>
      <c r="G475" s="125" t="n"/>
      <c r="H475" s="122">
        <f>IF($D475="",0,MAX(0,ROUNDDOWN((AmortismanRaporTarihi-$C475)/365,0)))</f>
        <v/>
      </c>
      <c r="I475" s="122">
        <f>IF($D475="",0,IFERROR(IF($E475="Azalan",MAX(0,$D475*(1-MIN(2*AmortismanAzalanCarpan*$F475,1)^$H475)),MIN($D475,$D475*$F475*$H475)),0))</f>
        <v/>
      </c>
      <c r="J475" s="122">
        <f>IF($D475="",0,MAX(0,$D475-$I475))</f>
        <v/>
      </c>
      <c r="K475" s="122">
        <f>IF($H475=0,0,IFERROR(IF($E475="Azalan",$D475*(1-MIN(2*AmortismanAzalanCarpan*$F475,1))^MAX(0,$H475-1)*MIN(2*AmortismanAzalanCarpan*$F475,1),MIN($D475*$F475,$D475)),0))</f>
        <v/>
      </c>
      <c r="L475" s="122">
        <f>IF($D475="",0,$G475-$J475)</f>
        <v/>
      </c>
      <c r="M475" s="122">
        <f>IF($B475="","",CONCATENATE("Kıymet: ",$B475," | NDD: ",TEXT($J475,"#,##0")))</f>
        <v/>
      </c>
    </row>
    <row r="476" ht="15" customHeight="1" s="77">
      <c r="A476" s="123" t="n"/>
      <c r="B476" s="123" t="n"/>
      <c r="C476" s="124" t="n"/>
      <c r="D476" s="125" t="n"/>
      <c r="E476" s="123" t="n"/>
      <c r="F476" s="126" t="n"/>
      <c r="G476" s="125" t="n"/>
      <c r="H476" s="122">
        <f>IF($D476="",0,MAX(0,ROUNDDOWN((AmortismanRaporTarihi-$C476)/365,0)))</f>
        <v/>
      </c>
      <c r="I476" s="122">
        <f>IF($D476="",0,IFERROR(IF($E476="Azalan",MAX(0,$D476*(1-MIN(2*AmortismanAzalanCarpan*$F476,1)^$H476)),MIN($D476,$D476*$F476*$H476)),0))</f>
        <v/>
      </c>
      <c r="J476" s="122">
        <f>IF($D476="",0,MAX(0,$D476-$I476))</f>
        <v/>
      </c>
      <c r="K476" s="122">
        <f>IF($H476=0,0,IFERROR(IF($E476="Azalan",$D476*(1-MIN(2*AmortismanAzalanCarpan*$F476,1))^MAX(0,$H476-1)*MIN(2*AmortismanAzalanCarpan*$F476,1),MIN($D476*$F476,$D476)),0))</f>
        <v/>
      </c>
      <c r="L476" s="122">
        <f>IF($D476="",0,$G476-$J476)</f>
        <v/>
      </c>
      <c r="M476" s="122">
        <f>IF($B476="","",CONCATENATE("Kıymet: ",$B476," | NDD: ",TEXT($J476,"#,##0")))</f>
        <v/>
      </c>
    </row>
    <row r="477" ht="15" customHeight="1" s="77">
      <c r="A477" s="123" t="n"/>
      <c r="B477" s="123" t="n"/>
      <c r="C477" s="124" t="n"/>
      <c r="D477" s="125" t="n"/>
      <c r="E477" s="123" t="n"/>
      <c r="F477" s="126" t="n"/>
      <c r="G477" s="125" t="n"/>
      <c r="H477" s="122">
        <f>IF($D477="",0,MAX(0,ROUNDDOWN((AmortismanRaporTarihi-$C477)/365,0)))</f>
        <v/>
      </c>
      <c r="I477" s="122">
        <f>IF($D477="",0,IFERROR(IF($E477="Azalan",MAX(0,$D477*(1-MIN(2*AmortismanAzalanCarpan*$F477,1)^$H477)),MIN($D477,$D477*$F477*$H477)),0))</f>
        <v/>
      </c>
      <c r="J477" s="122">
        <f>IF($D477="",0,MAX(0,$D477-$I477))</f>
        <v/>
      </c>
      <c r="K477" s="122">
        <f>IF($H477=0,0,IFERROR(IF($E477="Azalan",$D477*(1-MIN(2*AmortismanAzalanCarpan*$F477,1))^MAX(0,$H477-1)*MIN(2*AmortismanAzalanCarpan*$F477,1),MIN($D477*$F477,$D477)),0))</f>
        <v/>
      </c>
      <c r="L477" s="122">
        <f>IF($D477="",0,$G477-$J477)</f>
        <v/>
      </c>
      <c r="M477" s="122">
        <f>IF($B477="","",CONCATENATE("Kıymet: ",$B477," | NDD: ",TEXT($J477,"#,##0")))</f>
        <v/>
      </c>
    </row>
    <row r="478" ht="15" customHeight="1" s="77">
      <c r="A478" s="123" t="n"/>
      <c r="B478" s="123" t="n"/>
      <c r="C478" s="124" t="n"/>
      <c r="D478" s="125" t="n"/>
      <c r="E478" s="123" t="n"/>
      <c r="F478" s="126" t="n"/>
      <c r="G478" s="125" t="n"/>
      <c r="H478" s="122">
        <f>IF($D478="",0,MAX(0,ROUNDDOWN((AmortismanRaporTarihi-$C478)/365,0)))</f>
        <v/>
      </c>
      <c r="I478" s="122">
        <f>IF($D478="",0,IFERROR(IF($E478="Azalan",MAX(0,$D478*(1-MIN(2*AmortismanAzalanCarpan*$F478,1)^$H478)),MIN($D478,$D478*$F478*$H478)),0))</f>
        <v/>
      </c>
      <c r="J478" s="122">
        <f>IF($D478="",0,MAX(0,$D478-$I478))</f>
        <v/>
      </c>
      <c r="K478" s="122">
        <f>IF($H478=0,0,IFERROR(IF($E478="Azalan",$D478*(1-MIN(2*AmortismanAzalanCarpan*$F478,1))^MAX(0,$H478-1)*MIN(2*AmortismanAzalanCarpan*$F478,1),MIN($D478*$F478,$D478)),0))</f>
        <v/>
      </c>
      <c r="L478" s="122">
        <f>IF($D478="",0,$G478-$J478)</f>
        <v/>
      </c>
      <c r="M478" s="122">
        <f>IF($B478="","",CONCATENATE("Kıymet: ",$B478," | NDD: ",TEXT($J478,"#,##0")))</f>
        <v/>
      </c>
    </row>
    <row r="479" ht="15" customHeight="1" s="77">
      <c r="A479" s="123" t="n"/>
      <c r="B479" s="123" t="n"/>
      <c r="C479" s="124" t="n"/>
      <c r="D479" s="125" t="n"/>
      <c r="E479" s="123" t="n"/>
      <c r="F479" s="126" t="n"/>
      <c r="G479" s="125" t="n"/>
      <c r="H479" s="122">
        <f>IF($D479="",0,MAX(0,ROUNDDOWN((AmortismanRaporTarihi-$C479)/365,0)))</f>
        <v/>
      </c>
      <c r="I479" s="122">
        <f>IF($D479="",0,IFERROR(IF($E479="Azalan",MAX(0,$D479*(1-MIN(2*AmortismanAzalanCarpan*$F479,1)^$H479)),MIN($D479,$D479*$F479*$H479)),0))</f>
        <v/>
      </c>
      <c r="J479" s="122">
        <f>IF($D479="",0,MAX(0,$D479-$I479))</f>
        <v/>
      </c>
      <c r="K479" s="122">
        <f>IF($H479=0,0,IFERROR(IF($E479="Azalan",$D479*(1-MIN(2*AmortismanAzalanCarpan*$F479,1))^MAX(0,$H479-1)*MIN(2*AmortismanAzalanCarpan*$F479,1),MIN($D479*$F479,$D479)),0))</f>
        <v/>
      </c>
      <c r="L479" s="122">
        <f>IF($D479="",0,$G479-$J479)</f>
        <v/>
      </c>
      <c r="M479" s="122">
        <f>IF($B479="","",CONCATENATE("Kıymet: ",$B479," | NDD: ",TEXT($J479,"#,##0")))</f>
        <v/>
      </c>
    </row>
    <row r="480" ht="15" customHeight="1" s="77">
      <c r="A480" s="123" t="n"/>
      <c r="B480" s="123" t="n"/>
      <c r="C480" s="124" t="n"/>
      <c r="D480" s="125" t="n"/>
      <c r="E480" s="123" t="n"/>
      <c r="F480" s="126" t="n"/>
      <c r="G480" s="125" t="n"/>
      <c r="H480" s="122">
        <f>IF($D480="",0,MAX(0,ROUNDDOWN((AmortismanRaporTarihi-$C480)/365,0)))</f>
        <v/>
      </c>
      <c r="I480" s="122">
        <f>IF($D480="",0,IFERROR(IF($E480="Azalan",MAX(0,$D480*(1-MIN(2*AmortismanAzalanCarpan*$F480,1)^$H480)),MIN($D480,$D480*$F480*$H480)),0))</f>
        <v/>
      </c>
      <c r="J480" s="122">
        <f>IF($D480="",0,MAX(0,$D480-$I480))</f>
        <v/>
      </c>
      <c r="K480" s="122">
        <f>IF($H480=0,0,IFERROR(IF($E480="Azalan",$D480*(1-MIN(2*AmortismanAzalanCarpan*$F480,1))^MAX(0,$H480-1)*MIN(2*AmortismanAzalanCarpan*$F480,1),MIN($D480*$F480,$D480)),0))</f>
        <v/>
      </c>
      <c r="L480" s="122">
        <f>IF($D480="",0,$G480-$J480)</f>
        <v/>
      </c>
      <c r="M480" s="122">
        <f>IF($B480="","",CONCATENATE("Kıymet: ",$B480," | NDD: ",TEXT($J480,"#,##0")))</f>
        <v/>
      </c>
    </row>
    <row r="481" ht="15" customHeight="1" s="77">
      <c r="A481" s="123" t="n"/>
      <c r="B481" s="123" t="n"/>
      <c r="C481" s="124" t="n"/>
      <c r="D481" s="125" t="n"/>
      <c r="E481" s="123" t="n"/>
      <c r="F481" s="126" t="n"/>
      <c r="G481" s="125" t="n"/>
      <c r="H481" s="122">
        <f>IF($D481="",0,MAX(0,ROUNDDOWN((AmortismanRaporTarihi-$C481)/365,0)))</f>
        <v/>
      </c>
      <c r="I481" s="122">
        <f>IF($D481="",0,IFERROR(IF($E481="Azalan",MAX(0,$D481*(1-MIN(2*AmortismanAzalanCarpan*$F481,1)^$H481)),MIN($D481,$D481*$F481*$H481)),0))</f>
        <v/>
      </c>
      <c r="J481" s="122">
        <f>IF($D481="",0,MAX(0,$D481-$I481))</f>
        <v/>
      </c>
      <c r="K481" s="122">
        <f>IF($H481=0,0,IFERROR(IF($E481="Azalan",$D481*(1-MIN(2*AmortismanAzalanCarpan*$F481,1))^MAX(0,$H481-1)*MIN(2*AmortismanAzalanCarpan*$F481,1),MIN($D481*$F481,$D481)),0))</f>
        <v/>
      </c>
      <c r="L481" s="122">
        <f>IF($D481="",0,$G481-$J481)</f>
        <v/>
      </c>
      <c r="M481" s="122">
        <f>IF($B481="","",CONCATENATE("Kıymet: ",$B481," | NDD: ",TEXT($J481,"#,##0")))</f>
        <v/>
      </c>
    </row>
    <row r="482" ht="15" customHeight="1" s="77">
      <c r="A482" s="123" t="n"/>
      <c r="B482" s="123" t="n"/>
      <c r="C482" s="124" t="n"/>
      <c r="D482" s="125" t="n"/>
      <c r="E482" s="123" t="n"/>
      <c r="F482" s="126" t="n"/>
      <c r="G482" s="125" t="n"/>
      <c r="H482" s="122">
        <f>IF($D482="",0,MAX(0,ROUNDDOWN((AmortismanRaporTarihi-$C482)/365,0)))</f>
        <v/>
      </c>
      <c r="I482" s="122">
        <f>IF($D482="",0,IFERROR(IF($E482="Azalan",MAX(0,$D482*(1-MIN(2*AmortismanAzalanCarpan*$F482,1)^$H482)),MIN($D482,$D482*$F482*$H482)),0))</f>
        <v/>
      </c>
      <c r="J482" s="122">
        <f>IF($D482="",0,MAX(0,$D482-$I482))</f>
        <v/>
      </c>
      <c r="K482" s="122">
        <f>IF($H482=0,0,IFERROR(IF($E482="Azalan",$D482*(1-MIN(2*AmortismanAzalanCarpan*$F482,1))^MAX(0,$H482-1)*MIN(2*AmortismanAzalanCarpan*$F482,1),MIN($D482*$F482,$D482)),0))</f>
        <v/>
      </c>
      <c r="L482" s="122">
        <f>IF($D482="",0,$G482-$J482)</f>
        <v/>
      </c>
      <c r="M482" s="122">
        <f>IF($B482="","",CONCATENATE("Kıymet: ",$B482," | NDD: ",TEXT($J482,"#,##0")))</f>
        <v/>
      </c>
    </row>
    <row r="483" ht="15" customHeight="1" s="77">
      <c r="A483" s="123" t="n"/>
      <c r="B483" s="123" t="n"/>
      <c r="C483" s="124" t="n"/>
      <c r="D483" s="125" t="n"/>
      <c r="E483" s="123" t="n"/>
      <c r="F483" s="126" t="n"/>
      <c r="G483" s="125" t="n"/>
      <c r="H483" s="122">
        <f>IF($D483="",0,MAX(0,ROUNDDOWN((AmortismanRaporTarihi-$C483)/365,0)))</f>
        <v/>
      </c>
      <c r="I483" s="122">
        <f>IF($D483="",0,IFERROR(IF($E483="Azalan",MAX(0,$D483*(1-MIN(2*AmortismanAzalanCarpan*$F483,1)^$H483)),MIN($D483,$D483*$F483*$H483)),0))</f>
        <v/>
      </c>
      <c r="J483" s="122">
        <f>IF($D483="",0,MAX(0,$D483-$I483))</f>
        <v/>
      </c>
      <c r="K483" s="122">
        <f>IF($H483=0,0,IFERROR(IF($E483="Azalan",$D483*(1-MIN(2*AmortismanAzalanCarpan*$F483,1))^MAX(0,$H483-1)*MIN(2*AmortismanAzalanCarpan*$F483,1),MIN($D483*$F483,$D483)),0))</f>
        <v/>
      </c>
      <c r="L483" s="122">
        <f>IF($D483="",0,$G483-$J483)</f>
        <v/>
      </c>
      <c r="M483" s="122">
        <f>IF($B483="","",CONCATENATE("Kıymet: ",$B483," | NDD: ",TEXT($J483,"#,##0")))</f>
        <v/>
      </c>
    </row>
    <row r="484" ht="15" customHeight="1" s="77">
      <c r="A484" s="123" t="n"/>
      <c r="B484" s="123" t="n"/>
      <c r="C484" s="124" t="n"/>
      <c r="D484" s="125" t="n"/>
      <c r="E484" s="123" t="n"/>
      <c r="F484" s="126" t="n"/>
      <c r="G484" s="125" t="n"/>
      <c r="H484" s="122">
        <f>IF($D484="",0,MAX(0,ROUNDDOWN((AmortismanRaporTarihi-$C484)/365,0)))</f>
        <v/>
      </c>
      <c r="I484" s="122">
        <f>IF($D484="",0,IFERROR(IF($E484="Azalan",MAX(0,$D484*(1-MIN(2*AmortismanAzalanCarpan*$F484,1)^$H484)),MIN($D484,$D484*$F484*$H484)),0))</f>
        <v/>
      </c>
      <c r="J484" s="122">
        <f>IF($D484="",0,MAX(0,$D484-$I484))</f>
        <v/>
      </c>
      <c r="K484" s="122">
        <f>IF($H484=0,0,IFERROR(IF($E484="Azalan",$D484*(1-MIN(2*AmortismanAzalanCarpan*$F484,1))^MAX(0,$H484-1)*MIN(2*AmortismanAzalanCarpan*$F484,1),MIN($D484*$F484,$D484)),0))</f>
        <v/>
      </c>
      <c r="L484" s="122">
        <f>IF($D484="",0,$G484-$J484)</f>
        <v/>
      </c>
      <c r="M484" s="122">
        <f>IF($B484="","",CONCATENATE("Kıymet: ",$B484," | NDD: ",TEXT($J484,"#,##0")))</f>
        <v/>
      </c>
    </row>
    <row r="485" ht="15" customHeight="1" s="77">
      <c r="A485" s="123" t="n"/>
      <c r="B485" s="123" t="n"/>
      <c r="C485" s="124" t="n"/>
      <c r="D485" s="125" t="n"/>
      <c r="E485" s="123" t="n"/>
      <c r="F485" s="126" t="n"/>
      <c r="G485" s="125" t="n"/>
      <c r="H485" s="122">
        <f>IF($D485="",0,MAX(0,ROUNDDOWN((AmortismanRaporTarihi-$C485)/365,0)))</f>
        <v/>
      </c>
      <c r="I485" s="122">
        <f>IF($D485="",0,IFERROR(IF($E485="Azalan",MAX(0,$D485*(1-MIN(2*AmortismanAzalanCarpan*$F485,1)^$H485)),MIN($D485,$D485*$F485*$H485)),0))</f>
        <v/>
      </c>
      <c r="J485" s="122">
        <f>IF($D485="",0,MAX(0,$D485-$I485))</f>
        <v/>
      </c>
      <c r="K485" s="122">
        <f>IF($H485=0,0,IFERROR(IF($E485="Azalan",$D485*(1-MIN(2*AmortismanAzalanCarpan*$F485,1))^MAX(0,$H485-1)*MIN(2*AmortismanAzalanCarpan*$F485,1),MIN($D485*$F485,$D485)),0))</f>
        <v/>
      </c>
      <c r="L485" s="122">
        <f>IF($D485="",0,$G485-$J485)</f>
        <v/>
      </c>
      <c r="M485" s="122">
        <f>IF($B485="","",CONCATENATE("Kıymet: ",$B485," | NDD: ",TEXT($J485,"#,##0")))</f>
        <v/>
      </c>
    </row>
    <row r="486" ht="15" customHeight="1" s="77">
      <c r="A486" s="123" t="n"/>
      <c r="B486" s="123" t="n"/>
      <c r="C486" s="124" t="n"/>
      <c r="D486" s="125" t="n"/>
      <c r="E486" s="123" t="n"/>
      <c r="F486" s="126" t="n"/>
      <c r="G486" s="125" t="n"/>
      <c r="H486" s="122">
        <f>IF($D486="",0,MAX(0,ROUNDDOWN((AmortismanRaporTarihi-$C486)/365,0)))</f>
        <v/>
      </c>
      <c r="I486" s="122">
        <f>IF($D486="",0,IFERROR(IF($E486="Azalan",MAX(0,$D486*(1-MIN(2*AmortismanAzalanCarpan*$F486,1)^$H486)),MIN($D486,$D486*$F486*$H486)),0))</f>
        <v/>
      </c>
      <c r="J486" s="122">
        <f>IF($D486="",0,MAX(0,$D486-$I486))</f>
        <v/>
      </c>
      <c r="K486" s="122">
        <f>IF($H486=0,0,IFERROR(IF($E486="Azalan",$D486*(1-MIN(2*AmortismanAzalanCarpan*$F486,1))^MAX(0,$H486-1)*MIN(2*AmortismanAzalanCarpan*$F486,1),MIN($D486*$F486,$D486)),0))</f>
        <v/>
      </c>
      <c r="L486" s="122">
        <f>IF($D486="",0,$G486-$J486)</f>
        <v/>
      </c>
      <c r="M486" s="122">
        <f>IF($B486="","",CONCATENATE("Kıymet: ",$B486," | NDD: ",TEXT($J486,"#,##0")))</f>
        <v/>
      </c>
    </row>
    <row r="487" ht="15" customHeight="1" s="77">
      <c r="A487" s="123" t="n"/>
      <c r="B487" s="123" t="n"/>
      <c r="C487" s="124" t="n"/>
      <c r="D487" s="125" t="n"/>
      <c r="E487" s="123" t="n"/>
      <c r="F487" s="126" t="n"/>
      <c r="G487" s="125" t="n"/>
      <c r="H487" s="122">
        <f>IF($D487="",0,MAX(0,ROUNDDOWN((AmortismanRaporTarihi-$C487)/365,0)))</f>
        <v/>
      </c>
      <c r="I487" s="122">
        <f>IF($D487="",0,IFERROR(IF($E487="Azalan",MAX(0,$D487*(1-MIN(2*AmortismanAzalanCarpan*$F487,1)^$H487)),MIN($D487,$D487*$F487*$H487)),0))</f>
        <v/>
      </c>
      <c r="J487" s="122">
        <f>IF($D487="",0,MAX(0,$D487-$I487))</f>
        <v/>
      </c>
      <c r="K487" s="122">
        <f>IF($H487=0,0,IFERROR(IF($E487="Azalan",$D487*(1-MIN(2*AmortismanAzalanCarpan*$F487,1))^MAX(0,$H487-1)*MIN(2*AmortismanAzalanCarpan*$F487,1),MIN($D487*$F487,$D487)),0))</f>
        <v/>
      </c>
      <c r="L487" s="122">
        <f>IF($D487="",0,$G487-$J487)</f>
        <v/>
      </c>
      <c r="M487" s="122">
        <f>IF($B487="","",CONCATENATE("Kıymet: ",$B487," | NDD: ",TEXT($J487,"#,##0")))</f>
        <v/>
      </c>
    </row>
    <row r="488" ht="15" customHeight="1" s="77">
      <c r="A488" s="123" t="n"/>
      <c r="B488" s="123" t="n"/>
      <c r="C488" s="124" t="n"/>
      <c r="D488" s="125" t="n"/>
      <c r="E488" s="123" t="n"/>
      <c r="F488" s="126" t="n"/>
      <c r="G488" s="125" t="n"/>
      <c r="H488" s="122">
        <f>IF($D488="",0,MAX(0,ROUNDDOWN((AmortismanRaporTarihi-$C488)/365,0)))</f>
        <v/>
      </c>
      <c r="I488" s="122">
        <f>IF($D488="",0,IFERROR(IF($E488="Azalan",MAX(0,$D488*(1-MIN(2*AmortismanAzalanCarpan*$F488,1)^$H488)),MIN($D488,$D488*$F488*$H488)),0))</f>
        <v/>
      </c>
      <c r="J488" s="122">
        <f>IF($D488="",0,MAX(0,$D488-$I488))</f>
        <v/>
      </c>
      <c r="K488" s="122">
        <f>IF($H488=0,0,IFERROR(IF($E488="Azalan",$D488*(1-MIN(2*AmortismanAzalanCarpan*$F488,1))^MAX(0,$H488-1)*MIN(2*AmortismanAzalanCarpan*$F488,1),MIN($D488*$F488,$D488)),0))</f>
        <v/>
      </c>
      <c r="L488" s="122">
        <f>IF($D488="",0,$G488-$J488)</f>
        <v/>
      </c>
      <c r="M488" s="122">
        <f>IF($B488="","",CONCATENATE("Kıymet: ",$B488," | NDD: ",TEXT($J488,"#,##0")))</f>
        <v/>
      </c>
    </row>
    <row r="489" ht="15" customHeight="1" s="77">
      <c r="A489" s="123" t="n"/>
      <c r="B489" s="123" t="n"/>
      <c r="C489" s="124" t="n"/>
      <c r="D489" s="125" t="n"/>
      <c r="E489" s="123" t="n"/>
      <c r="F489" s="126" t="n"/>
      <c r="G489" s="125" t="n"/>
      <c r="H489" s="122">
        <f>IF($D489="",0,MAX(0,ROUNDDOWN((AmortismanRaporTarihi-$C489)/365,0)))</f>
        <v/>
      </c>
      <c r="I489" s="122">
        <f>IF($D489="",0,IFERROR(IF($E489="Azalan",MAX(0,$D489*(1-MIN(2*AmortismanAzalanCarpan*$F489,1)^$H489)),MIN($D489,$D489*$F489*$H489)),0))</f>
        <v/>
      </c>
      <c r="J489" s="122">
        <f>IF($D489="",0,MAX(0,$D489-$I489))</f>
        <v/>
      </c>
      <c r="K489" s="122">
        <f>IF($H489=0,0,IFERROR(IF($E489="Azalan",$D489*(1-MIN(2*AmortismanAzalanCarpan*$F489,1))^MAX(0,$H489-1)*MIN(2*AmortismanAzalanCarpan*$F489,1),MIN($D489*$F489,$D489)),0))</f>
        <v/>
      </c>
      <c r="L489" s="122">
        <f>IF($D489="",0,$G489-$J489)</f>
        <v/>
      </c>
      <c r="M489" s="122">
        <f>IF($B489="","",CONCATENATE("Kıymet: ",$B489," | NDD: ",TEXT($J489,"#,##0")))</f>
        <v/>
      </c>
    </row>
    <row r="490" ht="15" customHeight="1" s="77">
      <c r="A490" s="123" t="n"/>
      <c r="B490" s="123" t="n"/>
      <c r="C490" s="124" t="n"/>
      <c r="D490" s="125" t="n"/>
      <c r="E490" s="123" t="n"/>
      <c r="F490" s="126" t="n"/>
      <c r="G490" s="125" t="n"/>
      <c r="H490" s="122">
        <f>IF($D490="",0,MAX(0,ROUNDDOWN((AmortismanRaporTarihi-$C490)/365,0)))</f>
        <v/>
      </c>
      <c r="I490" s="122">
        <f>IF($D490="",0,IFERROR(IF($E490="Azalan",MAX(0,$D490*(1-MIN(2*AmortismanAzalanCarpan*$F490,1)^$H490)),MIN($D490,$D490*$F490*$H490)),0))</f>
        <v/>
      </c>
      <c r="J490" s="122">
        <f>IF($D490="",0,MAX(0,$D490-$I490))</f>
        <v/>
      </c>
      <c r="K490" s="122">
        <f>IF($H490=0,0,IFERROR(IF($E490="Azalan",$D490*(1-MIN(2*AmortismanAzalanCarpan*$F490,1))^MAX(0,$H490-1)*MIN(2*AmortismanAzalanCarpan*$F490,1),MIN($D490*$F490,$D490)),0))</f>
        <v/>
      </c>
      <c r="L490" s="122">
        <f>IF($D490="",0,$G490-$J490)</f>
        <v/>
      </c>
      <c r="M490" s="122">
        <f>IF($B490="","",CONCATENATE("Kıymet: ",$B490," | NDD: ",TEXT($J490,"#,##0")))</f>
        <v/>
      </c>
    </row>
    <row r="491" ht="15" customHeight="1" s="77">
      <c r="A491" s="123" t="n"/>
      <c r="B491" s="123" t="n"/>
      <c r="C491" s="124" t="n"/>
      <c r="D491" s="125" t="n"/>
      <c r="E491" s="123" t="n"/>
      <c r="F491" s="126" t="n"/>
      <c r="G491" s="125" t="n"/>
      <c r="H491" s="122">
        <f>IF($D491="",0,MAX(0,ROUNDDOWN((AmortismanRaporTarihi-$C491)/365,0)))</f>
        <v/>
      </c>
      <c r="I491" s="122">
        <f>IF($D491="",0,IFERROR(IF($E491="Azalan",MAX(0,$D491*(1-MIN(2*AmortismanAzalanCarpan*$F491,1)^$H491)),MIN($D491,$D491*$F491*$H491)),0))</f>
        <v/>
      </c>
      <c r="J491" s="122">
        <f>IF($D491="",0,MAX(0,$D491-$I491))</f>
        <v/>
      </c>
      <c r="K491" s="122">
        <f>IF($H491=0,0,IFERROR(IF($E491="Azalan",$D491*(1-MIN(2*AmortismanAzalanCarpan*$F491,1))^MAX(0,$H491-1)*MIN(2*AmortismanAzalanCarpan*$F491,1),MIN($D491*$F491,$D491)),0))</f>
        <v/>
      </c>
      <c r="L491" s="122">
        <f>IF($D491="",0,$G491-$J491)</f>
        <v/>
      </c>
      <c r="M491" s="122">
        <f>IF($B491="","",CONCATENATE("Kıymet: ",$B491," | NDD: ",TEXT($J491,"#,##0")))</f>
        <v/>
      </c>
    </row>
    <row r="492" ht="15" customHeight="1" s="77">
      <c r="A492" s="123" t="n"/>
      <c r="B492" s="123" t="n"/>
      <c r="C492" s="124" t="n"/>
      <c r="D492" s="125" t="n"/>
      <c r="E492" s="123" t="n"/>
      <c r="F492" s="126" t="n"/>
      <c r="G492" s="125" t="n"/>
      <c r="H492" s="122">
        <f>IF($D492="",0,MAX(0,ROUNDDOWN((AmortismanRaporTarihi-$C492)/365,0)))</f>
        <v/>
      </c>
      <c r="I492" s="122">
        <f>IF($D492="",0,IFERROR(IF($E492="Azalan",MAX(0,$D492*(1-MIN(2*AmortismanAzalanCarpan*$F492,1)^$H492)),MIN($D492,$D492*$F492*$H492)),0))</f>
        <v/>
      </c>
      <c r="J492" s="122">
        <f>IF($D492="",0,MAX(0,$D492-$I492))</f>
        <v/>
      </c>
      <c r="K492" s="122">
        <f>IF($H492=0,0,IFERROR(IF($E492="Azalan",$D492*(1-MIN(2*AmortismanAzalanCarpan*$F492,1))^MAX(0,$H492-1)*MIN(2*AmortismanAzalanCarpan*$F492,1),MIN($D492*$F492,$D492)),0))</f>
        <v/>
      </c>
      <c r="L492" s="122">
        <f>IF($D492="",0,$G492-$J492)</f>
        <v/>
      </c>
      <c r="M492" s="122">
        <f>IF($B492="","",CONCATENATE("Kıymet: ",$B492," | NDD: ",TEXT($J492,"#,##0")))</f>
        <v/>
      </c>
    </row>
    <row r="493" ht="15" customHeight="1" s="77">
      <c r="A493" s="123" t="n"/>
      <c r="B493" s="123" t="n"/>
      <c r="C493" s="124" t="n"/>
      <c r="D493" s="125" t="n"/>
      <c r="E493" s="123" t="n"/>
      <c r="F493" s="126" t="n"/>
      <c r="G493" s="125" t="n"/>
      <c r="H493" s="122">
        <f>IF($D493="",0,MAX(0,ROUNDDOWN((AmortismanRaporTarihi-$C493)/365,0)))</f>
        <v/>
      </c>
      <c r="I493" s="122">
        <f>IF($D493="",0,IFERROR(IF($E493="Azalan",MAX(0,$D493*(1-MIN(2*AmortismanAzalanCarpan*$F493,1)^$H493)),MIN($D493,$D493*$F493*$H493)),0))</f>
        <v/>
      </c>
      <c r="J493" s="122">
        <f>IF($D493="",0,MAX(0,$D493-$I493))</f>
        <v/>
      </c>
      <c r="K493" s="122">
        <f>IF($H493=0,0,IFERROR(IF($E493="Azalan",$D493*(1-MIN(2*AmortismanAzalanCarpan*$F493,1))^MAX(0,$H493-1)*MIN(2*AmortismanAzalanCarpan*$F493,1),MIN($D493*$F493,$D493)),0))</f>
        <v/>
      </c>
      <c r="L493" s="122">
        <f>IF($D493="",0,$G493-$J493)</f>
        <v/>
      </c>
      <c r="M493" s="122">
        <f>IF($B493="","",CONCATENATE("Kıymet: ",$B493," | NDD: ",TEXT($J493,"#,##0")))</f>
        <v/>
      </c>
    </row>
    <row r="494" ht="15" customHeight="1" s="77">
      <c r="A494" s="123" t="n"/>
      <c r="B494" s="123" t="n"/>
      <c r="C494" s="124" t="n"/>
      <c r="D494" s="125" t="n"/>
      <c r="E494" s="123" t="n"/>
      <c r="F494" s="126" t="n"/>
      <c r="G494" s="125" t="n"/>
      <c r="H494" s="122">
        <f>IF($D494="",0,MAX(0,ROUNDDOWN((AmortismanRaporTarihi-$C494)/365,0)))</f>
        <v/>
      </c>
      <c r="I494" s="122">
        <f>IF($D494="",0,IFERROR(IF($E494="Azalan",MAX(0,$D494*(1-MIN(2*AmortismanAzalanCarpan*$F494,1)^$H494)),MIN($D494,$D494*$F494*$H494)),0))</f>
        <v/>
      </c>
      <c r="J494" s="122">
        <f>IF($D494="",0,MAX(0,$D494-$I494))</f>
        <v/>
      </c>
      <c r="K494" s="122">
        <f>IF($H494=0,0,IFERROR(IF($E494="Azalan",$D494*(1-MIN(2*AmortismanAzalanCarpan*$F494,1))^MAX(0,$H494-1)*MIN(2*AmortismanAzalanCarpan*$F494,1),MIN($D494*$F494,$D494)),0))</f>
        <v/>
      </c>
      <c r="L494" s="122">
        <f>IF($D494="",0,$G494-$J494)</f>
        <v/>
      </c>
      <c r="M494" s="122">
        <f>IF($B494="","",CONCATENATE("Kıymet: ",$B494," | NDD: ",TEXT($J494,"#,##0")))</f>
        <v/>
      </c>
    </row>
    <row r="495" ht="15" customHeight="1" s="77">
      <c r="A495" s="123" t="n"/>
      <c r="B495" s="123" t="n"/>
      <c r="C495" s="124" t="n"/>
      <c r="D495" s="125" t="n"/>
      <c r="E495" s="123" t="n"/>
      <c r="F495" s="126" t="n"/>
      <c r="G495" s="125" t="n"/>
      <c r="H495" s="122">
        <f>IF($D495="",0,MAX(0,ROUNDDOWN((AmortismanRaporTarihi-$C495)/365,0)))</f>
        <v/>
      </c>
      <c r="I495" s="122">
        <f>IF($D495="",0,IFERROR(IF($E495="Azalan",MAX(0,$D495*(1-MIN(2*AmortismanAzalanCarpan*$F495,1)^$H495)),MIN($D495,$D495*$F495*$H495)),0))</f>
        <v/>
      </c>
      <c r="J495" s="122">
        <f>IF($D495="",0,MAX(0,$D495-$I495))</f>
        <v/>
      </c>
      <c r="K495" s="122">
        <f>IF($H495=0,0,IFERROR(IF($E495="Azalan",$D495*(1-MIN(2*AmortismanAzalanCarpan*$F495,1))^MAX(0,$H495-1)*MIN(2*AmortismanAzalanCarpan*$F495,1),MIN($D495*$F495,$D495)),0))</f>
        <v/>
      </c>
      <c r="L495" s="122">
        <f>IF($D495="",0,$G495-$J495)</f>
        <v/>
      </c>
      <c r="M495" s="122">
        <f>IF($B495="","",CONCATENATE("Kıymet: ",$B495," | NDD: ",TEXT($J495,"#,##0")))</f>
        <v/>
      </c>
    </row>
    <row r="496" ht="15" customHeight="1" s="77">
      <c r="A496" s="123" t="n"/>
      <c r="B496" s="123" t="n"/>
      <c r="C496" s="124" t="n"/>
      <c r="D496" s="125" t="n"/>
      <c r="E496" s="123" t="n"/>
      <c r="F496" s="126" t="n"/>
      <c r="G496" s="125" t="n"/>
      <c r="H496" s="122">
        <f>IF($D496="",0,MAX(0,ROUNDDOWN((AmortismanRaporTarihi-$C496)/365,0)))</f>
        <v/>
      </c>
      <c r="I496" s="122">
        <f>IF($D496="",0,IFERROR(IF($E496="Azalan",MAX(0,$D496*(1-MIN(2*AmortismanAzalanCarpan*$F496,1)^$H496)),MIN($D496,$D496*$F496*$H496)),0))</f>
        <v/>
      </c>
      <c r="J496" s="122">
        <f>IF($D496="",0,MAX(0,$D496-$I496))</f>
        <v/>
      </c>
      <c r="K496" s="122">
        <f>IF($H496=0,0,IFERROR(IF($E496="Azalan",$D496*(1-MIN(2*AmortismanAzalanCarpan*$F496,1))^MAX(0,$H496-1)*MIN(2*AmortismanAzalanCarpan*$F496,1),MIN($D496*$F496,$D496)),0))</f>
        <v/>
      </c>
      <c r="L496" s="122">
        <f>IF($D496="",0,$G496-$J496)</f>
        <v/>
      </c>
      <c r="M496" s="122">
        <f>IF($B496="","",CONCATENATE("Kıymet: ",$B496," | NDD: ",TEXT($J496,"#,##0")))</f>
        <v/>
      </c>
    </row>
    <row r="497" ht="15" customHeight="1" s="77">
      <c r="A497" s="123" t="n"/>
      <c r="B497" s="123" t="n"/>
      <c r="C497" s="124" t="n"/>
      <c r="D497" s="125" t="n"/>
      <c r="E497" s="123" t="n"/>
      <c r="F497" s="126" t="n"/>
      <c r="G497" s="125" t="n"/>
      <c r="H497" s="122">
        <f>IF($D497="",0,MAX(0,ROUNDDOWN((AmortismanRaporTarihi-$C497)/365,0)))</f>
        <v/>
      </c>
      <c r="I497" s="122">
        <f>IF($D497="",0,IFERROR(IF($E497="Azalan",MAX(0,$D497*(1-MIN(2*AmortismanAzalanCarpan*$F497,1)^$H497)),MIN($D497,$D497*$F497*$H497)),0))</f>
        <v/>
      </c>
      <c r="J497" s="122">
        <f>IF($D497="",0,MAX(0,$D497-$I497))</f>
        <v/>
      </c>
      <c r="K497" s="122">
        <f>IF($H497=0,0,IFERROR(IF($E497="Azalan",$D497*(1-MIN(2*AmortismanAzalanCarpan*$F497,1))^MAX(0,$H497-1)*MIN(2*AmortismanAzalanCarpan*$F497,1),MIN($D497*$F497,$D497)),0))</f>
        <v/>
      </c>
      <c r="L497" s="122">
        <f>IF($D497="",0,$G497-$J497)</f>
        <v/>
      </c>
      <c r="M497" s="122">
        <f>IF($B497="","",CONCATENATE("Kıymet: ",$B497," | NDD: ",TEXT($J497,"#,##0")))</f>
        <v/>
      </c>
    </row>
    <row r="498" ht="15" customHeight="1" s="77">
      <c r="A498" s="123" t="n"/>
      <c r="B498" s="123" t="n"/>
      <c r="C498" s="124" t="n"/>
      <c r="D498" s="125" t="n"/>
      <c r="E498" s="123" t="n"/>
      <c r="F498" s="126" t="n"/>
      <c r="G498" s="125" t="n"/>
      <c r="H498" s="122">
        <f>IF($D498="",0,MAX(0,ROUNDDOWN((AmortismanRaporTarihi-$C498)/365,0)))</f>
        <v/>
      </c>
      <c r="I498" s="122">
        <f>IF($D498="",0,IFERROR(IF($E498="Azalan",MAX(0,$D498*(1-MIN(2*AmortismanAzalanCarpan*$F498,1)^$H498)),MIN($D498,$D498*$F498*$H498)),0))</f>
        <v/>
      </c>
      <c r="J498" s="122">
        <f>IF($D498="",0,MAX(0,$D498-$I498))</f>
        <v/>
      </c>
      <c r="K498" s="122">
        <f>IF($H498=0,0,IFERROR(IF($E498="Azalan",$D498*(1-MIN(2*AmortismanAzalanCarpan*$F498,1))^MAX(0,$H498-1)*MIN(2*AmortismanAzalanCarpan*$F498,1),MIN($D498*$F498,$D498)),0))</f>
        <v/>
      </c>
      <c r="L498" s="122">
        <f>IF($D498="",0,$G498-$J498)</f>
        <v/>
      </c>
      <c r="M498" s="122">
        <f>IF($B498="","",CONCATENATE("Kıymet: ",$B498," | NDD: ",TEXT($J498,"#,##0")))</f>
        <v/>
      </c>
    </row>
    <row r="499" ht="15" customHeight="1" s="77">
      <c r="A499" s="123" t="n"/>
      <c r="B499" s="123" t="n"/>
      <c r="C499" s="124" t="n"/>
      <c r="D499" s="125" t="n"/>
      <c r="E499" s="123" t="n"/>
      <c r="F499" s="126" t="n"/>
      <c r="G499" s="125" t="n"/>
      <c r="H499" s="122">
        <f>IF($D499="",0,MAX(0,ROUNDDOWN((AmortismanRaporTarihi-$C499)/365,0)))</f>
        <v/>
      </c>
      <c r="I499" s="122">
        <f>IF($D499="",0,IFERROR(IF($E499="Azalan",MAX(0,$D499*(1-MIN(2*AmortismanAzalanCarpan*$F499,1)^$H499)),MIN($D499,$D499*$F499*$H499)),0))</f>
        <v/>
      </c>
      <c r="J499" s="122">
        <f>IF($D499="",0,MAX(0,$D499-$I499))</f>
        <v/>
      </c>
      <c r="K499" s="122">
        <f>IF($H499=0,0,IFERROR(IF($E499="Azalan",$D499*(1-MIN(2*AmortismanAzalanCarpan*$F499,1))^MAX(0,$H499-1)*MIN(2*AmortismanAzalanCarpan*$F499,1),MIN($D499*$F499,$D499)),0))</f>
        <v/>
      </c>
      <c r="L499" s="122">
        <f>IF($D499="",0,$G499-$J499)</f>
        <v/>
      </c>
      <c r="M499" s="122">
        <f>IF($B499="","",CONCATENATE("Kıymet: ",$B499," | NDD: ",TEXT($J499,"#,##0")))</f>
        <v/>
      </c>
    </row>
    <row r="500" ht="15" customHeight="1" s="77">
      <c r="A500" s="123" t="n"/>
      <c r="B500" s="123" t="n"/>
      <c r="C500" s="124" t="n"/>
      <c r="D500" s="125" t="n"/>
      <c r="E500" s="123" t="n"/>
      <c r="F500" s="126" t="n"/>
      <c r="G500" s="125" t="n"/>
      <c r="H500" s="122">
        <f>IF($D500="",0,MAX(0,ROUNDDOWN((AmortismanRaporTarihi-$C500)/365,0)))</f>
        <v/>
      </c>
      <c r="I500" s="122">
        <f>IF($D500="",0,IFERROR(IF($E500="Azalan",MAX(0,$D500*(1-MIN(2*AmortismanAzalanCarpan*$F500,1)^$H500)),MIN($D500,$D500*$F500*$H500)),0))</f>
        <v/>
      </c>
      <c r="J500" s="122">
        <f>IF($D500="",0,MAX(0,$D500-$I500))</f>
        <v/>
      </c>
      <c r="K500" s="122">
        <f>IF($H500=0,0,IFERROR(IF($E500="Azalan",$D500*(1-MIN(2*AmortismanAzalanCarpan*$F500,1))^MAX(0,$H500-1)*MIN(2*AmortismanAzalanCarpan*$F500,1),MIN($D500*$F500,$D500)),0))</f>
        <v/>
      </c>
      <c r="L500" s="122">
        <f>IF($D500="",0,$G500-$J500)</f>
        <v/>
      </c>
      <c r="M500" s="122">
        <f>IF($B500="","",CONCATENATE("Kıymet: ",$B500," | NDD: ",TEXT($J500,"#,##0")))</f>
        <v/>
      </c>
    </row>
    <row r="501" ht="15" customHeight="1" s="77">
      <c r="A501" s="123" t="n"/>
      <c r="B501" s="123" t="n"/>
      <c r="C501" s="124" t="n"/>
      <c r="D501" s="125" t="n"/>
      <c r="E501" s="123" t="n"/>
      <c r="F501" s="126" t="n"/>
      <c r="G501" s="125" t="n"/>
      <c r="H501" s="122">
        <f>IF($D501="",0,MAX(0,ROUNDDOWN((AmortismanRaporTarihi-$C501)/365,0)))</f>
        <v/>
      </c>
      <c r="I501" s="122">
        <f>IF($D501="",0,IFERROR(IF($E501="Azalan",MAX(0,$D501*(1-MIN(2*AmortismanAzalanCarpan*$F501,1)^$H501)),MIN($D501,$D501*$F501*$H501)),0))</f>
        <v/>
      </c>
      <c r="J501" s="122">
        <f>IF($D501="",0,MAX(0,$D501-$I501))</f>
        <v/>
      </c>
      <c r="K501" s="122">
        <f>IF($H501=0,0,IFERROR(IF($E501="Azalan",$D501*(1-MIN(2*AmortismanAzalanCarpan*$F501,1))^MAX(0,$H501-1)*MIN(2*AmortismanAzalanCarpan*$F501,1),MIN($D501*$F501,$D501)),0))</f>
        <v/>
      </c>
      <c r="L501" s="122">
        <f>IF($D501="",0,$G501-$J501)</f>
        <v/>
      </c>
      <c r="M501" s="122">
        <f>IF($B501="","",CONCATENATE("Kıymet: ",$B501," | NDD: ",TEXT($J501,"#,##0")))</f>
        <v/>
      </c>
    </row>
    <row r="502" ht="15" customHeight="1" s="77">
      <c r="A502" s="123" t="n"/>
      <c r="B502" s="123" t="n"/>
      <c r="C502" s="124" t="n"/>
      <c r="D502" s="125" t="n"/>
      <c r="E502" s="123" t="n"/>
      <c r="F502" s="126" t="n"/>
      <c r="G502" s="125" t="n"/>
      <c r="H502" s="122">
        <f>IF($D502="",0,MAX(0,ROUNDDOWN((AmortismanRaporTarihi-$C502)/365,0)))</f>
        <v/>
      </c>
      <c r="I502" s="122">
        <f>IF($D502="",0,IFERROR(IF($E502="Azalan",MAX(0,$D502*(1-MIN(2*AmortismanAzalanCarpan*$F502,1)^$H502)),MIN($D502,$D502*$F502*$H502)),0))</f>
        <v/>
      </c>
      <c r="J502" s="122">
        <f>IF($D502="",0,MAX(0,$D502-$I502))</f>
        <v/>
      </c>
      <c r="K502" s="122">
        <f>IF($H502=0,0,IFERROR(IF($E502="Azalan",$D502*(1-MIN(2*AmortismanAzalanCarpan*$F502,1))^MAX(0,$H502-1)*MIN(2*AmortismanAzalanCarpan*$F502,1),MIN($D502*$F502,$D502)),0))</f>
        <v/>
      </c>
      <c r="L502" s="122">
        <f>IF($D502="",0,$G502-$J502)</f>
        <v/>
      </c>
      <c r="M502" s="122">
        <f>IF($B502="","",CONCATENATE("Kıymet: ",$B502," | NDD: ",TEXT($J502,"#,##0")))</f>
        <v/>
      </c>
    </row>
    <row r="503" ht="15" customHeight="1" s="77">
      <c r="A503" s="123" t="n"/>
      <c r="B503" s="123" t="n"/>
      <c r="C503" s="124" t="n"/>
      <c r="D503" s="125" t="n"/>
      <c r="E503" s="123" t="n"/>
      <c r="F503" s="126" t="n"/>
      <c r="G503" s="125" t="n"/>
      <c r="H503" s="122">
        <f>IF($D503="",0,MAX(0,ROUNDDOWN((AmortismanRaporTarihi-$C503)/365,0)))</f>
        <v/>
      </c>
      <c r="I503" s="122">
        <f>IF($D503="",0,IFERROR(IF($E503="Azalan",MAX(0,$D503*(1-MIN(2*AmortismanAzalanCarpan*$F503,1)^$H503)),MIN($D503,$D503*$F503*$H503)),0))</f>
        <v/>
      </c>
      <c r="J503" s="122">
        <f>IF($D503="",0,MAX(0,$D503-$I503))</f>
        <v/>
      </c>
      <c r="K503" s="122">
        <f>IF($H503=0,0,IFERROR(IF($E503="Azalan",$D503*(1-MIN(2*AmortismanAzalanCarpan*$F503,1))^MAX(0,$H503-1)*MIN(2*AmortismanAzalanCarpan*$F503,1),MIN($D503*$F503,$D503)),0))</f>
        <v/>
      </c>
      <c r="L503" s="122">
        <f>IF($D503="",0,$G503-$J503)</f>
        <v/>
      </c>
      <c r="M503" s="122">
        <f>IF($B503="","",CONCATENATE("Kıymet: ",$B503," | NDD: ",TEXT($J503,"#,##0")))</f>
        <v/>
      </c>
    </row>
    <row r="504" ht="15" customHeight="1" s="77">
      <c r="A504" s="123" t="n"/>
      <c r="B504" s="123" t="n"/>
      <c r="C504" s="124" t="n"/>
      <c r="D504" s="125" t="n"/>
      <c r="E504" s="123" t="n"/>
      <c r="F504" s="126" t="n"/>
      <c r="G504" s="125" t="n"/>
      <c r="H504" s="122">
        <f>IF($D504="",0,MAX(0,ROUNDDOWN((AmortismanRaporTarihi-$C504)/365,0)))</f>
        <v/>
      </c>
      <c r="I504" s="122">
        <f>IF($D504="",0,IFERROR(IF($E504="Azalan",MAX(0,$D504*(1-MIN(2*AmortismanAzalanCarpan*$F504,1)^$H504)),MIN($D504,$D504*$F504*$H504)),0))</f>
        <v/>
      </c>
      <c r="J504" s="122">
        <f>IF($D504="",0,MAX(0,$D504-$I504))</f>
        <v/>
      </c>
      <c r="K504" s="122">
        <f>IF($H504=0,0,IFERROR(IF($E504="Azalan",$D504*(1-MIN(2*AmortismanAzalanCarpan*$F504,1))^MAX(0,$H504-1)*MIN(2*AmortismanAzalanCarpan*$F504,1),MIN($D504*$F504,$D504)),0))</f>
        <v/>
      </c>
      <c r="L504" s="122">
        <f>IF($D504="",0,$G504-$J504)</f>
        <v/>
      </c>
      <c r="M504" s="122">
        <f>IF($B504="","",CONCATENATE("Kıymet: ",$B504," | NDD: ",TEXT($J504,"#,##0")))</f>
        <v/>
      </c>
    </row>
    <row r="505" ht="15" customHeight="1" s="77">
      <c r="A505" s="123" t="n"/>
      <c r="B505" s="123" t="n"/>
      <c r="C505" s="124" t="n"/>
      <c r="D505" s="125" t="n"/>
      <c r="E505" s="123" t="n"/>
      <c r="F505" s="126" t="n"/>
      <c r="G505" s="125" t="n"/>
      <c r="H505" s="122">
        <f>IF($D505="",0,MAX(0,ROUNDDOWN((AmortismanRaporTarihi-$C505)/365,0)))</f>
        <v/>
      </c>
      <c r="I505" s="122">
        <f>IF($D505="",0,IFERROR(IF($E505="Azalan",MAX(0,$D505*(1-MIN(2*AmortismanAzalanCarpan*$F505,1)^$H505)),MIN($D505,$D505*$F505*$H505)),0))</f>
        <v/>
      </c>
      <c r="J505" s="122">
        <f>IF($D505="",0,MAX(0,$D505-$I505))</f>
        <v/>
      </c>
      <c r="K505" s="122">
        <f>IF($H505=0,0,IFERROR(IF($E505="Azalan",$D505*(1-MIN(2*AmortismanAzalanCarpan*$F505,1))^MAX(0,$H505-1)*MIN(2*AmortismanAzalanCarpan*$F505,1),MIN($D505*$F505,$D505)),0))</f>
        <v/>
      </c>
      <c r="L505" s="122">
        <f>IF($D505="",0,$G505-$J505)</f>
        <v/>
      </c>
      <c r="M505" s="122">
        <f>IF($B505="","",CONCATENATE("Kıymet: ",$B505," | NDD: ",TEXT($J505,"#,##0")))</f>
        <v/>
      </c>
    </row>
    <row r="506" ht="15" customHeight="1" s="77">
      <c r="A506" s="123" t="n"/>
      <c r="B506" s="123" t="n"/>
      <c r="C506" s="124" t="n"/>
      <c r="D506" s="125" t="n"/>
      <c r="E506" s="123" t="n"/>
      <c r="F506" s="126" t="n"/>
      <c r="G506" s="125" t="n"/>
      <c r="H506" s="122">
        <f>IF($D506="",0,MAX(0,ROUNDDOWN((AmortismanRaporTarihi-$C506)/365,0)))</f>
        <v/>
      </c>
      <c r="I506" s="122">
        <f>IF($D506="",0,IFERROR(IF($E506="Azalan",MAX(0,$D506*(1-MIN(2*AmortismanAzalanCarpan*$F506,1)^$H506)),MIN($D506,$D506*$F506*$H506)),0))</f>
        <v/>
      </c>
      <c r="J506" s="122">
        <f>IF($D506="",0,MAX(0,$D506-$I506))</f>
        <v/>
      </c>
      <c r="K506" s="122">
        <f>IF($H506=0,0,IFERROR(IF($E506="Azalan",$D506*(1-MIN(2*AmortismanAzalanCarpan*$F506,1))^MAX(0,$H506-1)*MIN(2*AmortismanAzalanCarpan*$F506,1),MIN($D506*$F506,$D506)),0))</f>
        <v/>
      </c>
      <c r="L506" s="122">
        <f>IF($D506="",0,$G506-$J506)</f>
        <v/>
      </c>
      <c r="M506" s="122">
        <f>IF($B506="","",CONCATENATE("Kıymet: ",$B506," | NDD: ",TEXT($J506,"#,##0")))</f>
        <v/>
      </c>
    </row>
    <row r="507" ht="15" customHeight="1" s="77">
      <c r="A507" s="123" t="n"/>
      <c r="B507" s="123" t="n"/>
      <c r="C507" s="124" t="n"/>
      <c r="D507" s="125" t="n"/>
      <c r="E507" s="123" t="n"/>
      <c r="F507" s="126" t="n"/>
      <c r="G507" s="125" t="n"/>
      <c r="H507" s="122">
        <f>IF($D507="",0,MAX(0,ROUNDDOWN((AmortismanRaporTarihi-$C507)/365,0)))</f>
        <v/>
      </c>
      <c r="I507" s="122">
        <f>IF($D507="",0,IFERROR(IF($E507="Azalan",MAX(0,$D507*(1-MIN(2*AmortismanAzalanCarpan*$F507,1)^$H507)),MIN($D507,$D507*$F507*$H507)),0))</f>
        <v/>
      </c>
      <c r="J507" s="122">
        <f>IF($D507="",0,MAX(0,$D507-$I507))</f>
        <v/>
      </c>
      <c r="K507" s="122">
        <f>IF($H507=0,0,IFERROR(IF($E507="Azalan",$D507*(1-MIN(2*AmortismanAzalanCarpan*$F507,1))^MAX(0,$H507-1)*MIN(2*AmortismanAzalanCarpan*$F507,1),MIN($D507*$F507,$D507)),0))</f>
        <v/>
      </c>
      <c r="L507" s="122">
        <f>IF($D507="",0,$G507-$J507)</f>
        <v/>
      </c>
      <c r="M507" s="122">
        <f>IF($B507="","",CONCATENATE("Kıymet: ",$B507," | NDD: ",TEXT($J507,"#,##0")))</f>
        <v/>
      </c>
    </row>
    <row r="508" ht="15" customHeight="1" s="77">
      <c r="A508" s="123" t="n"/>
      <c r="B508" s="123" t="n"/>
      <c r="C508" s="124" t="n"/>
      <c r="D508" s="125" t="n"/>
      <c r="E508" s="123" t="n"/>
      <c r="F508" s="126" t="n"/>
      <c r="G508" s="125" t="n"/>
      <c r="H508" s="122">
        <f>IF($D508="",0,MAX(0,ROUNDDOWN((AmortismanRaporTarihi-$C508)/365,0)))</f>
        <v/>
      </c>
      <c r="I508" s="122">
        <f>IF($D508="",0,IFERROR(IF($E508="Azalan",MAX(0,$D508*(1-MIN(2*AmortismanAzalanCarpan*$F508,1)^$H508)),MIN($D508,$D508*$F508*$H508)),0))</f>
        <v/>
      </c>
      <c r="J508" s="122">
        <f>IF($D508="",0,MAX(0,$D508-$I508))</f>
        <v/>
      </c>
      <c r="K508" s="122">
        <f>IF($H508=0,0,IFERROR(IF($E508="Azalan",$D508*(1-MIN(2*AmortismanAzalanCarpan*$F508,1))^MAX(0,$H508-1)*MIN(2*AmortismanAzalanCarpan*$F508,1),MIN($D508*$F508,$D508)),0))</f>
        <v/>
      </c>
      <c r="L508" s="122">
        <f>IF($D508="",0,$G508-$J508)</f>
        <v/>
      </c>
      <c r="M508" s="122">
        <f>IF($B508="","",CONCATENATE("Kıymet: ",$B508," | NDD: ",TEXT($J508,"#,##0")))</f>
        <v/>
      </c>
    </row>
    <row r="509" ht="15" customHeight="1" s="77">
      <c r="A509" s="123" t="n"/>
      <c r="B509" s="123" t="n"/>
      <c r="C509" s="124" t="n"/>
      <c r="D509" s="125" t="n"/>
      <c r="E509" s="123" t="n"/>
      <c r="F509" s="126" t="n"/>
      <c r="G509" s="125" t="n"/>
      <c r="H509" s="122">
        <f>IF($D509="",0,MAX(0,ROUNDDOWN((AmortismanRaporTarihi-$C509)/365,0)))</f>
        <v/>
      </c>
      <c r="I509" s="122">
        <f>IF($D509="",0,IFERROR(IF($E509="Azalan",MAX(0,$D509*(1-MIN(2*AmortismanAzalanCarpan*$F509,1)^$H509)),MIN($D509,$D509*$F509*$H509)),0))</f>
        <v/>
      </c>
      <c r="J509" s="122">
        <f>IF($D509="",0,MAX(0,$D509-$I509))</f>
        <v/>
      </c>
      <c r="K509" s="122">
        <f>IF($H509=0,0,IFERROR(IF($E509="Azalan",$D509*(1-MIN(2*AmortismanAzalanCarpan*$F509,1))^MAX(0,$H509-1)*MIN(2*AmortismanAzalanCarpan*$F509,1),MIN($D509*$F509,$D509)),0))</f>
        <v/>
      </c>
      <c r="L509" s="122">
        <f>IF($D509="",0,$G509-$J509)</f>
        <v/>
      </c>
      <c r="M509" s="122">
        <f>IF($B509="","",CONCATENATE("Kıymet: ",$B509," | NDD: ",TEXT($J509,"#,##0")))</f>
        <v/>
      </c>
    </row>
    <row r="510" ht="15" customHeight="1" s="77">
      <c r="A510" s="123" t="n"/>
      <c r="B510" s="123" t="n"/>
      <c r="C510" s="124" t="n"/>
      <c r="D510" s="125" t="n"/>
      <c r="E510" s="123" t="n"/>
      <c r="F510" s="126" t="n"/>
      <c r="G510" s="125" t="n"/>
      <c r="H510" s="122">
        <f>IF($D510="",0,MAX(0,ROUNDDOWN((AmortismanRaporTarihi-$C510)/365,0)))</f>
        <v/>
      </c>
      <c r="I510" s="122">
        <f>IF($D510="",0,IFERROR(IF($E510="Azalan",MAX(0,$D510*(1-MIN(2*AmortismanAzalanCarpan*$F510,1)^$H510)),MIN($D510,$D510*$F510*$H510)),0))</f>
        <v/>
      </c>
      <c r="J510" s="122">
        <f>IF($D510="",0,MAX(0,$D510-$I510))</f>
        <v/>
      </c>
      <c r="K510" s="122">
        <f>IF($H510=0,0,IFERROR(IF($E510="Azalan",$D510*(1-MIN(2*AmortismanAzalanCarpan*$F510,1))^MAX(0,$H510-1)*MIN(2*AmortismanAzalanCarpan*$F510,1),MIN($D510*$F510,$D510)),0))</f>
        <v/>
      </c>
      <c r="L510" s="122">
        <f>IF($D510="",0,$G510-$J510)</f>
        <v/>
      </c>
      <c r="M510" s="122">
        <f>IF($B510="","",CONCATENATE("Kıymet: ",$B510," | NDD: ",TEXT($J510,"#,##0")))</f>
        <v/>
      </c>
    </row>
    <row r="511" ht="15" customHeight="1" s="77">
      <c r="A511" s="123" t="n"/>
      <c r="B511" s="123" t="n"/>
      <c r="C511" s="124" t="n"/>
      <c r="D511" s="125" t="n"/>
      <c r="E511" s="123" t="n"/>
      <c r="F511" s="126" t="n"/>
      <c r="G511" s="125" t="n"/>
      <c r="H511" s="122">
        <f>IF($D511="",0,MAX(0,ROUNDDOWN((AmortismanRaporTarihi-$C511)/365,0)))</f>
        <v/>
      </c>
      <c r="I511" s="122">
        <f>IF($D511="",0,IFERROR(IF($E511="Azalan",MAX(0,$D511*(1-MIN(2*AmortismanAzalanCarpan*$F511,1)^$H511)),MIN($D511,$D511*$F511*$H511)),0))</f>
        <v/>
      </c>
      <c r="J511" s="122">
        <f>IF($D511="",0,MAX(0,$D511-$I511))</f>
        <v/>
      </c>
      <c r="K511" s="122">
        <f>IF($H511=0,0,IFERROR(IF($E511="Azalan",$D511*(1-MIN(2*AmortismanAzalanCarpan*$F511,1))^MAX(0,$H511-1)*MIN(2*AmortismanAzalanCarpan*$F511,1),MIN($D511*$F511,$D511)),0))</f>
        <v/>
      </c>
      <c r="L511" s="122">
        <f>IF($D511="",0,$G511-$J511)</f>
        <v/>
      </c>
      <c r="M511" s="122">
        <f>IF($B511="","",CONCATENATE("Kıymet: ",$B511," | NDD: ",TEXT($J511,"#,##0")))</f>
        <v/>
      </c>
    </row>
    <row r="512" ht="15" customHeight="1" s="77">
      <c r="A512" s="123" t="n"/>
      <c r="B512" s="123" t="n"/>
      <c r="C512" s="124" t="n"/>
      <c r="D512" s="125" t="n"/>
      <c r="E512" s="123" t="n"/>
      <c r="F512" s="126" t="n"/>
      <c r="G512" s="125" t="n"/>
      <c r="H512" s="122">
        <f>IF($D512="",0,MAX(0,ROUNDDOWN((AmortismanRaporTarihi-$C512)/365,0)))</f>
        <v/>
      </c>
      <c r="I512" s="122">
        <f>IF($D512="",0,IFERROR(IF($E512="Azalan",MAX(0,$D512*(1-MIN(2*AmortismanAzalanCarpan*$F512,1)^$H512)),MIN($D512,$D512*$F512*$H512)),0))</f>
        <v/>
      </c>
      <c r="J512" s="122">
        <f>IF($D512="",0,MAX(0,$D512-$I512))</f>
        <v/>
      </c>
      <c r="K512" s="122">
        <f>IF($H512=0,0,IFERROR(IF($E512="Azalan",$D512*(1-MIN(2*AmortismanAzalanCarpan*$F512,1))^MAX(0,$H512-1)*MIN(2*AmortismanAzalanCarpan*$F512,1),MIN($D512*$F512,$D512)),0))</f>
        <v/>
      </c>
      <c r="L512" s="122">
        <f>IF($D512="",0,$G512-$J512)</f>
        <v/>
      </c>
      <c r="M512" s="122">
        <f>IF($B512="","",CONCATENATE("Kıymet: ",$B512," | NDD: ",TEXT($J512,"#,##0")))</f>
        <v/>
      </c>
    </row>
    <row r="513" ht="15" customHeight="1" s="77">
      <c r="A513" s="123" t="n"/>
      <c r="B513" s="123" t="n"/>
      <c r="C513" s="124" t="n"/>
      <c r="D513" s="125" t="n"/>
      <c r="E513" s="123" t="n"/>
      <c r="F513" s="126" t="n"/>
      <c r="G513" s="125" t="n"/>
      <c r="H513" s="122">
        <f>IF($D513="",0,MAX(0,ROUNDDOWN((AmortismanRaporTarihi-$C513)/365,0)))</f>
        <v/>
      </c>
      <c r="I513" s="122">
        <f>IF($D513="",0,IFERROR(IF($E513="Azalan",MAX(0,$D513*(1-MIN(2*AmortismanAzalanCarpan*$F513,1)^$H513)),MIN($D513,$D513*$F513*$H513)),0))</f>
        <v/>
      </c>
      <c r="J513" s="122">
        <f>IF($D513="",0,MAX(0,$D513-$I513))</f>
        <v/>
      </c>
      <c r="K513" s="122">
        <f>IF($H513=0,0,IFERROR(IF($E513="Azalan",$D513*(1-MIN(2*AmortismanAzalanCarpan*$F513,1))^MAX(0,$H513-1)*MIN(2*AmortismanAzalanCarpan*$F513,1),MIN($D513*$F513,$D513)),0))</f>
        <v/>
      </c>
      <c r="L513" s="122">
        <f>IF($D513="",0,$G513-$J513)</f>
        <v/>
      </c>
      <c r="M513" s="122">
        <f>IF($B513="","",CONCATENATE("Kıymet: ",$B513," | NDD: ",TEXT($J513,"#,##0")))</f>
        <v/>
      </c>
    </row>
    <row r="514" ht="15" customHeight="1" s="77">
      <c r="A514" s="123" t="n"/>
      <c r="B514" s="123" t="n"/>
      <c r="C514" s="124" t="n"/>
      <c r="D514" s="125" t="n"/>
      <c r="E514" s="123" t="n"/>
      <c r="F514" s="126" t="n"/>
      <c r="G514" s="125" t="n"/>
      <c r="H514" s="122">
        <f>IF($D514="",0,MAX(0,ROUNDDOWN((AmortismanRaporTarihi-$C514)/365,0)))</f>
        <v/>
      </c>
      <c r="I514" s="122">
        <f>IF($D514="",0,IFERROR(IF($E514="Azalan",MAX(0,$D514*(1-MIN(2*AmortismanAzalanCarpan*$F514,1)^$H514)),MIN($D514,$D514*$F514*$H514)),0))</f>
        <v/>
      </c>
      <c r="J514" s="122">
        <f>IF($D514="",0,MAX(0,$D514-$I514))</f>
        <v/>
      </c>
      <c r="K514" s="122">
        <f>IF($H514=0,0,IFERROR(IF($E514="Azalan",$D514*(1-MIN(2*AmortismanAzalanCarpan*$F514,1))^MAX(0,$H514-1)*MIN(2*AmortismanAzalanCarpan*$F514,1),MIN($D514*$F514,$D514)),0))</f>
        <v/>
      </c>
      <c r="L514" s="122">
        <f>IF($D514="",0,$G514-$J514)</f>
        <v/>
      </c>
      <c r="M514" s="122">
        <f>IF($B514="","",CONCATENATE("Kıymet: ",$B514," | NDD: ",TEXT($J514,"#,##0")))</f>
        <v/>
      </c>
    </row>
    <row r="515" ht="15" customHeight="1" s="77">
      <c r="A515" s="123" t="n"/>
      <c r="B515" s="123" t="n"/>
      <c r="C515" s="124" t="n"/>
      <c r="D515" s="125" t="n"/>
      <c r="E515" s="123" t="n"/>
      <c r="F515" s="126" t="n"/>
      <c r="G515" s="125" t="n"/>
      <c r="H515" s="122">
        <f>IF($D515="",0,MAX(0,ROUNDDOWN((AmortismanRaporTarihi-$C515)/365,0)))</f>
        <v/>
      </c>
      <c r="I515" s="122">
        <f>IF($D515="",0,IFERROR(IF($E515="Azalan",MAX(0,$D515*(1-MIN(2*AmortismanAzalanCarpan*$F515,1)^$H515)),MIN($D515,$D515*$F515*$H515)),0))</f>
        <v/>
      </c>
      <c r="J515" s="122">
        <f>IF($D515="",0,MAX(0,$D515-$I515))</f>
        <v/>
      </c>
      <c r="K515" s="122">
        <f>IF($H515=0,0,IFERROR(IF($E515="Azalan",$D515*(1-MIN(2*AmortismanAzalanCarpan*$F515,1))^MAX(0,$H515-1)*MIN(2*AmortismanAzalanCarpan*$F515,1),MIN($D515*$F515,$D515)),0))</f>
        <v/>
      </c>
      <c r="L515" s="122">
        <f>IF($D515="",0,$G515-$J515)</f>
        <v/>
      </c>
      <c r="M515" s="122">
        <f>IF($B515="","",CONCATENATE("Kıymet: ",$B515," | NDD: ",TEXT($J515,"#,##0")))</f>
        <v/>
      </c>
    </row>
    <row r="516" ht="15" customHeight="1" s="77">
      <c r="A516" s="123" t="n"/>
      <c r="B516" s="123" t="n"/>
      <c r="C516" s="124" t="n"/>
      <c r="D516" s="125" t="n"/>
      <c r="E516" s="123" t="n"/>
      <c r="F516" s="126" t="n"/>
      <c r="G516" s="125" t="n"/>
      <c r="H516" s="122">
        <f>IF($D516="",0,MAX(0,ROUNDDOWN((AmortismanRaporTarihi-$C516)/365,0)))</f>
        <v/>
      </c>
      <c r="I516" s="122">
        <f>IF($D516="",0,IFERROR(IF($E516="Azalan",MAX(0,$D516*(1-MIN(2*AmortismanAzalanCarpan*$F516,1)^$H516)),MIN($D516,$D516*$F516*$H516)),0))</f>
        <v/>
      </c>
      <c r="J516" s="122">
        <f>IF($D516="",0,MAX(0,$D516-$I516))</f>
        <v/>
      </c>
      <c r="K516" s="122">
        <f>IF($H516=0,0,IFERROR(IF($E516="Azalan",$D516*(1-MIN(2*AmortismanAzalanCarpan*$F516,1))^MAX(0,$H516-1)*MIN(2*AmortismanAzalanCarpan*$F516,1),MIN($D516*$F516,$D516)),0))</f>
        <v/>
      </c>
      <c r="L516" s="122">
        <f>IF($D516="",0,$G516-$J516)</f>
        <v/>
      </c>
      <c r="M516" s="122">
        <f>IF($B516="","",CONCATENATE("Kıymet: ",$B516," | NDD: ",TEXT($J516,"#,##0")))</f>
        <v/>
      </c>
    </row>
    <row r="517" ht="15" customHeight="1" s="77">
      <c r="A517" s="123" t="n"/>
      <c r="B517" s="123" t="n"/>
      <c r="C517" s="124" t="n"/>
      <c r="D517" s="125" t="n"/>
      <c r="E517" s="123" t="n"/>
      <c r="F517" s="126" t="n"/>
      <c r="G517" s="125" t="n"/>
      <c r="H517" s="122">
        <f>IF($D517="",0,MAX(0,ROUNDDOWN((AmortismanRaporTarihi-$C517)/365,0)))</f>
        <v/>
      </c>
      <c r="I517" s="122">
        <f>IF($D517="",0,IFERROR(IF($E517="Azalan",MAX(0,$D517*(1-MIN(2*AmortismanAzalanCarpan*$F517,1)^$H517)),MIN($D517,$D517*$F517*$H517)),0))</f>
        <v/>
      </c>
      <c r="J517" s="122">
        <f>IF($D517="",0,MAX(0,$D517-$I517))</f>
        <v/>
      </c>
      <c r="K517" s="122">
        <f>IF($H517=0,0,IFERROR(IF($E517="Azalan",$D517*(1-MIN(2*AmortismanAzalanCarpan*$F517,1))^MAX(0,$H517-1)*MIN(2*AmortismanAzalanCarpan*$F517,1),MIN($D517*$F517,$D517)),0))</f>
        <v/>
      </c>
      <c r="L517" s="122">
        <f>IF($D517="",0,$G517-$J517)</f>
        <v/>
      </c>
      <c r="M517" s="122">
        <f>IF($B517="","",CONCATENATE("Kıymet: ",$B517," | NDD: ",TEXT($J517,"#,##0")))</f>
        <v/>
      </c>
    </row>
    <row r="518" ht="15" customHeight="1" s="77">
      <c r="A518" s="123" t="n"/>
      <c r="B518" s="123" t="n"/>
      <c r="C518" s="124" t="n"/>
      <c r="D518" s="125" t="n"/>
      <c r="E518" s="123" t="n"/>
      <c r="F518" s="126" t="n"/>
      <c r="G518" s="125" t="n"/>
      <c r="H518" s="122">
        <f>IF($D518="",0,MAX(0,ROUNDDOWN((AmortismanRaporTarihi-$C518)/365,0)))</f>
        <v/>
      </c>
      <c r="I518" s="122">
        <f>IF($D518="",0,IFERROR(IF($E518="Azalan",MAX(0,$D518*(1-MIN(2*AmortismanAzalanCarpan*$F518,1)^$H518)),MIN($D518,$D518*$F518*$H518)),0))</f>
        <v/>
      </c>
      <c r="J518" s="122">
        <f>IF($D518="",0,MAX(0,$D518-$I518))</f>
        <v/>
      </c>
      <c r="K518" s="122">
        <f>IF($H518=0,0,IFERROR(IF($E518="Azalan",$D518*(1-MIN(2*AmortismanAzalanCarpan*$F518,1))^MAX(0,$H518-1)*MIN(2*AmortismanAzalanCarpan*$F518,1),MIN($D518*$F518,$D518)),0))</f>
        <v/>
      </c>
      <c r="L518" s="122">
        <f>IF($D518="",0,$G518-$J518)</f>
        <v/>
      </c>
      <c r="M518" s="122">
        <f>IF($B518="","",CONCATENATE("Kıymet: ",$B518," | NDD: ",TEXT($J518,"#,##0")))</f>
        <v/>
      </c>
    </row>
    <row r="519" ht="15" customHeight="1" s="77">
      <c r="A519" s="123" t="n"/>
      <c r="B519" s="123" t="n"/>
      <c r="C519" s="124" t="n"/>
      <c r="D519" s="125" t="n"/>
      <c r="E519" s="123" t="n"/>
      <c r="F519" s="126" t="n"/>
      <c r="G519" s="125" t="n"/>
      <c r="H519" s="122">
        <f>IF($D519="",0,MAX(0,ROUNDDOWN((AmortismanRaporTarihi-$C519)/365,0)))</f>
        <v/>
      </c>
      <c r="I519" s="122">
        <f>IF($D519="",0,IFERROR(IF($E519="Azalan",MAX(0,$D519*(1-MIN(2*AmortismanAzalanCarpan*$F519,1)^$H519)),MIN($D519,$D519*$F519*$H519)),0))</f>
        <v/>
      </c>
      <c r="J519" s="122">
        <f>IF($D519="",0,MAX(0,$D519-$I519))</f>
        <v/>
      </c>
      <c r="K519" s="122">
        <f>IF($H519=0,0,IFERROR(IF($E519="Azalan",$D519*(1-MIN(2*AmortismanAzalanCarpan*$F519,1))^MAX(0,$H519-1)*MIN(2*AmortismanAzalanCarpan*$F519,1),MIN($D519*$F519,$D519)),0))</f>
        <v/>
      </c>
      <c r="L519" s="122">
        <f>IF($D519="",0,$G519-$J519)</f>
        <v/>
      </c>
      <c r="M519" s="122">
        <f>IF($B519="","",CONCATENATE("Kıymet: ",$B519," | NDD: ",TEXT($J519,"#,##0")))</f>
        <v/>
      </c>
    </row>
    <row r="520" ht="15" customHeight="1" s="77">
      <c r="A520" s="123" t="n"/>
      <c r="B520" s="123" t="n"/>
      <c r="C520" s="124" t="n"/>
      <c r="D520" s="125" t="n"/>
      <c r="E520" s="123" t="n"/>
      <c r="F520" s="126" t="n"/>
      <c r="G520" s="125" t="n"/>
      <c r="H520" s="122">
        <f>IF($D520="",0,MAX(0,ROUNDDOWN((AmortismanRaporTarihi-$C520)/365,0)))</f>
        <v/>
      </c>
      <c r="I520" s="122">
        <f>IF($D520="",0,IFERROR(IF($E520="Azalan",MAX(0,$D520*(1-MIN(2*AmortismanAzalanCarpan*$F520,1)^$H520)),MIN($D520,$D520*$F520*$H520)),0))</f>
        <v/>
      </c>
      <c r="J520" s="122">
        <f>IF($D520="",0,MAX(0,$D520-$I520))</f>
        <v/>
      </c>
      <c r="K520" s="122">
        <f>IF($H520=0,0,IFERROR(IF($E520="Azalan",$D520*(1-MIN(2*AmortismanAzalanCarpan*$F520,1))^MAX(0,$H520-1)*MIN(2*AmortismanAzalanCarpan*$F520,1),MIN($D520*$F520,$D520)),0))</f>
        <v/>
      </c>
      <c r="L520" s="122">
        <f>IF($D520="",0,$G520-$J520)</f>
        <v/>
      </c>
      <c r="M520" s="122">
        <f>IF($B520="","",CONCATENATE("Kıymet: ",$B520," | NDD: ",TEXT($J520,"#,##0")))</f>
        <v/>
      </c>
    </row>
    <row r="521" ht="15" customHeight="1" s="77">
      <c r="A521" s="123" t="n"/>
      <c r="B521" s="123" t="n"/>
      <c r="C521" s="124" t="n"/>
      <c r="D521" s="125" t="n"/>
      <c r="E521" s="123" t="n"/>
      <c r="F521" s="126" t="n"/>
      <c r="G521" s="125" t="n"/>
      <c r="H521" s="122">
        <f>IF($D521="",0,MAX(0,ROUNDDOWN((AmortismanRaporTarihi-$C521)/365,0)))</f>
        <v/>
      </c>
      <c r="I521" s="122">
        <f>IF($D521="",0,IFERROR(IF($E521="Azalan",MAX(0,$D521*(1-MIN(2*AmortismanAzalanCarpan*$F521,1)^$H521)),MIN($D521,$D521*$F521*$H521)),0))</f>
        <v/>
      </c>
      <c r="J521" s="122">
        <f>IF($D521="",0,MAX(0,$D521-$I521))</f>
        <v/>
      </c>
      <c r="K521" s="122">
        <f>IF($H521=0,0,IFERROR(IF($E521="Azalan",$D521*(1-MIN(2*AmortismanAzalanCarpan*$F521,1))^MAX(0,$H521-1)*MIN(2*AmortismanAzalanCarpan*$F521,1),MIN($D521*$F521,$D521)),0))</f>
        <v/>
      </c>
      <c r="L521" s="122">
        <f>IF($D521="",0,$G521-$J521)</f>
        <v/>
      </c>
      <c r="M521" s="122">
        <f>IF($B521="","",CONCATENATE("Kıymet: ",$B521," | NDD: ",TEXT($J521,"#,##0")))</f>
        <v/>
      </c>
    </row>
    <row r="522" ht="15" customHeight="1" s="77">
      <c r="A522" s="123" t="n"/>
      <c r="B522" s="123" t="n"/>
      <c r="C522" s="124" t="n"/>
      <c r="D522" s="125" t="n"/>
      <c r="E522" s="123" t="n"/>
      <c r="F522" s="126" t="n"/>
      <c r="G522" s="125" t="n"/>
      <c r="H522" s="122">
        <f>IF($D522="",0,MAX(0,ROUNDDOWN((AmortismanRaporTarihi-$C522)/365,0)))</f>
        <v/>
      </c>
      <c r="I522" s="122">
        <f>IF($D522="",0,IFERROR(IF($E522="Azalan",MAX(0,$D522*(1-MIN(2*AmortismanAzalanCarpan*$F522,1)^$H522)),MIN($D522,$D522*$F522*$H522)),0))</f>
        <v/>
      </c>
      <c r="J522" s="122">
        <f>IF($D522="",0,MAX(0,$D522-$I522))</f>
        <v/>
      </c>
      <c r="K522" s="122">
        <f>IF($H522=0,0,IFERROR(IF($E522="Azalan",$D522*(1-MIN(2*AmortismanAzalanCarpan*$F522,1))^MAX(0,$H522-1)*MIN(2*AmortismanAzalanCarpan*$F522,1),MIN($D522*$F522,$D522)),0))</f>
        <v/>
      </c>
      <c r="L522" s="122">
        <f>IF($D522="",0,$G522-$J522)</f>
        <v/>
      </c>
      <c r="M522" s="122">
        <f>IF($B522="","",CONCATENATE("Kıymet: ",$B522," | NDD: ",TEXT($J522,"#,##0")))</f>
        <v/>
      </c>
    </row>
    <row r="523" ht="15" customHeight="1" s="77">
      <c r="A523" s="123" t="n"/>
      <c r="B523" s="123" t="n"/>
      <c r="C523" s="124" t="n"/>
      <c r="D523" s="125" t="n"/>
      <c r="E523" s="123" t="n"/>
      <c r="F523" s="126" t="n"/>
      <c r="G523" s="125" t="n"/>
      <c r="H523" s="122">
        <f>IF($D523="",0,MAX(0,ROUNDDOWN((AmortismanRaporTarihi-$C523)/365,0)))</f>
        <v/>
      </c>
      <c r="I523" s="122">
        <f>IF($D523="",0,IFERROR(IF($E523="Azalan",MAX(0,$D523*(1-MIN(2*AmortismanAzalanCarpan*$F523,1)^$H523)),MIN($D523,$D523*$F523*$H523)),0))</f>
        <v/>
      </c>
      <c r="J523" s="122">
        <f>IF($D523="",0,MAX(0,$D523-$I523))</f>
        <v/>
      </c>
      <c r="K523" s="122">
        <f>IF($H523=0,0,IFERROR(IF($E523="Azalan",$D523*(1-MIN(2*AmortismanAzalanCarpan*$F523,1))^MAX(0,$H523-1)*MIN(2*AmortismanAzalanCarpan*$F523,1),MIN($D523*$F523,$D523)),0))</f>
        <v/>
      </c>
      <c r="L523" s="122">
        <f>IF($D523="",0,$G523-$J523)</f>
        <v/>
      </c>
      <c r="M523" s="122">
        <f>IF($B523="","",CONCATENATE("Kıymet: ",$B523," | NDD: ",TEXT($J523,"#,##0")))</f>
        <v/>
      </c>
    </row>
    <row r="524" ht="15" customHeight="1" s="77">
      <c r="A524" s="123" t="n"/>
      <c r="B524" s="123" t="n"/>
      <c r="C524" s="124" t="n"/>
      <c r="D524" s="125" t="n"/>
      <c r="E524" s="123" t="n"/>
      <c r="F524" s="126" t="n"/>
      <c r="G524" s="125" t="n"/>
      <c r="H524" s="122">
        <f>IF($D524="",0,MAX(0,ROUNDDOWN((AmortismanRaporTarihi-$C524)/365,0)))</f>
        <v/>
      </c>
      <c r="I524" s="122">
        <f>IF($D524="",0,IFERROR(IF($E524="Azalan",MAX(0,$D524*(1-MIN(2*AmortismanAzalanCarpan*$F524,1)^$H524)),MIN($D524,$D524*$F524*$H524)),0))</f>
        <v/>
      </c>
      <c r="J524" s="122">
        <f>IF($D524="",0,MAX(0,$D524-$I524))</f>
        <v/>
      </c>
      <c r="K524" s="122">
        <f>IF($H524=0,0,IFERROR(IF($E524="Azalan",$D524*(1-MIN(2*AmortismanAzalanCarpan*$F524,1))^MAX(0,$H524-1)*MIN(2*AmortismanAzalanCarpan*$F524,1),MIN($D524*$F524,$D524)),0))</f>
        <v/>
      </c>
      <c r="L524" s="122">
        <f>IF($D524="",0,$G524-$J524)</f>
        <v/>
      </c>
      <c r="M524" s="122">
        <f>IF($B524="","",CONCATENATE("Kıymet: ",$B524," | NDD: ",TEXT($J524,"#,##0")))</f>
        <v/>
      </c>
    </row>
    <row r="525" ht="15" customHeight="1" s="77">
      <c r="A525" s="123" t="n"/>
      <c r="B525" s="123" t="n"/>
      <c r="C525" s="124" t="n"/>
      <c r="D525" s="125" t="n"/>
      <c r="E525" s="123" t="n"/>
      <c r="F525" s="126" t="n"/>
      <c r="G525" s="125" t="n"/>
      <c r="H525" s="122">
        <f>IF($D525="",0,MAX(0,ROUNDDOWN((AmortismanRaporTarihi-$C525)/365,0)))</f>
        <v/>
      </c>
      <c r="I525" s="122">
        <f>IF($D525="",0,IFERROR(IF($E525="Azalan",MAX(0,$D525*(1-MIN(2*AmortismanAzalanCarpan*$F525,1)^$H525)),MIN($D525,$D525*$F525*$H525)),0))</f>
        <v/>
      </c>
      <c r="J525" s="122">
        <f>IF($D525="",0,MAX(0,$D525-$I525))</f>
        <v/>
      </c>
      <c r="K525" s="122">
        <f>IF($H525=0,0,IFERROR(IF($E525="Azalan",$D525*(1-MIN(2*AmortismanAzalanCarpan*$F525,1))^MAX(0,$H525-1)*MIN(2*AmortismanAzalanCarpan*$F525,1),MIN($D525*$F525,$D525)),0))</f>
        <v/>
      </c>
      <c r="L525" s="122">
        <f>IF($D525="",0,$G525-$J525)</f>
        <v/>
      </c>
      <c r="M525" s="122">
        <f>IF($B525="","",CONCATENATE("Kıymet: ",$B525," | NDD: ",TEXT($J525,"#,##0")))</f>
        <v/>
      </c>
    </row>
    <row r="526" ht="15" customHeight="1" s="77">
      <c r="A526" s="123" t="n"/>
      <c r="B526" s="123" t="n"/>
      <c r="C526" s="124" t="n"/>
      <c r="D526" s="125" t="n"/>
      <c r="E526" s="123" t="n"/>
      <c r="F526" s="126" t="n"/>
      <c r="G526" s="125" t="n"/>
      <c r="H526" s="122">
        <f>IF($D526="",0,MAX(0,ROUNDDOWN((AmortismanRaporTarihi-$C526)/365,0)))</f>
        <v/>
      </c>
      <c r="I526" s="122">
        <f>IF($D526="",0,IFERROR(IF($E526="Azalan",MAX(0,$D526*(1-MIN(2*AmortismanAzalanCarpan*$F526,1)^$H526)),MIN($D526,$D526*$F526*$H526)),0))</f>
        <v/>
      </c>
      <c r="J526" s="122">
        <f>IF($D526="",0,MAX(0,$D526-$I526))</f>
        <v/>
      </c>
      <c r="K526" s="122">
        <f>IF($H526=0,0,IFERROR(IF($E526="Azalan",$D526*(1-MIN(2*AmortismanAzalanCarpan*$F526,1))^MAX(0,$H526-1)*MIN(2*AmortismanAzalanCarpan*$F526,1),MIN($D526*$F526,$D526)),0))</f>
        <v/>
      </c>
      <c r="L526" s="122">
        <f>IF($D526="",0,$G526-$J526)</f>
        <v/>
      </c>
      <c r="M526" s="122">
        <f>IF($B526="","",CONCATENATE("Kıymet: ",$B526," | NDD: ",TEXT($J526,"#,##0")))</f>
        <v/>
      </c>
    </row>
    <row r="527" ht="15" customHeight="1" s="77">
      <c r="A527" s="123" t="n"/>
      <c r="B527" s="123" t="n"/>
      <c r="C527" s="124" t="n"/>
      <c r="D527" s="125" t="n"/>
      <c r="E527" s="123" t="n"/>
      <c r="F527" s="126" t="n"/>
      <c r="G527" s="125" t="n"/>
      <c r="H527" s="122">
        <f>IF($D527="",0,MAX(0,ROUNDDOWN((AmortismanRaporTarihi-$C527)/365,0)))</f>
        <v/>
      </c>
      <c r="I527" s="122">
        <f>IF($D527="",0,IFERROR(IF($E527="Azalan",MAX(0,$D527*(1-MIN(2*AmortismanAzalanCarpan*$F527,1)^$H527)),MIN($D527,$D527*$F527*$H527)),0))</f>
        <v/>
      </c>
      <c r="J527" s="122">
        <f>IF($D527="",0,MAX(0,$D527-$I527))</f>
        <v/>
      </c>
      <c r="K527" s="122">
        <f>IF($H527=0,0,IFERROR(IF($E527="Azalan",$D527*(1-MIN(2*AmortismanAzalanCarpan*$F527,1))^MAX(0,$H527-1)*MIN(2*AmortismanAzalanCarpan*$F527,1),MIN($D527*$F527,$D527)),0))</f>
        <v/>
      </c>
      <c r="L527" s="122">
        <f>IF($D527="",0,$G527-$J527)</f>
        <v/>
      </c>
      <c r="M527" s="122">
        <f>IF($B527="","",CONCATENATE("Kıymet: ",$B527," | NDD: ",TEXT($J527,"#,##0")))</f>
        <v/>
      </c>
    </row>
    <row r="528" ht="15" customHeight="1" s="77">
      <c r="A528" s="123" t="n"/>
      <c r="B528" s="123" t="n"/>
      <c r="C528" s="124" t="n"/>
      <c r="D528" s="125" t="n"/>
      <c r="E528" s="123" t="n"/>
      <c r="F528" s="126" t="n"/>
      <c r="G528" s="125" t="n"/>
      <c r="H528" s="122">
        <f>IF($D528="",0,MAX(0,ROUNDDOWN((AmortismanRaporTarihi-$C528)/365,0)))</f>
        <v/>
      </c>
      <c r="I528" s="122">
        <f>IF($D528="",0,IFERROR(IF($E528="Azalan",MAX(0,$D528*(1-MIN(2*AmortismanAzalanCarpan*$F528,1)^$H528)),MIN($D528,$D528*$F528*$H528)),0))</f>
        <v/>
      </c>
      <c r="J528" s="122">
        <f>IF($D528="",0,MAX(0,$D528-$I528))</f>
        <v/>
      </c>
      <c r="K528" s="122">
        <f>IF($H528=0,0,IFERROR(IF($E528="Azalan",$D528*(1-MIN(2*AmortismanAzalanCarpan*$F528,1))^MAX(0,$H528-1)*MIN(2*AmortismanAzalanCarpan*$F528,1),MIN($D528*$F528,$D528)),0))</f>
        <v/>
      </c>
      <c r="L528" s="122">
        <f>IF($D528="",0,$G528-$J528)</f>
        <v/>
      </c>
      <c r="M528" s="122">
        <f>IF($B528="","",CONCATENATE("Kıymet: ",$B528," | NDD: ",TEXT($J528,"#,##0")))</f>
        <v/>
      </c>
    </row>
    <row r="529" ht="15" customHeight="1" s="77">
      <c r="A529" s="123" t="n"/>
      <c r="B529" s="123" t="n"/>
      <c r="C529" s="124" t="n"/>
      <c r="D529" s="125" t="n"/>
      <c r="E529" s="123" t="n"/>
      <c r="F529" s="126" t="n"/>
      <c r="G529" s="125" t="n"/>
      <c r="H529" s="122">
        <f>IF($D529="",0,MAX(0,ROUNDDOWN((AmortismanRaporTarihi-$C529)/365,0)))</f>
        <v/>
      </c>
      <c r="I529" s="122">
        <f>IF($D529="",0,IFERROR(IF($E529="Azalan",MAX(0,$D529*(1-MIN(2*AmortismanAzalanCarpan*$F529,1)^$H529)),MIN($D529,$D529*$F529*$H529)),0))</f>
        <v/>
      </c>
      <c r="J529" s="122">
        <f>IF($D529="",0,MAX(0,$D529-$I529))</f>
        <v/>
      </c>
      <c r="K529" s="122">
        <f>IF($H529=0,0,IFERROR(IF($E529="Azalan",$D529*(1-MIN(2*AmortismanAzalanCarpan*$F529,1))^MAX(0,$H529-1)*MIN(2*AmortismanAzalanCarpan*$F529,1),MIN($D529*$F529,$D529)),0))</f>
        <v/>
      </c>
      <c r="L529" s="122">
        <f>IF($D529="",0,$G529-$J529)</f>
        <v/>
      </c>
      <c r="M529" s="122">
        <f>IF($B529="","",CONCATENATE("Kıymet: ",$B529," | NDD: ",TEXT($J529,"#,##0")))</f>
        <v/>
      </c>
    </row>
    <row r="530" ht="15" customHeight="1" s="77">
      <c r="A530" s="123" t="n"/>
      <c r="B530" s="123" t="n"/>
      <c r="C530" s="124" t="n"/>
      <c r="D530" s="125" t="n"/>
      <c r="E530" s="123" t="n"/>
      <c r="F530" s="126" t="n"/>
      <c r="G530" s="125" t="n"/>
      <c r="H530" s="122">
        <f>IF($D530="",0,MAX(0,ROUNDDOWN((AmortismanRaporTarihi-$C530)/365,0)))</f>
        <v/>
      </c>
      <c r="I530" s="122">
        <f>IF($D530="",0,IFERROR(IF($E530="Azalan",MAX(0,$D530*(1-MIN(2*AmortismanAzalanCarpan*$F530,1)^$H530)),MIN($D530,$D530*$F530*$H530)),0))</f>
        <v/>
      </c>
      <c r="J530" s="122">
        <f>IF($D530="",0,MAX(0,$D530-$I530))</f>
        <v/>
      </c>
      <c r="K530" s="122">
        <f>IF($H530=0,0,IFERROR(IF($E530="Azalan",$D530*(1-MIN(2*AmortismanAzalanCarpan*$F530,1))^MAX(0,$H530-1)*MIN(2*AmortismanAzalanCarpan*$F530,1),MIN($D530*$F530,$D530)),0))</f>
        <v/>
      </c>
      <c r="L530" s="122">
        <f>IF($D530="",0,$G530-$J530)</f>
        <v/>
      </c>
      <c r="M530" s="122">
        <f>IF($B530="","",CONCATENATE("Kıymet: ",$B530," | NDD: ",TEXT($J530,"#,##0")))</f>
        <v/>
      </c>
    </row>
    <row r="531" ht="15" customHeight="1" s="77">
      <c r="A531" s="123" t="n"/>
      <c r="B531" s="123" t="n"/>
      <c r="C531" s="124" t="n"/>
      <c r="D531" s="125" t="n"/>
      <c r="E531" s="123" t="n"/>
      <c r="F531" s="126" t="n"/>
      <c r="G531" s="125" t="n"/>
      <c r="H531" s="122">
        <f>IF($D531="",0,MAX(0,ROUNDDOWN((AmortismanRaporTarihi-$C531)/365,0)))</f>
        <v/>
      </c>
      <c r="I531" s="122">
        <f>IF($D531="",0,IFERROR(IF($E531="Azalan",MAX(0,$D531*(1-MIN(2*AmortismanAzalanCarpan*$F531,1)^$H531)),MIN($D531,$D531*$F531*$H531)),0))</f>
        <v/>
      </c>
      <c r="J531" s="122">
        <f>IF($D531="",0,MAX(0,$D531-$I531))</f>
        <v/>
      </c>
      <c r="K531" s="122">
        <f>IF($H531=0,0,IFERROR(IF($E531="Azalan",$D531*(1-MIN(2*AmortismanAzalanCarpan*$F531,1))^MAX(0,$H531-1)*MIN(2*AmortismanAzalanCarpan*$F531,1),MIN($D531*$F531,$D531)),0))</f>
        <v/>
      </c>
      <c r="L531" s="122">
        <f>IF($D531="",0,$G531-$J531)</f>
        <v/>
      </c>
      <c r="M531" s="122">
        <f>IF($B531="","",CONCATENATE("Kıymet: ",$B531," | NDD: ",TEXT($J531,"#,##0")))</f>
        <v/>
      </c>
    </row>
    <row r="532" ht="15" customHeight="1" s="77">
      <c r="A532" s="123" t="n"/>
      <c r="B532" s="123" t="n"/>
      <c r="C532" s="124" t="n"/>
      <c r="D532" s="125" t="n"/>
      <c r="E532" s="123" t="n"/>
      <c r="F532" s="126" t="n"/>
      <c r="G532" s="125" t="n"/>
      <c r="H532" s="122">
        <f>IF($D532="",0,MAX(0,ROUNDDOWN((AmortismanRaporTarihi-$C532)/365,0)))</f>
        <v/>
      </c>
      <c r="I532" s="122">
        <f>IF($D532="",0,IFERROR(IF($E532="Azalan",MAX(0,$D532*(1-MIN(2*AmortismanAzalanCarpan*$F532,1)^$H532)),MIN($D532,$D532*$F532*$H532)),0))</f>
        <v/>
      </c>
      <c r="J532" s="122">
        <f>IF($D532="",0,MAX(0,$D532-$I532))</f>
        <v/>
      </c>
      <c r="K532" s="122">
        <f>IF($H532=0,0,IFERROR(IF($E532="Azalan",$D532*(1-MIN(2*AmortismanAzalanCarpan*$F532,1))^MAX(0,$H532-1)*MIN(2*AmortismanAzalanCarpan*$F532,1),MIN($D532*$F532,$D532)),0))</f>
        <v/>
      </c>
      <c r="L532" s="122">
        <f>IF($D532="",0,$G532-$J532)</f>
        <v/>
      </c>
      <c r="M532" s="122">
        <f>IF($B532="","",CONCATENATE("Kıymet: ",$B532," | NDD: ",TEXT($J532,"#,##0")))</f>
        <v/>
      </c>
    </row>
    <row r="533" ht="15" customHeight="1" s="77">
      <c r="A533" s="123" t="n"/>
      <c r="B533" s="123" t="n"/>
      <c r="C533" s="124" t="n"/>
      <c r="D533" s="125" t="n"/>
      <c r="E533" s="123" t="n"/>
      <c r="F533" s="126" t="n"/>
      <c r="G533" s="125" t="n"/>
      <c r="H533" s="122">
        <f>IF($D533="",0,MAX(0,ROUNDDOWN((AmortismanRaporTarihi-$C533)/365,0)))</f>
        <v/>
      </c>
      <c r="I533" s="122">
        <f>IF($D533="",0,IFERROR(IF($E533="Azalan",MAX(0,$D533*(1-MIN(2*AmortismanAzalanCarpan*$F533,1)^$H533)),MIN($D533,$D533*$F533*$H533)),0))</f>
        <v/>
      </c>
      <c r="J533" s="122">
        <f>IF($D533="",0,MAX(0,$D533-$I533))</f>
        <v/>
      </c>
      <c r="K533" s="122">
        <f>IF($H533=0,0,IFERROR(IF($E533="Azalan",$D533*(1-MIN(2*AmortismanAzalanCarpan*$F533,1))^MAX(0,$H533-1)*MIN(2*AmortismanAzalanCarpan*$F533,1),MIN($D533*$F533,$D533)),0))</f>
        <v/>
      </c>
      <c r="L533" s="122">
        <f>IF($D533="",0,$G533-$J533)</f>
        <v/>
      </c>
      <c r="M533" s="122">
        <f>IF($B533="","",CONCATENATE("Kıymet: ",$B533," | NDD: ",TEXT($J533,"#,##0")))</f>
        <v/>
      </c>
    </row>
    <row r="534" ht="15" customHeight="1" s="77">
      <c r="A534" s="123" t="n"/>
      <c r="B534" s="123" t="n"/>
      <c r="C534" s="124" t="n"/>
      <c r="D534" s="125" t="n"/>
      <c r="E534" s="123" t="n"/>
      <c r="F534" s="126" t="n"/>
      <c r="G534" s="125" t="n"/>
      <c r="H534" s="122">
        <f>IF($D534="",0,MAX(0,ROUNDDOWN((AmortismanRaporTarihi-$C534)/365,0)))</f>
        <v/>
      </c>
      <c r="I534" s="122">
        <f>IF($D534="",0,IFERROR(IF($E534="Azalan",MAX(0,$D534*(1-MIN(2*AmortismanAzalanCarpan*$F534,1)^$H534)),MIN($D534,$D534*$F534*$H534)),0))</f>
        <v/>
      </c>
      <c r="J534" s="122">
        <f>IF($D534="",0,MAX(0,$D534-$I534))</f>
        <v/>
      </c>
      <c r="K534" s="122">
        <f>IF($H534=0,0,IFERROR(IF($E534="Azalan",$D534*(1-MIN(2*AmortismanAzalanCarpan*$F534,1))^MAX(0,$H534-1)*MIN(2*AmortismanAzalanCarpan*$F534,1),MIN($D534*$F534,$D534)),0))</f>
        <v/>
      </c>
      <c r="L534" s="122">
        <f>IF($D534="",0,$G534-$J534)</f>
        <v/>
      </c>
      <c r="M534" s="122">
        <f>IF($B534="","",CONCATENATE("Kıymet: ",$B534," | NDD: ",TEXT($J534,"#,##0")))</f>
        <v/>
      </c>
    </row>
    <row r="535" ht="15" customHeight="1" s="77">
      <c r="A535" s="123" t="n"/>
      <c r="B535" s="123" t="n"/>
      <c r="C535" s="124" t="n"/>
      <c r="D535" s="125" t="n"/>
      <c r="E535" s="123" t="n"/>
      <c r="F535" s="126" t="n"/>
      <c r="G535" s="125" t="n"/>
      <c r="H535" s="122">
        <f>IF($D535="",0,MAX(0,ROUNDDOWN((AmortismanRaporTarihi-$C535)/365,0)))</f>
        <v/>
      </c>
      <c r="I535" s="122">
        <f>IF($D535="",0,IFERROR(IF($E535="Azalan",MAX(0,$D535*(1-MIN(2*AmortismanAzalanCarpan*$F535,1)^$H535)),MIN($D535,$D535*$F535*$H535)),0))</f>
        <v/>
      </c>
      <c r="J535" s="122">
        <f>IF($D535="",0,MAX(0,$D535-$I535))</f>
        <v/>
      </c>
      <c r="K535" s="122">
        <f>IF($H535=0,0,IFERROR(IF($E535="Azalan",$D535*(1-MIN(2*AmortismanAzalanCarpan*$F535,1))^MAX(0,$H535-1)*MIN(2*AmortismanAzalanCarpan*$F535,1),MIN($D535*$F535,$D535)),0))</f>
        <v/>
      </c>
      <c r="L535" s="122">
        <f>IF($D535="",0,$G535-$J535)</f>
        <v/>
      </c>
      <c r="M535" s="122">
        <f>IF($B535="","",CONCATENATE("Kıymet: ",$B535," | NDD: ",TEXT($J535,"#,##0")))</f>
        <v/>
      </c>
    </row>
    <row r="536" ht="15" customHeight="1" s="77">
      <c r="A536" s="123" t="n"/>
      <c r="B536" s="123" t="n"/>
      <c r="C536" s="124" t="n"/>
      <c r="D536" s="125" t="n"/>
      <c r="E536" s="123" t="n"/>
      <c r="F536" s="126" t="n"/>
      <c r="G536" s="125" t="n"/>
      <c r="H536" s="122">
        <f>IF($D536="",0,MAX(0,ROUNDDOWN((AmortismanRaporTarihi-$C536)/365,0)))</f>
        <v/>
      </c>
      <c r="I536" s="122">
        <f>IF($D536="",0,IFERROR(IF($E536="Azalan",MAX(0,$D536*(1-MIN(2*AmortismanAzalanCarpan*$F536,1)^$H536)),MIN($D536,$D536*$F536*$H536)),0))</f>
        <v/>
      </c>
      <c r="J536" s="122">
        <f>IF($D536="",0,MAX(0,$D536-$I536))</f>
        <v/>
      </c>
      <c r="K536" s="122">
        <f>IF($H536=0,0,IFERROR(IF($E536="Azalan",$D536*(1-MIN(2*AmortismanAzalanCarpan*$F536,1))^MAX(0,$H536-1)*MIN(2*AmortismanAzalanCarpan*$F536,1),MIN($D536*$F536,$D536)),0))</f>
        <v/>
      </c>
      <c r="L536" s="122">
        <f>IF($D536="",0,$G536-$J536)</f>
        <v/>
      </c>
      <c r="M536" s="122">
        <f>IF($B536="","",CONCATENATE("Kıymet: ",$B536," | NDD: ",TEXT($J536,"#,##0")))</f>
        <v/>
      </c>
    </row>
    <row r="537" ht="15" customHeight="1" s="77">
      <c r="A537" s="123" t="n"/>
      <c r="B537" s="123" t="n"/>
      <c r="C537" s="124" t="n"/>
      <c r="D537" s="125" t="n"/>
      <c r="E537" s="123" t="n"/>
      <c r="F537" s="126" t="n"/>
      <c r="G537" s="125" t="n"/>
      <c r="H537" s="122">
        <f>IF($D537="",0,MAX(0,ROUNDDOWN((AmortismanRaporTarihi-$C537)/365,0)))</f>
        <v/>
      </c>
      <c r="I537" s="122">
        <f>IF($D537="",0,IFERROR(IF($E537="Azalan",MAX(0,$D537*(1-MIN(2*AmortismanAzalanCarpan*$F537,1)^$H537)),MIN($D537,$D537*$F537*$H537)),0))</f>
        <v/>
      </c>
      <c r="J537" s="122">
        <f>IF($D537="",0,MAX(0,$D537-$I537))</f>
        <v/>
      </c>
      <c r="K537" s="122">
        <f>IF($H537=0,0,IFERROR(IF($E537="Azalan",$D537*(1-MIN(2*AmortismanAzalanCarpan*$F537,1))^MAX(0,$H537-1)*MIN(2*AmortismanAzalanCarpan*$F537,1),MIN($D537*$F537,$D537)),0))</f>
        <v/>
      </c>
      <c r="L537" s="122">
        <f>IF($D537="",0,$G537-$J537)</f>
        <v/>
      </c>
      <c r="M537" s="122">
        <f>IF($B537="","",CONCATENATE("Kıymet: ",$B537," | NDD: ",TEXT($J537,"#,##0")))</f>
        <v/>
      </c>
    </row>
    <row r="538" ht="15" customHeight="1" s="77">
      <c r="A538" s="123" t="n"/>
      <c r="B538" s="123" t="n"/>
      <c r="C538" s="124" t="n"/>
      <c r="D538" s="125" t="n"/>
      <c r="E538" s="123" t="n"/>
      <c r="F538" s="126" t="n"/>
      <c r="G538" s="125" t="n"/>
      <c r="H538" s="122">
        <f>IF($D538="",0,MAX(0,ROUNDDOWN((AmortismanRaporTarihi-$C538)/365,0)))</f>
        <v/>
      </c>
      <c r="I538" s="122">
        <f>IF($D538="",0,IFERROR(IF($E538="Azalan",MAX(0,$D538*(1-MIN(2*AmortismanAzalanCarpan*$F538,1)^$H538)),MIN($D538,$D538*$F538*$H538)),0))</f>
        <v/>
      </c>
      <c r="J538" s="122">
        <f>IF($D538="",0,MAX(0,$D538-$I538))</f>
        <v/>
      </c>
      <c r="K538" s="122">
        <f>IF($H538=0,0,IFERROR(IF($E538="Azalan",$D538*(1-MIN(2*AmortismanAzalanCarpan*$F538,1))^MAX(0,$H538-1)*MIN(2*AmortismanAzalanCarpan*$F538,1),MIN($D538*$F538,$D538)),0))</f>
        <v/>
      </c>
      <c r="L538" s="122">
        <f>IF($D538="",0,$G538-$J538)</f>
        <v/>
      </c>
      <c r="M538" s="122">
        <f>IF($B538="","",CONCATENATE("Kıymet: ",$B538," | NDD: ",TEXT($J538,"#,##0")))</f>
        <v/>
      </c>
    </row>
    <row r="539" ht="15" customHeight="1" s="77">
      <c r="A539" s="123" t="n"/>
      <c r="B539" s="123" t="n"/>
      <c r="C539" s="124" t="n"/>
      <c r="D539" s="125" t="n"/>
      <c r="E539" s="123" t="n"/>
      <c r="F539" s="126" t="n"/>
      <c r="G539" s="125" t="n"/>
      <c r="H539" s="122">
        <f>IF($D539="",0,MAX(0,ROUNDDOWN((AmortismanRaporTarihi-$C539)/365,0)))</f>
        <v/>
      </c>
      <c r="I539" s="122">
        <f>IF($D539="",0,IFERROR(IF($E539="Azalan",MAX(0,$D539*(1-MIN(2*AmortismanAzalanCarpan*$F539,1)^$H539)),MIN($D539,$D539*$F539*$H539)),0))</f>
        <v/>
      </c>
      <c r="J539" s="122">
        <f>IF($D539="",0,MAX(0,$D539-$I539))</f>
        <v/>
      </c>
      <c r="K539" s="122">
        <f>IF($H539=0,0,IFERROR(IF($E539="Azalan",$D539*(1-MIN(2*AmortismanAzalanCarpan*$F539,1))^MAX(0,$H539-1)*MIN(2*AmortismanAzalanCarpan*$F539,1),MIN($D539*$F539,$D539)),0))</f>
        <v/>
      </c>
      <c r="L539" s="122">
        <f>IF($D539="",0,$G539-$J539)</f>
        <v/>
      </c>
      <c r="M539" s="122">
        <f>IF($B539="","",CONCATENATE("Kıymet: ",$B539," | NDD: ",TEXT($J539,"#,##0")))</f>
        <v/>
      </c>
    </row>
    <row r="540" ht="15" customHeight="1" s="77">
      <c r="A540" s="123" t="n"/>
      <c r="B540" s="123" t="n"/>
      <c r="C540" s="124" t="n"/>
      <c r="D540" s="125" t="n"/>
      <c r="E540" s="123" t="n"/>
      <c r="F540" s="126" t="n"/>
      <c r="G540" s="125" t="n"/>
      <c r="H540" s="122">
        <f>IF($D540="",0,MAX(0,ROUNDDOWN((AmortismanRaporTarihi-$C540)/365,0)))</f>
        <v/>
      </c>
      <c r="I540" s="122">
        <f>IF($D540="",0,IFERROR(IF($E540="Azalan",MAX(0,$D540*(1-MIN(2*AmortismanAzalanCarpan*$F540,1)^$H540)),MIN($D540,$D540*$F540*$H540)),0))</f>
        <v/>
      </c>
      <c r="J540" s="122">
        <f>IF($D540="",0,MAX(0,$D540-$I540))</f>
        <v/>
      </c>
      <c r="K540" s="122">
        <f>IF($H540=0,0,IFERROR(IF($E540="Azalan",$D540*(1-MIN(2*AmortismanAzalanCarpan*$F540,1))^MAX(0,$H540-1)*MIN(2*AmortismanAzalanCarpan*$F540,1),MIN($D540*$F540,$D540)),0))</f>
        <v/>
      </c>
      <c r="L540" s="122">
        <f>IF($D540="",0,$G540-$J540)</f>
        <v/>
      </c>
      <c r="M540" s="122">
        <f>IF($B540="","",CONCATENATE("Kıymet: ",$B540," | NDD: ",TEXT($J540,"#,##0")))</f>
        <v/>
      </c>
    </row>
    <row r="541" ht="15" customHeight="1" s="77">
      <c r="A541" s="123" t="n"/>
      <c r="B541" s="123" t="n"/>
      <c r="C541" s="124" t="n"/>
      <c r="D541" s="125" t="n"/>
      <c r="E541" s="123" t="n"/>
      <c r="F541" s="126" t="n"/>
      <c r="G541" s="125" t="n"/>
      <c r="H541" s="122">
        <f>IF($D541="",0,MAX(0,ROUNDDOWN((AmortismanRaporTarihi-$C541)/365,0)))</f>
        <v/>
      </c>
      <c r="I541" s="122">
        <f>IF($D541="",0,IFERROR(IF($E541="Azalan",MAX(0,$D541*(1-MIN(2*AmortismanAzalanCarpan*$F541,1)^$H541)),MIN($D541,$D541*$F541*$H541)),0))</f>
        <v/>
      </c>
      <c r="J541" s="122">
        <f>IF($D541="",0,MAX(0,$D541-$I541))</f>
        <v/>
      </c>
      <c r="K541" s="122">
        <f>IF($H541=0,0,IFERROR(IF($E541="Azalan",$D541*(1-MIN(2*AmortismanAzalanCarpan*$F541,1))^MAX(0,$H541-1)*MIN(2*AmortismanAzalanCarpan*$F541,1),MIN($D541*$F541,$D541)),0))</f>
        <v/>
      </c>
      <c r="L541" s="122">
        <f>IF($D541="",0,$G541-$J541)</f>
        <v/>
      </c>
      <c r="M541" s="122">
        <f>IF($B541="","",CONCATENATE("Kıymet: ",$B541," | NDD: ",TEXT($J541,"#,##0")))</f>
        <v/>
      </c>
    </row>
    <row r="542" ht="15" customHeight="1" s="77">
      <c r="A542" s="123" t="n"/>
      <c r="B542" s="123" t="n"/>
      <c r="C542" s="124" t="n"/>
      <c r="D542" s="125" t="n"/>
      <c r="E542" s="123" t="n"/>
      <c r="F542" s="126" t="n"/>
      <c r="G542" s="125" t="n"/>
      <c r="H542" s="122">
        <f>IF($D542="",0,MAX(0,ROUNDDOWN((AmortismanRaporTarihi-$C542)/365,0)))</f>
        <v/>
      </c>
      <c r="I542" s="122">
        <f>IF($D542="",0,IFERROR(IF($E542="Azalan",MAX(0,$D542*(1-MIN(2*AmortismanAzalanCarpan*$F542,1)^$H542)),MIN($D542,$D542*$F542*$H542)),0))</f>
        <v/>
      </c>
      <c r="J542" s="122">
        <f>IF($D542="",0,MAX(0,$D542-$I542))</f>
        <v/>
      </c>
      <c r="K542" s="122">
        <f>IF($H542=0,0,IFERROR(IF($E542="Azalan",$D542*(1-MIN(2*AmortismanAzalanCarpan*$F542,1))^MAX(0,$H542-1)*MIN(2*AmortismanAzalanCarpan*$F542,1),MIN($D542*$F542,$D542)),0))</f>
        <v/>
      </c>
      <c r="L542" s="122">
        <f>IF($D542="",0,$G542-$J542)</f>
        <v/>
      </c>
      <c r="M542" s="122">
        <f>IF($B542="","",CONCATENATE("Kıymet: ",$B542," | NDD: ",TEXT($J542,"#,##0")))</f>
        <v/>
      </c>
    </row>
    <row r="543" ht="15" customHeight="1" s="77">
      <c r="A543" s="123" t="n"/>
      <c r="B543" s="123" t="n"/>
      <c r="C543" s="124" t="n"/>
      <c r="D543" s="125" t="n"/>
      <c r="E543" s="123" t="n"/>
      <c r="F543" s="126" t="n"/>
      <c r="G543" s="125" t="n"/>
      <c r="H543" s="122">
        <f>IF($D543="",0,MAX(0,ROUNDDOWN((AmortismanRaporTarihi-$C543)/365,0)))</f>
        <v/>
      </c>
      <c r="I543" s="122">
        <f>IF($D543="",0,IFERROR(IF($E543="Azalan",MAX(0,$D543*(1-MIN(2*AmortismanAzalanCarpan*$F543,1)^$H543)),MIN($D543,$D543*$F543*$H543)),0))</f>
        <v/>
      </c>
      <c r="J543" s="122">
        <f>IF($D543="",0,MAX(0,$D543-$I543))</f>
        <v/>
      </c>
      <c r="K543" s="122">
        <f>IF($H543=0,0,IFERROR(IF($E543="Azalan",$D543*(1-MIN(2*AmortismanAzalanCarpan*$F543,1))^MAX(0,$H543-1)*MIN(2*AmortismanAzalanCarpan*$F543,1),MIN($D543*$F543,$D543)),0))</f>
        <v/>
      </c>
      <c r="L543" s="122">
        <f>IF($D543="",0,$G543-$J543)</f>
        <v/>
      </c>
      <c r="M543" s="122">
        <f>IF($B543="","",CONCATENATE("Kıymet: ",$B543," | NDD: ",TEXT($J543,"#,##0")))</f>
        <v/>
      </c>
    </row>
    <row r="544" ht="15" customHeight="1" s="77">
      <c r="A544" s="123" t="n"/>
      <c r="B544" s="123" t="n"/>
      <c r="C544" s="124" t="n"/>
      <c r="D544" s="125" t="n"/>
      <c r="E544" s="123" t="n"/>
      <c r="F544" s="126" t="n"/>
      <c r="G544" s="125" t="n"/>
      <c r="H544" s="122">
        <f>IF($D544="",0,MAX(0,ROUNDDOWN((AmortismanRaporTarihi-$C544)/365,0)))</f>
        <v/>
      </c>
      <c r="I544" s="122">
        <f>IF($D544="",0,IFERROR(IF($E544="Azalan",MAX(0,$D544*(1-MIN(2*AmortismanAzalanCarpan*$F544,1)^$H544)),MIN($D544,$D544*$F544*$H544)),0))</f>
        <v/>
      </c>
      <c r="J544" s="122">
        <f>IF($D544="",0,MAX(0,$D544-$I544))</f>
        <v/>
      </c>
      <c r="K544" s="122">
        <f>IF($H544=0,0,IFERROR(IF($E544="Azalan",$D544*(1-MIN(2*AmortismanAzalanCarpan*$F544,1))^MAX(0,$H544-1)*MIN(2*AmortismanAzalanCarpan*$F544,1),MIN($D544*$F544,$D544)),0))</f>
        <v/>
      </c>
      <c r="L544" s="122">
        <f>IF($D544="",0,$G544-$J544)</f>
        <v/>
      </c>
      <c r="M544" s="122">
        <f>IF($B544="","",CONCATENATE("Kıymet: ",$B544," | NDD: ",TEXT($J544,"#,##0")))</f>
        <v/>
      </c>
    </row>
    <row r="545" ht="15" customHeight="1" s="77">
      <c r="A545" s="123" t="n"/>
      <c r="B545" s="123" t="n"/>
      <c r="C545" s="124" t="n"/>
      <c r="D545" s="125" t="n"/>
      <c r="E545" s="123" t="n"/>
      <c r="F545" s="126" t="n"/>
      <c r="G545" s="125" t="n"/>
      <c r="H545" s="122">
        <f>IF($D545="",0,MAX(0,ROUNDDOWN((AmortismanRaporTarihi-$C545)/365,0)))</f>
        <v/>
      </c>
      <c r="I545" s="122">
        <f>IF($D545="",0,IFERROR(IF($E545="Azalan",MAX(0,$D545*(1-MIN(2*AmortismanAzalanCarpan*$F545,1)^$H545)),MIN($D545,$D545*$F545*$H545)),0))</f>
        <v/>
      </c>
      <c r="J545" s="122">
        <f>IF($D545="",0,MAX(0,$D545-$I545))</f>
        <v/>
      </c>
      <c r="K545" s="122">
        <f>IF($H545=0,0,IFERROR(IF($E545="Azalan",$D545*(1-MIN(2*AmortismanAzalanCarpan*$F545,1))^MAX(0,$H545-1)*MIN(2*AmortismanAzalanCarpan*$F545,1),MIN($D545*$F545,$D545)),0))</f>
        <v/>
      </c>
      <c r="L545" s="122">
        <f>IF($D545="",0,$G545-$J545)</f>
        <v/>
      </c>
      <c r="M545" s="122">
        <f>IF($B545="","",CONCATENATE("Kıymet: ",$B545," | NDD: ",TEXT($J545,"#,##0")))</f>
        <v/>
      </c>
    </row>
    <row r="546" ht="15" customHeight="1" s="77">
      <c r="A546" s="123" t="n"/>
      <c r="B546" s="123" t="n"/>
      <c r="C546" s="124" t="n"/>
      <c r="D546" s="125" t="n"/>
      <c r="E546" s="123" t="n"/>
      <c r="F546" s="126" t="n"/>
      <c r="G546" s="125" t="n"/>
      <c r="H546" s="122">
        <f>IF($D546="",0,MAX(0,ROUNDDOWN((AmortismanRaporTarihi-$C546)/365,0)))</f>
        <v/>
      </c>
      <c r="I546" s="122">
        <f>IF($D546="",0,IFERROR(IF($E546="Azalan",MAX(0,$D546*(1-MIN(2*AmortismanAzalanCarpan*$F546,1)^$H546)),MIN($D546,$D546*$F546*$H546)),0))</f>
        <v/>
      </c>
      <c r="J546" s="122">
        <f>IF($D546="",0,MAX(0,$D546-$I546))</f>
        <v/>
      </c>
      <c r="K546" s="122">
        <f>IF($H546=0,0,IFERROR(IF($E546="Azalan",$D546*(1-MIN(2*AmortismanAzalanCarpan*$F546,1))^MAX(0,$H546-1)*MIN(2*AmortismanAzalanCarpan*$F546,1),MIN($D546*$F546,$D546)),0))</f>
        <v/>
      </c>
      <c r="L546" s="122">
        <f>IF($D546="",0,$G546-$J546)</f>
        <v/>
      </c>
      <c r="M546" s="122">
        <f>IF($B546="","",CONCATENATE("Kıymet: ",$B546," | NDD: ",TEXT($J546,"#,##0")))</f>
        <v/>
      </c>
    </row>
    <row r="547" ht="15" customHeight="1" s="77">
      <c r="A547" s="123" t="n"/>
      <c r="B547" s="123" t="n"/>
      <c r="C547" s="124" t="n"/>
      <c r="D547" s="125" t="n"/>
      <c r="E547" s="123" t="n"/>
      <c r="F547" s="126" t="n"/>
      <c r="G547" s="125" t="n"/>
      <c r="H547" s="122">
        <f>IF($D547="",0,MAX(0,ROUNDDOWN((AmortismanRaporTarihi-$C547)/365,0)))</f>
        <v/>
      </c>
      <c r="I547" s="122">
        <f>IF($D547="",0,IFERROR(IF($E547="Azalan",MAX(0,$D547*(1-MIN(2*AmortismanAzalanCarpan*$F547,1)^$H547)),MIN($D547,$D547*$F547*$H547)),0))</f>
        <v/>
      </c>
      <c r="J547" s="122">
        <f>IF($D547="",0,MAX(0,$D547-$I547))</f>
        <v/>
      </c>
      <c r="K547" s="122">
        <f>IF($H547=0,0,IFERROR(IF($E547="Azalan",$D547*(1-MIN(2*AmortismanAzalanCarpan*$F547,1))^MAX(0,$H547-1)*MIN(2*AmortismanAzalanCarpan*$F547,1),MIN($D547*$F547,$D547)),0))</f>
        <v/>
      </c>
      <c r="L547" s="122">
        <f>IF($D547="",0,$G547-$J547)</f>
        <v/>
      </c>
      <c r="M547" s="122">
        <f>IF($B547="","",CONCATENATE("Kıymet: ",$B547," | NDD: ",TEXT($J547,"#,##0")))</f>
        <v/>
      </c>
    </row>
    <row r="548" ht="15" customHeight="1" s="77">
      <c r="A548" s="123" t="n"/>
      <c r="B548" s="123" t="n"/>
      <c r="C548" s="124" t="n"/>
      <c r="D548" s="125" t="n"/>
      <c r="E548" s="123" t="n"/>
      <c r="F548" s="126" t="n"/>
      <c r="G548" s="125" t="n"/>
      <c r="H548" s="122">
        <f>IF($D548="",0,MAX(0,ROUNDDOWN((AmortismanRaporTarihi-$C548)/365,0)))</f>
        <v/>
      </c>
      <c r="I548" s="122">
        <f>IF($D548="",0,IFERROR(IF($E548="Azalan",MAX(0,$D548*(1-MIN(2*AmortismanAzalanCarpan*$F548,1)^$H548)),MIN($D548,$D548*$F548*$H548)),0))</f>
        <v/>
      </c>
      <c r="J548" s="122">
        <f>IF($D548="",0,MAX(0,$D548-$I548))</f>
        <v/>
      </c>
      <c r="K548" s="122">
        <f>IF($H548=0,0,IFERROR(IF($E548="Azalan",$D548*(1-MIN(2*AmortismanAzalanCarpan*$F548,1))^MAX(0,$H548-1)*MIN(2*AmortismanAzalanCarpan*$F548,1),MIN($D548*$F548,$D548)),0))</f>
        <v/>
      </c>
      <c r="L548" s="122">
        <f>IF($D548="",0,$G548-$J548)</f>
        <v/>
      </c>
      <c r="M548" s="122">
        <f>IF($B548="","",CONCATENATE("Kıymet: ",$B548," | NDD: ",TEXT($J548,"#,##0")))</f>
        <v/>
      </c>
    </row>
    <row r="549" ht="15" customHeight="1" s="77">
      <c r="A549" s="123" t="n"/>
      <c r="B549" s="123" t="n"/>
      <c r="C549" s="124" t="n"/>
      <c r="D549" s="125" t="n"/>
      <c r="E549" s="123" t="n"/>
      <c r="F549" s="126" t="n"/>
      <c r="G549" s="125" t="n"/>
      <c r="H549" s="122">
        <f>IF($D549="",0,MAX(0,ROUNDDOWN((AmortismanRaporTarihi-$C549)/365,0)))</f>
        <v/>
      </c>
      <c r="I549" s="122">
        <f>IF($D549="",0,IFERROR(IF($E549="Azalan",MAX(0,$D549*(1-MIN(2*AmortismanAzalanCarpan*$F549,1)^$H549)),MIN($D549,$D549*$F549*$H549)),0))</f>
        <v/>
      </c>
      <c r="J549" s="122">
        <f>IF($D549="",0,MAX(0,$D549-$I549))</f>
        <v/>
      </c>
      <c r="K549" s="122">
        <f>IF($H549=0,0,IFERROR(IF($E549="Azalan",$D549*(1-MIN(2*AmortismanAzalanCarpan*$F549,1))^MAX(0,$H549-1)*MIN(2*AmortismanAzalanCarpan*$F549,1),MIN($D549*$F549,$D549)),0))</f>
        <v/>
      </c>
      <c r="L549" s="122">
        <f>IF($D549="",0,$G549-$J549)</f>
        <v/>
      </c>
      <c r="M549" s="122">
        <f>IF($B549="","",CONCATENATE("Kıymet: ",$B549," | NDD: ",TEXT($J549,"#,##0")))</f>
        <v/>
      </c>
    </row>
    <row r="550" ht="15" customHeight="1" s="77">
      <c r="A550" s="123" t="n"/>
      <c r="B550" s="123" t="n"/>
      <c r="C550" s="124" t="n"/>
      <c r="D550" s="125" t="n"/>
      <c r="E550" s="123" t="n"/>
      <c r="F550" s="126" t="n"/>
      <c r="G550" s="125" t="n"/>
      <c r="H550" s="122">
        <f>IF($D550="",0,MAX(0,ROUNDDOWN((AmortismanRaporTarihi-$C550)/365,0)))</f>
        <v/>
      </c>
      <c r="I550" s="122">
        <f>IF($D550="",0,IFERROR(IF($E550="Azalan",MAX(0,$D550*(1-MIN(2*AmortismanAzalanCarpan*$F550,1)^$H550)),MIN($D550,$D550*$F550*$H550)),0))</f>
        <v/>
      </c>
      <c r="J550" s="122">
        <f>IF($D550="",0,MAX(0,$D550-$I550))</f>
        <v/>
      </c>
      <c r="K550" s="122">
        <f>IF($H550=0,0,IFERROR(IF($E550="Azalan",$D550*(1-MIN(2*AmortismanAzalanCarpan*$F550,1))^MAX(0,$H550-1)*MIN(2*AmortismanAzalanCarpan*$F550,1),MIN($D550*$F550,$D550)),0))</f>
        <v/>
      </c>
      <c r="L550" s="122">
        <f>IF($D550="",0,$G550-$J550)</f>
        <v/>
      </c>
      <c r="M550" s="122">
        <f>IF($B550="","",CONCATENATE("Kıymet: ",$B550," | NDD: ",TEXT($J550,"#,##0")))</f>
        <v/>
      </c>
    </row>
    <row r="551" ht="15" customHeight="1" s="77">
      <c r="A551" s="123" t="n"/>
      <c r="B551" s="123" t="n"/>
      <c r="C551" s="124" t="n"/>
      <c r="D551" s="125" t="n"/>
      <c r="E551" s="123" t="n"/>
      <c r="F551" s="126" t="n"/>
      <c r="G551" s="125" t="n"/>
      <c r="H551" s="122">
        <f>IF($D551="",0,MAX(0,ROUNDDOWN((AmortismanRaporTarihi-$C551)/365,0)))</f>
        <v/>
      </c>
      <c r="I551" s="122">
        <f>IF($D551="",0,IFERROR(IF($E551="Azalan",MAX(0,$D551*(1-MIN(2*AmortismanAzalanCarpan*$F551,1)^$H551)),MIN($D551,$D551*$F551*$H551)),0))</f>
        <v/>
      </c>
      <c r="J551" s="122">
        <f>IF($D551="",0,MAX(0,$D551-$I551))</f>
        <v/>
      </c>
      <c r="K551" s="122">
        <f>IF($H551=0,0,IFERROR(IF($E551="Azalan",$D551*(1-MIN(2*AmortismanAzalanCarpan*$F551,1))^MAX(0,$H551-1)*MIN(2*AmortismanAzalanCarpan*$F551,1),MIN($D551*$F551,$D551)),0))</f>
        <v/>
      </c>
      <c r="L551" s="122">
        <f>IF($D551="",0,$G551-$J551)</f>
        <v/>
      </c>
      <c r="M551" s="122">
        <f>IF($B551="","",CONCATENATE("Kıymet: ",$B551," | NDD: ",TEXT($J551,"#,##0")))</f>
        <v/>
      </c>
    </row>
    <row r="552" ht="15" customHeight="1" s="77">
      <c r="A552" s="123" t="n"/>
      <c r="B552" s="123" t="n"/>
      <c r="C552" s="124" t="n"/>
      <c r="D552" s="125" t="n"/>
      <c r="E552" s="123" t="n"/>
      <c r="F552" s="126" t="n"/>
      <c r="G552" s="125" t="n"/>
      <c r="H552" s="122">
        <f>IF($D552="",0,MAX(0,ROUNDDOWN((AmortismanRaporTarihi-$C552)/365,0)))</f>
        <v/>
      </c>
      <c r="I552" s="122">
        <f>IF($D552="",0,IFERROR(IF($E552="Azalan",MAX(0,$D552*(1-MIN(2*AmortismanAzalanCarpan*$F552,1)^$H552)),MIN($D552,$D552*$F552*$H552)),0))</f>
        <v/>
      </c>
      <c r="J552" s="122">
        <f>IF($D552="",0,MAX(0,$D552-$I552))</f>
        <v/>
      </c>
      <c r="K552" s="122">
        <f>IF($H552=0,0,IFERROR(IF($E552="Azalan",$D552*(1-MIN(2*AmortismanAzalanCarpan*$F552,1))^MAX(0,$H552-1)*MIN(2*AmortismanAzalanCarpan*$F552,1),MIN($D552*$F552,$D552)),0))</f>
        <v/>
      </c>
      <c r="L552" s="122">
        <f>IF($D552="",0,$G552-$J552)</f>
        <v/>
      </c>
      <c r="M552" s="122">
        <f>IF($B552="","",CONCATENATE("Kıymet: ",$B552," | NDD: ",TEXT($J552,"#,##0")))</f>
        <v/>
      </c>
    </row>
    <row r="553" ht="15" customHeight="1" s="77">
      <c r="A553" s="123" t="n"/>
      <c r="B553" s="123" t="n"/>
      <c r="C553" s="124" t="n"/>
      <c r="D553" s="125" t="n"/>
      <c r="E553" s="123" t="n"/>
      <c r="F553" s="126" t="n"/>
      <c r="G553" s="125" t="n"/>
      <c r="H553" s="122">
        <f>IF($D553="",0,MAX(0,ROUNDDOWN((AmortismanRaporTarihi-$C553)/365,0)))</f>
        <v/>
      </c>
      <c r="I553" s="122">
        <f>IF($D553="",0,IFERROR(IF($E553="Azalan",MAX(0,$D553*(1-MIN(2*AmortismanAzalanCarpan*$F553,1)^$H553)),MIN($D553,$D553*$F553*$H553)),0))</f>
        <v/>
      </c>
      <c r="J553" s="122">
        <f>IF($D553="",0,MAX(0,$D553-$I553))</f>
        <v/>
      </c>
      <c r="K553" s="122">
        <f>IF($H553=0,0,IFERROR(IF($E553="Azalan",$D553*(1-MIN(2*AmortismanAzalanCarpan*$F553,1))^MAX(0,$H553-1)*MIN(2*AmortismanAzalanCarpan*$F553,1),MIN($D553*$F553,$D553)),0))</f>
        <v/>
      </c>
      <c r="L553" s="122">
        <f>IF($D553="",0,$G553-$J553)</f>
        <v/>
      </c>
      <c r="M553" s="122">
        <f>IF($B553="","",CONCATENATE("Kıymet: ",$B553," | NDD: ",TEXT($J553,"#,##0")))</f>
        <v/>
      </c>
    </row>
    <row r="554" ht="15" customHeight="1" s="77">
      <c r="A554" s="123" t="n"/>
      <c r="B554" s="123" t="n"/>
      <c r="C554" s="124" t="n"/>
      <c r="D554" s="125" t="n"/>
      <c r="E554" s="123" t="n"/>
      <c r="F554" s="126" t="n"/>
      <c r="G554" s="125" t="n"/>
      <c r="H554" s="122">
        <f>IF($D554="",0,MAX(0,ROUNDDOWN((AmortismanRaporTarihi-$C554)/365,0)))</f>
        <v/>
      </c>
      <c r="I554" s="122">
        <f>IF($D554="",0,IFERROR(IF($E554="Azalan",MAX(0,$D554*(1-MIN(2*AmortismanAzalanCarpan*$F554,1)^$H554)),MIN($D554,$D554*$F554*$H554)),0))</f>
        <v/>
      </c>
      <c r="J554" s="122">
        <f>IF($D554="",0,MAX(0,$D554-$I554))</f>
        <v/>
      </c>
      <c r="K554" s="122">
        <f>IF($H554=0,0,IFERROR(IF($E554="Azalan",$D554*(1-MIN(2*AmortismanAzalanCarpan*$F554,1))^MAX(0,$H554-1)*MIN(2*AmortismanAzalanCarpan*$F554,1),MIN($D554*$F554,$D554)),0))</f>
        <v/>
      </c>
      <c r="L554" s="122">
        <f>IF($D554="",0,$G554-$J554)</f>
        <v/>
      </c>
      <c r="M554" s="122">
        <f>IF($B554="","",CONCATENATE("Kıymet: ",$B554," | NDD: ",TEXT($J554,"#,##0")))</f>
        <v/>
      </c>
    </row>
    <row r="555" ht="15" customHeight="1" s="77">
      <c r="A555" s="123" t="n"/>
      <c r="B555" s="123" t="n"/>
      <c r="C555" s="124" t="n"/>
      <c r="D555" s="125" t="n"/>
      <c r="E555" s="123" t="n"/>
      <c r="F555" s="126" t="n"/>
      <c r="G555" s="125" t="n"/>
      <c r="H555" s="122">
        <f>IF($D555="",0,MAX(0,ROUNDDOWN((AmortismanRaporTarihi-$C555)/365,0)))</f>
        <v/>
      </c>
      <c r="I555" s="122">
        <f>IF($D555="",0,IFERROR(IF($E555="Azalan",MAX(0,$D555*(1-MIN(2*AmortismanAzalanCarpan*$F555,1)^$H555)),MIN($D555,$D555*$F555*$H555)),0))</f>
        <v/>
      </c>
      <c r="J555" s="122">
        <f>IF($D555="",0,MAX(0,$D555-$I555))</f>
        <v/>
      </c>
      <c r="K555" s="122">
        <f>IF($H555=0,0,IFERROR(IF($E555="Azalan",$D555*(1-MIN(2*AmortismanAzalanCarpan*$F555,1))^MAX(0,$H555-1)*MIN(2*AmortismanAzalanCarpan*$F555,1),MIN($D555*$F555,$D555)),0))</f>
        <v/>
      </c>
      <c r="L555" s="122">
        <f>IF($D555="",0,$G555-$J555)</f>
        <v/>
      </c>
      <c r="M555" s="122">
        <f>IF($B555="","",CONCATENATE("Kıymet: ",$B555," | NDD: ",TEXT($J555,"#,##0")))</f>
        <v/>
      </c>
    </row>
    <row r="556" ht="15" customHeight="1" s="77">
      <c r="A556" s="123" t="n"/>
      <c r="B556" s="123" t="n"/>
      <c r="C556" s="124" t="n"/>
      <c r="D556" s="125" t="n"/>
      <c r="E556" s="123" t="n"/>
      <c r="F556" s="126" t="n"/>
      <c r="G556" s="125" t="n"/>
      <c r="H556" s="122">
        <f>IF($D556="",0,MAX(0,ROUNDDOWN((AmortismanRaporTarihi-$C556)/365,0)))</f>
        <v/>
      </c>
      <c r="I556" s="122">
        <f>IF($D556="",0,IFERROR(IF($E556="Azalan",MAX(0,$D556*(1-MIN(2*AmortismanAzalanCarpan*$F556,1)^$H556)),MIN($D556,$D556*$F556*$H556)),0))</f>
        <v/>
      </c>
      <c r="J556" s="122">
        <f>IF($D556="",0,MAX(0,$D556-$I556))</f>
        <v/>
      </c>
      <c r="K556" s="122">
        <f>IF($H556=0,0,IFERROR(IF($E556="Azalan",$D556*(1-MIN(2*AmortismanAzalanCarpan*$F556,1))^MAX(0,$H556-1)*MIN(2*AmortismanAzalanCarpan*$F556,1),MIN($D556*$F556,$D556)),0))</f>
        <v/>
      </c>
      <c r="L556" s="122">
        <f>IF($D556="",0,$G556-$J556)</f>
        <v/>
      </c>
      <c r="M556" s="122">
        <f>IF($B556="","",CONCATENATE("Kıymet: ",$B556," | NDD: ",TEXT($J556,"#,##0")))</f>
        <v/>
      </c>
    </row>
    <row r="557" ht="15" customHeight="1" s="77">
      <c r="A557" s="123" t="n"/>
      <c r="B557" s="123" t="n"/>
      <c r="C557" s="124" t="n"/>
      <c r="D557" s="125" t="n"/>
      <c r="E557" s="123" t="n"/>
      <c r="F557" s="126" t="n"/>
      <c r="G557" s="125" t="n"/>
      <c r="H557" s="122">
        <f>IF($D557="",0,MAX(0,ROUNDDOWN((AmortismanRaporTarihi-$C557)/365,0)))</f>
        <v/>
      </c>
      <c r="I557" s="122">
        <f>IF($D557="",0,IFERROR(IF($E557="Azalan",MAX(0,$D557*(1-MIN(2*AmortismanAzalanCarpan*$F557,1)^$H557)),MIN($D557,$D557*$F557*$H557)),0))</f>
        <v/>
      </c>
      <c r="J557" s="122">
        <f>IF($D557="",0,MAX(0,$D557-$I557))</f>
        <v/>
      </c>
      <c r="K557" s="122">
        <f>IF($H557=0,0,IFERROR(IF($E557="Azalan",$D557*(1-MIN(2*AmortismanAzalanCarpan*$F557,1))^MAX(0,$H557-1)*MIN(2*AmortismanAzalanCarpan*$F557,1),MIN($D557*$F557,$D557)),0))</f>
        <v/>
      </c>
      <c r="L557" s="122">
        <f>IF($D557="",0,$G557-$J557)</f>
        <v/>
      </c>
      <c r="M557" s="122">
        <f>IF($B557="","",CONCATENATE("Kıymet: ",$B557," | NDD: ",TEXT($J557,"#,##0")))</f>
        <v/>
      </c>
    </row>
    <row r="558" ht="15" customHeight="1" s="77">
      <c r="A558" s="123" t="n"/>
      <c r="B558" s="123" t="n"/>
      <c r="C558" s="124" t="n"/>
      <c r="D558" s="125" t="n"/>
      <c r="E558" s="123" t="n"/>
      <c r="F558" s="126" t="n"/>
      <c r="G558" s="125" t="n"/>
      <c r="H558" s="122">
        <f>IF($D558="",0,MAX(0,ROUNDDOWN((AmortismanRaporTarihi-$C558)/365,0)))</f>
        <v/>
      </c>
      <c r="I558" s="122">
        <f>IF($D558="",0,IFERROR(IF($E558="Azalan",MAX(0,$D558*(1-MIN(2*AmortismanAzalanCarpan*$F558,1)^$H558)),MIN($D558,$D558*$F558*$H558)),0))</f>
        <v/>
      </c>
      <c r="J558" s="122">
        <f>IF($D558="",0,MAX(0,$D558-$I558))</f>
        <v/>
      </c>
      <c r="K558" s="122">
        <f>IF($H558=0,0,IFERROR(IF($E558="Azalan",$D558*(1-MIN(2*AmortismanAzalanCarpan*$F558,1))^MAX(0,$H558-1)*MIN(2*AmortismanAzalanCarpan*$F558,1),MIN($D558*$F558,$D558)),0))</f>
        <v/>
      </c>
      <c r="L558" s="122">
        <f>IF($D558="",0,$G558-$J558)</f>
        <v/>
      </c>
      <c r="M558" s="122">
        <f>IF($B558="","",CONCATENATE("Kıymet: ",$B558," | NDD: ",TEXT($J558,"#,##0")))</f>
        <v/>
      </c>
    </row>
    <row r="559" ht="15" customHeight="1" s="77">
      <c r="A559" s="123" t="n"/>
      <c r="B559" s="123" t="n"/>
      <c r="C559" s="124" t="n"/>
      <c r="D559" s="125" t="n"/>
      <c r="E559" s="123" t="n"/>
      <c r="F559" s="126" t="n"/>
      <c r="G559" s="125" t="n"/>
      <c r="H559" s="122">
        <f>IF($D559="",0,MAX(0,ROUNDDOWN((AmortismanRaporTarihi-$C559)/365,0)))</f>
        <v/>
      </c>
      <c r="I559" s="122">
        <f>IF($D559="",0,IFERROR(IF($E559="Azalan",MAX(0,$D559*(1-MIN(2*AmortismanAzalanCarpan*$F559,1)^$H559)),MIN($D559,$D559*$F559*$H559)),0))</f>
        <v/>
      </c>
      <c r="J559" s="122">
        <f>IF($D559="",0,MAX(0,$D559-$I559))</f>
        <v/>
      </c>
      <c r="K559" s="122">
        <f>IF($H559=0,0,IFERROR(IF($E559="Azalan",$D559*(1-MIN(2*AmortismanAzalanCarpan*$F559,1))^MAX(0,$H559-1)*MIN(2*AmortismanAzalanCarpan*$F559,1),MIN($D559*$F559,$D559)),0))</f>
        <v/>
      </c>
      <c r="L559" s="122">
        <f>IF($D559="",0,$G559-$J559)</f>
        <v/>
      </c>
      <c r="M559" s="122">
        <f>IF($B559="","",CONCATENATE("Kıymet: ",$B559," | NDD: ",TEXT($J559,"#,##0")))</f>
        <v/>
      </c>
    </row>
    <row r="560" ht="15" customHeight="1" s="77">
      <c r="A560" s="123" t="n"/>
      <c r="B560" s="123" t="n"/>
      <c r="C560" s="124" t="n"/>
      <c r="D560" s="125" t="n"/>
      <c r="E560" s="123" t="n"/>
      <c r="F560" s="126" t="n"/>
      <c r="G560" s="125" t="n"/>
      <c r="H560" s="122">
        <f>IF($D560="",0,MAX(0,ROUNDDOWN((AmortismanRaporTarihi-$C560)/365,0)))</f>
        <v/>
      </c>
      <c r="I560" s="122">
        <f>IF($D560="",0,IFERROR(IF($E560="Azalan",MAX(0,$D560*(1-MIN(2*AmortismanAzalanCarpan*$F560,1)^$H560)),MIN($D560,$D560*$F560*$H560)),0))</f>
        <v/>
      </c>
      <c r="J560" s="122">
        <f>IF($D560="",0,MAX(0,$D560-$I560))</f>
        <v/>
      </c>
      <c r="K560" s="122">
        <f>IF($H560=0,0,IFERROR(IF($E560="Azalan",$D560*(1-MIN(2*AmortismanAzalanCarpan*$F560,1))^MAX(0,$H560-1)*MIN(2*AmortismanAzalanCarpan*$F560,1),MIN($D560*$F560,$D560)),0))</f>
        <v/>
      </c>
      <c r="L560" s="122">
        <f>IF($D560="",0,$G560-$J560)</f>
        <v/>
      </c>
      <c r="M560" s="122">
        <f>IF($B560="","",CONCATENATE("Kıymet: ",$B560," | NDD: ",TEXT($J560,"#,##0")))</f>
        <v/>
      </c>
    </row>
    <row r="561" ht="15" customHeight="1" s="77">
      <c r="A561" s="123" t="n"/>
      <c r="B561" s="123" t="n"/>
      <c r="C561" s="124" t="n"/>
      <c r="D561" s="125" t="n"/>
      <c r="E561" s="123" t="n"/>
      <c r="F561" s="126" t="n"/>
      <c r="G561" s="125" t="n"/>
      <c r="H561" s="122">
        <f>IF($D561="",0,MAX(0,ROUNDDOWN((AmortismanRaporTarihi-$C561)/365,0)))</f>
        <v/>
      </c>
      <c r="I561" s="122">
        <f>IF($D561="",0,IFERROR(IF($E561="Azalan",MAX(0,$D561*(1-MIN(2*AmortismanAzalanCarpan*$F561,1)^$H561)),MIN($D561,$D561*$F561*$H561)),0))</f>
        <v/>
      </c>
      <c r="J561" s="122">
        <f>IF($D561="",0,MAX(0,$D561-$I561))</f>
        <v/>
      </c>
      <c r="K561" s="122">
        <f>IF($H561=0,0,IFERROR(IF($E561="Azalan",$D561*(1-MIN(2*AmortismanAzalanCarpan*$F561,1))^MAX(0,$H561-1)*MIN(2*AmortismanAzalanCarpan*$F561,1),MIN($D561*$F561,$D561)),0))</f>
        <v/>
      </c>
      <c r="L561" s="122">
        <f>IF($D561="",0,$G561-$J561)</f>
        <v/>
      </c>
      <c r="M561" s="122">
        <f>IF($B561="","",CONCATENATE("Kıymet: ",$B561," | NDD: ",TEXT($J561,"#,##0")))</f>
        <v/>
      </c>
    </row>
    <row r="562" ht="15" customHeight="1" s="77">
      <c r="A562" s="123" t="n"/>
      <c r="B562" s="123" t="n"/>
      <c r="C562" s="124" t="n"/>
      <c r="D562" s="125" t="n"/>
      <c r="E562" s="123" t="n"/>
      <c r="F562" s="126" t="n"/>
      <c r="G562" s="125" t="n"/>
      <c r="H562" s="122">
        <f>IF($D562="",0,MAX(0,ROUNDDOWN((AmortismanRaporTarihi-$C562)/365,0)))</f>
        <v/>
      </c>
      <c r="I562" s="122">
        <f>IF($D562="",0,IFERROR(IF($E562="Azalan",MAX(0,$D562*(1-MIN(2*AmortismanAzalanCarpan*$F562,1)^$H562)),MIN($D562,$D562*$F562*$H562)),0))</f>
        <v/>
      </c>
      <c r="J562" s="122">
        <f>IF($D562="",0,MAX(0,$D562-$I562))</f>
        <v/>
      </c>
      <c r="K562" s="122">
        <f>IF($H562=0,0,IFERROR(IF($E562="Azalan",$D562*(1-MIN(2*AmortismanAzalanCarpan*$F562,1))^MAX(0,$H562-1)*MIN(2*AmortismanAzalanCarpan*$F562,1),MIN($D562*$F562,$D562)),0))</f>
        <v/>
      </c>
      <c r="L562" s="122">
        <f>IF($D562="",0,$G562-$J562)</f>
        <v/>
      </c>
      <c r="M562" s="122">
        <f>IF($B562="","",CONCATENATE("Kıymet: ",$B562," | NDD: ",TEXT($J562,"#,##0")))</f>
        <v/>
      </c>
    </row>
    <row r="563" ht="15" customHeight="1" s="77">
      <c r="A563" s="123" t="n"/>
      <c r="B563" s="123" t="n"/>
      <c r="C563" s="124" t="n"/>
      <c r="D563" s="125" t="n"/>
      <c r="E563" s="123" t="n"/>
      <c r="F563" s="126" t="n"/>
      <c r="G563" s="125" t="n"/>
      <c r="H563" s="122">
        <f>IF($D563="",0,MAX(0,ROUNDDOWN((AmortismanRaporTarihi-$C563)/365,0)))</f>
        <v/>
      </c>
      <c r="I563" s="122">
        <f>IF($D563="",0,IFERROR(IF($E563="Azalan",MAX(0,$D563*(1-MIN(2*AmortismanAzalanCarpan*$F563,1)^$H563)),MIN($D563,$D563*$F563*$H563)),0))</f>
        <v/>
      </c>
      <c r="J563" s="122">
        <f>IF($D563="",0,MAX(0,$D563-$I563))</f>
        <v/>
      </c>
      <c r="K563" s="122">
        <f>IF($H563=0,0,IFERROR(IF($E563="Azalan",$D563*(1-MIN(2*AmortismanAzalanCarpan*$F563,1))^MAX(0,$H563-1)*MIN(2*AmortismanAzalanCarpan*$F563,1),MIN($D563*$F563,$D563)),0))</f>
        <v/>
      </c>
      <c r="L563" s="122">
        <f>IF($D563="",0,$G563-$J563)</f>
        <v/>
      </c>
      <c r="M563" s="122">
        <f>IF($B563="","",CONCATENATE("Kıymet: ",$B563," | NDD: ",TEXT($J563,"#,##0")))</f>
        <v/>
      </c>
    </row>
    <row r="564" ht="15" customHeight="1" s="77">
      <c r="A564" s="123" t="n"/>
      <c r="B564" s="123" t="n"/>
      <c r="C564" s="124" t="n"/>
      <c r="D564" s="125" t="n"/>
      <c r="E564" s="123" t="n"/>
      <c r="F564" s="126" t="n"/>
      <c r="G564" s="125" t="n"/>
      <c r="H564" s="122">
        <f>IF($D564="",0,MAX(0,ROUNDDOWN((AmortismanRaporTarihi-$C564)/365,0)))</f>
        <v/>
      </c>
      <c r="I564" s="122">
        <f>IF($D564="",0,IFERROR(IF($E564="Azalan",MAX(0,$D564*(1-MIN(2*AmortismanAzalanCarpan*$F564,1)^$H564)),MIN($D564,$D564*$F564*$H564)),0))</f>
        <v/>
      </c>
      <c r="J564" s="122">
        <f>IF($D564="",0,MAX(0,$D564-$I564))</f>
        <v/>
      </c>
      <c r="K564" s="122">
        <f>IF($H564=0,0,IFERROR(IF($E564="Azalan",$D564*(1-MIN(2*AmortismanAzalanCarpan*$F564,1))^MAX(0,$H564-1)*MIN(2*AmortismanAzalanCarpan*$F564,1),MIN($D564*$F564,$D564)),0))</f>
        <v/>
      </c>
      <c r="L564" s="122">
        <f>IF($D564="",0,$G564-$J564)</f>
        <v/>
      </c>
      <c r="M564" s="122">
        <f>IF($B564="","",CONCATENATE("Kıymet: ",$B564," | NDD: ",TEXT($J564,"#,##0")))</f>
        <v/>
      </c>
    </row>
    <row r="565" ht="15" customHeight="1" s="77">
      <c r="A565" s="123" t="n"/>
      <c r="B565" s="123" t="n"/>
      <c r="C565" s="124" t="n"/>
      <c r="D565" s="125" t="n"/>
      <c r="E565" s="123" t="n"/>
      <c r="F565" s="126" t="n"/>
      <c r="G565" s="125" t="n"/>
      <c r="H565" s="122">
        <f>IF($D565="",0,MAX(0,ROUNDDOWN((AmortismanRaporTarihi-$C565)/365,0)))</f>
        <v/>
      </c>
      <c r="I565" s="122">
        <f>IF($D565="",0,IFERROR(IF($E565="Azalan",MAX(0,$D565*(1-MIN(2*AmortismanAzalanCarpan*$F565,1)^$H565)),MIN($D565,$D565*$F565*$H565)),0))</f>
        <v/>
      </c>
      <c r="J565" s="122">
        <f>IF($D565="",0,MAX(0,$D565-$I565))</f>
        <v/>
      </c>
      <c r="K565" s="122">
        <f>IF($H565=0,0,IFERROR(IF($E565="Azalan",$D565*(1-MIN(2*AmortismanAzalanCarpan*$F565,1))^MAX(0,$H565-1)*MIN(2*AmortismanAzalanCarpan*$F565,1),MIN($D565*$F565,$D565)),0))</f>
        <v/>
      </c>
      <c r="L565" s="122">
        <f>IF($D565="",0,$G565-$J565)</f>
        <v/>
      </c>
      <c r="M565" s="122">
        <f>IF($B565="","",CONCATENATE("Kıymet: ",$B565," | NDD: ",TEXT($J565,"#,##0")))</f>
        <v/>
      </c>
    </row>
    <row r="566" ht="15" customHeight="1" s="77">
      <c r="A566" s="123" t="n"/>
      <c r="B566" s="123" t="n"/>
      <c r="C566" s="124" t="n"/>
      <c r="D566" s="125" t="n"/>
      <c r="E566" s="123" t="n"/>
      <c r="F566" s="126" t="n"/>
      <c r="G566" s="125" t="n"/>
      <c r="H566" s="122">
        <f>IF($D566="",0,MAX(0,ROUNDDOWN((AmortismanRaporTarihi-$C566)/365,0)))</f>
        <v/>
      </c>
      <c r="I566" s="122">
        <f>IF($D566="",0,IFERROR(IF($E566="Azalan",MAX(0,$D566*(1-MIN(2*AmortismanAzalanCarpan*$F566,1)^$H566)),MIN($D566,$D566*$F566*$H566)),0))</f>
        <v/>
      </c>
      <c r="J566" s="122">
        <f>IF($D566="",0,MAX(0,$D566-$I566))</f>
        <v/>
      </c>
      <c r="K566" s="122">
        <f>IF($H566=0,0,IFERROR(IF($E566="Azalan",$D566*(1-MIN(2*AmortismanAzalanCarpan*$F566,1))^MAX(0,$H566-1)*MIN(2*AmortismanAzalanCarpan*$F566,1),MIN($D566*$F566,$D566)),0))</f>
        <v/>
      </c>
      <c r="L566" s="122">
        <f>IF($D566="",0,$G566-$J566)</f>
        <v/>
      </c>
      <c r="M566" s="122">
        <f>IF($B566="","",CONCATENATE("Kıymet: ",$B566," | NDD: ",TEXT($J566,"#,##0")))</f>
        <v/>
      </c>
    </row>
    <row r="567" ht="15" customHeight="1" s="77">
      <c r="A567" s="123" t="n"/>
      <c r="B567" s="123" t="n"/>
      <c r="C567" s="124" t="n"/>
      <c r="D567" s="125" t="n"/>
      <c r="E567" s="123" t="n"/>
      <c r="F567" s="126" t="n"/>
      <c r="G567" s="125" t="n"/>
      <c r="H567" s="122">
        <f>IF($D567="",0,MAX(0,ROUNDDOWN((AmortismanRaporTarihi-$C567)/365,0)))</f>
        <v/>
      </c>
      <c r="I567" s="122">
        <f>IF($D567="",0,IFERROR(IF($E567="Azalan",MAX(0,$D567*(1-MIN(2*AmortismanAzalanCarpan*$F567,1)^$H567)),MIN($D567,$D567*$F567*$H567)),0))</f>
        <v/>
      </c>
      <c r="J567" s="122">
        <f>IF($D567="",0,MAX(0,$D567-$I567))</f>
        <v/>
      </c>
      <c r="K567" s="122">
        <f>IF($H567=0,0,IFERROR(IF($E567="Azalan",$D567*(1-MIN(2*AmortismanAzalanCarpan*$F567,1))^MAX(0,$H567-1)*MIN(2*AmortismanAzalanCarpan*$F567,1),MIN($D567*$F567,$D567)),0))</f>
        <v/>
      </c>
      <c r="L567" s="122">
        <f>IF($D567="",0,$G567-$J567)</f>
        <v/>
      </c>
      <c r="M567" s="122">
        <f>IF($B567="","",CONCATENATE("Kıymet: ",$B567," | NDD: ",TEXT($J567,"#,##0")))</f>
        <v/>
      </c>
    </row>
    <row r="568" ht="15" customHeight="1" s="77">
      <c r="A568" s="123" t="n"/>
      <c r="B568" s="123" t="n"/>
      <c r="C568" s="124" t="n"/>
      <c r="D568" s="125" t="n"/>
      <c r="E568" s="123" t="n"/>
      <c r="F568" s="126" t="n"/>
      <c r="G568" s="125" t="n"/>
      <c r="H568" s="122">
        <f>IF($D568="",0,MAX(0,ROUNDDOWN((AmortismanRaporTarihi-$C568)/365,0)))</f>
        <v/>
      </c>
      <c r="I568" s="122">
        <f>IF($D568="",0,IFERROR(IF($E568="Azalan",MAX(0,$D568*(1-MIN(2*AmortismanAzalanCarpan*$F568,1)^$H568)),MIN($D568,$D568*$F568*$H568)),0))</f>
        <v/>
      </c>
      <c r="J568" s="122">
        <f>IF($D568="",0,MAX(0,$D568-$I568))</f>
        <v/>
      </c>
      <c r="K568" s="122">
        <f>IF($H568=0,0,IFERROR(IF($E568="Azalan",$D568*(1-MIN(2*AmortismanAzalanCarpan*$F568,1))^MAX(0,$H568-1)*MIN(2*AmortismanAzalanCarpan*$F568,1),MIN($D568*$F568,$D568)),0))</f>
        <v/>
      </c>
      <c r="L568" s="122">
        <f>IF($D568="",0,$G568-$J568)</f>
        <v/>
      </c>
      <c r="M568" s="122">
        <f>IF($B568="","",CONCATENATE("Kıymet: ",$B568," | NDD: ",TEXT($J568,"#,##0")))</f>
        <v/>
      </c>
    </row>
    <row r="569" ht="15" customHeight="1" s="77">
      <c r="A569" s="123" t="n"/>
      <c r="B569" s="123" t="n"/>
      <c r="C569" s="124" t="n"/>
      <c r="D569" s="125" t="n"/>
      <c r="E569" s="123" t="n"/>
      <c r="F569" s="126" t="n"/>
      <c r="G569" s="125" t="n"/>
      <c r="H569" s="122">
        <f>IF($D569="",0,MAX(0,ROUNDDOWN((AmortismanRaporTarihi-$C569)/365,0)))</f>
        <v/>
      </c>
      <c r="I569" s="122">
        <f>IF($D569="",0,IFERROR(IF($E569="Azalan",MAX(0,$D569*(1-MIN(2*AmortismanAzalanCarpan*$F569,1)^$H569)),MIN($D569,$D569*$F569*$H569)),0))</f>
        <v/>
      </c>
      <c r="J569" s="122">
        <f>IF($D569="",0,MAX(0,$D569-$I569))</f>
        <v/>
      </c>
      <c r="K569" s="122">
        <f>IF($H569=0,0,IFERROR(IF($E569="Azalan",$D569*(1-MIN(2*AmortismanAzalanCarpan*$F569,1))^MAX(0,$H569-1)*MIN(2*AmortismanAzalanCarpan*$F569,1),MIN($D569*$F569,$D569)),0))</f>
        <v/>
      </c>
      <c r="L569" s="122">
        <f>IF($D569="",0,$G569-$J569)</f>
        <v/>
      </c>
      <c r="M569" s="122">
        <f>IF($B569="","",CONCATENATE("Kıymet: ",$B569," | NDD: ",TEXT($J569,"#,##0")))</f>
        <v/>
      </c>
    </row>
    <row r="570" ht="15" customHeight="1" s="77">
      <c r="A570" s="123" t="n"/>
      <c r="B570" s="123" t="n"/>
      <c r="C570" s="124" t="n"/>
      <c r="D570" s="125" t="n"/>
      <c r="E570" s="123" t="n"/>
      <c r="F570" s="126" t="n"/>
      <c r="G570" s="125" t="n"/>
      <c r="H570" s="122">
        <f>IF($D570="",0,MAX(0,ROUNDDOWN((AmortismanRaporTarihi-$C570)/365,0)))</f>
        <v/>
      </c>
      <c r="I570" s="122">
        <f>IF($D570="",0,IFERROR(IF($E570="Azalan",MAX(0,$D570*(1-MIN(2*AmortismanAzalanCarpan*$F570,1)^$H570)),MIN($D570,$D570*$F570*$H570)),0))</f>
        <v/>
      </c>
      <c r="J570" s="122">
        <f>IF($D570="",0,MAX(0,$D570-$I570))</f>
        <v/>
      </c>
      <c r="K570" s="122">
        <f>IF($H570=0,0,IFERROR(IF($E570="Azalan",$D570*(1-MIN(2*AmortismanAzalanCarpan*$F570,1))^MAX(0,$H570-1)*MIN(2*AmortismanAzalanCarpan*$F570,1),MIN($D570*$F570,$D570)),0))</f>
        <v/>
      </c>
      <c r="L570" s="122">
        <f>IF($D570="",0,$G570-$J570)</f>
        <v/>
      </c>
      <c r="M570" s="122">
        <f>IF($B570="","",CONCATENATE("Kıymet: ",$B570," | NDD: ",TEXT($J570,"#,##0")))</f>
        <v/>
      </c>
    </row>
    <row r="571" ht="15" customHeight="1" s="77">
      <c r="A571" s="123" t="n"/>
      <c r="B571" s="123" t="n"/>
      <c r="C571" s="124" t="n"/>
      <c r="D571" s="125" t="n"/>
      <c r="E571" s="123" t="n"/>
      <c r="F571" s="126" t="n"/>
      <c r="G571" s="125" t="n"/>
      <c r="H571" s="122">
        <f>IF($D571="",0,MAX(0,ROUNDDOWN((AmortismanRaporTarihi-$C571)/365,0)))</f>
        <v/>
      </c>
      <c r="I571" s="122">
        <f>IF($D571="",0,IFERROR(IF($E571="Azalan",MAX(0,$D571*(1-MIN(2*AmortismanAzalanCarpan*$F571,1)^$H571)),MIN($D571,$D571*$F571*$H571)),0))</f>
        <v/>
      </c>
      <c r="J571" s="122">
        <f>IF($D571="",0,MAX(0,$D571-$I571))</f>
        <v/>
      </c>
      <c r="K571" s="122">
        <f>IF($H571=0,0,IFERROR(IF($E571="Azalan",$D571*(1-MIN(2*AmortismanAzalanCarpan*$F571,1))^MAX(0,$H571-1)*MIN(2*AmortismanAzalanCarpan*$F571,1),MIN($D571*$F571,$D571)),0))</f>
        <v/>
      </c>
      <c r="L571" s="122">
        <f>IF($D571="",0,$G571-$J571)</f>
        <v/>
      </c>
      <c r="M571" s="122">
        <f>IF($B571="","",CONCATENATE("Kıymet: ",$B571," | NDD: ",TEXT($J571,"#,##0")))</f>
        <v/>
      </c>
    </row>
    <row r="572" ht="15" customHeight="1" s="77">
      <c r="A572" s="123" t="n"/>
      <c r="B572" s="123" t="n"/>
      <c r="C572" s="124" t="n"/>
      <c r="D572" s="125" t="n"/>
      <c r="E572" s="123" t="n"/>
      <c r="F572" s="126" t="n"/>
      <c r="G572" s="125" t="n"/>
      <c r="H572" s="122">
        <f>IF($D572="",0,MAX(0,ROUNDDOWN((AmortismanRaporTarihi-$C572)/365,0)))</f>
        <v/>
      </c>
      <c r="I572" s="122">
        <f>IF($D572="",0,IFERROR(IF($E572="Azalan",MAX(0,$D572*(1-MIN(2*AmortismanAzalanCarpan*$F572,1)^$H572)),MIN($D572,$D572*$F572*$H572)),0))</f>
        <v/>
      </c>
      <c r="J572" s="122">
        <f>IF($D572="",0,MAX(0,$D572-$I572))</f>
        <v/>
      </c>
      <c r="K572" s="122">
        <f>IF($H572=0,0,IFERROR(IF($E572="Azalan",$D572*(1-MIN(2*AmortismanAzalanCarpan*$F572,1))^MAX(0,$H572-1)*MIN(2*AmortismanAzalanCarpan*$F572,1),MIN($D572*$F572,$D572)),0))</f>
        <v/>
      </c>
      <c r="L572" s="122">
        <f>IF($D572="",0,$G572-$J572)</f>
        <v/>
      </c>
      <c r="M572" s="122">
        <f>IF($B572="","",CONCATENATE("Kıymet: ",$B572," | NDD: ",TEXT($J572,"#,##0")))</f>
        <v/>
      </c>
    </row>
    <row r="573" ht="15" customHeight="1" s="77">
      <c r="A573" s="123" t="n"/>
      <c r="B573" s="123" t="n"/>
      <c r="C573" s="124" t="n"/>
      <c r="D573" s="125" t="n"/>
      <c r="E573" s="123" t="n"/>
      <c r="F573" s="126" t="n"/>
      <c r="G573" s="125" t="n"/>
      <c r="H573" s="122">
        <f>IF($D573="",0,MAX(0,ROUNDDOWN((AmortismanRaporTarihi-$C573)/365,0)))</f>
        <v/>
      </c>
      <c r="I573" s="122">
        <f>IF($D573="",0,IFERROR(IF($E573="Azalan",MAX(0,$D573*(1-MIN(2*AmortismanAzalanCarpan*$F573,1)^$H573)),MIN($D573,$D573*$F573*$H573)),0))</f>
        <v/>
      </c>
      <c r="J573" s="122">
        <f>IF($D573="",0,MAX(0,$D573-$I573))</f>
        <v/>
      </c>
      <c r="K573" s="122">
        <f>IF($H573=0,0,IFERROR(IF($E573="Azalan",$D573*(1-MIN(2*AmortismanAzalanCarpan*$F573,1))^MAX(0,$H573-1)*MIN(2*AmortismanAzalanCarpan*$F573,1),MIN($D573*$F573,$D573)),0))</f>
        <v/>
      </c>
      <c r="L573" s="122">
        <f>IF($D573="",0,$G573-$J573)</f>
        <v/>
      </c>
      <c r="M573" s="122">
        <f>IF($B573="","",CONCATENATE("Kıymet: ",$B573," | NDD: ",TEXT($J573,"#,##0")))</f>
        <v/>
      </c>
    </row>
    <row r="574" ht="15" customHeight="1" s="77">
      <c r="A574" s="123" t="n"/>
      <c r="B574" s="123" t="n"/>
      <c r="C574" s="124" t="n"/>
      <c r="D574" s="125" t="n"/>
      <c r="E574" s="123" t="n"/>
      <c r="F574" s="126" t="n"/>
      <c r="G574" s="125" t="n"/>
      <c r="H574" s="122">
        <f>IF($D574="",0,MAX(0,ROUNDDOWN((AmortismanRaporTarihi-$C574)/365,0)))</f>
        <v/>
      </c>
      <c r="I574" s="122">
        <f>IF($D574="",0,IFERROR(IF($E574="Azalan",MAX(0,$D574*(1-MIN(2*AmortismanAzalanCarpan*$F574,1)^$H574)),MIN($D574,$D574*$F574*$H574)),0))</f>
        <v/>
      </c>
      <c r="J574" s="122">
        <f>IF($D574="",0,MAX(0,$D574-$I574))</f>
        <v/>
      </c>
      <c r="K574" s="122">
        <f>IF($H574=0,0,IFERROR(IF($E574="Azalan",$D574*(1-MIN(2*AmortismanAzalanCarpan*$F574,1))^MAX(0,$H574-1)*MIN(2*AmortismanAzalanCarpan*$F574,1),MIN($D574*$F574,$D574)),0))</f>
        <v/>
      </c>
      <c r="L574" s="122">
        <f>IF($D574="",0,$G574-$J574)</f>
        <v/>
      </c>
      <c r="M574" s="122">
        <f>IF($B574="","",CONCATENATE("Kıymet: ",$B574," | NDD: ",TEXT($J574,"#,##0")))</f>
        <v/>
      </c>
    </row>
    <row r="575" ht="15" customHeight="1" s="77">
      <c r="A575" s="123" t="n"/>
      <c r="B575" s="123" t="n"/>
      <c r="C575" s="124" t="n"/>
      <c r="D575" s="125" t="n"/>
      <c r="E575" s="123" t="n"/>
      <c r="F575" s="126" t="n"/>
      <c r="G575" s="125" t="n"/>
      <c r="H575" s="122">
        <f>IF($D575="",0,MAX(0,ROUNDDOWN((AmortismanRaporTarihi-$C575)/365,0)))</f>
        <v/>
      </c>
      <c r="I575" s="122">
        <f>IF($D575="",0,IFERROR(IF($E575="Azalan",MAX(0,$D575*(1-MIN(2*AmortismanAzalanCarpan*$F575,1)^$H575)),MIN($D575,$D575*$F575*$H575)),0))</f>
        <v/>
      </c>
      <c r="J575" s="122">
        <f>IF($D575="",0,MAX(0,$D575-$I575))</f>
        <v/>
      </c>
      <c r="K575" s="122">
        <f>IF($H575=0,0,IFERROR(IF($E575="Azalan",$D575*(1-MIN(2*AmortismanAzalanCarpan*$F575,1))^MAX(0,$H575-1)*MIN(2*AmortismanAzalanCarpan*$F575,1),MIN($D575*$F575,$D575)),0))</f>
        <v/>
      </c>
      <c r="L575" s="122">
        <f>IF($D575="",0,$G575-$J575)</f>
        <v/>
      </c>
      <c r="M575" s="122">
        <f>IF($B575="","",CONCATENATE("Kıymet: ",$B575," | NDD: ",TEXT($J575,"#,##0")))</f>
        <v/>
      </c>
    </row>
    <row r="576" ht="15" customHeight="1" s="77">
      <c r="A576" s="123" t="n"/>
      <c r="B576" s="123" t="n"/>
      <c r="C576" s="124" t="n"/>
      <c r="D576" s="125" t="n"/>
      <c r="E576" s="123" t="n"/>
      <c r="F576" s="126" t="n"/>
      <c r="G576" s="125" t="n"/>
      <c r="H576" s="122">
        <f>IF($D576="",0,MAX(0,ROUNDDOWN((AmortismanRaporTarihi-$C576)/365,0)))</f>
        <v/>
      </c>
      <c r="I576" s="122">
        <f>IF($D576="",0,IFERROR(IF($E576="Azalan",MAX(0,$D576*(1-MIN(2*AmortismanAzalanCarpan*$F576,1)^$H576)),MIN($D576,$D576*$F576*$H576)),0))</f>
        <v/>
      </c>
      <c r="J576" s="122">
        <f>IF($D576="",0,MAX(0,$D576-$I576))</f>
        <v/>
      </c>
      <c r="K576" s="122">
        <f>IF($H576=0,0,IFERROR(IF($E576="Azalan",$D576*(1-MIN(2*AmortismanAzalanCarpan*$F576,1))^MAX(0,$H576-1)*MIN(2*AmortismanAzalanCarpan*$F576,1),MIN($D576*$F576,$D576)),0))</f>
        <v/>
      </c>
      <c r="L576" s="122">
        <f>IF($D576="",0,$G576-$J576)</f>
        <v/>
      </c>
      <c r="M576" s="122">
        <f>IF($B576="","",CONCATENATE("Kıymet: ",$B576," | NDD: ",TEXT($J576,"#,##0")))</f>
        <v/>
      </c>
    </row>
    <row r="577" ht="15" customHeight="1" s="77">
      <c r="A577" s="123" t="n"/>
      <c r="B577" s="123" t="n"/>
      <c r="C577" s="124" t="n"/>
      <c r="D577" s="125" t="n"/>
      <c r="E577" s="123" t="n"/>
      <c r="F577" s="126" t="n"/>
      <c r="G577" s="125" t="n"/>
      <c r="H577" s="122">
        <f>IF($D577="",0,MAX(0,ROUNDDOWN((AmortismanRaporTarihi-$C577)/365,0)))</f>
        <v/>
      </c>
      <c r="I577" s="122">
        <f>IF($D577="",0,IFERROR(IF($E577="Azalan",MAX(0,$D577*(1-MIN(2*AmortismanAzalanCarpan*$F577,1)^$H577)),MIN($D577,$D577*$F577*$H577)),0))</f>
        <v/>
      </c>
      <c r="J577" s="122">
        <f>IF($D577="",0,MAX(0,$D577-$I577))</f>
        <v/>
      </c>
      <c r="K577" s="122">
        <f>IF($H577=0,0,IFERROR(IF($E577="Azalan",$D577*(1-MIN(2*AmortismanAzalanCarpan*$F577,1))^MAX(0,$H577-1)*MIN(2*AmortismanAzalanCarpan*$F577,1),MIN($D577*$F577,$D577)),0))</f>
        <v/>
      </c>
      <c r="L577" s="122">
        <f>IF($D577="",0,$G577-$J577)</f>
        <v/>
      </c>
      <c r="M577" s="122">
        <f>IF($B577="","",CONCATENATE("Kıymet: ",$B577," | NDD: ",TEXT($J577,"#,##0")))</f>
        <v/>
      </c>
    </row>
    <row r="578" ht="15" customHeight="1" s="77">
      <c r="A578" s="123" t="n"/>
      <c r="B578" s="123" t="n"/>
      <c r="C578" s="124" t="n"/>
      <c r="D578" s="125" t="n"/>
      <c r="E578" s="123" t="n"/>
      <c r="F578" s="126" t="n"/>
      <c r="G578" s="125" t="n"/>
      <c r="H578" s="122">
        <f>IF($D578="",0,MAX(0,ROUNDDOWN((AmortismanRaporTarihi-$C578)/365,0)))</f>
        <v/>
      </c>
      <c r="I578" s="122">
        <f>IF($D578="",0,IFERROR(IF($E578="Azalan",MAX(0,$D578*(1-MIN(2*AmortismanAzalanCarpan*$F578,1)^$H578)),MIN($D578,$D578*$F578*$H578)),0))</f>
        <v/>
      </c>
      <c r="J578" s="122">
        <f>IF($D578="",0,MAX(0,$D578-$I578))</f>
        <v/>
      </c>
      <c r="K578" s="122">
        <f>IF($H578=0,0,IFERROR(IF($E578="Azalan",$D578*(1-MIN(2*AmortismanAzalanCarpan*$F578,1))^MAX(0,$H578-1)*MIN(2*AmortismanAzalanCarpan*$F578,1),MIN($D578*$F578,$D578)),0))</f>
        <v/>
      </c>
      <c r="L578" s="122">
        <f>IF($D578="",0,$G578-$J578)</f>
        <v/>
      </c>
      <c r="M578" s="122">
        <f>IF($B578="","",CONCATENATE("Kıymet: ",$B578," | NDD: ",TEXT($J578,"#,##0")))</f>
        <v/>
      </c>
    </row>
    <row r="579" ht="15" customHeight="1" s="77">
      <c r="A579" s="123" t="n"/>
      <c r="B579" s="123" t="n"/>
      <c r="C579" s="124" t="n"/>
      <c r="D579" s="125" t="n"/>
      <c r="E579" s="123" t="n"/>
      <c r="F579" s="126" t="n"/>
      <c r="G579" s="125" t="n"/>
      <c r="H579" s="122">
        <f>IF($D579="",0,MAX(0,ROUNDDOWN((AmortismanRaporTarihi-$C579)/365,0)))</f>
        <v/>
      </c>
      <c r="I579" s="122">
        <f>IF($D579="",0,IFERROR(IF($E579="Azalan",MAX(0,$D579*(1-MIN(2*AmortismanAzalanCarpan*$F579,1)^$H579)),MIN($D579,$D579*$F579*$H579)),0))</f>
        <v/>
      </c>
      <c r="J579" s="122">
        <f>IF($D579="",0,MAX(0,$D579-$I579))</f>
        <v/>
      </c>
      <c r="K579" s="122">
        <f>IF($H579=0,0,IFERROR(IF($E579="Azalan",$D579*(1-MIN(2*AmortismanAzalanCarpan*$F579,1))^MAX(0,$H579-1)*MIN(2*AmortismanAzalanCarpan*$F579,1),MIN($D579*$F579,$D579)),0))</f>
        <v/>
      </c>
      <c r="L579" s="122">
        <f>IF($D579="",0,$G579-$J579)</f>
        <v/>
      </c>
      <c r="M579" s="122">
        <f>IF($B579="","",CONCATENATE("Kıymet: ",$B579," | NDD: ",TEXT($J579,"#,##0")))</f>
        <v/>
      </c>
    </row>
    <row r="580" ht="15" customHeight="1" s="77">
      <c r="A580" s="123" t="n"/>
      <c r="B580" s="123" t="n"/>
      <c r="C580" s="124" t="n"/>
      <c r="D580" s="125" t="n"/>
      <c r="E580" s="123" t="n"/>
      <c r="F580" s="126" t="n"/>
      <c r="G580" s="125" t="n"/>
      <c r="H580" s="122">
        <f>IF($D580="",0,MAX(0,ROUNDDOWN((AmortismanRaporTarihi-$C580)/365,0)))</f>
        <v/>
      </c>
      <c r="I580" s="122">
        <f>IF($D580="",0,IFERROR(IF($E580="Azalan",MAX(0,$D580*(1-MIN(2*AmortismanAzalanCarpan*$F580,1)^$H580)),MIN($D580,$D580*$F580*$H580)),0))</f>
        <v/>
      </c>
      <c r="J580" s="122">
        <f>IF($D580="",0,MAX(0,$D580-$I580))</f>
        <v/>
      </c>
      <c r="K580" s="122">
        <f>IF($H580=0,0,IFERROR(IF($E580="Azalan",$D580*(1-MIN(2*AmortismanAzalanCarpan*$F580,1))^MAX(0,$H580-1)*MIN(2*AmortismanAzalanCarpan*$F580,1),MIN($D580*$F580,$D580)),0))</f>
        <v/>
      </c>
      <c r="L580" s="122">
        <f>IF($D580="",0,$G580-$J580)</f>
        <v/>
      </c>
      <c r="M580" s="122">
        <f>IF($B580="","",CONCATENATE("Kıymet: ",$B580," | NDD: ",TEXT($J580,"#,##0")))</f>
        <v/>
      </c>
    </row>
    <row r="581" ht="15" customHeight="1" s="77">
      <c r="A581" s="123" t="n"/>
      <c r="B581" s="123" t="n"/>
      <c r="C581" s="124" t="n"/>
      <c r="D581" s="125" t="n"/>
      <c r="E581" s="123" t="n"/>
      <c r="F581" s="126" t="n"/>
      <c r="G581" s="125" t="n"/>
      <c r="H581" s="122">
        <f>IF($D581="",0,MAX(0,ROUNDDOWN((AmortismanRaporTarihi-$C581)/365,0)))</f>
        <v/>
      </c>
      <c r="I581" s="122">
        <f>IF($D581="",0,IFERROR(IF($E581="Azalan",MAX(0,$D581*(1-MIN(2*AmortismanAzalanCarpan*$F581,1)^$H581)),MIN($D581,$D581*$F581*$H581)),0))</f>
        <v/>
      </c>
      <c r="J581" s="122">
        <f>IF($D581="",0,MAX(0,$D581-$I581))</f>
        <v/>
      </c>
      <c r="K581" s="122">
        <f>IF($H581=0,0,IFERROR(IF($E581="Azalan",$D581*(1-MIN(2*AmortismanAzalanCarpan*$F581,1))^MAX(0,$H581-1)*MIN(2*AmortismanAzalanCarpan*$F581,1),MIN($D581*$F581,$D581)),0))</f>
        <v/>
      </c>
      <c r="L581" s="122">
        <f>IF($D581="",0,$G581-$J581)</f>
        <v/>
      </c>
      <c r="M581" s="122">
        <f>IF($B581="","",CONCATENATE("Kıymet: ",$B581," | NDD: ",TEXT($J581,"#,##0")))</f>
        <v/>
      </c>
    </row>
    <row r="582" ht="15" customHeight="1" s="77">
      <c r="A582" s="123" t="n"/>
      <c r="B582" s="123" t="n"/>
      <c r="C582" s="124" t="n"/>
      <c r="D582" s="125" t="n"/>
      <c r="E582" s="123" t="n"/>
      <c r="F582" s="126" t="n"/>
      <c r="G582" s="125" t="n"/>
      <c r="H582" s="122">
        <f>IF($D582="",0,MAX(0,ROUNDDOWN((AmortismanRaporTarihi-$C582)/365,0)))</f>
        <v/>
      </c>
      <c r="I582" s="122">
        <f>IF($D582="",0,IFERROR(IF($E582="Azalan",MAX(0,$D582*(1-MIN(2*AmortismanAzalanCarpan*$F582,1)^$H582)),MIN($D582,$D582*$F582*$H582)),0))</f>
        <v/>
      </c>
      <c r="J582" s="122">
        <f>IF($D582="",0,MAX(0,$D582-$I582))</f>
        <v/>
      </c>
      <c r="K582" s="122">
        <f>IF($H582=0,0,IFERROR(IF($E582="Azalan",$D582*(1-MIN(2*AmortismanAzalanCarpan*$F582,1))^MAX(0,$H582-1)*MIN(2*AmortismanAzalanCarpan*$F582,1),MIN($D582*$F582,$D582)),0))</f>
        <v/>
      </c>
      <c r="L582" s="122">
        <f>IF($D582="",0,$G582-$J582)</f>
        <v/>
      </c>
      <c r="M582" s="122">
        <f>IF($B582="","",CONCATENATE("Kıymet: ",$B582," | NDD: ",TEXT($J582,"#,##0")))</f>
        <v/>
      </c>
    </row>
    <row r="583" ht="15" customHeight="1" s="77">
      <c r="A583" s="123" t="n"/>
      <c r="B583" s="123" t="n"/>
      <c r="C583" s="124" t="n"/>
      <c r="D583" s="125" t="n"/>
      <c r="E583" s="123" t="n"/>
      <c r="F583" s="126" t="n"/>
      <c r="G583" s="125" t="n"/>
      <c r="H583" s="122">
        <f>IF($D583="",0,MAX(0,ROUNDDOWN((AmortismanRaporTarihi-$C583)/365,0)))</f>
        <v/>
      </c>
      <c r="I583" s="122">
        <f>IF($D583="",0,IFERROR(IF($E583="Azalan",MAX(0,$D583*(1-MIN(2*AmortismanAzalanCarpan*$F583,1)^$H583)),MIN($D583,$D583*$F583*$H583)),0))</f>
        <v/>
      </c>
      <c r="J583" s="122">
        <f>IF($D583="",0,MAX(0,$D583-$I583))</f>
        <v/>
      </c>
      <c r="K583" s="122">
        <f>IF($H583=0,0,IFERROR(IF($E583="Azalan",$D583*(1-MIN(2*AmortismanAzalanCarpan*$F583,1))^MAX(0,$H583-1)*MIN(2*AmortismanAzalanCarpan*$F583,1),MIN($D583*$F583,$D583)),0))</f>
        <v/>
      </c>
      <c r="L583" s="122">
        <f>IF($D583="",0,$G583-$J583)</f>
        <v/>
      </c>
      <c r="M583" s="122">
        <f>IF($B583="","",CONCATENATE("Kıymet: ",$B583," | NDD: ",TEXT($J583,"#,##0")))</f>
        <v/>
      </c>
    </row>
    <row r="584" ht="15" customHeight="1" s="77">
      <c r="A584" s="123" t="n"/>
      <c r="B584" s="123" t="n"/>
      <c r="C584" s="124" t="n"/>
      <c r="D584" s="125" t="n"/>
      <c r="E584" s="123" t="n"/>
      <c r="F584" s="126" t="n"/>
      <c r="G584" s="125" t="n"/>
      <c r="H584" s="122">
        <f>IF($D584="",0,MAX(0,ROUNDDOWN((AmortismanRaporTarihi-$C584)/365,0)))</f>
        <v/>
      </c>
      <c r="I584" s="122">
        <f>IF($D584="",0,IFERROR(IF($E584="Azalan",MAX(0,$D584*(1-MIN(2*AmortismanAzalanCarpan*$F584,1)^$H584)),MIN($D584,$D584*$F584*$H584)),0))</f>
        <v/>
      </c>
      <c r="J584" s="122">
        <f>IF($D584="",0,MAX(0,$D584-$I584))</f>
        <v/>
      </c>
      <c r="K584" s="122">
        <f>IF($H584=0,0,IFERROR(IF($E584="Azalan",$D584*(1-MIN(2*AmortismanAzalanCarpan*$F584,1))^MAX(0,$H584-1)*MIN(2*AmortismanAzalanCarpan*$F584,1),MIN($D584*$F584,$D584)),0))</f>
        <v/>
      </c>
      <c r="L584" s="122">
        <f>IF($D584="",0,$G584-$J584)</f>
        <v/>
      </c>
      <c r="M584" s="122">
        <f>IF($B584="","",CONCATENATE("Kıymet: ",$B584," | NDD: ",TEXT($J584,"#,##0")))</f>
        <v/>
      </c>
    </row>
    <row r="585" ht="15" customHeight="1" s="77">
      <c r="A585" s="123" t="n"/>
      <c r="B585" s="123" t="n"/>
      <c r="C585" s="124" t="n"/>
      <c r="D585" s="125" t="n"/>
      <c r="E585" s="123" t="n"/>
      <c r="F585" s="126" t="n"/>
      <c r="G585" s="125" t="n"/>
      <c r="H585" s="122">
        <f>IF($D585="",0,MAX(0,ROUNDDOWN((AmortismanRaporTarihi-$C585)/365,0)))</f>
        <v/>
      </c>
      <c r="I585" s="122">
        <f>IF($D585="",0,IFERROR(IF($E585="Azalan",MAX(0,$D585*(1-MIN(2*AmortismanAzalanCarpan*$F585,1)^$H585)),MIN($D585,$D585*$F585*$H585)),0))</f>
        <v/>
      </c>
      <c r="J585" s="122">
        <f>IF($D585="",0,MAX(0,$D585-$I585))</f>
        <v/>
      </c>
      <c r="K585" s="122">
        <f>IF($H585=0,0,IFERROR(IF($E585="Azalan",$D585*(1-MIN(2*AmortismanAzalanCarpan*$F585,1))^MAX(0,$H585-1)*MIN(2*AmortismanAzalanCarpan*$F585,1),MIN($D585*$F585,$D585)),0))</f>
        <v/>
      </c>
      <c r="L585" s="122">
        <f>IF($D585="",0,$G585-$J585)</f>
        <v/>
      </c>
      <c r="M585" s="122">
        <f>IF($B585="","",CONCATENATE("Kıymet: ",$B585," | NDD: ",TEXT($J585,"#,##0")))</f>
        <v/>
      </c>
    </row>
    <row r="586" ht="15" customHeight="1" s="77">
      <c r="A586" s="123" t="n"/>
      <c r="B586" s="123" t="n"/>
      <c r="C586" s="124" t="n"/>
      <c r="D586" s="125" t="n"/>
      <c r="E586" s="123" t="n"/>
      <c r="F586" s="126" t="n"/>
      <c r="G586" s="125" t="n"/>
      <c r="H586" s="122">
        <f>IF($D586="",0,MAX(0,ROUNDDOWN((AmortismanRaporTarihi-$C586)/365,0)))</f>
        <v/>
      </c>
      <c r="I586" s="122">
        <f>IF($D586="",0,IFERROR(IF($E586="Azalan",MAX(0,$D586*(1-MIN(2*AmortismanAzalanCarpan*$F586,1)^$H586)),MIN($D586,$D586*$F586*$H586)),0))</f>
        <v/>
      </c>
      <c r="J586" s="122">
        <f>IF($D586="",0,MAX(0,$D586-$I586))</f>
        <v/>
      </c>
      <c r="K586" s="122">
        <f>IF($H586=0,0,IFERROR(IF($E586="Azalan",$D586*(1-MIN(2*AmortismanAzalanCarpan*$F586,1))^MAX(0,$H586-1)*MIN(2*AmortismanAzalanCarpan*$F586,1),MIN($D586*$F586,$D586)),0))</f>
        <v/>
      </c>
      <c r="L586" s="122">
        <f>IF($D586="",0,$G586-$J586)</f>
        <v/>
      </c>
      <c r="M586" s="122">
        <f>IF($B586="","",CONCATENATE("Kıymet: ",$B586," | NDD: ",TEXT($J586,"#,##0")))</f>
        <v/>
      </c>
    </row>
    <row r="587" ht="15" customHeight="1" s="77">
      <c r="A587" s="123" t="n"/>
      <c r="B587" s="123" t="n"/>
      <c r="C587" s="124" t="n"/>
      <c r="D587" s="125" t="n"/>
      <c r="E587" s="123" t="n"/>
      <c r="F587" s="126" t="n"/>
      <c r="G587" s="125" t="n"/>
      <c r="H587" s="122">
        <f>IF($D587="",0,MAX(0,ROUNDDOWN((AmortismanRaporTarihi-$C587)/365,0)))</f>
        <v/>
      </c>
      <c r="I587" s="122">
        <f>IF($D587="",0,IFERROR(IF($E587="Azalan",MAX(0,$D587*(1-MIN(2*AmortismanAzalanCarpan*$F587,1)^$H587)),MIN($D587,$D587*$F587*$H587)),0))</f>
        <v/>
      </c>
      <c r="J587" s="122">
        <f>IF($D587="",0,MAX(0,$D587-$I587))</f>
        <v/>
      </c>
      <c r="K587" s="122">
        <f>IF($H587=0,0,IFERROR(IF($E587="Azalan",$D587*(1-MIN(2*AmortismanAzalanCarpan*$F587,1))^MAX(0,$H587-1)*MIN(2*AmortismanAzalanCarpan*$F587,1),MIN($D587*$F587,$D587)),0))</f>
        <v/>
      </c>
      <c r="L587" s="122">
        <f>IF($D587="",0,$G587-$J587)</f>
        <v/>
      </c>
      <c r="M587" s="122">
        <f>IF($B587="","",CONCATENATE("Kıymet: ",$B587," | NDD: ",TEXT($J587,"#,##0")))</f>
        <v/>
      </c>
    </row>
    <row r="588" ht="15" customHeight="1" s="77">
      <c r="A588" s="123" t="n"/>
      <c r="B588" s="123" t="n"/>
      <c r="C588" s="124" t="n"/>
      <c r="D588" s="125" t="n"/>
      <c r="E588" s="123" t="n"/>
      <c r="F588" s="126" t="n"/>
      <c r="G588" s="125" t="n"/>
      <c r="H588" s="122">
        <f>IF($D588="",0,MAX(0,ROUNDDOWN((AmortismanRaporTarihi-$C588)/365,0)))</f>
        <v/>
      </c>
      <c r="I588" s="122">
        <f>IF($D588="",0,IFERROR(IF($E588="Azalan",MAX(0,$D588*(1-MIN(2*AmortismanAzalanCarpan*$F588,1)^$H588)),MIN($D588,$D588*$F588*$H588)),0))</f>
        <v/>
      </c>
      <c r="J588" s="122">
        <f>IF($D588="",0,MAX(0,$D588-$I588))</f>
        <v/>
      </c>
      <c r="K588" s="122">
        <f>IF($H588=0,0,IFERROR(IF($E588="Azalan",$D588*(1-MIN(2*AmortismanAzalanCarpan*$F588,1))^MAX(0,$H588-1)*MIN(2*AmortismanAzalanCarpan*$F588,1),MIN($D588*$F588,$D588)),0))</f>
        <v/>
      </c>
      <c r="L588" s="122">
        <f>IF($D588="",0,$G588-$J588)</f>
        <v/>
      </c>
      <c r="M588" s="122">
        <f>IF($B588="","",CONCATENATE("Kıymet: ",$B588," | NDD: ",TEXT($J588,"#,##0")))</f>
        <v/>
      </c>
    </row>
    <row r="589" ht="15" customHeight="1" s="77">
      <c r="A589" s="123" t="n"/>
      <c r="B589" s="123" t="n"/>
      <c r="C589" s="124" t="n"/>
      <c r="D589" s="125" t="n"/>
      <c r="E589" s="123" t="n"/>
      <c r="F589" s="126" t="n"/>
      <c r="G589" s="125" t="n"/>
      <c r="H589" s="122">
        <f>IF($D589="",0,MAX(0,ROUNDDOWN((AmortismanRaporTarihi-$C589)/365,0)))</f>
        <v/>
      </c>
      <c r="I589" s="122">
        <f>IF($D589="",0,IFERROR(IF($E589="Azalan",MAX(0,$D589*(1-MIN(2*AmortismanAzalanCarpan*$F589,1)^$H589)),MIN($D589,$D589*$F589*$H589)),0))</f>
        <v/>
      </c>
      <c r="J589" s="122">
        <f>IF($D589="",0,MAX(0,$D589-$I589))</f>
        <v/>
      </c>
      <c r="K589" s="122">
        <f>IF($H589=0,0,IFERROR(IF($E589="Azalan",$D589*(1-MIN(2*AmortismanAzalanCarpan*$F589,1))^MAX(0,$H589-1)*MIN(2*AmortismanAzalanCarpan*$F589,1),MIN($D589*$F589,$D589)),0))</f>
        <v/>
      </c>
      <c r="L589" s="122">
        <f>IF($D589="",0,$G589-$J589)</f>
        <v/>
      </c>
      <c r="M589" s="122">
        <f>IF($B589="","",CONCATENATE("Kıymet: ",$B589," | NDD: ",TEXT($J589,"#,##0")))</f>
        <v/>
      </c>
    </row>
    <row r="590" ht="15" customHeight="1" s="77">
      <c r="A590" s="123" t="n"/>
      <c r="B590" s="123" t="n"/>
      <c r="C590" s="124" t="n"/>
      <c r="D590" s="125" t="n"/>
      <c r="E590" s="123" t="n"/>
      <c r="F590" s="126" t="n"/>
      <c r="G590" s="125" t="n"/>
      <c r="H590" s="122">
        <f>IF($D590="",0,MAX(0,ROUNDDOWN((AmortismanRaporTarihi-$C590)/365,0)))</f>
        <v/>
      </c>
      <c r="I590" s="122">
        <f>IF($D590="",0,IFERROR(IF($E590="Azalan",MAX(0,$D590*(1-MIN(2*AmortismanAzalanCarpan*$F590,1)^$H590)),MIN($D590,$D590*$F590*$H590)),0))</f>
        <v/>
      </c>
      <c r="J590" s="122">
        <f>IF($D590="",0,MAX(0,$D590-$I590))</f>
        <v/>
      </c>
      <c r="K590" s="122">
        <f>IF($H590=0,0,IFERROR(IF($E590="Azalan",$D590*(1-MIN(2*AmortismanAzalanCarpan*$F590,1))^MAX(0,$H590-1)*MIN(2*AmortismanAzalanCarpan*$F590,1),MIN($D590*$F590,$D590)),0))</f>
        <v/>
      </c>
      <c r="L590" s="122">
        <f>IF($D590="",0,$G590-$J590)</f>
        <v/>
      </c>
      <c r="M590" s="122">
        <f>IF($B590="","",CONCATENATE("Kıymet: ",$B590," | NDD: ",TEXT($J590,"#,##0")))</f>
        <v/>
      </c>
    </row>
    <row r="591" ht="15" customHeight="1" s="77">
      <c r="A591" s="123" t="n"/>
      <c r="B591" s="123" t="n"/>
      <c r="C591" s="124" t="n"/>
      <c r="D591" s="125" t="n"/>
      <c r="E591" s="123" t="n"/>
      <c r="F591" s="126" t="n"/>
      <c r="G591" s="125" t="n"/>
      <c r="H591" s="122">
        <f>IF($D591="",0,MAX(0,ROUNDDOWN((AmortismanRaporTarihi-$C591)/365,0)))</f>
        <v/>
      </c>
      <c r="I591" s="122">
        <f>IF($D591="",0,IFERROR(IF($E591="Azalan",MAX(0,$D591*(1-MIN(2*AmortismanAzalanCarpan*$F591,1)^$H591)),MIN($D591,$D591*$F591*$H591)),0))</f>
        <v/>
      </c>
      <c r="J591" s="122">
        <f>IF($D591="",0,MAX(0,$D591-$I591))</f>
        <v/>
      </c>
      <c r="K591" s="122">
        <f>IF($H591=0,0,IFERROR(IF($E591="Azalan",$D591*(1-MIN(2*AmortismanAzalanCarpan*$F591,1))^MAX(0,$H591-1)*MIN(2*AmortismanAzalanCarpan*$F591,1),MIN($D591*$F591,$D591)),0))</f>
        <v/>
      </c>
      <c r="L591" s="122">
        <f>IF($D591="",0,$G591-$J591)</f>
        <v/>
      </c>
      <c r="M591" s="122">
        <f>IF($B591="","",CONCATENATE("Kıymet: ",$B591," | NDD: ",TEXT($J591,"#,##0")))</f>
        <v/>
      </c>
    </row>
    <row r="592" ht="15" customHeight="1" s="77">
      <c r="A592" s="123" t="n"/>
      <c r="B592" s="123" t="n"/>
      <c r="C592" s="124" t="n"/>
      <c r="D592" s="125" t="n"/>
      <c r="E592" s="123" t="n"/>
      <c r="F592" s="126" t="n"/>
      <c r="G592" s="125" t="n"/>
      <c r="H592" s="122">
        <f>IF($D592="",0,MAX(0,ROUNDDOWN((AmortismanRaporTarihi-$C592)/365,0)))</f>
        <v/>
      </c>
      <c r="I592" s="122">
        <f>IF($D592="",0,IFERROR(IF($E592="Azalan",MAX(0,$D592*(1-MIN(2*AmortismanAzalanCarpan*$F592,1)^$H592)),MIN($D592,$D592*$F592*$H592)),0))</f>
        <v/>
      </c>
      <c r="J592" s="122">
        <f>IF($D592="",0,MAX(0,$D592-$I592))</f>
        <v/>
      </c>
      <c r="K592" s="122">
        <f>IF($H592=0,0,IFERROR(IF($E592="Azalan",$D592*(1-MIN(2*AmortismanAzalanCarpan*$F592,1))^MAX(0,$H592-1)*MIN(2*AmortismanAzalanCarpan*$F592,1),MIN($D592*$F592,$D592)),0))</f>
        <v/>
      </c>
      <c r="L592" s="122">
        <f>IF($D592="",0,$G592-$J592)</f>
        <v/>
      </c>
      <c r="M592" s="122">
        <f>IF($B592="","",CONCATENATE("Kıymet: ",$B592," | NDD: ",TEXT($J592,"#,##0")))</f>
        <v/>
      </c>
    </row>
    <row r="593" ht="15" customHeight="1" s="77">
      <c r="A593" s="123" t="n"/>
      <c r="B593" s="123" t="n"/>
      <c r="C593" s="124" t="n"/>
      <c r="D593" s="125" t="n"/>
      <c r="E593" s="123" t="n"/>
      <c r="F593" s="126" t="n"/>
      <c r="G593" s="125" t="n"/>
      <c r="H593" s="122">
        <f>IF($D593="",0,MAX(0,ROUNDDOWN((AmortismanRaporTarihi-$C593)/365,0)))</f>
        <v/>
      </c>
      <c r="I593" s="122">
        <f>IF($D593="",0,IFERROR(IF($E593="Azalan",MAX(0,$D593*(1-MIN(2*AmortismanAzalanCarpan*$F593,1)^$H593)),MIN($D593,$D593*$F593*$H593)),0))</f>
        <v/>
      </c>
      <c r="J593" s="122">
        <f>IF($D593="",0,MAX(0,$D593-$I593))</f>
        <v/>
      </c>
      <c r="K593" s="122">
        <f>IF($H593=0,0,IFERROR(IF($E593="Azalan",$D593*(1-MIN(2*AmortismanAzalanCarpan*$F593,1))^MAX(0,$H593-1)*MIN(2*AmortismanAzalanCarpan*$F593,1),MIN($D593*$F593,$D593)),0))</f>
        <v/>
      </c>
      <c r="L593" s="122">
        <f>IF($D593="",0,$G593-$J593)</f>
        <v/>
      </c>
      <c r="M593" s="122">
        <f>IF($B593="","",CONCATENATE("Kıymet: ",$B593," | NDD: ",TEXT($J593,"#,##0")))</f>
        <v/>
      </c>
    </row>
    <row r="594" ht="15" customHeight="1" s="77">
      <c r="A594" s="123" t="n"/>
      <c r="B594" s="123" t="n"/>
      <c r="C594" s="124" t="n"/>
      <c r="D594" s="125" t="n"/>
      <c r="E594" s="123" t="n"/>
      <c r="F594" s="126" t="n"/>
      <c r="G594" s="125" t="n"/>
      <c r="H594" s="122">
        <f>IF($D594="",0,MAX(0,ROUNDDOWN((AmortismanRaporTarihi-$C594)/365,0)))</f>
        <v/>
      </c>
      <c r="I594" s="122">
        <f>IF($D594="",0,IFERROR(IF($E594="Azalan",MAX(0,$D594*(1-MIN(2*AmortismanAzalanCarpan*$F594,1)^$H594)),MIN($D594,$D594*$F594*$H594)),0))</f>
        <v/>
      </c>
      <c r="J594" s="122">
        <f>IF($D594="",0,MAX(0,$D594-$I594))</f>
        <v/>
      </c>
      <c r="K594" s="122">
        <f>IF($H594=0,0,IFERROR(IF($E594="Azalan",$D594*(1-MIN(2*AmortismanAzalanCarpan*$F594,1))^MAX(0,$H594-1)*MIN(2*AmortismanAzalanCarpan*$F594,1),MIN($D594*$F594,$D594)),0))</f>
        <v/>
      </c>
      <c r="L594" s="122">
        <f>IF($D594="",0,$G594-$J594)</f>
        <v/>
      </c>
      <c r="M594" s="122">
        <f>IF($B594="","",CONCATENATE("Kıymet: ",$B594," | NDD: ",TEXT($J594,"#,##0")))</f>
        <v/>
      </c>
    </row>
    <row r="595" ht="15" customHeight="1" s="77">
      <c r="A595" s="123" t="n"/>
      <c r="B595" s="123" t="n"/>
      <c r="C595" s="124" t="n"/>
      <c r="D595" s="125" t="n"/>
      <c r="E595" s="123" t="n"/>
      <c r="F595" s="126" t="n"/>
      <c r="G595" s="125" t="n"/>
      <c r="H595" s="122">
        <f>IF($D595="",0,MAX(0,ROUNDDOWN((AmortismanRaporTarihi-$C595)/365,0)))</f>
        <v/>
      </c>
      <c r="I595" s="122">
        <f>IF($D595="",0,IFERROR(IF($E595="Azalan",MAX(0,$D595*(1-MIN(2*AmortismanAzalanCarpan*$F595,1)^$H595)),MIN($D595,$D595*$F595*$H595)),0))</f>
        <v/>
      </c>
      <c r="J595" s="122">
        <f>IF($D595="",0,MAX(0,$D595-$I595))</f>
        <v/>
      </c>
      <c r="K595" s="122">
        <f>IF($H595=0,0,IFERROR(IF($E595="Azalan",$D595*(1-MIN(2*AmortismanAzalanCarpan*$F595,1))^MAX(0,$H595-1)*MIN(2*AmortismanAzalanCarpan*$F595,1),MIN($D595*$F595,$D595)),0))</f>
        <v/>
      </c>
      <c r="L595" s="122">
        <f>IF($D595="",0,$G595-$J595)</f>
        <v/>
      </c>
      <c r="M595" s="122">
        <f>IF($B595="","",CONCATENATE("Kıymet: ",$B595," | NDD: ",TEXT($J595,"#,##0")))</f>
        <v/>
      </c>
    </row>
    <row r="596" ht="15" customHeight="1" s="77">
      <c r="A596" s="123" t="n"/>
      <c r="B596" s="123" t="n"/>
      <c r="C596" s="124" t="n"/>
      <c r="D596" s="125" t="n"/>
      <c r="E596" s="123" t="n"/>
      <c r="F596" s="126" t="n"/>
      <c r="G596" s="125" t="n"/>
      <c r="H596" s="122">
        <f>IF($D596="",0,MAX(0,ROUNDDOWN((AmortismanRaporTarihi-$C596)/365,0)))</f>
        <v/>
      </c>
      <c r="I596" s="122">
        <f>IF($D596="",0,IFERROR(IF($E596="Azalan",MAX(0,$D596*(1-MIN(2*AmortismanAzalanCarpan*$F596,1)^$H596)),MIN($D596,$D596*$F596*$H596)),0))</f>
        <v/>
      </c>
      <c r="J596" s="122">
        <f>IF($D596="",0,MAX(0,$D596-$I596))</f>
        <v/>
      </c>
      <c r="K596" s="122">
        <f>IF($H596=0,0,IFERROR(IF($E596="Azalan",$D596*(1-MIN(2*AmortismanAzalanCarpan*$F596,1))^MAX(0,$H596-1)*MIN(2*AmortismanAzalanCarpan*$F596,1),MIN($D596*$F596,$D596)),0))</f>
        <v/>
      </c>
      <c r="L596" s="122">
        <f>IF($D596="",0,$G596-$J596)</f>
        <v/>
      </c>
      <c r="M596" s="122">
        <f>IF($B596="","",CONCATENATE("Kıymet: ",$B596," | NDD: ",TEXT($J596,"#,##0")))</f>
        <v/>
      </c>
    </row>
    <row r="597" ht="15" customHeight="1" s="77">
      <c r="A597" s="123" t="n"/>
      <c r="B597" s="123" t="n"/>
      <c r="C597" s="124" t="n"/>
      <c r="D597" s="125" t="n"/>
      <c r="E597" s="123" t="n"/>
      <c r="F597" s="126" t="n"/>
      <c r="G597" s="125" t="n"/>
      <c r="H597" s="122">
        <f>IF($D597="",0,MAX(0,ROUNDDOWN((AmortismanRaporTarihi-$C597)/365,0)))</f>
        <v/>
      </c>
      <c r="I597" s="122">
        <f>IF($D597="",0,IFERROR(IF($E597="Azalan",MAX(0,$D597*(1-MIN(2*AmortismanAzalanCarpan*$F597,1)^$H597)),MIN($D597,$D597*$F597*$H597)),0))</f>
        <v/>
      </c>
      <c r="J597" s="122">
        <f>IF($D597="",0,MAX(0,$D597-$I597))</f>
        <v/>
      </c>
      <c r="K597" s="122">
        <f>IF($H597=0,0,IFERROR(IF($E597="Azalan",$D597*(1-MIN(2*AmortismanAzalanCarpan*$F597,1))^MAX(0,$H597-1)*MIN(2*AmortismanAzalanCarpan*$F597,1),MIN($D597*$F597,$D597)),0))</f>
        <v/>
      </c>
      <c r="L597" s="122">
        <f>IF($D597="",0,$G597-$J597)</f>
        <v/>
      </c>
      <c r="M597" s="122">
        <f>IF($B597="","",CONCATENATE("Kıymet: ",$B597," | NDD: ",TEXT($J597,"#,##0")))</f>
        <v/>
      </c>
    </row>
    <row r="598" ht="15" customHeight="1" s="77">
      <c r="A598" s="123" t="n"/>
      <c r="B598" s="123" t="n"/>
      <c r="C598" s="124" t="n"/>
      <c r="D598" s="125" t="n"/>
      <c r="E598" s="123" t="n"/>
      <c r="F598" s="126" t="n"/>
      <c r="G598" s="125" t="n"/>
      <c r="H598" s="122">
        <f>IF($D598="",0,MAX(0,ROUNDDOWN((AmortismanRaporTarihi-$C598)/365,0)))</f>
        <v/>
      </c>
      <c r="I598" s="122">
        <f>IF($D598="",0,IFERROR(IF($E598="Azalan",MAX(0,$D598*(1-MIN(2*AmortismanAzalanCarpan*$F598,1)^$H598)),MIN($D598,$D598*$F598*$H598)),0))</f>
        <v/>
      </c>
      <c r="J598" s="122">
        <f>IF($D598="",0,MAX(0,$D598-$I598))</f>
        <v/>
      </c>
      <c r="K598" s="122">
        <f>IF($H598=0,0,IFERROR(IF($E598="Azalan",$D598*(1-MIN(2*AmortismanAzalanCarpan*$F598,1))^MAX(0,$H598-1)*MIN(2*AmortismanAzalanCarpan*$F598,1),MIN($D598*$F598,$D598)),0))</f>
        <v/>
      </c>
      <c r="L598" s="122">
        <f>IF($D598="",0,$G598-$J598)</f>
        <v/>
      </c>
      <c r="M598" s="122">
        <f>IF($B598="","",CONCATENATE("Kıymet: ",$B598," | NDD: ",TEXT($J598,"#,##0")))</f>
        <v/>
      </c>
    </row>
    <row r="599" ht="15" customHeight="1" s="77">
      <c r="A599" s="123" t="n"/>
      <c r="B599" s="123" t="n"/>
      <c r="C599" s="124" t="n"/>
      <c r="D599" s="125" t="n"/>
      <c r="E599" s="123" t="n"/>
      <c r="F599" s="126" t="n"/>
      <c r="G599" s="125" t="n"/>
      <c r="H599" s="122">
        <f>IF($D599="",0,MAX(0,ROUNDDOWN((AmortismanRaporTarihi-$C599)/365,0)))</f>
        <v/>
      </c>
      <c r="I599" s="122">
        <f>IF($D599="",0,IFERROR(IF($E599="Azalan",MAX(0,$D599*(1-MIN(2*AmortismanAzalanCarpan*$F599,1)^$H599)),MIN($D599,$D599*$F599*$H599)),0))</f>
        <v/>
      </c>
      <c r="J599" s="122">
        <f>IF($D599="",0,MAX(0,$D599-$I599))</f>
        <v/>
      </c>
      <c r="K599" s="122">
        <f>IF($H599=0,0,IFERROR(IF($E599="Azalan",$D599*(1-MIN(2*AmortismanAzalanCarpan*$F599,1))^MAX(0,$H599-1)*MIN(2*AmortismanAzalanCarpan*$F599,1),MIN($D599*$F599,$D599)),0))</f>
        <v/>
      </c>
      <c r="L599" s="122">
        <f>IF($D599="",0,$G599-$J599)</f>
        <v/>
      </c>
      <c r="M599" s="122">
        <f>IF($B599="","",CONCATENATE("Kıymet: ",$B599," | NDD: ",TEXT($J599,"#,##0")))</f>
        <v/>
      </c>
    </row>
    <row r="600" ht="15" customHeight="1" s="77">
      <c r="A600" s="123" t="n"/>
      <c r="B600" s="123" t="n"/>
      <c r="C600" s="124" t="n"/>
      <c r="D600" s="125" t="n"/>
      <c r="E600" s="123" t="n"/>
      <c r="F600" s="126" t="n"/>
      <c r="G600" s="125" t="n"/>
      <c r="H600" s="122">
        <f>IF($D600="",0,MAX(0,ROUNDDOWN((AmortismanRaporTarihi-$C600)/365,0)))</f>
        <v/>
      </c>
      <c r="I600" s="122">
        <f>IF($D600="",0,IFERROR(IF($E600="Azalan",MAX(0,$D600*(1-MIN(2*AmortismanAzalanCarpan*$F600,1)^$H600)),MIN($D600,$D600*$F600*$H600)),0))</f>
        <v/>
      </c>
      <c r="J600" s="122">
        <f>IF($D600="",0,MAX(0,$D600-$I600))</f>
        <v/>
      </c>
      <c r="K600" s="122">
        <f>IF($H600=0,0,IFERROR(IF($E600="Azalan",$D600*(1-MIN(2*AmortismanAzalanCarpan*$F600,1))^MAX(0,$H600-1)*MIN(2*AmortismanAzalanCarpan*$F600,1),MIN($D600*$F600,$D600)),0))</f>
        <v/>
      </c>
      <c r="L600" s="122">
        <f>IF($D600="",0,$G600-$J600)</f>
        <v/>
      </c>
      <c r="M600" s="122">
        <f>IF($B600="","",CONCATENATE("Kıymet: ",$B600," | NDD: ",TEXT($J600,"#,##0")))</f>
        <v/>
      </c>
    </row>
    <row r="601" ht="15" customHeight="1" s="77">
      <c r="A601" s="123" t="n"/>
      <c r="B601" s="123" t="n"/>
      <c r="C601" s="124" t="n"/>
      <c r="D601" s="125" t="n"/>
      <c r="E601" s="123" t="n"/>
      <c r="F601" s="126" t="n"/>
      <c r="G601" s="125" t="n"/>
      <c r="H601" s="122">
        <f>IF($D601="",0,MAX(0,ROUNDDOWN((AmortismanRaporTarihi-$C601)/365,0)))</f>
        <v/>
      </c>
      <c r="I601" s="122">
        <f>IF($D601="",0,IFERROR(IF($E601="Azalan",MAX(0,$D601*(1-MIN(2*AmortismanAzalanCarpan*$F601,1)^$H601)),MIN($D601,$D601*$F601*$H601)),0))</f>
        <v/>
      </c>
      <c r="J601" s="122">
        <f>IF($D601="",0,MAX(0,$D601-$I601))</f>
        <v/>
      </c>
      <c r="K601" s="122">
        <f>IF($H601=0,0,IFERROR(IF($E601="Azalan",$D601*(1-MIN(2*AmortismanAzalanCarpan*$F601,1))^MAX(0,$H601-1)*MIN(2*AmortismanAzalanCarpan*$F601,1),MIN($D601*$F601,$D601)),0))</f>
        <v/>
      </c>
      <c r="L601" s="122">
        <f>IF($D601="",0,$G601-$J601)</f>
        <v/>
      </c>
      <c r="M601" s="122">
        <f>IF($B601="","",CONCATENATE("Kıymet: ",$B601," | NDD: ",TEXT($J601,"#,##0")))</f>
        <v/>
      </c>
    </row>
    <row r="602" ht="15" customHeight="1" s="77">
      <c r="A602" s="123" t="n"/>
      <c r="B602" s="123" t="n"/>
      <c r="C602" s="124" t="n"/>
      <c r="D602" s="125" t="n"/>
      <c r="E602" s="123" t="n"/>
      <c r="F602" s="126" t="n"/>
      <c r="G602" s="125" t="n"/>
      <c r="H602" s="122">
        <f>IF($D602="",0,MAX(0,ROUNDDOWN((AmortismanRaporTarihi-$C602)/365,0)))</f>
        <v/>
      </c>
      <c r="I602" s="122">
        <f>IF($D602="",0,IFERROR(IF($E602="Azalan",MAX(0,$D602*(1-MIN(2*AmortismanAzalanCarpan*$F602,1)^$H602)),MIN($D602,$D602*$F602*$H602)),0))</f>
        <v/>
      </c>
      <c r="J602" s="122">
        <f>IF($D602="",0,MAX(0,$D602-$I602))</f>
        <v/>
      </c>
      <c r="K602" s="122">
        <f>IF($H602=0,0,IFERROR(IF($E602="Azalan",$D602*(1-MIN(2*AmortismanAzalanCarpan*$F602,1))^MAX(0,$H602-1)*MIN(2*AmortismanAzalanCarpan*$F602,1),MIN($D602*$F602,$D602)),0))</f>
        <v/>
      </c>
      <c r="L602" s="122">
        <f>IF($D602="",0,$G602-$J602)</f>
        <v/>
      </c>
      <c r="M602" s="122">
        <f>IF($B602="","",CONCATENATE("Kıymet: ",$B602," | NDD: ",TEXT($J602,"#,##0")))</f>
        <v/>
      </c>
    </row>
    <row r="603" ht="15" customHeight="1" s="77">
      <c r="A603" s="123" t="n"/>
      <c r="B603" s="123" t="n"/>
      <c r="C603" s="124" t="n"/>
      <c r="D603" s="125" t="n"/>
      <c r="E603" s="123" t="n"/>
      <c r="F603" s="126" t="n"/>
      <c r="G603" s="125" t="n"/>
      <c r="H603" s="122">
        <f>IF($D603="",0,MAX(0,ROUNDDOWN((AmortismanRaporTarihi-$C603)/365,0)))</f>
        <v/>
      </c>
      <c r="I603" s="122">
        <f>IF($D603="",0,IFERROR(IF($E603="Azalan",MAX(0,$D603*(1-MIN(2*AmortismanAzalanCarpan*$F603,1)^$H603)),MIN($D603,$D603*$F603*$H603)),0))</f>
        <v/>
      </c>
      <c r="J603" s="122">
        <f>IF($D603="",0,MAX(0,$D603-$I603))</f>
        <v/>
      </c>
      <c r="K603" s="122">
        <f>IF($H603=0,0,IFERROR(IF($E603="Azalan",$D603*(1-MIN(2*AmortismanAzalanCarpan*$F603,1))^MAX(0,$H603-1)*MIN(2*AmortismanAzalanCarpan*$F603,1),MIN($D603*$F603,$D603)),0))</f>
        <v/>
      </c>
      <c r="L603" s="122">
        <f>IF($D603="",0,$G603-$J603)</f>
        <v/>
      </c>
      <c r="M603" s="122">
        <f>IF($B603="","",CONCATENATE("Kıymet: ",$B603," | NDD: ",TEXT($J603,"#,##0")))</f>
        <v/>
      </c>
    </row>
    <row r="604" ht="15" customHeight="1" s="77">
      <c r="A604" s="123" t="n"/>
      <c r="B604" s="123" t="n"/>
      <c r="C604" s="124" t="n"/>
      <c r="D604" s="125" t="n"/>
      <c r="E604" s="123" t="n"/>
      <c r="F604" s="126" t="n"/>
      <c r="G604" s="125" t="n"/>
      <c r="H604" s="122">
        <f>IF($D604="",0,MAX(0,ROUNDDOWN((AmortismanRaporTarihi-$C604)/365,0)))</f>
        <v/>
      </c>
      <c r="I604" s="122">
        <f>IF($D604="",0,IFERROR(IF($E604="Azalan",MAX(0,$D604*(1-MIN(2*AmortismanAzalanCarpan*$F604,1)^$H604)),MIN($D604,$D604*$F604*$H604)),0))</f>
        <v/>
      </c>
      <c r="J604" s="122">
        <f>IF($D604="",0,MAX(0,$D604-$I604))</f>
        <v/>
      </c>
      <c r="K604" s="122">
        <f>IF($H604=0,0,IFERROR(IF($E604="Azalan",$D604*(1-MIN(2*AmortismanAzalanCarpan*$F604,1))^MAX(0,$H604-1)*MIN(2*AmortismanAzalanCarpan*$F604,1),MIN($D604*$F604,$D604)),0))</f>
        <v/>
      </c>
      <c r="L604" s="122">
        <f>IF($D604="",0,$G604-$J604)</f>
        <v/>
      </c>
      <c r="M604" s="122">
        <f>IF($B604="","",CONCATENATE("Kıymet: ",$B604," | NDD: ",TEXT($J604,"#,##0")))</f>
        <v/>
      </c>
    </row>
    <row r="605" ht="15" customHeight="1" s="77">
      <c r="A605" s="123" t="n"/>
      <c r="B605" s="123" t="n"/>
      <c r="C605" s="124" t="n"/>
      <c r="D605" s="125" t="n"/>
      <c r="E605" s="123" t="n"/>
      <c r="F605" s="126" t="n"/>
      <c r="G605" s="125" t="n"/>
      <c r="H605" s="122">
        <f>IF($D605="",0,MAX(0,ROUNDDOWN((AmortismanRaporTarihi-$C605)/365,0)))</f>
        <v/>
      </c>
      <c r="I605" s="122">
        <f>IF($D605="",0,IFERROR(IF($E605="Azalan",MAX(0,$D605*(1-MIN(2*AmortismanAzalanCarpan*$F605,1)^$H605)),MIN($D605,$D605*$F605*$H605)),0))</f>
        <v/>
      </c>
      <c r="J605" s="122">
        <f>IF($D605="",0,MAX(0,$D605-$I605))</f>
        <v/>
      </c>
      <c r="K605" s="122">
        <f>IF($H605=0,0,IFERROR(IF($E605="Azalan",$D605*(1-MIN(2*AmortismanAzalanCarpan*$F605,1))^MAX(0,$H605-1)*MIN(2*AmortismanAzalanCarpan*$F605,1),MIN($D605*$F605,$D605)),0))</f>
        <v/>
      </c>
      <c r="L605" s="122">
        <f>IF($D605="",0,$G605-$J605)</f>
        <v/>
      </c>
      <c r="M605" s="122">
        <f>IF($B605="","",CONCATENATE("Kıymet: ",$B605," | NDD: ",TEXT($J605,"#,##0")))</f>
        <v/>
      </c>
    </row>
    <row r="606" ht="15" customHeight="1" s="77">
      <c r="A606" s="123" t="n"/>
      <c r="B606" s="123" t="n"/>
      <c r="C606" s="124" t="n"/>
      <c r="D606" s="125" t="n"/>
      <c r="E606" s="123" t="n"/>
      <c r="F606" s="126" t="n"/>
      <c r="G606" s="125" t="n"/>
      <c r="H606" s="122">
        <f>IF($D606="",0,MAX(0,ROUNDDOWN((AmortismanRaporTarihi-$C606)/365,0)))</f>
        <v/>
      </c>
      <c r="I606" s="122">
        <f>IF($D606="",0,IFERROR(IF($E606="Azalan",MAX(0,$D606*(1-MIN(2*AmortismanAzalanCarpan*$F606,1)^$H606)),MIN($D606,$D606*$F606*$H606)),0))</f>
        <v/>
      </c>
      <c r="J606" s="122">
        <f>IF($D606="",0,MAX(0,$D606-$I606))</f>
        <v/>
      </c>
      <c r="K606" s="122">
        <f>IF($H606=0,0,IFERROR(IF($E606="Azalan",$D606*(1-MIN(2*AmortismanAzalanCarpan*$F606,1))^MAX(0,$H606-1)*MIN(2*AmortismanAzalanCarpan*$F606,1),MIN($D606*$F606,$D606)),0))</f>
        <v/>
      </c>
      <c r="L606" s="122">
        <f>IF($D606="",0,$G606-$J606)</f>
        <v/>
      </c>
      <c r="M606" s="122">
        <f>IF($B606="","",CONCATENATE("Kıymet: ",$B606," | NDD: ",TEXT($J606,"#,##0")))</f>
        <v/>
      </c>
    </row>
    <row r="607" ht="15" customHeight="1" s="77">
      <c r="A607" s="123" t="n"/>
      <c r="B607" s="123" t="n"/>
      <c r="C607" s="124" t="n"/>
      <c r="D607" s="125" t="n"/>
      <c r="E607" s="123" t="n"/>
      <c r="F607" s="126" t="n"/>
      <c r="G607" s="125" t="n"/>
      <c r="H607" s="122">
        <f>IF($D607="",0,MAX(0,ROUNDDOWN((AmortismanRaporTarihi-$C607)/365,0)))</f>
        <v/>
      </c>
      <c r="I607" s="122">
        <f>IF($D607="",0,IFERROR(IF($E607="Azalan",MAX(0,$D607*(1-MIN(2*AmortismanAzalanCarpan*$F607,1)^$H607)),MIN($D607,$D607*$F607*$H607)),0))</f>
        <v/>
      </c>
      <c r="J607" s="122">
        <f>IF($D607="",0,MAX(0,$D607-$I607))</f>
        <v/>
      </c>
      <c r="K607" s="122">
        <f>IF($H607=0,0,IFERROR(IF($E607="Azalan",$D607*(1-MIN(2*AmortismanAzalanCarpan*$F607,1))^MAX(0,$H607-1)*MIN(2*AmortismanAzalanCarpan*$F607,1),MIN($D607*$F607,$D607)),0))</f>
        <v/>
      </c>
      <c r="L607" s="122">
        <f>IF($D607="",0,$G607-$J607)</f>
        <v/>
      </c>
      <c r="M607" s="122">
        <f>IF($B607="","",CONCATENATE("Kıymet: ",$B607," | NDD: ",TEXT($J607,"#,##0")))</f>
        <v/>
      </c>
    </row>
    <row r="608" ht="15" customHeight="1" s="77">
      <c r="A608" s="123" t="n"/>
      <c r="B608" s="123" t="n"/>
      <c r="C608" s="124" t="n"/>
      <c r="D608" s="125" t="n"/>
      <c r="E608" s="123" t="n"/>
      <c r="F608" s="126" t="n"/>
      <c r="G608" s="125" t="n"/>
      <c r="H608" s="122">
        <f>IF($D608="",0,MAX(0,ROUNDDOWN((AmortismanRaporTarihi-$C608)/365,0)))</f>
        <v/>
      </c>
      <c r="I608" s="122">
        <f>IF($D608="",0,IFERROR(IF($E608="Azalan",MAX(0,$D608*(1-MIN(2*AmortismanAzalanCarpan*$F608,1)^$H608)),MIN($D608,$D608*$F608*$H608)),0))</f>
        <v/>
      </c>
      <c r="J608" s="122">
        <f>IF($D608="",0,MAX(0,$D608-$I608))</f>
        <v/>
      </c>
      <c r="K608" s="122">
        <f>IF($H608=0,0,IFERROR(IF($E608="Azalan",$D608*(1-MIN(2*AmortismanAzalanCarpan*$F608,1))^MAX(0,$H608-1)*MIN(2*AmortismanAzalanCarpan*$F608,1),MIN($D608*$F608,$D608)),0))</f>
        <v/>
      </c>
      <c r="L608" s="122">
        <f>IF($D608="",0,$G608-$J608)</f>
        <v/>
      </c>
      <c r="M608" s="122">
        <f>IF($B608="","",CONCATENATE("Kıymet: ",$B608," | NDD: ",TEXT($J608,"#,##0")))</f>
        <v/>
      </c>
    </row>
    <row r="609" ht="15" customHeight="1" s="77">
      <c r="A609" s="123" t="n"/>
      <c r="B609" s="123" t="n"/>
      <c r="C609" s="124" t="n"/>
      <c r="D609" s="125" t="n"/>
      <c r="E609" s="123" t="n"/>
      <c r="F609" s="126" t="n"/>
      <c r="G609" s="125" t="n"/>
      <c r="H609" s="122">
        <f>IF($D609="",0,MAX(0,ROUNDDOWN((AmortismanRaporTarihi-$C609)/365,0)))</f>
        <v/>
      </c>
      <c r="I609" s="122">
        <f>IF($D609="",0,IFERROR(IF($E609="Azalan",MAX(0,$D609*(1-MIN(2*AmortismanAzalanCarpan*$F609,1)^$H609)),MIN($D609,$D609*$F609*$H609)),0))</f>
        <v/>
      </c>
      <c r="J609" s="122">
        <f>IF($D609="",0,MAX(0,$D609-$I609))</f>
        <v/>
      </c>
      <c r="K609" s="122">
        <f>IF($H609=0,0,IFERROR(IF($E609="Azalan",$D609*(1-MIN(2*AmortismanAzalanCarpan*$F609,1))^MAX(0,$H609-1)*MIN(2*AmortismanAzalanCarpan*$F609,1),MIN($D609*$F609,$D609)),0))</f>
        <v/>
      </c>
      <c r="L609" s="122">
        <f>IF($D609="",0,$G609-$J609)</f>
        <v/>
      </c>
      <c r="M609" s="122">
        <f>IF($B609="","",CONCATENATE("Kıymet: ",$B609," | NDD: ",TEXT($J609,"#,##0")))</f>
        <v/>
      </c>
    </row>
    <row r="610" ht="15" customHeight="1" s="77">
      <c r="A610" s="123" t="n"/>
      <c r="B610" s="123" t="n"/>
      <c r="C610" s="124" t="n"/>
      <c r="D610" s="125" t="n"/>
      <c r="E610" s="123" t="n"/>
      <c r="F610" s="126" t="n"/>
      <c r="G610" s="125" t="n"/>
      <c r="H610" s="122">
        <f>IF($D610="",0,MAX(0,ROUNDDOWN((AmortismanRaporTarihi-$C610)/365,0)))</f>
        <v/>
      </c>
      <c r="I610" s="122">
        <f>IF($D610="",0,IFERROR(IF($E610="Azalan",MAX(0,$D610*(1-MIN(2*AmortismanAzalanCarpan*$F610,1)^$H610)),MIN($D610,$D610*$F610*$H610)),0))</f>
        <v/>
      </c>
      <c r="J610" s="122">
        <f>IF($D610="",0,MAX(0,$D610-$I610))</f>
        <v/>
      </c>
      <c r="K610" s="122">
        <f>IF($H610=0,0,IFERROR(IF($E610="Azalan",$D610*(1-MIN(2*AmortismanAzalanCarpan*$F610,1))^MAX(0,$H610-1)*MIN(2*AmortismanAzalanCarpan*$F610,1),MIN($D610*$F610,$D610)),0))</f>
        <v/>
      </c>
      <c r="L610" s="122">
        <f>IF($D610="",0,$G610-$J610)</f>
        <v/>
      </c>
      <c r="M610" s="122">
        <f>IF($B610="","",CONCATENATE("Kıymet: ",$B610," | NDD: ",TEXT($J610,"#,##0")))</f>
        <v/>
      </c>
    </row>
    <row r="611" ht="15" customHeight="1" s="77">
      <c r="A611" s="123" t="n"/>
      <c r="B611" s="123" t="n"/>
      <c r="C611" s="124" t="n"/>
      <c r="D611" s="125" t="n"/>
      <c r="E611" s="123" t="n"/>
      <c r="F611" s="126" t="n"/>
      <c r="G611" s="125" t="n"/>
      <c r="H611" s="122">
        <f>IF($D611="",0,MAX(0,ROUNDDOWN((AmortismanRaporTarihi-$C611)/365,0)))</f>
        <v/>
      </c>
      <c r="I611" s="122">
        <f>IF($D611="",0,IFERROR(IF($E611="Azalan",MAX(0,$D611*(1-MIN(2*AmortismanAzalanCarpan*$F611,1)^$H611)),MIN($D611,$D611*$F611*$H611)),0))</f>
        <v/>
      </c>
      <c r="J611" s="122">
        <f>IF($D611="",0,MAX(0,$D611-$I611))</f>
        <v/>
      </c>
      <c r="K611" s="122">
        <f>IF($H611=0,0,IFERROR(IF($E611="Azalan",$D611*(1-MIN(2*AmortismanAzalanCarpan*$F611,1))^MAX(0,$H611-1)*MIN(2*AmortismanAzalanCarpan*$F611,1),MIN($D611*$F611,$D611)),0))</f>
        <v/>
      </c>
      <c r="L611" s="122">
        <f>IF($D611="",0,$G611-$J611)</f>
        <v/>
      </c>
      <c r="M611" s="122">
        <f>IF($B611="","",CONCATENATE("Kıymet: ",$B611," | NDD: ",TEXT($J611,"#,##0")))</f>
        <v/>
      </c>
    </row>
    <row r="612" ht="15" customHeight="1" s="77">
      <c r="A612" s="123" t="n"/>
      <c r="B612" s="123" t="n"/>
      <c r="C612" s="124" t="n"/>
      <c r="D612" s="125" t="n"/>
      <c r="E612" s="123" t="n"/>
      <c r="F612" s="126" t="n"/>
      <c r="G612" s="125" t="n"/>
      <c r="H612" s="122">
        <f>IF($D612="",0,MAX(0,ROUNDDOWN((AmortismanRaporTarihi-$C612)/365,0)))</f>
        <v/>
      </c>
      <c r="I612" s="122">
        <f>IF($D612="",0,IFERROR(IF($E612="Azalan",MAX(0,$D612*(1-MIN(2*AmortismanAzalanCarpan*$F612,1)^$H612)),MIN($D612,$D612*$F612*$H612)),0))</f>
        <v/>
      </c>
      <c r="J612" s="122">
        <f>IF($D612="",0,MAX(0,$D612-$I612))</f>
        <v/>
      </c>
      <c r="K612" s="122">
        <f>IF($H612=0,0,IFERROR(IF($E612="Azalan",$D612*(1-MIN(2*AmortismanAzalanCarpan*$F612,1))^MAX(0,$H612-1)*MIN(2*AmortismanAzalanCarpan*$F612,1),MIN($D612*$F612,$D612)),0))</f>
        <v/>
      </c>
      <c r="L612" s="122">
        <f>IF($D612="",0,$G612-$J612)</f>
        <v/>
      </c>
      <c r="M612" s="122">
        <f>IF($B612="","",CONCATENATE("Kıymet: ",$B612," | NDD: ",TEXT($J612,"#,##0")))</f>
        <v/>
      </c>
    </row>
    <row r="613" ht="15" customHeight="1" s="77">
      <c r="A613" s="123" t="n"/>
      <c r="B613" s="123" t="n"/>
      <c r="C613" s="124" t="n"/>
      <c r="D613" s="125" t="n"/>
      <c r="E613" s="123" t="n"/>
      <c r="F613" s="126" t="n"/>
      <c r="G613" s="125" t="n"/>
      <c r="H613" s="122">
        <f>IF($D613="",0,MAX(0,ROUNDDOWN((AmortismanRaporTarihi-$C613)/365,0)))</f>
        <v/>
      </c>
      <c r="I613" s="122">
        <f>IF($D613="",0,IFERROR(IF($E613="Azalan",MAX(0,$D613*(1-MIN(2*AmortismanAzalanCarpan*$F613,1)^$H613)),MIN($D613,$D613*$F613*$H613)),0))</f>
        <v/>
      </c>
      <c r="J613" s="122">
        <f>IF($D613="",0,MAX(0,$D613-$I613))</f>
        <v/>
      </c>
      <c r="K613" s="122">
        <f>IF($H613=0,0,IFERROR(IF($E613="Azalan",$D613*(1-MIN(2*AmortismanAzalanCarpan*$F613,1))^MAX(0,$H613-1)*MIN(2*AmortismanAzalanCarpan*$F613,1),MIN($D613*$F613,$D613)),0))</f>
        <v/>
      </c>
      <c r="L613" s="122">
        <f>IF($D613="",0,$G613-$J613)</f>
        <v/>
      </c>
      <c r="M613" s="122">
        <f>IF($B613="","",CONCATENATE("Kıymet: ",$B613," | NDD: ",TEXT($J613,"#,##0")))</f>
        <v/>
      </c>
    </row>
    <row r="614" ht="15" customHeight="1" s="77">
      <c r="A614" s="123" t="n"/>
      <c r="B614" s="123" t="n"/>
      <c r="C614" s="124" t="n"/>
      <c r="D614" s="125" t="n"/>
      <c r="E614" s="123" t="n"/>
      <c r="F614" s="126" t="n"/>
      <c r="G614" s="125" t="n"/>
      <c r="H614" s="122">
        <f>IF($D614="",0,MAX(0,ROUNDDOWN((AmortismanRaporTarihi-$C614)/365,0)))</f>
        <v/>
      </c>
      <c r="I614" s="122">
        <f>IF($D614="",0,IFERROR(IF($E614="Azalan",MAX(0,$D614*(1-MIN(2*AmortismanAzalanCarpan*$F614,1)^$H614)),MIN($D614,$D614*$F614*$H614)),0))</f>
        <v/>
      </c>
      <c r="J614" s="122">
        <f>IF($D614="",0,MAX(0,$D614-$I614))</f>
        <v/>
      </c>
      <c r="K614" s="122">
        <f>IF($H614=0,0,IFERROR(IF($E614="Azalan",$D614*(1-MIN(2*AmortismanAzalanCarpan*$F614,1))^MAX(0,$H614-1)*MIN(2*AmortismanAzalanCarpan*$F614,1),MIN($D614*$F614,$D614)),0))</f>
        <v/>
      </c>
      <c r="L614" s="122">
        <f>IF($D614="",0,$G614-$J614)</f>
        <v/>
      </c>
      <c r="M614" s="122">
        <f>IF($B614="","",CONCATENATE("Kıymet: ",$B614," | NDD: ",TEXT($J614,"#,##0")))</f>
        <v/>
      </c>
    </row>
    <row r="615" ht="15" customHeight="1" s="77">
      <c r="A615" s="123" t="n"/>
      <c r="B615" s="123" t="n"/>
      <c r="C615" s="124" t="n"/>
      <c r="D615" s="125" t="n"/>
      <c r="E615" s="123" t="n"/>
      <c r="F615" s="126" t="n"/>
      <c r="G615" s="125" t="n"/>
      <c r="H615" s="122">
        <f>IF($D615="",0,MAX(0,ROUNDDOWN((AmortismanRaporTarihi-$C615)/365,0)))</f>
        <v/>
      </c>
      <c r="I615" s="122">
        <f>IF($D615="",0,IFERROR(IF($E615="Azalan",MAX(0,$D615*(1-MIN(2*AmortismanAzalanCarpan*$F615,1)^$H615)),MIN($D615,$D615*$F615*$H615)),0))</f>
        <v/>
      </c>
      <c r="J615" s="122">
        <f>IF($D615="",0,MAX(0,$D615-$I615))</f>
        <v/>
      </c>
      <c r="K615" s="122">
        <f>IF($H615=0,0,IFERROR(IF($E615="Azalan",$D615*(1-MIN(2*AmortismanAzalanCarpan*$F615,1))^MAX(0,$H615-1)*MIN(2*AmortismanAzalanCarpan*$F615,1),MIN($D615*$F615,$D615)),0))</f>
        <v/>
      </c>
      <c r="L615" s="122">
        <f>IF($D615="",0,$G615-$J615)</f>
        <v/>
      </c>
      <c r="M615" s="122">
        <f>IF($B615="","",CONCATENATE("Kıymet: ",$B615," | NDD: ",TEXT($J615,"#,##0")))</f>
        <v/>
      </c>
    </row>
    <row r="616" ht="15" customHeight="1" s="77">
      <c r="A616" s="123" t="n"/>
      <c r="B616" s="123" t="n"/>
      <c r="C616" s="124" t="n"/>
      <c r="D616" s="125" t="n"/>
      <c r="E616" s="123" t="n"/>
      <c r="F616" s="126" t="n"/>
      <c r="G616" s="125" t="n"/>
      <c r="H616" s="122">
        <f>IF($D616="",0,MAX(0,ROUNDDOWN((AmortismanRaporTarihi-$C616)/365,0)))</f>
        <v/>
      </c>
      <c r="I616" s="122">
        <f>IF($D616="",0,IFERROR(IF($E616="Azalan",MAX(0,$D616*(1-MIN(2*AmortismanAzalanCarpan*$F616,1)^$H616)),MIN($D616,$D616*$F616*$H616)),0))</f>
        <v/>
      </c>
      <c r="J616" s="122">
        <f>IF($D616="",0,MAX(0,$D616-$I616))</f>
        <v/>
      </c>
      <c r="K616" s="122">
        <f>IF($H616=0,0,IFERROR(IF($E616="Azalan",$D616*(1-MIN(2*AmortismanAzalanCarpan*$F616,1))^MAX(0,$H616-1)*MIN(2*AmortismanAzalanCarpan*$F616,1),MIN($D616*$F616,$D616)),0))</f>
        <v/>
      </c>
      <c r="L616" s="122">
        <f>IF($D616="",0,$G616-$J616)</f>
        <v/>
      </c>
      <c r="M616" s="122">
        <f>IF($B616="","",CONCATENATE("Kıymet: ",$B616," | NDD: ",TEXT($J616,"#,##0")))</f>
        <v/>
      </c>
    </row>
    <row r="617" ht="15" customHeight="1" s="77">
      <c r="A617" s="123" t="n"/>
      <c r="B617" s="123" t="n"/>
      <c r="C617" s="124" t="n"/>
      <c r="D617" s="125" t="n"/>
      <c r="E617" s="123" t="n"/>
      <c r="F617" s="126" t="n"/>
      <c r="G617" s="125" t="n"/>
      <c r="H617" s="122">
        <f>IF($D617="",0,MAX(0,ROUNDDOWN((AmortismanRaporTarihi-$C617)/365,0)))</f>
        <v/>
      </c>
      <c r="I617" s="122">
        <f>IF($D617="",0,IFERROR(IF($E617="Azalan",MAX(0,$D617*(1-MIN(2*AmortismanAzalanCarpan*$F617,1)^$H617)),MIN($D617,$D617*$F617*$H617)),0))</f>
        <v/>
      </c>
      <c r="J617" s="122">
        <f>IF($D617="",0,MAX(0,$D617-$I617))</f>
        <v/>
      </c>
      <c r="K617" s="122">
        <f>IF($H617=0,0,IFERROR(IF($E617="Azalan",$D617*(1-MIN(2*AmortismanAzalanCarpan*$F617,1))^MAX(0,$H617-1)*MIN(2*AmortismanAzalanCarpan*$F617,1),MIN($D617*$F617,$D617)),0))</f>
        <v/>
      </c>
      <c r="L617" s="122">
        <f>IF($D617="",0,$G617-$J617)</f>
        <v/>
      </c>
      <c r="M617" s="122">
        <f>IF($B617="","",CONCATENATE("Kıymet: ",$B617," | NDD: ",TEXT($J617,"#,##0")))</f>
        <v/>
      </c>
    </row>
    <row r="618" ht="15" customHeight="1" s="77">
      <c r="A618" s="123" t="n"/>
      <c r="B618" s="123" t="n"/>
      <c r="C618" s="124" t="n"/>
      <c r="D618" s="125" t="n"/>
      <c r="E618" s="123" t="n"/>
      <c r="F618" s="126" t="n"/>
      <c r="G618" s="125" t="n"/>
      <c r="H618" s="122">
        <f>IF($D618="",0,MAX(0,ROUNDDOWN((AmortismanRaporTarihi-$C618)/365,0)))</f>
        <v/>
      </c>
      <c r="I618" s="122">
        <f>IF($D618="",0,IFERROR(IF($E618="Azalan",MAX(0,$D618*(1-MIN(2*AmortismanAzalanCarpan*$F618,1)^$H618)),MIN($D618,$D618*$F618*$H618)),0))</f>
        <v/>
      </c>
      <c r="J618" s="122">
        <f>IF($D618="",0,MAX(0,$D618-$I618))</f>
        <v/>
      </c>
      <c r="K618" s="122">
        <f>IF($H618=0,0,IFERROR(IF($E618="Azalan",$D618*(1-MIN(2*AmortismanAzalanCarpan*$F618,1))^MAX(0,$H618-1)*MIN(2*AmortismanAzalanCarpan*$F618,1),MIN($D618*$F618,$D618)),0))</f>
        <v/>
      </c>
      <c r="L618" s="122">
        <f>IF($D618="",0,$G618-$J618)</f>
        <v/>
      </c>
      <c r="M618" s="122">
        <f>IF($B618="","",CONCATENATE("Kıymet: ",$B618," | NDD: ",TEXT($J618,"#,##0")))</f>
        <v/>
      </c>
    </row>
    <row r="619" ht="15" customHeight="1" s="77">
      <c r="A619" s="123" t="n"/>
      <c r="B619" s="123" t="n"/>
      <c r="C619" s="124" t="n"/>
      <c r="D619" s="125" t="n"/>
      <c r="E619" s="123" t="n"/>
      <c r="F619" s="126" t="n"/>
      <c r="G619" s="125" t="n"/>
      <c r="H619" s="122">
        <f>IF($D619="",0,MAX(0,ROUNDDOWN((AmortismanRaporTarihi-$C619)/365,0)))</f>
        <v/>
      </c>
      <c r="I619" s="122">
        <f>IF($D619="",0,IFERROR(IF($E619="Azalan",MAX(0,$D619*(1-MIN(2*AmortismanAzalanCarpan*$F619,1)^$H619)),MIN($D619,$D619*$F619*$H619)),0))</f>
        <v/>
      </c>
      <c r="J619" s="122">
        <f>IF($D619="",0,MAX(0,$D619-$I619))</f>
        <v/>
      </c>
      <c r="K619" s="122">
        <f>IF($H619=0,0,IFERROR(IF($E619="Azalan",$D619*(1-MIN(2*AmortismanAzalanCarpan*$F619,1))^MAX(0,$H619-1)*MIN(2*AmortismanAzalanCarpan*$F619,1),MIN($D619*$F619,$D619)),0))</f>
        <v/>
      </c>
      <c r="L619" s="122">
        <f>IF($D619="",0,$G619-$J619)</f>
        <v/>
      </c>
      <c r="M619" s="122">
        <f>IF($B619="","",CONCATENATE("Kıymet: ",$B619," | NDD: ",TEXT($J619,"#,##0")))</f>
        <v/>
      </c>
    </row>
    <row r="620" ht="15" customHeight="1" s="77">
      <c r="A620" s="123" t="n"/>
      <c r="B620" s="123" t="n"/>
      <c r="C620" s="124" t="n"/>
      <c r="D620" s="125" t="n"/>
      <c r="E620" s="123" t="n"/>
      <c r="F620" s="126" t="n"/>
      <c r="G620" s="125" t="n"/>
      <c r="H620" s="122">
        <f>IF($D620="",0,MAX(0,ROUNDDOWN((AmortismanRaporTarihi-$C620)/365,0)))</f>
        <v/>
      </c>
      <c r="I620" s="122">
        <f>IF($D620="",0,IFERROR(IF($E620="Azalan",MAX(0,$D620*(1-MIN(2*AmortismanAzalanCarpan*$F620,1)^$H620)),MIN($D620,$D620*$F620*$H620)),0))</f>
        <v/>
      </c>
      <c r="J620" s="122">
        <f>IF($D620="",0,MAX(0,$D620-$I620))</f>
        <v/>
      </c>
      <c r="K620" s="122">
        <f>IF($H620=0,0,IFERROR(IF($E620="Azalan",$D620*(1-MIN(2*AmortismanAzalanCarpan*$F620,1))^MAX(0,$H620-1)*MIN(2*AmortismanAzalanCarpan*$F620,1),MIN($D620*$F620,$D620)),0))</f>
        <v/>
      </c>
      <c r="L620" s="122">
        <f>IF($D620="",0,$G620-$J620)</f>
        <v/>
      </c>
      <c r="M620" s="122">
        <f>IF($B620="","",CONCATENATE("Kıymet: ",$B620," | NDD: ",TEXT($J620,"#,##0")))</f>
        <v/>
      </c>
    </row>
    <row r="621" ht="15" customHeight="1" s="77">
      <c r="A621" s="123" t="n"/>
      <c r="B621" s="123" t="n"/>
      <c r="C621" s="124" t="n"/>
      <c r="D621" s="125" t="n"/>
      <c r="E621" s="123" t="n"/>
      <c r="F621" s="126" t="n"/>
      <c r="G621" s="125" t="n"/>
      <c r="H621" s="122">
        <f>IF($D621="",0,MAX(0,ROUNDDOWN((AmortismanRaporTarihi-$C621)/365,0)))</f>
        <v/>
      </c>
      <c r="I621" s="122">
        <f>IF($D621="",0,IFERROR(IF($E621="Azalan",MAX(0,$D621*(1-MIN(2*AmortismanAzalanCarpan*$F621,1)^$H621)),MIN($D621,$D621*$F621*$H621)),0))</f>
        <v/>
      </c>
      <c r="J621" s="122">
        <f>IF($D621="",0,MAX(0,$D621-$I621))</f>
        <v/>
      </c>
      <c r="K621" s="122">
        <f>IF($H621=0,0,IFERROR(IF($E621="Azalan",$D621*(1-MIN(2*AmortismanAzalanCarpan*$F621,1))^MAX(0,$H621-1)*MIN(2*AmortismanAzalanCarpan*$F621,1),MIN($D621*$F621,$D621)),0))</f>
        <v/>
      </c>
      <c r="L621" s="122">
        <f>IF($D621="",0,$G621-$J621)</f>
        <v/>
      </c>
      <c r="M621" s="122">
        <f>IF($B621="","",CONCATENATE("Kıymet: ",$B621," | NDD: ",TEXT($J621,"#,##0")))</f>
        <v/>
      </c>
    </row>
    <row r="622" ht="15" customHeight="1" s="77">
      <c r="A622" s="123" t="n"/>
      <c r="B622" s="123" t="n"/>
      <c r="C622" s="124" t="n"/>
      <c r="D622" s="125" t="n"/>
      <c r="E622" s="123" t="n"/>
      <c r="F622" s="126" t="n"/>
      <c r="G622" s="125" t="n"/>
      <c r="H622" s="122">
        <f>IF($D622="",0,MAX(0,ROUNDDOWN((AmortismanRaporTarihi-$C622)/365,0)))</f>
        <v/>
      </c>
      <c r="I622" s="122">
        <f>IF($D622="",0,IFERROR(IF($E622="Azalan",MAX(0,$D622*(1-MIN(2*AmortismanAzalanCarpan*$F622,1)^$H622)),MIN($D622,$D622*$F622*$H622)),0))</f>
        <v/>
      </c>
      <c r="J622" s="122">
        <f>IF($D622="",0,MAX(0,$D622-$I622))</f>
        <v/>
      </c>
      <c r="K622" s="122">
        <f>IF($H622=0,0,IFERROR(IF($E622="Azalan",$D622*(1-MIN(2*AmortismanAzalanCarpan*$F622,1))^MAX(0,$H622-1)*MIN(2*AmortismanAzalanCarpan*$F622,1),MIN($D622*$F622,$D622)),0))</f>
        <v/>
      </c>
      <c r="L622" s="122">
        <f>IF($D622="",0,$G622-$J622)</f>
        <v/>
      </c>
      <c r="M622" s="122">
        <f>IF($B622="","",CONCATENATE("Kıymet: ",$B622," | NDD: ",TEXT($J622,"#,##0")))</f>
        <v/>
      </c>
    </row>
    <row r="623" ht="15" customHeight="1" s="77">
      <c r="A623" s="123" t="n"/>
      <c r="B623" s="123" t="n"/>
      <c r="C623" s="124" t="n"/>
      <c r="D623" s="125" t="n"/>
      <c r="E623" s="123" t="n"/>
      <c r="F623" s="126" t="n"/>
      <c r="G623" s="125" t="n"/>
      <c r="H623" s="122">
        <f>IF($D623="",0,MAX(0,ROUNDDOWN((AmortismanRaporTarihi-$C623)/365,0)))</f>
        <v/>
      </c>
      <c r="I623" s="122">
        <f>IF($D623="",0,IFERROR(IF($E623="Azalan",MAX(0,$D623*(1-MIN(2*AmortismanAzalanCarpan*$F623,1)^$H623)),MIN($D623,$D623*$F623*$H623)),0))</f>
        <v/>
      </c>
      <c r="J623" s="122">
        <f>IF($D623="",0,MAX(0,$D623-$I623))</f>
        <v/>
      </c>
      <c r="K623" s="122">
        <f>IF($H623=0,0,IFERROR(IF($E623="Azalan",$D623*(1-MIN(2*AmortismanAzalanCarpan*$F623,1))^MAX(0,$H623-1)*MIN(2*AmortismanAzalanCarpan*$F623,1),MIN($D623*$F623,$D623)),0))</f>
        <v/>
      </c>
      <c r="L623" s="122">
        <f>IF($D623="",0,$G623-$J623)</f>
        <v/>
      </c>
      <c r="M623" s="122">
        <f>IF($B623="","",CONCATENATE("Kıymet: ",$B623," | NDD: ",TEXT($J623,"#,##0")))</f>
        <v/>
      </c>
    </row>
    <row r="624" ht="15" customHeight="1" s="77">
      <c r="A624" s="123" t="n"/>
      <c r="B624" s="123" t="n"/>
      <c r="C624" s="124" t="n"/>
      <c r="D624" s="125" t="n"/>
      <c r="E624" s="123" t="n"/>
      <c r="F624" s="126" t="n"/>
      <c r="G624" s="125" t="n"/>
      <c r="H624" s="122">
        <f>IF($D624="",0,MAX(0,ROUNDDOWN((AmortismanRaporTarihi-$C624)/365,0)))</f>
        <v/>
      </c>
      <c r="I624" s="122">
        <f>IF($D624="",0,IFERROR(IF($E624="Azalan",MAX(0,$D624*(1-MIN(2*AmortismanAzalanCarpan*$F624,1)^$H624)),MIN($D624,$D624*$F624*$H624)),0))</f>
        <v/>
      </c>
      <c r="J624" s="122">
        <f>IF($D624="",0,MAX(0,$D624-$I624))</f>
        <v/>
      </c>
      <c r="K624" s="122">
        <f>IF($H624=0,0,IFERROR(IF($E624="Azalan",$D624*(1-MIN(2*AmortismanAzalanCarpan*$F624,1))^MAX(0,$H624-1)*MIN(2*AmortismanAzalanCarpan*$F624,1),MIN($D624*$F624,$D624)),0))</f>
        <v/>
      </c>
      <c r="L624" s="122">
        <f>IF($D624="",0,$G624-$J624)</f>
        <v/>
      </c>
      <c r="M624" s="122">
        <f>IF($B624="","",CONCATENATE("Kıymet: ",$B624," | NDD: ",TEXT($J624,"#,##0")))</f>
        <v/>
      </c>
    </row>
    <row r="625" ht="15" customHeight="1" s="77">
      <c r="A625" s="123" t="n"/>
      <c r="B625" s="123" t="n"/>
      <c r="C625" s="124" t="n"/>
      <c r="D625" s="125" t="n"/>
      <c r="E625" s="123" t="n"/>
      <c r="F625" s="126" t="n"/>
      <c r="G625" s="125" t="n"/>
      <c r="H625" s="122">
        <f>IF($D625="",0,MAX(0,ROUNDDOWN((AmortismanRaporTarihi-$C625)/365,0)))</f>
        <v/>
      </c>
      <c r="I625" s="122">
        <f>IF($D625="",0,IFERROR(IF($E625="Azalan",MAX(0,$D625*(1-MIN(2*AmortismanAzalanCarpan*$F625,1)^$H625)),MIN($D625,$D625*$F625*$H625)),0))</f>
        <v/>
      </c>
      <c r="J625" s="122">
        <f>IF($D625="",0,MAX(0,$D625-$I625))</f>
        <v/>
      </c>
      <c r="K625" s="122">
        <f>IF($H625=0,0,IFERROR(IF($E625="Azalan",$D625*(1-MIN(2*AmortismanAzalanCarpan*$F625,1))^MAX(0,$H625-1)*MIN(2*AmortismanAzalanCarpan*$F625,1),MIN($D625*$F625,$D625)),0))</f>
        <v/>
      </c>
      <c r="L625" s="122">
        <f>IF($D625="",0,$G625-$J625)</f>
        <v/>
      </c>
      <c r="M625" s="122">
        <f>IF($B625="","",CONCATENATE("Kıymet: ",$B625," | NDD: ",TEXT($J625,"#,##0")))</f>
        <v/>
      </c>
    </row>
    <row r="626" ht="15" customHeight="1" s="77">
      <c r="A626" s="123" t="n"/>
      <c r="B626" s="123" t="n"/>
      <c r="C626" s="124" t="n"/>
      <c r="D626" s="125" t="n"/>
      <c r="E626" s="123" t="n"/>
      <c r="F626" s="126" t="n"/>
      <c r="G626" s="125" t="n"/>
      <c r="H626" s="122">
        <f>IF($D626="",0,MAX(0,ROUNDDOWN((AmortismanRaporTarihi-$C626)/365,0)))</f>
        <v/>
      </c>
      <c r="I626" s="122">
        <f>IF($D626="",0,IFERROR(IF($E626="Azalan",MAX(0,$D626*(1-MIN(2*AmortismanAzalanCarpan*$F626,1)^$H626)),MIN($D626,$D626*$F626*$H626)),0))</f>
        <v/>
      </c>
      <c r="J626" s="122">
        <f>IF($D626="",0,MAX(0,$D626-$I626))</f>
        <v/>
      </c>
      <c r="K626" s="122">
        <f>IF($H626=0,0,IFERROR(IF($E626="Azalan",$D626*(1-MIN(2*AmortismanAzalanCarpan*$F626,1))^MAX(0,$H626-1)*MIN(2*AmortismanAzalanCarpan*$F626,1),MIN($D626*$F626,$D626)),0))</f>
        <v/>
      </c>
      <c r="L626" s="122">
        <f>IF($D626="",0,$G626-$J626)</f>
        <v/>
      </c>
      <c r="M626" s="122">
        <f>IF($B626="","",CONCATENATE("Kıymet: ",$B626," | NDD: ",TEXT($J626,"#,##0")))</f>
        <v/>
      </c>
    </row>
    <row r="627" ht="15" customHeight="1" s="77">
      <c r="A627" s="123" t="n"/>
      <c r="B627" s="123" t="n"/>
      <c r="C627" s="124" t="n"/>
      <c r="D627" s="125" t="n"/>
      <c r="E627" s="123" t="n"/>
      <c r="F627" s="126" t="n"/>
      <c r="G627" s="125" t="n"/>
      <c r="H627" s="122">
        <f>IF($D627="",0,MAX(0,ROUNDDOWN((AmortismanRaporTarihi-$C627)/365,0)))</f>
        <v/>
      </c>
      <c r="I627" s="122">
        <f>IF($D627="",0,IFERROR(IF($E627="Azalan",MAX(0,$D627*(1-MIN(2*AmortismanAzalanCarpan*$F627,1)^$H627)),MIN($D627,$D627*$F627*$H627)),0))</f>
        <v/>
      </c>
      <c r="J627" s="122">
        <f>IF($D627="",0,MAX(0,$D627-$I627))</f>
        <v/>
      </c>
      <c r="K627" s="122">
        <f>IF($H627=0,0,IFERROR(IF($E627="Azalan",$D627*(1-MIN(2*AmortismanAzalanCarpan*$F627,1))^MAX(0,$H627-1)*MIN(2*AmortismanAzalanCarpan*$F627,1),MIN($D627*$F627,$D627)),0))</f>
        <v/>
      </c>
      <c r="L627" s="122">
        <f>IF($D627="",0,$G627-$J627)</f>
        <v/>
      </c>
      <c r="M627" s="122">
        <f>IF($B627="","",CONCATENATE("Kıymet: ",$B627," | NDD: ",TEXT($J627,"#,##0")))</f>
        <v/>
      </c>
    </row>
    <row r="628" ht="15" customHeight="1" s="77">
      <c r="A628" s="123" t="n"/>
      <c r="B628" s="123" t="n"/>
      <c r="C628" s="124" t="n"/>
      <c r="D628" s="125" t="n"/>
      <c r="E628" s="123" t="n"/>
      <c r="F628" s="126" t="n"/>
      <c r="G628" s="125" t="n"/>
      <c r="H628" s="122">
        <f>IF($D628="",0,MAX(0,ROUNDDOWN((AmortismanRaporTarihi-$C628)/365,0)))</f>
        <v/>
      </c>
      <c r="I628" s="122">
        <f>IF($D628="",0,IFERROR(IF($E628="Azalan",MAX(0,$D628*(1-MIN(2*AmortismanAzalanCarpan*$F628,1)^$H628)),MIN($D628,$D628*$F628*$H628)),0))</f>
        <v/>
      </c>
      <c r="J628" s="122">
        <f>IF($D628="",0,MAX(0,$D628-$I628))</f>
        <v/>
      </c>
      <c r="K628" s="122">
        <f>IF($H628=0,0,IFERROR(IF($E628="Azalan",$D628*(1-MIN(2*AmortismanAzalanCarpan*$F628,1))^MAX(0,$H628-1)*MIN(2*AmortismanAzalanCarpan*$F628,1),MIN($D628*$F628,$D628)),0))</f>
        <v/>
      </c>
      <c r="L628" s="122">
        <f>IF($D628="",0,$G628-$J628)</f>
        <v/>
      </c>
      <c r="M628" s="122">
        <f>IF($B628="","",CONCATENATE("Kıymet: ",$B628," | NDD: ",TEXT($J628,"#,##0")))</f>
        <v/>
      </c>
    </row>
    <row r="629" ht="15" customHeight="1" s="77">
      <c r="A629" s="123" t="n"/>
      <c r="B629" s="123" t="n"/>
      <c r="C629" s="124" t="n"/>
      <c r="D629" s="125" t="n"/>
      <c r="E629" s="123" t="n"/>
      <c r="F629" s="126" t="n"/>
      <c r="G629" s="125" t="n"/>
      <c r="H629" s="122">
        <f>IF($D629="",0,MAX(0,ROUNDDOWN((AmortismanRaporTarihi-$C629)/365,0)))</f>
        <v/>
      </c>
      <c r="I629" s="122">
        <f>IF($D629="",0,IFERROR(IF($E629="Azalan",MAX(0,$D629*(1-MIN(2*AmortismanAzalanCarpan*$F629,1)^$H629)),MIN($D629,$D629*$F629*$H629)),0))</f>
        <v/>
      </c>
      <c r="J629" s="122">
        <f>IF($D629="",0,MAX(0,$D629-$I629))</f>
        <v/>
      </c>
      <c r="K629" s="122">
        <f>IF($H629=0,0,IFERROR(IF($E629="Azalan",$D629*(1-MIN(2*AmortismanAzalanCarpan*$F629,1))^MAX(0,$H629-1)*MIN(2*AmortismanAzalanCarpan*$F629,1),MIN($D629*$F629,$D629)),0))</f>
        <v/>
      </c>
      <c r="L629" s="122">
        <f>IF($D629="",0,$G629-$J629)</f>
        <v/>
      </c>
      <c r="M629" s="122">
        <f>IF($B629="","",CONCATENATE("Kıymet: ",$B629," | NDD: ",TEXT($J629,"#,##0")))</f>
        <v/>
      </c>
    </row>
    <row r="630" ht="15" customHeight="1" s="77">
      <c r="A630" s="123" t="n"/>
      <c r="B630" s="123" t="n"/>
      <c r="C630" s="124" t="n"/>
      <c r="D630" s="125" t="n"/>
      <c r="E630" s="123" t="n"/>
      <c r="F630" s="126" t="n"/>
      <c r="G630" s="125" t="n"/>
      <c r="H630" s="122">
        <f>IF($D630="",0,MAX(0,ROUNDDOWN((AmortismanRaporTarihi-$C630)/365,0)))</f>
        <v/>
      </c>
      <c r="I630" s="122">
        <f>IF($D630="",0,IFERROR(IF($E630="Azalan",MAX(0,$D630*(1-MIN(2*AmortismanAzalanCarpan*$F630,1)^$H630)),MIN($D630,$D630*$F630*$H630)),0))</f>
        <v/>
      </c>
      <c r="J630" s="122">
        <f>IF($D630="",0,MAX(0,$D630-$I630))</f>
        <v/>
      </c>
      <c r="K630" s="122">
        <f>IF($H630=0,0,IFERROR(IF($E630="Azalan",$D630*(1-MIN(2*AmortismanAzalanCarpan*$F630,1))^MAX(0,$H630-1)*MIN(2*AmortismanAzalanCarpan*$F630,1),MIN($D630*$F630,$D630)),0))</f>
        <v/>
      </c>
      <c r="L630" s="122">
        <f>IF($D630="",0,$G630-$J630)</f>
        <v/>
      </c>
      <c r="M630" s="122">
        <f>IF($B630="","",CONCATENATE("Kıymet: ",$B630," | NDD: ",TEXT($J630,"#,##0")))</f>
        <v/>
      </c>
    </row>
    <row r="631" ht="15" customHeight="1" s="77">
      <c r="A631" s="123" t="n"/>
      <c r="B631" s="123" t="n"/>
      <c r="C631" s="124" t="n"/>
      <c r="D631" s="125" t="n"/>
      <c r="E631" s="123" t="n"/>
      <c r="F631" s="126" t="n"/>
      <c r="G631" s="125" t="n"/>
      <c r="H631" s="122">
        <f>IF($D631="",0,MAX(0,ROUNDDOWN((AmortismanRaporTarihi-$C631)/365,0)))</f>
        <v/>
      </c>
      <c r="I631" s="122">
        <f>IF($D631="",0,IFERROR(IF($E631="Azalan",MAX(0,$D631*(1-MIN(2*AmortismanAzalanCarpan*$F631,1)^$H631)),MIN($D631,$D631*$F631*$H631)),0))</f>
        <v/>
      </c>
      <c r="J631" s="122">
        <f>IF($D631="",0,MAX(0,$D631-$I631))</f>
        <v/>
      </c>
      <c r="K631" s="122">
        <f>IF($H631=0,0,IFERROR(IF($E631="Azalan",$D631*(1-MIN(2*AmortismanAzalanCarpan*$F631,1))^MAX(0,$H631-1)*MIN(2*AmortismanAzalanCarpan*$F631,1),MIN($D631*$F631,$D631)),0))</f>
        <v/>
      </c>
      <c r="L631" s="122">
        <f>IF($D631="",0,$G631-$J631)</f>
        <v/>
      </c>
      <c r="M631" s="122">
        <f>IF($B631="","",CONCATENATE("Kıymet: ",$B631," | NDD: ",TEXT($J631,"#,##0")))</f>
        <v/>
      </c>
    </row>
    <row r="632" ht="15" customHeight="1" s="77">
      <c r="A632" s="123" t="n"/>
      <c r="B632" s="123" t="n"/>
      <c r="C632" s="124" t="n"/>
      <c r="D632" s="125" t="n"/>
      <c r="E632" s="123" t="n"/>
      <c r="F632" s="126" t="n"/>
      <c r="G632" s="125" t="n"/>
      <c r="H632" s="122">
        <f>IF($D632="",0,MAX(0,ROUNDDOWN((AmortismanRaporTarihi-$C632)/365,0)))</f>
        <v/>
      </c>
      <c r="I632" s="122">
        <f>IF($D632="",0,IFERROR(IF($E632="Azalan",MAX(0,$D632*(1-MIN(2*AmortismanAzalanCarpan*$F632,1)^$H632)),MIN($D632,$D632*$F632*$H632)),0))</f>
        <v/>
      </c>
      <c r="J632" s="122">
        <f>IF($D632="",0,MAX(0,$D632-$I632))</f>
        <v/>
      </c>
      <c r="K632" s="122">
        <f>IF($H632=0,0,IFERROR(IF($E632="Azalan",$D632*(1-MIN(2*AmortismanAzalanCarpan*$F632,1))^MAX(0,$H632-1)*MIN(2*AmortismanAzalanCarpan*$F632,1),MIN($D632*$F632,$D632)),0))</f>
        <v/>
      </c>
      <c r="L632" s="122">
        <f>IF($D632="",0,$G632-$J632)</f>
        <v/>
      </c>
      <c r="M632" s="122">
        <f>IF($B632="","",CONCATENATE("Kıymet: ",$B632," | NDD: ",TEXT($J632,"#,##0")))</f>
        <v/>
      </c>
    </row>
    <row r="633" ht="15" customHeight="1" s="77">
      <c r="A633" s="123" t="n"/>
      <c r="B633" s="123" t="n"/>
      <c r="C633" s="124" t="n"/>
      <c r="D633" s="125" t="n"/>
      <c r="E633" s="123" t="n"/>
      <c r="F633" s="126" t="n"/>
      <c r="G633" s="125" t="n"/>
      <c r="H633" s="122">
        <f>IF($D633="",0,MAX(0,ROUNDDOWN((AmortismanRaporTarihi-$C633)/365,0)))</f>
        <v/>
      </c>
      <c r="I633" s="122">
        <f>IF($D633="",0,IFERROR(IF($E633="Azalan",MAX(0,$D633*(1-MIN(2*AmortismanAzalanCarpan*$F633,1)^$H633)),MIN($D633,$D633*$F633*$H633)),0))</f>
        <v/>
      </c>
      <c r="J633" s="122">
        <f>IF($D633="",0,MAX(0,$D633-$I633))</f>
        <v/>
      </c>
      <c r="K633" s="122">
        <f>IF($H633=0,0,IFERROR(IF($E633="Azalan",$D633*(1-MIN(2*AmortismanAzalanCarpan*$F633,1))^MAX(0,$H633-1)*MIN(2*AmortismanAzalanCarpan*$F633,1),MIN($D633*$F633,$D633)),0))</f>
        <v/>
      </c>
      <c r="L633" s="122">
        <f>IF($D633="",0,$G633-$J633)</f>
        <v/>
      </c>
      <c r="M633" s="122">
        <f>IF($B633="","",CONCATENATE("Kıymet: ",$B633," | NDD: ",TEXT($J633,"#,##0")))</f>
        <v/>
      </c>
    </row>
    <row r="634" ht="15" customHeight="1" s="77">
      <c r="A634" s="123" t="n"/>
      <c r="B634" s="123" t="n"/>
      <c r="C634" s="124" t="n"/>
      <c r="D634" s="125" t="n"/>
      <c r="E634" s="123" t="n"/>
      <c r="F634" s="126" t="n"/>
      <c r="G634" s="125" t="n"/>
      <c r="H634" s="122">
        <f>IF($D634="",0,MAX(0,ROUNDDOWN((AmortismanRaporTarihi-$C634)/365,0)))</f>
        <v/>
      </c>
      <c r="I634" s="122">
        <f>IF($D634="",0,IFERROR(IF($E634="Azalan",MAX(0,$D634*(1-MIN(2*AmortismanAzalanCarpan*$F634,1)^$H634)),MIN($D634,$D634*$F634*$H634)),0))</f>
        <v/>
      </c>
      <c r="J634" s="122">
        <f>IF($D634="",0,MAX(0,$D634-$I634))</f>
        <v/>
      </c>
      <c r="K634" s="122">
        <f>IF($H634=0,0,IFERROR(IF($E634="Azalan",$D634*(1-MIN(2*AmortismanAzalanCarpan*$F634,1))^MAX(0,$H634-1)*MIN(2*AmortismanAzalanCarpan*$F634,1),MIN($D634*$F634,$D634)),0))</f>
        <v/>
      </c>
      <c r="L634" s="122">
        <f>IF($D634="",0,$G634-$J634)</f>
        <v/>
      </c>
      <c r="M634" s="122">
        <f>IF($B634="","",CONCATENATE("Kıymet: ",$B634," | NDD: ",TEXT($J634,"#,##0")))</f>
        <v/>
      </c>
    </row>
    <row r="635" ht="15" customHeight="1" s="77">
      <c r="A635" s="123" t="n"/>
      <c r="B635" s="123" t="n"/>
      <c r="C635" s="124" t="n"/>
      <c r="D635" s="125" t="n"/>
      <c r="E635" s="123" t="n"/>
      <c r="F635" s="126" t="n"/>
      <c r="G635" s="125" t="n"/>
      <c r="H635" s="122">
        <f>IF($D635="",0,MAX(0,ROUNDDOWN((AmortismanRaporTarihi-$C635)/365,0)))</f>
        <v/>
      </c>
      <c r="I635" s="122">
        <f>IF($D635="",0,IFERROR(IF($E635="Azalan",MAX(0,$D635*(1-MIN(2*AmortismanAzalanCarpan*$F635,1)^$H635)),MIN($D635,$D635*$F635*$H635)),0))</f>
        <v/>
      </c>
      <c r="J635" s="122">
        <f>IF($D635="",0,MAX(0,$D635-$I635))</f>
        <v/>
      </c>
      <c r="K635" s="122">
        <f>IF($H635=0,0,IFERROR(IF($E635="Azalan",$D635*(1-MIN(2*AmortismanAzalanCarpan*$F635,1))^MAX(0,$H635-1)*MIN(2*AmortismanAzalanCarpan*$F635,1),MIN($D635*$F635,$D635)),0))</f>
        <v/>
      </c>
      <c r="L635" s="122">
        <f>IF($D635="",0,$G635-$J635)</f>
        <v/>
      </c>
      <c r="M635" s="122">
        <f>IF($B635="","",CONCATENATE("Kıymet: ",$B635," | NDD: ",TEXT($J635,"#,##0")))</f>
        <v/>
      </c>
    </row>
    <row r="636" ht="15" customHeight="1" s="77">
      <c r="A636" s="123" t="n"/>
      <c r="B636" s="123" t="n"/>
      <c r="C636" s="124" t="n"/>
      <c r="D636" s="125" t="n"/>
      <c r="E636" s="123" t="n"/>
      <c r="F636" s="126" t="n"/>
      <c r="G636" s="125" t="n"/>
      <c r="H636" s="122">
        <f>IF($D636="",0,MAX(0,ROUNDDOWN((AmortismanRaporTarihi-$C636)/365,0)))</f>
        <v/>
      </c>
      <c r="I636" s="122">
        <f>IF($D636="",0,IFERROR(IF($E636="Azalan",MAX(0,$D636*(1-MIN(2*AmortismanAzalanCarpan*$F636,1)^$H636)),MIN($D636,$D636*$F636*$H636)),0))</f>
        <v/>
      </c>
      <c r="J636" s="122">
        <f>IF($D636="",0,MAX(0,$D636-$I636))</f>
        <v/>
      </c>
      <c r="K636" s="122">
        <f>IF($H636=0,0,IFERROR(IF($E636="Azalan",$D636*(1-MIN(2*AmortismanAzalanCarpan*$F636,1))^MAX(0,$H636-1)*MIN(2*AmortismanAzalanCarpan*$F636,1),MIN($D636*$F636,$D636)),0))</f>
        <v/>
      </c>
      <c r="L636" s="122">
        <f>IF($D636="",0,$G636-$J636)</f>
        <v/>
      </c>
      <c r="M636" s="122">
        <f>IF($B636="","",CONCATENATE("Kıymet: ",$B636," | NDD: ",TEXT($J636,"#,##0")))</f>
        <v/>
      </c>
    </row>
    <row r="637" ht="15" customHeight="1" s="77">
      <c r="A637" s="123" t="n"/>
      <c r="B637" s="123" t="n"/>
      <c r="C637" s="124" t="n"/>
      <c r="D637" s="125" t="n"/>
      <c r="E637" s="123" t="n"/>
      <c r="F637" s="126" t="n"/>
      <c r="G637" s="125" t="n"/>
      <c r="H637" s="122">
        <f>IF($D637="",0,MAX(0,ROUNDDOWN((AmortismanRaporTarihi-$C637)/365,0)))</f>
        <v/>
      </c>
      <c r="I637" s="122">
        <f>IF($D637="",0,IFERROR(IF($E637="Azalan",MAX(0,$D637*(1-MIN(2*AmortismanAzalanCarpan*$F637,1)^$H637)),MIN($D637,$D637*$F637*$H637)),0))</f>
        <v/>
      </c>
      <c r="J637" s="122">
        <f>IF($D637="",0,MAX(0,$D637-$I637))</f>
        <v/>
      </c>
      <c r="K637" s="122">
        <f>IF($H637=0,0,IFERROR(IF($E637="Azalan",$D637*(1-MIN(2*AmortismanAzalanCarpan*$F637,1))^MAX(0,$H637-1)*MIN(2*AmortismanAzalanCarpan*$F637,1),MIN($D637*$F637,$D637)),0))</f>
        <v/>
      </c>
      <c r="L637" s="122">
        <f>IF($D637="",0,$G637-$J637)</f>
        <v/>
      </c>
      <c r="M637" s="122">
        <f>IF($B637="","",CONCATENATE("Kıymet: ",$B637," | NDD: ",TEXT($J637,"#,##0")))</f>
        <v/>
      </c>
    </row>
    <row r="638" ht="15" customHeight="1" s="77">
      <c r="A638" s="123" t="n"/>
      <c r="B638" s="123" t="n"/>
      <c r="C638" s="124" t="n"/>
      <c r="D638" s="125" t="n"/>
      <c r="E638" s="123" t="n"/>
      <c r="F638" s="126" t="n"/>
      <c r="G638" s="125" t="n"/>
      <c r="H638" s="122">
        <f>IF($D638="",0,MAX(0,ROUNDDOWN((AmortismanRaporTarihi-$C638)/365,0)))</f>
        <v/>
      </c>
      <c r="I638" s="122">
        <f>IF($D638="",0,IFERROR(IF($E638="Azalan",MAX(0,$D638*(1-MIN(2*AmortismanAzalanCarpan*$F638,1)^$H638)),MIN($D638,$D638*$F638*$H638)),0))</f>
        <v/>
      </c>
      <c r="J638" s="122">
        <f>IF($D638="",0,MAX(0,$D638-$I638))</f>
        <v/>
      </c>
      <c r="K638" s="122">
        <f>IF($H638=0,0,IFERROR(IF($E638="Azalan",$D638*(1-MIN(2*AmortismanAzalanCarpan*$F638,1))^MAX(0,$H638-1)*MIN(2*AmortismanAzalanCarpan*$F638,1),MIN($D638*$F638,$D638)),0))</f>
        <v/>
      </c>
      <c r="L638" s="122">
        <f>IF($D638="",0,$G638-$J638)</f>
        <v/>
      </c>
      <c r="M638" s="122">
        <f>IF($B638="","",CONCATENATE("Kıymet: ",$B638," | NDD: ",TEXT($J638,"#,##0")))</f>
        <v/>
      </c>
    </row>
    <row r="639" ht="15" customHeight="1" s="77">
      <c r="A639" s="123" t="n"/>
      <c r="B639" s="123" t="n"/>
      <c r="C639" s="124" t="n"/>
      <c r="D639" s="125" t="n"/>
      <c r="E639" s="123" t="n"/>
      <c r="F639" s="126" t="n"/>
      <c r="G639" s="125" t="n"/>
      <c r="H639" s="122">
        <f>IF($D639="",0,MAX(0,ROUNDDOWN((AmortismanRaporTarihi-$C639)/365,0)))</f>
        <v/>
      </c>
      <c r="I639" s="122">
        <f>IF($D639="",0,IFERROR(IF($E639="Azalan",MAX(0,$D639*(1-MIN(2*AmortismanAzalanCarpan*$F639,1)^$H639)),MIN($D639,$D639*$F639*$H639)),0))</f>
        <v/>
      </c>
      <c r="J639" s="122">
        <f>IF($D639="",0,MAX(0,$D639-$I639))</f>
        <v/>
      </c>
      <c r="K639" s="122">
        <f>IF($H639=0,0,IFERROR(IF($E639="Azalan",$D639*(1-MIN(2*AmortismanAzalanCarpan*$F639,1))^MAX(0,$H639-1)*MIN(2*AmortismanAzalanCarpan*$F639,1),MIN($D639*$F639,$D639)),0))</f>
        <v/>
      </c>
      <c r="L639" s="122">
        <f>IF($D639="",0,$G639-$J639)</f>
        <v/>
      </c>
      <c r="M639" s="122">
        <f>IF($B639="","",CONCATENATE("Kıymet: ",$B639," | NDD: ",TEXT($J639,"#,##0")))</f>
        <v/>
      </c>
    </row>
    <row r="640" ht="15" customHeight="1" s="77">
      <c r="A640" s="123" t="n"/>
      <c r="B640" s="123" t="n"/>
      <c r="C640" s="124" t="n"/>
      <c r="D640" s="125" t="n"/>
      <c r="E640" s="123" t="n"/>
      <c r="F640" s="126" t="n"/>
      <c r="G640" s="125" t="n"/>
      <c r="H640" s="122">
        <f>IF($D640="",0,MAX(0,ROUNDDOWN((AmortismanRaporTarihi-$C640)/365,0)))</f>
        <v/>
      </c>
      <c r="I640" s="122">
        <f>IF($D640="",0,IFERROR(IF($E640="Azalan",MAX(0,$D640*(1-MIN(2*AmortismanAzalanCarpan*$F640,1)^$H640)),MIN($D640,$D640*$F640*$H640)),0))</f>
        <v/>
      </c>
      <c r="J640" s="122">
        <f>IF($D640="",0,MAX(0,$D640-$I640))</f>
        <v/>
      </c>
      <c r="K640" s="122">
        <f>IF($H640=0,0,IFERROR(IF($E640="Azalan",$D640*(1-MIN(2*AmortismanAzalanCarpan*$F640,1))^MAX(0,$H640-1)*MIN(2*AmortismanAzalanCarpan*$F640,1),MIN($D640*$F640,$D640)),0))</f>
        <v/>
      </c>
      <c r="L640" s="122">
        <f>IF($D640="",0,$G640-$J640)</f>
        <v/>
      </c>
      <c r="M640" s="122">
        <f>IF($B640="","",CONCATENATE("Kıymet: ",$B640," | NDD: ",TEXT($J640,"#,##0")))</f>
        <v/>
      </c>
    </row>
    <row r="641" ht="15" customHeight="1" s="77">
      <c r="A641" s="123" t="n"/>
      <c r="B641" s="123" t="n"/>
      <c r="C641" s="124" t="n"/>
      <c r="D641" s="125" t="n"/>
      <c r="E641" s="123" t="n"/>
      <c r="F641" s="126" t="n"/>
      <c r="G641" s="125" t="n"/>
      <c r="H641" s="122">
        <f>IF($D641="",0,MAX(0,ROUNDDOWN((AmortismanRaporTarihi-$C641)/365,0)))</f>
        <v/>
      </c>
      <c r="I641" s="122">
        <f>IF($D641="",0,IFERROR(IF($E641="Azalan",MAX(0,$D641*(1-MIN(2*AmortismanAzalanCarpan*$F641,1)^$H641)),MIN($D641,$D641*$F641*$H641)),0))</f>
        <v/>
      </c>
      <c r="J641" s="122">
        <f>IF($D641="",0,MAX(0,$D641-$I641))</f>
        <v/>
      </c>
      <c r="K641" s="122">
        <f>IF($H641=0,0,IFERROR(IF($E641="Azalan",$D641*(1-MIN(2*AmortismanAzalanCarpan*$F641,1))^MAX(0,$H641-1)*MIN(2*AmortismanAzalanCarpan*$F641,1),MIN($D641*$F641,$D641)),0))</f>
        <v/>
      </c>
      <c r="L641" s="122">
        <f>IF($D641="",0,$G641-$J641)</f>
        <v/>
      </c>
      <c r="M641" s="122">
        <f>IF($B641="","",CONCATENATE("Kıymet: ",$B641," | NDD: ",TEXT($J641,"#,##0")))</f>
        <v/>
      </c>
    </row>
    <row r="642" ht="15" customHeight="1" s="77">
      <c r="A642" s="123" t="n"/>
      <c r="B642" s="123" t="n"/>
      <c r="C642" s="124" t="n"/>
      <c r="D642" s="125" t="n"/>
      <c r="E642" s="123" t="n"/>
      <c r="F642" s="126" t="n"/>
      <c r="G642" s="125" t="n"/>
      <c r="H642" s="122">
        <f>IF($D642="",0,MAX(0,ROUNDDOWN((AmortismanRaporTarihi-$C642)/365,0)))</f>
        <v/>
      </c>
      <c r="I642" s="122">
        <f>IF($D642="",0,IFERROR(IF($E642="Azalan",MAX(0,$D642*(1-MIN(2*AmortismanAzalanCarpan*$F642,1)^$H642)),MIN($D642,$D642*$F642*$H642)),0))</f>
        <v/>
      </c>
      <c r="J642" s="122">
        <f>IF($D642="",0,MAX(0,$D642-$I642))</f>
        <v/>
      </c>
      <c r="K642" s="122">
        <f>IF($H642=0,0,IFERROR(IF($E642="Azalan",$D642*(1-MIN(2*AmortismanAzalanCarpan*$F642,1))^MAX(0,$H642-1)*MIN(2*AmortismanAzalanCarpan*$F642,1),MIN($D642*$F642,$D642)),0))</f>
        <v/>
      </c>
      <c r="L642" s="122">
        <f>IF($D642="",0,$G642-$J642)</f>
        <v/>
      </c>
      <c r="M642" s="122">
        <f>IF($B642="","",CONCATENATE("Kıymet: ",$B642," | NDD: ",TEXT($J642,"#,##0")))</f>
        <v/>
      </c>
    </row>
    <row r="643" ht="15" customHeight="1" s="77">
      <c r="A643" s="123" t="n"/>
      <c r="B643" s="123" t="n"/>
      <c r="C643" s="124" t="n"/>
      <c r="D643" s="125" t="n"/>
      <c r="E643" s="123" t="n"/>
      <c r="F643" s="126" t="n"/>
      <c r="G643" s="125" t="n"/>
      <c r="H643" s="122">
        <f>IF($D643="",0,MAX(0,ROUNDDOWN((AmortismanRaporTarihi-$C643)/365,0)))</f>
        <v/>
      </c>
      <c r="I643" s="122">
        <f>IF($D643="",0,IFERROR(IF($E643="Azalan",MAX(0,$D643*(1-MIN(2*AmortismanAzalanCarpan*$F643,1)^$H643)),MIN($D643,$D643*$F643*$H643)),0))</f>
        <v/>
      </c>
      <c r="J643" s="122">
        <f>IF($D643="",0,MAX(0,$D643-$I643))</f>
        <v/>
      </c>
      <c r="K643" s="122">
        <f>IF($H643=0,0,IFERROR(IF($E643="Azalan",$D643*(1-MIN(2*AmortismanAzalanCarpan*$F643,1))^MAX(0,$H643-1)*MIN(2*AmortismanAzalanCarpan*$F643,1),MIN($D643*$F643,$D643)),0))</f>
        <v/>
      </c>
      <c r="L643" s="122">
        <f>IF($D643="",0,$G643-$J643)</f>
        <v/>
      </c>
      <c r="M643" s="122">
        <f>IF($B643="","",CONCATENATE("Kıymet: ",$B643," | NDD: ",TEXT($J643,"#,##0")))</f>
        <v/>
      </c>
    </row>
    <row r="644" ht="15" customHeight="1" s="77">
      <c r="A644" s="123" t="n"/>
      <c r="B644" s="123" t="n"/>
      <c r="C644" s="124" t="n"/>
      <c r="D644" s="125" t="n"/>
      <c r="E644" s="123" t="n"/>
      <c r="F644" s="126" t="n"/>
      <c r="G644" s="125" t="n"/>
      <c r="H644" s="122">
        <f>IF($D644="",0,MAX(0,ROUNDDOWN((AmortismanRaporTarihi-$C644)/365,0)))</f>
        <v/>
      </c>
      <c r="I644" s="122">
        <f>IF($D644="",0,IFERROR(IF($E644="Azalan",MAX(0,$D644*(1-MIN(2*AmortismanAzalanCarpan*$F644,1)^$H644)),MIN($D644,$D644*$F644*$H644)),0))</f>
        <v/>
      </c>
      <c r="J644" s="122">
        <f>IF($D644="",0,MAX(0,$D644-$I644))</f>
        <v/>
      </c>
      <c r="K644" s="122">
        <f>IF($H644=0,0,IFERROR(IF($E644="Azalan",$D644*(1-MIN(2*AmortismanAzalanCarpan*$F644,1))^MAX(0,$H644-1)*MIN(2*AmortismanAzalanCarpan*$F644,1),MIN($D644*$F644,$D644)),0))</f>
        <v/>
      </c>
      <c r="L644" s="122">
        <f>IF($D644="",0,$G644-$J644)</f>
        <v/>
      </c>
      <c r="M644" s="122">
        <f>IF($B644="","",CONCATENATE("Kıymet: ",$B644," | NDD: ",TEXT($J644,"#,##0")))</f>
        <v/>
      </c>
    </row>
    <row r="645" ht="15" customHeight="1" s="77">
      <c r="A645" s="123" t="n"/>
      <c r="B645" s="123" t="n"/>
      <c r="C645" s="124" t="n"/>
      <c r="D645" s="125" t="n"/>
      <c r="E645" s="123" t="n"/>
      <c r="F645" s="126" t="n"/>
      <c r="G645" s="125" t="n"/>
      <c r="H645" s="122">
        <f>IF($D645="",0,MAX(0,ROUNDDOWN((AmortismanRaporTarihi-$C645)/365,0)))</f>
        <v/>
      </c>
      <c r="I645" s="122">
        <f>IF($D645="",0,IFERROR(IF($E645="Azalan",MAX(0,$D645*(1-MIN(2*AmortismanAzalanCarpan*$F645,1)^$H645)),MIN($D645,$D645*$F645*$H645)),0))</f>
        <v/>
      </c>
      <c r="J645" s="122">
        <f>IF($D645="",0,MAX(0,$D645-$I645))</f>
        <v/>
      </c>
      <c r="K645" s="122">
        <f>IF($H645=0,0,IFERROR(IF($E645="Azalan",$D645*(1-MIN(2*AmortismanAzalanCarpan*$F645,1))^MAX(0,$H645-1)*MIN(2*AmortismanAzalanCarpan*$F645,1),MIN($D645*$F645,$D645)),0))</f>
        <v/>
      </c>
      <c r="L645" s="122">
        <f>IF($D645="",0,$G645-$J645)</f>
        <v/>
      </c>
      <c r="M645" s="122">
        <f>IF($B645="","",CONCATENATE("Kıymet: ",$B645," | NDD: ",TEXT($J645,"#,##0")))</f>
        <v/>
      </c>
    </row>
    <row r="646" ht="15" customHeight="1" s="77">
      <c r="A646" s="123" t="n"/>
      <c r="B646" s="123" t="n"/>
      <c r="C646" s="124" t="n"/>
      <c r="D646" s="125" t="n"/>
      <c r="E646" s="123" t="n"/>
      <c r="F646" s="126" t="n"/>
      <c r="G646" s="125" t="n"/>
      <c r="H646" s="122">
        <f>IF($D646="",0,MAX(0,ROUNDDOWN((AmortismanRaporTarihi-$C646)/365,0)))</f>
        <v/>
      </c>
      <c r="I646" s="122">
        <f>IF($D646="",0,IFERROR(IF($E646="Azalan",MAX(0,$D646*(1-MIN(2*AmortismanAzalanCarpan*$F646,1)^$H646)),MIN($D646,$D646*$F646*$H646)),0))</f>
        <v/>
      </c>
      <c r="J646" s="122">
        <f>IF($D646="",0,MAX(0,$D646-$I646))</f>
        <v/>
      </c>
      <c r="K646" s="122">
        <f>IF($H646=0,0,IFERROR(IF($E646="Azalan",$D646*(1-MIN(2*AmortismanAzalanCarpan*$F646,1))^MAX(0,$H646-1)*MIN(2*AmortismanAzalanCarpan*$F646,1),MIN($D646*$F646,$D646)),0))</f>
        <v/>
      </c>
      <c r="L646" s="122">
        <f>IF($D646="",0,$G646-$J646)</f>
        <v/>
      </c>
      <c r="M646" s="122">
        <f>IF($B646="","",CONCATENATE("Kıymet: ",$B646," | NDD: ",TEXT($J646,"#,##0")))</f>
        <v/>
      </c>
    </row>
    <row r="647" ht="15" customHeight="1" s="77">
      <c r="A647" s="123" t="n"/>
      <c r="B647" s="123" t="n"/>
      <c r="C647" s="124" t="n"/>
      <c r="D647" s="125" t="n"/>
      <c r="E647" s="123" t="n"/>
      <c r="F647" s="126" t="n"/>
      <c r="G647" s="125" t="n"/>
      <c r="H647" s="122">
        <f>IF($D647="",0,MAX(0,ROUNDDOWN((AmortismanRaporTarihi-$C647)/365,0)))</f>
        <v/>
      </c>
      <c r="I647" s="122">
        <f>IF($D647="",0,IFERROR(IF($E647="Azalan",MAX(0,$D647*(1-MIN(2*AmortismanAzalanCarpan*$F647,1)^$H647)),MIN($D647,$D647*$F647*$H647)),0))</f>
        <v/>
      </c>
      <c r="J647" s="122">
        <f>IF($D647="",0,MAX(0,$D647-$I647))</f>
        <v/>
      </c>
      <c r="K647" s="122">
        <f>IF($H647=0,0,IFERROR(IF($E647="Azalan",$D647*(1-MIN(2*AmortismanAzalanCarpan*$F647,1))^MAX(0,$H647-1)*MIN(2*AmortismanAzalanCarpan*$F647,1),MIN($D647*$F647,$D647)),0))</f>
        <v/>
      </c>
      <c r="L647" s="122">
        <f>IF($D647="",0,$G647-$J647)</f>
        <v/>
      </c>
      <c r="M647" s="122">
        <f>IF($B647="","",CONCATENATE("Kıymet: ",$B647," | NDD: ",TEXT($J647,"#,##0")))</f>
        <v/>
      </c>
    </row>
    <row r="648" ht="15" customHeight="1" s="77">
      <c r="A648" s="123" t="n"/>
      <c r="B648" s="123" t="n"/>
      <c r="C648" s="124" t="n"/>
      <c r="D648" s="125" t="n"/>
      <c r="E648" s="123" t="n"/>
      <c r="F648" s="126" t="n"/>
      <c r="G648" s="125" t="n"/>
      <c r="H648" s="122">
        <f>IF($D648="",0,MAX(0,ROUNDDOWN((AmortismanRaporTarihi-$C648)/365,0)))</f>
        <v/>
      </c>
      <c r="I648" s="122">
        <f>IF($D648="",0,IFERROR(IF($E648="Azalan",MAX(0,$D648*(1-MIN(2*AmortismanAzalanCarpan*$F648,1)^$H648)),MIN($D648,$D648*$F648*$H648)),0))</f>
        <v/>
      </c>
      <c r="J648" s="122">
        <f>IF($D648="",0,MAX(0,$D648-$I648))</f>
        <v/>
      </c>
      <c r="K648" s="122">
        <f>IF($H648=0,0,IFERROR(IF($E648="Azalan",$D648*(1-MIN(2*AmortismanAzalanCarpan*$F648,1))^MAX(0,$H648-1)*MIN(2*AmortismanAzalanCarpan*$F648,1),MIN($D648*$F648,$D648)),0))</f>
        <v/>
      </c>
      <c r="L648" s="122">
        <f>IF($D648="",0,$G648-$J648)</f>
        <v/>
      </c>
      <c r="M648" s="122">
        <f>IF($B648="","",CONCATENATE("Kıymet: ",$B648," | NDD: ",TEXT($J648,"#,##0")))</f>
        <v/>
      </c>
    </row>
    <row r="649" ht="15" customHeight="1" s="77">
      <c r="A649" s="123" t="n"/>
      <c r="B649" s="123" t="n"/>
      <c r="C649" s="124" t="n"/>
      <c r="D649" s="125" t="n"/>
      <c r="E649" s="123" t="n"/>
      <c r="F649" s="126" t="n"/>
      <c r="G649" s="125" t="n"/>
      <c r="H649" s="122">
        <f>IF($D649="",0,MAX(0,ROUNDDOWN((AmortismanRaporTarihi-$C649)/365,0)))</f>
        <v/>
      </c>
      <c r="I649" s="122">
        <f>IF($D649="",0,IFERROR(IF($E649="Azalan",MAX(0,$D649*(1-MIN(2*AmortismanAzalanCarpan*$F649,1)^$H649)),MIN($D649,$D649*$F649*$H649)),0))</f>
        <v/>
      </c>
      <c r="J649" s="122">
        <f>IF($D649="",0,MAX(0,$D649-$I649))</f>
        <v/>
      </c>
      <c r="K649" s="122">
        <f>IF($H649=0,0,IFERROR(IF($E649="Azalan",$D649*(1-MIN(2*AmortismanAzalanCarpan*$F649,1))^MAX(0,$H649-1)*MIN(2*AmortismanAzalanCarpan*$F649,1),MIN($D649*$F649,$D649)),0))</f>
        <v/>
      </c>
      <c r="L649" s="122">
        <f>IF($D649="",0,$G649-$J649)</f>
        <v/>
      </c>
      <c r="M649" s="122">
        <f>IF($B649="","",CONCATENATE("Kıymet: ",$B649," | NDD: ",TEXT($J649,"#,##0")))</f>
        <v/>
      </c>
    </row>
    <row r="650" ht="15" customHeight="1" s="77">
      <c r="A650" s="123" t="n"/>
      <c r="B650" s="123" t="n"/>
      <c r="C650" s="124" t="n"/>
      <c r="D650" s="125" t="n"/>
      <c r="E650" s="123" t="n"/>
      <c r="F650" s="126" t="n"/>
      <c r="G650" s="125" t="n"/>
      <c r="H650" s="122">
        <f>IF($D650="",0,MAX(0,ROUNDDOWN((AmortismanRaporTarihi-$C650)/365,0)))</f>
        <v/>
      </c>
      <c r="I650" s="122">
        <f>IF($D650="",0,IFERROR(IF($E650="Azalan",MAX(0,$D650*(1-MIN(2*AmortismanAzalanCarpan*$F650,1)^$H650)),MIN($D650,$D650*$F650*$H650)),0))</f>
        <v/>
      </c>
      <c r="J650" s="122">
        <f>IF($D650="",0,MAX(0,$D650-$I650))</f>
        <v/>
      </c>
      <c r="K650" s="122">
        <f>IF($H650=0,0,IFERROR(IF($E650="Azalan",$D650*(1-MIN(2*AmortismanAzalanCarpan*$F650,1))^MAX(0,$H650-1)*MIN(2*AmortismanAzalanCarpan*$F650,1),MIN($D650*$F650,$D650)),0))</f>
        <v/>
      </c>
      <c r="L650" s="122">
        <f>IF($D650="",0,$G650-$J650)</f>
        <v/>
      </c>
      <c r="M650" s="122">
        <f>IF($B650="","",CONCATENATE("Kıymet: ",$B650," | NDD: ",TEXT($J650,"#,##0")))</f>
        <v/>
      </c>
    </row>
    <row r="651" ht="15" customHeight="1" s="77">
      <c r="A651" s="123" t="n"/>
      <c r="B651" s="123" t="n"/>
      <c r="C651" s="124" t="n"/>
      <c r="D651" s="125" t="n"/>
      <c r="E651" s="123" t="n"/>
      <c r="F651" s="126" t="n"/>
      <c r="G651" s="125" t="n"/>
      <c r="H651" s="122">
        <f>IF($D651="",0,MAX(0,ROUNDDOWN((AmortismanRaporTarihi-$C651)/365,0)))</f>
        <v/>
      </c>
      <c r="I651" s="122">
        <f>IF($D651="",0,IFERROR(IF($E651="Azalan",MAX(0,$D651*(1-MIN(2*AmortismanAzalanCarpan*$F651,1)^$H651)),MIN($D651,$D651*$F651*$H651)),0))</f>
        <v/>
      </c>
      <c r="J651" s="122">
        <f>IF($D651="",0,MAX(0,$D651-$I651))</f>
        <v/>
      </c>
      <c r="K651" s="122">
        <f>IF($H651=0,0,IFERROR(IF($E651="Azalan",$D651*(1-MIN(2*AmortismanAzalanCarpan*$F651,1))^MAX(0,$H651-1)*MIN(2*AmortismanAzalanCarpan*$F651,1),MIN($D651*$F651,$D651)),0))</f>
        <v/>
      </c>
      <c r="L651" s="122">
        <f>IF($D651="",0,$G651-$J651)</f>
        <v/>
      </c>
      <c r="M651" s="122">
        <f>IF($B651="","",CONCATENATE("Kıymet: ",$B651," | NDD: ",TEXT($J651,"#,##0")))</f>
        <v/>
      </c>
    </row>
    <row r="652" ht="15" customHeight="1" s="77">
      <c r="A652" s="123" t="n"/>
      <c r="B652" s="123" t="n"/>
      <c r="C652" s="124" t="n"/>
      <c r="D652" s="125" t="n"/>
      <c r="E652" s="123" t="n"/>
      <c r="F652" s="126" t="n"/>
      <c r="G652" s="125" t="n"/>
      <c r="H652" s="122">
        <f>IF($D652="",0,MAX(0,ROUNDDOWN((AmortismanRaporTarihi-$C652)/365,0)))</f>
        <v/>
      </c>
      <c r="I652" s="122">
        <f>IF($D652="",0,IFERROR(IF($E652="Azalan",MAX(0,$D652*(1-MIN(2*AmortismanAzalanCarpan*$F652,1)^$H652)),MIN($D652,$D652*$F652*$H652)),0))</f>
        <v/>
      </c>
      <c r="J652" s="122">
        <f>IF($D652="",0,MAX(0,$D652-$I652))</f>
        <v/>
      </c>
      <c r="K652" s="122">
        <f>IF($H652=0,0,IFERROR(IF($E652="Azalan",$D652*(1-MIN(2*AmortismanAzalanCarpan*$F652,1))^MAX(0,$H652-1)*MIN(2*AmortismanAzalanCarpan*$F652,1),MIN($D652*$F652,$D652)),0))</f>
        <v/>
      </c>
      <c r="L652" s="122">
        <f>IF($D652="",0,$G652-$J652)</f>
        <v/>
      </c>
      <c r="M652" s="122">
        <f>IF($B652="","",CONCATENATE("Kıymet: ",$B652," | NDD: ",TEXT($J652,"#,##0")))</f>
        <v/>
      </c>
    </row>
    <row r="653" ht="15" customHeight="1" s="77">
      <c r="A653" s="123" t="n"/>
      <c r="B653" s="123" t="n"/>
      <c r="C653" s="124" t="n"/>
      <c r="D653" s="125" t="n"/>
      <c r="E653" s="123" t="n"/>
      <c r="F653" s="126" t="n"/>
      <c r="G653" s="125" t="n"/>
      <c r="H653" s="122">
        <f>IF($D653="",0,MAX(0,ROUNDDOWN((AmortismanRaporTarihi-$C653)/365,0)))</f>
        <v/>
      </c>
      <c r="I653" s="122">
        <f>IF($D653="",0,IFERROR(IF($E653="Azalan",MAX(0,$D653*(1-MIN(2*AmortismanAzalanCarpan*$F653,1)^$H653)),MIN($D653,$D653*$F653*$H653)),0))</f>
        <v/>
      </c>
      <c r="J653" s="122">
        <f>IF($D653="",0,MAX(0,$D653-$I653))</f>
        <v/>
      </c>
      <c r="K653" s="122">
        <f>IF($H653=0,0,IFERROR(IF($E653="Azalan",$D653*(1-MIN(2*AmortismanAzalanCarpan*$F653,1))^MAX(0,$H653-1)*MIN(2*AmortismanAzalanCarpan*$F653,1),MIN($D653*$F653,$D653)),0))</f>
        <v/>
      </c>
      <c r="L653" s="122">
        <f>IF($D653="",0,$G653-$J653)</f>
        <v/>
      </c>
      <c r="M653" s="122">
        <f>IF($B653="","",CONCATENATE("Kıymet: ",$B653," | NDD: ",TEXT($J653,"#,##0")))</f>
        <v/>
      </c>
    </row>
    <row r="654" ht="15" customHeight="1" s="77">
      <c r="A654" s="123" t="n"/>
      <c r="B654" s="123" t="n"/>
      <c r="C654" s="124" t="n"/>
      <c r="D654" s="125" t="n"/>
      <c r="E654" s="123" t="n"/>
      <c r="F654" s="126" t="n"/>
      <c r="G654" s="125" t="n"/>
      <c r="H654" s="122">
        <f>IF($D654="",0,MAX(0,ROUNDDOWN((AmortismanRaporTarihi-$C654)/365,0)))</f>
        <v/>
      </c>
      <c r="I654" s="122">
        <f>IF($D654="",0,IFERROR(IF($E654="Azalan",MAX(0,$D654*(1-MIN(2*AmortismanAzalanCarpan*$F654,1)^$H654)),MIN($D654,$D654*$F654*$H654)),0))</f>
        <v/>
      </c>
      <c r="J654" s="122">
        <f>IF($D654="",0,MAX(0,$D654-$I654))</f>
        <v/>
      </c>
      <c r="K654" s="122">
        <f>IF($H654=0,0,IFERROR(IF($E654="Azalan",$D654*(1-MIN(2*AmortismanAzalanCarpan*$F654,1))^MAX(0,$H654-1)*MIN(2*AmortismanAzalanCarpan*$F654,1),MIN($D654*$F654,$D654)),0))</f>
        <v/>
      </c>
      <c r="L654" s="122">
        <f>IF($D654="",0,$G654-$J654)</f>
        <v/>
      </c>
      <c r="M654" s="122">
        <f>IF($B654="","",CONCATENATE("Kıymet: ",$B654," | NDD: ",TEXT($J654,"#,##0")))</f>
        <v/>
      </c>
    </row>
    <row r="655" ht="15" customHeight="1" s="77">
      <c r="A655" s="123" t="n"/>
      <c r="B655" s="123" t="n"/>
      <c r="C655" s="124" t="n"/>
      <c r="D655" s="125" t="n"/>
      <c r="E655" s="123" t="n"/>
      <c r="F655" s="126" t="n"/>
      <c r="G655" s="125" t="n"/>
      <c r="H655" s="122">
        <f>IF($D655="",0,MAX(0,ROUNDDOWN((AmortismanRaporTarihi-$C655)/365,0)))</f>
        <v/>
      </c>
      <c r="I655" s="122">
        <f>IF($D655="",0,IFERROR(IF($E655="Azalan",MAX(0,$D655*(1-MIN(2*AmortismanAzalanCarpan*$F655,1)^$H655)),MIN($D655,$D655*$F655*$H655)),0))</f>
        <v/>
      </c>
      <c r="J655" s="122">
        <f>IF($D655="",0,MAX(0,$D655-$I655))</f>
        <v/>
      </c>
      <c r="K655" s="122">
        <f>IF($H655=0,0,IFERROR(IF($E655="Azalan",$D655*(1-MIN(2*AmortismanAzalanCarpan*$F655,1))^MAX(0,$H655-1)*MIN(2*AmortismanAzalanCarpan*$F655,1),MIN($D655*$F655,$D655)),0))</f>
        <v/>
      </c>
      <c r="L655" s="122">
        <f>IF($D655="",0,$G655-$J655)</f>
        <v/>
      </c>
      <c r="M655" s="122">
        <f>IF($B655="","",CONCATENATE("Kıymet: ",$B655," | NDD: ",TEXT($J655,"#,##0")))</f>
        <v/>
      </c>
    </row>
    <row r="656" ht="15" customHeight="1" s="77">
      <c r="A656" s="123" t="n"/>
      <c r="B656" s="123" t="n"/>
      <c r="C656" s="124" t="n"/>
      <c r="D656" s="125" t="n"/>
      <c r="E656" s="123" t="n"/>
      <c r="F656" s="126" t="n"/>
      <c r="G656" s="125" t="n"/>
      <c r="H656" s="122">
        <f>IF($D656="",0,MAX(0,ROUNDDOWN((AmortismanRaporTarihi-$C656)/365,0)))</f>
        <v/>
      </c>
      <c r="I656" s="122">
        <f>IF($D656="",0,IFERROR(IF($E656="Azalan",MAX(0,$D656*(1-MIN(2*AmortismanAzalanCarpan*$F656,1)^$H656)),MIN($D656,$D656*$F656*$H656)),0))</f>
        <v/>
      </c>
      <c r="J656" s="122">
        <f>IF($D656="",0,MAX(0,$D656-$I656))</f>
        <v/>
      </c>
      <c r="K656" s="122">
        <f>IF($H656=0,0,IFERROR(IF($E656="Azalan",$D656*(1-MIN(2*AmortismanAzalanCarpan*$F656,1))^MAX(0,$H656-1)*MIN(2*AmortismanAzalanCarpan*$F656,1),MIN($D656*$F656,$D656)),0))</f>
        <v/>
      </c>
      <c r="L656" s="122">
        <f>IF($D656="",0,$G656-$J656)</f>
        <v/>
      </c>
      <c r="M656" s="122">
        <f>IF($B656="","",CONCATENATE("Kıymet: ",$B656," | NDD: ",TEXT($J656,"#,##0")))</f>
        <v/>
      </c>
    </row>
    <row r="657" ht="15" customHeight="1" s="77">
      <c r="A657" s="123" t="n"/>
      <c r="B657" s="123" t="n"/>
      <c r="C657" s="124" t="n"/>
      <c r="D657" s="125" t="n"/>
      <c r="E657" s="123" t="n"/>
      <c r="F657" s="126" t="n"/>
      <c r="G657" s="125" t="n"/>
      <c r="H657" s="122">
        <f>IF($D657="",0,MAX(0,ROUNDDOWN((AmortismanRaporTarihi-$C657)/365,0)))</f>
        <v/>
      </c>
      <c r="I657" s="122">
        <f>IF($D657="",0,IFERROR(IF($E657="Azalan",MAX(0,$D657*(1-MIN(2*AmortismanAzalanCarpan*$F657,1)^$H657)),MIN($D657,$D657*$F657*$H657)),0))</f>
        <v/>
      </c>
      <c r="J657" s="122">
        <f>IF($D657="",0,MAX(0,$D657-$I657))</f>
        <v/>
      </c>
      <c r="K657" s="122">
        <f>IF($H657=0,0,IFERROR(IF($E657="Azalan",$D657*(1-MIN(2*AmortismanAzalanCarpan*$F657,1))^MAX(0,$H657-1)*MIN(2*AmortismanAzalanCarpan*$F657,1),MIN($D657*$F657,$D657)),0))</f>
        <v/>
      </c>
      <c r="L657" s="122">
        <f>IF($D657="",0,$G657-$J657)</f>
        <v/>
      </c>
      <c r="M657" s="122">
        <f>IF($B657="","",CONCATENATE("Kıymet: ",$B657," | NDD: ",TEXT($J657,"#,##0")))</f>
        <v/>
      </c>
    </row>
    <row r="658" ht="15" customHeight="1" s="77">
      <c r="A658" s="123" t="n"/>
      <c r="B658" s="123" t="n"/>
      <c r="C658" s="124" t="n"/>
      <c r="D658" s="125" t="n"/>
      <c r="E658" s="123" t="n"/>
      <c r="F658" s="126" t="n"/>
      <c r="G658" s="125" t="n"/>
      <c r="H658" s="122">
        <f>IF($D658="",0,MAX(0,ROUNDDOWN((AmortismanRaporTarihi-$C658)/365,0)))</f>
        <v/>
      </c>
      <c r="I658" s="122">
        <f>IF($D658="",0,IFERROR(IF($E658="Azalan",MAX(0,$D658*(1-MIN(2*AmortismanAzalanCarpan*$F658,1)^$H658)),MIN($D658,$D658*$F658*$H658)),0))</f>
        <v/>
      </c>
      <c r="J658" s="122">
        <f>IF($D658="",0,MAX(0,$D658-$I658))</f>
        <v/>
      </c>
      <c r="K658" s="122">
        <f>IF($H658=0,0,IFERROR(IF($E658="Azalan",$D658*(1-MIN(2*AmortismanAzalanCarpan*$F658,1))^MAX(0,$H658-1)*MIN(2*AmortismanAzalanCarpan*$F658,1),MIN($D658*$F658,$D658)),0))</f>
        <v/>
      </c>
      <c r="L658" s="122">
        <f>IF($D658="",0,$G658-$J658)</f>
        <v/>
      </c>
      <c r="M658" s="122">
        <f>IF($B658="","",CONCATENATE("Kıymet: ",$B658," | NDD: ",TEXT($J658,"#,##0")))</f>
        <v/>
      </c>
    </row>
    <row r="659" ht="15" customHeight="1" s="77">
      <c r="A659" s="123" t="n"/>
      <c r="B659" s="123" t="n"/>
      <c r="C659" s="124" t="n"/>
      <c r="D659" s="125" t="n"/>
      <c r="E659" s="123" t="n"/>
      <c r="F659" s="126" t="n"/>
      <c r="G659" s="125" t="n"/>
      <c r="H659" s="122">
        <f>IF($D659="",0,MAX(0,ROUNDDOWN((AmortismanRaporTarihi-$C659)/365,0)))</f>
        <v/>
      </c>
      <c r="I659" s="122">
        <f>IF($D659="",0,IFERROR(IF($E659="Azalan",MAX(0,$D659*(1-MIN(2*AmortismanAzalanCarpan*$F659,1)^$H659)),MIN($D659,$D659*$F659*$H659)),0))</f>
        <v/>
      </c>
      <c r="J659" s="122">
        <f>IF($D659="",0,MAX(0,$D659-$I659))</f>
        <v/>
      </c>
      <c r="K659" s="122">
        <f>IF($H659=0,0,IFERROR(IF($E659="Azalan",$D659*(1-MIN(2*AmortismanAzalanCarpan*$F659,1))^MAX(0,$H659-1)*MIN(2*AmortismanAzalanCarpan*$F659,1),MIN($D659*$F659,$D659)),0))</f>
        <v/>
      </c>
      <c r="L659" s="122">
        <f>IF($D659="",0,$G659-$J659)</f>
        <v/>
      </c>
      <c r="M659" s="122">
        <f>IF($B659="","",CONCATENATE("Kıymet: ",$B659," | NDD: ",TEXT($J659,"#,##0")))</f>
        <v/>
      </c>
    </row>
    <row r="660" ht="15" customHeight="1" s="77">
      <c r="A660" s="123" t="n"/>
      <c r="B660" s="123" t="n"/>
      <c r="C660" s="124" t="n"/>
      <c r="D660" s="125" t="n"/>
      <c r="E660" s="123" t="n"/>
      <c r="F660" s="126" t="n"/>
      <c r="G660" s="125" t="n"/>
      <c r="H660" s="122">
        <f>IF($D660="",0,MAX(0,ROUNDDOWN((AmortismanRaporTarihi-$C660)/365,0)))</f>
        <v/>
      </c>
      <c r="I660" s="122">
        <f>IF($D660="",0,IFERROR(IF($E660="Azalan",MAX(0,$D660*(1-MIN(2*AmortismanAzalanCarpan*$F660,1)^$H660)),MIN($D660,$D660*$F660*$H660)),0))</f>
        <v/>
      </c>
      <c r="J660" s="122">
        <f>IF($D660="",0,MAX(0,$D660-$I660))</f>
        <v/>
      </c>
      <c r="K660" s="122">
        <f>IF($H660=0,0,IFERROR(IF($E660="Azalan",$D660*(1-MIN(2*AmortismanAzalanCarpan*$F660,1))^MAX(0,$H660-1)*MIN(2*AmortismanAzalanCarpan*$F660,1),MIN($D660*$F660,$D660)),0))</f>
        <v/>
      </c>
      <c r="L660" s="122">
        <f>IF($D660="",0,$G660-$J660)</f>
        <v/>
      </c>
      <c r="M660" s="122">
        <f>IF($B660="","",CONCATENATE("Kıymet: ",$B660," | NDD: ",TEXT($J660,"#,##0")))</f>
        <v/>
      </c>
    </row>
    <row r="661" ht="15" customHeight="1" s="77">
      <c r="A661" s="123" t="n"/>
      <c r="B661" s="123" t="n"/>
      <c r="C661" s="124" t="n"/>
      <c r="D661" s="125" t="n"/>
      <c r="E661" s="123" t="n"/>
      <c r="F661" s="126" t="n"/>
      <c r="G661" s="125" t="n"/>
      <c r="H661" s="122">
        <f>IF($D661="",0,MAX(0,ROUNDDOWN((AmortismanRaporTarihi-$C661)/365,0)))</f>
        <v/>
      </c>
      <c r="I661" s="122">
        <f>IF($D661="",0,IFERROR(IF($E661="Azalan",MAX(0,$D661*(1-MIN(2*AmortismanAzalanCarpan*$F661,1)^$H661)),MIN($D661,$D661*$F661*$H661)),0))</f>
        <v/>
      </c>
      <c r="J661" s="122">
        <f>IF($D661="",0,MAX(0,$D661-$I661))</f>
        <v/>
      </c>
      <c r="K661" s="122">
        <f>IF($H661=0,0,IFERROR(IF($E661="Azalan",$D661*(1-MIN(2*AmortismanAzalanCarpan*$F661,1))^MAX(0,$H661-1)*MIN(2*AmortismanAzalanCarpan*$F661,1),MIN($D661*$F661,$D661)),0))</f>
        <v/>
      </c>
      <c r="L661" s="122">
        <f>IF($D661="",0,$G661-$J661)</f>
        <v/>
      </c>
      <c r="M661" s="122">
        <f>IF($B661="","",CONCATENATE("Kıymet: ",$B661," | NDD: ",TEXT($J661,"#,##0")))</f>
        <v/>
      </c>
    </row>
    <row r="662" ht="15" customHeight="1" s="77">
      <c r="A662" s="123" t="n"/>
      <c r="B662" s="123" t="n"/>
      <c r="C662" s="124" t="n"/>
      <c r="D662" s="125" t="n"/>
      <c r="E662" s="123" t="n"/>
      <c r="F662" s="126" t="n"/>
      <c r="G662" s="125" t="n"/>
      <c r="H662" s="122">
        <f>IF($D662="",0,MAX(0,ROUNDDOWN((AmortismanRaporTarihi-$C662)/365,0)))</f>
        <v/>
      </c>
      <c r="I662" s="122">
        <f>IF($D662="",0,IFERROR(IF($E662="Azalan",MAX(0,$D662*(1-MIN(2*AmortismanAzalanCarpan*$F662,1)^$H662)),MIN($D662,$D662*$F662*$H662)),0))</f>
        <v/>
      </c>
      <c r="J662" s="122">
        <f>IF($D662="",0,MAX(0,$D662-$I662))</f>
        <v/>
      </c>
      <c r="K662" s="122">
        <f>IF($H662=0,0,IFERROR(IF($E662="Azalan",$D662*(1-MIN(2*AmortismanAzalanCarpan*$F662,1))^MAX(0,$H662-1)*MIN(2*AmortismanAzalanCarpan*$F662,1),MIN($D662*$F662,$D662)),0))</f>
        <v/>
      </c>
      <c r="L662" s="122">
        <f>IF($D662="",0,$G662-$J662)</f>
        <v/>
      </c>
      <c r="M662" s="122">
        <f>IF($B662="","",CONCATENATE("Kıymet: ",$B662," | NDD: ",TEXT($J662,"#,##0")))</f>
        <v/>
      </c>
    </row>
    <row r="663" ht="15" customHeight="1" s="77">
      <c r="A663" s="123" t="n"/>
      <c r="B663" s="123" t="n"/>
      <c r="C663" s="124" t="n"/>
      <c r="D663" s="125" t="n"/>
      <c r="E663" s="123" t="n"/>
      <c r="F663" s="126" t="n"/>
      <c r="G663" s="125" t="n"/>
      <c r="H663" s="122">
        <f>IF($D663="",0,MAX(0,ROUNDDOWN((AmortismanRaporTarihi-$C663)/365,0)))</f>
        <v/>
      </c>
      <c r="I663" s="122">
        <f>IF($D663="",0,IFERROR(IF($E663="Azalan",MAX(0,$D663*(1-MIN(2*AmortismanAzalanCarpan*$F663,1)^$H663)),MIN($D663,$D663*$F663*$H663)),0))</f>
        <v/>
      </c>
      <c r="J663" s="122">
        <f>IF($D663="",0,MAX(0,$D663-$I663))</f>
        <v/>
      </c>
      <c r="K663" s="122">
        <f>IF($H663=0,0,IFERROR(IF($E663="Azalan",$D663*(1-MIN(2*AmortismanAzalanCarpan*$F663,1))^MAX(0,$H663-1)*MIN(2*AmortismanAzalanCarpan*$F663,1),MIN($D663*$F663,$D663)),0))</f>
        <v/>
      </c>
      <c r="L663" s="122">
        <f>IF($D663="",0,$G663-$J663)</f>
        <v/>
      </c>
      <c r="M663" s="122">
        <f>IF($B663="","",CONCATENATE("Kıymet: ",$B663," | NDD: ",TEXT($J663,"#,##0")))</f>
        <v/>
      </c>
    </row>
    <row r="664" ht="15" customHeight="1" s="77">
      <c r="A664" s="123" t="n"/>
      <c r="B664" s="123" t="n"/>
      <c r="C664" s="124" t="n"/>
      <c r="D664" s="125" t="n"/>
      <c r="E664" s="123" t="n"/>
      <c r="F664" s="126" t="n"/>
      <c r="G664" s="125" t="n"/>
      <c r="H664" s="122">
        <f>IF($D664="",0,MAX(0,ROUNDDOWN((AmortismanRaporTarihi-$C664)/365,0)))</f>
        <v/>
      </c>
      <c r="I664" s="122">
        <f>IF($D664="",0,IFERROR(IF($E664="Azalan",MAX(0,$D664*(1-MIN(2*AmortismanAzalanCarpan*$F664,1)^$H664)),MIN($D664,$D664*$F664*$H664)),0))</f>
        <v/>
      </c>
      <c r="J664" s="122">
        <f>IF($D664="",0,MAX(0,$D664-$I664))</f>
        <v/>
      </c>
      <c r="K664" s="122">
        <f>IF($H664=0,0,IFERROR(IF($E664="Azalan",$D664*(1-MIN(2*AmortismanAzalanCarpan*$F664,1))^MAX(0,$H664-1)*MIN(2*AmortismanAzalanCarpan*$F664,1),MIN($D664*$F664,$D664)),0))</f>
        <v/>
      </c>
      <c r="L664" s="122">
        <f>IF($D664="",0,$G664-$J664)</f>
        <v/>
      </c>
      <c r="M664" s="122">
        <f>IF($B664="","",CONCATENATE("Kıymet: ",$B664," | NDD: ",TEXT($J664,"#,##0")))</f>
        <v/>
      </c>
    </row>
    <row r="665" ht="15" customHeight="1" s="77">
      <c r="A665" s="123" t="n"/>
      <c r="B665" s="123" t="n"/>
      <c r="C665" s="124" t="n"/>
      <c r="D665" s="125" t="n"/>
      <c r="E665" s="123" t="n"/>
      <c r="F665" s="126" t="n"/>
      <c r="G665" s="125" t="n"/>
      <c r="H665" s="122">
        <f>IF($D665="",0,MAX(0,ROUNDDOWN((AmortismanRaporTarihi-$C665)/365,0)))</f>
        <v/>
      </c>
      <c r="I665" s="122">
        <f>IF($D665="",0,IFERROR(IF($E665="Azalan",MAX(0,$D665*(1-MIN(2*AmortismanAzalanCarpan*$F665,1)^$H665)),MIN($D665,$D665*$F665*$H665)),0))</f>
        <v/>
      </c>
      <c r="J665" s="122">
        <f>IF($D665="",0,MAX(0,$D665-$I665))</f>
        <v/>
      </c>
      <c r="K665" s="122">
        <f>IF($H665=0,0,IFERROR(IF($E665="Azalan",$D665*(1-MIN(2*AmortismanAzalanCarpan*$F665,1))^MAX(0,$H665-1)*MIN(2*AmortismanAzalanCarpan*$F665,1),MIN($D665*$F665,$D665)),0))</f>
        <v/>
      </c>
      <c r="L665" s="122">
        <f>IF($D665="",0,$G665-$J665)</f>
        <v/>
      </c>
      <c r="M665" s="122">
        <f>IF($B665="","",CONCATENATE("Kıymet: ",$B665," | NDD: ",TEXT($J665,"#,##0")))</f>
        <v/>
      </c>
    </row>
    <row r="666" ht="15" customHeight="1" s="77">
      <c r="A666" s="123" t="n"/>
      <c r="B666" s="123" t="n"/>
      <c r="C666" s="124" t="n"/>
      <c r="D666" s="125" t="n"/>
      <c r="E666" s="123" t="n"/>
      <c r="F666" s="126" t="n"/>
      <c r="G666" s="125" t="n"/>
      <c r="H666" s="122">
        <f>IF($D666="",0,MAX(0,ROUNDDOWN((AmortismanRaporTarihi-$C666)/365,0)))</f>
        <v/>
      </c>
      <c r="I666" s="122">
        <f>IF($D666="",0,IFERROR(IF($E666="Azalan",MAX(0,$D666*(1-MIN(2*AmortismanAzalanCarpan*$F666,1)^$H666)),MIN($D666,$D666*$F666*$H666)),0))</f>
        <v/>
      </c>
      <c r="J666" s="122">
        <f>IF($D666="",0,MAX(0,$D666-$I666))</f>
        <v/>
      </c>
      <c r="K666" s="122">
        <f>IF($H666=0,0,IFERROR(IF($E666="Azalan",$D666*(1-MIN(2*AmortismanAzalanCarpan*$F666,1))^MAX(0,$H666-1)*MIN(2*AmortismanAzalanCarpan*$F666,1),MIN($D666*$F666,$D666)),0))</f>
        <v/>
      </c>
      <c r="L666" s="122">
        <f>IF($D666="",0,$G666-$J666)</f>
        <v/>
      </c>
      <c r="M666" s="122">
        <f>IF($B666="","",CONCATENATE("Kıymet: ",$B666," | NDD: ",TEXT($J666,"#,##0")))</f>
        <v/>
      </c>
    </row>
    <row r="667" ht="15" customHeight="1" s="77">
      <c r="A667" s="123" t="n"/>
      <c r="B667" s="123" t="n"/>
      <c r="C667" s="124" t="n"/>
      <c r="D667" s="125" t="n"/>
      <c r="E667" s="123" t="n"/>
      <c r="F667" s="126" t="n"/>
      <c r="G667" s="125" t="n"/>
      <c r="H667" s="122">
        <f>IF($D667="",0,MAX(0,ROUNDDOWN((AmortismanRaporTarihi-$C667)/365,0)))</f>
        <v/>
      </c>
      <c r="I667" s="122">
        <f>IF($D667="",0,IFERROR(IF($E667="Azalan",MAX(0,$D667*(1-MIN(2*AmortismanAzalanCarpan*$F667,1)^$H667)),MIN($D667,$D667*$F667*$H667)),0))</f>
        <v/>
      </c>
      <c r="J667" s="122">
        <f>IF($D667="",0,MAX(0,$D667-$I667))</f>
        <v/>
      </c>
      <c r="K667" s="122">
        <f>IF($H667=0,0,IFERROR(IF($E667="Azalan",$D667*(1-MIN(2*AmortismanAzalanCarpan*$F667,1))^MAX(0,$H667-1)*MIN(2*AmortismanAzalanCarpan*$F667,1),MIN($D667*$F667,$D667)),0))</f>
        <v/>
      </c>
      <c r="L667" s="122">
        <f>IF($D667="",0,$G667-$J667)</f>
        <v/>
      </c>
      <c r="M667" s="122">
        <f>IF($B667="","",CONCATENATE("Kıymet: ",$B667," | NDD: ",TEXT($J667,"#,##0")))</f>
        <v/>
      </c>
    </row>
    <row r="668" ht="15" customHeight="1" s="77">
      <c r="A668" s="123" t="n"/>
      <c r="B668" s="123" t="n"/>
      <c r="C668" s="124" t="n"/>
      <c r="D668" s="125" t="n"/>
      <c r="E668" s="123" t="n"/>
      <c r="F668" s="126" t="n"/>
      <c r="G668" s="125" t="n"/>
      <c r="H668" s="122">
        <f>IF($D668="",0,MAX(0,ROUNDDOWN((AmortismanRaporTarihi-$C668)/365,0)))</f>
        <v/>
      </c>
      <c r="I668" s="122">
        <f>IF($D668="",0,IFERROR(IF($E668="Azalan",MAX(0,$D668*(1-MIN(2*AmortismanAzalanCarpan*$F668,1)^$H668)),MIN($D668,$D668*$F668*$H668)),0))</f>
        <v/>
      </c>
      <c r="J668" s="122">
        <f>IF($D668="",0,MAX(0,$D668-$I668))</f>
        <v/>
      </c>
      <c r="K668" s="122">
        <f>IF($H668=0,0,IFERROR(IF($E668="Azalan",$D668*(1-MIN(2*AmortismanAzalanCarpan*$F668,1))^MAX(0,$H668-1)*MIN(2*AmortismanAzalanCarpan*$F668,1),MIN($D668*$F668,$D668)),0))</f>
        <v/>
      </c>
      <c r="L668" s="122">
        <f>IF($D668="",0,$G668-$J668)</f>
        <v/>
      </c>
      <c r="M668" s="122">
        <f>IF($B668="","",CONCATENATE("Kıymet: ",$B668," | NDD: ",TEXT($J668,"#,##0")))</f>
        <v/>
      </c>
    </row>
    <row r="669" ht="15" customHeight="1" s="77">
      <c r="A669" s="123" t="n"/>
      <c r="B669" s="123" t="n"/>
      <c r="C669" s="124" t="n"/>
      <c r="D669" s="125" t="n"/>
      <c r="E669" s="123" t="n"/>
      <c r="F669" s="126" t="n"/>
      <c r="G669" s="125" t="n"/>
      <c r="H669" s="122">
        <f>IF($D669="",0,MAX(0,ROUNDDOWN((AmortismanRaporTarihi-$C669)/365,0)))</f>
        <v/>
      </c>
      <c r="I669" s="122">
        <f>IF($D669="",0,IFERROR(IF($E669="Azalan",MAX(0,$D669*(1-MIN(2*AmortismanAzalanCarpan*$F669,1)^$H669)),MIN($D669,$D669*$F669*$H669)),0))</f>
        <v/>
      </c>
      <c r="J669" s="122">
        <f>IF($D669="",0,MAX(0,$D669-$I669))</f>
        <v/>
      </c>
      <c r="K669" s="122">
        <f>IF($H669=0,0,IFERROR(IF($E669="Azalan",$D669*(1-MIN(2*AmortismanAzalanCarpan*$F669,1))^MAX(0,$H669-1)*MIN(2*AmortismanAzalanCarpan*$F669,1),MIN($D669*$F669,$D669)),0))</f>
        <v/>
      </c>
      <c r="L669" s="122">
        <f>IF($D669="",0,$G669-$J669)</f>
        <v/>
      </c>
      <c r="M669" s="122">
        <f>IF($B669="","",CONCATENATE("Kıymet: ",$B669," | NDD: ",TEXT($J669,"#,##0")))</f>
        <v/>
      </c>
    </row>
    <row r="670" ht="15" customHeight="1" s="77">
      <c r="A670" s="123" t="n"/>
      <c r="B670" s="123" t="n"/>
      <c r="C670" s="124" t="n"/>
      <c r="D670" s="125" t="n"/>
      <c r="E670" s="123" t="n"/>
      <c r="F670" s="126" t="n"/>
      <c r="G670" s="125" t="n"/>
      <c r="H670" s="122">
        <f>IF($D670="",0,MAX(0,ROUNDDOWN((AmortismanRaporTarihi-$C670)/365,0)))</f>
        <v/>
      </c>
      <c r="I670" s="122">
        <f>IF($D670="",0,IFERROR(IF($E670="Azalan",MAX(0,$D670*(1-MIN(2*AmortismanAzalanCarpan*$F670,1)^$H670)),MIN($D670,$D670*$F670*$H670)),0))</f>
        <v/>
      </c>
      <c r="J670" s="122">
        <f>IF($D670="",0,MAX(0,$D670-$I670))</f>
        <v/>
      </c>
      <c r="K670" s="122">
        <f>IF($H670=0,0,IFERROR(IF($E670="Azalan",$D670*(1-MIN(2*AmortismanAzalanCarpan*$F670,1))^MAX(0,$H670-1)*MIN(2*AmortismanAzalanCarpan*$F670,1),MIN($D670*$F670,$D670)),0))</f>
        <v/>
      </c>
      <c r="L670" s="122">
        <f>IF($D670="",0,$G670-$J670)</f>
        <v/>
      </c>
      <c r="M670" s="122">
        <f>IF($B670="","",CONCATENATE("Kıymet: ",$B670," | NDD: ",TEXT($J670,"#,##0")))</f>
        <v/>
      </c>
    </row>
    <row r="671" ht="15" customHeight="1" s="77">
      <c r="A671" s="123" t="n"/>
      <c r="B671" s="123" t="n"/>
      <c r="C671" s="124" t="n"/>
      <c r="D671" s="125" t="n"/>
      <c r="E671" s="123" t="n"/>
      <c r="F671" s="126" t="n"/>
      <c r="G671" s="125" t="n"/>
      <c r="H671" s="122">
        <f>IF($D671="",0,MAX(0,ROUNDDOWN((AmortismanRaporTarihi-$C671)/365,0)))</f>
        <v/>
      </c>
      <c r="I671" s="122">
        <f>IF($D671="",0,IFERROR(IF($E671="Azalan",MAX(0,$D671*(1-MIN(2*AmortismanAzalanCarpan*$F671,1)^$H671)),MIN($D671,$D671*$F671*$H671)),0))</f>
        <v/>
      </c>
      <c r="J671" s="122">
        <f>IF($D671="",0,MAX(0,$D671-$I671))</f>
        <v/>
      </c>
      <c r="K671" s="122">
        <f>IF($H671=0,0,IFERROR(IF($E671="Azalan",$D671*(1-MIN(2*AmortismanAzalanCarpan*$F671,1))^MAX(0,$H671-1)*MIN(2*AmortismanAzalanCarpan*$F671,1),MIN($D671*$F671,$D671)),0))</f>
        <v/>
      </c>
      <c r="L671" s="122">
        <f>IF($D671="",0,$G671-$J671)</f>
        <v/>
      </c>
      <c r="M671" s="122">
        <f>IF($B671="","",CONCATENATE("Kıymet: ",$B671," | NDD: ",TEXT($J671,"#,##0")))</f>
        <v/>
      </c>
    </row>
    <row r="672" ht="15" customHeight="1" s="77">
      <c r="A672" s="123" t="n"/>
      <c r="B672" s="123" t="n"/>
      <c r="C672" s="124" t="n"/>
      <c r="D672" s="125" t="n"/>
      <c r="E672" s="123" t="n"/>
      <c r="F672" s="126" t="n"/>
      <c r="G672" s="125" t="n"/>
      <c r="H672" s="122">
        <f>IF($D672="",0,MAX(0,ROUNDDOWN((AmortismanRaporTarihi-$C672)/365,0)))</f>
        <v/>
      </c>
      <c r="I672" s="122">
        <f>IF($D672="",0,IFERROR(IF($E672="Azalan",MAX(0,$D672*(1-MIN(2*AmortismanAzalanCarpan*$F672,1)^$H672)),MIN($D672,$D672*$F672*$H672)),0))</f>
        <v/>
      </c>
      <c r="J672" s="122">
        <f>IF($D672="",0,MAX(0,$D672-$I672))</f>
        <v/>
      </c>
      <c r="K672" s="122">
        <f>IF($H672=0,0,IFERROR(IF($E672="Azalan",$D672*(1-MIN(2*AmortismanAzalanCarpan*$F672,1))^MAX(0,$H672-1)*MIN(2*AmortismanAzalanCarpan*$F672,1),MIN($D672*$F672,$D672)),0))</f>
        <v/>
      </c>
      <c r="L672" s="122">
        <f>IF($D672="",0,$G672-$J672)</f>
        <v/>
      </c>
      <c r="M672" s="122">
        <f>IF($B672="","",CONCATENATE("Kıymet: ",$B672," | NDD: ",TEXT($J672,"#,##0")))</f>
        <v/>
      </c>
    </row>
    <row r="673" ht="15" customHeight="1" s="77">
      <c r="A673" s="123" t="n"/>
      <c r="B673" s="123" t="n"/>
      <c r="C673" s="124" t="n"/>
      <c r="D673" s="125" t="n"/>
      <c r="E673" s="123" t="n"/>
      <c r="F673" s="126" t="n"/>
      <c r="G673" s="125" t="n"/>
      <c r="H673" s="122">
        <f>IF($D673="",0,MAX(0,ROUNDDOWN((AmortismanRaporTarihi-$C673)/365,0)))</f>
        <v/>
      </c>
      <c r="I673" s="122">
        <f>IF($D673="",0,IFERROR(IF($E673="Azalan",MAX(0,$D673*(1-MIN(2*AmortismanAzalanCarpan*$F673,1)^$H673)),MIN($D673,$D673*$F673*$H673)),0))</f>
        <v/>
      </c>
      <c r="J673" s="122">
        <f>IF($D673="",0,MAX(0,$D673-$I673))</f>
        <v/>
      </c>
      <c r="K673" s="122">
        <f>IF($H673=0,0,IFERROR(IF($E673="Azalan",$D673*(1-MIN(2*AmortismanAzalanCarpan*$F673,1))^MAX(0,$H673-1)*MIN(2*AmortismanAzalanCarpan*$F673,1),MIN($D673*$F673,$D673)),0))</f>
        <v/>
      </c>
      <c r="L673" s="122">
        <f>IF($D673="",0,$G673-$J673)</f>
        <v/>
      </c>
      <c r="M673" s="122">
        <f>IF($B673="","",CONCATENATE("Kıymet: ",$B673," | NDD: ",TEXT($J673,"#,##0")))</f>
        <v/>
      </c>
    </row>
    <row r="674" ht="15" customHeight="1" s="77">
      <c r="A674" s="123" t="n"/>
      <c r="B674" s="123" t="n"/>
      <c r="C674" s="124" t="n"/>
      <c r="D674" s="125" t="n"/>
      <c r="E674" s="123" t="n"/>
      <c r="F674" s="126" t="n"/>
      <c r="G674" s="125" t="n"/>
      <c r="H674" s="122">
        <f>IF($D674="",0,MAX(0,ROUNDDOWN((AmortismanRaporTarihi-$C674)/365,0)))</f>
        <v/>
      </c>
      <c r="I674" s="122">
        <f>IF($D674="",0,IFERROR(IF($E674="Azalan",MAX(0,$D674*(1-MIN(2*AmortismanAzalanCarpan*$F674,1)^$H674)),MIN($D674,$D674*$F674*$H674)),0))</f>
        <v/>
      </c>
      <c r="J674" s="122">
        <f>IF($D674="",0,MAX(0,$D674-$I674))</f>
        <v/>
      </c>
      <c r="K674" s="122">
        <f>IF($H674=0,0,IFERROR(IF($E674="Azalan",$D674*(1-MIN(2*AmortismanAzalanCarpan*$F674,1))^MAX(0,$H674-1)*MIN(2*AmortismanAzalanCarpan*$F674,1),MIN($D674*$F674,$D674)),0))</f>
        <v/>
      </c>
      <c r="L674" s="122">
        <f>IF($D674="",0,$G674-$J674)</f>
        <v/>
      </c>
      <c r="M674" s="122">
        <f>IF($B674="","",CONCATENATE("Kıymet: ",$B674," | NDD: ",TEXT($J674,"#,##0")))</f>
        <v/>
      </c>
    </row>
    <row r="675" ht="15" customHeight="1" s="77">
      <c r="A675" s="123" t="n"/>
      <c r="B675" s="123" t="n"/>
      <c r="C675" s="124" t="n"/>
      <c r="D675" s="125" t="n"/>
      <c r="E675" s="123" t="n"/>
      <c r="F675" s="126" t="n"/>
      <c r="G675" s="125" t="n"/>
      <c r="H675" s="122">
        <f>IF($D675="",0,MAX(0,ROUNDDOWN((AmortismanRaporTarihi-$C675)/365,0)))</f>
        <v/>
      </c>
      <c r="I675" s="122">
        <f>IF($D675="",0,IFERROR(IF($E675="Azalan",MAX(0,$D675*(1-MIN(2*AmortismanAzalanCarpan*$F675,1)^$H675)),MIN($D675,$D675*$F675*$H675)),0))</f>
        <v/>
      </c>
      <c r="J675" s="122">
        <f>IF($D675="",0,MAX(0,$D675-$I675))</f>
        <v/>
      </c>
      <c r="K675" s="122">
        <f>IF($H675=0,0,IFERROR(IF($E675="Azalan",$D675*(1-MIN(2*AmortismanAzalanCarpan*$F675,1))^MAX(0,$H675-1)*MIN(2*AmortismanAzalanCarpan*$F675,1),MIN($D675*$F675,$D675)),0))</f>
        <v/>
      </c>
      <c r="L675" s="122">
        <f>IF($D675="",0,$G675-$J675)</f>
        <v/>
      </c>
      <c r="M675" s="122">
        <f>IF($B675="","",CONCATENATE("Kıymet: ",$B675," | NDD: ",TEXT($J675,"#,##0")))</f>
        <v/>
      </c>
    </row>
    <row r="676" ht="15" customHeight="1" s="77">
      <c r="A676" s="123" t="n"/>
      <c r="B676" s="123" t="n"/>
      <c r="C676" s="124" t="n"/>
      <c r="D676" s="125" t="n"/>
      <c r="E676" s="123" t="n"/>
      <c r="F676" s="126" t="n"/>
      <c r="G676" s="125" t="n"/>
      <c r="H676" s="122">
        <f>IF($D676="",0,MAX(0,ROUNDDOWN((AmortismanRaporTarihi-$C676)/365,0)))</f>
        <v/>
      </c>
      <c r="I676" s="122">
        <f>IF($D676="",0,IFERROR(IF($E676="Azalan",MAX(0,$D676*(1-MIN(2*AmortismanAzalanCarpan*$F676,1)^$H676)),MIN($D676,$D676*$F676*$H676)),0))</f>
        <v/>
      </c>
      <c r="J676" s="122">
        <f>IF($D676="",0,MAX(0,$D676-$I676))</f>
        <v/>
      </c>
      <c r="K676" s="122">
        <f>IF($H676=0,0,IFERROR(IF($E676="Azalan",$D676*(1-MIN(2*AmortismanAzalanCarpan*$F676,1))^MAX(0,$H676-1)*MIN(2*AmortismanAzalanCarpan*$F676,1),MIN($D676*$F676,$D676)),0))</f>
        <v/>
      </c>
      <c r="L676" s="122">
        <f>IF($D676="",0,$G676-$J676)</f>
        <v/>
      </c>
      <c r="M676" s="122">
        <f>IF($B676="","",CONCATENATE("Kıymet: ",$B676," | NDD: ",TEXT($J676,"#,##0")))</f>
        <v/>
      </c>
    </row>
    <row r="677" ht="15" customHeight="1" s="77">
      <c r="A677" s="123" t="n"/>
      <c r="B677" s="123" t="n"/>
      <c r="C677" s="124" t="n"/>
      <c r="D677" s="125" t="n"/>
      <c r="E677" s="123" t="n"/>
      <c r="F677" s="126" t="n"/>
      <c r="G677" s="125" t="n"/>
      <c r="H677" s="122">
        <f>IF($D677="",0,MAX(0,ROUNDDOWN((AmortismanRaporTarihi-$C677)/365,0)))</f>
        <v/>
      </c>
      <c r="I677" s="122">
        <f>IF($D677="",0,IFERROR(IF($E677="Azalan",MAX(0,$D677*(1-MIN(2*AmortismanAzalanCarpan*$F677,1)^$H677)),MIN($D677,$D677*$F677*$H677)),0))</f>
        <v/>
      </c>
      <c r="J677" s="122">
        <f>IF($D677="",0,MAX(0,$D677-$I677))</f>
        <v/>
      </c>
      <c r="K677" s="122">
        <f>IF($H677=0,0,IFERROR(IF($E677="Azalan",$D677*(1-MIN(2*AmortismanAzalanCarpan*$F677,1))^MAX(0,$H677-1)*MIN(2*AmortismanAzalanCarpan*$F677,1),MIN($D677*$F677,$D677)),0))</f>
        <v/>
      </c>
      <c r="L677" s="122">
        <f>IF($D677="",0,$G677-$J677)</f>
        <v/>
      </c>
      <c r="M677" s="122">
        <f>IF($B677="","",CONCATENATE("Kıymet: ",$B677," | NDD: ",TEXT($J677,"#,##0")))</f>
        <v/>
      </c>
    </row>
    <row r="678" ht="15" customHeight="1" s="77">
      <c r="A678" s="123" t="n"/>
      <c r="B678" s="123" t="n"/>
      <c r="C678" s="124" t="n"/>
      <c r="D678" s="125" t="n"/>
      <c r="E678" s="123" t="n"/>
      <c r="F678" s="126" t="n"/>
      <c r="G678" s="125" t="n"/>
      <c r="H678" s="122">
        <f>IF($D678="",0,MAX(0,ROUNDDOWN((AmortismanRaporTarihi-$C678)/365,0)))</f>
        <v/>
      </c>
      <c r="I678" s="122">
        <f>IF($D678="",0,IFERROR(IF($E678="Azalan",MAX(0,$D678*(1-MIN(2*AmortismanAzalanCarpan*$F678,1)^$H678)),MIN($D678,$D678*$F678*$H678)),0))</f>
        <v/>
      </c>
      <c r="J678" s="122">
        <f>IF($D678="",0,MAX(0,$D678-$I678))</f>
        <v/>
      </c>
      <c r="K678" s="122">
        <f>IF($H678=0,0,IFERROR(IF($E678="Azalan",$D678*(1-MIN(2*AmortismanAzalanCarpan*$F678,1))^MAX(0,$H678-1)*MIN(2*AmortismanAzalanCarpan*$F678,1),MIN($D678*$F678,$D678)),0))</f>
        <v/>
      </c>
      <c r="L678" s="122">
        <f>IF($D678="",0,$G678-$J678)</f>
        <v/>
      </c>
      <c r="M678" s="122">
        <f>IF($B678="","",CONCATENATE("Kıymet: ",$B678," | NDD: ",TEXT($J678,"#,##0")))</f>
        <v/>
      </c>
    </row>
    <row r="679" ht="15" customHeight="1" s="77">
      <c r="A679" s="123" t="n"/>
      <c r="B679" s="123" t="n"/>
      <c r="C679" s="124" t="n"/>
      <c r="D679" s="125" t="n"/>
      <c r="E679" s="123" t="n"/>
      <c r="F679" s="126" t="n"/>
      <c r="G679" s="125" t="n"/>
      <c r="H679" s="122">
        <f>IF($D679="",0,MAX(0,ROUNDDOWN((AmortismanRaporTarihi-$C679)/365,0)))</f>
        <v/>
      </c>
      <c r="I679" s="122">
        <f>IF($D679="",0,IFERROR(IF($E679="Azalan",MAX(0,$D679*(1-MIN(2*AmortismanAzalanCarpan*$F679,1)^$H679)),MIN($D679,$D679*$F679*$H679)),0))</f>
        <v/>
      </c>
      <c r="J679" s="122">
        <f>IF($D679="",0,MAX(0,$D679-$I679))</f>
        <v/>
      </c>
      <c r="K679" s="122">
        <f>IF($H679=0,0,IFERROR(IF($E679="Azalan",$D679*(1-MIN(2*AmortismanAzalanCarpan*$F679,1))^MAX(0,$H679-1)*MIN(2*AmortismanAzalanCarpan*$F679,1),MIN($D679*$F679,$D679)),0))</f>
        <v/>
      </c>
      <c r="L679" s="122">
        <f>IF($D679="",0,$G679-$J679)</f>
        <v/>
      </c>
      <c r="M679" s="122">
        <f>IF($B679="","",CONCATENATE("Kıymet: ",$B679," | NDD: ",TEXT($J679,"#,##0")))</f>
        <v/>
      </c>
    </row>
    <row r="680" ht="15" customHeight="1" s="77">
      <c r="A680" s="123" t="n"/>
      <c r="B680" s="123" t="n"/>
      <c r="C680" s="124" t="n"/>
      <c r="D680" s="125" t="n"/>
      <c r="E680" s="123" t="n"/>
      <c r="F680" s="126" t="n"/>
      <c r="G680" s="125" t="n"/>
      <c r="H680" s="122">
        <f>IF($D680="",0,MAX(0,ROUNDDOWN((AmortismanRaporTarihi-$C680)/365,0)))</f>
        <v/>
      </c>
      <c r="I680" s="122">
        <f>IF($D680="",0,IFERROR(IF($E680="Azalan",MAX(0,$D680*(1-MIN(2*AmortismanAzalanCarpan*$F680,1)^$H680)),MIN($D680,$D680*$F680*$H680)),0))</f>
        <v/>
      </c>
      <c r="J680" s="122">
        <f>IF($D680="",0,MAX(0,$D680-$I680))</f>
        <v/>
      </c>
      <c r="K680" s="122">
        <f>IF($H680=0,0,IFERROR(IF($E680="Azalan",$D680*(1-MIN(2*AmortismanAzalanCarpan*$F680,1))^MAX(0,$H680-1)*MIN(2*AmortismanAzalanCarpan*$F680,1),MIN($D680*$F680,$D680)),0))</f>
        <v/>
      </c>
      <c r="L680" s="122">
        <f>IF($D680="",0,$G680-$J680)</f>
        <v/>
      </c>
      <c r="M680" s="122">
        <f>IF($B680="","",CONCATENATE("Kıymet: ",$B680," | NDD: ",TEXT($J680,"#,##0")))</f>
        <v/>
      </c>
    </row>
    <row r="681" ht="15" customHeight="1" s="77">
      <c r="A681" s="123" t="n"/>
      <c r="B681" s="123" t="n"/>
      <c r="C681" s="124" t="n"/>
      <c r="D681" s="125" t="n"/>
      <c r="E681" s="123" t="n"/>
      <c r="F681" s="126" t="n"/>
      <c r="G681" s="125" t="n"/>
      <c r="H681" s="122">
        <f>IF($D681="",0,MAX(0,ROUNDDOWN((AmortismanRaporTarihi-$C681)/365,0)))</f>
        <v/>
      </c>
      <c r="I681" s="122">
        <f>IF($D681="",0,IFERROR(IF($E681="Azalan",MAX(0,$D681*(1-MIN(2*AmortismanAzalanCarpan*$F681,1)^$H681)),MIN($D681,$D681*$F681*$H681)),0))</f>
        <v/>
      </c>
      <c r="J681" s="122">
        <f>IF($D681="",0,MAX(0,$D681-$I681))</f>
        <v/>
      </c>
      <c r="K681" s="122">
        <f>IF($H681=0,0,IFERROR(IF($E681="Azalan",$D681*(1-MIN(2*AmortismanAzalanCarpan*$F681,1))^MAX(0,$H681-1)*MIN(2*AmortismanAzalanCarpan*$F681,1),MIN($D681*$F681,$D681)),0))</f>
        <v/>
      </c>
      <c r="L681" s="122">
        <f>IF($D681="",0,$G681-$J681)</f>
        <v/>
      </c>
      <c r="M681" s="122">
        <f>IF($B681="","",CONCATENATE("Kıymet: ",$B681," | NDD: ",TEXT($J681,"#,##0")))</f>
        <v/>
      </c>
    </row>
    <row r="682" ht="15" customHeight="1" s="77">
      <c r="A682" s="123" t="n"/>
      <c r="B682" s="123" t="n"/>
      <c r="C682" s="124" t="n"/>
      <c r="D682" s="125" t="n"/>
      <c r="E682" s="123" t="n"/>
      <c r="F682" s="126" t="n"/>
      <c r="G682" s="125" t="n"/>
      <c r="H682" s="122">
        <f>IF($D682="",0,MAX(0,ROUNDDOWN((AmortismanRaporTarihi-$C682)/365,0)))</f>
        <v/>
      </c>
      <c r="I682" s="122">
        <f>IF($D682="",0,IFERROR(IF($E682="Azalan",MAX(0,$D682*(1-MIN(2*AmortismanAzalanCarpan*$F682,1)^$H682)),MIN($D682,$D682*$F682*$H682)),0))</f>
        <v/>
      </c>
      <c r="J682" s="122">
        <f>IF($D682="",0,MAX(0,$D682-$I682))</f>
        <v/>
      </c>
      <c r="K682" s="122">
        <f>IF($H682=0,0,IFERROR(IF($E682="Azalan",$D682*(1-MIN(2*AmortismanAzalanCarpan*$F682,1))^MAX(0,$H682-1)*MIN(2*AmortismanAzalanCarpan*$F682,1),MIN($D682*$F682,$D682)),0))</f>
        <v/>
      </c>
      <c r="L682" s="122">
        <f>IF($D682="",0,$G682-$J682)</f>
        <v/>
      </c>
      <c r="M682" s="122">
        <f>IF($B682="","",CONCATENATE("Kıymet: ",$B682," | NDD: ",TEXT($J682,"#,##0")))</f>
        <v/>
      </c>
    </row>
    <row r="683" ht="15" customHeight="1" s="77">
      <c r="A683" s="123" t="n"/>
      <c r="B683" s="123" t="n"/>
      <c r="C683" s="124" t="n"/>
      <c r="D683" s="125" t="n"/>
      <c r="E683" s="123" t="n"/>
      <c r="F683" s="126" t="n"/>
      <c r="G683" s="125" t="n"/>
      <c r="H683" s="122">
        <f>IF($D683="",0,MAX(0,ROUNDDOWN((AmortismanRaporTarihi-$C683)/365,0)))</f>
        <v/>
      </c>
      <c r="I683" s="122">
        <f>IF($D683="",0,IFERROR(IF($E683="Azalan",MAX(0,$D683*(1-MIN(2*AmortismanAzalanCarpan*$F683,1)^$H683)),MIN($D683,$D683*$F683*$H683)),0))</f>
        <v/>
      </c>
      <c r="J683" s="122">
        <f>IF($D683="",0,MAX(0,$D683-$I683))</f>
        <v/>
      </c>
      <c r="K683" s="122">
        <f>IF($H683=0,0,IFERROR(IF($E683="Azalan",$D683*(1-MIN(2*AmortismanAzalanCarpan*$F683,1))^MAX(0,$H683-1)*MIN(2*AmortismanAzalanCarpan*$F683,1),MIN($D683*$F683,$D683)),0))</f>
        <v/>
      </c>
      <c r="L683" s="122">
        <f>IF($D683="",0,$G683-$J683)</f>
        <v/>
      </c>
      <c r="M683" s="122">
        <f>IF($B683="","",CONCATENATE("Kıymet: ",$B683," | NDD: ",TEXT($J683,"#,##0")))</f>
        <v/>
      </c>
    </row>
    <row r="684" ht="15" customHeight="1" s="77">
      <c r="A684" s="123" t="n"/>
      <c r="B684" s="123" t="n"/>
      <c r="C684" s="124" t="n"/>
      <c r="D684" s="125" t="n"/>
      <c r="E684" s="123" t="n"/>
      <c r="F684" s="126" t="n"/>
      <c r="G684" s="125" t="n"/>
      <c r="H684" s="122">
        <f>IF($D684="",0,MAX(0,ROUNDDOWN((AmortismanRaporTarihi-$C684)/365,0)))</f>
        <v/>
      </c>
      <c r="I684" s="122">
        <f>IF($D684="",0,IFERROR(IF($E684="Azalan",MAX(0,$D684*(1-MIN(2*AmortismanAzalanCarpan*$F684,1)^$H684)),MIN($D684,$D684*$F684*$H684)),0))</f>
        <v/>
      </c>
      <c r="J684" s="122">
        <f>IF($D684="",0,MAX(0,$D684-$I684))</f>
        <v/>
      </c>
      <c r="K684" s="122">
        <f>IF($H684=0,0,IFERROR(IF($E684="Azalan",$D684*(1-MIN(2*AmortismanAzalanCarpan*$F684,1))^MAX(0,$H684-1)*MIN(2*AmortismanAzalanCarpan*$F684,1),MIN($D684*$F684,$D684)),0))</f>
        <v/>
      </c>
      <c r="L684" s="122">
        <f>IF($D684="",0,$G684-$J684)</f>
        <v/>
      </c>
      <c r="M684" s="122">
        <f>IF($B684="","",CONCATENATE("Kıymet: ",$B684," | NDD: ",TEXT($J684,"#,##0")))</f>
        <v/>
      </c>
    </row>
    <row r="685" ht="15" customHeight="1" s="77">
      <c r="A685" s="123" t="n"/>
      <c r="B685" s="123" t="n"/>
      <c r="C685" s="124" t="n"/>
      <c r="D685" s="125" t="n"/>
      <c r="E685" s="123" t="n"/>
      <c r="F685" s="126" t="n"/>
      <c r="G685" s="125" t="n"/>
      <c r="H685" s="122">
        <f>IF($D685="",0,MAX(0,ROUNDDOWN((AmortismanRaporTarihi-$C685)/365,0)))</f>
        <v/>
      </c>
      <c r="I685" s="122">
        <f>IF($D685="",0,IFERROR(IF($E685="Azalan",MAX(0,$D685*(1-MIN(2*AmortismanAzalanCarpan*$F685,1)^$H685)),MIN($D685,$D685*$F685*$H685)),0))</f>
        <v/>
      </c>
      <c r="J685" s="122">
        <f>IF($D685="",0,MAX(0,$D685-$I685))</f>
        <v/>
      </c>
      <c r="K685" s="122">
        <f>IF($H685=0,0,IFERROR(IF($E685="Azalan",$D685*(1-MIN(2*AmortismanAzalanCarpan*$F685,1))^MAX(0,$H685-1)*MIN(2*AmortismanAzalanCarpan*$F685,1),MIN($D685*$F685,$D685)),0))</f>
        <v/>
      </c>
      <c r="L685" s="122">
        <f>IF($D685="",0,$G685-$J685)</f>
        <v/>
      </c>
      <c r="M685" s="122">
        <f>IF($B685="","",CONCATENATE("Kıymet: ",$B685," | NDD: ",TEXT($J685,"#,##0")))</f>
        <v/>
      </c>
    </row>
    <row r="686" ht="15" customHeight="1" s="77">
      <c r="A686" s="123" t="n"/>
      <c r="B686" s="123" t="n"/>
      <c r="C686" s="124" t="n"/>
      <c r="D686" s="125" t="n"/>
      <c r="E686" s="123" t="n"/>
      <c r="F686" s="126" t="n"/>
      <c r="G686" s="125" t="n"/>
      <c r="H686" s="122">
        <f>IF($D686="",0,MAX(0,ROUNDDOWN((AmortismanRaporTarihi-$C686)/365,0)))</f>
        <v/>
      </c>
      <c r="I686" s="122">
        <f>IF($D686="",0,IFERROR(IF($E686="Azalan",MAX(0,$D686*(1-MIN(2*AmortismanAzalanCarpan*$F686,1)^$H686)),MIN($D686,$D686*$F686*$H686)),0))</f>
        <v/>
      </c>
      <c r="J686" s="122">
        <f>IF($D686="",0,MAX(0,$D686-$I686))</f>
        <v/>
      </c>
      <c r="K686" s="122">
        <f>IF($H686=0,0,IFERROR(IF($E686="Azalan",$D686*(1-MIN(2*AmortismanAzalanCarpan*$F686,1))^MAX(0,$H686-1)*MIN(2*AmortismanAzalanCarpan*$F686,1),MIN($D686*$F686,$D686)),0))</f>
        <v/>
      </c>
      <c r="L686" s="122">
        <f>IF($D686="",0,$G686-$J686)</f>
        <v/>
      </c>
      <c r="M686" s="122">
        <f>IF($B686="","",CONCATENATE("Kıymet: ",$B686," | NDD: ",TEXT($J686,"#,##0")))</f>
        <v/>
      </c>
    </row>
    <row r="687" ht="15" customHeight="1" s="77">
      <c r="A687" s="123" t="n"/>
      <c r="B687" s="123" t="n"/>
      <c r="C687" s="124" t="n"/>
      <c r="D687" s="125" t="n"/>
      <c r="E687" s="123" t="n"/>
      <c r="F687" s="126" t="n"/>
      <c r="G687" s="125" t="n"/>
      <c r="H687" s="122">
        <f>IF($D687="",0,MAX(0,ROUNDDOWN((AmortismanRaporTarihi-$C687)/365,0)))</f>
        <v/>
      </c>
      <c r="I687" s="122">
        <f>IF($D687="",0,IFERROR(IF($E687="Azalan",MAX(0,$D687*(1-MIN(2*AmortismanAzalanCarpan*$F687,1)^$H687)),MIN($D687,$D687*$F687*$H687)),0))</f>
        <v/>
      </c>
      <c r="J687" s="122">
        <f>IF($D687="",0,MAX(0,$D687-$I687))</f>
        <v/>
      </c>
      <c r="K687" s="122">
        <f>IF($H687=0,0,IFERROR(IF($E687="Azalan",$D687*(1-MIN(2*AmortismanAzalanCarpan*$F687,1))^MAX(0,$H687-1)*MIN(2*AmortismanAzalanCarpan*$F687,1),MIN($D687*$F687,$D687)),0))</f>
        <v/>
      </c>
      <c r="L687" s="122">
        <f>IF($D687="",0,$G687-$J687)</f>
        <v/>
      </c>
      <c r="M687" s="122">
        <f>IF($B687="","",CONCATENATE("Kıymet: ",$B687," | NDD: ",TEXT($J687,"#,##0")))</f>
        <v/>
      </c>
    </row>
    <row r="688" ht="15" customHeight="1" s="77">
      <c r="A688" s="123" t="n"/>
      <c r="B688" s="123" t="n"/>
      <c r="C688" s="124" t="n"/>
      <c r="D688" s="125" t="n"/>
      <c r="E688" s="123" t="n"/>
      <c r="F688" s="126" t="n"/>
      <c r="G688" s="125" t="n"/>
      <c r="H688" s="122">
        <f>IF($D688="",0,MAX(0,ROUNDDOWN((AmortismanRaporTarihi-$C688)/365,0)))</f>
        <v/>
      </c>
      <c r="I688" s="122">
        <f>IF($D688="",0,IFERROR(IF($E688="Azalan",MAX(0,$D688*(1-MIN(2*AmortismanAzalanCarpan*$F688,1)^$H688)),MIN($D688,$D688*$F688*$H688)),0))</f>
        <v/>
      </c>
      <c r="J688" s="122">
        <f>IF($D688="",0,MAX(0,$D688-$I688))</f>
        <v/>
      </c>
      <c r="K688" s="122">
        <f>IF($H688=0,0,IFERROR(IF($E688="Azalan",$D688*(1-MIN(2*AmortismanAzalanCarpan*$F688,1))^MAX(0,$H688-1)*MIN(2*AmortismanAzalanCarpan*$F688,1),MIN($D688*$F688,$D688)),0))</f>
        <v/>
      </c>
      <c r="L688" s="122">
        <f>IF($D688="",0,$G688-$J688)</f>
        <v/>
      </c>
      <c r="M688" s="122">
        <f>IF($B688="","",CONCATENATE("Kıymet: ",$B688," | NDD: ",TEXT($J688,"#,##0")))</f>
        <v/>
      </c>
    </row>
    <row r="689" ht="15" customHeight="1" s="77">
      <c r="A689" s="123" t="n"/>
      <c r="B689" s="123" t="n"/>
      <c r="C689" s="124" t="n"/>
      <c r="D689" s="125" t="n"/>
      <c r="E689" s="123" t="n"/>
      <c r="F689" s="126" t="n"/>
      <c r="G689" s="125" t="n"/>
      <c r="H689" s="122">
        <f>IF($D689="",0,MAX(0,ROUNDDOWN((AmortismanRaporTarihi-$C689)/365,0)))</f>
        <v/>
      </c>
      <c r="I689" s="122">
        <f>IF($D689="",0,IFERROR(IF($E689="Azalan",MAX(0,$D689*(1-MIN(2*AmortismanAzalanCarpan*$F689,1)^$H689)),MIN($D689,$D689*$F689*$H689)),0))</f>
        <v/>
      </c>
      <c r="J689" s="122">
        <f>IF($D689="",0,MAX(0,$D689-$I689))</f>
        <v/>
      </c>
      <c r="K689" s="122">
        <f>IF($H689=0,0,IFERROR(IF($E689="Azalan",$D689*(1-MIN(2*AmortismanAzalanCarpan*$F689,1))^MAX(0,$H689-1)*MIN(2*AmortismanAzalanCarpan*$F689,1),MIN($D689*$F689,$D689)),0))</f>
        <v/>
      </c>
      <c r="L689" s="122">
        <f>IF($D689="",0,$G689-$J689)</f>
        <v/>
      </c>
      <c r="M689" s="122">
        <f>IF($B689="","",CONCATENATE("Kıymet: ",$B689," | NDD: ",TEXT($J689,"#,##0")))</f>
        <v/>
      </c>
    </row>
    <row r="690" ht="15" customHeight="1" s="77">
      <c r="A690" s="123" t="n"/>
      <c r="B690" s="123" t="n"/>
      <c r="C690" s="124" t="n"/>
      <c r="D690" s="125" t="n"/>
      <c r="E690" s="123" t="n"/>
      <c r="F690" s="126" t="n"/>
      <c r="G690" s="125" t="n"/>
      <c r="H690" s="122">
        <f>IF($D690="",0,MAX(0,ROUNDDOWN((AmortismanRaporTarihi-$C690)/365,0)))</f>
        <v/>
      </c>
      <c r="I690" s="122">
        <f>IF($D690="",0,IFERROR(IF($E690="Azalan",MAX(0,$D690*(1-MIN(2*AmortismanAzalanCarpan*$F690,1)^$H690)),MIN($D690,$D690*$F690*$H690)),0))</f>
        <v/>
      </c>
      <c r="J690" s="122">
        <f>IF($D690="",0,MAX(0,$D690-$I690))</f>
        <v/>
      </c>
      <c r="K690" s="122">
        <f>IF($H690=0,0,IFERROR(IF($E690="Azalan",$D690*(1-MIN(2*AmortismanAzalanCarpan*$F690,1))^MAX(0,$H690-1)*MIN(2*AmortismanAzalanCarpan*$F690,1),MIN($D690*$F690,$D690)),0))</f>
        <v/>
      </c>
      <c r="L690" s="122">
        <f>IF($D690="",0,$G690-$J690)</f>
        <v/>
      </c>
      <c r="M690" s="122">
        <f>IF($B690="","",CONCATENATE("Kıymet: ",$B690," | NDD: ",TEXT($J690,"#,##0")))</f>
        <v/>
      </c>
    </row>
    <row r="691" ht="15" customHeight="1" s="77">
      <c r="A691" s="123" t="n"/>
      <c r="B691" s="123" t="n"/>
      <c r="C691" s="124" t="n"/>
      <c r="D691" s="125" t="n"/>
      <c r="E691" s="123" t="n"/>
      <c r="F691" s="126" t="n"/>
      <c r="G691" s="125" t="n"/>
      <c r="H691" s="122">
        <f>IF($D691="",0,MAX(0,ROUNDDOWN((AmortismanRaporTarihi-$C691)/365,0)))</f>
        <v/>
      </c>
      <c r="I691" s="122">
        <f>IF($D691="",0,IFERROR(IF($E691="Azalan",MAX(0,$D691*(1-MIN(2*AmortismanAzalanCarpan*$F691,1)^$H691)),MIN($D691,$D691*$F691*$H691)),0))</f>
        <v/>
      </c>
      <c r="J691" s="122">
        <f>IF($D691="",0,MAX(0,$D691-$I691))</f>
        <v/>
      </c>
      <c r="K691" s="122">
        <f>IF($H691=0,0,IFERROR(IF($E691="Azalan",$D691*(1-MIN(2*AmortismanAzalanCarpan*$F691,1))^MAX(0,$H691-1)*MIN(2*AmortismanAzalanCarpan*$F691,1),MIN($D691*$F691,$D691)),0))</f>
        <v/>
      </c>
      <c r="L691" s="122">
        <f>IF($D691="",0,$G691-$J691)</f>
        <v/>
      </c>
      <c r="M691" s="122">
        <f>IF($B691="","",CONCATENATE("Kıymet: ",$B691," | NDD: ",TEXT($J691,"#,##0")))</f>
        <v/>
      </c>
    </row>
    <row r="692" ht="15" customHeight="1" s="77">
      <c r="A692" s="123" t="n"/>
      <c r="B692" s="123" t="n"/>
      <c r="C692" s="124" t="n"/>
      <c r="D692" s="125" t="n"/>
      <c r="E692" s="123" t="n"/>
      <c r="F692" s="126" t="n"/>
      <c r="G692" s="125" t="n"/>
      <c r="H692" s="122">
        <f>IF($D692="",0,MAX(0,ROUNDDOWN((AmortismanRaporTarihi-$C692)/365,0)))</f>
        <v/>
      </c>
      <c r="I692" s="122">
        <f>IF($D692="",0,IFERROR(IF($E692="Azalan",MAX(0,$D692*(1-MIN(2*AmortismanAzalanCarpan*$F692,1)^$H692)),MIN($D692,$D692*$F692*$H692)),0))</f>
        <v/>
      </c>
      <c r="J692" s="122">
        <f>IF($D692="",0,MAX(0,$D692-$I692))</f>
        <v/>
      </c>
      <c r="K692" s="122">
        <f>IF($H692=0,0,IFERROR(IF($E692="Azalan",$D692*(1-MIN(2*AmortismanAzalanCarpan*$F692,1))^MAX(0,$H692-1)*MIN(2*AmortismanAzalanCarpan*$F692,1),MIN($D692*$F692,$D692)),0))</f>
        <v/>
      </c>
      <c r="L692" s="122">
        <f>IF($D692="",0,$G692-$J692)</f>
        <v/>
      </c>
      <c r="M692" s="122">
        <f>IF($B692="","",CONCATENATE("Kıymet: ",$B692," | NDD: ",TEXT($J692,"#,##0")))</f>
        <v/>
      </c>
    </row>
    <row r="693" ht="15" customHeight="1" s="77">
      <c r="A693" s="123" t="n"/>
      <c r="B693" s="123" t="n"/>
      <c r="C693" s="124" t="n"/>
      <c r="D693" s="125" t="n"/>
      <c r="E693" s="123" t="n"/>
      <c r="F693" s="126" t="n"/>
      <c r="G693" s="125" t="n"/>
      <c r="H693" s="122">
        <f>IF($D693="",0,MAX(0,ROUNDDOWN((AmortismanRaporTarihi-$C693)/365,0)))</f>
        <v/>
      </c>
      <c r="I693" s="122">
        <f>IF($D693="",0,IFERROR(IF($E693="Azalan",MAX(0,$D693*(1-MIN(2*AmortismanAzalanCarpan*$F693,1)^$H693)),MIN($D693,$D693*$F693*$H693)),0))</f>
        <v/>
      </c>
      <c r="J693" s="122">
        <f>IF($D693="",0,MAX(0,$D693-$I693))</f>
        <v/>
      </c>
      <c r="K693" s="122">
        <f>IF($H693=0,0,IFERROR(IF($E693="Azalan",$D693*(1-MIN(2*AmortismanAzalanCarpan*$F693,1))^MAX(0,$H693-1)*MIN(2*AmortismanAzalanCarpan*$F693,1),MIN($D693*$F693,$D693)),0))</f>
        <v/>
      </c>
      <c r="L693" s="122">
        <f>IF($D693="",0,$G693-$J693)</f>
        <v/>
      </c>
      <c r="M693" s="122">
        <f>IF($B693="","",CONCATENATE("Kıymet: ",$B693," | NDD: ",TEXT($J693,"#,##0")))</f>
        <v/>
      </c>
    </row>
    <row r="694" ht="15" customHeight="1" s="77">
      <c r="A694" s="123" t="n"/>
      <c r="B694" s="123" t="n"/>
      <c r="C694" s="124" t="n"/>
      <c r="D694" s="125" t="n"/>
      <c r="E694" s="123" t="n"/>
      <c r="F694" s="126" t="n"/>
      <c r="G694" s="125" t="n"/>
      <c r="H694" s="122">
        <f>IF($D694="",0,MAX(0,ROUNDDOWN((AmortismanRaporTarihi-$C694)/365,0)))</f>
        <v/>
      </c>
      <c r="I694" s="122">
        <f>IF($D694="",0,IFERROR(IF($E694="Azalan",MAX(0,$D694*(1-MIN(2*AmortismanAzalanCarpan*$F694,1)^$H694)),MIN($D694,$D694*$F694*$H694)),0))</f>
        <v/>
      </c>
      <c r="J694" s="122">
        <f>IF($D694="",0,MAX(0,$D694-$I694))</f>
        <v/>
      </c>
      <c r="K694" s="122">
        <f>IF($H694=0,0,IFERROR(IF($E694="Azalan",$D694*(1-MIN(2*AmortismanAzalanCarpan*$F694,1))^MAX(0,$H694-1)*MIN(2*AmortismanAzalanCarpan*$F694,1),MIN($D694*$F694,$D694)),0))</f>
        <v/>
      </c>
      <c r="L694" s="122">
        <f>IF($D694="",0,$G694-$J694)</f>
        <v/>
      </c>
      <c r="M694" s="122">
        <f>IF($B694="","",CONCATENATE("Kıymet: ",$B694," | NDD: ",TEXT($J694,"#,##0")))</f>
        <v/>
      </c>
    </row>
    <row r="695" ht="15" customHeight="1" s="77">
      <c r="A695" s="123" t="n"/>
      <c r="B695" s="123" t="n"/>
      <c r="C695" s="124" t="n"/>
      <c r="D695" s="125" t="n"/>
      <c r="E695" s="123" t="n"/>
      <c r="F695" s="126" t="n"/>
      <c r="G695" s="125" t="n"/>
      <c r="H695" s="122">
        <f>IF($D695="",0,MAX(0,ROUNDDOWN((AmortismanRaporTarihi-$C695)/365,0)))</f>
        <v/>
      </c>
      <c r="I695" s="122">
        <f>IF($D695="",0,IFERROR(IF($E695="Azalan",MAX(0,$D695*(1-MIN(2*AmortismanAzalanCarpan*$F695,1)^$H695)),MIN($D695,$D695*$F695*$H695)),0))</f>
        <v/>
      </c>
      <c r="J695" s="122">
        <f>IF($D695="",0,MAX(0,$D695-$I695))</f>
        <v/>
      </c>
      <c r="K695" s="122">
        <f>IF($H695=0,0,IFERROR(IF($E695="Azalan",$D695*(1-MIN(2*AmortismanAzalanCarpan*$F695,1))^MAX(0,$H695-1)*MIN(2*AmortismanAzalanCarpan*$F695,1),MIN($D695*$F695,$D695)),0))</f>
        <v/>
      </c>
      <c r="L695" s="122">
        <f>IF($D695="",0,$G695-$J695)</f>
        <v/>
      </c>
      <c r="M695" s="122">
        <f>IF($B695="","",CONCATENATE("Kıymet: ",$B695," | NDD: ",TEXT($J695,"#,##0")))</f>
        <v/>
      </c>
    </row>
    <row r="696" ht="15" customHeight="1" s="77">
      <c r="A696" s="123" t="n"/>
      <c r="B696" s="123" t="n"/>
      <c r="C696" s="124" t="n"/>
      <c r="D696" s="125" t="n"/>
      <c r="E696" s="123" t="n"/>
      <c r="F696" s="126" t="n"/>
      <c r="G696" s="125" t="n"/>
      <c r="H696" s="122">
        <f>IF($D696="",0,MAX(0,ROUNDDOWN((AmortismanRaporTarihi-$C696)/365,0)))</f>
        <v/>
      </c>
      <c r="I696" s="122">
        <f>IF($D696="",0,IFERROR(IF($E696="Azalan",MAX(0,$D696*(1-MIN(2*AmortismanAzalanCarpan*$F696,1)^$H696)),MIN($D696,$D696*$F696*$H696)),0))</f>
        <v/>
      </c>
      <c r="J696" s="122">
        <f>IF($D696="",0,MAX(0,$D696-$I696))</f>
        <v/>
      </c>
      <c r="K696" s="122">
        <f>IF($H696=0,0,IFERROR(IF($E696="Azalan",$D696*(1-MIN(2*AmortismanAzalanCarpan*$F696,1))^MAX(0,$H696-1)*MIN(2*AmortismanAzalanCarpan*$F696,1),MIN($D696*$F696,$D696)),0))</f>
        <v/>
      </c>
      <c r="L696" s="122">
        <f>IF($D696="",0,$G696-$J696)</f>
        <v/>
      </c>
      <c r="M696" s="122">
        <f>IF($B696="","",CONCATENATE("Kıymet: ",$B696," | NDD: ",TEXT($J696,"#,##0")))</f>
        <v/>
      </c>
    </row>
    <row r="697" ht="15" customHeight="1" s="77">
      <c r="A697" s="123" t="n"/>
      <c r="B697" s="123" t="n"/>
      <c r="C697" s="124" t="n"/>
      <c r="D697" s="125" t="n"/>
      <c r="E697" s="123" t="n"/>
      <c r="F697" s="126" t="n"/>
      <c r="G697" s="125" t="n"/>
      <c r="H697" s="122">
        <f>IF($D697="",0,MAX(0,ROUNDDOWN((AmortismanRaporTarihi-$C697)/365,0)))</f>
        <v/>
      </c>
      <c r="I697" s="122">
        <f>IF($D697="",0,IFERROR(IF($E697="Azalan",MAX(0,$D697*(1-MIN(2*AmortismanAzalanCarpan*$F697,1)^$H697)),MIN($D697,$D697*$F697*$H697)),0))</f>
        <v/>
      </c>
      <c r="J697" s="122">
        <f>IF($D697="",0,MAX(0,$D697-$I697))</f>
        <v/>
      </c>
      <c r="K697" s="122">
        <f>IF($H697=0,0,IFERROR(IF($E697="Azalan",$D697*(1-MIN(2*AmortismanAzalanCarpan*$F697,1))^MAX(0,$H697-1)*MIN(2*AmortismanAzalanCarpan*$F697,1),MIN($D697*$F697,$D697)),0))</f>
        <v/>
      </c>
      <c r="L697" s="122">
        <f>IF($D697="",0,$G697-$J697)</f>
        <v/>
      </c>
      <c r="M697" s="122">
        <f>IF($B697="","",CONCATENATE("Kıymet: ",$B697," | NDD: ",TEXT($J697,"#,##0")))</f>
        <v/>
      </c>
    </row>
    <row r="698" ht="15" customHeight="1" s="77">
      <c r="A698" s="123" t="n"/>
      <c r="B698" s="123" t="n"/>
      <c r="C698" s="124" t="n"/>
      <c r="D698" s="125" t="n"/>
      <c r="E698" s="123" t="n"/>
      <c r="F698" s="126" t="n"/>
      <c r="G698" s="125" t="n"/>
      <c r="H698" s="122">
        <f>IF($D698="",0,MAX(0,ROUNDDOWN((AmortismanRaporTarihi-$C698)/365,0)))</f>
        <v/>
      </c>
      <c r="I698" s="122">
        <f>IF($D698="",0,IFERROR(IF($E698="Azalan",MAX(0,$D698*(1-MIN(2*AmortismanAzalanCarpan*$F698,1)^$H698)),MIN($D698,$D698*$F698*$H698)),0))</f>
        <v/>
      </c>
      <c r="J698" s="122">
        <f>IF($D698="",0,MAX(0,$D698-$I698))</f>
        <v/>
      </c>
      <c r="K698" s="122">
        <f>IF($H698=0,0,IFERROR(IF($E698="Azalan",$D698*(1-MIN(2*AmortismanAzalanCarpan*$F698,1))^MAX(0,$H698-1)*MIN(2*AmortismanAzalanCarpan*$F698,1),MIN($D698*$F698,$D698)),0))</f>
        <v/>
      </c>
      <c r="L698" s="122">
        <f>IF($D698="",0,$G698-$J698)</f>
        <v/>
      </c>
      <c r="M698" s="122">
        <f>IF($B698="","",CONCATENATE("Kıymet: ",$B698," | NDD: ",TEXT($J698,"#,##0")))</f>
        <v/>
      </c>
    </row>
    <row r="699" ht="15" customHeight="1" s="77">
      <c r="A699" s="123" t="n"/>
      <c r="B699" s="123" t="n"/>
      <c r="C699" s="124" t="n"/>
      <c r="D699" s="125" t="n"/>
      <c r="E699" s="123" t="n"/>
      <c r="F699" s="126" t="n"/>
      <c r="G699" s="125" t="n"/>
      <c r="H699" s="122">
        <f>IF($D699="",0,MAX(0,ROUNDDOWN((AmortismanRaporTarihi-$C699)/365,0)))</f>
        <v/>
      </c>
      <c r="I699" s="122">
        <f>IF($D699="",0,IFERROR(IF($E699="Azalan",MAX(0,$D699*(1-MIN(2*AmortismanAzalanCarpan*$F699,1)^$H699)),MIN($D699,$D699*$F699*$H699)),0))</f>
        <v/>
      </c>
      <c r="J699" s="122">
        <f>IF($D699="",0,MAX(0,$D699-$I699))</f>
        <v/>
      </c>
      <c r="K699" s="122">
        <f>IF($H699=0,0,IFERROR(IF($E699="Azalan",$D699*(1-MIN(2*AmortismanAzalanCarpan*$F699,1))^MAX(0,$H699-1)*MIN(2*AmortismanAzalanCarpan*$F699,1),MIN($D699*$F699,$D699)),0))</f>
        <v/>
      </c>
      <c r="L699" s="122">
        <f>IF($D699="",0,$G699-$J699)</f>
        <v/>
      </c>
      <c r="M699" s="122">
        <f>IF($B699="","",CONCATENATE("Kıymet: ",$B699," | NDD: ",TEXT($J699,"#,##0")))</f>
        <v/>
      </c>
    </row>
    <row r="700" ht="15" customHeight="1" s="77">
      <c r="A700" s="123" t="n"/>
      <c r="B700" s="123" t="n"/>
      <c r="C700" s="124" t="n"/>
      <c r="D700" s="125" t="n"/>
      <c r="E700" s="123" t="n"/>
      <c r="F700" s="126" t="n"/>
      <c r="G700" s="125" t="n"/>
      <c r="H700" s="122">
        <f>IF($D700="",0,MAX(0,ROUNDDOWN((AmortismanRaporTarihi-$C700)/365,0)))</f>
        <v/>
      </c>
      <c r="I700" s="122">
        <f>IF($D700="",0,IFERROR(IF($E700="Azalan",MAX(0,$D700*(1-MIN(2*AmortismanAzalanCarpan*$F700,1)^$H700)),MIN($D700,$D700*$F700*$H700)),0))</f>
        <v/>
      </c>
      <c r="J700" s="122">
        <f>IF($D700="",0,MAX(0,$D700-$I700))</f>
        <v/>
      </c>
      <c r="K700" s="122">
        <f>IF($H700=0,0,IFERROR(IF($E700="Azalan",$D700*(1-MIN(2*AmortismanAzalanCarpan*$F700,1))^MAX(0,$H700-1)*MIN(2*AmortismanAzalanCarpan*$F700,1),MIN($D700*$F700,$D700)),0))</f>
        <v/>
      </c>
      <c r="L700" s="122">
        <f>IF($D700="",0,$G700-$J700)</f>
        <v/>
      </c>
      <c r="M700" s="122">
        <f>IF($B700="","",CONCATENATE("Kıymet: ",$B700," | NDD: ",TEXT($J700,"#,##0")))</f>
        <v/>
      </c>
    </row>
    <row r="701" ht="15" customHeight="1" s="77">
      <c r="A701" s="123" t="n"/>
      <c r="B701" s="123" t="n"/>
      <c r="C701" s="124" t="n"/>
      <c r="D701" s="125" t="n"/>
      <c r="E701" s="123" t="n"/>
      <c r="F701" s="126" t="n"/>
      <c r="G701" s="125" t="n"/>
      <c r="H701" s="122">
        <f>IF($D701="",0,MAX(0,ROUNDDOWN((AmortismanRaporTarihi-$C701)/365,0)))</f>
        <v/>
      </c>
      <c r="I701" s="122">
        <f>IF($D701="",0,IFERROR(IF($E701="Azalan",MAX(0,$D701*(1-MIN(2*AmortismanAzalanCarpan*$F701,1)^$H701)),MIN($D701,$D701*$F701*$H701)),0))</f>
        <v/>
      </c>
      <c r="J701" s="122">
        <f>IF($D701="",0,MAX(0,$D701-$I701))</f>
        <v/>
      </c>
      <c r="K701" s="122">
        <f>IF($H701=0,0,IFERROR(IF($E701="Azalan",$D701*(1-MIN(2*AmortismanAzalanCarpan*$F701,1))^MAX(0,$H701-1)*MIN(2*AmortismanAzalanCarpan*$F701,1),MIN($D701*$F701,$D701)),0))</f>
        <v/>
      </c>
      <c r="L701" s="122">
        <f>IF($D701="",0,$G701-$J701)</f>
        <v/>
      </c>
      <c r="M701" s="122">
        <f>IF($B701="","",CONCATENATE("Kıymet: ",$B701," | NDD: ",TEXT($J701,"#,##0")))</f>
        <v/>
      </c>
    </row>
    <row r="702" ht="15" customHeight="1" s="77">
      <c r="A702" s="123" t="n"/>
      <c r="B702" s="123" t="n"/>
      <c r="C702" s="124" t="n"/>
      <c r="D702" s="125" t="n"/>
      <c r="E702" s="123" t="n"/>
      <c r="F702" s="126" t="n"/>
      <c r="G702" s="125" t="n"/>
      <c r="H702" s="122">
        <f>IF($D702="",0,MAX(0,ROUNDDOWN((AmortismanRaporTarihi-$C702)/365,0)))</f>
        <v/>
      </c>
      <c r="I702" s="122">
        <f>IF($D702="",0,IFERROR(IF($E702="Azalan",MAX(0,$D702*(1-MIN(2*AmortismanAzalanCarpan*$F702,1)^$H702)),MIN($D702,$D702*$F702*$H702)),0))</f>
        <v/>
      </c>
      <c r="J702" s="122">
        <f>IF($D702="",0,MAX(0,$D702-$I702))</f>
        <v/>
      </c>
      <c r="K702" s="122">
        <f>IF($H702=0,0,IFERROR(IF($E702="Azalan",$D702*(1-MIN(2*AmortismanAzalanCarpan*$F702,1))^MAX(0,$H702-1)*MIN(2*AmortismanAzalanCarpan*$F702,1),MIN($D702*$F702,$D702)),0))</f>
        <v/>
      </c>
      <c r="L702" s="122">
        <f>IF($D702="",0,$G702-$J702)</f>
        <v/>
      </c>
      <c r="M702" s="122">
        <f>IF($B702="","",CONCATENATE("Kıymet: ",$B702," | NDD: ",TEXT($J702,"#,##0")))</f>
        <v/>
      </c>
    </row>
    <row r="703" ht="15" customHeight="1" s="77">
      <c r="A703" s="123" t="n"/>
      <c r="B703" s="123" t="n"/>
      <c r="C703" s="124" t="n"/>
      <c r="D703" s="125" t="n"/>
      <c r="E703" s="123" t="n"/>
      <c r="F703" s="126" t="n"/>
      <c r="G703" s="125" t="n"/>
      <c r="H703" s="122">
        <f>IF($D703="",0,MAX(0,ROUNDDOWN((AmortismanRaporTarihi-$C703)/365,0)))</f>
        <v/>
      </c>
      <c r="I703" s="122">
        <f>IF($D703="",0,IFERROR(IF($E703="Azalan",MAX(0,$D703*(1-MIN(2*AmortismanAzalanCarpan*$F703,1)^$H703)),MIN($D703,$D703*$F703*$H703)),0))</f>
        <v/>
      </c>
      <c r="J703" s="122">
        <f>IF($D703="",0,MAX(0,$D703-$I703))</f>
        <v/>
      </c>
      <c r="K703" s="122">
        <f>IF($H703=0,0,IFERROR(IF($E703="Azalan",$D703*(1-MIN(2*AmortismanAzalanCarpan*$F703,1))^MAX(0,$H703-1)*MIN(2*AmortismanAzalanCarpan*$F703,1),MIN($D703*$F703,$D703)),0))</f>
        <v/>
      </c>
      <c r="L703" s="122">
        <f>IF($D703="",0,$G703-$J703)</f>
        <v/>
      </c>
      <c r="M703" s="122">
        <f>IF($B703="","",CONCATENATE("Kıymet: ",$B703," | NDD: ",TEXT($J703,"#,##0")))</f>
        <v/>
      </c>
    </row>
    <row r="704" ht="15" customHeight="1" s="77">
      <c r="A704" s="123" t="n"/>
      <c r="B704" s="123" t="n"/>
      <c r="C704" s="124" t="n"/>
      <c r="D704" s="125" t="n"/>
      <c r="E704" s="123" t="n"/>
      <c r="F704" s="126" t="n"/>
      <c r="G704" s="125" t="n"/>
      <c r="H704" s="122">
        <f>IF($D704="",0,MAX(0,ROUNDDOWN((AmortismanRaporTarihi-$C704)/365,0)))</f>
        <v/>
      </c>
      <c r="I704" s="122">
        <f>IF($D704="",0,IFERROR(IF($E704="Azalan",MAX(0,$D704*(1-MIN(2*AmortismanAzalanCarpan*$F704,1)^$H704)),MIN($D704,$D704*$F704*$H704)),0))</f>
        <v/>
      </c>
      <c r="J704" s="122">
        <f>IF($D704="",0,MAX(0,$D704-$I704))</f>
        <v/>
      </c>
      <c r="K704" s="122">
        <f>IF($H704=0,0,IFERROR(IF($E704="Azalan",$D704*(1-MIN(2*AmortismanAzalanCarpan*$F704,1))^MAX(0,$H704-1)*MIN(2*AmortismanAzalanCarpan*$F704,1),MIN($D704*$F704,$D704)),0))</f>
        <v/>
      </c>
      <c r="L704" s="122">
        <f>IF($D704="",0,$G704-$J704)</f>
        <v/>
      </c>
      <c r="M704" s="122">
        <f>IF($B704="","",CONCATENATE("Kıymet: ",$B704," | NDD: ",TEXT($J704,"#,##0")))</f>
        <v/>
      </c>
    </row>
    <row r="705" ht="15" customHeight="1" s="77">
      <c r="A705" s="123" t="n"/>
      <c r="B705" s="123" t="n"/>
      <c r="C705" s="124" t="n"/>
      <c r="D705" s="125" t="n"/>
      <c r="E705" s="123" t="n"/>
      <c r="F705" s="126" t="n"/>
      <c r="G705" s="125" t="n"/>
      <c r="H705" s="122">
        <f>IF($D705="",0,MAX(0,ROUNDDOWN((AmortismanRaporTarihi-$C705)/365,0)))</f>
        <v/>
      </c>
      <c r="I705" s="122">
        <f>IF($D705="",0,IFERROR(IF($E705="Azalan",MAX(0,$D705*(1-MIN(2*AmortismanAzalanCarpan*$F705,1)^$H705)),MIN($D705,$D705*$F705*$H705)),0))</f>
        <v/>
      </c>
      <c r="J705" s="122">
        <f>IF($D705="",0,MAX(0,$D705-$I705))</f>
        <v/>
      </c>
      <c r="K705" s="122">
        <f>IF($H705=0,0,IFERROR(IF($E705="Azalan",$D705*(1-MIN(2*AmortismanAzalanCarpan*$F705,1))^MAX(0,$H705-1)*MIN(2*AmortismanAzalanCarpan*$F705,1),MIN($D705*$F705,$D705)),0))</f>
        <v/>
      </c>
      <c r="L705" s="122">
        <f>IF($D705="",0,$G705-$J705)</f>
        <v/>
      </c>
      <c r="M705" s="122">
        <f>IF($B705="","",CONCATENATE("Kıymet: ",$B705," | NDD: ",TEXT($J705,"#,##0")))</f>
        <v/>
      </c>
    </row>
    <row r="706" ht="15" customHeight="1" s="77">
      <c r="A706" s="123" t="n"/>
      <c r="B706" s="123" t="n"/>
      <c r="C706" s="124" t="n"/>
      <c r="D706" s="125" t="n"/>
      <c r="E706" s="123" t="n"/>
      <c r="F706" s="126" t="n"/>
      <c r="G706" s="125" t="n"/>
      <c r="H706" s="122">
        <f>IF($D706="",0,MAX(0,ROUNDDOWN((AmortismanRaporTarihi-$C706)/365,0)))</f>
        <v/>
      </c>
      <c r="I706" s="122">
        <f>IF($D706="",0,IFERROR(IF($E706="Azalan",MAX(0,$D706*(1-MIN(2*AmortismanAzalanCarpan*$F706,1)^$H706)),MIN($D706,$D706*$F706*$H706)),0))</f>
        <v/>
      </c>
      <c r="J706" s="122">
        <f>IF($D706="",0,MAX(0,$D706-$I706))</f>
        <v/>
      </c>
      <c r="K706" s="122">
        <f>IF($H706=0,0,IFERROR(IF($E706="Azalan",$D706*(1-MIN(2*AmortismanAzalanCarpan*$F706,1))^MAX(0,$H706-1)*MIN(2*AmortismanAzalanCarpan*$F706,1),MIN($D706*$F706,$D706)),0))</f>
        <v/>
      </c>
      <c r="L706" s="122">
        <f>IF($D706="",0,$G706-$J706)</f>
        <v/>
      </c>
      <c r="M706" s="122">
        <f>IF($B706="","",CONCATENATE("Kıymet: ",$B706," | NDD: ",TEXT($J706,"#,##0")))</f>
        <v/>
      </c>
    </row>
    <row r="707" ht="15" customHeight="1" s="77">
      <c r="A707" s="123" t="n"/>
      <c r="B707" s="123" t="n"/>
      <c r="C707" s="124" t="n"/>
      <c r="D707" s="125" t="n"/>
      <c r="E707" s="123" t="n"/>
      <c r="F707" s="126" t="n"/>
      <c r="G707" s="125" t="n"/>
      <c r="H707" s="122">
        <f>IF($D707="",0,MAX(0,ROUNDDOWN((AmortismanRaporTarihi-$C707)/365,0)))</f>
        <v/>
      </c>
      <c r="I707" s="122">
        <f>IF($D707="",0,IFERROR(IF($E707="Azalan",MAX(0,$D707*(1-MIN(2*AmortismanAzalanCarpan*$F707,1)^$H707)),MIN($D707,$D707*$F707*$H707)),0))</f>
        <v/>
      </c>
      <c r="J707" s="122">
        <f>IF($D707="",0,MAX(0,$D707-$I707))</f>
        <v/>
      </c>
      <c r="K707" s="122">
        <f>IF($H707=0,0,IFERROR(IF($E707="Azalan",$D707*(1-MIN(2*AmortismanAzalanCarpan*$F707,1))^MAX(0,$H707-1)*MIN(2*AmortismanAzalanCarpan*$F707,1),MIN($D707*$F707,$D707)),0))</f>
        <v/>
      </c>
      <c r="L707" s="122">
        <f>IF($D707="",0,$G707-$J707)</f>
        <v/>
      </c>
      <c r="M707" s="122">
        <f>IF($B707="","",CONCATENATE("Kıymet: ",$B707," | NDD: ",TEXT($J707,"#,##0")))</f>
        <v/>
      </c>
    </row>
    <row r="708" ht="15" customHeight="1" s="77">
      <c r="A708" s="123" t="n"/>
      <c r="B708" s="123" t="n"/>
      <c r="C708" s="124" t="n"/>
      <c r="D708" s="125" t="n"/>
      <c r="E708" s="123" t="n"/>
      <c r="F708" s="126" t="n"/>
      <c r="G708" s="125" t="n"/>
      <c r="H708" s="122">
        <f>IF($D708="",0,MAX(0,ROUNDDOWN((AmortismanRaporTarihi-$C708)/365,0)))</f>
        <v/>
      </c>
      <c r="I708" s="122">
        <f>IF($D708="",0,IFERROR(IF($E708="Azalan",MAX(0,$D708*(1-MIN(2*AmortismanAzalanCarpan*$F708,1)^$H708)),MIN($D708,$D708*$F708*$H708)),0))</f>
        <v/>
      </c>
      <c r="J708" s="122">
        <f>IF($D708="",0,MAX(0,$D708-$I708))</f>
        <v/>
      </c>
      <c r="K708" s="122">
        <f>IF($H708=0,0,IFERROR(IF($E708="Azalan",$D708*(1-MIN(2*AmortismanAzalanCarpan*$F708,1))^MAX(0,$H708-1)*MIN(2*AmortismanAzalanCarpan*$F708,1),MIN($D708*$F708,$D708)),0))</f>
        <v/>
      </c>
      <c r="L708" s="122">
        <f>IF($D708="",0,$G708-$J708)</f>
        <v/>
      </c>
      <c r="M708" s="122">
        <f>IF($B708="","",CONCATENATE("Kıymet: ",$B708," | NDD: ",TEXT($J708,"#,##0")))</f>
        <v/>
      </c>
    </row>
    <row r="709" ht="15" customHeight="1" s="77">
      <c r="A709" s="123" t="n"/>
      <c r="B709" s="123" t="n"/>
      <c r="C709" s="124" t="n"/>
      <c r="D709" s="125" t="n"/>
      <c r="E709" s="123" t="n"/>
      <c r="F709" s="126" t="n"/>
      <c r="G709" s="125" t="n"/>
      <c r="H709" s="122">
        <f>IF($D709="",0,MAX(0,ROUNDDOWN((AmortismanRaporTarihi-$C709)/365,0)))</f>
        <v/>
      </c>
      <c r="I709" s="122">
        <f>IF($D709="",0,IFERROR(IF($E709="Azalan",MAX(0,$D709*(1-MIN(2*AmortismanAzalanCarpan*$F709,1)^$H709)),MIN($D709,$D709*$F709*$H709)),0))</f>
        <v/>
      </c>
      <c r="J709" s="122">
        <f>IF($D709="",0,MAX(0,$D709-$I709))</f>
        <v/>
      </c>
      <c r="K709" s="122">
        <f>IF($H709=0,0,IFERROR(IF($E709="Azalan",$D709*(1-MIN(2*AmortismanAzalanCarpan*$F709,1))^MAX(0,$H709-1)*MIN(2*AmortismanAzalanCarpan*$F709,1),MIN($D709*$F709,$D709)),0))</f>
        <v/>
      </c>
      <c r="L709" s="122">
        <f>IF($D709="",0,$G709-$J709)</f>
        <v/>
      </c>
      <c r="M709" s="122">
        <f>IF($B709="","",CONCATENATE("Kıymet: ",$B709," | NDD: ",TEXT($J709,"#,##0")))</f>
        <v/>
      </c>
    </row>
    <row r="710" ht="15" customHeight="1" s="77">
      <c r="A710" s="123" t="n"/>
      <c r="B710" s="123" t="n"/>
      <c r="C710" s="124" t="n"/>
      <c r="D710" s="125" t="n"/>
      <c r="E710" s="123" t="n"/>
      <c r="F710" s="126" t="n"/>
      <c r="G710" s="125" t="n"/>
      <c r="H710" s="122">
        <f>IF($D710="",0,MAX(0,ROUNDDOWN((AmortismanRaporTarihi-$C710)/365,0)))</f>
        <v/>
      </c>
      <c r="I710" s="122">
        <f>IF($D710="",0,IFERROR(IF($E710="Azalan",MAX(0,$D710*(1-MIN(2*AmortismanAzalanCarpan*$F710,1)^$H710)),MIN($D710,$D710*$F710*$H710)),0))</f>
        <v/>
      </c>
      <c r="J710" s="122">
        <f>IF($D710="",0,MAX(0,$D710-$I710))</f>
        <v/>
      </c>
      <c r="K710" s="122">
        <f>IF($H710=0,0,IFERROR(IF($E710="Azalan",$D710*(1-MIN(2*AmortismanAzalanCarpan*$F710,1))^MAX(0,$H710-1)*MIN(2*AmortismanAzalanCarpan*$F710,1),MIN($D710*$F710,$D710)),0))</f>
        <v/>
      </c>
      <c r="L710" s="122">
        <f>IF($D710="",0,$G710-$J710)</f>
        <v/>
      </c>
      <c r="M710" s="122">
        <f>IF($B710="","",CONCATENATE("Kıymet: ",$B710," | NDD: ",TEXT($J710,"#,##0")))</f>
        <v/>
      </c>
    </row>
    <row r="711" ht="15" customHeight="1" s="77">
      <c r="A711" s="123" t="n"/>
      <c r="B711" s="123" t="n"/>
      <c r="C711" s="124" t="n"/>
      <c r="D711" s="125" t="n"/>
      <c r="E711" s="123" t="n"/>
      <c r="F711" s="126" t="n"/>
      <c r="G711" s="125" t="n"/>
      <c r="H711" s="122">
        <f>IF($D711="",0,MAX(0,ROUNDDOWN((AmortismanRaporTarihi-$C711)/365,0)))</f>
        <v/>
      </c>
      <c r="I711" s="122">
        <f>IF($D711="",0,IFERROR(IF($E711="Azalan",MAX(0,$D711*(1-MIN(2*AmortismanAzalanCarpan*$F711,1)^$H711)),MIN($D711,$D711*$F711*$H711)),0))</f>
        <v/>
      </c>
      <c r="J711" s="122">
        <f>IF($D711="",0,MAX(0,$D711-$I711))</f>
        <v/>
      </c>
      <c r="K711" s="122">
        <f>IF($H711=0,0,IFERROR(IF($E711="Azalan",$D711*(1-MIN(2*AmortismanAzalanCarpan*$F711,1))^MAX(0,$H711-1)*MIN(2*AmortismanAzalanCarpan*$F711,1),MIN($D711*$F711,$D711)),0))</f>
        <v/>
      </c>
      <c r="L711" s="122">
        <f>IF($D711="",0,$G711-$J711)</f>
        <v/>
      </c>
      <c r="M711" s="122">
        <f>IF($B711="","",CONCATENATE("Kıymet: ",$B711," | NDD: ",TEXT($J711,"#,##0")))</f>
        <v/>
      </c>
    </row>
    <row r="712" ht="15" customHeight="1" s="77">
      <c r="A712" s="123" t="n"/>
      <c r="B712" s="123" t="n"/>
      <c r="C712" s="124" t="n"/>
      <c r="D712" s="125" t="n"/>
      <c r="E712" s="123" t="n"/>
      <c r="F712" s="126" t="n"/>
      <c r="G712" s="125" t="n"/>
      <c r="H712" s="122">
        <f>IF($D712="",0,MAX(0,ROUNDDOWN((AmortismanRaporTarihi-$C712)/365,0)))</f>
        <v/>
      </c>
      <c r="I712" s="122">
        <f>IF($D712="",0,IFERROR(IF($E712="Azalan",MAX(0,$D712*(1-MIN(2*AmortismanAzalanCarpan*$F712,1)^$H712)),MIN($D712,$D712*$F712*$H712)),0))</f>
        <v/>
      </c>
      <c r="J712" s="122">
        <f>IF($D712="",0,MAX(0,$D712-$I712))</f>
        <v/>
      </c>
      <c r="K712" s="122">
        <f>IF($H712=0,0,IFERROR(IF($E712="Azalan",$D712*(1-MIN(2*AmortismanAzalanCarpan*$F712,1))^MAX(0,$H712-1)*MIN(2*AmortismanAzalanCarpan*$F712,1),MIN($D712*$F712,$D712)),0))</f>
        <v/>
      </c>
      <c r="L712" s="122">
        <f>IF($D712="",0,$G712-$J712)</f>
        <v/>
      </c>
      <c r="M712" s="122">
        <f>IF($B712="","",CONCATENATE("Kıymet: ",$B712," | NDD: ",TEXT($J712,"#,##0")))</f>
        <v/>
      </c>
    </row>
    <row r="713" ht="15" customHeight="1" s="77">
      <c r="A713" s="123" t="n"/>
      <c r="B713" s="123" t="n"/>
      <c r="C713" s="124" t="n"/>
      <c r="D713" s="125" t="n"/>
      <c r="E713" s="123" t="n"/>
      <c r="F713" s="126" t="n"/>
      <c r="G713" s="125" t="n"/>
      <c r="H713" s="122">
        <f>IF($D713="",0,MAX(0,ROUNDDOWN((AmortismanRaporTarihi-$C713)/365,0)))</f>
        <v/>
      </c>
      <c r="I713" s="122">
        <f>IF($D713="",0,IFERROR(IF($E713="Azalan",MAX(0,$D713*(1-MIN(2*AmortismanAzalanCarpan*$F713,1)^$H713)),MIN($D713,$D713*$F713*$H713)),0))</f>
        <v/>
      </c>
      <c r="J713" s="122">
        <f>IF($D713="",0,MAX(0,$D713-$I713))</f>
        <v/>
      </c>
      <c r="K713" s="122">
        <f>IF($H713=0,0,IFERROR(IF($E713="Azalan",$D713*(1-MIN(2*AmortismanAzalanCarpan*$F713,1))^MAX(0,$H713-1)*MIN(2*AmortismanAzalanCarpan*$F713,1),MIN($D713*$F713,$D713)),0))</f>
        <v/>
      </c>
      <c r="L713" s="122">
        <f>IF($D713="",0,$G713-$J713)</f>
        <v/>
      </c>
      <c r="M713" s="122">
        <f>IF($B713="","",CONCATENATE("Kıymet: ",$B713," | NDD: ",TEXT($J713,"#,##0")))</f>
        <v/>
      </c>
    </row>
    <row r="714" ht="15" customHeight="1" s="77">
      <c r="A714" s="123" t="n"/>
      <c r="B714" s="123" t="n"/>
      <c r="C714" s="124" t="n"/>
      <c r="D714" s="125" t="n"/>
      <c r="E714" s="123" t="n"/>
      <c r="F714" s="126" t="n"/>
      <c r="G714" s="125" t="n"/>
      <c r="H714" s="122">
        <f>IF($D714="",0,MAX(0,ROUNDDOWN((AmortismanRaporTarihi-$C714)/365,0)))</f>
        <v/>
      </c>
      <c r="I714" s="122">
        <f>IF($D714="",0,IFERROR(IF($E714="Azalan",MAX(0,$D714*(1-MIN(2*AmortismanAzalanCarpan*$F714,1)^$H714)),MIN($D714,$D714*$F714*$H714)),0))</f>
        <v/>
      </c>
      <c r="J714" s="122">
        <f>IF($D714="",0,MAX(0,$D714-$I714))</f>
        <v/>
      </c>
      <c r="K714" s="122">
        <f>IF($H714=0,0,IFERROR(IF($E714="Azalan",$D714*(1-MIN(2*AmortismanAzalanCarpan*$F714,1))^MAX(0,$H714-1)*MIN(2*AmortismanAzalanCarpan*$F714,1),MIN($D714*$F714,$D714)),0))</f>
        <v/>
      </c>
      <c r="L714" s="122">
        <f>IF($D714="",0,$G714-$J714)</f>
        <v/>
      </c>
      <c r="M714" s="122">
        <f>IF($B714="","",CONCATENATE("Kıymet: ",$B714," | NDD: ",TEXT($J714,"#,##0")))</f>
        <v/>
      </c>
    </row>
    <row r="715" ht="15" customHeight="1" s="77">
      <c r="A715" s="123" t="n"/>
      <c r="B715" s="123" t="n"/>
      <c r="C715" s="124" t="n"/>
      <c r="D715" s="125" t="n"/>
      <c r="E715" s="123" t="n"/>
      <c r="F715" s="126" t="n"/>
      <c r="G715" s="125" t="n"/>
      <c r="H715" s="122">
        <f>IF($D715="",0,MAX(0,ROUNDDOWN((AmortismanRaporTarihi-$C715)/365,0)))</f>
        <v/>
      </c>
      <c r="I715" s="122">
        <f>IF($D715="",0,IFERROR(IF($E715="Azalan",MAX(0,$D715*(1-MIN(2*AmortismanAzalanCarpan*$F715,1)^$H715)),MIN($D715,$D715*$F715*$H715)),0))</f>
        <v/>
      </c>
      <c r="J715" s="122">
        <f>IF($D715="",0,MAX(0,$D715-$I715))</f>
        <v/>
      </c>
      <c r="K715" s="122">
        <f>IF($H715=0,0,IFERROR(IF($E715="Azalan",$D715*(1-MIN(2*AmortismanAzalanCarpan*$F715,1))^MAX(0,$H715-1)*MIN(2*AmortismanAzalanCarpan*$F715,1),MIN($D715*$F715,$D715)),0))</f>
        <v/>
      </c>
      <c r="L715" s="122">
        <f>IF($D715="",0,$G715-$J715)</f>
        <v/>
      </c>
      <c r="M715" s="122">
        <f>IF($B715="","",CONCATENATE("Kıymet: ",$B715," | NDD: ",TEXT($J715,"#,##0")))</f>
        <v/>
      </c>
    </row>
    <row r="716" ht="15" customHeight="1" s="77">
      <c r="A716" s="123" t="n"/>
      <c r="B716" s="123" t="n"/>
      <c r="C716" s="124" t="n"/>
      <c r="D716" s="125" t="n"/>
      <c r="E716" s="123" t="n"/>
      <c r="F716" s="126" t="n"/>
      <c r="G716" s="125" t="n"/>
      <c r="H716" s="122">
        <f>IF($D716="",0,MAX(0,ROUNDDOWN((AmortismanRaporTarihi-$C716)/365,0)))</f>
        <v/>
      </c>
      <c r="I716" s="122">
        <f>IF($D716="",0,IFERROR(IF($E716="Azalan",MAX(0,$D716*(1-MIN(2*AmortismanAzalanCarpan*$F716,1)^$H716)),MIN($D716,$D716*$F716*$H716)),0))</f>
        <v/>
      </c>
      <c r="J716" s="122">
        <f>IF($D716="",0,MAX(0,$D716-$I716))</f>
        <v/>
      </c>
      <c r="K716" s="122">
        <f>IF($H716=0,0,IFERROR(IF($E716="Azalan",$D716*(1-MIN(2*AmortismanAzalanCarpan*$F716,1))^MAX(0,$H716-1)*MIN(2*AmortismanAzalanCarpan*$F716,1),MIN($D716*$F716,$D716)),0))</f>
        <v/>
      </c>
      <c r="L716" s="122">
        <f>IF($D716="",0,$G716-$J716)</f>
        <v/>
      </c>
      <c r="M716" s="122">
        <f>IF($B716="","",CONCATENATE("Kıymet: ",$B716," | NDD: ",TEXT($J716,"#,##0")))</f>
        <v/>
      </c>
    </row>
    <row r="717" ht="15" customHeight="1" s="77">
      <c r="A717" s="123" t="n"/>
      <c r="B717" s="123" t="n"/>
      <c r="C717" s="124" t="n"/>
      <c r="D717" s="125" t="n"/>
      <c r="E717" s="123" t="n"/>
      <c r="F717" s="126" t="n"/>
      <c r="G717" s="125" t="n"/>
      <c r="H717" s="122">
        <f>IF($D717="",0,MAX(0,ROUNDDOWN((AmortismanRaporTarihi-$C717)/365,0)))</f>
        <v/>
      </c>
      <c r="I717" s="122">
        <f>IF($D717="",0,IFERROR(IF($E717="Azalan",MAX(0,$D717*(1-MIN(2*AmortismanAzalanCarpan*$F717,1)^$H717)),MIN($D717,$D717*$F717*$H717)),0))</f>
        <v/>
      </c>
      <c r="J717" s="122">
        <f>IF($D717="",0,MAX(0,$D717-$I717))</f>
        <v/>
      </c>
      <c r="K717" s="122">
        <f>IF($H717=0,0,IFERROR(IF($E717="Azalan",$D717*(1-MIN(2*AmortismanAzalanCarpan*$F717,1))^MAX(0,$H717-1)*MIN(2*AmortismanAzalanCarpan*$F717,1),MIN($D717*$F717,$D717)),0))</f>
        <v/>
      </c>
      <c r="L717" s="122">
        <f>IF($D717="",0,$G717-$J717)</f>
        <v/>
      </c>
      <c r="M717" s="122">
        <f>IF($B717="","",CONCATENATE("Kıymet: ",$B717," | NDD: ",TEXT($J717,"#,##0")))</f>
        <v/>
      </c>
    </row>
    <row r="718" ht="15" customHeight="1" s="77">
      <c r="A718" s="123" t="n"/>
      <c r="B718" s="123" t="n"/>
      <c r="C718" s="124" t="n"/>
      <c r="D718" s="125" t="n"/>
      <c r="E718" s="123" t="n"/>
      <c r="F718" s="126" t="n"/>
      <c r="G718" s="125" t="n"/>
      <c r="H718" s="122">
        <f>IF($D718="",0,MAX(0,ROUNDDOWN((AmortismanRaporTarihi-$C718)/365,0)))</f>
        <v/>
      </c>
      <c r="I718" s="122">
        <f>IF($D718="",0,IFERROR(IF($E718="Azalan",MAX(0,$D718*(1-MIN(2*AmortismanAzalanCarpan*$F718,1)^$H718)),MIN($D718,$D718*$F718*$H718)),0))</f>
        <v/>
      </c>
      <c r="J718" s="122">
        <f>IF($D718="",0,MAX(0,$D718-$I718))</f>
        <v/>
      </c>
      <c r="K718" s="122">
        <f>IF($H718=0,0,IFERROR(IF($E718="Azalan",$D718*(1-MIN(2*AmortismanAzalanCarpan*$F718,1))^MAX(0,$H718-1)*MIN(2*AmortismanAzalanCarpan*$F718,1),MIN($D718*$F718,$D718)),0))</f>
        <v/>
      </c>
      <c r="L718" s="122">
        <f>IF($D718="",0,$G718-$J718)</f>
        <v/>
      </c>
      <c r="M718" s="122">
        <f>IF($B718="","",CONCATENATE("Kıymet: ",$B718," | NDD: ",TEXT($J718,"#,##0")))</f>
        <v/>
      </c>
    </row>
    <row r="719" ht="15" customHeight="1" s="77">
      <c r="A719" s="123" t="n"/>
      <c r="B719" s="123" t="n"/>
      <c r="C719" s="124" t="n"/>
      <c r="D719" s="125" t="n"/>
      <c r="E719" s="123" t="n"/>
      <c r="F719" s="126" t="n"/>
      <c r="G719" s="125" t="n"/>
      <c r="H719" s="122">
        <f>IF($D719="",0,MAX(0,ROUNDDOWN((AmortismanRaporTarihi-$C719)/365,0)))</f>
        <v/>
      </c>
      <c r="I719" s="122">
        <f>IF($D719="",0,IFERROR(IF($E719="Azalan",MAX(0,$D719*(1-MIN(2*AmortismanAzalanCarpan*$F719,1)^$H719)),MIN($D719,$D719*$F719*$H719)),0))</f>
        <v/>
      </c>
      <c r="J719" s="122">
        <f>IF($D719="",0,MAX(0,$D719-$I719))</f>
        <v/>
      </c>
      <c r="K719" s="122">
        <f>IF($H719=0,0,IFERROR(IF($E719="Azalan",$D719*(1-MIN(2*AmortismanAzalanCarpan*$F719,1))^MAX(0,$H719-1)*MIN(2*AmortismanAzalanCarpan*$F719,1),MIN($D719*$F719,$D719)),0))</f>
        <v/>
      </c>
      <c r="L719" s="122">
        <f>IF($D719="",0,$G719-$J719)</f>
        <v/>
      </c>
      <c r="M719" s="122">
        <f>IF($B719="","",CONCATENATE("Kıymet: ",$B719," | NDD: ",TEXT($J719,"#,##0")))</f>
        <v/>
      </c>
    </row>
    <row r="720" ht="15" customHeight="1" s="77">
      <c r="A720" s="123" t="n"/>
      <c r="B720" s="123" t="n"/>
      <c r="C720" s="124" t="n"/>
      <c r="D720" s="125" t="n"/>
      <c r="E720" s="123" t="n"/>
      <c r="F720" s="126" t="n"/>
      <c r="G720" s="125" t="n"/>
      <c r="H720" s="122">
        <f>IF($D720="",0,MAX(0,ROUNDDOWN((AmortismanRaporTarihi-$C720)/365,0)))</f>
        <v/>
      </c>
      <c r="I720" s="122">
        <f>IF($D720="",0,IFERROR(IF($E720="Azalan",MAX(0,$D720*(1-MIN(2*AmortismanAzalanCarpan*$F720,1)^$H720)),MIN($D720,$D720*$F720*$H720)),0))</f>
        <v/>
      </c>
      <c r="J720" s="122">
        <f>IF($D720="",0,MAX(0,$D720-$I720))</f>
        <v/>
      </c>
      <c r="K720" s="122">
        <f>IF($H720=0,0,IFERROR(IF($E720="Azalan",$D720*(1-MIN(2*AmortismanAzalanCarpan*$F720,1))^MAX(0,$H720-1)*MIN(2*AmortismanAzalanCarpan*$F720,1),MIN($D720*$F720,$D720)),0))</f>
        <v/>
      </c>
      <c r="L720" s="122">
        <f>IF($D720="",0,$G720-$J720)</f>
        <v/>
      </c>
      <c r="M720" s="122">
        <f>IF($B720="","",CONCATENATE("Kıymet: ",$B720," | NDD: ",TEXT($J720,"#,##0")))</f>
        <v/>
      </c>
    </row>
    <row r="721" ht="15" customHeight="1" s="77">
      <c r="A721" s="123" t="n"/>
      <c r="B721" s="123" t="n"/>
      <c r="C721" s="124" t="n"/>
      <c r="D721" s="125" t="n"/>
      <c r="E721" s="123" t="n"/>
      <c r="F721" s="126" t="n"/>
      <c r="G721" s="125" t="n"/>
      <c r="H721" s="122">
        <f>IF($D721="",0,MAX(0,ROUNDDOWN((AmortismanRaporTarihi-$C721)/365,0)))</f>
        <v/>
      </c>
      <c r="I721" s="122">
        <f>IF($D721="",0,IFERROR(IF($E721="Azalan",MAX(0,$D721*(1-MIN(2*AmortismanAzalanCarpan*$F721,1)^$H721)),MIN($D721,$D721*$F721*$H721)),0))</f>
        <v/>
      </c>
      <c r="J721" s="122">
        <f>IF($D721="",0,MAX(0,$D721-$I721))</f>
        <v/>
      </c>
      <c r="K721" s="122">
        <f>IF($H721=0,0,IFERROR(IF($E721="Azalan",$D721*(1-MIN(2*AmortismanAzalanCarpan*$F721,1))^MAX(0,$H721-1)*MIN(2*AmortismanAzalanCarpan*$F721,1),MIN($D721*$F721,$D721)),0))</f>
        <v/>
      </c>
      <c r="L721" s="122">
        <f>IF($D721="",0,$G721-$J721)</f>
        <v/>
      </c>
      <c r="M721" s="122">
        <f>IF($B721="","",CONCATENATE("Kıymet: ",$B721," | NDD: ",TEXT($J721,"#,##0")))</f>
        <v/>
      </c>
    </row>
    <row r="722" ht="15" customHeight="1" s="77">
      <c r="A722" s="123" t="n"/>
      <c r="B722" s="123" t="n"/>
      <c r="C722" s="124" t="n"/>
      <c r="D722" s="125" t="n"/>
      <c r="E722" s="123" t="n"/>
      <c r="F722" s="126" t="n"/>
      <c r="G722" s="125" t="n"/>
      <c r="H722" s="122">
        <f>IF($D722="",0,MAX(0,ROUNDDOWN((AmortismanRaporTarihi-$C722)/365,0)))</f>
        <v/>
      </c>
      <c r="I722" s="122">
        <f>IF($D722="",0,IFERROR(IF($E722="Azalan",MAX(0,$D722*(1-MIN(2*AmortismanAzalanCarpan*$F722,1)^$H722)),MIN($D722,$D722*$F722*$H722)),0))</f>
        <v/>
      </c>
      <c r="J722" s="122">
        <f>IF($D722="",0,MAX(0,$D722-$I722))</f>
        <v/>
      </c>
      <c r="K722" s="122">
        <f>IF($H722=0,0,IFERROR(IF($E722="Azalan",$D722*(1-MIN(2*AmortismanAzalanCarpan*$F722,1))^MAX(0,$H722-1)*MIN(2*AmortismanAzalanCarpan*$F722,1),MIN($D722*$F722,$D722)),0))</f>
        <v/>
      </c>
      <c r="L722" s="122">
        <f>IF($D722="",0,$G722-$J722)</f>
        <v/>
      </c>
      <c r="M722" s="122">
        <f>IF($B722="","",CONCATENATE("Kıymet: ",$B722," | NDD: ",TEXT($J722,"#,##0")))</f>
        <v/>
      </c>
    </row>
    <row r="723" ht="15" customHeight="1" s="77">
      <c r="A723" s="123" t="n"/>
      <c r="B723" s="123" t="n"/>
      <c r="C723" s="124" t="n"/>
      <c r="D723" s="125" t="n"/>
      <c r="E723" s="123" t="n"/>
      <c r="F723" s="126" t="n"/>
      <c r="G723" s="125" t="n"/>
      <c r="H723" s="122">
        <f>IF($D723="",0,MAX(0,ROUNDDOWN((AmortismanRaporTarihi-$C723)/365,0)))</f>
        <v/>
      </c>
      <c r="I723" s="122">
        <f>IF($D723="",0,IFERROR(IF($E723="Azalan",MAX(0,$D723*(1-MIN(2*AmortismanAzalanCarpan*$F723,1)^$H723)),MIN($D723,$D723*$F723*$H723)),0))</f>
        <v/>
      </c>
      <c r="J723" s="122">
        <f>IF($D723="",0,MAX(0,$D723-$I723))</f>
        <v/>
      </c>
      <c r="K723" s="122">
        <f>IF($H723=0,0,IFERROR(IF($E723="Azalan",$D723*(1-MIN(2*AmortismanAzalanCarpan*$F723,1))^MAX(0,$H723-1)*MIN(2*AmortismanAzalanCarpan*$F723,1),MIN($D723*$F723,$D723)),0))</f>
        <v/>
      </c>
      <c r="L723" s="122">
        <f>IF($D723="",0,$G723-$J723)</f>
        <v/>
      </c>
      <c r="M723" s="122">
        <f>IF($B723="","",CONCATENATE("Kıymet: ",$B723," | NDD: ",TEXT($J723,"#,##0")))</f>
        <v/>
      </c>
    </row>
    <row r="724" ht="15" customHeight="1" s="77">
      <c r="A724" s="123" t="n"/>
      <c r="B724" s="123" t="n"/>
      <c r="C724" s="124" t="n"/>
      <c r="D724" s="125" t="n"/>
      <c r="E724" s="123" t="n"/>
      <c r="F724" s="126" t="n"/>
      <c r="G724" s="125" t="n"/>
      <c r="H724" s="122">
        <f>IF($D724="",0,MAX(0,ROUNDDOWN((AmortismanRaporTarihi-$C724)/365,0)))</f>
        <v/>
      </c>
      <c r="I724" s="122">
        <f>IF($D724="",0,IFERROR(IF($E724="Azalan",MAX(0,$D724*(1-MIN(2*AmortismanAzalanCarpan*$F724,1)^$H724)),MIN($D724,$D724*$F724*$H724)),0))</f>
        <v/>
      </c>
      <c r="J724" s="122">
        <f>IF($D724="",0,MAX(0,$D724-$I724))</f>
        <v/>
      </c>
      <c r="K724" s="122">
        <f>IF($H724=0,0,IFERROR(IF($E724="Azalan",$D724*(1-MIN(2*AmortismanAzalanCarpan*$F724,1))^MAX(0,$H724-1)*MIN(2*AmortismanAzalanCarpan*$F724,1),MIN($D724*$F724,$D724)),0))</f>
        <v/>
      </c>
      <c r="L724" s="122">
        <f>IF($D724="",0,$G724-$J724)</f>
        <v/>
      </c>
      <c r="M724" s="122">
        <f>IF($B724="","",CONCATENATE("Kıymet: ",$B724," | NDD: ",TEXT($J724,"#,##0")))</f>
        <v/>
      </c>
    </row>
    <row r="725" ht="15" customHeight="1" s="77">
      <c r="A725" s="123" t="n"/>
      <c r="B725" s="123" t="n"/>
      <c r="C725" s="124" t="n"/>
      <c r="D725" s="125" t="n"/>
      <c r="E725" s="123" t="n"/>
      <c r="F725" s="126" t="n"/>
      <c r="G725" s="125" t="n"/>
      <c r="H725" s="122">
        <f>IF($D725="",0,MAX(0,ROUNDDOWN((AmortismanRaporTarihi-$C725)/365,0)))</f>
        <v/>
      </c>
      <c r="I725" s="122">
        <f>IF($D725="",0,IFERROR(IF($E725="Azalan",MAX(0,$D725*(1-MIN(2*AmortismanAzalanCarpan*$F725,1)^$H725)),MIN($D725,$D725*$F725*$H725)),0))</f>
        <v/>
      </c>
      <c r="J725" s="122">
        <f>IF($D725="",0,MAX(0,$D725-$I725))</f>
        <v/>
      </c>
      <c r="K725" s="122">
        <f>IF($H725=0,0,IFERROR(IF($E725="Azalan",$D725*(1-MIN(2*AmortismanAzalanCarpan*$F725,1))^MAX(0,$H725-1)*MIN(2*AmortismanAzalanCarpan*$F725,1),MIN($D725*$F725,$D725)),0))</f>
        <v/>
      </c>
      <c r="L725" s="122">
        <f>IF($D725="",0,$G725-$J725)</f>
        <v/>
      </c>
      <c r="M725" s="122">
        <f>IF($B725="","",CONCATENATE("Kıymet: ",$B725," | NDD: ",TEXT($J725,"#,##0")))</f>
        <v/>
      </c>
    </row>
    <row r="726" ht="15" customHeight="1" s="77">
      <c r="A726" s="123" t="n"/>
      <c r="B726" s="123" t="n"/>
      <c r="C726" s="124" t="n"/>
      <c r="D726" s="125" t="n"/>
      <c r="E726" s="123" t="n"/>
      <c r="F726" s="126" t="n"/>
      <c r="G726" s="125" t="n"/>
      <c r="H726" s="122">
        <f>IF($D726="",0,MAX(0,ROUNDDOWN((AmortismanRaporTarihi-$C726)/365,0)))</f>
        <v/>
      </c>
      <c r="I726" s="122">
        <f>IF($D726="",0,IFERROR(IF($E726="Azalan",MAX(0,$D726*(1-MIN(2*AmortismanAzalanCarpan*$F726,1)^$H726)),MIN($D726,$D726*$F726*$H726)),0))</f>
        <v/>
      </c>
      <c r="J726" s="122">
        <f>IF($D726="",0,MAX(0,$D726-$I726))</f>
        <v/>
      </c>
      <c r="K726" s="122">
        <f>IF($H726=0,0,IFERROR(IF($E726="Azalan",$D726*(1-MIN(2*AmortismanAzalanCarpan*$F726,1))^MAX(0,$H726-1)*MIN(2*AmortismanAzalanCarpan*$F726,1),MIN($D726*$F726,$D726)),0))</f>
        <v/>
      </c>
      <c r="L726" s="122">
        <f>IF($D726="",0,$G726-$J726)</f>
        <v/>
      </c>
      <c r="M726" s="122">
        <f>IF($B726="","",CONCATENATE("Kıymet: ",$B726," | NDD: ",TEXT($J726,"#,##0")))</f>
        <v/>
      </c>
    </row>
    <row r="727" ht="15" customHeight="1" s="77">
      <c r="A727" s="123" t="n"/>
      <c r="B727" s="123" t="n"/>
      <c r="C727" s="124" t="n"/>
      <c r="D727" s="125" t="n"/>
      <c r="E727" s="123" t="n"/>
      <c r="F727" s="126" t="n"/>
      <c r="G727" s="125" t="n"/>
      <c r="H727" s="122">
        <f>IF($D727="",0,MAX(0,ROUNDDOWN((AmortismanRaporTarihi-$C727)/365,0)))</f>
        <v/>
      </c>
      <c r="I727" s="122">
        <f>IF($D727="",0,IFERROR(IF($E727="Azalan",MAX(0,$D727*(1-MIN(2*AmortismanAzalanCarpan*$F727,1)^$H727)),MIN($D727,$D727*$F727*$H727)),0))</f>
        <v/>
      </c>
      <c r="J727" s="122">
        <f>IF($D727="",0,MAX(0,$D727-$I727))</f>
        <v/>
      </c>
      <c r="K727" s="122">
        <f>IF($H727=0,0,IFERROR(IF($E727="Azalan",$D727*(1-MIN(2*AmortismanAzalanCarpan*$F727,1))^MAX(0,$H727-1)*MIN(2*AmortismanAzalanCarpan*$F727,1),MIN($D727*$F727,$D727)),0))</f>
        <v/>
      </c>
      <c r="L727" s="122">
        <f>IF($D727="",0,$G727-$J727)</f>
        <v/>
      </c>
      <c r="M727" s="122">
        <f>IF($B727="","",CONCATENATE("Kıymet: ",$B727," | NDD: ",TEXT($J727,"#,##0")))</f>
        <v/>
      </c>
    </row>
    <row r="728" ht="15" customHeight="1" s="77">
      <c r="A728" s="123" t="n"/>
      <c r="B728" s="123" t="n"/>
      <c r="C728" s="124" t="n"/>
      <c r="D728" s="125" t="n"/>
      <c r="E728" s="123" t="n"/>
      <c r="F728" s="126" t="n"/>
      <c r="G728" s="125" t="n"/>
      <c r="H728" s="122">
        <f>IF($D728="",0,MAX(0,ROUNDDOWN((AmortismanRaporTarihi-$C728)/365,0)))</f>
        <v/>
      </c>
      <c r="I728" s="122">
        <f>IF($D728="",0,IFERROR(IF($E728="Azalan",MAX(0,$D728*(1-MIN(2*AmortismanAzalanCarpan*$F728,1)^$H728)),MIN($D728,$D728*$F728*$H728)),0))</f>
        <v/>
      </c>
      <c r="J728" s="122">
        <f>IF($D728="",0,MAX(0,$D728-$I728))</f>
        <v/>
      </c>
      <c r="K728" s="122">
        <f>IF($H728=0,0,IFERROR(IF($E728="Azalan",$D728*(1-MIN(2*AmortismanAzalanCarpan*$F728,1))^MAX(0,$H728-1)*MIN(2*AmortismanAzalanCarpan*$F728,1),MIN($D728*$F728,$D728)),0))</f>
        <v/>
      </c>
      <c r="L728" s="122">
        <f>IF($D728="",0,$G728-$J728)</f>
        <v/>
      </c>
      <c r="M728" s="122">
        <f>IF($B728="","",CONCATENATE("Kıymet: ",$B728," | NDD: ",TEXT($J728,"#,##0")))</f>
        <v/>
      </c>
    </row>
    <row r="729" ht="15" customHeight="1" s="77">
      <c r="A729" s="123" t="n"/>
      <c r="B729" s="123" t="n"/>
      <c r="C729" s="124" t="n"/>
      <c r="D729" s="125" t="n"/>
      <c r="E729" s="123" t="n"/>
      <c r="F729" s="126" t="n"/>
      <c r="G729" s="125" t="n"/>
      <c r="H729" s="122">
        <f>IF($D729="",0,MAX(0,ROUNDDOWN((AmortismanRaporTarihi-$C729)/365,0)))</f>
        <v/>
      </c>
      <c r="I729" s="122">
        <f>IF($D729="",0,IFERROR(IF($E729="Azalan",MAX(0,$D729*(1-MIN(2*AmortismanAzalanCarpan*$F729,1)^$H729)),MIN($D729,$D729*$F729*$H729)),0))</f>
        <v/>
      </c>
      <c r="J729" s="122">
        <f>IF($D729="",0,MAX(0,$D729-$I729))</f>
        <v/>
      </c>
      <c r="K729" s="122">
        <f>IF($H729=0,0,IFERROR(IF($E729="Azalan",$D729*(1-MIN(2*AmortismanAzalanCarpan*$F729,1))^MAX(0,$H729-1)*MIN(2*AmortismanAzalanCarpan*$F729,1),MIN($D729*$F729,$D729)),0))</f>
        <v/>
      </c>
      <c r="L729" s="122">
        <f>IF($D729="",0,$G729-$J729)</f>
        <v/>
      </c>
      <c r="M729" s="122">
        <f>IF($B729="","",CONCATENATE("Kıymet: ",$B729," | NDD: ",TEXT($J729,"#,##0")))</f>
        <v/>
      </c>
    </row>
    <row r="730" ht="15" customHeight="1" s="77">
      <c r="A730" s="123" t="n"/>
      <c r="B730" s="123" t="n"/>
      <c r="C730" s="124" t="n"/>
      <c r="D730" s="125" t="n"/>
      <c r="E730" s="123" t="n"/>
      <c r="F730" s="126" t="n"/>
      <c r="G730" s="125" t="n"/>
      <c r="H730" s="122">
        <f>IF($D730="",0,MAX(0,ROUNDDOWN((AmortismanRaporTarihi-$C730)/365,0)))</f>
        <v/>
      </c>
      <c r="I730" s="122">
        <f>IF($D730="",0,IFERROR(IF($E730="Azalan",MAX(0,$D730*(1-MIN(2*AmortismanAzalanCarpan*$F730,1)^$H730)),MIN($D730,$D730*$F730*$H730)),0))</f>
        <v/>
      </c>
      <c r="J730" s="122">
        <f>IF($D730="",0,MAX(0,$D730-$I730))</f>
        <v/>
      </c>
      <c r="K730" s="122">
        <f>IF($H730=0,0,IFERROR(IF($E730="Azalan",$D730*(1-MIN(2*AmortismanAzalanCarpan*$F730,1))^MAX(0,$H730-1)*MIN(2*AmortismanAzalanCarpan*$F730,1),MIN($D730*$F730,$D730)),0))</f>
        <v/>
      </c>
      <c r="L730" s="122">
        <f>IF($D730="",0,$G730-$J730)</f>
        <v/>
      </c>
      <c r="M730" s="122">
        <f>IF($B730="","",CONCATENATE("Kıymet: ",$B730," | NDD: ",TEXT($J730,"#,##0")))</f>
        <v/>
      </c>
    </row>
    <row r="731" ht="15" customHeight="1" s="77">
      <c r="A731" s="123" t="n"/>
      <c r="B731" s="123" t="n"/>
      <c r="C731" s="124" t="n"/>
      <c r="D731" s="125" t="n"/>
      <c r="E731" s="123" t="n"/>
      <c r="F731" s="126" t="n"/>
      <c r="G731" s="125" t="n"/>
      <c r="H731" s="122">
        <f>IF($D731="",0,MAX(0,ROUNDDOWN((AmortismanRaporTarihi-$C731)/365,0)))</f>
        <v/>
      </c>
      <c r="I731" s="122">
        <f>IF($D731="",0,IFERROR(IF($E731="Azalan",MAX(0,$D731*(1-MIN(2*AmortismanAzalanCarpan*$F731,1)^$H731)),MIN($D731,$D731*$F731*$H731)),0))</f>
        <v/>
      </c>
      <c r="J731" s="122">
        <f>IF($D731="",0,MAX(0,$D731-$I731))</f>
        <v/>
      </c>
      <c r="K731" s="122">
        <f>IF($H731=0,0,IFERROR(IF($E731="Azalan",$D731*(1-MIN(2*AmortismanAzalanCarpan*$F731,1))^MAX(0,$H731-1)*MIN(2*AmortismanAzalanCarpan*$F731,1),MIN($D731*$F731,$D731)),0))</f>
        <v/>
      </c>
      <c r="L731" s="122">
        <f>IF($D731="",0,$G731-$J731)</f>
        <v/>
      </c>
      <c r="M731" s="122">
        <f>IF($B731="","",CONCATENATE("Kıymet: ",$B731," | NDD: ",TEXT($J731,"#,##0")))</f>
        <v/>
      </c>
    </row>
    <row r="732" ht="15" customHeight="1" s="77">
      <c r="A732" s="123" t="n"/>
      <c r="B732" s="123" t="n"/>
      <c r="C732" s="124" t="n"/>
      <c r="D732" s="125" t="n"/>
      <c r="E732" s="123" t="n"/>
      <c r="F732" s="126" t="n"/>
      <c r="G732" s="125" t="n"/>
      <c r="H732" s="122">
        <f>IF($D732="",0,MAX(0,ROUNDDOWN((AmortismanRaporTarihi-$C732)/365,0)))</f>
        <v/>
      </c>
      <c r="I732" s="122">
        <f>IF($D732="",0,IFERROR(IF($E732="Azalan",MAX(0,$D732*(1-MIN(2*AmortismanAzalanCarpan*$F732,1)^$H732)),MIN($D732,$D732*$F732*$H732)),0))</f>
        <v/>
      </c>
      <c r="J732" s="122">
        <f>IF($D732="",0,MAX(0,$D732-$I732))</f>
        <v/>
      </c>
      <c r="K732" s="122">
        <f>IF($H732=0,0,IFERROR(IF($E732="Azalan",$D732*(1-MIN(2*AmortismanAzalanCarpan*$F732,1))^MAX(0,$H732-1)*MIN(2*AmortismanAzalanCarpan*$F732,1),MIN($D732*$F732,$D732)),0))</f>
        <v/>
      </c>
      <c r="L732" s="122">
        <f>IF($D732="",0,$G732-$J732)</f>
        <v/>
      </c>
      <c r="M732" s="122">
        <f>IF($B732="","",CONCATENATE("Kıymet: ",$B732," | NDD: ",TEXT($J732,"#,##0")))</f>
        <v/>
      </c>
    </row>
    <row r="733" ht="15" customHeight="1" s="77">
      <c r="A733" s="123" t="n"/>
      <c r="B733" s="123" t="n"/>
      <c r="C733" s="124" t="n"/>
      <c r="D733" s="125" t="n"/>
      <c r="E733" s="123" t="n"/>
      <c r="F733" s="126" t="n"/>
      <c r="G733" s="125" t="n"/>
      <c r="H733" s="122">
        <f>IF($D733="",0,MAX(0,ROUNDDOWN((AmortismanRaporTarihi-$C733)/365,0)))</f>
        <v/>
      </c>
      <c r="I733" s="122">
        <f>IF($D733="",0,IFERROR(IF($E733="Azalan",MAX(0,$D733*(1-MIN(2*AmortismanAzalanCarpan*$F733,1)^$H733)),MIN($D733,$D733*$F733*$H733)),0))</f>
        <v/>
      </c>
      <c r="J733" s="122">
        <f>IF($D733="",0,MAX(0,$D733-$I733))</f>
        <v/>
      </c>
      <c r="K733" s="122">
        <f>IF($H733=0,0,IFERROR(IF($E733="Azalan",$D733*(1-MIN(2*AmortismanAzalanCarpan*$F733,1))^MAX(0,$H733-1)*MIN(2*AmortismanAzalanCarpan*$F733,1),MIN($D733*$F733,$D733)),0))</f>
        <v/>
      </c>
      <c r="L733" s="122">
        <f>IF($D733="",0,$G733-$J733)</f>
        <v/>
      </c>
      <c r="M733" s="122">
        <f>IF($B733="","",CONCATENATE("Kıymet: ",$B733," | NDD: ",TEXT($J733,"#,##0")))</f>
        <v/>
      </c>
    </row>
    <row r="734" ht="15" customHeight="1" s="77">
      <c r="A734" s="123" t="n"/>
      <c r="B734" s="123" t="n"/>
      <c r="C734" s="124" t="n"/>
      <c r="D734" s="125" t="n"/>
      <c r="E734" s="123" t="n"/>
      <c r="F734" s="126" t="n"/>
      <c r="G734" s="125" t="n"/>
      <c r="H734" s="122">
        <f>IF($D734="",0,MAX(0,ROUNDDOWN((AmortismanRaporTarihi-$C734)/365,0)))</f>
        <v/>
      </c>
      <c r="I734" s="122">
        <f>IF($D734="",0,IFERROR(IF($E734="Azalan",MAX(0,$D734*(1-MIN(2*AmortismanAzalanCarpan*$F734,1)^$H734)),MIN($D734,$D734*$F734*$H734)),0))</f>
        <v/>
      </c>
      <c r="J734" s="122">
        <f>IF($D734="",0,MAX(0,$D734-$I734))</f>
        <v/>
      </c>
      <c r="K734" s="122">
        <f>IF($H734=0,0,IFERROR(IF($E734="Azalan",$D734*(1-MIN(2*AmortismanAzalanCarpan*$F734,1))^MAX(0,$H734-1)*MIN(2*AmortismanAzalanCarpan*$F734,1),MIN($D734*$F734,$D734)),0))</f>
        <v/>
      </c>
      <c r="L734" s="122">
        <f>IF($D734="",0,$G734-$J734)</f>
        <v/>
      </c>
      <c r="M734" s="122">
        <f>IF($B734="","",CONCATENATE("Kıymet: ",$B734," | NDD: ",TEXT($J734,"#,##0")))</f>
        <v/>
      </c>
    </row>
    <row r="735" ht="15" customHeight="1" s="77">
      <c r="A735" s="123" t="n"/>
      <c r="B735" s="123" t="n"/>
      <c r="C735" s="124" t="n"/>
      <c r="D735" s="125" t="n"/>
      <c r="E735" s="123" t="n"/>
      <c r="F735" s="126" t="n"/>
      <c r="G735" s="125" t="n"/>
      <c r="H735" s="122">
        <f>IF($D735="",0,MAX(0,ROUNDDOWN((AmortismanRaporTarihi-$C735)/365,0)))</f>
        <v/>
      </c>
      <c r="I735" s="122">
        <f>IF($D735="",0,IFERROR(IF($E735="Azalan",MAX(0,$D735*(1-MIN(2*AmortismanAzalanCarpan*$F735,1)^$H735)),MIN($D735,$D735*$F735*$H735)),0))</f>
        <v/>
      </c>
      <c r="J735" s="122">
        <f>IF($D735="",0,MAX(0,$D735-$I735))</f>
        <v/>
      </c>
      <c r="K735" s="122">
        <f>IF($H735=0,0,IFERROR(IF($E735="Azalan",$D735*(1-MIN(2*AmortismanAzalanCarpan*$F735,1))^MAX(0,$H735-1)*MIN(2*AmortismanAzalanCarpan*$F735,1),MIN($D735*$F735,$D735)),0))</f>
        <v/>
      </c>
      <c r="L735" s="122">
        <f>IF($D735="",0,$G735-$J735)</f>
        <v/>
      </c>
      <c r="M735" s="122">
        <f>IF($B735="","",CONCATENATE("Kıymet: ",$B735," | NDD: ",TEXT($J735,"#,##0")))</f>
        <v/>
      </c>
    </row>
    <row r="736" ht="15" customHeight="1" s="77">
      <c r="A736" s="123" t="n"/>
      <c r="B736" s="123" t="n"/>
      <c r="C736" s="124" t="n"/>
      <c r="D736" s="125" t="n"/>
      <c r="E736" s="123" t="n"/>
      <c r="F736" s="126" t="n"/>
      <c r="G736" s="125" t="n"/>
      <c r="H736" s="122">
        <f>IF($D736="",0,MAX(0,ROUNDDOWN((AmortismanRaporTarihi-$C736)/365,0)))</f>
        <v/>
      </c>
      <c r="I736" s="122">
        <f>IF($D736="",0,IFERROR(IF($E736="Azalan",MAX(0,$D736*(1-MIN(2*AmortismanAzalanCarpan*$F736,1)^$H736)),MIN($D736,$D736*$F736*$H736)),0))</f>
        <v/>
      </c>
      <c r="J736" s="122">
        <f>IF($D736="",0,MAX(0,$D736-$I736))</f>
        <v/>
      </c>
      <c r="K736" s="122">
        <f>IF($H736=0,0,IFERROR(IF($E736="Azalan",$D736*(1-MIN(2*AmortismanAzalanCarpan*$F736,1))^MAX(0,$H736-1)*MIN(2*AmortismanAzalanCarpan*$F736,1),MIN($D736*$F736,$D736)),0))</f>
        <v/>
      </c>
      <c r="L736" s="122">
        <f>IF($D736="",0,$G736-$J736)</f>
        <v/>
      </c>
      <c r="M736" s="122">
        <f>IF($B736="","",CONCATENATE("Kıymet: ",$B736," | NDD: ",TEXT($J736,"#,##0")))</f>
        <v/>
      </c>
    </row>
    <row r="737" ht="15" customHeight="1" s="77">
      <c r="A737" s="123" t="n"/>
      <c r="B737" s="123" t="n"/>
      <c r="C737" s="124" t="n"/>
      <c r="D737" s="125" t="n"/>
      <c r="E737" s="123" t="n"/>
      <c r="F737" s="126" t="n"/>
      <c r="G737" s="125" t="n"/>
      <c r="H737" s="122">
        <f>IF($D737="",0,MAX(0,ROUNDDOWN((AmortismanRaporTarihi-$C737)/365,0)))</f>
        <v/>
      </c>
      <c r="I737" s="122">
        <f>IF($D737="",0,IFERROR(IF($E737="Azalan",MAX(0,$D737*(1-MIN(2*AmortismanAzalanCarpan*$F737,1)^$H737)),MIN($D737,$D737*$F737*$H737)),0))</f>
        <v/>
      </c>
      <c r="J737" s="122">
        <f>IF($D737="",0,MAX(0,$D737-$I737))</f>
        <v/>
      </c>
      <c r="K737" s="122">
        <f>IF($H737=0,0,IFERROR(IF($E737="Azalan",$D737*(1-MIN(2*AmortismanAzalanCarpan*$F737,1))^MAX(0,$H737-1)*MIN(2*AmortismanAzalanCarpan*$F737,1),MIN($D737*$F737,$D737)),0))</f>
        <v/>
      </c>
      <c r="L737" s="122">
        <f>IF($D737="",0,$G737-$J737)</f>
        <v/>
      </c>
      <c r="M737" s="122">
        <f>IF($B737="","",CONCATENATE("Kıymet: ",$B737," | NDD: ",TEXT($J737,"#,##0")))</f>
        <v/>
      </c>
    </row>
    <row r="738" ht="15" customHeight="1" s="77">
      <c r="A738" s="123" t="n"/>
      <c r="B738" s="123" t="n"/>
      <c r="C738" s="124" t="n"/>
      <c r="D738" s="125" t="n"/>
      <c r="E738" s="123" t="n"/>
      <c r="F738" s="126" t="n"/>
      <c r="G738" s="125" t="n"/>
      <c r="H738" s="122">
        <f>IF($D738="",0,MAX(0,ROUNDDOWN((AmortismanRaporTarihi-$C738)/365,0)))</f>
        <v/>
      </c>
      <c r="I738" s="122">
        <f>IF($D738="",0,IFERROR(IF($E738="Azalan",MAX(0,$D738*(1-MIN(2*AmortismanAzalanCarpan*$F738,1)^$H738)),MIN($D738,$D738*$F738*$H738)),0))</f>
        <v/>
      </c>
      <c r="J738" s="122">
        <f>IF($D738="",0,MAX(0,$D738-$I738))</f>
        <v/>
      </c>
      <c r="K738" s="122">
        <f>IF($H738=0,0,IFERROR(IF($E738="Azalan",$D738*(1-MIN(2*AmortismanAzalanCarpan*$F738,1))^MAX(0,$H738-1)*MIN(2*AmortismanAzalanCarpan*$F738,1),MIN($D738*$F738,$D738)),0))</f>
        <v/>
      </c>
      <c r="L738" s="122">
        <f>IF($D738="",0,$G738-$J738)</f>
        <v/>
      </c>
      <c r="M738" s="122">
        <f>IF($B738="","",CONCATENATE("Kıymet: ",$B738," | NDD: ",TEXT($J738,"#,##0")))</f>
        <v/>
      </c>
    </row>
    <row r="739" ht="15" customHeight="1" s="77">
      <c r="A739" s="123" t="n"/>
      <c r="B739" s="123" t="n"/>
      <c r="C739" s="124" t="n"/>
      <c r="D739" s="125" t="n"/>
      <c r="E739" s="123" t="n"/>
      <c r="F739" s="126" t="n"/>
      <c r="G739" s="125" t="n"/>
      <c r="H739" s="122">
        <f>IF($D739="",0,MAX(0,ROUNDDOWN((AmortismanRaporTarihi-$C739)/365,0)))</f>
        <v/>
      </c>
      <c r="I739" s="122">
        <f>IF($D739="",0,IFERROR(IF($E739="Azalan",MAX(0,$D739*(1-MIN(2*AmortismanAzalanCarpan*$F739,1)^$H739)),MIN($D739,$D739*$F739*$H739)),0))</f>
        <v/>
      </c>
      <c r="J739" s="122">
        <f>IF($D739="",0,MAX(0,$D739-$I739))</f>
        <v/>
      </c>
      <c r="K739" s="122">
        <f>IF($H739=0,0,IFERROR(IF($E739="Azalan",$D739*(1-MIN(2*AmortismanAzalanCarpan*$F739,1))^MAX(0,$H739-1)*MIN(2*AmortismanAzalanCarpan*$F739,1),MIN($D739*$F739,$D739)),0))</f>
        <v/>
      </c>
      <c r="L739" s="122">
        <f>IF($D739="",0,$G739-$J739)</f>
        <v/>
      </c>
      <c r="M739" s="122">
        <f>IF($B739="","",CONCATENATE("Kıymet: ",$B739," | NDD: ",TEXT($J739,"#,##0")))</f>
        <v/>
      </c>
    </row>
    <row r="740" ht="15" customHeight="1" s="77">
      <c r="A740" s="123" t="n"/>
      <c r="B740" s="123" t="n"/>
      <c r="C740" s="124" t="n"/>
      <c r="D740" s="125" t="n"/>
      <c r="E740" s="123" t="n"/>
      <c r="F740" s="126" t="n"/>
      <c r="G740" s="125" t="n"/>
      <c r="H740" s="122">
        <f>IF($D740="",0,MAX(0,ROUNDDOWN((AmortismanRaporTarihi-$C740)/365,0)))</f>
        <v/>
      </c>
      <c r="I740" s="122">
        <f>IF($D740="",0,IFERROR(IF($E740="Azalan",MAX(0,$D740*(1-MIN(2*AmortismanAzalanCarpan*$F740,1)^$H740)),MIN($D740,$D740*$F740*$H740)),0))</f>
        <v/>
      </c>
      <c r="J740" s="122">
        <f>IF($D740="",0,MAX(0,$D740-$I740))</f>
        <v/>
      </c>
      <c r="K740" s="122">
        <f>IF($H740=0,0,IFERROR(IF($E740="Azalan",$D740*(1-MIN(2*AmortismanAzalanCarpan*$F740,1))^MAX(0,$H740-1)*MIN(2*AmortismanAzalanCarpan*$F740,1),MIN($D740*$F740,$D740)),0))</f>
        <v/>
      </c>
      <c r="L740" s="122">
        <f>IF($D740="",0,$G740-$J740)</f>
        <v/>
      </c>
      <c r="M740" s="122">
        <f>IF($B740="","",CONCATENATE("Kıymet: ",$B740," | NDD: ",TEXT($J740,"#,##0")))</f>
        <v/>
      </c>
    </row>
    <row r="741" ht="15" customHeight="1" s="77">
      <c r="A741" s="123" t="n"/>
      <c r="B741" s="123" t="n"/>
      <c r="C741" s="124" t="n"/>
      <c r="D741" s="125" t="n"/>
      <c r="E741" s="123" t="n"/>
      <c r="F741" s="126" t="n"/>
      <c r="G741" s="125" t="n"/>
      <c r="H741" s="122">
        <f>IF($D741="",0,MAX(0,ROUNDDOWN((AmortismanRaporTarihi-$C741)/365,0)))</f>
        <v/>
      </c>
      <c r="I741" s="122">
        <f>IF($D741="",0,IFERROR(IF($E741="Azalan",MAX(0,$D741*(1-MIN(2*AmortismanAzalanCarpan*$F741,1)^$H741)),MIN($D741,$D741*$F741*$H741)),0))</f>
        <v/>
      </c>
      <c r="J741" s="122">
        <f>IF($D741="",0,MAX(0,$D741-$I741))</f>
        <v/>
      </c>
      <c r="K741" s="122">
        <f>IF($H741=0,0,IFERROR(IF($E741="Azalan",$D741*(1-MIN(2*AmortismanAzalanCarpan*$F741,1))^MAX(0,$H741-1)*MIN(2*AmortismanAzalanCarpan*$F741,1),MIN($D741*$F741,$D741)),0))</f>
        <v/>
      </c>
      <c r="L741" s="122">
        <f>IF($D741="",0,$G741-$J741)</f>
        <v/>
      </c>
      <c r="M741" s="122">
        <f>IF($B741="","",CONCATENATE("Kıymet: ",$B741," | NDD: ",TEXT($J741,"#,##0")))</f>
        <v/>
      </c>
    </row>
    <row r="742" ht="15" customHeight="1" s="77">
      <c r="A742" s="123" t="n"/>
      <c r="B742" s="123" t="n"/>
      <c r="C742" s="124" t="n"/>
      <c r="D742" s="125" t="n"/>
      <c r="E742" s="123" t="n"/>
      <c r="F742" s="126" t="n"/>
      <c r="G742" s="125" t="n"/>
      <c r="H742" s="122">
        <f>IF($D742="",0,MAX(0,ROUNDDOWN((AmortismanRaporTarihi-$C742)/365,0)))</f>
        <v/>
      </c>
      <c r="I742" s="122">
        <f>IF($D742="",0,IFERROR(IF($E742="Azalan",MAX(0,$D742*(1-MIN(2*AmortismanAzalanCarpan*$F742,1)^$H742)),MIN($D742,$D742*$F742*$H742)),0))</f>
        <v/>
      </c>
      <c r="J742" s="122">
        <f>IF($D742="",0,MAX(0,$D742-$I742))</f>
        <v/>
      </c>
      <c r="K742" s="122">
        <f>IF($H742=0,0,IFERROR(IF($E742="Azalan",$D742*(1-MIN(2*AmortismanAzalanCarpan*$F742,1))^MAX(0,$H742-1)*MIN(2*AmortismanAzalanCarpan*$F742,1),MIN($D742*$F742,$D742)),0))</f>
        <v/>
      </c>
      <c r="L742" s="122">
        <f>IF($D742="",0,$G742-$J742)</f>
        <v/>
      </c>
      <c r="M742" s="122">
        <f>IF($B742="","",CONCATENATE("Kıymet: ",$B742," | NDD: ",TEXT($J742,"#,##0")))</f>
        <v/>
      </c>
    </row>
    <row r="743" ht="15" customHeight="1" s="77">
      <c r="A743" s="123" t="n"/>
      <c r="B743" s="123" t="n"/>
      <c r="C743" s="124" t="n"/>
      <c r="D743" s="125" t="n"/>
      <c r="E743" s="123" t="n"/>
      <c r="F743" s="126" t="n"/>
      <c r="G743" s="125" t="n"/>
      <c r="H743" s="122">
        <f>IF($D743="",0,MAX(0,ROUNDDOWN((AmortismanRaporTarihi-$C743)/365,0)))</f>
        <v/>
      </c>
      <c r="I743" s="122">
        <f>IF($D743="",0,IFERROR(IF($E743="Azalan",MAX(0,$D743*(1-MIN(2*AmortismanAzalanCarpan*$F743,1)^$H743)),MIN($D743,$D743*$F743*$H743)),0))</f>
        <v/>
      </c>
      <c r="J743" s="122">
        <f>IF($D743="",0,MAX(0,$D743-$I743))</f>
        <v/>
      </c>
      <c r="K743" s="122">
        <f>IF($H743=0,0,IFERROR(IF($E743="Azalan",$D743*(1-MIN(2*AmortismanAzalanCarpan*$F743,1))^MAX(0,$H743-1)*MIN(2*AmortismanAzalanCarpan*$F743,1),MIN($D743*$F743,$D743)),0))</f>
        <v/>
      </c>
      <c r="L743" s="122">
        <f>IF($D743="",0,$G743-$J743)</f>
        <v/>
      </c>
      <c r="M743" s="122">
        <f>IF($B743="","",CONCATENATE("Kıymet: ",$B743," | NDD: ",TEXT($J743,"#,##0")))</f>
        <v/>
      </c>
    </row>
    <row r="744" ht="15" customHeight="1" s="77">
      <c r="A744" s="123" t="n"/>
      <c r="B744" s="123" t="n"/>
      <c r="C744" s="124" t="n"/>
      <c r="D744" s="125" t="n"/>
      <c r="E744" s="123" t="n"/>
      <c r="F744" s="126" t="n"/>
      <c r="G744" s="125" t="n"/>
      <c r="H744" s="122">
        <f>IF($D744="",0,MAX(0,ROUNDDOWN((AmortismanRaporTarihi-$C744)/365,0)))</f>
        <v/>
      </c>
      <c r="I744" s="122">
        <f>IF($D744="",0,IFERROR(IF($E744="Azalan",MAX(0,$D744*(1-MIN(2*AmortismanAzalanCarpan*$F744,1)^$H744)),MIN($D744,$D744*$F744*$H744)),0))</f>
        <v/>
      </c>
      <c r="J744" s="122">
        <f>IF($D744="",0,MAX(0,$D744-$I744))</f>
        <v/>
      </c>
      <c r="K744" s="122">
        <f>IF($H744=0,0,IFERROR(IF($E744="Azalan",$D744*(1-MIN(2*AmortismanAzalanCarpan*$F744,1))^MAX(0,$H744-1)*MIN(2*AmortismanAzalanCarpan*$F744,1),MIN($D744*$F744,$D744)),0))</f>
        <v/>
      </c>
      <c r="L744" s="122">
        <f>IF($D744="",0,$G744-$J744)</f>
        <v/>
      </c>
      <c r="M744" s="122">
        <f>IF($B744="","",CONCATENATE("Kıymet: ",$B744," | NDD: ",TEXT($J744,"#,##0")))</f>
        <v/>
      </c>
    </row>
    <row r="745" ht="15" customHeight="1" s="77">
      <c r="A745" s="123" t="n"/>
      <c r="B745" s="123" t="n"/>
      <c r="C745" s="124" t="n"/>
      <c r="D745" s="125" t="n"/>
      <c r="E745" s="123" t="n"/>
      <c r="F745" s="126" t="n"/>
      <c r="G745" s="125" t="n"/>
      <c r="H745" s="122">
        <f>IF($D745="",0,MAX(0,ROUNDDOWN((AmortismanRaporTarihi-$C745)/365,0)))</f>
        <v/>
      </c>
      <c r="I745" s="122">
        <f>IF($D745="",0,IFERROR(IF($E745="Azalan",MAX(0,$D745*(1-MIN(2*AmortismanAzalanCarpan*$F745,1)^$H745)),MIN($D745,$D745*$F745*$H745)),0))</f>
        <v/>
      </c>
      <c r="J745" s="122">
        <f>IF($D745="",0,MAX(0,$D745-$I745))</f>
        <v/>
      </c>
      <c r="K745" s="122">
        <f>IF($H745=0,0,IFERROR(IF($E745="Azalan",$D745*(1-MIN(2*AmortismanAzalanCarpan*$F745,1))^MAX(0,$H745-1)*MIN(2*AmortismanAzalanCarpan*$F745,1),MIN($D745*$F745,$D745)),0))</f>
        <v/>
      </c>
      <c r="L745" s="122">
        <f>IF($D745="",0,$G745-$J745)</f>
        <v/>
      </c>
      <c r="M745" s="122">
        <f>IF($B745="","",CONCATENATE("Kıymet: ",$B745," | NDD: ",TEXT($J745,"#,##0")))</f>
        <v/>
      </c>
    </row>
    <row r="746" ht="15" customHeight="1" s="77">
      <c r="A746" s="123" t="n"/>
      <c r="B746" s="123" t="n"/>
      <c r="C746" s="124" t="n"/>
      <c r="D746" s="125" t="n"/>
      <c r="E746" s="123" t="n"/>
      <c r="F746" s="126" t="n"/>
      <c r="G746" s="125" t="n"/>
      <c r="H746" s="122">
        <f>IF($D746="",0,MAX(0,ROUNDDOWN((AmortismanRaporTarihi-$C746)/365,0)))</f>
        <v/>
      </c>
      <c r="I746" s="122">
        <f>IF($D746="",0,IFERROR(IF($E746="Azalan",MAX(0,$D746*(1-MIN(2*AmortismanAzalanCarpan*$F746,1)^$H746)),MIN($D746,$D746*$F746*$H746)),0))</f>
        <v/>
      </c>
      <c r="J746" s="122">
        <f>IF($D746="",0,MAX(0,$D746-$I746))</f>
        <v/>
      </c>
      <c r="K746" s="122">
        <f>IF($H746=0,0,IFERROR(IF($E746="Azalan",$D746*(1-MIN(2*AmortismanAzalanCarpan*$F746,1))^MAX(0,$H746-1)*MIN(2*AmortismanAzalanCarpan*$F746,1),MIN($D746*$F746,$D746)),0))</f>
        <v/>
      </c>
      <c r="L746" s="122">
        <f>IF($D746="",0,$G746-$J746)</f>
        <v/>
      </c>
      <c r="M746" s="122">
        <f>IF($B746="","",CONCATENATE("Kıymet: ",$B746," | NDD: ",TEXT($J746,"#,##0")))</f>
        <v/>
      </c>
    </row>
    <row r="747" ht="15" customHeight="1" s="77">
      <c r="A747" s="123" t="n"/>
      <c r="B747" s="123" t="n"/>
      <c r="C747" s="124" t="n"/>
      <c r="D747" s="125" t="n"/>
      <c r="E747" s="123" t="n"/>
      <c r="F747" s="126" t="n"/>
      <c r="G747" s="125" t="n"/>
      <c r="H747" s="122">
        <f>IF($D747="",0,MAX(0,ROUNDDOWN((AmortismanRaporTarihi-$C747)/365,0)))</f>
        <v/>
      </c>
      <c r="I747" s="122">
        <f>IF($D747="",0,IFERROR(IF($E747="Azalan",MAX(0,$D747*(1-MIN(2*AmortismanAzalanCarpan*$F747,1)^$H747)),MIN($D747,$D747*$F747*$H747)),0))</f>
        <v/>
      </c>
      <c r="J747" s="122">
        <f>IF($D747="",0,MAX(0,$D747-$I747))</f>
        <v/>
      </c>
      <c r="K747" s="122">
        <f>IF($H747=0,0,IFERROR(IF($E747="Azalan",$D747*(1-MIN(2*AmortismanAzalanCarpan*$F747,1))^MAX(0,$H747-1)*MIN(2*AmortismanAzalanCarpan*$F747,1),MIN($D747*$F747,$D747)),0))</f>
        <v/>
      </c>
      <c r="L747" s="122">
        <f>IF($D747="",0,$G747-$J747)</f>
        <v/>
      </c>
      <c r="M747" s="122">
        <f>IF($B747="","",CONCATENATE("Kıymet: ",$B747," | NDD: ",TEXT($J747,"#,##0")))</f>
        <v/>
      </c>
    </row>
    <row r="748" ht="15" customHeight="1" s="77">
      <c r="A748" s="123" t="n"/>
      <c r="B748" s="123" t="n"/>
      <c r="C748" s="124" t="n"/>
      <c r="D748" s="125" t="n"/>
      <c r="E748" s="123" t="n"/>
      <c r="F748" s="126" t="n"/>
      <c r="G748" s="125" t="n"/>
      <c r="H748" s="122">
        <f>IF($D748="",0,MAX(0,ROUNDDOWN((AmortismanRaporTarihi-$C748)/365,0)))</f>
        <v/>
      </c>
      <c r="I748" s="122">
        <f>IF($D748="",0,IFERROR(IF($E748="Azalan",MAX(0,$D748*(1-MIN(2*AmortismanAzalanCarpan*$F748,1)^$H748)),MIN($D748,$D748*$F748*$H748)),0))</f>
        <v/>
      </c>
      <c r="J748" s="122">
        <f>IF($D748="",0,MAX(0,$D748-$I748))</f>
        <v/>
      </c>
      <c r="K748" s="122">
        <f>IF($H748=0,0,IFERROR(IF($E748="Azalan",$D748*(1-MIN(2*AmortismanAzalanCarpan*$F748,1))^MAX(0,$H748-1)*MIN(2*AmortismanAzalanCarpan*$F748,1),MIN($D748*$F748,$D748)),0))</f>
        <v/>
      </c>
      <c r="L748" s="122">
        <f>IF($D748="",0,$G748-$J748)</f>
        <v/>
      </c>
      <c r="M748" s="122">
        <f>IF($B748="","",CONCATENATE("Kıymet: ",$B748," | NDD: ",TEXT($J748,"#,##0")))</f>
        <v/>
      </c>
    </row>
    <row r="749" ht="15" customHeight="1" s="77">
      <c r="A749" s="123" t="n"/>
      <c r="B749" s="123" t="n"/>
      <c r="C749" s="124" t="n"/>
      <c r="D749" s="125" t="n"/>
      <c r="E749" s="123" t="n"/>
      <c r="F749" s="126" t="n"/>
      <c r="G749" s="125" t="n"/>
      <c r="H749" s="122">
        <f>IF($D749="",0,MAX(0,ROUNDDOWN((AmortismanRaporTarihi-$C749)/365,0)))</f>
        <v/>
      </c>
      <c r="I749" s="122">
        <f>IF($D749="",0,IFERROR(IF($E749="Azalan",MAX(0,$D749*(1-MIN(2*AmortismanAzalanCarpan*$F749,1)^$H749)),MIN($D749,$D749*$F749*$H749)),0))</f>
        <v/>
      </c>
      <c r="J749" s="122">
        <f>IF($D749="",0,MAX(0,$D749-$I749))</f>
        <v/>
      </c>
      <c r="K749" s="122">
        <f>IF($H749=0,0,IFERROR(IF($E749="Azalan",$D749*(1-MIN(2*AmortismanAzalanCarpan*$F749,1))^MAX(0,$H749-1)*MIN(2*AmortismanAzalanCarpan*$F749,1),MIN($D749*$F749,$D749)),0))</f>
        <v/>
      </c>
      <c r="L749" s="122">
        <f>IF($D749="",0,$G749-$J749)</f>
        <v/>
      </c>
      <c r="M749" s="122">
        <f>IF($B749="","",CONCATENATE("Kıymet: ",$B749," | NDD: ",TEXT($J749,"#,##0")))</f>
        <v/>
      </c>
    </row>
    <row r="750" ht="15" customHeight="1" s="77">
      <c r="A750" s="123" t="n"/>
      <c r="B750" s="123" t="n"/>
      <c r="C750" s="124" t="n"/>
      <c r="D750" s="125" t="n"/>
      <c r="E750" s="123" t="n"/>
      <c r="F750" s="126" t="n"/>
      <c r="G750" s="125" t="n"/>
      <c r="H750" s="122">
        <f>IF($D750="",0,MAX(0,ROUNDDOWN((AmortismanRaporTarihi-$C750)/365,0)))</f>
        <v/>
      </c>
      <c r="I750" s="122">
        <f>IF($D750="",0,IFERROR(IF($E750="Azalan",MAX(0,$D750*(1-MIN(2*AmortismanAzalanCarpan*$F750,1)^$H750)),MIN($D750,$D750*$F750*$H750)),0))</f>
        <v/>
      </c>
      <c r="J750" s="122">
        <f>IF($D750="",0,MAX(0,$D750-$I750))</f>
        <v/>
      </c>
      <c r="K750" s="122">
        <f>IF($H750=0,0,IFERROR(IF($E750="Azalan",$D750*(1-MIN(2*AmortismanAzalanCarpan*$F750,1))^MAX(0,$H750-1)*MIN(2*AmortismanAzalanCarpan*$F750,1),MIN($D750*$F750,$D750)),0))</f>
        <v/>
      </c>
      <c r="L750" s="122">
        <f>IF($D750="",0,$G750-$J750)</f>
        <v/>
      </c>
      <c r="M750" s="122">
        <f>IF($B750="","",CONCATENATE("Kıymet: ",$B750," | NDD: ",TEXT($J750,"#,##0")))</f>
        <v/>
      </c>
    </row>
    <row r="751" ht="15" customHeight="1" s="77">
      <c r="A751" s="123" t="n"/>
      <c r="B751" s="123" t="n"/>
      <c r="C751" s="124" t="n"/>
      <c r="D751" s="125" t="n"/>
      <c r="E751" s="123" t="n"/>
      <c r="F751" s="126" t="n"/>
      <c r="G751" s="125" t="n"/>
      <c r="H751" s="122">
        <f>IF($D751="",0,MAX(0,ROUNDDOWN((AmortismanRaporTarihi-$C751)/365,0)))</f>
        <v/>
      </c>
      <c r="I751" s="122">
        <f>IF($D751="",0,IFERROR(IF($E751="Azalan",MAX(0,$D751*(1-MIN(2*AmortismanAzalanCarpan*$F751,1)^$H751)),MIN($D751,$D751*$F751*$H751)),0))</f>
        <v/>
      </c>
      <c r="J751" s="122">
        <f>IF($D751="",0,MAX(0,$D751-$I751))</f>
        <v/>
      </c>
      <c r="K751" s="122">
        <f>IF($H751=0,0,IFERROR(IF($E751="Azalan",$D751*(1-MIN(2*AmortismanAzalanCarpan*$F751,1))^MAX(0,$H751-1)*MIN(2*AmortismanAzalanCarpan*$F751,1),MIN($D751*$F751,$D751)),0))</f>
        <v/>
      </c>
      <c r="L751" s="122">
        <f>IF($D751="",0,$G751-$J751)</f>
        <v/>
      </c>
      <c r="M751" s="122">
        <f>IF($B751="","",CONCATENATE("Kıymet: ",$B751," | NDD: ",TEXT($J751,"#,##0")))</f>
        <v/>
      </c>
    </row>
    <row r="752" ht="15" customHeight="1" s="77">
      <c r="A752" s="123" t="n"/>
      <c r="B752" s="123" t="n"/>
      <c r="C752" s="124" t="n"/>
      <c r="D752" s="125" t="n"/>
      <c r="E752" s="123" t="n"/>
      <c r="F752" s="126" t="n"/>
      <c r="G752" s="125" t="n"/>
      <c r="H752" s="122">
        <f>IF($D752="",0,MAX(0,ROUNDDOWN((AmortismanRaporTarihi-$C752)/365,0)))</f>
        <v/>
      </c>
      <c r="I752" s="122">
        <f>IF($D752="",0,IFERROR(IF($E752="Azalan",MAX(0,$D752*(1-MIN(2*AmortismanAzalanCarpan*$F752,1)^$H752)),MIN($D752,$D752*$F752*$H752)),0))</f>
        <v/>
      </c>
      <c r="J752" s="122">
        <f>IF($D752="",0,MAX(0,$D752-$I752))</f>
        <v/>
      </c>
      <c r="K752" s="122">
        <f>IF($H752=0,0,IFERROR(IF($E752="Azalan",$D752*(1-MIN(2*AmortismanAzalanCarpan*$F752,1))^MAX(0,$H752-1)*MIN(2*AmortismanAzalanCarpan*$F752,1),MIN($D752*$F752,$D752)),0))</f>
        <v/>
      </c>
      <c r="L752" s="122">
        <f>IF($D752="",0,$G752-$J752)</f>
        <v/>
      </c>
      <c r="M752" s="122">
        <f>IF($B752="","",CONCATENATE("Kıymet: ",$B752," | NDD: ",TEXT($J752,"#,##0")))</f>
        <v/>
      </c>
    </row>
    <row r="753" ht="15" customHeight="1" s="77">
      <c r="A753" s="123" t="n"/>
      <c r="B753" s="123" t="n"/>
      <c r="C753" s="124" t="n"/>
      <c r="D753" s="125" t="n"/>
      <c r="E753" s="123" t="n"/>
      <c r="F753" s="126" t="n"/>
      <c r="G753" s="125" t="n"/>
      <c r="H753" s="122">
        <f>IF($D753="",0,MAX(0,ROUNDDOWN((AmortismanRaporTarihi-$C753)/365,0)))</f>
        <v/>
      </c>
      <c r="I753" s="122">
        <f>IF($D753="",0,IFERROR(IF($E753="Azalan",MAX(0,$D753*(1-MIN(2*AmortismanAzalanCarpan*$F753,1)^$H753)),MIN($D753,$D753*$F753*$H753)),0))</f>
        <v/>
      </c>
      <c r="J753" s="122">
        <f>IF($D753="",0,MAX(0,$D753-$I753))</f>
        <v/>
      </c>
      <c r="K753" s="122">
        <f>IF($H753=0,0,IFERROR(IF($E753="Azalan",$D753*(1-MIN(2*AmortismanAzalanCarpan*$F753,1))^MAX(0,$H753-1)*MIN(2*AmortismanAzalanCarpan*$F753,1),MIN($D753*$F753,$D753)),0))</f>
        <v/>
      </c>
      <c r="L753" s="122">
        <f>IF($D753="",0,$G753-$J753)</f>
        <v/>
      </c>
      <c r="M753" s="122">
        <f>IF($B753="","",CONCATENATE("Kıymet: ",$B753," | NDD: ",TEXT($J753,"#,##0")))</f>
        <v/>
      </c>
    </row>
    <row r="754" ht="15" customHeight="1" s="77">
      <c r="A754" s="123" t="n"/>
      <c r="B754" s="123" t="n"/>
      <c r="C754" s="124" t="n"/>
      <c r="D754" s="125" t="n"/>
      <c r="E754" s="123" t="n"/>
      <c r="F754" s="126" t="n"/>
      <c r="G754" s="125" t="n"/>
      <c r="H754" s="122">
        <f>IF($D754="",0,MAX(0,ROUNDDOWN((AmortismanRaporTarihi-$C754)/365,0)))</f>
        <v/>
      </c>
      <c r="I754" s="122">
        <f>IF($D754="",0,IFERROR(IF($E754="Azalan",MAX(0,$D754*(1-MIN(2*AmortismanAzalanCarpan*$F754,1)^$H754)),MIN($D754,$D754*$F754*$H754)),0))</f>
        <v/>
      </c>
      <c r="J754" s="122">
        <f>IF($D754="",0,MAX(0,$D754-$I754))</f>
        <v/>
      </c>
      <c r="K754" s="122">
        <f>IF($H754=0,0,IFERROR(IF($E754="Azalan",$D754*(1-MIN(2*AmortismanAzalanCarpan*$F754,1))^MAX(0,$H754-1)*MIN(2*AmortismanAzalanCarpan*$F754,1),MIN($D754*$F754,$D754)),0))</f>
        <v/>
      </c>
      <c r="L754" s="122">
        <f>IF($D754="",0,$G754-$J754)</f>
        <v/>
      </c>
      <c r="M754" s="122">
        <f>IF($B754="","",CONCATENATE("Kıymet: ",$B754," | NDD: ",TEXT($J754,"#,##0")))</f>
        <v/>
      </c>
    </row>
    <row r="755" ht="15" customHeight="1" s="77">
      <c r="A755" s="123" t="n"/>
      <c r="B755" s="123" t="n"/>
      <c r="C755" s="124" t="n"/>
      <c r="D755" s="125" t="n"/>
      <c r="E755" s="123" t="n"/>
      <c r="F755" s="126" t="n"/>
      <c r="G755" s="125" t="n"/>
      <c r="H755" s="122">
        <f>IF($D755="",0,MAX(0,ROUNDDOWN((AmortismanRaporTarihi-$C755)/365,0)))</f>
        <v/>
      </c>
      <c r="I755" s="122">
        <f>IF($D755="",0,IFERROR(IF($E755="Azalan",MAX(0,$D755*(1-MIN(2*AmortismanAzalanCarpan*$F755,1)^$H755)),MIN($D755,$D755*$F755*$H755)),0))</f>
        <v/>
      </c>
      <c r="J755" s="122">
        <f>IF($D755="",0,MAX(0,$D755-$I755))</f>
        <v/>
      </c>
      <c r="K755" s="122">
        <f>IF($H755=0,0,IFERROR(IF($E755="Azalan",$D755*(1-MIN(2*AmortismanAzalanCarpan*$F755,1))^MAX(0,$H755-1)*MIN(2*AmortismanAzalanCarpan*$F755,1),MIN($D755*$F755,$D755)),0))</f>
        <v/>
      </c>
      <c r="L755" s="122">
        <f>IF($D755="",0,$G755-$J755)</f>
        <v/>
      </c>
      <c r="M755" s="122">
        <f>IF($B755="","",CONCATENATE("Kıymet: ",$B755," | NDD: ",TEXT($J755,"#,##0")))</f>
        <v/>
      </c>
    </row>
    <row r="756" ht="15" customHeight="1" s="77">
      <c r="A756" s="123" t="n"/>
      <c r="B756" s="123" t="n"/>
      <c r="C756" s="124" t="n"/>
      <c r="D756" s="125" t="n"/>
      <c r="E756" s="123" t="n"/>
      <c r="F756" s="126" t="n"/>
      <c r="G756" s="125" t="n"/>
      <c r="H756" s="122">
        <f>IF($D756="",0,MAX(0,ROUNDDOWN((AmortismanRaporTarihi-$C756)/365,0)))</f>
        <v/>
      </c>
      <c r="I756" s="122">
        <f>IF($D756="",0,IFERROR(IF($E756="Azalan",MAX(0,$D756*(1-MIN(2*AmortismanAzalanCarpan*$F756,1)^$H756)),MIN($D756,$D756*$F756*$H756)),0))</f>
        <v/>
      </c>
      <c r="J756" s="122">
        <f>IF($D756="",0,MAX(0,$D756-$I756))</f>
        <v/>
      </c>
      <c r="K756" s="122">
        <f>IF($H756=0,0,IFERROR(IF($E756="Azalan",$D756*(1-MIN(2*AmortismanAzalanCarpan*$F756,1))^MAX(0,$H756-1)*MIN(2*AmortismanAzalanCarpan*$F756,1),MIN($D756*$F756,$D756)),0))</f>
        <v/>
      </c>
      <c r="L756" s="122">
        <f>IF($D756="",0,$G756-$J756)</f>
        <v/>
      </c>
      <c r="M756" s="122">
        <f>IF($B756="","",CONCATENATE("Kıymet: ",$B756," | NDD: ",TEXT($J756,"#,##0")))</f>
        <v/>
      </c>
    </row>
    <row r="757" ht="15" customHeight="1" s="77">
      <c r="A757" s="123" t="n"/>
      <c r="B757" s="123" t="n"/>
      <c r="C757" s="124" t="n"/>
      <c r="D757" s="125" t="n"/>
      <c r="E757" s="123" t="n"/>
      <c r="F757" s="126" t="n"/>
      <c r="G757" s="125" t="n"/>
      <c r="H757" s="122">
        <f>IF($D757="",0,MAX(0,ROUNDDOWN((AmortismanRaporTarihi-$C757)/365,0)))</f>
        <v/>
      </c>
      <c r="I757" s="122">
        <f>IF($D757="",0,IFERROR(IF($E757="Azalan",MAX(0,$D757*(1-MIN(2*AmortismanAzalanCarpan*$F757,1)^$H757)),MIN($D757,$D757*$F757*$H757)),0))</f>
        <v/>
      </c>
      <c r="J757" s="122">
        <f>IF($D757="",0,MAX(0,$D757-$I757))</f>
        <v/>
      </c>
      <c r="K757" s="122">
        <f>IF($H757=0,0,IFERROR(IF($E757="Azalan",$D757*(1-MIN(2*AmortismanAzalanCarpan*$F757,1))^MAX(0,$H757-1)*MIN(2*AmortismanAzalanCarpan*$F757,1),MIN($D757*$F757,$D757)),0))</f>
        <v/>
      </c>
      <c r="L757" s="122">
        <f>IF($D757="",0,$G757-$J757)</f>
        <v/>
      </c>
      <c r="M757" s="122">
        <f>IF($B757="","",CONCATENATE("Kıymet: ",$B757," | NDD: ",TEXT($J757,"#,##0")))</f>
        <v/>
      </c>
    </row>
    <row r="758" ht="15" customHeight="1" s="77">
      <c r="A758" s="123" t="n"/>
      <c r="B758" s="123" t="n"/>
      <c r="C758" s="124" t="n"/>
      <c r="D758" s="125" t="n"/>
      <c r="E758" s="123" t="n"/>
      <c r="F758" s="126" t="n"/>
      <c r="G758" s="125" t="n"/>
      <c r="H758" s="122">
        <f>IF($D758="",0,MAX(0,ROUNDDOWN((AmortismanRaporTarihi-$C758)/365,0)))</f>
        <v/>
      </c>
      <c r="I758" s="122">
        <f>IF($D758="",0,IFERROR(IF($E758="Azalan",MAX(0,$D758*(1-MIN(2*AmortismanAzalanCarpan*$F758,1)^$H758)),MIN($D758,$D758*$F758*$H758)),0))</f>
        <v/>
      </c>
      <c r="J758" s="122">
        <f>IF($D758="",0,MAX(0,$D758-$I758))</f>
        <v/>
      </c>
      <c r="K758" s="122">
        <f>IF($H758=0,0,IFERROR(IF($E758="Azalan",$D758*(1-MIN(2*AmortismanAzalanCarpan*$F758,1))^MAX(0,$H758-1)*MIN(2*AmortismanAzalanCarpan*$F758,1),MIN($D758*$F758,$D758)),0))</f>
        <v/>
      </c>
      <c r="L758" s="122">
        <f>IF($D758="",0,$G758-$J758)</f>
        <v/>
      </c>
      <c r="M758" s="122">
        <f>IF($B758="","",CONCATENATE("Kıymet: ",$B758," | NDD: ",TEXT($J758,"#,##0")))</f>
        <v/>
      </c>
    </row>
    <row r="759" ht="15" customHeight="1" s="77">
      <c r="A759" s="123" t="n"/>
      <c r="B759" s="123" t="n"/>
      <c r="C759" s="124" t="n"/>
      <c r="D759" s="125" t="n"/>
      <c r="E759" s="123" t="n"/>
      <c r="F759" s="126" t="n"/>
      <c r="G759" s="125" t="n"/>
      <c r="H759" s="122">
        <f>IF($D759="",0,MAX(0,ROUNDDOWN((AmortismanRaporTarihi-$C759)/365,0)))</f>
        <v/>
      </c>
      <c r="I759" s="122">
        <f>IF($D759="",0,IFERROR(IF($E759="Azalan",MAX(0,$D759*(1-MIN(2*AmortismanAzalanCarpan*$F759,1)^$H759)),MIN($D759,$D759*$F759*$H759)),0))</f>
        <v/>
      </c>
      <c r="J759" s="122">
        <f>IF($D759="",0,MAX(0,$D759-$I759))</f>
        <v/>
      </c>
      <c r="K759" s="122">
        <f>IF($H759=0,0,IFERROR(IF($E759="Azalan",$D759*(1-MIN(2*AmortismanAzalanCarpan*$F759,1))^MAX(0,$H759-1)*MIN(2*AmortismanAzalanCarpan*$F759,1),MIN($D759*$F759,$D759)),0))</f>
        <v/>
      </c>
      <c r="L759" s="122">
        <f>IF($D759="",0,$G759-$J759)</f>
        <v/>
      </c>
      <c r="M759" s="122">
        <f>IF($B759="","",CONCATENATE("Kıymet: ",$B759," | NDD: ",TEXT($J759,"#,##0")))</f>
        <v/>
      </c>
    </row>
    <row r="760" ht="15" customHeight="1" s="77">
      <c r="A760" s="123" t="n"/>
      <c r="B760" s="123" t="n"/>
      <c r="C760" s="124" t="n"/>
      <c r="D760" s="125" t="n"/>
      <c r="E760" s="123" t="n"/>
      <c r="F760" s="126" t="n"/>
      <c r="G760" s="125" t="n"/>
      <c r="H760" s="122">
        <f>IF($D760="",0,MAX(0,ROUNDDOWN((AmortismanRaporTarihi-$C760)/365,0)))</f>
        <v/>
      </c>
      <c r="I760" s="122">
        <f>IF($D760="",0,IFERROR(IF($E760="Azalan",MAX(0,$D760*(1-MIN(2*AmortismanAzalanCarpan*$F760,1)^$H760)),MIN($D760,$D760*$F760*$H760)),0))</f>
        <v/>
      </c>
      <c r="J760" s="122">
        <f>IF($D760="",0,MAX(0,$D760-$I760))</f>
        <v/>
      </c>
      <c r="K760" s="122">
        <f>IF($H760=0,0,IFERROR(IF($E760="Azalan",$D760*(1-MIN(2*AmortismanAzalanCarpan*$F760,1))^MAX(0,$H760-1)*MIN(2*AmortismanAzalanCarpan*$F760,1),MIN($D760*$F760,$D760)),0))</f>
        <v/>
      </c>
      <c r="L760" s="122">
        <f>IF($D760="",0,$G760-$J760)</f>
        <v/>
      </c>
      <c r="M760" s="122">
        <f>IF($B760="","",CONCATENATE("Kıymet: ",$B760," | NDD: ",TEXT($J760,"#,##0")))</f>
        <v/>
      </c>
    </row>
    <row r="761" ht="15" customHeight="1" s="77">
      <c r="A761" s="123" t="n"/>
      <c r="B761" s="123" t="n"/>
      <c r="C761" s="124" t="n"/>
      <c r="D761" s="125" t="n"/>
      <c r="E761" s="123" t="n"/>
      <c r="F761" s="126" t="n"/>
      <c r="G761" s="125" t="n"/>
      <c r="H761" s="122">
        <f>IF($D761="",0,MAX(0,ROUNDDOWN((AmortismanRaporTarihi-$C761)/365,0)))</f>
        <v/>
      </c>
      <c r="I761" s="122">
        <f>IF($D761="",0,IFERROR(IF($E761="Azalan",MAX(0,$D761*(1-MIN(2*AmortismanAzalanCarpan*$F761,1)^$H761)),MIN($D761,$D761*$F761*$H761)),0))</f>
        <v/>
      </c>
      <c r="J761" s="122">
        <f>IF($D761="",0,MAX(0,$D761-$I761))</f>
        <v/>
      </c>
      <c r="K761" s="122">
        <f>IF($H761=0,0,IFERROR(IF($E761="Azalan",$D761*(1-MIN(2*AmortismanAzalanCarpan*$F761,1))^MAX(0,$H761-1)*MIN(2*AmortismanAzalanCarpan*$F761,1),MIN($D761*$F761,$D761)),0))</f>
        <v/>
      </c>
      <c r="L761" s="122">
        <f>IF($D761="",0,$G761-$J761)</f>
        <v/>
      </c>
      <c r="M761" s="122">
        <f>IF($B761="","",CONCATENATE("Kıymet: ",$B761," | NDD: ",TEXT($J761,"#,##0")))</f>
        <v/>
      </c>
    </row>
    <row r="762" ht="15" customHeight="1" s="77">
      <c r="A762" s="123" t="n"/>
      <c r="B762" s="123" t="n"/>
      <c r="C762" s="124" t="n"/>
      <c r="D762" s="125" t="n"/>
      <c r="E762" s="123" t="n"/>
      <c r="F762" s="126" t="n"/>
      <c r="G762" s="125" t="n"/>
      <c r="H762" s="122">
        <f>IF($D762="",0,MAX(0,ROUNDDOWN((AmortismanRaporTarihi-$C762)/365,0)))</f>
        <v/>
      </c>
      <c r="I762" s="122">
        <f>IF($D762="",0,IFERROR(IF($E762="Azalan",MAX(0,$D762*(1-MIN(2*AmortismanAzalanCarpan*$F762,1)^$H762)),MIN($D762,$D762*$F762*$H762)),0))</f>
        <v/>
      </c>
      <c r="J762" s="122">
        <f>IF($D762="",0,MAX(0,$D762-$I762))</f>
        <v/>
      </c>
      <c r="K762" s="122">
        <f>IF($H762=0,0,IFERROR(IF($E762="Azalan",$D762*(1-MIN(2*AmortismanAzalanCarpan*$F762,1))^MAX(0,$H762-1)*MIN(2*AmortismanAzalanCarpan*$F762,1),MIN($D762*$F762,$D762)),0))</f>
        <v/>
      </c>
      <c r="L762" s="122">
        <f>IF($D762="",0,$G762-$J762)</f>
        <v/>
      </c>
      <c r="M762" s="122">
        <f>IF($B762="","",CONCATENATE("Kıymet: ",$B762," | NDD: ",TEXT($J762,"#,##0")))</f>
        <v/>
      </c>
    </row>
    <row r="763" ht="15" customHeight="1" s="77">
      <c r="A763" s="123" t="n"/>
      <c r="B763" s="123" t="n"/>
      <c r="C763" s="124" t="n"/>
      <c r="D763" s="125" t="n"/>
      <c r="E763" s="123" t="n"/>
      <c r="F763" s="126" t="n"/>
      <c r="G763" s="125" t="n"/>
      <c r="H763" s="122">
        <f>IF($D763="",0,MAX(0,ROUNDDOWN((AmortismanRaporTarihi-$C763)/365,0)))</f>
        <v/>
      </c>
      <c r="I763" s="122">
        <f>IF($D763="",0,IFERROR(IF($E763="Azalan",MAX(0,$D763*(1-MIN(2*AmortismanAzalanCarpan*$F763,1)^$H763)),MIN($D763,$D763*$F763*$H763)),0))</f>
        <v/>
      </c>
      <c r="J763" s="122">
        <f>IF($D763="",0,MAX(0,$D763-$I763))</f>
        <v/>
      </c>
      <c r="K763" s="122">
        <f>IF($H763=0,0,IFERROR(IF($E763="Azalan",$D763*(1-MIN(2*AmortismanAzalanCarpan*$F763,1))^MAX(0,$H763-1)*MIN(2*AmortismanAzalanCarpan*$F763,1),MIN($D763*$F763,$D763)),0))</f>
        <v/>
      </c>
      <c r="L763" s="122">
        <f>IF($D763="",0,$G763-$J763)</f>
        <v/>
      </c>
      <c r="M763" s="122">
        <f>IF($B763="","",CONCATENATE("Kıymet: ",$B763," | NDD: ",TEXT($J763,"#,##0")))</f>
        <v/>
      </c>
    </row>
    <row r="764" ht="15" customHeight="1" s="77">
      <c r="A764" s="123" t="n"/>
      <c r="B764" s="123" t="n"/>
      <c r="C764" s="124" t="n"/>
      <c r="D764" s="125" t="n"/>
      <c r="E764" s="123" t="n"/>
      <c r="F764" s="126" t="n"/>
      <c r="G764" s="125" t="n"/>
      <c r="H764" s="122">
        <f>IF($D764="",0,MAX(0,ROUNDDOWN((AmortismanRaporTarihi-$C764)/365,0)))</f>
        <v/>
      </c>
      <c r="I764" s="122">
        <f>IF($D764="",0,IFERROR(IF($E764="Azalan",MAX(0,$D764*(1-MIN(2*AmortismanAzalanCarpan*$F764,1)^$H764)),MIN($D764,$D764*$F764*$H764)),0))</f>
        <v/>
      </c>
      <c r="J764" s="122">
        <f>IF($D764="",0,MAX(0,$D764-$I764))</f>
        <v/>
      </c>
      <c r="K764" s="122">
        <f>IF($H764=0,0,IFERROR(IF($E764="Azalan",$D764*(1-MIN(2*AmortismanAzalanCarpan*$F764,1))^MAX(0,$H764-1)*MIN(2*AmortismanAzalanCarpan*$F764,1),MIN($D764*$F764,$D764)),0))</f>
        <v/>
      </c>
      <c r="L764" s="122">
        <f>IF($D764="",0,$G764-$J764)</f>
        <v/>
      </c>
      <c r="M764" s="122">
        <f>IF($B764="","",CONCATENATE("Kıymet: ",$B764," | NDD: ",TEXT($J764,"#,##0")))</f>
        <v/>
      </c>
    </row>
    <row r="765" ht="15" customHeight="1" s="77">
      <c r="A765" s="123" t="n"/>
      <c r="B765" s="123" t="n"/>
      <c r="C765" s="124" t="n"/>
      <c r="D765" s="125" t="n"/>
      <c r="E765" s="123" t="n"/>
      <c r="F765" s="126" t="n"/>
      <c r="G765" s="125" t="n"/>
      <c r="H765" s="122">
        <f>IF($D765="",0,MAX(0,ROUNDDOWN((AmortismanRaporTarihi-$C765)/365,0)))</f>
        <v/>
      </c>
      <c r="I765" s="122">
        <f>IF($D765="",0,IFERROR(IF($E765="Azalan",MAX(0,$D765*(1-MIN(2*AmortismanAzalanCarpan*$F765,1)^$H765)),MIN($D765,$D765*$F765*$H765)),0))</f>
        <v/>
      </c>
      <c r="J765" s="122">
        <f>IF($D765="",0,MAX(0,$D765-$I765))</f>
        <v/>
      </c>
      <c r="K765" s="122">
        <f>IF($H765=0,0,IFERROR(IF($E765="Azalan",$D765*(1-MIN(2*AmortismanAzalanCarpan*$F765,1))^MAX(0,$H765-1)*MIN(2*AmortismanAzalanCarpan*$F765,1),MIN($D765*$F765,$D765)),0))</f>
        <v/>
      </c>
      <c r="L765" s="122">
        <f>IF($D765="",0,$G765-$J765)</f>
        <v/>
      </c>
      <c r="M765" s="122">
        <f>IF($B765="","",CONCATENATE("Kıymet: ",$B765," | NDD: ",TEXT($J765,"#,##0")))</f>
        <v/>
      </c>
    </row>
    <row r="766" ht="15" customHeight="1" s="77">
      <c r="A766" s="123" t="n"/>
      <c r="B766" s="123" t="n"/>
      <c r="C766" s="124" t="n"/>
      <c r="D766" s="125" t="n"/>
      <c r="E766" s="123" t="n"/>
      <c r="F766" s="126" t="n"/>
      <c r="G766" s="125" t="n"/>
      <c r="H766" s="122">
        <f>IF($D766="",0,MAX(0,ROUNDDOWN((AmortismanRaporTarihi-$C766)/365,0)))</f>
        <v/>
      </c>
      <c r="I766" s="122">
        <f>IF($D766="",0,IFERROR(IF($E766="Azalan",MAX(0,$D766*(1-MIN(2*AmortismanAzalanCarpan*$F766,1)^$H766)),MIN($D766,$D766*$F766*$H766)),0))</f>
        <v/>
      </c>
      <c r="J766" s="122">
        <f>IF($D766="",0,MAX(0,$D766-$I766))</f>
        <v/>
      </c>
      <c r="K766" s="122">
        <f>IF($H766=0,0,IFERROR(IF($E766="Azalan",$D766*(1-MIN(2*AmortismanAzalanCarpan*$F766,1))^MAX(0,$H766-1)*MIN(2*AmortismanAzalanCarpan*$F766,1),MIN($D766*$F766,$D766)),0))</f>
        <v/>
      </c>
      <c r="L766" s="122">
        <f>IF($D766="",0,$G766-$J766)</f>
        <v/>
      </c>
      <c r="M766" s="122">
        <f>IF($B766="","",CONCATENATE("Kıymet: ",$B766," | NDD: ",TEXT($J766,"#,##0")))</f>
        <v/>
      </c>
    </row>
    <row r="767" ht="15" customHeight="1" s="77">
      <c r="A767" s="123" t="n"/>
      <c r="B767" s="123" t="n"/>
      <c r="C767" s="124" t="n"/>
      <c r="D767" s="125" t="n"/>
      <c r="E767" s="123" t="n"/>
      <c r="F767" s="126" t="n"/>
      <c r="G767" s="125" t="n"/>
      <c r="H767" s="122">
        <f>IF($D767="",0,MAX(0,ROUNDDOWN((AmortismanRaporTarihi-$C767)/365,0)))</f>
        <v/>
      </c>
      <c r="I767" s="122">
        <f>IF($D767="",0,IFERROR(IF($E767="Azalan",MAX(0,$D767*(1-MIN(2*AmortismanAzalanCarpan*$F767,1)^$H767)),MIN($D767,$D767*$F767*$H767)),0))</f>
        <v/>
      </c>
      <c r="J767" s="122">
        <f>IF($D767="",0,MAX(0,$D767-$I767))</f>
        <v/>
      </c>
      <c r="K767" s="122">
        <f>IF($H767=0,0,IFERROR(IF($E767="Azalan",$D767*(1-MIN(2*AmortismanAzalanCarpan*$F767,1))^MAX(0,$H767-1)*MIN(2*AmortismanAzalanCarpan*$F767,1),MIN($D767*$F767,$D767)),0))</f>
        <v/>
      </c>
      <c r="L767" s="122">
        <f>IF($D767="",0,$G767-$J767)</f>
        <v/>
      </c>
      <c r="M767" s="122">
        <f>IF($B767="","",CONCATENATE("Kıymet: ",$B767," | NDD: ",TEXT($J767,"#,##0")))</f>
        <v/>
      </c>
    </row>
    <row r="768" ht="15" customHeight="1" s="77">
      <c r="A768" s="123" t="n"/>
      <c r="B768" s="123" t="n"/>
      <c r="C768" s="124" t="n"/>
      <c r="D768" s="125" t="n"/>
      <c r="E768" s="123" t="n"/>
      <c r="F768" s="126" t="n"/>
      <c r="G768" s="125" t="n"/>
      <c r="H768" s="122">
        <f>IF($D768="",0,MAX(0,ROUNDDOWN((AmortismanRaporTarihi-$C768)/365,0)))</f>
        <v/>
      </c>
      <c r="I768" s="122">
        <f>IF($D768="",0,IFERROR(IF($E768="Azalan",MAX(0,$D768*(1-MIN(2*AmortismanAzalanCarpan*$F768,1)^$H768)),MIN($D768,$D768*$F768*$H768)),0))</f>
        <v/>
      </c>
      <c r="J768" s="122">
        <f>IF($D768="",0,MAX(0,$D768-$I768))</f>
        <v/>
      </c>
      <c r="K768" s="122">
        <f>IF($H768=0,0,IFERROR(IF($E768="Azalan",$D768*(1-MIN(2*AmortismanAzalanCarpan*$F768,1))^MAX(0,$H768-1)*MIN(2*AmortismanAzalanCarpan*$F768,1),MIN($D768*$F768,$D768)),0))</f>
        <v/>
      </c>
      <c r="L768" s="122">
        <f>IF($D768="",0,$G768-$J768)</f>
        <v/>
      </c>
      <c r="M768" s="122">
        <f>IF($B768="","",CONCATENATE("Kıymet: ",$B768," | NDD: ",TEXT($J768,"#,##0")))</f>
        <v/>
      </c>
    </row>
    <row r="769" ht="15" customHeight="1" s="77">
      <c r="A769" s="123" t="n"/>
      <c r="B769" s="123" t="n"/>
      <c r="C769" s="124" t="n"/>
      <c r="D769" s="125" t="n"/>
      <c r="E769" s="123" t="n"/>
      <c r="F769" s="126" t="n"/>
      <c r="G769" s="125" t="n"/>
      <c r="H769" s="122">
        <f>IF($D769="",0,MAX(0,ROUNDDOWN((AmortismanRaporTarihi-$C769)/365,0)))</f>
        <v/>
      </c>
      <c r="I769" s="122">
        <f>IF($D769="",0,IFERROR(IF($E769="Azalan",MAX(0,$D769*(1-MIN(2*AmortismanAzalanCarpan*$F769,1)^$H769)),MIN($D769,$D769*$F769*$H769)),0))</f>
        <v/>
      </c>
      <c r="J769" s="122">
        <f>IF($D769="",0,MAX(0,$D769-$I769))</f>
        <v/>
      </c>
      <c r="K769" s="122">
        <f>IF($H769=0,0,IFERROR(IF($E769="Azalan",$D769*(1-MIN(2*AmortismanAzalanCarpan*$F769,1))^MAX(0,$H769-1)*MIN(2*AmortismanAzalanCarpan*$F769,1),MIN($D769*$F769,$D769)),0))</f>
        <v/>
      </c>
      <c r="L769" s="122">
        <f>IF($D769="",0,$G769-$J769)</f>
        <v/>
      </c>
      <c r="M769" s="122">
        <f>IF($B769="","",CONCATENATE("Kıymet: ",$B769," | NDD: ",TEXT($J769,"#,##0")))</f>
        <v/>
      </c>
    </row>
    <row r="770" ht="15" customHeight="1" s="77">
      <c r="A770" s="123" t="n"/>
      <c r="B770" s="123" t="n"/>
      <c r="C770" s="124" t="n"/>
      <c r="D770" s="125" t="n"/>
      <c r="E770" s="123" t="n"/>
      <c r="F770" s="126" t="n"/>
      <c r="G770" s="125" t="n"/>
      <c r="H770" s="122">
        <f>IF($D770="",0,MAX(0,ROUNDDOWN((AmortismanRaporTarihi-$C770)/365,0)))</f>
        <v/>
      </c>
      <c r="I770" s="122">
        <f>IF($D770="",0,IFERROR(IF($E770="Azalan",MAX(0,$D770*(1-MIN(2*AmortismanAzalanCarpan*$F770,1)^$H770)),MIN($D770,$D770*$F770*$H770)),0))</f>
        <v/>
      </c>
      <c r="J770" s="122">
        <f>IF($D770="",0,MAX(0,$D770-$I770))</f>
        <v/>
      </c>
      <c r="K770" s="122">
        <f>IF($H770=0,0,IFERROR(IF($E770="Azalan",$D770*(1-MIN(2*AmortismanAzalanCarpan*$F770,1))^MAX(0,$H770-1)*MIN(2*AmortismanAzalanCarpan*$F770,1),MIN($D770*$F770,$D770)),0))</f>
        <v/>
      </c>
      <c r="L770" s="122">
        <f>IF($D770="",0,$G770-$J770)</f>
        <v/>
      </c>
      <c r="M770" s="122">
        <f>IF($B770="","",CONCATENATE("Kıymet: ",$B770," | NDD: ",TEXT($J770,"#,##0")))</f>
        <v/>
      </c>
    </row>
    <row r="771" ht="15" customHeight="1" s="77">
      <c r="A771" s="123" t="n"/>
      <c r="B771" s="123" t="n"/>
      <c r="C771" s="124" t="n"/>
      <c r="D771" s="125" t="n"/>
      <c r="E771" s="123" t="n"/>
      <c r="F771" s="126" t="n"/>
      <c r="G771" s="125" t="n"/>
      <c r="H771" s="122">
        <f>IF($D771="",0,MAX(0,ROUNDDOWN((AmortismanRaporTarihi-$C771)/365,0)))</f>
        <v/>
      </c>
      <c r="I771" s="122">
        <f>IF($D771="",0,IFERROR(IF($E771="Azalan",MAX(0,$D771*(1-MIN(2*AmortismanAzalanCarpan*$F771,1)^$H771)),MIN($D771,$D771*$F771*$H771)),0))</f>
        <v/>
      </c>
      <c r="J771" s="122">
        <f>IF($D771="",0,MAX(0,$D771-$I771))</f>
        <v/>
      </c>
      <c r="K771" s="122">
        <f>IF($H771=0,0,IFERROR(IF($E771="Azalan",$D771*(1-MIN(2*AmortismanAzalanCarpan*$F771,1))^MAX(0,$H771-1)*MIN(2*AmortismanAzalanCarpan*$F771,1),MIN($D771*$F771,$D771)),0))</f>
        <v/>
      </c>
      <c r="L771" s="122">
        <f>IF($D771="",0,$G771-$J771)</f>
        <v/>
      </c>
      <c r="M771" s="122">
        <f>IF($B771="","",CONCATENATE("Kıymet: ",$B771," | NDD: ",TEXT($J771,"#,##0")))</f>
        <v/>
      </c>
    </row>
    <row r="772" ht="15" customHeight="1" s="77">
      <c r="A772" s="123" t="n"/>
      <c r="B772" s="123" t="n"/>
      <c r="C772" s="124" t="n"/>
      <c r="D772" s="125" t="n"/>
      <c r="E772" s="123" t="n"/>
      <c r="F772" s="126" t="n"/>
      <c r="G772" s="125" t="n"/>
      <c r="H772" s="122">
        <f>IF($D772="",0,MAX(0,ROUNDDOWN((AmortismanRaporTarihi-$C772)/365,0)))</f>
        <v/>
      </c>
      <c r="I772" s="122">
        <f>IF($D772="",0,IFERROR(IF($E772="Azalan",MAX(0,$D772*(1-MIN(2*AmortismanAzalanCarpan*$F772,1)^$H772)),MIN($D772,$D772*$F772*$H772)),0))</f>
        <v/>
      </c>
      <c r="J772" s="122">
        <f>IF($D772="",0,MAX(0,$D772-$I772))</f>
        <v/>
      </c>
      <c r="K772" s="122">
        <f>IF($H772=0,0,IFERROR(IF($E772="Azalan",$D772*(1-MIN(2*AmortismanAzalanCarpan*$F772,1))^MAX(0,$H772-1)*MIN(2*AmortismanAzalanCarpan*$F772,1),MIN($D772*$F772,$D772)),0))</f>
        <v/>
      </c>
      <c r="L772" s="122">
        <f>IF($D772="",0,$G772-$J772)</f>
        <v/>
      </c>
      <c r="M772" s="122">
        <f>IF($B772="","",CONCATENATE("Kıymet: ",$B772," | NDD: ",TEXT($J772,"#,##0")))</f>
        <v/>
      </c>
    </row>
    <row r="773" ht="15" customHeight="1" s="77">
      <c r="A773" s="123" t="n"/>
      <c r="B773" s="123" t="n"/>
      <c r="C773" s="124" t="n"/>
      <c r="D773" s="125" t="n"/>
      <c r="E773" s="123" t="n"/>
      <c r="F773" s="126" t="n"/>
      <c r="G773" s="125" t="n"/>
      <c r="H773" s="122">
        <f>IF($D773="",0,MAX(0,ROUNDDOWN((AmortismanRaporTarihi-$C773)/365,0)))</f>
        <v/>
      </c>
      <c r="I773" s="122">
        <f>IF($D773="",0,IFERROR(IF($E773="Azalan",MAX(0,$D773*(1-MIN(2*AmortismanAzalanCarpan*$F773,1)^$H773)),MIN($D773,$D773*$F773*$H773)),0))</f>
        <v/>
      </c>
      <c r="J773" s="122">
        <f>IF($D773="",0,MAX(0,$D773-$I773))</f>
        <v/>
      </c>
      <c r="K773" s="122">
        <f>IF($H773=0,0,IFERROR(IF($E773="Azalan",$D773*(1-MIN(2*AmortismanAzalanCarpan*$F773,1))^MAX(0,$H773-1)*MIN(2*AmortismanAzalanCarpan*$F773,1),MIN($D773*$F773,$D773)),0))</f>
        <v/>
      </c>
      <c r="L773" s="122">
        <f>IF($D773="",0,$G773-$J773)</f>
        <v/>
      </c>
      <c r="M773" s="122">
        <f>IF($B773="","",CONCATENATE("Kıymet: ",$B773," | NDD: ",TEXT($J773,"#,##0")))</f>
        <v/>
      </c>
    </row>
    <row r="774" ht="15" customHeight="1" s="77">
      <c r="A774" s="123" t="n"/>
      <c r="B774" s="123" t="n"/>
      <c r="C774" s="124" t="n"/>
      <c r="D774" s="125" t="n"/>
      <c r="E774" s="123" t="n"/>
      <c r="F774" s="126" t="n"/>
      <c r="G774" s="125" t="n"/>
      <c r="H774" s="122">
        <f>IF($D774="",0,MAX(0,ROUNDDOWN((AmortismanRaporTarihi-$C774)/365,0)))</f>
        <v/>
      </c>
      <c r="I774" s="122">
        <f>IF($D774="",0,IFERROR(IF($E774="Azalan",MAX(0,$D774*(1-MIN(2*AmortismanAzalanCarpan*$F774,1)^$H774)),MIN($D774,$D774*$F774*$H774)),0))</f>
        <v/>
      </c>
      <c r="J774" s="122">
        <f>IF($D774="",0,MAX(0,$D774-$I774))</f>
        <v/>
      </c>
      <c r="K774" s="122">
        <f>IF($H774=0,0,IFERROR(IF($E774="Azalan",$D774*(1-MIN(2*AmortismanAzalanCarpan*$F774,1))^MAX(0,$H774-1)*MIN(2*AmortismanAzalanCarpan*$F774,1),MIN($D774*$F774,$D774)),0))</f>
        <v/>
      </c>
      <c r="L774" s="122">
        <f>IF($D774="",0,$G774-$J774)</f>
        <v/>
      </c>
      <c r="M774" s="122">
        <f>IF($B774="","",CONCATENATE("Kıymet: ",$B774," | NDD: ",TEXT($J774,"#,##0")))</f>
        <v/>
      </c>
    </row>
    <row r="775" ht="15" customHeight="1" s="77">
      <c r="A775" s="123" t="n"/>
      <c r="B775" s="123" t="n"/>
      <c r="C775" s="124" t="n"/>
      <c r="D775" s="125" t="n"/>
      <c r="E775" s="123" t="n"/>
      <c r="F775" s="126" t="n"/>
      <c r="G775" s="125" t="n"/>
      <c r="H775" s="122">
        <f>IF($D775="",0,MAX(0,ROUNDDOWN((AmortismanRaporTarihi-$C775)/365,0)))</f>
        <v/>
      </c>
      <c r="I775" s="122">
        <f>IF($D775="",0,IFERROR(IF($E775="Azalan",MAX(0,$D775*(1-MIN(2*AmortismanAzalanCarpan*$F775,1)^$H775)),MIN($D775,$D775*$F775*$H775)),0))</f>
        <v/>
      </c>
      <c r="J775" s="122">
        <f>IF($D775="",0,MAX(0,$D775-$I775))</f>
        <v/>
      </c>
      <c r="K775" s="122">
        <f>IF($H775=0,0,IFERROR(IF($E775="Azalan",$D775*(1-MIN(2*AmortismanAzalanCarpan*$F775,1))^MAX(0,$H775-1)*MIN(2*AmortismanAzalanCarpan*$F775,1),MIN($D775*$F775,$D775)),0))</f>
        <v/>
      </c>
      <c r="L775" s="122">
        <f>IF($D775="",0,$G775-$J775)</f>
        <v/>
      </c>
      <c r="M775" s="122">
        <f>IF($B775="","",CONCATENATE("Kıymet: ",$B775," | NDD: ",TEXT($J775,"#,##0")))</f>
        <v/>
      </c>
    </row>
    <row r="776" ht="15" customHeight="1" s="77">
      <c r="A776" s="123" t="n"/>
      <c r="B776" s="123" t="n"/>
      <c r="C776" s="124" t="n"/>
      <c r="D776" s="125" t="n"/>
      <c r="E776" s="123" t="n"/>
      <c r="F776" s="126" t="n"/>
      <c r="G776" s="125" t="n"/>
      <c r="H776" s="122">
        <f>IF($D776="",0,MAX(0,ROUNDDOWN((AmortismanRaporTarihi-$C776)/365,0)))</f>
        <v/>
      </c>
      <c r="I776" s="122">
        <f>IF($D776="",0,IFERROR(IF($E776="Azalan",MAX(0,$D776*(1-MIN(2*AmortismanAzalanCarpan*$F776,1)^$H776)),MIN($D776,$D776*$F776*$H776)),0))</f>
        <v/>
      </c>
      <c r="J776" s="122">
        <f>IF($D776="",0,MAX(0,$D776-$I776))</f>
        <v/>
      </c>
      <c r="K776" s="122">
        <f>IF($H776=0,0,IFERROR(IF($E776="Azalan",$D776*(1-MIN(2*AmortismanAzalanCarpan*$F776,1))^MAX(0,$H776-1)*MIN(2*AmortismanAzalanCarpan*$F776,1),MIN($D776*$F776,$D776)),0))</f>
        <v/>
      </c>
      <c r="L776" s="122">
        <f>IF($D776="",0,$G776-$J776)</f>
        <v/>
      </c>
      <c r="M776" s="122">
        <f>IF($B776="","",CONCATENATE("Kıymet: ",$B776," | NDD: ",TEXT($J776,"#,##0")))</f>
        <v/>
      </c>
    </row>
    <row r="777" ht="15" customHeight="1" s="77">
      <c r="A777" s="123" t="n"/>
      <c r="B777" s="123" t="n"/>
      <c r="C777" s="124" t="n"/>
      <c r="D777" s="125" t="n"/>
      <c r="E777" s="123" t="n"/>
      <c r="F777" s="126" t="n"/>
      <c r="G777" s="125" t="n"/>
      <c r="H777" s="122">
        <f>IF($D777="",0,MAX(0,ROUNDDOWN((AmortismanRaporTarihi-$C777)/365,0)))</f>
        <v/>
      </c>
      <c r="I777" s="122">
        <f>IF($D777="",0,IFERROR(IF($E777="Azalan",MAX(0,$D777*(1-MIN(2*AmortismanAzalanCarpan*$F777,1)^$H777)),MIN($D777,$D777*$F777*$H777)),0))</f>
        <v/>
      </c>
      <c r="J777" s="122">
        <f>IF($D777="",0,MAX(0,$D777-$I777))</f>
        <v/>
      </c>
      <c r="K777" s="122">
        <f>IF($H777=0,0,IFERROR(IF($E777="Azalan",$D777*(1-MIN(2*AmortismanAzalanCarpan*$F777,1))^MAX(0,$H777-1)*MIN(2*AmortismanAzalanCarpan*$F777,1),MIN($D777*$F777,$D777)),0))</f>
        <v/>
      </c>
      <c r="L777" s="122">
        <f>IF($D777="",0,$G777-$J777)</f>
        <v/>
      </c>
      <c r="M777" s="122">
        <f>IF($B777="","",CONCATENATE("Kıymet: ",$B777," | NDD: ",TEXT($J777,"#,##0")))</f>
        <v/>
      </c>
    </row>
    <row r="778" ht="15" customHeight="1" s="77">
      <c r="A778" s="123" t="n"/>
      <c r="B778" s="123" t="n"/>
      <c r="C778" s="124" t="n"/>
      <c r="D778" s="125" t="n"/>
      <c r="E778" s="123" t="n"/>
      <c r="F778" s="126" t="n"/>
      <c r="G778" s="125" t="n"/>
      <c r="H778" s="122">
        <f>IF($D778="",0,MAX(0,ROUNDDOWN((AmortismanRaporTarihi-$C778)/365,0)))</f>
        <v/>
      </c>
      <c r="I778" s="122">
        <f>IF($D778="",0,IFERROR(IF($E778="Azalan",MAX(0,$D778*(1-MIN(2*AmortismanAzalanCarpan*$F778,1)^$H778)),MIN($D778,$D778*$F778*$H778)),0))</f>
        <v/>
      </c>
      <c r="J778" s="122">
        <f>IF($D778="",0,MAX(0,$D778-$I778))</f>
        <v/>
      </c>
      <c r="K778" s="122">
        <f>IF($H778=0,0,IFERROR(IF($E778="Azalan",$D778*(1-MIN(2*AmortismanAzalanCarpan*$F778,1))^MAX(0,$H778-1)*MIN(2*AmortismanAzalanCarpan*$F778,1),MIN($D778*$F778,$D778)),0))</f>
        <v/>
      </c>
      <c r="L778" s="122">
        <f>IF($D778="",0,$G778-$J778)</f>
        <v/>
      </c>
      <c r="M778" s="122">
        <f>IF($B778="","",CONCATENATE("Kıymet: ",$B778," | NDD: ",TEXT($J778,"#,##0")))</f>
        <v/>
      </c>
    </row>
    <row r="779" ht="15" customHeight="1" s="77">
      <c r="A779" s="123" t="n"/>
      <c r="B779" s="123" t="n"/>
      <c r="C779" s="124" t="n"/>
      <c r="D779" s="125" t="n"/>
      <c r="E779" s="123" t="n"/>
      <c r="F779" s="126" t="n"/>
      <c r="G779" s="125" t="n"/>
      <c r="H779" s="122">
        <f>IF($D779="",0,MAX(0,ROUNDDOWN((AmortismanRaporTarihi-$C779)/365,0)))</f>
        <v/>
      </c>
      <c r="I779" s="122">
        <f>IF($D779="",0,IFERROR(IF($E779="Azalan",MAX(0,$D779*(1-MIN(2*AmortismanAzalanCarpan*$F779,1)^$H779)),MIN($D779,$D779*$F779*$H779)),0))</f>
        <v/>
      </c>
      <c r="J779" s="122">
        <f>IF($D779="",0,MAX(0,$D779-$I779))</f>
        <v/>
      </c>
      <c r="K779" s="122">
        <f>IF($H779=0,0,IFERROR(IF($E779="Azalan",$D779*(1-MIN(2*AmortismanAzalanCarpan*$F779,1))^MAX(0,$H779-1)*MIN(2*AmortismanAzalanCarpan*$F779,1),MIN($D779*$F779,$D779)),0))</f>
        <v/>
      </c>
      <c r="L779" s="122">
        <f>IF($D779="",0,$G779-$J779)</f>
        <v/>
      </c>
      <c r="M779" s="122">
        <f>IF($B779="","",CONCATENATE("Kıymet: ",$B779," | NDD: ",TEXT($J779,"#,##0")))</f>
        <v/>
      </c>
    </row>
    <row r="780" ht="15" customHeight="1" s="77">
      <c r="A780" s="123" t="n"/>
      <c r="B780" s="123" t="n"/>
      <c r="C780" s="124" t="n"/>
      <c r="D780" s="125" t="n"/>
      <c r="E780" s="123" t="n"/>
      <c r="F780" s="126" t="n"/>
      <c r="G780" s="125" t="n"/>
      <c r="H780" s="122">
        <f>IF($D780="",0,MAX(0,ROUNDDOWN((AmortismanRaporTarihi-$C780)/365,0)))</f>
        <v/>
      </c>
      <c r="I780" s="122">
        <f>IF($D780="",0,IFERROR(IF($E780="Azalan",MAX(0,$D780*(1-MIN(2*AmortismanAzalanCarpan*$F780,1)^$H780)),MIN($D780,$D780*$F780*$H780)),0))</f>
        <v/>
      </c>
      <c r="J780" s="122">
        <f>IF($D780="",0,MAX(0,$D780-$I780))</f>
        <v/>
      </c>
      <c r="K780" s="122">
        <f>IF($H780=0,0,IFERROR(IF($E780="Azalan",$D780*(1-MIN(2*AmortismanAzalanCarpan*$F780,1))^MAX(0,$H780-1)*MIN(2*AmortismanAzalanCarpan*$F780,1),MIN($D780*$F780,$D780)),0))</f>
        <v/>
      </c>
      <c r="L780" s="122">
        <f>IF($D780="",0,$G780-$J780)</f>
        <v/>
      </c>
      <c r="M780" s="122">
        <f>IF($B780="","",CONCATENATE("Kıymet: ",$B780," | NDD: ",TEXT($J780,"#,##0")))</f>
        <v/>
      </c>
    </row>
    <row r="781" ht="15" customHeight="1" s="77">
      <c r="A781" s="123" t="n"/>
      <c r="B781" s="123" t="n"/>
      <c r="C781" s="124" t="n"/>
      <c r="D781" s="125" t="n"/>
      <c r="E781" s="123" t="n"/>
      <c r="F781" s="126" t="n"/>
      <c r="G781" s="125" t="n"/>
      <c r="H781" s="122">
        <f>IF($D781="",0,MAX(0,ROUNDDOWN((AmortismanRaporTarihi-$C781)/365,0)))</f>
        <v/>
      </c>
      <c r="I781" s="122">
        <f>IF($D781="",0,IFERROR(IF($E781="Azalan",MAX(0,$D781*(1-MIN(2*AmortismanAzalanCarpan*$F781,1)^$H781)),MIN($D781,$D781*$F781*$H781)),0))</f>
        <v/>
      </c>
      <c r="J781" s="122">
        <f>IF($D781="",0,MAX(0,$D781-$I781))</f>
        <v/>
      </c>
      <c r="K781" s="122">
        <f>IF($H781=0,0,IFERROR(IF($E781="Azalan",$D781*(1-MIN(2*AmortismanAzalanCarpan*$F781,1))^MAX(0,$H781-1)*MIN(2*AmortismanAzalanCarpan*$F781,1),MIN($D781*$F781,$D781)),0))</f>
        <v/>
      </c>
      <c r="L781" s="122">
        <f>IF($D781="",0,$G781-$J781)</f>
        <v/>
      </c>
      <c r="M781" s="122">
        <f>IF($B781="","",CONCATENATE("Kıymet: ",$B781," | NDD: ",TEXT($J781,"#,##0")))</f>
        <v/>
      </c>
    </row>
    <row r="782" ht="15" customHeight="1" s="77">
      <c r="A782" s="123" t="n"/>
      <c r="B782" s="123" t="n"/>
      <c r="C782" s="124" t="n"/>
      <c r="D782" s="125" t="n"/>
      <c r="E782" s="123" t="n"/>
      <c r="F782" s="126" t="n"/>
      <c r="G782" s="125" t="n"/>
      <c r="H782" s="122">
        <f>IF($D782="",0,MAX(0,ROUNDDOWN((AmortismanRaporTarihi-$C782)/365,0)))</f>
        <v/>
      </c>
      <c r="I782" s="122">
        <f>IF($D782="",0,IFERROR(IF($E782="Azalan",MAX(0,$D782*(1-MIN(2*AmortismanAzalanCarpan*$F782,1)^$H782)),MIN($D782,$D782*$F782*$H782)),0))</f>
        <v/>
      </c>
      <c r="J782" s="122">
        <f>IF($D782="",0,MAX(0,$D782-$I782))</f>
        <v/>
      </c>
      <c r="K782" s="122">
        <f>IF($H782=0,0,IFERROR(IF($E782="Azalan",$D782*(1-MIN(2*AmortismanAzalanCarpan*$F782,1))^MAX(0,$H782-1)*MIN(2*AmortismanAzalanCarpan*$F782,1),MIN($D782*$F782,$D782)),0))</f>
        <v/>
      </c>
      <c r="L782" s="122">
        <f>IF($D782="",0,$G782-$J782)</f>
        <v/>
      </c>
      <c r="M782" s="122">
        <f>IF($B782="","",CONCATENATE("Kıymet: ",$B782," | NDD: ",TEXT($J782,"#,##0")))</f>
        <v/>
      </c>
    </row>
    <row r="783" ht="15" customHeight="1" s="77">
      <c r="A783" s="123" t="n"/>
      <c r="B783" s="123" t="n"/>
      <c r="C783" s="124" t="n"/>
      <c r="D783" s="125" t="n"/>
      <c r="E783" s="123" t="n"/>
      <c r="F783" s="126" t="n"/>
      <c r="G783" s="125" t="n"/>
      <c r="H783" s="122">
        <f>IF($D783="",0,MAX(0,ROUNDDOWN((AmortismanRaporTarihi-$C783)/365,0)))</f>
        <v/>
      </c>
      <c r="I783" s="122">
        <f>IF($D783="",0,IFERROR(IF($E783="Azalan",MAX(0,$D783*(1-MIN(2*AmortismanAzalanCarpan*$F783,1)^$H783)),MIN($D783,$D783*$F783*$H783)),0))</f>
        <v/>
      </c>
      <c r="J783" s="122">
        <f>IF($D783="",0,MAX(0,$D783-$I783))</f>
        <v/>
      </c>
      <c r="K783" s="122">
        <f>IF($H783=0,0,IFERROR(IF($E783="Azalan",$D783*(1-MIN(2*AmortismanAzalanCarpan*$F783,1))^MAX(0,$H783-1)*MIN(2*AmortismanAzalanCarpan*$F783,1),MIN($D783*$F783,$D783)),0))</f>
        <v/>
      </c>
      <c r="L783" s="122">
        <f>IF($D783="",0,$G783-$J783)</f>
        <v/>
      </c>
      <c r="M783" s="122">
        <f>IF($B783="","",CONCATENATE("Kıymet: ",$B783," | NDD: ",TEXT($J783,"#,##0")))</f>
        <v/>
      </c>
    </row>
    <row r="784" ht="15" customHeight="1" s="77">
      <c r="A784" s="123" t="n"/>
      <c r="B784" s="123" t="n"/>
      <c r="C784" s="124" t="n"/>
      <c r="D784" s="125" t="n"/>
      <c r="E784" s="123" t="n"/>
      <c r="F784" s="126" t="n"/>
      <c r="G784" s="125" t="n"/>
      <c r="H784" s="122">
        <f>IF($D784="",0,MAX(0,ROUNDDOWN((AmortismanRaporTarihi-$C784)/365,0)))</f>
        <v/>
      </c>
      <c r="I784" s="122">
        <f>IF($D784="",0,IFERROR(IF($E784="Azalan",MAX(0,$D784*(1-MIN(2*AmortismanAzalanCarpan*$F784,1)^$H784)),MIN($D784,$D784*$F784*$H784)),0))</f>
        <v/>
      </c>
      <c r="J784" s="122">
        <f>IF($D784="",0,MAX(0,$D784-$I784))</f>
        <v/>
      </c>
      <c r="K784" s="122">
        <f>IF($H784=0,0,IFERROR(IF($E784="Azalan",$D784*(1-MIN(2*AmortismanAzalanCarpan*$F784,1))^MAX(0,$H784-1)*MIN(2*AmortismanAzalanCarpan*$F784,1),MIN($D784*$F784,$D784)),0))</f>
        <v/>
      </c>
      <c r="L784" s="122">
        <f>IF($D784="",0,$G784-$J784)</f>
        <v/>
      </c>
      <c r="M784" s="122">
        <f>IF($B784="","",CONCATENATE("Kıymet: ",$B784," | NDD: ",TEXT($J784,"#,##0")))</f>
        <v/>
      </c>
    </row>
    <row r="785" ht="15" customHeight="1" s="77">
      <c r="A785" s="123" t="n"/>
      <c r="B785" s="123" t="n"/>
      <c r="C785" s="124" t="n"/>
      <c r="D785" s="125" t="n"/>
      <c r="E785" s="123" t="n"/>
      <c r="F785" s="126" t="n"/>
      <c r="G785" s="125" t="n"/>
      <c r="H785" s="122">
        <f>IF($D785="",0,MAX(0,ROUNDDOWN((AmortismanRaporTarihi-$C785)/365,0)))</f>
        <v/>
      </c>
      <c r="I785" s="122">
        <f>IF($D785="",0,IFERROR(IF($E785="Azalan",MAX(0,$D785*(1-MIN(2*AmortismanAzalanCarpan*$F785,1)^$H785)),MIN($D785,$D785*$F785*$H785)),0))</f>
        <v/>
      </c>
      <c r="J785" s="122">
        <f>IF($D785="",0,MAX(0,$D785-$I785))</f>
        <v/>
      </c>
      <c r="K785" s="122">
        <f>IF($H785=0,0,IFERROR(IF($E785="Azalan",$D785*(1-MIN(2*AmortismanAzalanCarpan*$F785,1))^MAX(0,$H785-1)*MIN(2*AmortismanAzalanCarpan*$F785,1),MIN($D785*$F785,$D785)),0))</f>
        <v/>
      </c>
      <c r="L785" s="122">
        <f>IF($D785="",0,$G785-$J785)</f>
        <v/>
      </c>
      <c r="M785" s="122">
        <f>IF($B785="","",CONCATENATE("Kıymet: ",$B785," | NDD: ",TEXT($J785,"#,##0")))</f>
        <v/>
      </c>
    </row>
    <row r="786" ht="15" customHeight="1" s="77">
      <c r="A786" s="123" t="n"/>
      <c r="B786" s="123" t="n"/>
      <c r="C786" s="124" t="n"/>
      <c r="D786" s="125" t="n"/>
      <c r="E786" s="123" t="n"/>
      <c r="F786" s="126" t="n"/>
      <c r="G786" s="125" t="n"/>
      <c r="H786" s="122">
        <f>IF($D786="",0,MAX(0,ROUNDDOWN((AmortismanRaporTarihi-$C786)/365,0)))</f>
        <v/>
      </c>
      <c r="I786" s="122">
        <f>IF($D786="",0,IFERROR(IF($E786="Azalan",MAX(0,$D786*(1-MIN(2*AmortismanAzalanCarpan*$F786,1)^$H786)),MIN($D786,$D786*$F786*$H786)),0))</f>
        <v/>
      </c>
      <c r="J786" s="122">
        <f>IF($D786="",0,MAX(0,$D786-$I786))</f>
        <v/>
      </c>
      <c r="K786" s="122">
        <f>IF($H786=0,0,IFERROR(IF($E786="Azalan",$D786*(1-MIN(2*AmortismanAzalanCarpan*$F786,1))^MAX(0,$H786-1)*MIN(2*AmortismanAzalanCarpan*$F786,1),MIN($D786*$F786,$D786)),0))</f>
        <v/>
      </c>
      <c r="L786" s="122">
        <f>IF($D786="",0,$G786-$J786)</f>
        <v/>
      </c>
      <c r="M786" s="122">
        <f>IF($B786="","",CONCATENATE("Kıymet: ",$B786," | NDD: ",TEXT($J786,"#,##0")))</f>
        <v/>
      </c>
    </row>
    <row r="787" ht="15" customHeight="1" s="77">
      <c r="A787" s="123" t="n"/>
      <c r="B787" s="123" t="n"/>
      <c r="C787" s="124" t="n"/>
      <c r="D787" s="125" t="n"/>
      <c r="E787" s="123" t="n"/>
      <c r="F787" s="126" t="n"/>
      <c r="G787" s="125" t="n"/>
      <c r="H787" s="122">
        <f>IF($D787="",0,MAX(0,ROUNDDOWN((AmortismanRaporTarihi-$C787)/365,0)))</f>
        <v/>
      </c>
      <c r="I787" s="122">
        <f>IF($D787="",0,IFERROR(IF($E787="Azalan",MAX(0,$D787*(1-MIN(2*AmortismanAzalanCarpan*$F787,1)^$H787)),MIN($D787,$D787*$F787*$H787)),0))</f>
        <v/>
      </c>
      <c r="J787" s="122">
        <f>IF($D787="",0,MAX(0,$D787-$I787))</f>
        <v/>
      </c>
      <c r="K787" s="122">
        <f>IF($H787=0,0,IFERROR(IF($E787="Azalan",$D787*(1-MIN(2*AmortismanAzalanCarpan*$F787,1))^MAX(0,$H787-1)*MIN(2*AmortismanAzalanCarpan*$F787,1),MIN($D787*$F787,$D787)),0))</f>
        <v/>
      </c>
      <c r="L787" s="122">
        <f>IF($D787="",0,$G787-$J787)</f>
        <v/>
      </c>
      <c r="M787" s="122">
        <f>IF($B787="","",CONCATENATE("Kıymet: ",$B787," | NDD: ",TEXT($J787,"#,##0")))</f>
        <v/>
      </c>
    </row>
    <row r="788" ht="15" customHeight="1" s="77">
      <c r="A788" s="123" t="n"/>
      <c r="B788" s="123" t="n"/>
      <c r="C788" s="124" t="n"/>
      <c r="D788" s="125" t="n"/>
      <c r="E788" s="123" t="n"/>
      <c r="F788" s="126" t="n"/>
      <c r="G788" s="125" t="n"/>
      <c r="H788" s="122">
        <f>IF($D788="",0,MAX(0,ROUNDDOWN((AmortismanRaporTarihi-$C788)/365,0)))</f>
        <v/>
      </c>
      <c r="I788" s="122">
        <f>IF($D788="",0,IFERROR(IF($E788="Azalan",MAX(0,$D788*(1-MIN(2*AmortismanAzalanCarpan*$F788,1)^$H788)),MIN($D788,$D788*$F788*$H788)),0))</f>
        <v/>
      </c>
      <c r="J788" s="122">
        <f>IF($D788="",0,MAX(0,$D788-$I788))</f>
        <v/>
      </c>
      <c r="K788" s="122">
        <f>IF($H788=0,0,IFERROR(IF($E788="Azalan",$D788*(1-MIN(2*AmortismanAzalanCarpan*$F788,1))^MAX(0,$H788-1)*MIN(2*AmortismanAzalanCarpan*$F788,1),MIN($D788*$F788,$D788)),0))</f>
        <v/>
      </c>
      <c r="L788" s="122">
        <f>IF($D788="",0,$G788-$J788)</f>
        <v/>
      </c>
      <c r="M788" s="122">
        <f>IF($B788="","",CONCATENATE("Kıymet: ",$B788," | NDD: ",TEXT($J788,"#,##0")))</f>
        <v/>
      </c>
    </row>
    <row r="789" ht="15" customHeight="1" s="77">
      <c r="A789" s="123" t="n"/>
      <c r="B789" s="123" t="n"/>
      <c r="C789" s="124" t="n"/>
      <c r="D789" s="125" t="n"/>
      <c r="E789" s="123" t="n"/>
      <c r="F789" s="126" t="n"/>
      <c r="G789" s="125" t="n"/>
      <c r="H789" s="122">
        <f>IF($D789="",0,MAX(0,ROUNDDOWN((AmortismanRaporTarihi-$C789)/365,0)))</f>
        <v/>
      </c>
      <c r="I789" s="122">
        <f>IF($D789="",0,IFERROR(IF($E789="Azalan",MAX(0,$D789*(1-MIN(2*AmortismanAzalanCarpan*$F789,1)^$H789)),MIN($D789,$D789*$F789*$H789)),0))</f>
        <v/>
      </c>
      <c r="J789" s="122">
        <f>IF($D789="",0,MAX(0,$D789-$I789))</f>
        <v/>
      </c>
      <c r="K789" s="122">
        <f>IF($H789=0,0,IFERROR(IF($E789="Azalan",$D789*(1-MIN(2*AmortismanAzalanCarpan*$F789,1))^MAX(0,$H789-1)*MIN(2*AmortismanAzalanCarpan*$F789,1),MIN($D789*$F789,$D789)),0))</f>
        <v/>
      </c>
      <c r="L789" s="122">
        <f>IF($D789="",0,$G789-$J789)</f>
        <v/>
      </c>
      <c r="M789" s="122">
        <f>IF($B789="","",CONCATENATE("Kıymet: ",$B789," | NDD: ",TEXT($J789,"#,##0")))</f>
        <v/>
      </c>
    </row>
    <row r="790" ht="15" customHeight="1" s="77">
      <c r="A790" s="123" t="n"/>
      <c r="B790" s="123" t="n"/>
      <c r="C790" s="124" t="n"/>
      <c r="D790" s="125" t="n"/>
      <c r="E790" s="123" t="n"/>
      <c r="F790" s="126" t="n"/>
      <c r="G790" s="125" t="n"/>
      <c r="H790" s="122">
        <f>IF($D790="",0,MAX(0,ROUNDDOWN((AmortismanRaporTarihi-$C790)/365,0)))</f>
        <v/>
      </c>
      <c r="I790" s="122">
        <f>IF($D790="",0,IFERROR(IF($E790="Azalan",MAX(0,$D790*(1-MIN(2*AmortismanAzalanCarpan*$F790,1)^$H790)),MIN($D790,$D790*$F790*$H790)),0))</f>
        <v/>
      </c>
      <c r="J790" s="122">
        <f>IF($D790="",0,MAX(0,$D790-$I790))</f>
        <v/>
      </c>
      <c r="K790" s="122">
        <f>IF($H790=0,0,IFERROR(IF($E790="Azalan",$D790*(1-MIN(2*AmortismanAzalanCarpan*$F790,1))^MAX(0,$H790-1)*MIN(2*AmortismanAzalanCarpan*$F790,1),MIN($D790*$F790,$D790)),0))</f>
        <v/>
      </c>
      <c r="L790" s="122">
        <f>IF($D790="",0,$G790-$J790)</f>
        <v/>
      </c>
      <c r="M790" s="122">
        <f>IF($B790="","",CONCATENATE("Kıymet: ",$B790," | NDD: ",TEXT($J790,"#,##0")))</f>
        <v/>
      </c>
    </row>
    <row r="791" ht="15" customHeight="1" s="77">
      <c r="A791" s="123" t="n"/>
      <c r="B791" s="123" t="n"/>
      <c r="C791" s="124" t="n"/>
      <c r="D791" s="125" t="n"/>
      <c r="E791" s="123" t="n"/>
      <c r="F791" s="126" t="n"/>
      <c r="G791" s="125" t="n"/>
      <c r="H791" s="122">
        <f>IF($D791="",0,MAX(0,ROUNDDOWN((AmortismanRaporTarihi-$C791)/365,0)))</f>
        <v/>
      </c>
      <c r="I791" s="122">
        <f>IF($D791="",0,IFERROR(IF($E791="Azalan",MAX(0,$D791*(1-MIN(2*AmortismanAzalanCarpan*$F791,1)^$H791)),MIN($D791,$D791*$F791*$H791)),0))</f>
        <v/>
      </c>
      <c r="J791" s="122">
        <f>IF($D791="",0,MAX(0,$D791-$I791))</f>
        <v/>
      </c>
      <c r="K791" s="122">
        <f>IF($H791=0,0,IFERROR(IF($E791="Azalan",$D791*(1-MIN(2*AmortismanAzalanCarpan*$F791,1))^MAX(0,$H791-1)*MIN(2*AmortismanAzalanCarpan*$F791,1),MIN($D791*$F791,$D791)),0))</f>
        <v/>
      </c>
      <c r="L791" s="122">
        <f>IF($D791="",0,$G791-$J791)</f>
        <v/>
      </c>
      <c r="M791" s="122">
        <f>IF($B791="","",CONCATENATE("Kıymet: ",$B791," | NDD: ",TEXT($J791,"#,##0")))</f>
        <v/>
      </c>
    </row>
    <row r="792" ht="15" customHeight="1" s="77">
      <c r="A792" s="123" t="n"/>
      <c r="B792" s="123" t="n"/>
      <c r="C792" s="124" t="n"/>
      <c r="D792" s="125" t="n"/>
      <c r="E792" s="123" t="n"/>
      <c r="F792" s="126" t="n"/>
      <c r="G792" s="125" t="n"/>
      <c r="H792" s="122">
        <f>IF($D792="",0,MAX(0,ROUNDDOWN((AmortismanRaporTarihi-$C792)/365,0)))</f>
        <v/>
      </c>
      <c r="I792" s="122">
        <f>IF($D792="",0,IFERROR(IF($E792="Azalan",MAX(0,$D792*(1-MIN(2*AmortismanAzalanCarpan*$F792,1)^$H792)),MIN($D792,$D792*$F792*$H792)),0))</f>
        <v/>
      </c>
      <c r="J792" s="122">
        <f>IF($D792="",0,MAX(0,$D792-$I792))</f>
        <v/>
      </c>
      <c r="K792" s="122">
        <f>IF($H792=0,0,IFERROR(IF($E792="Azalan",$D792*(1-MIN(2*AmortismanAzalanCarpan*$F792,1))^MAX(0,$H792-1)*MIN(2*AmortismanAzalanCarpan*$F792,1),MIN($D792*$F792,$D792)),0))</f>
        <v/>
      </c>
      <c r="L792" s="122">
        <f>IF($D792="",0,$G792-$J792)</f>
        <v/>
      </c>
      <c r="M792" s="122">
        <f>IF($B792="","",CONCATENATE("Kıymet: ",$B792," | NDD: ",TEXT($J792,"#,##0")))</f>
        <v/>
      </c>
    </row>
    <row r="793" ht="15" customHeight="1" s="77">
      <c r="A793" s="123" t="n"/>
      <c r="B793" s="123" t="n"/>
      <c r="C793" s="124" t="n"/>
      <c r="D793" s="125" t="n"/>
      <c r="E793" s="123" t="n"/>
      <c r="F793" s="126" t="n"/>
      <c r="G793" s="125" t="n"/>
      <c r="H793" s="122">
        <f>IF($D793="",0,MAX(0,ROUNDDOWN((AmortismanRaporTarihi-$C793)/365,0)))</f>
        <v/>
      </c>
      <c r="I793" s="122">
        <f>IF($D793="",0,IFERROR(IF($E793="Azalan",MAX(0,$D793*(1-MIN(2*AmortismanAzalanCarpan*$F793,1)^$H793)),MIN($D793,$D793*$F793*$H793)),0))</f>
        <v/>
      </c>
      <c r="J793" s="122">
        <f>IF($D793="",0,MAX(0,$D793-$I793))</f>
        <v/>
      </c>
      <c r="K793" s="122">
        <f>IF($H793=0,0,IFERROR(IF($E793="Azalan",$D793*(1-MIN(2*AmortismanAzalanCarpan*$F793,1))^MAX(0,$H793-1)*MIN(2*AmortismanAzalanCarpan*$F793,1),MIN($D793*$F793,$D793)),0))</f>
        <v/>
      </c>
      <c r="L793" s="122">
        <f>IF($D793="",0,$G793-$J793)</f>
        <v/>
      </c>
      <c r="M793" s="122">
        <f>IF($B793="","",CONCATENATE("Kıymet: ",$B793," | NDD: ",TEXT($J793,"#,##0")))</f>
        <v/>
      </c>
    </row>
    <row r="794" ht="15" customHeight="1" s="77">
      <c r="A794" s="123" t="n"/>
      <c r="B794" s="123" t="n"/>
      <c r="C794" s="124" t="n"/>
      <c r="D794" s="125" t="n"/>
      <c r="E794" s="123" t="n"/>
      <c r="F794" s="126" t="n"/>
      <c r="G794" s="125" t="n"/>
      <c r="H794" s="122">
        <f>IF($D794="",0,MAX(0,ROUNDDOWN((AmortismanRaporTarihi-$C794)/365,0)))</f>
        <v/>
      </c>
      <c r="I794" s="122">
        <f>IF($D794="",0,IFERROR(IF($E794="Azalan",MAX(0,$D794*(1-MIN(2*AmortismanAzalanCarpan*$F794,1)^$H794)),MIN($D794,$D794*$F794*$H794)),0))</f>
        <v/>
      </c>
      <c r="J794" s="122">
        <f>IF($D794="",0,MAX(0,$D794-$I794))</f>
        <v/>
      </c>
      <c r="K794" s="122">
        <f>IF($H794=0,0,IFERROR(IF($E794="Azalan",$D794*(1-MIN(2*AmortismanAzalanCarpan*$F794,1))^MAX(0,$H794-1)*MIN(2*AmortismanAzalanCarpan*$F794,1),MIN($D794*$F794,$D794)),0))</f>
        <v/>
      </c>
      <c r="L794" s="122">
        <f>IF($D794="",0,$G794-$J794)</f>
        <v/>
      </c>
      <c r="M794" s="122">
        <f>IF($B794="","",CONCATENATE("Kıymet: ",$B794," | NDD: ",TEXT($J794,"#,##0")))</f>
        <v/>
      </c>
    </row>
    <row r="795" ht="15" customHeight="1" s="77">
      <c r="A795" s="123" t="n"/>
      <c r="B795" s="123" t="n"/>
      <c r="C795" s="124" t="n"/>
      <c r="D795" s="125" t="n"/>
      <c r="E795" s="123" t="n"/>
      <c r="F795" s="126" t="n"/>
      <c r="G795" s="125" t="n"/>
      <c r="H795" s="122">
        <f>IF($D795="",0,MAX(0,ROUNDDOWN((AmortismanRaporTarihi-$C795)/365,0)))</f>
        <v/>
      </c>
      <c r="I795" s="122">
        <f>IF($D795="",0,IFERROR(IF($E795="Azalan",MAX(0,$D795*(1-MIN(2*AmortismanAzalanCarpan*$F795,1)^$H795)),MIN($D795,$D795*$F795*$H795)),0))</f>
        <v/>
      </c>
      <c r="J795" s="122">
        <f>IF($D795="",0,MAX(0,$D795-$I795))</f>
        <v/>
      </c>
      <c r="K795" s="122">
        <f>IF($H795=0,0,IFERROR(IF($E795="Azalan",$D795*(1-MIN(2*AmortismanAzalanCarpan*$F795,1))^MAX(0,$H795-1)*MIN(2*AmortismanAzalanCarpan*$F795,1),MIN($D795*$F795,$D795)),0))</f>
        <v/>
      </c>
      <c r="L795" s="122">
        <f>IF($D795="",0,$G795-$J795)</f>
        <v/>
      </c>
      <c r="M795" s="122">
        <f>IF($B795="","",CONCATENATE("Kıymet: ",$B795," | NDD: ",TEXT($J795,"#,##0")))</f>
        <v/>
      </c>
    </row>
    <row r="796" ht="15" customHeight="1" s="77">
      <c r="A796" s="123" t="n"/>
      <c r="B796" s="123" t="n"/>
      <c r="C796" s="124" t="n"/>
      <c r="D796" s="125" t="n"/>
      <c r="E796" s="123" t="n"/>
      <c r="F796" s="126" t="n"/>
      <c r="G796" s="125" t="n"/>
      <c r="H796" s="122">
        <f>IF($D796="",0,MAX(0,ROUNDDOWN((AmortismanRaporTarihi-$C796)/365,0)))</f>
        <v/>
      </c>
      <c r="I796" s="122">
        <f>IF($D796="",0,IFERROR(IF($E796="Azalan",MAX(0,$D796*(1-MIN(2*AmortismanAzalanCarpan*$F796,1)^$H796)),MIN($D796,$D796*$F796*$H796)),0))</f>
        <v/>
      </c>
      <c r="J796" s="122">
        <f>IF($D796="",0,MAX(0,$D796-$I796))</f>
        <v/>
      </c>
      <c r="K796" s="122">
        <f>IF($H796=0,0,IFERROR(IF($E796="Azalan",$D796*(1-MIN(2*AmortismanAzalanCarpan*$F796,1))^MAX(0,$H796-1)*MIN(2*AmortismanAzalanCarpan*$F796,1),MIN($D796*$F796,$D796)),0))</f>
        <v/>
      </c>
      <c r="L796" s="122">
        <f>IF($D796="",0,$G796-$J796)</f>
        <v/>
      </c>
      <c r="M796" s="122">
        <f>IF($B796="","",CONCATENATE("Kıymet: ",$B796," | NDD: ",TEXT($J796,"#,##0")))</f>
        <v/>
      </c>
    </row>
    <row r="797" ht="15" customHeight="1" s="77">
      <c r="A797" s="123" t="n"/>
      <c r="B797" s="123" t="n"/>
      <c r="C797" s="124" t="n"/>
      <c r="D797" s="125" t="n"/>
      <c r="E797" s="123" t="n"/>
      <c r="F797" s="126" t="n"/>
      <c r="G797" s="125" t="n"/>
      <c r="H797" s="122">
        <f>IF($D797="",0,MAX(0,ROUNDDOWN((AmortismanRaporTarihi-$C797)/365,0)))</f>
        <v/>
      </c>
      <c r="I797" s="122">
        <f>IF($D797="",0,IFERROR(IF($E797="Azalan",MAX(0,$D797*(1-MIN(2*AmortismanAzalanCarpan*$F797,1)^$H797)),MIN($D797,$D797*$F797*$H797)),0))</f>
        <v/>
      </c>
      <c r="J797" s="122">
        <f>IF($D797="",0,MAX(0,$D797-$I797))</f>
        <v/>
      </c>
      <c r="K797" s="122">
        <f>IF($H797=0,0,IFERROR(IF($E797="Azalan",$D797*(1-MIN(2*AmortismanAzalanCarpan*$F797,1))^MAX(0,$H797-1)*MIN(2*AmortismanAzalanCarpan*$F797,1),MIN($D797*$F797,$D797)),0))</f>
        <v/>
      </c>
      <c r="L797" s="122">
        <f>IF($D797="",0,$G797-$J797)</f>
        <v/>
      </c>
      <c r="M797" s="122">
        <f>IF($B797="","",CONCATENATE("Kıymet: ",$B797," | NDD: ",TEXT($J797,"#,##0")))</f>
        <v/>
      </c>
    </row>
    <row r="798" ht="15" customHeight="1" s="77">
      <c r="A798" s="123" t="n"/>
      <c r="B798" s="123" t="n"/>
      <c r="C798" s="124" t="n"/>
      <c r="D798" s="125" t="n"/>
      <c r="E798" s="123" t="n"/>
      <c r="F798" s="126" t="n"/>
      <c r="G798" s="125" t="n"/>
      <c r="H798" s="122">
        <f>IF($D798="",0,MAX(0,ROUNDDOWN((AmortismanRaporTarihi-$C798)/365,0)))</f>
        <v/>
      </c>
      <c r="I798" s="122">
        <f>IF($D798="",0,IFERROR(IF($E798="Azalan",MAX(0,$D798*(1-MIN(2*AmortismanAzalanCarpan*$F798,1)^$H798)),MIN($D798,$D798*$F798*$H798)),0))</f>
        <v/>
      </c>
      <c r="J798" s="122">
        <f>IF($D798="",0,MAX(0,$D798-$I798))</f>
        <v/>
      </c>
      <c r="K798" s="122">
        <f>IF($H798=0,0,IFERROR(IF($E798="Azalan",$D798*(1-MIN(2*AmortismanAzalanCarpan*$F798,1))^MAX(0,$H798-1)*MIN(2*AmortismanAzalanCarpan*$F798,1),MIN($D798*$F798,$D798)),0))</f>
        <v/>
      </c>
      <c r="L798" s="122">
        <f>IF($D798="",0,$G798-$J798)</f>
        <v/>
      </c>
      <c r="M798" s="122">
        <f>IF($B798="","",CONCATENATE("Kıymet: ",$B798," | NDD: ",TEXT($J798,"#,##0")))</f>
        <v/>
      </c>
    </row>
    <row r="799" ht="15" customHeight="1" s="77">
      <c r="A799" s="123" t="n"/>
      <c r="B799" s="123" t="n"/>
      <c r="C799" s="124" t="n"/>
      <c r="D799" s="125" t="n"/>
      <c r="E799" s="123" t="n"/>
      <c r="F799" s="126" t="n"/>
      <c r="G799" s="125" t="n"/>
      <c r="H799" s="122">
        <f>IF($D799="",0,MAX(0,ROUNDDOWN((AmortismanRaporTarihi-$C799)/365,0)))</f>
        <v/>
      </c>
      <c r="I799" s="122">
        <f>IF($D799="",0,IFERROR(IF($E799="Azalan",MAX(0,$D799*(1-MIN(2*AmortismanAzalanCarpan*$F799,1)^$H799)),MIN($D799,$D799*$F799*$H799)),0))</f>
        <v/>
      </c>
      <c r="J799" s="122">
        <f>IF($D799="",0,MAX(0,$D799-$I799))</f>
        <v/>
      </c>
      <c r="K799" s="122">
        <f>IF($H799=0,0,IFERROR(IF($E799="Azalan",$D799*(1-MIN(2*AmortismanAzalanCarpan*$F799,1))^MAX(0,$H799-1)*MIN(2*AmortismanAzalanCarpan*$F799,1),MIN($D799*$F799,$D799)),0))</f>
        <v/>
      </c>
      <c r="L799" s="122">
        <f>IF($D799="",0,$G799-$J799)</f>
        <v/>
      </c>
      <c r="M799" s="122">
        <f>IF($B799="","",CONCATENATE("Kıymet: ",$B799," | NDD: ",TEXT($J799,"#,##0")))</f>
        <v/>
      </c>
    </row>
    <row r="800" ht="15" customHeight="1" s="77">
      <c r="A800" s="123" t="n"/>
      <c r="B800" s="123" t="n"/>
      <c r="C800" s="124" t="n"/>
      <c r="D800" s="125" t="n"/>
      <c r="E800" s="123" t="n"/>
      <c r="F800" s="126" t="n"/>
      <c r="G800" s="125" t="n"/>
      <c r="H800" s="122">
        <f>IF($D800="",0,MAX(0,ROUNDDOWN((AmortismanRaporTarihi-$C800)/365,0)))</f>
        <v/>
      </c>
      <c r="I800" s="122">
        <f>IF($D800="",0,IFERROR(IF($E800="Azalan",MAX(0,$D800*(1-MIN(2*AmortismanAzalanCarpan*$F800,1)^$H800)),MIN($D800,$D800*$F800*$H800)),0))</f>
        <v/>
      </c>
      <c r="J800" s="122">
        <f>IF($D800="",0,MAX(0,$D800-$I800))</f>
        <v/>
      </c>
      <c r="K800" s="122">
        <f>IF($H800=0,0,IFERROR(IF($E800="Azalan",$D800*(1-MIN(2*AmortismanAzalanCarpan*$F800,1))^MAX(0,$H800-1)*MIN(2*AmortismanAzalanCarpan*$F800,1),MIN($D800*$F800,$D800)),0))</f>
        <v/>
      </c>
      <c r="L800" s="122">
        <f>IF($D800="",0,$G800-$J800)</f>
        <v/>
      </c>
      <c r="M800" s="122">
        <f>IF($B800="","",CONCATENATE("Kıymet: ",$B800," | NDD: ",TEXT($J800,"#,##0")))</f>
        <v/>
      </c>
    </row>
    <row r="801" ht="15" customHeight="1" s="77">
      <c r="A801" s="123" t="n"/>
      <c r="B801" s="123" t="n"/>
      <c r="C801" s="124" t="n"/>
      <c r="D801" s="125" t="n"/>
      <c r="E801" s="123" t="n"/>
      <c r="F801" s="126" t="n"/>
      <c r="G801" s="125" t="n"/>
      <c r="H801" s="122">
        <f>IF($D801="",0,MAX(0,ROUNDDOWN((AmortismanRaporTarihi-$C801)/365,0)))</f>
        <v/>
      </c>
      <c r="I801" s="122">
        <f>IF($D801="",0,IFERROR(IF($E801="Azalan",MAX(0,$D801*(1-MIN(2*AmortismanAzalanCarpan*$F801,1)^$H801)),MIN($D801,$D801*$F801*$H801)),0))</f>
        <v/>
      </c>
      <c r="J801" s="122">
        <f>IF($D801="",0,MAX(0,$D801-$I801))</f>
        <v/>
      </c>
      <c r="K801" s="122">
        <f>IF($H801=0,0,IFERROR(IF($E801="Azalan",$D801*(1-MIN(2*AmortismanAzalanCarpan*$F801,1))^MAX(0,$H801-1)*MIN(2*AmortismanAzalanCarpan*$F801,1),MIN($D801*$F801,$D801)),0))</f>
        <v/>
      </c>
      <c r="L801" s="122">
        <f>IF($D801="",0,$G801-$J801)</f>
        <v/>
      </c>
      <c r="M801" s="122">
        <f>IF($B801="","",CONCATENATE("Kıymet: ",$B801," | NDD: ",TEXT($J801,"#,##0")))</f>
        <v/>
      </c>
    </row>
    <row r="802" ht="15" customHeight="1" s="77">
      <c r="A802" s="123" t="n"/>
      <c r="B802" s="123" t="n"/>
      <c r="C802" s="124" t="n"/>
      <c r="D802" s="125" t="n"/>
      <c r="E802" s="123" t="n"/>
      <c r="F802" s="126" t="n"/>
      <c r="G802" s="125" t="n"/>
      <c r="H802" s="122">
        <f>IF($D802="",0,MAX(0,ROUNDDOWN((AmortismanRaporTarihi-$C802)/365,0)))</f>
        <v/>
      </c>
      <c r="I802" s="122">
        <f>IF($D802="",0,IFERROR(IF($E802="Azalan",MAX(0,$D802*(1-MIN(2*AmortismanAzalanCarpan*$F802,1)^$H802)),MIN($D802,$D802*$F802*$H802)),0))</f>
        <v/>
      </c>
      <c r="J802" s="122">
        <f>IF($D802="",0,MAX(0,$D802-$I802))</f>
        <v/>
      </c>
      <c r="K802" s="122">
        <f>IF($H802=0,0,IFERROR(IF($E802="Azalan",$D802*(1-MIN(2*AmortismanAzalanCarpan*$F802,1))^MAX(0,$H802-1)*MIN(2*AmortismanAzalanCarpan*$F802,1),MIN($D802*$F802,$D802)),0))</f>
        <v/>
      </c>
      <c r="L802" s="122">
        <f>IF($D802="",0,$G802-$J802)</f>
        <v/>
      </c>
      <c r="M802" s="122">
        <f>IF($B802="","",CONCATENATE("Kıymet: ",$B802," | NDD: ",TEXT($J802,"#,##0")))</f>
        <v/>
      </c>
    </row>
    <row r="803" ht="15" customHeight="1" s="77">
      <c r="A803" s="123" t="n"/>
      <c r="B803" s="123" t="n"/>
      <c r="C803" s="124" t="n"/>
      <c r="D803" s="125" t="n"/>
      <c r="E803" s="123" t="n"/>
      <c r="F803" s="126" t="n"/>
      <c r="G803" s="125" t="n"/>
      <c r="H803" s="122">
        <f>IF($D803="",0,MAX(0,ROUNDDOWN((AmortismanRaporTarihi-$C803)/365,0)))</f>
        <v/>
      </c>
      <c r="I803" s="122">
        <f>IF($D803="",0,IFERROR(IF($E803="Azalan",MAX(0,$D803*(1-MIN(2*AmortismanAzalanCarpan*$F803,1)^$H803)),MIN($D803,$D803*$F803*$H803)),0))</f>
        <v/>
      </c>
      <c r="J803" s="122">
        <f>IF($D803="",0,MAX(0,$D803-$I803))</f>
        <v/>
      </c>
      <c r="K803" s="122">
        <f>IF($H803=0,0,IFERROR(IF($E803="Azalan",$D803*(1-MIN(2*AmortismanAzalanCarpan*$F803,1))^MAX(0,$H803-1)*MIN(2*AmortismanAzalanCarpan*$F803,1),MIN($D803*$F803,$D803)),0))</f>
        <v/>
      </c>
      <c r="L803" s="122">
        <f>IF($D803="",0,$G803-$J803)</f>
        <v/>
      </c>
      <c r="M803" s="122">
        <f>IF($B803="","",CONCATENATE("Kıymet: ",$B803," | NDD: ",TEXT($J803,"#,##0")))</f>
        <v/>
      </c>
    </row>
    <row r="804" ht="15" customHeight="1" s="77">
      <c r="A804" s="123" t="n"/>
      <c r="B804" s="123" t="n"/>
      <c r="C804" s="124" t="n"/>
      <c r="D804" s="125" t="n"/>
      <c r="E804" s="123" t="n"/>
      <c r="F804" s="126" t="n"/>
      <c r="G804" s="125" t="n"/>
      <c r="H804" s="122">
        <f>IF($D804="",0,MAX(0,ROUNDDOWN((AmortismanRaporTarihi-$C804)/365,0)))</f>
        <v/>
      </c>
      <c r="I804" s="122">
        <f>IF($D804="",0,IFERROR(IF($E804="Azalan",MAX(0,$D804*(1-MIN(2*AmortismanAzalanCarpan*$F804,1)^$H804)),MIN($D804,$D804*$F804*$H804)),0))</f>
        <v/>
      </c>
      <c r="J804" s="122">
        <f>IF($D804="",0,MAX(0,$D804-$I804))</f>
        <v/>
      </c>
      <c r="K804" s="122">
        <f>IF($H804=0,0,IFERROR(IF($E804="Azalan",$D804*(1-MIN(2*AmortismanAzalanCarpan*$F804,1))^MAX(0,$H804-1)*MIN(2*AmortismanAzalanCarpan*$F804,1),MIN($D804*$F804,$D804)),0))</f>
        <v/>
      </c>
      <c r="L804" s="122">
        <f>IF($D804="",0,$G804-$J804)</f>
        <v/>
      </c>
      <c r="M804" s="122">
        <f>IF($B804="","",CONCATENATE("Kıymet: ",$B804," | NDD: ",TEXT($J804,"#,##0")))</f>
        <v/>
      </c>
    </row>
    <row r="805" ht="15" customHeight="1" s="77">
      <c r="A805" s="123" t="n"/>
      <c r="B805" s="123" t="n"/>
      <c r="C805" s="124" t="n"/>
      <c r="D805" s="125" t="n"/>
      <c r="E805" s="123" t="n"/>
      <c r="F805" s="126" t="n"/>
      <c r="G805" s="125" t="n"/>
      <c r="H805" s="122">
        <f>IF($D805="",0,MAX(0,ROUNDDOWN((AmortismanRaporTarihi-$C805)/365,0)))</f>
        <v/>
      </c>
      <c r="I805" s="122">
        <f>IF($D805="",0,IFERROR(IF($E805="Azalan",MAX(0,$D805*(1-MIN(2*AmortismanAzalanCarpan*$F805,1)^$H805)),MIN($D805,$D805*$F805*$H805)),0))</f>
        <v/>
      </c>
      <c r="J805" s="122">
        <f>IF($D805="",0,MAX(0,$D805-$I805))</f>
        <v/>
      </c>
      <c r="K805" s="122">
        <f>IF($H805=0,0,IFERROR(IF($E805="Azalan",$D805*(1-MIN(2*AmortismanAzalanCarpan*$F805,1))^MAX(0,$H805-1)*MIN(2*AmortismanAzalanCarpan*$F805,1),MIN($D805*$F805,$D805)),0))</f>
        <v/>
      </c>
      <c r="L805" s="122">
        <f>IF($D805="",0,$G805-$J805)</f>
        <v/>
      </c>
      <c r="M805" s="122">
        <f>IF($B805="","",CONCATENATE("Kıymet: ",$B805," | NDD: ",TEXT($J805,"#,##0")))</f>
        <v/>
      </c>
    </row>
    <row r="806" ht="15" customHeight="1" s="77">
      <c r="A806" s="123" t="n"/>
      <c r="B806" s="123" t="n"/>
      <c r="C806" s="124" t="n"/>
      <c r="D806" s="125" t="n"/>
      <c r="E806" s="123" t="n"/>
      <c r="F806" s="126" t="n"/>
      <c r="G806" s="125" t="n"/>
      <c r="H806" s="122">
        <f>IF($D806="",0,MAX(0,ROUNDDOWN((AmortismanRaporTarihi-$C806)/365,0)))</f>
        <v/>
      </c>
      <c r="I806" s="122">
        <f>IF($D806="",0,IFERROR(IF($E806="Azalan",MAX(0,$D806*(1-MIN(2*AmortismanAzalanCarpan*$F806,1)^$H806)),MIN($D806,$D806*$F806*$H806)),0))</f>
        <v/>
      </c>
      <c r="J806" s="122">
        <f>IF($D806="",0,MAX(0,$D806-$I806))</f>
        <v/>
      </c>
      <c r="K806" s="122">
        <f>IF($H806=0,0,IFERROR(IF($E806="Azalan",$D806*(1-MIN(2*AmortismanAzalanCarpan*$F806,1))^MAX(0,$H806-1)*MIN(2*AmortismanAzalanCarpan*$F806,1),MIN($D806*$F806,$D806)),0))</f>
        <v/>
      </c>
      <c r="L806" s="122">
        <f>IF($D806="",0,$G806-$J806)</f>
        <v/>
      </c>
      <c r="M806" s="122">
        <f>IF($B806="","",CONCATENATE("Kıymet: ",$B806," | NDD: ",TEXT($J806,"#,##0")))</f>
        <v/>
      </c>
    </row>
    <row r="807" ht="15" customHeight="1" s="77">
      <c r="A807" s="123" t="n"/>
      <c r="B807" s="123" t="n"/>
      <c r="C807" s="124" t="n"/>
      <c r="D807" s="125" t="n"/>
      <c r="E807" s="123" t="n"/>
      <c r="F807" s="126" t="n"/>
      <c r="G807" s="125" t="n"/>
      <c r="H807" s="122">
        <f>IF($D807="",0,MAX(0,ROUNDDOWN((AmortismanRaporTarihi-$C807)/365,0)))</f>
        <v/>
      </c>
      <c r="I807" s="122">
        <f>IF($D807="",0,IFERROR(IF($E807="Azalan",MAX(0,$D807*(1-MIN(2*AmortismanAzalanCarpan*$F807,1)^$H807)),MIN($D807,$D807*$F807*$H807)),0))</f>
        <v/>
      </c>
      <c r="J807" s="122">
        <f>IF($D807="",0,MAX(0,$D807-$I807))</f>
        <v/>
      </c>
      <c r="K807" s="122">
        <f>IF($H807=0,0,IFERROR(IF($E807="Azalan",$D807*(1-MIN(2*AmortismanAzalanCarpan*$F807,1))^MAX(0,$H807-1)*MIN(2*AmortismanAzalanCarpan*$F807,1),MIN($D807*$F807,$D807)),0))</f>
        <v/>
      </c>
      <c r="L807" s="122">
        <f>IF($D807="",0,$G807-$J807)</f>
        <v/>
      </c>
      <c r="M807" s="122">
        <f>IF($B807="","",CONCATENATE("Kıymet: ",$B807," | NDD: ",TEXT($J807,"#,##0")))</f>
        <v/>
      </c>
    </row>
    <row r="808" ht="15" customHeight="1" s="77">
      <c r="A808" s="123" t="n"/>
      <c r="B808" s="123" t="n"/>
      <c r="C808" s="124" t="n"/>
      <c r="D808" s="125" t="n"/>
      <c r="E808" s="123" t="n"/>
      <c r="F808" s="126" t="n"/>
      <c r="G808" s="125" t="n"/>
      <c r="H808" s="122">
        <f>IF($D808="",0,MAX(0,ROUNDDOWN((AmortismanRaporTarihi-$C808)/365,0)))</f>
        <v/>
      </c>
      <c r="I808" s="122">
        <f>IF($D808="",0,IFERROR(IF($E808="Azalan",MAX(0,$D808*(1-MIN(2*AmortismanAzalanCarpan*$F808,1)^$H808)),MIN($D808,$D808*$F808*$H808)),0))</f>
        <v/>
      </c>
      <c r="J808" s="122">
        <f>IF($D808="",0,MAX(0,$D808-$I808))</f>
        <v/>
      </c>
      <c r="K808" s="122">
        <f>IF($H808=0,0,IFERROR(IF($E808="Azalan",$D808*(1-MIN(2*AmortismanAzalanCarpan*$F808,1))^MAX(0,$H808-1)*MIN(2*AmortismanAzalanCarpan*$F808,1),MIN($D808*$F808,$D808)),0))</f>
        <v/>
      </c>
      <c r="L808" s="122">
        <f>IF($D808="",0,$G808-$J808)</f>
        <v/>
      </c>
      <c r="M808" s="122">
        <f>IF($B808="","",CONCATENATE("Kıymet: ",$B808," | NDD: ",TEXT($J808,"#,##0")))</f>
        <v/>
      </c>
    </row>
    <row r="809" ht="15" customHeight="1" s="77">
      <c r="A809" s="123" t="n"/>
      <c r="B809" s="123" t="n"/>
      <c r="C809" s="124" t="n"/>
      <c r="D809" s="125" t="n"/>
      <c r="E809" s="123" t="n"/>
      <c r="F809" s="126" t="n"/>
      <c r="G809" s="125" t="n"/>
      <c r="H809" s="122">
        <f>IF($D809="",0,MAX(0,ROUNDDOWN((AmortismanRaporTarihi-$C809)/365,0)))</f>
        <v/>
      </c>
      <c r="I809" s="122">
        <f>IF($D809="",0,IFERROR(IF($E809="Azalan",MAX(0,$D809*(1-MIN(2*AmortismanAzalanCarpan*$F809,1)^$H809)),MIN($D809,$D809*$F809*$H809)),0))</f>
        <v/>
      </c>
      <c r="J809" s="122">
        <f>IF($D809="",0,MAX(0,$D809-$I809))</f>
        <v/>
      </c>
      <c r="K809" s="122">
        <f>IF($H809=0,0,IFERROR(IF($E809="Azalan",$D809*(1-MIN(2*AmortismanAzalanCarpan*$F809,1))^MAX(0,$H809-1)*MIN(2*AmortismanAzalanCarpan*$F809,1),MIN($D809*$F809,$D809)),0))</f>
        <v/>
      </c>
      <c r="L809" s="122">
        <f>IF($D809="",0,$G809-$J809)</f>
        <v/>
      </c>
      <c r="M809" s="122">
        <f>IF($B809="","",CONCATENATE("Kıymet: ",$B809," | NDD: ",TEXT($J809,"#,##0")))</f>
        <v/>
      </c>
    </row>
    <row r="810" ht="15" customHeight="1" s="77">
      <c r="A810" s="123" t="n"/>
      <c r="B810" s="123" t="n"/>
      <c r="C810" s="124" t="n"/>
      <c r="D810" s="125" t="n"/>
      <c r="E810" s="123" t="n"/>
      <c r="F810" s="126" t="n"/>
      <c r="G810" s="125" t="n"/>
      <c r="H810" s="122">
        <f>IF($D810="",0,MAX(0,ROUNDDOWN((AmortismanRaporTarihi-$C810)/365,0)))</f>
        <v/>
      </c>
      <c r="I810" s="122">
        <f>IF($D810="",0,IFERROR(IF($E810="Azalan",MAX(0,$D810*(1-MIN(2*AmortismanAzalanCarpan*$F810,1)^$H810)),MIN($D810,$D810*$F810*$H810)),0))</f>
        <v/>
      </c>
      <c r="J810" s="122">
        <f>IF($D810="",0,MAX(0,$D810-$I810))</f>
        <v/>
      </c>
      <c r="K810" s="122">
        <f>IF($H810=0,0,IFERROR(IF($E810="Azalan",$D810*(1-MIN(2*AmortismanAzalanCarpan*$F810,1))^MAX(0,$H810-1)*MIN(2*AmortismanAzalanCarpan*$F810,1),MIN($D810*$F810,$D810)),0))</f>
        <v/>
      </c>
      <c r="L810" s="122">
        <f>IF($D810="",0,$G810-$J810)</f>
        <v/>
      </c>
      <c r="M810" s="122">
        <f>IF($B810="","",CONCATENATE("Kıymet: ",$B810," | NDD: ",TEXT($J810,"#,##0")))</f>
        <v/>
      </c>
    </row>
    <row r="811" ht="15" customHeight="1" s="77">
      <c r="A811" s="123" t="n"/>
      <c r="B811" s="123" t="n"/>
      <c r="C811" s="124" t="n"/>
      <c r="D811" s="125" t="n"/>
      <c r="E811" s="123" t="n"/>
      <c r="F811" s="126" t="n"/>
      <c r="G811" s="125" t="n"/>
      <c r="H811" s="122">
        <f>IF($D811="",0,MAX(0,ROUNDDOWN((AmortismanRaporTarihi-$C811)/365,0)))</f>
        <v/>
      </c>
      <c r="I811" s="122">
        <f>IF($D811="",0,IFERROR(IF($E811="Azalan",MAX(0,$D811*(1-MIN(2*AmortismanAzalanCarpan*$F811,1)^$H811)),MIN($D811,$D811*$F811*$H811)),0))</f>
        <v/>
      </c>
      <c r="J811" s="122">
        <f>IF($D811="",0,MAX(0,$D811-$I811))</f>
        <v/>
      </c>
      <c r="K811" s="122">
        <f>IF($H811=0,0,IFERROR(IF($E811="Azalan",$D811*(1-MIN(2*AmortismanAzalanCarpan*$F811,1))^MAX(0,$H811-1)*MIN(2*AmortismanAzalanCarpan*$F811,1),MIN($D811*$F811,$D811)),0))</f>
        <v/>
      </c>
      <c r="L811" s="122">
        <f>IF($D811="",0,$G811-$J811)</f>
        <v/>
      </c>
      <c r="M811" s="122">
        <f>IF($B811="","",CONCATENATE("Kıymet: ",$B811," | NDD: ",TEXT($J811,"#,##0")))</f>
        <v/>
      </c>
    </row>
    <row r="812" ht="15" customHeight="1" s="77">
      <c r="A812" s="123" t="n"/>
      <c r="B812" s="123" t="n"/>
      <c r="C812" s="124" t="n"/>
      <c r="D812" s="125" t="n"/>
      <c r="E812" s="123" t="n"/>
      <c r="F812" s="126" t="n"/>
      <c r="G812" s="125" t="n"/>
      <c r="H812" s="122">
        <f>IF($D812="",0,MAX(0,ROUNDDOWN((AmortismanRaporTarihi-$C812)/365,0)))</f>
        <v/>
      </c>
      <c r="I812" s="122">
        <f>IF($D812="",0,IFERROR(IF($E812="Azalan",MAX(0,$D812*(1-MIN(2*AmortismanAzalanCarpan*$F812,1)^$H812)),MIN($D812,$D812*$F812*$H812)),0))</f>
        <v/>
      </c>
      <c r="J812" s="122">
        <f>IF($D812="",0,MAX(0,$D812-$I812))</f>
        <v/>
      </c>
      <c r="K812" s="122">
        <f>IF($H812=0,0,IFERROR(IF($E812="Azalan",$D812*(1-MIN(2*AmortismanAzalanCarpan*$F812,1))^MAX(0,$H812-1)*MIN(2*AmortismanAzalanCarpan*$F812,1),MIN($D812*$F812,$D812)),0))</f>
        <v/>
      </c>
      <c r="L812" s="122">
        <f>IF($D812="",0,$G812-$J812)</f>
        <v/>
      </c>
      <c r="M812" s="122">
        <f>IF($B812="","",CONCATENATE("Kıymet: ",$B812," | NDD: ",TEXT($J812,"#,##0")))</f>
        <v/>
      </c>
    </row>
    <row r="813" ht="15" customHeight="1" s="77">
      <c r="A813" s="123" t="n"/>
      <c r="B813" s="123" t="n"/>
      <c r="C813" s="124" t="n"/>
      <c r="D813" s="125" t="n"/>
      <c r="E813" s="123" t="n"/>
      <c r="F813" s="126" t="n"/>
      <c r="G813" s="125" t="n"/>
      <c r="H813" s="122">
        <f>IF($D813="",0,MAX(0,ROUNDDOWN((AmortismanRaporTarihi-$C813)/365,0)))</f>
        <v/>
      </c>
      <c r="I813" s="122">
        <f>IF($D813="",0,IFERROR(IF($E813="Azalan",MAX(0,$D813*(1-MIN(2*AmortismanAzalanCarpan*$F813,1)^$H813)),MIN($D813,$D813*$F813*$H813)),0))</f>
        <v/>
      </c>
      <c r="J813" s="122">
        <f>IF($D813="",0,MAX(0,$D813-$I813))</f>
        <v/>
      </c>
      <c r="K813" s="122">
        <f>IF($H813=0,0,IFERROR(IF($E813="Azalan",$D813*(1-MIN(2*AmortismanAzalanCarpan*$F813,1))^MAX(0,$H813-1)*MIN(2*AmortismanAzalanCarpan*$F813,1),MIN($D813*$F813,$D813)),0))</f>
        <v/>
      </c>
      <c r="L813" s="122">
        <f>IF($D813="",0,$G813-$J813)</f>
        <v/>
      </c>
      <c r="M813" s="122">
        <f>IF($B813="","",CONCATENATE("Kıymet: ",$B813," | NDD: ",TEXT($J813,"#,##0")))</f>
        <v/>
      </c>
    </row>
    <row r="814" ht="15" customHeight="1" s="77">
      <c r="A814" s="123" t="n"/>
      <c r="B814" s="123" t="n"/>
      <c r="C814" s="124" t="n"/>
      <c r="D814" s="125" t="n"/>
      <c r="E814" s="123" t="n"/>
      <c r="F814" s="126" t="n"/>
      <c r="G814" s="125" t="n"/>
      <c r="H814" s="122">
        <f>IF($D814="",0,MAX(0,ROUNDDOWN((AmortismanRaporTarihi-$C814)/365,0)))</f>
        <v/>
      </c>
      <c r="I814" s="122">
        <f>IF($D814="",0,IFERROR(IF($E814="Azalan",MAX(0,$D814*(1-MIN(2*AmortismanAzalanCarpan*$F814,1)^$H814)),MIN($D814,$D814*$F814*$H814)),0))</f>
        <v/>
      </c>
      <c r="J814" s="122">
        <f>IF($D814="",0,MAX(0,$D814-$I814))</f>
        <v/>
      </c>
      <c r="K814" s="122">
        <f>IF($H814=0,0,IFERROR(IF($E814="Azalan",$D814*(1-MIN(2*AmortismanAzalanCarpan*$F814,1))^MAX(0,$H814-1)*MIN(2*AmortismanAzalanCarpan*$F814,1),MIN($D814*$F814,$D814)),0))</f>
        <v/>
      </c>
      <c r="L814" s="122">
        <f>IF($D814="",0,$G814-$J814)</f>
        <v/>
      </c>
      <c r="M814" s="122">
        <f>IF($B814="","",CONCATENATE("Kıymet: ",$B814," | NDD: ",TEXT($J814,"#,##0")))</f>
        <v/>
      </c>
    </row>
    <row r="815" ht="15" customHeight="1" s="77">
      <c r="A815" s="123" t="n"/>
      <c r="B815" s="123" t="n"/>
      <c r="C815" s="124" t="n"/>
      <c r="D815" s="125" t="n"/>
      <c r="E815" s="123" t="n"/>
      <c r="F815" s="126" t="n"/>
      <c r="G815" s="125" t="n"/>
      <c r="H815" s="122">
        <f>IF($D815="",0,MAX(0,ROUNDDOWN((AmortismanRaporTarihi-$C815)/365,0)))</f>
        <v/>
      </c>
      <c r="I815" s="122">
        <f>IF($D815="",0,IFERROR(IF($E815="Azalan",MAX(0,$D815*(1-MIN(2*AmortismanAzalanCarpan*$F815,1)^$H815)),MIN($D815,$D815*$F815*$H815)),0))</f>
        <v/>
      </c>
      <c r="J815" s="122">
        <f>IF($D815="",0,MAX(0,$D815-$I815))</f>
        <v/>
      </c>
      <c r="K815" s="122">
        <f>IF($H815=0,0,IFERROR(IF($E815="Azalan",$D815*(1-MIN(2*AmortismanAzalanCarpan*$F815,1))^MAX(0,$H815-1)*MIN(2*AmortismanAzalanCarpan*$F815,1),MIN($D815*$F815,$D815)),0))</f>
        <v/>
      </c>
      <c r="L815" s="122">
        <f>IF($D815="",0,$G815-$J815)</f>
        <v/>
      </c>
      <c r="M815" s="122">
        <f>IF($B815="","",CONCATENATE("Kıymet: ",$B815," | NDD: ",TEXT($J815,"#,##0")))</f>
        <v/>
      </c>
    </row>
    <row r="816" ht="15" customHeight="1" s="77">
      <c r="A816" s="123" t="n"/>
      <c r="B816" s="123" t="n"/>
      <c r="C816" s="124" t="n"/>
      <c r="D816" s="125" t="n"/>
      <c r="E816" s="123" t="n"/>
      <c r="F816" s="126" t="n"/>
      <c r="G816" s="125" t="n"/>
      <c r="H816" s="122">
        <f>IF($D816="",0,MAX(0,ROUNDDOWN((AmortismanRaporTarihi-$C816)/365,0)))</f>
        <v/>
      </c>
      <c r="I816" s="122">
        <f>IF($D816="",0,IFERROR(IF($E816="Azalan",MAX(0,$D816*(1-MIN(2*AmortismanAzalanCarpan*$F816,1)^$H816)),MIN($D816,$D816*$F816*$H816)),0))</f>
        <v/>
      </c>
      <c r="J816" s="122">
        <f>IF($D816="",0,MAX(0,$D816-$I816))</f>
        <v/>
      </c>
      <c r="K816" s="122">
        <f>IF($H816=0,0,IFERROR(IF($E816="Azalan",$D816*(1-MIN(2*AmortismanAzalanCarpan*$F816,1))^MAX(0,$H816-1)*MIN(2*AmortismanAzalanCarpan*$F816,1),MIN($D816*$F816,$D816)),0))</f>
        <v/>
      </c>
      <c r="L816" s="122">
        <f>IF($D816="",0,$G816-$J816)</f>
        <v/>
      </c>
      <c r="M816" s="122">
        <f>IF($B816="","",CONCATENATE("Kıymet: ",$B816," | NDD: ",TEXT($J816,"#,##0")))</f>
        <v/>
      </c>
    </row>
    <row r="817" ht="15" customHeight="1" s="77">
      <c r="A817" s="123" t="n"/>
      <c r="B817" s="123" t="n"/>
      <c r="C817" s="124" t="n"/>
      <c r="D817" s="125" t="n"/>
      <c r="E817" s="123" t="n"/>
      <c r="F817" s="126" t="n"/>
      <c r="G817" s="125" t="n"/>
      <c r="H817" s="122">
        <f>IF($D817="",0,MAX(0,ROUNDDOWN((AmortismanRaporTarihi-$C817)/365,0)))</f>
        <v/>
      </c>
      <c r="I817" s="122">
        <f>IF($D817="",0,IFERROR(IF($E817="Azalan",MAX(0,$D817*(1-MIN(2*AmortismanAzalanCarpan*$F817,1)^$H817)),MIN($D817,$D817*$F817*$H817)),0))</f>
        <v/>
      </c>
      <c r="J817" s="122">
        <f>IF($D817="",0,MAX(0,$D817-$I817))</f>
        <v/>
      </c>
      <c r="K817" s="122">
        <f>IF($H817=0,0,IFERROR(IF($E817="Azalan",$D817*(1-MIN(2*AmortismanAzalanCarpan*$F817,1))^MAX(0,$H817-1)*MIN(2*AmortismanAzalanCarpan*$F817,1),MIN($D817*$F817,$D817)),0))</f>
        <v/>
      </c>
      <c r="L817" s="122">
        <f>IF($D817="",0,$G817-$J817)</f>
        <v/>
      </c>
      <c r="M817" s="122">
        <f>IF($B817="","",CONCATENATE("Kıymet: ",$B817," | NDD: ",TEXT($J817,"#,##0")))</f>
        <v/>
      </c>
    </row>
    <row r="818" ht="15" customHeight="1" s="77">
      <c r="A818" s="123" t="n"/>
      <c r="B818" s="123" t="n"/>
      <c r="C818" s="124" t="n"/>
      <c r="D818" s="125" t="n"/>
      <c r="E818" s="123" t="n"/>
      <c r="F818" s="126" t="n"/>
      <c r="G818" s="125" t="n"/>
      <c r="H818" s="122">
        <f>IF($D818="",0,MAX(0,ROUNDDOWN((AmortismanRaporTarihi-$C818)/365,0)))</f>
        <v/>
      </c>
      <c r="I818" s="122">
        <f>IF($D818="",0,IFERROR(IF($E818="Azalan",MAX(0,$D818*(1-MIN(2*AmortismanAzalanCarpan*$F818,1)^$H818)),MIN($D818,$D818*$F818*$H818)),0))</f>
        <v/>
      </c>
      <c r="J818" s="122">
        <f>IF($D818="",0,MAX(0,$D818-$I818))</f>
        <v/>
      </c>
      <c r="K818" s="122">
        <f>IF($H818=0,0,IFERROR(IF($E818="Azalan",$D818*(1-MIN(2*AmortismanAzalanCarpan*$F818,1))^MAX(0,$H818-1)*MIN(2*AmortismanAzalanCarpan*$F818,1),MIN($D818*$F818,$D818)),0))</f>
        <v/>
      </c>
      <c r="L818" s="122">
        <f>IF($D818="",0,$G818-$J818)</f>
        <v/>
      </c>
      <c r="M818" s="122">
        <f>IF($B818="","",CONCATENATE("Kıymet: ",$B818," | NDD: ",TEXT($J818,"#,##0")))</f>
        <v/>
      </c>
    </row>
    <row r="819" ht="15" customHeight="1" s="77">
      <c r="A819" s="123" t="n"/>
      <c r="B819" s="123" t="n"/>
      <c r="C819" s="124" t="n"/>
      <c r="D819" s="125" t="n"/>
      <c r="E819" s="123" t="n"/>
      <c r="F819" s="126" t="n"/>
      <c r="G819" s="125" t="n"/>
      <c r="H819" s="122">
        <f>IF($D819="",0,MAX(0,ROUNDDOWN((AmortismanRaporTarihi-$C819)/365,0)))</f>
        <v/>
      </c>
      <c r="I819" s="122">
        <f>IF($D819="",0,IFERROR(IF($E819="Azalan",MAX(0,$D819*(1-MIN(2*AmortismanAzalanCarpan*$F819,1)^$H819)),MIN($D819,$D819*$F819*$H819)),0))</f>
        <v/>
      </c>
      <c r="J819" s="122">
        <f>IF($D819="",0,MAX(0,$D819-$I819))</f>
        <v/>
      </c>
      <c r="K819" s="122">
        <f>IF($H819=0,0,IFERROR(IF($E819="Azalan",$D819*(1-MIN(2*AmortismanAzalanCarpan*$F819,1))^MAX(0,$H819-1)*MIN(2*AmortismanAzalanCarpan*$F819,1),MIN($D819*$F819,$D819)),0))</f>
        <v/>
      </c>
      <c r="L819" s="122">
        <f>IF($D819="",0,$G819-$J819)</f>
        <v/>
      </c>
      <c r="M819" s="122">
        <f>IF($B819="","",CONCATENATE("Kıymet: ",$B819," | NDD: ",TEXT($J819,"#,##0")))</f>
        <v/>
      </c>
    </row>
    <row r="820" ht="15" customHeight="1" s="77">
      <c r="A820" s="123" t="n"/>
      <c r="B820" s="123" t="n"/>
      <c r="C820" s="124" t="n"/>
      <c r="D820" s="125" t="n"/>
      <c r="E820" s="123" t="n"/>
      <c r="F820" s="126" t="n"/>
      <c r="G820" s="125" t="n"/>
      <c r="H820" s="122">
        <f>IF($D820="",0,MAX(0,ROUNDDOWN((AmortismanRaporTarihi-$C820)/365,0)))</f>
        <v/>
      </c>
      <c r="I820" s="122">
        <f>IF($D820="",0,IFERROR(IF($E820="Azalan",MAX(0,$D820*(1-MIN(2*AmortismanAzalanCarpan*$F820,1)^$H820)),MIN($D820,$D820*$F820*$H820)),0))</f>
        <v/>
      </c>
      <c r="J820" s="122">
        <f>IF($D820="",0,MAX(0,$D820-$I820))</f>
        <v/>
      </c>
      <c r="K820" s="122">
        <f>IF($H820=0,0,IFERROR(IF($E820="Azalan",$D820*(1-MIN(2*AmortismanAzalanCarpan*$F820,1))^MAX(0,$H820-1)*MIN(2*AmortismanAzalanCarpan*$F820,1),MIN($D820*$F820,$D820)),0))</f>
        <v/>
      </c>
      <c r="L820" s="122">
        <f>IF($D820="",0,$G820-$J820)</f>
        <v/>
      </c>
      <c r="M820" s="122">
        <f>IF($B820="","",CONCATENATE("Kıymet: ",$B820," | NDD: ",TEXT($J820,"#,##0")))</f>
        <v/>
      </c>
    </row>
    <row r="821" ht="15" customHeight="1" s="77">
      <c r="A821" s="123" t="n"/>
      <c r="B821" s="123" t="n"/>
      <c r="C821" s="124" t="n"/>
      <c r="D821" s="125" t="n"/>
      <c r="E821" s="123" t="n"/>
      <c r="F821" s="126" t="n"/>
      <c r="G821" s="125" t="n"/>
      <c r="H821" s="122">
        <f>IF($D821="",0,MAX(0,ROUNDDOWN((AmortismanRaporTarihi-$C821)/365,0)))</f>
        <v/>
      </c>
      <c r="I821" s="122">
        <f>IF($D821="",0,IFERROR(IF($E821="Azalan",MAX(0,$D821*(1-MIN(2*AmortismanAzalanCarpan*$F821,1)^$H821)),MIN($D821,$D821*$F821*$H821)),0))</f>
        <v/>
      </c>
      <c r="J821" s="122">
        <f>IF($D821="",0,MAX(0,$D821-$I821))</f>
        <v/>
      </c>
      <c r="K821" s="122">
        <f>IF($H821=0,0,IFERROR(IF($E821="Azalan",$D821*(1-MIN(2*AmortismanAzalanCarpan*$F821,1))^MAX(0,$H821-1)*MIN(2*AmortismanAzalanCarpan*$F821,1),MIN($D821*$F821,$D821)),0))</f>
        <v/>
      </c>
      <c r="L821" s="122">
        <f>IF($D821="",0,$G821-$J821)</f>
        <v/>
      </c>
      <c r="M821" s="122">
        <f>IF($B821="","",CONCATENATE("Kıymet: ",$B821," | NDD: ",TEXT($J821,"#,##0")))</f>
        <v/>
      </c>
    </row>
    <row r="822" ht="15" customHeight="1" s="77">
      <c r="A822" s="123" t="n"/>
      <c r="B822" s="123" t="n"/>
      <c r="C822" s="124" t="n"/>
      <c r="D822" s="125" t="n"/>
      <c r="E822" s="123" t="n"/>
      <c r="F822" s="126" t="n"/>
      <c r="G822" s="125" t="n"/>
      <c r="H822" s="122">
        <f>IF($D822="",0,MAX(0,ROUNDDOWN((AmortismanRaporTarihi-$C822)/365,0)))</f>
        <v/>
      </c>
      <c r="I822" s="122">
        <f>IF($D822="",0,IFERROR(IF($E822="Azalan",MAX(0,$D822*(1-MIN(2*AmortismanAzalanCarpan*$F822,1)^$H822)),MIN($D822,$D822*$F822*$H822)),0))</f>
        <v/>
      </c>
      <c r="J822" s="122">
        <f>IF($D822="",0,MAX(0,$D822-$I822))</f>
        <v/>
      </c>
      <c r="K822" s="122">
        <f>IF($H822=0,0,IFERROR(IF($E822="Azalan",$D822*(1-MIN(2*AmortismanAzalanCarpan*$F822,1))^MAX(0,$H822-1)*MIN(2*AmortismanAzalanCarpan*$F822,1),MIN($D822*$F822,$D822)),0))</f>
        <v/>
      </c>
      <c r="L822" s="122">
        <f>IF($D822="",0,$G822-$J822)</f>
        <v/>
      </c>
      <c r="M822" s="122">
        <f>IF($B822="","",CONCATENATE("Kıymet: ",$B822," | NDD: ",TEXT($J822,"#,##0")))</f>
        <v/>
      </c>
    </row>
    <row r="823" ht="15" customHeight="1" s="77">
      <c r="A823" s="123" t="n"/>
      <c r="B823" s="123" t="n"/>
      <c r="C823" s="124" t="n"/>
      <c r="D823" s="125" t="n"/>
      <c r="E823" s="123" t="n"/>
      <c r="F823" s="126" t="n"/>
      <c r="G823" s="125" t="n"/>
      <c r="H823" s="122">
        <f>IF($D823="",0,MAX(0,ROUNDDOWN((AmortismanRaporTarihi-$C823)/365,0)))</f>
        <v/>
      </c>
      <c r="I823" s="122">
        <f>IF($D823="",0,IFERROR(IF($E823="Azalan",MAX(0,$D823*(1-MIN(2*AmortismanAzalanCarpan*$F823,1)^$H823)),MIN($D823,$D823*$F823*$H823)),0))</f>
        <v/>
      </c>
      <c r="J823" s="122">
        <f>IF($D823="",0,MAX(0,$D823-$I823))</f>
        <v/>
      </c>
      <c r="K823" s="122">
        <f>IF($H823=0,0,IFERROR(IF($E823="Azalan",$D823*(1-MIN(2*AmortismanAzalanCarpan*$F823,1))^MAX(0,$H823-1)*MIN(2*AmortismanAzalanCarpan*$F823,1),MIN($D823*$F823,$D823)),0))</f>
        <v/>
      </c>
      <c r="L823" s="122">
        <f>IF($D823="",0,$G823-$J823)</f>
        <v/>
      </c>
      <c r="M823" s="122">
        <f>IF($B823="","",CONCATENATE("Kıymet: ",$B823," | NDD: ",TEXT($J823,"#,##0")))</f>
        <v/>
      </c>
    </row>
    <row r="824" ht="15" customHeight="1" s="77">
      <c r="A824" s="123" t="n"/>
      <c r="B824" s="123" t="n"/>
      <c r="C824" s="124" t="n"/>
      <c r="D824" s="125" t="n"/>
      <c r="E824" s="123" t="n"/>
      <c r="F824" s="126" t="n"/>
      <c r="G824" s="125" t="n"/>
      <c r="H824" s="122">
        <f>IF($D824="",0,MAX(0,ROUNDDOWN((AmortismanRaporTarihi-$C824)/365,0)))</f>
        <v/>
      </c>
      <c r="I824" s="122">
        <f>IF($D824="",0,IFERROR(IF($E824="Azalan",MAX(0,$D824*(1-MIN(2*AmortismanAzalanCarpan*$F824,1)^$H824)),MIN($D824,$D824*$F824*$H824)),0))</f>
        <v/>
      </c>
      <c r="J824" s="122">
        <f>IF($D824="",0,MAX(0,$D824-$I824))</f>
        <v/>
      </c>
      <c r="K824" s="122">
        <f>IF($H824=0,0,IFERROR(IF($E824="Azalan",$D824*(1-MIN(2*AmortismanAzalanCarpan*$F824,1))^MAX(0,$H824-1)*MIN(2*AmortismanAzalanCarpan*$F824,1),MIN($D824*$F824,$D824)),0))</f>
        <v/>
      </c>
      <c r="L824" s="122">
        <f>IF($D824="",0,$G824-$J824)</f>
        <v/>
      </c>
      <c r="M824" s="122">
        <f>IF($B824="","",CONCATENATE("Kıymet: ",$B824," | NDD: ",TEXT($J824,"#,##0")))</f>
        <v/>
      </c>
    </row>
    <row r="825" ht="15" customHeight="1" s="77">
      <c r="A825" s="123" t="n"/>
      <c r="B825" s="123" t="n"/>
      <c r="C825" s="124" t="n"/>
      <c r="D825" s="125" t="n"/>
      <c r="E825" s="123" t="n"/>
      <c r="F825" s="126" t="n"/>
      <c r="G825" s="125" t="n"/>
      <c r="H825" s="122">
        <f>IF($D825="",0,MAX(0,ROUNDDOWN((AmortismanRaporTarihi-$C825)/365,0)))</f>
        <v/>
      </c>
      <c r="I825" s="122">
        <f>IF($D825="",0,IFERROR(IF($E825="Azalan",MAX(0,$D825*(1-MIN(2*AmortismanAzalanCarpan*$F825,1)^$H825)),MIN($D825,$D825*$F825*$H825)),0))</f>
        <v/>
      </c>
      <c r="J825" s="122">
        <f>IF($D825="",0,MAX(0,$D825-$I825))</f>
        <v/>
      </c>
      <c r="K825" s="122">
        <f>IF($H825=0,0,IFERROR(IF($E825="Azalan",$D825*(1-MIN(2*AmortismanAzalanCarpan*$F825,1))^MAX(0,$H825-1)*MIN(2*AmortismanAzalanCarpan*$F825,1),MIN($D825*$F825,$D825)),0))</f>
        <v/>
      </c>
      <c r="L825" s="122">
        <f>IF($D825="",0,$G825-$J825)</f>
        <v/>
      </c>
      <c r="M825" s="122">
        <f>IF($B825="","",CONCATENATE("Kıymet: ",$B825," | NDD: ",TEXT($J825,"#,##0")))</f>
        <v/>
      </c>
    </row>
    <row r="826" ht="15" customHeight="1" s="77">
      <c r="A826" s="123" t="n"/>
      <c r="B826" s="123" t="n"/>
      <c r="C826" s="124" t="n"/>
      <c r="D826" s="125" t="n"/>
      <c r="E826" s="123" t="n"/>
      <c r="F826" s="126" t="n"/>
      <c r="G826" s="125" t="n"/>
      <c r="H826" s="122">
        <f>IF($D826="",0,MAX(0,ROUNDDOWN((AmortismanRaporTarihi-$C826)/365,0)))</f>
        <v/>
      </c>
      <c r="I826" s="122">
        <f>IF($D826="",0,IFERROR(IF($E826="Azalan",MAX(0,$D826*(1-MIN(2*AmortismanAzalanCarpan*$F826,1)^$H826)),MIN($D826,$D826*$F826*$H826)),0))</f>
        <v/>
      </c>
      <c r="J826" s="122">
        <f>IF($D826="",0,MAX(0,$D826-$I826))</f>
        <v/>
      </c>
      <c r="K826" s="122">
        <f>IF($H826=0,0,IFERROR(IF($E826="Azalan",$D826*(1-MIN(2*AmortismanAzalanCarpan*$F826,1))^MAX(0,$H826-1)*MIN(2*AmortismanAzalanCarpan*$F826,1),MIN($D826*$F826,$D826)),0))</f>
        <v/>
      </c>
      <c r="L826" s="122">
        <f>IF($D826="",0,$G826-$J826)</f>
        <v/>
      </c>
      <c r="M826" s="122">
        <f>IF($B826="","",CONCATENATE("Kıymet: ",$B826," | NDD: ",TEXT($J826,"#,##0")))</f>
        <v/>
      </c>
    </row>
    <row r="827" ht="15" customHeight="1" s="77">
      <c r="A827" s="123" t="n"/>
      <c r="B827" s="123" t="n"/>
      <c r="C827" s="124" t="n"/>
      <c r="D827" s="125" t="n"/>
      <c r="E827" s="123" t="n"/>
      <c r="F827" s="126" t="n"/>
      <c r="G827" s="125" t="n"/>
      <c r="H827" s="122">
        <f>IF($D827="",0,MAX(0,ROUNDDOWN((AmortismanRaporTarihi-$C827)/365,0)))</f>
        <v/>
      </c>
      <c r="I827" s="122">
        <f>IF($D827="",0,IFERROR(IF($E827="Azalan",MAX(0,$D827*(1-MIN(2*AmortismanAzalanCarpan*$F827,1)^$H827)),MIN($D827,$D827*$F827*$H827)),0))</f>
        <v/>
      </c>
      <c r="J827" s="122">
        <f>IF($D827="",0,MAX(0,$D827-$I827))</f>
        <v/>
      </c>
      <c r="K827" s="122">
        <f>IF($H827=0,0,IFERROR(IF($E827="Azalan",$D827*(1-MIN(2*AmortismanAzalanCarpan*$F827,1))^MAX(0,$H827-1)*MIN(2*AmortismanAzalanCarpan*$F827,1),MIN($D827*$F827,$D827)),0))</f>
        <v/>
      </c>
      <c r="L827" s="122">
        <f>IF($D827="",0,$G827-$J827)</f>
        <v/>
      </c>
      <c r="M827" s="122">
        <f>IF($B827="","",CONCATENATE("Kıymet: ",$B827," | NDD: ",TEXT($J827,"#,##0")))</f>
        <v/>
      </c>
    </row>
    <row r="828" ht="15" customHeight="1" s="77">
      <c r="A828" s="123" t="n"/>
      <c r="B828" s="123" t="n"/>
      <c r="C828" s="124" t="n"/>
      <c r="D828" s="125" t="n"/>
      <c r="E828" s="123" t="n"/>
      <c r="F828" s="126" t="n"/>
      <c r="G828" s="125" t="n"/>
      <c r="H828" s="122">
        <f>IF($D828="",0,MAX(0,ROUNDDOWN((AmortismanRaporTarihi-$C828)/365,0)))</f>
        <v/>
      </c>
      <c r="I828" s="122">
        <f>IF($D828="",0,IFERROR(IF($E828="Azalan",MAX(0,$D828*(1-MIN(2*AmortismanAzalanCarpan*$F828,1)^$H828)),MIN($D828,$D828*$F828*$H828)),0))</f>
        <v/>
      </c>
      <c r="J828" s="122">
        <f>IF($D828="",0,MAX(0,$D828-$I828))</f>
        <v/>
      </c>
      <c r="K828" s="122">
        <f>IF($H828=0,0,IFERROR(IF($E828="Azalan",$D828*(1-MIN(2*AmortismanAzalanCarpan*$F828,1))^MAX(0,$H828-1)*MIN(2*AmortismanAzalanCarpan*$F828,1),MIN($D828*$F828,$D828)),0))</f>
        <v/>
      </c>
      <c r="L828" s="122">
        <f>IF($D828="",0,$G828-$J828)</f>
        <v/>
      </c>
      <c r="M828" s="122">
        <f>IF($B828="","",CONCATENATE("Kıymet: ",$B828," | NDD: ",TEXT($J828,"#,##0")))</f>
        <v/>
      </c>
    </row>
    <row r="829" ht="15" customHeight="1" s="77">
      <c r="A829" s="123" t="n"/>
      <c r="B829" s="123" t="n"/>
      <c r="C829" s="124" t="n"/>
      <c r="D829" s="125" t="n"/>
      <c r="E829" s="123" t="n"/>
      <c r="F829" s="126" t="n"/>
      <c r="G829" s="125" t="n"/>
      <c r="H829" s="122">
        <f>IF($D829="",0,MAX(0,ROUNDDOWN((AmortismanRaporTarihi-$C829)/365,0)))</f>
        <v/>
      </c>
      <c r="I829" s="122">
        <f>IF($D829="",0,IFERROR(IF($E829="Azalan",MAX(0,$D829*(1-MIN(2*AmortismanAzalanCarpan*$F829,1)^$H829)),MIN($D829,$D829*$F829*$H829)),0))</f>
        <v/>
      </c>
      <c r="J829" s="122">
        <f>IF($D829="",0,MAX(0,$D829-$I829))</f>
        <v/>
      </c>
      <c r="K829" s="122">
        <f>IF($H829=0,0,IFERROR(IF($E829="Azalan",$D829*(1-MIN(2*AmortismanAzalanCarpan*$F829,1))^MAX(0,$H829-1)*MIN(2*AmortismanAzalanCarpan*$F829,1),MIN($D829*$F829,$D829)),0))</f>
        <v/>
      </c>
      <c r="L829" s="122">
        <f>IF($D829="",0,$G829-$J829)</f>
        <v/>
      </c>
      <c r="M829" s="122">
        <f>IF($B829="","",CONCATENATE("Kıymet: ",$B829," | NDD: ",TEXT($J829,"#,##0")))</f>
        <v/>
      </c>
    </row>
    <row r="830" ht="15" customHeight="1" s="77">
      <c r="A830" s="123" t="n"/>
      <c r="B830" s="123" t="n"/>
      <c r="C830" s="124" t="n"/>
      <c r="D830" s="125" t="n"/>
      <c r="E830" s="123" t="n"/>
      <c r="F830" s="126" t="n"/>
      <c r="G830" s="125" t="n"/>
      <c r="H830" s="122">
        <f>IF($D830="",0,MAX(0,ROUNDDOWN((AmortismanRaporTarihi-$C830)/365,0)))</f>
        <v/>
      </c>
      <c r="I830" s="122">
        <f>IF($D830="",0,IFERROR(IF($E830="Azalan",MAX(0,$D830*(1-MIN(2*AmortismanAzalanCarpan*$F830,1)^$H830)),MIN($D830,$D830*$F830*$H830)),0))</f>
        <v/>
      </c>
      <c r="J830" s="122">
        <f>IF($D830="",0,MAX(0,$D830-$I830))</f>
        <v/>
      </c>
      <c r="K830" s="122">
        <f>IF($H830=0,0,IFERROR(IF($E830="Azalan",$D830*(1-MIN(2*AmortismanAzalanCarpan*$F830,1))^MAX(0,$H830-1)*MIN(2*AmortismanAzalanCarpan*$F830,1),MIN($D830*$F830,$D830)),0))</f>
        <v/>
      </c>
      <c r="L830" s="122">
        <f>IF($D830="",0,$G830-$J830)</f>
        <v/>
      </c>
      <c r="M830" s="122">
        <f>IF($B830="","",CONCATENATE("Kıymet: ",$B830," | NDD: ",TEXT($J830,"#,##0")))</f>
        <v/>
      </c>
    </row>
    <row r="831" ht="15" customHeight="1" s="77">
      <c r="A831" s="123" t="n"/>
      <c r="B831" s="123" t="n"/>
      <c r="C831" s="124" t="n"/>
      <c r="D831" s="125" t="n"/>
      <c r="E831" s="123" t="n"/>
      <c r="F831" s="126" t="n"/>
      <c r="G831" s="125" t="n"/>
      <c r="H831" s="122">
        <f>IF($D831="",0,MAX(0,ROUNDDOWN((AmortismanRaporTarihi-$C831)/365,0)))</f>
        <v/>
      </c>
      <c r="I831" s="122">
        <f>IF($D831="",0,IFERROR(IF($E831="Azalan",MAX(0,$D831*(1-MIN(2*AmortismanAzalanCarpan*$F831,1)^$H831)),MIN($D831,$D831*$F831*$H831)),0))</f>
        <v/>
      </c>
      <c r="J831" s="122">
        <f>IF($D831="",0,MAX(0,$D831-$I831))</f>
        <v/>
      </c>
      <c r="K831" s="122">
        <f>IF($H831=0,0,IFERROR(IF($E831="Azalan",$D831*(1-MIN(2*AmortismanAzalanCarpan*$F831,1))^MAX(0,$H831-1)*MIN(2*AmortismanAzalanCarpan*$F831,1),MIN($D831*$F831,$D831)),0))</f>
        <v/>
      </c>
      <c r="L831" s="122">
        <f>IF($D831="",0,$G831-$J831)</f>
        <v/>
      </c>
      <c r="M831" s="122">
        <f>IF($B831="","",CONCATENATE("Kıymet: ",$B831," | NDD: ",TEXT($J831,"#,##0")))</f>
        <v/>
      </c>
    </row>
    <row r="832" ht="15" customHeight="1" s="77">
      <c r="A832" s="123" t="n"/>
      <c r="B832" s="123" t="n"/>
      <c r="C832" s="124" t="n"/>
      <c r="D832" s="125" t="n"/>
      <c r="E832" s="123" t="n"/>
      <c r="F832" s="126" t="n"/>
      <c r="G832" s="125" t="n"/>
      <c r="H832" s="122">
        <f>IF($D832="",0,MAX(0,ROUNDDOWN((AmortismanRaporTarihi-$C832)/365,0)))</f>
        <v/>
      </c>
      <c r="I832" s="122">
        <f>IF($D832="",0,IFERROR(IF($E832="Azalan",MAX(0,$D832*(1-MIN(2*AmortismanAzalanCarpan*$F832,1)^$H832)),MIN($D832,$D832*$F832*$H832)),0))</f>
        <v/>
      </c>
      <c r="J832" s="122">
        <f>IF($D832="",0,MAX(0,$D832-$I832))</f>
        <v/>
      </c>
      <c r="K832" s="122">
        <f>IF($H832=0,0,IFERROR(IF($E832="Azalan",$D832*(1-MIN(2*AmortismanAzalanCarpan*$F832,1))^MAX(0,$H832-1)*MIN(2*AmortismanAzalanCarpan*$F832,1),MIN($D832*$F832,$D832)),0))</f>
        <v/>
      </c>
      <c r="L832" s="122">
        <f>IF($D832="",0,$G832-$J832)</f>
        <v/>
      </c>
      <c r="M832" s="122">
        <f>IF($B832="","",CONCATENATE("Kıymet: ",$B832," | NDD: ",TEXT($J832,"#,##0")))</f>
        <v/>
      </c>
    </row>
    <row r="833" ht="15" customHeight="1" s="77">
      <c r="A833" s="123" t="n"/>
      <c r="B833" s="123" t="n"/>
      <c r="C833" s="124" t="n"/>
      <c r="D833" s="125" t="n"/>
      <c r="E833" s="123" t="n"/>
      <c r="F833" s="126" t="n"/>
      <c r="G833" s="125" t="n"/>
      <c r="H833" s="122">
        <f>IF($D833="",0,MAX(0,ROUNDDOWN((AmortismanRaporTarihi-$C833)/365,0)))</f>
        <v/>
      </c>
      <c r="I833" s="122">
        <f>IF($D833="",0,IFERROR(IF($E833="Azalan",MAX(0,$D833*(1-MIN(2*AmortismanAzalanCarpan*$F833,1)^$H833)),MIN($D833,$D833*$F833*$H833)),0))</f>
        <v/>
      </c>
      <c r="J833" s="122">
        <f>IF($D833="",0,MAX(0,$D833-$I833))</f>
        <v/>
      </c>
      <c r="K833" s="122">
        <f>IF($H833=0,0,IFERROR(IF($E833="Azalan",$D833*(1-MIN(2*AmortismanAzalanCarpan*$F833,1))^MAX(0,$H833-1)*MIN(2*AmortismanAzalanCarpan*$F833,1),MIN($D833*$F833,$D833)),0))</f>
        <v/>
      </c>
      <c r="L833" s="122">
        <f>IF($D833="",0,$G833-$J833)</f>
        <v/>
      </c>
      <c r="M833" s="122">
        <f>IF($B833="","",CONCATENATE("Kıymet: ",$B833," | NDD: ",TEXT($J833,"#,##0")))</f>
        <v/>
      </c>
    </row>
    <row r="834" ht="15" customHeight="1" s="77">
      <c r="A834" s="123" t="n"/>
      <c r="B834" s="123" t="n"/>
      <c r="C834" s="124" t="n"/>
      <c r="D834" s="125" t="n"/>
      <c r="E834" s="123" t="n"/>
      <c r="F834" s="126" t="n"/>
      <c r="G834" s="125" t="n"/>
      <c r="H834" s="122">
        <f>IF($D834="",0,MAX(0,ROUNDDOWN((AmortismanRaporTarihi-$C834)/365,0)))</f>
        <v/>
      </c>
      <c r="I834" s="122">
        <f>IF($D834="",0,IFERROR(IF($E834="Azalan",MAX(0,$D834*(1-MIN(2*AmortismanAzalanCarpan*$F834,1)^$H834)),MIN($D834,$D834*$F834*$H834)),0))</f>
        <v/>
      </c>
      <c r="J834" s="122">
        <f>IF($D834="",0,MAX(0,$D834-$I834))</f>
        <v/>
      </c>
      <c r="K834" s="122">
        <f>IF($H834=0,0,IFERROR(IF($E834="Azalan",$D834*(1-MIN(2*AmortismanAzalanCarpan*$F834,1))^MAX(0,$H834-1)*MIN(2*AmortismanAzalanCarpan*$F834,1),MIN($D834*$F834,$D834)),0))</f>
        <v/>
      </c>
      <c r="L834" s="122">
        <f>IF($D834="",0,$G834-$J834)</f>
        <v/>
      </c>
      <c r="M834" s="122">
        <f>IF($B834="","",CONCATENATE("Kıymet: ",$B834," | NDD: ",TEXT($J834,"#,##0")))</f>
        <v/>
      </c>
    </row>
    <row r="835" ht="15" customHeight="1" s="77">
      <c r="A835" s="123" t="n"/>
      <c r="B835" s="123" t="n"/>
      <c r="C835" s="124" t="n"/>
      <c r="D835" s="125" t="n"/>
      <c r="E835" s="123" t="n"/>
      <c r="F835" s="126" t="n"/>
      <c r="G835" s="125" t="n"/>
      <c r="H835" s="122">
        <f>IF($D835="",0,MAX(0,ROUNDDOWN((AmortismanRaporTarihi-$C835)/365,0)))</f>
        <v/>
      </c>
      <c r="I835" s="122">
        <f>IF($D835="",0,IFERROR(IF($E835="Azalan",MAX(0,$D835*(1-MIN(2*AmortismanAzalanCarpan*$F835,1)^$H835)),MIN($D835,$D835*$F835*$H835)),0))</f>
        <v/>
      </c>
      <c r="J835" s="122">
        <f>IF($D835="",0,MAX(0,$D835-$I835))</f>
        <v/>
      </c>
      <c r="K835" s="122">
        <f>IF($H835=0,0,IFERROR(IF($E835="Azalan",$D835*(1-MIN(2*AmortismanAzalanCarpan*$F835,1))^MAX(0,$H835-1)*MIN(2*AmortismanAzalanCarpan*$F835,1),MIN($D835*$F835,$D835)),0))</f>
        <v/>
      </c>
      <c r="L835" s="122">
        <f>IF($D835="",0,$G835-$J835)</f>
        <v/>
      </c>
      <c r="M835" s="122">
        <f>IF($B835="","",CONCATENATE("Kıymet: ",$B835," | NDD: ",TEXT($J835,"#,##0")))</f>
        <v/>
      </c>
    </row>
    <row r="836" ht="15" customHeight="1" s="77">
      <c r="A836" s="123" t="n"/>
      <c r="B836" s="123" t="n"/>
      <c r="C836" s="124" t="n"/>
      <c r="D836" s="125" t="n"/>
      <c r="E836" s="123" t="n"/>
      <c r="F836" s="126" t="n"/>
      <c r="G836" s="125" t="n"/>
      <c r="H836" s="122">
        <f>IF($D836="",0,MAX(0,ROUNDDOWN((AmortismanRaporTarihi-$C836)/365,0)))</f>
        <v/>
      </c>
      <c r="I836" s="122">
        <f>IF($D836="",0,IFERROR(IF($E836="Azalan",MAX(0,$D836*(1-MIN(2*AmortismanAzalanCarpan*$F836,1)^$H836)),MIN($D836,$D836*$F836*$H836)),0))</f>
        <v/>
      </c>
      <c r="J836" s="122">
        <f>IF($D836="",0,MAX(0,$D836-$I836))</f>
        <v/>
      </c>
      <c r="K836" s="122">
        <f>IF($H836=0,0,IFERROR(IF($E836="Azalan",$D836*(1-MIN(2*AmortismanAzalanCarpan*$F836,1))^MAX(0,$H836-1)*MIN(2*AmortismanAzalanCarpan*$F836,1),MIN($D836*$F836,$D836)),0))</f>
        <v/>
      </c>
      <c r="L836" s="122">
        <f>IF($D836="",0,$G836-$J836)</f>
        <v/>
      </c>
      <c r="M836" s="122">
        <f>IF($B836="","",CONCATENATE("Kıymet: ",$B836," | NDD: ",TEXT($J836,"#,##0")))</f>
        <v/>
      </c>
    </row>
    <row r="837" ht="15" customHeight="1" s="77">
      <c r="A837" s="123" t="n"/>
      <c r="B837" s="123" t="n"/>
      <c r="C837" s="124" t="n"/>
      <c r="D837" s="125" t="n"/>
      <c r="E837" s="123" t="n"/>
      <c r="F837" s="126" t="n"/>
      <c r="G837" s="125" t="n"/>
      <c r="H837" s="122">
        <f>IF($D837="",0,MAX(0,ROUNDDOWN((AmortismanRaporTarihi-$C837)/365,0)))</f>
        <v/>
      </c>
      <c r="I837" s="122">
        <f>IF($D837="",0,IFERROR(IF($E837="Azalan",MAX(0,$D837*(1-MIN(2*AmortismanAzalanCarpan*$F837,1)^$H837)),MIN($D837,$D837*$F837*$H837)),0))</f>
        <v/>
      </c>
      <c r="J837" s="122">
        <f>IF($D837="",0,MAX(0,$D837-$I837))</f>
        <v/>
      </c>
      <c r="K837" s="122">
        <f>IF($H837=0,0,IFERROR(IF($E837="Azalan",$D837*(1-MIN(2*AmortismanAzalanCarpan*$F837,1))^MAX(0,$H837-1)*MIN(2*AmortismanAzalanCarpan*$F837,1),MIN($D837*$F837,$D837)),0))</f>
        <v/>
      </c>
      <c r="L837" s="122">
        <f>IF($D837="",0,$G837-$J837)</f>
        <v/>
      </c>
      <c r="M837" s="122">
        <f>IF($B837="","",CONCATENATE("Kıymet: ",$B837," | NDD: ",TEXT($J837,"#,##0")))</f>
        <v/>
      </c>
    </row>
    <row r="838" ht="15" customHeight="1" s="77">
      <c r="A838" s="123" t="n"/>
      <c r="B838" s="123" t="n"/>
      <c r="C838" s="124" t="n"/>
      <c r="D838" s="125" t="n"/>
      <c r="E838" s="123" t="n"/>
      <c r="F838" s="126" t="n"/>
      <c r="G838" s="125" t="n"/>
      <c r="H838" s="122">
        <f>IF($D838="",0,MAX(0,ROUNDDOWN((AmortismanRaporTarihi-$C838)/365,0)))</f>
        <v/>
      </c>
      <c r="I838" s="122">
        <f>IF($D838="",0,IFERROR(IF($E838="Azalan",MAX(0,$D838*(1-MIN(2*AmortismanAzalanCarpan*$F838,1)^$H838)),MIN($D838,$D838*$F838*$H838)),0))</f>
        <v/>
      </c>
      <c r="J838" s="122">
        <f>IF($D838="",0,MAX(0,$D838-$I838))</f>
        <v/>
      </c>
      <c r="K838" s="122">
        <f>IF($H838=0,0,IFERROR(IF($E838="Azalan",$D838*(1-MIN(2*AmortismanAzalanCarpan*$F838,1))^MAX(0,$H838-1)*MIN(2*AmortismanAzalanCarpan*$F838,1),MIN($D838*$F838,$D838)),0))</f>
        <v/>
      </c>
      <c r="L838" s="122">
        <f>IF($D838="",0,$G838-$J838)</f>
        <v/>
      </c>
      <c r="M838" s="122">
        <f>IF($B838="","",CONCATENATE("Kıymet: ",$B838," | NDD: ",TEXT($J838,"#,##0")))</f>
        <v/>
      </c>
    </row>
    <row r="839" ht="15" customHeight="1" s="77">
      <c r="A839" s="123" t="n"/>
      <c r="B839" s="123" t="n"/>
      <c r="C839" s="124" t="n"/>
      <c r="D839" s="125" t="n"/>
      <c r="E839" s="123" t="n"/>
      <c r="F839" s="126" t="n"/>
      <c r="G839" s="125" t="n"/>
      <c r="H839" s="122">
        <f>IF($D839="",0,MAX(0,ROUNDDOWN((AmortismanRaporTarihi-$C839)/365,0)))</f>
        <v/>
      </c>
      <c r="I839" s="122">
        <f>IF($D839="",0,IFERROR(IF($E839="Azalan",MAX(0,$D839*(1-MIN(2*AmortismanAzalanCarpan*$F839,1)^$H839)),MIN($D839,$D839*$F839*$H839)),0))</f>
        <v/>
      </c>
      <c r="J839" s="122">
        <f>IF($D839="",0,MAX(0,$D839-$I839))</f>
        <v/>
      </c>
      <c r="K839" s="122">
        <f>IF($H839=0,0,IFERROR(IF($E839="Azalan",$D839*(1-MIN(2*AmortismanAzalanCarpan*$F839,1))^MAX(0,$H839-1)*MIN(2*AmortismanAzalanCarpan*$F839,1),MIN($D839*$F839,$D839)),0))</f>
        <v/>
      </c>
      <c r="L839" s="122">
        <f>IF($D839="",0,$G839-$J839)</f>
        <v/>
      </c>
      <c r="M839" s="122">
        <f>IF($B839="","",CONCATENATE("Kıymet: ",$B839," | NDD: ",TEXT($J839,"#,##0")))</f>
        <v/>
      </c>
    </row>
    <row r="840" ht="15" customHeight="1" s="77">
      <c r="A840" s="123" t="n"/>
      <c r="B840" s="123" t="n"/>
      <c r="C840" s="124" t="n"/>
      <c r="D840" s="125" t="n"/>
      <c r="E840" s="123" t="n"/>
      <c r="F840" s="126" t="n"/>
      <c r="G840" s="125" t="n"/>
      <c r="H840" s="122">
        <f>IF($D840="",0,MAX(0,ROUNDDOWN((AmortismanRaporTarihi-$C840)/365,0)))</f>
        <v/>
      </c>
      <c r="I840" s="122">
        <f>IF($D840="",0,IFERROR(IF($E840="Azalan",MAX(0,$D840*(1-MIN(2*AmortismanAzalanCarpan*$F840,1)^$H840)),MIN($D840,$D840*$F840*$H840)),0))</f>
        <v/>
      </c>
      <c r="J840" s="122">
        <f>IF($D840="",0,MAX(0,$D840-$I840))</f>
        <v/>
      </c>
      <c r="K840" s="122">
        <f>IF($H840=0,0,IFERROR(IF($E840="Azalan",$D840*(1-MIN(2*AmortismanAzalanCarpan*$F840,1))^MAX(0,$H840-1)*MIN(2*AmortismanAzalanCarpan*$F840,1),MIN($D840*$F840,$D840)),0))</f>
        <v/>
      </c>
      <c r="L840" s="122">
        <f>IF($D840="",0,$G840-$J840)</f>
        <v/>
      </c>
      <c r="M840" s="122">
        <f>IF($B840="","",CONCATENATE("Kıymet: ",$B840," | NDD: ",TEXT($J840,"#,##0")))</f>
        <v/>
      </c>
    </row>
    <row r="841" ht="15" customHeight="1" s="77">
      <c r="A841" s="123" t="n"/>
      <c r="B841" s="123" t="n"/>
      <c r="C841" s="124" t="n"/>
      <c r="D841" s="125" t="n"/>
      <c r="E841" s="123" t="n"/>
      <c r="F841" s="126" t="n"/>
      <c r="G841" s="125" t="n"/>
      <c r="H841" s="122">
        <f>IF($D841="",0,MAX(0,ROUNDDOWN((AmortismanRaporTarihi-$C841)/365,0)))</f>
        <v/>
      </c>
      <c r="I841" s="122">
        <f>IF($D841="",0,IFERROR(IF($E841="Azalan",MAX(0,$D841*(1-MIN(2*AmortismanAzalanCarpan*$F841,1)^$H841)),MIN($D841,$D841*$F841*$H841)),0))</f>
        <v/>
      </c>
      <c r="J841" s="122">
        <f>IF($D841="",0,MAX(0,$D841-$I841))</f>
        <v/>
      </c>
      <c r="K841" s="122">
        <f>IF($H841=0,0,IFERROR(IF($E841="Azalan",$D841*(1-MIN(2*AmortismanAzalanCarpan*$F841,1))^MAX(0,$H841-1)*MIN(2*AmortismanAzalanCarpan*$F841,1),MIN($D841*$F841,$D841)),0))</f>
        <v/>
      </c>
      <c r="L841" s="122">
        <f>IF($D841="",0,$G841-$J841)</f>
        <v/>
      </c>
      <c r="M841" s="122">
        <f>IF($B841="","",CONCATENATE("Kıymet: ",$B841," | NDD: ",TEXT($J841,"#,##0")))</f>
        <v/>
      </c>
    </row>
    <row r="842" ht="15" customHeight="1" s="77">
      <c r="A842" s="123" t="n"/>
      <c r="B842" s="123" t="n"/>
      <c r="C842" s="124" t="n"/>
      <c r="D842" s="125" t="n"/>
      <c r="E842" s="123" t="n"/>
      <c r="F842" s="126" t="n"/>
      <c r="G842" s="125" t="n"/>
      <c r="H842" s="122">
        <f>IF($D842="",0,MAX(0,ROUNDDOWN((AmortismanRaporTarihi-$C842)/365,0)))</f>
        <v/>
      </c>
      <c r="I842" s="122">
        <f>IF($D842="",0,IFERROR(IF($E842="Azalan",MAX(0,$D842*(1-MIN(2*AmortismanAzalanCarpan*$F842,1)^$H842)),MIN($D842,$D842*$F842*$H842)),0))</f>
        <v/>
      </c>
      <c r="J842" s="122">
        <f>IF($D842="",0,MAX(0,$D842-$I842))</f>
        <v/>
      </c>
      <c r="K842" s="122">
        <f>IF($H842=0,0,IFERROR(IF($E842="Azalan",$D842*(1-MIN(2*AmortismanAzalanCarpan*$F842,1))^MAX(0,$H842-1)*MIN(2*AmortismanAzalanCarpan*$F842,1),MIN($D842*$F842,$D842)),0))</f>
        <v/>
      </c>
      <c r="L842" s="122">
        <f>IF($D842="",0,$G842-$J842)</f>
        <v/>
      </c>
      <c r="M842" s="122">
        <f>IF($B842="","",CONCATENATE("Kıymet: ",$B842," | NDD: ",TEXT($J842,"#,##0")))</f>
        <v/>
      </c>
    </row>
    <row r="843" ht="15" customHeight="1" s="77">
      <c r="A843" s="123" t="n"/>
      <c r="B843" s="123" t="n"/>
      <c r="C843" s="124" t="n"/>
      <c r="D843" s="125" t="n"/>
      <c r="E843" s="123" t="n"/>
      <c r="F843" s="126" t="n"/>
      <c r="G843" s="125" t="n"/>
      <c r="H843" s="122">
        <f>IF($D843="",0,MAX(0,ROUNDDOWN((AmortismanRaporTarihi-$C843)/365,0)))</f>
        <v/>
      </c>
      <c r="I843" s="122">
        <f>IF($D843="",0,IFERROR(IF($E843="Azalan",MAX(0,$D843*(1-MIN(2*AmortismanAzalanCarpan*$F843,1)^$H843)),MIN($D843,$D843*$F843*$H843)),0))</f>
        <v/>
      </c>
      <c r="J843" s="122">
        <f>IF($D843="",0,MAX(0,$D843-$I843))</f>
        <v/>
      </c>
      <c r="K843" s="122">
        <f>IF($H843=0,0,IFERROR(IF($E843="Azalan",$D843*(1-MIN(2*AmortismanAzalanCarpan*$F843,1))^MAX(0,$H843-1)*MIN(2*AmortismanAzalanCarpan*$F843,1),MIN($D843*$F843,$D843)),0))</f>
        <v/>
      </c>
      <c r="L843" s="122">
        <f>IF($D843="",0,$G843-$J843)</f>
        <v/>
      </c>
      <c r="M843" s="122">
        <f>IF($B843="","",CONCATENATE("Kıymet: ",$B843," | NDD: ",TEXT($J843,"#,##0")))</f>
        <v/>
      </c>
    </row>
    <row r="844" ht="15" customHeight="1" s="77">
      <c r="A844" s="123" t="n"/>
      <c r="B844" s="123" t="n"/>
      <c r="C844" s="124" t="n"/>
      <c r="D844" s="125" t="n"/>
      <c r="E844" s="123" t="n"/>
      <c r="F844" s="126" t="n"/>
      <c r="G844" s="125" t="n"/>
      <c r="H844" s="122">
        <f>IF($D844="",0,MAX(0,ROUNDDOWN((AmortismanRaporTarihi-$C844)/365,0)))</f>
        <v/>
      </c>
      <c r="I844" s="122">
        <f>IF($D844="",0,IFERROR(IF($E844="Azalan",MAX(0,$D844*(1-MIN(2*AmortismanAzalanCarpan*$F844,1)^$H844)),MIN($D844,$D844*$F844*$H844)),0))</f>
        <v/>
      </c>
      <c r="J844" s="122">
        <f>IF($D844="",0,MAX(0,$D844-$I844))</f>
        <v/>
      </c>
      <c r="K844" s="122">
        <f>IF($H844=0,0,IFERROR(IF($E844="Azalan",$D844*(1-MIN(2*AmortismanAzalanCarpan*$F844,1))^MAX(0,$H844-1)*MIN(2*AmortismanAzalanCarpan*$F844,1),MIN($D844*$F844,$D844)),0))</f>
        <v/>
      </c>
      <c r="L844" s="122">
        <f>IF($D844="",0,$G844-$J844)</f>
        <v/>
      </c>
      <c r="M844" s="122">
        <f>IF($B844="","",CONCATENATE("Kıymet: ",$B844," | NDD: ",TEXT($J844,"#,##0")))</f>
        <v/>
      </c>
    </row>
    <row r="845" ht="15" customHeight="1" s="77">
      <c r="A845" s="123" t="n"/>
      <c r="B845" s="123" t="n"/>
      <c r="C845" s="124" t="n"/>
      <c r="D845" s="125" t="n"/>
      <c r="E845" s="123" t="n"/>
      <c r="F845" s="126" t="n"/>
      <c r="G845" s="125" t="n"/>
      <c r="H845" s="122">
        <f>IF($D845="",0,MAX(0,ROUNDDOWN((AmortismanRaporTarihi-$C845)/365,0)))</f>
        <v/>
      </c>
      <c r="I845" s="122">
        <f>IF($D845="",0,IFERROR(IF($E845="Azalan",MAX(0,$D845*(1-MIN(2*AmortismanAzalanCarpan*$F845,1)^$H845)),MIN($D845,$D845*$F845*$H845)),0))</f>
        <v/>
      </c>
      <c r="J845" s="122">
        <f>IF($D845="",0,MAX(0,$D845-$I845))</f>
        <v/>
      </c>
      <c r="K845" s="122">
        <f>IF($H845=0,0,IFERROR(IF($E845="Azalan",$D845*(1-MIN(2*AmortismanAzalanCarpan*$F845,1))^MAX(0,$H845-1)*MIN(2*AmortismanAzalanCarpan*$F845,1),MIN($D845*$F845,$D845)),0))</f>
        <v/>
      </c>
      <c r="L845" s="122">
        <f>IF($D845="",0,$G845-$J845)</f>
        <v/>
      </c>
      <c r="M845" s="122">
        <f>IF($B845="","",CONCATENATE("Kıymet: ",$B845," | NDD: ",TEXT($J845,"#,##0")))</f>
        <v/>
      </c>
    </row>
    <row r="846" ht="15" customHeight="1" s="77">
      <c r="A846" s="123" t="n"/>
      <c r="B846" s="123" t="n"/>
      <c r="C846" s="124" t="n"/>
      <c r="D846" s="125" t="n"/>
      <c r="E846" s="123" t="n"/>
      <c r="F846" s="126" t="n"/>
      <c r="G846" s="125" t="n"/>
      <c r="H846" s="122">
        <f>IF($D846="",0,MAX(0,ROUNDDOWN((AmortismanRaporTarihi-$C846)/365,0)))</f>
        <v/>
      </c>
      <c r="I846" s="122">
        <f>IF($D846="",0,IFERROR(IF($E846="Azalan",MAX(0,$D846*(1-MIN(2*AmortismanAzalanCarpan*$F846,1)^$H846)),MIN($D846,$D846*$F846*$H846)),0))</f>
        <v/>
      </c>
      <c r="J846" s="122">
        <f>IF($D846="",0,MAX(0,$D846-$I846))</f>
        <v/>
      </c>
      <c r="K846" s="122">
        <f>IF($H846=0,0,IFERROR(IF($E846="Azalan",$D846*(1-MIN(2*AmortismanAzalanCarpan*$F846,1))^MAX(0,$H846-1)*MIN(2*AmortismanAzalanCarpan*$F846,1),MIN($D846*$F846,$D846)),0))</f>
        <v/>
      </c>
      <c r="L846" s="122">
        <f>IF($D846="",0,$G846-$J846)</f>
        <v/>
      </c>
      <c r="M846" s="122">
        <f>IF($B846="","",CONCATENATE("Kıymet: ",$B846," | NDD: ",TEXT($J846,"#,##0")))</f>
        <v/>
      </c>
    </row>
    <row r="847" ht="15" customHeight="1" s="77">
      <c r="A847" s="123" t="n"/>
      <c r="B847" s="123" t="n"/>
      <c r="C847" s="124" t="n"/>
      <c r="D847" s="125" t="n"/>
      <c r="E847" s="123" t="n"/>
      <c r="F847" s="126" t="n"/>
      <c r="G847" s="125" t="n"/>
      <c r="H847" s="122">
        <f>IF($D847="",0,MAX(0,ROUNDDOWN((AmortismanRaporTarihi-$C847)/365,0)))</f>
        <v/>
      </c>
      <c r="I847" s="122">
        <f>IF($D847="",0,IFERROR(IF($E847="Azalan",MAX(0,$D847*(1-MIN(2*AmortismanAzalanCarpan*$F847,1)^$H847)),MIN($D847,$D847*$F847*$H847)),0))</f>
        <v/>
      </c>
      <c r="J847" s="122">
        <f>IF($D847="",0,MAX(0,$D847-$I847))</f>
        <v/>
      </c>
      <c r="K847" s="122">
        <f>IF($H847=0,0,IFERROR(IF($E847="Azalan",$D847*(1-MIN(2*AmortismanAzalanCarpan*$F847,1))^MAX(0,$H847-1)*MIN(2*AmortismanAzalanCarpan*$F847,1),MIN($D847*$F847,$D847)),0))</f>
        <v/>
      </c>
      <c r="L847" s="122">
        <f>IF($D847="",0,$G847-$J847)</f>
        <v/>
      </c>
      <c r="M847" s="122">
        <f>IF($B847="","",CONCATENATE("Kıymet: ",$B847," | NDD: ",TEXT($J847,"#,##0")))</f>
        <v/>
      </c>
    </row>
    <row r="848" ht="15" customHeight="1" s="77">
      <c r="A848" s="123" t="n"/>
      <c r="B848" s="123" t="n"/>
      <c r="C848" s="124" t="n"/>
      <c r="D848" s="125" t="n"/>
      <c r="E848" s="123" t="n"/>
      <c r="F848" s="126" t="n"/>
      <c r="G848" s="125" t="n"/>
      <c r="H848" s="122">
        <f>IF($D848="",0,MAX(0,ROUNDDOWN((AmortismanRaporTarihi-$C848)/365,0)))</f>
        <v/>
      </c>
      <c r="I848" s="122">
        <f>IF($D848="",0,IFERROR(IF($E848="Azalan",MAX(0,$D848*(1-MIN(2*AmortismanAzalanCarpan*$F848,1)^$H848)),MIN($D848,$D848*$F848*$H848)),0))</f>
        <v/>
      </c>
      <c r="J848" s="122">
        <f>IF($D848="",0,MAX(0,$D848-$I848))</f>
        <v/>
      </c>
      <c r="K848" s="122">
        <f>IF($H848=0,0,IFERROR(IF($E848="Azalan",$D848*(1-MIN(2*AmortismanAzalanCarpan*$F848,1))^MAX(0,$H848-1)*MIN(2*AmortismanAzalanCarpan*$F848,1),MIN($D848*$F848,$D848)),0))</f>
        <v/>
      </c>
      <c r="L848" s="122">
        <f>IF($D848="",0,$G848-$J848)</f>
        <v/>
      </c>
      <c r="M848" s="122">
        <f>IF($B848="","",CONCATENATE("Kıymet: ",$B848," | NDD: ",TEXT($J848,"#,##0")))</f>
        <v/>
      </c>
    </row>
    <row r="849" ht="15" customHeight="1" s="77">
      <c r="A849" s="123" t="n"/>
      <c r="B849" s="123" t="n"/>
      <c r="C849" s="124" t="n"/>
      <c r="D849" s="125" t="n"/>
      <c r="E849" s="123" t="n"/>
      <c r="F849" s="126" t="n"/>
      <c r="G849" s="125" t="n"/>
      <c r="H849" s="122">
        <f>IF($D849="",0,MAX(0,ROUNDDOWN((AmortismanRaporTarihi-$C849)/365,0)))</f>
        <v/>
      </c>
      <c r="I849" s="122">
        <f>IF($D849="",0,IFERROR(IF($E849="Azalan",MAX(0,$D849*(1-MIN(2*AmortismanAzalanCarpan*$F849,1)^$H849)),MIN($D849,$D849*$F849*$H849)),0))</f>
        <v/>
      </c>
      <c r="J849" s="122">
        <f>IF($D849="",0,MAX(0,$D849-$I849))</f>
        <v/>
      </c>
      <c r="K849" s="122">
        <f>IF($H849=0,0,IFERROR(IF($E849="Azalan",$D849*(1-MIN(2*AmortismanAzalanCarpan*$F849,1))^MAX(0,$H849-1)*MIN(2*AmortismanAzalanCarpan*$F849,1),MIN($D849*$F849,$D849)),0))</f>
        <v/>
      </c>
      <c r="L849" s="122">
        <f>IF($D849="",0,$G849-$J849)</f>
        <v/>
      </c>
      <c r="M849" s="122">
        <f>IF($B849="","",CONCATENATE("Kıymet: ",$B849," | NDD: ",TEXT($J849,"#,##0")))</f>
        <v/>
      </c>
    </row>
    <row r="850" ht="15" customHeight="1" s="77">
      <c r="A850" s="123" t="n"/>
      <c r="B850" s="123" t="n"/>
      <c r="C850" s="124" t="n"/>
      <c r="D850" s="125" t="n"/>
      <c r="E850" s="123" t="n"/>
      <c r="F850" s="126" t="n"/>
      <c r="G850" s="125" t="n"/>
      <c r="H850" s="122">
        <f>IF($D850="",0,MAX(0,ROUNDDOWN((AmortismanRaporTarihi-$C850)/365,0)))</f>
        <v/>
      </c>
      <c r="I850" s="122">
        <f>IF($D850="",0,IFERROR(IF($E850="Azalan",MAX(0,$D850*(1-MIN(2*AmortismanAzalanCarpan*$F850,1)^$H850)),MIN($D850,$D850*$F850*$H850)),0))</f>
        <v/>
      </c>
      <c r="J850" s="122">
        <f>IF($D850="",0,MAX(0,$D850-$I850))</f>
        <v/>
      </c>
      <c r="K850" s="122">
        <f>IF($H850=0,0,IFERROR(IF($E850="Azalan",$D850*(1-MIN(2*AmortismanAzalanCarpan*$F850,1))^MAX(0,$H850-1)*MIN(2*AmortismanAzalanCarpan*$F850,1),MIN($D850*$F850,$D850)),0))</f>
        <v/>
      </c>
      <c r="L850" s="122">
        <f>IF($D850="",0,$G850-$J850)</f>
        <v/>
      </c>
      <c r="M850" s="122">
        <f>IF($B850="","",CONCATENATE("Kıymet: ",$B850," | NDD: ",TEXT($J850,"#,##0")))</f>
        <v/>
      </c>
    </row>
    <row r="851" ht="15" customHeight="1" s="77">
      <c r="A851" s="123" t="n"/>
      <c r="B851" s="123" t="n"/>
      <c r="C851" s="124" t="n"/>
      <c r="D851" s="125" t="n"/>
      <c r="E851" s="123" t="n"/>
      <c r="F851" s="126" t="n"/>
      <c r="G851" s="125" t="n"/>
      <c r="H851" s="122">
        <f>IF($D851="",0,MAX(0,ROUNDDOWN((AmortismanRaporTarihi-$C851)/365,0)))</f>
        <v/>
      </c>
      <c r="I851" s="122">
        <f>IF($D851="",0,IFERROR(IF($E851="Azalan",MAX(0,$D851*(1-MIN(2*AmortismanAzalanCarpan*$F851,1)^$H851)),MIN($D851,$D851*$F851*$H851)),0))</f>
        <v/>
      </c>
      <c r="J851" s="122">
        <f>IF($D851="",0,MAX(0,$D851-$I851))</f>
        <v/>
      </c>
      <c r="K851" s="122">
        <f>IF($H851=0,0,IFERROR(IF($E851="Azalan",$D851*(1-MIN(2*AmortismanAzalanCarpan*$F851,1))^MAX(0,$H851-1)*MIN(2*AmortismanAzalanCarpan*$F851,1),MIN($D851*$F851,$D851)),0))</f>
        <v/>
      </c>
      <c r="L851" s="122">
        <f>IF($D851="",0,$G851-$J851)</f>
        <v/>
      </c>
      <c r="M851" s="122">
        <f>IF($B851="","",CONCATENATE("Kıymet: ",$B851," | NDD: ",TEXT($J851,"#,##0")))</f>
        <v/>
      </c>
    </row>
    <row r="852" ht="15" customHeight="1" s="77">
      <c r="A852" s="123" t="n"/>
      <c r="B852" s="123" t="n"/>
      <c r="C852" s="124" t="n"/>
      <c r="D852" s="125" t="n"/>
      <c r="E852" s="123" t="n"/>
      <c r="F852" s="126" t="n"/>
      <c r="G852" s="125" t="n"/>
      <c r="H852" s="122">
        <f>IF($D852="",0,MAX(0,ROUNDDOWN((AmortismanRaporTarihi-$C852)/365,0)))</f>
        <v/>
      </c>
      <c r="I852" s="122">
        <f>IF($D852="",0,IFERROR(IF($E852="Azalan",MAX(0,$D852*(1-MIN(2*AmortismanAzalanCarpan*$F852,1)^$H852)),MIN($D852,$D852*$F852*$H852)),0))</f>
        <v/>
      </c>
      <c r="J852" s="122">
        <f>IF($D852="",0,MAX(0,$D852-$I852))</f>
        <v/>
      </c>
      <c r="K852" s="122">
        <f>IF($H852=0,0,IFERROR(IF($E852="Azalan",$D852*(1-MIN(2*AmortismanAzalanCarpan*$F852,1))^MAX(0,$H852-1)*MIN(2*AmortismanAzalanCarpan*$F852,1),MIN($D852*$F852,$D852)),0))</f>
        <v/>
      </c>
      <c r="L852" s="122">
        <f>IF($D852="",0,$G852-$J852)</f>
        <v/>
      </c>
      <c r="M852" s="122">
        <f>IF($B852="","",CONCATENATE("Kıymet: ",$B852," | NDD: ",TEXT($J852,"#,##0")))</f>
        <v/>
      </c>
    </row>
    <row r="853" ht="15" customHeight="1" s="77">
      <c r="A853" s="123" t="n"/>
      <c r="B853" s="123" t="n"/>
      <c r="C853" s="124" t="n"/>
      <c r="D853" s="125" t="n"/>
      <c r="E853" s="123" t="n"/>
      <c r="F853" s="126" t="n"/>
      <c r="G853" s="125" t="n"/>
      <c r="H853" s="122">
        <f>IF($D853="",0,MAX(0,ROUNDDOWN((AmortismanRaporTarihi-$C853)/365,0)))</f>
        <v/>
      </c>
      <c r="I853" s="122">
        <f>IF($D853="",0,IFERROR(IF($E853="Azalan",MAX(0,$D853*(1-MIN(2*AmortismanAzalanCarpan*$F853,1)^$H853)),MIN($D853,$D853*$F853*$H853)),0))</f>
        <v/>
      </c>
      <c r="J853" s="122">
        <f>IF($D853="",0,MAX(0,$D853-$I853))</f>
        <v/>
      </c>
      <c r="K853" s="122">
        <f>IF($H853=0,0,IFERROR(IF($E853="Azalan",$D853*(1-MIN(2*AmortismanAzalanCarpan*$F853,1))^MAX(0,$H853-1)*MIN(2*AmortismanAzalanCarpan*$F853,1),MIN($D853*$F853,$D853)),0))</f>
        <v/>
      </c>
      <c r="L853" s="122">
        <f>IF($D853="",0,$G853-$J853)</f>
        <v/>
      </c>
      <c r="M853" s="122">
        <f>IF($B853="","",CONCATENATE("Kıymet: ",$B853," | NDD: ",TEXT($J853,"#,##0")))</f>
        <v/>
      </c>
    </row>
    <row r="854" ht="15" customHeight="1" s="77">
      <c r="A854" s="123" t="n"/>
      <c r="B854" s="123" t="n"/>
      <c r="C854" s="124" t="n"/>
      <c r="D854" s="125" t="n"/>
      <c r="E854" s="123" t="n"/>
      <c r="F854" s="126" t="n"/>
      <c r="G854" s="125" t="n"/>
      <c r="H854" s="122">
        <f>IF($D854="",0,MAX(0,ROUNDDOWN((AmortismanRaporTarihi-$C854)/365,0)))</f>
        <v/>
      </c>
      <c r="I854" s="122">
        <f>IF($D854="",0,IFERROR(IF($E854="Azalan",MAX(0,$D854*(1-MIN(2*AmortismanAzalanCarpan*$F854,1)^$H854)),MIN($D854,$D854*$F854*$H854)),0))</f>
        <v/>
      </c>
      <c r="J854" s="122">
        <f>IF($D854="",0,MAX(0,$D854-$I854))</f>
        <v/>
      </c>
      <c r="K854" s="122">
        <f>IF($H854=0,0,IFERROR(IF($E854="Azalan",$D854*(1-MIN(2*AmortismanAzalanCarpan*$F854,1))^MAX(0,$H854-1)*MIN(2*AmortismanAzalanCarpan*$F854,1),MIN($D854*$F854,$D854)),0))</f>
        <v/>
      </c>
      <c r="L854" s="122">
        <f>IF($D854="",0,$G854-$J854)</f>
        <v/>
      </c>
      <c r="M854" s="122">
        <f>IF($B854="","",CONCATENATE("Kıymet: ",$B854," | NDD: ",TEXT($J854,"#,##0")))</f>
        <v/>
      </c>
    </row>
    <row r="855" ht="15" customHeight="1" s="77">
      <c r="A855" s="123" t="n"/>
      <c r="B855" s="123" t="n"/>
      <c r="C855" s="124" t="n"/>
      <c r="D855" s="125" t="n"/>
      <c r="E855" s="123" t="n"/>
      <c r="F855" s="126" t="n"/>
      <c r="G855" s="125" t="n"/>
      <c r="H855" s="122">
        <f>IF($D855="",0,MAX(0,ROUNDDOWN((AmortismanRaporTarihi-$C855)/365,0)))</f>
        <v/>
      </c>
      <c r="I855" s="122">
        <f>IF($D855="",0,IFERROR(IF($E855="Azalan",MAX(0,$D855*(1-MIN(2*AmortismanAzalanCarpan*$F855,1)^$H855)),MIN($D855,$D855*$F855*$H855)),0))</f>
        <v/>
      </c>
      <c r="J855" s="122">
        <f>IF($D855="",0,MAX(0,$D855-$I855))</f>
        <v/>
      </c>
      <c r="K855" s="122">
        <f>IF($H855=0,0,IFERROR(IF($E855="Azalan",$D855*(1-MIN(2*AmortismanAzalanCarpan*$F855,1))^MAX(0,$H855-1)*MIN(2*AmortismanAzalanCarpan*$F855,1),MIN($D855*$F855,$D855)),0))</f>
        <v/>
      </c>
      <c r="L855" s="122">
        <f>IF($D855="",0,$G855-$J855)</f>
        <v/>
      </c>
      <c r="M855" s="122">
        <f>IF($B855="","",CONCATENATE("Kıymet: ",$B855," | NDD: ",TEXT($J855,"#,##0")))</f>
        <v/>
      </c>
    </row>
    <row r="856" ht="15" customHeight="1" s="77">
      <c r="A856" s="123" t="n"/>
      <c r="B856" s="123" t="n"/>
      <c r="C856" s="124" t="n"/>
      <c r="D856" s="125" t="n"/>
      <c r="E856" s="123" t="n"/>
      <c r="F856" s="126" t="n"/>
      <c r="G856" s="125" t="n"/>
      <c r="H856" s="122">
        <f>IF($D856="",0,MAX(0,ROUNDDOWN((AmortismanRaporTarihi-$C856)/365,0)))</f>
        <v/>
      </c>
      <c r="I856" s="122">
        <f>IF($D856="",0,IFERROR(IF($E856="Azalan",MAX(0,$D856*(1-MIN(2*AmortismanAzalanCarpan*$F856,1)^$H856)),MIN($D856,$D856*$F856*$H856)),0))</f>
        <v/>
      </c>
      <c r="J856" s="122">
        <f>IF($D856="",0,MAX(0,$D856-$I856))</f>
        <v/>
      </c>
      <c r="K856" s="122">
        <f>IF($H856=0,0,IFERROR(IF($E856="Azalan",$D856*(1-MIN(2*AmortismanAzalanCarpan*$F856,1))^MAX(0,$H856-1)*MIN(2*AmortismanAzalanCarpan*$F856,1),MIN($D856*$F856,$D856)),0))</f>
        <v/>
      </c>
      <c r="L856" s="122">
        <f>IF($D856="",0,$G856-$J856)</f>
        <v/>
      </c>
      <c r="M856" s="122">
        <f>IF($B856="","",CONCATENATE("Kıymet: ",$B856," | NDD: ",TEXT($J856,"#,##0")))</f>
        <v/>
      </c>
    </row>
    <row r="857" ht="15" customHeight="1" s="77">
      <c r="A857" s="123" t="n"/>
      <c r="B857" s="123" t="n"/>
      <c r="C857" s="124" t="n"/>
      <c r="D857" s="125" t="n"/>
      <c r="E857" s="123" t="n"/>
      <c r="F857" s="126" t="n"/>
      <c r="G857" s="125" t="n"/>
      <c r="H857" s="122">
        <f>IF($D857="",0,MAX(0,ROUNDDOWN((AmortismanRaporTarihi-$C857)/365,0)))</f>
        <v/>
      </c>
      <c r="I857" s="122">
        <f>IF($D857="",0,IFERROR(IF($E857="Azalan",MAX(0,$D857*(1-MIN(2*AmortismanAzalanCarpan*$F857,1)^$H857)),MIN($D857,$D857*$F857*$H857)),0))</f>
        <v/>
      </c>
      <c r="J857" s="122">
        <f>IF($D857="",0,MAX(0,$D857-$I857))</f>
        <v/>
      </c>
      <c r="K857" s="122">
        <f>IF($H857=0,0,IFERROR(IF($E857="Azalan",$D857*(1-MIN(2*AmortismanAzalanCarpan*$F857,1))^MAX(0,$H857-1)*MIN(2*AmortismanAzalanCarpan*$F857,1),MIN($D857*$F857,$D857)),0))</f>
        <v/>
      </c>
      <c r="L857" s="122">
        <f>IF($D857="",0,$G857-$J857)</f>
        <v/>
      </c>
      <c r="M857" s="122">
        <f>IF($B857="","",CONCATENATE("Kıymet: ",$B857," | NDD: ",TEXT($J857,"#,##0")))</f>
        <v/>
      </c>
    </row>
    <row r="858" ht="15" customHeight="1" s="77">
      <c r="A858" s="123" t="n"/>
      <c r="B858" s="123" t="n"/>
      <c r="C858" s="124" t="n"/>
      <c r="D858" s="125" t="n"/>
      <c r="E858" s="123" t="n"/>
      <c r="F858" s="126" t="n"/>
      <c r="G858" s="125" t="n"/>
      <c r="H858" s="122">
        <f>IF($D858="",0,MAX(0,ROUNDDOWN((AmortismanRaporTarihi-$C858)/365,0)))</f>
        <v/>
      </c>
      <c r="I858" s="122">
        <f>IF($D858="",0,IFERROR(IF($E858="Azalan",MAX(0,$D858*(1-MIN(2*AmortismanAzalanCarpan*$F858,1)^$H858)),MIN($D858,$D858*$F858*$H858)),0))</f>
        <v/>
      </c>
      <c r="J858" s="122">
        <f>IF($D858="",0,MAX(0,$D858-$I858))</f>
        <v/>
      </c>
      <c r="K858" s="122">
        <f>IF($H858=0,0,IFERROR(IF($E858="Azalan",$D858*(1-MIN(2*AmortismanAzalanCarpan*$F858,1))^MAX(0,$H858-1)*MIN(2*AmortismanAzalanCarpan*$F858,1),MIN($D858*$F858,$D858)),0))</f>
        <v/>
      </c>
      <c r="L858" s="122">
        <f>IF($D858="",0,$G858-$J858)</f>
        <v/>
      </c>
      <c r="M858" s="122">
        <f>IF($B858="","",CONCATENATE("Kıymet: ",$B858," | NDD: ",TEXT($J858,"#,##0")))</f>
        <v/>
      </c>
    </row>
    <row r="859" ht="15" customHeight="1" s="77">
      <c r="A859" s="123" t="n"/>
      <c r="B859" s="123" t="n"/>
      <c r="C859" s="124" t="n"/>
      <c r="D859" s="125" t="n"/>
      <c r="E859" s="123" t="n"/>
      <c r="F859" s="126" t="n"/>
      <c r="G859" s="125" t="n"/>
      <c r="H859" s="122">
        <f>IF($D859="",0,MAX(0,ROUNDDOWN((AmortismanRaporTarihi-$C859)/365,0)))</f>
        <v/>
      </c>
      <c r="I859" s="122">
        <f>IF($D859="",0,IFERROR(IF($E859="Azalan",MAX(0,$D859*(1-MIN(2*AmortismanAzalanCarpan*$F859,1)^$H859)),MIN($D859,$D859*$F859*$H859)),0))</f>
        <v/>
      </c>
      <c r="J859" s="122">
        <f>IF($D859="",0,MAX(0,$D859-$I859))</f>
        <v/>
      </c>
      <c r="K859" s="122">
        <f>IF($H859=0,0,IFERROR(IF($E859="Azalan",$D859*(1-MIN(2*AmortismanAzalanCarpan*$F859,1))^MAX(0,$H859-1)*MIN(2*AmortismanAzalanCarpan*$F859,1),MIN($D859*$F859,$D859)),0))</f>
        <v/>
      </c>
      <c r="L859" s="122">
        <f>IF($D859="",0,$G859-$J859)</f>
        <v/>
      </c>
      <c r="M859" s="122">
        <f>IF($B859="","",CONCATENATE("Kıymet: ",$B859," | NDD: ",TEXT($J859,"#,##0")))</f>
        <v/>
      </c>
    </row>
    <row r="860" ht="15" customHeight="1" s="77">
      <c r="A860" s="123" t="n"/>
      <c r="B860" s="123" t="n"/>
      <c r="C860" s="124" t="n"/>
      <c r="D860" s="125" t="n"/>
      <c r="E860" s="123" t="n"/>
      <c r="F860" s="126" t="n"/>
      <c r="G860" s="125" t="n"/>
      <c r="H860" s="122">
        <f>IF($D860="",0,MAX(0,ROUNDDOWN((AmortismanRaporTarihi-$C860)/365,0)))</f>
        <v/>
      </c>
      <c r="I860" s="122">
        <f>IF($D860="",0,IFERROR(IF($E860="Azalan",MAX(0,$D860*(1-MIN(2*AmortismanAzalanCarpan*$F860,1)^$H860)),MIN($D860,$D860*$F860*$H860)),0))</f>
        <v/>
      </c>
      <c r="J860" s="122">
        <f>IF($D860="",0,MAX(0,$D860-$I860))</f>
        <v/>
      </c>
      <c r="K860" s="122">
        <f>IF($H860=0,0,IFERROR(IF($E860="Azalan",$D860*(1-MIN(2*AmortismanAzalanCarpan*$F860,1))^MAX(0,$H860-1)*MIN(2*AmortismanAzalanCarpan*$F860,1),MIN($D860*$F860,$D860)),0))</f>
        <v/>
      </c>
      <c r="L860" s="122">
        <f>IF($D860="",0,$G860-$J860)</f>
        <v/>
      </c>
      <c r="M860" s="122">
        <f>IF($B860="","",CONCATENATE("Kıymet: ",$B860," | NDD: ",TEXT($J860,"#,##0")))</f>
        <v/>
      </c>
    </row>
    <row r="861" ht="15" customHeight="1" s="77">
      <c r="A861" s="123" t="n"/>
      <c r="B861" s="123" t="n"/>
      <c r="C861" s="124" t="n"/>
      <c r="D861" s="125" t="n"/>
      <c r="E861" s="123" t="n"/>
      <c r="F861" s="126" t="n"/>
      <c r="G861" s="125" t="n"/>
      <c r="H861" s="122">
        <f>IF($D861="",0,MAX(0,ROUNDDOWN((AmortismanRaporTarihi-$C861)/365,0)))</f>
        <v/>
      </c>
      <c r="I861" s="122">
        <f>IF($D861="",0,IFERROR(IF($E861="Azalan",MAX(0,$D861*(1-MIN(2*AmortismanAzalanCarpan*$F861,1)^$H861)),MIN($D861,$D861*$F861*$H861)),0))</f>
        <v/>
      </c>
      <c r="J861" s="122">
        <f>IF($D861="",0,MAX(0,$D861-$I861))</f>
        <v/>
      </c>
      <c r="K861" s="122">
        <f>IF($H861=0,0,IFERROR(IF($E861="Azalan",$D861*(1-MIN(2*AmortismanAzalanCarpan*$F861,1))^MAX(0,$H861-1)*MIN(2*AmortismanAzalanCarpan*$F861,1),MIN($D861*$F861,$D861)),0))</f>
        <v/>
      </c>
      <c r="L861" s="122">
        <f>IF($D861="",0,$G861-$J861)</f>
        <v/>
      </c>
      <c r="M861" s="122">
        <f>IF($B861="","",CONCATENATE("Kıymet: ",$B861," | NDD: ",TEXT($J861,"#,##0")))</f>
        <v/>
      </c>
    </row>
    <row r="862" ht="15" customHeight="1" s="77">
      <c r="A862" s="123" t="n"/>
      <c r="B862" s="123" t="n"/>
      <c r="C862" s="124" t="n"/>
      <c r="D862" s="125" t="n"/>
      <c r="E862" s="123" t="n"/>
      <c r="F862" s="126" t="n"/>
      <c r="G862" s="125" t="n"/>
      <c r="H862" s="122">
        <f>IF($D862="",0,MAX(0,ROUNDDOWN((AmortismanRaporTarihi-$C862)/365,0)))</f>
        <v/>
      </c>
      <c r="I862" s="122">
        <f>IF($D862="",0,IFERROR(IF($E862="Azalan",MAX(0,$D862*(1-MIN(2*AmortismanAzalanCarpan*$F862,1)^$H862)),MIN($D862,$D862*$F862*$H862)),0))</f>
        <v/>
      </c>
      <c r="J862" s="122">
        <f>IF($D862="",0,MAX(0,$D862-$I862))</f>
        <v/>
      </c>
      <c r="K862" s="122">
        <f>IF($H862=0,0,IFERROR(IF($E862="Azalan",$D862*(1-MIN(2*AmortismanAzalanCarpan*$F862,1))^MAX(0,$H862-1)*MIN(2*AmortismanAzalanCarpan*$F862,1),MIN($D862*$F862,$D862)),0))</f>
        <v/>
      </c>
      <c r="L862" s="122">
        <f>IF($D862="",0,$G862-$J862)</f>
        <v/>
      </c>
      <c r="M862" s="122">
        <f>IF($B862="","",CONCATENATE("Kıymet: ",$B862," | NDD: ",TEXT($J862,"#,##0")))</f>
        <v/>
      </c>
    </row>
    <row r="863" ht="15" customHeight="1" s="77">
      <c r="A863" s="123" t="n"/>
      <c r="B863" s="123" t="n"/>
      <c r="C863" s="124" t="n"/>
      <c r="D863" s="125" t="n"/>
      <c r="E863" s="123" t="n"/>
      <c r="F863" s="126" t="n"/>
      <c r="G863" s="125" t="n"/>
      <c r="H863" s="122">
        <f>IF($D863="",0,MAX(0,ROUNDDOWN((AmortismanRaporTarihi-$C863)/365,0)))</f>
        <v/>
      </c>
      <c r="I863" s="122">
        <f>IF($D863="",0,IFERROR(IF($E863="Azalan",MAX(0,$D863*(1-MIN(2*AmortismanAzalanCarpan*$F863,1)^$H863)),MIN($D863,$D863*$F863*$H863)),0))</f>
        <v/>
      </c>
      <c r="J863" s="122">
        <f>IF($D863="",0,MAX(0,$D863-$I863))</f>
        <v/>
      </c>
      <c r="K863" s="122">
        <f>IF($H863=0,0,IFERROR(IF($E863="Azalan",$D863*(1-MIN(2*AmortismanAzalanCarpan*$F863,1))^MAX(0,$H863-1)*MIN(2*AmortismanAzalanCarpan*$F863,1),MIN($D863*$F863,$D863)),0))</f>
        <v/>
      </c>
      <c r="L863" s="122">
        <f>IF($D863="",0,$G863-$J863)</f>
        <v/>
      </c>
      <c r="M863" s="122">
        <f>IF($B863="","",CONCATENATE("Kıymet: ",$B863," | NDD: ",TEXT($J863,"#,##0")))</f>
        <v/>
      </c>
    </row>
    <row r="864" ht="15" customHeight="1" s="77">
      <c r="A864" s="123" t="n"/>
      <c r="B864" s="123" t="n"/>
      <c r="C864" s="124" t="n"/>
      <c r="D864" s="125" t="n"/>
      <c r="E864" s="123" t="n"/>
      <c r="F864" s="126" t="n"/>
      <c r="G864" s="125" t="n"/>
      <c r="H864" s="122">
        <f>IF($D864="",0,MAX(0,ROUNDDOWN((AmortismanRaporTarihi-$C864)/365,0)))</f>
        <v/>
      </c>
      <c r="I864" s="122">
        <f>IF($D864="",0,IFERROR(IF($E864="Azalan",MAX(0,$D864*(1-MIN(2*AmortismanAzalanCarpan*$F864,1)^$H864)),MIN($D864,$D864*$F864*$H864)),0))</f>
        <v/>
      </c>
      <c r="J864" s="122">
        <f>IF($D864="",0,MAX(0,$D864-$I864))</f>
        <v/>
      </c>
      <c r="K864" s="122">
        <f>IF($H864=0,0,IFERROR(IF($E864="Azalan",$D864*(1-MIN(2*AmortismanAzalanCarpan*$F864,1))^MAX(0,$H864-1)*MIN(2*AmortismanAzalanCarpan*$F864,1),MIN($D864*$F864,$D864)),0))</f>
        <v/>
      </c>
      <c r="L864" s="122">
        <f>IF($D864="",0,$G864-$J864)</f>
        <v/>
      </c>
      <c r="M864" s="122">
        <f>IF($B864="","",CONCATENATE("Kıymet: ",$B864," | NDD: ",TEXT($J864,"#,##0")))</f>
        <v/>
      </c>
    </row>
    <row r="865" ht="15" customHeight="1" s="77">
      <c r="A865" s="123" t="n"/>
      <c r="B865" s="123" t="n"/>
      <c r="C865" s="124" t="n"/>
      <c r="D865" s="125" t="n"/>
      <c r="E865" s="123" t="n"/>
      <c r="F865" s="126" t="n"/>
      <c r="G865" s="125" t="n"/>
      <c r="H865" s="122">
        <f>IF($D865="",0,MAX(0,ROUNDDOWN((AmortismanRaporTarihi-$C865)/365,0)))</f>
        <v/>
      </c>
      <c r="I865" s="122">
        <f>IF($D865="",0,IFERROR(IF($E865="Azalan",MAX(0,$D865*(1-MIN(2*AmortismanAzalanCarpan*$F865,1)^$H865)),MIN($D865,$D865*$F865*$H865)),0))</f>
        <v/>
      </c>
      <c r="J865" s="122">
        <f>IF($D865="",0,MAX(0,$D865-$I865))</f>
        <v/>
      </c>
      <c r="K865" s="122">
        <f>IF($H865=0,0,IFERROR(IF($E865="Azalan",$D865*(1-MIN(2*AmortismanAzalanCarpan*$F865,1))^MAX(0,$H865-1)*MIN(2*AmortismanAzalanCarpan*$F865,1),MIN($D865*$F865,$D865)),0))</f>
        <v/>
      </c>
      <c r="L865" s="122">
        <f>IF($D865="",0,$G865-$J865)</f>
        <v/>
      </c>
      <c r="M865" s="122">
        <f>IF($B865="","",CONCATENATE("Kıymet: ",$B865," | NDD: ",TEXT($J865,"#,##0")))</f>
        <v/>
      </c>
    </row>
    <row r="866" ht="15" customHeight="1" s="77">
      <c r="A866" s="123" t="n"/>
      <c r="B866" s="123" t="n"/>
      <c r="C866" s="124" t="n"/>
      <c r="D866" s="125" t="n"/>
      <c r="E866" s="123" t="n"/>
      <c r="F866" s="126" t="n"/>
      <c r="G866" s="125" t="n"/>
      <c r="H866" s="122">
        <f>IF($D866="",0,MAX(0,ROUNDDOWN((AmortismanRaporTarihi-$C866)/365,0)))</f>
        <v/>
      </c>
      <c r="I866" s="122">
        <f>IF($D866="",0,IFERROR(IF($E866="Azalan",MAX(0,$D866*(1-MIN(2*AmortismanAzalanCarpan*$F866,1)^$H866)),MIN($D866,$D866*$F866*$H866)),0))</f>
        <v/>
      </c>
      <c r="J866" s="122">
        <f>IF($D866="",0,MAX(0,$D866-$I866))</f>
        <v/>
      </c>
      <c r="K866" s="122">
        <f>IF($H866=0,0,IFERROR(IF($E866="Azalan",$D866*(1-MIN(2*AmortismanAzalanCarpan*$F866,1))^MAX(0,$H866-1)*MIN(2*AmortismanAzalanCarpan*$F866,1),MIN($D866*$F866,$D866)),0))</f>
        <v/>
      </c>
      <c r="L866" s="122">
        <f>IF($D866="",0,$G866-$J866)</f>
        <v/>
      </c>
      <c r="M866" s="122">
        <f>IF($B866="","",CONCATENATE("Kıymet: ",$B866," | NDD: ",TEXT($J866,"#,##0")))</f>
        <v/>
      </c>
    </row>
    <row r="867" ht="15" customHeight="1" s="77">
      <c r="A867" s="123" t="n"/>
      <c r="B867" s="123" t="n"/>
      <c r="C867" s="124" t="n"/>
      <c r="D867" s="125" t="n"/>
      <c r="E867" s="123" t="n"/>
      <c r="F867" s="126" t="n"/>
      <c r="G867" s="125" t="n"/>
      <c r="H867" s="122">
        <f>IF($D867="",0,MAX(0,ROUNDDOWN((AmortismanRaporTarihi-$C867)/365,0)))</f>
        <v/>
      </c>
      <c r="I867" s="122">
        <f>IF($D867="",0,IFERROR(IF($E867="Azalan",MAX(0,$D867*(1-MIN(2*AmortismanAzalanCarpan*$F867,1)^$H867)),MIN($D867,$D867*$F867*$H867)),0))</f>
        <v/>
      </c>
      <c r="J867" s="122">
        <f>IF($D867="",0,MAX(0,$D867-$I867))</f>
        <v/>
      </c>
      <c r="K867" s="122">
        <f>IF($H867=0,0,IFERROR(IF($E867="Azalan",$D867*(1-MIN(2*AmortismanAzalanCarpan*$F867,1))^MAX(0,$H867-1)*MIN(2*AmortismanAzalanCarpan*$F867,1),MIN($D867*$F867,$D867)),0))</f>
        <v/>
      </c>
      <c r="L867" s="122">
        <f>IF($D867="",0,$G867-$J867)</f>
        <v/>
      </c>
      <c r="M867" s="122">
        <f>IF($B867="","",CONCATENATE("Kıymet: ",$B867," | NDD: ",TEXT($J867,"#,##0")))</f>
        <v/>
      </c>
    </row>
    <row r="868" ht="15" customHeight="1" s="77">
      <c r="A868" s="123" t="n"/>
      <c r="B868" s="123" t="n"/>
      <c r="C868" s="124" t="n"/>
      <c r="D868" s="125" t="n"/>
      <c r="E868" s="123" t="n"/>
      <c r="F868" s="126" t="n"/>
      <c r="G868" s="125" t="n"/>
      <c r="H868" s="122">
        <f>IF($D868="",0,MAX(0,ROUNDDOWN((AmortismanRaporTarihi-$C868)/365,0)))</f>
        <v/>
      </c>
      <c r="I868" s="122">
        <f>IF($D868="",0,IFERROR(IF($E868="Azalan",MAX(0,$D868*(1-MIN(2*AmortismanAzalanCarpan*$F868,1)^$H868)),MIN($D868,$D868*$F868*$H868)),0))</f>
        <v/>
      </c>
      <c r="J868" s="122">
        <f>IF($D868="",0,MAX(0,$D868-$I868))</f>
        <v/>
      </c>
      <c r="K868" s="122">
        <f>IF($H868=0,0,IFERROR(IF($E868="Azalan",$D868*(1-MIN(2*AmortismanAzalanCarpan*$F868,1))^MAX(0,$H868-1)*MIN(2*AmortismanAzalanCarpan*$F868,1),MIN($D868*$F868,$D868)),0))</f>
        <v/>
      </c>
      <c r="L868" s="122">
        <f>IF($D868="",0,$G868-$J868)</f>
        <v/>
      </c>
      <c r="M868" s="122">
        <f>IF($B868="","",CONCATENATE("Kıymet: ",$B868," | NDD: ",TEXT($J868,"#,##0")))</f>
        <v/>
      </c>
    </row>
    <row r="869" ht="15" customHeight="1" s="77">
      <c r="A869" s="123" t="n"/>
      <c r="B869" s="123" t="n"/>
      <c r="C869" s="124" t="n"/>
      <c r="D869" s="125" t="n"/>
      <c r="E869" s="123" t="n"/>
      <c r="F869" s="126" t="n"/>
      <c r="G869" s="125" t="n"/>
      <c r="H869" s="122">
        <f>IF($D869="",0,MAX(0,ROUNDDOWN((AmortismanRaporTarihi-$C869)/365,0)))</f>
        <v/>
      </c>
      <c r="I869" s="122">
        <f>IF($D869="",0,IFERROR(IF($E869="Azalan",MAX(0,$D869*(1-MIN(2*AmortismanAzalanCarpan*$F869,1)^$H869)),MIN($D869,$D869*$F869*$H869)),0))</f>
        <v/>
      </c>
      <c r="J869" s="122">
        <f>IF($D869="",0,MAX(0,$D869-$I869))</f>
        <v/>
      </c>
      <c r="K869" s="122">
        <f>IF($H869=0,0,IFERROR(IF($E869="Azalan",$D869*(1-MIN(2*AmortismanAzalanCarpan*$F869,1))^MAX(0,$H869-1)*MIN(2*AmortismanAzalanCarpan*$F869,1),MIN($D869*$F869,$D869)),0))</f>
        <v/>
      </c>
      <c r="L869" s="122">
        <f>IF($D869="",0,$G869-$J869)</f>
        <v/>
      </c>
      <c r="M869" s="122">
        <f>IF($B869="","",CONCATENATE("Kıymet: ",$B869," | NDD: ",TEXT($J869,"#,##0")))</f>
        <v/>
      </c>
    </row>
    <row r="870" ht="15" customHeight="1" s="77">
      <c r="A870" s="123" t="n"/>
      <c r="B870" s="123" t="n"/>
      <c r="C870" s="124" t="n"/>
      <c r="D870" s="125" t="n"/>
      <c r="E870" s="123" t="n"/>
      <c r="F870" s="126" t="n"/>
      <c r="G870" s="125" t="n"/>
      <c r="H870" s="122">
        <f>IF($D870="",0,MAX(0,ROUNDDOWN((AmortismanRaporTarihi-$C870)/365,0)))</f>
        <v/>
      </c>
      <c r="I870" s="122">
        <f>IF($D870="",0,IFERROR(IF($E870="Azalan",MAX(0,$D870*(1-MIN(2*AmortismanAzalanCarpan*$F870,1)^$H870)),MIN($D870,$D870*$F870*$H870)),0))</f>
        <v/>
      </c>
      <c r="J870" s="122">
        <f>IF($D870="",0,MAX(0,$D870-$I870))</f>
        <v/>
      </c>
      <c r="K870" s="122">
        <f>IF($H870=0,0,IFERROR(IF($E870="Azalan",$D870*(1-MIN(2*AmortismanAzalanCarpan*$F870,1))^MAX(0,$H870-1)*MIN(2*AmortismanAzalanCarpan*$F870,1),MIN($D870*$F870,$D870)),0))</f>
        <v/>
      </c>
      <c r="L870" s="122">
        <f>IF($D870="",0,$G870-$J870)</f>
        <v/>
      </c>
      <c r="M870" s="122">
        <f>IF($B870="","",CONCATENATE("Kıymet: ",$B870," | NDD: ",TEXT($J870,"#,##0")))</f>
        <v/>
      </c>
    </row>
    <row r="871" ht="15" customHeight="1" s="77">
      <c r="A871" s="123" t="n"/>
      <c r="B871" s="123" t="n"/>
      <c r="C871" s="124" t="n"/>
      <c r="D871" s="125" t="n"/>
      <c r="E871" s="123" t="n"/>
      <c r="F871" s="126" t="n"/>
      <c r="G871" s="125" t="n"/>
      <c r="H871" s="122">
        <f>IF($D871="",0,MAX(0,ROUNDDOWN((AmortismanRaporTarihi-$C871)/365,0)))</f>
        <v/>
      </c>
      <c r="I871" s="122">
        <f>IF($D871="",0,IFERROR(IF($E871="Azalan",MAX(0,$D871*(1-MIN(2*AmortismanAzalanCarpan*$F871,1)^$H871)),MIN($D871,$D871*$F871*$H871)),0))</f>
        <v/>
      </c>
      <c r="J871" s="122">
        <f>IF($D871="",0,MAX(0,$D871-$I871))</f>
        <v/>
      </c>
      <c r="K871" s="122">
        <f>IF($H871=0,0,IFERROR(IF($E871="Azalan",$D871*(1-MIN(2*AmortismanAzalanCarpan*$F871,1))^MAX(0,$H871-1)*MIN(2*AmortismanAzalanCarpan*$F871,1),MIN($D871*$F871,$D871)),0))</f>
        <v/>
      </c>
      <c r="L871" s="122">
        <f>IF($D871="",0,$G871-$J871)</f>
        <v/>
      </c>
      <c r="M871" s="122">
        <f>IF($B871="","",CONCATENATE("Kıymet: ",$B871," | NDD: ",TEXT($J871,"#,##0")))</f>
        <v/>
      </c>
    </row>
    <row r="872" ht="15" customHeight="1" s="77">
      <c r="A872" s="123" t="n"/>
      <c r="B872" s="123" t="n"/>
      <c r="C872" s="124" t="n"/>
      <c r="D872" s="125" t="n"/>
      <c r="E872" s="123" t="n"/>
      <c r="F872" s="126" t="n"/>
      <c r="G872" s="125" t="n"/>
      <c r="H872" s="122">
        <f>IF($D872="",0,MAX(0,ROUNDDOWN((AmortismanRaporTarihi-$C872)/365,0)))</f>
        <v/>
      </c>
      <c r="I872" s="122">
        <f>IF($D872="",0,IFERROR(IF($E872="Azalan",MAX(0,$D872*(1-MIN(2*AmortismanAzalanCarpan*$F872,1)^$H872)),MIN($D872,$D872*$F872*$H872)),0))</f>
        <v/>
      </c>
      <c r="J872" s="122">
        <f>IF($D872="",0,MAX(0,$D872-$I872))</f>
        <v/>
      </c>
      <c r="K872" s="122">
        <f>IF($H872=0,0,IFERROR(IF($E872="Azalan",$D872*(1-MIN(2*AmortismanAzalanCarpan*$F872,1))^MAX(0,$H872-1)*MIN(2*AmortismanAzalanCarpan*$F872,1),MIN($D872*$F872,$D872)),0))</f>
        <v/>
      </c>
      <c r="L872" s="122">
        <f>IF($D872="",0,$G872-$J872)</f>
        <v/>
      </c>
      <c r="M872" s="122">
        <f>IF($B872="","",CONCATENATE("Kıymet: ",$B872," | NDD: ",TEXT($J872,"#,##0")))</f>
        <v/>
      </c>
    </row>
    <row r="873" ht="15" customHeight="1" s="77">
      <c r="A873" s="123" t="n"/>
      <c r="B873" s="123" t="n"/>
      <c r="C873" s="124" t="n"/>
      <c r="D873" s="125" t="n"/>
      <c r="E873" s="123" t="n"/>
      <c r="F873" s="126" t="n"/>
      <c r="G873" s="125" t="n"/>
      <c r="H873" s="122">
        <f>IF($D873="",0,MAX(0,ROUNDDOWN((AmortismanRaporTarihi-$C873)/365,0)))</f>
        <v/>
      </c>
      <c r="I873" s="122">
        <f>IF($D873="",0,IFERROR(IF($E873="Azalan",MAX(0,$D873*(1-MIN(2*AmortismanAzalanCarpan*$F873,1)^$H873)),MIN($D873,$D873*$F873*$H873)),0))</f>
        <v/>
      </c>
      <c r="J873" s="122">
        <f>IF($D873="",0,MAX(0,$D873-$I873))</f>
        <v/>
      </c>
      <c r="K873" s="122">
        <f>IF($H873=0,0,IFERROR(IF($E873="Azalan",$D873*(1-MIN(2*AmortismanAzalanCarpan*$F873,1))^MAX(0,$H873-1)*MIN(2*AmortismanAzalanCarpan*$F873,1),MIN($D873*$F873,$D873)),0))</f>
        <v/>
      </c>
      <c r="L873" s="122">
        <f>IF($D873="",0,$G873-$J873)</f>
        <v/>
      </c>
      <c r="M873" s="122">
        <f>IF($B873="","",CONCATENATE("Kıymet: ",$B873," | NDD: ",TEXT($J873,"#,##0")))</f>
        <v/>
      </c>
    </row>
    <row r="874" ht="15" customHeight="1" s="77">
      <c r="A874" s="123" t="n"/>
      <c r="B874" s="123" t="n"/>
      <c r="C874" s="124" t="n"/>
      <c r="D874" s="125" t="n"/>
      <c r="E874" s="123" t="n"/>
      <c r="F874" s="126" t="n"/>
      <c r="G874" s="125" t="n"/>
      <c r="H874" s="122">
        <f>IF($D874="",0,MAX(0,ROUNDDOWN((AmortismanRaporTarihi-$C874)/365,0)))</f>
        <v/>
      </c>
      <c r="I874" s="122">
        <f>IF($D874="",0,IFERROR(IF($E874="Azalan",MAX(0,$D874*(1-MIN(2*AmortismanAzalanCarpan*$F874,1)^$H874)),MIN($D874,$D874*$F874*$H874)),0))</f>
        <v/>
      </c>
      <c r="J874" s="122">
        <f>IF($D874="",0,MAX(0,$D874-$I874))</f>
        <v/>
      </c>
      <c r="K874" s="122">
        <f>IF($H874=0,0,IFERROR(IF($E874="Azalan",$D874*(1-MIN(2*AmortismanAzalanCarpan*$F874,1))^MAX(0,$H874-1)*MIN(2*AmortismanAzalanCarpan*$F874,1),MIN($D874*$F874,$D874)),0))</f>
        <v/>
      </c>
      <c r="L874" s="122">
        <f>IF($D874="",0,$G874-$J874)</f>
        <v/>
      </c>
      <c r="M874" s="122">
        <f>IF($B874="","",CONCATENATE("Kıymet: ",$B874," | NDD: ",TEXT($J874,"#,##0")))</f>
        <v/>
      </c>
    </row>
    <row r="875" ht="15" customHeight="1" s="77">
      <c r="A875" s="123" t="n"/>
      <c r="B875" s="123" t="n"/>
      <c r="C875" s="124" t="n"/>
      <c r="D875" s="125" t="n"/>
      <c r="E875" s="123" t="n"/>
      <c r="F875" s="126" t="n"/>
      <c r="G875" s="125" t="n"/>
      <c r="H875" s="122">
        <f>IF($D875="",0,MAX(0,ROUNDDOWN((AmortismanRaporTarihi-$C875)/365,0)))</f>
        <v/>
      </c>
      <c r="I875" s="122">
        <f>IF($D875="",0,IFERROR(IF($E875="Azalan",MAX(0,$D875*(1-MIN(2*AmortismanAzalanCarpan*$F875,1)^$H875)),MIN($D875,$D875*$F875*$H875)),0))</f>
        <v/>
      </c>
      <c r="J875" s="122">
        <f>IF($D875="",0,MAX(0,$D875-$I875))</f>
        <v/>
      </c>
      <c r="K875" s="122">
        <f>IF($H875=0,0,IFERROR(IF($E875="Azalan",$D875*(1-MIN(2*AmortismanAzalanCarpan*$F875,1))^MAX(0,$H875-1)*MIN(2*AmortismanAzalanCarpan*$F875,1),MIN($D875*$F875,$D875)),0))</f>
        <v/>
      </c>
      <c r="L875" s="122">
        <f>IF($D875="",0,$G875-$J875)</f>
        <v/>
      </c>
      <c r="M875" s="122">
        <f>IF($B875="","",CONCATENATE("Kıymet: ",$B875," | NDD: ",TEXT($J875,"#,##0")))</f>
        <v/>
      </c>
    </row>
    <row r="876" ht="15" customHeight="1" s="77">
      <c r="A876" s="123" t="n"/>
      <c r="B876" s="123" t="n"/>
      <c r="C876" s="124" t="n"/>
      <c r="D876" s="125" t="n"/>
      <c r="E876" s="123" t="n"/>
      <c r="F876" s="126" t="n"/>
      <c r="G876" s="125" t="n"/>
      <c r="H876" s="122">
        <f>IF($D876="",0,MAX(0,ROUNDDOWN((AmortismanRaporTarihi-$C876)/365,0)))</f>
        <v/>
      </c>
      <c r="I876" s="122">
        <f>IF($D876="",0,IFERROR(IF($E876="Azalan",MAX(0,$D876*(1-MIN(2*AmortismanAzalanCarpan*$F876,1)^$H876)),MIN($D876,$D876*$F876*$H876)),0))</f>
        <v/>
      </c>
      <c r="J876" s="122">
        <f>IF($D876="",0,MAX(0,$D876-$I876))</f>
        <v/>
      </c>
      <c r="K876" s="122">
        <f>IF($H876=0,0,IFERROR(IF($E876="Azalan",$D876*(1-MIN(2*AmortismanAzalanCarpan*$F876,1))^MAX(0,$H876-1)*MIN(2*AmortismanAzalanCarpan*$F876,1),MIN($D876*$F876,$D876)),0))</f>
        <v/>
      </c>
      <c r="L876" s="122">
        <f>IF($D876="",0,$G876-$J876)</f>
        <v/>
      </c>
      <c r="M876" s="122">
        <f>IF($B876="","",CONCATENATE("Kıymet: ",$B876," | NDD: ",TEXT($J876,"#,##0")))</f>
        <v/>
      </c>
    </row>
    <row r="877" ht="15" customHeight="1" s="77">
      <c r="A877" s="123" t="n"/>
      <c r="B877" s="123" t="n"/>
      <c r="C877" s="124" t="n"/>
      <c r="D877" s="125" t="n"/>
      <c r="E877" s="123" t="n"/>
      <c r="F877" s="126" t="n"/>
      <c r="G877" s="125" t="n"/>
      <c r="H877" s="122">
        <f>IF($D877="",0,MAX(0,ROUNDDOWN((AmortismanRaporTarihi-$C877)/365,0)))</f>
        <v/>
      </c>
      <c r="I877" s="122">
        <f>IF($D877="",0,IFERROR(IF($E877="Azalan",MAX(0,$D877*(1-MIN(2*AmortismanAzalanCarpan*$F877,1)^$H877)),MIN($D877,$D877*$F877*$H877)),0))</f>
        <v/>
      </c>
      <c r="J877" s="122">
        <f>IF($D877="",0,MAX(0,$D877-$I877))</f>
        <v/>
      </c>
      <c r="K877" s="122">
        <f>IF($H877=0,0,IFERROR(IF($E877="Azalan",$D877*(1-MIN(2*AmortismanAzalanCarpan*$F877,1))^MAX(0,$H877-1)*MIN(2*AmortismanAzalanCarpan*$F877,1),MIN($D877*$F877,$D877)),0))</f>
        <v/>
      </c>
      <c r="L877" s="122">
        <f>IF($D877="",0,$G877-$J877)</f>
        <v/>
      </c>
      <c r="M877" s="122">
        <f>IF($B877="","",CONCATENATE("Kıymet: ",$B877," | NDD: ",TEXT($J877,"#,##0")))</f>
        <v/>
      </c>
    </row>
    <row r="878" ht="15" customHeight="1" s="77">
      <c r="A878" s="123" t="n"/>
      <c r="B878" s="123" t="n"/>
      <c r="C878" s="124" t="n"/>
      <c r="D878" s="125" t="n"/>
      <c r="E878" s="123" t="n"/>
      <c r="F878" s="126" t="n"/>
      <c r="G878" s="125" t="n"/>
      <c r="H878" s="122">
        <f>IF($D878="",0,MAX(0,ROUNDDOWN((AmortismanRaporTarihi-$C878)/365,0)))</f>
        <v/>
      </c>
      <c r="I878" s="122">
        <f>IF($D878="",0,IFERROR(IF($E878="Azalan",MAX(0,$D878*(1-MIN(2*AmortismanAzalanCarpan*$F878,1)^$H878)),MIN($D878,$D878*$F878*$H878)),0))</f>
        <v/>
      </c>
      <c r="J878" s="122">
        <f>IF($D878="",0,MAX(0,$D878-$I878))</f>
        <v/>
      </c>
      <c r="K878" s="122">
        <f>IF($H878=0,0,IFERROR(IF($E878="Azalan",$D878*(1-MIN(2*AmortismanAzalanCarpan*$F878,1))^MAX(0,$H878-1)*MIN(2*AmortismanAzalanCarpan*$F878,1),MIN($D878*$F878,$D878)),0))</f>
        <v/>
      </c>
      <c r="L878" s="122">
        <f>IF($D878="",0,$G878-$J878)</f>
        <v/>
      </c>
      <c r="M878" s="122">
        <f>IF($B878="","",CONCATENATE("Kıymet: ",$B878," | NDD: ",TEXT($J878,"#,##0")))</f>
        <v/>
      </c>
    </row>
    <row r="879" ht="15" customHeight="1" s="77">
      <c r="A879" s="123" t="n"/>
      <c r="B879" s="123" t="n"/>
      <c r="C879" s="124" t="n"/>
      <c r="D879" s="125" t="n"/>
      <c r="E879" s="123" t="n"/>
      <c r="F879" s="126" t="n"/>
      <c r="G879" s="125" t="n"/>
      <c r="H879" s="122">
        <f>IF($D879="",0,MAX(0,ROUNDDOWN((AmortismanRaporTarihi-$C879)/365,0)))</f>
        <v/>
      </c>
      <c r="I879" s="122">
        <f>IF($D879="",0,IFERROR(IF($E879="Azalan",MAX(0,$D879*(1-MIN(2*AmortismanAzalanCarpan*$F879,1)^$H879)),MIN($D879,$D879*$F879*$H879)),0))</f>
        <v/>
      </c>
      <c r="J879" s="122">
        <f>IF($D879="",0,MAX(0,$D879-$I879))</f>
        <v/>
      </c>
      <c r="K879" s="122">
        <f>IF($H879=0,0,IFERROR(IF($E879="Azalan",$D879*(1-MIN(2*AmortismanAzalanCarpan*$F879,1))^MAX(0,$H879-1)*MIN(2*AmortismanAzalanCarpan*$F879,1),MIN($D879*$F879,$D879)),0))</f>
        <v/>
      </c>
      <c r="L879" s="122">
        <f>IF($D879="",0,$G879-$J879)</f>
        <v/>
      </c>
      <c r="M879" s="122">
        <f>IF($B879="","",CONCATENATE("Kıymet: ",$B879," | NDD: ",TEXT($J879,"#,##0")))</f>
        <v/>
      </c>
    </row>
    <row r="880" ht="15" customHeight="1" s="77">
      <c r="A880" s="123" t="n"/>
      <c r="B880" s="123" t="n"/>
      <c r="C880" s="124" t="n"/>
      <c r="D880" s="125" t="n"/>
      <c r="E880" s="123" t="n"/>
      <c r="F880" s="126" t="n"/>
      <c r="G880" s="125" t="n"/>
      <c r="H880" s="122">
        <f>IF($D880="",0,MAX(0,ROUNDDOWN((AmortismanRaporTarihi-$C880)/365,0)))</f>
        <v/>
      </c>
      <c r="I880" s="122">
        <f>IF($D880="",0,IFERROR(IF($E880="Azalan",MAX(0,$D880*(1-MIN(2*AmortismanAzalanCarpan*$F880,1)^$H880)),MIN($D880,$D880*$F880*$H880)),0))</f>
        <v/>
      </c>
      <c r="J880" s="122">
        <f>IF($D880="",0,MAX(0,$D880-$I880))</f>
        <v/>
      </c>
      <c r="K880" s="122">
        <f>IF($H880=0,0,IFERROR(IF($E880="Azalan",$D880*(1-MIN(2*AmortismanAzalanCarpan*$F880,1))^MAX(0,$H880-1)*MIN(2*AmortismanAzalanCarpan*$F880,1),MIN($D880*$F880,$D880)),0))</f>
        <v/>
      </c>
      <c r="L880" s="122">
        <f>IF($D880="",0,$G880-$J880)</f>
        <v/>
      </c>
      <c r="M880" s="122">
        <f>IF($B880="","",CONCATENATE("Kıymet: ",$B880," | NDD: ",TEXT($J880,"#,##0")))</f>
        <v/>
      </c>
    </row>
    <row r="881" ht="15" customHeight="1" s="77">
      <c r="A881" s="123" t="n"/>
      <c r="B881" s="123" t="n"/>
      <c r="C881" s="124" t="n"/>
      <c r="D881" s="125" t="n"/>
      <c r="E881" s="123" t="n"/>
      <c r="F881" s="126" t="n"/>
      <c r="G881" s="125" t="n"/>
      <c r="H881" s="122">
        <f>IF($D881="",0,MAX(0,ROUNDDOWN((AmortismanRaporTarihi-$C881)/365,0)))</f>
        <v/>
      </c>
      <c r="I881" s="122">
        <f>IF($D881="",0,IFERROR(IF($E881="Azalan",MAX(0,$D881*(1-MIN(2*AmortismanAzalanCarpan*$F881,1)^$H881)),MIN($D881,$D881*$F881*$H881)),0))</f>
        <v/>
      </c>
      <c r="J881" s="122">
        <f>IF($D881="",0,MAX(0,$D881-$I881))</f>
        <v/>
      </c>
      <c r="K881" s="122">
        <f>IF($H881=0,0,IFERROR(IF($E881="Azalan",$D881*(1-MIN(2*AmortismanAzalanCarpan*$F881,1))^MAX(0,$H881-1)*MIN(2*AmortismanAzalanCarpan*$F881,1),MIN($D881*$F881,$D881)),0))</f>
        <v/>
      </c>
      <c r="L881" s="122">
        <f>IF($D881="",0,$G881-$J881)</f>
        <v/>
      </c>
      <c r="M881" s="122">
        <f>IF($B881="","",CONCATENATE("Kıymet: ",$B881," | NDD: ",TEXT($J881,"#,##0")))</f>
        <v/>
      </c>
    </row>
    <row r="882" ht="15" customHeight="1" s="77">
      <c r="A882" s="123" t="n"/>
      <c r="B882" s="123" t="n"/>
      <c r="C882" s="124" t="n"/>
      <c r="D882" s="125" t="n"/>
      <c r="E882" s="123" t="n"/>
      <c r="F882" s="126" t="n"/>
      <c r="G882" s="125" t="n"/>
      <c r="H882" s="122">
        <f>IF($D882="",0,MAX(0,ROUNDDOWN((AmortismanRaporTarihi-$C882)/365,0)))</f>
        <v/>
      </c>
      <c r="I882" s="122">
        <f>IF($D882="",0,IFERROR(IF($E882="Azalan",MAX(0,$D882*(1-MIN(2*AmortismanAzalanCarpan*$F882,1)^$H882)),MIN($D882,$D882*$F882*$H882)),0))</f>
        <v/>
      </c>
      <c r="J882" s="122">
        <f>IF($D882="",0,MAX(0,$D882-$I882))</f>
        <v/>
      </c>
      <c r="K882" s="122">
        <f>IF($H882=0,0,IFERROR(IF($E882="Azalan",$D882*(1-MIN(2*AmortismanAzalanCarpan*$F882,1))^MAX(0,$H882-1)*MIN(2*AmortismanAzalanCarpan*$F882,1),MIN($D882*$F882,$D882)),0))</f>
        <v/>
      </c>
      <c r="L882" s="122">
        <f>IF($D882="",0,$G882-$J882)</f>
        <v/>
      </c>
      <c r="M882" s="122">
        <f>IF($B882="","",CONCATENATE("Kıymet: ",$B882," | NDD: ",TEXT($J882,"#,##0")))</f>
        <v/>
      </c>
    </row>
    <row r="883" ht="15" customHeight="1" s="77">
      <c r="A883" s="123" t="n"/>
      <c r="B883" s="123" t="n"/>
      <c r="C883" s="124" t="n"/>
      <c r="D883" s="125" t="n"/>
      <c r="E883" s="123" t="n"/>
      <c r="F883" s="126" t="n"/>
      <c r="G883" s="125" t="n"/>
      <c r="H883" s="122">
        <f>IF($D883="",0,MAX(0,ROUNDDOWN((AmortismanRaporTarihi-$C883)/365,0)))</f>
        <v/>
      </c>
      <c r="I883" s="122">
        <f>IF($D883="",0,IFERROR(IF($E883="Azalan",MAX(0,$D883*(1-MIN(2*AmortismanAzalanCarpan*$F883,1)^$H883)),MIN($D883,$D883*$F883*$H883)),0))</f>
        <v/>
      </c>
      <c r="J883" s="122">
        <f>IF($D883="",0,MAX(0,$D883-$I883))</f>
        <v/>
      </c>
      <c r="K883" s="122">
        <f>IF($H883=0,0,IFERROR(IF($E883="Azalan",$D883*(1-MIN(2*AmortismanAzalanCarpan*$F883,1))^MAX(0,$H883-1)*MIN(2*AmortismanAzalanCarpan*$F883,1),MIN($D883*$F883,$D883)),0))</f>
        <v/>
      </c>
      <c r="L883" s="122">
        <f>IF($D883="",0,$G883-$J883)</f>
        <v/>
      </c>
      <c r="M883" s="122">
        <f>IF($B883="","",CONCATENATE("Kıymet: ",$B883," | NDD: ",TEXT($J883,"#,##0")))</f>
        <v/>
      </c>
    </row>
    <row r="884" ht="15" customHeight="1" s="77">
      <c r="A884" s="123" t="n"/>
      <c r="B884" s="123" t="n"/>
      <c r="C884" s="124" t="n"/>
      <c r="D884" s="125" t="n"/>
      <c r="E884" s="123" t="n"/>
      <c r="F884" s="126" t="n"/>
      <c r="G884" s="125" t="n"/>
      <c r="H884" s="122">
        <f>IF($D884="",0,MAX(0,ROUNDDOWN((AmortismanRaporTarihi-$C884)/365,0)))</f>
        <v/>
      </c>
      <c r="I884" s="122">
        <f>IF($D884="",0,IFERROR(IF($E884="Azalan",MAX(0,$D884*(1-MIN(2*AmortismanAzalanCarpan*$F884,1)^$H884)),MIN($D884,$D884*$F884*$H884)),0))</f>
        <v/>
      </c>
      <c r="J884" s="122">
        <f>IF($D884="",0,MAX(0,$D884-$I884))</f>
        <v/>
      </c>
      <c r="K884" s="122">
        <f>IF($H884=0,0,IFERROR(IF($E884="Azalan",$D884*(1-MIN(2*AmortismanAzalanCarpan*$F884,1))^MAX(0,$H884-1)*MIN(2*AmortismanAzalanCarpan*$F884,1),MIN($D884*$F884,$D884)),0))</f>
        <v/>
      </c>
      <c r="L884" s="122">
        <f>IF($D884="",0,$G884-$J884)</f>
        <v/>
      </c>
      <c r="M884" s="122">
        <f>IF($B884="","",CONCATENATE("Kıymet: ",$B884," | NDD: ",TEXT($J884,"#,##0")))</f>
        <v/>
      </c>
    </row>
    <row r="885" ht="15" customHeight="1" s="77">
      <c r="A885" s="123" t="n"/>
      <c r="B885" s="123" t="n"/>
      <c r="C885" s="124" t="n"/>
      <c r="D885" s="125" t="n"/>
      <c r="E885" s="123" t="n"/>
      <c r="F885" s="126" t="n"/>
      <c r="G885" s="125" t="n"/>
      <c r="H885" s="122">
        <f>IF($D885="",0,MAX(0,ROUNDDOWN((AmortismanRaporTarihi-$C885)/365,0)))</f>
        <v/>
      </c>
      <c r="I885" s="122">
        <f>IF($D885="",0,IFERROR(IF($E885="Azalan",MAX(0,$D885*(1-MIN(2*AmortismanAzalanCarpan*$F885,1)^$H885)),MIN($D885,$D885*$F885*$H885)),0))</f>
        <v/>
      </c>
      <c r="J885" s="122">
        <f>IF($D885="",0,MAX(0,$D885-$I885))</f>
        <v/>
      </c>
      <c r="K885" s="122">
        <f>IF($H885=0,0,IFERROR(IF($E885="Azalan",$D885*(1-MIN(2*AmortismanAzalanCarpan*$F885,1))^MAX(0,$H885-1)*MIN(2*AmortismanAzalanCarpan*$F885,1),MIN($D885*$F885,$D885)),0))</f>
        <v/>
      </c>
      <c r="L885" s="122">
        <f>IF($D885="",0,$G885-$J885)</f>
        <v/>
      </c>
      <c r="M885" s="122">
        <f>IF($B885="","",CONCATENATE("Kıymet: ",$B885," | NDD: ",TEXT($J885,"#,##0")))</f>
        <v/>
      </c>
    </row>
    <row r="886" ht="15" customHeight="1" s="77">
      <c r="A886" s="123" t="n"/>
      <c r="B886" s="123" t="n"/>
      <c r="C886" s="124" t="n"/>
      <c r="D886" s="125" t="n"/>
      <c r="E886" s="123" t="n"/>
      <c r="F886" s="126" t="n"/>
      <c r="G886" s="125" t="n"/>
      <c r="H886" s="122">
        <f>IF($D886="",0,MAX(0,ROUNDDOWN((AmortismanRaporTarihi-$C886)/365,0)))</f>
        <v/>
      </c>
      <c r="I886" s="122">
        <f>IF($D886="",0,IFERROR(IF($E886="Azalan",MAX(0,$D886*(1-MIN(2*AmortismanAzalanCarpan*$F886,1)^$H886)),MIN($D886,$D886*$F886*$H886)),0))</f>
        <v/>
      </c>
      <c r="J886" s="122">
        <f>IF($D886="",0,MAX(0,$D886-$I886))</f>
        <v/>
      </c>
      <c r="K886" s="122">
        <f>IF($H886=0,0,IFERROR(IF($E886="Azalan",$D886*(1-MIN(2*AmortismanAzalanCarpan*$F886,1))^MAX(0,$H886-1)*MIN(2*AmortismanAzalanCarpan*$F886,1),MIN($D886*$F886,$D886)),0))</f>
        <v/>
      </c>
      <c r="L886" s="122">
        <f>IF($D886="",0,$G886-$J886)</f>
        <v/>
      </c>
      <c r="M886" s="122">
        <f>IF($B886="","",CONCATENATE("Kıymet: ",$B886," | NDD: ",TEXT($J886,"#,##0")))</f>
        <v/>
      </c>
    </row>
    <row r="887" ht="15" customHeight="1" s="77">
      <c r="A887" s="123" t="n"/>
      <c r="B887" s="123" t="n"/>
      <c r="C887" s="124" t="n"/>
      <c r="D887" s="125" t="n"/>
      <c r="E887" s="123" t="n"/>
      <c r="F887" s="126" t="n"/>
      <c r="G887" s="125" t="n"/>
      <c r="H887" s="122">
        <f>IF($D887="",0,MAX(0,ROUNDDOWN((AmortismanRaporTarihi-$C887)/365,0)))</f>
        <v/>
      </c>
      <c r="I887" s="122">
        <f>IF($D887="",0,IFERROR(IF($E887="Azalan",MAX(0,$D887*(1-MIN(2*AmortismanAzalanCarpan*$F887,1)^$H887)),MIN($D887,$D887*$F887*$H887)),0))</f>
        <v/>
      </c>
      <c r="J887" s="122">
        <f>IF($D887="",0,MAX(0,$D887-$I887))</f>
        <v/>
      </c>
      <c r="K887" s="122">
        <f>IF($H887=0,0,IFERROR(IF($E887="Azalan",$D887*(1-MIN(2*AmortismanAzalanCarpan*$F887,1))^MAX(0,$H887-1)*MIN(2*AmortismanAzalanCarpan*$F887,1),MIN($D887*$F887,$D887)),0))</f>
        <v/>
      </c>
      <c r="L887" s="122">
        <f>IF($D887="",0,$G887-$J887)</f>
        <v/>
      </c>
      <c r="M887" s="122">
        <f>IF($B887="","",CONCATENATE("Kıymet: ",$B887," | NDD: ",TEXT($J887,"#,##0")))</f>
        <v/>
      </c>
    </row>
    <row r="888" ht="15" customHeight="1" s="77">
      <c r="A888" s="123" t="n"/>
      <c r="B888" s="123" t="n"/>
      <c r="C888" s="124" t="n"/>
      <c r="D888" s="125" t="n"/>
      <c r="E888" s="123" t="n"/>
      <c r="F888" s="126" t="n"/>
      <c r="G888" s="125" t="n"/>
      <c r="H888" s="122">
        <f>IF($D888="",0,MAX(0,ROUNDDOWN((AmortismanRaporTarihi-$C888)/365,0)))</f>
        <v/>
      </c>
      <c r="I888" s="122">
        <f>IF($D888="",0,IFERROR(IF($E888="Azalan",MAX(0,$D888*(1-MIN(2*AmortismanAzalanCarpan*$F888,1)^$H888)),MIN($D888,$D888*$F888*$H888)),0))</f>
        <v/>
      </c>
      <c r="J888" s="122">
        <f>IF($D888="",0,MAX(0,$D888-$I888))</f>
        <v/>
      </c>
      <c r="K888" s="122">
        <f>IF($H888=0,0,IFERROR(IF($E888="Azalan",$D888*(1-MIN(2*AmortismanAzalanCarpan*$F888,1))^MAX(0,$H888-1)*MIN(2*AmortismanAzalanCarpan*$F888,1),MIN($D888*$F888,$D888)),0))</f>
        <v/>
      </c>
      <c r="L888" s="122">
        <f>IF($D888="",0,$G888-$J888)</f>
        <v/>
      </c>
      <c r="M888" s="122">
        <f>IF($B888="","",CONCATENATE("Kıymet: ",$B888," | NDD: ",TEXT($J888,"#,##0")))</f>
        <v/>
      </c>
    </row>
    <row r="889" ht="15" customHeight="1" s="77">
      <c r="A889" s="123" t="n"/>
      <c r="B889" s="123" t="n"/>
      <c r="C889" s="124" t="n"/>
      <c r="D889" s="125" t="n"/>
      <c r="E889" s="123" t="n"/>
      <c r="F889" s="126" t="n"/>
      <c r="G889" s="125" t="n"/>
      <c r="H889" s="122">
        <f>IF($D889="",0,MAX(0,ROUNDDOWN((AmortismanRaporTarihi-$C889)/365,0)))</f>
        <v/>
      </c>
      <c r="I889" s="122">
        <f>IF($D889="",0,IFERROR(IF($E889="Azalan",MAX(0,$D889*(1-MIN(2*AmortismanAzalanCarpan*$F889,1)^$H889)),MIN($D889,$D889*$F889*$H889)),0))</f>
        <v/>
      </c>
      <c r="J889" s="122">
        <f>IF($D889="",0,MAX(0,$D889-$I889))</f>
        <v/>
      </c>
      <c r="K889" s="122">
        <f>IF($H889=0,0,IFERROR(IF($E889="Azalan",$D889*(1-MIN(2*AmortismanAzalanCarpan*$F889,1))^MAX(0,$H889-1)*MIN(2*AmortismanAzalanCarpan*$F889,1),MIN($D889*$F889,$D889)),0))</f>
        <v/>
      </c>
      <c r="L889" s="122">
        <f>IF($D889="",0,$G889-$J889)</f>
        <v/>
      </c>
      <c r="M889" s="122">
        <f>IF($B889="","",CONCATENATE("Kıymet: ",$B889," | NDD: ",TEXT($J889,"#,##0")))</f>
        <v/>
      </c>
    </row>
    <row r="890" ht="15" customHeight="1" s="77">
      <c r="A890" s="123" t="n"/>
      <c r="B890" s="123" t="n"/>
      <c r="C890" s="124" t="n"/>
      <c r="D890" s="125" t="n"/>
      <c r="E890" s="123" t="n"/>
      <c r="F890" s="126" t="n"/>
      <c r="G890" s="125" t="n"/>
      <c r="H890" s="122">
        <f>IF($D890="",0,MAX(0,ROUNDDOWN((AmortismanRaporTarihi-$C890)/365,0)))</f>
        <v/>
      </c>
      <c r="I890" s="122">
        <f>IF($D890="",0,IFERROR(IF($E890="Azalan",MAX(0,$D890*(1-MIN(2*AmortismanAzalanCarpan*$F890,1)^$H890)),MIN($D890,$D890*$F890*$H890)),0))</f>
        <v/>
      </c>
      <c r="J890" s="122">
        <f>IF($D890="",0,MAX(0,$D890-$I890))</f>
        <v/>
      </c>
      <c r="K890" s="122">
        <f>IF($H890=0,0,IFERROR(IF($E890="Azalan",$D890*(1-MIN(2*AmortismanAzalanCarpan*$F890,1))^MAX(0,$H890-1)*MIN(2*AmortismanAzalanCarpan*$F890,1),MIN($D890*$F890,$D890)),0))</f>
        <v/>
      </c>
      <c r="L890" s="122">
        <f>IF($D890="",0,$G890-$J890)</f>
        <v/>
      </c>
      <c r="M890" s="122">
        <f>IF($B890="","",CONCATENATE("Kıymet: ",$B890," | NDD: ",TEXT($J890,"#,##0")))</f>
        <v/>
      </c>
    </row>
    <row r="891" ht="15" customHeight="1" s="77">
      <c r="A891" s="123" t="n"/>
      <c r="B891" s="123" t="n"/>
      <c r="C891" s="124" t="n"/>
      <c r="D891" s="125" t="n"/>
      <c r="E891" s="123" t="n"/>
      <c r="F891" s="126" t="n"/>
      <c r="G891" s="125" t="n"/>
      <c r="H891" s="122">
        <f>IF($D891="",0,MAX(0,ROUNDDOWN((AmortismanRaporTarihi-$C891)/365,0)))</f>
        <v/>
      </c>
      <c r="I891" s="122">
        <f>IF($D891="",0,IFERROR(IF($E891="Azalan",MAX(0,$D891*(1-MIN(2*AmortismanAzalanCarpan*$F891,1)^$H891)),MIN($D891,$D891*$F891*$H891)),0))</f>
        <v/>
      </c>
      <c r="J891" s="122">
        <f>IF($D891="",0,MAX(0,$D891-$I891))</f>
        <v/>
      </c>
      <c r="K891" s="122">
        <f>IF($H891=0,0,IFERROR(IF($E891="Azalan",$D891*(1-MIN(2*AmortismanAzalanCarpan*$F891,1))^MAX(0,$H891-1)*MIN(2*AmortismanAzalanCarpan*$F891,1),MIN($D891*$F891,$D891)),0))</f>
        <v/>
      </c>
      <c r="L891" s="122">
        <f>IF($D891="",0,$G891-$J891)</f>
        <v/>
      </c>
      <c r="M891" s="122">
        <f>IF($B891="","",CONCATENATE("Kıymet: ",$B891," | NDD: ",TEXT($J891,"#,##0")))</f>
        <v/>
      </c>
    </row>
    <row r="892" ht="15" customHeight="1" s="77">
      <c r="A892" s="123" t="n"/>
      <c r="B892" s="123" t="n"/>
      <c r="C892" s="124" t="n"/>
      <c r="D892" s="125" t="n"/>
      <c r="E892" s="123" t="n"/>
      <c r="F892" s="126" t="n"/>
      <c r="G892" s="125" t="n"/>
      <c r="H892" s="122">
        <f>IF($D892="",0,MAX(0,ROUNDDOWN((AmortismanRaporTarihi-$C892)/365,0)))</f>
        <v/>
      </c>
      <c r="I892" s="122">
        <f>IF($D892="",0,IFERROR(IF($E892="Azalan",MAX(0,$D892*(1-MIN(2*AmortismanAzalanCarpan*$F892,1)^$H892)),MIN($D892,$D892*$F892*$H892)),0))</f>
        <v/>
      </c>
      <c r="J892" s="122">
        <f>IF($D892="",0,MAX(0,$D892-$I892))</f>
        <v/>
      </c>
      <c r="K892" s="122">
        <f>IF($H892=0,0,IFERROR(IF($E892="Azalan",$D892*(1-MIN(2*AmortismanAzalanCarpan*$F892,1))^MAX(0,$H892-1)*MIN(2*AmortismanAzalanCarpan*$F892,1),MIN($D892*$F892,$D892)),0))</f>
        <v/>
      </c>
      <c r="L892" s="122">
        <f>IF($D892="",0,$G892-$J892)</f>
        <v/>
      </c>
      <c r="M892" s="122">
        <f>IF($B892="","",CONCATENATE("Kıymet: ",$B892," | NDD: ",TEXT($J892,"#,##0")))</f>
        <v/>
      </c>
    </row>
    <row r="893" ht="15" customHeight="1" s="77">
      <c r="A893" s="123" t="n"/>
      <c r="B893" s="123" t="n"/>
      <c r="C893" s="124" t="n"/>
      <c r="D893" s="125" t="n"/>
      <c r="E893" s="123" t="n"/>
      <c r="F893" s="126" t="n"/>
      <c r="G893" s="125" t="n"/>
      <c r="H893" s="122">
        <f>IF($D893="",0,MAX(0,ROUNDDOWN((AmortismanRaporTarihi-$C893)/365,0)))</f>
        <v/>
      </c>
      <c r="I893" s="122">
        <f>IF($D893="",0,IFERROR(IF($E893="Azalan",MAX(0,$D893*(1-MIN(2*AmortismanAzalanCarpan*$F893,1)^$H893)),MIN($D893,$D893*$F893*$H893)),0))</f>
        <v/>
      </c>
      <c r="J893" s="122">
        <f>IF($D893="",0,MAX(0,$D893-$I893))</f>
        <v/>
      </c>
      <c r="K893" s="122">
        <f>IF($H893=0,0,IFERROR(IF($E893="Azalan",$D893*(1-MIN(2*AmortismanAzalanCarpan*$F893,1))^MAX(0,$H893-1)*MIN(2*AmortismanAzalanCarpan*$F893,1),MIN($D893*$F893,$D893)),0))</f>
        <v/>
      </c>
      <c r="L893" s="122">
        <f>IF($D893="",0,$G893-$J893)</f>
        <v/>
      </c>
      <c r="M893" s="122">
        <f>IF($B893="","",CONCATENATE("Kıymet: ",$B893," | NDD: ",TEXT($J893,"#,##0")))</f>
        <v/>
      </c>
    </row>
    <row r="894" ht="15" customHeight="1" s="77">
      <c r="A894" s="123" t="n"/>
      <c r="B894" s="123" t="n"/>
      <c r="C894" s="124" t="n"/>
      <c r="D894" s="125" t="n"/>
      <c r="E894" s="123" t="n"/>
      <c r="F894" s="126" t="n"/>
      <c r="G894" s="125" t="n"/>
      <c r="H894" s="122">
        <f>IF($D894="",0,MAX(0,ROUNDDOWN((AmortismanRaporTarihi-$C894)/365,0)))</f>
        <v/>
      </c>
      <c r="I894" s="122">
        <f>IF($D894="",0,IFERROR(IF($E894="Azalan",MAX(0,$D894*(1-MIN(2*AmortismanAzalanCarpan*$F894,1)^$H894)),MIN($D894,$D894*$F894*$H894)),0))</f>
        <v/>
      </c>
      <c r="J894" s="122">
        <f>IF($D894="",0,MAX(0,$D894-$I894))</f>
        <v/>
      </c>
      <c r="K894" s="122">
        <f>IF($H894=0,0,IFERROR(IF($E894="Azalan",$D894*(1-MIN(2*AmortismanAzalanCarpan*$F894,1))^MAX(0,$H894-1)*MIN(2*AmortismanAzalanCarpan*$F894,1),MIN($D894*$F894,$D894)),0))</f>
        <v/>
      </c>
      <c r="L894" s="122">
        <f>IF($D894="",0,$G894-$J894)</f>
        <v/>
      </c>
      <c r="M894" s="122">
        <f>IF($B894="","",CONCATENATE("Kıymet: ",$B894," | NDD: ",TEXT($J894,"#,##0")))</f>
        <v/>
      </c>
    </row>
    <row r="895" ht="15" customHeight="1" s="77">
      <c r="A895" s="123" t="n"/>
      <c r="B895" s="123" t="n"/>
      <c r="C895" s="124" t="n"/>
      <c r="D895" s="125" t="n"/>
      <c r="E895" s="123" t="n"/>
      <c r="F895" s="126" t="n"/>
      <c r="G895" s="125" t="n"/>
      <c r="H895" s="122">
        <f>IF($D895="",0,MAX(0,ROUNDDOWN((AmortismanRaporTarihi-$C895)/365,0)))</f>
        <v/>
      </c>
      <c r="I895" s="122">
        <f>IF($D895="",0,IFERROR(IF($E895="Azalan",MAX(0,$D895*(1-MIN(2*AmortismanAzalanCarpan*$F895,1)^$H895)),MIN($D895,$D895*$F895*$H895)),0))</f>
        <v/>
      </c>
      <c r="J895" s="122">
        <f>IF($D895="",0,MAX(0,$D895-$I895))</f>
        <v/>
      </c>
      <c r="K895" s="122">
        <f>IF($H895=0,0,IFERROR(IF($E895="Azalan",$D895*(1-MIN(2*AmortismanAzalanCarpan*$F895,1))^MAX(0,$H895-1)*MIN(2*AmortismanAzalanCarpan*$F895,1),MIN($D895*$F895,$D895)),0))</f>
        <v/>
      </c>
      <c r="L895" s="122">
        <f>IF($D895="",0,$G895-$J895)</f>
        <v/>
      </c>
      <c r="M895" s="122">
        <f>IF($B895="","",CONCATENATE("Kıymet: ",$B895," | NDD: ",TEXT($J895,"#,##0")))</f>
        <v/>
      </c>
    </row>
    <row r="896" ht="15" customHeight="1" s="77">
      <c r="A896" s="123" t="n"/>
      <c r="B896" s="123" t="n"/>
      <c r="C896" s="124" t="n"/>
      <c r="D896" s="125" t="n"/>
      <c r="E896" s="123" t="n"/>
      <c r="F896" s="126" t="n"/>
      <c r="G896" s="125" t="n"/>
      <c r="H896" s="122">
        <f>IF($D896="",0,MAX(0,ROUNDDOWN((AmortismanRaporTarihi-$C896)/365,0)))</f>
        <v/>
      </c>
      <c r="I896" s="122">
        <f>IF($D896="",0,IFERROR(IF($E896="Azalan",MAX(0,$D896*(1-MIN(2*AmortismanAzalanCarpan*$F896,1)^$H896)),MIN($D896,$D896*$F896*$H896)),0))</f>
        <v/>
      </c>
      <c r="J896" s="122">
        <f>IF($D896="",0,MAX(0,$D896-$I896))</f>
        <v/>
      </c>
      <c r="K896" s="122">
        <f>IF($H896=0,0,IFERROR(IF($E896="Azalan",$D896*(1-MIN(2*AmortismanAzalanCarpan*$F896,1))^MAX(0,$H896-1)*MIN(2*AmortismanAzalanCarpan*$F896,1),MIN($D896*$F896,$D896)),0))</f>
        <v/>
      </c>
      <c r="L896" s="122">
        <f>IF($D896="",0,$G896-$J896)</f>
        <v/>
      </c>
      <c r="M896" s="122">
        <f>IF($B896="","",CONCATENATE("Kıymet: ",$B896," | NDD: ",TEXT($J896,"#,##0")))</f>
        <v/>
      </c>
    </row>
    <row r="897" ht="15" customHeight="1" s="77">
      <c r="A897" s="123" t="n"/>
      <c r="B897" s="123" t="n"/>
      <c r="C897" s="124" t="n"/>
      <c r="D897" s="125" t="n"/>
      <c r="E897" s="123" t="n"/>
      <c r="F897" s="126" t="n"/>
      <c r="G897" s="125" t="n"/>
      <c r="H897" s="122">
        <f>IF($D897="",0,MAX(0,ROUNDDOWN((AmortismanRaporTarihi-$C897)/365,0)))</f>
        <v/>
      </c>
      <c r="I897" s="122">
        <f>IF($D897="",0,IFERROR(IF($E897="Azalan",MAX(0,$D897*(1-MIN(2*AmortismanAzalanCarpan*$F897,1)^$H897)),MIN($D897,$D897*$F897*$H897)),0))</f>
        <v/>
      </c>
      <c r="J897" s="122">
        <f>IF($D897="",0,MAX(0,$D897-$I897))</f>
        <v/>
      </c>
      <c r="K897" s="122">
        <f>IF($H897=0,0,IFERROR(IF($E897="Azalan",$D897*(1-MIN(2*AmortismanAzalanCarpan*$F897,1))^MAX(0,$H897-1)*MIN(2*AmortismanAzalanCarpan*$F897,1),MIN($D897*$F897,$D897)),0))</f>
        <v/>
      </c>
      <c r="L897" s="122">
        <f>IF($D897="",0,$G897-$J897)</f>
        <v/>
      </c>
      <c r="M897" s="122">
        <f>IF($B897="","",CONCATENATE("Kıymet: ",$B897," | NDD: ",TEXT($J897,"#,##0")))</f>
        <v/>
      </c>
    </row>
    <row r="898" ht="15" customHeight="1" s="77">
      <c r="A898" s="123" t="n"/>
      <c r="B898" s="123" t="n"/>
      <c r="C898" s="124" t="n"/>
      <c r="D898" s="125" t="n"/>
      <c r="E898" s="123" t="n"/>
      <c r="F898" s="126" t="n"/>
      <c r="G898" s="125" t="n"/>
      <c r="H898" s="122">
        <f>IF($D898="",0,MAX(0,ROUNDDOWN((AmortismanRaporTarihi-$C898)/365,0)))</f>
        <v/>
      </c>
      <c r="I898" s="122">
        <f>IF($D898="",0,IFERROR(IF($E898="Azalan",MAX(0,$D898*(1-MIN(2*AmortismanAzalanCarpan*$F898,1)^$H898)),MIN($D898,$D898*$F898*$H898)),0))</f>
        <v/>
      </c>
      <c r="J898" s="122">
        <f>IF($D898="",0,MAX(0,$D898-$I898))</f>
        <v/>
      </c>
      <c r="K898" s="122">
        <f>IF($H898=0,0,IFERROR(IF($E898="Azalan",$D898*(1-MIN(2*AmortismanAzalanCarpan*$F898,1))^MAX(0,$H898-1)*MIN(2*AmortismanAzalanCarpan*$F898,1),MIN($D898*$F898,$D898)),0))</f>
        <v/>
      </c>
      <c r="L898" s="122">
        <f>IF($D898="",0,$G898-$J898)</f>
        <v/>
      </c>
      <c r="M898" s="122">
        <f>IF($B898="","",CONCATENATE("Kıymet: ",$B898," | NDD: ",TEXT($J898,"#,##0")))</f>
        <v/>
      </c>
    </row>
    <row r="899" ht="15" customHeight="1" s="77">
      <c r="A899" s="123" t="n"/>
      <c r="B899" s="123" t="n"/>
      <c r="C899" s="124" t="n"/>
      <c r="D899" s="125" t="n"/>
      <c r="E899" s="123" t="n"/>
      <c r="F899" s="126" t="n"/>
      <c r="G899" s="125" t="n"/>
      <c r="H899" s="122">
        <f>IF($D899="",0,MAX(0,ROUNDDOWN((AmortismanRaporTarihi-$C899)/365,0)))</f>
        <v/>
      </c>
      <c r="I899" s="122">
        <f>IF($D899="",0,IFERROR(IF($E899="Azalan",MAX(0,$D899*(1-MIN(2*AmortismanAzalanCarpan*$F899,1)^$H899)),MIN($D899,$D899*$F899*$H899)),0))</f>
        <v/>
      </c>
      <c r="J899" s="122">
        <f>IF($D899="",0,MAX(0,$D899-$I899))</f>
        <v/>
      </c>
      <c r="K899" s="122">
        <f>IF($H899=0,0,IFERROR(IF($E899="Azalan",$D899*(1-MIN(2*AmortismanAzalanCarpan*$F899,1))^MAX(0,$H899-1)*MIN(2*AmortismanAzalanCarpan*$F899,1),MIN($D899*$F899,$D899)),0))</f>
        <v/>
      </c>
      <c r="L899" s="122">
        <f>IF($D899="",0,$G899-$J899)</f>
        <v/>
      </c>
      <c r="M899" s="122">
        <f>IF($B899="","",CONCATENATE("Kıymet: ",$B899," | NDD: ",TEXT($J899,"#,##0")))</f>
        <v/>
      </c>
    </row>
    <row r="900" ht="15" customHeight="1" s="77">
      <c r="A900" s="123" t="n"/>
      <c r="B900" s="123" t="n"/>
      <c r="C900" s="124" t="n"/>
      <c r="D900" s="125" t="n"/>
      <c r="E900" s="123" t="n"/>
      <c r="F900" s="126" t="n"/>
      <c r="G900" s="125" t="n"/>
      <c r="H900" s="122">
        <f>IF($D900="",0,MAX(0,ROUNDDOWN((AmortismanRaporTarihi-$C900)/365,0)))</f>
        <v/>
      </c>
      <c r="I900" s="122">
        <f>IF($D900="",0,IFERROR(IF($E900="Azalan",MAX(0,$D900*(1-MIN(2*AmortismanAzalanCarpan*$F900,1)^$H900)),MIN($D900,$D900*$F900*$H900)),0))</f>
        <v/>
      </c>
      <c r="J900" s="122">
        <f>IF($D900="",0,MAX(0,$D900-$I900))</f>
        <v/>
      </c>
      <c r="K900" s="122">
        <f>IF($H900=0,0,IFERROR(IF($E900="Azalan",$D900*(1-MIN(2*AmortismanAzalanCarpan*$F900,1))^MAX(0,$H900-1)*MIN(2*AmortismanAzalanCarpan*$F900,1),MIN($D900*$F900,$D900)),0))</f>
        <v/>
      </c>
      <c r="L900" s="122">
        <f>IF($D900="",0,$G900-$J900)</f>
        <v/>
      </c>
      <c r="M900" s="122">
        <f>IF($B900="","",CONCATENATE("Kıymet: ",$B900," | NDD: ",TEXT($J900,"#,##0")))</f>
        <v/>
      </c>
    </row>
    <row r="901" ht="15" customHeight="1" s="77">
      <c r="A901" s="123" t="n"/>
      <c r="B901" s="123" t="n"/>
      <c r="C901" s="124" t="n"/>
      <c r="D901" s="125" t="n"/>
      <c r="E901" s="123" t="n"/>
      <c r="F901" s="126" t="n"/>
      <c r="G901" s="125" t="n"/>
      <c r="H901" s="122">
        <f>IF($D901="",0,MAX(0,ROUNDDOWN((AmortismanRaporTarihi-$C901)/365,0)))</f>
        <v/>
      </c>
      <c r="I901" s="122">
        <f>IF($D901="",0,IFERROR(IF($E901="Azalan",MAX(0,$D901*(1-MIN(2*AmortismanAzalanCarpan*$F901,1)^$H901)),MIN($D901,$D901*$F901*$H901)),0))</f>
        <v/>
      </c>
      <c r="J901" s="122">
        <f>IF($D901="",0,MAX(0,$D901-$I901))</f>
        <v/>
      </c>
      <c r="K901" s="122">
        <f>IF($H901=0,0,IFERROR(IF($E901="Azalan",$D901*(1-MIN(2*AmortismanAzalanCarpan*$F901,1))^MAX(0,$H901-1)*MIN(2*AmortismanAzalanCarpan*$F901,1),MIN($D901*$F901,$D901)),0))</f>
        <v/>
      </c>
      <c r="L901" s="122">
        <f>IF($D901="",0,$G901-$J901)</f>
        <v/>
      </c>
      <c r="M901" s="122">
        <f>IF($B901="","",CONCATENATE("Kıymet: ",$B901," | NDD: ",TEXT($J901,"#,##0")))</f>
        <v/>
      </c>
    </row>
    <row r="902" ht="15" customHeight="1" s="77">
      <c r="A902" s="123" t="n"/>
      <c r="B902" s="123" t="n"/>
      <c r="C902" s="124" t="n"/>
      <c r="D902" s="125" t="n"/>
      <c r="E902" s="123" t="n"/>
      <c r="F902" s="126" t="n"/>
      <c r="G902" s="125" t="n"/>
      <c r="H902" s="122">
        <f>IF($D902="",0,MAX(0,ROUNDDOWN((AmortismanRaporTarihi-$C902)/365,0)))</f>
        <v/>
      </c>
      <c r="I902" s="122">
        <f>IF($D902="",0,IFERROR(IF($E902="Azalan",MAX(0,$D902*(1-MIN(2*AmortismanAzalanCarpan*$F902,1)^$H902)),MIN($D902,$D902*$F902*$H902)),0))</f>
        <v/>
      </c>
      <c r="J902" s="122">
        <f>IF($D902="",0,MAX(0,$D902-$I902))</f>
        <v/>
      </c>
      <c r="K902" s="122">
        <f>IF($H902=0,0,IFERROR(IF($E902="Azalan",$D902*(1-MIN(2*AmortismanAzalanCarpan*$F902,1))^MAX(0,$H902-1)*MIN(2*AmortismanAzalanCarpan*$F902,1),MIN($D902*$F902,$D902)),0))</f>
        <v/>
      </c>
      <c r="L902" s="122">
        <f>IF($D902="",0,$G902-$J902)</f>
        <v/>
      </c>
      <c r="M902" s="122">
        <f>IF($B902="","",CONCATENATE("Kıymet: ",$B902," | NDD: ",TEXT($J902,"#,##0")))</f>
        <v/>
      </c>
    </row>
    <row r="903" ht="15" customHeight="1" s="77">
      <c r="A903" s="123" t="n"/>
      <c r="B903" s="123" t="n"/>
      <c r="C903" s="124" t="n"/>
      <c r="D903" s="125" t="n"/>
      <c r="E903" s="123" t="n"/>
      <c r="F903" s="126" t="n"/>
      <c r="G903" s="125" t="n"/>
      <c r="H903" s="122">
        <f>IF($D903="",0,MAX(0,ROUNDDOWN((AmortismanRaporTarihi-$C903)/365,0)))</f>
        <v/>
      </c>
      <c r="I903" s="122">
        <f>IF($D903="",0,IFERROR(IF($E903="Azalan",MAX(0,$D903*(1-MIN(2*AmortismanAzalanCarpan*$F903,1)^$H903)),MIN($D903,$D903*$F903*$H903)),0))</f>
        <v/>
      </c>
      <c r="J903" s="122">
        <f>IF($D903="",0,MAX(0,$D903-$I903))</f>
        <v/>
      </c>
      <c r="K903" s="122">
        <f>IF($H903=0,0,IFERROR(IF($E903="Azalan",$D903*(1-MIN(2*AmortismanAzalanCarpan*$F903,1))^MAX(0,$H903-1)*MIN(2*AmortismanAzalanCarpan*$F903,1),MIN($D903*$F903,$D903)),0))</f>
        <v/>
      </c>
      <c r="L903" s="122">
        <f>IF($D903="",0,$G903-$J903)</f>
        <v/>
      </c>
      <c r="M903" s="122">
        <f>IF($B903="","",CONCATENATE("Kıymet: ",$B903," | NDD: ",TEXT($J903,"#,##0")))</f>
        <v/>
      </c>
    </row>
    <row r="904" ht="15" customHeight="1" s="77">
      <c r="A904" s="123" t="n"/>
      <c r="B904" s="123" t="n"/>
      <c r="C904" s="124" t="n"/>
      <c r="D904" s="125" t="n"/>
      <c r="E904" s="123" t="n"/>
      <c r="F904" s="126" t="n"/>
      <c r="G904" s="125" t="n"/>
      <c r="H904" s="122">
        <f>IF($D904="",0,MAX(0,ROUNDDOWN((AmortismanRaporTarihi-$C904)/365,0)))</f>
        <v/>
      </c>
      <c r="I904" s="122">
        <f>IF($D904="",0,IFERROR(IF($E904="Azalan",MAX(0,$D904*(1-MIN(2*AmortismanAzalanCarpan*$F904,1)^$H904)),MIN($D904,$D904*$F904*$H904)),0))</f>
        <v/>
      </c>
      <c r="J904" s="122">
        <f>IF($D904="",0,MAX(0,$D904-$I904))</f>
        <v/>
      </c>
      <c r="K904" s="122">
        <f>IF($H904=0,0,IFERROR(IF($E904="Azalan",$D904*(1-MIN(2*AmortismanAzalanCarpan*$F904,1))^MAX(0,$H904-1)*MIN(2*AmortismanAzalanCarpan*$F904,1),MIN($D904*$F904,$D904)),0))</f>
        <v/>
      </c>
      <c r="L904" s="122">
        <f>IF($D904="",0,$G904-$J904)</f>
        <v/>
      </c>
      <c r="M904" s="122">
        <f>IF($B904="","",CONCATENATE("Kıymet: ",$B904," | NDD: ",TEXT($J904,"#,##0")))</f>
        <v/>
      </c>
    </row>
    <row r="905" ht="15" customHeight="1" s="77">
      <c r="A905" s="123" t="n"/>
      <c r="B905" s="123" t="n"/>
      <c r="C905" s="124" t="n"/>
      <c r="D905" s="125" t="n"/>
      <c r="E905" s="123" t="n"/>
      <c r="F905" s="126" t="n"/>
      <c r="G905" s="125" t="n"/>
      <c r="H905" s="122">
        <f>IF($D905="",0,MAX(0,ROUNDDOWN((AmortismanRaporTarihi-$C905)/365,0)))</f>
        <v/>
      </c>
      <c r="I905" s="122">
        <f>IF($D905="",0,IFERROR(IF($E905="Azalan",MAX(0,$D905*(1-MIN(2*AmortismanAzalanCarpan*$F905,1)^$H905)),MIN($D905,$D905*$F905*$H905)),0))</f>
        <v/>
      </c>
      <c r="J905" s="122">
        <f>IF($D905="",0,MAX(0,$D905-$I905))</f>
        <v/>
      </c>
      <c r="K905" s="122">
        <f>IF($H905=0,0,IFERROR(IF($E905="Azalan",$D905*(1-MIN(2*AmortismanAzalanCarpan*$F905,1))^MAX(0,$H905-1)*MIN(2*AmortismanAzalanCarpan*$F905,1),MIN($D905*$F905,$D905)),0))</f>
        <v/>
      </c>
      <c r="L905" s="122">
        <f>IF($D905="",0,$G905-$J905)</f>
        <v/>
      </c>
      <c r="M905" s="122">
        <f>IF($B905="","",CONCATENATE("Kıymet: ",$B905," | NDD: ",TEXT($J905,"#,##0")))</f>
        <v/>
      </c>
    </row>
    <row r="906" ht="15" customHeight="1" s="77">
      <c r="A906" s="123" t="n"/>
      <c r="B906" s="123" t="n"/>
      <c r="C906" s="124" t="n"/>
      <c r="D906" s="125" t="n"/>
      <c r="E906" s="123" t="n"/>
      <c r="F906" s="126" t="n"/>
      <c r="G906" s="125" t="n"/>
      <c r="H906" s="122">
        <f>IF($D906="",0,MAX(0,ROUNDDOWN((AmortismanRaporTarihi-$C906)/365,0)))</f>
        <v/>
      </c>
      <c r="I906" s="122">
        <f>IF($D906="",0,IFERROR(IF($E906="Azalan",MAX(0,$D906*(1-MIN(2*AmortismanAzalanCarpan*$F906,1)^$H906)),MIN($D906,$D906*$F906*$H906)),0))</f>
        <v/>
      </c>
      <c r="J906" s="122">
        <f>IF($D906="",0,MAX(0,$D906-$I906))</f>
        <v/>
      </c>
      <c r="K906" s="122">
        <f>IF($H906=0,0,IFERROR(IF($E906="Azalan",$D906*(1-MIN(2*AmortismanAzalanCarpan*$F906,1))^MAX(0,$H906-1)*MIN(2*AmortismanAzalanCarpan*$F906,1),MIN($D906*$F906,$D906)),0))</f>
        <v/>
      </c>
      <c r="L906" s="122">
        <f>IF($D906="",0,$G906-$J906)</f>
        <v/>
      </c>
      <c r="M906" s="122">
        <f>IF($B906="","",CONCATENATE("Kıymet: ",$B906," | NDD: ",TEXT($J906,"#,##0")))</f>
        <v/>
      </c>
    </row>
    <row r="907" ht="15" customHeight="1" s="77">
      <c r="A907" s="123" t="n"/>
      <c r="B907" s="123" t="n"/>
      <c r="C907" s="124" t="n"/>
      <c r="D907" s="125" t="n"/>
      <c r="E907" s="123" t="n"/>
      <c r="F907" s="126" t="n"/>
      <c r="G907" s="125" t="n"/>
      <c r="H907" s="122">
        <f>IF($D907="",0,MAX(0,ROUNDDOWN((AmortismanRaporTarihi-$C907)/365,0)))</f>
        <v/>
      </c>
      <c r="I907" s="122">
        <f>IF($D907="",0,IFERROR(IF($E907="Azalan",MAX(0,$D907*(1-MIN(2*AmortismanAzalanCarpan*$F907,1)^$H907)),MIN($D907,$D907*$F907*$H907)),0))</f>
        <v/>
      </c>
      <c r="J907" s="122">
        <f>IF($D907="",0,MAX(0,$D907-$I907))</f>
        <v/>
      </c>
      <c r="K907" s="122">
        <f>IF($H907=0,0,IFERROR(IF($E907="Azalan",$D907*(1-MIN(2*AmortismanAzalanCarpan*$F907,1))^MAX(0,$H907-1)*MIN(2*AmortismanAzalanCarpan*$F907,1),MIN($D907*$F907,$D907)),0))</f>
        <v/>
      </c>
      <c r="L907" s="122">
        <f>IF($D907="",0,$G907-$J907)</f>
        <v/>
      </c>
      <c r="M907" s="122">
        <f>IF($B907="","",CONCATENATE("Kıymet: ",$B907," | NDD: ",TEXT($J907,"#,##0")))</f>
        <v/>
      </c>
    </row>
    <row r="908" ht="15" customHeight="1" s="77">
      <c r="A908" s="123" t="n"/>
      <c r="B908" s="123" t="n"/>
      <c r="C908" s="124" t="n"/>
      <c r="D908" s="125" t="n"/>
      <c r="E908" s="123" t="n"/>
      <c r="F908" s="126" t="n"/>
      <c r="G908" s="125" t="n"/>
      <c r="H908" s="122">
        <f>IF($D908="",0,MAX(0,ROUNDDOWN((AmortismanRaporTarihi-$C908)/365,0)))</f>
        <v/>
      </c>
      <c r="I908" s="122">
        <f>IF($D908="",0,IFERROR(IF($E908="Azalan",MAX(0,$D908*(1-MIN(2*AmortismanAzalanCarpan*$F908,1)^$H908)),MIN($D908,$D908*$F908*$H908)),0))</f>
        <v/>
      </c>
      <c r="J908" s="122">
        <f>IF($D908="",0,MAX(0,$D908-$I908))</f>
        <v/>
      </c>
      <c r="K908" s="122">
        <f>IF($H908=0,0,IFERROR(IF($E908="Azalan",$D908*(1-MIN(2*AmortismanAzalanCarpan*$F908,1))^MAX(0,$H908-1)*MIN(2*AmortismanAzalanCarpan*$F908,1),MIN($D908*$F908,$D908)),0))</f>
        <v/>
      </c>
      <c r="L908" s="122">
        <f>IF($D908="",0,$G908-$J908)</f>
        <v/>
      </c>
      <c r="M908" s="122">
        <f>IF($B908="","",CONCATENATE("Kıymet: ",$B908," | NDD: ",TEXT($J908,"#,##0")))</f>
        <v/>
      </c>
    </row>
    <row r="909" ht="15" customHeight="1" s="77">
      <c r="A909" s="123" t="n"/>
      <c r="B909" s="123" t="n"/>
      <c r="C909" s="124" t="n"/>
      <c r="D909" s="125" t="n"/>
      <c r="E909" s="123" t="n"/>
      <c r="F909" s="126" t="n"/>
      <c r="G909" s="125" t="n"/>
      <c r="H909" s="122">
        <f>IF($D909="",0,MAX(0,ROUNDDOWN((AmortismanRaporTarihi-$C909)/365,0)))</f>
        <v/>
      </c>
      <c r="I909" s="122">
        <f>IF($D909="",0,IFERROR(IF($E909="Azalan",MAX(0,$D909*(1-MIN(2*AmortismanAzalanCarpan*$F909,1)^$H909)),MIN($D909,$D909*$F909*$H909)),0))</f>
        <v/>
      </c>
      <c r="J909" s="122">
        <f>IF($D909="",0,MAX(0,$D909-$I909))</f>
        <v/>
      </c>
      <c r="K909" s="122">
        <f>IF($H909=0,0,IFERROR(IF($E909="Azalan",$D909*(1-MIN(2*AmortismanAzalanCarpan*$F909,1))^MAX(0,$H909-1)*MIN(2*AmortismanAzalanCarpan*$F909,1),MIN($D909*$F909,$D909)),0))</f>
        <v/>
      </c>
      <c r="L909" s="122">
        <f>IF($D909="",0,$G909-$J909)</f>
        <v/>
      </c>
      <c r="M909" s="122">
        <f>IF($B909="","",CONCATENATE("Kıymet: ",$B909," | NDD: ",TEXT($J909,"#,##0")))</f>
        <v/>
      </c>
    </row>
    <row r="910" ht="15" customHeight="1" s="77">
      <c r="A910" s="123" t="n"/>
      <c r="B910" s="123" t="n"/>
      <c r="C910" s="124" t="n"/>
      <c r="D910" s="125" t="n"/>
      <c r="E910" s="123" t="n"/>
      <c r="F910" s="126" t="n"/>
      <c r="G910" s="125" t="n"/>
      <c r="H910" s="122">
        <f>IF($D910="",0,MAX(0,ROUNDDOWN((AmortismanRaporTarihi-$C910)/365,0)))</f>
        <v/>
      </c>
      <c r="I910" s="122">
        <f>IF($D910="",0,IFERROR(IF($E910="Azalan",MAX(0,$D910*(1-MIN(2*AmortismanAzalanCarpan*$F910,1)^$H910)),MIN($D910,$D910*$F910*$H910)),0))</f>
        <v/>
      </c>
      <c r="J910" s="122">
        <f>IF($D910="",0,MAX(0,$D910-$I910))</f>
        <v/>
      </c>
      <c r="K910" s="122">
        <f>IF($H910=0,0,IFERROR(IF($E910="Azalan",$D910*(1-MIN(2*AmortismanAzalanCarpan*$F910,1))^MAX(0,$H910-1)*MIN(2*AmortismanAzalanCarpan*$F910,1),MIN($D910*$F910,$D910)),0))</f>
        <v/>
      </c>
      <c r="L910" s="122">
        <f>IF($D910="",0,$G910-$J910)</f>
        <v/>
      </c>
      <c r="M910" s="122">
        <f>IF($B910="","",CONCATENATE("Kıymet: ",$B910," | NDD: ",TEXT($J910,"#,##0")))</f>
        <v/>
      </c>
    </row>
    <row r="911" ht="15" customHeight="1" s="77">
      <c r="A911" s="123" t="n"/>
      <c r="B911" s="123" t="n"/>
      <c r="C911" s="124" t="n"/>
      <c r="D911" s="125" t="n"/>
      <c r="E911" s="123" t="n"/>
      <c r="F911" s="126" t="n"/>
      <c r="G911" s="125" t="n"/>
      <c r="H911" s="122">
        <f>IF($D911="",0,MAX(0,ROUNDDOWN((AmortismanRaporTarihi-$C911)/365,0)))</f>
        <v/>
      </c>
      <c r="I911" s="122">
        <f>IF($D911="",0,IFERROR(IF($E911="Azalan",MAX(0,$D911*(1-MIN(2*AmortismanAzalanCarpan*$F911,1)^$H911)),MIN($D911,$D911*$F911*$H911)),0))</f>
        <v/>
      </c>
      <c r="J911" s="122">
        <f>IF($D911="",0,MAX(0,$D911-$I911))</f>
        <v/>
      </c>
      <c r="K911" s="122">
        <f>IF($H911=0,0,IFERROR(IF($E911="Azalan",$D911*(1-MIN(2*AmortismanAzalanCarpan*$F911,1))^MAX(0,$H911-1)*MIN(2*AmortismanAzalanCarpan*$F911,1),MIN($D911*$F911,$D911)),0))</f>
        <v/>
      </c>
      <c r="L911" s="122">
        <f>IF($D911="",0,$G911-$J911)</f>
        <v/>
      </c>
      <c r="M911" s="122">
        <f>IF($B911="","",CONCATENATE("Kıymet: ",$B911," | NDD: ",TEXT($J911,"#,##0")))</f>
        <v/>
      </c>
    </row>
    <row r="912" ht="15" customHeight="1" s="77">
      <c r="A912" s="123" t="n"/>
      <c r="B912" s="123" t="n"/>
      <c r="C912" s="124" t="n"/>
      <c r="D912" s="125" t="n"/>
      <c r="E912" s="123" t="n"/>
      <c r="F912" s="126" t="n"/>
      <c r="G912" s="125" t="n"/>
      <c r="H912" s="122">
        <f>IF($D912="",0,MAX(0,ROUNDDOWN((AmortismanRaporTarihi-$C912)/365,0)))</f>
        <v/>
      </c>
      <c r="I912" s="122">
        <f>IF($D912="",0,IFERROR(IF($E912="Azalan",MAX(0,$D912*(1-MIN(2*AmortismanAzalanCarpan*$F912,1)^$H912)),MIN($D912,$D912*$F912*$H912)),0))</f>
        <v/>
      </c>
      <c r="J912" s="122">
        <f>IF($D912="",0,MAX(0,$D912-$I912))</f>
        <v/>
      </c>
      <c r="K912" s="122">
        <f>IF($H912=0,0,IFERROR(IF($E912="Azalan",$D912*(1-MIN(2*AmortismanAzalanCarpan*$F912,1))^MAX(0,$H912-1)*MIN(2*AmortismanAzalanCarpan*$F912,1),MIN($D912*$F912,$D912)),0))</f>
        <v/>
      </c>
      <c r="L912" s="122">
        <f>IF($D912="",0,$G912-$J912)</f>
        <v/>
      </c>
      <c r="M912" s="122">
        <f>IF($B912="","",CONCATENATE("Kıymet: ",$B912," | NDD: ",TEXT($J912,"#,##0")))</f>
        <v/>
      </c>
    </row>
    <row r="913" ht="15" customHeight="1" s="77">
      <c r="A913" s="123" t="n"/>
      <c r="B913" s="123" t="n"/>
      <c r="C913" s="124" t="n"/>
      <c r="D913" s="125" t="n"/>
      <c r="E913" s="123" t="n"/>
      <c r="F913" s="126" t="n"/>
      <c r="G913" s="125" t="n"/>
      <c r="H913" s="122">
        <f>IF($D913="",0,MAX(0,ROUNDDOWN((AmortismanRaporTarihi-$C913)/365,0)))</f>
        <v/>
      </c>
      <c r="I913" s="122">
        <f>IF($D913="",0,IFERROR(IF($E913="Azalan",MAX(0,$D913*(1-MIN(2*AmortismanAzalanCarpan*$F913,1)^$H913)),MIN($D913,$D913*$F913*$H913)),0))</f>
        <v/>
      </c>
      <c r="J913" s="122">
        <f>IF($D913="",0,MAX(0,$D913-$I913))</f>
        <v/>
      </c>
      <c r="K913" s="122">
        <f>IF($H913=0,0,IFERROR(IF($E913="Azalan",$D913*(1-MIN(2*AmortismanAzalanCarpan*$F913,1))^MAX(0,$H913-1)*MIN(2*AmortismanAzalanCarpan*$F913,1),MIN($D913*$F913,$D913)),0))</f>
        <v/>
      </c>
      <c r="L913" s="122">
        <f>IF($D913="",0,$G913-$J913)</f>
        <v/>
      </c>
      <c r="M913" s="122">
        <f>IF($B913="","",CONCATENATE("Kıymet: ",$B913," | NDD: ",TEXT($J913,"#,##0")))</f>
        <v/>
      </c>
    </row>
    <row r="914" ht="15" customHeight="1" s="77">
      <c r="A914" s="123" t="n"/>
      <c r="B914" s="123" t="n"/>
      <c r="C914" s="124" t="n"/>
      <c r="D914" s="125" t="n"/>
      <c r="E914" s="123" t="n"/>
      <c r="F914" s="126" t="n"/>
      <c r="G914" s="125" t="n"/>
      <c r="H914" s="122">
        <f>IF($D914="",0,MAX(0,ROUNDDOWN((AmortismanRaporTarihi-$C914)/365,0)))</f>
        <v/>
      </c>
      <c r="I914" s="122">
        <f>IF($D914="",0,IFERROR(IF($E914="Azalan",MAX(0,$D914*(1-MIN(2*AmortismanAzalanCarpan*$F914,1)^$H914)),MIN($D914,$D914*$F914*$H914)),0))</f>
        <v/>
      </c>
      <c r="J914" s="122">
        <f>IF($D914="",0,MAX(0,$D914-$I914))</f>
        <v/>
      </c>
      <c r="K914" s="122">
        <f>IF($H914=0,0,IFERROR(IF($E914="Azalan",$D914*(1-MIN(2*AmortismanAzalanCarpan*$F914,1))^MAX(0,$H914-1)*MIN(2*AmortismanAzalanCarpan*$F914,1),MIN($D914*$F914,$D914)),0))</f>
        <v/>
      </c>
      <c r="L914" s="122">
        <f>IF($D914="",0,$G914-$J914)</f>
        <v/>
      </c>
      <c r="M914" s="122">
        <f>IF($B914="","",CONCATENATE("Kıymet: ",$B914," | NDD: ",TEXT($J914,"#,##0")))</f>
        <v/>
      </c>
    </row>
    <row r="915" ht="15" customHeight="1" s="77">
      <c r="A915" s="123" t="n"/>
      <c r="B915" s="123" t="n"/>
      <c r="C915" s="124" t="n"/>
      <c r="D915" s="125" t="n"/>
      <c r="E915" s="123" t="n"/>
      <c r="F915" s="126" t="n"/>
      <c r="G915" s="125" t="n"/>
      <c r="H915" s="122">
        <f>IF($D915="",0,MAX(0,ROUNDDOWN((AmortismanRaporTarihi-$C915)/365,0)))</f>
        <v/>
      </c>
      <c r="I915" s="122">
        <f>IF($D915="",0,IFERROR(IF($E915="Azalan",MAX(0,$D915*(1-MIN(2*AmortismanAzalanCarpan*$F915,1)^$H915)),MIN($D915,$D915*$F915*$H915)),0))</f>
        <v/>
      </c>
      <c r="J915" s="122">
        <f>IF($D915="",0,MAX(0,$D915-$I915))</f>
        <v/>
      </c>
      <c r="K915" s="122">
        <f>IF($H915=0,0,IFERROR(IF($E915="Azalan",$D915*(1-MIN(2*AmortismanAzalanCarpan*$F915,1))^MAX(0,$H915-1)*MIN(2*AmortismanAzalanCarpan*$F915,1),MIN($D915*$F915,$D915)),0))</f>
        <v/>
      </c>
      <c r="L915" s="122">
        <f>IF($D915="",0,$G915-$J915)</f>
        <v/>
      </c>
      <c r="M915" s="122">
        <f>IF($B915="","",CONCATENATE("Kıymet: ",$B915," | NDD: ",TEXT($J915,"#,##0")))</f>
        <v/>
      </c>
    </row>
    <row r="916" ht="15" customHeight="1" s="77">
      <c r="A916" s="123" t="n"/>
      <c r="B916" s="123" t="n"/>
      <c r="C916" s="124" t="n"/>
      <c r="D916" s="125" t="n"/>
      <c r="E916" s="123" t="n"/>
      <c r="F916" s="126" t="n"/>
      <c r="G916" s="125" t="n"/>
      <c r="H916" s="122">
        <f>IF($D916="",0,MAX(0,ROUNDDOWN((AmortismanRaporTarihi-$C916)/365,0)))</f>
        <v/>
      </c>
      <c r="I916" s="122">
        <f>IF($D916="",0,IFERROR(IF($E916="Azalan",MAX(0,$D916*(1-MIN(2*AmortismanAzalanCarpan*$F916,1)^$H916)),MIN($D916,$D916*$F916*$H916)),0))</f>
        <v/>
      </c>
      <c r="J916" s="122">
        <f>IF($D916="",0,MAX(0,$D916-$I916))</f>
        <v/>
      </c>
      <c r="K916" s="122">
        <f>IF($H916=0,0,IFERROR(IF($E916="Azalan",$D916*(1-MIN(2*AmortismanAzalanCarpan*$F916,1))^MAX(0,$H916-1)*MIN(2*AmortismanAzalanCarpan*$F916,1),MIN($D916*$F916,$D916)),0))</f>
        <v/>
      </c>
      <c r="L916" s="122">
        <f>IF($D916="",0,$G916-$J916)</f>
        <v/>
      </c>
      <c r="M916" s="122">
        <f>IF($B916="","",CONCATENATE("Kıymet: ",$B916," | NDD: ",TEXT($J916,"#,##0")))</f>
        <v/>
      </c>
    </row>
    <row r="917" ht="15" customHeight="1" s="77">
      <c r="A917" s="123" t="n"/>
      <c r="B917" s="123" t="n"/>
      <c r="C917" s="124" t="n"/>
      <c r="D917" s="125" t="n"/>
      <c r="E917" s="123" t="n"/>
      <c r="F917" s="126" t="n"/>
      <c r="G917" s="125" t="n"/>
      <c r="H917" s="122">
        <f>IF($D917="",0,MAX(0,ROUNDDOWN((AmortismanRaporTarihi-$C917)/365,0)))</f>
        <v/>
      </c>
      <c r="I917" s="122">
        <f>IF($D917="",0,IFERROR(IF($E917="Azalan",MAX(0,$D917*(1-MIN(2*AmortismanAzalanCarpan*$F917,1)^$H917)),MIN($D917,$D917*$F917*$H917)),0))</f>
        <v/>
      </c>
      <c r="J917" s="122">
        <f>IF($D917="",0,MAX(0,$D917-$I917))</f>
        <v/>
      </c>
      <c r="K917" s="122">
        <f>IF($H917=0,0,IFERROR(IF($E917="Azalan",$D917*(1-MIN(2*AmortismanAzalanCarpan*$F917,1))^MAX(0,$H917-1)*MIN(2*AmortismanAzalanCarpan*$F917,1),MIN($D917*$F917,$D917)),0))</f>
        <v/>
      </c>
      <c r="L917" s="122">
        <f>IF($D917="",0,$G917-$J917)</f>
        <v/>
      </c>
      <c r="M917" s="122">
        <f>IF($B917="","",CONCATENATE("Kıymet: ",$B917," | NDD: ",TEXT($J917,"#,##0")))</f>
        <v/>
      </c>
    </row>
    <row r="918" ht="15" customHeight="1" s="77">
      <c r="A918" s="123" t="n"/>
      <c r="B918" s="123" t="n"/>
      <c r="C918" s="124" t="n"/>
      <c r="D918" s="125" t="n"/>
      <c r="E918" s="123" t="n"/>
      <c r="F918" s="126" t="n"/>
      <c r="G918" s="125" t="n"/>
      <c r="H918" s="122">
        <f>IF($D918="",0,MAX(0,ROUNDDOWN((AmortismanRaporTarihi-$C918)/365,0)))</f>
        <v/>
      </c>
      <c r="I918" s="122">
        <f>IF($D918="",0,IFERROR(IF($E918="Azalan",MAX(0,$D918*(1-MIN(2*AmortismanAzalanCarpan*$F918,1)^$H918)),MIN($D918,$D918*$F918*$H918)),0))</f>
        <v/>
      </c>
      <c r="J918" s="122">
        <f>IF($D918="",0,MAX(0,$D918-$I918))</f>
        <v/>
      </c>
      <c r="K918" s="122">
        <f>IF($H918=0,0,IFERROR(IF($E918="Azalan",$D918*(1-MIN(2*AmortismanAzalanCarpan*$F918,1))^MAX(0,$H918-1)*MIN(2*AmortismanAzalanCarpan*$F918,1),MIN($D918*$F918,$D918)),0))</f>
        <v/>
      </c>
      <c r="L918" s="122">
        <f>IF($D918="",0,$G918-$J918)</f>
        <v/>
      </c>
      <c r="M918" s="122">
        <f>IF($B918="","",CONCATENATE("Kıymet: ",$B918," | NDD: ",TEXT($J918,"#,##0")))</f>
        <v/>
      </c>
    </row>
    <row r="919" ht="15" customHeight="1" s="77">
      <c r="A919" s="123" t="n"/>
      <c r="B919" s="123" t="n"/>
      <c r="C919" s="124" t="n"/>
      <c r="D919" s="125" t="n"/>
      <c r="E919" s="123" t="n"/>
      <c r="F919" s="126" t="n"/>
      <c r="G919" s="125" t="n"/>
      <c r="H919" s="122">
        <f>IF($D919="",0,MAX(0,ROUNDDOWN((AmortismanRaporTarihi-$C919)/365,0)))</f>
        <v/>
      </c>
      <c r="I919" s="122">
        <f>IF($D919="",0,IFERROR(IF($E919="Azalan",MAX(0,$D919*(1-MIN(2*AmortismanAzalanCarpan*$F919,1)^$H919)),MIN($D919,$D919*$F919*$H919)),0))</f>
        <v/>
      </c>
      <c r="J919" s="122">
        <f>IF($D919="",0,MAX(0,$D919-$I919))</f>
        <v/>
      </c>
      <c r="K919" s="122">
        <f>IF($H919=0,0,IFERROR(IF($E919="Azalan",$D919*(1-MIN(2*AmortismanAzalanCarpan*$F919,1))^MAX(0,$H919-1)*MIN(2*AmortismanAzalanCarpan*$F919,1),MIN($D919*$F919,$D919)),0))</f>
        <v/>
      </c>
      <c r="L919" s="122">
        <f>IF($D919="",0,$G919-$J919)</f>
        <v/>
      </c>
      <c r="M919" s="122">
        <f>IF($B919="","",CONCATENATE("Kıymet: ",$B919," | NDD: ",TEXT($J919,"#,##0")))</f>
        <v/>
      </c>
    </row>
    <row r="920" ht="15" customHeight="1" s="77">
      <c r="A920" s="123" t="n"/>
      <c r="B920" s="123" t="n"/>
      <c r="C920" s="124" t="n"/>
      <c r="D920" s="125" t="n"/>
      <c r="E920" s="123" t="n"/>
      <c r="F920" s="126" t="n"/>
      <c r="G920" s="125" t="n"/>
      <c r="H920" s="122">
        <f>IF($D920="",0,MAX(0,ROUNDDOWN((AmortismanRaporTarihi-$C920)/365,0)))</f>
        <v/>
      </c>
      <c r="I920" s="122">
        <f>IF($D920="",0,IFERROR(IF($E920="Azalan",MAX(0,$D920*(1-MIN(2*AmortismanAzalanCarpan*$F920,1)^$H920)),MIN($D920,$D920*$F920*$H920)),0))</f>
        <v/>
      </c>
      <c r="J920" s="122">
        <f>IF($D920="",0,MAX(0,$D920-$I920))</f>
        <v/>
      </c>
      <c r="K920" s="122">
        <f>IF($H920=0,0,IFERROR(IF($E920="Azalan",$D920*(1-MIN(2*AmortismanAzalanCarpan*$F920,1))^MAX(0,$H920-1)*MIN(2*AmortismanAzalanCarpan*$F920,1),MIN($D920*$F920,$D920)),0))</f>
        <v/>
      </c>
      <c r="L920" s="122">
        <f>IF($D920="",0,$G920-$J920)</f>
        <v/>
      </c>
      <c r="M920" s="122">
        <f>IF($B920="","",CONCATENATE("Kıymet: ",$B920," | NDD: ",TEXT($J920,"#,##0")))</f>
        <v/>
      </c>
    </row>
    <row r="921" ht="15" customHeight="1" s="77">
      <c r="A921" s="123" t="n"/>
      <c r="B921" s="123" t="n"/>
      <c r="C921" s="124" t="n"/>
      <c r="D921" s="125" t="n"/>
      <c r="E921" s="123" t="n"/>
      <c r="F921" s="126" t="n"/>
      <c r="G921" s="125" t="n"/>
      <c r="H921" s="122">
        <f>IF($D921="",0,MAX(0,ROUNDDOWN((AmortismanRaporTarihi-$C921)/365,0)))</f>
        <v/>
      </c>
      <c r="I921" s="122">
        <f>IF($D921="",0,IFERROR(IF($E921="Azalan",MAX(0,$D921*(1-MIN(2*AmortismanAzalanCarpan*$F921,1)^$H921)),MIN($D921,$D921*$F921*$H921)),0))</f>
        <v/>
      </c>
      <c r="J921" s="122">
        <f>IF($D921="",0,MAX(0,$D921-$I921))</f>
        <v/>
      </c>
      <c r="K921" s="122">
        <f>IF($H921=0,0,IFERROR(IF($E921="Azalan",$D921*(1-MIN(2*AmortismanAzalanCarpan*$F921,1))^MAX(0,$H921-1)*MIN(2*AmortismanAzalanCarpan*$F921,1),MIN($D921*$F921,$D921)),0))</f>
        <v/>
      </c>
      <c r="L921" s="122">
        <f>IF($D921="",0,$G921-$J921)</f>
        <v/>
      </c>
      <c r="M921" s="122">
        <f>IF($B921="","",CONCATENATE("Kıymet: ",$B921," | NDD: ",TEXT($J921,"#,##0")))</f>
        <v/>
      </c>
    </row>
    <row r="922" ht="15" customHeight="1" s="77">
      <c r="A922" s="123" t="n"/>
      <c r="B922" s="123" t="n"/>
      <c r="C922" s="124" t="n"/>
      <c r="D922" s="125" t="n"/>
      <c r="E922" s="123" t="n"/>
      <c r="F922" s="126" t="n"/>
      <c r="G922" s="125" t="n"/>
      <c r="H922" s="122">
        <f>IF($D922="",0,MAX(0,ROUNDDOWN((AmortismanRaporTarihi-$C922)/365,0)))</f>
        <v/>
      </c>
      <c r="I922" s="122">
        <f>IF($D922="",0,IFERROR(IF($E922="Azalan",MAX(0,$D922*(1-MIN(2*AmortismanAzalanCarpan*$F922,1)^$H922)),MIN($D922,$D922*$F922*$H922)),0))</f>
        <v/>
      </c>
      <c r="J922" s="122">
        <f>IF($D922="",0,MAX(0,$D922-$I922))</f>
        <v/>
      </c>
      <c r="K922" s="122">
        <f>IF($H922=0,0,IFERROR(IF($E922="Azalan",$D922*(1-MIN(2*AmortismanAzalanCarpan*$F922,1))^MAX(0,$H922-1)*MIN(2*AmortismanAzalanCarpan*$F922,1),MIN($D922*$F922,$D922)),0))</f>
        <v/>
      </c>
      <c r="L922" s="122">
        <f>IF($D922="",0,$G922-$J922)</f>
        <v/>
      </c>
      <c r="M922" s="122">
        <f>IF($B922="","",CONCATENATE("Kıymet: ",$B922," | NDD: ",TEXT($J922,"#,##0")))</f>
        <v/>
      </c>
    </row>
    <row r="923" ht="15" customHeight="1" s="77">
      <c r="A923" s="123" t="n"/>
      <c r="B923" s="123" t="n"/>
      <c r="C923" s="124" t="n"/>
      <c r="D923" s="125" t="n"/>
      <c r="E923" s="123" t="n"/>
      <c r="F923" s="126" t="n"/>
      <c r="G923" s="125" t="n"/>
      <c r="H923" s="122">
        <f>IF($D923="",0,MAX(0,ROUNDDOWN((AmortismanRaporTarihi-$C923)/365,0)))</f>
        <v/>
      </c>
      <c r="I923" s="122">
        <f>IF($D923="",0,IFERROR(IF($E923="Azalan",MAX(0,$D923*(1-MIN(2*AmortismanAzalanCarpan*$F923,1)^$H923)),MIN($D923,$D923*$F923*$H923)),0))</f>
        <v/>
      </c>
      <c r="J923" s="122">
        <f>IF($D923="",0,MAX(0,$D923-$I923))</f>
        <v/>
      </c>
      <c r="K923" s="122">
        <f>IF($H923=0,0,IFERROR(IF($E923="Azalan",$D923*(1-MIN(2*AmortismanAzalanCarpan*$F923,1))^MAX(0,$H923-1)*MIN(2*AmortismanAzalanCarpan*$F923,1),MIN($D923*$F923,$D923)),0))</f>
        <v/>
      </c>
      <c r="L923" s="122">
        <f>IF($D923="",0,$G923-$J923)</f>
        <v/>
      </c>
      <c r="M923" s="122">
        <f>IF($B923="","",CONCATENATE("Kıymet: ",$B923," | NDD: ",TEXT($J923,"#,##0")))</f>
        <v/>
      </c>
    </row>
    <row r="924" ht="15" customHeight="1" s="77">
      <c r="A924" s="123" t="n"/>
      <c r="B924" s="123" t="n"/>
      <c r="C924" s="124" t="n"/>
      <c r="D924" s="125" t="n"/>
      <c r="E924" s="123" t="n"/>
      <c r="F924" s="126" t="n"/>
      <c r="G924" s="125" t="n"/>
      <c r="H924" s="122">
        <f>IF($D924="",0,MAX(0,ROUNDDOWN((AmortismanRaporTarihi-$C924)/365,0)))</f>
        <v/>
      </c>
      <c r="I924" s="122">
        <f>IF($D924="",0,IFERROR(IF($E924="Azalan",MAX(0,$D924*(1-MIN(2*AmortismanAzalanCarpan*$F924,1)^$H924)),MIN($D924,$D924*$F924*$H924)),0))</f>
        <v/>
      </c>
      <c r="J924" s="122">
        <f>IF($D924="",0,MAX(0,$D924-$I924))</f>
        <v/>
      </c>
      <c r="K924" s="122">
        <f>IF($H924=0,0,IFERROR(IF($E924="Azalan",$D924*(1-MIN(2*AmortismanAzalanCarpan*$F924,1))^MAX(0,$H924-1)*MIN(2*AmortismanAzalanCarpan*$F924,1),MIN($D924*$F924,$D924)),0))</f>
        <v/>
      </c>
      <c r="L924" s="122">
        <f>IF($D924="",0,$G924-$J924)</f>
        <v/>
      </c>
      <c r="M924" s="122">
        <f>IF($B924="","",CONCATENATE("Kıymet: ",$B924," | NDD: ",TEXT($J924,"#,##0")))</f>
        <v/>
      </c>
    </row>
    <row r="925" ht="15" customHeight="1" s="77">
      <c r="A925" s="123" t="n"/>
      <c r="B925" s="123" t="n"/>
      <c r="C925" s="124" t="n"/>
      <c r="D925" s="125" t="n"/>
      <c r="E925" s="123" t="n"/>
      <c r="F925" s="126" t="n"/>
      <c r="G925" s="125" t="n"/>
      <c r="H925" s="122">
        <f>IF($D925="",0,MAX(0,ROUNDDOWN((AmortismanRaporTarihi-$C925)/365,0)))</f>
        <v/>
      </c>
      <c r="I925" s="122">
        <f>IF($D925="",0,IFERROR(IF($E925="Azalan",MAX(0,$D925*(1-MIN(2*AmortismanAzalanCarpan*$F925,1)^$H925)),MIN($D925,$D925*$F925*$H925)),0))</f>
        <v/>
      </c>
      <c r="J925" s="122">
        <f>IF($D925="",0,MAX(0,$D925-$I925))</f>
        <v/>
      </c>
      <c r="K925" s="122">
        <f>IF($H925=0,0,IFERROR(IF($E925="Azalan",$D925*(1-MIN(2*AmortismanAzalanCarpan*$F925,1))^MAX(0,$H925-1)*MIN(2*AmortismanAzalanCarpan*$F925,1),MIN($D925*$F925,$D925)),0))</f>
        <v/>
      </c>
      <c r="L925" s="122">
        <f>IF($D925="",0,$G925-$J925)</f>
        <v/>
      </c>
      <c r="M925" s="122">
        <f>IF($B925="","",CONCATENATE("Kıymet: ",$B925," | NDD: ",TEXT($J925,"#,##0")))</f>
        <v/>
      </c>
    </row>
    <row r="926" ht="15" customHeight="1" s="77">
      <c r="A926" s="123" t="n"/>
      <c r="B926" s="123" t="n"/>
      <c r="C926" s="124" t="n"/>
      <c r="D926" s="125" t="n"/>
      <c r="E926" s="123" t="n"/>
      <c r="F926" s="126" t="n"/>
      <c r="G926" s="125" t="n"/>
      <c r="H926" s="122">
        <f>IF($D926="",0,MAX(0,ROUNDDOWN((AmortismanRaporTarihi-$C926)/365,0)))</f>
        <v/>
      </c>
      <c r="I926" s="122">
        <f>IF($D926="",0,IFERROR(IF($E926="Azalan",MAX(0,$D926*(1-MIN(2*AmortismanAzalanCarpan*$F926,1)^$H926)),MIN($D926,$D926*$F926*$H926)),0))</f>
        <v/>
      </c>
      <c r="J926" s="122">
        <f>IF($D926="",0,MAX(0,$D926-$I926))</f>
        <v/>
      </c>
      <c r="K926" s="122">
        <f>IF($H926=0,0,IFERROR(IF($E926="Azalan",$D926*(1-MIN(2*AmortismanAzalanCarpan*$F926,1))^MAX(0,$H926-1)*MIN(2*AmortismanAzalanCarpan*$F926,1),MIN($D926*$F926,$D926)),0))</f>
        <v/>
      </c>
      <c r="L926" s="122">
        <f>IF($D926="",0,$G926-$J926)</f>
        <v/>
      </c>
      <c r="M926" s="122">
        <f>IF($B926="","",CONCATENATE("Kıymet: ",$B926," | NDD: ",TEXT($J926,"#,##0")))</f>
        <v/>
      </c>
    </row>
    <row r="927" ht="15" customHeight="1" s="77">
      <c r="A927" s="123" t="n"/>
      <c r="B927" s="123" t="n"/>
      <c r="C927" s="124" t="n"/>
      <c r="D927" s="125" t="n"/>
      <c r="E927" s="123" t="n"/>
      <c r="F927" s="126" t="n"/>
      <c r="G927" s="125" t="n"/>
      <c r="H927" s="122">
        <f>IF($D927="",0,MAX(0,ROUNDDOWN((AmortismanRaporTarihi-$C927)/365,0)))</f>
        <v/>
      </c>
      <c r="I927" s="122">
        <f>IF($D927="",0,IFERROR(IF($E927="Azalan",MAX(0,$D927*(1-MIN(2*AmortismanAzalanCarpan*$F927,1)^$H927)),MIN($D927,$D927*$F927*$H927)),0))</f>
        <v/>
      </c>
      <c r="J927" s="122">
        <f>IF($D927="",0,MAX(0,$D927-$I927))</f>
        <v/>
      </c>
      <c r="K927" s="122">
        <f>IF($H927=0,0,IFERROR(IF($E927="Azalan",$D927*(1-MIN(2*AmortismanAzalanCarpan*$F927,1))^MAX(0,$H927-1)*MIN(2*AmortismanAzalanCarpan*$F927,1),MIN($D927*$F927,$D927)),0))</f>
        <v/>
      </c>
      <c r="L927" s="122">
        <f>IF($D927="",0,$G927-$J927)</f>
        <v/>
      </c>
      <c r="M927" s="122">
        <f>IF($B927="","",CONCATENATE("Kıymet: ",$B927," | NDD: ",TEXT($J927,"#,##0")))</f>
        <v/>
      </c>
    </row>
    <row r="928" ht="15" customHeight="1" s="77">
      <c r="A928" s="123" t="n"/>
      <c r="B928" s="123" t="n"/>
      <c r="C928" s="124" t="n"/>
      <c r="D928" s="125" t="n"/>
      <c r="E928" s="123" t="n"/>
      <c r="F928" s="126" t="n"/>
      <c r="G928" s="125" t="n"/>
      <c r="H928" s="122">
        <f>IF($D928="",0,MAX(0,ROUNDDOWN((AmortismanRaporTarihi-$C928)/365,0)))</f>
        <v/>
      </c>
      <c r="I928" s="122">
        <f>IF($D928="",0,IFERROR(IF($E928="Azalan",MAX(0,$D928*(1-MIN(2*AmortismanAzalanCarpan*$F928,1)^$H928)),MIN($D928,$D928*$F928*$H928)),0))</f>
        <v/>
      </c>
      <c r="J928" s="122">
        <f>IF($D928="",0,MAX(0,$D928-$I928))</f>
        <v/>
      </c>
      <c r="K928" s="122">
        <f>IF($H928=0,0,IFERROR(IF($E928="Azalan",$D928*(1-MIN(2*AmortismanAzalanCarpan*$F928,1))^MAX(0,$H928-1)*MIN(2*AmortismanAzalanCarpan*$F928,1),MIN($D928*$F928,$D928)),0))</f>
        <v/>
      </c>
      <c r="L928" s="122">
        <f>IF($D928="",0,$G928-$J928)</f>
        <v/>
      </c>
      <c r="M928" s="122">
        <f>IF($B928="","",CONCATENATE("Kıymet: ",$B928," | NDD: ",TEXT($J928,"#,##0")))</f>
        <v/>
      </c>
    </row>
    <row r="929" ht="15" customHeight="1" s="77">
      <c r="A929" s="123" t="n"/>
      <c r="B929" s="123" t="n"/>
      <c r="C929" s="124" t="n"/>
      <c r="D929" s="125" t="n"/>
      <c r="E929" s="123" t="n"/>
      <c r="F929" s="126" t="n"/>
      <c r="G929" s="125" t="n"/>
      <c r="H929" s="122">
        <f>IF($D929="",0,MAX(0,ROUNDDOWN((AmortismanRaporTarihi-$C929)/365,0)))</f>
        <v/>
      </c>
      <c r="I929" s="122">
        <f>IF($D929="",0,IFERROR(IF($E929="Azalan",MAX(0,$D929*(1-MIN(2*AmortismanAzalanCarpan*$F929,1)^$H929)),MIN($D929,$D929*$F929*$H929)),0))</f>
        <v/>
      </c>
      <c r="J929" s="122">
        <f>IF($D929="",0,MAX(0,$D929-$I929))</f>
        <v/>
      </c>
      <c r="K929" s="122">
        <f>IF($H929=0,0,IFERROR(IF($E929="Azalan",$D929*(1-MIN(2*AmortismanAzalanCarpan*$F929,1))^MAX(0,$H929-1)*MIN(2*AmortismanAzalanCarpan*$F929,1),MIN($D929*$F929,$D929)),0))</f>
        <v/>
      </c>
      <c r="L929" s="122">
        <f>IF($D929="",0,$G929-$J929)</f>
        <v/>
      </c>
      <c r="M929" s="122">
        <f>IF($B929="","",CONCATENATE("Kıymet: ",$B929," | NDD: ",TEXT($J929,"#,##0")))</f>
        <v/>
      </c>
    </row>
    <row r="930" ht="15" customHeight="1" s="77">
      <c r="A930" s="123" t="n"/>
      <c r="B930" s="123" t="n"/>
      <c r="C930" s="124" t="n"/>
      <c r="D930" s="125" t="n"/>
      <c r="E930" s="123" t="n"/>
      <c r="F930" s="126" t="n"/>
      <c r="G930" s="125" t="n"/>
      <c r="H930" s="122">
        <f>IF($D930="",0,MAX(0,ROUNDDOWN((AmortismanRaporTarihi-$C930)/365,0)))</f>
        <v/>
      </c>
      <c r="I930" s="122">
        <f>IF($D930="",0,IFERROR(IF($E930="Azalan",MAX(0,$D930*(1-MIN(2*AmortismanAzalanCarpan*$F930,1)^$H930)),MIN($D930,$D930*$F930*$H930)),0))</f>
        <v/>
      </c>
      <c r="J930" s="122">
        <f>IF($D930="",0,MAX(0,$D930-$I930))</f>
        <v/>
      </c>
      <c r="K930" s="122">
        <f>IF($H930=0,0,IFERROR(IF($E930="Azalan",$D930*(1-MIN(2*AmortismanAzalanCarpan*$F930,1))^MAX(0,$H930-1)*MIN(2*AmortismanAzalanCarpan*$F930,1),MIN($D930*$F930,$D930)),0))</f>
        <v/>
      </c>
      <c r="L930" s="122">
        <f>IF($D930="",0,$G930-$J930)</f>
        <v/>
      </c>
      <c r="M930" s="122">
        <f>IF($B930="","",CONCATENATE("Kıymet: ",$B930," | NDD: ",TEXT($J930,"#,##0")))</f>
        <v/>
      </c>
    </row>
    <row r="931" ht="15" customHeight="1" s="77">
      <c r="A931" s="123" t="n"/>
      <c r="B931" s="123" t="n"/>
      <c r="C931" s="124" t="n"/>
      <c r="D931" s="125" t="n"/>
      <c r="E931" s="123" t="n"/>
      <c r="F931" s="126" t="n"/>
      <c r="G931" s="125" t="n"/>
      <c r="H931" s="122">
        <f>IF($D931="",0,MAX(0,ROUNDDOWN((AmortismanRaporTarihi-$C931)/365,0)))</f>
        <v/>
      </c>
      <c r="I931" s="122">
        <f>IF($D931="",0,IFERROR(IF($E931="Azalan",MAX(0,$D931*(1-MIN(2*AmortismanAzalanCarpan*$F931,1)^$H931)),MIN($D931,$D931*$F931*$H931)),0))</f>
        <v/>
      </c>
      <c r="J931" s="122">
        <f>IF($D931="",0,MAX(0,$D931-$I931))</f>
        <v/>
      </c>
      <c r="K931" s="122">
        <f>IF($H931=0,0,IFERROR(IF($E931="Azalan",$D931*(1-MIN(2*AmortismanAzalanCarpan*$F931,1))^MAX(0,$H931-1)*MIN(2*AmortismanAzalanCarpan*$F931,1),MIN($D931*$F931,$D931)),0))</f>
        <v/>
      </c>
      <c r="L931" s="122">
        <f>IF($D931="",0,$G931-$J931)</f>
        <v/>
      </c>
      <c r="M931" s="122">
        <f>IF($B931="","",CONCATENATE("Kıymet: ",$B931," | NDD: ",TEXT($J931,"#,##0")))</f>
        <v/>
      </c>
    </row>
    <row r="932" ht="15" customHeight="1" s="77">
      <c r="A932" s="123" t="n"/>
      <c r="B932" s="123" t="n"/>
      <c r="C932" s="124" t="n"/>
      <c r="D932" s="125" t="n"/>
      <c r="E932" s="123" t="n"/>
      <c r="F932" s="126" t="n"/>
      <c r="G932" s="125" t="n"/>
      <c r="H932" s="122">
        <f>IF($D932="",0,MAX(0,ROUNDDOWN((AmortismanRaporTarihi-$C932)/365,0)))</f>
        <v/>
      </c>
      <c r="I932" s="122">
        <f>IF($D932="",0,IFERROR(IF($E932="Azalan",MAX(0,$D932*(1-MIN(2*AmortismanAzalanCarpan*$F932,1)^$H932)),MIN($D932,$D932*$F932*$H932)),0))</f>
        <v/>
      </c>
      <c r="J932" s="122">
        <f>IF($D932="",0,MAX(0,$D932-$I932))</f>
        <v/>
      </c>
      <c r="K932" s="122">
        <f>IF($H932=0,0,IFERROR(IF($E932="Azalan",$D932*(1-MIN(2*AmortismanAzalanCarpan*$F932,1))^MAX(0,$H932-1)*MIN(2*AmortismanAzalanCarpan*$F932,1),MIN($D932*$F932,$D932)),0))</f>
        <v/>
      </c>
      <c r="L932" s="122">
        <f>IF($D932="",0,$G932-$J932)</f>
        <v/>
      </c>
      <c r="M932" s="122">
        <f>IF($B932="","",CONCATENATE("Kıymet: ",$B932," | NDD: ",TEXT($J932,"#,##0")))</f>
        <v/>
      </c>
    </row>
    <row r="933" ht="15" customHeight="1" s="77">
      <c r="A933" s="123" t="n"/>
      <c r="B933" s="123" t="n"/>
      <c r="C933" s="124" t="n"/>
      <c r="D933" s="125" t="n"/>
      <c r="E933" s="123" t="n"/>
      <c r="F933" s="126" t="n"/>
      <c r="G933" s="125" t="n"/>
      <c r="H933" s="122">
        <f>IF($D933="",0,MAX(0,ROUNDDOWN((AmortismanRaporTarihi-$C933)/365,0)))</f>
        <v/>
      </c>
      <c r="I933" s="122">
        <f>IF($D933="",0,IFERROR(IF($E933="Azalan",MAX(0,$D933*(1-MIN(2*AmortismanAzalanCarpan*$F933,1)^$H933)),MIN($D933,$D933*$F933*$H933)),0))</f>
        <v/>
      </c>
      <c r="J933" s="122">
        <f>IF($D933="",0,MAX(0,$D933-$I933))</f>
        <v/>
      </c>
      <c r="K933" s="122">
        <f>IF($H933=0,0,IFERROR(IF($E933="Azalan",$D933*(1-MIN(2*AmortismanAzalanCarpan*$F933,1))^MAX(0,$H933-1)*MIN(2*AmortismanAzalanCarpan*$F933,1),MIN($D933*$F933,$D933)),0))</f>
        <v/>
      </c>
      <c r="L933" s="122">
        <f>IF($D933="",0,$G933-$J933)</f>
        <v/>
      </c>
      <c r="M933" s="122">
        <f>IF($B933="","",CONCATENATE("Kıymet: ",$B933," | NDD: ",TEXT($J933,"#,##0")))</f>
        <v/>
      </c>
    </row>
    <row r="934" ht="15" customHeight="1" s="77">
      <c r="A934" s="123" t="n"/>
      <c r="B934" s="123" t="n"/>
      <c r="C934" s="124" t="n"/>
      <c r="D934" s="125" t="n"/>
      <c r="E934" s="123" t="n"/>
      <c r="F934" s="126" t="n"/>
      <c r="G934" s="125" t="n"/>
      <c r="H934" s="122">
        <f>IF($D934="",0,MAX(0,ROUNDDOWN((AmortismanRaporTarihi-$C934)/365,0)))</f>
        <v/>
      </c>
      <c r="I934" s="122">
        <f>IF($D934="",0,IFERROR(IF($E934="Azalan",MAX(0,$D934*(1-MIN(2*AmortismanAzalanCarpan*$F934,1)^$H934)),MIN($D934,$D934*$F934*$H934)),0))</f>
        <v/>
      </c>
      <c r="J934" s="122">
        <f>IF($D934="",0,MAX(0,$D934-$I934))</f>
        <v/>
      </c>
      <c r="K934" s="122">
        <f>IF($H934=0,0,IFERROR(IF($E934="Azalan",$D934*(1-MIN(2*AmortismanAzalanCarpan*$F934,1))^MAX(0,$H934-1)*MIN(2*AmortismanAzalanCarpan*$F934,1),MIN($D934*$F934,$D934)),0))</f>
        <v/>
      </c>
      <c r="L934" s="122">
        <f>IF($D934="",0,$G934-$J934)</f>
        <v/>
      </c>
      <c r="M934" s="122">
        <f>IF($B934="","",CONCATENATE("Kıymet: ",$B934," | NDD: ",TEXT($J934,"#,##0")))</f>
        <v/>
      </c>
    </row>
    <row r="935" ht="15" customHeight="1" s="77">
      <c r="A935" s="123" t="n"/>
      <c r="B935" s="123" t="n"/>
      <c r="C935" s="124" t="n"/>
      <c r="D935" s="125" t="n"/>
      <c r="E935" s="123" t="n"/>
      <c r="F935" s="126" t="n"/>
      <c r="G935" s="125" t="n"/>
      <c r="H935" s="122">
        <f>IF($D935="",0,MAX(0,ROUNDDOWN((AmortismanRaporTarihi-$C935)/365,0)))</f>
        <v/>
      </c>
      <c r="I935" s="122">
        <f>IF($D935="",0,IFERROR(IF($E935="Azalan",MAX(0,$D935*(1-MIN(2*AmortismanAzalanCarpan*$F935,1)^$H935)),MIN($D935,$D935*$F935*$H935)),0))</f>
        <v/>
      </c>
      <c r="J935" s="122">
        <f>IF($D935="",0,MAX(0,$D935-$I935))</f>
        <v/>
      </c>
      <c r="K935" s="122">
        <f>IF($H935=0,0,IFERROR(IF($E935="Azalan",$D935*(1-MIN(2*AmortismanAzalanCarpan*$F935,1))^MAX(0,$H935-1)*MIN(2*AmortismanAzalanCarpan*$F935,1),MIN($D935*$F935,$D935)),0))</f>
        <v/>
      </c>
      <c r="L935" s="122">
        <f>IF($D935="",0,$G935-$J935)</f>
        <v/>
      </c>
      <c r="M935" s="122">
        <f>IF($B935="","",CONCATENATE("Kıymet: ",$B935," | NDD: ",TEXT($J935,"#,##0")))</f>
        <v/>
      </c>
    </row>
    <row r="936" ht="15" customHeight="1" s="77">
      <c r="A936" s="123" t="n"/>
      <c r="B936" s="123" t="n"/>
      <c r="C936" s="124" t="n"/>
      <c r="D936" s="125" t="n"/>
      <c r="E936" s="123" t="n"/>
      <c r="F936" s="126" t="n"/>
      <c r="G936" s="125" t="n"/>
      <c r="H936" s="122">
        <f>IF($D936="",0,MAX(0,ROUNDDOWN((AmortismanRaporTarihi-$C936)/365,0)))</f>
        <v/>
      </c>
      <c r="I936" s="122">
        <f>IF($D936="",0,IFERROR(IF($E936="Azalan",MAX(0,$D936*(1-MIN(2*AmortismanAzalanCarpan*$F936,1)^$H936)),MIN($D936,$D936*$F936*$H936)),0))</f>
        <v/>
      </c>
      <c r="J936" s="122">
        <f>IF($D936="",0,MAX(0,$D936-$I936))</f>
        <v/>
      </c>
      <c r="K936" s="122">
        <f>IF($H936=0,0,IFERROR(IF($E936="Azalan",$D936*(1-MIN(2*AmortismanAzalanCarpan*$F936,1))^MAX(0,$H936-1)*MIN(2*AmortismanAzalanCarpan*$F936,1),MIN($D936*$F936,$D936)),0))</f>
        <v/>
      </c>
      <c r="L936" s="122">
        <f>IF($D936="",0,$G936-$J936)</f>
        <v/>
      </c>
      <c r="M936" s="122">
        <f>IF($B936="","",CONCATENATE("Kıymet: ",$B936," | NDD: ",TEXT($J936,"#,##0")))</f>
        <v/>
      </c>
    </row>
    <row r="937" ht="15" customHeight="1" s="77">
      <c r="A937" s="123" t="n"/>
      <c r="B937" s="123" t="n"/>
      <c r="C937" s="124" t="n"/>
      <c r="D937" s="125" t="n"/>
      <c r="E937" s="123" t="n"/>
      <c r="F937" s="126" t="n"/>
      <c r="G937" s="125" t="n"/>
      <c r="H937" s="122">
        <f>IF($D937="",0,MAX(0,ROUNDDOWN((AmortismanRaporTarihi-$C937)/365,0)))</f>
        <v/>
      </c>
      <c r="I937" s="122">
        <f>IF($D937="",0,IFERROR(IF($E937="Azalan",MAX(0,$D937*(1-MIN(2*AmortismanAzalanCarpan*$F937,1)^$H937)),MIN($D937,$D937*$F937*$H937)),0))</f>
        <v/>
      </c>
      <c r="J937" s="122">
        <f>IF($D937="",0,MAX(0,$D937-$I937))</f>
        <v/>
      </c>
      <c r="K937" s="122">
        <f>IF($H937=0,0,IFERROR(IF($E937="Azalan",$D937*(1-MIN(2*AmortismanAzalanCarpan*$F937,1))^MAX(0,$H937-1)*MIN(2*AmortismanAzalanCarpan*$F937,1),MIN($D937*$F937,$D937)),0))</f>
        <v/>
      </c>
      <c r="L937" s="122">
        <f>IF($D937="",0,$G937-$J937)</f>
        <v/>
      </c>
      <c r="M937" s="122">
        <f>IF($B937="","",CONCATENATE("Kıymet: ",$B937," | NDD: ",TEXT($J937,"#,##0")))</f>
        <v/>
      </c>
    </row>
    <row r="938" ht="15" customHeight="1" s="77">
      <c r="A938" s="123" t="n"/>
      <c r="B938" s="123" t="n"/>
      <c r="C938" s="124" t="n"/>
      <c r="D938" s="125" t="n"/>
      <c r="E938" s="123" t="n"/>
      <c r="F938" s="126" t="n"/>
      <c r="G938" s="125" t="n"/>
      <c r="H938" s="122">
        <f>IF($D938="",0,MAX(0,ROUNDDOWN((AmortismanRaporTarihi-$C938)/365,0)))</f>
        <v/>
      </c>
      <c r="I938" s="122">
        <f>IF($D938="",0,IFERROR(IF($E938="Azalan",MAX(0,$D938*(1-MIN(2*AmortismanAzalanCarpan*$F938,1)^$H938)),MIN($D938,$D938*$F938*$H938)),0))</f>
        <v/>
      </c>
      <c r="J938" s="122">
        <f>IF($D938="",0,MAX(0,$D938-$I938))</f>
        <v/>
      </c>
      <c r="K938" s="122">
        <f>IF($H938=0,0,IFERROR(IF($E938="Azalan",$D938*(1-MIN(2*AmortismanAzalanCarpan*$F938,1))^MAX(0,$H938-1)*MIN(2*AmortismanAzalanCarpan*$F938,1),MIN($D938*$F938,$D938)),0))</f>
        <v/>
      </c>
      <c r="L938" s="122">
        <f>IF($D938="",0,$G938-$J938)</f>
        <v/>
      </c>
      <c r="M938" s="122">
        <f>IF($B938="","",CONCATENATE("Kıymet: ",$B938," | NDD: ",TEXT($J938,"#,##0")))</f>
        <v/>
      </c>
    </row>
    <row r="939" ht="15" customHeight="1" s="77">
      <c r="A939" s="123" t="n"/>
      <c r="B939" s="123" t="n"/>
      <c r="C939" s="124" t="n"/>
      <c r="D939" s="125" t="n"/>
      <c r="E939" s="123" t="n"/>
      <c r="F939" s="126" t="n"/>
      <c r="G939" s="125" t="n"/>
      <c r="H939" s="122">
        <f>IF($D939="",0,MAX(0,ROUNDDOWN((AmortismanRaporTarihi-$C939)/365,0)))</f>
        <v/>
      </c>
      <c r="I939" s="122">
        <f>IF($D939="",0,IFERROR(IF($E939="Azalan",MAX(0,$D939*(1-MIN(2*AmortismanAzalanCarpan*$F939,1)^$H939)),MIN($D939,$D939*$F939*$H939)),0))</f>
        <v/>
      </c>
      <c r="J939" s="122">
        <f>IF($D939="",0,MAX(0,$D939-$I939))</f>
        <v/>
      </c>
      <c r="K939" s="122">
        <f>IF($H939=0,0,IFERROR(IF($E939="Azalan",$D939*(1-MIN(2*AmortismanAzalanCarpan*$F939,1))^MAX(0,$H939-1)*MIN(2*AmortismanAzalanCarpan*$F939,1),MIN($D939*$F939,$D939)),0))</f>
        <v/>
      </c>
      <c r="L939" s="122">
        <f>IF($D939="",0,$G939-$J939)</f>
        <v/>
      </c>
      <c r="M939" s="122">
        <f>IF($B939="","",CONCATENATE("Kıymet: ",$B939," | NDD: ",TEXT($J939,"#,##0")))</f>
        <v/>
      </c>
    </row>
    <row r="940" ht="15" customHeight="1" s="77">
      <c r="A940" s="123" t="n"/>
      <c r="B940" s="123" t="n"/>
      <c r="C940" s="124" t="n"/>
      <c r="D940" s="125" t="n"/>
      <c r="E940" s="123" t="n"/>
      <c r="F940" s="126" t="n"/>
      <c r="G940" s="125" t="n"/>
      <c r="H940" s="122">
        <f>IF($D940="",0,MAX(0,ROUNDDOWN((AmortismanRaporTarihi-$C940)/365,0)))</f>
        <v/>
      </c>
      <c r="I940" s="122">
        <f>IF($D940="",0,IFERROR(IF($E940="Azalan",MAX(0,$D940*(1-MIN(2*AmortismanAzalanCarpan*$F940,1)^$H940)),MIN($D940,$D940*$F940*$H940)),0))</f>
        <v/>
      </c>
      <c r="J940" s="122">
        <f>IF($D940="",0,MAX(0,$D940-$I940))</f>
        <v/>
      </c>
      <c r="K940" s="122">
        <f>IF($H940=0,0,IFERROR(IF($E940="Azalan",$D940*(1-MIN(2*AmortismanAzalanCarpan*$F940,1))^MAX(0,$H940-1)*MIN(2*AmortismanAzalanCarpan*$F940,1),MIN($D940*$F940,$D940)),0))</f>
        <v/>
      </c>
      <c r="L940" s="122">
        <f>IF($D940="",0,$G940-$J940)</f>
        <v/>
      </c>
      <c r="M940" s="122">
        <f>IF($B940="","",CONCATENATE("Kıymet: ",$B940," | NDD: ",TEXT($J940,"#,##0")))</f>
        <v/>
      </c>
    </row>
    <row r="941" ht="15" customHeight="1" s="77">
      <c r="A941" s="123" t="n"/>
      <c r="B941" s="123" t="n"/>
      <c r="C941" s="124" t="n"/>
      <c r="D941" s="125" t="n"/>
      <c r="E941" s="123" t="n"/>
      <c r="F941" s="126" t="n"/>
      <c r="G941" s="125" t="n"/>
      <c r="H941" s="122">
        <f>IF($D941="",0,MAX(0,ROUNDDOWN((AmortismanRaporTarihi-$C941)/365,0)))</f>
        <v/>
      </c>
      <c r="I941" s="122">
        <f>IF($D941="",0,IFERROR(IF($E941="Azalan",MAX(0,$D941*(1-MIN(2*AmortismanAzalanCarpan*$F941,1)^$H941)),MIN($D941,$D941*$F941*$H941)),0))</f>
        <v/>
      </c>
      <c r="J941" s="122">
        <f>IF($D941="",0,MAX(0,$D941-$I941))</f>
        <v/>
      </c>
      <c r="K941" s="122">
        <f>IF($H941=0,0,IFERROR(IF($E941="Azalan",$D941*(1-MIN(2*AmortismanAzalanCarpan*$F941,1))^MAX(0,$H941-1)*MIN(2*AmortismanAzalanCarpan*$F941,1),MIN($D941*$F941,$D941)),0))</f>
        <v/>
      </c>
      <c r="L941" s="122">
        <f>IF($D941="",0,$G941-$J941)</f>
        <v/>
      </c>
      <c r="M941" s="122">
        <f>IF($B941="","",CONCATENATE("Kıymet: ",$B941," | NDD: ",TEXT($J941,"#,##0")))</f>
        <v/>
      </c>
    </row>
    <row r="942" ht="15" customHeight="1" s="77">
      <c r="A942" s="123" t="n"/>
      <c r="B942" s="123" t="n"/>
      <c r="C942" s="124" t="n"/>
      <c r="D942" s="125" t="n"/>
      <c r="E942" s="123" t="n"/>
      <c r="F942" s="126" t="n"/>
      <c r="G942" s="125" t="n"/>
      <c r="H942" s="122">
        <f>IF($D942="",0,MAX(0,ROUNDDOWN((AmortismanRaporTarihi-$C942)/365,0)))</f>
        <v/>
      </c>
      <c r="I942" s="122">
        <f>IF($D942="",0,IFERROR(IF($E942="Azalan",MAX(0,$D942*(1-MIN(2*AmortismanAzalanCarpan*$F942,1)^$H942)),MIN($D942,$D942*$F942*$H942)),0))</f>
        <v/>
      </c>
      <c r="J942" s="122">
        <f>IF($D942="",0,MAX(0,$D942-$I942))</f>
        <v/>
      </c>
      <c r="K942" s="122">
        <f>IF($H942=0,0,IFERROR(IF($E942="Azalan",$D942*(1-MIN(2*AmortismanAzalanCarpan*$F942,1))^MAX(0,$H942-1)*MIN(2*AmortismanAzalanCarpan*$F942,1),MIN($D942*$F942,$D942)),0))</f>
        <v/>
      </c>
      <c r="L942" s="122">
        <f>IF($D942="",0,$G942-$J942)</f>
        <v/>
      </c>
      <c r="M942" s="122">
        <f>IF($B942="","",CONCATENATE("Kıymet: ",$B942," | NDD: ",TEXT($J942,"#,##0")))</f>
        <v/>
      </c>
    </row>
    <row r="943" ht="15" customHeight="1" s="77">
      <c r="A943" s="123" t="n"/>
      <c r="B943" s="123" t="n"/>
      <c r="C943" s="124" t="n"/>
      <c r="D943" s="125" t="n"/>
      <c r="E943" s="123" t="n"/>
      <c r="F943" s="126" t="n"/>
      <c r="G943" s="125" t="n"/>
      <c r="H943" s="122">
        <f>IF($D943="",0,MAX(0,ROUNDDOWN((AmortismanRaporTarihi-$C943)/365,0)))</f>
        <v/>
      </c>
      <c r="I943" s="122">
        <f>IF($D943="",0,IFERROR(IF($E943="Azalan",MAX(0,$D943*(1-MIN(2*AmortismanAzalanCarpan*$F943,1)^$H943)),MIN($D943,$D943*$F943*$H943)),0))</f>
        <v/>
      </c>
      <c r="J943" s="122">
        <f>IF($D943="",0,MAX(0,$D943-$I943))</f>
        <v/>
      </c>
      <c r="K943" s="122">
        <f>IF($H943=0,0,IFERROR(IF($E943="Azalan",$D943*(1-MIN(2*AmortismanAzalanCarpan*$F943,1))^MAX(0,$H943-1)*MIN(2*AmortismanAzalanCarpan*$F943,1),MIN($D943*$F943,$D943)),0))</f>
        <v/>
      </c>
      <c r="L943" s="122">
        <f>IF($D943="",0,$G943-$J943)</f>
        <v/>
      </c>
      <c r="M943" s="122">
        <f>IF($B943="","",CONCATENATE("Kıymet: ",$B943," | NDD: ",TEXT($J943,"#,##0")))</f>
        <v/>
      </c>
    </row>
    <row r="944" ht="15" customHeight="1" s="77">
      <c r="A944" s="123" t="n"/>
      <c r="B944" s="123" t="n"/>
      <c r="C944" s="124" t="n"/>
      <c r="D944" s="125" t="n"/>
      <c r="E944" s="123" t="n"/>
      <c r="F944" s="126" t="n"/>
      <c r="G944" s="125" t="n"/>
      <c r="H944" s="122">
        <f>IF($D944="",0,MAX(0,ROUNDDOWN((AmortismanRaporTarihi-$C944)/365,0)))</f>
        <v/>
      </c>
      <c r="I944" s="122">
        <f>IF($D944="",0,IFERROR(IF($E944="Azalan",MAX(0,$D944*(1-MIN(2*AmortismanAzalanCarpan*$F944,1)^$H944)),MIN($D944,$D944*$F944*$H944)),0))</f>
        <v/>
      </c>
      <c r="J944" s="122">
        <f>IF($D944="",0,MAX(0,$D944-$I944))</f>
        <v/>
      </c>
      <c r="K944" s="122">
        <f>IF($H944=0,0,IFERROR(IF($E944="Azalan",$D944*(1-MIN(2*AmortismanAzalanCarpan*$F944,1))^MAX(0,$H944-1)*MIN(2*AmortismanAzalanCarpan*$F944,1),MIN($D944*$F944,$D944)),0))</f>
        <v/>
      </c>
      <c r="L944" s="122">
        <f>IF($D944="",0,$G944-$J944)</f>
        <v/>
      </c>
      <c r="M944" s="122">
        <f>IF($B944="","",CONCATENATE("Kıymet: ",$B944," | NDD: ",TEXT($J944,"#,##0")))</f>
        <v/>
      </c>
    </row>
    <row r="945" ht="15" customHeight="1" s="77">
      <c r="A945" s="123" t="n"/>
      <c r="B945" s="123" t="n"/>
      <c r="C945" s="124" t="n"/>
      <c r="D945" s="125" t="n"/>
      <c r="E945" s="123" t="n"/>
      <c r="F945" s="126" t="n"/>
      <c r="G945" s="125" t="n"/>
      <c r="H945" s="122">
        <f>IF($D945="",0,MAX(0,ROUNDDOWN((AmortismanRaporTarihi-$C945)/365,0)))</f>
        <v/>
      </c>
      <c r="I945" s="122">
        <f>IF($D945="",0,IFERROR(IF($E945="Azalan",MAX(0,$D945*(1-MIN(2*AmortismanAzalanCarpan*$F945,1)^$H945)),MIN($D945,$D945*$F945*$H945)),0))</f>
        <v/>
      </c>
      <c r="J945" s="122">
        <f>IF($D945="",0,MAX(0,$D945-$I945))</f>
        <v/>
      </c>
      <c r="K945" s="122">
        <f>IF($H945=0,0,IFERROR(IF($E945="Azalan",$D945*(1-MIN(2*AmortismanAzalanCarpan*$F945,1))^MAX(0,$H945-1)*MIN(2*AmortismanAzalanCarpan*$F945,1),MIN($D945*$F945,$D945)),0))</f>
        <v/>
      </c>
      <c r="L945" s="122">
        <f>IF($D945="",0,$G945-$J945)</f>
        <v/>
      </c>
      <c r="M945" s="122">
        <f>IF($B945="","",CONCATENATE("Kıymet: ",$B945," | NDD: ",TEXT($J945,"#,##0")))</f>
        <v/>
      </c>
    </row>
    <row r="946" ht="15" customHeight="1" s="77">
      <c r="A946" s="123" t="n"/>
      <c r="B946" s="123" t="n"/>
      <c r="C946" s="124" t="n"/>
      <c r="D946" s="125" t="n"/>
      <c r="E946" s="123" t="n"/>
      <c r="F946" s="126" t="n"/>
      <c r="G946" s="125" t="n"/>
      <c r="H946" s="122">
        <f>IF($D946="",0,MAX(0,ROUNDDOWN((AmortismanRaporTarihi-$C946)/365,0)))</f>
        <v/>
      </c>
      <c r="I946" s="122">
        <f>IF($D946="",0,IFERROR(IF($E946="Azalan",MAX(0,$D946*(1-MIN(2*AmortismanAzalanCarpan*$F946,1)^$H946)),MIN($D946,$D946*$F946*$H946)),0))</f>
        <v/>
      </c>
      <c r="J946" s="122">
        <f>IF($D946="",0,MAX(0,$D946-$I946))</f>
        <v/>
      </c>
      <c r="K946" s="122">
        <f>IF($H946=0,0,IFERROR(IF($E946="Azalan",$D946*(1-MIN(2*AmortismanAzalanCarpan*$F946,1))^MAX(0,$H946-1)*MIN(2*AmortismanAzalanCarpan*$F946,1),MIN($D946*$F946,$D946)),0))</f>
        <v/>
      </c>
      <c r="L946" s="122">
        <f>IF($D946="",0,$G946-$J946)</f>
        <v/>
      </c>
      <c r="M946" s="122">
        <f>IF($B946="","",CONCATENATE("Kıymet: ",$B946," | NDD: ",TEXT($J946,"#,##0")))</f>
        <v/>
      </c>
    </row>
    <row r="947" ht="15" customHeight="1" s="77">
      <c r="A947" s="123" t="n"/>
      <c r="B947" s="123" t="n"/>
      <c r="C947" s="124" t="n"/>
      <c r="D947" s="125" t="n"/>
      <c r="E947" s="123" t="n"/>
      <c r="F947" s="126" t="n"/>
      <c r="G947" s="125" t="n"/>
      <c r="H947" s="122">
        <f>IF($D947="",0,MAX(0,ROUNDDOWN((AmortismanRaporTarihi-$C947)/365,0)))</f>
        <v/>
      </c>
      <c r="I947" s="122">
        <f>IF($D947="",0,IFERROR(IF($E947="Azalan",MAX(0,$D947*(1-MIN(2*AmortismanAzalanCarpan*$F947,1)^$H947)),MIN($D947,$D947*$F947*$H947)),0))</f>
        <v/>
      </c>
      <c r="J947" s="122">
        <f>IF($D947="",0,MAX(0,$D947-$I947))</f>
        <v/>
      </c>
      <c r="K947" s="122">
        <f>IF($H947=0,0,IFERROR(IF($E947="Azalan",$D947*(1-MIN(2*AmortismanAzalanCarpan*$F947,1))^MAX(0,$H947-1)*MIN(2*AmortismanAzalanCarpan*$F947,1),MIN($D947*$F947,$D947)),0))</f>
        <v/>
      </c>
      <c r="L947" s="122">
        <f>IF($D947="",0,$G947-$J947)</f>
        <v/>
      </c>
      <c r="M947" s="122">
        <f>IF($B947="","",CONCATENATE("Kıymet: ",$B947," | NDD: ",TEXT($J947,"#,##0")))</f>
        <v/>
      </c>
    </row>
    <row r="948" ht="15" customHeight="1" s="77">
      <c r="A948" s="123" t="n"/>
      <c r="B948" s="123" t="n"/>
      <c r="C948" s="124" t="n"/>
      <c r="D948" s="125" t="n"/>
      <c r="E948" s="123" t="n"/>
      <c r="F948" s="126" t="n"/>
      <c r="G948" s="125" t="n"/>
      <c r="H948" s="122">
        <f>IF($D948="",0,MAX(0,ROUNDDOWN((AmortismanRaporTarihi-$C948)/365,0)))</f>
        <v/>
      </c>
      <c r="I948" s="122">
        <f>IF($D948="",0,IFERROR(IF($E948="Azalan",MAX(0,$D948*(1-MIN(2*AmortismanAzalanCarpan*$F948,1)^$H948)),MIN($D948,$D948*$F948*$H948)),0))</f>
        <v/>
      </c>
      <c r="J948" s="122">
        <f>IF($D948="",0,MAX(0,$D948-$I948))</f>
        <v/>
      </c>
      <c r="K948" s="122">
        <f>IF($H948=0,0,IFERROR(IF($E948="Azalan",$D948*(1-MIN(2*AmortismanAzalanCarpan*$F948,1))^MAX(0,$H948-1)*MIN(2*AmortismanAzalanCarpan*$F948,1),MIN($D948*$F948,$D948)),0))</f>
        <v/>
      </c>
      <c r="L948" s="122">
        <f>IF($D948="",0,$G948-$J948)</f>
        <v/>
      </c>
      <c r="M948" s="122">
        <f>IF($B948="","",CONCATENATE("Kıymet: ",$B948," | NDD: ",TEXT($J948,"#,##0")))</f>
        <v/>
      </c>
    </row>
    <row r="949" ht="15" customHeight="1" s="77">
      <c r="A949" s="123" t="n"/>
      <c r="B949" s="123" t="n"/>
      <c r="C949" s="124" t="n"/>
      <c r="D949" s="125" t="n"/>
      <c r="E949" s="123" t="n"/>
      <c r="F949" s="126" t="n"/>
      <c r="G949" s="125" t="n"/>
      <c r="H949" s="122">
        <f>IF($D949="",0,MAX(0,ROUNDDOWN((AmortismanRaporTarihi-$C949)/365,0)))</f>
        <v/>
      </c>
      <c r="I949" s="122">
        <f>IF($D949="",0,IFERROR(IF($E949="Azalan",MAX(0,$D949*(1-MIN(2*AmortismanAzalanCarpan*$F949,1)^$H949)),MIN($D949,$D949*$F949*$H949)),0))</f>
        <v/>
      </c>
      <c r="J949" s="122">
        <f>IF($D949="",0,MAX(0,$D949-$I949))</f>
        <v/>
      </c>
      <c r="K949" s="122">
        <f>IF($H949=0,0,IFERROR(IF($E949="Azalan",$D949*(1-MIN(2*AmortismanAzalanCarpan*$F949,1))^MAX(0,$H949-1)*MIN(2*AmortismanAzalanCarpan*$F949,1),MIN($D949*$F949,$D949)),0))</f>
        <v/>
      </c>
      <c r="L949" s="122">
        <f>IF($D949="",0,$G949-$J949)</f>
        <v/>
      </c>
      <c r="M949" s="122">
        <f>IF($B949="","",CONCATENATE("Kıymet: ",$B949," | NDD: ",TEXT($J949,"#,##0")))</f>
        <v/>
      </c>
    </row>
    <row r="950" ht="15" customHeight="1" s="77">
      <c r="A950" s="123" t="n"/>
      <c r="B950" s="123" t="n"/>
      <c r="C950" s="124" t="n"/>
      <c r="D950" s="125" t="n"/>
      <c r="E950" s="123" t="n"/>
      <c r="F950" s="126" t="n"/>
      <c r="G950" s="125" t="n"/>
      <c r="H950" s="122">
        <f>IF($D950="",0,MAX(0,ROUNDDOWN((AmortismanRaporTarihi-$C950)/365,0)))</f>
        <v/>
      </c>
      <c r="I950" s="122">
        <f>IF($D950="",0,IFERROR(IF($E950="Azalan",MAX(0,$D950*(1-MIN(2*AmortismanAzalanCarpan*$F950,1)^$H950)),MIN($D950,$D950*$F950*$H950)),0))</f>
        <v/>
      </c>
      <c r="J950" s="122">
        <f>IF($D950="",0,MAX(0,$D950-$I950))</f>
        <v/>
      </c>
      <c r="K950" s="122">
        <f>IF($H950=0,0,IFERROR(IF($E950="Azalan",$D950*(1-MIN(2*AmortismanAzalanCarpan*$F950,1))^MAX(0,$H950-1)*MIN(2*AmortismanAzalanCarpan*$F950,1),MIN($D950*$F950,$D950)),0))</f>
        <v/>
      </c>
      <c r="L950" s="122">
        <f>IF($D950="",0,$G950-$J950)</f>
        <v/>
      </c>
      <c r="M950" s="122">
        <f>IF($B950="","",CONCATENATE("Kıymet: ",$B950," | NDD: ",TEXT($J950,"#,##0")))</f>
        <v/>
      </c>
    </row>
    <row r="951" ht="15" customHeight="1" s="77">
      <c r="A951" s="123" t="n"/>
      <c r="B951" s="123" t="n"/>
      <c r="C951" s="124" t="n"/>
      <c r="D951" s="125" t="n"/>
      <c r="E951" s="123" t="n"/>
      <c r="F951" s="126" t="n"/>
      <c r="G951" s="125" t="n"/>
      <c r="H951" s="122">
        <f>IF($D951="",0,MAX(0,ROUNDDOWN((AmortismanRaporTarihi-$C951)/365,0)))</f>
        <v/>
      </c>
      <c r="I951" s="122">
        <f>IF($D951="",0,IFERROR(IF($E951="Azalan",MAX(0,$D951*(1-MIN(2*AmortismanAzalanCarpan*$F951,1)^$H951)),MIN($D951,$D951*$F951*$H951)),0))</f>
        <v/>
      </c>
      <c r="J951" s="122">
        <f>IF($D951="",0,MAX(0,$D951-$I951))</f>
        <v/>
      </c>
      <c r="K951" s="122">
        <f>IF($H951=0,0,IFERROR(IF($E951="Azalan",$D951*(1-MIN(2*AmortismanAzalanCarpan*$F951,1))^MAX(0,$H951-1)*MIN(2*AmortismanAzalanCarpan*$F951,1),MIN($D951*$F951,$D951)),0))</f>
        <v/>
      </c>
      <c r="L951" s="122">
        <f>IF($D951="",0,$G951-$J951)</f>
        <v/>
      </c>
      <c r="M951" s="122">
        <f>IF($B951="","",CONCATENATE("Kıymet: ",$B951," | NDD: ",TEXT($J951,"#,##0")))</f>
        <v/>
      </c>
    </row>
    <row r="952" ht="15" customHeight="1" s="77">
      <c r="A952" s="123" t="n"/>
      <c r="B952" s="123" t="n"/>
      <c r="C952" s="124" t="n"/>
      <c r="D952" s="125" t="n"/>
      <c r="E952" s="123" t="n"/>
      <c r="F952" s="126" t="n"/>
      <c r="G952" s="125" t="n"/>
      <c r="H952" s="122">
        <f>IF($D952="",0,MAX(0,ROUNDDOWN((AmortismanRaporTarihi-$C952)/365,0)))</f>
        <v/>
      </c>
      <c r="I952" s="122">
        <f>IF($D952="",0,IFERROR(IF($E952="Azalan",MAX(0,$D952*(1-MIN(2*AmortismanAzalanCarpan*$F952,1)^$H952)),MIN($D952,$D952*$F952*$H952)),0))</f>
        <v/>
      </c>
      <c r="J952" s="122">
        <f>IF($D952="",0,MAX(0,$D952-$I952))</f>
        <v/>
      </c>
      <c r="K952" s="122">
        <f>IF($H952=0,0,IFERROR(IF($E952="Azalan",$D952*(1-MIN(2*AmortismanAzalanCarpan*$F952,1))^MAX(0,$H952-1)*MIN(2*AmortismanAzalanCarpan*$F952,1),MIN($D952*$F952,$D952)),0))</f>
        <v/>
      </c>
      <c r="L952" s="122">
        <f>IF($D952="",0,$G952-$J952)</f>
        <v/>
      </c>
      <c r="M952" s="122">
        <f>IF($B952="","",CONCATENATE("Kıymet: ",$B952," | NDD: ",TEXT($J952,"#,##0")))</f>
        <v/>
      </c>
    </row>
    <row r="953" ht="15" customHeight="1" s="77">
      <c r="A953" s="123" t="n"/>
      <c r="B953" s="123" t="n"/>
      <c r="C953" s="124" t="n"/>
      <c r="D953" s="125" t="n"/>
      <c r="E953" s="123" t="n"/>
      <c r="F953" s="126" t="n"/>
      <c r="G953" s="125" t="n"/>
      <c r="H953" s="122">
        <f>IF($D953="",0,MAX(0,ROUNDDOWN((AmortismanRaporTarihi-$C953)/365,0)))</f>
        <v/>
      </c>
      <c r="I953" s="122">
        <f>IF($D953="",0,IFERROR(IF($E953="Azalan",MAX(0,$D953*(1-MIN(2*AmortismanAzalanCarpan*$F953,1)^$H953)),MIN($D953,$D953*$F953*$H953)),0))</f>
        <v/>
      </c>
      <c r="J953" s="122">
        <f>IF($D953="",0,MAX(0,$D953-$I953))</f>
        <v/>
      </c>
      <c r="K953" s="122">
        <f>IF($H953=0,0,IFERROR(IF($E953="Azalan",$D953*(1-MIN(2*AmortismanAzalanCarpan*$F953,1))^MAX(0,$H953-1)*MIN(2*AmortismanAzalanCarpan*$F953,1),MIN($D953*$F953,$D953)),0))</f>
        <v/>
      </c>
      <c r="L953" s="122">
        <f>IF($D953="",0,$G953-$J953)</f>
        <v/>
      </c>
      <c r="M953" s="122">
        <f>IF($B953="","",CONCATENATE("Kıymet: ",$B953," | NDD: ",TEXT($J953,"#,##0")))</f>
        <v/>
      </c>
    </row>
    <row r="954" ht="15" customHeight="1" s="77">
      <c r="A954" s="123" t="n"/>
      <c r="B954" s="123" t="n"/>
      <c r="C954" s="124" t="n"/>
      <c r="D954" s="125" t="n"/>
      <c r="E954" s="123" t="n"/>
      <c r="F954" s="126" t="n"/>
      <c r="G954" s="125" t="n"/>
      <c r="H954" s="122">
        <f>IF($D954="",0,MAX(0,ROUNDDOWN((AmortismanRaporTarihi-$C954)/365,0)))</f>
        <v/>
      </c>
      <c r="I954" s="122">
        <f>IF($D954="",0,IFERROR(IF($E954="Azalan",MAX(0,$D954*(1-MIN(2*AmortismanAzalanCarpan*$F954,1)^$H954)),MIN($D954,$D954*$F954*$H954)),0))</f>
        <v/>
      </c>
      <c r="J954" s="122">
        <f>IF($D954="",0,MAX(0,$D954-$I954))</f>
        <v/>
      </c>
      <c r="K954" s="122">
        <f>IF($H954=0,0,IFERROR(IF($E954="Azalan",$D954*(1-MIN(2*AmortismanAzalanCarpan*$F954,1))^MAX(0,$H954-1)*MIN(2*AmortismanAzalanCarpan*$F954,1),MIN($D954*$F954,$D954)),0))</f>
        <v/>
      </c>
      <c r="L954" s="122">
        <f>IF($D954="",0,$G954-$J954)</f>
        <v/>
      </c>
      <c r="M954" s="122">
        <f>IF($B954="","",CONCATENATE("Kıymet: ",$B954," | NDD: ",TEXT($J954,"#,##0")))</f>
        <v/>
      </c>
    </row>
    <row r="955" ht="15" customHeight="1" s="77">
      <c r="A955" s="123" t="n"/>
      <c r="B955" s="123" t="n"/>
      <c r="C955" s="124" t="n"/>
      <c r="D955" s="125" t="n"/>
      <c r="E955" s="123" t="n"/>
      <c r="F955" s="126" t="n"/>
      <c r="G955" s="125" t="n"/>
      <c r="H955" s="122">
        <f>IF($D955="",0,MAX(0,ROUNDDOWN((AmortismanRaporTarihi-$C955)/365,0)))</f>
        <v/>
      </c>
      <c r="I955" s="122">
        <f>IF($D955="",0,IFERROR(IF($E955="Azalan",MAX(0,$D955*(1-MIN(2*AmortismanAzalanCarpan*$F955,1)^$H955)),MIN($D955,$D955*$F955*$H955)),0))</f>
        <v/>
      </c>
      <c r="J955" s="122">
        <f>IF($D955="",0,MAX(0,$D955-$I955))</f>
        <v/>
      </c>
      <c r="K955" s="122">
        <f>IF($H955=0,0,IFERROR(IF($E955="Azalan",$D955*(1-MIN(2*AmortismanAzalanCarpan*$F955,1))^MAX(0,$H955-1)*MIN(2*AmortismanAzalanCarpan*$F955,1),MIN($D955*$F955,$D955)),0))</f>
        <v/>
      </c>
      <c r="L955" s="122">
        <f>IF($D955="",0,$G955-$J955)</f>
        <v/>
      </c>
      <c r="M955" s="122">
        <f>IF($B955="","",CONCATENATE("Kıymet: ",$B955," | NDD: ",TEXT($J955,"#,##0")))</f>
        <v/>
      </c>
    </row>
    <row r="956" ht="15" customHeight="1" s="77">
      <c r="A956" s="123" t="n"/>
      <c r="B956" s="123" t="n"/>
      <c r="C956" s="124" t="n"/>
      <c r="D956" s="125" t="n"/>
      <c r="E956" s="123" t="n"/>
      <c r="F956" s="126" t="n"/>
      <c r="G956" s="125" t="n"/>
      <c r="H956" s="122">
        <f>IF($D956="",0,MAX(0,ROUNDDOWN((AmortismanRaporTarihi-$C956)/365,0)))</f>
        <v/>
      </c>
      <c r="I956" s="122">
        <f>IF($D956="",0,IFERROR(IF($E956="Azalan",MAX(0,$D956*(1-MIN(2*AmortismanAzalanCarpan*$F956,1)^$H956)),MIN($D956,$D956*$F956*$H956)),0))</f>
        <v/>
      </c>
      <c r="J956" s="122">
        <f>IF($D956="",0,MAX(0,$D956-$I956))</f>
        <v/>
      </c>
      <c r="K956" s="122">
        <f>IF($H956=0,0,IFERROR(IF($E956="Azalan",$D956*(1-MIN(2*AmortismanAzalanCarpan*$F956,1))^MAX(0,$H956-1)*MIN(2*AmortismanAzalanCarpan*$F956,1),MIN($D956*$F956,$D956)),0))</f>
        <v/>
      </c>
      <c r="L956" s="122">
        <f>IF($D956="",0,$G956-$J956)</f>
        <v/>
      </c>
      <c r="M956" s="122">
        <f>IF($B956="","",CONCATENATE("Kıymet: ",$B956," | NDD: ",TEXT($J956,"#,##0")))</f>
        <v/>
      </c>
    </row>
    <row r="957" ht="15" customHeight="1" s="77">
      <c r="A957" s="123" t="n"/>
      <c r="B957" s="123" t="n"/>
      <c r="C957" s="124" t="n"/>
      <c r="D957" s="125" t="n"/>
      <c r="E957" s="123" t="n"/>
      <c r="F957" s="126" t="n"/>
      <c r="G957" s="125" t="n"/>
      <c r="H957" s="122">
        <f>IF($D957="",0,MAX(0,ROUNDDOWN((AmortismanRaporTarihi-$C957)/365,0)))</f>
        <v/>
      </c>
      <c r="I957" s="122">
        <f>IF($D957="",0,IFERROR(IF($E957="Azalan",MAX(0,$D957*(1-MIN(2*AmortismanAzalanCarpan*$F957,1)^$H957)),MIN($D957,$D957*$F957*$H957)),0))</f>
        <v/>
      </c>
      <c r="J957" s="122">
        <f>IF($D957="",0,MAX(0,$D957-$I957))</f>
        <v/>
      </c>
      <c r="K957" s="122">
        <f>IF($H957=0,0,IFERROR(IF($E957="Azalan",$D957*(1-MIN(2*AmortismanAzalanCarpan*$F957,1))^MAX(0,$H957-1)*MIN(2*AmortismanAzalanCarpan*$F957,1),MIN($D957*$F957,$D957)),0))</f>
        <v/>
      </c>
      <c r="L957" s="122">
        <f>IF($D957="",0,$G957-$J957)</f>
        <v/>
      </c>
      <c r="M957" s="122">
        <f>IF($B957="","",CONCATENATE("Kıymet: ",$B957," | NDD: ",TEXT($J957,"#,##0")))</f>
        <v/>
      </c>
    </row>
    <row r="958" ht="15" customHeight="1" s="77">
      <c r="A958" s="123" t="n"/>
      <c r="B958" s="123" t="n"/>
      <c r="C958" s="124" t="n"/>
      <c r="D958" s="125" t="n"/>
      <c r="E958" s="123" t="n"/>
      <c r="F958" s="126" t="n"/>
      <c r="G958" s="125" t="n"/>
      <c r="H958" s="122">
        <f>IF($D958="",0,MAX(0,ROUNDDOWN((AmortismanRaporTarihi-$C958)/365,0)))</f>
        <v/>
      </c>
      <c r="I958" s="122">
        <f>IF($D958="",0,IFERROR(IF($E958="Azalan",MAX(0,$D958*(1-MIN(2*AmortismanAzalanCarpan*$F958,1)^$H958)),MIN($D958,$D958*$F958*$H958)),0))</f>
        <v/>
      </c>
      <c r="J958" s="122">
        <f>IF($D958="",0,MAX(0,$D958-$I958))</f>
        <v/>
      </c>
      <c r="K958" s="122">
        <f>IF($H958=0,0,IFERROR(IF($E958="Azalan",$D958*(1-MIN(2*AmortismanAzalanCarpan*$F958,1))^MAX(0,$H958-1)*MIN(2*AmortismanAzalanCarpan*$F958,1),MIN($D958*$F958,$D958)),0))</f>
        <v/>
      </c>
      <c r="L958" s="122">
        <f>IF($D958="",0,$G958-$J958)</f>
        <v/>
      </c>
      <c r="M958" s="122">
        <f>IF($B958="","",CONCATENATE("Kıymet: ",$B958," | NDD: ",TEXT($J958,"#,##0")))</f>
        <v/>
      </c>
    </row>
    <row r="959" ht="15" customHeight="1" s="77">
      <c r="A959" s="123" t="n"/>
      <c r="B959" s="123" t="n"/>
      <c r="C959" s="124" t="n"/>
      <c r="D959" s="125" t="n"/>
      <c r="E959" s="123" t="n"/>
      <c r="F959" s="126" t="n"/>
      <c r="G959" s="125" t="n"/>
      <c r="H959" s="122">
        <f>IF($D959="",0,MAX(0,ROUNDDOWN((AmortismanRaporTarihi-$C959)/365,0)))</f>
        <v/>
      </c>
      <c r="I959" s="122">
        <f>IF($D959="",0,IFERROR(IF($E959="Azalan",MAX(0,$D959*(1-MIN(2*AmortismanAzalanCarpan*$F959,1)^$H959)),MIN($D959,$D959*$F959*$H959)),0))</f>
        <v/>
      </c>
      <c r="J959" s="122">
        <f>IF($D959="",0,MAX(0,$D959-$I959))</f>
        <v/>
      </c>
      <c r="K959" s="122">
        <f>IF($H959=0,0,IFERROR(IF($E959="Azalan",$D959*(1-MIN(2*AmortismanAzalanCarpan*$F959,1))^MAX(0,$H959-1)*MIN(2*AmortismanAzalanCarpan*$F959,1),MIN($D959*$F959,$D959)),0))</f>
        <v/>
      </c>
      <c r="L959" s="122">
        <f>IF($D959="",0,$G959-$J959)</f>
        <v/>
      </c>
      <c r="M959" s="122">
        <f>IF($B959="","",CONCATENATE("Kıymet: ",$B959," | NDD: ",TEXT($J959,"#,##0")))</f>
        <v/>
      </c>
    </row>
    <row r="960" ht="15" customHeight="1" s="77">
      <c r="A960" s="123" t="n"/>
      <c r="B960" s="123" t="n"/>
      <c r="C960" s="124" t="n"/>
      <c r="D960" s="125" t="n"/>
      <c r="E960" s="123" t="n"/>
      <c r="F960" s="126" t="n"/>
      <c r="G960" s="125" t="n"/>
      <c r="H960" s="122">
        <f>IF($D960="",0,MAX(0,ROUNDDOWN((AmortismanRaporTarihi-$C960)/365,0)))</f>
        <v/>
      </c>
      <c r="I960" s="122">
        <f>IF($D960="",0,IFERROR(IF($E960="Azalan",MAX(0,$D960*(1-MIN(2*AmortismanAzalanCarpan*$F960,1)^$H960)),MIN($D960,$D960*$F960*$H960)),0))</f>
        <v/>
      </c>
      <c r="J960" s="122">
        <f>IF($D960="",0,MAX(0,$D960-$I960))</f>
        <v/>
      </c>
      <c r="K960" s="122">
        <f>IF($H960=0,0,IFERROR(IF($E960="Azalan",$D960*(1-MIN(2*AmortismanAzalanCarpan*$F960,1))^MAX(0,$H960-1)*MIN(2*AmortismanAzalanCarpan*$F960,1),MIN($D960*$F960,$D960)),0))</f>
        <v/>
      </c>
      <c r="L960" s="122">
        <f>IF($D960="",0,$G960-$J960)</f>
        <v/>
      </c>
      <c r="M960" s="122">
        <f>IF($B960="","",CONCATENATE("Kıymet: ",$B960," | NDD: ",TEXT($J960,"#,##0")))</f>
        <v/>
      </c>
    </row>
    <row r="961" ht="15" customHeight="1" s="77">
      <c r="A961" s="123" t="n"/>
      <c r="B961" s="123" t="n"/>
      <c r="C961" s="124" t="n"/>
      <c r="D961" s="125" t="n"/>
      <c r="E961" s="123" t="n"/>
      <c r="F961" s="126" t="n"/>
      <c r="G961" s="125" t="n"/>
      <c r="H961" s="122">
        <f>IF($D961="",0,MAX(0,ROUNDDOWN((AmortismanRaporTarihi-$C961)/365,0)))</f>
        <v/>
      </c>
      <c r="I961" s="122">
        <f>IF($D961="",0,IFERROR(IF($E961="Azalan",MAX(0,$D961*(1-MIN(2*AmortismanAzalanCarpan*$F961,1)^$H961)),MIN($D961,$D961*$F961*$H961)),0))</f>
        <v/>
      </c>
      <c r="J961" s="122">
        <f>IF($D961="",0,MAX(0,$D961-$I961))</f>
        <v/>
      </c>
      <c r="K961" s="122">
        <f>IF($H961=0,0,IFERROR(IF($E961="Azalan",$D961*(1-MIN(2*AmortismanAzalanCarpan*$F961,1))^MAX(0,$H961-1)*MIN(2*AmortismanAzalanCarpan*$F961,1),MIN($D961*$F961,$D961)),0))</f>
        <v/>
      </c>
      <c r="L961" s="122">
        <f>IF($D961="",0,$G961-$J961)</f>
        <v/>
      </c>
      <c r="M961" s="122">
        <f>IF($B961="","",CONCATENATE("Kıymet: ",$B961," | NDD: ",TEXT($J961,"#,##0")))</f>
        <v/>
      </c>
    </row>
    <row r="962" ht="15" customHeight="1" s="77">
      <c r="A962" s="123" t="n"/>
      <c r="B962" s="123" t="n"/>
      <c r="C962" s="124" t="n"/>
      <c r="D962" s="125" t="n"/>
      <c r="E962" s="123" t="n"/>
      <c r="F962" s="126" t="n"/>
      <c r="G962" s="125" t="n"/>
      <c r="H962" s="122">
        <f>IF($D962="",0,MAX(0,ROUNDDOWN((AmortismanRaporTarihi-$C962)/365,0)))</f>
        <v/>
      </c>
      <c r="I962" s="122">
        <f>IF($D962="",0,IFERROR(IF($E962="Azalan",MAX(0,$D962*(1-MIN(2*AmortismanAzalanCarpan*$F962,1)^$H962)),MIN($D962,$D962*$F962*$H962)),0))</f>
        <v/>
      </c>
      <c r="J962" s="122">
        <f>IF($D962="",0,MAX(0,$D962-$I962))</f>
        <v/>
      </c>
      <c r="K962" s="122">
        <f>IF($H962=0,0,IFERROR(IF($E962="Azalan",$D962*(1-MIN(2*AmortismanAzalanCarpan*$F962,1))^MAX(0,$H962-1)*MIN(2*AmortismanAzalanCarpan*$F962,1),MIN($D962*$F962,$D962)),0))</f>
        <v/>
      </c>
      <c r="L962" s="122">
        <f>IF($D962="",0,$G962-$J962)</f>
        <v/>
      </c>
      <c r="M962" s="122">
        <f>IF($B962="","",CONCATENATE("Kıymet: ",$B962," | NDD: ",TEXT($J962,"#,##0")))</f>
        <v/>
      </c>
    </row>
    <row r="963" ht="15" customHeight="1" s="77">
      <c r="A963" s="123" t="n"/>
      <c r="B963" s="123" t="n"/>
      <c r="C963" s="124" t="n"/>
      <c r="D963" s="125" t="n"/>
      <c r="E963" s="123" t="n"/>
      <c r="F963" s="126" t="n"/>
      <c r="G963" s="125" t="n"/>
      <c r="H963" s="122">
        <f>IF($D963="",0,MAX(0,ROUNDDOWN((AmortismanRaporTarihi-$C963)/365,0)))</f>
        <v/>
      </c>
      <c r="I963" s="122">
        <f>IF($D963="",0,IFERROR(IF($E963="Azalan",MAX(0,$D963*(1-MIN(2*AmortismanAzalanCarpan*$F963,1)^$H963)),MIN($D963,$D963*$F963*$H963)),0))</f>
        <v/>
      </c>
      <c r="J963" s="122">
        <f>IF($D963="",0,MAX(0,$D963-$I963))</f>
        <v/>
      </c>
      <c r="K963" s="122">
        <f>IF($H963=0,0,IFERROR(IF($E963="Azalan",$D963*(1-MIN(2*AmortismanAzalanCarpan*$F963,1))^MAX(0,$H963-1)*MIN(2*AmortismanAzalanCarpan*$F963,1),MIN($D963*$F963,$D963)),0))</f>
        <v/>
      </c>
      <c r="L963" s="122">
        <f>IF($D963="",0,$G963-$J963)</f>
        <v/>
      </c>
      <c r="M963" s="122">
        <f>IF($B963="","",CONCATENATE("Kıymet: ",$B963," | NDD: ",TEXT($J963,"#,##0")))</f>
        <v/>
      </c>
    </row>
    <row r="964" ht="15" customHeight="1" s="77">
      <c r="A964" s="123" t="n"/>
      <c r="B964" s="123" t="n"/>
      <c r="C964" s="124" t="n"/>
      <c r="D964" s="125" t="n"/>
      <c r="E964" s="123" t="n"/>
      <c r="F964" s="126" t="n"/>
      <c r="G964" s="125" t="n"/>
      <c r="H964" s="122">
        <f>IF($D964="",0,MAX(0,ROUNDDOWN((AmortismanRaporTarihi-$C964)/365,0)))</f>
        <v/>
      </c>
      <c r="I964" s="122">
        <f>IF($D964="",0,IFERROR(IF($E964="Azalan",MAX(0,$D964*(1-MIN(2*AmortismanAzalanCarpan*$F964,1)^$H964)),MIN($D964,$D964*$F964*$H964)),0))</f>
        <v/>
      </c>
      <c r="J964" s="122">
        <f>IF($D964="",0,MAX(0,$D964-$I964))</f>
        <v/>
      </c>
      <c r="K964" s="122">
        <f>IF($H964=0,0,IFERROR(IF($E964="Azalan",$D964*(1-MIN(2*AmortismanAzalanCarpan*$F964,1))^MAX(0,$H964-1)*MIN(2*AmortismanAzalanCarpan*$F964,1),MIN($D964*$F964,$D964)),0))</f>
        <v/>
      </c>
      <c r="L964" s="122">
        <f>IF($D964="",0,$G964-$J964)</f>
        <v/>
      </c>
      <c r="M964" s="122">
        <f>IF($B964="","",CONCATENATE("Kıymet: ",$B964," | NDD: ",TEXT($J964,"#,##0")))</f>
        <v/>
      </c>
    </row>
    <row r="965" ht="15" customHeight="1" s="77">
      <c r="A965" s="123" t="n"/>
      <c r="B965" s="123" t="n"/>
      <c r="C965" s="124" t="n"/>
      <c r="D965" s="125" t="n"/>
      <c r="E965" s="123" t="n"/>
      <c r="F965" s="126" t="n"/>
      <c r="G965" s="125" t="n"/>
      <c r="H965" s="122">
        <f>IF($D965="",0,MAX(0,ROUNDDOWN((AmortismanRaporTarihi-$C965)/365,0)))</f>
        <v/>
      </c>
      <c r="I965" s="122">
        <f>IF($D965="",0,IFERROR(IF($E965="Azalan",MAX(0,$D965*(1-MIN(2*AmortismanAzalanCarpan*$F965,1)^$H965)),MIN($D965,$D965*$F965*$H965)),0))</f>
        <v/>
      </c>
      <c r="J965" s="122">
        <f>IF($D965="",0,MAX(0,$D965-$I965))</f>
        <v/>
      </c>
      <c r="K965" s="122">
        <f>IF($H965=0,0,IFERROR(IF($E965="Azalan",$D965*(1-MIN(2*AmortismanAzalanCarpan*$F965,1))^MAX(0,$H965-1)*MIN(2*AmortismanAzalanCarpan*$F965,1),MIN($D965*$F965,$D965)),0))</f>
        <v/>
      </c>
      <c r="L965" s="122">
        <f>IF($D965="",0,$G965-$J965)</f>
        <v/>
      </c>
      <c r="M965" s="122">
        <f>IF($B965="","",CONCATENATE("Kıymet: ",$B965," | NDD: ",TEXT($J965,"#,##0")))</f>
        <v/>
      </c>
    </row>
    <row r="966" ht="15" customHeight="1" s="77">
      <c r="A966" s="123" t="n"/>
      <c r="B966" s="123" t="n"/>
      <c r="C966" s="124" t="n"/>
      <c r="D966" s="125" t="n"/>
      <c r="E966" s="123" t="n"/>
      <c r="F966" s="126" t="n"/>
      <c r="G966" s="125" t="n"/>
      <c r="H966" s="122">
        <f>IF($D966="",0,MAX(0,ROUNDDOWN((AmortismanRaporTarihi-$C966)/365,0)))</f>
        <v/>
      </c>
      <c r="I966" s="122">
        <f>IF($D966="",0,IFERROR(IF($E966="Azalan",MAX(0,$D966*(1-MIN(2*AmortismanAzalanCarpan*$F966,1)^$H966)),MIN($D966,$D966*$F966*$H966)),0))</f>
        <v/>
      </c>
      <c r="J966" s="122">
        <f>IF($D966="",0,MAX(0,$D966-$I966))</f>
        <v/>
      </c>
      <c r="K966" s="122">
        <f>IF($H966=0,0,IFERROR(IF($E966="Azalan",$D966*(1-MIN(2*AmortismanAzalanCarpan*$F966,1))^MAX(0,$H966-1)*MIN(2*AmortismanAzalanCarpan*$F966,1),MIN($D966*$F966,$D966)),0))</f>
        <v/>
      </c>
      <c r="L966" s="122">
        <f>IF($D966="",0,$G966-$J966)</f>
        <v/>
      </c>
      <c r="M966" s="122">
        <f>IF($B966="","",CONCATENATE("Kıymet: ",$B966," | NDD: ",TEXT($J966,"#,##0")))</f>
        <v/>
      </c>
    </row>
    <row r="967" ht="15" customHeight="1" s="77">
      <c r="A967" s="123" t="n"/>
      <c r="B967" s="123" t="n"/>
      <c r="C967" s="124" t="n"/>
      <c r="D967" s="125" t="n"/>
      <c r="E967" s="123" t="n"/>
      <c r="F967" s="126" t="n"/>
      <c r="G967" s="125" t="n"/>
      <c r="H967" s="122">
        <f>IF($D967="",0,MAX(0,ROUNDDOWN((AmortismanRaporTarihi-$C967)/365,0)))</f>
        <v/>
      </c>
      <c r="I967" s="122">
        <f>IF($D967="",0,IFERROR(IF($E967="Azalan",MAX(0,$D967*(1-MIN(2*AmortismanAzalanCarpan*$F967,1)^$H967)),MIN($D967,$D967*$F967*$H967)),0))</f>
        <v/>
      </c>
      <c r="J967" s="122">
        <f>IF($D967="",0,MAX(0,$D967-$I967))</f>
        <v/>
      </c>
      <c r="K967" s="122">
        <f>IF($H967=0,0,IFERROR(IF($E967="Azalan",$D967*(1-MIN(2*AmortismanAzalanCarpan*$F967,1))^MAX(0,$H967-1)*MIN(2*AmortismanAzalanCarpan*$F967,1),MIN($D967*$F967,$D967)),0))</f>
        <v/>
      </c>
      <c r="L967" s="122">
        <f>IF($D967="",0,$G967-$J967)</f>
        <v/>
      </c>
      <c r="M967" s="122">
        <f>IF($B967="","",CONCATENATE("Kıymet: ",$B967," | NDD: ",TEXT($J967,"#,##0")))</f>
        <v/>
      </c>
    </row>
    <row r="968" ht="15" customHeight="1" s="77">
      <c r="A968" s="123" t="n"/>
      <c r="B968" s="123" t="n"/>
      <c r="C968" s="124" t="n"/>
      <c r="D968" s="125" t="n"/>
      <c r="E968" s="123" t="n"/>
      <c r="F968" s="126" t="n"/>
      <c r="G968" s="125" t="n"/>
      <c r="H968" s="122">
        <f>IF($D968="",0,MAX(0,ROUNDDOWN((AmortismanRaporTarihi-$C968)/365,0)))</f>
        <v/>
      </c>
      <c r="I968" s="122">
        <f>IF($D968="",0,IFERROR(IF($E968="Azalan",MAX(0,$D968*(1-MIN(2*AmortismanAzalanCarpan*$F968,1)^$H968)),MIN($D968,$D968*$F968*$H968)),0))</f>
        <v/>
      </c>
      <c r="J968" s="122">
        <f>IF($D968="",0,MAX(0,$D968-$I968))</f>
        <v/>
      </c>
      <c r="K968" s="122">
        <f>IF($H968=0,0,IFERROR(IF($E968="Azalan",$D968*(1-MIN(2*AmortismanAzalanCarpan*$F968,1))^MAX(0,$H968-1)*MIN(2*AmortismanAzalanCarpan*$F968,1),MIN($D968*$F968,$D968)),0))</f>
        <v/>
      </c>
      <c r="L968" s="122">
        <f>IF($D968="",0,$G968-$J968)</f>
        <v/>
      </c>
      <c r="M968" s="122">
        <f>IF($B968="","",CONCATENATE("Kıymet: ",$B968," | NDD: ",TEXT($J968,"#,##0")))</f>
        <v/>
      </c>
    </row>
    <row r="969" ht="15" customHeight="1" s="77">
      <c r="A969" s="123" t="n"/>
      <c r="B969" s="123" t="n"/>
      <c r="C969" s="124" t="n"/>
      <c r="D969" s="125" t="n"/>
      <c r="E969" s="123" t="n"/>
      <c r="F969" s="126" t="n"/>
      <c r="G969" s="125" t="n"/>
      <c r="H969" s="122">
        <f>IF($D969="",0,MAX(0,ROUNDDOWN((AmortismanRaporTarihi-$C969)/365,0)))</f>
        <v/>
      </c>
      <c r="I969" s="122">
        <f>IF($D969="",0,IFERROR(IF($E969="Azalan",MAX(0,$D969*(1-MIN(2*AmortismanAzalanCarpan*$F969,1)^$H969)),MIN($D969,$D969*$F969*$H969)),0))</f>
        <v/>
      </c>
      <c r="J969" s="122">
        <f>IF($D969="",0,MAX(0,$D969-$I969))</f>
        <v/>
      </c>
      <c r="K969" s="122">
        <f>IF($H969=0,0,IFERROR(IF($E969="Azalan",$D969*(1-MIN(2*AmortismanAzalanCarpan*$F969,1))^MAX(0,$H969-1)*MIN(2*AmortismanAzalanCarpan*$F969,1),MIN($D969*$F969,$D969)),0))</f>
        <v/>
      </c>
      <c r="L969" s="122">
        <f>IF($D969="",0,$G969-$J969)</f>
        <v/>
      </c>
      <c r="M969" s="122">
        <f>IF($B969="","",CONCATENATE("Kıymet: ",$B969," | NDD: ",TEXT($J969,"#,##0")))</f>
        <v/>
      </c>
    </row>
    <row r="970" ht="15" customHeight="1" s="77">
      <c r="A970" s="123" t="n"/>
      <c r="B970" s="123" t="n"/>
      <c r="C970" s="124" t="n"/>
      <c r="D970" s="125" t="n"/>
      <c r="E970" s="123" t="n"/>
      <c r="F970" s="126" t="n"/>
      <c r="G970" s="125" t="n"/>
      <c r="H970" s="122">
        <f>IF($D970="",0,MAX(0,ROUNDDOWN((AmortismanRaporTarihi-$C970)/365,0)))</f>
        <v/>
      </c>
      <c r="I970" s="122">
        <f>IF($D970="",0,IFERROR(IF($E970="Azalan",MAX(0,$D970*(1-MIN(2*AmortismanAzalanCarpan*$F970,1)^$H970)),MIN($D970,$D970*$F970*$H970)),0))</f>
        <v/>
      </c>
      <c r="J970" s="122">
        <f>IF($D970="",0,MAX(0,$D970-$I970))</f>
        <v/>
      </c>
      <c r="K970" s="122">
        <f>IF($H970=0,0,IFERROR(IF($E970="Azalan",$D970*(1-MIN(2*AmortismanAzalanCarpan*$F970,1))^MAX(0,$H970-1)*MIN(2*AmortismanAzalanCarpan*$F970,1),MIN($D970*$F970,$D970)),0))</f>
        <v/>
      </c>
      <c r="L970" s="122">
        <f>IF($D970="",0,$G970-$J970)</f>
        <v/>
      </c>
      <c r="M970" s="122">
        <f>IF($B970="","",CONCATENATE("Kıymet: ",$B970," | NDD: ",TEXT($J970,"#,##0")))</f>
        <v/>
      </c>
    </row>
    <row r="971" ht="15" customHeight="1" s="77">
      <c r="A971" s="123" t="n"/>
      <c r="B971" s="123" t="n"/>
      <c r="C971" s="124" t="n"/>
      <c r="D971" s="125" t="n"/>
      <c r="E971" s="123" t="n"/>
      <c r="F971" s="126" t="n"/>
      <c r="G971" s="125" t="n"/>
      <c r="H971" s="122">
        <f>IF($D971="",0,MAX(0,ROUNDDOWN((AmortismanRaporTarihi-$C971)/365,0)))</f>
        <v/>
      </c>
      <c r="I971" s="122">
        <f>IF($D971="",0,IFERROR(IF($E971="Azalan",MAX(0,$D971*(1-MIN(2*AmortismanAzalanCarpan*$F971,1)^$H971)),MIN($D971,$D971*$F971*$H971)),0))</f>
        <v/>
      </c>
      <c r="J971" s="122">
        <f>IF($D971="",0,MAX(0,$D971-$I971))</f>
        <v/>
      </c>
      <c r="K971" s="122">
        <f>IF($H971=0,0,IFERROR(IF($E971="Azalan",$D971*(1-MIN(2*AmortismanAzalanCarpan*$F971,1))^MAX(0,$H971-1)*MIN(2*AmortismanAzalanCarpan*$F971,1),MIN($D971*$F971,$D971)),0))</f>
        <v/>
      </c>
      <c r="L971" s="122">
        <f>IF($D971="",0,$G971-$J971)</f>
        <v/>
      </c>
      <c r="M971" s="122">
        <f>IF($B971="","",CONCATENATE("Kıymet: ",$B971," | NDD: ",TEXT($J971,"#,##0")))</f>
        <v/>
      </c>
    </row>
    <row r="972" ht="15" customHeight="1" s="77">
      <c r="A972" s="123" t="n"/>
      <c r="B972" s="123" t="n"/>
      <c r="C972" s="124" t="n"/>
      <c r="D972" s="125" t="n"/>
      <c r="E972" s="123" t="n"/>
      <c r="F972" s="126" t="n"/>
      <c r="G972" s="125" t="n"/>
      <c r="H972" s="122">
        <f>IF($D972="",0,MAX(0,ROUNDDOWN((AmortismanRaporTarihi-$C972)/365,0)))</f>
        <v/>
      </c>
      <c r="I972" s="122">
        <f>IF($D972="",0,IFERROR(IF($E972="Azalan",MAX(0,$D972*(1-MIN(2*AmortismanAzalanCarpan*$F972,1)^$H972)),MIN($D972,$D972*$F972*$H972)),0))</f>
        <v/>
      </c>
      <c r="J972" s="122">
        <f>IF($D972="",0,MAX(0,$D972-$I972))</f>
        <v/>
      </c>
      <c r="K972" s="122">
        <f>IF($H972=0,0,IFERROR(IF($E972="Azalan",$D972*(1-MIN(2*AmortismanAzalanCarpan*$F972,1))^MAX(0,$H972-1)*MIN(2*AmortismanAzalanCarpan*$F972,1),MIN($D972*$F972,$D972)),0))</f>
        <v/>
      </c>
      <c r="L972" s="122">
        <f>IF($D972="",0,$G972-$J972)</f>
        <v/>
      </c>
      <c r="M972" s="122">
        <f>IF($B972="","",CONCATENATE("Kıymet: ",$B972," | NDD: ",TEXT($J972,"#,##0")))</f>
        <v/>
      </c>
    </row>
    <row r="973" ht="15" customHeight="1" s="77">
      <c r="A973" s="123" t="n"/>
      <c r="B973" s="123" t="n"/>
      <c r="C973" s="124" t="n"/>
      <c r="D973" s="125" t="n"/>
      <c r="E973" s="123" t="n"/>
      <c r="F973" s="126" t="n"/>
      <c r="G973" s="125" t="n"/>
      <c r="H973" s="122">
        <f>IF($D973="",0,MAX(0,ROUNDDOWN((AmortismanRaporTarihi-$C973)/365,0)))</f>
        <v/>
      </c>
      <c r="I973" s="122">
        <f>IF($D973="",0,IFERROR(IF($E973="Azalan",MAX(0,$D973*(1-MIN(2*AmortismanAzalanCarpan*$F973,1)^$H973)),MIN($D973,$D973*$F973*$H973)),0))</f>
        <v/>
      </c>
      <c r="J973" s="122">
        <f>IF($D973="",0,MAX(0,$D973-$I973))</f>
        <v/>
      </c>
      <c r="K973" s="122">
        <f>IF($H973=0,0,IFERROR(IF($E973="Azalan",$D973*(1-MIN(2*AmortismanAzalanCarpan*$F973,1))^MAX(0,$H973-1)*MIN(2*AmortismanAzalanCarpan*$F973,1),MIN($D973*$F973,$D973)),0))</f>
        <v/>
      </c>
      <c r="L973" s="122">
        <f>IF($D973="",0,$G973-$J973)</f>
        <v/>
      </c>
      <c r="M973" s="122">
        <f>IF($B973="","",CONCATENATE("Kıymet: ",$B973," | NDD: ",TEXT($J973,"#,##0")))</f>
        <v/>
      </c>
    </row>
    <row r="974" ht="15" customHeight="1" s="77">
      <c r="A974" s="123" t="n"/>
      <c r="B974" s="123" t="n"/>
      <c r="C974" s="124" t="n"/>
      <c r="D974" s="125" t="n"/>
      <c r="E974" s="123" t="n"/>
      <c r="F974" s="126" t="n"/>
      <c r="G974" s="125" t="n"/>
      <c r="H974" s="122">
        <f>IF($D974="",0,MAX(0,ROUNDDOWN((AmortismanRaporTarihi-$C974)/365,0)))</f>
        <v/>
      </c>
      <c r="I974" s="122">
        <f>IF($D974="",0,IFERROR(IF($E974="Azalan",MAX(0,$D974*(1-MIN(2*AmortismanAzalanCarpan*$F974,1)^$H974)),MIN($D974,$D974*$F974*$H974)),0))</f>
        <v/>
      </c>
      <c r="J974" s="122">
        <f>IF($D974="",0,MAX(0,$D974-$I974))</f>
        <v/>
      </c>
      <c r="K974" s="122">
        <f>IF($H974=0,0,IFERROR(IF($E974="Azalan",$D974*(1-MIN(2*AmortismanAzalanCarpan*$F974,1))^MAX(0,$H974-1)*MIN(2*AmortismanAzalanCarpan*$F974,1),MIN($D974*$F974,$D974)),0))</f>
        <v/>
      </c>
      <c r="L974" s="122">
        <f>IF($D974="",0,$G974-$J974)</f>
        <v/>
      </c>
      <c r="M974" s="122">
        <f>IF($B974="","",CONCATENATE("Kıymet: ",$B974," | NDD: ",TEXT($J974,"#,##0")))</f>
        <v/>
      </c>
    </row>
    <row r="975" ht="15" customHeight="1" s="77">
      <c r="A975" s="123" t="n"/>
      <c r="B975" s="123" t="n"/>
      <c r="C975" s="124" t="n"/>
      <c r="D975" s="125" t="n"/>
      <c r="E975" s="123" t="n"/>
      <c r="F975" s="126" t="n"/>
      <c r="G975" s="125" t="n"/>
      <c r="H975" s="122">
        <f>IF($D975="",0,MAX(0,ROUNDDOWN((AmortismanRaporTarihi-$C975)/365,0)))</f>
        <v/>
      </c>
      <c r="I975" s="122">
        <f>IF($D975="",0,IFERROR(IF($E975="Azalan",MAX(0,$D975*(1-MIN(2*AmortismanAzalanCarpan*$F975,1)^$H975)),MIN($D975,$D975*$F975*$H975)),0))</f>
        <v/>
      </c>
      <c r="J975" s="122">
        <f>IF($D975="",0,MAX(0,$D975-$I975))</f>
        <v/>
      </c>
      <c r="K975" s="122">
        <f>IF($H975=0,0,IFERROR(IF($E975="Azalan",$D975*(1-MIN(2*AmortismanAzalanCarpan*$F975,1))^MAX(0,$H975-1)*MIN(2*AmortismanAzalanCarpan*$F975,1),MIN($D975*$F975,$D975)),0))</f>
        <v/>
      </c>
      <c r="L975" s="122">
        <f>IF($D975="",0,$G975-$J975)</f>
        <v/>
      </c>
      <c r="M975" s="122">
        <f>IF($B975="","",CONCATENATE("Kıymet: ",$B975," | NDD: ",TEXT($J975,"#,##0")))</f>
        <v/>
      </c>
    </row>
    <row r="976" ht="15" customHeight="1" s="77">
      <c r="A976" s="123" t="n"/>
      <c r="B976" s="123" t="n"/>
      <c r="C976" s="124" t="n"/>
      <c r="D976" s="125" t="n"/>
      <c r="E976" s="123" t="n"/>
      <c r="F976" s="126" t="n"/>
      <c r="G976" s="125" t="n"/>
      <c r="H976" s="122">
        <f>IF($D976="",0,MAX(0,ROUNDDOWN((AmortismanRaporTarihi-$C976)/365,0)))</f>
        <v/>
      </c>
      <c r="I976" s="122">
        <f>IF($D976="",0,IFERROR(IF($E976="Azalan",MAX(0,$D976*(1-MIN(2*AmortismanAzalanCarpan*$F976,1)^$H976)),MIN($D976,$D976*$F976*$H976)),0))</f>
        <v/>
      </c>
      <c r="J976" s="122">
        <f>IF($D976="",0,MAX(0,$D976-$I976))</f>
        <v/>
      </c>
      <c r="K976" s="122">
        <f>IF($H976=0,0,IFERROR(IF($E976="Azalan",$D976*(1-MIN(2*AmortismanAzalanCarpan*$F976,1))^MAX(0,$H976-1)*MIN(2*AmortismanAzalanCarpan*$F976,1),MIN($D976*$F976,$D976)),0))</f>
        <v/>
      </c>
      <c r="L976" s="122">
        <f>IF($D976="",0,$G976-$J976)</f>
        <v/>
      </c>
      <c r="M976" s="122">
        <f>IF($B976="","",CONCATENATE("Kıymet: ",$B976," | NDD: ",TEXT($J976,"#,##0")))</f>
        <v/>
      </c>
    </row>
    <row r="977" ht="15" customHeight="1" s="77">
      <c r="A977" s="123" t="n"/>
      <c r="B977" s="123" t="n"/>
      <c r="C977" s="124" t="n"/>
      <c r="D977" s="125" t="n"/>
      <c r="E977" s="123" t="n"/>
      <c r="F977" s="126" t="n"/>
      <c r="G977" s="125" t="n"/>
      <c r="H977" s="122">
        <f>IF($D977="",0,MAX(0,ROUNDDOWN((AmortismanRaporTarihi-$C977)/365,0)))</f>
        <v/>
      </c>
      <c r="I977" s="122">
        <f>IF($D977="",0,IFERROR(IF($E977="Azalan",MAX(0,$D977*(1-MIN(2*AmortismanAzalanCarpan*$F977,1)^$H977)),MIN($D977,$D977*$F977*$H977)),0))</f>
        <v/>
      </c>
      <c r="J977" s="122">
        <f>IF($D977="",0,MAX(0,$D977-$I977))</f>
        <v/>
      </c>
      <c r="K977" s="122">
        <f>IF($H977=0,0,IFERROR(IF($E977="Azalan",$D977*(1-MIN(2*AmortismanAzalanCarpan*$F977,1))^MAX(0,$H977-1)*MIN(2*AmortismanAzalanCarpan*$F977,1),MIN($D977*$F977,$D977)),0))</f>
        <v/>
      </c>
      <c r="L977" s="122">
        <f>IF($D977="",0,$G977-$J977)</f>
        <v/>
      </c>
      <c r="M977" s="122">
        <f>IF($B977="","",CONCATENATE("Kıymet: ",$B977," | NDD: ",TEXT($J977,"#,##0")))</f>
        <v/>
      </c>
    </row>
    <row r="978" ht="15" customHeight="1" s="77">
      <c r="A978" s="123" t="n"/>
      <c r="B978" s="123" t="n"/>
      <c r="C978" s="124" t="n"/>
      <c r="D978" s="125" t="n"/>
      <c r="E978" s="123" t="n"/>
      <c r="F978" s="126" t="n"/>
      <c r="G978" s="125" t="n"/>
      <c r="H978" s="122">
        <f>IF($D978="",0,MAX(0,ROUNDDOWN((AmortismanRaporTarihi-$C978)/365,0)))</f>
        <v/>
      </c>
      <c r="I978" s="122">
        <f>IF($D978="",0,IFERROR(IF($E978="Azalan",MAX(0,$D978*(1-MIN(2*AmortismanAzalanCarpan*$F978,1)^$H978)),MIN($D978,$D978*$F978*$H978)),0))</f>
        <v/>
      </c>
      <c r="J978" s="122">
        <f>IF($D978="",0,MAX(0,$D978-$I978))</f>
        <v/>
      </c>
      <c r="K978" s="122">
        <f>IF($H978=0,0,IFERROR(IF($E978="Azalan",$D978*(1-MIN(2*AmortismanAzalanCarpan*$F978,1))^MAX(0,$H978-1)*MIN(2*AmortismanAzalanCarpan*$F978,1),MIN($D978*$F978,$D978)),0))</f>
        <v/>
      </c>
      <c r="L978" s="122">
        <f>IF($D978="",0,$G978-$J978)</f>
        <v/>
      </c>
      <c r="M978" s="122">
        <f>IF($B978="","",CONCATENATE("Kıymet: ",$B978," | NDD: ",TEXT($J978,"#,##0")))</f>
        <v/>
      </c>
    </row>
    <row r="979" ht="15" customHeight="1" s="77">
      <c r="A979" s="123" t="n"/>
      <c r="B979" s="123" t="n"/>
      <c r="C979" s="124" t="n"/>
      <c r="D979" s="125" t="n"/>
      <c r="E979" s="123" t="n"/>
      <c r="F979" s="126" t="n"/>
      <c r="G979" s="125" t="n"/>
      <c r="H979" s="122">
        <f>IF($D979="",0,MAX(0,ROUNDDOWN((AmortismanRaporTarihi-$C979)/365,0)))</f>
        <v/>
      </c>
      <c r="I979" s="122">
        <f>IF($D979="",0,IFERROR(IF($E979="Azalan",MAX(0,$D979*(1-MIN(2*AmortismanAzalanCarpan*$F979,1)^$H979)),MIN($D979,$D979*$F979*$H979)),0))</f>
        <v/>
      </c>
      <c r="J979" s="122">
        <f>IF($D979="",0,MAX(0,$D979-$I979))</f>
        <v/>
      </c>
      <c r="K979" s="122">
        <f>IF($H979=0,0,IFERROR(IF($E979="Azalan",$D979*(1-MIN(2*AmortismanAzalanCarpan*$F979,1))^MAX(0,$H979-1)*MIN(2*AmortismanAzalanCarpan*$F979,1),MIN($D979*$F979,$D979)),0))</f>
        <v/>
      </c>
      <c r="L979" s="122">
        <f>IF($D979="",0,$G979-$J979)</f>
        <v/>
      </c>
      <c r="M979" s="122">
        <f>IF($B979="","",CONCATENATE("Kıymet: ",$B979," | NDD: ",TEXT($J979,"#,##0")))</f>
        <v/>
      </c>
    </row>
    <row r="980" ht="15" customHeight="1" s="77">
      <c r="A980" s="123" t="n"/>
      <c r="B980" s="123" t="n"/>
      <c r="C980" s="124" t="n"/>
      <c r="D980" s="125" t="n"/>
      <c r="E980" s="123" t="n"/>
      <c r="F980" s="126" t="n"/>
      <c r="G980" s="125" t="n"/>
      <c r="H980" s="122">
        <f>IF($D980="",0,MAX(0,ROUNDDOWN((AmortismanRaporTarihi-$C980)/365,0)))</f>
        <v/>
      </c>
      <c r="I980" s="122">
        <f>IF($D980="",0,IFERROR(IF($E980="Azalan",MAX(0,$D980*(1-MIN(2*AmortismanAzalanCarpan*$F980,1)^$H980)),MIN($D980,$D980*$F980*$H980)),0))</f>
        <v/>
      </c>
      <c r="J980" s="122">
        <f>IF($D980="",0,MAX(0,$D980-$I980))</f>
        <v/>
      </c>
      <c r="K980" s="122">
        <f>IF($H980=0,0,IFERROR(IF($E980="Azalan",$D980*(1-MIN(2*AmortismanAzalanCarpan*$F980,1))^MAX(0,$H980-1)*MIN(2*AmortismanAzalanCarpan*$F980,1),MIN($D980*$F980,$D980)),0))</f>
        <v/>
      </c>
      <c r="L980" s="122">
        <f>IF($D980="",0,$G980-$J980)</f>
        <v/>
      </c>
      <c r="M980" s="122">
        <f>IF($B980="","",CONCATENATE("Kıymet: ",$B980," | NDD: ",TEXT($J980,"#,##0")))</f>
        <v/>
      </c>
    </row>
    <row r="981" ht="15" customHeight="1" s="77">
      <c r="A981" s="123" t="n"/>
      <c r="B981" s="123" t="n"/>
      <c r="C981" s="124" t="n"/>
      <c r="D981" s="125" t="n"/>
      <c r="E981" s="123" t="n"/>
      <c r="F981" s="126" t="n"/>
      <c r="G981" s="125" t="n"/>
      <c r="H981" s="122">
        <f>IF($D981="",0,MAX(0,ROUNDDOWN((AmortismanRaporTarihi-$C981)/365,0)))</f>
        <v/>
      </c>
      <c r="I981" s="122">
        <f>IF($D981="",0,IFERROR(IF($E981="Azalan",MAX(0,$D981*(1-MIN(2*AmortismanAzalanCarpan*$F981,1)^$H981)),MIN($D981,$D981*$F981*$H981)),0))</f>
        <v/>
      </c>
      <c r="J981" s="122">
        <f>IF($D981="",0,MAX(0,$D981-$I981))</f>
        <v/>
      </c>
      <c r="K981" s="122">
        <f>IF($H981=0,0,IFERROR(IF($E981="Azalan",$D981*(1-MIN(2*AmortismanAzalanCarpan*$F981,1))^MAX(0,$H981-1)*MIN(2*AmortismanAzalanCarpan*$F981,1),MIN($D981*$F981,$D981)),0))</f>
        <v/>
      </c>
      <c r="L981" s="122">
        <f>IF($D981="",0,$G981-$J981)</f>
        <v/>
      </c>
      <c r="M981" s="122">
        <f>IF($B981="","",CONCATENATE("Kıymet: ",$B981," | NDD: ",TEXT($J981,"#,##0")))</f>
        <v/>
      </c>
    </row>
    <row r="982" ht="15" customHeight="1" s="77">
      <c r="A982" s="123" t="n"/>
      <c r="B982" s="123" t="n"/>
      <c r="C982" s="124" t="n"/>
      <c r="D982" s="125" t="n"/>
      <c r="E982" s="123" t="n"/>
      <c r="F982" s="126" t="n"/>
      <c r="G982" s="125" t="n"/>
      <c r="H982" s="122">
        <f>IF($D982="",0,MAX(0,ROUNDDOWN((AmortismanRaporTarihi-$C982)/365,0)))</f>
        <v/>
      </c>
      <c r="I982" s="122">
        <f>IF($D982="",0,IFERROR(IF($E982="Azalan",MAX(0,$D982*(1-MIN(2*AmortismanAzalanCarpan*$F982,1)^$H982)),MIN($D982,$D982*$F982*$H982)),0))</f>
        <v/>
      </c>
      <c r="J982" s="122">
        <f>IF($D982="",0,MAX(0,$D982-$I982))</f>
        <v/>
      </c>
      <c r="K982" s="122">
        <f>IF($H982=0,0,IFERROR(IF($E982="Azalan",$D982*(1-MIN(2*AmortismanAzalanCarpan*$F982,1))^MAX(0,$H982-1)*MIN(2*AmortismanAzalanCarpan*$F982,1),MIN($D982*$F982,$D982)),0))</f>
        <v/>
      </c>
      <c r="L982" s="122">
        <f>IF($D982="",0,$G982-$J982)</f>
        <v/>
      </c>
      <c r="M982" s="122">
        <f>IF($B982="","",CONCATENATE("Kıymet: ",$B982," | NDD: ",TEXT($J982,"#,##0")))</f>
        <v/>
      </c>
    </row>
    <row r="983" ht="15" customHeight="1" s="77">
      <c r="A983" s="123" t="n"/>
      <c r="B983" s="123" t="n"/>
      <c r="C983" s="124" t="n"/>
      <c r="D983" s="125" t="n"/>
      <c r="E983" s="123" t="n"/>
      <c r="F983" s="126" t="n"/>
      <c r="G983" s="125" t="n"/>
      <c r="H983" s="122">
        <f>IF($D983="",0,MAX(0,ROUNDDOWN((AmortismanRaporTarihi-$C983)/365,0)))</f>
        <v/>
      </c>
      <c r="I983" s="122">
        <f>IF($D983="",0,IFERROR(IF($E983="Azalan",MAX(0,$D983*(1-MIN(2*AmortismanAzalanCarpan*$F983,1)^$H983)),MIN($D983,$D983*$F983*$H983)),0))</f>
        <v/>
      </c>
      <c r="J983" s="122">
        <f>IF($D983="",0,MAX(0,$D983-$I983))</f>
        <v/>
      </c>
      <c r="K983" s="122">
        <f>IF($H983=0,0,IFERROR(IF($E983="Azalan",$D983*(1-MIN(2*AmortismanAzalanCarpan*$F983,1))^MAX(0,$H983-1)*MIN(2*AmortismanAzalanCarpan*$F983,1),MIN($D983*$F983,$D983)),0))</f>
        <v/>
      </c>
      <c r="L983" s="122">
        <f>IF($D983="",0,$G983-$J983)</f>
        <v/>
      </c>
      <c r="M983" s="122">
        <f>IF($B983="","",CONCATENATE("Kıymet: ",$B983," | NDD: ",TEXT($J983,"#,##0")))</f>
        <v/>
      </c>
    </row>
    <row r="984" ht="15" customHeight="1" s="77">
      <c r="A984" s="123" t="n"/>
      <c r="B984" s="123" t="n"/>
      <c r="C984" s="124" t="n"/>
      <c r="D984" s="125" t="n"/>
      <c r="E984" s="123" t="n"/>
      <c r="F984" s="126" t="n"/>
      <c r="G984" s="125" t="n"/>
      <c r="H984" s="122">
        <f>IF($D984="",0,MAX(0,ROUNDDOWN((AmortismanRaporTarihi-$C984)/365,0)))</f>
        <v/>
      </c>
      <c r="I984" s="122">
        <f>IF($D984="",0,IFERROR(IF($E984="Azalan",MAX(0,$D984*(1-MIN(2*AmortismanAzalanCarpan*$F984,1)^$H984)),MIN($D984,$D984*$F984*$H984)),0))</f>
        <v/>
      </c>
      <c r="J984" s="122">
        <f>IF($D984="",0,MAX(0,$D984-$I984))</f>
        <v/>
      </c>
      <c r="K984" s="122">
        <f>IF($H984=0,0,IFERROR(IF($E984="Azalan",$D984*(1-MIN(2*AmortismanAzalanCarpan*$F984,1))^MAX(0,$H984-1)*MIN(2*AmortismanAzalanCarpan*$F984,1),MIN($D984*$F984,$D984)),0))</f>
        <v/>
      </c>
      <c r="L984" s="122">
        <f>IF($D984="",0,$G984-$J984)</f>
        <v/>
      </c>
      <c r="M984" s="122">
        <f>IF($B984="","",CONCATENATE("Kıymet: ",$B984," | NDD: ",TEXT($J984,"#,##0")))</f>
        <v/>
      </c>
    </row>
    <row r="985" ht="15" customHeight="1" s="77">
      <c r="A985" s="123" t="n"/>
      <c r="B985" s="123" t="n"/>
      <c r="C985" s="124" t="n"/>
      <c r="D985" s="125" t="n"/>
      <c r="E985" s="123" t="n"/>
      <c r="F985" s="126" t="n"/>
      <c r="G985" s="125" t="n"/>
      <c r="H985" s="122">
        <f>IF($D985="",0,MAX(0,ROUNDDOWN((AmortismanRaporTarihi-$C985)/365,0)))</f>
        <v/>
      </c>
      <c r="I985" s="122">
        <f>IF($D985="",0,IFERROR(IF($E985="Azalan",MAX(0,$D985*(1-MIN(2*AmortismanAzalanCarpan*$F985,1)^$H985)),MIN($D985,$D985*$F985*$H985)),0))</f>
        <v/>
      </c>
      <c r="J985" s="122">
        <f>IF($D985="",0,MAX(0,$D985-$I985))</f>
        <v/>
      </c>
      <c r="K985" s="122">
        <f>IF($H985=0,0,IFERROR(IF($E985="Azalan",$D985*(1-MIN(2*AmortismanAzalanCarpan*$F985,1))^MAX(0,$H985-1)*MIN(2*AmortismanAzalanCarpan*$F985,1),MIN($D985*$F985,$D985)),0))</f>
        <v/>
      </c>
      <c r="L985" s="122">
        <f>IF($D985="",0,$G985-$J985)</f>
        <v/>
      </c>
      <c r="M985" s="122">
        <f>IF($B985="","",CONCATENATE("Kıymet: ",$B985," | NDD: ",TEXT($J985,"#,##0")))</f>
        <v/>
      </c>
    </row>
    <row r="986" ht="15" customHeight="1" s="77">
      <c r="A986" s="123" t="n"/>
      <c r="B986" s="123" t="n"/>
      <c r="C986" s="124" t="n"/>
      <c r="D986" s="125" t="n"/>
      <c r="E986" s="123" t="n"/>
      <c r="F986" s="126" t="n"/>
      <c r="G986" s="125" t="n"/>
      <c r="H986" s="122">
        <f>IF($D986="",0,MAX(0,ROUNDDOWN((AmortismanRaporTarihi-$C986)/365,0)))</f>
        <v/>
      </c>
      <c r="I986" s="122">
        <f>IF($D986="",0,IFERROR(IF($E986="Azalan",MAX(0,$D986*(1-MIN(2*AmortismanAzalanCarpan*$F986,1)^$H986)),MIN($D986,$D986*$F986*$H986)),0))</f>
        <v/>
      </c>
      <c r="J986" s="122">
        <f>IF($D986="",0,MAX(0,$D986-$I986))</f>
        <v/>
      </c>
      <c r="K986" s="122">
        <f>IF($H986=0,0,IFERROR(IF($E986="Azalan",$D986*(1-MIN(2*AmortismanAzalanCarpan*$F986,1))^MAX(0,$H986-1)*MIN(2*AmortismanAzalanCarpan*$F986,1),MIN($D986*$F986,$D986)),0))</f>
        <v/>
      </c>
      <c r="L986" s="122">
        <f>IF($D986="",0,$G986-$J986)</f>
        <v/>
      </c>
      <c r="M986" s="122">
        <f>IF($B986="","",CONCATENATE("Kıymet: ",$B986," | NDD: ",TEXT($J986,"#,##0")))</f>
        <v/>
      </c>
    </row>
    <row r="987" ht="15" customHeight="1" s="77">
      <c r="A987" s="123" t="n"/>
      <c r="B987" s="123" t="n"/>
      <c r="C987" s="124" t="n"/>
      <c r="D987" s="125" t="n"/>
      <c r="E987" s="123" t="n"/>
      <c r="F987" s="126" t="n"/>
      <c r="G987" s="125" t="n"/>
      <c r="H987" s="122">
        <f>IF($D987="",0,MAX(0,ROUNDDOWN((AmortismanRaporTarihi-$C987)/365,0)))</f>
        <v/>
      </c>
      <c r="I987" s="122">
        <f>IF($D987="",0,IFERROR(IF($E987="Azalan",MAX(0,$D987*(1-MIN(2*AmortismanAzalanCarpan*$F987,1)^$H987)),MIN($D987,$D987*$F987*$H987)),0))</f>
        <v/>
      </c>
      <c r="J987" s="122">
        <f>IF($D987="",0,MAX(0,$D987-$I987))</f>
        <v/>
      </c>
      <c r="K987" s="122">
        <f>IF($H987=0,0,IFERROR(IF($E987="Azalan",$D987*(1-MIN(2*AmortismanAzalanCarpan*$F987,1))^MAX(0,$H987-1)*MIN(2*AmortismanAzalanCarpan*$F987,1),MIN($D987*$F987,$D987)),0))</f>
        <v/>
      </c>
      <c r="L987" s="122">
        <f>IF($D987="",0,$G987-$J987)</f>
        <v/>
      </c>
      <c r="M987" s="122">
        <f>IF($B987="","",CONCATENATE("Kıymet: ",$B987," | NDD: ",TEXT($J987,"#,##0")))</f>
        <v/>
      </c>
    </row>
    <row r="988" ht="15" customHeight="1" s="77">
      <c r="A988" s="123" t="n"/>
      <c r="B988" s="123" t="n"/>
      <c r="C988" s="124" t="n"/>
      <c r="D988" s="125" t="n"/>
      <c r="E988" s="123" t="n"/>
      <c r="F988" s="126" t="n"/>
      <c r="G988" s="125" t="n"/>
      <c r="H988" s="122">
        <f>IF($D988="",0,MAX(0,ROUNDDOWN((AmortismanRaporTarihi-$C988)/365,0)))</f>
        <v/>
      </c>
      <c r="I988" s="122">
        <f>IF($D988="",0,IFERROR(IF($E988="Azalan",MAX(0,$D988*(1-MIN(2*AmortismanAzalanCarpan*$F988,1)^$H988)),MIN($D988,$D988*$F988*$H988)),0))</f>
        <v/>
      </c>
      <c r="J988" s="122">
        <f>IF($D988="",0,MAX(0,$D988-$I988))</f>
        <v/>
      </c>
      <c r="K988" s="122">
        <f>IF($H988=0,0,IFERROR(IF($E988="Azalan",$D988*(1-MIN(2*AmortismanAzalanCarpan*$F988,1))^MAX(0,$H988-1)*MIN(2*AmortismanAzalanCarpan*$F988,1),MIN($D988*$F988,$D988)),0))</f>
        <v/>
      </c>
      <c r="L988" s="122">
        <f>IF($D988="",0,$G988-$J988)</f>
        <v/>
      </c>
      <c r="M988" s="122">
        <f>IF($B988="","",CONCATENATE("Kıymet: ",$B988," | NDD: ",TEXT($J988,"#,##0")))</f>
        <v/>
      </c>
    </row>
    <row r="989" ht="15" customHeight="1" s="77">
      <c r="A989" s="123" t="n"/>
      <c r="B989" s="123" t="n"/>
      <c r="C989" s="124" t="n"/>
      <c r="D989" s="125" t="n"/>
      <c r="E989" s="123" t="n"/>
      <c r="F989" s="126" t="n"/>
      <c r="G989" s="125" t="n"/>
      <c r="H989" s="122">
        <f>IF($D989="",0,MAX(0,ROUNDDOWN((AmortismanRaporTarihi-$C989)/365,0)))</f>
        <v/>
      </c>
      <c r="I989" s="122">
        <f>IF($D989="",0,IFERROR(IF($E989="Azalan",MAX(0,$D989*(1-MIN(2*AmortismanAzalanCarpan*$F989,1)^$H989)),MIN($D989,$D989*$F989*$H989)),0))</f>
        <v/>
      </c>
      <c r="J989" s="122">
        <f>IF($D989="",0,MAX(0,$D989-$I989))</f>
        <v/>
      </c>
      <c r="K989" s="122">
        <f>IF($H989=0,0,IFERROR(IF($E989="Azalan",$D989*(1-MIN(2*AmortismanAzalanCarpan*$F989,1))^MAX(0,$H989-1)*MIN(2*AmortismanAzalanCarpan*$F989,1),MIN($D989*$F989,$D989)),0))</f>
        <v/>
      </c>
      <c r="L989" s="122">
        <f>IF($D989="",0,$G989-$J989)</f>
        <v/>
      </c>
      <c r="M989" s="122">
        <f>IF($B989="","",CONCATENATE("Kıymet: ",$B989," | NDD: ",TEXT($J989,"#,##0")))</f>
        <v/>
      </c>
    </row>
    <row r="990" ht="15" customHeight="1" s="77">
      <c r="A990" s="123" t="n"/>
      <c r="B990" s="123" t="n"/>
      <c r="C990" s="124" t="n"/>
      <c r="D990" s="125" t="n"/>
      <c r="E990" s="123" t="n"/>
      <c r="F990" s="126" t="n"/>
      <c r="G990" s="125" t="n"/>
      <c r="H990" s="122">
        <f>IF($D990="",0,MAX(0,ROUNDDOWN((AmortismanRaporTarihi-$C990)/365,0)))</f>
        <v/>
      </c>
      <c r="I990" s="122">
        <f>IF($D990="",0,IFERROR(IF($E990="Azalan",MAX(0,$D990*(1-MIN(2*AmortismanAzalanCarpan*$F990,1)^$H990)),MIN($D990,$D990*$F990*$H990)),0))</f>
        <v/>
      </c>
      <c r="J990" s="122">
        <f>IF($D990="",0,MAX(0,$D990-$I990))</f>
        <v/>
      </c>
      <c r="K990" s="122">
        <f>IF($H990=0,0,IFERROR(IF($E990="Azalan",$D990*(1-MIN(2*AmortismanAzalanCarpan*$F990,1))^MAX(0,$H990-1)*MIN(2*AmortismanAzalanCarpan*$F990,1),MIN($D990*$F990,$D990)),0))</f>
        <v/>
      </c>
      <c r="L990" s="122">
        <f>IF($D990="",0,$G990-$J990)</f>
        <v/>
      </c>
      <c r="M990" s="122">
        <f>IF($B990="","",CONCATENATE("Kıymet: ",$B990," | NDD: ",TEXT($J990,"#,##0")))</f>
        <v/>
      </c>
    </row>
    <row r="991" ht="15" customHeight="1" s="77">
      <c r="A991" s="123" t="n"/>
      <c r="B991" s="123" t="n"/>
      <c r="C991" s="124" t="n"/>
      <c r="D991" s="125" t="n"/>
      <c r="E991" s="123" t="n"/>
      <c r="F991" s="126" t="n"/>
      <c r="G991" s="125" t="n"/>
      <c r="H991" s="122">
        <f>IF($D991="",0,MAX(0,ROUNDDOWN((AmortismanRaporTarihi-$C991)/365,0)))</f>
        <v/>
      </c>
      <c r="I991" s="122">
        <f>IF($D991="",0,IFERROR(IF($E991="Azalan",MAX(0,$D991*(1-MIN(2*AmortismanAzalanCarpan*$F991,1)^$H991)),MIN($D991,$D991*$F991*$H991)),0))</f>
        <v/>
      </c>
      <c r="J991" s="122">
        <f>IF($D991="",0,MAX(0,$D991-$I991))</f>
        <v/>
      </c>
      <c r="K991" s="122">
        <f>IF($H991=0,0,IFERROR(IF($E991="Azalan",$D991*(1-MIN(2*AmortismanAzalanCarpan*$F991,1))^MAX(0,$H991-1)*MIN(2*AmortismanAzalanCarpan*$F991,1),MIN($D991*$F991,$D991)),0))</f>
        <v/>
      </c>
      <c r="L991" s="122">
        <f>IF($D991="",0,$G991-$J991)</f>
        <v/>
      </c>
      <c r="M991" s="122">
        <f>IF($B991="","",CONCATENATE("Kıymet: ",$B991," | NDD: ",TEXT($J991,"#,##0")))</f>
        <v/>
      </c>
    </row>
    <row r="992" ht="15" customHeight="1" s="77">
      <c r="A992" s="123" t="n"/>
      <c r="B992" s="123" t="n"/>
      <c r="C992" s="124" t="n"/>
      <c r="D992" s="125" t="n"/>
      <c r="E992" s="123" t="n"/>
      <c r="F992" s="126" t="n"/>
      <c r="G992" s="125" t="n"/>
      <c r="H992" s="122">
        <f>IF($D992="",0,MAX(0,ROUNDDOWN((AmortismanRaporTarihi-$C992)/365,0)))</f>
        <v/>
      </c>
      <c r="I992" s="122">
        <f>IF($D992="",0,IFERROR(IF($E992="Azalan",MAX(0,$D992*(1-MIN(2*AmortismanAzalanCarpan*$F992,1)^$H992)),MIN($D992,$D992*$F992*$H992)),0))</f>
        <v/>
      </c>
      <c r="J992" s="122">
        <f>IF($D992="",0,MAX(0,$D992-$I992))</f>
        <v/>
      </c>
      <c r="K992" s="122">
        <f>IF($H992=0,0,IFERROR(IF($E992="Azalan",$D992*(1-MIN(2*AmortismanAzalanCarpan*$F992,1))^MAX(0,$H992-1)*MIN(2*AmortismanAzalanCarpan*$F992,1),MIN($D992*$F992,$D992)),0))</f>
        <v/>
      </c>
      <c r="L992" s="122">
        <f>IF($D992="",0,$G992-$J992)</f>
        <v/>
      </c>
      <c r="M992" s="122">
        <f>IF($B992="","",CONCATENATE("Kıymet: ",$B992," | NDD: ",TEXT($J992,"#,##0")))</f>
        <v/>
      </c>
    </row>
    <row r="993" ht="15" customHeight="1" s="77">
      <c r="A993" s="123" t="n"/>
      <c r="B993" s="123" t="n"/>
      <c r="C993" s="124" t="n"/>
      <c r="D993" s="125" t="n"/>
      <c r="E993" s="123" t="n"/>
      <c r="F993" s="126" t="n"/>
      <c r="G993" s="125" t="n"/>
      <c r="H993" s="122">
        <f>IF($D993="",0,MAX(0,ROUNDDOWN((AmortismanRaporTarihi-$C993)/365,0)))</f>
        <v/>
      </c>
      <c r="I993" s="122">
        <f>IF($D993="",0,IFERROR(IF($E993="Azalan",MAX(0,$D993*(1-MIN(2*AmortismanAzalanCarpan*$F993,1)^$H993)),MIN($D993,$D993*$F993*$H993)),0))</f>
        <v/>
      </c>
      <c r="J993" s="122">
        <f>IF($D993="",0,MAX(0,$D993-$I993))</f>
        <v/>
      </c>
      <c r="K993" s="122">
        <f>IF($H993=0,0,IFERROR(IF($E993="Azalan",$D993*(1-MIN(2*AmortismanAzalanCarpan*$F993,1))^MAX(0,$H993-1)*MIN(2*AmortismanAzalanCarpan*$F993,1),MIN($D993*$F993,$D993)),0))</f>
        <v/>
      </c>
      <c r="L993" s="122">
        <f>IF($D993="",0,$G993-$J993)</f>
        <v/>
      </c>
      <c r="M993" s="122">
        <f>IF($B993="","",CONCATENATE("Kıymet: ",$B993," | NDD: ",TEXT($J993,"#,##0")))</f>
        <v/>
      </c>
    </row>
    <row r="994" ht="15" customHeight="1" s="77">
      <c r="A994" s="123" t="n"/>
      <c r="B994" s="123" t="n"/>
      <c r="C994" s="124" t="n"/>
      <c r="D994" s="125" t="n"/>
      <c r="E994" s="123" t="n"/>
      <c r="F994" s="126" t="n"/>
      <c r="G994" s="125" t="n"/>
      <c r="H994" s="122">
        <f>IF($D994="",0,MAX(0,ROUNDDOWN((AmortismanRaporTarihi-$C994)/365,0)))</f>
        <v/>
      </c>
      <c r="I994" s="122">
        <f>IF($D994="",0,IFERROR(IF($E994="Azalan",MAX(0,$D994*(1-MIN(2*AmortismanAzalanCarpan*$F994,1)^$H994)),MIN($D994,$D994*$F994*$H994)),0))</f>
        <v/>
      </c>
      <c r="J994" s="122">
        <f>IF($D994="",0,MAX(0,$D994-$I994))</f>
        <v/>
      </c>
      <c r="K994" s="122">
        <f>IF($H994=0,0,IFERROR(IF($E994="Azalan",$D994*(1-MIN(2*AmortismanAzalanCarpan*$F994,1))^MAX(0,$H994-1)*MIN(2*AmortismanAzalanCarpan*$F994,1),MIN($D994*$F994,$D994)),0))</f>
        <v/>
      </c>
      <c r="L994" s="122">
        <f>IF($D994="",0,$G994-$J994)</f>
        <v/>
      </c>
      <c r="M994" s="122">
        <f>IF($B994="","",CONCATENATE("Kıymet: ",$B994," | NDD: ",TEXT($J994,"#,##0")))</f>
        <v/>
      </c>
    </row>
    <row r="995" ht="15" customHeight="1" s="77">
      <c r="A995" s="123" t="n"/>
      <c r="B995" s="123" t="n"/>
      <c r="C995" s="124" t="n"/>
      <c r="D995" s="125" t="n"/>
      <c r="E995" s="123" t="n"/>
      <c r="F995" s="126" t="n"/>
      <c r="G995" s="125" t="n"/>
      <c r="H995" s="122">
        <f>IF($D995="",0,MAX(0,ROUNDDOWN((AmortismanRaporTarihi-$C995)/365,0)))</f>
        <v/>
      </c>
      <c r="I995" s="122">
        <f>IF($D995="",0,IFERROR(IF($E995="Azalan",MAX(0,$D995*(1-MIN(2*AmortismanAzalanCarpan*$F995,1)^$H995)),MIN($D995,$D995*$F995*$H995)),0))</f>
        <v/>
      </c>
      <c r="J995" s="122">
        <f>IF($D995="",0,MAX(0,$D995-$I995))</f>
        <v/>
      </c>
      <c r="K995" s="122">
        <f>IF($H995=0,0,IFERROR(IF($E995="Azalan",$D995*(1-MIN(2*AmortismanAzalanCarpan*$F995,1))^MAX(0,$H995-1)*MIN(2*AmortismanAzalanCarpan*$F995,1),MIN($D995*$F995,$D995)),0))</f>
        <v/>
      </c>
      <c r="L995" s="122">
        <f>IF($D995="",0,$G995-$J995)</f>
        <v/>
      </c>
      <c r="M995" s="122">
        <f>IF($B995="","",CONCATENATE("Kıymet: ",$B995," | NDD: ",TEXT($J995,"#,##0")))</f>
        <v/>
      </c>
    </row>
    <row r="996" ht="15" customHeight="1" s="77">
      <c r="A996" s="123" t="n"/>
      <c r="B996" s="123" t="n"/>
      <c r="C996" s="124" t="n"/>
      <c r="D996" s="125" t="n"/>
      <c r="E996" s="123" t="n"/>
      <c r="F996" s="126" t="n"/>
      <c r="G996" s="125" t="n"/>
      <c r="H996" s="122">
        <f>IF($D996="",0,MAX(0,ROUNDDOWN((AmortismanRaporTarihi-$C996)/365,0)))</f>
        <v/>
      </c>
      <c r="I996" s="122">
        <f>IF($D996="",0,IFERROR(IF($E996="Azalan",MAX(0,$D996*(1-MIN(2*AmortismanAzalanCarpan*$F996,1)^$H996)),MIN($D996,$D996*$F996*$H996)),0))</f>
        <v/>
      </c>
      <c r="J996" s="122">
        <f>IF($D996="",0,MAX(0,$D996-$I996))</f>
        <v/>
      </c>
      <c r="K996" s="122">
        <f>IF($H996=0,0,IFERROR(IF($E996="Azalan",$D996*(1-MIN(2*AmortismanAzalanCarpan*$F996,1))^MAX(0,$H996-1)*MIN(2*AmortismanAzalanCarpan*$F996,1),MIN($D996*$F996,$D996)),0))</f>
        <v/>
      </c>
      <c r="L996" s="122">
        <f>IF($D996="",0,$G996-$J996)</f>
        <v/>
      </c>
      <c r="M996" s="122">
        <f>IF($B996="","",CONCATENATE("Kıymet: ",$B996," | NDD: ",TEXT($J996,"#,##0")))</f>
        <v/>
      </c>
    </row>
    <row r="997" ht="15" customHeight="1" s="77">
      <c r="A997" s="123" t="n"/>
      <c r="B997" s="123" t="n"/>
      <c r="C997" s="124" t="n"/>
      <c r="D997" s="125" t="n"/>
      <c r="E997" s="123" t="n"/>
      <c r="F997" s="126" t="n"/>
      <c r="G997" s="125" t="n"/>
      <c r="H997" s="122">
        <f>IF($D997="",0,MAX(0,ROUNDDOWN((AmortismanRaporTarihi-$C997)/365,0)))</f>
        <v/>
      </c>
      <c r="I997" s="122">
        <f>IF($D997="",0,IFERROR(IF($E997="Azalan",MAX(0,$D997*(1-MIN(2*AmortismanAzalanCarpan*$F997,1)^$H997)),MIN($D997,$D997*$F997*$H997)),0))</f>
        <v/>
      </c>
      <c r="J997" s="122">
        <f>IF($D997="",0,MAX(0,$D997-$I997))</f>
        <v/>
      </c>
      <c r="K997" s="122">
        <f>IF($H997=0,0,IFERROR(IF($E997="Azalan",$D997*(1-MIN(2*AmortismanAzalanCarpan*$F997,1))^MAX(0,$H997-1)*MIN(2*AmortismanAzalanCarpan*$F997,1),MIN($D997*$F997,$D997)),0))</f>
        <v/>
      </c>
      <c r="L997" s="122">
        <f>IF($D997="",0,$G997-$J997)</f>
        <v/>
      </c>
      <c r="M997" s="122">
        <f>IF($B997="","",CONCATENATE("Kıymet: ",$B997," | NDD: ",TEXT($J997,"#,##0")))</f>
        <v/>
      </c>
    </row>
    <row r="998" ht="15" customHeight="1" s="77">
      <c r="A998" s="123" t="n"/>
      <c r="B998" s="123" t="n"/>
      <c r="C998" s="124" t="n"/>
      <c r="D998" s="125" t="n"/>
      <c r="E998" s="123" t="n"/>
      <c r="F998" s="126" t="n"/>
      <c r="G998" s="125" t="n"/>
      <c r="H998" s="122">
        <f>IF($D998="",0,MAX(0,ROUNDDOWN((AmortismanRaporTarihi-$C998)/365,0)))</f>
        <v/>
      </c>
      <c r="I998" s="122">
        <f>IF($D998="",0,IFERROR(IF($E998="Azalan",MAX(0,$D998*(1-MIN(2*AmortismanAzalanCarpan*$F998,1)^$H998)),MIN($D998,$D998*$F998*$H998)),0))</f>
        <v/>
      </c>
      <c r="J998" s="122">
        <f>IF($D998="",0,MAX(0,$D998-$I998))</f>
        <v/>
      </c>
      <c r="K998" s="122">
        <f>IF($H998=0,0,IFERROR(IF($E998="Azalan",$D998*(1-MIN(2*AmortismanAzalanCarpan*$F998,1))^MAX(0,$H998-1)*MIN(2*AmortismanAzalanCarpan*$F998,1),MIN($D998*$F998,$D998)),0))</f>
        <v/>
      </c>
      <c r="L998" s="122">
        <f>IF($D998="",0,$G998-$J998)</f>
        <v/>
      </c>
      <c r="M998" s="122">
        <f>IF($B998="","",CONCATENATE("Kıymet: ",$B998," | NDD: ",TEXT($J998,"#,##0")))</f>
        <v/>
      </c>
    </row>
    <row r="999" ht="15" customHeight="1" s="77">
      <c r="A999" s="123" t="n"/>
      <c r="B999" s="123" t="n"/>
      <c r="C999" s="124" t="n"/>
      <c r="D999" s="125" t="n"/>
      <c r="E999" s="123" t="n"/>
      <c r="F999" s="126" t="n"/>
      <c r="G999" s="125" t="n"/>
      <c r="H999" s="122">
        <f>IF($D999="",0,MAX(0,ROUNDDOWN((AmortismanRaporTarihi-$C999)/365,0)))</f>
        <v/>
      </c>
      <c r="I999" s="122">
        <f>IF($D999="",0,IFERROR(IF($E999="Azalan",MAX(0,$D999*(1-MIN(2*AmortismanAzalanCarpan*$F999,1)^$H999)),MIN($D999,$D999*$F999*$H999)),0))</f>
        <v/>
      </c>
      <c r="J999" s="122">
        <f>IF($D999="",0,MAX(0,$D999-$I999))</f>
        <v/>
      </c>
      <c r="K999" s="122">
        <f>IF($H999=0,0,IFERROR(IF($E999="Azalan",$D999*(1-MIN(2*AmortismanAzalanCarpan*$F999,1))^MAX(0,$H999-1)*MIN(2*AmortismanAzalanCarpan*$F999,1),MIN($D999*$F999,$D999)),0))</f>
        <v/>
      </c>
      <c r="L999" s="122">
        <f>IF($D999="",0,$G999-$J999)</f>
        <v/>
      </c>
      <c r="M999" s="122">
        <f>IF($B999="","",CONCATENATE("Kıymet: ",$B999," | NDD: ",TEXT($J999,"#,##0")))</f>
        <v/>
      </c>
    </row>
    <row r="1000" ht="15" customHeight="1" s="77">
      <c r="A1000" s="123" t="n"/>
      <c r="B1000" s="123" t="n"/>
      <c r="C1000" s="124" t="n"/>
      <c r="D1000" s="125" t="n"/>
      <c r="E1000" s="123" t="n"/>
      <c r="F1000" s="126" t="n"/>
      <c r="G1000" s="125" t="n"/>
      <c r="H1000" s="122">
        <f>IF($D1000="",0,MAX(0,ROUNDDOWN((AmortismanRaporTarihi-$C1000)/365,0)))</f>
        <v/>
      </c>
      <c r="I1000" s="122">
        <f>IF($D1000="",0,IFERROR(IF($E1000="Azalan",MAX(0,$D1000*(1-MIN(2*AmortismanAzalanCarpan*$F1000,1)^$H1000)),MIN($D1000,$D1000*$F1000*$H1000)),0))</f>
        <v/>
      </c>
      <c r="J1000" s="122">
        <f>IF($D1000="",0,MAX(0,$D1000-$I1000))</f>
        <v/>
      </c>
      <c r="K1000" s="122">
        <f>IF($H1000=0,0,IFERROR(IF($E1000="Azalan",$D1000*(1-MIN(2*AmortismanAzalanCarpan*$F1000,1))^MAX(0,$H1000-1)*MIN(2*AmortismanAzalanCarpan*$F1000,1),MIN($D1000*$F1000,$D1000)),0))</f>
        <v/>
      </c>
      <c r="L1000" s="122">
        <f>IF($D1000="",0,$G1000-$J1000)</f>
        <v/>
      </c>
      <c r="M1000" s="122">
        <f>IF($B1000="","",CONCATENATE("Kıymet: ",$B1000," | NDD: ",TEXT($J1000,"#,##0")))</f>
        <v/>
      </c>
    </row>
    <row r="1001" ht="15" customHeight="1" s="77">
      <c r="A1001" s="123" t="n"/>
      <c r="B1001" s="123" t="n"/>
      <c r="C1001" s="124" t="n"/>
      <c r="D1001" s="125" t="n"/>
      <c r="E1001" s="123" t="n"/>
      <c r="F1001" s="126" t="n"/>
      <c r="G1001" s="125" t="n"/>
      <c r="H1001" s="122">
        <f>IF($D1001="",0,MAX(0,ROUNDDOWN((AmortismanRaporTarihi-$C1001)/365,0)))</f>
        <v/>
      </c>
      <c r="I1001" s="122">
        <f>IF($D1001="",0,IFERROR(IF($E1001="Azalan",MAX(0,$D1001*(1-MIN(2*AmortismanAzalanCarpan*$F1001,1)^$H1001)),MIN($D1001,$D1001*$F1001*$H1001)),0))</f>
        <v/>
      </c>
      <c r="J1001" s="122">
        <f>IF($D1001="",0,MAX(0,$D1001-$I1001))</f>
        <v/>
      </c>
      <c r="K1001" s="122">
        <f>IF($H1001=0,0,IFERROR(IF($E1001="Azalan",$D1001*(1-MIN(2*AmortismanAzalanCarpan*$F1001,1))^MAX(0,$H1001-1)*MIN(2*AmortismanAzalanCarpan*$F1001,1),MIN($D1001*$F1001,$D1001)),0))</f>
        <v/>
      </c>
      <c r="L1001" s="122">
        <f>IF($D1001="",0,$G1001-$J1001)</f>
        <v/>
      </c>
      <c r="M1001" s="122">
        <f>IF($B1001="","",CONCATENATE("Kıymet: ",$B1001," | NDD: ",TEXT($J1001,"#,##0")))</f>
        <v/>
      </c>
    </row>
    <row r="1002" ht="15" customHeight="1" s="77">
      <c r="A1002" s="123" t="n"/>
      <c r="B1002" s="123" t="n"/>
      <c r="C1002" s="124" t="n"/>
      <c r="D1002" s="125" t="n"/>
      <c r="E1002" s="123" t="n"/>
      <c r="F1002" s="126" t="n"/>
      <c r="G1002" s="125" t="n"/>
      <c r="H1002" s="122">
        <f>IF($D1002="",0,MAX(0,ROUNDDOWN((AmortismanRaporTarihi-$C1002)/365,0)))</f>
        <v/>
      </c>
      <c r="I1002" s="122">
        <f>IF($D1002="",0,IFERROR(IF($E1002="Azalan",MAX(0,$D1002*(1-MIN(2*AmortismanAzalanCarpan*$F1002,1)^$H1002)),MIN($D1002,$D1002*$F1002*$H1002)),0))</f>
        <v/>
      </c>
      <c r="J1002" s="122">
        <f>IF($D1002="",0,MAX(0,$D1002-$I1002))</f>
        <v/>
      </c>
      <c r="K1002" s="122">
        <f>IF($H1002=0,0,IFERROR(IF($E1002="Azalan",$D1002*(1-MIN(2*AmortismanAzalanCarpan*$F1002,1))^MAX(0,$H1002-1)*MIN(2*AmortismanAzalanCarpan*$F1002,1),MIN($D1002*$F1002,$D1002)),0))</f>
        <v/>
      </c>
      <c r="L1002" s="122">
        <f>IF($D1002="",0,$G1002-$J1002)</f>
        <v/>
      </c>
      <c r="M1002" s="122">
        <f>IF($B1002="","",CONCATENATE("Kıymet: ",$B1002," | NDD: ",TEXT($J1002,"#,##0")))</f>
        <v/>
      </c>
    </row>
    <row r="1003" ht="15" customHeight="1" s="77">
      <c r="A1003" s="123" t="n"/>
      <c r="B1003" s="123" t="n"/>
      <c r="C1003" s="124" t="n"/>
      <c r="D1003" s="125" t="n"/>
      <c r="E1003" s="123" t="n"/>
      <c r="F1003" s="126" t="n"/>
      <c r="G1003" s="125" t="n"/>
      <c r="H1003" s="122">
        <f>IF($D1003="",0,MAX(0,ROUNDDOWN((AmortismanRaporTarihi-$C1003)/365,0)))</f>
        <v/>
      </c>
      <c r="I1003" s="122">
        <f>IF($D1003="",0,IFERROR(IF($E1003="Azalan",MAX(0,$D1003*(1-MIN(2*AmortismanAzalanCarpan*$F1003,1)^$H1003)),MIN($D1003,$D1003*$F1003*$H1003)),0))</f>
        <v/>
      </c>
      <c r="J1003" s="122">
        <f>IF($D1003="",0,MAX(0,$D1003-$I1003))</f>
        <v/>
      </c>
      <c r="K1003" s="122">
        <f>IF($H1003=0,0,IFERROR(IF($E1003="Azalan",$D1003*(1-MIN(2*AmortismanAzalanCarpan*$F1003,1))^MAX(0,$H1003-1)*MIN(2*AmortismanAzalanCarpan*$F1003,1),MIN($D1003*$F1003,$D1003)),0))</f>
        <v/>
      </c>
      <c r="L1003" s="122">
        <f>IF($D1003="",0,$G1003-$J1003)</f>
        <v/>
      </c>
      <c r="M1003" s="122">
        <f>IF($B1003="","",CONCATENATE("Kıymet: ",$B1003," | NDD: ",TEXT($J1003,"#,##0")))</f>
        <v/>
      </c>
    </row>
    <row r="1004" ht="15" customHeight="1" s="77">
      <c r="A1004" s="123" t="n"/>
      <c r="B1004" s="123" t="n"/>
      <c r="C1004" s="123" t="n"/>
      <c r="D1004" s="123" t="n"/>
      <c r="E1004" s="123" t="n"/>
      <c r="F1004" s="123" t="n"/>
      <c r="G1004" s="123" t="n"/>
      <c r="H1004" s="122">
        <f>IF($D1004="",0,MAX(0,ROUNDDOWN((AmortismanRaporTarihi-$C1004)/365,0)))</f>
        <v/>
      </c>
      <c r="I1004" s="122">
        <f>IF($D1004="",0,IFERROR(IF($E1004="Azalan",MAX(0,$D1004*(1-MIN(2*AmortismanAzalanCarpan*$F1004,1)^$H1004)),MIN($D1004,$D1004*$F1004*$H1004)),0))</f>
        <v/>
      </c>
      <c r="J1004" s="122">
        <f>IF($D1004="",0,MAX(0,$D1004-$I1004))</f>
        <v/>
      </c>
      <c r="K1004" s="122">
        <f>IF($H1004=0,0,IFERROR(IF($E1004="Azalan",$D1004*(1-MIN(2*AmortismanAzalanCarpan*$F1004,1))^MAX(0,$H1004-1)*MIN(2*AmortismanAzalanCarpan*$F1004,1),MIN($D1004*$F1004,$D1004)),0))</f>
        <v/>
      </c>
      <c r="L1004" s="122">
        <f>IF($D1004="",0,$G1004-$J1004)</f>
        <v/>
      </c>
      <c r="M1004" s="122">
        <f>IF($B1004="","",CONCATENATE("Kıymet: ",$B1004," | NDD: ",TEXT($J1004,"#,##0")))</f>
        <v/>
      </c>
    </row>
    <row r="1006" ht="19.5" customHeight="1" s="77">
      <c r="A1006" s="127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D6:D1004">
    <cfRule type="cellIs" rank="0" priority="2" equalAverage="0" operator="lessThan" aboveAverage="0" dxfId="6" text="" percent="0" bottom="0">
      <formula>0</formula>
    </cfRule>
  </conditionalFormatting>
  <conditionalFormatting sqref="G6:G1004">
    <cfRule type="cellIs" rank="0" priority="3" equalAverage="0" operator="lessThan" aboveAverage="0" dxfId="6" text="" percent="0" bottom="0">
      <formula>0</formula>
    </cfRule>
  </conditionalFormatting>
  <conditionalFormatting sqref="H6:H1004">
    <cfRule type="cellIs" rank="0" priority="4" equalAverage="0" operator="greaterThan" aboveAverage="0" dxfId="7" text="" percent="0" bottom="0">
      <formula>40</formula>
    </cfRule>
  </conditionalFormatting>
  <conditionalFormatting sqref="F6:F1004">
    <cfRule type="cellIs" rank="0" priority="5" equalAverage="0" operator="greaterThan" aboveAverage="0" dxfId="6" text="" percent="0" bottom="0">
      <formula>0.5</formula>
    </cfRule>
  </conditionalFormatting>
  <dataValidations count="6">
    <dataValidation sqref="B6:B1004" showDropDown="0" showInputMessage="1" showErrorMessage="1" allowBlank="1" errorTitle="Geçersiz tür" error="Listede olmayan tür giremezsiniz." promptTitle="Kıymet Türü" prompt="Listeden bir kıymet türü seçin." type="list" errorStyle="stop" operator="between">
      <formula1>ListeKiyametTurleri</formula1>
      <formula2>0</formula2>
    </dataValidation>
    <dataValidation sqref="C6:C1004" showDropDown="0" showInputMessage="1" showErrorMessage="1" allowBlank="1" errorTitle="Geçersiz tarih" error="Tarih 01.01.2000 ile 31.12.2100 arasında olmalı." promptTitle="Edinim Tarihi" prompt="Kıymetin edinim tarihini girin." type="date" errorStyle="stop" operator="between">
      <formula1>01.01.2000</formula1>
      <formula2>31.12.2100</formula2>
    </dataValidation>
    <dataValidation sqref="D6:D1004" showDropDown="0" showInputMessage="1" showErrorMessage="1" allowBlank="1" errorTitle="Geçersiz değer" error="0 ile 100.000.000.000 arasında olmalı." promptTitle="Edinim Bedeli" prompt="Kıymetin edinim bedelini TL olarak girin." type="decimal" errorStyle="stop" operator="between">
      <formula1>0</formula1>
      <formula2>100000000000</formula2>
    </dataValidation>
    <dataValidation sqref="E6:E1004" showDropDown="0" showInputMessage="1" showErrorMessage="1" allowBlank="1" errorTitle="Geçersiz yöntem" error="Normal veya Azalan seçmelisiniz." promptTitle="Amortisman Yöntemi" prompt="Normal veya Azalan seçin." type="list" errorStyle="stop" operator="between">
      <formula1>ListeAmortismanYontemleri</formula1>
      <formula2>0</formula2>
    </dataValidation>
    <dataValidation sqref="F6:F1004" showDropDown="0" showInputMessage="1" showErrorMessage="1" allowBlank="1" errorTitle="Geçersiz oran" error="Oran 0 ile 0,50 arasında olmalı." promptTitle="Amortisman Oranı" prompt="Yıllık amortisman oranını 0-0,50 arasında girin (örn. %20 için 0,20)." type="decimal" errorStyle="stop" operator="between">
      <formula1>0</formula1>
      <formula2>0.5</formula2>
    </dataValidation>
    <dataValidation sqref="G6:G1004" showDropDown="0" showInputMessage="1" showErrorMessage="1" allowBlank="1" errorTitle="Geçersiz değer" error="0 ile 100.000.000.000 arasında olmalı." promptTitle="Satış Bedeli" prompt="Kıymetin tahmini satış bedelini TL olarak girin." type="decimal" errorStyle="stop" operator="between">
      <formula1>0</formula1>
      <formula2>100000000000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03" min="1" max="1"/>
    <col width="20" customWidth="1" style="103" min="2" max="7"/>
  </cols>
  <sheetData>
    <row r="1" ht="25.5" customHeight="1" s="77">
      <c r="A1" s="104" t="inlineStr">
        <is>
          <t>HESAP — Amortisman &amp; Sabit Kıymet Satış Zamanlama Stratejisti</t>
        </is>
      </c>
    </row>
    <row r="3" ht="15.75" customHeight="1" s="77">
      <c r="A3" s="111" t="inlineStr">
        <is>
          <t>Kıymet Türü Bazlı Özet ve Satış Zamanlama Motoru</t>
        </is>
      </c>
    </row>
    <row r="4" ht="41.25" customHeight="1" s="77">
      <c r="A4" s="106" t="inlineStr">
        <is>
          <t>Aşağıdaki özet kıymet listesinden otomatik beslenir; çeyrek satış senaryoları AYARLAR'daki oran ve kıst değerlerle canlı üretilir.</t>
        </is>
      </c>
    </row>
    <row r="5" ht="30" customHeight="1" s="77">
      <c r="A5" s="117" t="inlineStr">
        <is>
          <t>Kıymet Türü</t>
        </is>
      </c>
      <c r="B5" s="117" t="inlineStr">
        <is>
          <t>Adet</t>
        </is>
      </c>
      <c r="C5" s="117" t="inlineStr">
        <is>
          <t>Edinim Bedeli (TL)</t>
        </is>
      </c>
      <c r="D5" s="117" t="inlineStr">
        <is>
          <t>Birikmiş Amortisman (TL)</t>
        </is>
      </c>
      <c r="E5" s="117" t="inlineStr">
        <is>
          <t>Net Defter Değeri (TL)</t>
        </is>
      </c>
      <c r="F5" s="117" t="inlineStr">
        <is>
          <t>Yıllık Amortisman (TL)</t>
        </is>
      </c>
      <c r="G5" s="117" t="inlineStr">
        <is>
          <t>Satış Bedeli (TL)</t>
        </is>
      </c>
    </row>
    <row r="6" ht="15" customHeight="1" s="77">
      <c r="A6" s="128" t="inlineStr">
        <is>
          <t>Bina</t>
        </is>
      </c>
      <c r="B6" s="129">
        <f>IFERROR(COUNTIFS(tblKiyamet[Kıymet Türü],$A6,tblKiyamet[Edinim Bedeli (TL)],"&lt;&gt;0"),0)</f>
        <v/>
      </c>
      <c r="C6" s="130">
        <f>SUMIFS(tblKiyamet[Edinim Bedeli (TL)],tblKiyamet[Kıymet Türü],$A6)</f>
        <v/>
      </c>
      <c r="D6" s="130">
        <f>SUMIFS(tblKiyamet[Birikmiş Amortisman (TL)],tblKiyamet[Kıymet Türü],$A6)</f>
        <v/>
      </c>
      <c r="E6" s="130">
        <f>SUMIFS(tblKiyamet[Net Defter Değeri (TL)],tblKiyamet[Kıymet Türü],$A6)</f>
        <v/>
      </c>
      <c r="F6" s="130">
        <f>SUMIFS(tblKiyamet[Yıllık Amortisman (TL)],tblKiyamet[Kıymet Türü],$A6)</f>
        <v/>
      </c>
      <c r="G6" s="130">
        <f>SUMIFS(tblKiyamet[Satış Bedeli (TL)],tblKiyamet[Kıymet Türü],$A6)</f>
        <v/>
      </c>
    </row>
    <row r="7" ht="15" customHeight="1" s="77">
      <c r="A7" s="128" t="inlineStr">
        <is>
          <t>Makine</t>
        </is>
      </c>
      <c r="B7" s="129">
        <f>IFERROR(COUNTIFS(tblKiyamet[Kıymet Türü],$A7,tblKiyamet[Edinim Bedeli (TL)],"&lt;&gt;0"),0)</f>
        <v/>
      </c>
      <c r="C7" s="130">
        <f>SUMIFS(tblKiyamet[Edinim Bedeli (TL)],tblKiyamet[Kıymet Türü],$A7)</f>
        <v/>
      </c>
      <c r="D7" s="130">
        <f>SUMIFS(tblKiyamet[Birikmiş Amortisman (TL)],tblKiyamet[Kıymet Türü],$A7)</f>
        <v/>
      </c>
      <c r="E7" s="130">
        <f>SUMIFS(tblKiyamet[Net Defter Değeri (TL)],tblKiyamet[Kıymet Türü],$A7)</f>
        <v/>
      </c>
      <c r="F7" s="130">
        <f>SUMIFS(tblKiyamet[Yıllık Amortisman (TL)],tblKiyamet[Kıymet Türü],$A7)</f>
        <v/>
      </c>
      <c r="G7" s="130">
        <f>SUMIFS(tblKiyamet[Satış Bedeli (TL)],tblKiyamet[Kıymet Türü],$A7)</f>
        <v/>
      </c>
    </row>
    <row r="8" ht="15" customHeight="1" s="77">
      <c r="A8" s="128" t="inlineStr">
        <is>
          <t>Taşıt</t>
        </is>
      </c>
      <c r="B8" s="129">
        <f>IFERROR(COUNTIFS(tblKiyamet[Kıymet Türü],$A8,tblKiyamet[Edinim Bedeli (TL)],"&lt;&gt;0"),0)</f>
        <v/>
      </c>
      <c r="C8" s="130">
        <f>SUMIFS(tblKiyamet[Edinim Bedeli (TL)],tblKiyamet[Kıymet Türü],$A8)</f>
        <v/>
      </c>
      <c r="D8" s="130">
        <f>SUMIFS(tblKiyamet[Birikmiş Amortisman (TL)],tblKiyamet[Kıymet Türü],$A8)</f>
        <v/>
      </c>
      <c r="E8" s="130">
        <f>SUMIFS(tblKiyamet[Net Defter Değeri (TL)],tblKiyamet[Kıymet Türü],$A8)</f>
        <v/>
      </c>
      <c r="F8" s="130">
        <f>SUMIFS(tblKiyamet[Yıllık Amortisman (TL)],tblKiyamet[Kıymet Türü],$A8)</f>
        <v/>
      </c>
      <c r="G8" s="130">
        <f>SUMIFS(tblKiyamet[Satış Bedeli (TL)],tblKiyamet[Kıymet Türü],$A8)</f>
        <v/>
      </c>
    </row>
    <row r="9" ht="15" customHeight="1" s="77">
      <c r="A9" s="128" t="inlineStr">
        <is>
          <t>Demirbaş</t>
        </is>
      </c>
      <c r="B9" s="129">
        <f>IFERROR(COUNTIFS(tblKiyamet[Kıymet Türü],$A9,tblKiyamet[Edinim Bedeli (TL)],"&lt;&gt;0"),0)</f>
        <v/>
      </c>
      <c r="C9" s="130">
        <f>SUMIFS(tblKiyamet[Edinim Bedeli (TL)],tblKiyamet[Kıymet Türü],$A9)</f>
        <v/>
      </c>
      <c r="D9" s="130">
        <f>SUMIFS(tblKiyamet[Birikmiş Amortisman (TL)],tblKiyamet[Kıymet Türü],$A9)</f>
        <v/>
      </c>
      <c r="E9" s="130">
        <f>SUMIFS(tblKiyamet[Net Defter Değeri (TL)],tblKiyamet[Kıymet Türü],$A9)</f>
        <v/>
      </c>
      <c r="F9" s="130">
        <f>SUMIFS(tblKiyamet[Yıllık Amortisman (TL)],tblKiyamet[Kıymet Türü],$A9)</f>
        <v/>
      </c>
      <c r="G9" s="130">
        <f>SUMIFS(tblKiyamet[Satış Bedeli (TL)],tblKiyamet[Kıymet Türü],$A9)</f>
        <v/>
      </c>
    </row>
    <row r="10" ht="15" customHeight="1" s="77">
      <c r="A10" s="128" t="inlineStr">
        <is>
          <t>Yazılım</t>
        </is>
      </c>
      <c r="B10" s="129">
        <f>IFERROR(COUNTIFS(tblKiyamet[Kıymet Türü],$A10,tblKiyamet[Edinim Bedeli (TL)],"&lt;&gt;0"),0)</f>
        <v/>
      </c>
      <c r="C10" s="130">
        <f>SUMIFS(tblKiyamet[Edinim Bedeli (TL)],tblKiyamet[Kıymet Türü],$A10)</f>
        <v/>
      </c>
      <c r="D10" s="130">
        <f>SUMIFS(tblKiyamet[Birikmiş Amortisman (TL)],tblKiyamet[Kıymet Türü],$A10)</f>
        <v/>
      </c>
      <c r="E10" s="130">
        <f>SUMIFS(tblKiyamet[Net Defter Değeri (TL)],tblKiyamet[Kıymet Türü],$A10)</f>
        <v/>
      </c>
      <c r="F10" s="130">
        <f>SUMIFS(tblKiyamet[Yıllık Amortisman (TL)],tblKiyamet[Kıymet Türü],$A10)</f>
        <v/>
      </c>
      <c r="G10" s="130">
        <f>SUMIFS(tblKiyamet[Satış Bedeli (TL)],tblKiyamet[Kıymet Türü],$A10)</f>
        <v/>
      </c>
    </row>
    <row r="11" ht="15" customHeight="1" s="77">
      <c r="A11" s="128" t="inlineStr">
        <is>
          <t>Diğer</t>
        </is>
      </c>
      <c r="B11" s="129">
        <f>IFERROR(COUNTIFS(tblKiyamet[Kıymet Türü],$A11,tblKiyamet[Edinim Bedeli (TL)],"&lt;&gt;0"),0)</f>
        <v/>
      </c>
      <c r="C11" s="130">
        <f>SUMIFS(tblKiyamet[Edinim Bedeli (TL)],tblKiyamet[Kıymet Türü],$A11)</f>
        <v/>
      </c>
      <c r="D11" s="130">
        <f>SUMIFS(tblKiyamet[Birikmiş Amortisman (TL)],tblKiyamet[Kıymet Türü],$A11)</f>
        <v/>
      </c>
      <c r="E11" s="130">
        <f>SUMIFS(tblKiyamet[Net Defter Değeri (TL)],tblKiyamet[Kıymet Türü],$A11)</f>
        <v/>
      </c>
      <c r="F11" s="130">
        <f>SUMIFS(tblKiyamet[Yıllık Amortisman (TL)],tblKiyamet[Kıymet Türü],$A11)</f>
        <v/>
      </c>
      <c r="G11" s="130">
        <f>SUMIFS(tblKiyamet[Satış Bedeli (TL)],tblKiyamet[Kıymet Türü],$A11)</f>
        <v/>
      </c>
    </row>
    <row r="13" ht="15" customHeight="1" s="77">
      <c r="A13" s="131" t="inlineStr">
        <is>
          <t>TOPLAM BLOK</t>
        </is>
      </c>
    </row>
    <row r="14" ht="15" customHeight="1" s="77">
      <c r="A14" s="109" t="inlineStr">
        <is>
          <t>Toplam Edinim Bedeli (TL)</t>
        </is>
      </c>
      <c r="B14" s="132">
        <f>SUM(C6:C11)</f>
        <v/>
      </c>
    </row>
    <row r="15" ht="15" customHeight="1" s="77">
      <c r="A15" s="109" t="inlineStr">
        <is>
          <t>Toplam Birikmiş Amortisman (TL)</t>
        </is>
      </c>
      <c r="B15" s="130">
        <f>SUM(D6:D11)</f>
        <v/>
      </c>
    </row>
    <row r="16" ht="15" customHeight="1" s="77">
      <c r="A16" s="128" t="inlineStr">
        <is>
          <t>TOPLAM NET DEFTER DEĞERİ (TL)</t>
        </is>
      </c>
      <c r="B16" s="132">
        <f>SUM(E6:E11)</f>
        <v/>
      </c>
    </row>
    <row r="17" ht="15" customHeight="1" s="77">
      <c r="A17" s="109" t="inlineStr">
        <is>
          <t>Toplam Yıllık Amortisman (TL)</t>
        </is>
      </c>
      <c r="B17" s="130">
        <f>SUM(F6:F11)</f>
        <v/>
      </c>
    </row>
    <row r="18" ht="15" customHeight="1" s="77">
      <c r="A18" s="109" t="inlineStr">
        <is>
          <t>Toplam Satış Bedeli (TL)</t>
        </is>
      </c>
      <c r="B18" s="130">
        <f>SUM(G6:G11)</f>
        <v/>
      </c>
    </row>
    <row r="19" ht="15" customHeight="1" s="77">
      <c r="A19" s="109" t="inlineStr">
        <is>
          <t>Kıymet Sayısı</t>
        </is>
      </c>
      <c r="B19" s="129">
        <f>COUNTA(tblKiyamet[Kıymet Kodu])</f>
        <v/>
      </c>
    </row>
    <row r="20" ht="15" customHeight="1" s="77">
      <c r="A20" s="109" t="inlineStr">
        <is>
          <t>Kıymet Türü Sayısı (farklı)</t>
        </is>
      </c>
      <c r="B20" s="129">
        <f>IFERROR(SUMPRODUCT((tblKiyamet[Kıymet Türü]&lt;&gt;"")/COUNTIF(tblKiyamet[Kıymet Türü],tblKiyamet[Kıymet Türü]&amp;"")),0)</f>
        <v/>
      </c>
    </row>
    <row r="22" ht="15" customHeight="1" s="77">
      <c r="A22" s="131" t="inlineStr">
        <is>
          <t>1. ÇEYREK SATIŞ SENARYOSU (mart sonu)</t>
        </is>
      </c>
    </row>
    <row r="23" ht="15" customHeight="1" s="77">
      <c r="A23" s="109" t="inlineStr">
        <is>
          <t>Satış Yılı Kıst Amortismanı (TL)</t>
        </is>
      </c>
      <c r="B23" s="130">
        <f>B17*AYARLAR!$B$14</f>
        <v/>
      </c>
    </row>
    <row r="24" ht="15" customHeight="1" s="77">
      <c r="A24" s="109" t="inlineStr">
        <is>
          <t>Toplam Birikmiş Amortisman (TL)</t>
        </is>
      </c>
      <c r="B24" s="130">
        <f>B15+B23</f>
        <v/>
      </c>
    </row>
    <row r="25" ht="15" customHeight="1" s="77">
      <c r="A25" s="109" t="inlineStr">
        <is>
          <t>Net Defter Değeri (TL)</t>
        </is>
      </c>
      <c r="B25" s="130">
        <f>B14-B24</f>
        <v/>
      </c>
    </row>
    <row r="26" ht="15" customHeight="1" s="77">
      <c r="A26" s="109" t="inlineStr">
        <is>
          <t>Satış Kârı/Zararı (TL)</t>
        </is>
      </c>
      <c r="B26" s="130">
        <f>B18-B25</f>
        <v/>
      </c>
    </row>
    <row r="27" ht="15" customHeight="1" s="77">
      <c r="A27" s="109" t="inlineStr">
        <is>
          <t>Kurumlar Vergisi Etkisi (TL)</t>
        </is>
      </c>
      <c r="B27" s="130">
        <f>B26*AmortismanKurumlarVergiOran</f>
        <v/>
      </c>
    </row>
    <row r="28" ht="15" customHeight="1" s="77">
      <c r="A28" s="128" t="inlineStr">
        <is>
          <t>NET NAKİT ETKİ (TL)</t>
        </is>
      </c>
      <c r="B28" s="132">
        <f>B18-B27</f>
        <v/>
      </c>
    </row>
    <row r="30" ht="15" customHeight="1" s="77">
      <c r="A30" s="131" t="inlineStr">
        <is>
          <t>2. ÇEYREK SATIŞ SENARYOSU (haziran sonu)</t>
        </is>
      </c>
    </row>
    <row r="31" ht="15" customHeight="1" s="77">
      <c r="A31" s="109" t="inlineStr">
        <is>
          <t>Satış Yılı Kıst Amortismanı (TL)</t>
        </is>
      </c>
      <c r="B31" s="130">
        <f>B17*AYARLAR!$B$15</f>
        <v/>
      </c>
    </row>
    <row r="32" ht="15" customHeight="1" s="77">
      <c r="A32" s="109" t="inlineStr">
        <is>
          <t>Toplam Birikmiş Amortisman (TL)</t>
        </is>
      </c>
      <c r="B32" s="130">
        <f>B15+B31</f>
        <v/>
      </c>
    </row>
    <row r="33" ht="15" customHeight="1" s="77">
      <c r="A33" s="109" t="inlineStr">
        <is>
          <t>Net Defter Değeri (TL)</t>
        </is>
      </c>
      <c r="B33" s="130">
        <f>B14-B32</f>
        <v/>
      </c>
    </row>
    <row r="34" ht="15" customHeight="1" s="77">
      <c r="A34" s="109" t="inlineStr">
        <is>
          <t>Satış Kârı/Zararı (TL)</t>
        </is>
      </c>
      <c r="B34" s="130">
        <f>B18-B33</f>
        <v/>
      </c>
    </row>
    <row r="35" ht="15" customHeight="1" s="77">
      <c r="A35" s="109" t="inlineStr">
        <is>
          <t>Kurumlar Vergisi Etkisi (TL)</t>
        </is>
      </c>
      <c r="B35" s="130">
        <f>B34*AmortismanKurumlarVergiOran</f>
        <v/>
      </c>
    </row>
    <row r="36" ht="15" customHeight="1" s="77">
      <c r="A36" s="128" t="inlineStr">
        <is>
          <t>NET NAKİT ETKİ (TL)</t>
        </is>
      </c>
      <c r="B36" s="132">
        <f>B18-B35</f>
        <v/>
      </c>
    </row>
    <row r="38" ht="15" customHeight="1" s="77">
      <c r="A38" s="131" t="inlineStr">
        <is>
          <t>3. ÇEYREK SATIŞ SENARYOSU (eylül sonu)</t>
        </is>
      </c>
    </row>
    <row r="39" ht="15" customHeight="1" s="77">
      <c r="A39" s="109" t="inlineStr">
        <is>
          <t>Satış Yılı Kıst Amortismanı (TL)</t>
        </is>
      </c>
      <c r="B39" s="130">
        <f>B17*AYARLAR!$B$16</f>
        <v/>
      </c>
    </row>
    <row r="40" ht="15" customHeight="1" s="77">
      <c r="A40" s="109" t="inlineStr">
        <is>
          <t>Toplam Birikmiş Amortisman (TL)</t>
        </is>
      </c>
      <c r="B40" s="130">
        <f>B15+B39</f>
        <v/>
      </c>
    </row>
    <row r="41" ht="15" customHeight="1" s="77">
      <c r="A41" s="109" t="inlineStr">
        <is>
          <t>Net Defter Değeri (TL)</t>
        </is>
      </c>
      <c r="B41" s="130">
        <f>B14-B40</f>
        <v/>
      </c>
    </row>
    <row r="42" ht="15" customHeight="1" s="77">
      <c r="A42" s="109" t="inlineStr">
        <is>
          <t>Satış Kârı/Zararı (TL)</t>
        </is>
      </c>
      <c r="B42" s="130">
        <f>B18-B41</f>
        <v/>
      </c>
    </row>
    <row r="43" ht="15" customHeight="1" s="77">
      <c r="A43" s="109" t="inlineStr">
        <is>
          <t>Kurumlar Vergisi Etkisi (TL)</t>
        </is>
      </c>
      <c r="B43" s="130">
        <f>B42*AmortismanKurumlarVergiOran</f>
        <v/>
      </c>
    </row>
    <row r="44" ht="15" customHeight="1" s="77">
      <c r="A44" s="128" t="inlineStr">
        <is>
          <t>NET NAKİT ETKİ (TL)</t>
        </is>
      </c>
      <c r="B44" s="132">
        <f>B18-B43</f>
        <v/>
      </c>
    </row>
    <row r="46" ht="15" customHeight="1" s="77">
      <c r="A46" s="131" t="inlineStr">
        <is>
          <t>4. ÇEYREK SATIŞ SENARYOSU (aralık sonu)</t>
        </is>
      </c>
    </row>
    <row r="47" ht="15" customHeight="1" s="77">
      <c r="A47" s="109" t="inlineStr">
        <is>
          <t>Satış Yılı Kıst Amortismanı (TL)</t>
        </is>
      </c>
      <c r="B47" s="130">
        <f>B17*AYARLAR!$B$17</f>
        <v/>
      </c>
    </row>
    <row r="48" ht="15" customHeight="1" s="77">
      <c r="A48" s="109" t="inlineStr">
        <is>
          <t>Toplam Birikmiş Amortisman (TL)</t>
        </is>
      </c>
      <c r="B48" s="130">
        <f>B15+B47</f>
        <v/>
      </c>
    </row>
    <row r="49" ht="15" customHeight="1" s="77">
      <c r="A49" s="109" t="inlineStr">
        <is>
          <t>Net Defter Değeri (TL)</t>
        </is>
      </c>
      <c r="B49" s="130">
        <f>B14-B48</f>
        <v/>
      </c>
    </row>
    <row r="50" ht="15" customHeight="1" s="77">
      <c r="A50" s="109" t="inlineStr">
        <is>
          <t>Satış Kârı/Zararı (TL)</t>
        </is>
      </c>
      <c r="B50" s="130">
        <f>B18-B49</f>
        <v/>
      </c>
    </row>
    <row r="51" ht="15" customHeight="1" s="77">
      <c r="A51" s="109" t="inlineStr">
        <is>
          <t>Kurumlar Vergisi Etkisi (TL)</t>
        </is>
      </c>
      <c r="B51" s="130">
        <f>B50*AmortismanKurumlarVergiOran</f>
        <v/>
      </c>
    </row>
    <row r="52" ht="15" customHeight="1" s="77">
      <c r="A52" s="128" t="inlineStr">
        <is>
          <t>NET NAKİT ETKİ (TL)</t>
        </is>
      </c>
      <c r="B52" s="132">
        <f>B18-B51</f>
        <v/>
      </c>
    </row>
    <row r="55" ht="15" customHeight="1" s="77">
      <c r="A55" s="107" t="inlineStr">
        <is>
          <t>ÇEYREK KARŞILAŞTIRMASI</t>
        </is>
      </c>
    </row>
    <row r="56" ht="15" customHeight="1" s="77">
      <c r="A56" s="109" t="inlineStr">
        <is>
          <t>Net Nakit — 1Ç (TL)</t>
        </is>
      </c>
      <c r="B56" s="130">
        <f>B28</f>
        <v/>
      </c>
    </row>
    <row r="57" ht="15" customHeight="1" s="77">
      <c r="A57" s="109" t="inlineStr">
        <is>
          <t>Net Nakit — 2Ç (TL)</t>
        </is>
      </c>
      <c r="B57" s="130">
        <f>B36</f>
        <v/>
      </c>
    </row>
    <row r="58" ht="15" customHeight="1" s="77">
      <c r="A58" s="109" t="inlineStr">
        <is>
          <t>Net Nakit — 3Ç (TL)</t>
        </is>
      </c>
      <c r="B58" s="130">
        <f>B44</f>
        <v/>
      </c>
    </row>
    <row r="59" ht="15" customHeight="1" s="77">
      <c r="A59" s="109" t="inlineStr">
        <is>
          <t>Net Nakit — 4Ç (TL)</t>
        </is>
      </c>
      <c r="B59" s="130">
        <f>B52</f>
        <v/>
      </c>
    </row>
    <row r="60" ht="15" customHeight="1" s="77">
      <c r="A60" s="128" t="inlineStr">
        <is>
          <t>EN YÜKSEK NET NAKİT (TL)</t>
        </is>
      </c>
      <c r="B60" s="132">
        <f>MAX(B56:B59)</f>
        <v/>
      </c>
    </row>
    <row r="62" ht="15" customHeight="1" s="77">
      <c r="A62" s="109" t="inlineStr">
        <is>
          <t>NBD — 1Ç (TL)</t>
        </is>
      </c>
      <c r="B62" s="130">
        <f>B28/(1+AmortismanIskontoOrani)^AYARLAR!$B$14</f>
        <v/>
      </c>
    </row>
    <row r="63" ht="15" customHeight="1" s="77">
      <c r="A63" s="109" t="inlineStr">
        <is>
          <t>NBD — 2Ç (TL)</t>
        </is>
      </c>
      <c r="B63" s="130">
        <f>B36/(1+AmortismanIskontoOrani)^AYARLAR!$B$15</f>
        <v/>
      </c>
    </row>
    <row r="64" ht="15" customHeight="1" s="77">
      <c r="A64" s="109" t="inlineStr">
        <is>
          <t>NBD — 3Ç (TL)</t>
        </is>
      </c>
      <c r="B64" s="130">
        <f>B44/(1+AmortismanIskontoOrani)^AYARLAR!$B$16</f>
        <v/>
      </c>
    </row>
    <row r="65" ht="15" customHeight="1" s="77">
      <c r="A65" s="109" t="inlineStr">
        <is>
          <t>NBD — 4Ç (TL)</t>
        </is>
      </c>
      <c r="B65" s="130">
        <f>B52/(1+AmortismanIskontoOrani)^AYARLAR!$B$17</f>
        <v/>
      </c>
    </row>
    <row r="66" ht="15" customHeight="1" s="77">
      <c r="A66" s="128" t="inlineStr">
        <is>
          <t>EN İYİ NBD ÇEYREĞİ</t>
        </is>
      </c>
      <c r="B66" s="133">
        <f>IF(B62&gt;=B63,IF(B62&gt;=B64,IF(B62&gt;=B65,"1. ÇEYREK","4. ÇEYREK"),IF(B64&gt;=B65,"3. ÇEYREK","4. ÇEYREK")),IF(B63&gt;=B64,IF(B63&gt;=B65,"2. ÇEYREK","4. ÇEYREK"),IF(B64&gt;=B65,"3. ÇEYREK","4. ÇEYREK")))</f>
        <v/>
      </c>
    </row>
    <row r="67" ht="15" customHeight="1" s="77">
      <c r="A67" s="128" t="inlineStr">
        <is>
          <t>EN İYİ NBD DEĞERİ (TL)</t>
        </is>
      </c>
      <c r="B67" s="132">
        <f>MAX(B62:B65)</f>
        <v/>
      </c>
    </row>
    <row r="68" ht="15" customHeight="1" s="77">
      <c r="A68" s="109" t="inlineStr">
        <is>
          <t>NBD Farkı (1Ç − 4Ç) (TL)</t>
        </is>
      </c>
      <c r="B68" s="130">
        <f>B62-B65</f>
        <v/>
      </c>
    </row>
    <row r="70" ht="19.5" customHeight="1" s="77">
      <c r="A70" s="127" t="inlineStr">
        <is>
          <t>Hesap satırları yalnızca kıymet listesinden ve AYARLAR'dan beslenir;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A22:G22"/>
    <mergeCell ref="A55:G55"/>
    <mergeCell ref="A30:G30"/>
    <mergeCell ref="A38:G38"/>
    <mergeCell ref="A1:AD1"/>
    <mergeCell ref="A70:AN70"/>
    <mergeCell ref="A46:G46"/>
  </mergeCells>
  <conditionalFormatting sqref="B16">
    <cfRule type="cellIs" rank="0" priority="2" equalAverage="0" operator="lessThan" aboveAverage="0" dxfId="6" text="" percent="0" bottom="0">
      <formula>0</formula>
    </cfRule>
    <cfRule type="cellIs" rank="0" priority="3" equalAverage="0" operator="greaterThan" aboveAverage="0" dxfId="6" text="" percent="0" bottom="0">
      <formula>AmortismanYuksekNddEsik</formula>
    </cfRule>
  </conditionalFormatting>
  <conditionalFormatting sqref="B28">
    <cfRule type="cellIs" rank="0" priority="4" equalAverage="0" operator="lessThan" aboveAverage="0" dxfId="6" text="" percent="0" bottom="0">
      <formula>0</formula>
    </cfRule>
    <cfRule type="cellIs" rank="0" priority="5" equalAverage="0" operator="greaterThanOrEqual" aboveAverage="0" dxfId="8" text="" percent="0" bottom="0">
      <formula>B36</formula>
    </cfRule>
  </conditionalFormatting>
  <conditionalFormatting sqref="B36">
    <cfRule type="cellIs" rank="0" priority="6" equalAverage="0" operator="lessThan" aboveAverage="0" dxfId="6" text="" percent="0" bottom="0">
      <formula>0</formula>
    </cfRule>
    <cfRule type="cellIs" rank="0" priority="7" equalAverage="0" operator="lessThan" aboveAverage="0" dxfId="9" text="" percent="0" bottom="0">
      <formula>B28</formula>
    </cfRule>
  </conditionalFormatting>
  <conditionalFormatting sqref="B44">
    <cfRule type="cellIs" rank="0" priority="8" equalAverage="0" operator="lessThan" aboveAverage="0" dxfId="6" text="" percent="0" bottom="0">
      <formula>0</formula>
    </cfRule>
  </conditionalFormatting>
  <conditionalFormatting sqref="B52">
    <cfRule type="cellIs" rank="0" priority="9" equalAverage="0" operator="lessThan" aboveAverage="0" dxfId="6" text="" percent="0" bottom="0">
      <formula>0</formula>
    </cfRule>
  </conditionalFormatting>
  <conditionalFormatting sqref="B60">
    <cfRule type="cellIs" rank="0" priority="10" equalAverage="0" operator="lessThan" aboveAverage="0" dxfId="6" text="" percent="0" bottom="0">
      <formula>0</formula>
    </cfRule>
  </conditionalFormatting>
  <conditionalFormatting sqref="D6">
    <cfRule type="cellIs" rank="0" priority="11" equalAverage="0" operator="lessThan" aboveAverage="0" dxfId="6" text="" percent="0" bottom="0">
      <formula>0</formula>
    </cfRule>
  </conditionalFormatting>
  <conditionalFormatting sqref="D7">
    <cfRule type="cellIs" rank="0" priority="12" equalAverage="0" operator="lessThan" aboveAverage="0" dxfId="6" text="" percent="0" bottom="0">
      <formula>0</formula>
    </cfRule>
  </conditionalFormatting>
  <conditionalFormatting sqref="D8">
    <cfRule type="cellIs" rank="0" priority="13" equalAverage="0" operator="lessThan" aboveAverage="0" dxfId="6" text="" percent="0" bottom="0">
      <formula>0</formula>
    </cfRule>
  </conditionalFormatting>
  <conditionalFormatting sqref="D9">
    <cfRule type="cellIs" rank="0" priority="14" equalAverage="0" operator="lessThan" aboveAverage="0" dxfId="6" text="" percent="0" bottom="0">
      <formula>0</formula>
    </cfRule>
  </conditionalFormatting>
  <conditionalFormatting sqref="D10">
    <cfRule type="cellIs" rank="0" priority="15" equalAverage="0" operator="lessThan" aboveAverage="0" dxfId="6" text="" percent="0" bottom="0">
      <formula>0</formula>
    </cfRule>
  </conditionalFormatting>
  <conditionalFormatting sqref="D11">
    <cfRule type="cellIs" rank="0" priority="16" equalAverage="0" operator="lessThan" aboveAverage="0" dxfId="6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103" min="1" max="1"/>
    <col width="34" customWidth="1" style="103" min="2" max="2"/>
    <col width="55" customWidth="1" style="103" min="3" max="3"/>
    <col width="72" customWidth="1" style="103" min="4" max="4"/>
  </cols>
  <sheetData>
    <row r="1" ht="25.5" customHeight="1" s="77">
      <c r="A1" s="104" t="inlineStr">
        <is>
          <t>ANALITIK MOTOR — Amortisman &amp; Sabit Kıymet Satış Zamanlama Stratejisti</t>
        </is>
      </c>
    </row>
    <row r="3" ht="15" customHeight="1" s="77">
      <c r="A3" s="107" t="inlineStr">
        <is>
          <t>ANALİTİK MOTOR — DERİNLİK KATMANI</t>
        </is>
      </c>
    </row>
    <row r="5" ht="30" customHeight="1" s="77">
      <c r="A5" s="117" t="inlineStr">
        <is>
          <t>Kod</t>
        </is>
      </c>
      <c r="B5" s="117" t="inlineStr">
        <is>
          <t>Gösterge</t>
        </is>
      </c>
      <c r="C5" s="117" t="inlineStr">
        <is>
          <t>Değer</t>
        </is>
      </c>
      <c r="D5" s="117" t="inlineStr">
        <is>
          <t>Makine Yorumu</t>
        </is>
      </c>
    </row>
    <row r="6" ht="30" customHeight="1" s="77">
      <c r="A6" s="134" t="inlineStr">
        <is>
          <t>T1</t>
        </is>
      </c>
      <c r="B6" s="135" t="inlineStr">
        <is>
          <t>Ortalama Amortisman Oranı</t>
        </is>
      </c>
      <c r="C6" s="136">
        <f>IFERROR(AVERAGE(tblKiyamet[Amortisman Oranı]),0)</f>
        <v/>
      </c>
      <c r="D6" s="137">
        <f>_xlfn.TEXTJOIN("; ",TRUE(),"Ortalama amortisman oranı ",TEXT(C6,"0.0%")," — kıymet portföyünün ortalama amortisman hızını gösterir")</f>
        <v/>
      </c>
    </row>
    <row r="7" ht="30" customHeight="1" s="77">
      <c r="A7" s="134" t="inlineStr">
        <is>
          <t>T2</t>
        </is>
      </c>
      <c r="B7" s="135" t="inlineStr">
        <is>
          <t>Ortalama Net Defter Değeri</t>
        </is>
      </c>
      <c r="C7" s="136">
        <f>IFERROR(AVERAGE(tblKiyamet[Net Defter Değeri (TL)]),0)</f>
        <v/>
      </c>
      <c r="D7" s="137">
        <f>_xlfn.TEXTJOIN("; ",TRUE(),"Ortalama net defter değeri ",TEXT(C7,"₺ #,##0")," TL — portföyün ortalama kıymet büyüklüğünü gösterir")</f>
        <v/>
      </c>
    </row>
    <row r="8" ht="30" customHeight="1" s="77">
      <c r="A8" s="134" t="inlineStr">
        <is>
          <t>O1</t>
        </is>
      </c>
      <c r="B8" s="135" t="inlineStr">
        <is>
          <t>NDD Sapması (MAD)</t>
        </is>
      </c>
      <c r="C8" s="136">
        <f>IFERROR(AVEDEV(tblKiyamet[Net Defter Değeri (TL)]),0)</f>
        <v/>
      </c>
      <c r="D8" s="137">
        <f>_xlfn.TEXTJOIN("; ",TRUE(),"Net defter değeri ortalama mutlak sapması ",TEXT(C8,"₺ #,##0")," TL — sapma yüksekse kıymetler heterojendir")</f>
        <v/>
      </c>
    </row>
    <row r="9" ht="30" customHeight="1" s="77">
      <c r="A9" s="134" t="inlineStr">
        <is>
          <t>O2</t>
        </is>
      </c>
      <c r="B9" s="135" t="inlineStr">
        <is>
          <t>En Yüksek Satış Kârı/Zararı</t>
        </is>
      </c>
      <c r="C9" s="136">
        <f>IFERROR(MAX(tblKiyamet[Satış Kârı/Zararı (TL)]),0)</f>
        <v/>
      </c>
      <c r="D9" s="137">
        <f>_xlfn.TEXTJOIN("; ",TRUE(),"En yüksek satış kârı ",TEXT(C9,"₺ #,##0")," TL — bu kıymet satış zamanlamasında önceliklidir")</f>
        <v/>
      </c>
    </row>
    <row r="10" ht="30" customHeight="1" s="77">
      <c r="A10" s="134" t="inlineStr">
        <is>
          <t>O3</t>
        </is>
      </c>
      <c r="B10" s="135" t="inlineStr">
        <is>
          <t>Senaryo Bant Genişliği</t>
        </is>
      </c>
      <c r="C10" s="130">
        <f>SENARYO_DUYARLILIK!C11</f>
        <v/>
      </c>
      <c r="D10" s="137">
        <f>_xlfn.TEXTJOIN("; ",TRUE(),"İyimser ile kritik senaryo net nakit farkı ",TEXT(C10,"₺ #,##0")," TL — satış bedeli belirsizliğinin etkisini gösterir")</f>
        <v/>
      </c>
    </row>
    <row r="11" ht="30" customHeight="1" s="77">
      <c r="A11" s="134" t="inlineStr">
        <is>
          <t>O6</t>
        </is>
      </c>
      <c r="B11" s="135" t="inlineStr">
        <is>
          <t>Edinim Yoğunlaşması (HHI)</t>
        </is>
      </c>
      <c r="C11" s="136">
        <f>IFERROR(IF(SUM(HESAP!$C$6:$C$11)=0,0,SUMPRODUCT((HESAP!$C$6:$C$11/SUM(HESAP!$C$6:$C$11))^2)),0)</f>
        <v/>
      </c>
      <c r="D11" s="137">
        <f>_xlfn.TEXTJOIN("; ",TRUE(),"Edinim yoğunlaşma endeksi ",TEXT(C11,"0.000")," — 1 e yaklaştıkça yatırım tek türde toplanır")</f>
        <v/>
      </c>
    </row>
    <row r="12" ht="30" customHeight="1" s="77">
      <c r="A12" s="134" t="inlineStr">
        <is>
          <t>O8</t>
        </is>
      </c>
      <c r="B12" s="135" t="inlineStr">
        <is>
          <t>Veri Kalite Skoru</t>
        </is>
      </c>
      <c r="C12" s="129">
        <f>KONTROLLER!B19</f>
        <v/>
      </c>
      <c r="D12" s="137">
        <f>_xlfn.TEXTJOIN("; ",TRUE(),"Veri kalite skoru ",TEXT(C12,"0")," puan — ",IF(C12&gt;=AmortismanKaliteIyi,"yüksek güven","veri girişi tamamlanmalı"))</f>
        <v/>
      </c>
    </row>
    <row r="13" ht="30" customHeight="1" s="77">
      <c r="A13" s="134" t="inlineStr">
        <is>
          <t>I1</t>
        </is>
      </c>
      <c r="B13" s="135" t="inlineStr">
        <is>
          <t>Gelecek Dönem Amortisman Tahmini</t>
        </is>
      </c>
      <c r="C13" s="130">
        <f>PANO!B35</f>
        <v/>
      </c>
      <c r="D13" s="137">
        <f>_xlfn.TEXTJOIN("; ",TRUE(),"Gelecek dönem toplam amortisman tahmini ",TEXT(C13,"₺ #,##0")," TL — güven bandı için alt/üst sınır PANO sayfasındadır")</f>
        <v/>
      </c>
    </row>
    <row r="14" ht="30" customHeight="1" s="77">
      <c r="A14" s="134" t="inlineStr">
        <is>
          <t>I2</t>
        </is>
      </c>
      <c r="B14" s="135" t="inlineStr">
        <is>
          <t>NDD Yüzdelik P90</t>
        </is>
      </c>
      <c r="C14" s="136">
        <f>IFERROR(_xlfn.PERCENTILE.INC(tblKiyamet[Net Defter Değeri (TL)],AmortismanP90Oran),0)</f>
        <v/>
      </c>
      <c r="D14" s="137">
        <f>_xlfn.TEXTJOIN("; ",TRUE(),"Kıymetlerin %90 ı ",TEXT(C14,"₺ #,##0")," TL altında net defter değerine sahiptir — üst sınır planlamada kullanılabilir")</f>
        <v/>
      </c>
    </row>
    <row r="15" ht="30" customHeight="1" s="77">
      <c r="A15" s="134" t="inlineStr">
        <is>
          <t>I3</t>
        </is>
      </c>
      <c r="B15" s="135" t="inlineStr">
        <is>
          <t>NBD Farkı (1Ç − 4Ç)</t>
        </is>
      </c>
      <c r="C15" s="130">
        <f>HESAP!B68</f>
        <v/>
      </c>
      <c r="D15" s="137">
        <f>_xlfn.TEXTJOIN("; ",TRUE(),"NBD farkı ",TEXT(C15,"₺ #,##0")," TL — fark pozitifse erken satış bugünkü değerde avantajlıdır")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D3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3" min="1" max="1"/>
    <col width="60" customWidth="1" style="103" min="2" max="2"/>
  </cols>
  <sheetData>
    <row r="1" ht="25.5" customHeight="1" s="77">
      <c r="A1" s="104" t="inlineStr">
        <is>
          <t>KONTROLLER — Amortisman &amp; Sabit Kıymet Satış Zamanlama Stratejisti</t>
        </is>
      </c>
    </row>
    <row r="3" ht="15.75" customHeight="1" s="77">
      <c r="A3" s="111" t="inlineStr">
        <is>
          <t>Giriş Kalite Kontrolleri</t>
        </is>
      </c>
    </row>
    <row r="4" ht="27.75" customHeight="1" s="77">
      <c r="A4" s="106" t="inlineStr">
        <is>
          <t>Aşağıdaki kontroller canlı formüllerle çalışır; sorun varsa uyarı üretir.</t>
        </is>
      </c>
    </row>
    <row r="6" ht="15" customHeight="1" s="77">
      <c r="A6" s="109" t="inlineStr">
        <is>
          <t>Boş edinim bedeli satırı var mı?</t>
        </is>
      </c>
      <c r="B6" s="136">
        <f>IF(COUNTBLANK(tblKiyamet[Edinim Bedeli (TL)])=0,"TEMİZ","BOŞ VAR")</f>
        <v/>
      </c>
    </row>
    <row r="7" ht="15" customHeight="1" s="77">
      <c r="A7" s="109" t="inlineStr">
        <is>
          <t>Negatif edinim bedeli var mı?</t>
        </is>
      </c>
      <c r="B7" s="136">
        <f>IF(COUNTIF(tblKiyamet[Edinim Bedeli (TL)],"&lt;0")=0,"TEMİZ","NEGATİF VAR")</f>
        <v/>
      </c>
    </row>
    <row r="8" ht="15" customHeight="1" s="77">
      <c r="A8" s="109" t="inlineStr">
        <is>
          <t>Negatif satış bedeli var mı?</t>
        </is>
      </c>
      <c r="B8" s="136">
        <f>IF(COUNTIF(tblKiyamet[Satış Bedeli (TL)],"&lt;0")=0,"TEMİZ","NEGATİF VAR")</f>
        <v/>
      </c>
    </row>
    <row r="9" ht="15" customHeight="1" s="77">
      <c r="A9" s="109" t="inlineStr">
        <is>
          <t>Amortisman oranı 0,50 üzerinde mi?</t>
        </is>
      </c>
      <c r="B9" s="136">
        <f>IF(COUNTIF(tblKiyamet[Amortisman Oranı],"&gt;0.5")=0,"TEMİZ","ORAN &gt;0,5 VAR")</f>
        <v/>
      </c>
    </row>
    <row r="10" ht="15" customHeight="1" s="77">
      <c r="A10" s="109" t="inlineStr">
        <is>
          <t>Edinimi 40 yıldan eski kıymet var mı?</t>
        </is>
      </c>
      <c r="B10" s="136">
        <f>IF(COUNTIF(tblKiyamet[Geçen Yıl],"&gt;40")=0,"TEMİZ","ESKİ VAR")</f>
        <v/>
      </c>
    </row>
    <row r="11" ht="15" customHeight="1" s="77">
      <c r="A11" s="109" t="inlineStr">
        <is>
          <t>NDD eşiği aşılıyor mu?</t>
        </is>
      </c>
      <c r="B11" s="136">
        <f>IF(HESAP!B16&gt;AmortismanYuksekNddEsik,"AŞIYOR","NORMAL")</f>
        <v/>
      </c>
    </row>
    <row r="12" ht="15" customHeight="1" s="77">
      <c r="A12" s="109" t="inlineStr">
        <is>
          <t>En iyi çeyrek net nakit pozitif mi?</t>
        </is>
      </c>
      <c r="B12" s="136">
        <f>IF(HESAP!B60&lt;=0,"AŞIYOR","NORMAL")</f>
        <v/>
      </c>
    </row>
    <row r="13" ht="15" customHeight="1" s="77">
      <c r="A13" s="109" t="inlineStr">
        <is>
          <t>NBD farkı hangi tarafı işaret ediyor?</t>
        </is>
      </c>
      <c r="B13" s="136">
        <f>IF(OR(HESAP!B66="1. ÇEYREK",HESAP!B66="2. ÇEYREK"),"ERKEN AVANTAJLI","GEÇ AVANTAJLI")</f>
        <v/>
      </c>
    </row>
    <row r="15" ht="15" customHeight="1" s="77">
      <c r="A15" s="107" t="inlineStr">
        <is>
          <t>Veri Kalitesi Skoru (0-100)</t>
        </is>
      </c>
    </row>
    <row r="16" ht="27.75" customHeight="1" s="77">
      <c r="A16" s="106" t="inlineStr">
        <is>
          <t>Temel giriş kolonlarının dolu olma oranına göre üretilen kalite skoru.</t>
        </is>
      </c>
    </row>
    <row r="17" ht="15" customHeight="1" s="77">
      <c r="A17" s="109" t="inlineStr">
        <is>
          <t>Toplam Giriş Hücresi</t>
        </is>
      </c>
      <c r="B17" s="129">
        <f>COUNTA(tblKiyamet[Kıymet Türü])*AmortismanTemelKolonSayisi</f>
        <v/>
      </c>
    </row>
    <row r="18" ht="15" customHeight="1" s="77">
      <c r="A18" s="109" t="inlineStr">
        <is>
          <t>Dolu Giriş Hücresi</t>
        </is>
      </c>
      <c r="B18" s="129">
        <f>COUNTA(tblKiyamet[Kıymet Türü])+COUNTA(tblKiyamet[Edinim Tarihi])+COUNTA(tblKiyamet[Edinim Bedeli (TL)])+COUNTA(tblKiyamet[Amortisman Yöntemi])+COUNTA(tblKiyamet[Amortisman Oranı])</f>
        <v/>
      </c>
    </row>
    <row r="19" ht="15" customHeight="1" s="77">
      <c r="A19" s="128" t="inlineStr">
        <is>
          <t>Kalite Skoru</t>
        </is>
      </c>
      <c r="B19" s="138">
        <f>ROUND(IF(AmortismanToplamGiris=0,0,AmortismanDoluGiris/AmortismanToplamGiris*100),0)</f>
        <v/>
      </c>
    </row>
    <row r="20" ht="15" customHeight="1" s="77">
      <c r="A20" s="109" t="inlineStr">
        <is>
          <t>Kalite Seviyesi</t>
        </is>
      </c>
      <c r="B20" s="136">
        <f>IF(B19&gt;=AmortismanKaliteIyi,"YÜKSEK",IF(B19&gt;=AmortismanKaliteOrta,"ORTA","DÜŞÜK"))</f>
        <v/>
      </c>
    </row>
    <row r="22" ht="19.5" customHeight="1" s="77">
      <c r="A22" s="127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2:AN22"/>
    <mergeCell ref="A1:AD1"/>
  </mergeCells>
  <conditionalFormatting sqref="B6">
    <cfRule type="cellIs" rank="0" priority="2" equalAverage="0" operator="equal" aboveAverage="0" dxfId="10" text="" percent="0" bottom="0">
      <formula>"TEMİZ"</formula>
    </cfRule>
    <cfRule type="cellIs" rank="0" priority="3" equalAverage="0" operator="notEqual" aboveAverage="0" dxfId="6" text="" percent="0" bottom="0">
      <formula>"TEMİZ"</formula>
    </cfRule>
  </conditionalFormatting>
  <conditionalFormatting sqref="B7">
    <cfRule type="cellIs" rank="0" priority="4" equalAverage="0" operator="equal" aboveAverage="0" dxfId="10" text="" percent="0" bottom="0">
      <formula>"TEMİZ"</formula>
    </cfRule>
    <cfRule type="cellIs" rank="0" priority="5" equalAverage="0" operator="notEqual" aboveAverage="0" dxfId="6" text="" percent="0" bottom="0">
      <formula>"TEMİZ"</formula>
    </cfRule>
  </conditionalFormatting>
  <conditionalFormatting sqref="B8">
    <cfRule type="cellIs" rank="0" priority="6" equalAverage="0" operator="equal" aboveAverage="0" dxfId="10" text="" percent="0" bottom="0">
      <formula>"TEMİZ"</formula>
    </cfRule>
    <cfRule type="cellIs" rank="0" priority="7" equalAverage="0" operator="notEqual" aboveAverage="0" dxfId="6" text="" percent="0" bottom="0">
      <formula>"TEMİZ"</formula>
    </cfRule>
  </conditionalFormatting>
  <conditionalFormatting sqref="B9">
    <cfRule type="cellIs" rank="0" priority="8" equalAverage="0" operator="equal" aboveAverage="0" dxfId="10" text="" percent="0" bottom="0">
      <formula>"TEMİZ"</formula>
    </cfRule>
    <cfRule type="cellIs" rank="0" priority="9" equalAverage="0" operator="notEqual" aboveAverage="0" dxfId="6" text="" percent="0" bottom="0">
      <formula>"TEMİZ"</formula>
    </cfRule>
  </conditionalFormatting>
  <conditionalFormatting sqref="B10">
    <cfRule type="cellIs" rank="0" priority="10" equalAverage="0" operator="equal" aboveAverage="0" dxfId="10" text="" percent="0" bottom="0">
      <formula>"TEMİZ"</formula>
    </cfRule>
    <cfRule type="cellIs" rank="0" priority="11" equalAverage="0" operator="notEqual" aboveAverage="0" dxfId="6" text="" percent="0" bottom="0">
      <formula>"TEMİZ"</formula>
    </cfRule>
  </conditionalFormatting>
  <conditionalFormatting sqref="B11">
    <cfRule type="cellIs" rank="0" priority="12" equalAverage="0" operator="equal" aboveAverage="0" dxfId="10" text="" percent="0" bottom="0">
      <formula>"TEMİZ"</formula>
    </cfRule>
    <cfRule type="cellIs" rank="0" priority="13" equalAverage="0" operator="notEqual" aboveAverage="0" dxfId="6" text="" percent="0" bottom="0">
      <formula>"TEMİZ"</formula>
    </cfRule>
  </conditionalFormatting>
  <conditionalFormatting sqref="B12">
    <cfRule type="cellIs" rank="0" priority="14" equalAverage="0" operator="equal" aboveAverage="0" dxfId="10" text="" percent="0" bottom="0">
      <formula>"TEMİZ"</formula>
    </cfRule>
    <cfRule type="cellIs" rank="0" priority="15" equalAverage="0" operator="notEqual" aboveAverage="0" dxfId="6" text="" percent="0" bottom="0">
      <formula>"TEMİZ"</formula>
    </cfRule>
  </conditionalFormatting>
  <conditionalFormatting sqref="B13">
    <cfRule type="cellIs" rank="0" priority="16" equalAverage="0" operator="equal" aboveAverage="0" dxfId="10" text="" percent="0" bottom="0">
      <formula>"TEMİZ"</formula>
    </cfRule>
    <cfRule type="cellIs" rank="0" priority="17" equalAverage="0" operator="notEqual" aboveAverage="0" dxfId="6" text="" percent="0" bottom="0">
      <formula>"TEMİZ"</formula>
    </cfRule>
  </conditionalFormatting>
  <conditionalFormatting sqref="B19">
    <cfRule type="cellIs" rank="0" priority="18" equalAverage="0" operator="greaterThanOrEqual" aboveAverage="0" dxfId="10" text="" percent="0" bottom="0">
      <formula>90</formula>
    </cfRule>
    <cfRule type="cellIs" rank="0" priority="19" equalAverage="0" operator="between" aboveAverage="0" dxfId="9" text="" percent="0" bottom="0">
      <formula>70</formula>
      <formula>89</formula>
    </cfRule>
    <cfRule type="cellIs" rank="0" priority="20" equalAverage="0" operator="lessThan" aboveAverage="0" dxfId="6" text="" percent="0" bottom="0">
      <formula>70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3" min="1" max="1"/>
    <col width="60" customWidth="1" style="103" min="2" max="2"/>
  </cols>
  <sheetData>
    <row r="1" ht="25.5" customHeight="1" s="77">
      <c r="A1" s="104" t="inlineStr">
        <is>
          <t>KARAR — Amortisman &amp; Sabit Kıymet Satış Zamanlama Stratejisti</t>
        </is>
      </c>
    </row>
    <row r="3" ht="15.75" customHeight="1" s="77">
      <c r="A3" s="111" t="inlineStr">
        <is>
          <t>Karar Kapısı — Sat, Bekle mi?</t>
        </is>
      </c>
    </row>
    <row r="4" ht="27.75" customHeight="1" s="77">
      <c r="A4" s="106" t="inlineStr">
        <is>
          <t>Net nakit, bugünkü değer zamanlaması ve kıymet verisi kalitesine göre üretilen satış zamanlama kararı.</t>
        </is>
      </c>
    </row>
    <row r="6" ht="15" customHeight="1" s="77">
      <c r="A6" s="109" t="inlineStr">
        <is>
          <t>Toplam Net Defter Değeri (TL)</t>
        </is>
      </c>
      <c r="B6" s="132">
        <f>HESAP!B16</f>
        <v/>
      </c>
    </row>
    <row r="7" ht="15" customHeight="1" s="77">
      <c r="A7" s="109" t="inlineStr">
        <is>
          <t>En Yüksek Net Nakit (TL)</t>
        </is>
      </c>
      <c r="B7" s="130">
        <f>HESAP!B60</f>
        <v/>
      </c>
    </row>
    <row r="8" ht="15" customHeight="1" s="77">
      <c r="A8" s="109" t="inlineStr">
        <is>
          <t>En İyi NBD Çeyreği</t>
        </is>
      </c>
      <c r="B8" s="136">
        <f>HESAP!B66</f>
        <v/>
      </c>
    </row>
    <row r="9" ht="15" customHeight="1" s="77">
      <c r="A9" s="109" t="inlineStr">
        <is>
          <t>En İyi NBD Değeri (TL)</t>
        </is>
      </c>
      <c r="B9" s="130">
        <f>HESAP!B67</f>
        <v/>
      </c>
    </row>
    <row r="11" ht="17.25" customHeight="1" s="77">
      <c r="A11" s="139" t="inlineStr">
        <is>
          <t>KARAR</t>
        </is>
      </c>
      <c r="B11" s="140">
        <f>IF(COUNTA(tblKiyamet[Edinim Bedeli (TL)])=0,"VERİ YOK",IF(OR(COUNTIF(tblKiyamet[Edinim Bedeli (TL)],"&lt;0")&gt;0,COUNTIF(tblKiyamet[Satış Bedeli (TL)],"&lt;0")&gt;0),"DURDUR",IF(HESAP!B16&lt;=0,"VERİ YOK",IF(HESAP!B60&lt;=0,"BEKLE",IF(OR(HESAP!B66="1. ÇEYREK",HESAP!B66="2. ÇEYREK"),"SAT","BEKLE")))))</f>
        <v/>
      </c>
    </row>
    <row r="12" ht="15" customHeight="1" s="77">
      <c r="A12" s="128" t="inlineStr">
        <is>
          <t>Gerekçe</t>
        </is>
      </c>
      <c r="B12" s="137">
        <f>IF(COUNTIF(tblKiyamet[Edinim Bedeli (TL)],"&lt;0")&gt;0,"Negatif edinim bedeli girişi tespit edildi; veriler mutlaka düzeltilmeli.",IF(COUNTIF(tblKiyamet[Satış Bedeli (TL)],"&lt;0")&gt;0,"Negatif satış bedeli girişi tespit edildi; veriler mutlaka düzeltilmeli.",IF(HESAP!B16&lt;=0,"Kıymet kaydı bulunmuyor; satış zamanlama kararı üretilemiyor.",IF(HESAP!B60&lt;=0,"En iyi çeyrek net nakit pozitif değil; satışın nakit avantajı yok, satış bekletilmeli.",IF(OR(HESAP!B66="1. ÇEYREK",HESAP!B66="2. ÇEYREK"),"Erken çeyrek satışı bugünkü değerde en yüksek nakit akışını sağlıyor; satış yapılabilir.","Yıl sonu satışı bugünkü değerde en yüksek nakit akışını sağlıyor; satış için aralık sonu beklenmeli.")))))</f>
        <v/>
      </c>
    </row>
    <row r="14" ht="15" customHeight="1" s="77">
      <c r="A14" s="107" t="inlineStr">
        <is>
          <t>Önerilen Aksiyonlar</t>
        </is>
      </c>
    </row>
    <row r="15" ht="15" customHeight="1" s="77">
      <c r="A15" s="109" t="inlineStr">
        <is>
          <t>Aksiyon 1</t>
        </is>
      </c>
      <c r="B15" s="137">
        <f>AmortismanAksiyon1_ACIKLAMA</f>
        <v/>
      </c>
    </row>
    <row r="16" ht="15" customHeight="1" s="77">
      <c r="A16" s="109" t="inlineStr">
        <is>
          <t>Aksiyon 2</t>
        </is>
      </c>
      <c r="B16" s="137">
        <f>AmortismanAksiyon2_ACIKLAMA</f>
        <v/>
      </c>
    </row>
    <row r="17" ht="15" customHeight="1" s="77">
      <c r="A17" s="109" t="inlineStr">
        <is>
          <t>Aksiyon 3</t>
        </is>
      </c>
      <c r="B17" s="137">
        <f>AmortismanAksiyon3_ACIKLAMA</f>
        <v/>
      </c>
    </row>
    <row r="19" ht="19.5" customHeight="1" s="77">
      <c r="A19" s="127" t="inlineStr">
        <is>
          <t>Karar yalnızca giriş verisi ve AYARLAR'daki oran/eşiklerden türetilir; satış sonucu bağlayıcı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15:J15"/>
    <mergeCell ref="B16:J16"/>
    <mergeCell ref="B17:J17"/>
    <mergeCell ref="A19:AN19"/>
    <mergeCell ref="B12:J12"/>
    <mergeCell ref="A1:AD1"/>
  </mergeCells>
  <conditionalFormatting sqref="B11">
    <cfRule type="cellIs" rank="0" priority="2" equalAverage="0" operator="equal" aboveAverage="0" dxfId="10" text="" percent="0" bottom="0">
      <formula>"VERİ YOK"</formula>
    </cfRule>
    <cfRule type="cellIs" rank="0" priority="3" equalAverage="0" operator="equal" aboveAverage="0" dxfId="6" text="" percent="0" bottom="0">
      <formula>"DURDUR"</formula>
    </cfRule>
    <cfRule type="cellIs" rank="0" priority="4" equalAverage="0" operator="equal" aboveAverage="0" dxfId="10" text="" percent="0" bottom="0">
      <formula>"SAT"</formula>
    </cfRule>
    <cfRule type="cellIs" rank="0" priority="5" equalAverage="0" operator="equal" aboveAverage="0" dxfId="9" text="" percent="0" bottom="0">
      <formula>"BEKLE"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AN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03" min="1" max="1"/>
    <col width="22" customWidth="1" style="103" min="2" max="3"/>
    <col width="20" customWidth="1" style="103" min="4" max="4"/>
    <col width="22" customWidth="1" style="103" min="5" max="5"/>
    <col width="20" customWidth="1" style="103" min="6" max="8"/>
  </cols>
  <sheetData>
    <row r="1" ht="25.5" customHeight="1" s="77">
      <c r="A1" s="104" t="inlineStr">
        <is>
          <t>PANO — Amortisman &amp; Sabit Kıymet Satış Zamanlama Stratejisti</t>
        </is>
      </c>
    </row>
    <row r="3" ht="27.75" customHeight="1" s="77">
      <c r="A3" s="139" t="inlineStr">
        <is>
          <t>Yönetim Paneli</t>
        </is>
      </c>
      <c r="B3" s="141" t="inlineStr">
        <is>
          <t>Toplam NDD (TL)</t>
        </is>
      </c>
      <c r="C3" s="141" t="inlineStr">
        <is>
          <t>En İyi Çeyrek Net Nakit (TL)</t>
        </is>
      </c>
      <c r="D3" s="141" t="inlineStr">
        <is>
          <t>En İyi NBD Çeyreği</t>
        </is>
      </c>
      <c r="E3" s="141" t="inlineStr">
        <is>
          <t>En İyi NBD (TL)</t>
        </is>
      </c>
      <c r="F3" s="141" t="inlineStr">
        <is>
          <t>Toplam Yıllık Amortisman (TL)</t>
        </is>
      </c>
      <c r="G3" s="141" t="inlineStr">
        <is>
          <t>Toplam Satış Bedeli (TL)</t>
        </is>
      </c>
      <c r="H3" s="141" t="inlineStr">
        <is>
          <t>Kıymet Sayısı</t>
        </is>
      </c>
    </row>
    <row r="4" ht="15" customHeight="1" s="77">
      <c r="B4" s="142">
        <f>HESAP!B16</f>
        <v/>
      </c>
      <c r="C4" s="142">
        <f>HESAP!B60</f>
        <v/>
      </c>
      <c r="D4" s="143">
        <f>HESAP!B66</f>
        <v/>
      </c>
      <c r="E4" s="142">
        <f>HESAP!B67</f>
        <v/>
      </c>
      <c r="F4" s="142">
        <f>HESAP!B17</f>
        <v/>
      </c>
      <c r="G4" s="142">
        <f>HESAP!B18</f>
        <v/>
      </c>
      <c r="H4" s="144">
        <f>HESAP!B19</f>
        <v/>
      </c>
    </row>
    <row r="6" ht="18" customHeight="1" s="77">
      <c r="A6" s="131" t="inlineStr">
        <is>
          <t>Karar</t>
        </is>
      </c>
      <c r="B6" s="145">
        <f>KARAR!B11</f>
        <v/>
      </c>
      <c r="D6" s="131" t="inlineStr">
        <is>
          <t>Kalite Skoru</t>
        </is>
      </c>
      <c r="E6" s="146">
        <f>KONTROLLER!B19</f>
        <v/>
      </c>
      <c r="G6" s="131" t="inlineStr">
        <is>
          <t>En İyi NBD Çeyreği</t>
        </is>
      </c>
      <c r="H6" s="145">
        <f>HESAP!B66</f>
        <v/>
      </c>
    </row>
    <row r="10" ht="27.75" customHeight="1" s="77">
      <c r="A10" s="147" t="inlineStr">
        <is>
          <t>Kıymet Türü</t>
        </is>
      </c>
      <c r="B10" s="147" t="inlineStr">
        <is>
          <t>Edinim (TL)</t>
        </is>
      </c>
      <c r="C10" s="148" t="inlineStr">
        <is>
          <t>Birikmiş Amortisman (TL)</t>
        </is>
      </c>
      <c r="D10" s="147" t="inlineStr">
        <is>
          <t>NDD (TL)</t>
        </is>
      </c>
      <c r="E10" s="148" t="inlineStr">
        <is>
          <t>Yıllık Amortisman (TL)</t>
        </is>
      </c>
    </row>
    <row r="11" ht="15" customHeight="1" s="77">
      <c r="A11" s="149" t="inlineStr">
        <is>
          <t>Bina</t>
        </is>
      </c>
      <c r="B11" s="130">
        <f>HESAP!C6</f>
        <v/>
      </c>
      <c r="C11" s="130">
        <f>HESAP!D6</f>
        <v/>
      </c>
      <c r="D11" s="130">
        <f>HESAP!E6</f>
        <v/>
      </c>
      <c r="E11" s="130">
        <f>HESAP!F6</f>
        <v/>
      </c>
    </row>
    <row r="12" ht="15" customHeight="1" s="77">
      <c r="A12" s="149" t="inlineStr">
        <is>
          <t>Makine</t>
        </is>
      </c>
      <c r="B12" s="130">
        <f>HESAP!C7</f>
        <v/>
      </c>
      <c r="C12" s="130">
        <f>HESAP!D7</f>
        <v/>
      </c>
      <c r="D12" s="130">
        <f>HESAP!E7</f>
        <v/>
      </c>
      <c r="E12" s="130">
        <f>HESAP!F7</f>
        <v/>
      </c>
    </row>
    <row r="13" ht="15" customHeight="1" s="77">
      <c r="A13" s="149" t="inlineStr">
        <is>
          <t>Taşıt</t>
        </is>
      </c>
      <c r="B13" s="130">
        <f>HESAP!C8</f>
        <v/>
      </c>
      <c r="C13" s="130">
        <f>HESAP!D8</f>
        <v/>
      </c>
      <c r="D13" s="130">
        <f>HESAP!E8</f>
        <v/>
      </c>
      <c r="E13" s="130">
        <f>HESAP!F8</f>
        <v/>
      </c>
    </row>
    <row r="14" ht="15" customHeight="1" s="77">
      <c r="A14" s="149" t="inlineStr">
        <is>
          <t>Demirbaş</t>
        </is>
      </c>
      <c r="B14" s="130">
        <f>HESAP!C9</f>
        <v/>
      </c>
      <c r="C14" s="130">
        <f>HESAP!D9</f>
        <v/>
      </c>
      <c r="D14" s="130">
        <f>HESAP!E9</f>
        <v/>
      </c>
      <c r="E14" s="130">
        <f>HESAP!F9</f>
        <v/>
      </c>
    </row>
    <row r="15" ht="15" customHeight="1" s="77">
      <c r="A15" s="149" t="inlineStr">
        <is>
          <t>Yazılım</t>
        </is>
      </c>
      <c r="B15" s="130">
        <f>HESAP!C10</f>
        <v/>
      </c>
      <c r="C15" s="130">
        <f>HESAP!D10</f>
        <v/>
      </c>
      <c r="D15" s="130">
        <f>HESAP!E10</f>
        <v/>
      </c>
      <c r="E15" s="130">
        <f>HESAP!F10</f>
        <v/>
      </c>
    </row>
    <row r="16" ht="15" customHeight="1" s="77">
      <c r="A16" s="149" t="inlineStr">
        <is>
          <t>Diğer</t>
        </is>
      </c>
      <c r="B16" s="130">
        <f>HESAP!C11</f>
        <v/>
      </c>
      <c r="C16" s="130">
        <f>HESAP!D11</f>
        <v/>
      </c>
      <c r="D16" s="130">
        <f>HESAP!E11</f>
        <v/>
      </c>
      <c r="E16" s="130">
        <f>HESAP!F11</f>
        <v/>
      </c>
    </row>
    <row r="20" ht="15" customHeight="1" s="77">
      <c r="G20" s="147" t="inlineStr">
        <is>
          <t>Kıymet Sırası</t>
        </is>
      </c>
      <c r="H20" s="147" t="inlineStr">
        <is>
          <t>NDD (TL)</t>
        </is>
      </c>
    </row>
    <row r="21" ht="15" customHeight="1" s="77">
      <c r="G21" s="150" t="n">
        <v>1</v>
      </c>
      <c r="H21" s="130">
        <f>IFERROR(INDEX(tblKiyamet[Net Defter Değeri (TL)],AYARLAR!$B$34),0)</f>
        <v/>
      </c>
    </row>
    <row r="22" ht="15" customHeight="1" s="77">
      <c r="G22" s="150" t="n">
        <v>2</v>
      </c>
      <c r="H22" s="130">
        <f>IFERROR(INDEX(tblKiyamet[Net Defter Değeri (TL)],AYARLAR!$B$35),0)</f>
        <v/>
      </c>
    </row>
    <row r="23" ht="15" customHeight="1" s="77">
      <c r="G23" s="150" t="n">
        <v>3</v>
      </c>
      <c r="H23" s="130">
        <f>IFERROR(INDEX(tblKiyamet[Net Defter Değeri (TL)],AYARLAR!$B$36),0)</f>
        <v/>
      </c>
    </row>
    <row r="24" ht="15" customHeight="1" s="77">
      <c r="G24" s="150" t="n">
        <v>4</v>
      </c>
      <c r="H24" s="130">
        <f>IFERROR(INDEX(tblKiyamet[Net Defter Değeri (TL)],AYARLAR!$B$37),0)</f>
        <v/>
      </c>
    </row>
    <row r="25" ht="15" customHeight="1" s="77">
      <c r="G25" s="150" t="n">
        <v>5</v>
      </c>
      <c r="H25" s="130">
        <f>IFERROR(INDEX(tblKiyamet[Net Defter Değeri (TL)],AYARLAR!$B$38),0)</f>
        <v/>
      </c>
    </row>
    <row r="26" ht="15" customHeight="1" s="77">
      <c r="G26" s="150" t="n">
        <v>6</v>
      </c>
      <c r="H26" s="130">
        <f>IFERROR(INDEX(tblKiyamet[Net Defter Değeri (TL)],AYARLAR!$B$39),0)</f>
        <v/>
      </c>
    </row>
    <row r="27" ht="15" customHeight="1" s="77">
      <c r="G27" s="150" t="n">
        <v>7</v>
      </c>
      <c r="H27" s="130">
        <f>IFERROR(INDEX(tblKiyamet[Net Defter Değeri (TL)],AYARLAR!$B$40),0)</f>
        <v/>
      </c>
    </row>
    <row r="28" ht="15" customHeight="1" s="77">
      <c r="G28" s="150" t="n">
        <v>8</v>
      </c>
      <c r="H28" s="130">
        <f>IFERROR(INDEX(tblKiyamet[Net Defter Değeri (TL)],AYARLAR!$B$41),0)</f>
        <v/>
      </c>
    </row>
    <row r="29" ht="15" customHeight="1" s="77">
      <c r="G29" s="150" t="n">
        <v>9</v>
      </c>
      <c r="H29" s="130">
        <f>IFERROR(INDEX(tblKiyamet[Net Defter Değeri (TL)],AYARLAR!$B$42),0)</f>
        <v/>
      </c>
    </row>
    <row r="30" ht="15" customHeight="1" s="77">
      <c r="G30" s="150" t="n">
        <v>10</v>
      </c>
      <c r="H30" s="130">
        <f>IFERROR(INDEX(tblKiyamet[Net Defter Değeri (TL)],AYARLAR!$B$43),0)</f>
        <v/>
      </c>
    </row>
    <row r="31" ht="15" customHeight="1" s="77">
      <c r="G31" s="150" t="n">
        <v>11</v>
      </c>
      <c r="H31" s="130">
        <f>IFERROR(INDEX(tblKiyamet[Net Defter Değeri (TL)],AYARLAR!$B$44),0)</f>
        <v/>
      </c>
    </row>
    <row r="32" ht="15" customHeight="1" s="77">
      <c r="G32" s="150" t="n">
        <v>12</v>
      </c>
      <c r="H32" s="130">
        <f>IFERROR(INDEX(tblKiyamet[Net Defter Değeri (TL)],AYARLAR!$B$45),0)</f>
        <v/>
      </c>
    </row>
    <row r="34" ht="15" customHeight="1" s="77">
      <c r="A34" s="109" t="inlineStr">
        <is>
          <t>Ortalama Yıllık Amortisman</t>
        </is>
      </c>
      <c r="B34" s="130">
        <f>ROUND(IFERROR(AVERAGE(tblKiyamet[Yıllık Amortisman (TL)]),0),0)</f>
        <v/>
      </c>
    </row>
    <row r="35" ht="15" customHeight="1" s="77">
      <c r="A35" s="151" t="inlineStr">
        <is>
          <t>Gelecek Dönem Toplam Amortisman Tahmini</t>
        </is>
      </c>
      <c r="B35" s="130">
        <f>ROUND(IFERROR(forecast.lınear(AmortismanPanelSatir12,tblKiyamet[Yıllık Amortisman (TL)],ROW(tblKiyamet[Yıllık Amortisman (TL)])-ROW(tblKiyamet[[#Headers],[Yıllık Amortisman (TL)]])),0),0)</f>
        <v/>
      </c>
    </row>
    <row r="36" ht="15" customHeight="1" s="77">
      <c r="A36" s="109" t="inlineStr">
        <is>
          <t>Yıllık Amortisman Std Sapması</t>
        </is>
      </c>
      <c r="B36" s="130">
        <f>ROUND(IFERROR(stdev.p(INDEX(tblKiyamet[Yıllık Amortisman (TL)],AmortismanPanelSatir1):INDEX(tblKiyamet[Yıllık Amortisman (TL)],AmortismanPanelSatir12)),0),0)</f>
        <v/>
      </c>
    </row>
    <row r="37" ht="15" customHeight="1" s="77">
      <c r="A37" s="109" t="inlineStr">
        <is>
          <t>Alt Tahmin Sınırı</t>
        </is>
      </c>
      <c r="B37" s="130">
        <f>B34-B36*AmortismanTahminCarpan</f>
        <v/>
      </c>
    </row>
    <row r="38" ht="15" customHeight="1" s="77">
      <c r="A38" s="109" t="inlineStr">
        <is>
          <t>Üst Tahmin Sınırı</t>
        </is>
      </c>
      <c r="B38" s="130">
        <f>B34+B36*AmortismanTahminCarpan</f>
        <v/>
      </c>
    </row>
    <row r="40" ht="15" customHeight="1" s="77">
      <c r="A40" s="147" t="inlineStr">
        <is>
          <t>Çeyrek</t>
        </is>
      </c>
      <c r="B40" s="147" t="inlineStr">
        <is>
          <t>Net Nakit (TL)</t>
        </is>
      </c>
      <c r="C40" s="147" t="inlineStr">
        <is>
          <t>NBD (TL)</t>
        </is>
      </c>
    </row>
    <row r="41" ht="15" customHeight="1" s="77">
      <c r="A41" s="149" t="inlineStr">
        <is>
          <t>1. ÇEYREK</t>
        </is>
      </c>
      <c r="B41" s="130">
        <f>HESAP!B56</f>
        <v/>
      </c>
      <c r="C41" s="130">
        <f>HESAP!B62</f>
        <v/>
      </c>
    </row>
    <row r="42" ht="15" customHeight="1" s="77">
      <c r="A42" s="149" t="inlineStr">
        <is>
          <t>2. ÇEYREK</t>
        </is>
      </c>
      <c r="B42" s="130">
        <f>HESAP!B57</f>
        <v/>
      </c>
      <c r="C42" s="130">
        <f>HESAP!B63</f>
        <v/>
      </c>
    </row>
    <row r="43" ht="15" customHeight="1" s="77">
      <c r="A43" s="149" t="inlineStr">
        <is>
          <t>3. ÇEYREK</t>
        </is>
      </c>
      <c r="B43" s="130">
        <f>HESAP!B58</f>
        <v/>
      </c>
      <c r="C43" s="130">
        <f>HESAP!B64</f>
        <v/>
      </c>
    </row>
    <row r="44" ht="15" customHeight="1" s="77">
      <c r="A44" s="149" t="inlineStr">
        <is>
          <t>4. ÇEYREK</t>
        </is>
      </c>
      <c r="B44" s="130">
        <f>HESAP!B59</f>
        <v/>
      </c>
      <c r="C44" s="130">
        <f>HESAP!B65</f>
        <v/>
      </c>
    </row>
    <row r="45" ht="15" customHeight="1" s="77">
      <c r="E45" s="148" t="inlineStr">
        <is>
          <t>Senaryo</t>
        </is>
      </c>
      <c r="F45" s="148" t="inlineStr">
        <is>
          <t>Net Nakit (TL)</t>
        </is>
      </c>
    </row>
    <row r="46" ht="15" customHeight="1" s="77">
      <c r="E46" s="149" t="inlineStr">
        <is>
          <t>İyimser</t>
        </is>
      </c>
      <c r="F46" s="130">
        <f>SENARYO_DUYARLILIK!C7</f>
        <v/>
      </c>
    </row>
    <row r="47" ht="15" customHeight="1" s="77">
      <c r="E47" s="149" t="inlineStr">
        <is>
          <t>Baz</t>
        </is>
      </c>
      <c r="F47" s="130">
        <f>SENARYO_DUYARLILIK!C8</f>
        <v/>
      </c>
    </row>
    <row r="48" ht="15" customHeight="1" s="77">
      <c r="E48" s="149" t="inlineStr">
        <is>
          <t>Kötümser</t>
        </is>
      </c>
      <c r="F48" s="130">
        <f>SENARYO_DUYARLILIK!C9</f>
        <v/>
      </c>
    </row>
    <row r="49" ht="15" customHeight="1" s="77">
      <c r="E49" s="149" t="inlineStr">
        <is>
          <t>Kritik</t>
        </is>
      </c>
      <c r="F49" s="130">
        <f>SENARYO_DUYARLILIK!C10</f>
        <v/>
      </c>
    </row>
    <row r="50" ht="19.5" customHeight="1" s="77">
      <c r="A50" s="127" t="inlineStr">
        <is>
          <t>Paneldeki tüm göstergeler canlı formüllerden beslenir.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50:AN50"/>
    <mergeCell ref="A1:AD1"/>
  </mergeCells>
  <conditionalFormatting sqref="B4">
    <cfRule type="cellIs" rank="0" priority="2" equalAverage="0" operator="equal" aboveAverage="0" dxfId="10" text="" percent="0" bottom="0">
      <formula>"VERİ YOK"</formula>
    </cfRule>
    <cfRule type="cellIs" rank="0" priority="3" equalAverage="0" operator="equal" aboveAverage="0" dxfId="6" text="" percent="0" bottom="0">
      <formula>"DURDUR"</formula>
    </cfRule>
  </conditionalFormatting>
  <conditionalFormatting sqref="B6">
    <cfRule type="cellIs" rank="0" priority="4" equalAverage="0" operator="equal" aboveAverage="0" dxfId="10" text="" percent="0" bottom="0">
      <formula>"VERİ YOK"</formula>
    </cfRule>
    <cfRule type="cellIs" rank="0" priority="5" equalAverage="0" operator="equal" aboveAverage="0" dxfId="6" text="" percent="0" bottom="0">
      <formula>"DURDUR"</formula>
    </cfRule>
  </conditionalFormatting>
  <conditionalFormatting sqref="B11">
    <cfRule type="cellIs" rank="0" priority="6" equalAverage="0" operator="lessThan" aboveAverage="0" dxfId="6" text="" percent="0" bottom="0">
      <formula>0</formula>
    </cfRule>
  </conditionalFormatting>
  <conditionalFormatting sqref="B12">
    <cfRule type="cellIs" rank="0" priority="7" equalAverage="0" operator="lessThan" aboveAverage="0" dxfId="6" text="" percent="0" bottom="0">
      <formula>0</formula>
    </cfRule>
  </conditionalFormatting>
  <conditionalFormatting sqref="B13">
    <cfRule type="cellIs" rank="0" priority="8" equalAverage="0" operator="lessThan" aboveAverage="0" dxfId="6" text="" percent="0" bottom="0">
      <formula>0</formula>
    </cfRule>
  </conditionalFormatting>
  <conditionalFormatting sqref="B14">
    <cfRule type="cellIs" rank="0" priority="9" equalAverage="0" operator="lessThan" aboveAverage="0" dxfId="6" text="" percent="0" bottom="0">
      <formula>0</formula>
    </cfRule>
  </conditionalFormatting>
  <conditionalFormatting sqref="B15">
    <cfRule type="cellIs" rank="0" priority="10" equalAverage="0" operator="lessThan" aboveAverage="0" dxfId="6" text="" percent="0" bottom="0">
      <formula>0</formula>
    </cfRule>
  </conditionalFormatting>
  <conditionalFormatting sqref="B16">
    <cfRule type="cellIs" rank="0" priority="11" equalAverage="0" operator="lessThan" aboveAverage="0" dxfId="6" text="" percent="0" bottom="0">
      <formula>0</formula>
    </cfRule>
  </conditionalFormatting>
  <conditionalFormatting sqref="C11">
    <cfRule type="cellIs" rank="0" priority="12" equalAverage="0" operator="lessThan" aboveAverage="0" dxfId="6" text="" percent="0" bottom="0">
      <formula>0</formula>
    </cfRule>
  </conditionalFormatting>
  <conditionalFormatting sqref="C12">
    <cfRule type="cellIs" rank="0" priority="13" equalAverage="0" operator="lessThan" aboveAverage="0" dxfId="6" text="" percent="0" bottom="0">
      <formula>0</formula>
    </cfRule>
  </conditionalFormatting>
  <conditionalFormatting sqref="C13">
    <cfRule type="cellIs" rank="0" priority="14" equalAverage="0" operator="lessThan" aboveAverage="0" dxfId="6" text="" percent="0" bottom="0">
      <formula>0</formula>
    </cfRule>
  </conditionalFormatting>
  <conditionalFormatting sqref="C14">
    <cfRule type="cellIs" rank="0" priority="15" equalAverage="0" operator="lessThan" aboveAverage="0" dxfId="6" text="" percent="0" bottom="0">
      <formula>0</formula>
    </cfRule>
  </conditionalFormatting>
  <conditionalFormatting sqref="C15">
    <cfRule type="cellIs" rank="0" priority="16" equalAverage="0" operator="lessThan" aboveAverage="0" dxfId="6" text="" percent="0" bottom="0">
      <formula>0</formula>
    </cfRule>
  </conditionalFormatting>
  <conditionalFormatting sqref="C16">
    <cfRule type="cellIs" rank="0" priority="17" equalAverage="0" operator="lessThan" aboveAverage="0" dxfId="6" text="" percent="0" bottom="0">
      <formula>0</formula>
    </cfRule>
  </conditionalFormatting>
  <conditionalFormatting sqref="D11">
    <cfRule type="cellIs" rank="0" priority="18" equalAverage="0" operator="lessThan" aboveAverage="0" dxfId="6" text="" percent="0" bottom="0">
      <formula>0</formula>
    </cfRule>
  </conditionalFormatting>
  <conditionalFormatting sqref="D12">
    <cfRule type="cellIs" rank="0" priority="19" equalAverage="0" operator="lessThan" aboveAverage="0" dxfId="6" text="" percent="0" bottom="0">
      <formula>0</formula>
    </cfRule>
  </conditionalFormatting>
  <conditionalFormatting sqref="D13">
    <cfRule type="cellIs" rank="0" priority="20" equalAverage="0" operator="lessThan" aboveAverage="0" dxfId="6" text="" percent="0" bottom="0">
      <formula>0</formula>
    </cfRule>
  </conditionalFormatting>
  <conditionalFormatting sqref="D14">
    <cfRule type="cellIs" rank="0" priority="21" equalAverage="0" operator="lessThan" aboveAverage="0" dxfId="6" text="" percent="0" bottom="0">
      <formula>0</formula>
    </cfRule>
  </conditionalFormatting>
  <conditionalFormatting sqref="D15">
    <cfRule type="cellIs" rank="0" priority="22" equalAverage="0" operator="lessThan" aboveAverage="0" dxfId="6" text="" percent="0" bottom="0">
      <formula>0</formula>
    </cfRule>
  </conditionalFormatting>
  <conditionalFormatting sqref="D16">
    <cfRule type="cellIs" rank="0" priority="23" equalAverage="0" operator="lessThan" aboveAverage="0" dxfId="6" text="" percent="0" bottom="0">
      <formula>0</formula>
    </cfRule>
  </conditionalFormatting>
  <conditionalFormatting sqref="E11">
    <cfRule type="cellIs" rank="0" priority="24" equalAverage="0" operator="lessThan" aboveAverage="0" dxfId="6" text="" percent="0" bottom="0">
      <formula>0</formula>
    </cfRule>
  </conditionalFormatting>
  <conditionalFormatting sqref="E12">
    <cfRule type="cellIs" rank="0" priority="25" equalAverage="0" operator="lessThan" aboveAverage="0" dxfId="6" text="" percent="0" bottom="0">
      <formula>0</formula>
    </cfRule>
  </conditionalFormatting>
  <conditionalFormatting sqref="E13">
    <cfRule type="cellIs" rank="0" priority="26" equalAverage="0" operator="lessThan" aboveAverage="0" dxfId="6" text="" percent="0" bottom="0">
      <formula>0</formula>
    </cfRule>
  </conditionalFormatting>
  <conditionalFormatting sqref="E14">
    <cfRule type="cellIs" rank="0" priority="27" equalAverage="0" operator="lessThan" aboveAverage="0" dxfId="6" text="" percent="0" bottom="0">
      <formula>0</formula>
    </cfRule>
  </conditionalFormatting>
  <conditionalFormatting sqref="E15">
    <cfRule type="cellIs" rank="0" priority="28" equalAverage="0" operator="lessThan" aboveAverage="0" dxfId="6" text="" percent="0" bottom="0">
      <formula>0</formula>
    </cfRule>
  </conditionalFormatting>
  <conditionalFormatting sqref="E16">
    <cfRule type="cellIs" rank="0" priority="29" equalAverage="0" operator="lessThan" aboveAverage="0" dxfId="6" text="" percent="0" bottom="0">
      <formula>0</formula>
    </cfRule>
  </conditionalFormatting>
  <conditionalFormatting sqref="F11">
    <cfRule type="cellIs" rank="0" priority="30" equalAverage="0" operator="lessThan" aboveAverage="0" dxfId="6" text="" percent="0" bottom="0">
      <formula>0</formula>
    </cfRule>
  </conditionalFormatting>
  <conditionalFormatting sqref="F12">
    <cfRule type="cellIs" rank="0" priority="31" equalAverage="0" operator="lessThan" aboveAverage="0" dxfId="6" text="" percent="0" bottom="0">
      <formula>0</formula>
    </cfRule>
  </conditionalFormatting>
  <conditionalFormatting sqref="F13">
    <cfRule type="cellIs" rank="0" priority="32" equalAverage="0" operator="lessThan" aboveAverage="0" dxfId="6" text="" percent="0" bottom="0">
      <formula>0</formula>
    </cfRule>
  </conditionalFormatting>
  <conditionalFormatting sqref="F14">
    <cfRule type="cellIs" rank="0" priority="33" equalAverage="0" operator="lessThan" aboveAverage="0" dxfId="6" text="" percent="0" bottom="0">
      <formula>0</formula>
    </cfRule>
  </conditionalFormatting>
  <conditionalFormatting sqref="F15">
    <cfRule type="cellIs" rank="0" priority="34" equalAverage="0" operator="lessThan" aboveAverage="0" dxfId="6" text="" percent="0" bottom="0">
      <formula>0</formula>
    </cfRule>
  </conditionalFormatting>
  <conditionalFormatting sqref="F16">
    <cfRule type="cellIs" rank="0" priority="35" equalAverage="0" operator="lessThan" aboveAverage="0" dxfId="6" text="" percent="0" bottom="0">
      <formula>0</formula>
    </cfRule>
  </conditionalFormatting>
  <conditionalFormatting sqref="G11">
    <cfRule type="cellIs" rank="0" priority="36" equalAverage="0" operator="lessThan" aboveAverage="0" dxfId="6" text="" percent="0" bottom="0">
      <formula>0</formula>
    </cfRule>
  </conditionalFormatting>
  <conditionalFormatting sqref="G12">
    <cfRule type="cellIs" rank="0" priority="37" equalAverage="0" operator="lessThan" aboveAverage="0" dxfId="6" text="" percent="0" bottom="0">
      <formula>0</formula>
    </cfRule>
  </conditionalFormatting>
  <conditionalFormatting sqref="G13">
    <cfRule type="cellIs" rank="0" priority="38" equalAverage="0" operator="lessThan" aboveAverage="0" dxfId="6" text="" percent="0" bottom="0">
      <formula>0</formula>
    </cfRule>
  </conditionalFormatting>
  <conditionalFormatting sqref="G14">
    <cfRule type="cellIs" rank="0" priority="39" equalAverage="0" operator="lessThan" aboveAverage="0" dxfId="6" text="" percent="0" bottom="0">
      <formula>0</formula>
    </cfRule>
  </conditionalFormatting>
  <conditionalFormatting sqref="G15">
    <cfRule type="cellIs" rank="0" priority="40" equalAverage="0" operator="lessThan" aboveAverage="0" dxfId="6" text="" percent="0" bottom="0">
      <formula>0</formula>
    </cfRule>
  </conditionalFormatting>
  <conditionalFormatting sqref="G16">
    <cfRule type="cellIs" rank="0" priority="41" equalAverage="0" operator="lessThan" aboveAverage="0" dxfId="6" text="" percent="0" bottom="0">
      <formula>0</formula>
    </cfRule>
  </conditionalFormatting>
  <conditionalFormatting sqref="H11">
    <cfRule type="cellIs" rank="0" priority="42" equalAverage="0" operator="lessThan" aboveAverage="0" dxfId="6" text="" percent="0" bottom="0">
      <formula>0</formula>
    </cfRule>
  </conditionalFormatting>
  <conditionalFormatting sqref="H12">
    <cfRule type="cellIs" rank="0" priority="43" equalAverage="0" operator="lessThan" aboveAverage="0" dxfId="6" text="" percent="0" bottom="0">
      <formula>0</formula>
    </cfRule>
  </conditionalFormatting>
  <conditionalFormatting sqref="H13">
    <cfRule type="cellIs" rank="0" priority="44" equalAverage="0" operator="lessThan" aboveAverage="0" dxfId="6" text="" percent="0" bottom="0">
      <formula>0</formula>
    </cfRule>
  </conditionalFormatting>
  <conditionalFormatting sqref="H14">
    <cfRule type="cellIs" rank="0" priority="45" equalAverage="0" operator="lessThan" aboveAverage="0" dxfId="6" text="" percent="0" bottom="0">
      <formula>0</formula>
    </cfRule>
  </conditionalFormatting>
  <conditionalFormatting sqref="H15">
    <cfRule type="cellIs" rank="0" priority="46" equalAverage="0" operator="lessThan" aboveAverage="0" dxfId="6" text="" percent="0" bottom="0">
      <formula>0</formula>
    </cfRule>
  </conditionalFormatting>
  <conditionalFormatting sqref="H16">
    <cfRule type="cellIs" rank="0" priority="47" equalAverage="0" operator="lessThan" aboveAverage="0" dxfId="6" text="" percent="0" bottom="0">
      <formula>0</formula>
    </cfRule>
  </conditionalFormatting>
  <conditionalFormatting sqref="B11:B17">
    <cfRule type="cellIs" rank="0" priority="48" equalAverage="0" operator="greaterThan" aboveAverage="0" dxfId="9" text="" percent="0" bottom="0">
      <formula>5000000</formula>
    </cfRule>
  </conditionalFormatting>
  <conditionalFormatting sqref="C11:C17">
    <cfRule type="cellIs" rank="0" priority="49" equalAverage="0" operator="greaterThan" aboveAverage="0" dxfId="9" text="" percent="0" bottom="0">
      <formula>5000000</formula>
    </cfRule>
  </conditionalFormatting>
  <conditionalFormatting sqref="D11:D17">
    <cfRule type="cellIs" rank="0" priority="50" equalAverage="0" operator="greaterThan" aboveAverage="0" dxfId="9" text="" percent="0" bottom="0">
      <formula>5000000</formula>
    </cfRule>
  </conditionalFormatting>
  <conditionalFormatting sqref="E11:E17">
    <cfRule type="cellIs" rank="0" priority="51" equalAverage="0" operator="greaterThan" aboveAverage="0" dxfId="9" text="" percent="0" bottom="0">
      <formula>5000000</formula>
    </cfRule>
  </conditionalFormatting>
  <conditionalFormatting sqref="F11:F17">
    <cfRule type="cellIs" rank="0" priority="52" equalAverage="0" operator="greaterThan" aboveAverage="0" dxfId="9" text="" percent="0" bottom="0">
      <formula>5000000</formula>
    </cfRule>
  </conditionalFormatting>
  <conditionalFormatting sqref="G11:G17">
    <cfRule type="cellIs" rank="0" priority="53" equalAverage="0" operator="greaterThan" aboveAverage="0" dxfId="9" text="" percent="0" bottom="0">
      <formula>5000000</formula>
    </cfRule>
  </conditionalFormatting>
  <conditionalFormatting sqref="H11:H17">
    <cfRule type="cellIs" rank="0" priority="54" equalAverage="0" operator="greaterThan" aboveAverage="0" dxfId="9" text="" percent="0" bottom="0">
      <formula>5000000</formula>
    </cfRule>
  </conditionalFormatting>
  <conditionalFormatting sqref="B21:B32">
    <cfRule type="cellIs" rank="0" priority="55" equalAverage="0" operator="greaterThan" aboveAverage="0" dxfId="11" text="" percent="0" bottom="0">
      <formula>1000000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&amp;LAmortisman Sabit Kıymet Satış Zamanlama Stratejisti&amp;CExcelArşiv&amp;RSayfa &amp;P / &amp;N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103" min="1" max="1"/>
    <col width="24" customWidth="1" style="103" min="2" max="2"/>
    <col width="26" customWidth="1" style="103" min="3" max="3"/>
    <col width="18" customWidth="1" style="103" min="4" max="4"/>
  </cols>
  <sheetData>
    <row r="1" ht="25.5" customHeight="1" s="77">
      <c r="A1" s="104" t="inlineStr">
        <is>
          <t>SENARYO DUYARLILIK — Amortisman &amp; Sabit Kıymet Satış Zamanlama Stratejisti</t>
        </is>
      </c>
    </row>
    <row r="3" ht="15.75" customHeight="1" s="77">
      <c r="A3" s="111" t="inlineStr">
        <is>
          <t>Senaryo ve Duyarlılık Analizi</t>
        </is>
      </c>
    </row>
    <row r="4" ht="54.75" customHeight="1" s="77">
      <c r="A4" s="106" t="inlineStr">
        <is>
          <t>Farklı satış bedeli çarpanı senaryolarında en iyi çeyrek net nakit bant aralığı; ardından hangi değişkenin net nakiti en çok etkilediğini gösteren tornado analizi.</t>
        </is>
      </c>
    </row>
    <row r="6" ht="27.75" customHeight="1" s="77">
      <c r="A6" s="147" t="inlineStr">
        <is>
          <t>Senaryo</t>
        </is>
      </c>
      <c r="B6" s="148" t="inlineStr">
        <is>
          <t>Satış Bedeli Çarpanı</t>
        </is>
      </c>
      <c r="C6" s="148" t="inlineStr">
        <is>
          <t>En İyi Çeyrek Net Nakit (TL)</t>
        </is>
      </c>
      <c r="D6" s="147" t="inlineStr">
        <is>
          <t>Durum</t>
        </is>
      </c>
    </row>
    <row r="7" ht="15" customHeight="1" s="77">
      <c r="A7" s="128" t="inlineStr">
        <is>
          <t>İYİMSER</t>
        </is>
      </c>
      <c r="B7" s="152">
        <f>AYARLAR!$B$18</f>
        <v/>
      </c>
      <c r="C7" s="130">
        <f>IFERROR(AmortismanNetNakitEnIyi+AmortismanToplamSatis*B7*(1-AmortismanKurumlarVergiOran),0)</f>
        <v/>
      </c>
      <c r="D7" s="136">
        <f>IF(C7&gt;=AmortismanNetNakitEnIyi,"AVANTAJLI","DEĞERLENDİR")</f>
        <v/>
      </c>
    </row>
    <row r="8" ht="15" customHeight="1" s="77">
      <c r="A8" s="128" t="inlineStr">
        <is>
          <t>BAZ</t>
        </is>
      </c>
      <c r="B8" s="152">
        <f>AYARLAR!$B$19</f>
        <v/>
      </c>
      <c r="C8" s="130">
        <f>IFERROR(AmortismanNetNakitEnIyi+AmortismanToplamSatis*B8*(1-AmortismanKurumlarVergiOran),0)</f>
        <v/>
      </c>
      <c r="D8" s="136">
        <f>IF(C8&gt;=AmortismanNetNakitEnIyi,"AVANTAJLI","DEĞERLENDİR")</f>
        <v/>
      </c>
    </row>
    <row r="9" ht="15" customHeight="1" s="77">
      <c r="A9" s="128" t="inlineStr">
        <is>
          <t>KÖTÜMSER</t>
        </is>
      </c>
      <c r="B9" s="152">
        <f>AYARLAR!$B$20</f>
        <v/>
      </c>
      <c r="C9" s="130">
        <f>IFERROR(AmortismanNetNakitEnIyi+AmortismanToplamSatis*B9*(1-AmortismanKurumlarVergiOran),0)</f>
        <v/>
      </c>
      <c r="D9" s="136">
        <f>IF(C9&gt;=AmortismanNetNakitEnIyi,"AVANTAJLI","DEĞERLENDİR")</f>
        <v/>
      </c>
    </row>
    <row r="10" ht="15" customHeight="1" s="77">
      <c r="A10" s="128" t="inlineStr">
        <is>
          <t>KRİTİK</t>
        </is>
      </c>
      <c r="B10" s="152">
        <f>AYARLAR!$B$21</f>
        <v/>
      </c>
      <c r="C10" s="130">
        <f>IFERROR(AmortismanNetNakitEnIyi+AmortismanToplamSatis*B10*(1-AmortismanKurumlarVergiOran),0)</f>
        <v/>
      </c>
      <c r="D10" s="136">
        <f>IF(C10&gt;=AmortismanNetNakitEnIyi,"AVANTAJLI","DEĞERLENDİR")</f>
        <v/>
      </c>
    </row>
    <row r="11" ht="15" customHeight="1" s="77">
      <c r="A11" s="128" t="inlineStr">
        <is>
          <t>Senaryo Bant Genişliği (İyi − Kritik)</t>
        </is>
      </c>
      <c r="C11" s="132">
        <f>C7-C10</f>
        <v/>
      </c>
    </row>
    <row r="13" ht="15" customHeight="1" s="77">
      <c r="A13" s="107" t="inlineStr">
        <is>
          <t>Tornado: Net Nakite Etki</t>
        </is>
      </c>
    </row>
    <row r="14" ht="15" customHeight="1" s="77">
      <c r="A14" s="109" t="inlineStr">
        <is>
          <t>Satış Bedeli Düşüşü Etkisi</t>
        </is>
      </c>
      <c r="B14" s="130">
        <f>IFERROR(ABS(AmortismanToplamSatis*AYARLAR!$B$20*(1-AmortismanKurumlarVergiOran)),0)</f>
        <v/>
      </c>
    </row>
    <row r="15" ht="15" customHeight="1" s="77">
      <c r="A15" s="109" t="inlineStr">
        <is>
          <t>Amortisman Oranı Artışı Etkisi</t>
        </is>
      </c>
      <c r="B15" s="130">
        <f>IFERROR(ABS(HESAP!B17*AYARLAR!$B$28/IF(AVERAGE(tblKiyamet[Amortisman Oranı])&lt;&gt;0,AVERAGE(tblKiyamet[Amortisman Oranı]),1)),0)</f>
        <v/>
      </c>
    </row>
    <row r="17" ht="15" customHeight="1" s="77">
      <c r="A17" s="151" t="inlineStr">
        <is>
          <t>En Etkili Değişken</t>
        </is>
      </c>
      <c r="B17" s="133">
        <f>IF(B14&gt;=B15,"Satış Bedeli","Amortisman Oranı")</f>
        <v/>
      </c>
    </row>
    <row r="19" ht="19.5" customHeight="1" s="77">
      <c r="A19" s="127" t="inlineStr">
        <is>
          <t>Senaryo çarpanları ve tornado adımları AYARLAR'dan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9:AN19"/>
    <mergeCell ref="A1:AD1"/>
  </mergeCells>
  <conditionalFormatting sqref="C7">
    <cfRule type="cellIs" rank="0" priority="2" equalAverage="0" operator="lessThanOrEqual" aboveAverage="0" dxfId="8" text="" percent="0" bottom="0">
      <formula>$C$7</formula>
    </cfRule>
    <cfRule type="cellIs" rank="0" priority="3" equalAverage="0" operator="greaterThan" aboveAverage="0" dxfId="9" text="" percent="0" bottom="0">
      <formula>$C$7</formula>
    </cfRule>
  </conditionalFormatting>
  <conditionalFormatting sqref="C8">
    <cfRule type="cellIs" rank="0" priority="4" equalAverage="0" operator="lessThanOrEqual" aboveAverage="0" dxfId="8" text="" percent="0" bottom="0">
      <formula>$C$7</formula>
    </cfRule>
    <cfRule type="cellIs" rank="0" priority="5" equalAverage="0" operator="greaterThan" aboveAverage="0" dxfId="9" text="" percent="0" bottom="0">
      <formula>$C$7</formula>
    </cfRule>
  </conditionalFormatting>
  <conditionalFormatting sqref="C9">
    <cfRule type="cellIs" rank="0" priority="6" equalAverage="0" operator="lessThanOrEqual" aboveAverage="0" dxfId="8" text="" percent="0" bottom="0">
      <formula>$C$7</formula>
    </cfRule>
    <cfRule type="cellIs" rank="0" priority="7" equalAverage="0" operator="greaterThan" aboveAverage="0" dxfId="9" text="" percent="0" bottom="0">
      <formula>$C$7</formula>
    </cfRule>
  </conditionalFormatting>
  <conditionalFormatting sqref="C10">
    <cfRule type="cellIs" rank="0" priority="8" equalAverage="0" operator="lessThanOrEqual" aboveAverage="0" dxfId="8" text="" percent="0" bottom="0">
      <formula>$C$7</formula>
    </cfRule>
    <cfRule type="cellIs" rank="0" priority="9" equalAverage="0" operator="greaterThan" aboveAverage="0" dxfId="9" text="" percent="0" bottom="0">
      <formula>$C$7</formula>
    </cfRule>
  </conditionalFormatting>
  <conditionalFormatting sqref="C11">
    <cfRule type="cellIs" rank="0" priority="10" equalAverage="0" operator="greaterThan" aboveAverage="0" dxfId="6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AN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3" min="1" max="1"/>
    <col width="40" customWidth="1" style="103" min="2" max="2"/>
  </cols>
  <sheetData>
    <row r="1" ht="25.5" customHeight="1" s="77">
      <c r="A1" s="153" t="inlineStr">
        <is>
          <t>SABİT KIYMET SATIŞ ZAMANLAMA — YÖNETİCİ ÖZETİ</t>
        </is>
      </c>
    </row>
    <row r="2" ht="15" customHeight="1" s="77">
      <c r="A2" s="154">
        <f>_xlfn.CONCAT("Rapor Tarihi: ",TEXT(AmortismanRaporTarihi,"dd.mm.yyyy")," | Hazırlayan: ",AmortismanRaporHazirlayan," | Sürüm: ",AmortismanDosyaSurumu)</f>
        <v/>
      </c>
    </row>
    <row r="4" ht="17.25" customHeight="1" s="77">
      <c r="A4" s="107" t="inlineStr">
        <is>
          <t>Karar</t>
        </is>
      </c>
      <c r="B4" s="140">
        <f>KARAR!B11</f>
        <v/>
      </c>
    </row>
    <row r="6" ht="15" customHeight="1" s="77">
      <c r="A6" s="109" t="inlineStr">
        <is>
          <t>Toplam Net Defter Değeri (TL)</t>
        </is>
      </c>
      <c r="B6" s="130">
        <f>HESAP!B16</f>
        <v/>
      </c>
    </row>
    <row r="7" ht="15" customHeight="1" s="77">
      <c r="A7" s="109" t="inlineStr">
        <is>
          <t>Toplam Yıllık Amortisman (TL)</t>
        </is>
      </c>
      <c r="B7" s="130">
        <f>HESAP!B17</f>
        <v/>
      </c>
    </row>
    <row r="8" ht="15" customHeight="1" s="77">
      <c r="A8" s="109" t="inlineStr">
        <is>
          <t>Toplam Satış Bedeli (TL)</t>
        </is>
      </c>
      <c r="B8" s="130">
        <f>HESAP!B18</f>
        <v/>
      </c>
    </row>
    <row r="9" ht="15" customHeight="1" s="77">
      <c r="A9" s="109" t="inlineStr">
        <is>
          <t>En Yüksek Net Nakit (TL)</t>
        </is>
      </c>
      <c r="B9" s="130">
        <f>HESAP!B60</f>
        <v/>
      </c>
    </row>
    <row r="10" ht="15" customHeight="1" s="77">
      <c r="A10" s="109" t="inlineStr">
        <is>
          <t>En İyi NBD Çeyreği</t>
        </is>
      </c>
      <c r="B10" s="136">
        <f>HESAP!B66</f>
        <v/>
      </c>
    </row>
    <row r="11" ht="15" customHeight="1" s="77">
      <c r="A11" s="109" t="inlineStr">
        <is>
          <t>En İyi NBD Değeri (TL)</t>
        </is>
      </c>
      <c r="B11" s="130">
        <f>HESAP!B67</f>
        <v/>
      </c>
    </row>
    <row r="12" ht="15" customHeight="1" s="77">
      <c r="A12" s="109" t="inlineStr">
        <is>
          <t>NBD Farkı (1Ç − 4Ç) (TL)</t>
        </is>
      </c>
      <c r="B12" s="130">
        <f>HESAP!B68</f>
        <v/>
      </c>
    </row>
    <row r="13" ht="15" customHeight="1" s="77">
      <c r="A13" s="109" t="inlineStr">
        <is>
          <t>Kıymet Sayısı</t>
        </is>
      </c>
      <c r="B13" s="129">
        <f>HESAP!B19</f>
        <v/>
      </c>
    </row>
    <row r="14" ht="15" customHeight="1" s="77">
      <c r="A14" s="109" t="inlineStr">
        <is>
          <t>Kalite Skoru</t>
        </is>
      </c>
      <c r="B14" s="129">
        <f>KONTROLLER!B19</f>
        <v/>
      </c>
    </row>
    <row r="16" ht="15" customHeight="1" s="77">
      <c r="A16" s="131" t="inlineStr">
        <is>
          <t>Varsayımlar ve Önemli Notlar</t>
        </is>
      </c>
    </row>
    <row r="17" ht="15" customHeight="1" s="77">
      <c r="A17" s="108" t="inlineStr">
        <is>
          <t>• Normal yöntemde amortisman edinim bedelinin oranla çarpımıyla; azalan bakiyede VUK Md. 315 çerçevesinde normal oranın 2 katına kadar çarpanla hesaplanır.</t>
        </is>
      </c>
    </row>
    <row r="18" ht="15" customHeight="1" s="77">
      <c r="A18" s="108" t="inlineStr">
        <is>
          <t>• Yıl içi satış senaryolarında satış yılına isabet eden kıst amortisman AYARLAR'daki kıst oranlarıyla ayrılır (3/12, 6/12, 9/12, 12/12).</t>
        </is>
      </c>
    </row>
    <row r="19" ht="15" customHeight="1" s="77">
      <c r="A19" s="108" t="inlineStr">
        <is>
          <t>• Satış kârı/zararı satış bedeli ile satış anındaki net defter değeri arasındaki farktır; vergi etkisi kurumlar vergisi oranıyla hesaplanır.</t>
        </is>
      </c>
    </row>
    <row r="20" ht="15" customHeight="1" s="77">
      <c r="A20" s="108" t="inlineStr">
        <is>
          <t>• NBD karşılaştırması çeyrek nakit akışlarını iskonto oranıyla bugünkü değere indirger; iskonto oranı AYARLAR'dadır.</t>
        </is>
      </c>
    </row>
    <row r="21" ht="15" customHeight="1" s="77">
      <c r="A21" s="108" t="inlineStr">
        <is>
          <t>• Bu dosya karar destek aracıdır; amortisman ve vergi hesabı mali müşavir görüşü yerine geçmez.</t>
        </is>
      </c>
    </row>
    <row r="22" ht="15" customHeight="1" s="77">
      <c r="A22" s="108" t="inlineStr">
        <is>
          <t>• Demo veriler gerçek müşteri verisi değildir; kullanımdan önce temizlenmelidir.</t>
        </is>
      </c>
    </row>
    <row r="24" ht="15" customHeight="1" s="77">
      <c r="A24" s="131" t="inlineStr">
        <is>
          <t>Önerilen Aksiyonlar</t>
        </is>
      </c>
    </row>
    <row r="25" ht="15" customHeight="1" s="77">
      <c r="A25" s="108">
        <f>AmortismanAksiyon1_ACIKLAMA</f>
        <v/>
      </c>
    </row>
    <row r="26" ht="15" customHeight="1" s="77">
      <c r="A26" s="108">
        <f>AmortismanAksiyon2_ACIKLAMA</f>
        <v/>
      </c>
    </row>
    <row r="27" ht="15" customHeight="1" s="77">
      <c r="A27" s="108">
        <f>AmortismanAksiyon3_ACIKLAMA</f>
        <v/>
      </c>
    </row>
    <row r="29" ht="15" customHeight="1" s="77">
      <c r="A29" s="155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20:L20"/>
    <mergeCell ref="A26:L26"/>
    <mergeCell ref="A2:L2"/>
    <mergeCell ref="A25:L25"/>
    <mergeCell ref="A19:L19"/>
    <mergeCell ref="A22:L22"/>
    <mergeCell ref="A17:L17"/>
    <mergeCell ref="A18:L18"/>
    <mergeCell ref="A27:L27"/>
    <mergeCell ref="A21:L21"/>
    <mergeCell ref="A1:AN1"/>
  </mergeCells>
  <conditionalFormatting sqref="B4">
    <cfRule type="cellIs" rank="0" priority="2" equalAverage="0" operator="equal" aboveAverage="0" dxfId="6" text="" percent="0" bottom="0">
      <formula>"DURDUR"</formula>
    </cfRule>
    <cfRule type="cellIs" rank="0" priority="3" equalAverage="0" operator="notEqual" aboveAverage="0" dxfId="10" text="" percent="0" bottom="0">
      <formula>"DURDUR"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&amp;LAmortisman Sabit Kıymet Satış Zamanlama Stratejisti&amp;CExcelArşiv&amp;RSayfa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03" min="1" max="1"/>
    <col width="18" customWidth="1" style="103" min="2" max="2"/>
    <col width="13" customWidth="1" style="103" min="3" max="3"/>
    <col width="18" customWidth="1" style="103" min="4" max="5"/>
    <col width="15" customWidth="1" style="103" min="6" max="6"/>
    <col width="22" customWidth="1" style="103" min="7" max="7"/>
    <col width="18" customWidth="1" style="103" min="8" max="8"/>
    <col width="24" customWidth="1" style="103" min="9" max="9"/>
  </cols>
  <sheetData>
    <row r="1" ht="25.5" customHeight="1" s="77">
      <c r="A1" s="104" t="inlineStr">
        <is>
          <t>ORNEK VERI — Amortisman &amp; Sabit Kıymet Satış Zamanlama Stratejisti</t>
        </is>
      </c>
    </row>
    <row r="3" ht="15" customHeight="1" s="77">
      <c r="A3" s="107" t="inlineStr">
        <is>
          <t>Örnek Veri (Demo)</t>
        </is>
      </c>
    </row>
    <row r="4" ht="149.25" customHeight="1" s="77">
      <c r="A4" s="106" t="inlineStr">
        <is>
          <t>Gerçek girişlere başlamadan önce demo veri ile ürünü deneyin. Bu satırlar örnektir; gerçek verilerle değiştirin.</t>
        </is>
      </c>
    </row>
    <row r="5" ht="30" customHeight="1" s="77">
      <c r="A5" s="117" t="inlineStr">
        <is>
          <t>Kıymet Kodu</t>
        </is>
      </c>
      <c r="B5" s="117" t="inlineStr">
        <is>
          <t>Kıymet Türü</t>
        </is>
      </c>
      <c r="C5" s="117" t="inlineStr">
        <is>
          <t>Edinim Tarihi</t>
        </is>
      </c>
      <c r="D5" s="117" t="inlineStr">
        <is>
          <t>Edinim Bedeli (TL)</t>
        </is>
      </c>
      <c r="E5" s="117" t="inlineStr">
        <is>
          <t>Amortisman Yöntemi</t>
        </is>
      </c>
      <c r="F5" s="117" t="inlineStr">
        <is>
          <t>Amortisman Oranı</t>
        </is>
      </c>
      <c r="G5" s="117" t="inlineStr">
        <is>
          <t>Birikmiş Amortisman (TL)</t>
        </is>
      </c>
      <c r="H5" s="117" t="inlineStr">
        <is>
          <t>NDD (TL)</t>
        </is>
      </c>
      <c r="I5" s="117" t="inlineStr">
        <is>
          <t>Açıklama</t>
        </is>
      </c>
    </row>
    <row r="6" ht="15" customHeight="1" s="77">
      <c r="A6" s="156" t="inlineStr">
        <is>
          <t>K-1001</t>
        </is>
      </c>
      <c r="B6" s="156" t="inlineStr">
        <is>
          <t>Bina</t>
        </is>
      </c>
      <c r="C6" s="157" t="n">
        <v>43600</v>
      </c>
      <c r="D6" s="158" t="n">
        <v>1500000</v>
      </c>
      <c r="E6" s="156" t="inlineStr">
        <is>
          <t>Normal</t>
        </is>
      </c>
      <c r="F6" s="159" t="n">
        <v>0.02</v>
      </c>
      <c r="G6" s="160">
        <f>IF($D6="",0,MIN($D6,$D6*$F6*MAX(0,ROUNDDOWN((AmortismanRaporTarihi-$C6)/365,0))))</f>
        <v/>
      </c>
      <c r="H6" s="160">
        <f>IF($D6="",0,MAX(0,$D6-$G6))</f>
        <v/>
      </c>
      <c r="I6" s="122">
        <f>IF($B6="","",CONCATENATE("Örnek kıymet: ",$B6))</f>
        <v/>
      </c>
    </row>
    <row r="7" ht="15" customHeight="1" s="77">
      <c r="A7" s="156" t="inlineStr">
        <is>
          <t>K-1002</t>
        </is>
      </c>
      <c r="B7" s="156" t="inlineStr">
        <is>
          <t>Makine</t>
        </is>
      </c>
      <c r="C7" s="157" t="n">
        <v>44265</v>
      </c>
      <c r="D7" s="158" t="n">
        <v>600000</v>
      </c>
      <c r="E7" s="156" t="inlineStr">
        <is>
          <t>Azalan</t>
        </is>
      </c>
      <c r="F7" s="159" t="n">
        <v>0.2</v>
      </c>
      <c r="G7" s="160">
        <f>IF($D7="",0,MIN($D7,$D7*$F7*MAX(0,ROUNDDOWN((AmortismanRaporTarihi-$C7)/365,0))))</f>
        <v/>
      </c>
      <c r="H7" s="160">
        <f>IF($D7="",0,MAX(0,$D7-$G7))</f>
        <v/>
      </c>
      <c r="I7" s="122">
        <f>IF($B7="","",CONCATENATE("Örnek kıymet: ",$B7))</f>
        <v/>
      </c>
    </row>
    <row r="8" ht="15" customHeight="1" s="77">
      <c r="A8" s="156" t="inlineStr">
        <is>
          <t>K-1003</t>
        </is>
      </c>
      <c r="B8" s="156" t="inlineStr">
        <is>
          <t>Makine</t>
        </is>
      </c>
      <c r="C8" s="157" t="n">
        <v>44075</v>
      </c>
      <c r="D8" s="158" t="n">
        <v>400000</v>
      </c>
      <c r="E8" s="156" t="inlineStr">
        <is>
          <t>Normal</t>
        </is>
      </c>
      <c r="F8" s="159" t="n">
        <v>0.2</v>
      </c>
      <c r="G8" s="160">
        <f>IF($D8="",0,MIN($D8,$D8*$F8*MAX(0,ROUNDDOWN((AmortismanRaporTarihi-$C8)/365,0))))</f>
        <v/>
      </c>
      <c r="H8" s="160">
        <f>IF($D8="",0,MAX(0,$D8-$G8))</f>
        <v/>
      </c>
      <c r="I8" s="122">
        <f>IF($B8="","",CONCATENATE("Örnek kıymet: ",$B8))</f>
        <v/>
      </c>
    </row>
    <row r="9" ht="15" customHeight="1" s="77">
      <c r="A9" s="156" t="inlineStr">
        <is>
          <t>K-1004</t>
        </is>
      </c>
      <c r="B9" s="156" t="inlineStr">
        <is>
          <t>Taşıt</t>
        </is>
      </c>
      <c r="C9" s="157" t="n">
        <v>44581</v>
      </c>
      <c r="D9" s="158" t="n">
        <v>350000</v>
      </c>
      <c r="E9" s="156" t="inlineStr">
        <is>
          <t>Normal</t>
        </is>
      </c>
      <c r="F9" s="159" t="n">
        <v>0.2</v>
      </c>
      <c r="G9" s="160">
        <f>IF($D9="",0,MIN($D9,$D9*$F9*MAX(0,ROUNDDOWN((AmortismanRaporTarihi-$C9)/365,0))))</f>
        <v/>
      </c>
      <c r="H9" s="160">
        <f>IF($D9="",0,MAX(0,$D9-$G9))</f>
        <v/>
      </c>
      <c r="I9" s="122">
        <f>IF($B9="","",CONCATENATE("Örnek kıymet: ",$B9))</f>
        <v/>
      </c>
    </row>
    <row r="10" ht="15" customHeight="1" s="77">
      <c r="A10" s="156" t="inlineStr">
        <is>
          <t>K-1005</t>
        </is>
      </c>
      <c r="B10" s="156" t="inlineStr">
        <is>
          <t>Demirbaş</t>
        </is>
      </c>
      <c r="C10" s="157" t="n">
        <v>45021</v>
      </c>
      <c r="D10" s="158" t="n">
        <v>180000</v>
      </c>
      <c r="E10" s="156" t="inlineStr">
        <is>
          <t>Normal</t>
        </is>
      </c>
      <c r="F10" s="159" t="n">
        <v>0.2</v>
      </c>
      <c r="G10" s="160">
        <f>IF($D10="",0,MIN($D10,$D10*$F10*MAX(0,ROUNDDOWN((AmortismanRaporTarihi-$C10)/365,0))))</f>
        <v/>
      </c>
      <c r="H10" s="160">
        <f>IF($D10="",0,MAX(0,$D10-$G10))</f>
        <v/>
      </c>
      <c r="I10" s="122">
        <f>IF($B10="","",CONCATENATE("Örnek kıymet: ",$B10))</f>
        <v/>
      </c>
    </row>
    <row r="11" ht="15" customHeight="1" s="77">
      <c r="A11" s="156" t="inlineStr">
        <is>
          <t>K-1006</t>
        </is>
      </c>
      <c r="B11" s="156" t="inlineStr">
        <is>
          <t>Yazılım</t>
        </is>
      </c>
      <c r="C11" s="157" t="n">
        <v>45458</v>
      </c>
      <c r="D11" s="158" t="n">
        <v>120000</v>
      </c>
      <c r="E11" s="156" t="inlineStr">
        <is>
          <t>Azalan</t>
        </is>
      </c>
      <c r="F11" s="159" t="n">
        <v>0.33</v>
      </c>
      <c r="G11" s="160">
        <f>IF($D11="",0,MIN($D11,$D11*$F11*MAX(0,ROUNDDOWN((AmortismanRaporTarihi-$C11)/365,0))))</f>
        <v/>
      </c>
      <c r="H11" s="160">
        <f>IF($D11="",0,MAX(0,$D11-$G11))</f>
        <v/>
      </c>
      <c r="I11" s="122">
        <f>IF($B11="","",CONCATENATE("Örnek kıymet: ",$B11))</f>
        <v/>
      </c>
    </row>
    <row r="12" ht="15" customHeight="1" s="77">
      <c r="G12" s="122">
        <f>IF($D12="",0,MIN($D12,$D12*$F12*MAX(0,ROUNDDOWN((AmortismanRaporTarihi-$C12)/365,0))))</f>
        <v/>
      </c>
      <c r="H12" s="122">
        <f>IF($D12="",0,MAX(0,$D12-$G12))</f>
        <v/>
      </c>
      <c r="I12" s="122">
        <f>IF($B12="","",CONCATENATE("Örnek kıymet: ",$B12))</f>
        <v/>
      </c>
    </row>
    <row r="13" ht="15" customHeight="1" s="77">
      <c r="G13" s="122">
        <f>IF($D13="",0,MIN($D13,$D13*$F13*MAX(0,ROUNDDOWN((AmortismanRaporTarihi-$C13)/365,0))))</f>
        <v/>
      </c>
      <c r="H13" s="122">
        <f>IF($D13="",0,MAX(0,$D13-$G13))</f>
        <v/>
      </c>
      <c r="I13" s="122">
        <f>IF($B13="","",CONCATENATE("Örnek kıymet: ",$B13))</f>
        <v/>
      </c>
    </row>
    <row r="14" ht="15" customHeight="1" s="77">
      <c r="G14" s="122">
        <f>IF($D14="",0,MIN($D14,$D14*$F14*MAX(0,ROUNDDOWN((AmortismanRaporTarihi-$C14)/365,0))))</f>
        <v/>
      </c>
      <c r="H14" s="122">
        <f>IF($D14="",0,MAX(0,$D14-$G14))</f>
        <v/>
      </c>
      <c r="I14" s="122">
        <f>IF($B14="","",CONCATENATE("Örnek kıymet: ",$B14))</f>
        <v/>
      </c>
    </row>
    <row r="15" ht="15" customHeight="1" s="77">
      <c r="G15" s="122">
        <f>IF($D15="",0,MIN($D15,$D15*$F15*MAX(0,ROUNDDOWN((AmortismanRaporTarihi-$C15)/365,0))))</f>
        <v/>
      </c>
      <c r="H15" s="122">
        <f>IF($D15="",0,MAX(0,$D15-$G15))</f>
        <v/>
      </c>
      <c r="I15" s="122">
        <f>IF($B15="","",CONCATENATE("Örnek kıymet: ",$B15))</f>
        <v/>
      </c>
    </row>
    <row r="16" ht="15" customHeight="1" s="77">
      <c r="G16" s="122">
        <f>IF($D16="",0,MIN($D16,$D16*$F16*MAX(0,ROUNDDOWN((AmortismanRaporTarihi-$C16)/365,0))))</f>
        <v/>
      </c>
      <c r="H16" s="122">
        <f>IF($D16="",0,MAX(0,$D16-$G16))</f>
        <v/>
      </c>
      <c r="I16" s="122">
        <f>IF($B16="","",CONCATENATE("Örnek kıymet: ",$B16))</f>
        <v/>
      </c>
    </row>
    <row r="17" ht="15" customHeight="1" s="77">
      <c r="G17" s="122">
        <f>IF($D17="",0,MIN($D17,$D17*$F17*MAX(0,ROUNDDOWN((AmortismanRaporTarihi-$C17)/365,0))))</f>
        <v/>
      </c>
      <c r="H17" s="122">
        <f>IF($D17="",0,MAX(0,$D17-$G17))</f>
        <v/>
      </c>
      <c r="I17" s="122">
        <f>IF($B17="","",CONCATENATE("Örnek kıymet: ",$B17))</f>
        <v/>
      </c>
    </row>
    <row r="18" ht="15" customHeight="1" s="77">
      <c r="G18" s="122">
        <f>IF($D18="",0,MIN($D18,$D18*$F18*MAX(0,ROUNDDOWN((AmortismanRaporTarihi-$C18)/365,0))))</f>
        <v/>
      </c>
      <c r="H18" s="122">
        <f>IF($D18="",0,MAX(0,$D18-$G18))</f>
        <v/>
      </c>
      <c r="I18" s="122">
        <f>IF($B18="","",CONCATENATE("Örnek kıymet: ",$B18))</f>
        <v/>
      </c>
    </row>
    <row r="19" ht="15" customHeight="1" s="77">
      <c r="G19" s="122">
        <f>IF($D19="",0,MIN($D19,$D19*$F19*MAX(0,ROUNDDOWN((AmortismanRaporTarihi-$C19)/365,0))))</f>
        <v/>
      </c>
      <c r="H19" s="122">
        <f>IF($D19="",0,MAX(0,$D19-$G19))</f>
        <v/>
      </c>
      <c r="I19" s="122">
        <f>IF($B19="","",CONCATENATE("Örnek kıymet: ",$B19))</f>
        <v/>
      </c>
    </row>
    <row r="20" ht="15" customHeight="1" s="77">
      <c r="G20" s="122">
        <f>IF($D20="",0,MIN($D20,$D20*$F20*MAX(0,ROUNDDOWN((AmortismanRaporTarihi-$C20)/365,0))))</f>
        <v/>
      </c>
      <c r="H20" s="122">
        <f>IF($D20="",0,MAX(0,$D20-$G20))</f>
        <v/>
      </c>
      <c r="I20" s="122">
        <f>IF($B20="","",CONCATENATE("Örnek kıymet: ",$B20))</f>
        <v/>
      </c>
    </row>
    <row r="21" ht="15" customHeight="1" s="77">
      <c r="G21" s="122">
        <f>IF($D21="",0,MIN($D21,$D21*$F21*MAX(0,ROUNDDOWN((AmortismanRaporTarihi-$C21)/365,0))))</f>
        <v/>
      </c>
      <c r="H21" s="122">
        <f>IF($D21="",0,MAX(0,$D21-$G21))</f>
        <v/>
      </c>
      <c r="I21" s="122">
        <f>IF($B21="","",CONCATENATE("Örnek kıymet: ",$B21))</f>
        <v/>
      </c>
    </row>
    <row r="22" ht="15" customHeight="1" s="77">
      <c r="G22" s="122">
        <f>IF($D22="",0,MIN($D22,$D22*$F22*MAX(0,ROUNDDOWN((AmortismanRaporTarihi-$C22)/365,0))))</f>
        <v/>
      </c>
      <c r="H22" s="122">
        <f>IF($D22="",0,MAX(0,$D22-$G22))</f>
        <v/>
      </c>
      <c r="I22" s="122">
        <f>IF($B22="","",CONCATENATE("Örnek kıymet: ",$B22))</f>
        <v/>
      </c>
    </row>
    <row r="23" ht="15" customHeight="1" s="77">
      <c r="G23" s="122">
        <f>IF($D23="",0,MIN($D23,$D23*$F23*MAX(0,ROUNDDOWN((AmortismanRaporTarihi-$C23)/365,0))))</f>
        <v/>
      </c>
      <c r="H23" s="122">
        <f>IF($D23="",0,MAX(0,$D23-$G23))</f>
        <v/>
      </c>
      <c r="I23" s="122">
        <f>IF($B23="","",CONCATENATE("Örnek kıymet: ",$B23))</f>
        <v/>
      </c>
    </row>
    <row r="24" ht="15" customHeight="1" s="77">
      <c r="G24" s="122">
        <f>IF($D24="",0,MIN($D24,$D24*$F24*MAX(0,ROUNDDOWN((AmortismanRaporTarihi-$C24)/365,0))))</f>
        <v/>
      </c>
      <c r="H24" s="122">
        <f>IF($D24="",0,MAX(0,$D24-$G24))</f>
        <v/>
      </c>
      <c r="I24" s="122">
        <f>IF($B24="","",CONCATENATE("Örnek kıymet: ",$B24))</f>
        <v/>
      </c>
    </row>
    <row r="25" ht="15" customHeight="1" s="77">
      <c r="G25" s="122">
        <f>IF($D25="",0,MIN($D25,$D25*$F25*MAX(0,ROUNDDOWN((AmortismanRaporTarihi-$C25)/365,0))))</f>
        <v/>
      </c>
      <c r="H25" s="122">
        <f>IF($D25="",0,MAX(0,$D25-$G25))</f>
        <v/>
      </c>
      <c r="I25" s="122">
        <f>IF($B25="","",CONCATENATE("Örnek kıymet: ",$B25))</f>
        <v/>
      </c>
    </row>
    <row r="26" ht="15" customHeight="1" s="77">
      <c r="G26" s="122">
        <f>IF($D26="",0,MIN($D26,$D26*$F26*MAX(0,ROUNDDOWN((AmortismanRaporTarihi-$C26)/365,0))))</f>
        <v/>
      </c>
      <c r="H26" s="122">
        <f>IF($D26="",0,MAX(0,$D26-$G26))</f>
        <v/>
      </c>
      <c r="I26" s="122">
        <f>IF($B26="","",CONCATENATE("Örnek kıymet: ",$B26))</f>
        <v/>
      </c>
    </row>
    <row r="27" ht="15" customHeight="1" s="77">
      <c r="G27" s="122">
        <f>IF($D27="",0,MIN($D27,$D27*$F27*MAX(0,ROUNDDOWN((AmortismanRaporTarihi-$C27)/365,0))))</f>
        <v/>
      </c>
      <c r="H27" s="122">
        <f>IF($D27="",0,MAX(0,$D27-$G27))</f>
        <v/>
      </c>
      <c r="I27" s="122">
        <f>IF($B27="","",CONCATENATE("Örnek kıymet: ",$B27))</f>
        <v/>
      </c>
    </row>
    <row r="28" ht="15" customHeight="1" s="77">
      <c r="G28" s="122">
        <f>IF($D28="",0,MIN($D28,$D28*$F28*MAX(0,ROUNDDOWN((AmortismanRaporTarihi-$C28)/365,0))))</f>
        <v/>
      </c>
      <c r="H28" s="122">
        <f>IF($D28="",0,MAX(0,$D28-$G28))</f>
        <v/>
      </c>
      <c r="I28" s="122">
        <f>IF($B28="","",CONCATENATE("Örnek kıymet: ",$B28))</f>
        <v/>
      </c>
    </row>
    <row r="29" ht="15" customHeight="1" s="77">
      <c r="G29" s="122">
        <f>IF($D29="",0,MIN($D29,$D29*$F29*MAX(0,ROUNDDOWN((AmortismanRaporTarihi-$C29)/365,0))))</f>
        <v/>
      </c>
      <c r="H29" s="122">
        <f>IF($D29="",0,MAX(0,$D29-$G29))</f>
        <v/>
      </c>
      <c r="I29" s="122">
        <f>IF($B29="","",CONCATENATE("Örnek kıymet: ",$B29))</f>
        <v/>
      </c>
    </row>
    <row r="30" ht="15" customHeight="1" s="77">
      <c r="G30" s="122">
        <f>IF($D30="",0,MIN($D30,$D30*$F30*MAX(0,ROUNDDOWN((AmortismanRaporTarihi-$C30)/365,0))))</f>
        <v/>
      </c>
      <c r="H30" s="122">
        <f>IF($D30="",0,MAX(0,$D30-$G30))</f>
        <v/>
      </c>
      <c r="I30" s="122">
        <f>IF($B30="","",CONCATENATE("Örnek kıymet: ",$B30))</f>
        <v/>
      </c>
    </row>
    <row r="31" ht="15" customHeight="1" s="77">
      <c r="G31" s="122">
        <f>IF($D31="",0,MIN($D31,$D31*$F31*MAX(0,ROUNDDOWN((AmortismanRaporTarihi-$C31)/365,0))))</f>
        <v/>
      </c>
      <c r="H31" s="122">
        <f>IF($D31="",0,MAX(0,$D31-$G31))</f>
        <v/>
      </c>
      <c r="I31" s="122">
        <f>IF($B31="","",CONCATENATE("Örnek kıymet: ",$B31))</f>
        <v/>
      </c>
    </row>
    <row r="32" ht="15" customHeight="1" s="77">
      <c r="G32" s="122">
        <f>IF($D32="",0,MIN($D32,$D32*$F32*MAX(0,ROUNDDOWN((AmortismanRaporTarihi-$C32)/365,0))))</f>
        <v/>
      </c>
      <c r="H32" s="122">
        <f>IF($D32="",0,MAX(0,$D32-$G32))</f>
        <v/>
      </c>
      <c r="I32" s="122">
        <f>IF($B32="","",CONCATENATE("Örnek kıymet: ",$B32))</f>
        <v/>
      </c>
    </row>
    <row r="33" ht="15" customHeight="1" s="77">
      <c r="G33" s="122">
        <f>IF($D33="",0,MIN($D33,$D33*$F33*MAX(0,ROUNDDOWN((AmortismanRaporTarihi-$C33)/365,0))))</f>
        <v/>
      </c>
      <c r="H33" s="122">
        <f>IF($D33="",0,MAX(0,$D33-$G33))</f>
        <v/>
      </c>
      <c r="I33" s="122">
        <f>IF($B33="","",CONCATENATE("Örnek kıymet: ",$B33))</f>
        <v/>
      </c>
    </row>
    <row r="34" ht="15" customHeight="1" s="77">
      <c r="G34" s="122">
        <f>IF($D34="",0,MIN($D34,$D34*$F34*MAX(0,ROUNDDOWN((AmortismanRaporTarihi-$C34)/365,0))))</f>
        <v/>
      </c>
      <c r="H34" s="122">
        <f>IF($D34="",0,MAX(0,$D34-$G34))</f>
        <v/>
      </c>
      <c r="I34" s="122">
        <f>IF($B34="","",CONCATENATE("Örnek kıymet: ",$B34))</f>
        <v/>
      </c>
    </row>
    <row r="35" ht="15" customHeight="1" s="77">
      <c r="G35" s="122">
        <f>IF($D35="",0,MIN($D35,$D35*$F35*MAX(0,ROUNDDOWN((AmortismanRaporTarihi-$C35)/365,0))))</f>
        <v/>
      </c>
      <c r="H35" s="122">
        <f>IF($D35="",0,MAX(0,$D35-$G35))</f>
        <v/>
      </c>
      <c r="I35" s="122">
        <f>IF($B35="","",CONCATENATE("Örnek kıymet: ",$B35))</f>
        <v/>
      </c>
    </row>
    <row r="36" ht="15" customHeight="1" s="77">
      <c r="G36" s="122">
        <f>IF($D36="",0,MIN($D36,$D36*$F36*MAX(0,ROUNDDOWN((AmortismanRaporTarihi-$C36)/365,0))))</f>
        <v/>
      </c>
      <c r="H36" s="122">
        <f>IF($D36="",0,MAX(0,$D36-$G36))</f>
        <v/>
      </c>
      <c r="I36" s="122">
        <f>IF($B36="","",CONCATENATE("Örnek kıymet: ",$B36))</f>
        <v/>
      </c>
    </row>
    <row r="37" ht="15" customHeight="1" s="77">
      <c r="G37" s="122">
        <f>IF($D37="",0,MIN($D37,$D37*$F37*MAX(0,ROUNDDOWN((AmortismanRaporTarihi-$C37)/365,0))))</f>
        <v/>
      </c>
      <c r="H37" s="122">
        <f>IF($D37="",0,MAX(0,$D37-$G37))</f>
        <v/>
      </c>
      <c r="I37" s="122">
        <f>IF($B37="","",CONCATENATE("Örnek kıymet: ",$B37))</f>
        <v/>
      </c>
    </row>
    <row r="38" ht="15" customHeight="1" s="77">
      <c r="G38" s="122">
        <f>IF($D38="",0,MIN($D38,$D38*$F38*MAX(0,ROUNDDOWN((AmortismanRaporTarihi-$C38)/365,0))))</f>
        <v/>
      </c>
      <c r="H38" s="122">
        <f>IF($D38="",0,MAX(0,$D38-$G38))</f>
        <v/>
      </c>
      <c r="I38" s="122">
        <f>IF($B38="","",CONCATENATE("Örnek kıymet: ",$B38))</f>
        <v/>
      </c>
    </row>
    <row r="39" ht="15" customHeight="1" s="77">
      <c r="G39" s="122">
        <f>IF($D39="",0,MIN($D39,$D39*$F39*MAX(0,ROUNDDOWN((AmortismanRaporTarihi-$C39)/365,0))))</f>
        <v/>
      </c>
      <c r="H39" s="122">
        <f>IF($D39="",0,MAX(0,$D39-$G39))</f>
        <v/>
      </c>
      <c r="I39" s="122">
        <f>IF($B39="","",CONCATENATE("Örnek kıymet: ",$B39))</f>
        <v/>
      </c>
    </row>
    <row r="40" ht="15" customHeight="1" s="77">
      <c r="G40" s="122">
        <f>IF($D40="",0,MIN($D40,$D40*$F40*MAX(0,ROUNDDOWN((AmortismanRaporTarihi-$C40)/365,0))))</f>
        <v/>
      </c>
      <c r="H40" s="122">
        <f>IF($D40="",0,MAX(0,$D40-$G40))</f>
        <v/>
      </c>
      <c r="I40" s="122">
        <f>IF($B40="","",CONCATENATE("Örnek kıymet: ",$B40))</f>
        <v/>
      </c>
    </row>
    <row r="41" ht="15" customHeight="1" s="77">
      <c r="G41" s="122">
        <f>IF($D41="",0,MIN($D41,$D41*$F41*MAX(0,ROUNDDOWN((AmortismanRaporTarihi-$C41)/365,0))))</f>
        <v/>
      </c>
      <c r="H41" s="122">
        <f>IF($D41="",0,MAX(0,$D41-$G41))</f>
        <v/>
      </c>
      <c r="I41" s="122">
        <f>IF($B41="","",CONCATENATE("Örnek kıymet: ",$B41))</f>
        <v/>
      </c>
    </row>
    <row r="42" ht="15" customHeight="1" s="77">
      <c r="G42" s="122">
        <f>IF($D42="",0,MIN($D42,$D42*$F42*MAX(0,ROUNDDOWN((AmortismanRaporTarihi-$C42)/365,0))))</f>
        <v/>
      </c>
      <c r="H42" s="122">
        <f>IF($D42="",0,MAX(0,$D42-$G42))</f>
        <v/>
      </c>
      <c r="I42" s="122">
        <f>IF($B42="","",CONCATENATE("Örnek kıymet: ",$B42))</f>
        <v/>
      </c>
    </row>
    <row r="43" ht="15" customHeight="1" s="77">
      <c r="G43" s="122">
        <f>IF($D43="",0,MIN($D43,$D43*$F43*MAX(0,ROUNDDOWN((AmortismanRaporTarihi-$C43)/365,0))))</f>
        <v/>
      </c>
      <c r="H43" s="122">
        <f>IF($D43="",0,MAX(0,$D43-$G43))</f>
        <v/>
      </c>
      <c r="I43" s="122">
        <f>IF($B43="","",CONCATENATE("Örnek kıymet: ",$B43))</f>
        <v/>
      </c>
    </row>
    <row r="44" ht="15" customHeight="1" s="77">
      <c r="G44" s="122">
        <f>IF($D44="",0,MIN($D44,$D44*$F44*MAX(0,ROUNDDOWN((AmortismanRaporTarihi-$C44)/365,0))))</f>
        <v/>
      </c>
      <c r="H44" s="122">
        <f>IF($D44="",0,MAX(0,$D44-$G44))</f>
        <v/>
      </c>
      <c r="I44" s="122">
        <f>IF($B44="","",CONCATENATE("Örnek kıymet: ",$B44))</f>
        <v/>
      </c>
    </row>
    <row r="45" ht="15" customHeight="1" s="77">
      <c r="G45" s="122">
        <f>IF($D45="",0,MIN($D45,$D45*$F45*MAX(0,ROUNDDOWN((AmortismanRaporTarihi-$C45)/365,0))))</f>
        <v/>
      </c>
      <c r="H45" s="122">
        <f>IF($D45="",0,MAX(0,$D45-$G45))</f>
        <v/>
      </c>
      <c r="I45" s="122">
        <f>IF($B45="","",CONCATENATE("Örnek kıymet: ",$B45))</f>
        <v/>
      </c>
    </row>
    <row r="46" ht="15" customHeight="1" s="77">
      <c r="G46" s="122">
        <f>IF($D46="",0,MIN($D46,$D46*$F46*MAX(0,ROUNDDOWN((AmortismanRaporTarihi-$C46)/365,0))))</f>
        <v/>
      </c>
      <c r="H46" s="122">
        <f>IF($D46="",0,MAX(0,$D46-$G46))</f>
        <v/>
      </c>
      <c r="I46" s="122">
        <f>IF($B46="","",CONCATENATE("Örnek kıymet: ",$B46))</f>
        <v/>
      </c>
    </row>
    <row r="47" ht="15" customHeight="1" s="77">
      <c r="G47" s="122">
        <f>IF($D47="",0,MIN($D47,$D47*$F47*MAX(0,ROUNDDOWN((AmortismanRaporTarihi-$C47)/365,0))))</f>
        <v/>
      </c>
      <c r="H47" s="122">
        <f>IF($D47="",0,MAX(0,$D47-$G47))</f>
        <v/>
      </c>
      <c r="I47" s="122">
        <f>IF($B47="","",CONCATENATE("Örnek kıymet: ",$B47))</f>
        <v/>
      </c>
    </row>
    <row r="48" ht="15" customHeight="1" s="77">
      <c r="G48" s="122">
        <f>IF($D48="",0,MIN($D48,$D48*$F48*MAX(0,ROUNDDOWN((AmortismanRaporTarihi-$C48)/365,0))))</f>
        <v/>
      </c>
      <c r="H48" s="122">
        <f>IF($D48="",0,MAX(0,$D48-$G48))</f>
        <v/>
      </c>
      <c r="I48" s="122">
        <f>IF($B48="","",CONCATENATE("Örnek kıymet: ",$B48))</f>
        <v/>
      </c>
    </row>
    <row r="49" ht="15" customHeight="1" s="77">
      <c r="G49" s="122">
        <f>IF($D49="",0,MIN($D49,$D49*$F49*MAX(0,ROUNDDOWN((AmortismanRaporTarihi-$C49)/365,0))))</f>
        <v/>
      </c>
      <c r="H49" s="122">
        <f>IF($D49="",0,MAX(0,$D49-$G49))</f>
        <v/>
      </c>
      <c r="I49" s="122">
        <f>IF($B49="","",CONCATENATE("Örnek kıymet: ",$B49))</f>
        <v/>
      </c>
    </row>
    <row r="50" ht="15" customHeight="1" s="77">
      <c r="G50" s="122">
        <f>IF($D50="",0,MIN($D50,$D50*$F50*MAX(0,ROUNDDOWN((AmortismanRaporTarihi-$C50)/365,0))))</f>
        <v/>
      </c>
      <c r="H50" s="122">
        <f>IF($D50="",0,MAX(0,$D50-$G50))</f>
        <v/>
      </c>
      <c r="I50" s="122">
        <f>IF($B50="","",CONCATENATE("Örnek kıymet: ",$B50))</f>
        <v/>
      </c>
    </row>
    <row r="51" ht="15" customHeight="1" s="77">
      <c r="G51" s="122">
        <f>IF($D51="",0,MIN($D51,$D51*$F51*MAX(0,ROUNDDOWN((AmortismanRaporTarihi-$C51)/365,0))))</f>
        <v/>
      </c>
      <c r="H51" s="122">
        <f>IF($D51="",0,MAX(0,$D51-$G51))</f>
        <v/>
      </c>
      <c r="I51" s="122">
        <f>IF($B51="","",CONCATENATE("Örnek kıymet: ",$B51))</f>
        <v/>
      </c>
    </row>
    <row r="52" ht="15" customHeight="1" s="77">
      <c r="G52" s="122">
        <f>IF($D52="",0,MIN($D52,$D52*$F52*MAX(0,ROUNDDOWN((AmortismanRaporTarihi-$C52)/365,0))))</f>
        <v/>
      </c>
      <c r="H52" s="122">
        <f>IF($D52="",0,MAX(0,$D52-$G52))</f>
        <v/>
      </c>
      <c r="I52" s="122">
        <f>IF($B52="","",CONCATENATE("Örnek kıymet: ",$B52))</f>
        <v/>
      </c>
    </row>
    <row r="53" ht="15" customHeight="1" s="77">
      <c r="G53" s="122">
        <f>IF($D53="",0,MIN($D53,$D53*$F53*MAX(0,ROUNDDOWN((AmortismanRaporTarihi-$C53)/365,0))))</f>
        <v/>
      </c>
      <c r="H53" s="122">
        <f>IF($D53="",0,MAX(0,$D53-$G53))</f>
        <v/>
      </c>
      <c r="I53" s="122">
        <f>IF($B53="","",CONCATENATE("Örnek kıymet: ",$B53))</f>
        <v/>
      </c>
    </row>
    <row r="54" ht="15" customHeight="1" s="77">
      <c r="G54" s="122">
        <f>IF($D54="",0,MIN($D54,$D54*$F54*MAX(0,ROUNDDOWN((AmortismanRaporTarihi-$C54)/365,0))))</f>
        <v/>
      </c>
      <c r="H54" s="122">
        <f>IF($D54="",0,MAX(0,$D54-$G54))</f>
        <v/>
      </c>
      <c r="I54" s="122">
        <f>IF($B54="","",CONCATENATE("Örnek kıymet: ",$B54))</f>
        <v/>
      </c>
    </row>
    <row r="55" ht="15" customHeight="1" s="77">
      <c r="G55" s="122">
        <f>IF($D55="",0,MIN($D55,$D55*$F55*MAX(0,ROUNDDOWN((AmortismanRaporTarihi-$C55)/365,0))))</f>
        <v/>
      </c>
      <c r="H55" s="122">
        <f>IF($D55="",0,MAX(0,$D55-$G55))</f>
        <v/>
      </c>
      <c r="I55" s="122">
        <f>IF($B55="","",CONCATENATE("Örnek kıymet: ",$B55))</f>
        <v/>
      </c>
    </row>
    <row r="56" ht="15" customHeight="1" s="77">
      <c r="G56" s="122">
        <f>IF($D56="",0,MIN($D56,$D56*$F56*MAX(0,ROUNDDOWN((AmortismanRaporTarihi-$C56)/365,0))))</f>
        <v/>
      </c>
      <c r="H56" s="122">
        <f>IF($D56="",0,MAX(0,$D56-$G56))</f>
        <v/>
      </c>
      <c r="I56" s="122">
        <f>IF($B56="","",CONCATENATE("Örnek kıymet: ",$B56))</f>
        <v/>
      </c>
    </row>
    <row r="57" ht="15" customHeight="1" s="77">
      <c r="G57" s="122">
        <f>IF($D57="",0,MIN($D57,$D57*$F57*MAX(0,ROUNDDOWN((AmortismanRaporTarihi-$C57)/365,0))))</f>
        <v/>
      </c>
      <c r="H57" s="122">
        <f>IF($D57="",0,MAX(0,$D57-$G57))</f>
        <v/>
      </c>
      <c r="I57" s="122">
        <f>IF($B57="","",CONCATENATE("Örnek kıymet: ",$B57))</f>
        <v/>
      </c>
    </row>
    <row r="58" ht="15" customHeight="1" s="77">
      <c r="G58" s="122">
        <f>IF($D58="",0,MIN($D58,$D58*$F58*MAX(0,ROUNDDOWN((AmortismanRaporTarihi-$C58)/365,0))))</f>
        <v/>
      </c>
      <c r="H58" s="122">
        <f>IF($D58="",0,MAX(0,$D58-$G58))</f>
        <v/>
      </c>
      <c r="I58" s="122">
        <f>IF($B58="","",CONCATENATE("Örnek kıymet: ",$B58))</f>
        <v/>
      </c>
    </row>
    <row r="59" ht="15" customHeight="1" s="77">
      <c r="G59" s="122">
        <f>IF($D59="",0,MIN($D59,$D59*$F59*MAX(0,ROUNDDOWN((AmortismanRaporTarihi-$C59)/365,0))))</f>
        <v/>
      </c>
      <c r="H59" s="122">
        <f>IF($D59="",0,MAX(0,$D59-$G59))</f>
        <v/>
      </c>
      <c r="I59" s="122">
        <f>IF($B59="","",CONCATENATE("Örnek kıymet: ",$B59))</f>
        <v/>
      </c>
    </row>
    <row r="60" ht="15" customHeight="1" s="77">
      <c r="G60" s="122">
        <f>IF($D60="",0,MIN($D60,$D60*$F60*MAX(0,ROUNDDOWN((AmortismanRaporTarihi-$C60)/365,0))))</f>
        <v/>
      </c>
      <c r="H60" s="122">
        <f>IF($D60="",0,MAX(0,$D60-$G60))</f>
        <v/>
      </c>
      <c r="I60" s="122">
        <f>IF($B60="","",CONCATENATE("Örnek kıymet: ",$B60))</f>
        <v/>
      </c>
    </row>
    <row r="61" ht="15" customHeight="1" s="77">
      <c r="G61" s="122">
        <f>IF($D61="",0,MIN($D61,$D61*$F61*MAX(0,ROUNDDOWN((AmortismanRaporTarihi-$C61)/365,0))))</f>
        <v/>
      </c>
      <c r="H61" s="122">
        <f>IF($D61="",0,MAX(0,$D61-$G61))</f>
        <v/>
      </c>
      <c r="I61" s="122">
        <f>IF($B61="","",CONCATENATE("Örnek kıymet: ",$B61))</f>
        <v/>
      </c>
    </row>
    <row r="62" ht="15" customHeight="1" s="77">
      <c r="G62" s="122">
        <f>IF($D62="",0,MIN($D62,$D62*$F62*MAX(0,ROUNDDOWN((AmortismanRaporTarihi-$C62)/365,0))))</f>
        <v/>
      </c>
      <c r="H62" s="122">
        <f>IF($D62="",0,MAX(0,$D62-$G62))</f>
        <v/>
      </c>
      <c r="I62" s="122">
        <f>IF($B62="","",CONCATENATE("Örnek kıymet: ",$B62))</f>
        <v/>
      </c>
    </row>
    <row r="63" ht="15" customHeight="1" s="77">
      <c r="G63" s="122">
        <f>IF($D63="",0,MIN($D63,$D63*$F63*MAX(0,ROUNDDOWN((AmortismanRaporTarihi-$C63)/365,0))))</f>
        <v/>
      </c>
      <c r="H63" s="122">
        <f>IF($D63="",0,MAX(0,$D63-$G63))</f>
        <v/>
      </c>
      <c r="I63" s="122">
        <f>IF($B63="","",CONCATENATE("Örnek kıymet: ",$B63))</f>
        <v/>
      </c>
    </row>
    <row r="64" ht="15" customHeight="1" s="77">
      <c r="G64" s="122">
        <f>IF($D64="",0,MIN($D64,$D64*$F64*MAX(0,ROUNDDOWN((AmortismanRaporTarihi-$C64)/365,0))))</f>
        <v/>
      </c>
      <c r="H64" s="122">
        <f>IF($D64="",0,MAX(0,$D64-$G64))</f>
        <v/>
      </c>
      <c r="I64" s="122">
        <f>IF($B64="","",CONCATENATE("Örnek kıymet: ",$B64))</f>
        <v/>
      </c>
    </row>
    <row r="65" ht="15" customHeight="1" s="77">
      <c r="G65" s="122">
        <f>IF($D65="",0,MIN($D65,$D65*$F65*MAX(0,ROUNDDOWN((AmortismanRaporTarihi-$C65)/365,0))))</f>
        <v/>
      </c>
      <c r="H65" s="122">
        <f>IF($D65="",0,MAX(0,$D65-$G65))</f>
        <v/>
      </c>
      <c r="I65" s="122">
        <f>IF($B65="","",CONCATENATE("Örnek kıymet: ",$B65))</f>
        <v/>
      </c>
    </row>
    <row r="66" ht="15" customHeight="1" s="77">
      <c r="G66" s="122">
        <f>IF($D66="",0,MIN($D66,$D66*$F66*MAX(0,ROUNDDOWN((AmortismanRaporTarihi-$C66)/365,0))))</f>
        <v/>
      </c>
      <c r="H66" s="122">
        <f>IF($D66="",0,MAX(0,$D66-$G66))</f>
        <v/>
      </c>
      <c r="I66" s="122">
        <f>IF($B66="","",CONCATENATE("Örnek kıymet: ",$B66))</f>
        <v/>
      </c>
    </row>
    <row r="67" ht="15" customHeight="1" s="77">
      <c r="G67" s="122">
        <f>IF($D67="",0,MIN($D67,$D67*$F67*MAX(0,ROUNDDOWN((AmortismanRaporTarihi-$C67)/365,0))))</f>
        <v/>
      </c>
      <c r="H67" s="122">
        <f>IF($D67="",0,MAX(0,$D67-$G67))</f>
        <v/>
      </c>
      <c r="I67" s="122">
        <f>IF($B67="","",CONCATENATE("Örnek kıymet: ",$B67))</f>
        <v/>
      </c>
    </row>
    <row r="68" ht="15" customHeight="1" s="77">
      <c r="G68" s="122">
        <f>IF($D68="",0,MIN($D68,$D68*$F68*MAX(0,ROUNDDOWN((AmortismanRaporTarihi-$C68)/365,0))))</f>
        <v/>
      </c>
      <c r="H68" s="122">
        <f>IF($D68="",0,MAX(0,$D68-$G68))</f>
        <v/>
      </c>
      <c r="I68" s="122">
        <f>IF($B68="","",CONCATENATE("Örnek kıymet: ",$B68))</f>
        <v/>
      </c>
    </row>
    <row r="69" ht="15" customHeight="1" s="77">
      <c r="G69" s="122">
        <f>IF($D69="",0,MIN($D69,$D69*$F69*MAX(0,ROUNDDOWN((AmortismanRaporTarihi-$C69)/365,0))))</f>
        <v/>
      </c>
      <c r="H69" s="122">
        <f>IF($D69="",0,MAX(0,$D69-$G69))</f>
        <v/>
      </c>
      <c r="I69" s="122">
        <f>IF($B69="","",CONCATENATE("Örnek kıymet: ",$B69))</f>
        <v/>
      </c>
    </row>
    <row r="70" ht="15" customHeight="1" s="77">
      <c r="G70" s="122">
        <f>IF($D70="",0,MIN($D70,$D70*$F70*MAX(0,ROUNDDOWN((AmortismanRaporTarihi-$C70)/365,0))))</f>
        <v/>
      </c>
      <c r="H70" s="122">
        <f>IF($D70="",0,MAX(0,$D70-$G70))</f>
        <v/>
      </c>
      <c r="I70" s="122">
        <f>IF($B70="","",CONCATENATE("Örnek kıymet: ",$B70))</f>
        <v/>
      </c>
    </row>
    <row r="71" ht="15" customHeight="1" s="77">
      <c r="G71" s="122">
        <f>IF($D71="",0,MIN($D71,$D71*$F71*MAX(0,ROUNDDOWN((AmortismanRaporTarihi-$C71)/365,0))))</f>
        <v/>
      </c>
      <c r="H71" s="122">
        <f>IF($D71="",0,MAX(0,$D71-$G71))</f>
        <v/>
      </c>
      <c r="I71" s="122">
        <f>IF($B71="","",CONCATENATE("Örnek kıymet: ",$B71))</f>
        <v/>
      </c>
    </row>
    <row r="72" ht="15" customHeight="1" s="77">
      <c r="G72" s="122">
        <f>IF($D72="",0,MIN($D72,$D72*$F72*MAX(0,ROUNDDOWN((AmortismanRaporTarihi-$C72)/365,0))))</f>
        <v/>
      </c>
      <c r="H72" s="122">
        <f>IF($D72="",0,MAX(0,$D72-$G72))</f>
        <v/>
      </c>
      <c r="I72" s="122">
        <f>IF($B72="","",CONCATENATE("Örnek kıymet: ",$B72))</f>
        <v/>
      </c>
    </row>
    <row r="73" ht="15" customHeight="1" s="77">
      <c r="G73" s="122">
        <f>IF($D73="",0,MIN($D73,$D73*$F73*MAX(0,ROUNDDOWN((AmortismanRaporTarihi-$C73)/365,0))))</f>
        <v/>
      </c>
      <c r="H73" s="122">
        <f>IF($D73="",0,MAX(0,$D73-$G73))</f>
        <v/>
      </c>
      <c r="I73" s="122">
        <f>IF($B73="","",CONCATENATE("Örnek kıymet: ",$B73))</f>
        <v/>
      </c>
    </row>
    <row r="74" ht="15" customHeight="1" s="77">
      <c r="G74" s="122">
        <f>IF($D74="",0,MIN($D74,$D74*$F74*MAX(0,ROUNDDOWN((AmortismanRaporTarihi-$C74)/365,0))))</f>
        <v/>
      </c>
      <c r="H74" s="122">
        <f>IF($D74="",0,MAX(0,$D74-$G74))</f>
        <v/>
      </c>
      <c r="I74" s="122">
        <f>IF($B74="","",CONCATENATE("Örnek kıymet: ",$B74))</f>
        <v/>
      </c>
    </row>
    <row r="75" ht="15" customHeight="1" s="77">
      <c r="G75" s="122">
        <f>IF($D75="",0,MIN($D75,$D75*$F75*MAX(0,ROUNDDOWN((AmortismanRaporTarihi-$C75)/365,0))))</f>
        <v/>
      </c>
      <c r="H75" s="122">
        <f>IF($D75="",0,MAX(0,$D75-$G75))</f>
        <v/>
      </c>
      <c r="I75" s="122">
        <f>IF($B75="","",CONCATENATE("Örnek kıymet: ",$B75))</f>
        <v/>
      </c>
    </row>
    <row r="76" ht="15" customHeight="1" s="77">
      <c r="G76" s="122">
        <f>IF($D76="",0,MIN($D76,$D76*$F76*MAX(0,ROUNDDOWN((AmortismanRaporTarihi-$C76)/365,0))))</f>
        <v/>
      </c>
      <c r="H76" s="122">
        <f>IF($D76="",0,MAX(0,$D76-$G76))</f>
        <v/>
      </c>
      <c r="I76" s="122">
        <f>IF($B76="","",CONCATENATE("Örnek kıymet: ",$B76))</f>
        <v/>
      </c>
    </row>
    <row r="77" ht="15" customHeight="1" s="77">
      <c r="G77" s="122">
        <f>IF($D77="",0,MIN($D77,$D77*$F77*MAX(0,ROUNDDOWN((AmortismanRaporTarihi-$C77)/365,0))))</f>
        <v/>
      </c>
      <c r="H77" s="122">
        <f>IF($D77="",0,MAX(0,$D77-$G77))</f>
        <v/>
      </c>
      <c r="I77" s="122">
        <f>IF($B77="","",CONCATENATE("Örnek kıymet: ",$B77))</f>
        <v/>
      </c>
    </row>
    <row r="78" ht="15" customHeight="1" s="77">
      <c r="G78" s="122">
        <f>IF($D78="",0,MIN($D78,$D78*$F78*MAX(0,ROUNDDOWN((AmortismanRaporTarihi-$C78)/365,0))))</f>
        <v/>
      </c>
      <c r="H78" s="122">
        <f>IF($D78="",0,MAX(0,$D78-$G78))</f>
        <v/>
      </c>
      <c r="I78" s="122">
        <f>IF($B78="","",CONCATENATE("Örnek kıymet: ",$B78))</f>
        <v/>
      </c>
    </row>
    <row r="79" ht="15" customHeight="1" s="77">
      <c r="G79" s="122">
        <f>IF($D79="",0,MIN($D79,$D79*$F79*MAX(0,ROUNDDOWN((AmortismanRaporTarihi-$C79)/365,0))))</f>
        <v/>
      </c>
      <c r="H79" s="122">
        <f>IF($D79="",0,MAX(0,$D79-$G79))</f>
        <v/>
      </c>
      <c r="I79" s="122">
        <f>IF($B79="","",CONCATENATE("Örnek kıymet: ",$B79))</f>
        <v/>
      </c>
    </row>
    <row r="80" ht="15" customHeight="1" s="77">
      <c r="G80" s="122">
        <f>IF($D80="",0,MIN($D80,$D80*$F80*MAX(0,ROUNDDOWN((AmortismanRaporTarihi-$C80)/365,0))))</f>
        <v/>
      </c>
      <c r="H80" s="122">
        <f>IF($D80="",0,MAX(0,$D80-$G80))</f>
        <v/>
      </c>
      <c r="I80" s="122">
        <f>IF($B80="","",CONCATENATE("Örnek kıymet: ",$B80))</f>
        <v/>
      </c>
    </row>
    <row r="81" ht="15" customHeight="1" s="77">
      <c r="G81" s="122">
        <f>IF($D81="",0,MIN($D81,$D81*$F81*MAX(0,ROUNDDOWN((AmortismanRaporTarihi-$C81)/365,0))))</f>
        <v/>
      </c>
      <c r="H81" s="122">
        <f>IF($D81="",0,MAX(0,$D81-$G81))</f>
        <v/>
      </c>
      <c r="I81" s="122">
        <f>IF($B81="","",CONCATENATE("Örnek kıymet: ",$B81))</f>
        <v/>
      </c>
    </row>
    <row r="82" ht="15" customHeight="1" s="77">
      <c r="G82" s="122">
        <f>IF($D82="",0,MIN($D82,$D82*$F82*MAX(0,ROUNDDOWN((AmortismanRaporTarihi-$C82)/365,0))))</f>
        <v/>
      </c>
      <c r="H82" s="122">
        <f>IF($D82="",0,MAX(0,$D82-$G82))</f>
        <v/>
      </c>
      <c r="I82" s="122">
        <f>IF($B82="","",CONCATENATE("Örnek kıymet: ",$B82))</f>
        <v/>
      </c>
    </row>
    <row r="83" ht="15" customHeight="1" s="77">
      <c r="G83" s="122">
        <f>IF($D83="",0,MIN($D83,$D83*$F83*MAX(0,ROUNDDOWN((AmortismanRaporTarihi-$C83)/365,0))))</f>
        <v/>
      </c>
      <c r="H83" s="122">
        <f>IF($D83="",0,MAX(0,$D83-$G83))</f>
        <v/>
      </c>
      <c r="I83" s="122">
        <f>IF($B83="","",CONCATENATE("Örnek kıymet: ",$B83))</f>
        <v/>
      </c>
    </row>
    <row r="84" ht="15" customHeight="1" s="77">
      <c r="G84" s="122">
        <f>IF($D84="",0,MIN($D84,$D84*$F84*MAX(0,ROUNDDOWN((AmortismanRaporTarihi-$C84)/365,0))))</f>
        <v/>
      </c>
      <c r="H84" s="122">
        <f>IF($D84="",0,MAX(0,$D84-$G84))</f>
        <v/>
      </c>
      <c r="I84" s="122">
        <f>IF($B84="","",CONCATENATE("Örnek kıymet: ",$B84))</f>
        <v/>
      </c>
    </row>
    <row r="85" ht="15" customHeight="1" s="77">
      <c r="G85" s="122">
        <f>IF($D85="",0,MIN($D85,$D85*$F85*MAX(0,ROUNDDOWN((AmortismanRaporTarihi-$C85)/365,0))))</f>
        <v/>
      </c>
      <c r="H85" s="122">
        <f>IF($D85="",0,MAX(0,$D85-$G85))</f>
        <v/>
      </c>
      <c r="I85" s="122">
        <f>IF($B85="","",CONCATENATE("Örnek kıymet: ",$B85))</f>
        <v/>
      </c>
    </row>
    <row r="86" ht="15" customHeight="1" s="77">
      <c r="G86" s="122">
        <f>IF($D86="",0,MIN($D86,$D86*$F86*MAX(0,ROUNDDOWN((AmortismanRaporTarihi-$C86)/365,0))))</f>
        <v/>
      </c>
      <c r="H86" s="122">
        <f>IF($D86="",0,MAX(0,$D86-$G86))</f>
        <v/>
      </c>
      <c r="I86" s="122">
        <f>IF($B86="","",CONCATENATE("Örnek kıymet: ",$B86))</f>
        <v/>
      </c>
    </row>
    <row r="87" ht="15" customHeight="1" s="77">
      <c r="G87" s="122">
        <f>IF($D87="",0,MIN($D87,$D87*$F87*MAX(0,ROUNDDOWN((AmortismanRaporTarihi-$C87)/365,0))))</f>
        <v/>
      </c>
      <c r="H87" s="122">
        <f>IF($D87="",0,MAX(0,$D87-$G87))</f>
        <v/>
      </c>
      <c r="I87" s="122">
        <f>IF($B87="","",CONCATENATE("Örnek kıymet: ",$B87))</f>
        <v/>
      </c>
    </row>
    <row r="88" ht="15" customHeight="1" s="77">
      <c r="G88" s="122">
        <f>IF($D88="",0,MIN($D88,$D88*$F88*MAX(0,ROUNDDOWN((AmortismanRaporTarihi-$C88)/365,0))))</f>
        <v/>
      </c>
      <c r="H88" s="122">
        <f>IF($D88="",0,MAX(0,$D88-$G88))</f>
        <v/>
      </c>
      <c r="I88" s="122">
        <f>IF($B88="","",CONCATENATE("Örnek kıymet: ",$B88))</f>
        <v/>
      </c>
    </row>
    <row r="89" ht="15" customHeight="1" s="77">
      <c r="G89" s="122">
        <f>IF($D89="",0,MIN($D89,$D89*$F89*MAX(0,ROUNDDOWN((AmortismanRaporTarihi-$C89)/365,0))))</f>
        <v/>
      </c>
      <c r="H89" s="122">
        <f>IF($D89="",0,MAX(0,$D89-$G89))</f>
        <v/>
      </c>
      <c r="I89" s="122">
        <f>IF($B89="","",CONCATENATE("Örnek kıymet: ",$B89))</f>
        <v/>
      </c>
    </row>
    <row r="90" ht="15" customHeight="1" s="77">
      <c r="G90" s="122">
        <f>IF($D90="",0,MIN($D90,$D90*$F90*MAX(0,ROUNDDOWN((AmortismanRaporTarihi-$C90)/365,0))))</f>
        <v/>
      </c>
      <c r="H90" s="122">
        <f>IF($D90="",0,MAX(0,$D90-$G90))</f>
        <v/>
      </c>
      <c r="I90" s="122">
        <f>IF($B90="","",CONCATENATE("Örnek kıymet: ",$B90))</f>
        <v/>
      </c>
    </row>
    <row r="91" ht="15" customHeight="1" s="77">
      <c r="G91" s="122">
        <f>IF($D91="",0,MIN($D91,$D91*$F91*MAX(0,ROUNDDOWN((AmortismanRaporTarihi-$C91)/365,0))))</f>
        <v/>
      </c>
      <c r="H91" s="122">
        <f>IF($D91="",0,MAX(0,$D91-$G91))</f>
        <v/>
      </c>
      <c r="I91" s="122">
        <f>IF($B91="","",CONCATENATE("Örnek kıymet: ",$B91))</f>
        <v/>
      </c>
    </row>
    <row r="92" ht="15" customHeight="1" s="77">
      <c r="G92" s="122">
        <f>IF($D92="",0,MIN($D92,$D92*$F92*MAX(0,ROUNDDOWN((AmortismanRaporTarihi-$C92)/365,0))))</f>
        <v/>
      </c>
      <c r="H92" s="122">
        <f>IF($D92="",0,MAX(0,$D92-$G92))</f>
        <v/>
      </c>
      <c r="I92" s="122">
        <f>IF($B92="","",CONCATENATE("Örnek kıymet: ",$B92))</f>
        <v/>
      </c>
    </row>
    <row r="93" ht="15" customHeight="1" s="77">
      <c r="G93" s="122">
        <f>IF($D93="",0,MIN($D93,$D93*$F93*MAX(0,ROUNDDOWN((AmortismanRaporTarihi-$C93)/365,0))))</f>
        <v/>
      </c>
      <c r="H93" s="122">
        <f>IF($D93="",0,MAX(0,$D93-$G93))</f>
        <v/>
      </c>
      <c r="I93" s="122">
        <f>IF($B93="","",CONCATENATE("Örnek kıymet: ",$B93))</f>
        <v/>
      </c>
    </row>
    <row r="94" ht="15" customHeight="1" s="77">
      <c r="G94" s="122">
        <f>IF($D94="",0,MIN($D94,$D94*$F94*MAX(0,ROUNDDOWN((AmortismanRaporTarihi-$C94)/365,0))))</f>
        <v/>
      </c>
      <c r="H94" s="122">
        <f>IF($D94="",0,MAX(0,$D94-$G94))</f>
        <v/>
      </c>
      <c r="I94" s="122">
        <f>IF($B94="","",CONCATENATE("Örnek kıymet: ",$B94))</f>
        <v/>
      </c>
    </row>
    <row r="95" ht="15" customHeight="1" s="77">
      <c r="G95" s="122">
        <f>IF($D95="",0,MIN($D95,$D95*$F95*MAX(0,ROUNDDOWN((AmortismanRaporTarihi-$C95)/365,0))))</f>
        <v/>
      </c>
      <c r="H95" s="122">
        <f>IF($D95="",0,MAX(0,$D95-$G95))</f>
        <v/>
      </c>
      <c r="I95" s="122">
        <f>IF($B95="","",CONCATENATE("Örnek kıymet: ",$B95))</f>
        <v/>
      </c>
    </row>
    <row r="96" ht="15" customHeight="1" s="77">
      <c r="G96" s="122">
        <f>IF($D96="",0,MIN($D96,$D96*$F96*MAX(0,ROUNDDOWN((AmortismanRaporTarihi-$C96)/365,0))))</f>
        <v/>
      </c>
      <c r="H96" s="122">
        <f>IF($D96="",0,MAX(0,$D96-$G96))</f>
        <v/>
      </c>
      <c r="I96" s="122">
        <f>IF($B96="","",CONCATENATE("Örnek kıymet: ",$B96))</f>
        <v/>
      </c>
    </row>
    <row r="97" ht="15" customHeight="1" s="77">
      <c r="G97" s="122">
        <f>IF($D97="",0,MIN($D97,$D97*$F97*MAX(0,ROUNDDOWN((AmortismanRaporTarihi-$C97)/365,0))))</f>
        <v/>
      </c>
      <c r="H97" s="122">
        <f>IF($D97="",0,MAX(0,$D97-$G97))</f>
        <v/>
      </c>
      <c r="I97" s="122">
        <f>IF($B97="","",CONCATENATE("Örnek kıymet: ",$B97))</f>
        <v/>
      </c>
    </row>
    <row r="98" ht="15" customHeight="1" s="77">
      <c r="G98" s="122">
        <f>IF($D98="",0,MIN($D98,$D98*$F98*MAX(0,ROUNDDOWN((AmortismanRaporTarihi-$C98)/365,0))))</f>
        <v/>
      </c>
      <c r="H98" s="122">
        <f>IF($D98="",0,MAX(0,$D98-$G98))</f>
        <v/>
      </c>
      <c r="I98" s="122">
        <f>IF($B98="","",CONCATENATE("Örnek kıymet: ",$B98))</f>
        <v/>
      </c>
    </row>
    <row r="99" ht="15" customHeight="1" s="77">
      <c r="G99" s="122">
        <f>IF($D99="",0,MIN($D99,$D99*$F99*MAX(0,ROUNDDOWN((AmortismanRaporTarihi-$C99)/365,0))))</f>
        <v/>
      </c>
      <c r="H99" s="122">
        <f>IF($D99="",0,MAX(0,$D99-$G99))</f>
        <v/>
      </c>
      <c r="I99" s="122">
        <f>IF($B99="","",CONCATENATE("Örnek kıymet: ",$B99))</f>
        <v/>
      </c>
    </row>
    <row r="100" ht="15" customHeight="1" s="77">
      <c r="G100" s="122">
        <f>IF($D100="",0,MIN($D100,$D100*$F100*MAX(0,ROUNDDOWN((AmortismanRaporTarihi-$C100)/365,0))))</f>
        <v/>
      </c>
      <c r="H100" s="122">
        <f>IF($D100="",0,MAX(0,$D100-$G100))</f>
        <v/>
      </c>
      <c r="I100" s="122">
        <f>IF($B100="","",CONCATENATE("Örnek kıymet: ",$B100))</f>
        <v/>
      </c>
    </row>
    <row r="101" ht="15" customHeight="1" s="77">
      <c r="G101" s="122">
        <f>IF($D101="",0,MIN($D101,$D101*$F101*MAX(0,ROUNDDOWN((AmortismanRaporTarihi-$C101)/365,0))))</f>
        <v/>
      </c>
      <c r="H101" s="122">
        <f>IF($D101="",0,MAX(0,$D101-$G101))</f>
        <v/>
      </c>
      <c r="I101" s="122">
        <f>IF($B101="","",CONCATENATE("Örnek kıymet: ",$B101))</f>
        <v/>
      </c>
    </row>
    <row r="102" ht="15" customHeight="1" s="77">
      <c r="G102" s="122">
        <f>IF($D102="",0,MIN($D102,$D102*$F102*MAX(0,ROUNDDOWN((AmortismanRaporTarihi-$C102)/365,0))))</f>
        <v/>
      </c>
      <c r="H102" s="122">
        <f>IF($D102="",0,MAX(0,$D102-$G102))</f>
        <v/>
      </c>
      <c r="I102" s="122">
        <f>IF($B102="","",CONCATENATE("Örnek kıymet: ",$B102))</f>
        <v/>
      </c>
    </row>
    <row r="103" ht="15" customHeight="1" s="77">
      <c r="G103" s="122">
        <f>IF($D103="",0,MIN($D103,$D103*$F103*MAX(0,ROUNDDOWN((AmortismanRaporTarihi-$C103)/365,0))))</f>
        <v/>
      </c>
      <c r="H103" s="122">
        <f>IF($D103="",0,MAX(0,$D103-$G103))</f>
        <v/>
      </c>
      <c r="I103" s="122">
        <f>IF($B103="","",CONCATENATE("Örnek kıymet: ",$B103))</f>
        <v/>
      </c>
    </row>
    <row r="104" ht="15" customHeight="1" s="77">
      <c r="G104" s="122">
        <f>IF($D104="",0,MIN($D104,$D104*$F104*MAX(0,ROUNDDOWN((AmortismanRaporTarihi-$C104)/365,0))))</f>
        <v/>
      </c>
      <c r="H104" s="122">
        <f>IF($D104="",0,MAX(0,$D104-$G104))</f>
        <v/>
      </c>
      <c r="I104" s="122">
        <f>IF($B104="","",CONCATENATE("Örnek kıymet: ",$B104))</f>
        <v/>
      </c>
    </row>
    <row r="105" ht="15" customHeight="1" s="77">
      <c r="G105" s="122">
        <f>IF($D105="",0,MIN($D105,$D105*$F105*MAX(0,ROUNDDOWN((AmortismanRaporTarihi-$C105)/365,0))))</f>
        <v/>
      </c>
      <c r="H105" s="122">
        <f>IF($D105="",0,MAX(0,$D105-$G105))</f>
        <v/>
      </c>
      <c r="I105" s="122">
        <f>IF($B105="","",CONCATENATE("Örnek kıymet: ",$B105))</f>
        <v/>
      </c>
    </row>
    <row r="106" ht="15" customHeight="1" s="77">
      <c r="G106" s="122">
        <f>IF($D106="",0,MIN($D106,$D106*$F106*MAX(0,ROUNDDOWN((AmortismanRaporTarihi-$C106)/365,0))))</f>
        <v/>
      </c>
      <c r="H106" s="122">
        <f>IF($D106="",0,MAX(0,$D106-$G106))</f>
        <v/>
      </c>
      <c r="I106" s="122">
        <f>IF($B106="","",CONCATENATE("Örnek kıymet: ",$B106))</f>
        <v/>
      </c>
    </row>
    <row r="107" ht="15" customHeight="1" s="77">
      <c r="G107" s="122">
        <f>IF($D107="",0,MIN($D107,$D107*$F107*MAX(0,ROUNDDOWN((AmortismanRaporTarihi-$C107)/365,0))))</f>
        <v/>
      </c>
      <c r="H107" s="122">
        <f>IF($D107="",0,MAX(0,$D107-$G107))</f>
        <v/>
      </c>
      <c r="I107" s="122">
        <f>IF($B107="","",CONCATENATE("Örnek kıymet: ",$B107))</f>
        <v/>
      </c>
    </row>
    <row r="108" ht="15" customHeight="1" s="77">
      <c r="G108" s="122">
        <f>IF($D108="",0,MIN($D108,$D108*$F108*MAX(0,ROUNDDOWN((AmortismanRaporTarihi-$C108)/365,0))))</f>
        <v/>
      </c>
      <c r="H108" s="122">
        <f>IF($D108="",0,MAX(0,$D108-$G108))</f>
        <v/>
      </c>
      <c r="I108" s="122">
        <f>IF($B108="","",CONCATENATE("Örnek kıymet: ",$B108))</f>
        <v/>
      </c>
    </row>
    <row r="109" ht="15" customHeight="1" s="77">
      <c r="G109" s="122">
        <f>IF($D109="",0,MIN($D109,$D109*$F109*MAX(0,ROUNDDOWN((AmortismanRaporTarihi-$C109)/365,0))))</f>
        <v/>
      </c>
      <c r="H109" s="122">
        <f>IF($D109="",0,MAX(0,$D109-$G109))</f>
        <v/>
      </c>
      <c r="I109" s="122">
        <f>IF($B109="","",CONCATENATE("Örnek kıymet: ",$B109))</f>
        <v/>
      </c>
    </row>
    <row r="110" ht="15" customHeight="1" s="77">
      <c r="G110" s="122">
        <f>IF($D110="",0,MIN($D110,$D110*$F110*MAX(0,ROUNDDOWN((AmortismanRaporTarihi-$C110)/365,0))))</f>
        <v/>
      </c>
      <c r="H110" s="122">
        <f>IF($D110="",0,MAX(0,$D110-$G110))</f>
        <v/>
      </c>
      <c r="I110" s="122">
        <f>IF($B110="","",CONCATENATE("Örnek kıymet: ",$B110))</f>
        <v/>
      </c>
    </row>
    <row r="111" ht="15" customHeight="1" s="77">
      <c r="G111" s="122">
        <f>IF($D111="",0,MIN($D111,$D111*$F111*MAX(0,ROUNDDOWN((AmortismanRaporTarihi-$C111)/365,0))))</f>
        <v/>
      </c>
      <c r="H111" s="122">
        <f>IF($D111="",0,MAX(0,$D111-$G111))</f>
        <v/>
      </c>
      <c r="I111" s="122">
        <f>IF($B111="","",CONCATENATE("Örnek kıymet: ",$B111))</f>
        <v/>
      </c>
    </row>
    <row r="112" ht="15" customHeight="1" s="77">
      <c r="G112" s="122">
        <f>IF($D112="",0,MIN($D112,$D112*$F112*MAX(0,ROUNDDOWN((AmortismanRaporTarihi-$C112)/365,0))))</f>
        <v/>
      </c>
      <c r="H112" s="122">
        <f>IF($D112="",0,MAX(0,$D112-$G112))</f>
        <v/>
      </c>
      <c r="I112" s="122">
        <f>IF($B112="","",CONCATENATE("Örnek kıymet: ",$B112))</f>
        <v/>
      </c>
    </row>
    <row r="113" ht="15" customHeight="1" s="77">
      <c r="G113" s="122">
        <f>IF($D113="",0,MIN($D113,$D113*$F113*MAX(0,ROUNDDOWN((AmortismanRaporTarihi-$C113)/365,0))))</f>
        <v/>
      </c>
      <c r="H113" s="122">
        <f>IF($D113="",0,MAX(0,$D113-$G113))</f>
        <v/>
      </c>
      <c r="I113" s="122">
        <f>IF($B113="","",CONCATENATE("Örnek kıymet: ",$B113))</f>
        <v/>
      </c>
    </row>
    <row r="114" ht="15" customHeight="1" s="77">
      <c r="G114" s="122">
        <f>IF($D114="",0,MIN($D114,$D114*$F114*MAX(0,ROUNDDOWN((AmortismanRaporTarihi-$C114)/365,0))))</f>
        <v/>
      </c>
      <c r="H114" s="122">
        <f>IF($D114="",0,MAX(0,$D114-$G114))</f>
        <v/>
      </c>
      <c r="I114" s="122">
        <f>IF($B114="","",CONCATENATE("Örnek kıymet: ",$B114))</f>
        <v/>
      </c>
    </row>
    <row r="115" ht="15" customHeight="1" s="77">
      <c r="G115" s="122">
        <f>IF($D115="",0,MIN($D115,$D115*$F115*MAX(0,ROUNDDOWN((AmortismanRaporTarihi-$C115)/365,0))))</f>
        <v/>
      </c>
      <c r="H115" s="122">
        <f>IF($D115="",0,MAX(0,$D115-$G115))</f>
        <v/>
      </c>
      <c r="I115" s="122">
        <f>IF($B115="","",CONCATENATE("Örnek kıymet: ",$B115))</f>
        <v/>
      </c>
    </row>
    <row r="116" ht="15" customHeight="1" s="77">
      <c r="G116" s="122">
        <f>IF($D116="",0,MIN($D116,$D116*$F116*MAX(0,ROUNDDOWN((AmortismanRaporTarihi-$C116)/365,0))))</f>
        <v/>
      </c>
      <c r="H116" s="122">
        <f>IF($D116="",0,MAX(0,$D116-$G116))</f>
        <v/>
      </c>
      <c r="I116" s="122">
        <f>IF($B116="","",CONCATENATE("Örnek kıymet: ",$B116))</f>
        <v/>
      </c>
    </row>
    <row r="117" ht="15" customHeight="1" s="77">
      <c r="G117" s="122">
        <f>IF($D117="",0,MIN($D117,$D117*$F117*MAX(0,ROUNDDOWN((AmortismanRaporTarihi-$C117)/365,0))))</f>
        <v/>
      </c>
      <c r="H117" s="122">
        <f>IF($D117="",0,MAX(0,$D117-$G117))</f>
        <v/>
      </c>
      <c r="I117" s="122">
        <f>IF($B117="","",CONCATENATE("Örnek kıymet: ",$B117))</f>
        <v/>
      </c>
    </row>
    <row r="118" ht="15" customHeight="1" s="77">
      <c r="G118" s="122">
        <f>IF($D118="",0,MIN($D118,$D118*$F118*MAX(0,ROUNDDOWN((AmortismanRaporTarihi-$C118)/365,0))))</f>
        <v/>
      </c>
      <c r="H118" s="122">
        <f>IF($D118="",0,MAX(0,$D118-$G118))</f>
        <v/>
      </c>
      <c r="I118" s="122">
        <f>IF($B118="","",CONCATENATE("Örnek kıymet: ",$B118))</f>
        <v/>
      </c>
    </row>
    <row r="119" ht="15" customHeight="1" s="77">
      <c r="G119" s="122">
        <f>IF($D119="",0,MIN($D119,$D119*$F119*MAX(0,ROUNDDOWN((AmortismanRaporTarihi-$C119)/365,0))))</f>
        <v/>
      </c>
      <c r="H119" s="122">
        <f>IF($D119="",0,MAX(0,$D119-$G119))</f>
        <v/>
      </c>
      <c r="I119" s="122">
        <f>IF($B119="","",CONCATENATE("Örnek kıymet: ",$B119))</f>
        <v/>
      </c>
    </row>
    <row r="120" ht="15" customHeight="1" s="77">
      <c r="G120" s="122">
        <f>IF($D120="",0,MIN($D120,$D120*$F120*MAX(0,ROUNDDOWN((AmortismanRaporTarihi-$C120)/365,0))))</f>
        <v/>
      </c>
      <c r="H120" s="122">
        <f>IF($D120="",0,MAX(0,$D120-$G120))</f>
        <v/>
      </c>
      <c r="I120" s="122">
        <f>IF($B120="","",CONCATENATE("Örnek kıymet: ",$B120))</f>
        <v/>
      </c>
    </row>
    <row r="121" ht="15" customHeight="1" s="77">
      <c r="G121" s="122">
        <f>IF($D121="",0,MIN($D121,$D121*$F121*MAX(0,ROUNDDOWN((AmortismanRaporTarihi-$C121)/365,0))))</f>
        <v/>
      </c>
      <c r="H121" s="122">
        <f>IF($D121="",0,MAX(0,$D121-$G121))</f>
        <v/>
      </c>
      <c r="I121" s="122">
        <f>IF($B121="","",CONCATENATE("Örnek kıymet: ",$B121))</f>
        <v/>
      </c>
    </row>
    <row r="122" ht="15" customHeight="1" s="77">
      <c r="G122" s="122">
        <f>IF($D122="",0,MIN($D122,$D122*$F122*MAX(0,ROUNDDOWN((AmortismanRaporTarihi-$C122)/365,0))))</f>
        <v/>
      </c>
      <c r="H122" s="122">
        <f>IF($D122="",0,MAX(0,$D122-$G122))</f>
        <v/>
      </c>
      <c r="I122" s="122">
        <f>IF($B122="","",CONCATENATE("Örnek kıymet: ",$B122))</f>
        <v/>
      </c>
    </row>
    <row r="123" ht="15" customHeight="1" s="77">
      <c r="G123" s="122">
        <f>IF($D123="",0,MIN($D123,$D123*$F123*MAX(0,ROUNDDOWN((AmortismanRaporTarihi-$C123)/365,0))))</f>
        <v/>
      </c>
      <c r="H123" s="122">
        <f>IF($D123="",0,MAX(0,$D123-$G123))</f>
        <v/>
      </c>
      <c r="I123" s="122">
        <f>IF($B123="","",CONCATENATE("Örnek kıymet: ",$B123))</f>
        <v/>
      </c>
    </row>
    <row r="124" ht="15" customHeight="1" s="77">
      <c r="G124" s="122">
        <f>IF($D124="",0,MIN($D124,$D124*$F124*MAX(0,ROUNDDOWN((AmortismanRaporTarihi-$C124)/365,0))))</f>
        <v/>
      </c>
      <c r="H124" s="122">
        <f>IF($D124="",0,MAX(0,$D124-$G124))</f>
        <v/>
      </c>
      <c r="I124" s="122">
        <f>IF($B124="","",CONCATENATE("Örnek kıymet: ",$B124))</f>
        <v/>
      </c>
    </row>
    <row r="125" ht="15" customHeight="1" s="77">
      <c r="G125" s="122">
        <f>IF($D125="",0,MIN($D125,$D125*$F125*MAX(0,ROUNDDOWN((AmortismanRaporTarihi-$C125)/365,0))))</f>
        <v/>
      </c>
      <c r="H125" s="122">
        <f>IF($D125="",0,MAX(0,$D125-$G125))</f>
        <v/>
      </c>
      <c r="I125" s="122">
        <f>IF($B125="","",CONCATENATE("Örnek kıymet: ",$B125))</f>
        <v/>
      </c>
    </row>
    <row r="126" ht="15" customHeight="1" s="77">
      <c r="G126" s="122">
        <f>IF($D126="",0,MIN($D126,$D126*$F126*MAX(0,ROUNDDOWN((AmortismanRaporTarihi-$C126)/365,0))))</f>
        <v/>
      </c>
      <c r="H126" s="122">
        <f>IF($D126="",0,MAX(0,$D126-$G126))</f>
        <v/>
      </c>
      <c r="I126" s="122">
        <f>IF($B126="","",CONCATENATE("Örnek kıymet: ",$B126))</f>
        <v/>
      </c>
    </row>
    <row r="127" ht="15" customHeight="1" s="77">
      <c r="G127" s="122">
        <f>IF($D127="",0,MIN($D127,$D127*$F127*MAX(0,ROUNDDOWN((AmortismanRaporTarihi-$C127)/365,0))))</f>
        <v/>
      </c>
      <c r="H127" s="122">
        <f>IF($D127="",0,MAX(0,$D127-$G127))</f>
        <v/>
      </c>
      <c r="I127" s="122">
        <f>IF($B127="","",CONCATENATE("Örnek kıymet: ",$B127))</f>
        <v/>
      </c>
    </row>
    <row r="128" ht="15" customHeight="1" s="77">
      <c r="G128" s="122">
        <f>IF($D128="",0,MIN($D128,$D128*$F128*MAX(0,ROUNDDOWN((AmortismanRaporTarihi-$C128)/365,0))))</f>
        <v/>
      </c>
      <c r="H128" s="122">
        <f>IF($D128="",0,MAX(0,$D128-$G128))</f>
        <v/>
      </c>
      <c r="I128" s="122">
        <f>IF($B128="","",CONCATENATE("Örnek kıymet: ",$B128))</f>
        <v/>
      </c>
    </row>
    <row r="129" ht="15" customHeight="1" s="77">
      <c r="G129" s="122">
        <f>IF($D129="",0,MIN($D129,$D129*$F129*MAX(0,ROUNDDOWN((AmortismanRaporTarihi-$C129)/365,0))))</f>
        <v/>
      </c>
      <c r="H129" s="122">
        <f>IF($D129="",0,MAX(0,$D129-$G129))</f>
        <v/>
      </c>
      <c r="I129" s="122">
        <f>IF($B129="","",CONCATENATE("Örnek kıymet: ",$B129))</f>
        <v/>
      </c>
    </row>
    <row r="130" ht="15" customHeight="1" s="77">
      <c r="G130" s="122">
        <f>IF($D130="",0,MIN($D130,$D130*$F130*MAX(0,ROUNDDOWN((AmortismanRaporTarihi-$C130)/365,0))))</f>
        <v/>
      </c>
      <c r="H130" s="122">
        <f>IF($D130="",0,MAX(0,$D130-$G130))</f>
        <v/>
      </c>
      <c r="I130" s="122">
        <f>IF($B130="","",CONCATENATE("Örnek kıymet: ",$B130))</f>
        <v/>
      </c>
    </row>
    <row r="131" ht="15" customHeight="1" s="77">
      <c r="G131" s="122">
        <f>IF($D131="",0,MIN($D131,$D131*$F131*MAX(0,ROUNDDOWN((AmortismanRaporTarihi-$C131)/365,0))))</f>
        <v/>
      </c>
      <c r="H131" s="122">
        <f>IF($D131="",0,MAX(0,$D131-$G131))</f>
        <v/>
      </c>
      <c r="I131" s="122">
        <f>IF($B131="","",CONCATENATE("Örnek kıymet: ",$B131))</f>
        <v/>
      </c>
    </row>
    <row r="132" ht="15" customHeight="1" s="77">
      <c r="G132" s="122">
        <f>IF($D132="",0,MIN($D132,$D132*$F132*MAX(0,ROUNDDOWN((AmortismanRaporTarihi-$C132)/365,0))))</f>
        <v/>
      </c>
      <c r="H132" s="122">
        <f>IF($D132="",0,MAX(0,$D132-$G132))</f>
        <v/>
      </c>
      <c r="I132" s="122">
        <f>IF($B132="","",CONCATENATE("Örnek kıymet: ",$B132))</f>
        <v/>
      </c>
    </row>
    <row r="133" ht="15" customHeight="1" s="77">
      <c r="G133" s="122">
        <f>IF($D133="",0,MIN($D133,$D133*$F133*MAX(0,ROUNDDOWN((AmortismanRaporTarihi-$C133)/365,0))))</f>
        <v/>
      </c>
      <c r="H133" s="122">
        <f>IF($D133="",0,MAX(0,$D133-$G133))</f>
        <v/>
      </c>
      <c r="I133" s="122">
        <f>IF($B133="","",CONCATENATE("Örnek kıymet: ",$B133))</f>
        <v/>
      </c>
    </row>
    <row r="134" ht="15" customHeight="1" s="77">
      <c r="G134" s="122">
        <f>IF($D134="",0,MIN($D134,$D134*$F134*MAX(0,ROUNDDOWN((AmortismanRaporTarihi-$C134)/365,0))))</f>
        <v/>
      </c>
      <c r="H134" s="122">
        <f>IF($D134="",0,MAX(0,$D134-$G134))</f>
        <v/>
      </c>
      <c r="I134" s="122">
        <f>IF($B134="","",CONCATENATE("Örnek kıymet: ",$B134))</f>
        <v/>
      </c>
    </row>
    <row r="135" ht="15" customHeight="1" s="77">
      <c r="G135" s="122">
        <f>IF($D135="",0,MIN($D135,$D135*$F135*MAX(0,ROUNDDOWN((AmortismanRaporTarihi-$C135)/365,0))))</f>
        <v/>
      </c>
      <c r="H135" s="122">
        <f>IF($D135="",0,MAX(0,$D135-$G135))</f>
        <v/>
      </c>
      <c r="I135" s="122">
        <f>IF($B135="","",CONCATENATE("Örnek kıymet: ",$B135))</f>
        <v/>
      </c>
    </row>
    <row r="136" ht="15" customHeight="1" s="77">
      <c r="G136" s="122">
        <f>IF($D136="",0,MIN($D136,$D136*$F136*MAX(0,ROUNDDOWN((AmortismanRaporTarihi-$C136)/365,0))))</f>
        <v/>
      </c>
      <c r="H136" s="122">
        <f>IF($D136="",0,MAX(0,$D136-$G136))</f>
        <v/>
      </c>
      <c r="I136" s="122">
        <f>IF($B136="","",CONCATENATE("Örnek kıymet: ",$B136))</f>
        <v/>
      </c>
    </row>
    <row r="137" ht="15" customHeight="1" s="77">
      <c r="G137" s="122">
        <f>IF($D137="",0,MIN($D137,$D137*$F137*MAX(0,ROUNDDOWN((AmortismanRaporTarihi-$C137)/365,0))))</f>
        <v/>
      </c>
      <c r="H137" s="122">
        <f>IF($D137="",0,MAX(0,$D137-$G137))</f>
        <v/>
      </c>
      <c r="I137" s="122">
        <f>IF($B137="","",CONCATENATE("Örnek kıymet: ",$B137))</f>
        <v/>
      </c>
    </row>
    <row r="138" ht="15" customHeight="1" s="77">
      <c r="G138" s="122">
        <f>IF($D138="",0,MIN($D138,$D138*$F138*MAX(0,ROUNDDOWN((AmortismanRaporTarihi-$C138)/365,0))))</f>
        <v/>
      </c>
      <c r="H138" s="122">
        <f>IF($D138="",0,MAX(0,$D138-$G138))</f>
        <v/>
      </c>
      <c r="I138" s="122">
        <f>IF($B138="","",CONCATENATE("Örnek kıymet: ",$B138))</f>
        <v/>
      </c>
    </row>
    <row r="139" ht="15" customHeight="1" s="77">
      <c r="G139" s="122">
        <f>IF($D139="",0,MIN($D139,$D139*$F139*MAX(0,ROUNDDOWN((AmortismanRaporTarihi-$C139)/365,0))))</f>
        <v/>
      </c>
      <c r="H139" s="122">
        <f>IF($D139="",0,MAX(0,$D139-$G139))</f>
        <v/>
      </c>
      <c r="I139" s="122">
        <f>IF($B139="","",CONCATENATE("Örnek kıymet: ",$B139))</f>
        <v/>
      </c>
    </row>
    <row r="140" ht="15" customHeight="1" s="77">
      <c r="G140" s="122">
        <f>IF($D140="",0,MIN($D140,$D140*$F140*MAX(0,ROUNDDOWN((AmortismanRaporTarihi-$C140)/365,0))))</f>
        <v/>
      </c>
      <c r="H140" s="122">
        <f>IF($D140="",0,MAX(0,$D140-$G140))</f>
        <v/>
      </c>
      <c r="I140" s="122">
        <f>IF($B140="","",CONCATENATE("Örnek kıymet: ",$B140))</f>
        <v/>
      </c>
    </row>
    <row r="141" ht="15" customHeight="1" s="77">
      <c r="G141" s="122">
        <f>IF($D141="",0,MIN($D141,$D141*$F141*MAX(0,ROUNDDOWN((AmortismanRaporTarihi-$C141)/365,0))))</f>
        <v/>
      </c>
      <c r="H141" s="122">
        <f>IF($D141="",0,MAX(0,$D141-$G141))</f>
        <v/>
      </c>
      <c r="I141" s="122">
        <f>IF($B141="","",CONCATENATE("Örnek kıymet: ",$B141))</f>
        <v/>
      </c>
    </row>
    <row r="142" ht="15" customHeight="1" s="77">
      <c r="G142" s="122">
        <f>IF($D142="",0,MIN($D142,$D142*$F142*MAX(0,ROUNDDOWN((AmortismanRaporTarihi-$C142)/365,0))))</f>
        <v/>
      </c>
      <c r="H142" s="122">
        <f>IF($D142="",0,MAX(0,$D142-$G142))</f>
        <v/>
      </c>
      <c r="I142" s="122">
        <f>IF($B142="","",CONCATENATE("Örnek kıymet: ",$B142))</f>
        <v/>
      </c>
    </row>
    <row r="143" ht="15" customHeight="1" s="77">
      <c r="G143" s="122">
        <f>IF($D143="",0,MIN($D143,$D143*$F143*MAX(0,ROUNDDOWN((AmortismanRaporTarihi-$C143)/365,0))))</f>
        <v/>
      </c>
      <c r="H143" s="122">
        <f>IF($D143="",0,MAX(0,$D143-$G143))</f>
        <v/>
      </c>
      <c r="I143" s="122">
        <f>IF($B143="","",CONCATENATE("Örnek kıymet: ",$B143))</f>
        <v/>
      </c>
    </row>
    <row r="144" ht="15" customHeight="1" s="77">
      <c r="G144" s="122">
        <f>IF($D144="",0,MIN($D144,$D144*$F144*MAX(0,ROUNDDOWN((AmortismanRaporTarihi-$C144)/365,0))))</f>
        <v/>
      </c>
      <c r="H144" s="122">
        <f>IF($D144="",0,MAX(0,$D144-$G144))</f>
        <v/>
      </c>
      <c r="I144" s="122">
        <f>IF($B144="","",CONCATENATE("Örnek kıymet: ",$B144))</f>
        <v/>
      </c>
    </row>
    <row r="145" ht="15" customHeight="1" s="77">
      <c r="G145" s="122">
        <f>IF($D145="",0,MIN($D145,$D145*$F145*MAX(0,ROUNDDOWN((AmortismanRaporTarihi-$C145)/365,0))))</f>
        <v/>
      </c>
      <c r="H145" s="122">
        <f>IF($D145="",0,MAX(0,$D145-$G145))</f>
        <v/>
      </c>
      <c r="I145" s="122">
        <f>IF($B145="","",CONCATENATE("Örnek kıymet: ",$B145))</f>
        <v/>
      </c>
    </row>
    <row r="146" ht="15" customHeight="1" s="77">
      <c r="G146" s="122">
        <f>IF($D146="",0,MIN($D146,$D146*$F146*MAX(0,ROUNDDOWN((AmortismanRaporTarihi-$C146)/365,0))))</f>
        <v/>
      </c>
      <c r="H146" s="122">
        <f>IF($D146="",0,MAX(0,$D146-$G146))</f>
        <v/>
      </c>
      <c r="I146" s="122">
        <f>IF($B146="","",CONCATENATE("Örnek kıymet: ",$B146))</f>
        <v/>
      </c>
    </row>
    <row r="147" ht="15" customHeight="1" s="77">
      <c r="G147" s="122">
        <f>IF($D147="",0,MIN($D147,$D147*$F147*MAX(0,ROUNDDOWN((AmortismanRaporTarihi-$C147)/365,0))))</f>
        <v/>
      </c>
      <c r="H147" s="122">
        <f>IF($D147="",0,MAX(0,$D147-$G147))</f>
        <v/>
      </c>
      <c r="I147" s="122">
        <f>IF($B147="","",CONCATENATE("Örnek kıymet: ",$B147))</f>
        <v/>
      </c>
    </row>
    <row r="148" ht="15" customHeight="1" s="77">
      <c r="G148" s="122">
        <f>IF($D148="",0,MIN($D148,$D148*$F148*MAX(0,ROUNDDOWN((AmortismanRaporTarihi-$C148)/365,0))))</f>
        <v/>
      </c>
      <c r="H148" s="122">
        <f>IF($D148="",0,MAX(0,$D148-$G148))</f>
        <v/>
      </c>
      <c r="I148" s="122">
        <f>IF($B148="","",CONCATENATE("Örnek kıymet: ",$B148))</f>
        <v/>
      </c>
    </row>
    <row r="149" ht="15" customHeight="1" s="77">
      <c r="G149" s="122">
        <f>IF($D149="",0,MIN($D149,$D149*$F149*MAX(0,ROUNDDOWN((AmortismanRaporTarihi-$C149)/365,0))))</f>
        <v/>
      </c>
      <c r="H149" s="122">
        <f>IF($D149="",0,MAX(0,$D149-$G149))</f>
        <v/>
      </c>
      <c r="I149" s="122">
        <f>IF($B149="","",CONCATENATE("Örnek kıymet: ",$B149))</f>
        <v/>
      </c>
    </row>
    <row r="150" ht="15" customHeight="1" s="77">
      <c r="G150" s="122">
        <f>IF($D150="",0,MIN($D150,$D150*$F150*MAX(0,ROUNDDOWN((AmortismanRaporTarihi-$C150)/365,0))))</f>
        <v/>
      </c>
      <c r="H150" s="122">
        <f>IF($D150="",0,MAX(0,$D150-$G150))</f>
        <v/>
      </c>
      <c r="I150" s="122">
        <f>IF($B150="","",CONCATENATE("Örnek kıymet: ",$B150))</f>
        <v/>
      </c>
    </row>
    <row r="151" ht="15" customHeight="1" s="77">
      <c r="G151" s="122">
        <f>IF($D151="",0,MIN($D151,$D151*$F151*MAX(0,ROUNDDOWN((AmortismanRaporTarihi-$C151)/365,0))))</f>
        <v/>
      </c>
      <c r="H151" s="122">
        <f>IF($D151="",0,MAX(0,$D151-$G151))</f>
        <v/>
      </c>
      <c r="I151" s="122">
        <f>IF($B151="","",CONCATENATE("Örnek kıymet: ",$B151))</f>
        <v/>
      </c>
    </row>
    <row r="152" ht="15" customHeight="1" s="77">
      <c r="G152" s="122">
        <f>IF($D152="",0,MIN($D152,$D152*$F152*MAX(0,ROUNDDOWN((AmortismanRaporTarihi-$C152)/365,0))))</f>
        <v/>
      </c>
      <c r="H152" s="122">
        <f>IF($D152="",0,MAX(0,$D152-$G152))</f>
        <v/>
      </c>
      <c r="I152" s="122">
        <f>IF($B152="","",CONCATENATE("Örnek kıymet: ",$B152))</f>
        <v/>
      </c>
    </row>
    <row r="153" ht="15" customHeight="1" s="77">
      <c r="G153" s="122">
        <f>IF($D153="",0,MIN($D153,$D153*$F153*MAX(0,ROUNDDOWN((AmortismanRaporTarihi-$C153)/365,0))))</f>
        <v/>
      </c>
      <c r="H153" s="122">
        <f>IF($D153="",0,MAX(0,$D153-$G153))</f>
        <v/>
      </c>
      <c r="I153" s="122">
        <f>IF($B153="","",CONCATENATE("Örnek kıymet: ",$B153))</f>
        <v/>
      </c>
    </row>
    <row r="154" ht="15" customHeight="1" s="77">
      <c r="G154" s="122">
        <f>IF($D154="",0,MIN($D154,$D154*$F154*MAX(0,ROUNDDOWN((AmortismanRaporTarihi-$C154)/365,0))))</f>
        <v/>
      </c>
      <c r="H154" s="122">
        <f>IF($D154="",0,MAX(0,$D154-$G154))</f>
        <v/>
      </c>
      <c r="I154" s="122">
        <f>IF($B154="","",CONCATENATE("Örnek kıymet: ",$B154))</f>
        <v/>
      </c>
    </row>
    <row r="155" ht="15" customHeight="1" s="77">
      <c r="G155" s="122">
        <f>IF($D155="",0,MIN($D155,$D155*$F155*MAX(0,ROUNDDOWN((AmortismanRaporTarihi-$C155)/365,0))))</f>
        <v/>
      </c>
      <c r="H155" s="122">
        <f>IF($D155="",0,MAX(0,$D155-$G155))</f>
        <v/>
      </c>
      <c r="I155" s="122">
        <f>IF($B155="","",CONCATENATE("Örnek kıymet: ",$B155))</f>
        <v/>
      </c>
    </row>
    <row r="156" ht="15" customHeight="1" s="77">
      <c r="G156" s="122">
        <f>IF($D156="",0,MIN($D156,$D156*$F156*MAX(0,ROUNDDOWN((AmortismanRaporTarihi-$C156)/365,0))))</f>
        <v/>
      </c>
      <c r="H156" s="122">
        <f>IF($D156="",0,MAX(0,$D156-$G156))</f>
        <v/>
      </c>
      <c r="I156" s="122">
        <f>IF($B156="","",CONCATENATE("Örnek kıymet: ",$B156))</f>
        <v/>
      </c>
    </row>
    <row r="157" ht="15" customHeight="1" s="77">
      <c r="G157" s="122">
        <f>IF($D157="",0,MIN($D157,$D157*$F157*MAX(0,ROUNDDOWN((AmortismanRaporTarihi-$C157)/365,0))))</f>
        <v/>
      </c>
      <c r="H157" s="122">
        <f>IF($D157="",0,MAX(0,$D157-$G157))</f>
        <v/>
      </c>
      <c r="I157" s="122">
        <f>IF($B157="","",CONCATENATE("Örnek kıymet: ",$B157))</f>
        <v/>
      </c>
    </row>
    <row r="158" ht="15" customHeight="1" s="77">
      <c r="G158" s="122">
        <f>IF($D158="",0,MIN($D158,$D158*$F158*MAX(0,ROUNDDOWN((AmortismanRaporTarihi-$C158)/365,0))))</f>
        <v/>
      </c>
      <c r="H158" s="122">
        <f>IF($D158="",0,MAX(0,$D158-$G158))</f>
        <v/>
      </c>
      <c r="I158" s="122">
        <f>IF($B158="","",CONCATENATE("Örnek kıymet: ",$B158))</f>
        <v/>
      </c>
    </row>
    <row r="159" ht="15" customHeight="1" s="77">
      <c r="G159" s="122">
        <f>IF($D159="",0,MIN($D159,$D159*$F159*MAX(0,ROUNDDOWN((AmortismanRaporTarihi-$C159)/365,0))))</f>
        <v/>
      </c>
      <c r="H159" s="122">
        <f>IF($D159="",0,MAX(0,$D159-$G159))</f>
        <v/>
      </c>
      <c r="I159" s="122">
        <f>IF($B159="","",CONCATENATE("Örnek kıymet: ",$B159))</f>
        <v/>
      </c>
    </row>
    <row r="160" ht="15" customHeight="1" s="77">
      <c r="G160" s="122">
        <f>IF($D160="",0,MIN($D160,$D160*$F160*MAX(0,ROUNDDOWN((AmortismanRaporTarihi-$C160)/365,0))))</f>
        <v/>
      </c>
      <c r="H160" s="122">
        <f>IF($D160="",0,MAX(0,$D160-$G160))</f>
        <v/>
      </c>
      <c r="I160" s="122">
        <f>IF($B160="","",CONCATENATE("Örnek kıymet: ",$B160))</f>
        <v/>
      </c>
    </row>
    <row r="161" ht="15" customHeight="1" s="77">
      <c r="G161" s="122">
        <f>IF($D161="",0,MIN($D161,$D161*$F161*MAX(0,ROUNDDOWN((AmortismanRaporTarihi-$C161)/365,0))))</f>
        <v/>
      </c>
      <c r="H161" s="122">
        <f>IF($D161="",0,MAX(0,$D161-$G161))</f>
        <v/>
      </c>
      <c r="I161" s="122">
        <f>IF($B161="","",CONCATENATE("Örnek kıymet: ",$B161))</f>
        <v/>
      </c>
    </row>
    <row r="162" ht="15" customHeight="1" s="77">
      <c r="G162" s="122">
        <f>IF($D162="",0,MIN($D162,$D162*$F162*MAX(0,ROUNDDOWN((AmortismanRaporTarihi-$C162)/365,0))))</f>
        <v/>
      </c>
      <c r="H162" s="122">
        <f>IF($D162="",0,MAX(0,$D162-$G162))</f>
        <v/>
      </c>
      <c r="I162" s="122">
        <f>IF($B162="","",CONCATENATE("Örnek kıymet: ",$B162))</f>
        <v/>
      </c>
    </row>
    <row r="163" ht="15" customHeight="1" s="77">
      <c r="G163" s="122">
        <f>IF($D163="",0,MIN($D163,$D163*$F163*MAX(0,ROUNDDOWN((AmortismanRaporTarihi-$C163)/365,0))))</f>
        <v/>
      </c>
      <c r="H163" s="122">
        <f>IF($D163="",0,MAX(0,$D163-$G163))</f>
        <v/>
      </c>
      <c r="I163" s="122">
        <f>IF($B163="","",CONCATENATE("Örnek kıymet: ",$B163))</f>
        <v/>
      </c>
    </row>
    <row r="164" ht="15" customHeight="1" s="77">
      <c r="G164" s="122">
        <f>IF($D164="",0,MIN($D164,$D164*$F164*MAX(0,ROUNDDOWN((AmortismanRaporTarihi-$C164)/365,0))))</f>
        <v/>
      </c>
      <c r="H164" s="122">
        <f>IF($D164="",0,MAX(0,$D164-$G164))</f>
        <v/>
      </c>
      <c r="I164" s="122">
        <f>IF($B164="","",CONCATENATE("Örnek kıymet: ",$B164))</f>
        <v/>
      </c>
    </row>
    <row r="165" ht="15" customHeight="1" s="77">
      <c r="G165" s="122">
        <f>IF($D165="",0,MIN($D165,$D165*$F165*MAX(0,ROUNDDOWN((AmortismanRaporTarihi-$C165)/365,0))))</f>
        <v/>
      </c>
      <c r="H165" s="122">
        <f>IF($D165="",0,MAX(0,$D165-$G165))</f>
        <v/>
      </c>
      <c r="I165" s="122">
        <f>IF($B165="","",CONCATENATE("Örnek kıymet: ",$B165))</f>
        <v/>
      </c>
    </row>
    <row r="166" ht="15" customHeight="1" s="77">
      <c r="G166" s="122">
        <f>IF($D166="",0,MIN($D166,$D166*$F166*MAX(0,ROUNDDOWN((AmortismanRaporTarihi-$C166)/365,0))))</f>
        <v/>
      </c>
      <c r="H166" s="122">
        <f>IF($D166="",0,MAX(0,$D166-$G166))</f>
        <v/>
      </c>
      <c r="I166" s="122">
        <f>IF($B166="","",CONCATENATE("Örnek kıymet: ",$B166))</f>
        <v/>
      </c>
    </row>
    <row r="167" ht="15" customHeight="1" s="77">
      <c r="G167" s="122">
        <f>IF($D167="",0,MIN($D167,$D167*$F167*MAX(0,ROUNDDOWN((AmortismanRaporTarihi-$C167)/365,0))))</f>
        <v/>
      </c>
      <c r="H167" s="122">
        <f>IF($D167="",0,MAX(0,$D167-$G167))</f>
        <v/>
      </c>
      <c r="I167" s="122">
        <f>IF($B167="","",CONCATENATE("Örnek kıymet: ",$B167))</f>
        <v/>
      </c>
    </row>
    <row r="168" ht="15" customHeight="1" s="77">
      <c r="G168" s="122">
        <f>IF($D168="",0,MIN($D168,$D168*$F168*MAX(0,ROUNDDOWN((AmortismanRaporTarihi-$C168)/365,0))))</f>
        <v/>
      </c>
      <c r="H168" s="122">
        <f>IF($D168="",0,MAX(0,$D168-$G168))</f>
        <v/>
      </c>
      <c r="I168" s="122">
        <f>IF($B168="","",CONCATENATE("Örnek kıymet: ",$B168))</f>
        <v/>
      </c>
    </row>
    <row r="169" ht="15" customHeight="1" s="77">
      <c r="G169" s="122">
        <f>IF($D169="",0,MIN($D169,$D169*$F169*MAX(0,ROUNDDOWN((AmortismanRaporTarihi-$C169)/365,0))))</f>
        <v/>
      </c>
      <c r="H169" s="122">
        <f>IF($D169="",0,MAX(0,$D169-$G169))</f>
        <v/>
      </c>
      <c r="I169" s="122">
        <f>IF($B169="","",CONCATENATE("Örnek kıymet: ",$B169))</f>
        <v/>
      </c>
    </row>
    <row r="170" ht="15" customHeight="1" s="77">
      <c r="G170" s="122">
        <f>IF($D170="",0,MIN($D170,$D170*$F170*MAX(0,ROUNDDOWN((AmortismanRaporTarihi-$C170)/365,0))))</f>
        <v/>
      </c>
      <c r="H170" s="122">
        <f>IF($D170="",0,MAX(0,$D170-$G170))</f>
        <v/>
      </c>
      <c r="I170" s="122">
        <f>IF($B170="","",CONCATENATE("Örnek kıymet: ",$B170))</f>
        <v/>
      </c>
    </row>
    <row r="171" ht="15" customHeight="1" s="77">
      <c r="G171" s="122">
        <f>IF($D171="",0,MIN($D171,$D171*$F171*MAX(0,ROUNDDOWN((AmortismanRaporTarihi-$C171)/365,0))))</f>
        <v/>
      </c>
      <c r="H171" s="122">
        <f>IF($D171="",0,MAX(0,$D171-$G171))</f>
        <v/>
      </c>
      <c r="I171" s="122">
        <f>IF($B171="","",CONCATENATE("Örnek kıymet: ",$B171))</f>
        <v/>
      </c>
    </row>
    <row r="172" ht="15" customHeight="1" s="77">
      <c r="G172" s="122">
        <f>IF($D172="",0,MIN($D172,$D172*$F172*MAX(0,ROUNDDOWN((AmortismanRaporTarihi-$C172)/365,0))))</f>
        <v/>
      </c>
      <c r="H172" s="122">
        <f>IF($D172="",0,MAX(0,$D172-$G172))</f>
        <v/>
      </c>
      <c r="I172" s="122">
        <f>IF($B172="","",CONCATENATE("Örnek kıymet: ",$B172))</f>
        <v/>
      </c>
    </row>
    <row r="173" ht="15" customHeight="1" s="77">
      <c r="G173" s="122">
        <f>IF($D173="",0,MIN($D173,$D173*$F173*MAX(0,ROUNDDOWN((AmortismanRaporTarihi-$C173)/365,0))))</f>
        <v/>
      </c>
      <c r="H173" s="122">
        <f>IF($D173="",0,MAX(0,$D173-$G173))</f>
        <v/>
      </c>
      <c r="I173" s="122">
        <f>IF($B173="","",CONCATENATE("Örnek kıymet: ",$B173))</f>
        <v/>
      </c>
    </row>
    <row r="174" ht="15" customHeight="1" s="77">
      <c r="G174" s="122">
        <f>IF($D174="",0,MIN($D174,$D174*$F174*MAX(0,ROUNDDOWN((AmortismanRaporTarihi-$C174)/365,0))))</f>
        <v/>
      </c>
      <c r="H174" s="122">
        <f>IF($D174="",0,MAX(0,$D174-$G174))</f>
        <v/>
      </c>
      <c r="I174" s="122">
        <f>IF($B174="","",CONCATENATE("Örnek kıymet: ",$B174))</f>
        <v/>
      </c>
    </row>
    <row r="175" ht="15" customHeight="1" s="77">
      <c r="G175" s="122">
        <f>IF($D175="",0,MIN($D175,$D175*$F175*MAX(0,ROUNDDOWN((AmortismanRaporTarihi-$C175)/365,0))))</f>
        <v/>
      </c>
      <c r="H175" s="122">
        <f>IF($D175="",0,MAX(0,$D175-$G175))</f>
        <v/>
      </c>
      <c r="I175" s="122">
        <f>IF($B175="","",CONCATENATE("Örnek kıymet: ",$B175))</f>
        <v/>
      </c>
    </row>
    <row r="176" ht="15" customHeight="1" s="77">
      <c r="G176" s="122">
        <f>IF($D176="",0,MIN($D176,$D176*$F176*MAX(0,ROUNDDOWN((AmortismanRaporTarihi-$C176)/365,0))))</f>
        <v/>
      </c>
      <c r="H176" s="122">
        <f>IF($D176="",0,MAX(0,$D176-$G176))</f>
        <v/>
      </c>
      <c r="I176" s="122">
        <f>IF($B176="","",CONCATENATE("Örnek kıymet: ",$B176))</f>
        <v/>
      </c>
    </row>
    <row r="177" ht="15" customHeight="1" s="77">
      <c r="G177" s="122">
        <f>IF($D177="",0,MIN($D177,$D177*$F177*MAX(0,ROUNDDOWN((AmortismanRaporTarihi-$C177)/365,0))))</f>
        <v/>
      </c>
      <c r="H177" s="122">
        <f>IF($D177="",0,MAX(0,$D177-$G177))</f>
        <v/>
      </c>
      <c r="I177" s="122">
        <f>IF($B177="","",CONCATENATE("Örnek kıymet: ",$B177))</f>
        <v/>
      </c>
    </row>
    <row r="178" ht="15" customHeight="1" s="77">
      <c r="G178" s="122">
        <f>IF($D178="",0,MIN($D178,$D178*$F178*MAX(0,ROUNDDOWN((AmortismanRaporTarihi-$C178)/365,0))))</f>
        <v/>
      </c>
      <c r="H178" s="122">
        <f>IF($D178="",0,MAX(0,$D178-$G178))</f>
        <v/>
      </c>
      <c r="I178" s="122">
        <f>IF($B178="","",CONCATENATE("Örnek kıymet: ",$B178))</f>
        <v/>
      </c>
    </row>
    <row r="179" ht="15" customHeight="1" s="77">
      <c r="G179" s="122">
        <f>IF($D179="",0,MIN($D179,$D179*$F179*MAX(0,ROUNDDOWN((AmortismanRaporTarihi-$C179)/365,0))))</f>
        <v/>
      </c>
      <c r="H179" s="122">
        <f>IF($D179="",0,MAX(0,$D179-$G179))</f>
        <v/>
      </c>
      <c r="I179" s="122">
        <f>IF($B179="","",CONCATENATE("Örnek kıymet: ",$B179))</f>
        <v/>
      </c>
    </row>
    <row r="180" ht="15" customHeight="1" s="77">
      <c r="G180" s="122">
        <f>IF($D180="",0,MIN($D180,$D180*$F180*MAX(0,ROUNDDOWN((AmortismanRaporTarihi-$C180)/365,0))))</f>
        <v/>
      </c>
      <c r="H180" s="122">
        <f>IF($D180="",0,MAX(0,$D180-$G180))</f>
        <v/>
      </c>
      <c r="I180" s="122">
        <f>IF($B180="","",CONCATENATE("Örnek kıymet: ",$B180))</f>
        <v/>
      </c>
    </row>
    <row r="181" ht="15" customHeight="1" s="77">
      <c r="G181" s="122">
        <f>IF($D181="",0,MIN($D181,$D181*$F181*MAX(0,ROUNDDOWN((AmortismanRaporTarihi-$C181)/365,0))))</f>
        <v/>
      </c>
      <c r="H181" s="122">
        <f>IF($D181="",0,MAX(0,$D181-$G181))</f>
        <v/>
      </c>
      <c r="I181" s="122">
        <f>IF($B181="","",CONCATENATE("Örnek kıymet: ",$B181))</f>
        <v/>
      </c>
    </row>
    <row r="182" ht="15" customHeight="1" s="77">
      <c r="G182" s="122">
        <f>IF($D182="",0,MIN($D182,$D182*$F182*MAX(0,ROUNDDOWN((AmortismanRaporTarihi-$C182)/365,0))))</f>
        <v/>
      </c>
      <c r="H182" s="122">
        <f>IF($D182="",0,MAX(0,$D182-$G182))</f>
        <v/>
      </c>
      <c r="I182" s="122">
        <f>IF($B182="","",CONCATENATE("Örnek kıymet: ",$B182))</f>
        <v/>
      </c>
    </row>
    <row r="183" ht="15" customHeight="1" s="77">
      <c r="G183" s="122">
        <f>IF($D183="",0,MIN($D183,$D183*$F183*MAX(0,ROUNDDOWN((AmortismanRaporTarihi-$C183)/365,0))))</f>
        <v/>
      </c>
      <c r="H183" s="122">
        <f>IF($D183="",0,MAX(0,$D183-$G183))</f>
        <v/>
      </c>
      <c r="I183" s="122">
        <f>IF($B183="","",CONCATENATE("Örnek kıymet: ",$B183))</f>
        <v/>
      </c>
    </row>
    <row r="184" ht="15" customHeight="1" s="77">
      <c r="G184" s="122">
        <f>IF($D184="",0,MIN($D184,$D184*$F184*MAX(0,ROUNDDOWN((AmortismanRaporTarihi-$C184)/365,0))))</f>
        <v/>
      </c>
      <c r="H184" s="122">
        <f>IF($D184="",0,MAX(0,$D184-$G184))</f>
        <v/>
      </c>
      <c r="I184" s="122">
        <f>IF($B184="","",CONCATENATE("Örnek kıymet: ",$B184))</f>
        <v/>
      </c>
    </row>
    <row r="185" ht="15" customHeight="1" s="77">
      <c r="G185" s="122">
        <f>IF($D185="",0,MIN($D185,$D185*$F185*MAX(0,ROUNDDOWN((AmortismanRaporTarihi-$C185)/365,0))))</f>
        <v/>
      </c>
      <c r="H185" s="122">
        <f>IF($D185="",0,MAX(0,$D185-$G185))</f>
        <v/>
      </c>
      <c r="I185" s="122">
        <f>IF($B185="","",CONCATENATE("Örnek kıymet: ",$B185))</f>
        <v/>
      </c>
    </row>
    <row r="186" ht="15" customHeight="1" s="77">
      <c r="G186" s="122">
        <f>IF($D186="",0,MIN($D186,$D186*$F186*MAX(0,ROUNDDOWN((AmortismanRaporTarihi-$C186)/365,0))))</f>
        <v/>
      </c>
      <c r="H186" s="122">
        <f>IF($D186="",0,MAX(0,$D186-$G186))</f>
        <v/>
      </c>
      <c r="I186" s="122">
        <f>IF($B186="","",CONCATENATE("Örnek kıymet: ",$B186))</f>
        <v/>
      </c>
    </row>
    <row r="187" ht="15" customHeight="1" s="77">
      <c r="G187" s="122">
        <f>IF($D187="",0,MIN($D187,$D187*$F187*MAX(0,ROUNDDOWN((AmortismanRaporTarihi-$C187)/365,0))))</f>
        <v/>
      </c>
      <c r="H187" s="122">
        <f>IF($D187="",0,MAX(0,$D187-$G187))</f>
        <v/>
      </c>
      <c r="I187" s="122">
        <f>IF($B187="","",CONCATENATE("Örnek kıymet: ",$B187))</f>
        <v/>
      </c>
    </row>
    <row r="188" ht="15" customHeight="1" s="77">
      <c r="G188" s="122">
        <f>IF($D188="",0,MIN($D188,$D188*$F188*MAX(0,ROUNDDOWN((AmortismanRaporTarihi-$C188)/365,0))))</f>
        <v/>
      </c>
      <c r="H188" s="122">
        <f>IF($D188="",0,MAX(0,$D188-$G188))</f>
        <v/>
      </c>
      <c r="I188" s="122">
        <f>IF($B188="","",CONCATENATE("Örnek kıymet: ",$B188))</f>
        <v/>
      </c>
    </row>
    <row r="189" ht="15" customHeight="1" s="77">
      <c r="G189" s="122">
        <f>IF($D189="",0,MIN($D189,$D189*$F189*MAX(0,ROUNDDOWN((AmortismanRaporTarihi-$C189)/365,0))))</f>
        <v/>
      </c>
      <c r="H189" s="122">
        <f>IF($D189="",0,MAX(0,$D189-$G189))</f>
        <v/>
      </c>
      <c r="I189" s="122">
        <f>IF($B189="","",CONCATENATE("Örnek kıymet: ",$B189))</f>
        <v/>
      </c>
    </row>
    <row r="190" ht="15" customHeight="1" s="77">
      <c r="G190" s="122">
        <f>IF($D190="",0,MIN($D190,$D190*$F190*MAX(0,ROUNDDOWN((AmortismanRaporTarihi-$C190)/365,0))))</f>
        <v/>
      </c>
      <c r="H190" s="122">
        <f>IF($D190="",0,MAX(0,$D190-$G190))</f>
        <v/>
      </c>
      <c r="I190" s="122">
        <f>IF($B190="","",CONCATENATE("Örnek kıymet: ",$B190))</f>
        <v/>
      </c>
    </row>
    <row r="191" ht="15" customHeight="1" s="77">
      <c r="G191" s="122">
        <f>IF($D191="",0,MIN($D191,$D191*$F191*MAX(0,ROUNDDOWN((AmortismanRaporTarihi-$C191)/365,0))))</f>
        <v/>
      </c>
      <c r="H191" s="122">
        <f>IF($D191="",0,MAX(0,$D191-$G191))</f>
        <v/>
      </c>
      <c r="I191" s="122">
        <f>IF($B191="","",CONCATENATE("Örnek kıymet: ",$B191))</f>
        <v/>
      </c>
    </row>
    <row r="192" ht="15" customHeight="1" s="77">
      <c r="G192" s="122">
        <f>IF($D192="",0,MIN($D192,$D192*$F192*MAX(0,ROUNDDOWN((AmortismanRaporTarihi-$C192)/365,0))))</f>
        <v/>
      </c>
      <c r="H192" s="122">
        <f>IF($D192="",0,MAX(0,$D192-$G192))</f>
        <v/>
      </c>
      <c r="I192" s="122">
        <f>IF($B192="","",CONCATENATE("Örnek kıymet: ",$B192))</f>
        <v/>
      </c>
    </row>
    <row r="193" ht="15" customHeight="1" s="77">
      <c r="G193" s="122">
        <f>IF($D193="",0,MIN($D193,$D193*$F193*MAX(0,ROUNDDOWN((AmortismanRaporTarihi-$C193)/365,0))))</f>
        <v/>
      </c>
      <c r="H193" s="122">
        <f>IF($D193="",0,MAX(0,$D193-$G193))</f>
        <v/>
      </c>
      <c r="I193" s="122">
        <f>IF($B193="","",CONCATENATE("Örnek kıymet: ",$B193))</f>
        <v/>
      </c>
    </row>
    <row r="194" ht="15" customHeight="1" s="77">
      <c r="G194" s="122">
        <f>IF($D194="",0,MIN($D194,$D194*$F194*MAX(0,ROUNDDOWN((AmortismanRaporTarihi-$C194)/365,0))))</f>
        <v/>
      </c>
      <c r="H194" s="122">
        <f>IF($D194="",0,MAX(0,$D194-$G194))</f>
        <v/>
      </c>
      <c r="I194" s="122">
        <f>IF($B194="","",CONCATENATE("Örnek kıymet: ",$B194))</f>
        <v/>
      </c>
    </row>
    <row r="195" ht="15" customHeight="1" s="77">
      <c r="G195" s="122">
        <f>IF($D195="",0,MIN($D195,$D195*$F195*MAX(0,ROUNDDOWN((AmortismanRaporTarihi-$C195)/365,0))))</f>
        <v/>
      </c>
      <c r="H195" s="122">
        <f>IF($D195="",0,MAX(0,$D195-$G195))</f>
        <v/>
      </c>
      <c r="I195" s="122">
        <f>IF($B195="","",CONCATENATE("Örnek kıymet: ",$B195))</f>
        <v/>
      </c>
    </row>
    <row r="196" ht="15" customHeight="1" s="77">
      <c r="G196" s="122">
        <f>IF($D196="",0,MIN($D196,$D196*$F196*MAX(0,ROUNDDOWN((AmortismanRaporTarihi-$C196)/365,0))))</f>
        <v/>
      </c>
      <c r="H196" s="122">
        <f>IF($D196="",0,MAX(0,$D196-$G196))</f>
        <v/>
      </c>
      <c r="I196" s="122">
        <f>IF($B196="","",CONCATENATE("Örnek kıymet: ",$B196))</f>
        <v/>
      </c>
    </row>
    <row r="197" ht="15" customHeight="1" s="77">
      <c r="G197" s="122">
        <f>IF($D197="",0,MIN($D197,$D197*$F197*MAX(0,ROUNDDOWN((AmortismanRaporTarihi-$C197)/365,0))))</f>
        <v/>
      </c>
      <c r="H197" s="122">
        <f>IF($D197="",0,MAX(0,$D197-$G197))</f>
        <v/>
      </c>
      <c r="I197" s="122">
        <f>IF($B197="","",CONCATENATE("Örnek kıymet: ",$B197))</f>
        <v/>
      </c>
    </row>
    <row r="198" ht="15" customHeight="1" s="77">
      <c r="G198" s="122">
        <f>IF($D198="",0,MIN($D198,$D198*$F198*MAX(0,ROUNDDOWN((AmortismanRaporTarihi-$C198)/365,0))))</f>
        <v/>
      </c>
      <c r="H198" s="122">
        <f>IF($D198="",0,MAX(0,$D198-$G198))</f>
        <v/>
      </c>
      <c r="I198" s="122">
        <f>IF($B198="","",CONCATENATE("Örnek kıymet: ",$B198))</f>
        <v/>
      </c>
    </row>
    <row r="199" ht="15" customHeight="1" s="77">
      <c r="G199" s="122">
        <f>IF($D199="",0,MIN($D199,$D199*$F199*MAX(0,ROUNDDOWN((AmortismanRaporTarihi-$C199)/365,0))))</f>
        <v/>
      </c>
      <c r="H199" s="122">
        <f>IF($D199="",0,MAX(0,$D199-$G199))</f>
        <v/>
      </c>
      <c r="I199" s="122">
        <f>IF($B199="","",CONCATENATE("Örnek kıymet: ",$B199))</f>
        <v/>
      </c>
    </row>
    <row r="200" ht="15" customHeight="1" s="77">
      <c r="G200" s="122">
        <f>IF($D200="",0,MIN($D200,$D200*$F200*MAX(0,ROUNDDOWN((AmortismanRaporTarihi-$C200)/365,0))))</f>
        <v/>
      </c>
      <c r="H200" s="122">
        <f>IF($D200="",0,MAX(0,$D200-$G200))</f>
        <v/>
      </c>
      <c r="I200" s="122">
        <f>IF($B200="","",CONCATENATE("Örnek kıymet: ",$B200))</f>
        <v/>
      </c>
    </row>
    <row r="201" ht="15" customHeight="1" s="77">
      <c r="G201" s="122">
        <f>IF($D201="",0,MIN($D201,$D201*$F201*MAX(0,ROUNDDOWN((AmortismanRaporTarihi-$C201)/365,0))))</f>
        <v/>
      </c>
      <c r="H201" s="122">
        <f>IF($D201="",0,MAX(0,$D201-$G201))</f>
        <v/>
      </c>
      <c r="I201" s="122">
        <f>IF($B201="","",CONCATENATE("Örnek kıymet: ",$B201))</f>
        <v/>
      </c>
    </row>
    <row r="202" ht="15" customHeight="1" s="77">
      <c r="G202" s="122">
        <f>IF($D202="",0,MIN($D202,$D202*$F202*MAX(0,ROUNDDOWN((AmortismanRaporTarihi-$C202)/365,0))))</f>
        <v/>
      </c>
      <c r="H202" s="122">
        <f>IF($D202="",0,MAX(0,$D202-$G202))</f>
        <v/>
      </c>
      <c r="I202" s="122">
        <f>IF($B202="","",CONCATENATE("Örnek kıymet: ",$B202))</f>
        <v/>
      </c>
    </row>
    <row r="203" ht="15" customHeight="1" s="77">
      <c r="G203" s="122">
        <f>IF($D203="",0,MIN($D203,$D203*$F203*MAX(0,ROUNDDOWN((AmortismanRaporTarihi-$C203)/365,0))))</f>
        <v/>
      </c>
      <c r="H203" s="122">
        <f>IF($D203="",0,MAX(0,$D203-$G203))</f>
        <v/>
      </c>
      <c r="I203" s="122">
        <f>IF($B203="","",CONCATENATE("Örnek kıymet: ",$B203))</f>
        <v/>
      </c>
    </row>
    <row r="204" ht="15" customHeight="1" s="77">
      <c r="G204" s="122">
        <f>IF($D204="",0,MIN($D204,$D204*$F204*MAX(0,ROUNDDOWN((AmortismanRaporTarihi-$C204)/365,0))))</f>
        <v/>
      </c>
      <c r="H204" s="122">
        <f>IF($D204="",0,MAX(0,$D204-$G204))</f>
        <v/>
      </c>
      <c r="I204" s="122">
        <f>IF($B204="","",CONCATENATE("Örnek kıymet: ",$B204))</f>
        <v/>
      </c>
    </row>
    <row r="205" ht="15" customHeight="1" s="77">
      <c r="G205" s="122">
        <f>IF($D205="",0,MIN($D205,$D205*$F205*MAX(0,ROUNDDOWN((AmortismanRaporTarihi-$C205)/365,0))))</f>
        <v/>
      </c>
      <c r="H205" s="122">
        <f>IF($D205="",0,MAX(0,$D205-$G205))</f>
        <v/>
      </c>
      <c r="I205" s="122">
        <f>IF($B205="","",CONCATENATE("Örnek kıymet: ",$B205))</f>
        <v/>
      </c>
    </row>
    <row r="206" ht="15" customHeight="1" s="77">
      <c r="G206" s="122">
        <f>IF($D206="",0,MIN($D206,$D206*$F206*MAX(0,ROUNDDOWN((AmortismanRaporTarihi-$C206)/365,0))))</f>
        <v/>
      </c>
      <c r="H206" s="122">
        <f>IF($D206="",0,MAX(0,$D206-$G206))</f>
        <v/>
      </c>
      <c r="I206" s="122">
        <f>IF($B206="","",CONCATENATE("Örnek kıymet: ",$B206))</f>
        <v/>
      </c>
    </row>
    <row r="207" ht="15" customHeight="1" s="77">
      <c r="G207" s="122">
        <f>IF($D207="",0,MIN($D207,$D207*$F207*MAX(0,ROUNDDOWN((AmortismanRaporTarihi-$C207)/365,0))))</f>
        <v/>
      </c>
      <c r="H207" s="122">
        <f>IF($D207="",0,MAX(0,$D207-$G207))</f>
        <v/>
      </c>
      <c r="I207" s="122">
        <f>IF($B207="","",CONCATENATE("Örnek kıymet: ",$B207))</f>
        <v/>
      </c>
    </row>
    <row r="208" ht="15" customHeight="1" s="77">
      <c r="G208" s="122">
        <f>IF($D208="",0,MIN($D208,$D208*$F208*MAX(0,ROUNDDOWN((AmortismanRaporTarihi-$C208)/365,0))))</f>
        <v/>
      </c>
      <c r="H208" s="122">
        <f>IF($D208="",0,MAX(0,$D208-$G208))</f>
        <v/>
      </c>
      <c r="I208" s="122">
        <f>IF($B208="","",CONCATENATE("Örnek kıymet: ",$B208))</f>
        <v/>
      </c>
    </row>
    <row r="209" ht="15" customHeight="1" s="77">
      <c r="G209" s="122">
        <f>IF($D209="",0,MIN($D209,$D209*$F209*MAX(0,ROUNDDOWN((AmortismanRaporTarihi-$C209)/365,0))))</f>
        <v/>
      </c>
      <c r="H209" s="122">
        <f>IF($D209="",0,MAX(0,$D209-$G209))</f>
        <v/>
      </c>
      <c r="I209" s="122">
        <f>IF($B209="","",CONCATENATE("Örnek kıymet: ",$B209))</f>
        <v/>
      </c>
    </row>
    <row r="210" ht="15" customHeight="1" s="77">
      <c r="G210" s="122">
        <f>IF($D210="",0,MIN($D210,$D210*$F210*MAX(0,ROUNDDOWN((AmortismanRaporTarihi-$C210)/365,0))))</f>
        <v/>
      </c>
      <c r="H210" s="122">
        <f>IF($D210="",0,MAX(0,$D210-$G210))</f>
        <v/>
      </c>
      <c r="I210" s="122">
        <f>IF($B210="","",CONCATENATE("Örnek kıymet: ",$B210))</f>
        <v/>
      </c>
    </row>
    <row r="211" ht="15" customHeight="1" s="77">
      <c r="G211" s="122">
        <f>IF($D211="",0,MIN($D211,$D211*$F211*MAX(0,ROUNDDOWN((AmortismanRaporTarihi-$C211)/365,0))))</f>
        <v/>
      </c>
      <c r="H211" s="122">
        <f>IF($D211="",0,MAX(0,$D211-$G211))</f>
        <v/>
      </c>
      <c r="I211" s="122">
        <f>IF($B211="","",CONCATENATE("Örnek kıymet: ",$B211))</f>
        <v/>
      </c>
    </row>
    <row r="212" ht="15" customHeight="1" s="77">
      <c r="G212" s="122">
        <f>IF($D212="",0,MIN($D212,$D212*$F212*MAX(0,ROUNDDOWN((AmortismanRaporTarihi-$C212)/365,0))))</f>
        <v/>
      </c>
      <c r="H212" s="122">
        <f>IF($D212="",0,MAX(0,$D212-$G212))</f>
        <v/>
      </c>
      <c r="I212" s="122">
        <f>IF($B212="","",CONCATENATE("Örnek kıymet: ",$B212))</f>
        <v/>
      </c>
    </row>
    <row r="213" ht="15" customHeight="1" s="77">
      <c r="G213" s="122">
        <f>IF($D213="",0,MIN($D213,$D213*$F213*MAX(0,ROUNDDOWN((AmortismanRaporTarihi-$C213)/365,0))))</f>
        <v/>
      </c>
      <c r="H213" s="122">
        <f>IF($D213="",0,MAX(0,$D213-$G213))</f>
        <v/>
      </c>
      <c r="I213" s="122">
        <f>IF($B213="","",CONCATENATE("Örnek kıymet: ",$B213))</f>
        <v/>
      </c>
    </row>
    <row r="214" ht="15" customHeight="1" s="77">
      <c r="G214" s="122">
        <f>IF($D214="",0,MIN($D214,$D214*$F214*MAX(0,ROUNDDOWN((AmortismanRaporTarihi-$C214)/365,0))))</f>
        <v/>
      </c>
      <c r="H214" s="122">
        <f>IF($D214="",0,MAX(0,$D214-$G214))</f>
        <v/>
      </c>
      <c r="I214" s="122">
        <f>IF($B214="","",CONCATENATE("Örnek kıymet: ",$B214))</f>
        <v/>
      </c>
    </row>
    <row r="215" ht="15" customHeight="1" s="77">
      <c r="G215" s="122">
        <f>IF($D215="",0,MIN($D215,$D215*$F215*MAX(0,ROUNDDOWN((AmortismanRaporTarihi-$C215)/365,0))))</f>
        <v/>
      </c>
      <c r="H215" s="122">
        <f>IF($D215="",0,MAX(0,$D215-$G215))</f>
        <v/>
      </c>
      <c r="I215" s="122">
        <f>IF($B215="","",CONCATENATE("Örnek kıymet: ",$B215))</f>
        <v/>
      </c>
    </row>
    <row r="216" ht="15" customHeight="1" s="77">
      <c r="G216" s="122">
        <f>IF($D216="",0,MIN($D216,$D216*$F216*MAX(0,ROUNDDOWN((AmortismanRaporTarihi-$C216)/365,0))))</f>
        <v/>
      </c>
      <c r="H216" s="122">
        <f>IF($D216="",0,MAX(0,$D216-$G216))</f>
        <v/>
      </c>
      <c r="I216" s="122">
        <f>IF($B216="","",CONCATENATE("Örnek kıymet: ",$B216))</f>
        <v/>
      </c>
    </row>
    <row r="217" ht="15" customHeight="1" s="77">
      <c r="G217" s="122">
        <f>IF($D217="",0,MIN($D217,$D217*$F217*MAX(0,ROUNDDOWN((AmortismanRaporTarihi-$C217)/365,0))))</f>
        <v/>
      </c>
      <c r="H217" s="122">
        <f>IF($D217="",0,MAX(0,$D217-$G217))</f>
        <v/>
      </c>
      <c r="I217" s="122">
        <f>IF($B217="","",CONCATENATE("Örnek kıymet: ",$B217))</f>
        <v/>
      </c>
    </row>
    <row r="218" ht="15" customHeight="1" s="77">
      <c r="G218" s="122">
        <f>IF($D218="",0,MIN($D218,$D218*$F218*MAX(0,ROUNDDOWN((AmortismanRaporTarihi-$C218)/365,0))))</f>
        <v/>
      </c>
      <c r="H218" s="122">
        <f>IF($D218="",0,MAX(0,$D218-$G218))</f>
        <v/>
      </c>
      <c r="I218" s="122">
        <f>IF($B218="","",CONCATENATE("Örnek kıymet: ",$B218))</f>
        <v/>
      </c>
    </row>
    <row r="219" ht="15" customHeight="1" s="77">
      <c r="G219" s="122">
        <f>IF($D219="",0,MIN($D219,$D219*$F219*MAX(0,ROUNDDOWN((AmortismanRaporTarihi-$C219)/365,0))))</f>
        <v/>
      </c>
      <c r="H219" s="122">
        <f>IF($D219="",0,MAX(0,$D219-$G219))</f>
        <v/>
      </c>
      <c r="I219" s="122">
        <f>IF($B219="","",CONCATENATE("Örnek kıymet: ",$B219))</f>
        <v/>
      </c>
    </row>
    <row r="220" ht="15" customHeight="1" s="77">
      <c r="G220" s="122">
        <f>IF($D220="",0,MIN($D220,$D220*$F220*MAX(0,ROUNDDOWN((AmortismanRaporTarihi-$C220)/365,0))))</f>
        <v/>
      </c>
      <c r="H220" s="122">
        <f>IF($D220="",0,MAX(0,$D220-$G220))</f>
        <v/>
      </c>
      <c r="I220" s="122">
        <f>IF($B220="","",CONCATENATE("Örnek kıymet: ",$B220))</f>
        <v/>
      </c>
    </row>
    <row r="221" ht="15" customHeight="1" s="77">
      <c r="G221" s="122">
        <f>IF($D221="",0,MIN($D221,$D221*$F221*MAX(0,ROUNDDOWN((AmortismanRaporTarihi-$C221)/365,0))))</f>
        <v/>
      </c>
      <c r="H221" s="122">
        <f>IF($D221="",0,MAX(0,$D221-$G221))</f>
        <v/>
      </c>
      <c r="I221" s="122">
        <f>IF($B221="","",CONCATENATE("Örnek kıymet: ",$B221))</f>
        <v/>
      </c>
    </row>
    <row r="222" ht="15" customHeight="1" s="77">
      <c r="G222" s="122">
        <f>IF($D222="",0,MIN($D222,$D222*$F222*MAX(0,ROUNDDOWN((AmortismanRaporTarihi-$C222)/365,0))))</f>
        <v/>
      </c>
      <c r="H222" s="122">
        <f>IF($D222="",0,MAX(0,$D222-$G222))</f>
        <v/>
      </c>
      <c r="I222" s="122">
        <f>IF($B222="","",CONCATENATE("Örnek kıymet: ",$B222))</f>
        <v/>
      </c>
    </row>
    <row r="223" ht="15" customHeight="1" s="77">
      <c r="G223" s="122">
        <f>IF($D223="",0,MIN($D223,$D223*$F223*MAX(0,ROUNDDOWN((AmortismanRaporTarihi-$C223)/365,0))))</f>
        <v/>
      </c>
      <c r="H223" s="122">
        <f>IF($D223="",0,MAX(0,$D223-$G223))</f>
        <v/>
      </c>
      <c r="I223" s="122">
        <f>IF($B223="","",CONCATENATE("Örnek kıymet: ",$B223))</f>
        <v/>
      </c>
    </row>
    <row r="224" ht="15" customHeight="1" s="77">
      <c r="G224" s="122">
        <f>IF($D224="",0,MIN($D224,$D224*$F224*MAX(0,ROUNDDOWN((AmortismanRaporTarihi-$C224)/365,0))))</f>
        <v/>
      </c>
      <c r="H224" s="122">
        <f>IF($D224="",0,MAX(0,$D224-$G224))</f>
        <v/>
      </c>
      <c r="I224" s="122">
        <f>IF($B224="","",CONCATENATE("Örnek kıymet: ",$B224))</f>
        <v/>
      </c>
    </row>
    <row r="225" ht="15" customHeight="1" s="77">
      <c r="G225" s="122">
        <f>IF($D225="",0,MIN($D225,$D225*$F225*MAX(0,ROUNDDOWN((AmortismanRaporTarihi-$C225)/365,0))))</f>
        <v/>
      </c>
      <c r="H225" s="122">
        <f>IF($D225="",0,MAX(0,$D225-$G225))</f>
        <v/>
      </c>
      <c r="I225" s="122">
        <f>IF($B225="","",CONCATENATE("Örnek kıymet: ",$B225))</f>
        <v/>
      </c>
    </row>
    <row r="226" ht="15" customHeight="1" s="77">
      <c r="G226" s="122">
        <f>IF($D226="",0,MIN($D226,$D226*$F226*MAX(0,ROUNDDOWN((AmortismanRaporTarihi-$C226)/365,0))))</f>
        <v/>
      </c>
      <c r="H226" s="122">
        <f>IF($D226="",0,MAX(0,$D226-$G226))</f>
        <v/>
      </c>
      <c r="I226" s="122">
        <f>IF($B226="","",CONCATENATE("Örnek kıymet: ",$B226))</f>
        <v/>
      </c>
    </row>
    <row r="227" ht="15" customHeight="1" s="77">
      <c r="G227" s="122">
        <f>IF($D227="",0,MIN($D227,$D227*$F227*MAX(0,ROUNDDOWN((AmortismanRaporTarihi-$C227)/365,0))))</f>
        <v/>
      </c>
      <c r="H227" s="122">
        <f>IF($D227="",0,MAX(0,$D227-$G227))</f>
        <v/>
      </c>
      <c r="I227" s="122">
        <f>IF($B227="","",CONCATENATE("Örnek kıymet: ",$B227))</f>
        <v/>
      </c>
    </row>
    <row r="228" ht="15" customHeight="1" s="77">
      <c r="G228" s="122">
        <f>IF($D228="",0,MIN($D228,$D228*$F228*MAX(0,ROUNDDOWN((AmortismanRaporTarihi-$C228)/365,0))))</f>
        <v/>
      </c>
      <c r="H228" s="122">
        <f>IF($D228="",0,MAX(0,$D228-$G228))</f>
        <v/>
      </c>
      <c r="I228" s="122">
        <f>IF($B228="","",CONCATENATE("Örnek kıymet: ",$B228))</f>
        <v/>
      </c>
    </row>
    <row r="229" ht="15" customHeight="1" s="77">
      <c r="G229" s="122">
        <f>IF($D229="",0,MIN($D229,$D229*$F229*MAX(0,ROUNDDOWN((AmortismanRaporTarihi-$C229)/365,0))))</f>
        <v/>
      </c>
      <c r="H229" s="122">
        <f>IF($D229="",0,MAX(0,$D229-$G229))</f>
        <v/>
      </c>
      <c r="I229" s="122">
        <f>IF($B229="","",CONCATENATE("Örnek kıymet: ",$B229))</f>
        <v/>
      </c>
    </row>
    <row r="230" ht="15" customHeight="1" s="77">
      <c r="G230" s="122">
        <f>IF($D230="",0,MIN($D230,$D230*$F230*MAX(0,ROUNDDOWN((AmortismanRaporTarihi-$C230)/365,0))))</f>
        <v/>
      </c>
      <c r="H230" s="122">
        <f>IF($D230="",0,MAX(0,$D230-$G230))</f>
        <v/>
      </c>
      <c r="I230" s="122">
        <f>IF($B230="","",CONCATENATE("Örnek kıymet: ",$B230))</f>
        <v/>
      </c>
    </row>
    <row r="231" ht="15" customHeight="1" s="77">
      <c r="G231" s="122">
        <f>IF($D231="",0,MIN($D231,$D231*$F231*MAX(0,ROUNDDOWN((AmortismanRaporTarihi-$C231)/365,0))))</f>
        <v/>
      </c>
      <c r="H231" s="122">
        <f>IF($D231="",0,MAX(0,$D231-$G231))</f>
        <v/>
      </c>
      <c r="I231" s="122">
        <f>IF($B231="","",CONCATENATE("Örnek kıymet: ",$B231))</f>
        <v/>
      </c>
    </row>
    <row r="232" ht="15" customHeight="1" s="77">
      <c r="G232" s="122">
        <f>IF($D232="",0,MIN($D232,$D232*$F232*MAX(0,ROUNDDOWN((AmortismanRaporTarihi-$C232)/365,0))))</f>
        <v/>
      </c>
      <c r="H232" s="122">
        <f>IF($D232="",0,MAX(0,$D232-$G232))</f>
        <v/>
      </c>
      <c r="I232" s="122">
        <f>IF($B232="","",CONCATENATE("Örnek kıymet: ",$B232))</f>
        <v/>
      </c>
    </row>
    <row r="233" ht="15" customHeight="1" s="77">
      <c r="G233" s="122">
        <f>IF($D233="",0,MIN($D233,$D233*$F233*MAX(0,ROUNDDOWN((AmortismanRaporTarihi-$C233)/365,0))))</f>
        <v/>
      </c>
      <c r="H233" s="122">
        <f>IF($D233="",0,MAX(0,$D233-$G233))</f>
        <v/>
      </c>
      <c r="I233" s="122">
        <f>IF($B233="","",CONCATENATE("Örnek kıymet: ",$B233))</f>
        <v/>
      </c>
    </row>
    <row r="234" ht="15" customHeight="1" s="77">
      <c r="G234" s="122">
        <f>IF($D234="",0,MIN($D234,$D234*$F234*MAX(0,ROUNDDOWN((AmortismanRaporTarihi-$C234)/365,0))))</f>
        <v/>
      </c>
      <c r="H234" s="122">
        <f>IF($D234="",0,MAX(0,$D234-$G234))</f>
        <v/>
      </c>
      <c r="I234" s="122">
        <f>IF($B234="","",CONCATENATE("Örnek kıymet: ",$B234))</f>
        <v/>
      </c>
    </row>
    <row r="235" ht="15" customHeight="1" s="77">
      <c r="G235" s="122">
        <f>IF($D235="",0,MIN($D235,$D235*$F235*MAX(0,ROUNDDOWN((AmortismanRaporTarihi-$C235)/365,0))))</f>
        <v/>
      </c>
      <c r="H235" s="122">
        <f>IF($D235="",0,MAX(0,$D235-$G235))</f>
        <v/>
      </c>
      <c r="I235" s="122">
        <f>IF($B235="","",CONCATENATE("Örnek kıymet: ",$B235))</f>
        <v/>
      </c>
    </row>
    <row r="236" ht="15" customHeight="1" s="77">
      <c r="G236" s="122">
        <f>IF($D236="",0,MIN($D236,$D236*$F236*MAX(0,ROUNDDOWN((AmortismanRaporTarihi-$C236)/365,0))))</f>
        <v/>
      </c>
      <c r="H236" s="122">
        <f>IF($D236="",0,MAX(0,$D236-$G236))</f>
        <v/>
      </c>
      <c r="I236" s="122">
        <f>IF($B236="","",CONCATENATE("Örnek kıymet: ",$B236))</f>
        <v/>
      </c>
    </row>
    <row r="237" ht="15" customHeight="1" s="77">
      <c r="G237" s="122">
        <f>IF($D237="",0,MIN($D237,$D237*$F237*MAX(0,ROUNDDOWN((AmortismanRaporTarihi-$C237)/365,0))))</f>
        <v/>
      </c>
      <c r="H237" s="122">
        <f>IF($D237="",0,MAX(0,$D237-$G237))</f>
        <v/>
      </c>
      <c r="I237" s="122">
        <f>IF($B237="","",CONCATENATE("Örnek kıymet: ",$B237))</f>
        <v/>
      </c>
    </row>
    <row r="238" ht="15" customHeight="1" s="77">
      <c r="G238" s="122">
        <f>IF($D238="",0,MIN($D238,$D238*$F238*MAX(0,ROUNDDOWN((AmortismanRaporTarihi-$C238)/365,0))))</f>
        <v/>
      </c>
      <c r="H238" s="122">
        <f>IF($D238="",0,MAX(0,$D238-$G238))</f>
        <v/>
      </c>
      <c r="I238" s="122">
        <f>IF($B238="","",CONCATENATE("Örnek kıymet: ",$B238))</f>
        <v/>
      </c>
    </row>
    <row r="239" ht="15" customHeight="1" s="77">
      <c r="G239" s="122">
        <f>IF($D239="",0,MIN($D239,$D239*$F239*MAX(0,ROUNDDOWN((AmortismanRaporTarihi-$C239)/365,0))))</f>
        <v/>
      </c>
      <c r="H239" s="122">
        <f>IF($D239="",0,MAX(0,$D239-$G239))</f>
        <v/>
      </c>
      <c r="I239" s="122">
        <f>IF($B239="","",CONCATENATE("Örnek kıymet: ",$B239))</f>
        <v/>
      </c>
    </row>
    <row r="240" ht="15" customHeight="1" s="77">
      <c r="G240" s="122">
        <f>IF($D240="",0,MIN($D240,$D240*$F240*MAX(0,ROUNDDOWN((AmortismanRaporTarihi-$C240)/365,0))))</f>
        <v/>
      </c>
      <c r="H240" s="122">
        <f>IF($D240="",0,MAX(0,$D240-$G240))</f>
        <v/>
      </c>
      <c r="I240" s="122">
        <f>IF($B240="","",CONCATENATE("Örnek kıymet: ",$B240))</f>
        <v/>
      </c>
    </row>
    <row r="241" ht="15" customHeight="1" s="77">
      <c r="G241" s="122">
        <f>IF($D241="",0,MIN($D241,$D241*$F241*MAX(0,ROUNDDOWN((AmortismanRaporTarihi-$C241)/365,0))))</f>
        <v/>
      </c>
      <c r="H241" s="122">
        <f>IF($D241="",0,MAX(0,$D241-$G241))</f>
        <v/>
      </c>
      <c r="I241" s="122">
        <f>IF($B241="","",CONCATENATE("Örnek kıymet: ",$B241))</f>
        <v/>
      </c>
    </row>
    <row r="242" ht="15" customHeight="1" s="77">
      <c r="G242" s="122">
        <f>IF($D242="",0,MIN($D242,$D242*$F242*MAX(0,ROUNDDOWN((AmortismanRaporTarihi-$C242)/365,0))))</f>
        <v/>
      </c>
      <c r="H242" s="122">
        <f>IF($D242="",0,MAX(0,$D242-$G242))</f>
        <v/>
      </c>
      <c r="I242" s="122">
        <f>IF($B242="","",CONCATENATE("Örnek kıymet: ",$B242))</f>
        <v/>
      </c>
    </row>
    <row r="243" ht="15" customHeight="1" s="77">
      <c r="G243" s="122">
        <f>IF($D243="",0,MIN($D243,$D243*$F243*MAX(0,ROUNDDOWN((AmortismanRaporTarihi-$C243)/365,0))))</f>
        <v/>
      </c>
      <c r="H243" s="122">
        <f>IF($D243="",0,MAX(0,$D243-$G243))</f>
        <v/>
      </c>
      <c r="I243" s="122">
        <f>IF($B243="","",CONCATENATE("Örnek kıymet: ",$B243))</f>
        <v/>
      </c>
    </row>
    <row r="244" ht="15" customHeight="1" s="77">
      <c r="G244" s="122">
        <f>IF($D244="",0,MIN($D244,$D244*$F244*MAX(0,ROUNDDOWN((AmortismanRaporTarihi-$C244)/365,0))))</f>
        <v/>
      </c>
      <c r="H244" s="122">
        <f>IF($D244="",0,MAX(0,$D244-$G244))</f>
        <v/>
      </c>
      <c r="I244" s="122">
        <f>IF($B244="","",CONCATENATE("Örnek kıymet: ",$B244))</f>
        <v/>
      </c>
    </row>
    <row r="245" ht="15" customHeight="1" s="77">
      <c r="G245" s="122">
        <f>IF($D245="",0,MIN($D245,$D245*$F245*MAX(0,ROUNDDOWN((AmortismanRaporTarihi-$C245)/365,0))))</f>
        <v/>
      </c>
      <c r="H245" s="122">
        <f>IF($D245="",0,MAX(0,$D245-$G245))</f>
        <v/>
      </c>
      <c r="I245" s="122">
        <f>IF($B245="","",CONCATENATE("Örnek kıymet: ",$B245))</f>
        <v/>
      </c>
    </row>
    <row r="246" ht="15" customHeight="1" s="77">
      <c r="G246" s="122">
        <f>IF($D246="",0,MIN($D246,$D246*$F246*MAX(0,ROUNDDOWN((AmortismanRaporTarihi-$C246)/365,0))))</f>
        <v/>
      </c>
      <c r="H246" s="122">
        <f>IF($D246="",0,MAX(0,$D246-$G246))</f>
        <v/>
      </c>
      <c r="I246" s="122">
        <f>IF($B246="","",CONCATENATE("Örnek kıymet: ",$B246))</f>
        <v/>
      </c>
    </row>
    <row r="247" ht="15" customHeight="1" s="77">
      <c r="G247" s="122">
        <f>IF($D247="",0,MIN($D247,$D247*$F247*MAX(0,ROUNDDOWN((AmortismanRaporTarihi-$C247)/365,0))))</f>
        <v/>
      </c>
      <c r="H247" s="122">
        <f>IF($D247="",0,MAX(0,$D247-$G247))</f>
        <v/>
      </c>
      <c r="I247" s="122">
        <f>IF($B247="","",CONCATENATE("Örnek kıymet: ",$B247))</f>
        <v/>
      </c>
    </row>
    <row r="248" ht="15" customHeight="1" s="77">
      <c r="G248" s="122">
        <f>IF($D248="",0,MIN($D248,$D248*$F248*MAX(0,ROUNDDOWN((AmortismanRaporTarihi-$C248)/365,0))))</f>
        <v/>
      </c>
      <c r="H248" s="122">
        <f>IF($D248="",0,MAX(0,$D248-$G248))</f>
        <v/>
      </c>
      <c r="I248" s="122">
        <f>IF($B248="","",CONCATENATE("Örnek kıymet: ",$B248))</f>
        <v/>
      </c>
    </row>
    <row r="249" ht="15" customHeight="1" s="77">
      <c r="G249" s="122">
        <f>IF($D249="",0,MIN($D249,$D249*$F249*MAX(0,ROUNDDOWN((AmortismanRaporTarihi-$C249)/365,0))))</f>
        <v/>
      </c>
      <c r="H249" s="122">
        <f>IF($D249="",0,MAX(0,$D249-$G249))</f>
        <v/>
      </c>
      <c r="I249" s="122">
        <f>IF($B249="","",CONCATENATE("Örnek kıymet: ",$B249))</f>
        <v/>
      </c>
    </row>
    <row r="250" ht="15" customHeight="1" s="77">
      <c r="G250" s="122">
        <f>IF($D250="",0,MIN($D250,$D250*$F250*MAX(0,ROUNDDOWN((AmortismanRaporTarihi-$C250)/365,0))))</f>
        <v/>
      </c>
      <c r="H250" s="122">
        <f>IF($D250="",0,MAX(0,$D250-$G250))</f>
        <v/>
      </c>
      <c r="I250" s="122">
        <f>IF($B250="","",CONCATENATE("Örnek kıymet: ",$B250))</f>
        <v/>
      </c>
    </row>
    <row r="251" ht="15" customHeight="1" s="77">
      <c r="G251" s="122">
        <f>IF($D251="",0,MIN($D251,$D251*$F251*MAX(0,ROUNDDOWN((AmortismanRaporTarihi-$C251)/365,0))))</f>
        <v/>
      </c>
      <c r="H251" s="122">
        <f>IF($D251="",0,MAX(0,$D251-$G251))</f>
        <v/>
      </c>
      <c r="I251" s="122">
        <f>IF($B251="","",CONCATENATE("Örnek kıymet: ",$B251))</f>
        <v/>
      </c>
    </row>
    <row r="252" ht="15" customHeight="1" s="77">
      <c r="G252" s="122">
        <f>IF($D252="",0,MIN($D252,$D252*$F252*MAX(0,ROUNDDOWN((AmortismanRaporTarihi-$C252)/365,0))))</f>
        <v/>
      </c>
      <c r="H252" s="122">
        <f>IF($D252="",0,MAX(0,$D252-$G252))</f>
        <v/>
      </c>
      <c r="I252" s="122">
        <f>IF($B252="","",CONCATENATE("Örnek kıymet: ",$B252))</f>
        <v/>
      </c>
    </row>
    <row r="253" ht="15" customHeight="1" s="77">
      <c r="G253" s="122">
        <f>IF($D253="",0,MIN($D253,$D253*$F253*MAX(0,ROUNDDOWN((AmortismanRaporTarihi-$C253)/365,0))))</f>
        <v/>
      </c>
      <c r="H253" s="122">
        <f>IF($D253="",0,MAX(0,$D253-$G253))</f>
        <v/>
      </c>
      <c r="I253" s="122">
        <f>IF($B253="","",CONCATENATE("Örnek kıymet: ",$B253))</f>
        <v/>
      </c>
    </row>
    <row r="254" ht="15" customHeight="1" s="77">
      <c r="G254" s="122">
        <f>IF($D254="",0,MIN($D254,$D254*$F254*MAX(0,ROUNDDOWN((AmortismanRaporTarihi-$C254)/365,0))))</f>
        <v/>
      </c>
      <c r="H254" s="122">
        <f>IF($D254="",0,MAX(0,$D254-$G254))</f>
        <v/>
      </c>
      <c r="I254" s="122">
        <f>IF($B254="","",CONCATENATE("Örnek kıymet: ",$B254))</f>
        <v/>
      </c>
    </row>
    <row r="255" ht="15" customHeight="1" s="77">
      <c r="G255" s="122">
        <f>IF($D255="",0,MIN($D255,$D255*$F255*MAX(0,ROUNDDOWN((AmortismanRaporTarihi-$C255)/365,0))))</f>
        <v/>
      </c>
      <c r="H255" s="122">
        <f>IF($D255="",0,MAX(0,$D255-$G255))</f>
        <v/>
      </c>
      <c r="I255" s="122">
        <f>IF($B255="","",CONCATENATE("Örnek kıymet: ",$B255))</f>
        <v/>
      </c>
    </row>
    <row r="256" ht="15" customHeight="1" s="77">
      <c r="G256" s="122">
        <f>IF($D256="",0,MIN($D256,$D256*$F256*MAX(0,ROUNDDOWN((AmortismanRaporTarihi-$C256)/365,0))))</f>
        <v/>
      </c>
      <c r="H256" s="122">
        <f>IF($D256="",0,MAX(0,$D256-$G256))</f>
        <v/>
      </c>
      <c r="I256" s="122">
        <f>IF($B256="","",CONCATENATE("Örnek kıymet: ",$B256))</f>
        <v/>
      </c>
    </row>
    <row r="257" ht="15" customHeight="1" s="77">
      <c r="G257" s="122">
        <f>IF($D257="",0,MIN($D257,$D257*$F257*MAX(0,ROUNDDOWN((AmortismanRaporTarihi-$C257)/365,0))))</f>
        <v/>
      </c>
      <c r="H257" s="122">
        <f>IF($D257="",0,MAX(0,$D257-$G257))</f>
        <v/>
      </c>
      <c r="I257" s="122">
        <f>IF($B257="","",CONCATENATE("Örnek kıymet: ",$B257))</f>
        <v/>
      </c>
    </row>
    <row r="258" ht="15" customHeight="1" s="77">
      <c r="G258" s="122">
        <f>IF($D258="",0,MIN($D258,$D258*$F258*MAX(0,ROUNDDOWN((AmortismanRaporTarihi-$C258)/365,0))))</f>
        <v/>
      </c>
      <c r="H258" s="122">
        <f>IF($D258="",0,MAX(0,$D258-$G258))</f>
        <v/>
      </c>
      <c r="I258" s="122">
        <f>IF($B258="","",CONCATENATE("Örnek kıymet: ",$B258))</f>
        <v/>
      </c>
    </row>
    <row r="259" ht="15" customHeight="1" s="77">
      <c r="G259" s="122">
        <f>IF($D259="",0,MIN($D259,$D259*$F259*MAX(0,ROUNDDOWN((AmortismanRaporTarihi-$C259)/365,0))))</f>
        <v/>
      </c>
      <c r="H259" s="122">
        <f>IF($D259="",0,MAX(0,$D259-$G259))</f>
        <v/>
      </c>
      <c r="I259" s="122">
        <f>IF($B259="","",CONCATENATE("Örnek kıymet: ",$B259))</f>
        <v/>
      </c>
    </row>
    <row r="260" ht="15" customHeight="1" s="77">
      <c r="G260" s="122">
        <f>IF($D260="",0,MIN($D260,$D260*$F260*MAX(0,ROUNDDOWN((AmortismanRaporTarihi-$C260)/365,0))))</f>
        <v/>
      </c>
      <c r="H260" s="122">
        <f>IF($D260="",0,MAX(0,$D260-$G260))</f>
        <v/>
      </c>
      <c r="I260" s="122">
        <f>IF($B260="","",CONCATENATE("Örnek kıymet: ",$B260))</f>
        <v/>
      </c>
    </row>
    <row r="261" ht="15" customHeight="1" s="77">
      <c r="G261" s="122">
        <f>IF($D261="",0,MIN($D261,$D261*$F261*MAX(0,ROUNDDOWN((AmortismanRaporTarihi-$C261)/365,0))))</f>
        <v/>
      </c>
      <c r="H261" s="122">
        <f>IF($D261="",0,MAX(0,$D261-$G261))</f>
        <v/>
      </c>
      <c r="I261" s="122">
        <f>IF($B261="","",CONCATENATE("Örnek kıymet: ",$B261))</f>
        <v/>
      </c>
    </row>
    <row r="262" ht="15" customHeight="1" s="77">
      <c r="G262" s="122">
        <f>IF($D262="",0,MIN($D262,$D262*$F262*MAX(0,ROUNDDOWN((AmortismanRaporTarihi-$C262)/365,0))))</f>
        <v/>
      </c>
      <c r="H262" s="122">
        <f>IF($D262="",0,MAX(0,$D262-$G262))</f>
        <v/>
      </c>
      <c r="I262" s="122">
        <f>IF($B262="","",CONCATENATE("Örnek kıymet: ",$B262))</f>
        <v/>
      </c>
    </row>
    <row r="263" ht="15" customHeight="1" s="77">
      <c r="G263" s="122">
        <f>IF($D263="",0,MIN($D263,$D263*$F263*MAX(0,ROUNDDOWN((AmortismanRaporTarihi-$C263)/365,0))))</f>
        <v/>
      </c>
      <c r="H263" s="122">
        <f>IF($D263="",0,MAX(0,$D263-$G263))</f>
        <v/>
      </c>
      <c r="I263" s="122">
        <f>IF($B263="","",CONCATENATE("Örnek kıymet: ",$B263))</f>
        <v/>
      </c>
    </row>
    <row r="264" ht="15" customHeight="1" s="77">
      <c r="G264" s="122">
        <f>IF($D264="",0,MIN($D264,$D264*$F264*MAX(0,ROUNDDOWN((AmortismanRaporTarihi-$C264)/365,0))))</f>
        <v/>
      </c>
      <c r="H264" s="122">
        <f>IF($D264="",0,MAX(0,$D264-$G264))</f>
        <v/>
      </c>
      <c r="I264" s="122">
        <f>IF($B264="","",CONCATENATE("Örnek kıymet: ",$B264))</f>
        <v/>
      </c>
    </row>
    <row r="265" ht="15" customHeight="1" s="77">
      <c r="G265" s="122">
        <f>IF($D265="",0,MIN($D265,$D265*$F265*MAX(0,ROUNDDOWN((AmortismanRaporTarihi-$C265)/365,0))))</f>
        <v/>
      </c>
      <c r="H265" s="122">
        <f>IF($D265="",0,MAX(0,$D265-$G265))</f>
        <v/>
      </c>
      <c r="I265" s="122">
        <f>IF($B265="","",CONCATENATE("Örnek kıymet: ",$B265))</f>
        <v/>
      </c>
    </row>
    <row r="266" ht="15" customHeight="1" s="77">
      <c r="G266" s="122">
        <f>IF($D266="",0,MIN($D266,$D266*$F266*MAX(0,ROUNDDOWN((AmortismanRaporTarihi-$C266)/365,0))))</f>
        <v/>
      </c>
      <c r="H266" s="122">
        <f>IF($D266="",0,MAX(0,$D266-$G266))</f>
        <v/>
      </c>
      <c r="I266" s="122">
        <f>IF($B266="","",CONCATENATE("Örnek kıymet: ",$B266))</f>
        <v/>
      </c>
    </row>
    <row r="267" ht="15" customHeight="1" s="77">
      <c r="G267" s="122">
        <f>IF($D267="",0,MIN($D267,$D267*$F267*MAX(0,ROUNDDOWN((AmortismanRaporTarihi-$C267)/365,0))))</f>
        <v/>
      </c>
      <c r="H267" s="122">
        <f>IF($D267="",0,MAX(0,$D267-$G267))</f>
        <v/>
      </c>
      <c r="I267" s="122">
        <f>IF($B267="","",CONCATENATE("Örnek kıymet: ",$B267))</f>
        <v/>
      </c>
    </row>
    <row r="268" ht="15" customHeight="1" s="77">
      <c r="G268" s="122">
        <f>IF($D268="",0,MIN($D268,$D268*$F268*MAX(0,ROUNDDOWN((AmortismanRaporTarihi-$C268)/365,0))))</f>
        <v/>
      </c>
      <c r="H268" s="122">
        <f>IF($D268="",0,MAX(0,$D268-$G268))</f>
        <v/>
      </c>
      <c r="I268" s="122">
        <f>IF($B268="","",CONCATENATE("Örnek kıymet: ",$B268))</f>
        <v/>
      </c>
    </row>
    <row r="269" ht="15" customHeight="1" s="77">
      <c r="G269" s="122">
        <f>IF($D269="",0,MIN($D269,$D269*$F269*MAX(0,ROUNDDOWN((AmortismanRaporTarihi-$C269)/365,0))))</f>
        <v/>
      </c>
      <c r="H269" s="122">
        <f>IF($D269="",0,MAX(0,$D269-$G269))</f>
        <v/>
      </c>
      <c r="I269" s="122">
        <f>IF($B269="","",CONCATENATE("Örnek kıymet: ",$B269))</f>
        <v/>
      </c>
    </row>
    <row r="270" ht="15" customHeight="1" s="77">
      <c r="G270" s="122">
        <f>IF($D270="",0,MIN($D270,$D270*$F270*MAX(0,ROUNDDOWN((AmortismanRaporTarihi-$C270)/365,0))))</f>
        <v/>
      </c>
      <c r="H270" s="122">
        <f>IF($D270="",0,MAX(0,$D270-$G270))</f>
        <v/>
      </c>
      <c r="I270" s="122">
        <f>IF($B270="","",CONCATENATE("Örnek kıymet: ",$B270))</f>
        <v/>
      </c>
    </row>
    <row r="271" ht="15" customHeight="1" s="77">
      <c r="G271" s="122">
        <f>IF($D271="",0,MIN($D271,$D271*$F271*MAX(0,ROUNDDOWN((AmortismanRaporTarihi-$C271)/365,0))))</f>
        <v/>
      </c>
      <c r="H271" s="122">
        <f>IF($D271="",0,MAX(0,$D271-$G271))</f>
        <v/>
      </c>
      <c r="I271" s="122">
        <f>IF($B271="","",CONCATENATE("Örnek kıymet: ",$B271))</f>
        <v/>
      </c>
    </row>
    <row r="272" ht="15" customHeight="1" s="77">
      <c r="G272" s="122">
        <f>IF($D272="",0,MIN($D272,$D272*$F272*MAX(0,ROUNDDOWN((AmortismanRaporTarihi-$C272)/365,0))))</f>
        <v/>
      </c>
      <c r="H272" s="122">
        <f>IF($D272="",0,MAX(0,$D272-$G272))</f>
        <v/>
      </c>
      <c r="I272" s="122">
        <f>IF($B272="","",CONCATENATE("Örnek kıymet: ",$B272))</f>
        <v/>
      </c>
    </row>
    <row r="273" ht="15" customHeight="1" s="77">
      <c r="G273" s="122">
        <f>IF($D273="",0,MIN($D273,$D273*$F273*MAX(0,ROUNDDOWN((AmortismanRaporTarihi-$C273)/365,0))))</f>
        <v/>
      </c>
      <c r="H273" s="122">
        <f>IF($D273="",0,MAX(0,$D273-$G273))</f>
        <v/>
      </c>
      <c r="I273" s="122">
        <f>IF($B273="","",CONCATENATE("Örnek kıymet: ",$B273))</f>
        <v/>
      </c>
    </row>
    <row r="274" ht="15" customHeight="1" s="77">
      <c r="G274" s="122">
        <f>IF($D274="",0,MIN($D274,$D274*$F274*MAX(0,ROUNDDOWN((AmortismanRaporTarihi-$C274)/365,0))))</f>
        <v/>
      </c>
      <c r="H274" s="122">
        <f>IF($D274="",0,MAX(0,$D274-$G274))</f>
        <v/>
      </c>
      <c r="I274" s="122">
        <f>IF($B274="","",CONCATENATE("Örnek kıymet: ",$B274))</f>
        <v/>
      </c>
    </row>
    <row r="275" ht="15" customHeight="1" s="77">
      <c r="G275" s="122">
        <f>IF($D275="",0,MIN($D275,$D275*$F275*MAX(0,ROUNDDOWN((AmortismanRaporTarihi-$C275)/365,0))))</f>
        <v/>
      </c>
      <c r="H275" s="122">
        <f>IF($D275="",0,MAX(0,$D275-$G275))</f>
        <v/>
      </c>
      <c r="I275" s="122">
        <f>IF($B275="","",CONCATENATE("Örnek kıymet: ",$B275))</f>
        <v/>
      </c>
    </row>
    <row r="276" ht="15" customHeight="1" s="77">
      <c r="G276" s="122">
        <f>IF($D276="",0,MIN($D276,$D276*$F276*MAX(0,ROUNDDOWN((AmortismanRaporTarihi-$C276)/365,0))))</f>
        <v/>
      </c>
      <c r="H276" s="122">
        <f>IF($D276="",0,MAX(0,$D276-$G276))</f>
        <v/>
      </c>
      <c r="I276" s="122">
        <f>IF($B276="","",CONCATENATE("Örnek kıymet: ",$B276))</f>
        <v/>
      </c>
    </row>
    <row r="277" ht="15" customHeight="1" s="77">
      <c r="G277" s="122">
        <f>IF($D277="",0,MIN($D277,$D277*$F277*MAX(0,ROUNDDOWN((AmortismanRaporTarihi-$C277)/365,0))))</f>
        <v/>
      </c>
      <c r="H277" s="122">
        <f>IF($D277="",0,MAX(0,$D277-$G277))</f>
        <v/>
      </c>
      <c r="I277" s="122">
        <f>IF($B277="","",CONCATENATE("Örnek kıymet: ",$B277))</f>
        <v/>
      </c>
    </row>
    <row r="278" ht="15" customHeight="1" s="77">
      <c r="G278" s="122">
        <f>IF($D278="",0,MIN($D278,$D278*$F278*MAX(0,ROUNDDOWN((AmortismanRaporTarihi-$C278)/365,0))))</f>
        <v/>
      </c>
      <c r="H278" s="122">
        <f>IF($D278="",0,MAX(0,$D278-$G278))</f>
        <v/>
      </c>
      <c r="I278" s="122">
        <f>IF($B278="","",CONCATENATE("Örnek kıymet: ",$B278))</f>
        <v/>
      </c>
    </row>
    <row r="279" ht="15" customHeight="1" s="77">
      <c r="G279" s="122">
        <f>IF($D279="",0,MIN($D279,$D279*$F279*MAX(0,ROUNDDOWN((AmortismanRaporTarihi-$C279)/365,0))))</f>
        <v/>
      </c>
      <c r="H279" s="122">
        <f>IF($D279="",0,MAX(0,$D279-$G279))</f>
        <v/>
      </c>
      <c r="I279" s="122">
        <f>IF($B279="","",CONCATENATE("Örnek kıymet: ",$B279))</f>
        <v/>
      </c>
    </row>
    <row r="280" ht="15" customHeight="1" s="77">
      <c r="G280" s="122">
        <f>IF($D280="",0,MIN($D280,$D280*$F280*MAX(0,ROUNDDOWN((AmortismanRaporTarihi-$C280)/365,0))))</f>
        <v/>
      </c>
      <c r="H280" s="122">
        <f>IF($D280="",0,MAX(0,$D280-$G280))</f>
        <v/>
      </c>
      <c r="I280" s="122">
        <f>IF($B280="","",CONCATENATE("Örnek kıymet: ",$B280))</f>
        <v/>
      </c>
    </row>
    <row r="281" ht="15" customHeight="1" s="77">
      <c r="G281" s="122">
        <f>IF($D281="",0,MIN($D281,$D281*$F281*MAX(0,ROUNDDOWN((AmortismanRaporTarihi-$C281)/365,0))))</f>
        <v/>
      </c>
      <c r="H281" s="122">
        <f>IF($D281="",0,MAX(0,$D281-$G281))</f>
        <v/>
      </c>
      <c r="I281" s="122">
        <f>IF($B281="","",CONCATENATE("Örnek kıymet: ",$B281))</f>
        <v/>
      </c>
    </row>
    <row r="282" ht="15" customHeight="1" s="77">
      <c r="G282" s="122">
        <f>IF($D282="",0,MIN($D282,$D282*$F282*MAX(0,ROUNDDOWN((AmortismanRaporTarihi-$C282)/365,0))))</f>
        <v/>
      </c>
      <c r="H282" s="122">
        <f>IF($D282="",0,MAX(0,$D282-$G282))</f>
        <v/>
      </c>
      <c r="I282" s="122">
        <f>IF($B282="","",CONCATENATE("Örnek kıymet: ",$B282))</f>
        <v/>
      </c>
    </row>
    <row r="283" ht="15" customHeight="1" s="77">
      <c r="G283" s="122">
        <f>IF($D283="",0,MIN($D283,$D283*$F283*MAX(0,ROUNDDOWN((AmortismanRaporTarihi-$C283)/365,0))))</f>
        <v/>
      </c>
      <c r="H283" s="122">
        <f>IF($D283="",0,MAX(0,$D283-$G283))</f>
        <v/>
      </c>
      <c r="I283" s="122">
        <f>IF($B283="","",CONCATENATE("Örnek kıymet: ",$B283))</f>
        <v/>
      </c>
    </row>
    <row r="284" ht="15" customHeight="1" s="77">
      <c r="G284" s="122">
        <f>IF($D284="",0,MIN($D284,$D284*$F284*MAX(0,ROUNDDOWN((AmortismanRaporTarihi-$C284)/365,0))))</f>
        <v/>
      </c>
      <c r="H284" s="122">
        <f>IF($D284="",0,MAX(0,$D284-$G284))</f>
        <v/>
      </c>
      <c r="I284" s="122">
        <f>IF($B284="","",CONCATENATE("Örnek kıymet: ",$B284))</f>
        <v/>
      </c>
    </row>
    <row r="285" ht="15" customHeight="1" s="77">
      <c r="G285" s="122">
        <f>IF($D285="",0,MIN($D285,$D285*$F285*MAX(0,ROUNDDOWN((AmortismanRaporTarihi-$C285)/365,0))))</f>
        <v/>
      </c>
      <c r="H285" s="122">
        <f>IF($D285="",0,MAX(0,$D285-$G285))</f>
        <v/>
      </c>
      <c r="I285" s="122">
        <f>IF($B285="","",CONCATENATE("Örnek kıymet: ",$B285))</f>
        <v/>
      </c>
    </row>
    <row r="286" ht="15" customHeight="1" s="77">
      <c r="G286" s="122">
        <f>IF($D286="",0,MIN($D286,$D286*$F286*MAX(0,ROUNDDOWN((AmortismanRaporTarihi-$C286)/365,0))))</f>
        <v/>
      </c>
      <c r="H286" s="122">
        <f>IF($D286="",0,MAX(0,$D286-$G286))</f>
        <v/>
      </c>
      <c r="I286" s="122">
        <f>IF($B286="","",CONCATENATE("Örnek kıymet: ",$B286))</f>
        <v/>
      </c>
    </row>
    <row r="287" ht="15" customHeight="1" s="77">
      <c r="G287" s="122">
        <f>IF($D287="",0,MIN($D287,$D287*$F287*MAX(0,ROUNDDOWN((AmortismanRaporTarihi-$C287)/365,0))))</f>
        <v/>
      </c>
      <c r="H287" s="122">
        <f>IF($D287="",0,MAX(0,$D287-$G287))</f>
        <v/>
      </c>
      <c r="I287" s="122">
        <f>IF($B287="","",CONCATENATE("Örnek kıymet: ",$B287))</f>
        <v/>
      </c>
    </row>
    <row r="288" ht="15" customHeight="1" s="77">
      <c r="G288" s="122">
        <f>IF($D288="",0,MIN($D288,$D288*$F288*MAX(0,ROUNDDOWN((AmortismanRaporTarihi-$C288)/365,0))))</f>
        <v/>
      </c>
      <c r="H288" s="122">
        <f>IF($D288="",0,MAX(0,$D288-$G288))</f>
        <v/>
      </c>
      <c r="I288" s="122">
        <f>IF($B288="","",CONCATENATE("Örnek kıymet: ",$B288))</f>
        <v/>
      </c>
    </row>
    <row r="289" ht="15" customHeight="1" s="77">
      <c r="G289" s="122">
        <f>IF($D289="",0,MIN($D289,$D289*$F289*MAX(0,ROUNDDOWN((AmortismanRaporTarihi-$C289)/365,0))))</f>
        <v/>
      </c>
      <c r="H289" s="122">
        <f>IF($D289="",0,MAX(0,$D289-$G289))</f>
        <v/>
      </c>
      <c r="I289" s="122">
        <f>IF($B289="","",CONCATENATE("Örnek kıymet: ",$B289))</f>
        <v/>
      </c>
    </row>
    <row r="290" ht="15" customHeight="1" s="77">
      <c r="G290" s="122">
        <f>IF($D290="",0,MIN($D290,$D290*$F290*MAX(0,ROUNDDOWN((AmortismanRaporTarihi-$C290)/365,0))))</f>
        <v/>
      </c>
      <c r="H290" s="122">
        <f>IF($D290="",0,MAX(0,$D290-$G290))</f>
        <v/>
      </c>
      <c r="I290" s="122">
        <f>IF($B290="","",CONCATENATE("Örnek kıymet: ",$B290))</f>
        <v/>
      </c>
    </row>
    <row r="291" ht="15" customHeight="1" s="77">
      <c r="G291" s="122">
        <f>IF($D291="",0,MIN($D291,$D291*$F291*MAX(0,ROUNDDOWN((AmortismanRaporTarihi-$C291)/365,0))))</f>
        <v/>
      </c>
      <c r="H291" s="122">
        <f>IF($D291="",0,MAX(0,$D291-$G291))</f>
        <v/>
      </c>
      <c r="I291" s="122">
        <f>IF($B291="","",CONCATENATE("Örnek kıymet: ",$B291))</f>
        <v/>
      </c>
    </row>
    <row r="292" ht="15" customHeight="1" s="77">
      <c r="G292" s="122">
        <f>IF($D292="",0,MIN($D292,$D292*$F292*MAX(0,ROUNDDOWN((AmortismanRaporTarihi-$C292)/365,0))))</f>
        <v/>
      </c>
      <c r="H292" s="122">
        <f>IF($D292="",0,MAX(0,$D292-$G292))</f>
        <v/>
      </c>
      <c r="I292" s="122">
        <f>IF($B292="","",CONCATENATE("Örnek kıymet: ",$B292))</f>
        <v/>
      </c>
    </row>
    <row r="293" ht="15" customHeight="1" s="77">
      <c r="G293" s="122">
        <f>IF($D293="",0,MIN($D293,$D293*$F293*MAX(0,ROUNDDOWN((AmortismanRaporTarihi-$C293)/365,0))))</f>
        <v/>
      </c>
      <c r="H293" s="122">
        <f>IF($D293="",0,MAX(0,$D293-$G293))</f>
        <v/>
      </c>
      <c r="I293" s="122">
        <f>IF($B293="","",CONCATENATE("Örnek kıymet: ",$B293))</f>
        <v/>
      </c>
    </row>
    <row r="294" ht="15" customHeight="1" s="77">
      <c r="G294" s="122">
        <f>IF($D294="",0,MIN($D294,$D294*$F294*MAX(0,ROUNDDOWN((AmortismanRaporTarihi-$C294)/365,0))))</f>
        <v/>
      </c>
      <c r="H294" s="122">
        <f>IF($D294="",0,MAX(0,$D294-$G294))</f>
        <v/>
      </c>
      <c r="I294" s="122">
        <f>IF($B294="","",CONCATENATE("Örnek kıymet: ",$B294))</f>
        <v/>
      </c>
    </row>
    <row r="295" ht="15" customHeight="1" s="77">
      <c r="G295" s="122">
        <f>IF($D295="",0,MIN($D295,$D295*$F295*MAX(0,ROUNDDOWN((AmortismanRaporTarihi-$C295)/365,0))))</f>
        <v/>
      </c>
      <c r="H295" s="122">
        <f>IF($D295="",0,MAX(0,$D295-$G295))</f>
        <v/>
      </c>
      <c r="I295" s="122">
        <f>IF($B295="","",CONCATENATE("Örnek kıymet: ",$B295))</f>
        <v/>
      </c>
    </row>
    <row r="296" ht="15" customHeight="1" s="77">
      <c r="G296" s="122">
        <f>IF($D296="",0,MIN($D296,$D296*$F296*MAX(0,ROUNDDOWN((AmortismanRaporTarihi-$C296)/365,0))))</f>
        <v/>
      </c>
      <c r="H296" s="122">
        <f>IF($D296="",0,MAX(0,$D296-$G296))</f>
        <v/>
      </c>
      <c r="I296" s="122">
        <f>IF($B296="","",CONCATENATE("Örnek kıymet: ",$B296))</f>
        <v/>
      </c>
    </row>
    <row r="297" ht="15" customHeight="1" s="77">
      <c r="G297" s="122">
        <f>IF($D297="",0,MIN($D297,$D297*$F297*MAX(0,ROUNDDOWN((AmortismanRaporTarihi-$C297)/365,0))))</f>
        <v/>
      </c>
      <c r="H297" s="122">
        <f>IF($D297="",0,MAX(0,$D297-$G297))</f>
        <v/>
      </c>
      <c r="I297" s="122">
        <f>IF($B297="","",CONCATENATE("Örnek kıymet: ",$B297))</f>
        <v/>
      </c>
    </row>
    <row r="298" ht="15" customHeight="1" s="77">
      <c r="G298" s="122">
        <f>IF($D298="",0,MIN($D298,$D298*$F298*MAX(0,ROUNDDOWN((AmortismanRaporTarihi-$C298)/365,0))))</f>
        <v/>
      </c>
      <c r="H298" s="122">
        <f>IF($D298="",0,MAX(0,$D298-$G298))</f>
        <v/>
      </c>
      <c r="I298" s="122">
        <f>IF($B298="","",CONCATENATE("Örnek kıymet: ",$B298))</f>
        <v/>
      </c>
    </row>
    <row r="299" ht="15" customHeight="1" s="77">
      <c r="G299" s="122">
        <f>IF($D299="",0,MIN($D299,$D299*$F299*MAX(0,ROUNDDOWN((AmortismanRaporTarihi-$C299)/365,0))))</f>
        <v/>
      </c>
      <c r="H299" s="122">
        <f>IF($D299="",0,MAX(0,$D299-$G299))</f>
        <v/>
      </c>
      <c r="I299" s="122">
        <f>IF($B299="","",CONCATENATE("Örnek kıymet: ",$B299))</f>
        <v/>
      </c>
    </row>
    <row r="300" ht="15" customHeight="1" s="77">
      <c r="G300" s="122">
        <f>IF($D300="",0,MIN($D300,$D300*$F300*MAX(0,ROUNDDOWN((AmortismanRaporTarihi-$C300)/365,0))))</f>
        <v/>
      </c>
      <c r="H300" s="122">
        <f>IF($D300="",0,MAX(0,$D300-$G300))</f>
        <v/>
      </c>
      <c r="I300" s="122">
        <f>IF($B300="","",CONCATENATE("Örnek kıymet: ",$B300))</f>
        <v/>
      </c>
    </row>
    <row r="301" ht="15" customHeight="1" s="77">
      <c r="G301" s="122">
        <f>IF($D301="",0,MIN($D301,$D301*$F301*MAX(0,ROUNDDOWN((AmortismanRaporTarihi-$C301)/365,0))))</f>
        <v/>
      </c>
      <c r="H301" s="122">
        <f>IF($D301="",0,MAX(0,$D301-$G301))</f>
        <v/>
      </c>
      <c r="I301" s="122">
        <f>IF($B301="","",CONCATENATE("Örnek kıymet: ",$B301))</f>
        <v/>
      </c>
    </row>
    <row r="302" ht="15" customHeight="1" s="77">
      <c r="G302" s="122">
        <f>IF($D302="",0,MIN($D302,$D302*$F302*MAX(0,ROUNDDOWN((AmortismanRaporTarihi-$C302)/365,0))))</f>
        <v/>
      </c>
      <c r="H302" s="122">
        <f>IF($D302="",0,MAX(0,$D302-$G302))</f>
        <v/>
      </c>
      <c r="I302" s="122">
        <f>IF($B302="","",CONCATENATE("Örnek kıymet: ",$B302))</f>
        <v/>
      </c>
    </row>
    <row r="303" ht="15" customHeight="1" s="77">
      <c r="G303" s="122">
        <f>IF($D303="",0,MIN($D303,$D303*$F303*MAX(0,ROUNDDOWN((AmortismanRaporTarihi-$C303)/365,0))))</f>
        <v/>
      </c>
      <c r="H303" s="122">
        <f>IF($D303="",0,MAX(0,$D303-$G303))</f>
        <v/>
      </c>
      <c r="I303" s="122">
        <f>IF($B303="","",CONCATENATE("Örnek kıymet: ",$B303))</f>
        <v/>
      </c>
    </row>
    <row r="304" ht="15" customHeight="1" s="77">
      <c r="G304" s="122">
        <f>IF($D304="",0,MIN($D304,$D304*$F304*MAX(0,ROUNDDOWN((AmortismanRaporTarihi-$C304)/365,0))))</f>
        <v/>
      </c>
      <c r="H304" s="122">
        <f>IF($D304="",0,MAX(0,$D304-$G304))</f>
        <v/>
      </c>
      <c r="I304" s="122">
        <f>IF($B304="","",CONCATENATE("Örnek kıymet: ",$B304))</f>
        <v/>
      </c>
    </row>
    <row r="305" ht="15" customHeight="1" s="77">
      <c r="G305" s="122">
        <f>IF($D305="",0,MIN($D305,$D305*$F305*MAX(0,ROUNDDOWN((AmortismanRaporTarihi-$C305)/365,0))))</f>
        <v/>
      </c>
      <c r="H305" s="122">
        <f>IF($D305="",0,MAX(0,$D305-$G305))</f>
        <v/>
      </c>
      <c r="I305" s="122">
        <f>IF($B305="","",CONCATENATE("Örnek kıymet: ",$B305))</f>
        <v/>
      </c>
    </row>
    <row r="306" ht="15" customHeight="1" s="77">
      <c r="G306" s="122">
        <f>IF($D306="",0,MIN($D306,$D306*$F306*MAX(0,ROUNDDOWN((AmortismanRaporTarihi-$C306)/365,0))))</f>
        <v/>
      </c>
      <c r="H306" s="122">
        <f>IF($D306="",0,MAX(0,$D306-$G306))</f>
        <v/>
      </c>
      <c r="I306" s="122">
        <f>IF($B306="","",CONCATENATE("Örnek kıymet: ",$B306))</f>
        <v/>
      </c>
    </row>
    <row r="307" ht="15" customHeight="1" s="77">
      <c r="G307" s="122">
        <f>IF($D307="",0,MIN($D307,$D307*$F307*MAX(0,ROUNDDOWN((AmortismanRaporTarihi-$C307)/365,0))))</f>
        <v/>
      </c>
      <c r="H307" s="122">
        <f>IF($D307="",0,MAX(0,$D307-$G307))</f>
        <v/>
      </c>
      <c r="I307" s="122">
        <f>IF($B307="","",CONCATENATE("Örnek kıymet: ",$B307))</f>
        <v/>
      </c>
    </row>
    <row r="308" ht="15" customHeight="1" s="77">
      <c r="G308" s="122">
        <f>IF($D308="",0,MIN($D308,$D308*$F308*MAX(0,ROUNDDOWN((AmortismanRaporTarihi-$C308)/365,0))))</f>
        <v/>
      </c>
      <c r="H308" s="122">
        <f>IF($D308="",0,MAX(0,$D308-$G308))</f>
        <v/>
      </c>
      <c r="I308" s="122">
        <f>IF($B308="","",CONCATENATE("Örnek kıymet: ",$B308))</f>
        <v/>
      </c>
    </row>
    <row r="309" ht="15" customHeight="1" s="77">
      <c r="G309" s="122">
        <f>IF($D309="",0,MIN($D309,$D309*$F309*MAX(0,ROUNDDOWN((AmortismanRaporTarihi-$C309)/365,0))))</f>
        <v/>
      </c>
      <c r="H309" s="122">
        <f>IF($D309="",0,MAX(0,$D309-$G309))</f>
        <v/>
      </c>
      <c r="I309" s="122">
        <f>IF($B309="","",CONCATENATE("Örnek kıymet: ",$B309))</f>
        <v/>
      </c>
    </row>
    <row r="310" ht="15" customHeight="1" s="77">
      <c r="G310" s="122">
        <f>IF($D310="",0,MIN($D310,$D310*$F310*MAX(0,ROUNDDOWN((AmortismanRaporTarihi-$C310)/365,0))))</f>
        <v/>
      </c>
      <c r="H310" s="122">
        <f>IF($D310="",0,MAX(0,$D310-$G310))</f>
        <v/>
      </c>
      <c r="I310" s="122">
        <f>IF($B310="","",CONCATENATE("Örnek kıymet: ",$B310))</f>
        <v/>
      </c>
    </row>
    <row r="311" ht="15" customHeight="1" s="77">
      <c r="G311" s="122">
        <f>IF($D311="",0,MIN($D311,$D311*$F311*MAX(0,ROUNDDOWN((AmortismanRaporTarihi-$C311)/365,0))))</f>
        <v/>
      </c>
      <c r="H311" s="122">
        <f>IF($D311="",0,MAX(0,$D311-$G311))</f>
        <v/>
      </c>
      <c r="I311" s="122">
        <f>IF($B311="","",CONCATENATE("Örnek kıymet: ",$B311))</f>
        <v/>
      </c>
    </row>
    <row r="312" ht="15" customHeight="1" s="77">
      <c r="G312" s="122">
        <f>IF($D312="",0,MIN($D312,$D312*$F312*MAX(0,ROUNDDOWN((AmortismanRaporTarihi-$C312)/365,0))))</f>
        <v/>
      </c>
      <c r="H312" s="122">
        <f>IF($D312="",0,MAX(0,$D312-$G312))</f>
        <v/>
      </c>
      <c r="I312" s="122">
        <f>IF($B312="","",CONCATENATE("Örnek kıymet: ",$B312))</f>
        <v/>
      </c>
    </row>
    <row r="313" ht="15" customHeight="1" s="77">
      <c r="G313" s="122">
        <f>IF($D313="",0,MIN($D313,$D313*$F313*MAX(0,ROUNDDOWN((AmortismanRaporTarihi-$C313)/365,0))))</f>
        <v/>
      </c>
      <c r="H313" s="122">
        <f>IF($D313="",0,MAX(0,$D313-$G313))</f>
        <v/>
      </c>
      <c r="I313" s="122">
        <f>IF($B313="","",CONCATENATE("Örnek kıymet: ",$B313))</f>
        <v/>
      </c>
    </row>
    <row r="314" ht="15" customHeight="1" s="77">
      <c r="G314" s="122">
        <f>IF($D314="",0,MIN($D314,$D314*$F314*MAX(0,ROUNDDOWN((AmortismanRaporTarihi-$C314)/365,0))))</f>
        <v/>
      </c>
      <c r="H314" s="122">
        <f>IF($D314="",0,MAX(0,$D314-$G314))</f>
        <v/>
      </c>
      <c r="I314" s="122">
        <f>IF($B314="","",CONCATENATE("Örnek kıymet: ",$B314))</f>
        <v/>
      </c>
    </row>
    <row r="315" ht="15" customHeight="1" s="77">
      <c r="G315" s="122">
        <f>IF($D315="",0,MIN($D315,$D315*$F315*MAX(0,ROUNDDOWN((AmortismanRaporTarihi-$C315)/365,0))))</f>
        <v/>
      </c>
      <c r="H315" s="122">
        <f>IF($D315="",0,MAX(0,$D315-$G315))</f>
        <v/>
      </c>
      <c r="I315" s="122">
        <f>IF($B315="","",CONCATENATE("Örnek kıymet: ",$B315))</f>
        <v/>
      </c>
    </row>
    <row r="316" ht="15" customHeight="1" s="77">
      <c r="G316" s="122">
        <f>IF($D316="",0,MIN($D316,$D316*$F316*MAX(0,ROUNDDOWN((AmortismanRaporTarihi-$C316)/365,0))))</f>
        <v/>
      </c>
      <c r="H316" s="122">
        <f>IF($D316="",0,MAX(0,$D316-$G316))</f>
        <v/>
      </c>
      <c r="I316" s="122">
        <f>IF($B316="","",CONCATENATE("Örnek kıymet: ",$B316))</f>
        <v/>
      </c>
    </row>
    <row r="317" ht="15" customHeight="1" s="77">
      <c r="G317" s="122">
        <f>IF($D317="",0,MIN($D317,$D317*$F317*MAX(0,ROUNDDOWN((AmortismanRaporTarihi-$C317)/365,0))))</f>
        <v/>
      </c>
      <c r="H317" s="122">
        <f>IF($D317="",0,MAX(0,$D317-$G317))</f>
        <v/>
      </c>
      <c r="I317" s="122">
        <f>IF($B317="","",CONCATENATE("Örnek kıymet: ",$B317))</f>
        <v/>
      </c>
    </row>
    <row r="318" ht="15" customHeight="1" s="77">
      <c r="G318" s="122">
        <f>IF($D318="",0,MIN($D318,$D318*$F318*MAX(0,ROUNDDOWN((AmortismanRaporTarihi-$C318)/365,0))))</f>
        <v/>
      </c>
      <c r="H318" s="122">
        <f>IF($D318="",0,MAX(0,$D318-$G318))</f>
        <v/>
      </c>
      <c r="I318" s="122">
        <f>IF($B318="","",CONCATENATE("Örnek kıymet: ",$B318))</f>
        <v/>
      </c>
    </row>
    <row r="319" ht="15" customHeight="1" s="77">
      <c r="G319" s="122">
        <f>IF($D319="",0,MIN($D319,$D319*$F319*MAX(0,ROUNDDOWN((AmortismanRaporTarihi-$C319)/365,0))))</f>
        <v/>
      </c>
      <c r="H319" s="122">
        <f>IF($D319="",0,MAX(0,$D319-$G319))</f>
        <v/>
      </c>
      <c r="I319" s="122">
        <f>IF($B319="","",CONCATENATE("Örnek kıymet: ",$B319))</f>
        <v/>
      </c>
    </row>
    <row r="320" ht="15" customHeight="1" s="77">
      <c r="G320" s="122">
        <f>IF($D320="",0,MIN($D320,$D320*$F320*MAX(0,ROUNDDOWN((AmortismanRaporTarihi-$C320)/365,0))))</f>
        <v/>
      </c>
      <c r="H320" s="122">
        <f>IF($D320="",0,MAX(0,$D320-$G320))</f>
        <v/>
      </c>
      <c r="I320" s="122">
        <f>IF($B320="","",CONCATENATE("Örnek kıymet: ",$B320))</f>
        <v/>
      </c>
    </row>
    <row r="321" ht="15" customHeight="1" s="77">
      <c r="G321" s="122">
        <f>IF($D321="",0,MIN($D321,$D321*$F321*MAX(0,ROUNDDOWN((AmortismanRaporTarihi-$C321)/365,0))))</f>
        <v/>
      </c>
      <c r="H321" s="122">
        <f>IF($D321="",0,MAX(0,$D321-$G321))</f>
        <v/>
      </c>
      <c r="I321" s="122">
        <f>IF($B321="","",CONCATENATE("Örnek kıymet: ",$B321))</f>
        <v/>
      </c>
    </row>
    <row r="322" ht="15" customHeight="1" s="77">
      <c r="G322" s="122">
        <f>IF($D322="",0,MIN($D322,$D322*$F322*MAX(0,ROUNDDOWN((AmortismanRaporTarihi-$C322)/365,0))))</f>
        <v/>
      </c>
      <c r="H322" s="122">
        <f>IF($D322="",0,MAX(0,$D322-$G322))</f>
        <v/>
      </c>
      <c r="I322" s="122">
        <f>IF($B322="","",CONCATENATE("Örnek kıymet: ",$B322))</f>
        <v/>
      </c>
    </row>
    <row r="323" ht="15" customHeight="1" s="77">
      <c r="G323" s="122">
        <f>IF($D323="",0,MIN($D323,$D323*$F323*MAX(0,ROUNDDOWN((AmortismanRaporTarihi-$C323)/365,0))))</f>
        <v/>
      </c>
      <c r="H323" s="122">
        <f>IF($D323="",0,MAX(0,$D323-$G323))</f>
        <v/>
      </c>
      <c r="I323" s="122">
        <f>IF($B323="","",CONCATENATE("Örnek kıymet: ",$B323))</f>
        <v/>
      </c>
    </row>
    <row r="324" ht="15" customHeight="1" s="77">
      <c r="G324" s="122">
        <f>IF($D324="",0,MIN($D324,$D324*$F324*MAX(0,ROUNDDOWN((AmortismanRaporTarihi-$C324)/365,0))))</f>
        <v/>
      </c>
      <c r="H324" s="122">
        <f>IF($D324="",0,MAX(0,$D324-$G324))</f>
        <v/>
      </c>
      <c r="I324" s="122">
        <f>IF($B324="","",CONCATENATE("Örnek kıymet: ",$B324))</f>
        <v/>
      </c>
    </row>
    <row r="325" ht="15" customHeight="1" s="77">
      <c r="G325" s="122">
        <f>IF($D325="",0,MIN($D325,$D325*$F325*MAX(0,ROUNDDOWN((AmortismanRaporTarihi-$C325)/365,0))))</f>
        <v/>
      </c>
      <c r="H325" s="122">
        <f>IF($D325="",0,MAX(0,$D325-$G325))</f>
        <v/>
      </c>
      <c r="I325" s="122">
        <f>IF($B325="","",CONCATENATE("Örnek kıymet: ",$B325))</f>
        <v/>
      </c>
    </row>
    <row r="326" ht="15" customHeight="1" s="77">
      <c r="G326" s="122">
        <f>IF($D326="",0,MIN($D326,$D326*$F326*MAX(0,ROUNDDOWN((AmortismanRaporTarihi-$C326)/365,0))))</f>
        <v/>
      </c>
      <c r="H326" s="122">
        <f>IF($D326="",0,MAX(0,$D326-$G326))</f>
        <v/>
      </c>
      <c r="I326" s="122">
        <f>IF($B326="","",CONCATENATE("Örnek kıymet: ",$B326))</f>
        <v/>
      </c>
    </row>
    <row r="327" ht="15" customHeight="1" s="77">
      <c r="G327" s="122">
        <f>IF($D327="",0,MIN($D327,$D327*$F327*MAX(0,ROUNDDOWN((AmortismanRaporTarihi-$C327)/365,0))))</f>
        <v/>
      </c>
      <c r="H327" s="122">
        <f>IF($D327="",0,MAX(0,$D327-$G327))</f>
        <v/>
      </c>
      <c r="I327" s="122">
        <f>IF($B327="","",CONCATENATE("Örnek kıymet: ",$B327))</f>
        <v/>
      </c>
    </row>
    <row r="328" ht="15" customHeight="1" s="77">
      <c r="G328" s="122">
        <f>IF($D328="",0,MIN($D328,$D328*$F328*MAX(0,ROUNDDOWN((AmortismanRaporTarihi-$C328)/365,0))))</f>
        <v/>
      </c>
      <c r="H328" s="122">
        <f>IF($D328="",0,MAX(0,$D328-$G328))</f>
        <v/>
      </c>
      <c r="I328" s="122">
        <f>IF($B328="","",CONCATENATE("Örnek kıymet: ",$B328))</f>
        <v/>
      </c>
    </row>
    <row r="329" ht="15" customHeight="1" s="77">
      <c r="G329" s="122">
        <f>IF($D329="",0,MIN($D329,$D329*$F329*MAX(0,ROUNDDOWN((AmortismanRaporTarihi-$C329)/365,0))))</f>
        <v/>
      </c>
      <c r="H329" s="122">
        <f>IF($D329="",0,MAX(0,$D329-$G329))</f>
        <v/>
      </c>
      <c r="I329" s="122">
        <f>IF($B329="","",CONCATENATE("Örnek kıymet: ",$B329))</f>
        <v/>
      </c>
    </row>
    <row r="330" ht="15" customHeight="1" s="77">
      <c r="G330" s="122">
        <f>IF($D330="",0,MIN($D330,$D330*$F330*MAX(0,ROUNDDOWN((AmortismanRaporTarihi-$C330)/365,0))))</f>
        <v/>
      </c>
      <c r="H330" s="122">
        <f>IF($D330="",0,MAX(0,$D330-$G330))</f>
        <v/>
      </c>
      <c r="I330" s="122">
        <f>IF($B330="","",CONCATENATE("Örnek kıymet: ",$B330))</f>
        <v/>
      </c>
    </row>
    <row r="331" ht="15" customHeight="1" s="77">
      <c r="G331" s="122">
        <f>IF($D331="",0,MIN($D331,$D331*$F331*MAX(0,ROUNDDOWN((AmortismanRaporTarihi-$C331)/365,0))))</f>
        <v/>
      </c>
      <c r="H331" s="122">
        <f>IF($D331="",0,MAX(0,$D331-$G331))</f>
        <v/>
      </c>
      <c r="I331" s="122">
        <f>IF($B331="","",CONCATENATE("Örnek kıymet: ",$B331))</f>
        <v/>
      </c>
    </row>
    <row r="332" ht="15" customHeight="1" s="77">
      <c r="G332" s="122">
        <f>IF($D332="",0,MIN($D332,$D332*$F332*MAX(0,ROUNDDOWN((AmortismanRaporTarihi-$C332)/365,0))))</f>
        <v/>
      </c>
      <c r="H332" s="122">
        <f>IF($D332="",0,MAX(0,$D332-$G332))</f>
        <v/>
      </c>
      <c r="I332" s="122">
        <f>IF($B332="","",CONCATENATE("Örnek kıymet: ",$B332))</f>
        <v/>
      </c>
    </row>
    <row r="333" ht="15" customHeight="1" s="77">
      <c r="G333" s="122">
        <f>IF($D333="",0,MIN($D333,$D333*$F333*MAX(0,ROUNDDOWN((AmortismanRaporTarihi-$C333)/365,0))))</f>
        <v/>
      </c>
      <c r="H333" s="122">
        <f>IF($D333="",0,MAX(0,$D333-$G333))</f>
        <v/>
      </c>
      <c r="I333" s="122">
        <f>IF($B333="","",CONCATENATE("Örnek kıymet: ",$B333))</f>
        <v/>
      </c>
    </row>
    <row r="334" ht="15" customHeight="1" s="77">
      <c r="G334" s="122">
        <f>IF($D334="",0,MIN($D334,$D334*$F334*MAX(0,ROUNDDOWN((AmortismanRaporTarihi-$C334)/365,0))))</f>
        <v/>
      </c>
      <c r="H334" s="122">
        <f>IF($D334="",0,MAX(0,$D334-$G334))</f>
        <v/>
      </c>
      <c r="I334" s="122">
        <f>IF($B334="","",CONCATENATE("Örnek kıymet: ",$B334))</f>
        <v/>
      </c>
    </row>
    <row r="335" ht="15" customHeight="1" s="77">
      <c r="G335" s="122">
        <f>IF($D335="",0,MIN($D335,$D335*$F335*MAX(0,ROUNDDOWN((AmortismanRaporTarihi-$C335)/365,0))))</f>
        <v/>
      </c>
      <c r="H335" s="122">
        <f>IF($D335="",0,MAX(0,$D335-$G335))</f>
        <v/>
      </c>
      <c r="I335" s="122">
        <f>IF($B335="","",CONCATENATE("Örnek kıymet: ",$B335))</f>
        <v/>
      </c>
    </row>
    <row r="336" ht="15" customHeight="1" s="77">
      <c r="G336" s="122">
        <f>IF($D336="",0,MIN($D336,$D336*$F336*MAX(0,ROUNDDOWN((AmortismanRaporTarihi-$C336)/365,0))))</f>
        <v/>
      </c>
      <c r="H336" s="122">
        <f>IF($D336="",0,MAX(0,$D336-$G336))</f>
        <v/>
      </c>
      <c r="I336" s="122">
        <f>IF($B336="","",CONCATENATE("Örnek kıymet: ",$B336))</f>
        <v/>
      </c>
    </row>
    <row r="337" ht="15" customHeight="1" s="77">
      <c r="G337" s="122">
        <f>IF($D337="",0,MIN($D337,$D337*$F337*MAX(0,ROUNDDOWN((AmortismanRaporTarihi-$C337)/365,0))))</f>
        <v/>
      </c>
      <c r="H337" s="122">
        <f>IF($D337="",0,MAX(0,$D337-$G337))</f>
        <v/>
      </c>
      <c r="I337" s="122">
        <f>IF($B337="","",CONCATENATE("Örnek kıymet: ",$B337))</f>
        <v/>
      </c>
    </row>
    <row r="338" ht="15" customHeight="1" s="77">
      <c r="G338" s="122">
        <f>IF($D338="",0,MIN($D338,$D338*$F338*MAX(0,ROUNDDOWN((AmortismanRaporTarihi-$C338)/365,0))))</f>
        <v/>
      </c>
      <c r="H338" s="122">
        <f>IF($D338="",0,MAX(0,$D338-$G338))</f>
        <v/>
      </c>
      <c r="I338" s="122">
        <f>IF($B338="","",CONCATENATE("Örnek kıymet: ",$B338))</f>
        <v/>
      </c>
    </row>
    <row r="339" ht="15" customHeight="1" s="77">
      <c r="G339" s="122">
        <f>IF($D339="",0,MIN($D339,$D339*$F339*MAX(0,ROUNDDOWN((AmortismanRaporTarihi-$C339)/365,0))))</f>
        <v/>
      </c>
      <c r="H339" s="122">
        <f>IF($D339="",0,MAX(0,$D339-$G339))</f>
        <v/>
      </c>
      <c r="I339" s="122">
        <f>IF($B339="","",CONCATENATE("Örnek kıymet: ",$B339))</f>
        <v/>
      </c>
    </row>
    <row r="340" ht="15" customHeight="1" s="77">
      <c r="G340" s="122">
        <f>IF($D340="",0,MIN($D340,$D340*$F340*MAX(0,ROUNDDOWN((AmortismanRaporTarihi-$C340)/365,0))))</f>
        <v/>
      </c>
      <c r="H340" s="122">
        <f>IF($D340="",0,MAX(0,$D340-$G340))</f>
        <v/>
      </c>
      <c r="I340" s="122">
        <f>IF($B340="","",CONCATENATE("Örnek kıymet: ",$B340))</f>
        <v/>
      </c>
    </row>
    <row r="341" ht="15" customHeight="1" s="77">
      <c r="G341" s="122">
        <f>IF($D341="",0,MIN($D341,$D341*$F341*MAX(0,ROUNDDOWN((AmortismanRaporTarihi-$C341)/365,0))))</f>
        <v/>
      </c>
      <c r="H341" s="122">
        <f>IF($D341="",0,MAX(0,$D341-$G341))</f>
        <v/>
      </c>
      <c r="I341" s="122">
        <f>IF($B341="","",CONCATENATE("Örnek kıymet: ",$B341))</f>
        <v/>
      </c>
    </row>
    <row r="342" ht="15" customHeight="1" s="77">
      <c r="G342" s="122">
        <f>IF($D342="",0,MIN($D342,$D342*$F342*MAX(0,ROUNDDOWN((AmortismanRaporTarihi-$C342)/365,0))))</f>
        <v/>
      </c>
      <c r="H342" s="122">
        <f>IF($D342="",0,MAX(0,$D342-$G342))</f>
        <v/>
      </c>
      <c r="I342" s="122">
        <f>IF($B342="","",CONCATENATE("Örnek kıymet: ",$B342))</f>
        <v/>
      </c>
    </row>
    <row r="343" ht="15" customHeight="1" s="77">
      <c r="G343" s="122">
        <f>IF($D343="",0,MIN($D343,$D343*$F343*MAX(0,ROUNDDOWN((AmortismanRaporTarihi-$C343)/365,0))))</f>
        <v/>
      </c>
      <c r="H343" s="122">
        <f>IF($D343="",0,MAX(0,$D343-$G343))</f>
        <v/>
      </c>
      <c r="I343" s="122">
        <f>IF($B343="","",CONCATENATE("Örnek kıymet: ",$B343))</f>
        <v/>
      </c>
    </row>
    <row r="344" ht="15" customHeight="1" s="77">
      <c r="G344" s="122">
        <f>IF($D344="",0,MIN($D344,$D344*$F344*MAX(0,ROUNDDOWN((AmortismanRaporTarihi-$C344)/365,0))))</f>
        <v/>
      </c>
      <c r="H344" s="122">
        <f>IF($D344="",0,MAX(0,$D344-$G344))</f>
        <v/>
      </c>
      <c r="I344" s="122">
        <f>IF($B344="","",CONCATENATE("Örnek kıymet: ",$B344))</f>
        <v/>
      </c>
    </row>
    <row r="345" ht="15" customHeight="1" s="77">
      <c r="G345" s="122">
        <f>IF($D345="",0,MIN($D345,$D345*$F345*MAX(0,ROUNDDOWN((AmortismanRaporTarihi-$C345)/365,0))))</f>
        <v/>
      </c>
      <c r="H345" s="122">
        <f>IF($D345="",0,MAX(0,$D345-$G345))</f>
        <v/>
      </c>
      <c r="I345" s="122">
        <f>IF($B345="","",CONCATENATE("Örnek kıymet: ",$B345))</f>
        <v/>
      </c>
    </row>
    <row r="346" ht="15" customHeight="1" s="77">
      <c r="G346" s="122">
        <f>IF($D346="",0,MIN($D346,$D346*$F346*MAX(0,ROUNDDOWN((AmortismanRaporTarihi-$C346)/365,0))))</f>
        <v/>
      </c>
      <c r="H346" s="122">
        <f>IF($D346="",0,MAX(0,$D346-$G346))</f>
        <v/>
      </c>
      <c r="I346" s="122">
        <f>IF($B346="","",CONCATENATE("Örnek kıymet: ",$B346))</f>
        <v/>
      </c>
    </row>
    <row r="347" ht="15" customHeight="1" s="77">
      <c r="G347" s="122">
        <f>IF($D347="",0,MIN($D347,$D347*$F347*MAX(0,ROUNDDOWN((AmortismanRaporTarihi-$C347)/365,0))))</f>
        <v/>
      </c>
      <c r="H347" s="122">
        <f>IF($D347="",0,MAX(0,$D347-$G347))</f>
        <v/>
      </c>
      <c r="I347" s="122">
        <f>IF($B347="","",CONCATENATE("Örnek kıymet: ",$B347))</f>
        <v/>
      </c>
    </row>
    <row r="348" ht="15" customHeight="1" s="77">
      <c r="G348" s="122">
        <f>IF($D348="",0,MIN($D348,$D348*$F348*MAX(0,ROUNDDOWN((AmortismanRaporTarihi-$C348)/365,0))))</f>
        <v/>
      </c>
      <c r="H348" s="122">
        <f>IF($D348="",0,MAX(0,$D348-$G348))</f>
        <v/>
      </c>
      <c r="I348" s="122">
        <f>IF($B348="","",CONCATENATE("Örnek kıymet: ",$B348))</f>
        <v/>
      </c>
    </row>
    <row r="349" ht="15" customHeight="1" s="77">
      <c r="G349" s="122">
        <f>IF($D349="",0,MIN($D349,$D349*$F349*MAX(0,ROUNDDOWN((AmortismanRaporTarihi-$C349)/365,0))))</f>
        <v/>
      </c>
      <c r="H349" s="122">
        <f>IF($D349="",0,MAX(0,$D349-$G349))</f>
        <v/>
      </c>
      <c r="I349" s="122">
        <f>IF($B349="","",CONCATENATE("Örnek kıymet: ",$B349))</f>
        <v/>
      </c>
    </row>
    <row r="350" ht="15" customHeight="1" s="77">
      <c r="G350" s="122">
        <f>IF($D350="",0,MIN($D350,$D350*$F350*MAX(0,ROUNDDOWN((AmortismanRaporTarihi-$C350)/365,0))))</f>
        <v/>
      </c>
      <c r="H350" s="122">
        <f>IF($D350="",0,MAX(0,$D350-$G350))</f>
        <v/>
      </c>
      <c r="I350" s="122">
        <f>IF($B350="","",CONCATENATE("Örnek kıymet: ",$B350))</f>
        <v/>
      </c>
    </row>
    <row r="351" ht="15" customHeight="1" s="77">
      <c r="G351" s="122">
        <f>IF($D351="",0,MIN($D351,$D351*$F351*MAX(0,ROUNDDOWN((AmortismanRaporTarihi-$C351)/365,0))))</f>
        <v/>
      </c>
      <c r="H351" s="122">
        <f>IF($D351="",0,MAX(0,$D351-$G351))</f>
        <v/>
      </c>
      <c r="I351" s="122">
        <f>IF($B351="","",CONCATENATE("Örnek kıymet: ",$B351))</f>
        <v/>
      </c>
    </row>
    <row r="352" ht="15" customHeight="1" s="77">
      <c r="G352" s="122">
        <f>IF($D352="",0,MIN($D352,$D352*$F352*MAX(0,ROUNDDOWN((AmortismanRaporTarihi-$C352)/365,0))))</f>
        <v/>
      </c>
      <c r="H352" s="122">
        <f>IF($D352="",0,MAX(0,$D352-$G352))</f>
        <v/>
      </c>
      <c r="I352" s="122">
        <f>IF($B352="","",CONCATENATE("Örnek kıymet: ",$B352))</f>
        <v/>
      </c>
    </row>
    <row r="353" ht="15" customHeight="1" s="77">
      <c r="G353" s="122">
        <f>IF($D353="",0,MIN($D353,$D353*$F353*MAX(0,ROUNDDOWN((AmortismanRaporTarihi-$C353)/365,0))))</f>
        <v/>
      </c>
      <c r="H353" s="122">
        <f>IF($D353="",0,MAX(0,$D353-$G353))</f>
        <v/>
      </c>
      <c r="I353" s="122">
        <f>IF($B353="","",CONCATENATE("Örnek kıymet: ",$B353))</f>
        <v/>
      </c>
    </row>
    <row r="354" ht="15" customHeight="1" s="77">
      <c r="G354" s="122">
        <f>IF($D354="",0,MIN($D354,$D354*$F354*MAX(0,ROUNDDOWN((AmortismanRaporTarihi-$C354)/365,0))))</f>
        <v/>
      </c>
      <c r="H354" s="122">
        <f>IF($D354="",0,MAX(0,$D354-$G354))</f>
        <v/>
      </c>
      <c r="I354" s="122">
        <f>IF($B354="","",CONCATENATE("Örnek kıymet: ",$B354))</f>
        <v/>
      </c>
    </row>
    <row r="355" ht="15" customHeight="1" s="77">
      <c r="G355" s="122">
        <f>IF($D355="",0,MIN($D355,$D355*$F355*MAX(0,ROUNDDOWN((AmortismanRaporTarihi-$C355)/365,0))))</f>
        <v/>
      </c>
      <c r="H355" s="122">
        <f>IF($D355="",0,MAX(0,$D355-$G355))</f>
        <v/>
      </c>
      <c r="I355" s="122">
        <f>IF($B355="","",CONCATENATE("Örnek kıymet: ",$B355))</f>
        <v/>
      </c>
    </row>
    <row r="356" ht="15" customHeight="1" s="77">
      <c r="G356" s="122">
        <f>IF($D356="",0,MIN($D356,$D356*$F356*MAX(0,ROUNDDOWN((AmortismanRaporTarihi-$C356)/365,0))))</f>
        <v/>
      </c>
      <c r="H356" s="122">
        <f>IF($D356="",0,MAX(0,$D356-$G356))</f>
        <v/>
      </c>
      <c r="I356" s="122">
        <f>IF($B356="","",CONCATENATE("Örnek kıymet: ",$B356))</f>
        <v/>
      </c>
    </row>
    <row r="357" ht="15" customHeight="1" s="77">
      <c r="G357" s="122">
        <f>IF($D357="",0,MIN($D357,$D357*$F357*MAX(0,ROUNDDOWN((AmortismanRaporTarihi-$C357)/365,0))))</f>
        <v/>
      </c>
      <c r="H357" s="122">
        <f>IF($D357="",0,MAX(0,$D357-$G357))</f>
        <v/>
      </c>
      <c r="I357" s="122">
        <f>IF($B357="","",CONCATENATE("Örnek kıymet: ",$B357))</f>
        <v/>
      </c>
    </row>
    <row r="358" ht="15" customHeight="1" s="77">
      <c r="G358" s="122">
        <f>IF($D358="",0,MIN($D358,$D358*$F358*MAX(0,ROUNDDOWN((AmortismanRaporTarihi-$C358)/365,0))))</f>
        <v/>
      </c>
      <c r="H358" s="122">
        <f>IF($D358="",0,MAX(0,$D358-$G358))</f>
        <v/>
      </c>
      <c r="I358" s="122">
        <f>IF($B358="","",CONCATENATE("Örnek kıymet: ",$B358))</f>
        <v/>
      </c>
    </row>
    <row r="359" ht="15" customHeight="1" s="77">
      <c r="G359" s="122">
        <f>IF($D359="",0,MIN($D359,$D359*$F359*MAX(0,ROUNDDOWN((AmortismanRaporTarihi-$C359)/365,0))))</f>
        <v/>
      </c>
      <c r="H359" s="122">
        <f>IF($D359="",0,MAX(0,$D359-$G359))</f>
        <v/>
      </c>
      <c r="I359" s="122">
        <f>IF($B359="","",CONCATENATE("Örnek kıymet: ",$B359))</f>
        <v/>
      </c>
    </row>
    <row r="360" ht="15" customHeight="1" s="77">
      <c r="G360" s="122">
        <f>IF($D360="",0,MIN($D360,$D360*$F360*MAX(0,ROUNDDOWN((AmortismanRaporTarihi-$C360)/365,0))))</f>
        <v/>
      </c>
      <c r="H360" s="122">
        <f>IF($D360="",0,MAX(0,$D360-$G360))</f>
        <v/>
      </c>
      <c r="I360" s="122">
        <f>IF($B360="","",CONCATENATE("Örnek kıymet: ",$B360))</f>
        <v/>
      </c>
    </row>
    <row r="361" ht="15" customHeight="1" s="77">
      <c r="G361" s="122">
        <f>IF($D361="",0,MIN($D361,$D361*$F361*MAX(0,ROUNDDOWN((AmortismanRaporTarihi-$C361)/365,0))))</f>
        <v/>
      </c>
      <c r="H361" s="122">
        <f>IF($D361="",0,MAX(0,$D361-$G361))</f>
        <v/>
      </c>
      <c r="I361" s="122">
        <f>IF($B361="","",CONCATENATE("Örnek kıymet: ",$B361))</f>
        <v/>
      </c>
    </row>
    <row r="362" ht="15" customHeight="1" s="77">
      <c r="G362" s="122">
        <f>IF($D362="",0,MIN($D362,$D362*$F362*MAX(0,ROUNDDOWN((AmortismanRaporTarihi-$C362)/365,0))))</f>
        <v/>
      </c>
      <c r="H362" s="122">
        <f>IF($D362="",0,MAX(0,$D362-$G362))</f>
        <v/>
      </c>
      <c r="I362" s="122">
        <f>IF($B362="","",CONCATENATE("Örnek kıymet: ",$B362))</f>
        <v/>
      </c>
    </row>
    <row r="363" ht="15" customHeight="1" s="77">
      <c r="G363" s="122">
        <f>IF($D363="",0,MIN($D363,$D363*$F363*MAX(0,ROUNDDOWN((AmortismanRaporTarihi-$C363)/365,0))))</f>
        <v/>
      </c>
      <c r="H363" s="122">
        <f>IF($D363="",0,MAX(0,$D363-$G363))</f>
        <v/>
      </c>
      <c r="I363" s="122">
        <f>IF($B363="","",CONCATENATE("Örnek kıymet: ",$B363))</f>
        <v/>
      </c>
    </row>
    <row r="364" ht="15" customHeight="1" s="77">
      <c r="G364" s="122">
        <f>IF($D364="",0,MIN($D364,$D364*$F364*MAX(0,ROUNDDOWN((AmortismanRaporTarihi-$C364)/365,0))))</f>
        <v/>
      </c>
      <c r="H364" s="122">
        <f>IF($D364="",0,MAX(0,$D364-$G364))</f>
        <v/>
      </c>
      <c r="I364" s="122">
        <f>IF($B364="","",CONCATENATE("Örnek kıymet: ",$B364))</f>
        <v/>
      </c>
    </row>
    <row r="365" ht="15" customHeight="1" s="77">
      <c r="G365" s="122">
        <f>IF($D365="",0,MIN($D365,$D365*$F365*MAX(0,ROUNDDOWN((AmortismanRaporTarihi-$C365)/365,0))))</f>
        <v/>
      </c>
      <c r="H365" s="122">
        <f>IF($D365="",0,MAX(0,$D365-$G365))</f>
        <v/>
      </c>
      <c r="I365" s="122">
        <f>IF($B365="","",CONCATENATE("Örnek kıymet: ",$B365))</f>
        <v/>
      </c>
    </row>
    <row r="366" ht="15" customHeight="1" s="77">
      <c r="G366" s="122">
        <f>IF($D366="",0,MIN($D366,$D366*$F366*MAX(0,ROUNDDOWN((AmortismanRaporTarihi-$C366)/365,0))))</f>
        <v/>
      </c>
      <c r="H366" s="122">
        <f>IF($D366="",0,MAX(0,$D366-$G366))</f>
        <v/>
      </c>
      <c r="I366" s="122">
        <f>IF($B366="","",CONCATENATE("Örnek kıymet: ",$B366))</f>
        <v/>
      </c>
    </row>
    <row r="367" ht="15" customHeight="1" s="77">
      <c r="G367" s="122">
        <f>IF($D367="",0,MIN($D367,$D367*$F367*MAX(0,ROUNDDOWN((AmortismanRaporTarihi-$C367)/365,0))))</f>
        <v/>
      </c>
      <c r="H367" s="122">
        <f>IF($D367="",0,MAX(0,$D367-$G367))</f>
        <v/>
      </c>
      <c r="I367" s="122">
        <f>IF($B367="","",CONCATENATE("Örnek kıymet: ",$B367))</f>
        <v/>
      </c>
    </row>
    <row r="368" ht="15" customHeight="1" s="77">
      <c r="G368" s="122">
        <f>IF($D368="",0,MIN($D368,$D368*$F368*MAX(0,ROUNDDOWN((AmortismanRaporTarihi-$C368)/365,0))))</f>
        <v/>
      </c>
      <c r="H368" s="122">
        <f>IF($D368="",0,MAX(0,$D368-$G368))</f>
        <v/>
      </c>
      <c r="I368" s="122">
        <f>IF($B368="","",CONCATENATE("Örnek kıymet: ",$B368))</f>
        <v/>
      </c>
    </row>
    <row r="369" ht="15" customHeight="1" s="77">
      <c r="G369" s="122">
        <f>IF($D369="",0,MIN($D369,$D369*$F369*MAX(0,ROUNDDOWN((AmortismanRaporTarihi-$C369)/365,0))))</f>
        <v/>
      </c>
      <c r="H369" s="122">
        <f>IF($D369="",0,MAX(0,$D369-$G369))</f>
        <v/>
      </c>
      <c r="I369" s="122">
        <f>IF($B369="","",CONCATENATE("Örnek kıymet: ",$B369))</f>
        <v/>
      </c>
    </row>
    <row r="370" ht="15" customHeight="1" s="77">
      <c r="G370" s="122">
        <f>IF($D370="",0,MIN($D370,$D370*$F370*MAX(0,ROUNDDOWN((AmortismanRaporTarihi-$C370)/365,0))))</f>
        <v/>
      </c>
      <c r="H370" s="122">
        <f>IF($D370="",0,MAX(0,$D370-$G370))</f>
        <v/>
      </c>
      <c r="I370" s="122">
        <f>IF($B370="","",CONCATENATE("Örnek kıymet: ",$B370))</f>
        <v/>
      </c>
    </row>
    <row r="371" ht="15" customHeight="1" s="77">
      <c r="G371" s="122">
        <f>IF($D371="",0,MIN($D371,$D371*$F371*MAX(0,ROUNDDOWN((AmortismanRaporTarihi-$C371)/365,0))))</f>
        <v/>
      </c>
      <c r="H371" s="122">
        <f>IF($D371="",0,MAX(0,$D371-$G371))</f>
        <v/>
      </c>
      <c r="I371" s="122">
        <f>IF($B371="","",CONCATENATE("Örnek kıymet: ",$B371))</f>
        <v/>
      </c>
    </row>
    <row r="372" ht="15" customHeight="1" s="77">
      <c r="G372" s="122">
        <f>IF($D372="",0,MIN($D372,$D372*$F372*MAX(0,ROUNDDOWN((AmortismanRaporTarihi-$C372)/365,0))))</f>
        <v/>
      </c>
      <c r="H372" s="122">
        <f>IF($D372="",0,MAX(0,$D372-$G372))</f>
        <v/>
      </c>
      <c r="I372" s="122">
        <f>IF($B372="","",CONCATENATE("Örnek kıymet: ",$B372))</f>
        <v/>
      </c>
    </row>
    <row r="373" ht="15" customHeight="1" s="77">
      <c r="G373" s="122">
        <f>IF($D373="",0,MIN($D373,$D373*$F373*MAX(0,ROUNDDOWN((AmortismanRaporTarihi-$C373)/365,0))))</f>
        <v/>
      </c>
      <c r="H373" s="122">
        <f>IF($D373="",0,MAX(0,$D373-$G373))</f>
        <v/>
      </c>
      <c r="I373" s="122">
        <f>IF($B373="","",CONCATENATE("Örnek kıymet: ",$B373))</f>
        <v/>
      </c>
    </row>
    <row r="374" ht="15" customHeight="1" s="77">
      <c r="G374" s="122">
        <f>IF($D374="",0,MIN($D374,$D374*$F374*MAX(0,ROUNDDOWN((AmortismanRaporTarihi-$C374)/365,0))))</f>
        <v/>
      </c>
      <c r="H374" s="122">
        <f>IF($D374="",0,MAX(0,$D374-$G374))</f>
        <v/>
      </c>
      <c r="I374" s="122">
        <f>IF($B374="","",CONCATENATE("Örnek kıymet: ",$B374))</f>
        <v/>
      </c>
    </row>
    <row r="375" ht="15" customHeight="1" s="77">
      <c r="G375" s="122">
        <f>IF($D375="",0,MIN($D375,$D375*$F375*MAX(0,ROUNDDOWN((AmortismanRaporTarihi-$C375)/365,0))))</f>
        <v/>
      </c>
      <c r="H375" s="122">
        <f>IF($D375="",0,MAX(0,$D375-$G375))</f>
        <v/>
      </c>
      <c r="I375" s="122">
        <f>IF($B375="","",CONCATENATE("Örnek kıymet: ",$B375))</f>
        <v/>
      </c>
    </row>
    <row r="376" ht="15" customHeight="1" s="77">
      <c r="G376" s="122">
        <f>IF($D376="",0,MIN($D376,$D376*$F376*MAX(0,ROUNDDOWN((AmortismanRaporTarihi-$C376)/365,0))))</f>
        <v/>
      </c>
      <c r="H376" s="122">
        <f>IF($D376="",0,MAX(0,$D376-$G376))</f>
        <v/>
      </c>
      <c r="I376" s="122">
        <f>IF($B376="","",CONCATENATE("Örnek kıymet: ",$B376))</f>
        <v/>
      </c>
    </row>
    <row r="377" ht="15" customHeight="1" s="77">
      <c r="G377" s="122">
        <f>IF($D377="",0,MIN($D377,$D377*$F377*MAX(0,ROUNDDOWN((AmortismanRaporTarihi-$C377)/365,0))))</f>
        <v/>
      </c>
      <c r="H377" s="122">
        <f>IF($D377="",0,MAX(0,$D377-$G377))</f>
        <v/>
      </c>
      <c r="I377" s="122">
        <f>IF($B377="","",CONCATENATE("Örnek kıymet: ",$B377))</f>
        <v/>
      </c>
    </row>
    <row r="378" ht="15" customHeight="1" s="77">
      <c r="G378" s="122">
        <f>IF($D378="",0,MIN($D378,$D378*$F378*MAX(0,ROUNDDOWN((AmortismanRaporTarihi-$C378)/365,0))))</f>
        <v/>
      </c>
      <c r="H378" s="122">
        <f>IF($D378="",0,MAX(0,$D378-$G378))</f>
        <v/>
      </c>
      <c r="I378" s="122">
        <f>IF($B378="","",CONCATENATE("Örnek kıymet: ",$B378))</f>
        <v/>
      </c>
    </row>
    <row r="379" ht="15" customHeight="1" s="77">
      <c r="G379" s="122">
        <f>IF($D379="",0,MIN($D379,$D379*$F379*MAX(0,ROUNDDOWN((AmortismanRaporTarihi-$C379)/365,0))))</f>
        <v/>
      </c>
      <c r="H379" s="122">
        <f>IF($D379="",0,MAX(0,$D379-$G379))</f>
        <v/>
      </c>
      <c r="I379" s="122">
        <f>IF($B379="","",CONCATENATE("Örnek kıymet: ",$B379))</f>
        <v/>
      </c>
    </row>
    <row r="380" ht="15" customHeight="1" s="77">
      <c r="G380" s="122">
        <f>IF($D380="",0,MIN($D380,$D380*$F380*MAX(0,ROUNDDOWN((AmortismanRaporTarihi-$C380)/365,0))))</f>
        <v/>
      </c>
      <c r="H380" s="122">
        <f>IF($D380="",0,MAX(0,$D380-$G380))</f>
        <v/>
      </c>
      <c r="I380" s="122">
        <f>IF($B380="","",CONCATENATE("Örnek kıymet: ",$B380))</f>
        <v/>
      </c>
    </row>
    <row r="381" ht="15" customHeight="1" s="77">
      <c r="G381" s="122">
        <f>IF($D381="",0,MIN($D381,$D381*$F381*MAX(0,ROUNDDOWN((AmortismanRaporTarihi-$C381)/365,0))))</f>
        <v/>
      </c>
      <c r="H381" s="122">
        <f>IF($D381="",0,MAX(0,$D381-$G381))</f>
        <v/>
      </c>
      <c r="I381" s="122">
        <f>IF($B381="","",CONCATENATE("Örnek kıymet: ",$B381))</f>
        <v/>
      </c>
    </row>
    <row r="382" ht="15" customHeight="1" s="77">
      <c r="G382" s="122">
        <f>IF($D382="",0,MIN($D382,$D382*$F382*MAX(0,ROUNDDOWN((AmortismanRaporTarihi-$C382)/365,0))))</f>
        <v/>
      </c>
      <c r="H382" s="122">
        <f>IF($D382="",0,MAX(0,$D382-$G382))</f>
        <v/>
      </c>
      <c r="I382" s="122">
        <f>IF($B382="","",CONCATENATE("Örnek kıymet: ",$B382))</f>
        <v/>
      </c>
    </row>
    <row r="383" ht="15" customHeight="1" s="77">
      <c r="G383" s="122">
        <f>IF($D383="",0,MIN($D383,$D383*$F383*MAX(0,ROUNDDOWN((AmortismanRaporTarihi-$C383)/365,0))))</f>
        <v/>
      </c>
      <c r="H383" s="122">
        <f>IF($D383="",0,MAX(0,$D383-$G383))</f>
        <v/>
      </c>
      <c r="I383" s="122">
        <f>IF($B383="","",CONCATENATE("Örnek kıymet: ",$B383))</f>
        <v/>
      </c>
    </row>
    <row r="384" ht="15" customHeight="1" s="77">
      <c r="G384" s="122">
        <f>IF($D384="",0,MIN($D384,$D384*$F384*MAX(0,ROUNDDOWN((AmortismanRaporTarihi-$C384)/365,0))))</f>
        <v/>
      </c>
      <c r="H384" s="122">
        <f>IF($D384="",0,MAX(0,$D384-$G384))</f>
        <v/>
      </c>
      <c r="I384" s="122">
        <f>IF($B384="","",CONCATENATE("Örnek kıymet: ",$B384))</f>
        <v/>
      </c>
    </row>
    <row r="385" ht="15" customHeight="1" s="77">
      <c r="G385" s="122">
        <f>IF($D385="",0,MIN($D385,$D385*$F385*MAX(0,ROUNDDOWN((AmortismanRaporTarihi-$C385)/365,0))))</f>
        <v/>
      </c>
      <c r="H385" s="122">
        <f>IF($D385="",0,MAX(0,$D385-$G385))</f>
        <v/>
      </c>
      <c r="I385" s="122">
        <f>IF($B385="","",CONCATENATE("Örnek kıymet: ",$B385))</f>
        <v/>
      </c>
    </row>
    <row r="386" ht="15" customHeight="1" s="77">
      <c r="G386" s="122">
        <f>IF($D386="",0,MIN($D386,$D386*$F386*MAX(0,ROUNDDOWN((AmortismanRaporTarihi-$C386)/365,0))))</f>
        <v/>
      </c>
      <c r="H386" s="122">
        <f>IF($D386="",0,MAX(0,$D386-$G386))</f>
        <v/>
      </c>
      <c r="I386" s="122">
        <f>IF($B386="","",CONCATENATE("Örnek kıymet: ",$B386))</f>
        <v/>
      </c>
    </row>
    <row r="387" ht="15" customHeight="1" s="77">
      <c r="G387" s="122">
        <f>IF($D387="",0,MIN($D387,$D387*$F387*MAX(0,ROUNDDOWN((AmortismanRaporTarihi-$C387)/365,0))))</f>
        <v/>
      </c>
      <c r="H387" s="122">
        <f>IF($D387="",0,MAX(0,$D387-$G387))</f>
        <v/>
      </c>
      <c r="I387" s="122">
        <f>IF($B387="","",CONCATENATE("Örnek kıymet: ",$B387))</f>
        <v/>
      </c>
    </row>
    <row r="388" ht="15" customHeight="1" s="77">
      <c r="G388" s="122">
        <f>IF($D388="",0,MIN($D388,$D388*$F388*MAX(0,ROUNDDOWN((AmortismanRaporTarihi-$C388)/365,0))))</f>
        <v/>
      </c>
      <c r="H388" s="122">
        <f>IF($D388="",0,MAX(0,$D388-$G388))</f>
        <v/>
      </c>
      <c r="I388" s="122">
        <f>IF($B388="","",CONCATENATE("Örnek kıymet: ",$B388))</f>
        <v/>
      </c>
    </row>
    <row r="389" ht="15" customHeight="1" s="77">
      <c r="G389" s="122">
        <f>IF($D389="",0,MIN($D389,$D389*$F389*MAX(0,ROUNDDOWN((AmortismanRaporTarihi-$C389)/365,0))))</f>
        <v/>
      </c>
      <c r="H389" s="122">
        <f>IF($D389="",0,MAX(0,$D389-$G389))</f>
        <v/>
      </c>
      <c r="I389" s="122">
        <f>IF($B389="","",CONCATENATE("Örnek kıymet: ",$B389))</f>
        <v/>
      </c>
    </row>
    <row r="390" ht="15" customHeight="1" s="77">
      <c r="G390" s="122">
        <f>IF($D390="",0,MIN($D390,$D390*$F390*MAX(0,ROUNDDOWN((AmortismanRaporTarihi-$C390)/365,0))))</f>
        <v/>
      </c>
      <c r="H390" s="122">
        <f>IF($D390="",0,MAX(0,$D390-$G390))</f>
        <v/>
      </c>
      <c r="I390" s="122">
        <f>IF($B390="","",CONCATENATE("Örnek kıymet: ",$B390))</f>
        <v/>
      </c>
    </row>
    <row r="391" ht="15" customHeight="1" s="77">
      <c r="G391" s="122">
        <f>IF($D391="",0,MIN($D391,$D391*$F391*MAX(0,ROUNDDOWN((AmortismanRaporTarihi-$C391)/365,0))))</f>
        <v/>
      </c>
      <c r="H391" s="122">
        <f>IF($D391="",0,MAX(0,$D391-$G391))</f>
        <v/>
      </c>
      <c r="I391" s="122">
        <f>IF($B391="","",CONCATENATE("Örnek kıymet: ",$B391))</f>
        <v/>
      </c>
    </row>
    <row r="392" ht="15" customHeight="1" s="77">
      <c r="G392" s="122">
        <f>IF($D392="",0,MIN($D392,$D392*$F392*MAX(0,ROUNDDOWN((AmortismanRaporTarihi-$C392)/365,0))))</f>
        <v/>
      </c>
      <c r="H392" s="122">
        <f>IF($D392="",0,MAX(0,$D392-$G392))</f>
        <v/>
      </c>
      <c r="I392" s="122">
        <f>IF($B392="","",CONCATENATE("Örnek kıymet: ",$B392))</f>
        <v/>
      </c>
    </row>
    <row r="393" ht="15" customHeight="1" s="77">
      <c r="G393" s="122">
        <f>IF($D393="",0,MIN($D393,$D393*$F393*MAX(0,ROUNDDOWN((AmortismanRaporTarihi-$C393)/365,0))))</f>
        <v/>
      </c>
      <c r="H393" s="122">
        <f>IF($D393="",0,MAX(0,$D393-$G393))</f>
        <v/>
      </c>
      <c r="I393" s="122">
        <f>IF($B393="","",CONCATENATE("Örnek kıymet: ",$B393))</f>
        <v/>
      </c>
    </row>
    <row r="394" ht="15" customHeight="1" s="77">
      <c r="G394" s="122">
        <f>IF($D394="",0,MIN($D394,$D394*$F394*MAX(0,ROUNDDOWN((AmortismanRaporTarihi-$C394)/365,0))))</f>
        <v/>
      </c>
      <c r="H394" s="122">
        <f>IF($D394="",0,MAX(0,$D394-$G394))</f>
        <v/>
      </c>
      <c r="I394" s="122">
        <f>IF($B394="","",CONCATENATE("Örnek kıymet: ",$B394))</f>
        <v/>
      </c>
    </row>
    <row r="395" ht="15" customHeight="1" s="77">
      <c r="G395" s="122">
        <f>IF($D395="",0,MIN($D395,$D395*$F395*MAX(0,ROUNDDOWN((AmortismanRaporTarihi-$C395)/365,0))))</f>
        <v/>
      </c>
      <c r="H395" s="122">
        <f>IF($D395="",0,MAX(0,$D395-$G395))</f>
        <v/>
      </c>
      <c r="I395" s="122">
        <f>IF($B395="","",CONCATENATE("Örnek kıymet: ",$B395))</f>
        <v/>
      </c>
    </row>
    <row r="396" ht="15" customHeight="1" s="77">
      <c r="G396" s="122">
        <f>IF($D396="",0,MIN($D396,$D396*$F396*MAX(0,ROUNDDOWN((AmortismanRaporTarihi-$C396)/365,0))))</f>
        <v/>
      </c>
      <c r="H396" s="122">
        <f>IF($D396="",0,MAX(0,$D396-$G396))</f>
        <v/>
      </c>
      <c r="I396" s="122">
        <f>IF($B396="","",CONCATENATE("Örnek kıymet: ",$B396))</f>
        <v/>
      </c>
    </row>
    <row r="397" ht="15" customHeight="1" s="77">
      <c r="G397" s="122">
        <f>IF($D397="",0,MIN($D397,$D397*$F397*MAX(0,ROUNDDOWN((AmortismanRaporTarihi-$C397)/365,0))))</f>
        <v/>
      </c>
      <c r="H397" s="122">
        <f>IF($D397="",0,MAX(0,$D397-$G397))</f>
        <v/>
      </c>
      <c r="I397" s="122">
        <f>IF($B397="","",CONCATENATE("Örnek kıymet: ",$B397))</f>
        <v/>
      </c>
    </row>
    <row r="398" ht="15" customHeight="1" s="77">
      <c r="G398" s="122">
        <f>IF($D398="",0,MIN($D398,$D398*$F398*MAX(0,ROUNDDOWN((AmortismanRaporTarihi-$C398)/365,0))))</f>
        <v/>
      </c>
      <c r="H398" s="122">
        <f>IF($D398="",0,MAX(0,$D398-$G398))</f>
        <v/>
      </c>
      <c r="I398" s="122">
        <f>IF($B398="","",CONCATENATE("Örnek kıymet: ",$B398))</f>
        <v/>
      </c>
    </row>
    <row r="399" ht="15" customHeight="1" s="77">
      <c r="G399" s="122">
        <f>IF($D399="",0,MIN($D399,$D399*$F399*MAX(0,ROUNDDOWN((AmortismanRaporTarihi-$C399)/365,0))))</f>
        <v/>
      </c>
      <c r="H399" s="122">
        <f>IF($D399="",0,MAX(0,$D399-$G399))</f>
        <v/>
      </c>
      <c r="I399" s="122">
        <f>IF($B399="","",CONCATENATE("Örnek kıymet: ",$B399))</f>
        <v/>
      </c>
    </row>
    <row r="400" ht="15" customHeight="1" s="77">
      <c r="G400" s="122">
        <f>IF($D400="",0,MIN($D400,$D400*$F400*MAX(0,ROUNDDOWN((AmortismanRaporTarihi-$C400)/365,0))))</f>
        <v/>
      </c>
      <c r="H400" s="122">
        <f>IF($D400="",0,MAX(0,$D400-$G400))</f>
        <v/>
      </c>
      <c r="I400" s="122">
        <f>IF($B400="","",CONCATENATE("Örnek kıymet: ",$B400))</f>
        <v/>
      </c>
    </row>
    <row r="401" ht="15" customHeight="1" s="77">
      <c r="G401" s="122">
        <f>IF($D401="",0,MIN($D401,$D401*$F401*MAX(0,ROUNDDOWN((AmortismanRaporTarihi-$C401)/365,0))))</f>
        <v/>
      </c>
      <c r="H401" s="122">
        <f>IF($D401="",0,MAX(0,$D401-$G401))</f>
        <v/>
      </c>
      <c r="I401" s="122">
        <f>IF($B401="","",CONCATENATE("Örnek kıymet: ",$B401))</f>
        <v/>
      </c>
    </row>
    <row r="402" ht="15" customHeight="1" s="77">
      <c r="G402" s="122">
        <f>IF($D402="",0,MIN($D402,$D402*$F402*MAX(0,ROUNDDOWN((AmortismanRaporTarihi-$C402)/365,0))))</f>
        <v/>
      </c>
      <c r="H402" s="122">
        <f>IF($D402="",0,MAX(0,$D402-$G402))</f>
        <v/>
      </c>
      <c r="I402" s="122">
        <f>IF($B402="","",CONCATENATE("Örnek kıymet: ",$B402))</f>
        <v/>
      </c>
    </row>
    <row r="403" ht="15" customHeight="1" s="77">
      <c r="G403" s="122">
        <f>IF($D403="",0,MIN($D403,$D403*$F403*MAX(0,ROUNDDOWN((AmortismanRaporTarihi-$C403)/365,0))))</f>
        <v/>
      </c>
      <c r="H403" s="122">
        <f>IF($D403="",0,MAX(0,$D403-$G403))</f>
        <v/>
      </c>
      <c r="I403" s="122">
        <f>IF($B403="","",CONCATENATE("Örnek kıymet: ",$B403))</f>
        <v/>
      </c>
    </row>
    <row r="404" ht="15" customHeight="1" s="77">
      <c r="G404" s="122">
        <f>IF($D404="",0,MIN($D404,$D404*$F404*MAX(0,ROUNDDOWN((AmortismanRaporTarihi-$C404)/365,0))))</f>
        <v/>
      </c>
      <c r="H404" s="122">
        <f>IF($D404="",0,MAX(0,$D404-$G404))</f>
        <v/>
      </c>
      <c r="I404" s="122">
        <f>IF($B404="","",CONCATENATE("Örnek kıymet: ",$B404))</f>
        <v/>
      </c>
    </row>
    <row r="405" ht="15" customHeight="1" s="77">
      <c r="G405" s="122">
        <f>IF($D405="",0,MIN($D405,$D405*$F405*MAX(0,ROUNDDOWN((AmortismanRaporTarihi-$C405)/365,0))))</f>
        <v/>
      </c>
      <c r="H405" s="122">
        <f>IF($D405="",0,MAX(0,$D405-$G405))</f>
        <v/>
      </c>
      <c r="I405" s="122">
        <f>IF($B405="","",CONCATENATE("Örnek kıymet: ",$B405))</f>
        <v/>
      </c>
    </row>
    <row r="406" ht="15" customHeight="1" s="77">
      <c r="G406" s="122">
        <f>IF($D406="",0,MIN($D406,$D406*$F406*MAX(0,ROUNDDOWN((AmortismanRaporTarihi-$C406)/365,0))))</f>
        <v/>
      </c>
      <c r="H406" s="122">
        <f>IF($D406="",0,MAX(0,$D406-$G406))</f>
        <v/>
      </c>
      <c r="I406" s="122">
        <f>IF($B406="","",CONCATENATE("Örnek kıymet: ",$B406))</f>
        <v/>
      </c>
    </row>
    <row r="407" ht="15" customHeight="1" s="77">
      <c r="G407" s="122">
        <f>IF($D407="",0,MIN($D407,$D407*$F407*MAX(0,ROUNDDOWN((AmortismanRaporTarihi-$C407)/365,0))))</f>
        <v/>
      </c>
      <c r="H407" s="122">
        <f>IF($D407="",0,MAX(0,$D407-$G407))</f>
        <v/>
      </c>
      <c r="I407" s="122">
        <f>IF($B407="","",CONCATENATE("Örnek kıymet: ",$B407))</f>
        <v/>
      </c>
    </row>
    <row r="408" ht="15" customHeight="1" s="77">
      <c r="G408" s="122">
        <f>IF($D408="",0,MIN($D408,$D408*$F408*MAX(0,ROUNDDOWN((AmortismanRaporTarihi-$C408)/365,0))))</f>
        <v/>
      </c>
      <c r="H408" s="122">
        <f>IF($D408="",0,MAX(0,$D408-$G408))</f>
        <v/>
      </c>
      <c r="I408" s="122">
        <f>IF($B408="","",CONCATENATE("Örnek kıymet: ",$B408))</f>
        <v/>
      </c>
    </row>
    <row r="409" ht="15" customHeight="1" s="77">
      <c r="G409" s="122">
        <f>IF($D409="",0,MIN($D409,$D409*$F409*MAX(0,ROUNDDOWN((AmortismanRaporTarihi-$C409)/365,0))))</f>
        <v/>
      </c>
      <c r="H409" s="122">
        <f>IF($D409="",0,MAX(0,$D409-$G409))</f>
        <v/>
      </c>
      <c r="I409" s="122">
        <f>IF($B409="","",CONCATENATE("Örnek kıymet: ",$B409))</f>
        <v/>
      </c>
    </row>
    <row r="410" ht="15" customHeight="1" s="77">
      <c r="G410" s="122">
        <f>IF($D410="",0,MIN($D410,$D410*$F410*MAX(0,ROUNDDOWN((AmortismanRaporTarihi-$C410)/365,0))))</f>
        <v/>
      </c>
      <c r="H410" s="122">
        <f>IF($D410="",0,MAX(0,$D410-$G410))</f>
        <v/>
      </c>
      <c r="I410" s="122">
        <f>IF($B410="","",CONCATENATE("Örnek kıymet: ",$B410))</f>
        <v/>
      </c>
    </row>
    <row r="411" ht="15" customHeight="1" s="77">
      <c r="G411" s="122">
        <f>IF($D411="",0,MIN($D411,$D411*$F411*MAX(0,ROUNDDOWN((AmortismanRaporTarihi-$C411)/365,0))))</f>
        <v/>
      </c>
      <c r="H411" s="122">
        <f>IF($D411="",0,MAX(0,$D411-$G411))</f>
        <v/>
      </c>
      <c r="I411" s="122">
        <f>IF($B411="","",CONCATENATE("Örnek kıymet: ",$B411))</f>
        <v/>
      </c>
    </row>
    <row r="412" ht="15" customHeight="1" s="77">
      <c r="G412" s="122">
        <f>IF($D412="",0,MIN($D412,$D412*$F412*MAX(0,ROUNDDOWN((AmortismanRaporTarihi-$C412)/365,0))))</f>
        <v/>
      </c>
      <c r="H412" s="122">
        <f>IF($D412="",0,MAX(0,$D412-$G412))</f>
        <v/>
      </c>
      <c r="I412" s="122">
        <f>IF($B412="","",CONCATENATE("Örnek kıymet: ",$B412))</f>
        <v/>
      </c>
    </row>
    <row r="413" ht="15" customHeight="1" s="77">
      <c r="G413" s="122">
        <f>IF($D413="",0,MIN($D413,$D413*$F413*MAX(0,ROUNDDOWN((AmortismanRaporTarihi-$C413)/365,0))))</f>
        <v/>
      </c>
      <c r="H413" s="122">
        <f>IF($D413="",0,MAX(0,$D413-$G413))</f>
        <v/>
      </c>
      <c r="I413" s="122">
        <f>IF($B413="","",CONCATENATE("Örnek kıymet: ",$B413))</f>
        <v/>
      </c>
    </row>
    <row r="414" ht="15" customHeight="1" s="77">
      <c r="G414" s="122">
        <f>IF($D414="",0,MIN($D414,$D414*$F414*MAX(0,ROUNDDOWN((AmortismanRaporTarihi-$C414)/365,0))))</f>
        <v/>
      </c>
      <c r="H414" s="122">
        <f>IF($D414="",0,MAX(0,$D414-$G414))</f>
        <v/>
      </c>
      <c r="I414" s="122">
        <f>IF($B414="","",CONCATENATE("Örnek kıymet: ",$B414))</f>
        <v/>
      </c>
    </row>
    <row r="415" ht="15" customHeight="1" s="77">
      <c r="G415" s="122">
        <f>IF($D415="",0,MIN($D415,$D415*$F415*MAX(0,ROUNDDOWN((AmortismanRaporTarihi-$C415)/365,0))))</f>
        <v/>
      </c>
      <c r="H415" s="122">
        <f>IF($D415="",0,MAX(0,$D415-$G415))</f>
        <v/>
      </c>
      <c r="I415" s="122">
        <f>IF($B415="","",CONCATENATE("Örnek kıymet: ",$B415))</f>
        <v/>
      </c>
    </row>
    <row r="416" ht="15" customHeight="1" s="77">
      <c r="G416" s="122">
        <f>IF($D416="",0,MIN($D416,$D416*$F416*MAX(0,ROUNDDOWN((AmortismanRaporTarihi-$C416)/365,0))))</f>
        <v/>
      </c>
      <c r="H416" s="122">
        <f>IF($D416="",0,MAX(0,$D416-$G416))</f>
        <v/>
      </c>
      <c r="I416" s="122">
        <f>IF($B416="","",CONCATENATE("Örnek kıymet: ",$B416))</f>
        <v/>
      </c>
    </row>
    <row r="417" ht="15" customHeight="1" s="77">
      <c r="G417" s="122">
        <f>IF($D417="",0,MIN($D417,$D417*$F417*MAX(0,ROUNDDOWN((AmortismanRaporTarihi-$C417)/365,0))))</f>
        <v/>
      </c>
      <c r="H417" s="122">
        <f>IF($D417="",0,MAX(0,$D417-$G417))</f>
        <v/>
      </c>
      <c r="I417" s="122">
        <f>IF($B417="","",CONCATENATE("Örnek kıymet: ",$B417))</f>
        <v/>
      </c>
    </row>
    <row r="418" ht="15" customHeight="1" s="77">
      <c r="G418" s="122">
        <f>IF($D418="",0,MIN($D418,$D418*$F418*MAX(0,ROUNDDOWN((AmortismanRaporTarihi-$C418)/365,0))))</f>
        <v/>
      </c>
      <c r="H418" s="122">
        <f>IF($D418="",0,MAX(0,$D418-$G418))</f>
        <v/>
      </c>
      <c r="I418" s="122">
        <f>IF($B418="","",CONCATENATE("Örnek kıymet: ",$B418))</f>
        <v/>
      </c>
    </row>
    <row r="419" ht="15" customHeight="1" s="77">
      <c r="G419" s="122">
        <f>IF($D419="",0,MIN($D419,$D419*$F419*MAX(0,ROUNDDOWN((AmortismanRaporTarihi-$C419)/365,0))))</f>
        <v/>
      </c>
      <c r="H419" s="122">
        <f>IF($D419="",0,MAX(0,$D419-$G419))</f>
        <v/>
      </c>
      <c r="I419" s="122">
        <f>IF($B419="","",CONCATENATE("Örnek kıymet: ",$B419))</f>
        <v/>
      </c>
    </row>
    <row r="420" ht="15" customHeight="1" s="77">
      <c r="G420" s="122">
        <f>IF($D420="",0,MIN($D420,$D420*$F420*MAX(0,ROUNDDOWN((AmortismanRaporTarihi-$C420)/365,0))))</f>
        <v/>
      </c>
      <c r="H420" s="122">
        <f>IF($D420="",0,MAX(0,$D420-$G420))</f>
        <v/>
      </c>
      <c r="I420" s="122">
        <f>IF($B420="","",CONCATENATE("Örnek kıymet: ",$B420))</f>
        <v/>
      </c>
    </row>
    <row r="421" ht="15" customHeight="1" s="77">
      <c r="G421" s="122">
        <f>IF($D421="",0,MIN($D421,$D421*$F421*MAX(0,ROUNDDOWN((AmortismanRaporTarihi-$C421)/365,0))))</f>
        <v/>
      </c>
      <c r="H421" s="122">
        <f>IF($D421="",0,MAX(0,$D421-$G421))</f>
        <v/>
      </c>
      <c r="I421" s="122">
        <f>IF($B421="","",CONCATENATE("Örnek kıymet: ",$B421))</f>
        <v/>
      </c>
    </row>
    <row r="422" ht="15" customHeight="1" s="77">
      <c r="G422" s="122">
        <f>IF($D422="",0,MIN($D422,$D422*$F422*MAX(0,ROUNDDOWN((AmortismanRaporTarihi-$C422)/365,0))))</f>
        <v/>
      </c>
      <c r="H422" s="122">
        <f>IF($D422="",0,MAX(0,$D422-$G422))</f>
        <v/>
      </c>
      <c r="I422" s="122">
        <f>IF($B422="","",CONCATENATE("Örnek kıymet: ",$B422))</f>
        <v/>
      </c>
    </row>
    <row r="423" ht="15" customHeight="1" s="77">
      <c r="G423" s="122">
        <f>IF($D423="",0,MIN($D423,$D423*$F423*MAX(0,ROUNDDOWN((AmortismanRaporTarihi-$C423)/365,0))))</f>
        <v/>
      </c>
      <c r="H423" s="122">
        <f>IF($D423="",0,MAX(0,$D423-$G423))</f>
        <v/>
      </c>
      <c r="I423" s="122">
        <f>IF($B423="","",CONCATENATE("Örnek kıymet: ",$B423))</f>
        <v/>
      </c>
    </row>
    <row r="424" ht="15" customHeight="1" s="77">
      <c r="G424" s="122">
        <f>IF($D424="",0,MIN($D424,$D424*$F424*MAX(0,ROUNDDOWN((AmortismanRaporTarihi-$C424)/365,0))))</f>
        <v/>
      </c>
      <c r="H424" s="122">
        <f>IF($D424="",0,MAX(0,$D424-$G424))</f>
        <v/>
      </c>
      <c r="I424" s="122">
        <f>IF($B424="","",CONCATENATE("Örnek kıymet: ",$B424))</f>
        <v/>
      </c>
    </row>
    <row r="425" ht="15" customHeight="1" s="77">
      <c r="G425" s="122">
        <f>IF($D425="",0,MIN($D425,$D425*$F425*MAX(0,ROUNDDOWN((AmortismanRaporTarihi-$C425)/365,0))))</f>
        <v/>
      </c>
      <c r="H425" s="122">
        <f>IF($D425="",0,MAX(0,$D425-$G425))</f>
        <v/>
      </c>
      <c r="I425" s="122">
        <f>IF($B425="","",CONCATENATE("Örnek kıymet: ",$B425))</f>
        <v/>
      </c>
    </row>
    <row r="426" ht="15" customHeight="1" s="77">
      <c r="G426" s="122">
        <f>IF($D426="",0,MIN($D426,$D426*$F426*MAX(0,ROUNDDOWN((AmortismanRaporTarihi-$C426)/365,0))))</f>
        <v/>
      </c>
      <c r="H426" s="122">
        <f>IF($D426="",0,MAX(0,$D426-$G426))</f>
        <v/>
      </c>
      <c r="I426" s="122">
        <f>IF($B426="","",CONCATENATE("Örnek kıymet: ",$B426))</f>
        <v/>
      </c>
    </row>
    <row r="427" ht="15" customHeight="1" s="77">
      <c r="G427" s="122">
        <f>IF($D427="",0,MIN($D427,$D427*$F427*MAX(0,ROUNDDOWN((AmortismanRaporTarihi-$C427)/365,0))))</f>
        <v/>
      </c>
      <c r="H427" s="122">
        <f>IF($D427="",0,MAX(0,$D427-$G427))</f>
        <v/>
      </c>
      <c r="I427" s="122">
        <f>IF($B427="","",CONCATENATE("Örnek kıymet: ",$B427))</f>
        <v/>
      </c>
    </row>
    <row r="428" ht="15" customHeight="1" s="77">
      <c r="G428" s="122">
        <f>IF($D428="",0,MIN($D428,$D428*$F428*MAX(0,ROUNDDOWN((AmortismanRaporTarihi-$C428)/365,0))))</f>
        <v/>
      </c>
      <c r="H428" s="122">
        <f>IF($D428="",0,MAX(0,$D428-$G428))</f>
        <v/>
      </c>
      <c r="I428" s="122">
        <f>IF($B428="","",CONCATENATE("Örnek kıymet: ",$B428))</f>
        <v/>
      </c>
    </row>
    <row r="429" ht="15" customHeight="1" s="77">
      <c r="G429" s="122">
        <f>IF($D429="",0,MIN($D429,$D429*$F429*MAX(0,ROUNDDOWN((AmortismanRaporTarihi-$C429)/365,0))))</f>
        <v/>
      </c>
      <c r="H429" s="122">
        <f>IF($D429="",0,MAX(0,$D429-$G429))</f>
        <v/>
      </c>
      <c r="I429" s="122">
        <f>IF($B429="","",CONCATENATE("Örnek kıymet: ",$B429))</f>
        <v/>
      </c>
    </row>
    <row r="430" ht="15" customHeight="1" s="77">
      <c r="G430" s="122">
        <f>IF($D430="",0,MIN($D430,$D430*$F430*MAX(0,ROUNDDOWN((AmortismanRaporTarihi-$C430)/365,0))))</f>
        <v/>
      </c>
      <c r="H430" s="122">
        <f>IF($D430="",0,MAX(0,$D430-$G430))</f>
        <v/>
      </c>
      <c r="I430" s="122">
        <f>IF($B430="","",CONCATENATE("Örnek kıymet: ",$B430))</f>
        <v/>
      </c>
    </row>
    <row r="431" ht="15" customHeight="1" s="77">
      <c r="G431" s="122">
        <f>IF($D431="",0,MIN($D431,$D431*$F431*MAX(0,ROUNDDOWN((AmortismanRaporTarihi-$C431)/365,0))))</f>
        <v/>
      </c>
      <c r="H431" s="122">
        <f>IF($D431="",0,MAX(0,$D431-$G431))</f>
        <v/>
      </c>
      <c r="I431" s="122">
        <f>IF($B431="","",CONCATENATE("Örnek kıymet: ",$B431))</f>
        <v/>
      </c>
    </row>
    <row r="432" ht="15" customHeight="1" s="77">
      <c r="G432" s="122">
        <f>IF($D432="",0,MIN($D432,$D432*$F432*MAX(0,ROUNDDOWN((AmortismanRaporTarihi-$C432)/365,0))))</f>
        <v/>
      </c>
      <c r="H432" s="122">
        <f>IF($D432="",0,MAX(0,$D432-$G432))</f>
        <v/>
      </c>
      <c r="I432" s="122">
        <f>IF($B432="","",CONCATENATE("Örnek kıymet: ",$B432))</f>
        <v/>
      </c>
    </row>
    <row r="433" ht="15" customHeight="1" s="77">
      <c r="G433" s="122">
        <f>IF($D433="",0,MIN($D433,$D433*$F433*MAX(0,ROUNDDOWN((AmortismanRaporTarihi-$C433)/365,0))))</f>
        <v/>
      </c>
      <c r="H433" s="122">
        <f>IF($D433="",0,MAX(0,$D433-$G433))</f>
        <v/>
      </c>
      <c r="I433" s="122">
        <f>IF($B433="","",CONCATENATE("Örnek kıymet: ",$B433))</f>
        <v/>
      </c>
    </row>
    <row r="434" ht="15" customHeight="1" s="77">
      <c r="G434" s="122">
        <f>IF($D434="",0,MIN($D434,$D434*$F434*MAX(0,ROUNDDOWN((AmortismanRaporTarihi-$C434)/365,0))))</f>
        <v/>
      </c>
      <c r="H434" s="122">
        <f>IF($D434="",0,MAX(0,$D434-$G434))</f>
        <v/>
      </c>
      <c r="I434" s="122">
        <f>IF($B434="","",CONCATENATE("Örnek kıymet: ",$B434))</f>
        <v/>
      </c>
    </row>
    <row r="435" ht="15" customHeight="1" s="77">
      <c r="G435" s="122">
        <f>IF($D435="",0,MIN($D435,$D435*$F435*MAX(0,ROUNDDOWN((AmortismanRaporTarihi-$C435)/365,0))))</f>
        <v/>
      </c>
      <c r="H435" s="122">
        <f>IF($D435="",0,MAX(0,$D435-$G435))</f>
        <v/>
      </c>
      <c r="I435" s="122">
        <f>IF($B435="","",CONCATENATE("Örnek kıymet: ",$B435))</f>
        <v/>
      </c>
    </row>
    <row r="436" ht="15" customHeight="1" s="77">
      <c r="G436" s="122">
        <f>IF($D436="",0,MIN($D436,$D436*$F436*MAX(0,ROUNDDOWN((AmortismanRaporTarihi-$C436)/365,0))))</f>
        <v/>
      </c>
      <c r="H436" s="122">
        <f>IF($D436="",0,MAX(0,$D436-$G436))</f>
        <v/>
      </c>
      <c r="I436" s="122">
        <f>IF($B436="","",CONCATENATE("Örnek kıymet: ",$B436))</f>
        <v/>
      </c>
    </row>
    <row r="437" ht="15" customHeight="1" s="77">
      <c r="G437" s="122">
        <f>IF($D437="",0,MIN($D437,$D437*$F437*MAX(0,ROUNDDOWN((AmortismanRaporTarihi-$C437)/365,0))))</f>
        <v/>
      </c>
      <c r="H437" s="122">
        <f>IF($D437="",0,MAX(0,$D437-$G437))</f>
        <v/>
      </c>
      <c r="I437" s="122">
        <f>IF($B437="","",CONCATENATE("Örnek kıymet: ",$B437))</f>
        <v/>
      </c>
    </row>
    <row r="438" ht="15" customHeight="1" s="77">
      <c r="G438" s="122">
        <f>IF($D438="",0,MIN($D438,$D438*$F438*MAX(0,ROUNDDOWN((AmortismanRaporTarihi-$C438)/365,0))))</f>
        <v/>
      </c>
      <c r="H438" s="122">
        <f>IF($D438="",0,MAX(0,$D438-$G438))</f>
        <v/>
      </c>
      <c r="I438" s="122">
        <f>IF($B438="","",CONCATENATE("Örnek kıymet: ",$B438))</f>
        <v/>
      </c>
    </row>
    <row r="439" ht="15" customHeight="1" s="77">
      <c r="G439" s="122">
        <f>IF($D439="",0,MIN($D439,$D439*$F439*MAX(0,ROUNDDOWN((AmortismanRaporTarihi-$C439)/365,0))))</f>
        <v/>
      </c>
      <c r="H439" s="122">
        <f>IF($D439="",0,MAX(0,$D439-$G439))</f>
        <v/>
      </c>
      <c r="I439" s="122">
        <f>IF($B439="","",CONCATENATE("Örnek kıymet: ",$B439))</f>
        <v/>
      </c>
    </row>
    <row r="440" ht="15" customHeight="1" s="77">
      <c r="G440" s="122">
        <f>IF($D440="",0,MIN($D440,$D440*$F440*MAX(0,ROUNDDOWN((AmortismanRaporTarihi-$C440)/365,0))))</f>
        <v/>
      </c>
      <c r="H440" s="122">
        <f>IF($D440="",0,MAX(0,$D440-$G440))</f>
        <v/>
      </c>
      <c r="I440" s="122">
        <f>IF($B440="","",CONCATENATE("Örnek kıymet: ",$B440))</f>
        <v/>
      </c>
    </row>
    <row r="441" ht="15" customHeight="1" s="77">
      <c r="G441" s="122">
        <f>IF($D441="",0,MIN($D441,$D441*$F441*MAX(0,ROUNDDOWN((AmortismanRaporTarihi-$C441)/365,0))))</f>
        <v/>
      </c>
      <c r="H441" s="122">
        <f>IF($D441="",0,MAX(0,$D441-$G441))</f>
        <v/>
      </c>
      <c r="I441" s="122">
        <f>IF($B441="","",CONCATENATE("Örnek kıymet: ",$B441))</f>
        <v/>
      </c>
    </row>
    <row r="442" ht="15" customHeight="1" s="77">
      <c r="G442" s="122">
        <f>IF($D442="",0,MIN($D442,$D442*$F442*MAX(0,ROUNDDOWN((AmortismanRaporTarihi-$C442)/365,0))))</f>
        <v/>
      </c>
      <c r="H442" s="122">
        <f>IF($D442="",0,MAX(0,$D442-$G442))</f>
        <v/>
      </c>
      <c r="I442" s="122">
        <f>IF($B442="","",CONCATENATE("Örnek kıymet: ",$B442))</f>
        <v/>
      </c>
    </row>
    <row r="443" ht="15" customHeight="1" s="77">
      <c r="G443" s="122">
        <f>IF($D443="",0,MIN($D443,$D443*$F443*MAX(0,ROUNDDOWN((AmortismanRaporTarihi-$C443)/365,0))))</f>
        <v/>
      </c>
      <c r="H443" s="122">
        <f>IF($D443="",0,MAX(0,$D443-$G443))</f>
        <v/>
      </c>
      <c r="I443" s="122">
        <f>IF($B443="","",CONCATENATE("Örnek kıymet: ",$B443))</f>
        <v/>
      </c>
    </row>
    <row r="444" ht="15" customHeight="1" s="77">
      <c r="G444" s="122">
        <f>IF($D444="",0,MIN($D444,$D444*$F444*MAX(0,ROUNDDOWN((AmortismanRaporTarihi-$C444)/365,0))))</f>
        <v/>
      </c>
      <c r="H444" s="122">
        <f>IF($D444="",0,MAX(0,$D444-$G444))</f>
        <v/>
      </c>
      <c r="I444" s="122">
        <f>IF($B444="","",CONCATENATE("Örnek kıymet: ",$B444))</f>
        <v/>
      </c>
    </row>
    <row r="445" ht="15" customHeight="1" s="77">
      <c r="G445" s="122">
        <f>IF($D445="",0,MIN($D445,$D445*$F445*MAX(0,ROUNDDOWN((AmortismanRaporTarihi-$C445)/365,0))))</f>
        <v/>
      </c>
      <c r="H445" s="122">
        <f>IF($D445="",0,MAX(0,$D445-$G445))</f>
        <v/>
      </c>
      <c r="I445" s="122">
        <f>IF($B445="","",CONCATENATE("Örnek kıymet: ",$B445))</f>
        <v/>
      </c>
    </row>
    <row r="446" ht="15" customHeight="1" s="77">
      <c r="G446" s="122">
        <f>IF($D446="",0,MIN($D446,$D446*$F446*MAX(0,ROUNDDOWN((AmortismanRaporTarihi-$C446)/365,0))))</f>
        <v/>
      </c>
      <c r="H446" s="122">
        <f>IF($D446="",0,MAX(0,$D446-$G446))</f>
        <v/>
      </c>
      <c r="I446" s="122">
        <f>IF($B446="","",CONCATENATE("Örnek kıymet: ",$B446))</f>
        <v/>
      </c>
    </row>
    <row r="447" ht="15" customHeight="1" s="77">
      <c r="G447" s="122">
        <f>IF($D447="",0,MIN($D447,$D447*$F447*MAX(0,ROUNDDOWN((AmortismanRaporTarihi-$C447)/365,0))))</f>
        <v/>
      </c>
      <c r="H447" s="122">
        <f>IF($D447="",0,MAX(0,$D447-$G447))</f>
        <v/>
      </c>
      <c r="I447" s="122">
        <f>IF($B447="","",CONCATENATE("Örnek kıymet: ",$B447))</f>
        <v/>
      </c>
    </row>
    <row r="448" ht="15" customHeight="1" s="77">
      <c r="G448" s="122">
        <f>IF($D448="",0,MIN($D448,$D448*$F448*MAX(0,ROUNDDOWN((AmortismanRaporTarihi-$C448)/365,0))))</f>
        <v/>
      </c>
      <c r="H448" s="122">
        <f>IF($D448="",0,MAX(0,$D448-$G448))</f>
        <v/>
      </c>
      <c r="I448" s="122">
        <f>IF($B448="","",CONCATENATE("Örnek kıymet: ",$B448))</f>
        <v/>
      </c>
    </row>
    <row r="449" ht="15" customHeight="1" s="77">
      <c r="G449" s="122">
        <f>IF($D449="",0,MIN($D449,$D449*$F449*MAX(0,ROUNDDOWN((AmortismanRaporTarihi-$C449)/365,0))))</f>
        <v/>
      </c>
      <c r="H449" s="122">
        <f>IF($D449="",0,MAX(0,$D449-$G449))</f>
        <v/>
      </c>
      <c r="I449" s="122">
        <f>IF($B449="","",CONCATENATE("Örnek kıymet: ",$B449))</f>
        <v/>
      </c>
    </row>
    <row r="450" ht="15" customHeight="1" s="77">
      <c r="G450" s="122">
        <f>IF($D450="",0,MIN($D450,$D450*$F450*MAX(0,ROUNDDOWN((AmortismanRaporTarihi-$C450)/365,0))))</f>
        <v/>
      </c>
      <c r="H450" s="122">
        <f>IF($D450="",0,MAX(0,$D450-$G450))</f>
        <v/>
      </c>
      <c r="I450" s="122">
        <f>IF($B450="","",CONCATENATE("Örnek kıymet: ",$B450))</f>
        <v/>
      </c>
    </row>
    <row r="451" ht="15" customHeight="1" s="77">
      <c r="G451" s="122">
        <f>IF($D451="",0,MIN($D451,$D451*$F451*MAX(0,ROUNDDOWN((AmortismanRaporTarihi-$C451)/365,0))))</f>
        <v/>
      </c>
      <c r="H451" s="122">
        <f>IF($D451="",0,MAX(0,$D451-$G451))</f>
        <v/>
      </c>
      <c r="I451" s="122">
        <f>IF($B451="","",CONCATENATE("Örnek kıymet: ",$B451))</f>
        <v/>
      </c>
    </row>
    <row r="452" ht="15" customHeight="1" s="77">
      <c r="G452" s="122">
        <f>IF($D452="",0,MIN($D452,$D452*$F452*MAX(0,ROUNDDOWN((AmortismanRaporTarihi-$C452)/365,0))))</f>
        <v/>
      </c>
      <c r="H452" s="122">
        <f>IF($D452="",0,MAX(0,$D452-$G452))</f>
        <v/>
      </c>
      <c r="I452" s="122">
        <f>IF($B452="","",CONCATENATE("Örnek kıymet: ",$B452))</f>
        <v/>
      </c>
    </row>
    <row r="453" ht="15" customHeight="1" s="77">
      <c r="G453" s="122">
        <f>IF($D453="",0,MIN($D453,$D453*$F453*MAX(0,ROUNDDOWN((AmortismanRaporTarihi-$C453)/365,0))))</f>
        <v/>
      </c>
      <c r="H453" s="122">
        <f>IF($D453="",0,MAX(0,$D453-$G453))</f>
        <v/>
      </c>
      <c r="I453" s="122">
        <f>IF($B453="","",CONCATENATE("Örnek kıymet: ",$B453))</f>
        <v/>
      </c>
    </row>
    <row r="454" ht="15" customHeight="1" s="77">
      <c r="G454" s="122">
        <f>IF($D454="",0,MIN($D454,$D454*$F454*MAX(0,ROUNDDOWN((AmortismanRaporTarihi-$C454)/365,0))))</f>
        <v/>
      </c>
      <c r="H454" s="122">
        <f>IF($D454="",0,MAX(0,$D454-$G454))</f>
        <v/>
      </c>
      <c r="I454" s="122">
        <f>IF($B454="","",CONCATENATE("Örnek kıymet: ",$B454))</f>
        <v/>
      </c>
    </row>
    <row r="455" ht="15" customHeight="1" s="77">
      <c r="G455" s="122">
        <f>IF($D455="",0,MIN($D455,$D455*$F455*MAX(0,ROUNDDOWN((AmortismanRaporTarihi-$C455)/365,0))))</f>
        <v/>
      </c>
      <c r="H455" s="122">
        <f>IF($D455="",0,MAX(0,$D455-$G455))</f>
        <v/>
      </c>
      <c r="I455" s="122">
        <f>IF($B455="","",CONCATENATE("Örnek kıymet: ",$B455))</f>
        <v/>
      </c>
    </row>
    <row r="456" ht="15" customHeight="1" s="77">
      <c r="G456" s="122">
        <f>IF($D456="",0,MIN($D456,$D456*$F456*MAX(0,ROUNDDOWN((AmortismanRaporTarihi-$C456)/365,0))))</f>
        <v/>
      </c>
      <c r="H456" s="122">
        <f>IF($D456="",0,MAX(0,$D456-$G456))</f>
        <v/>
      </c>
      <c r="I456" s="122">
        <f>IF($B456="","",CONCATENATE("Örnek kıymet: ",$B456))</f>
        <v/>
      </c>
    </row>
    <row r="457" ht="15" customHeight="1" s="77">
      <c r="G457" s="122">
        <f>IF($D457="",0,MIN($D457,$D457*$F457*MAX(0,ROUNDDOWN((AmortismanRaporTarihi-$C457)/365,0))))</f>
        <v/>
      </c>
      <c r="H457" s="122">
        <f>IF($D457="",0,MAX(0,$D457-$G457))</f>
        <v/>
      </c>
      <c r="I457" s="122">
        <f>IF($B457="","",CONCATENATE("Örnek kıymet: ",$B457))</f>
        <v/>
      </c>
    </row>
    <row r="458" ht="15" customHeight="1" s="77">
      <c r="G458" s="122">
        <f>IF($D458="",0,MIN($D458,$D458*$F458*MAX(0,ROUNDDOWN((AmortismanRaporTarihi-$C458)/365,0))))</f>
        <v/>
      </c>
      <c r="H458" s="122">
        <f>IF($D458="",0,MAX(0,$D458-$G458))</f>
        <v/>
      </c>
      <c r="I458" s="122">
        <f>IF($B458="","",CONCATENATE("Örnek kıymet: ",$B458))</f>
        <v/>
      </c>
    </row>
    <row r="459" ht="15" customHeight="1" s="77">
      <c r="G459" s="122">
        <f>IF($D459="",0,MIN($D459,$D459*$F459*MAX(0,ROUNDDOWN((AmortismanRaporTarihi-$C459)/365,0))))</f>
        <v/>
      </c>
      <c r="H459" s="122">
        <f>IF($D459="",0,MAX(0,$D459-$G459))</f>
        <v/>
      </c>
      <c r="I459" s="122">
        <f>IF($B459="","",CONCATENATE("Örnek kıymet: ",$B459))</f>
        <v/>
      </c>
    </row>
    <row r="460" ht="15" customHeight="1" s="77">
      <c r="G460" s="122">
        <f>IF($D460="",0,MIN($D460,$D460*$F460*MAX(0,ROUNDDOWN((AmortismanRaporTarihi-$C460)/365,0))))</f>
        <v/>
      </c>
      <c r="H460" s="122">
        <f>IF($D460="",0,MAX(0,$D460-$G460))</f>
        <v/>
      </c>
      <c r="I460" s="122">
        <f>IF($B460="","",CONCATENATE("Örnek kıymet: ",$B460))</f>
        <v/>
      </c>
    </row>
    <row r="461" ht="15" customHeight="1" s="77">
      <c r="G461" s="122">
        <f>IF($D461="",0,MIN($D461,$D461*$F461*MAX(0,ROUNDDOWN((AmortismanRaporTarihi-$C461)/365,0))))</f>
        <v/>
      </c>
      <c r="H461" s="122">
        <f>IF($D461="",0,MAX(0,$D461-$G461))</f>
        <v/>
      </c>
      <c r="I461" s="122">
        <f>IF($B461="","",CONCATENATE("Örnek kıymet: ",$B461))</f>
        <v/>
      </c>
    </row>
    <row r="462" ht="15" customHeight="1" s="77">
      <c r="G462" s="122">
        <f>IF($D462="",0,MIN($D462,$D462*$F462*MAX(0,ROUNDDOWN((AmortismanRaporTarihi-$C462)/365,0))))</f>
        <v/>
      </c>
      <c r="H462" s="122">
        <f>IF($D462="",0,MAX(0,$D462-$G462))</f>
        <v/>
      </c>
      <c r="I462" s="122">
        <f>IF($B462="","",CONCATENATE("Örnek kıymet: ",$B462))</f>
        <v/>
      </c>
    </row>
    <row r="463" ht="15" customHeight="1" s="77">
      <c r="G463" s="122">
        <f>IF($D463="",0,MIN($D463,$D463*$F463*MAX(0,ROUNDDOWN((AmortismanRaporTarihi-$C463)/365,0))))</f>
        <v/>
      </c>
      <c r="H463" s="122">
        <f>IF($D463="",0,MAX(0,$D463-$G463))</f>
        <v/>
      </c>
      <c r="I463" s="122">
        <f>IF($B463="","",CONCATENATE("Örnek kıymet: ",$B463))</f>
        <v/>
      </c>
    </row>
    <row r="464" ht="15" customHeight="1" s="77">
      <c r="G464" s="122">
        <f>IF($D464="",0,MIN($D464,$D464*$F464*MAX(0,ROUNDDOWN((AmortismanRaporTarihi-$C464)/365,0))))</f>
        <v/>
      </c>
      <c r="H464" s="122">
        <f>IF($D464="",0,MAX(0,$D464-$G464))</f>
        <v/>
      </c>
      <c r="I464" s="122">
        <f>IF($B464="","",CONCATENATE("Örnek kıymet: ",$B464))</f>
        <v/>
      </c>
    </row>
    <row r="465" ht="15" customHeight="1" s="77">
      <c r="G465" s="122">
        <f>IF($D465="",0,MIN($D465,$D465*$F465*MAX(0,ROUNDDOWN((AmortismanRaporTarihi-$C465)/365,0))))</f>
        <v/>
      </c>
      <c r="H465" s="122">
        <f>IF($D465="",0,MAX(0,$D465-$G465))</f>
        <v/>
      </c>
      <c r="I465" s="122">
        <f>IF($B465="","",CONCATENATE("Örnek kıymet: ",$B465))</f>
        <v/>
      </c>
    </row>
    <row r="466" ht="15" customHeight="1" s="77">
      <c r="G466" s="122">
        <f>IF($D466="",0,MIN($D466,$D466*$F466*MAX(0,ROUNDDOWN((AmortismanRaporTarihi-$C466)/365,0))))</f>
        <v/>
      </c>
      <c r="H466" s="122">
        <f>IF($D466="",0,MAX(0,$D466-$G466))</f>
        <v/>
      </c>
      <c r="I466" s="122">
        <f>IF($B466="","",CONCATENATE("Örnek kıymet: ",$B466))</f>
        <v/>
      </c>
    </row>
    <row r="467" ht="15" customHeight="1" s="77">
      <c r="G467" s="122">
        <f>IF($D467="",0,MIN($D467,$D467*$F467*MAX(0,ROUNDDOWN((AmortismanRaporTarihi-$C467)/365,0))))</f>
        <v/>
      </c>
      <c r="H467" s="122">
        <f>IF($D467="",0,MAX(0,$D467-$G467))</f>
        <v/>
      </c>
      <c r="I467" s="122">
        <f>IF($B467="","",CONCATENATE("Örnek kıymet: ",$B467))</f>
        <v/>
      </c>
    </row>
    <row r="468" ht="15" customHeight="1" s="77">
      <c r="G468" s="122">
        <f>IF($D468="",0,MIN($D468,$D468*$F468*MAX(0,ROUNDDOWN((AmortismanRaporTarihi-$C468)/365,0))))</f>
        <v/>
      </c>
      <c r="H468" s="122">
        <f>IF($D468="",0,MAX(0,$D468-$G468))</f>
        <v/>
      </c>
      <c r="I468" s="122">
        <f>IF($B468="","",CONCATENATE("Örnek kıymet: ",$B468))</f>
        <v/>
      </c>
    </row>
    <row r="469" ht="15" customHeight="1" s="77">
      <c r="G469" s="122">
        <f>IF($D469="",0,MIN($D469,$D469*$F469*MAX(0,ROUNDDOWN((AmortismanRaporTarihi-$C469)/365,0))))</f>
        <v/>
      </c>
      <c r="H469" s="122">
        <f>IF($D469="",0,MAX(0,$D469-$G469))</f>
        <v/>
      </c>
      <c r="I469" s="122">
        <f>IF($B469="","",CONCATENATE("Örnek kıymet: ",$B469))</f>
        <v/>
      </c>
    </row>
    <row r="470" ht="15" customHeight="1" s="77">
      <c r="G470" s="122">
        <f>IF($D470="",0,MIN($D470,$D470*$F470*MAX(0,ROUNDDOWN((AmortismanRaporTarihi-$C470)/365,0))))</f>
        <v/>
      </c>
      <c r="H470" s="122">
        <f>IF($D470="",0,MAX(0,$D470-$G470))</f>
        <v/>
      </c>
      <c r="I470" s="122">
        <f>IF($B470="","",CONCATENATE("Örnek kıymet: ",$B470))</f>
        <v/>
      </c>
    </row>
    <row r="471" ht="15" customHeight="1" s="77">
      <c r="G471" s="122">
        <f>IF($D471="",0,MIN($D471,$D471*$F471*MAX(0,ROUNDDOWN((AmortismanRaporTarihi-$C471)/365,0))))</f>
        <v/>
      </c>
      <c r="H471" s="122">
        <f>IF($D471="",0,MAX(0,$D471-$G471))</f>
        <v/>
      </c>
      <c r="I471" s="122">
        <f>IF($B471="","",CONCATENATE("Örnek kıymet: ",$B471))</f>
        <v/>
      </c>
    </row>
    <row r="472" ht="15" customHeight="1" s="77">
      <c r="G472" s="122">
        <f>IF($D472="",0,MIN($D472,$D472*$F472*MAX(0,ROUNDDOWN((AmortismanRaporTarihi-$C472)/365,0))))</f>
        <v/>
      </c>
      <c r="H472" s="122">
        <f>IF($D472="",0,MAX(0,$D472-$G472))</f>
        <v/>
      </c>
      <c r="I472" s="122">
        <f>IF($B472="","",CONCATENATE("Örnek kıymet: ",$B472))</f>
        <v/>
      </c>
    </row>
    <row r="473" ht="15" customHeight="1" s="77">
      <c r="G473" s="122">
        <f>IF($D473="",0,MIN($D473,$D473*$F473*MAX(0,ROUNDDOWN((AmortismanRaporTarihi-$C473)/365,0))))</f>
        <v/>
      </c>
      <c r="H473" s="122">
        <f>IF($D473="",0,MAX(0,$D473-$G473))</f>
        <v/>
      </c>
      <c r="I473" s="122">
        <f>IF($B473="","",CONCATENATE("Örnek kıymet: ",$B473))</f>
        <v/>
      </c>
    </row>
    <row r="474" ht="15" customHeight="1" s="77">
      <c r="G474" s="122">
        <f>IF($D474="",0,MIN($D474,$D474*$F474*MAX(0,ROUNDDOWN((AmortismanRaporTarihi-$C474)/365,0))))</f>
        <v/>
      </c>
      <c r="H474" s="122">
        <f>IF($D474="",0,MAX(0,$D474-$G474))</f>
        <v/>
      </c>
      <c r="I474" s="122">
        <f>IF($B474="","",CONCATENATE("Örnek kıymet: ",$B474))</f>
        <v/>
      </c>
    </row>
    <row r="475" ht="15" customHeight="1" s="77">
      <c r="G475" s="122">
        <f>IF($D475="",0,MIN($D475,$D475*$F475*MAX(0,ROUNDDOWN((AmortismanRaporTarihi-$C475)/365,0))))</f>
        <v/>
      </c>
      <c r="H475" s="122">
        <f>IF($D475="",0,MAX(0,$D475-$G475))</f>
        <v/>
      </c>
      <c r="I475" s="122">
        <f>IF($B475="","",CONCATENATE("Örnek kıymet: ",$B475))</f>
        <v/>
      </c>
    </row>
    <row r="476" ht="15" customHeight="1" s="77">
      <c r="G476" s="122">
        <f>IF($D476="",0,MIN($D476,$D476*$F476*MAX(0,ROUNDDOWN((AmortismanRaporTarihi-$C476)/365,0))))</f>
        <v/>
      </c>
      <c r="H476" s="122">
        <f>IF($D476="",0,MAX(0,$D476-$G476))</f>
        <v/>
      </c>
      <c r="I476" s="122">
        <f>IF($B476="","",CONCATENATE("Örnek kıymet: ",$B476))</f>
        <v/>
      </c>
    </row>
    <row r="477" ht="15" customHeight="1" s="77">
      <c r="G477" s="122">
        <f>IF($D477="",0,MIN($D477,$D477*$F477*MAX(0,ROUNDDOWN((AmortismanRaporTarihi-$C477)/365,0))))</f>
        <v/>
      </c>
      <c r="H477" s="122">
        <f>IF($D477="",0,MAX(0,$D477-$G477))</f>
        <v/>
      </c>
      <c r="I477" s="122">
        <f>IF($B477="","",CONCATENATE("Örnek kıymet: ",$B477))</f>
        <v/>
      </c>
    </row>
    <row r="478" ht="15" customHeight="1" s="77">
      <c r="G478" s="122">
        <f>IF($D478="",0,MIN($D478,$D478*$F478*MAX(0,ROUNDDOWN((AmortismanRaporTarihi-$C478)/365,0))))</f>
        <v/>
      </c>
      <c r="H478" s="122">
        <f>IF($D478="",0,MAX(0,$D478-$G478))</f>
        <v/>
      </c>
      <c r="I478" s="122">
        <f>IF($B478="","",CONCATENATE("Örnek kıymet: ",$B478))</f>
        <v/>
      </c>
    </row>
    <row r="479" ht="15" customHeight="1" s="77">
      <c r="G479" s="122">
        <f>IF($D479="",0,MIN($D479,$D479*$F479*MAX(0,ROUNDDOWN((AmortismanRaporTarihi-$C479)/365,0))))</f>
        <v/>
      </c>
      <c r="H479" s="122">
        <f>IF($D479="",0,MAX(0,$D479-$G479))</f>
        <v/>
      </c>
      <c r="I479" s="122">
        <f>IF($B479="","",CONCATENATE("Örnek kıymet: ",$B479))</f>
        <v/>
      </c>
    </row>
    <row r="480" ht="15" customHeight="1" s="77">
      <c r="G480" s="122">
        <f>IF($D480="",0,MIN($D480,$D480*$F480*MAX(0,ROUNDDOWN((AmortismanRaporTarihi-$C480)/365,0))))</f>
        <v/>
      </c>
      <c r="H480" s="122">
        <f>IF($D480="",0,MAX(0,$D480-$G480))</f>
        <v/>
      </c>
      <c r="I480" s="122">
        <f>IF($B480="","",CONCATENATE("Örnek kıymet: ",$B480))</f>
        <v/>
      </c>
    </row>
    <row r="481" ht="15" customHeight="1" s="77">
      <c r="G481" s="122">
        <f>IF($D481="",0,MIN($D481,$D481*$F481*MAX(0,ROUNDDOWN((AmortismanRaporTarihi-$C481)/365,0))))</f>
        <v/>
      </c>
      <c r="H481" s="122">
        <f>IF($D481="",0,MAX(0,$D481-$G481))</f>
        <v/>
      </c>
      <c r="I481" s="122">
        <f>IF($B481="","",CONCATENATE("Örnek kıymet: ",$B481))</f>
        <v/>
      </c>
    </row>
    <row r="482" ht="15" customHeight="1" s="77">
      <c r="G482" s="122">
        <f>IF($D482="",0,MIN($D482,$D482*$F482*MAX(0,ROUNDDOWN((AmortismanRaporTarihi-$C482)/365,0))))</f>
        <v/>
      </c>
      <c r="H482" s="122">
        <f>IF($D482="",0,MAX(0,$D482-$G482))</f>
        <v/>
      </c>
      <c r="I482" s="122">
        <f>IF($B482="","",CONCATENATE("Örnek kıymet: ",$B482))</f>
        <v/>
      </c>
    </row>
    <row r="483" ht="15" customHeight="1" s="77">
      <c r="G483" s="122">
        <f>IF($D483="",0,MIN($D483,$D483*$F483*MAX(0,ROUNDDOWN((AmortismanRaporTarihi-$C483)/365,0))))</f>
        <v/>
      </c>
      <c r="H483" s="122">
        <f>IF($D483="",0,MAX(0,$D483-$G483))</f>
        <v/>
      </c>
      <c r="I483" s="122">
        <f>IF($B483="","",CONCATENATE("Örnek kıymet: ",$B483))</f>
        <v/>
      </c>
    </row>
    <row r="484" ht="15" customHeight="1" s="77">
      <c r="G484" s="122">
        <f>IF($D484="",0,MIN($D484,$D484*$F484*MAX(0,ROUNDDOWN((AmortismanRaporTarihi-$C484)/365,0))))</f>
        <v/>
      </c>
      <c r="H484" s="122">
        <f>IF($D484="",0,MAX(0,$D484-$G484))</f>
        <v/>
      </c>
      <c r="I484" s="122">
        <f>IF($B484="","",CONCATENATE("Örnek kıymet: ",$B484))</f>
        <v/>
      </c>
    </row>
    <row r="485" ht="15" customHeight="1" s="77">
      <c r="G485" s="122">
        <f>IF($D485="",0,MIN($D485,$D485*$F485*MAX(0,ROUNDDOWN((AmortismanRaporTarihi-$C485)/365,0))))</f>
        <v/>
      </c>
      <c r="H485" s="122">
        <f>IF($D485="",0,MAX(0,$D485-$G485))</f>
        <v/>
      </c>
      <c r="I485" s="122">
        <f>IF($B485="","",CONCATENATE("Örnek kıymet: ",$B485))</f>
        <v/>
      </c>
    </row>
    <row r="486" ht="15" customHeight="1" s="77">
      <c r="G486" s="122">
        <f>IF($D486="",0,MIN($D486,$D486*$F486*MAX(0,ROUNDDOWN((AmortismanRaporTarihi-$C486)/365,0))))</f>
        <v/>
      </c>
      <c r="H486" s="122">
        <f>IF($D486="",0,MAX(0,$D486-$G486))</f>
        <v/>
      </c>
      <c r="I486" s="122">
        <f>IF($B486="","",CONCATENATE("Örnek kıymet: ",$B486))</f>
        <v/>
      </c>
    </row>
    <row r="487" ht="15" customHeight="1" s="77">
      <c r="G487" s="122">
        <f>IF($D487="",0,MIN($D487,$D487*$F487*MAX(0,ROUNDDOWN((AmortismanRaporTarihi-$C487)/365,0))))</f>
        <v/>
      </c>
      <c r="H487" s="122">
        <f>IF($D487="",0,MAX(0,$D487-$G487))</f>
        <v/>
      </c>
      <c r="I487" s="122">
        <f>IF($B487="","",CONCATENATE("Örnek kıymet: ",$B487))</f>
        <v/>
      </c>
    </row>
    <row r="488" ht="15" customHeight="1" s="77">
      <c r="G488" s="122">
        <f>IF($D488="",0,MIN($D488,$D488*$F488*MAX(0,ROUNDDOWN((AmortismanRaporTarihi-$C488)/365,0))))</f>
        <v/>
      </c>
      <c r="H488" s="122">
        <f>IF($D488="",0,MAX(0,$D488-$G488))</f>
        <v/>
      </c>
      <c r="I488" s="122">
        <f>IF($B488="","",CONCATENATE("Örnek kıymet: ",$B488))</f>
        <v/>
      </c>
    </row>
    <row r="489" ht="15" customHeight="1" s="77">
      <c r="G489" s="122">
        <f>IF($D489="",0,MIN($D489,$D489*$F489*MAX(0,ROUNDDOWN((AmortismanRaporTarihi-$C489)/365,0))))</f>
        <v/>
      </c>
      <c r="H489" s="122">
        <f>IF($D489="",0,MAX(0,$D489-$G489))</f>
        <v/>
      </c>
      <c r="I489" s="122">
        <f>IF($B489="","",CONCATENATE("Örnek kıymet: ",$B489))</f>
        <v/>
      </c>
    </row>
    <row r="490" ht="15" customHeight="1" s="77">
      <c r="G490" s="122">
        <f>IF($D490="",0,MIN($D490,$D490*$F490*MAX(0,ROUNDDOWN((AmortismanRaporTarihi-$C490)/365,0))))</f>
        <v/>
      </c>
      <c r="H490" s="122">
        <f>IF($D490="",0,MAX(0,$D490-$G490))</f>
        <v/>
      </c>
      <c r="I490" s="122">
        <f>IF($B490="","",CONCATENATE("Örnek kıymet: ",$B490))</f>
        <v/>
      </c>
    </row>
    <row r="491" ht="15" customHeight="1" s="77">
      <c r="G491" s="122">
        <f>IF($D491="",0,MIN($D491,$D491*$F491*MAX(0,ROUNDDOWN((AmortismanRaporTarihi-$C491)/365,0))))</f>
        <v/>
      </c>
      <c r="H491" s="122">
        <f>IF($D491="",0,MAX(0,$D491-$G491))</f>
        <v/>
      </c>
      <c r="I491" s="122">
        <f>IF($B491="","",CONCATENATE("Örnek kıymet: ",$B491))</f>
        <v/>
      </c>
    </row>
    <row r="492" ht="15" customHeight="1" s="77">
      <c r="G492" s="122">
        <f>IF($D492="",0,MIN($D492,$D492*$F492*MAX(0,ROUNDDOWN((AmortismanRaporTarihi-$C492)/365,0))))</f>
        <v/>
      </c>
      <c r="H492" s="122">
        <f>IF($D492="",0,MAX(0,$D492-$G492))</f>
        <v/>
      </c>
      <c r="I492" s="122">
        <f>IF($B492="","",CONCATENATE("Örnek kıymet: ",$B492))</f>
        <v/>
      </c>
    </row>
    <row r="493" ht="15" customHeight="1" s="77">
      <c r="G493" s="122">
        <f>IF($D493="",0,MIN($D493,$D493*$F493*MAX(0,ROUNDDOWN((AmortismanRaporTarihi-$C493)/365,0))))</f>
        <v/>
      </c>
      <c r="H493" s="122">
        <f>IF($D493="",0,MAX(0,$D493-$G493))</f>
        <v/>
      </c>
      <c r="I493" s="122">
        <f>IF($B493="","",CONCATENATE("Örnek kıymet: ",$B493))</f>
        <v/>
      </c>
    </row>
    <row r="494" ht="15" customHeight="1" s="77">
      <c r="G494" s="122">
        <f>IF($D494="",0,MIN($D494,$D494*$F494*MAX(0,ROUNDDOWN((AmortismanRaporTarihi-$C494)/365,0))))</f>
        <v/>
      </c>
      <c r="H494" s="122">
        <f>IF($D494="",0,MAX(0,$D494-$G494))</f>
        <v/>
      </c>
      <c r="I494" s="122">
        <f>IF($B494="","",CONCATENATE("Örnek kıymet: ",$B494))</f>
        <v/>
      </c>
    </row>
    <row r="495" ht="15" customHeight="1" s="77">
      <c r="G495" s="122">
        <f>IF($D495="",0,MIN($D495,$D495*$F495*MAX(0,ROUNDDOWN((AmortismanRaporTarihi-$C495)/365,0))))</f>
        <v/>
      </c>
      <c r="H495" s="122">
        <f>IF($D495="",0,MAX(0,$D495-$G495))</f>
        <v/>
      </c>
      <c r="I495" s="122">
        <f>IF($B495="","",CONCATENATE("Örnek kıymet: ",$B495))</f>
        <v/>
      </c>
    </row>
    <row r="496" ht="15" customHeight="1" s="77">
      <c r="G496" s="122">
        <f>IF($D496="",0,MIN($D496,$D496*$F496*MAX(0,ROUNDDOWN((AmortismanRaporTarihi-$C496)/365,0))))</f>
        <v/>
      </c>
      <c r="H496" s="122">
        <f>IF($D496="",0,MAX(0,$D496-$G496))</f>
        <v/>
      </c>
      <c r="I496" s="122">
        <f>IF($B496="","",CONCATENATE("Örnek kıymet: ",$B496))</f>
        <v/>
      </c>
    </row>
    <row r="497" ht="15" customHeight="1" s="77">
      <c r="G497" s="122">
        <f>IF($D497="",0,MIN($D497,$D497*$F497*MAX(0,ROUNDDOWN((AmortismanRaporTarihi-$C497)/365,0))))</f>
        <v/>
      </c>
      <c r="H497" s="122">
        <f>IF($D497="",0,MAX(0,$D497-$G497))</f>
        <v/>
      </c>
      <c r="I497" s="122">
        <f>IF($B497="","",CONCATENATE("Örnek kıymet: ",$B497))</f>
        <v/>
      </c>
    </row>
    <row r="498" ht="15" customHeight="1" s="77">
      <c r="G498" s="122">
        <f>IF($D498="",0,MIN($D498,$D498*$F498*MAX(0,ROUNDDOWN((AmortismanRaporTarihi-$C498)/365,0))))</f>
        <v/>
      </c>
      <c r="H498" s="122">
        <f>IF($D498="",0,MAX(0,$D498-$G498))</f>
        <v/>
      </c>
      <c r="I498" s="122">
        <f>IF($B498="","",CONCATENATE("Örnek kıymet: ",$B498))</f>
        <v/>
      </c>
    </row>
    <row r="499" ht="15" customHeight="1" s="77">
      <c r="G499" s="122">
        <f>IF($D499="",0,MIN($D499,$D499*$F499*MAX(0,ROUNDDOWN((AmortismanRaporTarihi-$C499)/365,0))))</f>
        <v/>
      </c>
      <c r="H499" s="122">
        <f>IF($D499="",0,MAX(0,$D499-$G499))</f>
        <v/>
      </c>
      <c r="I499" s="122">
        <f>IF($B499="","",CONCATENATE("Örnek kıymet: ",$B499))</f>
        <v/>
      </c>
    </row>
    <row r="500" ht="15" customHeight="1" s="77">
      <c r="G500" s="122">
        <f>IF($D500="",0,MIN($D500,$D500*$F500*MAX(0,ROUNDDOWN((AmortismanRaporTarihi-$C500)/365,0))))</f>
        <v/>
      </c>
      <c r="H500" s="122">
        <f>IF($D500="",0,MAX(0,$D500-$G500))</f>
        <v/>
      </c>
      <c r="I500" s="122">
        <f>IF($B500="","",CONCATENATE("Örnek kıymet: ",$B500))</f>
        <v/>
      </c>
    </row>
    <row r="501" ht="15" customHeight="1" s="77">
      <c r="G501" s="122">
        <f>IF($D501="",0,MIN($D501,$D501*$F501*MAX(0,ROUNDDOWN((AmortismanRaporTarihi-$C501)/365,0))))</f>
        <v/>
      </c>
      <c r="H501" s="122">
        <f>IF($D501="",0,MAX(0,$D501-$G501))</f>
        <v/>
      </c>
      <c r="I501" s="122">
        <f>IF($B501="","",CONCATENATE("Örnek kıymet: ",$B501))</f>
        <v/>
      </c>
    </row>
    <row r="502" ht="15" customHeight="1" s="77">
      <c r="G502" s="122">
        <f>IF($D502="",0,MIN($D502,$D502*$F502*MAX(0,ROUNDDOWN((AmortismanRaporTarihi-$C502)/365,0))))</f>
        <v/>
      </c>
      <c r="H502" s="122">
        <f>IF($D502="",0,MAX(0,$D502-$G502))</f>
        <v/>
      </c>
      <c r="I502" s="122">
        <f>IF($B502="","",CONCATENATE("Örnek kıymet: ",$B502))</f>
        <v/>
      </c>
    </row>
    <row r="503" ht="15" customHeight="1" s="77">
      <c r="G503" s="122">
        <f>IF($D503="",0,MIN($D503,$D503*$F503*MAX(0,ROUNDDOWN((AmortismanRaporTarihi-$C503)/365,0))))</f>
        <v/>
      </c>
      <c r="H503" s="122">
        <f>IF($D503="",0,MAX(0,$D503-$G503))</f>
        <v/>
      </c>
      <c r="I503" s="122">
        <f>IF($B503="","",CONCATENATE("Örnek kıymet: ",$B503))</f>
        <v/>
      </c>
    </row>
    <row r="504" ht="15" customHeight="1" s="77">
      <c r="G504" s="122">
        <f>IF($D504="",0,MIN($D504,$D504*$F504*MAX(0,ROUNDDOWN((AmortismanRaporTarihi-$C504)/365,0))))</f>
        <v/>
      </c>
      <c r="H504" s="122">
        <f>IF($D504="",0,MAX(0,$D504-$G504))</f>
        <v/>
      </c>
      <c r="I504" s="122">
        <f>IF($B504="","",CONCATENATE("Örnek kıymet: ",$B504))</f>
        <v/>
      </c>
    </row>
    <row r="505" ht="15" customHeight="1" s="77">
      <c r="G505" s="122">
        <f>IF($D505="",0,MIN($D505,$D505*$F505*MAX(0,ROUNDDOWN((AmortismanRaporTarihi-$C505)/365,0))))</f>
        <v/>
      </c>
      <c r="H505" s="122">
        <f>IF($D505="",0,MAX(0,$D505-$G505))</f>
        <v/>
      </c>
      <c r="I505" s="122">
        <f>IF($B505="","",CONCATENATE("Örnek kıymet: ",$B505))</f>
        <v/>
      </c>
    </row>
    <row r="506" ht="15" customHeight="1" s="77">
      <c r="G506" s="122">
        <f>IF($D506="",0,MIN($D506,$D506*$F506*MAX(0,ROUNDDOWN((AmortismanRaporTarihi-$C506)/365,0))))</f>
        <v/>
      </c>
      <c r="H506" s="122">
        <f>IF($D506="",0,MAX(0,$D506-$G506))</f>
        <v/>
      </c>
      <c r="I506" s="122">
        <f>IF($B506="","",CONCATENATE("Örnek kıymet: ",$B506))</f>
        <v/>
      </c>
    </row>
    <row r="507" ht="15" customHeight="1" s="77">
      <c r="G507" s="122">
        <f>IF($D507="",0,MIN($D507,$D507*$F507*MAX(0,ROUNDDOWN((AmortismanRaporTarihi-$C507)/365,0))))</f>
        <v/>
      </c>
      <c r="H507" s="122">
        <f>IF($D507="",0,MAX(0,$D507-$G507))</f>
        <v/>
      </c>
      <c r="I507" s="122">
        <f>IF($B507="","",CONCATENATE("Örnek kıymet: ",$B507))</f>
        <v/>
      </c>
    </row>
    <row r="508" ht="15" customHeight="1" s="77">
      <c r="G508" s="122">
        <f>IF($D508="",0,MIN($D508,$D508*$F508*MAX(0,ROUNDDOWN((AmortismanRaporTarihi-$C508)/365,0))))</f>
        <v/>
      </c>
      <c r="H508" s="122">
        <f>IF($D508="",0,MAX(0,$D508-$G508))</f>
        <v/>
      </c>
      <c r="I508" s="122">
        <f>IF($B508="","",CONCATENATE("Örnek kıymet: ",$B508))</f>
        <v/>
      </c>
    </row>
    <row r="509" ht="15" customHeight="1" s="77">
      <c r="G509" s="122">
        <f>IF($D509="",0,MIN($D509,$D509*$F509*MAX(0,ROUNDDOWN((AmortismanRaporTarihi-$C509)/365,0))))</f>
        <v/>
      </c>
      <c r="H509" s="122">
        <f>IF($D509="",0,MAX(0,$D509-$G509))</f>
        <v/>
      </c>
      <c r="I509" s="122">
        <f>IF($B509="","",CONCATENATE("Örnek kıymet: ",$B509))</f>
        <v/>
      </c>
    </row>
    <row r="510" ht="15" customHeight="1" s="77">
      <c r="G510" s="122">
        <f>IF($D510="",0,MIN($D510,$D510*$F510*MAX(0,ROUNDDOWN((AmortismanRaporTarihi-$C510)/365,0))))</f>
        <v/>
      </c>
      <c r="H510" s="122">
        <f>IF($D510="",0,MAX(0,$D510-$G510))</f>
        <v/>
      </c>
      <c r="I510" s="122">
        <f>IF($B510="","",CONCATENATE("Örnek kıymet: ",$B510))</f>
        <v/>
      </c>
    </row>
    <row r="511" ht="15" customHeight="1" s="77">
      <c r="G511" s="122">
        <f>IF($D511="",0,MIN($D511,$D511*$F511*MAX(0,ROUNDDOWN((AmortismanRaporTarihi-$C511)/365,0))))</f>
        <v/>
      </c>
      <c r="H511" s="122">
        <f>IF($D511="",0,MAX(0,$D511-$G511))</f>
        <v/>
      </c>
      <c r="I511" s="122">
        <f>IF($B511="","",CONCATENATE("Örnek kıymet: ",$B511))</f>
        <v/>
      </c>
    </row>
    <row r="512" ht="15" customHeight="1" s="77">
      <c r="G512" s="122">
        <f>IF($D512="",0,MIN($D512,$D512*$F512*MAX(0,ROUNDDOWN((AmortismanRaporTarihi-$C512)/365,0))))</f>
        <v/>
      </c>
      <c r="H512" s="122">
        <f>IF($D512="",0,MAX(0,$D512-$G512))</f>
        <v/>
      </c>
      <c r="I512" s="122">
        <f>IF($B512="","",CONCATENATE("Örnek kıymet: ",$B512))</f>
        <v/>
      </c>
    </row>
    <row r="513" ht="15" customHeight="1" s="77">
      <c r="G513" s="122">
        <f>IF($D513="",0,MIN($D513,$D513*$F513*MAX(0,ROUNDDOWN((AmortismanRaporTarihi-$C513)/365,0))))</f>
        <v/>
      </c>
      <c r="H513" s="122">
        <f>IF($D513="",0,MAX(0,$D513-$G513))</f>
        <v/>
      </c>
      <c r="I513" s="122">
        <f>IF($B513="","",CONCATENATE("Örnek kıymet: ",$B513))</f>
        <v/>
      </c>
    </row>
    <row r="514" ht="15" customHeight="1" s="77">
      <c r="G514" s="122">
        <f>IF($D514="",0,MIN($D514,$D514*$F514*MAX(0,ROUNDDOWN((AmortismanRaporTarihi-$C514)/365,0))))</f>
        <v/>
      </c>
      <c r="H514" s="122">
        <f>IF($D514="",0,MAX(0,$D514-$G514))</f>
        <v/>
      </c>
      <c r="I514" s="122">
        <f>IF($B514="","",CONCATENATE("Örnek kıymet: ",$B514))</f>
        <v/>
      </c>
    </row>
    <row r="515" ht="15" customHeight="1" s="77">
      <c r="G515" s="122">
        <f>IF($D515="",0,MIN($D515,$D515*$F515*MAX(0,ROUNDDOWN((AmortismanRaporTarihi-$C515)/365,0))))</f>
        <v/>
      </c>
      <c r="H515" s="122">
        <f>IF($D515="",0,MAX(0,$D515-$G515))</f>
        <v/>
      </c>
      <c r="I515" s="122">
        <f>IF($B515="","",CONCATENATE("Örnek kıymet: ",$B515))</f>
        <v/>
      </c>
    </row>
    <row r="516" ht="15" customHeight="1" s="77">
      <c r="G516" s="122">
        <f>IF($D516="",0,MIN($D516,$D516*$F516*MAX(0,ROUNDDOWN((AmortismanRaporTarihi-$C516)/365,0))))</f>
        <v/>
      </c>
      <c r="H516" s="122">
        <f>IF($D516="",0,MAX(0,$D516-$G516))</f>
        <v/>
      </c>
      <c r="I516" s="122">
        <f>IF($B516="","",CONCATENATE("Örnek kıymet: ",$B516))</f>
        <v/>
      </c>
    </row>
    <row r="517" ht="15" customHeight="1" s="77">
      <c r="G517" s="122">
        <f>IF($D517="",0,MIN($D517,$D517*$F517*MAX(0,ROUNDDOWN((AmortismanRaporTarihi-$C517)/365,0))))</f>
        <v/>
      </c>
      <c r="H517" s="122">
        <f>IF($D517="",0,MAX(0,$D517-$G517))</f>
        <v/>
      </c>
      <c r="I517" s="122">
        <f>IF($B517="","",CONCATENATE("Örnek kıymet: ",$B517))</f>
        <v/>
      </c>
    </row>
    <row r="518" ht="15" customHeight="1" s="77">
      <c r="G518" s="122">
        <f>IF($D518="",0,MIN($D518,$D518*$F518*MAX(0,ROUNDDOWN((AmortismanRaporTarihi-$C518)/365,0))))</f>
        <v/>
      </c>
      <c r="H518" s="122">
        <f>IF($D518="",0,MAX(0,$D518-$G518))</f>
        <v/>
      </c>
      <c r="I518" s="122">
        <f>IF($B518="","",CONCATENATE("Örnek kıymet: ",$B518))</f>
        <v/>
      </c>
    </row>
    <row r="519" ht="15" customHeight="1" s="77">
      <c r="G519" s="122">
        <f>IF($D519="",0,MIN($D519,$D519*$F519*MAX(0,ROUNDDOWN((AmortismanRaporTarihi-$C519)/365,0))))</f>
        <v/>
      </c>
      <c r="H519" s="122">
        <f>IF($D519="",0,MAX(0,$D519-$G519))</f>
        <v/>
      </c>
      <c r="I519" s="122">
        <f>IF($B519="","",CONCATENATE("Örnek kıymet: ",$B519))</f>
        <v/>
      </c>
    </row>
    <row r="520" ht="15" customHeight="1" s="77">
      <c r="G520" s="122">
        <f>IF($D520="",0,MIN($D520,$D520*$F520*MAX(0,ROUNDDOWN((AmortismanRaporTarihi-$C520)/365,0))))</f>
        <v/>
      </c>
      <c r="H520" s="122">
        <f>IF($D520="",0,MAX(0,$D520-$G520))</f>
        <v/>
      </c>
      <c r="I520" s="122">
        <f>IF($B520="","",CONCATENATE("Örnek kıymet: ",$B520))</f>
        <v/>
      </c>
    </row>
    <row r="521" ht="15" customHeight="1" s="77">
      <c r="G521" s="122">
        <f>IF($D521="",0,MIN($D521,$D521*$F521*MAX(0,ROUNDDOWN((AmortismanRaporTarihi-$C521)/365,0))))</f>
        <v/>
      </c>
      <c r="H521" s="122">
        <f>IF($D521="",0,MAX(0,$D521-$G521))</f>
        <v/>
      </c>
      <c r="I521" s="122">
        <f>IF($B521="","",CONCATENATE("Örnek kıymet: ",$B521))</f>
        <v/>
      </c>
    </row>
    <row r="522" ht="15" customHeight="1" s="77">
      <c r="G522" s="122">
        <f>IF($D522="",0,MIN($D522,$D522*$F522*MAX(0,ROUNDDOWN((AmortismanRaporTarihi-$C522)/365,0))))</f>
        <v/>
      </c>
      <c r="H522" s="122">
        <f>IF($D522="",0,MAX(0,$D522-$G522))</f>
        <v/>
      </c>
      <c r="I522" s="122">
        <f>IF($B522="","",CONCATENATE("Örnek kıymet: ",$B522))</f>
        <v/>
      </c>
    </row>
    <row r="523" ht="15" customHeight="1" s="77">
      <c r="G523" s="122">
        <f>IF($D523="",0,MIN($D523,$D523*$F523*MAX(0,ROUNDDOWN((AmortismanRaporTarihi-$C523)/365,0))))</f>
        <v/>
      </c>
      <c r="H523" s="122">
        <f>IF($D523="",0,MAX(0,$D523-$G523))</f>
        <v/>
      </c>
      <c r="I523" s="122">
        <f>IF($B523="","",CONCATENATE("Örnek kıymet: ",$B523))</f>
        <v/>
      </c>
    </row>
    <row r="524" ht="15" customHeight="1" s="77">
      <c r="G524" s="122">
        <f>IF($D524="",0,MIN($D524,$D524*$F524*MAX(0,ROUNDDOWN((AmortismanRaporTarihi-$C524)/365,0))))</f>
        <v/>
      </c>
      <c r="H524" s="122">
        <f>IF($D524="",0,MAX(0,$D524-$G524))</f>
        <v/>
      </c>
      <c r="I524" s="122">
        <f>IF($B524="","",CONCATENATE("Örnek kıymet: ",$B524))</f>
        <v/>
      </c>
    </row>
    <row r="525" ht="15" customHeight="1" s="77">
      <c r="G525" s="122">
        <f>IF($D525="",0,MIN($D525,$D525*$F525*MAX(0,ROUNDDOWN((AmortismanRaporTarihi-$C525)/365,0))))</f>
        <v/>
      </c>
      <c r="H525" s="122">
        <f>IF($D525="",0,MAX(0,$D525-$G525))</f>
        <v/>
      </c>
      <c r="I525" s="122">
        <f>IF($B525="","",CONCATENATE("Örnek kıymet: ",$B525))</f>
        <v/>
      </c>
    </row>
    <row r="526" ht="15" customHeight="1" s="77">
      <c r="G526" s="122">
        <f>IF($D526="",0,MIN($D526,$D526*$F526*MAX(0,ROUNDDOWN((AmortismanRaporTarihi-$C526)/365,0))))</f>
        <v/>
      </c>
      <c r="H526" s="122">
        <f>IF($D526="",0,MAX(0,$D526-$G526))</f>
        <v/>
      </c>
      <c r="I526" s="122">
        <f>IF($B526="","",CONCATENATE("Örnek kıymet: ",$B526))</f>
        <v/>
      </c>
    </row>
    <row r="527" ht="15" customHeight="1" s="77">
      <c r="G527" s="122">
        <f>IF($D527="",0,MIN($D527,$D527*$F527*MAX(0,ROUNDDOWN((AmortismanRaporTarihi-$C527)/365,0))))</f>
        <v/>
      </c>
      <c r="H527" s="122">
        <f>IF($D527="",0,MAX(0,$D527-$G527))</f>
        <v/>
      </c>
      <c r="I527" s="122">
        <f>IF($B527="","",CONCATENATE("Örnek kıymet: ",$B527))</f>
        <v/>
      </c>
    </row>
    <row r="528" ht="15" customHeight="1" s="77">
      <c r="G528" s="122">
        <f>IF($D528="",0,MIN($D528,$D528*$F528*MAX(0,ROUNDDOWN((AmortismanRaporTarihi-$C528)/365,0))))</f>
        <v/>
      </c>
      <c r="H528" s="122">
        <f>IF($D528="",0,MAX(0,$D528-$G528))</f>
        <v/>
      </c>
      <c r="I528" s="122">
        <f>IF($B528="","",CONCATENATE("Örnek kıymet: ",$B528))</f>
        <v/>
      </c>
    </row>
    <row r="529" ht="15" customHeight="1" s="77">
      <c r="G529" s="122">
        <f>IF($D529="",0,MIN($D529,$D529*$F529*MAX(0,ROUNDDOWN((AmortismanRaporTarihi-$C529)/365,0))))</f>
        <v/>
      </c>
      <c r="H529" s="122">
        <f>IF($D529="",0,MAX(0,$D529-$G529))</f>
        <v/>
      </c>
      <c r="I529" s="122">
        <f>IF($B529="","",CONCATENATE("Örnek kıymet: ",$B529))</f>
        <v/>
      </c>
    </row>
    <row r="530" ht="15" customHeight="1" s="77">
      <c r="G530" s="122">
        <f>IF($D530="",0,MIN($D530,$D530*$F530*MAX(0,ROUNDDOWN((AmortismanRaporTarihi-$C530)/365,0))))</f>
        <v/>
      </c>
      <c r="H530" s="122">
        <f>IF($D530="",0,MAX(0,$D530-$G530))</f>
        <v/>
      </c>
      <c r="I530" s="122">
        <f>IF($B530="","",CONCATENATE("Örnek kıymet: ",$B530))</f>
        <v/>
      </c>
    </row>
    <row r="531" ht="15" customHeight="1" s="77">
      <c r="G531" s="122">
        <f>IF($D531="",0,MIN($D531,$D531*$F531*MAX(0,ROUNDDOWN((AmortismanRaporTarihi-$C531)/365,0))))</f>
        <v/>
      </c>
      <c r="H531" s="122">
        <f>IF($D531="",0,MAX(0,$D531-$G531))</f>
        <v/>
      </c>
      <c r="I531" s="122">
        <f>IF($B531="","",CONCATENATE("Örnek kıymet: ",$B531))</f>
        <v/>
      </c>
    </row>
    <row r="532" ht="15" customHeight="1" s="77">
      <c r="G532" s="122">
        <f>IF($D532="",0,MIN($D532,$D532*$F532*MAX(0,ROUNDDOWN((AmortismanRaporTarihi-$C532)/365,0))))</f>
        <v/>
      </c>
      <c r="H532" s="122">
        <f>IF($D532="",0,MAX(0,$D532-$G532))</f>
        <v/>
      </c>
      <c r="I532" s="122">
        <f>IF($B532="","",CONCATENATE("Örnek kıymet: ",$B532))</f>
        <v/>
      </c>
    </row>
    <row r="533" ht="15" customHeight="1" s="77">
      <c r="G533" s="122">
        <f>IF($D533="",0,MIN($D533,$D533*$F533*MAX(0,ROUNDDOWN((AmortismanRaporTarihi-$C533)/365,0))))</f>
        <v/>
      </c>
      <c r="H533" s="122">
        <f>IF($D533="",0,MAX(0,$D533-$G533))</f>
        <v/>
      </c>
      <c r="I533" s="122">
        <f>IF($B533="","",CONCATENATE("Örnek kıymet: ",$B533))</f>
        <v/>
      </c>
    </row>
    <row r="534" ht="15" customHeight="1" s="77">
      <c r="G534" s="122">
        <f>IF($D534="",0,MIN($D534,$D534*$F534*MAX(0,ROUNDDOWN((AmortismanRaporTarihi-$C534)/365,0))))</f>
        <v/>
      </c>
      <c r="H534" s="122">
        <f>IF($D534="",0,MAX(0,$D534-$G534))</f>
        <v/>
      </c>
      <c r="I534" s="122">
        <f>IF($B534="","",CONCATENATE("Örnek kıymet: ",$B534))</f>
        <v/>
      </c>
    </row>
    <row r="535" ht="15" customHeight="1" s="77">
      <c r="G535" s="122">
        <f>IF($D535="",0,MIN($D535,$D535*$F535*MAX(0,ROUNDDOWN((AmortismanRaporTarihi-$C535)/365,0))))</f>
        <v/>
      </c>
      <c r="H535" s="122">
        <f>IF($D535="",0,MAX(0,$D535-$G535))</f>
        <v/>
      </c>
      <c r="I535" s="122">
        <f>IF($B535="","",CONCATENATE("Örnek kıymet: ",$B535))</f>
        <v/>
      </c>
    </row>
    <row r="536" ht="15" customHeight="1" s="77">
      <c r="G536" s="122">
        <f>IF($D536="",0,MIN($D536,$D536*$F536*MAX(0,ROUNDDOWN((AmortismanRaporTarihi-$C536)/365,0))))</f>
        <v/>
      </c>
      <c r="H536" s="122">
        <f>IF($D536="",0,MAX(0,$D536-$G536))</f>
        <v/>
      </c>
      <c r="I536" s="122">
        <f>IF($B536="","",CONCATENATE("Örnek kıymet: ",$B536))</f>
        <v/>
      </c>
    </row>
    <row r="537" ht="15" customHeight="1" s="77">
      <c r="G537" s="122">
        <f>IF($D537="",0,MIN($D537,$D537*$F537*MAX(0,ROUNDDOWN((AmortismanRaporTarihi-$C537)/365,0))))</f>
        <v/>
      </c>
      <c r="H537" s="122">
        <f>IF($D537="",0,MAX(0,$D537-$G537))</f>
        <v/>
      </c>
      <c r="I537" s="122">
        <f>IF($B537="","",CONCATENATE("Örnek kıymet: ",$B537))</f>
        <v/>
      </c>
    </row>
    <row r="538" ht="15" customHeight="1" s="77">
      <c r="G538" s="122">
        <f>IF($D538="",0,MIN($D538,$D538*$F538*MAX(0,ROUNDDOWN((AmortismanRaporTarihi-$C538)/365,0))))</f>
        <v/>
      </c>
      <c r="H538" s="122">
        <f>IF($D538="",0,MAX(0,$D538-$G538))</f>
        <v/>
      </c>
      <c r="I538" s="122">
        <f>IF($B538="","",CONCATENATE("Örnek kıymet: ",$B538))</f>
        <v/>
      </c>
    </row>
    <row r="539" ht="15" customHeight="1" s="77">
      <c r="G539" s="122">
        <f>IF($D539="",0,MIN($D539,$D539*$F539*MAX(0,ROUNDDOWN((AmortismanRaporTarihi-$C539)/365,0))))</f>
        <v/>
      </c>
      <c r="H539" s="122">
        <f>IF($D539="",0,MAX(0,$D539-$G539))</f>
        <v/>
      </c>
      <c r="I539" s="122">
        <f>IF($B539="","",CONCATENATE("Örnek kıymet: ",$B539))</f>
        <v/>
      </c>
    </row>
    <row r="540" ht="15" customHeight="1" s="77">
      <c r="G540" s="122">
        <f>IF($D540="",0,MIN($D540,$D540*$F540*MAX(0,ROUNDDOWN((AmortismanRaporTarihi-$C540)/365,0))))</f>
        <v/>
      </c>
      <c r="H540" s="122">
        <f>IF($D540="",0,MAX(0,$D540-$G540))</f>
        <v/>
      </c>
      <c r="I540" s="122">
        <f>IF($B540="","",CONCATENATE("Örnek kıymet: ",$B540))</f>
        <v/>
      </c>
    </row>
    <row r="541" ht="15" customHeight="1" s="77">
      <c r="G541" s="122">
        <f>IF($D541="",0,MIN($D541,$D541*$F541*MAX(0,ROUNDDOWN((AmortismanRaporTarihi-$C541)/365,0))))</f>
        <v/>
      </c>
      <c r="H541" s="122">
        <f>IF($D541="",0,MAX(0,$D541-$G541))</f>
        <v/>
      </c>
      <c r="I541" s="122">
        <f>IF($B541="","",CONCATENATE("Örnek kıymet: ",$B541))</f>
        <v/>
      </c>
    </row>
    <row r="542" ht="15" customHeight="1" s="77">
      <c r="G542" s="122">
        <f>IF($D542="",0,MIN($D542,$D542*$F542*MAX(0,ROUNDDOWN((AmortismanRaporTarihi-$C542)/365,0))))</f>
        <v/>
      </c>
      <c r="H542" s="122">
        <f>IF($D542="",0,MAX(0,$D542-$G542))</f>
        <v/>
      </c>
      <c r="I542" s="122">
        <f>IF($B542="","",CONCATENATE("Örnek kıymet: ",$B542))</f>
        <v/>
      </c>
    </row>
    <row r="543" ht="15" customHeight="1" s="77">
      <c r="G543" s="122">
        <f>IF($D543="",0,MIN($D543,$D543*$F543*MAX(0,ROUNDDOWN((AmortismanRaporTarihi-$C543)/365,0))))</f>
        <v/>
      </c>
      <c r="H543" s="122">
        <f>IF($D543="",0,MAX(0,$D543-$G543))</f>
        <v/>
      </c>
      <c r="I543" s="122">
        <f>IF($B543="","",CONCATENATE("Örnek kıymet: ",$B543))</f>
        <v/>
      </c>
    </row>
    <row r="544" ht="15" customHeight="1" s="77">
      <c r="G544" s="122">
        <f>IF($D544="",0,MIN($D544,$D544*$F544*MAX(0,ROUNDDOWN((AmortismanRaporTarihi-$C544)/365,0))))</f>
        <v/>
      </c>
      <c r="H544" s="122">
        <f>IF($D544="",0,MAX(0,$D544-$G544))</f>
        <v/>
      </c>
      <c r="I544" s="122">
        <f>IF($B544="","",CONCATENATE("Örnek kıymet: ",$B544))</f>
        <v/>
      </c>
    </row>
    <row r="545" ht="15" customHeight="1" s="77">
      <c r="G545" s="122">
        <f>IF($D545="",0,MIN($D545,$D545*$F545*MAX(0,ROUNDDOWN((AmortismanRaporTarihi-$C545)/365,0))))</f>
        <v/>
      </c>
      <c r="H545" s="122">
        <f>IF($D545="",0,MAX(0,$D545-$G545))</f>
        <v/>
      </c>
      <c r="I545" s="122">
        <f>IF($B545="","",CONCATENATE("Örnek kıymet: ",$B545))</f>
        <v/>
      </c>
    </row>
    <row r="546" ht="15" customHeight="1" s="77">
      <c r="G546" s="122">
        <f>IF($D546="",0,MIN($D546,$D546*$F546*MAX(0,ROUNDDOWN((AmortismanRaporTarihi-$C546)/365,0))))</f>
        <v/>
      </c>
      <c r="H546" s="122">
        <f>IF($D546="",0,MAX(0,$D546-$G546))</f>
        <v/>
      </c>
      <c r="I546" s="122">
        <f>IF($B546="","",CONCATENATE("Örnek kıymet: ",$B546))</f>
        <v/>
      </c>
    </row>
    <row r="547" ht="15" customHeight="1" s="77">
      <c r="G547" s="122">
        <f>IF($D547="",0,MIN($D547,$D547*$F547*MAX(0,ROUNDDOWN((AmortismanRaporTarihi-$C547)/365,0))))</f>
        <v/>
      </c>
      <c r="H547" s="122">
        <f>IF($D547="",0,MAX(0,$D547-$G547))</f>
        <v/>
      </c>
      <c r="I547" s="122">
        <f>IF($B547="","",CONCATENATE("Örnek kıymet: ",$B547))</f>
        <v/>
      </c>
    </row>
    <row r="548" ht="15" customHeight="1" s="77">
      <c r="G548" s="122">
        <f>IF($D548="",0,MIN($D548,$D548*$F548*MAX(0,ROUNDDOWN((AmortismanRaporTarihi-$C548)/365,0))))</f>
        <v/>
      </c>
      <c r="H548" s="122">
        <f>IF($D548="",0,MAX(0,$D548-$G548))</f>
        <v/>
      </c>
      <c r="I548" s="122">
        <f>IF($B548="","",CONCATENATE("Örnek kıymet: ",$B548))</f>
        <v/>
      </c>
    </row>
    <row r="549" ht="15" customHeight="1" s="77">
      <c r="G549" s="122">
        <f>IF($D549="",0,MIN($D549,$D549*$F549*MAX(0,ROUNDDOWN((AmortismanRaporTarihi-$C549)/365,0))))</f>
        <v/>
      </c>
      <c r="H549" s="122">
        <f>IF($D549="",0,MAX(0,$D549-$G549))</f>
        <v/>
      </c>
      <c r="I549" s="122">
        <f>IF($B549="","",CONCATENATE("Örnek kıymet: ",$B549))</f>
        <v/>
      </c>
    </row>
    <row r="550" ht="15" customHeight="1" s="77">
      <c r="G550" s="122">
        <f>IF($D550="",0,MIN($D550,$D550*$F550*MAX(0,ROUNDDOWN((AmortismanRaporTarihi-$C550)/365,0))))</f>
        <v/>
      </c>
      <c r="H550" s="122">
        <f>IF($D550="",0,MAX(0,$D550-$G550))</f>
        <v/>
      </c>
      <c r="I550" s="122">
        <f>IF($B550="","",CONCATENATE("Örnek kıymet: ",$B550))</f>
        <v/>
      </c>
    </row>
    <row r="551" ht="15" customHeight="1" s="77">
      <c r="G551" s="122">
        <f>IF($D551="",0,MIN($D551,$D551*$F551*MAX(0,ROUNDDOWN((AmortismanRaporTarihi-$C551)/365,0))))</f>
        <v/>
      </c>
      <c r="H551" s="122">
        <f>IF($D551="",0,MAX(0,$D551-$G551))</f>
        <v/>
      </c>
      <c r="I551" s="122">
        <f>IF($B551="","",CONCATENATE("Örnek kıymet: ",$B551))</f>
        <v/>
      </c>
    </row>
    <row r="552" ht="15" customHeight="1" s="77">
      <c r="G552" s="122">
        <f>IF($D552="",0,MIN($D552,$D552*$F552*MAX(0,ROUNDDOWN((AmortismanRaporTarihi-$C552)/365,0))))</f>
        <v/>
      </c>
      <c r="H552" s="122">
        <f>IF($D552="",0,MAX(0,$D552-$G552))</f>
        <v/>
      </c>
      <c r="I552" s="122">
        <f>IF($B552="","",CONCATENATE("Örnek kıymet: ",$B552))</f>
        <v/>
      </c>
    </row>
    <row r="553" ht="15" customHeight="1" s="77">
      <c r="G553" s="122">
        <f>IF($D553="",0,MIN($D553,$D553*$F553*MAX(0,ROUNDDOWN((AmortismanRaporTarihi-$C553)/365,0))))</f>
        <v/>
      </c>
      <c r="H553" s="122">
        <f>IF($D553="",0,MAX(0,$D553-$G553))</f>
        <v/>
      </c>
      <c r="I553" s="122">
        <f>IF($B553="","",CONCATENATE("Örnek kıymet: ",$B553))</f>
        <v/>
      </c>
    </row>
    <row r="554" ht="15" customHeight="1" s="77">
      <c r="G554" s="122">
        <f>IF($D554="",0,MIN($D554,$D554*$F554*MAX(0,ROUNDDOWN((AmortismanRaporTarihi-$C554)/365,0))))</f>
        <v/>
      </c>
      <c r="H554" s="122">
        <f>IF($D554="",0,MAX(0,$D554-$G554))</f>
        <v/>
      </c>
      <c r="I554" s="122">
        <f>IF($B554="","",CONCATENATE("Örnek kıymet: ",$B554))</f>
        <v/>
      </c>
    </row>
    <row r="555" ht="15" customHeight="1" s="77">
      <c r="G555" s="122">
        <f>IF($D555="",0,MIN($D555,$D555*$F555*MAX(0,ROUNDDOWN((AmortismanRaporTarihi-$C555)/365,0))))</f>
        <v/>
      </c>
      <c r="H555" s="122">
        <f>IF($D555="",0,MAX(0,$D555-$G555))</f>
        <v/>
      </c>
      <c r="I555" s="122">
        <f>IF($B555="","",CONCATENATE("Örnek kıymet: ",$B555))</f>
        <v/>
      </c>
    </row>
    <row r="556" ht="15" customHeight="1" s="77">
      <c r="G556" s="122">
        <f>IF($D556="",0,MIN($D556,$D556*$F556*MAX(0,ROUNDDOWN((AmortismanRaporTarihi-$C556)/365,0))))</f>
        <v/>
      </c>
      <c r="H556" s="122">
        <f>IF($D556="",0,MAX(0,$D556-$G556))</f>
        <v/>
      </c>
      <c r="I556" s="122">
        <f>IF($B556="","",CONCATENATE("Örnek kıymet: ",$B556))</f>
        <v/>
      </c>
    </row>
    <row r="557" ht="15" customHeight="1" s="77">
      <c r="G557" s="122">
        <f>IF($D557="",0,MIN($D557,$D557*$F557*MAX(0,ROUNDDOWN((AmortismanRaporTarihi-$C557)/365,0))))</f>
        <v/>
      </c>
      <c r="H557" s="122">
        <f>IF($D557="",0,MAX(0,$D557-$G557))</f>
        <v/>
      </c>
      <c r="I557" s="122">
        <f>IF($B557="","",CONCATENATE("Örnek kıymet: ",$B557))</f>
        <v/>
      </c>
    </row>
    <row r="558" ht="15" customHeight="1" s="77">
      <c r="G558" s="122">
        <f>IF($D558="",0,MIN($D558,$D558*$F558*MAX(0,ROUNDDOWN((AmortismanRaporTarihi-$C558)/365,0))))</f>
        <v/>
      </c>
      <c r="H558" s="122">
        <f>IF($D558="",0,MAX(0,$D558-$G558))</f>
        <v/>
      </c>
      <c r="I558" s="122">
        <f>IF($B558="","",CONCATENATE("Örnek kıymet: ",$B558))</f>
        <v/>
      </c>
    </row>
    <row r="559" ht="15" customHeight="1" s="77">
      <c r="G559" s="122">
        <f>IF($D559="",0,MIN($D559,$D559*$F559*MAX(0,ROUNDDOWN((AmortismanRaporTarihi-$C559)/365,0))))</f>
        <v/>
      </c>
      <c r="H559" s="122">
        <f>IF($D559="",0,MAX(0,$D559-$G559))</f>
        <v/>
      </c>
      <c r="I559" s="122">
        <f>IF($B559="","",CONCATENATE("Örnek kıymet: ",$B559))</f>
        <v/>
      </c>
    </row>
    <row r="560" ht="15" customHeight="1" s="77">
      <c r="G560" s="122">
        <f>IF($D560="",0,MIN($D560,$D560*$F560*MAX(0,ROUNDDOWN((AmortismanRaporTarihi-$C560)/365,0))))</f>
        <v/>
      </c>
      <c r="H560" s="122">
        <f>IF($D560="",0,MAX(0,$D560-$G560))</f>
        <v/>
      </c>
      <c r="I560" s="122">
        <f>IF($B560="","",CONCATENATE("Örnek kıymet: ",$B560))</f>
        <v/>
      </c>
    </row>
    <row r="561" ht="15" customHeight="1" s="77">
      <c r="G561" s="122">
        <f>IF($D561="",0,MIN($D561,$D561*$F561*MAX(0,ROUNDDOWN((AmortismanRaporTarihi-$C561)/365,0))))</f>
        <v/>
      </c>
      <c r="H561" s="122">
        <f>IF($D561="",0,MAX(0,$D561-$G561))</f>
        <v/>
      </c>
      <c r="I561" s="122">
        <f>IF($B561="","",CONCATENATE("Örnek kıymet: ",$B561))</f>
        <v/>
      </c>
    </row>
    <row r="562" ht="15" customHeight="1" s="77">
      <c r="G562" s="122">
        <f>IF($D562="",0,MIN($D562,$D562*$F562*MAX(0,ROUNDDOWN((AmortismanRaporTarihi-$C562)/365,0))))</f>
        <v/>
      </c>
      <c r="H562" s="122">
        <f>IF($D562="",0,MAX(0,$D562-$G562))</f>
        <v/>
      </c>
      <c r="I562" s="122">
        <f>IF($B562="","",CONCATENATE("Örnek kıymet: ",$B562))</f>
        <v/>
      </c>
    </row>
    <row r="563" ht="15" customHeight="1" s="77">
      <c r="G563" s="122">
        <f>IF($D563="",0,MIN($D563,$D563*$F563*MAX(0,ROUNDDOWN((AmortismanRaporTarihi-$C563)/365,0))))</f>
        <v/>
      </c>
      <c r="H563" s="122">
        <f>IF($D563="",0,MAX(0,$D563-$G563))</f>
        <v/>
      </c>
      <c r="I563" s="122">
        <f>IF($B563="","",CONCATENATE("Örnek kıymet: ",$B563))</f>
        <v/>
      </c>
    </row>
    <row r="564" ht="15" customHeight="1" s="77">
      <c r="G564" s="122">
        <f>IF($D564="",0,MIN($D564,$D564*$F564*MAX(0,ROUNDDOWN((AmortismanRaporTarihi-$C564)/365,0))))</f>
        <v/>
      </c>
      <c r="H564" s="122">
        <f>IF($D564="",0,MAX(0,$D564-$G564))</f>
        <v/>
      </c>
      <c r="I564" s="122">
        <f>IF($B564="","",CONCATENATE("Örnek kıymet: ",$B564))</f>
        <v/>
      </c>
    </row>
    <row r="565" ht="15" customHeight="1" s="77">
      <c r="G565" s="122">
        <f>IF($D565="",0,MIN($D565,$D565*$F565*MAX(0,ROUNDDOWN((AmortismanRaporTarihi-$C565)/365,0))))</f>
        <v/>
      </c>
      <c r="H565" s="122">
        <f>IF($D565="",0,MAX(0,$D565-$G565))</f>
        <v/>
      </c>
      <c r="I565" s="122">
        <f>IF($B565="","",CONCATENATE("Örnek kıymet: ",$B565))</f>
        <v/>
      </c>
    </row>
    <row r="566" ht="15" customHeight="1" s="77">
      <c r="G566" s="122">
        <f>IF($D566="",0,MIN($D566,$D566*$F566*MAX(0,ROUNDDOWN((AmortismanRaporTarihi-$C566)/365,0))))</f>
        <v/>
      </c>
      <c r="H566" s="122">
        <f>IF($D566="",0,MAX(0,$D566-$G566))</f>
        <v/>
      </c>
      <c r="I566" s="122">
        <f>IF($B566="","",CONCATENATE("Örnek kıymet: ",$B566))</f>
        <v/>
      </c>
    </row>
    <row r="567" ht="15" customHeight="1" s="77">
      <c r="G567" s="122">
        <f>IF($D567="",0,MIN($D567,$D567*$F567*MAX(0,ROUNDDOWN((AmortismanRaporTarihi-$C567)/365,0))))</f>
        <v/>
      </c>
      <c r="H567" s="122">
        <f>IF($D567="",0,MAX(0,$D567-$G567))</f>
        <v/>
      </c>
      <c r="I567" s="122">
        <f>IF($B567="","",CONCATENATE("Örnek kıymet: ",$B567))</f>
        <v/>
      </c>
    </row>
    <row r="568" ht="15" customHeight="1" s="77">
      <c r="G568" s="122">
        <f>IF($D568="",0,MIN($D568,$D568*$F568*MAX(0,ROUNDDOWN((AmortismanRaporTarihi-$C568)/365,0))))</f>
        <v/>
      </c>
      <c r="H568" s="122">
        <f>IF($D568="",0,MAX(0,$D568-$G568))</f>
        <v/>
      </c>
      <c r="I568" s="122">
        <f>IF($B568="","",CONCATENATE("Örnek kıymet: ",$B568))</f>
        <v/>
      </c>
    </row>
    <row r="569" ht="15" customHeight="1" s="77">
      <c r="G569" s="122">
        <f>IF($D569="",0,MIN($D569,$D569*$F569*MAX(0,ROUNDDOWN((AmortismanRaporTarihi-$C569)/365,0))))</f>
        <v/>
      </c>
      <c r="H569" s="122">
        <f>IF($D569="",0,MAX(0,$D569-$G569))</f>
        <v/>
      </c>
      <c r="I569" s="122">
        <f>IF($B569="","",CONCATENATE("Örnek kıymet: ",$B569))</f>
        <v/>
      </c>
    </row>
    <row r="570" ht="15" customHeight="1" s="77">
      <c r="G570" s="122">
        <f>IF($D570="",0,MIN($D570,$D570*$F570*MAX(0,ROUNDDOWN((AmortismanRaporTarihi-$C570)/365,0))))</f>
        <v/>
      </c>
      <c r="H570" s="122">
        <f>IF($D570="",0,MAX(0,$D570-$G570))</f>
        <v/>
      </c>
      <c r="I570" s="122">
        <f>IF($B570="","",CONCATENATE("Örnek kıymet: ",$B570))</f>
        <v/>
      </c>
    </row>
    <row r="571" ht="15" customHeight="1" s="77">
      <c r="G571" s="122">
        <f>IF($D571="",0,MIN($D571,$D571*$F571*MAX(0,ROUNDDOWN((AmortismanRaporTarihi-$C571)/365,0))))</f>
        <v/>
      </c>
      <c r="H571" s="122">
        <f>IF($D571="",0,MAX(0,$D571-$G571))</f>
        <v/>
      </c>
      <c r="I571" s="122">
        <f>IF($B571="","",CONCATENATE("Örnek kıymet: ",$B571))</f>
        <v/>
      </c>
    </row>
    <row r="572" ht="15" customHeight="1" s="77">
      <c r="G572" s="122">
        <f>IF($D572="",0,MIN($D572,$D572*$F572*MAX(0,ROUNDDOWN((AmortismanRaporTarihi-$C572)/365,0))))</f>
        <v/>
      </c>
      <c r="H572" s="122">
        <f>IF($D572="",0,MAX(0,$D572-$G572))</f>
        <v/>
      </c>
      <c r="I572" s="122">
        <f>IF($B572="","",CONCATENATE("Örnek kıymet: ",$B572))</f>
        <v/>
      </c>
    </row>
    <row r="573" ht="15" customHeight="1" s="77">
      <c r="G573" s="122">
        <f>IF($D573="",0,MIN($D573,$D573*$F573*MAX(0,ROUNDDOWN((AmortismanRaporTarihi-$C573)/365,0))))</f>
        <v/>
      </c>
      <c r="H573" s="122">
        <f>IF($D573="",0,MAX(0,$D573-$G573))</f>
        <v/>
      </c>
      <c r="I573" s="122">
        <f>IF($B573="","",CONCATENATE("Örnek kıymet: ",$B573))</f>
        <v/>
      </c>
    </row>
    <row r="574" ht="15" customHeight="1" s="77">
      <c r="G574" s="122">
        <f>IF($D574="",0,MIN($D574,$D574*$F574*MAX(0,ROUNDDOWN((AmortismanRaporTarihi-$C574)/365,0))))</f>
        <v/>
      </c>
      <c r="H574" s="122">
        <f>IF($D574="",0,MAX(0,$D574-$G574))</f>
        <v/>
      </c>
      <c r="I574" s="122">
        <f>IF($B574="","",CONCATENATE("Örnek kıymet: ",$B574))</f>
        <v/>
      </c>
    </row>
    <row r="575" ht="15" customHeight="1" s="77">
      <c r="G575" s="122">
        <f>IF($D575="",0,MIN($D575,$D575*$F575*MAX(0,ROUNDDOWN((AmortismanRaporTarihi-$C575)/365,0))))</f>
        <v/>
      </c>
      <c r="H575" s="122">
        <f>IF($D575="",0,MAX(0,$D575-$G575))</f>
        <v/>
      </c>
      <c r="I575" s="122">
        <f>IF($B575="","",CONCATENATE("Örnek kıymet: ",$B575))</f>
        <v/>
      </c>
    </row>
    <row r="576" ht="15" customHeight="1" s="77">
      <c r="G576" s="122">
        <f>IF($D576="",0,MIN($D576,$D576*$F576*MAX(0,ROUNDDOWN((AmortismanRaporTarihi-$C576)/365,0))))</f>
        <v/>
      </c>
      <c r="H576" s="122">
        <f>IF($D576="",0,MAX(0,$D576-$G576))</f>
        <v/>
      </c>
      <c r="I576" s="122">
        <f>IF($B576="","",CONCATENATE("Örnek kıymet: ",$B576))</f>
        <v/>
      </c>
    </row>
    <row r="577" ht="15" customHeight="1" s="77">
      <c r="G577" s="122">
        <f>IF($D577="",0,MIN($D577,$D577*$F577*MAX(0,ROUNDDOWN((AmortismanRaporTarihi-$C577)/365,0))))</f>
        <v/>
      </c>
      <c r="H577" s="122">
        <f>IF($D577="",0,MAX(0,$D577-$G577))</f>
        <v/>
      </c>
      <c r="I577" s="122">
        <f>IF($B577="","",CONCATENATE("Örnek kıymet: ",$B577))</f>
        <v/>
      </c>
    </row>
    <row r="578" ht="15" customHeight="1" s="77">
      <c r="G578" s="122">
        <f>IF($D578="",0,MIN($D578,$D578*$F578*MAX(0,ROUNDDOWN((AmortismanRaporTarihi-$C578)/365,0))))</f>
        <v/>
      </c>
      <c r="H578" s="122">
        <f>IF($D578="",0,MAX(0,$D578-$G578))</f>
        <v/>
      </c>
      <c r="I578" s="122">
        <f>IF($B578="","",CONCATENATE("Örnek kıymet: ",$B578))</f>
        <v/>
      </c>
    </row>
    <row r="579" ht="15" customHeight="1" s="77">
      <c r="G579" s="122">
        <f>IF($D579="",0,MIN($D579,$D579*$F579*MAX(0,ROUNDDOWN((AmortismanRaporTarihi-$C579)/365,0))))</f>
        <v/>
      </c>
      <c r="H579" s="122">
        <f>IF($D579="",0,MAX(0,$D579-$G579))</f>
        <v/>
      </c>
      <c r="I579" s="122">
        <f>IF($B579="","",CONCATENATE("Örnek kıymet: ",$B579))</f>
        <v/>
      </c>
    </row>
    <row r="580" ht="15" customHeight="1" s="77">
      <c r="G580" s="122">
        <f>IF($D580="",0,MIN($D580,$D580*$F580*MAX(0,ROUNDDOWN((AmortismanRaporTarihi-$C580)/365,0))))</f>
        <v/>
      </c>
      <c r="H580" s="122">
        <f>IF($D580="",0,MAX(0,$D580-$G580))</f>
        <v/>
      </c>
      <c r="I580" s="122">
        <f>IF($B580="","",CONCATENATE("Örnek kıymet: ",$B580))</f>
        <v/>
      </c>
    </row>
    <row r="581" ht="15" customHeight="1" s="77">
      <c r="G581" s="122">
        <f>IF($D581="",0,MIN($D581,$D581*$F581*MAX(0,ROUNDDOWN((AmortismanRaporTarihi-$C581)/365,0))))</f>
        <v/>
      </c>
      <c r="H581" s="122">
        <f>IF($D581="",0,MAX(0,$D581-$G581))</f>
        <v/>
      </c>
      <c r="I581" s="122">
        <f>IF($B581="","",CONCATENATE("Örnek kıymet: ",$B581))</f>
        <v/>
      </c>
    </row>
    <row r="582" ht="15" customHeight="1" s="77">
      <c r="G582" s="122">
        <f>IF($D582="",0,MIN($D582,$D582*$F582*MAX(0,ROUNDDOWN((AmortismanRaporTarihi-$C582)/365,0))))</f>
        <v/>
      </c>
      <c r="H582" s="122">
        <f>IF($D582="",0,MAX(0,$D582-$G582))</f>
        <v/>
      </c>
      <c r="I582" s="122">
        <f>IF($B582="","",CONCATENATE("Örnek kıymet: ",$B582))</f>
        <v/>
      </c>
    </row>
    <row r="583" ht="15" customHeight="1" s="77">
      <c r="G583" s="122">
        <f>IF($D583="",0,MIN($D583,$D583*$F583*MAX(0,ROUNDDOWN((AmortismanRaporTarihi-$C583)/365,0))))</f>
        <v/>
      </c>
      <c r="H583" s="122">
        <f>IF($D583="",0,MAX(0,$D583-$G583))</f>
        <v/>
      </c>
      <c r="I583" s="122">
        <f>IF($B583="","",CONCATENATE("Örnek kıymet: ",$B583))</f>
        <v/>
      </c>
    </row>
    <row r="584" ht="15" customHeight="1" s="77">
      <c r="G584" s="122">
        <f>IF($D584="",0,MIN($D584,$D584*$F584*MAX(0,ROUNDDOWN((AmortismanRaporTarihi-$C584)/365,0))))</f>
        <v/>
      </c>
      <c r="H584" s="122">
        <f>IF($D584="",0,MAX(0,$D584-$G584))</f>
        <v/>
      </c>
      <c r="I584" s="122">
        <f>IF($B584="","",CONCATENATE("Örnek kıymet: ",$B584))</f>
        <v/>
      </c>
    </row>
    <row r="585" ht="15" customHeight="1" s="77">
      <c r="G585" s="122">
        <f>IF($D585="",0,MIN($D585,$D585*$F585*MAX(0,ROUNDDOWN((AmortismanRaporTarihi-$C585)/365,0))))</f>
        <v/>
      </c>
      <c r="H585" s="122">
        <f>IF($D585="",0,MAX(0,$D585-$G585))</f>
        <v/>
      </c>
      <c r="I585" s="122">
        <f>IF($B585="","",CONCATENATE("Örnek kıymet: ",$B585))</f>
        <v/>
      </c>
    </row>
    <row r="586" ht="15" customHeight="1" s="77">
      <c r="G586" s="122">
        <f>IF($D586="",0,MIN($D586,$D586*$F586*MAX(0,ROUNDDOWN((AmortismanRaporTarihi-$C586)/365,0))))</f>
        <v/>
      </c>
      <c r="H586" s="122">
        <f>IF($D586="",0,MAX(0,$D586-$G586))</f>
        <v/>
      </c>
      <c r="I586" s="122">
        <f>IF($B586="","",CONCATENATE("Örnek kıymet: ",$B586))</f>
        <v/>
      </c>
    </row>
    <row r="587" ht="15" customHeight="1" s="77">
      <c r="G587" s="122">
        <f>IF($D587="",0,MIN($D587,$D587*$F587*MAX(0,ROUNDDOWN((AmortismanRaporTarihi-$C587)/365,0))))</f>
        <v/>
      </c>
      <c r="H587" s="122">
        <f>IF($D587="",0,MAX(0,$D587-$G587))</f>
        <v/>
      </c>
      <c r="I587" s="122">
        <f>IF($B587="","",CONCATENATE("Örnek kıymet: ",$B587))</f>
        <v/>
      </c>
    </row>
    <row r="588" ht="15" customHeight="1" s="77">
      <c r="G588" s="122">
        <f>IF($D588="",0,MIN($D588,$D588*$F588*MAX(0,ROUNDDOWN((AmortismanRaporTarihi-$C588)/365,0))))</f>
        <v/>
      </c>
      <c r="H588" s="122">
        <f>IF($D588="",0,MAX(0,$D588-$G588))</f>
        <v/>
      </c>
      <c r="I588" s="122">
        <f>IF($B588="","",CONCATENATE("Örnek kıymet: ",$B588))</f>
        <v/>
      </c>
    </row>
    <row r="589" ht="15" customHeight="1" s="77">
      <c r="G589" s="122">
        <f>IF($D589="",0,MIN($D589,$D589*$F589*MAX(0,ROUNDDOWN((AmortismanRaporTarihi-$C589)/365,0))))</f>
        <v/>
      </c>
      <c r="H589" s="122">
        <f>IF($D589="",0,MAX(0,$D589-$G589))</f>
        <v/>
      </c>
      <c r="I589" s="122">
        <f>IF($B589="","",CONCATENATE("Örnek kıymet: ",$B589))</f>
        <v/>
      </c>
    </row>
    <row r="590" ht="15" customHeight="1" s="77">
      <c r="G590" s="122">
        <f>IF($D590="",0,MIN($D590,$D590*$F590*MAX(0,ROUNDDOWN((AmortismanRaporTarihi-$C590)/365,0))))</f>
        <v/>
      </c>
      <c r="H590" s="122">
        <f>IF($D590="",0,MAX(0,$D590-$G590))</f>
        <v/>
      </c>
      <c r="I590" s="122">
        <f>IF($B590="","",CONCATENATE("Örnek kıymet: ",$B590))</f>
        <v/>
      </c>
    </row>
    <row r="591" ht="15" customHeight="1" s="77">
      <c r="G591" s="122">
        <f>IF($D591="",0,MIN($D591,$D591*$F591*MAX(0,ROUNDDOWN((AmortismanRaporTarihi-$C591)/365,0))))</f>
        <v/>
      </c>
      <c r="H591" s="122">
        <f>IF($D591="",0,MAX(0,$D591-$G591))</f>
        <v/>
      </c>
      <c r="I591" s="122">
        <f>IF($B591="","",CONCATENATE("Örnek kıymet: ",$B591))</f>
        <v/>
      </c>
    </row>
    <row r="592" ht="15" customHeight="1" s="77">
      <c r="G592" s="122">
        <f>IF($D592="",0,MIN($D592,$D592*$F592*MAX(0,ROUNDDOWN((AmortismanRaporTarihi-$C592)/365,0))))</f>
        <v/>
      </c>
      <c r="H592" s="122">
        <f>IF($D592="",0,MAX(0,$D592-$G592))</f>
        <v/>
      </c>
      <c r="I592" s="122">
        <f>IF($B592="","",CONCATENATE("Örnek kıymet: ",$B592))</f>
        <v/>
      </c>
    </row>
    <row r="593" ht="15" customHeight="1" s="77">
      <c r="G593" s="122">
        <f>IF($D593="",0,MIN($D593,$D593*$F593*MAX(0,ROUNDDOWN((AmortismanRaporTarihi-$C593)/365,0))))</f>
        <v/>
      </c>
      <c r="H593" s="122">
        <f>IF($D593="",0,MAX(0,$D593-$G593))</f>
        <v/>
      </c>
      <c r="I593" s="122">
        <f>IF($B593="","",CONCATENATE("Örnek kıymet: ",$B593))</f>
        <v/>
      </c>
    </row>
    <row r="594" ht="15" customHeight="1" s="77">
      <c r="G594" s="122">
        <f>IF($D594="",0,MIN($D594,$D594*$F594*MAX(0,ROUNDDOWN((AmortismanRaporTarihi-$C594)/365,0))))</f>
        <v/>
      </c>
      <c r="H594" s="122">
        <f>IF($D594="",0,MAX(0,$D594-$G594))</f>
        <v/>
      </c>
      <c r="I594" s="122">
        <f>IF($B594="","",CONCATENATE("Örnek kıymet: ",$B594))</f>
        <v/>
      </c>
    </row>
    <row r="595" ht="15" customHeight="1" s="77">
      <c r="G595" s="122">
        <f>IF($D595="",0,MIN($D595,$D595*$F595*MAX(0,ROUNDDOWN((AmortismanRaporTarihi-$C595)/365,0))))</f>
        <v/>
      </c>
      <c r="H595" s="122">
        <f>IF($D595="",0,MAX(0,$D595-$G595))</f>
        <v/>
      </c>
      <c r="I595" s="122">
        <f>IF($B595="","",CONCATENATE("Örnek kıymet: ",$B595))</f>
        <v/>
      </c>
    </row>
    <row r="596" ht="15" customHeight="1" s="77">
      <c r="G596" s="122">
        <f>IF($D596="",0,MIN($D596,$D596*$F596*MAX(0,ROUNDDOWN((AmortismanRaporTarihi-$C596)/365,0))))</f>
        <v/>
      </c>
      <c r="H596" s="122">
        <f>IF($D596="",0,MAX(0,$D596-$G596))</f>
        <v/>
      </c>
      <c r="I596" s="122">
        <f>IF($B596="","",CONCATENATE("Örnek kıymet: ",$B596))</f>
        <v/>
      </c>
    </row>
    <row r="597" ht="15" customHeight="1" s="77">
      <c r="G597" s="122">
        <f>IF($D597="",0,MIN($D597,$D597*$F597*MAX(0,ROUNDDOWN((AmortismanRaporTarihi-$C597)/365,0))))</f>
        <v/>
      </c>
      <c r="H597" s="122">
        <f>IF($D597="",0,MAX(0,$D597-$G597))</f>
        <v/>
      </c>
      <c r="I597" s="122">
        <f>IF($B597="","",CONCATENATE("Örnek kıymet: ",$B597))</f>
        <v/>
      </c>
    </row>
    <row r="598" ht="15" customHeight="1" s="77">
      <c r="G598" s="122">
        <f>IF($D598="",0,MIN($D598,$D598*$F598*MAX(0,ROUNDDOWN((AmortismanRaporTarihi-$C598)/365,0))))</f>
        <v/>
      </c>
      <c r="H598" s="122">
        <f>IF($D598="",0,MAX(0,$D598-$G598))</f>
        <v/>
      </c>
      <c r="I598" s="122">
        <f>IF($B598="","",CONCATENATE("Örnek kıymet: ",$B598))</f>
        <v/>
      </c>
    </row>
    <row r="599" ht="15" customHeight="1" s="77">
      <c r="G599" s="122">
        <f>IF($D599="",0,MIN($D599,$D599*$F599*MAX(0,ROUNDDOWN((AmortismanRaporTarihi-$C599)/365,0))))</f>
        <v/>
      </c>
      <c r="H599" s="122">
        <f>IF($D599="",0,MAX(0,$D599-$G599))</f>
        <v/>
      </c>
      <c r="I599" s="122">
        <f>IF($B599="","",CONCATENATE("Örnek kıymet: ",$B599))</f>
        <v/>
      </c>
    </row>
    <row r="600" ht="15" customHeight="1" s="77">
      <c r="G600" s="122">
        <f>IF($D600="",0,MIN($D600,$D600*$F600*MAX(0,ROUNDDOWN((AmortismanRaporTarihi-$C600)/365,0))))</f>
        <v/>
      </c>
      <c r="H600" s="122">
        <f>IF($D600="",0,MAX(0,$D600-$G600))</f>
        <v/>
      </c>
      <c r="I600" s="122">
        <f>IF($B600="","",CONCATENATE("Örnek kıymet: ",$B600))</f>
        <v/>
      </c>
    </row>
    <row r="601" ht="15" customHeight="1" s="77">
      <c r="G601" s="122">
        <f>IF($D601="",0,MIN($D601,$D601*$F601*MAX(0,ROUNDDOWN((AmortismanRaporTarihi-$C601)/365,0))))</f>
        <v/>
      </c>
      <c r="H601" s="122">
        <f>IF($D601="",0,MAX(0,$D601-$G601))</f>
        <v/>
      </c>
      <c r="I601" s="122">
        <f>IF($B601="","",CONCATENATE("Örnek kıymet: ",$B601))</f>
        <v/>
      </c>
    </row>
    <row r="602" ht="15" customHeight="1" s="77">
      <c r="G602" s="122">
        <f>IF($D602="",0,MIN($D602,$D602*$F602*MAX(0,ROUNDDOWN((AmortismanRaporTarihi-$C602)/365,0))))</f>
        <v/>
      </c>
      <c r="H602" s="122">
        <f>IF($D602="",0,MAX(0,$D602-$G602))</f>
        <v/>
      </c>
      <c r="I602" s="122">
        <f>IF($B602="","",CONCATENATE("Örnek kıymet: ",$B602))</f>
        <v/>
      </c>
    </row>
    <row r="603" ht="15" customHeight="1" s="77">
      <c r="G603" s="122">
        <f>IF($D603="",0,MIN($D603,$D603*$F603*MAX(0,ROUNDDOWN((AmortismanRaporTarihi-$C603)/365,0))))</f>
        <v/>
      </c>
      <c r="H603" s="122">
        <f>IF($D603="",0,MAX(0,$D603-$G603))</f>
        <v/>
      </c>
      <c r="I603" s="122">
        <f>IF($B603="","",CONCATENATE("Örnek kıymet: ",$B603))</f>
        <v/>
      </c>
    </row>
    <row r="604" ht="15" customHeight="1" s="77">
      <c r="G604" s="122">
        <f>IF($D604="",0,MIN($D604,$D604*$F604*MAX(0,ROUNDDOWN((AmortismanRaporTarihi-$C604)/365,0))))</f>
        <v/>
      </c>
      <c r="H604" s="122">
        <f>IF($D604="",0,MAX(0,$D604-$G604))</f>
        <v/>
      </c>
      <c r="I604" s="122">
        <f>IF($B604="","",CONCATENATE("Örnek kıymet: ",$B604))</f>
        <v/>
      </c>
    </row>
    <row r="605" ht="15" customHeight="1" s="77">
      <c r="G605" s="122">
        <f>IF($D605="",0,MIN($D605,$D605*$F605*MAX(0,ROUNDDOWN((AmortismanRaporTarihi-$C605)/365,0))))</f>
        <v/>
      </c>
      <c r="H605" s="122">
        <f>IF($D605="",0,MAX(0,$D605-$G605))</f>
        <v/>
      </c>
      <c r="I605" s="122">
        <f>IF($B605="","",CONCATENATE("Örnek kıymet: ",$B605))</f>
        <v/>
      </c>
    </row>
    <row r="606" ht="15" customHeight="1" s="77">
      <c r="G606" s="122">
        <f>IF($D606="",0,MIN($D606,$D606*$F606*MAX(0,ROUNDDOWN((AmortismanRaporTarihi-$C606)/365,0))))</f>
        <v/>
      </c>
      <c r="H606" s="122">
        <f>IF($D606="",0,MAX(0,$D606-$G606))</f>
        <v/>
      </c>
      <c r="I606" s="122">
        <f>IF($B606="","",CONCATENATE("Örnek kıymet: ",$B606))</f>
        <v/>
      </c>
    </row>
    <row r="607" ht="15" customHeight="1" s="77">
      <c r="G607" s="122">
        <f>IF($D607="",0,MIN($D607,$D607*$F607*MAX(0,ROUNDDOWN((AmortismanRaporTarihi-$C607)/365,0))))</f>
        <v/>
      </c>
      <c r="H607" s="122">
        <f>IF($D607="",0,MAX(0,$D607-$G607))</f>
        <v/>
      </c>
      <c r="I607" s="122">
        <f>IF($B607="","",CONCATENATE("Örnek kıymet: ",$B607))</f>
        <v/>
      </c>
    </row>
    <row r="608" ht="15" customHeight="1" s="77">
      <c r="G608" s="122">
        <f>IF($D608="",0,MIN($D608,$D608*$F608*MAX(0,ROUNDDOWN((AmortismanRaporTarihi-$C608)/365,0))))</f>
        <v/>
      </c>
      <c r="H608" s="122">
        <f>IF($D608="",0,MAX(0,$D608-$G608))</f>
        <v/>
      </c>
      <c r="I608" s="122">
        <f>IF($B608="","",CONCATENATE("Örnek kıymet: ",$B608))</f>
        <v/>
      </c>
    </row>
    <row r="609" ht="15" customHeight="1" s="77">
      <c r="G609" s="122">
        <f>IF($D609="",0,MIN($D609,$D609*$F609*MAX(0,ROUNDDOWN((AmortismanRaporTarihi-$C609)/365,0))))</f>
        <v/>
      </c>
      <c r="H609" s="122">
        <f>IF($D609="",0,MAX(0,$D609-$G609))</f>
        <v/>
      </c>
      <c r="I609" s="122">
        <f>IF($B609="","",CONCATENATE("Örnek kıymet: ",$B609))</f>
        <v/>
      </c>
    </row>
    <row r="610" ht="15" customHeight="1" s="77">
      <c r="G610" s="122">
        <f>IF($D610="",0,MIN($D610,$D610*$F610*MAX(0,ROUNDDOWN((AmortismanRaporTarihi-$C610)/365,0))))</f>
        <v/>
      </c>
      <c r="H610" s="122">
        <f>IF($D610="",0,MAX(0,$D610-$G610))</f>
        <v/>
      </c>
      <c r="I610" s="122">
        <f>IF($B610="","",CONCATENATE("Örnek kıymet: ",$B610))</f>
        <v/>
      </c>
    </row>
    <row r="611" ht="15" customHeight="1" s="77">
      <c r="G611" s="122">
        <f>IF($D611="",0,MIN($D611,$D611*$F611*MAX(0,ROUNDDOWN((AmortismanRaporTarihi-$C611)/365,0))))</f>
        <v/>
      </c>
      <c r="H611" s="122">
        <f>IF($D611="",0,MAX(0,$D611-$G611))</f>
        <v/>
      </c>
      <c r="I611" s="122">
        <f>IF($B611="","",CONCATENATE("Örnek kıymet: ",$B611))</f>
        <v/>
      </c>
    </row>
    <row r="612" ht="15" customHeight="1" s="77">
      <c r="G612" s="122">
        <f>IF($D612="",0,MIN($D612,$D612*$F612*MAX(0,ROUNDDOWN((AmortismanRaporTarihi-$C612)/365,0))))</f>
        <v/>
      </c>
      <c r="H612" s="122">
        <f>IF($D612="",0,MAX(0,$D612-$G612))</f>
        <v/>
      </c>
      <c r="I612" s="122">
        <f>IF($B612="","",CONCATENATE("Örnek kıymet: ",$B612))</f>
        <v/>
      </c>
    </row>
    <row r="613" ht="15" customHeight="1" s="77">
      <c r="G613" s="122">
        <f>IF($D613="",0,MIN($D613,$D613*$F613*MAX(0,ROUNDDOWN((AmortismanRaporTarihi-$C613)/365,0))))</f>
        <v/>
      </c>
      <c r="H613" s="122">
        <f>IF($D613="",0,MAX(0,$D613-$G613))</f>
        <v/>
      </c>
      <c r="I613" s="122">
        <f>IF($B613="","",CONCATENATE("Örnek kıymet: ",$B613))</f>
        <v/>
      </c>
    </row>
    <row r="614" ht="15" customHeight="1" s="77">
      <c r="G614" s="122">
        <f>IF($D614="",0,MIN($D614,$D614*$F614*MAX(0,ROUNDDOWN((AmortismanRaporTarihi-$C614)/365,0))))</f>
        <v/>
      </c>
      <c r="H614" s="122">
        <f>IF($D614="",0,MAX(0,$D614-$G614))</f>
        <v/>
      </c>
      <c r="I614" s="122">
        <f>IF($B614="","",CONCATENATE("Örnek kıymet: ",$B614))</f>
        <v/>
      </c>
    </row>
    <row r="615" ht="15" customHeight="1" s="77">
      <c r="G615" s="122">
        <f>IF($D615="",0,MIN($D615,$D615*$F615*MAX(0,ROUNDDOWN((AmortismanRaporTarihi-$C615)/365,0))))</f>
        <v/>
      </c>
      <c r="H615" s="122">
        <f>IF($D615="",0,MAX(0,$D615-$G615))</f>
        <v/>
      </c>
      <c r="I615" s="122">
        <f>IF($B615="","",CONCATENATE("Örnek kıymet: ",$B615))</f>
        <v/>
      </c>
    </row>
    <row r="616" ht="15" customHeight="1" s="77">
      <c r="G616" s="122">
        <f>IF($D616="",0,MIN($D616,$D616*$F616*MAX(0,ROUNDDOWN((AmortismanRaporTarihi-$C616)/365,0))))</f>
        <v/>
      </c>
      <c r="H616" s="122">
        <f>IF($D616="",0,MAX(0,$D616-$G616))</f>
        <v/>
      </c>
      <c r="I616" s="122">
        <f>IF($B616="","",CONCATENATE("Örnek kıymet: ",$B616))</f>
        <v/>
      </c>
    </row>
    <row r="617" ht="15" customHeight="1" s="77">
      <c r="G617" s="122">
        <f>IF($D617="",0,MIN($D617,$D617*$F617*MAX(0,ROUNDDOWN((AmortismanRaporTarihi-$C617)/365,0))))</f>
        <v/>
      </c>
      <c r="H617" s="122">
        <f>IF($D617="",0,MAX(0,$D617-$G617))</f>
        <v/>
      </c>
      <c r="I617" s="122">
        <f>IF($B617="","",CONCATENATE("Örnek kıymet: ",$B617))</f>
        <v/>
      </c>
    </row>
    <row r="618" ht="15" customHeight="1" s="77">
      <c r="G618" s="122">
        <f>IF($D618="",0,MIN($D618,$D618*$F618*MAX(0,ROUNDDOWN((AmortismanRaporTarihi-$C618)/365,0))))</f>
        <v/>
      </c>
      <c r="H618" s="122">
        <f>IF($D618="",0,MAX(0,$D618-$G618))</f>
        <v/>
      </c>
      <c r="I618" s="122">
        <f>IF($B618="","",CONCATENATE("Örnek kıymet: ",$B618))</f>
        <v/>
      </c>
    </row>
    <row r="619" ht="15" customHeight="1" s="77">
      <c r="G619" s="122">
        <f>IF($D619="",0,MIN($D619,$D619*$F619*MAX(0,ROUNDDOWN((AmortismanRaporTarihi-$C619)/365,0))))</f>
        <v/>
      </c>
      <c r="H619" s="122">
        <f>IF($D619="",0,MAX(0,$D619-$G619))</f>
        <v/>
      </c>
      <c r="I619" s="122">
        <f>IF($B619="","",CONCATENATE("Örnek kıymet: ",$B619))</f>
        <v/>
      </c>
    </row>
    <row r="620" ht="15" customHeight="1" s="77">
      <c r="G620" s="122">
        <f>IF($D620="",0,MIN($D620,$D620*$F620*MAX(0,ROUNDDOWN((AmortismanRaporTarihi-$C620)/365,0))))</f>
        <v/>
      </c>
      <c r="H620" s="122">
        <f>IF($D620="",0,MAX(0,$D620-$G620))</f>
        <v/>
      </c>
      <c r="I620" s="122">
        <f>IF($B620="","",CONCATENATE("Örnek kıymet: ",$B620))</f>
        <v/>
      </c>
    </row>
    <row r="621" ht="15" customHeight="1" s="77">
      <c r="G621" s="122">
        <f>IF($D621="",0,MIN($D621,$D621*$F621*MAX(0,ROUNDDOWN((AmortismanRaporTarihi-$C621)/365,0))))</f>
        <v/>
      </c>
      <c r="H621" s="122">
        <f>IF($D621="",0,MAX(0,$D621-$G621))</f>
        <v/>
      </c>
      <c r="I621" s="122">
        <f>IF($B621="","",CONCATENATE("Örnek kıymet: ",$B621))</f>
        <v/>
      </c>
    </row>
    <row r="622" ht="15" customHeight="1" s="77">
      <c r="G622" s="122">
        <f>IF($D622="",0,MIN($D622,$D622*$F622*MAX(0,ROUNDDOWN((AmortismanRaporTarihi-$C622)/365,0))))</f>
        <v/>
      </c>
      <c r="H622" s="122">
        <f>IF($D622="",0,MAX(0,$D622-$G622))</f>
        <v/>
      </c>
      <c r="I622" s="122">
        <f>IF($B622="","",CONCATENATE("Örnek kıymet: ",$B622))</f>
        <v/>
      </c>
    </row>
    <row r="623" ht="15" customHeight="1" s="77">
      <c r="G623" s="122">
        <f>IF($D623="",0,MIN($D623,$D623*$F623*MAX(0,ROUNDDOWN((AmortismanRaporTarihi-$C623)/365,0))))</f>
        <v/>
      </c>
      <c r="H623" s="122">
        <f>IF($D623="",0,MAX(0,$D623-$G623))</f>
        <v/>
      </c>
      <c r="I623" s="122">
        <f>IF($B623="","",CONCATENATE("Örnek kıymet: ",$B623))</f>
        <v/>
      </c>
    </row>
    <row r="624" ht="15" customHeight="1" s="77">
      <c r="G624" s="122">
        <f>IF($D624="",0,MIN($D624,$D624*$F624*MAX(0,ROUNDDOWN((AmortismanRaporTarihi-$C624)/365,0))))</f>
        <v/>
      </c>
      <c r="H624" s="122">
        <f>IF($D624="",0,MAX(0,$D624-$G624))</f>
        <v/>
      </c>
      <c r="I624" s="122">
        <f>IF($B624="","",CONCATENATE("Örnek kıymet: ",$B624))</f>
        <v/>
      </c>
    </row>
    <row r="625" ht="15" customHeight="1" s="77">
      <c r="G625" s="122">
        <f>IF($D625="",0,MIN($D625,$D625*$F625*MAX(0,ROUNDDOWN((AmortismanRaporTarihi-$C625)/365,0))))</f>
        <v/>
      </c>
      <c r="H625" s="122">
        <f>IF($D625="",0,MAX(0,$D625-$G625))</f>
        <v/>
      </c>
      <c r="I625" s="122">
        <f>IF($B625="","",CONCATENATE("Örnek kıymet: ",$B625))</f>
        <v/>
      </c>
    </row>
    <row r="626" ht="15" customHeight="1" s="77">
      <c r="G626" s="122">
        <f>IF($D626="",0,MIN($D626,$D626*$F626*MAX(0,ROUNDDOWN((AmortismanRaporTarihi-$C626)/365,0))))</f>
        <v/>
      </c>
      <c r="H626" s="122">
        <f>IF($D626="",0,MAX(0,$D626-$G626))</f>
        <v/>
      </c>
      <c r="I626" s="122">
        <f>IF($B626="","",CONCATENATE("Örnek kıymet: ",$B626))</f>
        <v/>
      </c>
    </row>
    <row r="627" ht="15" customHeight="1" s="77">
      <c r="G627" s="122">
        <f>IF($D627="",0,MIN($D627,$D627*$F627*MAX(0,ROUNDDOWN((AmortismanRaporTarihi-$C627)/365,0))))</f>
        <v/>
      </c>
      <c r="H627" s="122">
        <f>IF($D627="",0,MAX(0,$D627-$G627))</f>
        <v/>
      </c>
      <c r="I627" s="122">
        <f>IF($B627="","",CONCATENATE("Örnek kıymet: ",$B627))</f>
        <v/>
      </c>
    </row>
    <row r="628" ht="15" customHeight="1" s="77">
      <c r="G628" s="122">
        <f>IF($D628="",0,MIN($D628,$D628*$F628*MAX(0,ROUNDDOWN((AmortismanRaporTarihi-$C628)/365,0))))</f>
        <v/>
      </c>
      <c r="H628" s="122">
        <f>IF($D628="",0,MAX(0,$D628-$G628))</f>
        <v/>
      </c>
      <c r="I628" s="122">
        <f>IF($B628="","",CONCATENATE("Örnek kıymet: ",$B628))</f>
        <v/>
      </c>
    </row>
    <row r="629" ht="15" customHeight="1" s="77">
      <c r="G629" s="122">
        <f>IF($D629="",0,MIN($D629,$D629*$F629*MAX(0,ROUNDDOWN((AmortismanRaporTarihi-$C629)/365,0))))</f>
        <v/>
      </c>
      <c r="H629" s="122">
        <f>IF($D629="",0,MAX(0,$D629-$G629))</f>
        <v/>
      </c>
      <c r="I629" s="122">
        <f>IF($B629="","",CONCATENATE("Örnek kıymet: ",$B629))</f>
        <v/>
      </c>
    </row>
    <row r="630" ht="15" customHeight="1" s="77">
      <c r="G630" s="122">
        <f>IF($D630="",0,MIN($D630,$D630*$F630*MAX(0,ROUNDDOWN((AmortismanRaporTarihi-$C630)/365,0))))</f>
        <v/>
      </c>
      <c r="H630" s="122">
        <f>IF($D630="",0,MAX(0,$D630-$G630))</f>
        <v/>
      </c>
      <c r="I630" s="122">
        <f>IF($B630="","",CONCATENATE("Örnek kıymet: ",$B630))</f>
        <v/>
      </c>
    </row>
    <row r="631" ht="15" customHeight="1" s="77">
      <c r="G631" s="122">
        <f>IF($D631="",0,MIN($D631,$D631*$F631*MAX(0,ROUNDDOWN((AmortismanRaporTarihi-$C631)/365,0))))</f>
        <v/>
      </c>
      <c r="H631" s="122">
        <f>IF($D631="",0,MAX(0,$D631-$G631))</f>
        <v/>
      </c>
      <c r="I631" s="122">
        <f>IF($B631="","",CONCATENATE("Örnek kıymet: ",$B631))</f>
        <v/>
      </c>
    </row>
    <row r="632" ht="15" customHeight="1" s="77">
      <c r="G632" s="122">
        <f>IF($D632="",0,MIN($D632,$D632*$F632*MAX(0,ROUNDDOWN((AmortismanRaporTarihi-$C632)/365,0))))</f>
        <v/>
      </c>
      <c r="H632" s="122">
        <f>IF($D632="",0,MAX(0,$D632-$G632))</f>
        <v/>
      </c>
      <c r="I632" s="122">
        <f>IF($B632="","",CONCATENATE("Örnek kıymet: ",$B632))</f>
        <v/>
      </c>
    </row>
    <row r="633" ht="15" customHeight="1" s="77">
      <c r="G633" s="122">
        <f>IF($D633="",0,MIN($D633,$D633*$F633*MAX(0,ROUNDDOWN((AmortismanRaporTarihi-$C633)/365,0))))</f>
        <v/>
      </c>
      <c r="H633" s="122">
        <f>IF($D633="",0,MAX(0,$D633-$G633))</f>
        <v/>
      </c>
      <c r="I633" s="122">
        <f>IF($B633="","",CONCATENATE("Örnek kıymet: ",$B633))</f>
        <v/>
      </c>
    </row>
    <row r="634" ht="15" customHeight="1" s="77">
      <c r="G634" s="122">
        <f>IF($D634="",0,MIN($D634,$D634*$F634*MAX(0,ROUNDDOWN((AmortismanRaporTarihi-$C634)/365,0))))</f>
        <v/>
      </c>
      <c r="H634" s="122">
        <f>IF($D634="",0,MAX(0,$D634-$G634))</f>
        <v/>
      </c>
      <c r="I634" s="122">
        <f>IF($B634="","",CONCATENATE("Örnek kıymet: ",$B634))</f>
        <v/>
      </c>
    </row>
    <row r="635" ht="15" customHeight="1" s="77">
      <c r="G635" s="122">
        <f>IF($D635="",0,MIN($D635,$D635*$F635*MAX(0,ROUNDDOWN((AmortismanRaporTarihi-$C635)/365,0))))</f>
        <v/>
      </c>
      <c r="H635" s="122">
        <f>IF($D635="",0,MAX(0,$D635-$G635))</f>
        <v/>
      </c>
      <c r="I635" s="122">
        <f>IF($B635="","",CONCATENATE("Örnek kıymet: ",$B635))</f>
        <v/>
      </c>
    </row>
    <row r="636" ht="15" customHeight="1" s="77">
      <c r="G636" s="122">
        <f>IF($D636="",0,MIN($D636,$D636*$F636*MAX(0,ROUNDDOWN((AmortismanRaporTarihi-$C636)/365,0))))</f>
        <v/>
      </c>
      <c r="H636" s="122">
        <f>IF($D636="",0,MAX(0,$D636-$G636))</f>
        <v/>
      </c>
      <c r="I636" s="122">
        <f>IF($B636="","",CONCATENATE("Örnek kıymet: ",$B636))</f>
        <v/>
      </c>
    </row>
    <row r="637" ht="15" customHeight="1" s="77">
      <c r="G637" s="122">
        <f>IF($D637="",0,MIN($D637,$D637*$F637*MAX(0,ROUNDDOWN((AmortismanRaporTarihi-$C637)/365,0))))</f>
        <v/>
      </c>
      <c r="H637" s="122">
        <f>IF($D637="",0,MAX(0,$D637-$G637))</f>
        <v/>
      </c>
      <c r="I637" s="122">
        <f>IF($B637="","",CONCATENATE("Örnek kıymet: ",$B637))</f>
        <v/>
      </c>
    </row>
    <row r="638" ht="15" customHeight="1" s="77">
      <c r="G638" s="122">
        <f>IF($D638="",0,MIN($D638,$D638*$F638*MAX(0,ROUNDDOWN((AmortismanRaporTarihi-$C638)/365,0))))</f>
        <v/>
      </c>
      <c r="H638" s="122">
        <f>IF($D638="",0,MAX(0,$D638-$G638))</f>
        <v/>
      </c>
      <c r="I638" s="122">
        <f>IF($B638="","",CONCATENATE("Örnek kıymet: ",$B638))</f>
        <v/>
      </c>
    </row>
    <row r="639" ht="15" customHeight="1" s="77">
      <c r="G639" s="122">
        <f>IF($D639="",0,MIN($D639,$D639*$F639*MAX(0,ROUNDDOWN((AmortismanRaporTarihi-$C639)/365,0))))</f>
        <v/>
      </c>
      <c r="H639" s="122">
        <f>IF($D639="",0,MAX(0,$D639-$G639))</f>
        <v/>
      </c>
      <c r="I639" s="122">
        <f>IF($B639="","",CONCATENATE("Örnek kıymet: ",$B639))</f>
        <v/>
      </c>
    </row>
    <row r="640" ht="15" customHeight="1" s="77">
      <c r="G640" s="122">
        <f>IF($D640="",0,MIN($D640,$D640*$F640*MAX(0,ROUNDDOWN((AmortismanRaporTarihi-$C640)/365,0))))</f>
        <v/>
      </c>
      <c r="H640" s="122">
        <f>IF($D640="",0,MAX(0,$D640-$G640))</f>
        <v/>
      </c>
      <c r="I640" s="122">
        <f>IF($B640="","",CONCATENATE("Örnek kıymet: ",$B640))</f>
        <v/>
      </c>
    </row>
    <row r="641" ht="15" customHeight="1" s="77">
      <c r="G641" s="122">
        <f>IF($D641="",0,MIN($D641,$D641*$F641*MAX(0,ROUNDDOWN((AmortismanRaporTarihi-$C641)/365,0))))</f>
        <v/>
      </c>
      <c r="H641" s="122">
        <f>IF($D641="",0,MAX(0,$D641-$G641))</f>
        <v/>
      </c>
      <c r="I641" s="122">
        <f>IF($B641="","",CONCATENATE("Örnek kıymet: ",$B641))</f>
        <v/>
      </c>
    </row>
    <row r="642" ht="15" customHeight="1" s="77">
      <c r="G642" s="122">
        <f>IF($D642="",0,MIN($D642,$D642*$F642*MAX(0,ROUNDDOWN((AmortismanRaporTarihi-$C642)/365,0))))</f>
        <v/>
      </c>
      <c r="H642" s="122">
        <f>IF($D642="",0,MAX(0,$D642-$G642))</f>
        <v/>
      </c>
      <c r="I642" s="122">
        <f>IF($B642="","",CONCATENATE("Örnek kıymet: ",$B642))</f>
        <v/>
      </c>
    </row>
    <row r="643" ht="15" customHeight="1" s="77">
      <c r="G643" s="122">
        <f>IF($D643="",0,MIN($D643,$D643*$F643*MAX(0,ROUNDDOWN((AmortismanRaporTarihi-$C643)/365,0))))</f>
        <v/>
      </c>
      <c r="H643" s="122">
        <f>IF($D643="",0,MAX(0,$D643-$G643))</f>
        <v/>
      </c>
      <c r="I643" s="122">
        <f>IF($B643="","",CONCATENATE("Örnek kıymet: ",$B643))</f>
        <v/>
      </c>
    </row>
    <row r="644" ht="15" customHeight="1" s="77">
      <c r="G644" s="122">
        <f>IF($D644="",0,MIN($D644,$D644*$F644*MAX(0,ROUNDDOWN((AmortismanRaporTarihi-$C644)/365,0))))</f>
        <v/>
      </c>
      <c r="H644" s="122">
        <f>IF($D644="",0,MAX(0,$D644-$G644))</f>
        <v/>
      </c>
      <c r="I644" s="122">
        <f>IF($B644="","",CONCATENATE("Örnek kıymet: ",$B644))</f>
        <v/>
      </c>
    </row>
    <row r="645" ht="15" customHeight="1" s="77">
      <c r="G645" s="122">
        <f>IF($D645="",0,MIN($D645,$D645*$F645*MAX(0,ROUNDDOWN((AmortismanRaporTarihi-$C645)/365,0))))</f>
        <v/>
      </c>
      <c r="H645" s="122">
        <f>IF($D645="",0,MAX(0,$D645-$G645))</f>
        <v/>
      </c>
      <c r="I645" s="122">
        <f>IF($B645="","",CONCATENATE("Örnek kıymet: ",$B645))</f>
        <v/>
      </c>
    </row>
    <row r="646" ht="15" customHeight="1" s="77">
      <c r="G646" s="122">
        <f>IF($D646="",0,MIN($D646,$D646*$F646*MAX(0,ROUNDDOWN((AmortismanRaporTarihi-$C646)/365,0))))</f>
        <v/>
      </c>
      <c r="H646" s="122">
        <f>IF($D646="",0,MAX(0,$D646-$G646))</f>
        <v/>
      </c>
      <c r="I646" s="122">
        <f>IF($B646="","",CONCATENATE("Örnek kıymet: ",$B646))</f>
        <v/>
      </c>
    </row>
    <row r="647" ht="15" customHeight="1" s="77">
      <c r="G647" s="122">
        <f>IF($D647="",0,MIN($D647,$D647*$F647*MAX(0,ROUNDDOWN((AmortismanRaporTarihi-$C647)/365,0))))</f>
        <v/>
      </c>
      <c r="H647" s="122">
        <f>IF($D647="",0,MAX(0,$D647-$G647))</f>
        <v/>
      </c>
      <c r="I647" s="122">
        <f>IF($B647="","",CONCATENATE("Örnek kıymet: ",$B647))</f>
        <v/>
      </c>
    </row>
    <row r="648" ht="15" customHeight="1" s="77">
      <c r="G648" s="122">
        <f>IF($D648="",0,MIN($D648,$D648*$F648*MAX(0,ROUNDDOWN((AmortismanRaporTarihi-$C648)/365,0))))</f>
        <v/>
      </c>
      <c r="H648" s="122">
        <f>IF($D648="",0,MAX(0,$D648-$G648))</f>
        <v/>
      </c>
      <c r="I648" s="122">
        <f>IF($B648="","",CONCATENATE("Örnek kıymet: ",$B648))</f>
        <v/>
      </c>
    </row>
    <row r="649" ht="15" customHeight="1" s="77">
      <c r="G649" s="122">
        <f>IF($D649="",0,MIN($D649,$D649*$F649*MAX(0,ROUNDDOWN((AmortismanRaporTarihi-$C649)/365,0))))</f>
        <v/>
      </c>
      <c r="H649" s="122">
        <f>IF($D649="",0,MAX(0,$D649-$G649))</f>
        <v/>
      </c>
      <c r="I649" s="122">
        <f>IF($B649="","",CONCATENATE("Örnek kıymet: ",$B649))</f>
        <v/>
      </c>
    </row>
    <row r="650" ht="15" customHeight="1" s="77">
      <c r="G650" s="122">
        <f>IF($D650="",0,MIN($D650,$D650*$F650*MAX(0,ROUNDDOWN((AmortismanRaporTarihi-$C650)/365,0))))</f>
        <v/>
      </c>
      <c r="H650" s="122">
        <f>IF($D650="",0,MAX(0,$D650-$G650))</f>
        <v/>
      </c>
      <c r="I650" s="122">
        <f>IF($B650="","",CONCATENATE("Örnek kıymet: ",$B650))</f>
        <v/>
      </c>
    </row>
    <row r="651" ht="15" customHeight="1" s="77">
      <c r="G651" s="122">
        <f>IF($D651="",0,MIN($D651,$D651*$F651*MAX(0,ROUNDDOWN((AmortismanRaporTarihi-$C651)/365,0))))</f>
        <v/>
      </c>
      <c r="H651" s="122">
        <f>IF($D651="",0,MAX(0,$D651-$G651))</f>
        <v/>
      </c>
      <c r="I651" s="122">
        <f>IF($B651="","",CONCATENATE("Örnek kıymet: ",$B651))</f>
        <v/>
      </c>
    </row>
    <row r="652" ht="15" customHeight="1" s="77">
      <c r="G652" s="122">
        <f>IF($D652="",0,MIN($D652,$D652*$F652*MAX(0,ROUNDDOWN((AmortismanRaporTarihi-$C652)/365,0))))</f>
        <v/>
      </c>
      <c r="H652" s="122">
        <f>IF($D652="",0,MAX(0,$D652-$G652))</f>
        <v/>
      </c>
      <c r="I652" s="122">
        <f>IF($B652="","",CONCATENATE("Örnek kıymet: ",$B652))</f>
        <v/>
      </c>
    </row>
    <row r="653" ht="15" customHeight="1" s="77">
      <c r="G653" s="122">
        <f>IF($D653="",0,MIN($D653,$D653*$F653*MAX(0,ROUNDDOWN((AmortismanRaporTarihi-$C653)/365,0))))</f>
        <v/>
      </c>
      <c r="H653" s="122">
        <f>IF($D653="",0,MAX(0,$D653-$G653))</f>
        <v/>
      </c>
      <c r="I653" s="122">
        <f>IF($B653="","",CONCATENATE("Örnek kıymet: ",$B653))</f>
        <v/>
      </c>
    </row>
    <row r="654" ht="15" customHeight="1" s="77">
      <c r="G654" s="122">
        <f>IF($D654="",0,MIN($D654,$D654*$F654*MAX(0,ROUNDDOWN((AmortismanRaporTarihi-$C654)/365,0))))</f>
        <v/>
      </c>
      <c r="H654" s="122">
        <f>IF($D654="",0,MAX(0,$D654-$G654))</f>
        <v/>
      </c>
      <c r="I654" s="122">
        <f>IF($B654="","",CONCATENATE("Örnek kıymet: ",$B654))</f>
        <v/>
      </c>
    </row>
    <row r="655" ht="15" customHeight="1" s="77">
      <c r="G655" s="122">
        <f>IF($D655="",0,MIN($D655,$D655*$F655*MAX(0,ROUNDDOWN((AmortismanRaporTarihi-$C655)/365,0))))</f>
        <v/>
      </c>
      <c r="H655" s="122">
        <f>IF($D655="",0,MAX(0,$D655-$G655))</f>
        <v/>
      </c>
      <c r="I655" s="122">
        <f>IF($B655="","",CONCATENATE("Örnek kıymet: ",$B655))</f>
        <v/>
      </c>
    </row>
    <row r="656" ht="15" customHeight="1" s="77">
      <c r="G656" s="122">
        <f>IF($D656="",0,MIN($D656,$D656*$F656*MAX(0,ROUNDDOWN((AmortismanRaporTarihi-$C656)/365,0))))</f>
        <v/>
      </c>
      <c r="H656" s="122">
        <f>IF($D656="",0,MAX(0,$D656-$G656))</f>
        <v/>
      </c>
      <c r="I656" s="122">
        <f>IF($B656="","",CONCATENATE("Örnek kıymet: ",$B656))</f>
        <v/>
      </c>
    </row>
    <row r="657" ht="15" customHeight="1" s="77">
      <c r="G657" s="122">
        <f>IF($D657="",0,MIN($D657,$D657*$F657*MAX(0,ROUNDDOWN((AmortismanRaporTarihi-$C657)/365,0))))</f>
        <v/>
      </c>
      <c r="H657" s="122">
        <f>IF($D657="",0,MAX(0,$D657-$G657))</f>
        <v/>
      </c>
      <c r="I657" s="122">
        <f>IF($B657="","",CONCATENATE("Örnek kıymet: ",$B657))</f>
        <v/>
      </c>
    </row>
    <row r="658" ht="15" customHeight="1" s="77">
      <c r="G658" s="122">
        <f>IF($D658="",0,MIN($D658,$D658*$F658*MAX(0,ROUNDDOWN((AmortismanRaporTarihi-$C658)/365,0))))</f>
        <v/>
      </c>
      <c r="H658" s="122">
        <f>IF($D658="",0,MAX(0,$D658-$G658))</f>
        <v/>
      </c>
      <c r="I658" s="122">
        <f>IF($B658="","",CONCATENATE("Örnek kıymet: ",$B658))</f>
        <v/>
      </c>
    </row>
    <row r="659" ht="15" customHeight="1" s="77">
      <c r="G659" s="122">
        <f>IF($D659="",0,MIN($D659,$D659*$F659*MAX(0,ROUNDDOWN((AmortismanRaporTarihi-$C659)/365,0))))</f>
        <v/>
      </c>
      <c r="H659" s="122">
        <f>IF($D659="",0,MAX(0,$D659-$G659))</f>
        <v/>
      </c>
      <c r="I659" s="122">
        <f>IF($B659="","",CONCATENATE("Örnek kıymet: ",$B659))</f>
        <v/>
      </c>
    </row>
    <row r="660" ht="15" customHeight="1" s="77">
      <c r="G660" s="122">
        <f>IF($D660="",0,MIN($D660,$D660*$F660*MAX(0,ROUNDDOWN((AmortismanRaporTarihi-$C660)/365,0))))</f>
        <v/>
      </c>
      <c r="H660" s="122">
        <f>IF($D660="",0,MAX(0,$D660-$G660))</f>
        <v/>
      </c>
      <c r="I660" s="122">
        <f>IF($B660="","",CONCATENATE("Örnek kıymet: ",$B660))</f>
        <v/>
      </c>
    </row>
    <row r="661" ht="15" customHeight="1" s="77">
      <c r="G661" s="122">
        <f>IF($D661="",0,MIN($D661,$D661*$F661*MAX(0,ROUNDDOWN((AmortismanRaporTarihi-$C661)/365,0))))</f>
        <v/>
      </c>
      <c r="H661" s="122">
        <f>IF($D661="",0,MAX(0,$D661-$G661))</f>
        <v/>
      </c>
      <c r="I661" s="122">
        <f>IF($B661="","",CONCATENATE("Örnek kıymet: ",$B661))</f>
        <v/>
      </c>
    </row>
    <row r="662" ht="15" customHeight="1" s="77">
      <c r="G662" s="122">
        <f>IF($D662="",0,MIN($D662,$D662*$F662*MAX(0,ROUNDDOWN((AmortismanRaporTarihi-$C662)/365,0))))</f>
        <v/>
      </c>
      <c r="H662" s="122">
        <f>IF($D662="",0,MAX(0,$D662-$G662))</f>
        <v/>
      </c>
      <c r="I662" s="122">
        <f>IF($B662="","",CONCATENATE("Örnek kıymet: ",$B662))</f>
        <v/>
      </c>
    </row>
    <row r="663" ht="15" customHeight="1" s="77">
      <c r="G663" s="122">
        <f>IF($D663="",0,MIN($D663,$D663*$F663*MAX(0,ROUNDDOWN((AmortismanRaporTarihi-$C663)/365,0))))</f>
        <v/>
      </c>
      <c r="H663" s="122">
        <f>IF($D663="",0,MAX(0,$D663-$G663))</f>
        <v/>
      </c>
      <c r="I663" s="122">
        <f>IF($B663="","",CONCATENATE("Örnek kıymet: ",$B663))</f>
        <v/>
      </c>
    </row>
    <row r="664" ht="15" customHeight="1" s="77">
      <c r="G664" s="122">
        <f>IF($D664="",0,MIN($D664,$D664*$F664*MAX(0,ROUNDDOWN((AmortismanRaporTarihi-$C664)/365,0))))</f>
        <v/>
      </c>
      <c r="H664" s="122">
        <f>IF($D664="",0,MAX(0,$D664-$G664))</f>
        <v/>
      </c>
      <c r="I664" s="122">
        <f>IF($B664="","",CONCATENATE("Örnek kıymet: ",$B664))</f>
        <v/>
      </c>
    </row>
    <row r="665" ht="15" customHeight="1" s="77">
      <c r="G665" s="122">
        <f>IF($D665="",0,MIN($D665,$D665*$F665*MAX(0,ROUNDDOWN((AmortismanRaporTarihi-$C665)/365,0))))</f>
        <v/>
      </c>
      <c r="H665" s="122">
        <f>IF($D665="",0,MAX(0,$D665-$G665))</f>
        <v/>
      </c>
      <c r="I665" s="122">
        <f>IF($B665="","",CONCATENATE("Örnek kıymet: ",$B665))</f>
        <v/>
      </c>
    </row>
    <row r="666" ht="15" customHeight="1" s="77">
      <c r="G666" s="122">
        <f>IF($D666="",0,MIN($D666,$D666*$F666*MAX(0,ROUNDDOWN((AmortismanRaporTarihi-$C666)/365,0))))</f>
        <v/>
      </c>
      <c r="H666" s="122">
        <f>IF($D666="",0,MAX(0,$D666-$G666))</f>
        <v/>
      </c>
      <c r="I666" s="122">
        <f>IF($B666="","",CONCATENATE("Örnek kıymet: ",$B666))</f>
        <v/>
      </c>
    </row>
    <row r="667" ht="15" customHeight="1" s="77">
      <c r="G667" s="122">
        <f>IF($D667="",0,MIN($D667,$D667*$F667*MAX(0,ROUNDDOWN((AmortismanRaporTarihi-$C667)/365,0))))</f>
        <v/>
      </c>
      <c r="H667" s="122">
        <f>IF($D667="",0,MAX(0,$D667-$G667))</f>
        <v/>
      </c>
      <c r="I667" s="122">
        <f>IF($B667="","",CONCATENATE("Örnek kıymet: ",$B667))</f>
        <v/>
      </c>
    </row>
    <row r="668" ht="15" customHeight="1" s="77">
      <c r="G668" s="122">
        <f>IF($D668="",0,MIN($D668,$D668*$F668*MAX(0,ROUNDDOWN((AmortismanRaporTarihi-$C668)/365,0))))</f>
        <v/>
      </c>
      <c r="H668" s="122">
        <f>IF($D668="",0,MAX(0,$D668-$G668))</f>
        <v/>
      </c>
      <c r="I668" s="122">
        <f>IF($B668="","",CONCATENATE("Örnek kıymet: ",$B668))</f>
        <v/>
      </c>
    </row>
    <row r="669" ht="15" customHeight="1" s="77">
      <c r="G669" s="122">
        <f>IF($D669="",0,MIN($D669,$D669*$F669*MAX(0,ROUNDDOWN((AmortismanRaporTarihi-$C669)/365,0))))</f>
        <v/>
      </c>
      <c r="H669" s="122">
        <f>IF($D669="",0,MAX(0,$D669-$G669))</f>
        <v/>
      </c>
      <c r="I669" s="122">
        <f>IF($B669="","",CONCATENATE("Örnek kıymet: ",$B669))</f>
        <v/>
      </c>
    </row>
    <row r="670" ht="15" customHeight="1" s="77">
      <c r="G670" s="122">
        <f>IF($D670="",0,MIN($D670,$D670*$F670*MAX(0,ROUNDDOWN((AmortismanRaporTarihi-$C670)/365,0))))</f>
        <v/>
      </c>
      <c r="H670" s="122">
        <f>IF($D670="",0,MAX(0,$D670-$G670))</f>
        <v/>
      </c>
      <c r="I670" s="122">
        <f>IF($B670="","",CONCATENATE("Örnek kıymet: ",$B670))</f>
        <v/>
      </c>
    </row>
    <row r="671" ht="15" customHeight="1" s="77">
      <c r="G671" s="122">
        <f>IF($D671="",0,MIN($D671,$D671*$F671*MAX(0,ROUNDDOWN((AmortismanRaporTarihi-$C671)/365,0))))</f>
        <v/>
      </c>
      <c r="H671" s="122">
        <f>IF($D671="",0,MAX(0,$D671-$G671))</f>
        <v/>
      </c>
      <c r="I671" s="122">
        <f>IF($B671="","",CONCATENATE("Örnek kıymet: ",$B671))</f>
        <v/>
      </c>
    </row>
    <row r="672" ht="15" customHeight="1" s="77">
      <c r="G672" s="122">
        <f>IF($D672="",0,MIN($D672,$D672*$F672*MAX(0,ROUNDDOWN((AmortismanRaporTarihi-$C672)/365,0))))</f>
        <v/>
      </c>
      <c r="H672" s="122">
        <f>IF($D672="",0,MAX(0,$D672-$G672))</f>
        <v/>
      </c>
      <c r="I672" s="122">
        <f>IF($B672="","",CONCATENATE("Örnek kıymet: ",$B672))</f>
        <v/>
      </c>
    </row>
    <row r="673" ht="15" customHeight="1" s="77">
      <c r="G673" s="122">
        <f>IF($D673="",0,MIN($D673,$D673*$F673*MAX(0,ROUNDDOWN((AmortismanRaporTarihi-$C673)/365,0))))</f>
        <v/>
      </c>
      <c r="H673" s="122">
        <f>IF($D673="",0,MAX(0,$D673-$G673))</f>
        <v/>
      </c>
      <c r="I673" s="122">
        <f>IF($B673="","",CONCATENATE("Örnek kıymet: ",$B673))</f>
        <v/>
      </c>
    </row>
    <row r="674" ht="15" customHeight="1" s="77">
      <c r="G674" s="122">
        <f>IF($D674="",0,MIN($D674,$D674*$F674*MAX(0,ROUNDDOWN((AmortismanRaporTarihi-$C674)/365,0))))</f>
        <v/>
      </c>
      <c r="H674" s="122">
        <f>IF($D674="",0,MAX(0,$D674-$G674))</f>
        <v/>
      </c>
      <c r="I674" s="122">
        <f>IF($B674="","",CONCATENATE("Örnek kıymet: ",$B674))</f>
        <v/>
      </c>
    </row>
    <row r="675" ht="15" customHeight="1" s="77">
      <c r="G675" s="122">
        <f>IF($D675="",0,MIN($D675,$D675*$F675*MAX(0,ROUNDDOWN((AmortismanRaporTarihi-$C675)/365,0))))</f>
        <v/>
      </c>
      <c r="H675" s="122">
        <f>IF($D675="",0,MAX(0,$D675-$G675))</f>
        <v/>
      </c>
      <c r="I675" s="122">
        <f>IF($B675="","",CONCATENATE("Örnek kıymet: ",$B675))</f>
        <v/>
      </c>
    </row>
    <row r="676" ht="15" customHeight="1" s="77">
      <c r="G676" s="122">
        <f>IF($D676="",0,MIN($D676,$D676*$F676*MAX(0,ROUNDDOWN((AmortismanRaporTarihi-$C676)/365,0))))</f>
        <v/>
      </c>
      <c r="H676" s="122">
        <f>IF($D676="",0,MAX(0,$D676-$G676))</f>
        <v/>
      </c>
      <c r="I676" s="122">
        <f>IF($B676="","",CONCATENATE("Örnek kıymet: ",$B676))</f>
        <v/>
      </c>
    </row>
    <row r="677" ht="15" customHeight="1" s="77">
      <c r="G677" s="122">
        <f>IF($D677="",0,MIN($D677,$D677*$F677*MAX(0,ROUNDDOWN((AmortismanRaporTarihi-$C677)/365,0))))</f>
        <v/>
      </c>
      <c r="H677" s="122">
        <f>IF($D677="",0,MAX(0,$D677-$G677))</f>
        <v/>
      </c>
      <c r="I677" s="122">
        <f>IF($B677="","",CONCATENATE("Örnek kıymet: ",$B677))</f>
        <v/>
      </c>
    </row>
    <row r="678" ht="15" customHeight="1" s="77">
      <c r="G678" s="122">
        <f>IF($D678="",0,MIN($D678,$D678*$F678*MAX(0,ROUNDDOWN((AmortismanRaporTarihi-$C678)/365,0))))</f>
        <v/>
      </c>
      <c r="H678" s="122">
        <f>IF($D678="",0,MAX(0,$D678-$G678))</f>
        <v/>
      </c>
      <c r="I678" s="122">
        <f>IF($B678="","",CONCATENATE("Örnek kıymet: ",$B678))</f>
        <v/>
      </c>
    </row>
    <row r="679" ht="15" customHeight="1" s="77">
      <c r="G679" s="122">
        <f>IF($D679="",0,MIN($D679,$D679*$F679*MAX(0,ROUNDDOWN((AmortismanRaporTarihi-$C679)/365,0))))</f>
        <v/>
      </c>
      <c r="H679" s="122">
        <f>IF($D679="",0,MAX(0,$D679-$G679))</f>
        <v/>
      </c>
      <c r="I679" s="122">
        <f>IF($B679="","",CONCATENATE("Örnek kıymet: ",$B679))</f>
        <v/>
      </c>
    </row>
    <row r="680" ht="15" customHeight="1" s="77">
      <c r="G680" s="122">
        <f>IF($D680="",0,MIN($D680,$D680*$F680*MAX(0,ROUNDDOWN((AmortismanRaporTarihi-$C680)/365,0))))</f>
        <v/>
      </c>
      <c r="H680" s="122">
        <f>IF($D680="",0,MAX(0,$D680-$G680))</f>
        <v/>
      </c>
      <c r="I680" s="122">
        <f>IF($B680="","",CONCATENATE("Örnek kıymet: ",$B680))</f>
        <v/>
      </c>
    </row>
    <row r="681" ht="15" customHeight="1" s="77">
      <c r="G681" s="122">
        <f>IF($D681="",0,MIN($D681,$D681*$F681*MAX(0,ROUNDDOWN((AmortismanRaporTarihi-$C681)/365,0))))</f>
        <v/>
      </c>
      <c r="H681" s="122">
        <f>IF($D681="",0,MAX(0,$D681-$G681))</f>
        <v/>
      </c>
      <c r="I681" s="122">
        <f>IF($B681="","",CONCATENATE("Örnek kıymet: ",$B681))</f>
        <v/>
      </c>
    </row>
    <row r="682" ht="15" customHeight="1" s="77">
      <c r="G682" s="122">
        <f>IF($D682="",0,MIN($D682,$D682*$F682*MAX(0,ROUNDDOWN((AmortismanRaporTarihi-$C682)/365,0))))</f>
        <v/>
      </c>
      <c r="H682" s="122">
        <f>IF($D682="",0,MAX(0,$D682-$G682))</f>
        <v/>
      </c>
      <c r="I682" s="122">
        <f>IF($B682="","",CONCATENATE("Örnek kıymet: ",$B682))</f>
        <v/>
      </c>
    </row>
    <row r="683" ht="15" customHeight="1" s="77">
      <c r="G683" s="122">
        <f>IF($D683="",0,MIN($D683,$D683*$F683*MAX(0,ROUNDDOWN((AmortismanRaporTarihi-$C683)/365,0))))</f>
        <v/>
      </c>
      <c r="H683" s="122">
        <f>IF($D683="",0,MAX(0,$D683-$G683))</f>
        <v/>
      </c>
      <c r="I683" s="122">
        <f>IF($B683="","",CONCATENATE("Örnek kıymet: ",$B683))</f>
        <v/>
      </c>
    </row>
    <row r="684" ht="15" customHeight="1" s="77">
      <c r="G684" s="122">
        <f>IF($D684="",0,MIN($D684,$D684*$F684*MAX(0,ROUNDDOWN((AmortismanRaporTarihi-$C684)/365,0))))</f>
        <v/>
      </c>
      <c r="H684" s="122">
        <f>IF($D684="",0,MAX(0,$D684-$G684))</f>
        <v/>
      </c>
      <c r="I684" s="122">
        <f>IF($B684="","",CONCATENATE("Örnek kıymet: ",$B684))</f>
        <v/>
      </c>
    </row>
    <row r="685" ht="15" customHeight="1" s="77">
      <c r="G685" s="122">
        <f>IF($D685="",0,MIN($D685,$D685*$F685*MAX(0,ROUNDDOWN((AmortismanRaporTarihi-$C685)/365,0))))</f>
        <v/>
      </c>
      <c r="H685" s="122">
        <f>IF($D685="",0,MAX(0,$D685-$G685))</f>
        <v/>
      </c>
      <c r="I685" s="122">
        <f>IF($B685="","",CONCATENATE("Örnek kıymet: ",$B685))</f>
        <v/>
      </c>
    </row>
    <row r="686" ht="15" customHeight="1" s="77">
      <c r="G686" s="122">
        <f>IF($D686="",0,MIN($D686,$D686*$F686*MAX(0,ROUNDDOWN((AmortismanRaporTarihi-$C686)/365,0))))</f>
        <v/>
      </c>
      <c r="H686" s="122">
        <f>IF($D686="",0,MAX(0,$D686-$G686))</f>
        <v/>
      </c>
      <c r="I686" s="122">
        <f>IF($B686="","",CONCATENATE("Örnek kıymet: ",$B686))</f>
        <v/>
      </c>
    </row>
    <row r="687" ht="15" customHeight="1" s="77">
      <c r="G687" s="122">
        <f>IF($D687="",0,MIN($D687,$D687*$F687*MAX(0,ROUNDDOWN((AmortismanRaporTarihi-$C687)/365,0))))</f>
        <v/>
      </c>
      <c r="H687" s="122">
        <f>IF($D687="",0,MAX(0,$D687-$G687))</f>
        <v/>
      </c>
      <c r="I687" s="122">
        <f>IF($B687="","",CONCATENATE("Örnek kıymet: ",$B687))</f>
        <v/>
      </c>
    </row>
    <row r="688" ht="15" customHeight="1" s="77">
      <c r="G688" s="122">
        <f>IF($D688="",0,MIN($D688,$D688*$F688*MAX(0,ROUNDDOWN((AmortismanRaporTarihi-$C688)/365,0))))</f>
        <v/>
      </c>
      <c r="H688" s="122">
        <f>IF($D688="",0,MAX(0,$D688-$G688))</f>
        <v/>
      </c>
      <c r="I688" s="122">
        <f>IF($B688="","",CONCATENATE("Örnek kıymet: ",$B688))</f>
        <v/>
      </c>
    </row>
    <row r="689" ht="15" customHeight="1" s="77">
      <c r="G689" s="122">
        <f>IF($D689="",0,MIN($D689,$D689*$F689*MAX(0,ROUNDDOWN((AmortismanRaporTarihi-$C689)/365,0))))</f>
        <v/>
      </c>
      <c r="H689" s="122">
        <f>IF($D689="",0,MAX(0,$D689-$G689))</f>
        <v/>
      </c>
      <c r="I689" s="122">
        <f>IF($B689="","",CONCATENATE("Örnek kıymet: ",$B689))</f>
        <v/>
      </c>
    </row>
    <row r="690" ht="15" customHeight="1" s="77">
      <c r="G690" s="122">
        <f>IF($D690="",0,MIN($D690,$D690*$F690*MAX(0,ROUNDDOWN((AmortismanRaporTarihi-$C690)/365,0))))</f>
        <v/>
      </c>
      <c r="H690" s="122">
        <f>IF($D690="",0,MAX(0,$D690-$G690))</f>
        <v/>
      </c>
      <c r="I690" s="122">
        <f>IF($B690="","",CONCATENATE("Örnek kıymet: ",$B690))</f>
        <v/>
      </c>
    </row>
    <row r="691" ht="15" customHeight="1" s="77">
      <c r="G691" s="122">
        <f>IF($D691="",0,MIN($D691,$D691*$F691*MAX(0,ROUNDDOWN((AmortismanRaporTarihi-$C691)/365,0))))</f>
        <v/>
      </c>
      <c r="H691" s="122">
        <f>IF($D691="",0,MAX(0,$D691-$G691))</f>
        <v/>
      </c>
      <c r="I691" s="122">
        <f>IF($B691="","",CONCATENATE("Örnek kıymet: ",$B691))</f>
        <v/>
      </c>
    </row>
    <row r="692" ht="15" customHeight="1" s="77">
      <c r="G692" s="122">
        <f>IF($D692="",0,MIN($D692,$D692*$F692*MAX(0,ROUNDDOWN((AmortismanRaporTarihi-$C692)/365,0))))</f>
        <v/>
      </c>
      <c r="H692" s="122">
        <f>IF($D692="",0,MAX(0,$D692-$G692))</f>
        <v/>
      </c>
      <c r="I692" s="122">
        <f>IF($B692="","",CONCATENATE("Örnek kıymet: ",$B692))</f>
        <v/>
      </c>
    </row>
    <row r="693" ht="15" customHeight="1" s="77">
      <c r="G693" s="122">
        <f>IF($D693="",0,MIN($D693,$D693*$F693*MAX(0,ROUNDDOWN((AmortismanRaporTarihi-$C693)/365,0))))</f>
        <v/>
      </c>
      <c r="H693" s="122">
        <f>IF($D693="",0,MAX(0,$D693-$G693))</f>
        <v/>
      </c>
      <c r="I693" s="122">
        <f>IF($B693="","",CONCATENATE("Örnek kıymet: ",$B693))</f>
        <v/>
      </c>
    </row>
    <row r="694" ht="15" customHeight="1" s="77">
      <c r="G694" s="122">
        <f>IF($D694="",0,MIN($D694,$D694*$F694*MAX(0,ROUNDDOWN((AmortismanRaporTarihi-$C694)/365,0))))</f>
        <v/>
      </c>
      <c r="H694" s="122">
        <f>IF($D694="",0,MAX(0,$D694-$G694))</f>
        <v/>
      </c>
      <c r="I694" s="122">
        <f>IF($B694="","",CONCATENATE("Örnek kıymet: ",$B694))</f>
        <v/>
      </c>
    </row>
    <row r="695" ht="15" customHeight="1" s="77">
      <c r="G695" s="122">
        <f>IF($D695="",0,MIN($D695,$D695*$F695*MAX(0,ROUNDDOWN((AmortismanRaporTarihi-$C695)/365,0))))</f>
        <v/>
      </c>
      <c r="H695" s="122">
        <f>IF($D695="",0,MAX(0,$D695-$G695))</f>
        <v/>
      </c>
      <c r="I695" s="122">
        <f>IF($B695="","",CONCATENATE("Örnek kıymet: ",$B695))</f>
        <v/>
      </c>
    </row>
    <row r="696" ht="15" customHeight="1" s="77">
      <c r="G696" s="122">
        <f>IF($D696="",0,MIN($D696,$D696*$F696*MAX(0,ROUNDDOWN((AmortismanRaporTarihi-$C696)/365,0))))</f>
        <v/>
      </c>
      <c r="H696" s="122">
        <f>IF($D696="",0,MAX(0,$D696-$G696))</f>
        <v/>
      </c>
      <c r="I696" s="122">
        <f>IF($B696="","",CONCATENATE("Örnek kıymet: ",$B696))</f>
        <v/>
      </c>
    </row>
    <row r="697" ht="15" customHeight="1" s="77">
      <c r="G697" s="122">
        <f>IF($D697="",0,MIN($D697,$D697*$F697*MAX(0,ROUNDDOWN((AmortismanRaporTarihi-$C697)/365,0))))</f>
        <v/>
      </c>
      <c r="H697" s="122">
        <f>IF($D697="",0,MAX(0,$D697-$G697))</f>
        <v/>
      </c>
      <c r="I697" s="122">
        <f>IF($B697="","",CONCATENATE("Örnek kıymet: ",$B697))</f>
        <v/>
      </c>
    </row>
    <row r="698" ht="15" customHeight="1" s="77">
      <c r="G698" s="122">
        <f>IF($D698="",0,MIN($D698,$D698*$F698*MAX(0,ROUNDDOWN((AmortismanRaporTarihi-$C698)/365,0))))</f>
        <v/>
      </c>
      <c r="H698" s="122">
        <f>IF($D698="",0,MAX(0,$D698-$G698))</f>
        <v/>
      </c>
      <c r="I698" s="122">
        <f>IF($B698="","",CONCATENATE("Örnek kıymet: ",$B698))</f>
        <v/>
      </c>
    </row>
    <row r="699" ht="15" customHeight="1" s="77">
      <c r="G699" s="122">
        <f>IF($D699="",0,MIN($D699,$D699*$F699*MAX(0,ROUNDDOWN((AmortismanRaporTarihi-$C699)/365,0))))</f>
        <v/>
      </c>
      <c r="H699" s="122">
        <f>IF($D699="",0,MAX(0,$D699-$G699))</f>
        <v/>
      </c>
      <c r="I699" s="122">
        <f>IF($B699="","",CONCATENATE("Örnek kıymet: ",$B699))</f>
        <v/>
      </c>
    </row>
    <row r="700" ht="15" customHeight="1" s="77">
      <c r="G700" s="122">
        <f>IF($D700="",0,MIN($D700,$D700*$F700*MAX(0,ROUNDDOWN((AmortismanRaporTarihi-$C700)/365,0))))</f>
        <v/>
      </c>
      <c r="H700" s="122">
        <f>IF($D700="",0,MAX(0,$D700-$G700))</f>
        <v/>
      </c>
      <c r="I700" s="122">
        <f>IF($B700="","",CONCATENATE("Örnek kıymet: ",$B700))</f>
        <v/>
      </c>
    </row>
    <row r="701" ht="15" customHeight="1" s="77">
      <c r="G701" s="122">
        <f>IF($D701="",0,MIN($D701,$D701*$F701*MAX(0,ROUNDDOWN((AmortismanRaporTarihi-$C701)/365,0))))</f>
        <v/>
      </c>
      <c r="H701" s="122">
        <f>IF($D701="",0,MAX(0,$D701-$G701))</f>
        <v/>
      </c>
      <c r="I701" s="122">
        <f>IF($B701="","",CONCATENATE("Örnek kıymet: ",$B701))</f>
        <v/>
      </c>
    </row>
    <row r="702" ht="15" customHeight="1" s="77">
      <c r="G702" s="122">
        <f>IF($D702="",0,MIN($D702,$D702*$F702*MAX(0,ROUNDDOWN((AmortismanRaporTarihi-$C702)/365,0))))</f>
        <v/>
      </c>
      <c r="H702" s="122">
        <f>IF($D702="",0,MAX(0,$D702-$G702))</f>
        <v/>
      </c>
      <c r="I702" s="122">
        <f>IF($B702="","",CONCATENATE("Örnek kıymet: ",$B702))</f>
        <v/>
      </c>
    </row>
    <row r="703" ht="15" customHeight="1" s="77">
      <c r="G703" s="122">
        <f>IF($D703="",0,MIN($D703,$D703*$F703*MAX(0,ROUNDDOWN((AmortismanRaporTarihi-$C703)/365,0))))</f>
        <v/>
      </c>
      <c r="H703" s="122">
        <f>IF($D703="",0,MAX(0,$D703-$G703))</f>
        <v/>
      </c>
      <c r="I703" s="122">
        <f>IF($B703="","",CONCATENATE("Örnek kıymet: ",$B703))</f>
        <v/>
      </c>
    </row>
    <row r="704" ht="15" customHeight="1" s="77">
      <c r="G704" s="122">
        <f>IF($D704="",0,MIN($D704,$D704*$F704*MAX(0,ROUNDDOWN((AmortismanRaporTarihi-$C704)/365,0))))</f>
        <v/>
      </c>
      <c r="H704" s="122">
        <f>IF($D704="",0,MAX(0,$D704-$G704))</f>
        <v/>
      </c>
      <c r="I704" s="122">
        <f>IF($B704="","",CONCATENATE("Örnek kıymet: ",$B704))</f>
        <v/>
      </c>
    </row>
    <row r="705" ht="15" customHeight="1" s="77">
      <c r="G705" s="122">
        <f>IF($D705="",0,MIN($D705,$D705*$F705*MAX(0,ROUNDDOWN((AmortismanRaporTarihi-$C705)/365,0))))</f>
        <v/>
      </c>
      <c r="H705" s="122">
        <f>IF($D705="",0,MAX(0,$D705-$G705))</f>
        <v/>
      </c>
      <c r="I705" s="122">
        <f>IF($B705="","",CONCATENATE("Örnek kıymet: ",$B705))</f>
        <v/>
      </c>
    </row>
    <row r="706" ht="15" customHeight="1" s="77">
      <c r="G706" s="122">
        <f>IF($D706="",0,MIN($D706,$D706*$F706*MAX(0,ROUNDDOWN((AmortismanRaporTarihi-$C706)/365,0))))</f>
        <v/>
      </c>
      <c r="H706" s="122">
        <f>IF($D706="",0,MAX(0,$D706-$G706))</f>
        <v/>
      </c>
      <c r="I706" s="122">
        <f>IF($B706="","",CONCATENATE("Örnek kıymet: ",$B706))</f>
        <v/>
      </c>
    </row>
    <row r="707" ht="15" customHeight="1" s="77">
      <c r="G707" s="122">
        <f>IF($D707="",0,MIN($D707,$D707*$F707*MAX(0,ROUNDDOWN((AmortismanRaporTarihi-$C707)/365,0))))</f>
        <v/>
      </c>
      <c r="H707" s="122">
        <f>IF($D707="",0,MAX(0,$D707-$G707))</f>
        <v/>
      </c>
      <c r="I707" s="122">
        <f>IF($B707="","",CONCATENATE("Örnek kıymet: ",$B707))</f>
        <v/>
      </c>
    </row>
    <row r="708" ht="15" customHeight="1" s="77">
      <c r="G708" s="122">
        <f>IF($D708="",0,MIN($D708,$D708*$F708*MAX(0,ROUNDDOWN((AmortismanRaporTarihi-$C708)/365,0))))</f>
        <v/>
      </c>
      <c r="H708" s="122">
        <f>IF($D708="",0,MAX(0,$D708-$G708))</f>
        <v/>
      </c>
      <c r="I708" s="122">
        <f>IF($B708="","",CONCATENATE("Örnek kıymet: ",$B708))</f>
        <v/>
      </c>
    </row>
    <row r="709" ht="15" customHeight="1" s="77">
      <c r="G709" s="122">
        <f>IF($D709="",0,MIN($D709,$D709*$F709*MAX(0,ROUNDDOWN((AmortismanRaporTarihi-$C709)/365,0))))</f>
        <v/>
      </c>
      <c r="H709" s="122">
        <f>IF($D709="",0,MAX(0,$D709-$G709))</f>
        <v/>
      </c>
      <c r="I709" s="122">
        <f>IF($B709="","",CONCATENATE("Örnek kıymet: ",$B709))</f>
        <v/>
      </c>
    </row>
    <row r="710" ht="15" customHeight="1" s="77">
      <c r="G710" s="122">
        <f>IF($D710="",0,MIN($D710,$D710*$F710*MAX(0,ROUNDDOWN((AmortismanRaporTarihi-$C710)/365,0))))</f>
        <v/>
      </c>
      <c r="H710" s="122">
        <f>IF($D710="",0,MAX(0,$D710-$G710))</f>
        <v/>
      </c>
      <c r="I710" s="122">
        <f>IF($B710="","",CONCATENATE("Örnek kıymet: ",$B710))</f>
        <v/>
      </c>
    </row>
    <row r="711" ht="15" customHeight="1" s="77">
      <c r="G711" s="122">
        <f>IF($D711="",0,MIN($D711,$D711*$F711*MAX(0,ROUNDDOWN((AmortismanRaporTarihi-$C711)/365,0))))</f>
        <v/>
      </c>
      <c r="H711" s="122">
        <f>IF($D711="",0,MAX(0,$D711-$G711))</f>
        <v/>
      </c>
      <c r="I711" s="122">
        <f>IF($B711="","",CONCATENATE("Örnek kıymet: ",$B711))</f>
        <v/>
      </c>
    </row>
    <row r="712" ht="15" customHeight="1" s="77">
      <c r="G712" s="122">
        <f>IF($D712="",0,MIN($D712,$D712*$F712*MAX(0,ROUNDDOWN((AmortismanRaporTarihi-$C712)/365,0))))</f>
        <v/>
      </c>
      <c r="H712" s="122">
        <f>IF($D712="",0,MAX(0,$D712-$G712))</f>
        <v/>
      </c>
      <c r="I712" s="122">
        <f>IF($B712="","",CONCATENATE("Örnek kıymet: ",$B712))</f>
        <v/>
      </c>
    </row>
    <row r="713" ht="15" customHeight="1" s="77">
      <c r="G713" s="122">
        <f>IF($D713="",0,MIN($D713,$D713*$F713*MAX(0,ROUNDDOWN((AmortismanRaporTarihi-$C713)/365,0))))</f>
        <v/>
      </c>
      <c r="H713" s="122">
        <f>IF($D713="",0,MAX(0,$D713-$G713))</f>
        <v/>
      </c>
      <c r="I713" s="122">
        <f>IF($B713="","",CONCATENATE("Örnek kıymet: ",$B713))</f>
        <v/>
      </c>
    </row>
    <row r="714" ht="15" customHeight="1" s="77">
      <c r="G714" s="122">
        <f>IF($D714="",0,MIN($D714,$D714*$F714*MAX(0,ROUNDDOWN((AmortismanRaporTarihi-$C714)/365,0))))</f>
        <v/>
      </c>
      <c r="H714" s="122">
        <f>IF($D714="",0,MAX(0,$D714-$G714))</f>
        <v/>
      </c>
      <c r="I714" s="122">
        <f>IF($B714="","",CONCATENATE("Örnek kıymet: ",$B714))</f>
        <v/>
      </c>
    </row>
    <row r="715" ht="15" customHeight="1" s="77">
      <c r="G715" s="122">
        <f>IF($D715="",0,MIN($D715,$D715*$F715*MAX(0,ROUNDDOWN((AmortismanRaporTarihi-$C715)/365,0))))</f>
        <v/>
      </c>
      <c r="H715" s="122">
        <f>IF($D715="",0,MAX(0,$D715-$G715))</f>
        <v/>
      </c>
      <c r="I715" s="122">
        <f>IF($B715="","",CONCATENATE("Örnek kıymet: ",$B715))</f>
        <v/>
      </c>
    </row>
    <row r="716" ht="15" customHeight="1" s="77">
      <c r="G716" s="122">
        <f>IF($D716="",0,MIN($D716,$D716*$F716*MAX(0,ROUNDDOWN((AmortismanRaporTarihi-$C716)/365,0))))</f>
        <v/>
      </c>
      <c r="H716" s="122">
        <f>IF($D716="",0,MAX(0,$D716-$G716))</f>
        <v/>
      </c>
      <c r="I716" s="122">
        <f>IF($B716="","",CONCATENATE("Örnek kıymet: ",$B716))</f>
        <v/>
      </c>
    </row>
    <row r="717" ht="15" customHeight="1" s="77">
      <c r="G717" s="122">
        <f>IF($D717="",0,MIN($D717,$D717*$F717*MAX(0,ROUNDDOWN((AmortismanRaporTarihi-$C717)/365,0))))</f>
        <v/>
      </c>
      <c r="H717" s="122">
        <f>IF($D717="",0,MAX(0,$D717-$G717))</f>
        <v/>
      </c>
      <c r="I717" s="122">
        <f>IF($B717="","",CONCATENATE("Örnek kıymet: ",$B717))</f>
        <v/>
      </c>
    </row>
    <row r="718" ht="15" customHeight="1" s="77">
      <c r="G718" s="122">
        <f>IF($D718="",0,MIN($D718,$D718*$F718*MAX(0,ROUNDDOWN((AmortismanRaporTarihi-$C718)/365,0))))</f>
        <v/>
      </c>
      <c r="H718" s="122">
        <f>IF($D718="",0,MAX(0,$D718-$G718))</f>
        <v/>
      </c>
      <c r="I718" s="122">
        <f>IF($B718="","",CONCATENATE("Örnek kıymet: ",$B718))</f>
        <v/>
      </c>
    </row>
    <row r="719" ht="15" customHeight="1" s="77">
      <c r="G719" s="122">
        <f>IF($D719="",0,MIN($D719,$D719*$F719*MAX(0,ROUNDDOWN((AmortismanRaporTarihi-$C719)/365,0))))</f>
        <v/>
      </c>
      <c r="H719" s="122">
        <f>IF($D719="",0,MAX(0,$D719-$G719))</f>
        <v/>
      </c>
      <c r="I719" s="122">
        <f>IF($B719="","",CONCATENATE("Örnek kıymet: ",$B719))</f>
        <v/>
      </c>
    </row>
    <row r="720" ht="15" customHeight="1" s="77">
      <c r="G720" s="122">
        <f>IF($D720="",0,MIN($D720,$D720*$F720*MAX(0,ROUNDDOWN((AmortismanRaporTarihi-$C720)/365,0))))</f>
        <v/>
      </c>
      <c r="H720" s="122">
        <f>IF($D720="",0,MAX(0,$D720-$G720))</f>
        <v/>
      </c>
      <c r="I720" s="122">
        <f>IF($B720="","",CONCATENATE("Örnek kıymet: ",$B720))</f>
        <v/>
      </c>
    </row>
    <row r="721" ht="15" customHeight="1" s="77">
      <c r="G721" s="122">
        <f>IF($D721="",0,MIN($D721,$D721*$F721*MAX(0,ROUNDDOWN((AmortismanRaporTarihi-$C721)/365,0))))</f>
        <v/>
      </c>
      <c r="H721" s="122">
        <f>IF($D721="",0,MAX(0,$D721-$G721))</f>
        <v/>
      </c>
      <c r="I721" s="122">
        <f>IF($B721="","",CONCATENATE("Örnek kıymet: ",$B721))</f>
        <v/>
      </c>
    </row>
    <row r="722" ht="15" customHeight="1" s="77">
      <c r="G722" s="122">
        <f>IF($D722="",0,MIN($D722,$D722*$F722*MAX(0,ROUNDDOWN((AmortismanRaporTarihi-$C722)/365,0))))</f>
        <v/>
      </c>
      <c r="H722" s="122">
        <f>IF($D722="",0,MAX(0,$D722-$G722))</f>
        <v/>
      </c>
      <c r="I722" s="122">
        <f>IF($B722="","",CONCATENATE("Örnek kıymet: ",$B722))</f>
        <v/>
      </c>
    </row>
    <row r="723" ht="15" customHeight="1" s="77">
      <c r="G723" s="122">
        <f>IF($D723="",0,MIN($D723,$D723*$F723*MAX(0,ROUNDDOWN((AmortismanRaporTarihi-$C723)/365,0))))</f>
        <v/>
      </c>
      <c r="H723" s="122">
        <f>IF($D723="",0,MAX(0,$D723-$G723))</f>
        <v/>
      </c>
      <c r="I723" s="122">
        <f>IF($B723="","",CONCATENATE("Örnek kıymet: ",$B723))</f>
        <v/>
      </c>
    </row>
    <row r="724" ht="15" customHeight="1" s="77">
      <c r="G724" s="122">
        <f>IF($D724="",0,MIN($D724,$D724*$F724*MAX(0,ROUNDDOWN((AmortismanRaporTarihi-$C724)/365,0))))</f>
        <v/>
      </c>
      <c r="H724" s="122">
        <f>IF($D724="",0,MAX(0,$D724-$G724))</f>
        <v/>
      </c>
      <c r="I724" s="122">
        <f>IF($B724="","",CONCATENATE("Örnek kıymet: ",$B724))</f>
        <v/>
      </c>
    </row>
    <row r="725" ht="15" customHeight="1" s="77">
      <c r="G725" s="122">
        <f>IF($D725="",0,MIN($D725,$D725*$F725*MAX(0,ROUNDDOWN((AmortismanRaporTarihi-$C725)/365,0))))</f>
        <v/>
      </c>
      <c r="H725" s="122">
        <f>IF($D725="",0,MAX(0,$D725-$G725))</f>
        <v/>
      </c>
      <c r="I725" s="122">
        <f>IF($B725="","",CONCATENATE("Örnek kıymet: ",$B725))</f>
        <v/>
      </c>
    </row>
    <row r="726" ht="15" customHeight="1" s="77">
      <c r="G726" s="122">
        <f>IF($D726="",0,MIN($D726,$D726*$F726*MAX(0,ROUNDDOWN((AmortismanRaporTarihi-$C726)/365,0))))</f>
        <v/>
      </c>
      <c r="H726" s="122">
        <f>IF($D726="",0,MAX(0,$D726-$G726))</f>
        <v/>
      </c>
      <c r="I726" s="122">
        <f>IF($B726="","",CONCATENATE("Örnek kıymet: ",$B726))</f>
        <v/>
      </c>
    </row>
    <row r="727" ht="15" customHeight="1" s="77">
      <c r="G727" s="122">
        <f>IF($D727="",0,MIN($D727,$D727*$F727*MAX(0,ROUNDDOWN((AmortismanRaporTarihi-$C727)/365,0))))</f>
        <v/>
      </c>
      <c r="H727" s="122">
        <f>IF($D727="",0,MAX(0,$D727-$G727))</f>
        <v/>
      </c>
      <c r="I727" s="122">
        <f>IF($B727="","",CONCATENATE("Örnek kıymet: ",$B727))</f>
        <v/>
      </c>
    </row>
    <row r="728" ht="15" customHeight="1" s="77">
      <c r="G728" s="122">
        <f>IF($D728="",0,MIN($D728,$D728*$F728*MAX(0,ROUNDDOWN((AmortismanRaporTarihi-$C728)/365,0))))</f>
        <v/>
      </c>
      <c r="H728" s="122">
        <f>IF($D728="",0,MAX(0,$D728-$G728))</f>
        <v/>
      </c>
      <c r="I728" s="122">
        <f>IF($B728="","",CONCATENATE("Örnek kıymet: ",$B728))</f>
        <v/>
      </c>
    </row>
    <row r="729" ht="15" customHeight="1" s="77">
      <c r="G729" s="122">
        <f>IF($D729="",0,MIN($D729,$D729*$F729*MAX(0,ROUNDDOWN((AmortismanRaporTarihi-$C729)/365,0))))</f>
        <v/>
      </c>
      <c r="H729" s="122">
        <f>IF($D729="",0,MAX(0,$D729-$G729))</f>
        <v/>
      </c>
      <c r="I729" s="122">
        <f>IF($B729="","",CONCATENATE("Örnek kıymet: ",$B729))</f>
        <v/>
      </c>
    </row>
    <row r="730" ht="15" customHeight="1" s="77">
      <c r="G730" s="122">
        <f>IF($D730="",0,MIN($D730,$D730*$F730*MAX(0,ROUNDDOWN((AmortismanRaporTarihi-$C730)/365,0))))</f>
        <v/>
      </c>
      <c r="H730" s="122">
        <f>IF($D730="",0,MAX(0,$D730-$G730))</f>
        <v/>
      </c>
      <c r="I730" s="122">
        <f>IF($B730="","",CONCATENATE("Örnek kıymet: ",$B730))</f>
        <v/>
      </c>
    </row>
    <row r="731" ht="15" customHeight="1" s="77">
      <c r="G731" s="122">
        <f>IF($D731="",0,MIN($D731,$D731*$F731*MAX(0,ROUNDDOWN((AmortismanRaporTarihi-$C731)/365,0))))</f>
        <v/>
      </c>
      <c r="H731" s="122">
        <f>IF($D731="",0,MAX(0,$D731-$G731))</f>
        <v/>
      </c>
      <c r="I731" s="122">
        <f>IF($B731="","",CONCATENATE("Örnek kıymet: ",$B731))</f>
        <v/>
      </c>
    </row>
    <row r="732" ht="15" customHeight="1" s="77">
      <c r="G732" s="122">
        <f>IF($D732="",0,MIN($D732,$D732*$F732*MAX(0,ROUNDDOWN((AmortismanRaporTarihi-$C732)/365,0))))</f>
        <v/>
      </c>
      <c r="H732" s="122">
        <f>IF($D732="",0,MAX(0,$D732-$G732))</f>
        <v/>
      </c>
      <c r="I732" s="122">
        <f>IF($B732="","",CONCATENATE("Örnek kıymet: ",$B732))</f>
        <v/>
      </c>
    </row>
    <row r="733" ht="15" customHeight="1" s="77">
      <c r="G733" s="122">
        <f>IF($D733="",0,MIN($D733,$D733*$F733*MAX(0,ROUNDDOWN((AmortismanRaporTarihi-$C733)/365,0))))</f>
        <v/>
      </c>
      <c r="H733" s="122">
        <f>IF($D733="",0,MAX(0,$D733-$G733))</f>
        <v/>
      </c>
      <c r="I733" s="122">
        <f>IF($B733="","",CONCATENATE("Örnek kıymet: ",$B733))</f>
        <v/>
      </c>
    </row>
    <row r="734" ht="15" customHeight="1" s="77">
      <c r="G734" s="122">
        <f>IF($D734="",0,MIN($D734,$D734*$F734*MAX(0,ROUNDDOWN((AmortismanRaporTarihi-$C734)/365,0))))</f>
        <v/>
      </c>
      <c r="H734" s="122">
        <f>IF($D734="",0,MAX(0,$D734-$G734))</f>
        <v/>
      </c>
      <c r="I734" s="122">
        <f>IF($B734="","",CONCATENATE("Örnek kıymet: ",$B734))</f>
        <v/>
      </c>
    </row>
    <row r="735" ht="15" customHeight="1" s="77">
      <c r="G735" s="122">
        <f>IF($D735="",0,MIN($D735,$D735*$F735*MAX(0,ROUNDDOWN((AmortismanRaporTarihi-$C735)/365,0))))</f>
        <v/>
      </c>
      <c r="H735" s="122">
        <f>IF($D735="",0,MAX(0,$D735-$G735))</f>
        <v/>
      </c>
      <c r="I735" s="122">
        <f>IF($B735="","",CONCATENATE("Örnek kıymet: ",$B735))</f>
        <v/>
      </c>
    </row>
    <row r="736" ht="15" customHeight="1" s="77">
      <c r="G736" s="122">
        <f>IF($D736="",0,MIN($D736,$D736*$F736*MAX(0,ROUNDDOWN((AmortismanRaporTarihi-$C736)/365,0))))</f>
        <v/>
      </c>
      <c r="H736" s="122">
        <f>IF($D736="",0,MAX(0,$D736-$G736))</f>
        <v/>
      </c>
      <c r="I736" s="122">
        <f>IF($B736="","",CONCATENATE("Örnek kıymet: ",$B736))</f>
        <v/>
      </c>
    </row>
    <row r="737" ht="15" customHeight="1" s="77">
      <c r="G737" s="122">
        <f>IF($D737="",0,MIN($D737,$D737*$F737*MAX(0,ROUNDDOWN((AmortismanRaporTarihi-$C737)/365,0))))</f>
        <v/>
      </c>
      <c r="H737" s="122">
        <f>IF($D737="",0,MAX(0,$D737-$G737))</f>
        <v/>
      </c>
      <c r="I737" s="122">
        <f>IF($B737="","",CONCATENATE("Örnek kıymet: ",$B737))</f>
        <v/>
      </c>
    </row>
    <row r="738" ht="15" customHeight="1" s="77">
      <c r="G738" s="122">
        <f>IF($D738="",0,MIN($D738,$D738*$F738*MAX(0,ROUNDDOWN((AmortismanRaporTarihi-$C738)/365,0))))</f>
        <v/>
      </c>
      <c r="H738" s="122">
        <f>IF($D738="",0,MAX(0,$D738-$G738))</f>
        <v/>
      </c>
      <c r="I738" s="122">
        <f>IF($B738="","",CONCATENATE("Örnek kıymet: ",$B738))</f>
        <v/>
      </c>
    </row>
    <row r="739" ht="15" customHeight="1" s="77">
      <c r="G739" s="122">
        <f>IF($D739="",0,MIN($D739,$D739*$F739*MAX(0,ROUNDDOWN((AmortismanRaporTarihi-$C739)/365,0))))</f>
        <v/>
      </c>
      <c r="H739" s="122">
        <f>IF($D739="",0,MAX(0,$D739-$G739))</f>
        <v/>
      </c>
      <c r="I739" s="122">
        <f>IF($B739="","",CONCATENATE("Örnek kıymet: ",$B739))</f>
        <v/>
      </c>
    </row>
    <row r="740" ht="15" customHeight="1" s="77">
      <c r="G740" s="122">
        <f>IF($D740="",0,MIN($D740,$D740*$F740*MAX(0,ROUNDDOWN((AmortismanRaporTarihi-$C740)/365,0))))</f>
        <v/>
      </c>
      <c r="H740" s="122">
        <f>IF($D740="",0,MAX(0,$D740-$G740))</f>
        <v/>
      </c>
      <c r="I740" s="122">
        <f>IF($B740="","",CONCATENATE("Örnek kıymet: ",$B740))</f>
        <v/>
      </c>
    </row>
    <row r="741" ht="15" customHeight="1" s="77">
      <c r="G741" s="122">
        <f>IF($D741="",0,MIN($D741,$D741*$F741*MAX(0,ROUNDDOWN((AmortismanRaporTarihi-$C741)/365,0))))</f>
        <v/>
      </c>
      <c r="H741" s="122">
        <f>IF($D741="",0,MAX(0,$D741-$G741))</f>
        <v/>
      </c>
      <c r="I741" s="122">
        <f>IF($B741="","",CONCATENATE("Örnek kıymet: ",$B741))</f>
        <v/>
      </c>
    </row>
    <row r="742" ht="15" customHeight="1" s="77">
      <c r="G742" s="122">
        <f>IF($D742="",0,MIN($D742,$D742*$F742*MAX(0,ROUNDDOWN((AmortismanRaporTarihi-$C742)/365,0))))</f>
        <v/>
      </c>
      <c r="H742" s="122">
        <f>IF($D742="",0,MAX(0,$D742-$G742))</f>
        <v/>
      </c>
      <c r="I742" s="122">
        <f>IF($B742="","",CONCATENATE("Örnek kıymet: ",$B742))</f>
        <v/>
      </c>
    </row>
    <row r="743" ht="15" customHeight="1" s="77">
      <c r="G743" s="122">
        <f>IF($D743="",0,MIN($D743,$D743*$F743*MAX(0,ROUNDDOWN((AmortismanRaporTarihi-$C743)/365,0))))</f>
        <v/>
      </c>
      <c r="H743" s="122">
        <f>IF($D743="",0,MAX(0,$D743-$G743))</f>
        <v/>
      </c>
      <c r="I743" s="122">
        <f>IF($B743="","",CONCATENATE("Örnek kıymet: ",$B743))</f>
        <v/>
      </c>
    </row>
    <row r="744" ht="15" customHeight="1" s="77">
      <c r="G744" s="122">
        <f>IF($D744="",0,MIN($D744,$D744*$F744*MAX(0,ROUNDDOWN((AmortismanRaporTarihi-$C744)/365,0))))</f>
        <v/>
      </c>
      <c r="H744" s="122">
        <f>IF($D744="",0,MAX(0,$D744-$G744))</f>
        <v/>
      </c>
      <c r="I744" s="122">
        <f>IF($B744="","",CONCATENATE("Örnek kıymet: ",$B744))</f>
        <v/>
      </c>
    </row>
    <row r="745" ht="15" customHeight="1" s="77">
      <c r="G745" s="122">
        <f>IF($D745="",0,MIN($D745,$D745*$F745*MAX(0,ROUNDDOWN((AmortismanRaporTarihi-$C745)/365,0))))</f>
        <v/>
      </c>
      <c r="H745" s="122">
        <f>IF($D745="",0,MAX(0,$D745-$G745))</f>
        <v/>
      </c>
      <c r="I745" s="122">
        <f>IF($B745="","",CONCATENATE("Örnek kıymet: ",$B745))</f>
        <v/>
      </c>
    </row>
    <row r="746" ht="15" customHeight="1" s="77">
      <c r="G746" s="122">
        <f>IF($D746="",0,MIN($D746,$D746*$F746*MAX(0,ROUNDDOWN((AmortismanRaporTarihi-$C746)/365,0))))</f>
        <v/>
      </c>
      <c r="H746" s="122">
        <f>IF($D746="",0,MAX(0,$D746-$G746))</f>
        <v/>
      </c>
      <c r="I746" s="122">
        <f>IF($B746="","",CONCATENATE("Örnek kıymet: ",$B746))</f>
        <v/>
      </c>
    </row>
    <row r="747" ht="15" customHeight="1" s="77">
      <c r="G747" s="122">
        <f>IF($D747="",0,MIN($D747,$D747*$F747*MAX(0,ROUNDDOWN((AmortismanRaporTarihi-$C747)/365,0))))</f>
        <v/>
      </c>
      <c r="H747" s="122">
        <f>IF($D747="",0,MAX(0,$D747-$G747))</f>
        <v/>
      </c>
      <c r="I747" s="122">
        <f>IF($B747="","",CONCATENATE("Örnek kıymet: ",$B747))</f>
        <v/>
      </c>
    </row>
    <row r="748" ht="15" customHeight="1" s="77">
      <c r="G748" s="122">
        <f>IF($D748="",0,MIN($D748,$D748*$F748*MAX(0,ROUNDDOWN((AmortismanRaporTarihi-$C748)/365,0))))</f>
        <v/>
      </c>
      <c r="H748" s="122">
        <f>IF($D748="",0,MAX(0,$D748-$G748))</f>
        <v/>
      </c>
      <c r="I748" s="122">
        <f>IF($B748="","",CONCATENATE("Örnek kıymet: ",$B748))</f>
        <v/>
      </c>
    </row>
    <row r="749" ht="15" customHeight="1" s="77">
      <c r="G749" s="122">
        <f>IF($D749="",0,MIN($D749,$D749*$F749*MAX(0,ROUNDDOWN((AmortismanRaporTarihi-$C749)/365,0))))</f>
        <v/>
      </c>
      <c r="H749" s="122">
        <f>IF($D749="",0,MAX(0,$D749-$G749))</f>
        <v/>
      </c>
      <c r="I749" s="122">
        <f>IF($B749="","",CONCATENATE("Örnek kıymet: ",$B749))</f>
        <v/>
      </c>
    </row>
    <row r="750" ht="15" customHeight="1" s="77">
      <c r="G750" s="122">
        <f>IF($D750="",0,MIN($D750,$D750*$F750*MAX(0,ROUNDDOWN((AmortismanRaporTarihi-$C750)/365,0))))</f>
        <v/>
      </c>
      <c r="H750" s="122">
        <f>IF($D750="",0,MAX(0,$D750-$G750))</f>
        <v/>
      </c>
      <c r="I750" s="122">
        <f>IF($B750="","",CONCATENATE("Örnek kıymet: ",$B750))</f>
        <v/>
      </c>
    </row>
    <row r="751" ht="15" customHeight="1" s="77">
      <c r="G751" s="122">
        <f>IF($D751="",0,MIN($D751,$D751*$F751*MAX(0,ROUNDDOWN((AmortismanRaporTarihi-$C751)/365,0))))</f>
        <v/>
      </c>
      <c r="H751" s="122">
        <f>IF($D751="",0,MAX(0,$D751-$G751))</f>
        <v/>
      </c>
      <c r="I751" s="122">
        <f>IF($B751="","",CONCATENATE("Örnek kıymet: ",$B751))</f>
        <v/>
      </c>
    </row>
    <row r="752" ht="15" customHeight="1" s="77">
      <c r="G752" s="122">
        <f>IF($D752="",0,MIN($D752,$D752*$F752*MAX(0,ROUNDDOWN((AmortismanRaporTarihi-$C752)/365,0))))</f>
        <v/>
      </c>
      <c r="H752" s="122">
        <f>IF($D752="",0,MAX(0,$D752-$G752))</f>
        <v/>
      </c>
      <c r="I752" s="122">
        <f>IF($B752="","",CONCATENATE("Örnek kıymet: ",$B752))</f>
        <v/>
      </c>
    </row>
    <row r="753" ht="15" customHeight="1" s="77">
      <c r="G753" s="122">
        <f>IF($D753="",0,MIN($D753,$D753*$F753*MAX(0,ROUNDDOWN((AmortismanRaporTarihi-$C753)/365,0))))</f>
        <v/>
      </c>
      <c r="H753" s="122">
        <f>IF($D753="",0,MAX(0,$D753-$G753))</f>
        <v/>
      </c>
      <c r="I753" s="122">
        <f>IF($B753="","",CONCATENATE("Örnek kıymet: ",$B753))</f>
        <v/>
      </c>
    </row>
    <row r="754" ht="15" customHeight="1" s="77">
      <c r="G754" s="122">
        <f>IF($D754="",0,MIN($D754,$D754*$F754*MAX(0,ROUNDDOWN((AmortismanRaporTarihi-$C754)/365,0))))</f>
        <v/>
      </c>
      <c r="H754" s="122">
        <f>IF($D754="",0,MAX(0,$D754-$G754))</f>
        <v/>
      </c>
      <c r="I754" s="122">
        <f>IF($B754="","",CONCATENATE("Örnek kıymet: ",$B754))</f>
        <v/>
      </c>
    </row>
    <row r="755" ht="15" customHeight="1" s="77">
      <c r="G755" s="122">
        <f>IF($D755="",0,MIN($D755,$D755*$F755*MAX(0,ROUNDDOWN((AmortismanRaporTarihi-$C755)/365,0))))</f>
        <v/>
      </c>
      <c r="H755" s="122">
        <f>IF($D755="",0,MAX(0,$D755-$G755))</f>
        <v/>
      </c>
      <c r="I755" s="122">
        <f>IF($B755="","",CONCATENATE("Örnek kıymet: ",$B755))</f>
        <v/>
      </c>
    </row>
    <row r="756" ht="15" customHeight="1" s="77">
      <c r="G756" s="122">
        <f>IF($D756="",0,MIN($D756,$D756*$F756*MAX(0,ROUNDDOWN((AmortismanRaporTarihi-$C756)/365,0))))</f>
        <v/>
      </c>
      <c r="H756" s="122">
        <f>IF($D756="",0,MAX(0,$D756-$G756))</f>
        <v/>
      </c>
      <c r="I756" s="122">
        <f>IF($B756="","",CONCATENATE("Örnek kıymet: ",$B756))</f>
        <v/>
      </c>
    </row>
    <row r="757" ht="15" customHeight="1" s="77">
      <c r="G757" s="122">
        <f>IF($D757="",0,MIN($D757,$D757*$F757*MAX(0,ROUNDDOWN((AmortismanRaporTarihi-$C757)/365,0))))</f>
        <v/>
      </c>
      <c r="H757" s="122">
        <f>IF($D757="",0,MAX(0,$D757-$G757))</f>
        <v/>
      </c>
      <c r="I757" s="122">
        <f>IF($B757="","",CONCATENATE("Örnek kıymet: ",$B757))</f>
        <v/>
      </c>
    </row>
    <row r="758" ht="15" customHeight="1" s="77">
      <c r="G758" s="122">
        <f>IF($D758="",0,MIN($D758,$D758*$F758*MAX(0,ROUNDDOWN((AmortismanRaporTarihi-$C758)/365,0))))</f>
        <v/>
      </c>
      <c r="H758" s="122">
        <f>IF($D758="",0,MAX(0,$D758-$G758))</f>
        <v/>
      </c>
      <c r="I758" s="122">
        <f>IF($B758="","",CONCATENATE("Örnek kıymet: ",$B758))</f>
        <v/>
      </c>
    </row>
    <row r="759" ht="15" customHeight="1" s="77">
      <c r="G759" s="122">
        <f>IF($D759="",0,MIN($D759,$D759*$F759*MAX(0,ROUNDDOWN((AmortismanRaporTarihi-$C759)/365,0))))</f>
        <v/>
      </c>
      <c r="H759" s="122">
        <f>IF($D759="",0,MAX(0,$D759-$G759))</f>
        <v/>
      </c>
      <c r="I759" s="122">
        <f>IF($B759="","",CONCATENATE("Örnek kıymet: ",$B759))</f>
        <v/>
      </c>
    </row>
    <row r="760" ht="15" customHeight="1" s="77">
      <c r="G760" s="122">
        <f>IF($D760="",0,MIN($D760,$D760*$F760*MAX(0,ROUNDDOWN((AmortismanRaporTarihi-$C760)/365,0))))</f>
        <v/>
      </c>
      <c r="H760" s="122">
        <f>IF($D760="",0,MAX(0,$D760-$G760))</f>
        <v/>
      </c>
      <c r="I760" s="122">
        <f>IF($B760="","",CONCATENATE("Örnek kıymet: ",$B760))</f>
        <v/>
      </c>
    </row>
    <row r="761" ht="15" customHeight="1" s="77">
      <c r="G761" s="122">
        <f>IF($D761="",0,MIN($D761,$D761*$F761*MAX(0,ROUNDDOWN((AmortismanRaporTarihi-$C761)/365,0))))</f>
        <v/>
      </c>
      <c r="H761" s="122">
        <f>IF($D761="",0,MAX(0,$D761-$G761))</f>
        <v/>
      </c>
      <c r="I761" s="122">
        <f>IF($B761="","",CONCATENATE("Örnek kıymet: ",$B761))</f>
        <v/>
      </c>
    </row>
    <row r="762" ht="15" customHeight="1" s="77">
      <c r="G762" s="122">
        <f>IF($D762="",0,MIN($D762,$D762*$F762*MAX(0,ROUNDDOWN((AmortismanRaporTarihi-$C762)/365,0))))</f>
        <v/>
      </c>
      <c r="H762" s="122">
        <f>IF($D762="",0,MAX(0,$D762-$G762))</f>
        <v/>
      </c>
      <c r="I762" s="122">
        <f>IF($B762="","",CONCATENATE("Örnek kıymet: ",$B762))</f>
        <v/>
      </c>
    </row>
    <row r="763" ht="15" customHeight="1" s="77">
      <c r="G763" s="122">
        <f>IF($D763="",0,MIN($D763,$D763*$F763*MAX(0,ROUNDDOWN((AmortismanRaporTarihi-$C763)/365,0))))</f>
        <v/>
      </c>
      <c r="H763" s="122">
        <f>IF($D763="",0,MAX(0,$D763-$G763))</f>
        <v/>
      </c>
      <c r="I763" s="122">
        <f>IF($B763="","",CONCATENATE("Örnek kıymet: ",$B763))</f>
        <v/>
      </c>
    </row>
    <row r="764" ht="15" customHeight="1" s="77">
      <c r="G764" s="122">
        <f>IF($D764="",0,MIN($D764,$D764*$F764*MAX(0,ROUNDDOWN((AmortismanRaporTarihi-$C764)/365,0))))</f>
        <v/>
      </c>
      <c r="H764" s="122">
        <f>IF($D764="",0,MAX(0,$D764-$G764))</f>
        <v/>
      </c>
      <c r="I764" s="122">
        <f>IF($B764="","",CONCATENATE("Örnek kıymet: ",$B764))</f>
        <v/>
      </c>
    </row>
    <row r="765" ht="15" customHeight="1" s="77">
      <c r="G765" s="122">
        <f>IF($D765="",0,MIN($D765,$D765*$F765*MAX(0,ROUNDDOWN((AmortismanRaporTarihi-$C765)/365,0))))</f>
        <v/>
      </c>
      <c r="H765" s="122">
        <f>IF($D765="",0,MAX(0,$D765-$G765))</f>
        <v/>
      </c>
      <c r="I765" s="122">
        <f>IF($B765="","",CONCATENATE("Örnek kıymet: ",$B765))</f>
        <v/>
      </c>
    </row>
    <row r="766" ht="15" customHeight="1" s="77">
      <c r="G766" s="122">
        <f>IF($D766="",0,MIN($D766,$D766*$F766*MAX(0,ROUNDDOWN((AmortismanRaporTarihi-$C766)/365,0))))</f>
        <v/>
      </c>
      <c r="H766" s="122">
        <f>IF($D766="",0,MAX(0,$D766-$G766))</f>
        <v/>
      </c>
      <c r="I766" s="122">
        <f>IF($B766="","",CONCATENATE("Örnek kıymet: ",$B766))</f>
        <v/>
      </c>
    </row>
    <row r="767" ht="15" customHeight="1" s="77">
      <c r="G767" s="122">
        <f>IF($D767="",0,MIN($D767,$D767*$F767*MAX(0,ROUNDDOWN((AmortismanRaporTarihi-$C767)/365,0))))</f>
        <v/>
      </c>
      <c r="H767" s="122">
        <f>IF($D767="",0,MAX(0,$D767-$G767))</f>
        <v/>
      </c>
      <c r="I767" s="122">
        <f>IF($B767="","",CONCATENATE("Örnek kıymet: ",$B767))</f>
        <v/>
      </c>
    </row>
    <row r="768" ht="15" customHeight="1" s="77">
      <c r="G768" s="122">
        <f>IF($D768="",0,MIN($D768,$D768*$F768*MAX(0,ROUNDDOWN((AmortismanRaporTarihi-$C768)/365,0))))</f>
        <v/>
      </c>
      <c r="H768" s="122">
        <f>IF($D768="",0,MAX(0,$D768-$G768))</f>
        <v/>
      </c>
      <c r="I768" s="122">
        <f>IF($B768="","",CONCATENATE("Örnek kıymet: ",$B768))</f>
        <v/>
      </c>
    </row>
    <row r="769" ht="15" customHeight="1" s="77">
      <c r="G769" s="122">
        <f>IF($D769="",0,MIN($D769,$D769*$F769*MAX(0,ROUNDDOWN((AmortismanRaporTarihi-$C769)/365,0))))</f>
        <v/>
      </c>
      <c r="H769" s="122">
        <f>IF($D769="",0,MAX(0,$D769-$G769))</f>
        <v/>
      </c>
      <c r="I769" s="122">
        <f>IF($B769="","",CONCATENATE("Örnek kıymet: ",$B769))</f>
        <v/>
      </c>
    </row>
    <row r="770" ht="15" customHeight="1" s="77">
      <c r="G770" s="122">
        <f>IF($D770="",0,MIN($D770,$D770*$F770*MAX(0,ROUNDDOWN((AmortismanRaporTarihi-$C770)/365,0))))</f>
        <v/>
      </c>
      <c r="H770" s="122">
        <f>IF($D770="",0,MAX(0,$D770-$G770))</f>
        <v/>
      </c>
      <c r="I770" s="122">
        <f>IF($B770="","",CONCATENATE("Örnek kıymet: ",$B770))</f>
        <v/>
      </c>
    </row>
    <row r="771" ht="15" customHeight="1" s="77">
      <c r="G771" s="122">
        <f>IF($D771="",0,MIN($D771,$D771*$F771*MAX(0,ROUNDDOWN((AmortismanRaporTarihi-$C771)/365,0))))</f>
        <v/>
      </c>
      <c r="H771" s="122">
        <f>IF($D771="",0,MAX(0,$D771-$G771))</f>
        <v/>
      </c>
      <c r="I771" s="122">
        <f>IF($B771="","",CONCATENATE("Örnek kıymet: ",$B771))</f>
        <v/>
      </c>
    </row>
    <row r="772" ht="15" customHeight="1" s="77">
      <c r="G772" s="122">
        <f>IF($D772="",0,MIN($D772,$D772*$F772*MAX(0,ROUNDDOWN((AmortismanRaporTarihi-$C772)/365,0))))</f>
        <v/>
      </c>
      <c r="H772" s="122">
        <f>IF($D772="",0,MAX(0,$D772-$G772))</f>
        <v/>
      </c>
      <c r="I772" s="122">
        <f>IF($B772="","",CONCATENATE("Örnek kıymet: ",$B772))</f>
        <v/>
      </c>
    </row>
    <row r="773" ht="15" customHeight="1" s="77">
      <c r="G773" s="122">
        <f>IF($D773="",0,MIN($D773,$D773*$F773*MAX(0,ROUNDDOWN((AmortismanRaporTarihi-$C773)/365,0))))</f>
        <v/>
      </c>
      <c r="H773" s="122">
        <f>IF($D773="",0,MAX(0,$D773-$G773))</f>
        <v/>
      </c>
      <c r="I773" s="122">
        <f>IF($B773="","",CONCATENATE("Örnek kıymet: ",$B773))</f>
        <v/>
      </c>
    </row>
    <row r="774" ht="15" customHeight="1" s="77">
      <c r="G774" s="122">
        <f>IF($D774="",0,MIN($D774,$D774*$F774*MAX(0,ROUNDDOWN((AmortismanRaporTarihi-$C774)/365,0))))</f>
        <v/>
      </c>
      <c r="H774" s="122">
        <f>IF($D774="",0,MAX(0,$D774-$G774))</f>
        <v/>
      </c>
      <c r="I774" s="122">
        <f>IF($B774="","",CONCATENATE("Örnek kıymet: ",$B774))</f>
        <v/>
      </c>
    </row>
    <row r="775" ht="15" customHeight="1" s="77">
      <c r="G775" s="122">
        <f>IF($D775="",0,MIN($D775,$D775*$F775*MAX(0,ROUNDDOWN((AmortismanRaporTarihi-$C775)/365,0))))</f>
        <v/>
      </c>
      <c r="H775" s="122">
        <f>IF($D775="",0,MAX(0,$D775-$G775))</f>
        <v/>
      </c>
      <c r="I775" s="122">
        <f>IF($B775="","",CONCATENATE("Örnek kıymet: ",$B775))</f>
        <v/>
      </c>
    </row>
    <row r="776" ht="15" customHeight="1" s="77">
      <c r="G776" s="122">
        <f>IF($D776="",0,MIN($D776,$D776*$F776*MAX(0,ROUNDDOWN((AmortismanRaporTarihi-$C776)/365,0))))</f>
        <v/>
      </c>
      <c r="H776" s="122">
        <f>IF($D776="",0,MAX(0,$D776-$G776))</f>
        <v/>
      </c>
      <c r="I776" s="122">
        <f>IF($B776="","",CONCATENATE("Örnek kıymet: ",$B776))</f>
        <v/>
      </c>
    </row>
    <row r="777" ht="15" customHeight="1" s="77">
      <c r="G777" s="122">
        <f>IF($D777="",0,MIN($D777,$D777*$F777*MAX(0,ROUNDDOWN((AmortismanRaporTarihi-$C777)/365,0))))</f>
        <v/>
      </c>
      <c r="H777" s="122">
        <f>IF($D777="",0,MAX(0,$D777-$G777))</f>
        <v/>
      </c>
      <c r="I777" s="122">
        <f>IF($B777="","",CONCATENATE("Örnek kıymet: ",$B777))</f>
        <v/>
      </c>
    </row>
    <row r="778" ht="15" customHeight="1" s="77">
      <c r="G778" s="122">
        <f>IF($D778="",0,MIN($D778,$D778*$F778*MAX(0,ROUNDDOWN((AmortismanRaporTarihi-$C778)/365,0))))</f>
        <v/>
      </c>
      <c r="H778" s="122">
        <f>IF($D778="",0,MAX(0,$D778-$G778))</f>
        <v/>
      </c>
      <c r="I778" s="122">
        <f>IF($B778="","",CONCATENATE("Örnek kıymet: ",$B778))</f>
        <v/>
      </c>
    </row>
    <row r="779" ht="15" customHeight="1" s="77">
      <c r="G779" s="122">
        <f>IF($D779="",0,MIN($D779,$D779*$F779*MAX(0,ROUNDDOWN((AmortismanRaporTarihi-$C779)/365,0))))</f>
        <v/>
      </c>
      <c r="H779" s="122">
        <f>IF($D779="",0,MAX(0,$D779-$G779))</f>
        <v/>
      </c>
      <c r="I779" s="122">
        <f>IF($B779="","",CONCATENATE("Örnek kıymet: ",$B779))</f>
        <v/>
      </c>
    </row>
    <row r="780" ht="15" customHeight="1" s="77">
      <c r="G780" s="122">
        <f>IF($D780="",0,MIN($D780,$D780*$F780*MAX(0,ROUNDDOWN((AmortismanRaporTarihi-$C780)/365,0))))</f>
        <v/>
      </c>
      <c r="H780" s="122">
        <f>IF($D780="",0,MAX(0,$D780-$G780))</f>
        <v/>
      </c>
      <c r="I780" s="122">
        <f>IF($B780="","",CONCATENATE("Örnek kıymet: ",$B780))</f>
        <v/>
      </c>
    </row>
    <row r="781" ht="15" customHeight="1" s="77">
      <c r="G781" s="122">
        <f>IF($D781="",0,MIN($D781,$D781*$F781*MAX(0,ROUNDDOWN((AmortismanRaporTarihi-$C781)/365,0))))</f>
        <v/>
      </c>
      <c r="H781" s="122">
        <f>IF($D781="",0,MAX(0,$D781-$G781))</f>
        <v/>
      </c>
      <c r="I781" s="122">
        <f>IF($B781="","",CONCATENATE("Örnek kıymet: ",$B781))</f>
        <v/>
      </c>
    </row>
    <row r="782" ht="15" customHeight="1" s="77">
      <c r="G782" s="122">
        <f>IF($D782="",0,MIN($D782,$D782*$F782*MAX(0,ROUNDDOWN((AmortismanRaporTarihi-$C782)/365,0))))</f>
        <v/>
      </c>
      <c r="H782" s="122">
        <f>IF($D782="",0,MAX(0,$D782-$G782))</f>
        <v/>
      </c>
      <c r="I782" s="122">
        <f>IF($B782="","",CONCATENATE("Örnek kıymet: ",$B782))</f>
        <v/>
      </c>
    </row>
    <row r="783" ht="15" customHeight="1" s="77">
      <c r="G783" s="122">
        <f>IF($D783="",0,MIN($D783,$D783*$F783*MAX(0,ROUNDDOWN((AmortismanRaporTarihi-$C783)/365,0))))</f>
        <v/>
      </c>
      <c r="H783" s="122">
        <f>IF($D783="",0,MAX(0,$D783-$G783))</f>
        <v/>
      </c>
      <c r="I783" s="122">
        <f>IF($B783="","",CONCATENATE("Örnek kıymet: ",$B783))</f>
        <v/>
      </c>
    </row>
    <row r="784" ht="15" customHeight="1" s="77">
      <c r="G784" s="122">
        <f>IF($D784="",0,MIN($D784,$D784*$F784*MAX(0,ROUNDDOWN((AmortismanRaporTarihi-$C784)/365,0))))</f>
        <v/>
      </c>
      <c r="H784" s="122">
        <f>IF($D784="",0,MAX(0,$D784-$G784))</f>
        <v/>
      </c>
      <c r="I784" s="122">
        <f>IF($B784="","",CONCATENATE("Örnek kıymet: ",$B784))</f>
        <v/>
      </c>
    </row>
    <row r="785" ht="15" customHeight="1" s="77">
      <c r="G785" s="122">
        <f>IF($D785="",0,MIN($D785,$D785*$F785*MAX(0,ROUNDDOWN((AmortismanRaporTarihi-$C785)/365,0))))</f>
        <v/>
      </c>
      <c r="H785" s="122">
        <f>IF($D785="",0,MAX(0,$D785-$G785))</f>
        <v/>
      </c>
      <c r="I785" s="122">
        <f>IF($B785="","",CONCATENATE("Örnek kıymet: ",$B785))</f>
        <v/>
      </c>
    </row>
    <row r="786" ht="15" customHeight="1" s="77">
      <c r="G786" s="122">
        <f>IF($D786="",0,MIN($D786,$D786*$F786*MAX(0,ROUNDDOWN((AmortismanRaporTarihi-$C786)/365,0))))</f>
        <v/>
      </c>
      <c r="H786" s="122">
        <f>IF($D786="",0,MAX(0,$D786-$G786))</f>
        <v/>
      </c>
      <c r="I786" s="122">
        <f>IF($B786="","",CONCATENATE("Örnek kıymet: ",$B786))</f>
        <v/>
      </c>
    </row>
    <row r="787" ht="15" customHeight="1" s="77">
      <c r="G787" s="122">
        <f>IF($D787="",0,MIN($D787,$D787*$F787*MAX(0,ROUNDDOWN((AmortismanRaporTarihi-$C787)/365,0))))</f>
        <v/>
      </c>
      <c r="H787" s="122">
        <f>IF($D787="",0,MAX(0,$D787-$G787))</f>
        <v/>
      </c>
      <c r="I787" s="122">
        <f>IF($B787="","",CONCATENATE("Örnek kıymet: ",$B787))</f>
        <v/>
      </c>
    </row>
    <row r="788" ht="15" customHeight="1" s="77">
      <c r="G788" s="122">
        <f>IF($D788="",0,MIN($D788,$D788*$F788*MAX(0,ROUNDDOWN((AmortismanRaporTarihi-$C788)/365,0))))</f>
        <v/>
      </c>
      <c r="H788" s="122">
        <f>IF($D788="",0,MAX(0,$D788-$G788))</f>
        <v/>
      </c>
      <c r="I788" s="122">
        <f>IF($B788="","",CONCATENATE("Örnek kıymet: ",$B788))</f>
        <v/>
      </c>
    </row>
    <row r="789" ht="15" customHeight="1" s="77">
      <c r="G789" s="122">
        <f>IF($D789="",0,MIN($D789,$D789*$F789*MAX(0,ROUNDDOWN((AmortismanRaporTarihi-$C789)/365,0))))</f>
        <v/>
      </c>
      <c r="H789" s="122">
        <f>IF($D789="",0,MAX(0,$D789-$G789))</f>
        <v/>
      </c>
      <c r="I789" s="122">
        <f>IF($B789="","",CONCATENATE("Örnek kıymet: ",$B789))</f>
        <v/>
      </c>
    </row>
    <row r="790" ht="15" customHeight="1" s="77">
      <c r="G790" s="122">
        <f>IF($D790="",0,MIN($D790,$D790*$F790*MAX(0,ROUNDDOWN((AmortismanRaporTarihi-$C790)/365,0))))</f>
        <v/>
      </c>
      <c r="H790" s="122">
        <f>IF($D790="",0,MAX(0,$D790-$G790))</f>
        <v/>
      </c>
      <c r="I790" s="122">
        <f>IF($B790="","",CONCATENATE("Örnek kıymet: ",$B790))</f>
        <v/>
      </c>
    </row>
    <row r="791" ht="15" customHeight="1" s="77">
      <c r="G791" s="122">
        <f>IF($D791="",0,MIN($D791,$D791*$F791*MAX(0,ROUNDDOWN((AmortismanRaporTarihi-$C791)/365,0))))</f>
        <v/>
      </c>
      <c r="H791" s="122">
        <f>IF($D791="",0,MAX(0,$D791-$G791))</f>
        <v/>
      </c>
      <c r="I791" s="122">
        <f>IF($B791="","",CONCATENATE("Örnek kıymet: ",$B791))</f>
        <v/>
      </c>
    </row>
    <row r="792" ht="15" customHeight="1" s="77">
      <c r="G792" s="122">
        <f>IF($D792="",0,MIN($D792,$D792*$F792*MAX(0,ROUNDDOWN((AmortismanRaporTarihi-$C792)/365,0))))</f>
        <v/>
      </c>
      <c r="H792" s="122">
        <f>IF($D792="",0,MAX(0,$D792-$G792))</f>
        <v/>
      </c>
      <c r="I792" s="122">
        <f>IF($B792="","",CONCATENATE("Örnek kıymet: ",$B792))</f>
        <v/>
      </c>
    </row>
    <row r="793" ht="15" customHeight="1" s="77">
      <c r="G793" s="122">
        <f>IF($D793="",0,MIN($D793,$D793*$F793*MAX(0,ROUNDDOWN((AmortismanRaporTarihi-$C793)/365,0))))</f>
        <v/>
      </c>
      <c r="H793" s="122">
        <f>IF($D793="",0,MAX(0,$D793-$G793))</f>
        <v/>
      </c>
      <c r="I793" s="122">
        <f>IF($B793="","",CONCATENATE("Örnek kıymet: ",$B793))</f>
        <v/>
      </c>
    </row>
    <row r="794" ht="15" customHeight="1" s="77">
      <c r="G794" s="122">
        <f>IF($D794="",0,MIN($D794,$D794*$F794*MAX(0,ROUNDDOWN((AmortismanRaporTarihi-$C794)/365,0))))</f>
        <v/>
      </c>
      <c r="H794" s="122">
        <f>IF($D794="",0,MAX(0,$D794-$G794))</f>
        <v/>
      </c>
      <c r="I794" s="122">
        <f>IF($B794="","",CONCATENATE("Örnek kıymet: ",$B794))</f>
        <v/>
      </c>
    </row>
    <row r="795" ht="15" customHeight="1" s="77">
      <c r="G795" s="122">
        <f>IF($D795="",0,MIN($D795,$D795*$F795*MAX(0,ROUNDDOWN((AmortismanRaporTarihi-$C795)/365,0))))</f>
        <v/>
      </c>
      <c r="H795" s="122">
        <f>IF($D795="",0,MAX(0,$D795-$G795))</f>
        <v/>
      </c>
      <c r="I795" s="122">
        <f>IF($B795="","",CONCATENATE("Örnek kıymet: ",$B795))</f>
        <v/>
      </c>
    </row>
    <row r="796" ht="15" customHeight="1" s="77">
      <c r="G796" s="122">
        <f>IF($D796="",0,MIN($D796,$D796*$F796*MAX(0,ROUNDDOWN((AmortismanRaporTarihi-$C796)/365,0))))</f>
        <v/>
      </c>
      <c r="H796" s="122">
        <f>IF($D796="",0,MAX(0,$D796-$G796))</f>
        <v/>
      </c>
      <c r="I796" s="122">
        <f>IF($B796="","",CONCATENATE("Örnek kıymet: ",$B796))</f>
        <v/>
      </c>
    </row>
    <row r="797" ht="15" customHeight="1" s="77">
      <c r="G797" s="122">
        <f>IF($D797="",0,MIN($D797,$D797*$F797*MAX(0,ROUNDDOWN((AmortismanRaporTarihi-$C797)/365,0))))</f>
        <v/>
      </c>
      <c r="H797" s="122">
        <f>IF($D797="",0,MAX(0,$D797-$G797))</f>
        <v/>
      </c>
      <c r="I797" s="122">
        <f>IF($B797="","",CONCATENATE("Örnek kıymet: ",$B797))</f>
        <v/>
      </c>
    </row>
    <row r="798" ht="15" customHeight="1" s="77">
      <c r="G798" s="122">
        <f>IF($D798="",0,MIN($D798,$D798*$F798*MAX(0,ROUNDDOWN((AmortismanRaporTarihi-$C798)/365,0))))</f>
        <v/>
      </c>
      <c r="H798" s="122">
        <f>IF($D798="",0,MAX(0,$D798-$G798))</f>
        <v/>
      </c>
      <c r="I798" s="122">
        <f>IF($B798="","",CONCATENATE("Örnek kıymet: ",$B798))</f>
        <v/>
      </c>
    </row>
    <row r="799" ht="15" customHeight="1" s="77">
      <c r="G799" s="122">
        <f>IF($D799="",0,MIN($D799,$D799*$F799*MAX(0,ROUNDDOWN((AmortismanRaporTarihi-$C799)/365,0))))</f>
        <v/>
      </c>
      <c r="H799" s="122">
        <f>IF($D799="",0,MAX(0,$D799-$G799))</f>
        <v/>
      </c>
      <c r="I799" s="122">
        <f>IF($B799="","",CONCATENATE("Örnek kıymet: ",$B799))</f>
        <v/>
      </c>
    </row>
    <row r="800" ht="15" customHeight="1" s="77">
      <c r="G800" s="122">
        <f>IF($D800="",0,MIN($D800,$D800*$F800*MAX(0,ROUNDDOWN((AmortismanRaporTarihi-$C800)/365,0))))</f>
        <v/>
      </c>
      <c r="H800" s="122">
        <f>IF($D800="",0,MAX(0,$D800-$G800))</f>
        <v/>
      </c>
      <c r="I800" s="122">
        <f>IF($B800="","",CONCATENATE("Örnek kıymet: ",$B800))</f>
        <v/>
      </c>
    </row>
    <row r="801" ht="15" customHeight="1" s="77">
      <c r="G801" s="122">
        <f>IF($D801="",0,MIN($D801,$D801*$F801*MAX(0,ROUNDDOWN((AmortismanRaporTarihi-$C801)/365,0))))</f>
        <v/>
      </c>
      <c r="H801" s="122">
        <f>IF($D801="",0,MAX(0,$D801-$G801))</f>
        <v/>
      </c>
      <c r="I801" s="122">
        <f>IF($B801="","",CONCATENATE("Örnek kıymet: ",$B801))</f>
        <v/>
      </c>
    </row>
    <row r="802" ht="15" customHeight="1" s="77">
      <c r="G802" s="122">
        <f>IF($D802="",0,MIN($D802,$D802*$F802*MAX(0,ROUNDDOWN((AmortismanRaporTarihi-$C802)/365,0))))</f>
        <v/>
      </c>
      <c r="H802" s="122">
        <f>IF($D802="",0,MAX(0,$D802-$G802))</f>
        <v/>
      </c>
      <c r="I802" s="122">
        <f>IF($B802="","",CONCATENATE("Örnek kıymet: ",$B802))</f>
        <v/>
      </c>
    </row>
    <row r="803" ht="15" customHeight="1" s="77">
      <c r="G803" s="122">
        <f>IF($D803="",0,MIN($D803,$D803*$F803*MAX(0,ROUNDDOWN((AmortismanRaporTarihi-$C803)/365,0))))</f>
        <v/>
      </c>
      <c r="H803" s="122">
        <f>IF($D803="",0,MAX(0,$D803-$G803))</f>
        <v/>
      </c>
      <c r="I803" s="122">
        <f>IF($B803="","",CONCATENATE("Örnek kıymet: ",$B803))</f>
        <v/>
      </c>
    </row>
    <row r="804" ht="15" customHeight="1" s="77">
      <c r="G804" s="122">
        <f>IF($D804="",0,MIN($D804,$D804*$F804*MAX(0,ROUNDDOWN((AmortismanRaporTarihi-$C804)/365,0))))</f>
        <v/>
      </c>
      <c r="H804" s="122">
        <f>IF($D804="",0,MAX(0,$D804-$G804))</f>
        <v/>
      </c>
      <c r="I804" s="122">
        <f>IF($B804="","",CONCATENATE("Örnek kıymet: ",$B804))</f>
        <v/>
      </c>
    </row>
    <row r="805" ht="15" customHeight="1" s="77">
      <c r="G805" s="122">
        <f>IF($D805="",0,MIN($D805,$D805*$F805*MAX(0,ROUNDDOWN((AmortismanRaporTarihi-$C805)/365,0))))</f>
        <v/>
      </c>
      <c r="H805" s="122">
        <f>IF($D805="",0,MAX(0,$D805-$G805))</f>
        <v/>
      </c>
      <c r="I805" s="122">
        <f>IF($B805="","",CONCATENATE("Örnek kıymet: ",$B805))</f>
        <v/>
      </c>
    </row>
    <row r="806" ht="15" customHeight="1" s="77">
      <c r="G806" s="122">
        <f>IF($D806="",0,MIN($D806,$D806*$F806*MAX(0,ROUNDDOWN((AmortismanRaporTarihi-$C806)/365,0))))</f>
        <v/>
      </c>
      <c r="H806" s="122">
        <f>IF($D806="",0,MAX(0,$D806-$G806))</f>
        <v/>
      </c>
      <c r="I806" s="122">
        <f>IF($B806="","",CONCATENATE("Örnek kıymet: ",$B806))</f>
        <v/>
      </c>
    </row>
    <row r="807" ht="15" customHeight="1" s="77">
      <c r="G807" s="122">
        <f>IF($D807="",0,MIN($D807,$D807*$F807*MAX(0,ROUNDDOWN((AmortismanRaporTarihi-$C807)/365,0))))</f>
        <v/>
      </c>
      <c r="H807" s="122">
        <f>IF($D807="",0,MAX(0,$D807-$G807))</f>
        <v/>
      </c>
      <c r="I807" s="122">
        <f>IF($B807="","",CONCATENATE("Örnek kıymet: ",$B807))</f>
        <v/>
      </c>
    </row>
    <row r="808" ht="15" customHeight="1" s="77">
      <c r="G808" s="122">
        <f>IF($D808="",0,MIN($D808,$D808*$F808*MAX(0,ROUNDDOWN((AmortismanRaporTarihi-$C808)/365,0))))</f>
        <v/>
      </c>
      <c r="H808" s="122">
        <f>IF($D808="",0,MAX(0,$D808-$G808))</f>
        <v/>
      </c>
      <c r="I808" s="122">
        <f>IF($B808="","",CONCATENATE("Örnek kıymet: ",$B808))</f>
        <v/>
      </c>
    </row>
    <row r="809" ht="15" customHeight="1" s="77">
      <c r="G809" s="122">
        <f>IF($D809="",0,MIN($D809,$D809*$F809*MAX(0,ROUNDDOWN((AmortismanRaporTarihi-$C809)/365,0))))</f>
        <v/>
      </c>
      <c r="H809" s="122">
        <f>IF($D809="",0,MAX(0,$D809-$G809))</f>
        <v/>
      </c>
      <c r="I809" s="122">
        <f>IF($B809="","",CONCATENATE("Örnek kıymet: ",$B809))</f>
        <v/>
      </c>
    </row>
    <row r="810" ht="15" customHeight="1" s="77">
      <c r="G810" s="122">
        <f>IF($D810="",0,MIN($D810,$D810*$F810*MAX(0,ROUNDDOWN((AmortismanRaporTarihi-$C810)/365,0))))</f>
        <v/>
      </c>
      <c r="H810" s="122">
        <f>IF($D810="",0,MAX(0,$D810-$G810))</f>
        <v/>
      </c>
      <c r="I810" s="122">
        <f>IF($B810="","",CONCATENATE("Örnek kıymet: ",$B810))</f>
        <v/>
      </c>
    </row>
    <row r="811" ht="15" customHeight="1" s="77">
      <c r="G811" s="122">
        <f>IF($D811="",0,MIN($D811,$D811*$F811*MAX(0,ROUNDDOWN((AmortismanRaporTarihi-$C811)/365,0))))</f>
        <v/>
      </c>
      <c r="H811" s="122">
        <f>IF($D811="",0,MAX(0,$D811-$G811))</f>
        <v/>
      </c>
      <c r="I811" s="122">
        <f>IF($B811="","",CONCATENATE("Örnek kıymet: ",$B811))</f>
        <v/>
      </c>
    </row>
    <row r="812" ht="15" customHeight="1" s="77">
      <c r="G812" s="122">
        <f>IF($D812="",0,MIN($D812,$D812*$F812*MAX(0,ROUNDDOWN((AmortismanRaporTarihi-$C812)/365,0))))</f>
        <v/>
      </c>
      <c r="H812" s="122">
        <f>IF($D812="",0,MAX(0,$D812-$G812))</f>
        <v/>
      </c>
      <c r="I812" s="122">
        <f>IF($B812="","",CONCATENATE("Örnek kıymet: ",$B812))</f>
        <v/>
      </c>
    </row>
    <row r="813" ht="15" customHeight="1" s="77">
      <c r="G813" s="122">
        <f>IF($D813="",0,MIN($D813,$D813*$F813*MAX(0,ROUNDDOWN((AmortismanRaporTarihi-$C813)/365,0))))</f>
        <v/>
      </c>
      <c r="H813" s="122">
        <f>IF($D813="",0,MAX(0,$D813-$G813))</f>
        <v/>
      </c>
      <c r="I813" s="122">
        <f>IF($B813="","",CONCATENATE("Örnek kıymet: ",$B813))</f>
        <v/>
      </c>
    </row>
    <row r="814" ht="15" customHeight="1" s="77">
      <c r="G814" s="122">
        <f>IF($D814="",0,MIN($D814,$D814*$F814*MAX(0,ROUNDDOWN((AmortismanRaporTarihi-$C814)/365,0))))</f>
        <v/>
      </c>
      <c r="H814" s="122">
        <f>IF($D814="",0,MAX(0,$D814-$G814))</f>
        <v/>
      </c>
      <c r="I814" s="122">
        <f>IF($B814="","",CONCATENATE("Örnek kıymet: ",$B814))</f>
        <v/>
      </c>
    </row>
    <row r="815" ht="15" customHeight="1" s="77">
      <c r="G815" s="122">
        <f>IF($D815="",0,MIN($D815,$D815*$F815*MAX(0,ROUNDDOWN((AmortismanRaporTarihi-$C815)/365,0))))</f>
        <v/>
      </c>
      <c r="H815" s="122">
        <f>IF($D815="",0,MAX(0,$D815-$G815))</f>
        <v/>
      </c>
      <c r="I815" s="122">
        <f>IF($B815="","",CONCATENATE("Örnek kıymet: ",$B815))</f>
        <v/>
      </c>
    </row>
    <row r="816" ht="15" customHeight="1" s="77">
      <c r="G816" s="122">
        <f>IF($D816="",0,MIN($D816,$D816*$F816*MAX(0,ROUNDDOWN((AmortismanRaporTarihi-$C816)/365,0))))</f>
        <v/>
      </c>
      <c r="H816" s="122">
        <f>IF($D816="",0,MAX(0,$D816-$G816))</f>
        <v/>
      </c>
      <c r="I816" s="122">
        <f>IF($B816="","",CONCATENATE("Örnek kıymet: ",$B816))</f>
        <v/>
      </c>
    </row>
    <row r="817" ht="15" customHeight="1" s="77">
      <c r="G817" s="122">
        <f>IF($D817="",0,MIN($D817,$D817*$F817*MAX(0,ROUNDDOWN((AmortismanRaporTarihi-$C817)/365,0))))</f>
        <v/>
      </c>
      <c r="H817" s="122">
        <f>IF($D817="",0,MAX(0,$D817-$G817))</f>
        <v/>
      </c>
      <c r="I817" s="122">
        <f>IF($B817="","",CONCATENATE("Örnek kıymet: ",$B817))</f>
        <v/>
      </c>
    </row>
    <row r="818" ht="15" customHeight="1" s="77">
      <c r="G818" s="122">
        <f>IF($D818="",0,MIN($D818,$D818*$F818*MAX(0,ROUNDDOWN((AmortismanRaporTarihi-$C818)/365,0))))</f>
        <v/>
      </c>
      <c r="H818" s="122">
        <f>IF($D818="",0,MAX(0,$D818-$G818))</f>
        <v/>
      </c>
      <c r="I818" s="122">
        <f>IF($B818="","",CONCATENATE("Örnek kıymet: ",$B818))</f>
        <v/>
      </c>
    </row>
    <row r="819" ht="15" customHeight="1" s="77">
      <c r="G819" s="122">
        <f>IF($D819="",0,MIN($D819,$D819*$F819*MAX(0,ROUNDDOWN((AmortismanRaporTarihi-$C819)/365,0))))</f>
        <v/>
      </c>
      <c r="H819" s="122">
        <f>IF($D819="",0,MAX(0,$D819-$G819))</f>
        <v/>
      </c>
      <c r="I819" s="122">
        <f>IF($B819="","",CONCATENATE("Örnek kıymet: ",$B819))</f>
        <v/>
      </c>
    </row>
    <row r="820" ht="15" customHeight="1" s="77">
      <c r="G820" s="122">
        <f>IF($D820="",0,MIN($D820,$D820*$F820*MAX(0,ROUNDDOWN((AmortismanRaporTarihi-$C820)/365,0))))</f>
        <v/>
      </c>
      <c r="H820" s="122">
        <f>IF($D820="",0,MAX(0,$D820-$G820))</f>
        <v/>
      </c>
      <c r="I820" s="122">
        <f>IF($B820="","",CONCATENATE("Örnek kıymet: ",$B820))</f>
        <v/>
      </c>
    </row>
    <row r="821" ht="15" customHeight="1" s="77">
      <c r="G821" s="122">
        <f>IF($D821="",0,MIN($D821,$D821*$F821*MAX(0,ROUNDDOWN((AmortismanRaporTarihi-$C821)/365,0))))</f>
        <v/>
      </c>
      <c r="H821" s="122">
        <f>IF($D821="",0,MAX(0,$D821-$G821))</f>
        <v/>
      </c>
      <c r="I821" s="122">
        <f>IF($B821="","",CONCATENATE("Örnek kıymet: ",$B821))</f>
        <v/>
      </c>
    </row>
    <row r="822" ht="15" customHeight="1" s="77">
      <c r="G822" s="122">
        <f>IF($D822="",0,MIN($D822,$D822*$F822*MAX(0,ROUNDDOWN((AmortismanRaporTarihi-$C822)/365,0))))</f>
        <v/>
      </c>
      <c r="H822" s="122">
        <f>IF($D822="",0,MAX(0,$D822-$G822))</f>
        <v/>
      </c>
      <c r="I822" s="122">
        <f>IF($B822="","",CONCATENATE("Örnek kıymet: ",$B822))</f>
        <v/>
      </c>
    </row>
    <row r="823" ht="15" customHeight="1" s="77">
      <c r="G823" s="122">
        <f>IF($D823="",0,MIN($D823,$D823*$F823*MAX(0,ROUNDDOWN((AmortismanRaporTarihi-$C823)/365,0))))</f>
        <v/>
      </c>
      <c r="H823" s="122">
        <f>IF($D823="",0,MAX(0,$D823-$G823))</f>
        <v/>
      </c>
      <c r="I823" s="122">
        <f>IF($B823="","",CONCATENATE("Örnek kıymet: ",$B823))</f>
        <v/>
      </c>
    </row>
    <row r="824" ht="15" customHeight="1" s="77">
      <c r="G824" s="122">
        <f>IF($D824="",0,MIN($D824,$D824*$F824*MAX(0,ROUNDDOWN((AmortismanRaporTarihi-$C824)/365,0))))</f>
        <v/>
      </c>
      <c r="H824" s="122">
        <f>IF($D824="",0,MAX(0,$D824-$G824))</f>
        <v/>
      </c>
      <c r="I824" s="122">
        <f>IF($B824="","",CONCATENATE("Örnek kıymet: ",$B824))</f>
        <v/>
      </c>
    </row>
    <row r="825" ht="15" customHeight="1" s="77">
      <c r="G825" s="122">
        <f>IF($D825="",0,MIN($D825,$D825*$F825*MAX(0,ROUNDDOWN((AmortismanRaporTarihi-$C825)/365,0))))</f>
        <v/>
      </c>
      <c r="H825" s="122">
        <f>IF($D825="",0,MAX(0,$D825-$G825))</f>
        <v/>
      </c>
      <c r="I825" s="122">
        <f>IF($B825="","",CONCATENATE("Örnek kıymet: ",$B825))</f>
        <v/>
      </c>
    </row>
    <row r="826" ht="15" customHeight="1" s="77">
      <c r="G826" s="122">
        <f>IF($D826="",0,MIN($D826,$D826*$F826*MAX(0,ROUNDDOWN((AmortismanRaporTarihi-$C826)/365,0))))</f>
        <v/>
      </c>
      <c r="H826" s="122">
        <f>IF($D826="",0,MAX(0,$D826-$G826))</f>
        <v/>
      </c>
      <c r="I826" s="122">
        <f>IF($B826="","",CONCATENATE("Örnek kıymet: ",$B826))</f>
        <v/>
      </c>
    </row>
    <row r="827" ht="15" customHeight="1" s="77">
      <c r="G827" s="122">
        <f>IF($D827="",0,MIN($D827,$D827*$F827*MAX(0,ROUNDDOWN((AmortismanRaporTarihi-$C827)/365,0))))</f>
        <v/>
      </c>
      <c r="H827" s="122">
        <f>IF($D827="",0,MAX(0,$D827-$G827))</f>
        <v/>
      </c>
      <c r="I827" s="122">
        <f>IF($B827="","",CONCATENATE("Örnek kıymet: ",$B827))</f>
        <v/>
      </c>
    </row>
    <row r="828" ht="15" customHeight="1" s="77">
      <c r="G828" s="122">
        <f>IF($D828="",0,MIN($D828,$D828*$F828*MAX(0,ROUNDDOWN((AmortismanRaporTarihi-$C828)/365,0))))</f>
        <v/>
      </c>
      <c r="H828" s="122">
        <f>IF($D828="",0,MAX(0,$D828-$G828))</f>
        <v/>
      </c>
      <c r="I828" s="122">
        <f>IF($B828="","",CONCATENATE("Örnek kıymet: ",$B828))</f>
        <v/>
      </c>
    </row>
    <row r="829" ht="15" customHeight="1" s="77">
      <c r="G829" s="122">
        <f>IF($D829="",0,MIN($D829,$D829*$F829*MAX(0,ROUNDDOWN((AmortismanRaporTarihi-$C829)/365,0))))</f>
        <v/>
      </c>
      <c r="H829" s="122">
        <f>IF($D829="",0,MAX(0,$D829-$G829))</f>
        <v/>
      </c>
      <c r="I829" s="122">
        <f>IF($B829="","",CONCATENATE("Örnek kıymet: ",$B829))</f>
        <v/>
      </c>
    </row>
    <row r="830" ht="15" customHeight="1" s="77">
      <c r="G830" s="122">
        <f>IF($D830="",0,MIN($D830,$D830*$F830*MAX(0,ROUNDDOWN((AmortismanRaporTarihi-$C830)/365,0))))</f>
        <v/>
      </c>
      <c r="H830" s="122">
        <f>IF($D830="",0,MAX(0,$D830-$G830))</f>
        <v/>
      </c>
      <c r="I830" s="122">
        <f>IF($B830="","",CONCATENATE("Örnek kıymet: ",$B830))</f>
        <v/>
      </c>
    </row>
    <row r="831" ht="15" customHeight="1" s="77">
      <c r="G831" s="122">
        <f>IF($D831="",0,MIN($D831,$D831*$F831*MAX(0,ROUNDDOWN((AmortismanRaporTarihi-$C831)/365,0))))</f>
        <v/>
      </c>
      <c r="H831" s="122">
        <f>IF($D831="",0,MAX(0,$D831-$G831))</f>
        <v/>
      </c>
      <c r="I831" s="122">
        <f>IF($B831="","",CONCATENATE("Örnek kıymet: ",$B831))</f>
        <v/>
      </c>
    </row>
    <row r="832" ht="15" customHeight="1" s="77">
      <c r="G832" s="122">
        <f>IF($D832="",0,MIN($D832,$D832*$F832*MAX(0,ROUNDDOWN((AmortismanRaporTarihi-$C832)/365,0))))</f>
        <v/>
      </c>
      <c r="H832" s="122">
        <f>IF($D832="",0,MAX(0,$D832-$G832))</f>
        <v/>
      </c>
      <c r="I832" s="122">
        <f>IF($B832="","",CONCATENATE("Örnek kıymet: ",$B832))</f>
        <v/>
      </c>
    </row>
    <row r="833" ht="15" customHeight="1" s="77">
      <c r="G833" s="122">
        <f>IF($D833="",0,MIN($D833,$D833*$F833*MAX(0,ROUNDDOWN((AmortismanRaporTarihi-$C833)/365,0))))</f>
        <v/>
      </c>
      <c r="H833" s="122">
        <f>IF($D833="",0,MAX(0,$D833-$G833))</f>
        <v/>
      </c>
      <c r="I833" s="122">
        <f>IF($B833="","",CONCATENATE("Örnek kıymet: ",$B833))</f>
        <v/>
      </c>
    </row>
    <row r="834" ht="15" customHeight="1" s="77">
      <c r="G834" s="122">
        <f>IF($D834="",0,MIN($D834,$D834*$F834*MAX(0,ROUNDDOWN((AmortismanRaporTarihi-$C834)/365,0))))</f>
        <v/>
      </c>
      <c r="H834" s="122">
        <f>IF($D834="",0,MAX(0,$D834-$G834))</f>
        <v/>
      </c>
      <c r="I834" s="122">
        <f>IF($B834="","",CONCATENATE("Örnek kıymet: ",$B834))</f>
        <v/>
      </c>
    </row>
    <row r="835" ht="15" customHeight="1" s="77">
      <c r="G835" s="122">
        <f>IF($D835="",0,MIN($D835,$D835*$F835*MAX(0,ROUNDDOWN((AmortismanRaporTarihi-$C835)/365,0))))</f>
        <v/>
      </c>
      <c r="H835" s="122">
        <f>IF($D835="",0,MAX(0,$D835-$G835))</f>
        <v/>
      </c>
      <c r="I835" s="122">
        <f>IF($B835="","",CONCATENATE("Örnek kıymet: ",$B835))</f>
        <v/>
      </c>
    </row>
    <row r="836" ht="15" customHeight="1" s="77">
      <c r="G836" s="122">
        <f>IF($D836="",0,MIN($D836,$D836*$F836*MAX(0,ROUNDDOWN((AmortismanRaporTarihi-$C836)/365,0))))</f>
        <v/>
      </c>
      <c r="H836" s="122">
        <f>IF($D836="",0,MAX(0,$D836-$G836))</f>
        <v/>
      </c>
      <c r="I836" s="122">
        <f>IF($B836="","",CONCATENATE("Örnek kıymet: ",$B836))</f>
        <v/>
      </c>
    </row>
    <row r="837" ht="15" customHeight="1" s="77">
      <c r="G837" s="122">
        <f>IF($D837="",0,MIN($D837,$D837*$F837*MAX(0,ROUNDDOWN((AmortismanRaporTarihi-$C837)/365,0))))</f>
        <v/>
      </c>
      <c r="H837" s="122">
        <f>IF($D837="",0,MAX(0,$D837-$G837))</f>
        <v/>
      </c>
      <c r="I837" s="122">
        <f>IF($B837="","",CONCATENATE("Örnek kıymet: ",$B837))</f>
        <v/>
      </c>
    </row>
    <row r="838" ht="15" customHeight="1" s="77">
      <c r="G838" s="122">
        <f>IF($D838="",0,MIN($D838,$D838*$F838*MAX(0,ROUNDDOWN((AmortismanRaporTarihi-$C838)/365,0))))</f>
        <v/>
      </c>
      <c r="H838" s="122">
        <f>IF($D838="",0,MAX(0,$D838-$G838))</f>
        <v/>
      </c>
      <c r="I838" s="122">
        <f>IF($B838="","",CONCATENATE("Örnek kıymet: ",$B838))</f>
        <v/>
      </c>
    </row>
    <row r="839" ht="15" customHeight="1" s="77">
      <c r="G839" s="122">
        <f>IF($D839="",0,MIN($D839,$D839*$F839*MAX(0,ROUNDDOWN((AmortismanRaporTarihi-$C839)/365,0))))</f>
        <v/>
      </c>
      <c r="H839" s="122">
        <f>IF($D839="",0,MAX(0,$D839-$G839))</f>
        <v/>
      </c>
      <c r="I839" s="122">
        <f>IF($B839="","",CONCATENATE("Örnek kıymet: ",$B839))</f>
        <v/>
      </c>
    </row>
    <row r="840" ht="15" customHeight="1" s="77">
      <c r="G840" s="122">
        <f>IF($D840="",0,MIN($D840,$D840*$F840*MAX(0,ROUNDDOWN((AmortismanRaporTarihi-$C840)/365,0))))</f>
        <v/>
      </c>
      <c r="H840" s="122">
        <f>IF($D840="",0,MAX(0,$D840-$G840))</f>
        <v/>
      </c>
      <c r="I840" s="122">
        <f>IF($B840="","",CONCATENATE("Örnek kıymet: ",$B840))</f>
        <v/>
      </c>
    </row>
    <row r="841" ht="15" customHeight="1" s="77">
      <c r="G841" s="122">
        <f>IF($D841="",0,MIN($D841,$D841*$F841*MAX(0,ROUNDDOWN((AmortismanRaporTarihi-$C841)/365,0))))</f>
        <v/>
      </c>
      <c r="H841" s="122">
        <f>IF($D841="",0,MAX(0,$D841-$G841))</f>
        <v/>
      </c>
      <c r="I841" s="122">
        <f>IF($B841="","",CONCATENATE("Örnek kıymet: ",$B841))</f>
        <v/>
      </c>
    </row>
    <row r="842" ht="15" customHeight="1" s="77">
      <c r="G842" s="122">
        <f>IF($D842="",0,MIN($D842,$D842*$F842*MAX(0,ROUNDDOWN((AmortismanRaporTarihi-$C842)/365,0))))</f>
        <v/>
      </c>
      <c r="H842" s="122">
        <f>IF($D842="",0,MAX(0,$D842-$G842))</f>
        <v/>
      </c>
      <c r="I842" s="122">
        <f>IF($B842="","",CONCATENATE("Örnek kıymet: ",$B842))</f>
        <v/>
      </c>
    </row>
    <row r="843" ht="15" customHeight="1" s="77">
      <c r="G843" s="122">
        <f>IF($D843="",0,MIN($D843,$D843*$F843*MAX(0,ROUNDDOWN((AmortismanRaporTarihi-$C843)/365,0))))</f>
        <v/>
      </c>
      <c r="H843" s="122">
        <f>IF($D843="",0,MAX(0,$D843-$G843))</f>
        <v/>
      </c>
      <c r="I843" s="122">
        <f>IF($B843="","",CONCATENATE("Örnek kıymet: ",$B843))</f>
        <v/>
      </c>
    </row>
    <row r="844" ht="15" customHeight="1" s="77">
      <c r="G844" s="122">
        <f>IF($D844="",0,MIN($D844,$D844*$F844*MAX(0,ROUNDDOWN((AmortismanRaporTarihi-$C844)/365,0))))</f>
        <v/>
      </c>
      <c r="H844" s="122">
        <f>IF($D844="",0,MAX(0,$D844-$G844))</f>
        <v/>
      </c>
      <c r="I844" s="122">
        <f>IF($B844="","",CONCATENATE("Örnek kıymet: ",$B844))</f>
        <v/>
      </c>
    </row>
    <row r="845" ht="15" customHeight="1" s="77">
      <c r="G845" s="122">
        <f>IF($D845="",0,MIN($D845,$D845*$F845*MAX(0,ROUNDDOWN((AmortismanRaporTarihi-$C845)/365,0))))</f>
        <v/>
      </c>
      <c r="H845" s="122">
        <f>IF($D845="",0,MAX(0,$D845-$G845))</f>
        <v/>
      </c>
      <c r="I845" s="122">
        <f>IF($B845="","",CONCATENATE("Örnek kıymet: ",$B845))</f>
        <v/>
      </c>
    </row>
    <row r="846" ht="15" customHeight="1" s="77">
      <c r="G846" s="122">
        <f>IF($D846="",0,MIN($D846,$D846*$F846*MAX(0,ROUNDDOWN((AmortismanRaporTarihi-$C846)/365,0))))</f>
        <v/>
      </c>
      <c r="H846" s="122">
        <f>IF($D846="",0,MAX(0,$D846-$G846))</f>
        <v/>
      </c>
      <c r="I846" s="122">
        <f>IF($B846="","",CONCATENATE("Örnek kıymet: ",$B846))</f>
        <v/>
      </c>
    </row>
    <row r="847" ht="15" customHeight="1" s="77">
      <c r="G847" s="122">
        <f>IF($D847="",0,MIN($D847,$D847*$F847*MAX(0,ROUNDDOWN((AmortismanRaporTarihi-$C847)/365,0))))</f>
        <v/>
      </c>
      <c r="H847" s="122">
        <f>IF($D847="",0,MAX(0,$D847-$G847))</f>
        <v/>
      </c>
      <c r="I847" s="122">
        <f>IF($B847="","",CONCATENATE("Örnek kıymet: ",$B847))</f>
        <v/>
      </c>
    </row>
    <row r="848" ht="15" customHeight="1" s="77">
      <c r="G848" s="122">
        <f>IF($D848="",0,MIN($D848,$D848*$F848*MAX(0,ROUNDDOWN((AmortismanRaporTarihi-$C848)/365,0))))</f>
        <v/>
      </c>
      <c r="H848" s="122">
        <f>IF($D848="",0,MAX(0,$D848-$G848))</f>
        <v/>
      </c>
      <c r="I848" s="122">
        <f>IF($B848="","",CONCATENATE("Örnek kıymet: ",$B848))</f>
        <v/>
      </c>
    </row>
    <row r="849" ht="15" customHeight="1" s="77">
      <c r="G849" s="122">
        <f>IF($D849="",0,MIN($D849,$D849*$F849*MAX(0,ROUNDDOWN((AmortismanRaporTarihi-$C849)/365,0))))</f>
        <v/>
      </c>
      <c r="H849" s="122">
        <f>IF($D849="",0,MAX(0,$D849-$G849))</f>
        <v/>
      </c>
      <c r="I849" s="122">
        <f>IF($B849="","",CONCATENATE("Örnek kıymet: ",$B849))</f>
        <v/>
      </c>
    </row>
    <row r="850" ht="15" customHeight="1" s="77">
      <c r="G850" s="122">
        <f>IF($D850="",0,MIN($D850,$D850*$F850*MAX(0,ROUNDDOWN((AmortismanRaporTarihi-$C850)/365,0))))</f>
        <v/>
      </c>
      <c r="H850" s="122">
        <f>IF($D850="",0,MAX(0,$D850-$G850))</f>
        <v/>
      </c>
      <c r="I850" s="122">
        <f>IF($B850="","",CONCATENATE("Örnek kıymet: ",$B850))</f>
        <v/>
      </c>
    </row>
    <row r="851" ht="15" customHeight="1" s="77">
      <c r="G851" s="122">
        <f>IF($D851="",0,MIN($D851,$D851*$F851*MAX(0,ROUNDDOWN((AmortismanRaporTarihi-$C851)/365,0))))</f>
        <v/>
      </c>
      <c r="H851" s="122">
        <f>IF($D851="",0,MAX(0,$D851-$G851))</f>
        <v/>
      </c>
      <c r="I851" s="122">
        <f>IF($B851="","",CONCATENATE("Örnek kıymet: ",$B851))</f>
        <v/>
      </c>
    </row>
    <row r="852" ht="15" customHeight="1" s="77">
      <c r="G852" s="122">
        <f>IF($D852="",0,MIN($D852,$D852*$F852*MAX(0,ROUNDDOWN((AmortismanRaporTarihi-$C852)/365,0))))</f>
        <v/>
      </c>
      <c r="H852" s="122">
        <f>IF($D852="",0,MAX(0,$D852-$G852))</f>
        <v/>
      </c>
      <c r="I852" s="122">
        <f>IF($B852="","",CONCATENATE("Örnek kıymet: ",$B852))</f>
        <v/>
      </c>
    </row>
    <row r="853" ht="15" customHeight="1" s="77">
      <c r="G853" s="122">
        <f>IF($D853="",0,MIN($D853,$D853*$F853*MAX(0,ROUNDDOWN((AmortismanRaporTarihi-$C853)/365,0))))</f>
        <v/>
      </c>
      <c r="H853" s="122">
        <f>IF($D853="",0,MAX(0,$D853-$G853))</f>
        <v/>
      </c>
      <c r="I853" s="122">
        <f>IF($B853="","",CONCATENATE("Örnek kıymet: ",$B853))</f>
        <v/>
      </c>
    </row>
    <row r="854" ht="15" customHeight="1" s="77">
      <c r="G854" s="122">
        <f>IF($D854="",0,MIN($D854,$D854*$F854*MAX(0,ROUNDDOWN((AmortismanRaporTarihi-$C854)/365,0))))</f>
        <v/>
      </c>
      <c r="H854" s="122">
        <f>IF($D854="",0,MAX(0,$D854-$G854))</f>
        <v/>
      </c>
      <c r="I854" s="122">
        <f>IF($B854="","",CONCATENATE("Örnek kıymet: ",$B854))</f>
        <v/>
      </c>
    </row>
    <row r="855" ht="15" customHeight="1" s="77">
      <c r="G855" s="122">
        <f>IF($D855="",0,MIN($D855,$D855*$F855*MAX(0,ROUNDDOWN((AmortismanRaporTarihi-$C855)/365,0))))</f>
        <v/>
      </c>
      <c r="H855" s="122">
        <f>IF($D855="",0,MAX(0,$D855-$G855))</f>
        <v/>
      </c>
      <c r="I855" s="122">
        <f>IF($B855="","",CONCATENATE("Örnek kıymet: ",$B855))</f>
        <v/>
      </c>
    </row>
    <row r="856" ht="15" customHeight="1" s="77">
      <c r="G856" s="122">
        <f>IF($D856="",0,MIN($D856,$D856*$F856*MAX(0,ROUNDDOWN((AmortismanRaporTarihi-$C856)/365,0))))</f>
        <v/>
      </c>
      <c r="H856" s="122">
        <f>IF($D856="",0,MAX(0,$D856-$G856))</f>
        <v/>
      </c>
      <c r="I856" s="122">
        <f>IF($B856="","",CONCATENATE("Örnek kıymet: ",$B856))</f>
        <v/>
      </c>
    </row>
    <row r="857" ht="15" customHeight="1" s="77">
      <c r="G857" s="122">
        <f>IF($D857="",0,MIN($D857,$D857*$F857*MAX(0,ROUNDDOWN((AmortismanRaporTarihi-$C857)/365,0))))</f>
        <v/>
      </c>
      <c r="H857" s="122">
        <f>IF($D857="",0,MAX(0,$D857-$G857))</f>
        <v/>
      </c>
      <c r="I857" s="122">
        <f>IF($B857="","",CONCATENATE("Örnek kıymet: ",$B857))</f>
        <v/>
      </c>
    </row>
    <row r="858" ht="15" customHeight="1" s="77">
      <c r="G858" s="122">
        <f>IF($D858="",0,MIN($D858,$D858*$F858*MAX(0,ROUNDDOWN((AmortismanRaporTarihi-$C858)/365,0))))</f>
        <v/>
      </c>
      <c r="H858" s="122">
        <f>IF($D858="",0,MAX(0,$D858-$G858))</f>
        <v/>
      </c>
      <c r="I858" s="122">
        <f>IF($B858="","",CONCATENATE("Örnek kıymet: ",$B858))</f>
        <v/>
      </c>
    </row>
    <row r="859" ht="15" customHeight="1" s="77">
      <c r="G859" s="122">
        <f>IF($D859="",0,MIN($D859,$D859*$F859*MAX(0,ROUNDDOWN((AmortismanRaporTarihi-$C859)/365,0))))</f>
        <v/>
      </c>
      <c r="H859" s="122">
        <f>IF($D859="",0,MAX(0,$D859-$G859))</f>
        <v/>
      </c>
      <c r="I859" s="122">
        <f>IF($B859="","",CONCATENATE("Örnek kıymet: ",$B859))</f>
        <v/>
      </c>
    </row>
    <row r="860" ht="15" customHeight="1" s="77">
      <c r="G860" s="122">
        <f>IF($D860="",0,MIN($D860,$D860*$F860*MAX(0,ROUNDDOWN((AmortismanRaporTarihi-$C860)/365,0))))</f>
        <v/>
      </c>
      <c r="H860" s="122">
        <f>IF($D860="",0,MAX(0,$D860-$G860))</f>
        <v/>
      </c>
      <c r="I860" s="122">
        <f>IF($B860="","",CONCATENATE("Örnek kıymet: ",$B860))</f>
        <v/>
      </c>
    </row>
    <row r="861" ht="15" customHeight="1" s="77">
      <c r="G861" s="122">
        <f>IF($D861="",0,MIN($D861,$D861*$F861*MAX(0,ROUNDDOWN((AmortismanRaporTarihi-$C861)/365,0))))</f>
        <v/>
      </c>
      <c r="H861" s="122">
        <f>IF($D861="",0,MAX(0,$D861-$G861))</f>
        <v/>
      </c>
      <c r="I861" s="122">
        <f>IF($B861="","",CONCATENATE("Örnek kıymet: ",$B861))</f>
        <v/>
      </c>
    </row>
    <row r="862" ht="15" customHeight="1" s="77">
      <c r="G862" s="122">
        <f>IF($D862="",0,MIN($D862,$D862*$F862*MAX(0,ROUNDDOWN((AmortismanRaporTarihi-$C862)/365,0))))</f>
        <v/>
      </c>
      <c r="H862" s="122">
        <f>IF($D862="",0,MAX(0,$D862-$G862))</f>
        <v/>
      </c>
      <c r="I862" s="122">
        <f>IF($B862="","",CONCATENATE("Örnek kıymet: ",$B862))</f>
        <v/>
      </c>
    </row>
    <row r="863" ht="15" customHeight="1" s="77">
      <c r="G863" s="122">
        <f>IF($D863="",0,MIN($D863,$D863*$F863*MAX(0,ROUNDDOWN((AmortismanRaporTarihi-$C863)/365,0))))</f>
        <v/>
      </c>
      <c r="H863" s="122">
        <f>IF($D863="",0,MAX(0,$D863-$G863))</f>
        <v/>
      </c>
      <c r="I863" s="122">
        <f>IF($B863="","",CONCATENATE("Örnek kıymet: ",$B863))</f>
        <v/>
      </c>
    </row>
    <row r="864" ht="15" customHeight="1" s="77">
      <c r="G864" s="122">
        <f>IF($D864="",0,MIN($D864,$D864*$F864*MAX(0,ROUNDDOWN((AmortismanRaporTarihi-$C864)/365,0))))</f>
        <v/>
      </c>
      <c r="H864" s="122">
        <f>IF($D864="",0,MAX(0,$D864-$G864))</f>
        <v/>
      </c>
      <c r="I864" s="122">
        <f>IF($B864="","",CONCATENATE("Örnek kıymet: ",$B864))</f>
        <v/>
      </c>
    </row>
    <row r="865" ht="15" customHeight="1" s="77">
      <c r="G865" s="122">
        <f>IF($D865="",0,MIN($D865,$D865*$F865*MAX(0,ROUNDDOWN((AmortismanRaporTarihi-$C865)/365,0))))</f>
        <v/>
      </c>
      <c r="H865" s="122">
        <f>IF($D865="",0,MAX(0,$D865-$G865))</f>
        <v/>
      </c>
      <c r="I865" s="122">
        <f>IF($B865="","",CONCATENATE("Örnek kıymet: ",$B865))</f>
        <v/>
      </c>
    </row>
    <row r="866" ht="15" customHeight="1" s="77">
      <c r="G866" s="122">
        <f>IF($D866="",0,MIN($D866,$D866*$F866*MAX(0,ROUNDDOWN((AmortismanRaporTarihi-$C866)/365,0))))</f>
        <v/>
      </c>
      <c r="H866" s="122">
        <f>IF($D866="",0,MAX(0,$D866-$G866))</f>
        <v/>
      </c>
      <c r="I866" s="122">
        <f>IF($B866="","",CONCATENATE("Örnek kıymet: ",$B866))</f>
        <v/>
      </c>
    </row>
    <row r="867" ht="15" customHeight="1" s="77">
      <c r="G867" s="122">
        <f>IF($D867="",0,MIN($D867,$D867*$F867*MAX(0,ROUNDDOWN((AmortismanRaporTarihi-$C867)/365,0))))</f>
        <v/>
      </c>
      <c r="H867" s="122">
        <f>IF($D867="",0,MAX(0,$D867-$G867))</f>
        <v/>
      </c>
      <c r="I867" s="122">
        <f>IF($B867="","",CONCATENATE("Örnek kıymet: ",$B867))</f>
        <v/>
      </c>
    </row>
    <row r="868" ht="15" customHeight="1" s="77">
      <c r="G868" s="122">
        <f>IF($D868="",0,MIN($D868,$D868*$F868*MAX(0,ROUNDDOWN((AmortismanRaporTarihi-$C868)/365,0))))</f>
        <v/>
      </c>
      <c r="H868" s="122">
        <f>IF($D868="",0,MAX(0,$D868-$G868))</f>
        <v/>
      </c>
      <c r="I868" s="122">
        <f>IF($B868="","",CONCATENATE("Örnek kıymet: ",$B868))</f>
        <v/>
      </c>
    </row>
    <row r="869" ht="15" customHeight="1" s="77">
      <c r="G869" s="122">
        <f>IF($D869="",0,MIN($D869,$D869*$F869*MAX(0,ROUNDDOWN((AmortismanRaporTarihi-$C869)/365,0))))</f>
        <v/>
      </c>
      <c r="H869" s="122">
        <f>IF($D869="",0,MAX(0,$D869-$G869))</f>
        <v/>
      </c>
      <c r="I869" s="122">
        <f>IF($B869="","",CONCATENATE("Örnek kıymet: ",$B869))</f>
        <v/>
      </c>
    </row>
    <row r="870" ht="15" customHeight="1" s="77">
      <c r="G870" s="122">
        <f>IF($D870="",0,MIN($D870,$D870*$F870*MAX(0,ROUNDDOWN((AmortismanRaporTarihi-$C870)/365,0))))</f>
        <v/>
      </c>
      <c r="H870" s="122">
        <f>IF($D870="",0,MAX(0,$D870-$G870))</f>
        <v/>
      </c>
      <c r="I870" s="122">
        <f>IF($B870="","",CONCATENATE("Örnek kıymet: ",$B870))</f>
        <v/>
      </c>
    </row>
    <row r="871" ht="15" customHeight="1" s="77">
      <c r="G871" s="122">
        <f>IF($D871="",0,MIN($D871,$D871*$F871*MAX(0,ROUNDDOWN((AmortismanRaporTarihi-$C871)/365,0))))</f>
        <v/>
      </c>
      <c r="H871" s="122">
        <f>IF($D871="",0,MAX(0,$D871-$G871))</f>
        <v/>
      </c>
      <c r="I871" s="122">
        <f>IF($B871="","",CONCATENATE("Örnek kıymet: ",$B871))</f>
        <v/>
      </c>
    </row>
    <row r="872" ht="15" customHeight="1" s="77">
      <c r="G872" s="122">
        <f>IF($D872="",0,MIN($D872,$D872*$F872*MAX(0,ROUNDDOWN((AmortismanRaporTarihi-$C872)/365,0))))</f>
        <v/>
      </c>
      <c r="H872" s="122">
        <f>IF($D872="",0,MAX(0,$D872-$G872))</f>
        <v/>
      </c>
      <c r="I872" s="122">
        <f>IF($B872="","",CONCATENATE("Örnek kıymet: ",$B872))</f>
        <v/>
      </c>
    </row>
    <row r="873" ht="15" customHeight="1" s="77">
      <c r="G873" s="122">
        <f>IF($D873="",0,MIN($D873,$D873*$F873*MAX(0,ROUNDDOWN((AmortismanRaporTarihi-$C873)/365,0))))</f>
        <v/>
      </c>
      <c r="H873" s="122">
        <f>IF($D873="",0,MAX(0,$D873-$G873))</f>
        <v/>
      </c>
      <c r="I873" s="122">
        <f>IF($B873="","",CONCATENATE("Örnek kıymet: ",$B873))</f>
        <v/>
      </c>
    </row>
    <row r="874" ht="15" customHeight="1" s="77">
      <c r="G874" s="122">
        <f>IF($D874="",0,MIN($D874,$D874*$F874*MAX(0,ROUNDDOWN((AmortismanRaporTarihi-$C874)/365,0))))</f>
        <v/>
      </c>
      <c r="H874" s="122">
        <f>IF($D874="",0,MAX(0,$D874-$G874))</f>
        <v/>
      </c>
      <c r="I874" s="122">
        <f>IF($B874="","",CONCATENATE("Örnek kıymet: ",$B874))</f>
        <v/>
      </c>
    </row>
    <row r="875" ht="15" customHeight="1" s="77">
      <c r="G875" s="122">
        <f>IF($D875="",0,MIN($D875,$D875*$F875*MAX(0,ROUNDDOWN((AmortismanRaporTarihi-$C875)/365,0))))</f>
        <v/>
      </c>
      <c r="H875" s="122">
        <f>IF($D875="",0,MAX(0,$D875-$G875))</f>
        <v/>
      </c>
      <c r="I875" s="122">
        <f>IF($B875="","",CONCATENATE("Örnek kıymet: ",$B875))</f>
        <v/>
      </c>
    </row>
    <row r="876" ht="15" customHeight="1" s="77">
      <c r="G876" s="122">
        <f>IF($D876="",0,MIN($D876,$D876*$F876*MAX(0,ROUNDDOWN((AmortismanRaporTarihi-$C876)/365,0))))</f>
        <v/>
      </c>
      <c r="H876" s="122">
        <f>IF($D876="",0,MAX(0,$D876-$G876))</f>
        <v/>
      </c>
      <c r="I876" s="122">
        <f>IF($B876="","",CONCATENATE("Örnek kıymet: ",$B876))</f>
        <v/>
      </c>
    </row>
    <row r="877" ht="15" customHeight="1" s="77">
      <c r="G877" s="122">
        <f>IF($D877="",0,MIN($D877,$D877*$F877*MAX(0,ROUNDDOWN((AmortismanRaporTarihi-$C877)/365,0))))</f>
        <v/>
      </c>
      <c r="H877" s="122">
        <f>IF($D877="",0,MAX(0,$D877-$G877))</f>
        <v/>
      </c>
      <c r="I877" s="122">
        <f>IF($B877="","",CONCATENATE("Örnek kıymet: ",$B877))</f>
        <v/>
      </c>
    </row>
    <row r="878" ht="15" customHeight="1" s="77">
      <c r="G878" s="122">
        <f>IF($D878="",0,MIN($D878,$D878*$F878*MAX(0,ROUNDDOWN((AmortismanRaporTarihi-$C878)/365,0))))</f>
        <v/>
      </c>
      <c r="H878" s="122">
        <f>IF($D878="",0,MAX(0,$D878-$G878))</f>
        <v/>
      </c>
      <c r="I878" s="122">
        <f>IF($B878="","",CONCATENATE("Örnek kıymet: ",$B878))</f>
        <v/>
      </c>
    </row>
    <row r="879" ht="15" customHeight="1" s="77">
      <c r="G879" s="122">
        <f>IF($D879="",0,MIN($D879,$D879*$F879*MAX(0,ROUNDDOWN((AmortismanRaporTarihi-$C879)/365,0))))</f>
        <v/>
      </c>
      <c r="H879" s="122">
        <f>IF($D879="",0,MAX(0,$D879-$G879))</f>
        <v/>
      </c>
      <c r="I879" s="122">
        <f>IF($B879="","",CONCATENATE("Örnek kıymet: ",$B879))</f>
        <v/>
      </c>
    </row>
    <row r="880" ht="15" customHeight="1" s="77">
      <c r="G880" s="122">
        <f>IF($D880="",0,MIN($D880,$D880*$F880*MAX(0,ROUNDDOWN((AmortismanRaporTarihi-$C880)/365,0))))</f>
        <v/>
      </c>
      <c r="H880" s="122">
        <f>IF($D880="",0,MAX(0,$D880-$G880))</f>
        <v/>
      </c>
      <c r="I880" s="122">
        <f>IF($B880="","",CONCATENATE("Örnek kıymet: ",$B880))</f>
        <v/>
      </c>
    </row>
    <row r="881" ht="15" customHeight="1" s="77">
      <c r="G881" s="122">
        <f>IF($D881="",0,MIN($D881,$D881*$F881*MAX(0,ROUNDDOWN((AmortismanRaporTarihi-$C881)/365,0))))</f>
        <v/>
      </c>
      <c r="H881" s="122">
        <f>IF($D881="",0,MAX(0,$D881-$G881))</f>
        <v/>
      </c>
      <c r="I881" s="122">
        <f>IF($B881="","",CONCATENATE("Örnek kıymet: ",$B881))</f>
        <v/>
      </c>
    </row>
    <row r="882" ht="15" customHeight="1" s="77">
      <c r="G882" s="122">
        <f>IF($D882="",0,MIN($D882,$D882*$F882*MAX(0,ROUNDDOWN((AmortismanRaporTarihi-$C882)/365,0))))</f>
        <v/>
      </c>
      <c r="H882" s="122">
        <f>IF($D882="",0,MAX(0,$D882-$G882))</f>
        <v/>
      </c>
      <c r="I882" s="122">
        <f>IF($B882="","",CONCATENATE("Örnek kıymet: ",$B882))</f>
        <v/>
      </c>
    </row>
    <row r="883" ht="15" customHeight="1" s="77">
      <c r="G883" s="122">
        <f>IF($D883="",0,MIN($D883,$D883*$F883*MAX(0,ROUNDDOWN((AmortismanRaporTarihi-$C883)/365,0))))</f>
        <v/>
      </c>
      <c r="H883" s="122">
        <f>IF($D883="",0,MAX(0,$D883-$G883))</f>
        <v/>
      </c>
      <c r="I883" s="122">
        <f>IF($B883="","",CONCATENATE("Örnek kıymet: ",$B883))</f>
        <v/>
      </c>
    </row>
    <row r="884" ht="15" customHeight="1" s="77">
      <c r="G884" s="122">
        <f>IF($D884="",0,MIN($D884,$D884*$F884*MAX(0,ROUNDDOWN((AmortismanRaporTarihi-$C884)/365,0))))</f>
        <v/>
      </c>
      <c r="H884" s="122">
        <f>IF($D884="",0,MAX(0,$D884-$G884))</f>
        <v/>
      </c>
      <c r="I884" s="122">
        <f>IF($B884="","",CONCATENATE("Örnek kıymet: ",$B884))</f>
        <v/>
      </c>
    </row>
    <row r="885" ht="15" customHeight="1" s="77">
      <c r="G885" s="122">
        <f>IF($D885="",0,MIN($D885,$D885*$F885*MAX(0,ROUNDDOWN((AmortismanRaporTarihi-$C885)/365,0))))</f>
        <v/>
      </c>
      <c r="H885" s="122">
        <f>IF($D885="",0,MAX(0,$D885-$G885))</f>
        <v/>
      </c>
      <c r="I885" s="122">
        <f>IF($B885="","",CONCATENATE("Örnek kıymet: ",$B885))</f>
        <v/>
      </c>
    </row>
    <row r="886" ht="15" customHeight="1" s="77">
      <c r="G886" s="122">
        <f>IF($D886="",0,MIN($D886,$D886*$F886*MAX(0,ROUNDDOWN((AmortismanRaporTarihi-$C886)/365,0))))</f>
        <v/>
      </c>
      <c r="H886" s="122">
        <f>IF($D886="",0,MAX(0,$D886-$G886))</f>
        <v/>
      </c>
      <c r="I886" s="122">
        <f>IF($B886="","",CONCATENATE("Örnek kıymet: ",$B886))</f>
        <v/>
      </c>
    </row>
    <row r="887" ht="15" customHeight="1" s="77">
      <c r="G887" s="122">
        <f>IF($D887="",0,MIN($D887,$D887*$F887*MAX(0,ROUNDDOWN((AmortismanRaporTarihi-$C887)/365,0))))</f>
        <v/>
      </c>
      <c r="H887" s="122">
        <f>IF($D887="",0,MAX(0,$D887-$G887))</f>
        <v/>
      </c>
      <c r="I887" s="122">
        <f>IF($B887="","",CONCATENATE("Örnek kıymet: ",$B887))</f>
        <v/>
      </c>
    </row>
    <row r="888" ht="15" customHeight="1" s="77">
      <c r="G888" s="122">
        <f>IF($D888="",0,MIN($D888,$D888*$F888*MAX(0,ROUNDDOWN((AmortismanRaporTarihi-$C888)/365,0))))</f>
        <v/>
      </c>
      <c r="H888" s="122">
        <f>IF($D888="",0,MAX(0,$D888-$G888))</f>
        <v/>
      </c>
      <c r="I888" s="122">
        <f>IF($B888="","",CONCATENATE("Örnek kıymet: ",$B888))</f>
        <v/>
      </c>
    </row>
    <row r="889" ht="15" customHeight="1" s="77">
      <c r="G889" s="122">
        <f>IF($D889="",0,MIN($D889,$D889*$F889*MAX(0,ROUNDDOWN((AmortismanRaporTarihi-$C889)/365,0))))</f>
        <v/>
      </c>
      <c r="H889" s="122">
        <f>IF($D889="",0,MAX(0,$D889-$G889))</f>
        <v/>
      </c>
      <c r="I889" s="122">
        <f>IF($B889="","",CONCATENATE("Örnek kıymet: ",$B889))</f>
        <v/>
      </c>
    </row>
    <row r="890" ht="15" customHeight="1" s="77">
      <c r="G890" s="122">
        <f>IF($D890="",0,MIN($D890,$D890*$F890*MAX(0,ROUNDDOWN((AmortismanRaporTarihi-$C890)/365,0))))</f>
        <v/>
      </c>
      <c r="H890" s="122">
        <f>IF($D890="",0,MAX(0,$D890-$G890))</f>
        <v/>
      </c>
      <c r="I890" s="122">
        <f>IF($B890="","",CONCATENATE("Örnek kıymet: ",$B890))</f>
        <v/>
      </c>
    </row>
    <row r="891" ht="15" customHeight="1" s="77">
      <c r="G891" s="122">
        <f>IF($D891="",0,MIN($D891,$D891*$F891*MAX(0,ROUNDDOWN((AmortismanRaporTarihi-$C891)/365,0))))</f>
        <v/>
      </c>
      <c r="H891" s="122">
        <f>IF($D891="",0,MAX(0,$D891-$G891))</f>
        <v/>
      </c>
      <c r="I891" s="122">
        <f>IF($B891="","",CONCATENATE("Örnek kıymet: ",$B891))</f>
        <v/>
      </c>
    </row>
    <row r="892" ht="15" customHeight="1" s="77">
      <c r="G892" s="122">
        <f>IF($D892="",0,MIN($D892,$D892*$F892*MAX(0,ROUNDDOWN((AmortismanRaporTarihi-$C892)/365,0))))</f>
        <v/>
      </c>
      <c r="H892" s="122">
        <f>IF($D892="",0,MAX(0,$D892-$G892))</f>
        <v/>
      </c>
      <c r="I892" s="122">
        <f>IF($B892="","",CONCATENATE("Örnek kıymet: ",$B892))</f>
        <v/>
      </c>
    </row>
    <row r="893" ht="15" customHeight="1" s="77">
      <c r="G893" s="122">
        <f>IF($D893="",0,MIN($D893,$D893*$F893*MAX(0,ROUNDDOWN((AmortismanRaporTarihi-$C893)/365,0))))</f>
        <v/>
      </c>
      <c r="H893" s="122">
        <f>IF($D893="",0,MAX(0,$D893-$G893))</f>
        <v/>
      </c>
      <c r="I893" s="122">
        <f>IF($B893="","",CONCATENATE("Örnek kıymet: ",$B893))</f>
        <v/>
      </c>
    </row>
    <row r="894" ht="15" customHeight="1" s="77">
      <c r="G894" s="122">
        <f>IF($D894="",0,MIN($D894,$D894*$F894*MAX(0,ROUNDDOWN((AmortismanRaporTarihi-$C894)/365,0))))</f>
        <v/>
      </c>
      <c r="H894" s="122">
        <f>IF($D894="",0,MAX(0,$D894-$G894))</f>
        <v/>
      </c>
      <c r="I894" s="122">
        <f>IF($B894="","",CONCATENATE("Örnek kıymet: ",$B894))</f>
        <v/>
      </c>
    </row>
    <row r="895" ht="15" customHeight="1" s="77">
      <c r="G895" s="122">
        <f>IF($D895="",0,MIN($D895,$D895*$F895*MAX(0,ROUNDDOWN((AmortismanRaporTarihi-$C895)/365,0))))</f>
        <v/>
      </c>
      <c r="H895" s="122">
        <f>IF($D895="",0,MAX(0,$D895-$G895))</f>
        <v/>
      </c>
      <c r="I895" s="122">
        <f>IF($B895="","",CONCATENATE("Örnek kıymet: ",$B895))</f>
        <v/>
      </c>
    </row>
    <row r="896" ht="15" customHeight="1" s="77">
      <c r="G896" s="122">
        <f>IF($D896="",0,MIN($D896,$D896*$F896*MAX(0,ROUNDDOWN((AmortismanRaporTarihi-$C896)/365,0))))</f>
        <v/>
      </c>
      <c r="H896" s="122">
        <f>IF($D896="",0,MAX(0,$D896-$G896))</f>
        <v/>
      </c>
      <c r="I896" s="122">
        <f>IF($B896="","",CONCATENATE("Örnek kıymet: ",$B896))</f>
        <v/>
      </c>
    </row>
    <row r="897" ht="15" customHeight="1" s="77">
      <c r="G897" s="122">
        <f>IF($D897="",0,MIN($D897,$D897*$F897*MAX(0,ROUNDDOWN((AmortismanRaporTarihi-$C897)/365,0))))</f>
        <v/>
      </c>
      <c r="H897" s="122">
        <f>IF($D897="",0,MAX(0,$D897-$G897))</f>
        <v/>
      </c>
      <c r="I897" s="122">
        <f>IF($B897="","",CONCATENATE("Örnek kıymet: ",$B897))</f>
        <v/>
      </c>
    </row>
    <row r="898" ht="15" customHeight="1" s="77">
      <c r="G898" s="122">
        <f>IF($D898="",0,MIN($D898,$D898*$F898*MAX(0,ROUNDDOWN((AmortismanRaporTarihi-$C898)/365,0))))</f>
        <v/>
      </c>
      <c r="H898" s="122">
        <f>IF($D898="",0,MAX(0,$D898-$G898))</f>
        <v/>
      </c>
      <c r="I898" s="122">
        <f>IF($B898="","",CONCATENATE("Örnek kıymet: ",$B898))</f>
        <v/>
      </c>
    </row>
    <row r="899" ht="15" customHeight="1" s="77">
      <c r="G899" s="122">
        <f>IF($D899="",0,MIN($D899,$D899*$F899*MAX(0,ROUNDDOWN((AmortismanRaporTarihi-$C899)/365,0))))</f>
        <v/>
      </c>
      <c r="H899" s="122">
        <f>IF($D899="",0,MAX(0,$D899-$G899))</f>
        <v/>
      </c>
      <c r="I899" s="122">
        <f>IF($B899="","",CONCATENATE("Örnek kıymet: ",$B899))</f>
        <v/>
      </c>
    </row>
    <row r="900" ht="15" customHeight="1" s="77">
      <c r="G900" s="122">
        <f>IF($D900="",0,MIN($D900,$D900*$F900*MAX(0,ROUNDDOWN((AmortismanRaporTarihi-$C900)/365,0))))</f>
        <v/>
      </c>
      <c r="H900" s="122">
        <f>IF($D900="",0,MAX(0,$D900-$G900))</f>
        <v/>
      </c>
      <c r="I900" s="122">
        <f>IF($B900="","",CONCATENATE("Örnek kıymet: ",$B900))</f>
        <v/>
      </c>
    </row>
    <row r="901" ht="15" customHeight="1" s="77">
      <c r="G901" s="122">
        <f>IF($D901="",0,MIN($D901,$D901*$F901*MAX(0,ROUNDDOWN((AmortismanRaporTarihi-$C901)/365,0))))</f>
        <v/>
      </c>
      <c r="H901" s="122">
        <f>IF($D901="",0,MAX(0,$D901-$G901))</f>
        <v/>
      </c>
      <c r="I901" s="122">
        <f>IF($B901="","",CONCATENATE("Örnek kıymet: ",$B901))</f>
        <v/>
      </c>
    </row>
    <row r="902" ht="15" customHeight="1" s="77">
      <c r="G902" s="122">
        <f>IF($D902="",0,MIN($D902,$D902*$F902*MAX(0,ROUNDDOWN((AmortismanRaporTarihi-$C902)/365,0))))</f>
        <v/>
      </c>
      <c r="H902" s="122">
        <f>IF($D902="",0,MAX(0,$D902-$G902))</f>
        <v/>
      </c>
      <c r="I902" s="122">
        <f>IF($B902="","",CONCATENATE("Örnek kıymet: ",$B902))</f>
        <v/>
      </c>
    </row>
    <row r="903" ht="15" customHeight="1" s="77">
      <c r="G903" s="122">
        <f>IF($D903="",0,MIN($D903,$D903*$F903*MAX(0,ROUNDDOWN((AmortismanRaporTarihi-$C903)/365,0))))</f>
        <v/>
      </c>
      <c r="H903" s="122">
        <f>IF($D903="",0,MAX(0,$D903-$G903))</f>
        <v/>
      </c>
      <c r="I903" s="122">
        <f>IF($B903="","",CONCATENATE("Örnek kıymet: ",$B903))</f>
        <v/>
      </c>
    </row>
    <row r="904" ht="15" customHeight="1" s="77">
      <c r="G904" s="122">
        <f>IF($D904="",0,MIN($D904,$D904*$F904*MAX(0,ROUNDDOWN((AmortismanRaporTarihi-$C904)/365,0))))</f>
        <v/>
      </c>
      <c r="H904" s="122">
        <f>IF($D904="",0,MAX(0,$D904-$G904))</f>
        <v/>
      </c>
      <c r="I904" s="122">
        <f>IF($B904="","",CONCATENATE("Örnek kıymet: ",$B904))</f>
        <v/>
      </c>
    </row>
    <row r="905" ht="15" customHeight="1" s="77">
      <c r="G905" s="122">
        <f>IF($D905="",0,MIN($D905,$D905*$F905*MAX(0,ROUNDDOWN((AmortismanRaporTarihi-$C905)/365,0))))</f>
        <v/>
      </c>
      <c r="H905" s="122">
        <f>IF($D905="",0,MAX(0,$D905-$G905))</f>
        <v/>
      </c>
      <c r="I905" s="122">
        <f>IF($B905="","",CONCATENATE("Örnek kıymet: ",$B905))</f>
        <v/>
      </c>
    </row>
    <row r="906" ht="15" customHeight="1" s="77">
      <c r="G906" s="122">
        <f>IF($D906="",0,MIN($D906,$D906*$F906*MAX(0,ROUNDDOWN((AmortismanRaporTarihi-$C906)/365,0))))</f>
        <v/>
      </c>
      <c r="H906" s="122">
        <f>IF($D906="",0,MAX(0,$D906-$G906))</f>
        <v/>
      </c>
      <c r="I906" s="122">
        <f>IF($B906="","",CONCATENATE("Örnek kıymet: ",$B906))</f>
        <v/>
      </c>
    </row>
    <row r="907" ht="15" customHeight="1" s="77">
      <c r="G907" s="122">
        <f>IF($D907="",0,MIN($D907,$D907*$F907*MAX(0,ROUNDDOWN((AmortismanRaporTarihi-$C907)/365,0))))</f>
        <v/>
      </c>
      <c r="H907" s="122">
        <f>IF($D907="",0,MAX(0,$D907-$G907))</f>
        <v/>
      </c>
      <c r="I907" s="122">
        <f>IF($B907="","",CONCATENATE("Örnek kıymet: ",$B907))</f>
        <v/>
      </c>
    </row>
    <row r="908" ht="15" customHeight="1" s="77">
      <c r="G908" s="122">
        <f>IF($D908="",0,MIN($D908,$D908*$F908*MAX(0,ROUNDDOWN((AmortismanRaporTarihi-$C908)/365,0))))</f>
        <v/>
      </c>
      <c r="H908" s="122">
        <f>IF($D908="",0,MAX(0,$D908-$G908))</f>
        <v/>
      </c>
      <c r="I908" s="122">
        <f>IF($B908="","",CONCATENATE("Örnek kıymet: ",$B908))</f>
        <v/>
      </c>
    </row>
    <row r="909" ht="15" customHeight="1" s="77">
      <c r="G909" s="122">
        <f>IF($D909="",0,MIN($D909,$D909*$F909*MAX(0,ROUNDDOWN((AmortismanRaporTarihi-$C909)/365,0))))</f>
        <v/>
      </c>
      <c r="H909" s="122">
        <f>IF($D909="",0,MAX(0,$D909-$G909))</f>
        <v/>
      </c>
      <c r="I909" s="122">
        <f>IF($B909="","",CONCATENATE("Örnek kıymet: ",$B909))</f>
        <v/>
      </c>
    </row>
    <row r="910" ht="15" customHeight="1" s="77">
      <c r="G910" s="122">
        <f>IF($D910="",0,MIN($D910,$D910*$F910*MAX(0,ROUNDDOWN((AmortismanRaporTarihi-$C910)/365,0))))</f>
        <v/>
      </c>
      <c r="H910" s="122">
        <f>IF($D910="",0,MAX(0,$D910-$G910))</f>
        <v/>
      </c>
      <c r="I910" s="122">
        <f>IF($B910="","",CONCATENATE("Örnek kıymet: ",$B910))</f>
        <v/>
      </c>
    </row>
    <row r="911" ht="15" customHeight="1" s="77">
      <c r="G911" s="122">
        <f>IF($D911="",0,MIN($D911,$D911*$F911*MAX(0,ROUNDDOWN((AmortismanRaporTarihi-$C911)/365,0))))</f>
        <v/>
      </c>
      <c r="H911" s="122">
        <f>IF($D911="",0,MAX(0,$D911-$G911))</f>
        <v/>
      </c>
      <c r="I911" s="122">
        <f>IF($B911="","",CONCATENATE("Örnek kıymet: ",$B911))</f>
        <v/>
      </c>
    </row>
    <row r="912" ht="15" customHeight="1" s="77">
      <c r="G912" s="122">
        <f>IF($D912="",0,MIN($D912,$D912*$F912*MAX(0,ROUNDDOWN((AmortismanRaporTarihi-$C912)/365,0))))</f>
        <v/>
      </c>
      <c r="H912" s="122">
        <f>IF($D912="",0,MAX(0,$D912-$G912))</f>
        <v/>
      </c>
      <c r="I912" s="122">
        <f>IF($B912="","",CONCATENATE("Örnek kıymet: ",$B912))</f>
        <v/>
      </c>
    </row>
    <row r="913" ht="15" customHeight="1" s="77">
      <c r="G913" s="122">
        <f>IF($D913="",0,MIN($D913,$D913*$F913*MAX(0,ROUNDDOWN((AmortismanRaporTarihi-$C913)/365,0))))</f>
        <v/>
      </c>
      <c r="H913" s="122">
        <f>IF($D913="",0,MAX(0,$D913-$G913))</f>
        <v/>
      </c>
      <c r="I913" s="122">
        <f>IF($B913="","",CONCATENATE("Örnek kıymet: ",$B913))</f>
        <v/>
      </c>
    </row>
    <row r="914" ht="15" customHeight="1" s="77">
      <c r="G914" s="122">
        <f>IF($D914="",0,MIN($D914,$D914*$F914*MAX(0,ROUNDDOWN((AmortismanRaporTarihi-$C914)/365,0))))</f>
        <v/>
      </c>
      <c r="H914" s="122">
        <f>IF($D914="",0,MAX(0,$D914-$G914))</f>
        <v/>
      </c>
      <c r="I914" s="122">
        <f>IF($B914="","",CONCATENATE("Örnek kıymet: ",$B914))</f>
        <v/>
      </c>
    </row>
    <row r="915" ht="15" customHeight="1" s="77">
      <c r="G915" s="122">
        <f>IF($D915="",0,MIN($D915,$D915*$F915*MAX(0,ROUNDDOWN((AmortismanRaporTarihi-$C915)/365,0))))</f>
        <v/>
      </c>
      <c r="H915" s="122">
        <f>IF($D915="",0,MAX(0,$D915-$G915))</f>
        <v/>
      </c>
      <c r="I915" s="122">
        <f>IF($B915="","",CONCATENATE("Örnek kıymet: ",$B915))</f>
        <v/>
      </c>
    </row>
    <row r="916" ht="15" customHeight="1" s="77">
      <c r="G916" s="122">
        <f>IF($D916="",0,MIN($D916,$D916*$F916*MAX(0,ROUNDDOWN((AmortismanRaporTarihi-$C916)/365,0))))</f>
        <v/>
      </c>
      <c r="H916" s="122">
        <f>IF($D916="",0,MAX(0,$D916-$G916))</f>
        <v/>
      </c>
      <c r="I916" s="122">
        <f>IF($B916="","",CONCATENATE("Örnek kıymet: ",$B916))</f>
        <v/>
      </c>
    </row>
    <row r="917" ht="15" customHeight="1" s="77">
      <c r="G917" s="122">
        <f>IF($D917="",0,MIN($D917,$D917*$F917*MAX(0,ROUNDDOWN((AmortismanRaporTarihi-$C917)/365,0))))</f>
        <v/>
      </c>
      <c r="H917" s="122">
        <f>IF($D917="",0,MAX(0,$D917-$G917))</f>
        <v/>
      </c>
      <c r="I917" s="122">
        <f>IF($B917="","",CONCATENATE("Örnek kıymet: ",$B917))</f>
        <v/>
      </c>
    </row>
    <row r="918" ht="15" customHeight="1" s="77">
      <c r="G918" s="122">
        <f>IF($D918="",0,MIN($D918,$D918*$F918*MAX(0,ROUNDDOWN((AmortismanRaporTarihi-$C918)/365,0))))</f>
        <v/>
      </c>
      <c r="H918" s="122">
        <f>IF($D918="",0,MAX(0,$D918-$G918))</f>
        <v/>
      </c>
      <c r="I918" s="122">
        <f>IF($B918="","",CONCATENATE("Örnek kıymet: ",$B918))</f>
        <v/>
      </c>
    </row>
    <row r="919" ht="15" customHeight="1" s="77">
      <c r="G919" s="122">
        <f>IF($D919="",0,MIN($D919,$D919*$F919*MAX(0,ROUNDDOWN((AmortismanRaporTarihi-$C919)/365,0))))</f>
        <v/>
      </c>
      <c r="H919" s="122">
        <f>IF($D919="",0,MAX(0,$D919-$G919))</f>
        <v/>
      </c>
      <c r="I919" s="122">
        <f>IF($B919="","",CONCATENATE("Örnek kıymet: ",$B919))</f>
        <v/>
      </c>
    </row>
    <row r="920" ht="15" customHeight="1" s="77">
      <c r="G920" s="122">
        <f>IF($D920="",0,MIN($D920,$D920*$F920*MAX(0,ROUNDDOWN((AmortismanRaporTarihi-$C920)/365,0))))</f>
        <v/>
      </c>
      <c r="H920" s="122">
        <f>IF($D920="",0,MAX(0,$D920-$G920))</f>
        <v/>
      </c>
      <c r="I920" s="122">
        <f>IF($B920="","",CONCATENATE("Örnek kıymet: ",$B920))</f>
        <v/>
      </c>
    </row>
    <row r="921" ht="15" customHeight="1" s="77">
      <c r="G921" s="122">
        <f>IF($D921="",0,MIN($D921,$D921*$F921*MAX(0,ROUNDDOWN((AmortismanRaporTarihi-$C921)/365,0))))</f>
        <v/>
      </c>
      <c r="H921" s="122">
        <f>IF($D921="",0,MAX(0,$D921-$G921))</f>
        <v/>
      </c>
      <c r="I921" s="122">
        <f>IF($B921="","",CONCATENATE("Örnek kıymet: ",$B921))</f>
        <v/>
      </c>
    </row>
    <row r="922" ht="15" customHeight="1" s="77">
      <c r="G922" s="122">
        <f>IF($D922="",0,MIN($D922,$D922*$F922*MAX(0,ROUNDDOWN((AmortismanRaporTarihi-$C922)/365,0))))</f>
        <v/>
      </c>
      <c r="H922" s="122">
        <f>IF($D922="",0,MAX(0,$D922-$G922))</f>
        <v/>
      </c>
      <c r="I922" s="122">
        <f>IF($B922="","",CONCATENATE("Örnek kıymet: ",$B922))</f>
        <v/>
      </c>
    </row>
    <row r="923" ht="15" customHeight="1" s="77">
      <c r="G923" s="122">
        <f>IF($D923="",0,MIN($D923,$D923*$F923*MAX(0,ROUNDDOWN((AmortismanRaporTarihi-$C923)/365,0))))</f>
        <v/>
      </c>
      <c r="H923" s="122">
        <f>IF($D923="",0,MAX(0,$D923-$G923))</f>
        <v/>
      </c>
      <c r="I923" s="122">
        <f>IF($B923="","",CONCATENATE("Örnek kıymet: ",$B923))</f>
        <v/>
      </c>
    </row>
    <row r="924" ht="15" customHeight="1" s="77">
      <c r="G924" s="122">
        <f>IF($D924="",0,MIN($D924,$D924*$F924*MAX(0,ROUNDDOWN((AmortismanRaporTarihi-$C924)/365,0))))</f>
        <v/>
      </c>
      <c r="H924" s="122">
        <f>IF($D924="",0,MAX(0,$D924-$G924))</f>
        <v/>
      </c>
      <c r="I924" s="122">
        <f>IF($B924="","",CONCATENATE("Örnek kıymet: ",$B924))</f>
        <v/>
      </c>
    </row>
    <row r="925" ht="15" customHeight="1" s="77">
      <c r="G925" s="122">
        <f>IF($D925="",0,MIN($D925,$D925*$F925*MAX(0,ROUNDDOWN((AmortismanRaporTarihi-$C925)/365,0))))</f>
        <v/>
      </c>
      <c r="H925" s="122">
        <f>IF($D925="",0,MAX(0,$D925-$G925))</f>
        <v/>
      </c>
      <c r="I925" s="122">
        <f>IF($B925="","",CONCATENATE("Örnek kıymet: ",$B925))</f>
        <v/>
      </c>
    </row>
    <row r="926" ht="15" customHeight="1" s="77">
      <c r="G926" s="122">
        <f>IF($D926="",0,MIN($D926,$D926*$F926*MAX(0,ROUNDDOWN((AmortismanRaporTarihi-$C926)/365,0))))</f>
        <v/>
      </c>
      <c r="H926" s="122">
        <f>IF($D926="",0,MAX(0,$D926-$G926))</f>
        <v/>
      </c>
      <c r="I926" s="122">
        <f>IF($B926="","",CONCATENATE("Örnek kıymet: ",$B926))</f>
        <v/>
      </c>
    </row>
    <row r="927" ht="15" customHeight="1" s="77">
      <c r="G927" s="122">
        <f>IF($D927="",0,MIN($D927,$D927*$F927*MAX(0,ROUNDDOWN((AmortismanRaporTarihi-$C927)/365,0))))</f>
        <v/>
      </c>
      <c r="H927" s="122">
        <f>IF($D927="",0,MAX(0,$D927-$G927))</f>
        <v/>
      </c>
      <c r="I927" s="122">
        <f>IF($B927="","",CONCATENATE("Örnek kıymet: ",$B927))</f>
        <v/>
      </c>
    </row>
    <row r="928" ht="15" customHeight="1" s="77">
      <c r="G928" s="122">
        <f>IF($D928="",0,MIN($D928,$D928*$F928*MAX(0,ROUNDDOWN((AmortismanRaporTarihi-$C928)/365,0))))</f>
        <v/>
      </c>
      <c r="H928" s="122">
        <f>IF($D928="",0,MAX(0,$D928-$G928))</f>
        <v/>
      </c>
      <c r="I928" s="122">
        <f>IF($B928="","",CONCATENATE("Örnek kıymet: ",$B928))</f>
        <v/>
      </c>
    </row>
    <row r="929" ht="15" customHeight="1" s="77">
      <c r="G929" s="122">
        <f>IF($D929="",0,MIN($D929,$D929*$F929*MAX(0,ROUNDDOWN((AmortismanRaporTarihi-$C929)/365,0))))</f>
        <v/>
      </c>
      <c r="H929" s="122">
        <f>IF($D929="",0,MAX(0,$D929-$G929))</f>
        <v/>
      </c>
      <c r="I929" s="122">
        <f>IF($B929="","",CONCATENATE("Örnek kıymet: ",$B929))</f>
        <v/>
      </c>
    </row>
    <row r="930" ht="15" customHeight="1" s="77">
      <c r="G930" s="122">
        <f>IF($D930="",0,MIN($D930,$D930*$F930*MAX(0,ROUNDDOWN((AmortismanRaporTarihi-$C930)/365,0))))</f>
        <v/>
      </c>
      <c r="H930" s="122">
        <f>IF($D930="",0,MAX(0,$D930-$G930))</f>
        <v/>
      </c>
      <c r="I930" s="122">
        <f>IF($B930="","",CONCATENATE("Örnek kıymet: ",$B930))</f>
        <v/>
      </c>
    </row>
    <row r="931" ht="15" customHeight="1" s="77">
      <c r="G931" s="122">
        <f>IF($D931="",0,MIN($D931,$D931*$F931*MAX(0,ROUNDDOWN((AmortismanRaporTarihi-$C931)/365,0))))</f>
        <v/>
      </c>
      <c r="H931" s="122">
        <f>IF($D931="",0,MAX(0,$D931-$G931))</f>
        <v/>
      </c>
      <c r="I931" s="122">
        <f>IF($B931="","",CONCATENATE("Örnek kıymet: ",$B931))</f>
        <v/>
      </c>
    </row>
    <row r="932" ht="15" customHeight="1" s="77">
      <c r="G932" s="122">
        <f>IF($D932="",0,MIN($D932,$D932*$F932*MAX(0,ROUNDDOWN((AmortismanRaporTarihi-$C932)/365,0))))</f>
        <v/>
      </c>
      <c r="H932" s="122">
        <f>IF($D932="",0,MAX(0,$D932-$G932))</f>
        <v/>
      </c>
      <c r="I932" s="122">
        <f>IF($B932="","",CONCATENATE("Örnek kıymet: ",$B932))</f>
        <v/>
      </c>
    </row>
    <row r="933" ht="15" customHeight="1" s="77">
      <c r="G933" s="122">
        <f>IF($D933="",0,MIN($D933,$D933*$F933*MAX(0,ROUNDDOWN((AmortismanRaporTarihi-$C933)/365,0))))</f>
        <v/>
      </c>
      <c r="H933" s="122">
        <f>IF($D933="",0,MAX(0,$D933-$G933))</f>
        <v/>
      </c>
      <c r="I933" s="122">
        <f>IF($B933="","",CONCATENATE("Örnek kıymet: ",$B933))</f>
        <v/>
      </c>
    </row>
    <row r="934" ht="15" customHeight="1" s="77">
      <c r="G934" s="122">
        <f>IF($D934="",0,MIN($D934,$D934*$F934*MAX(0,ROUNDDOWN((AmortismanRaporTarihi-$C934)/365,0))))</f>
        <v/>
      </c>
      <c r="H934" s="122">
        <f>IF($D934="",0,MAX(0,$D934-$G934))</f>
        <v/>
      </c>
      <c r="I934" s="122">
        <f>IF($B934="","",CONCATENATE("Örnek kıymet: ",$B934))</f>
        <v/>
      </c>
    </row>
    <row r="935" ht="15" customHeight="1" s="77">
      <c r="G935" s="122">
        <f>IF($D935="",0,MIN($D935,$D935*$F935*MAX(0,ROUNDDOWN((AmortismanRaporTarihi-$C935)/365,0))))</f>
        <v/>
      </c>
      <c r="H935" s="122">
        <f>IF($D935="",0,MAX(0,$D935-$G935))</f>
        <v/>
      </c>
      <c r="I935" s="122">
        <f>IF($B935="","",CONCATENATE("Örnek kıymet: ",$B935))</f>
        <v/>
      </c>
    </row>
    <row r="936" ht="15" customHeight="1" s="77">
      <c r="G936" s="122">
        <f>IF($D936="",0,MIN($D936,$D936*$F936*MAX(0,ROUNDDOWN((AmortismanRaporTarihi-$C936)/365,0))))</f>
        <v/>
      </c>
      <c r="H936" s="122">
        <f>IF($D936="",0,MAX(0,$D936-$G936))</f>
        <v/>
      </c>
      <c r="I936" s="122">
        <f>IF($B936="","",CONCATENATE("Örnek kıymet: ",$B936))</f>
        <v/>
      </c>
    </row>
    <row r="937" ht="15" customHeight="1" s="77">
      <c r="G937" s="122">
        <f>IF($D937="",0,MIN($D937,$D937*$F937*MAX(0,ROUNDDOWN((AmortismanRaporTarihi-$C937)/365,0))))</f>
        <v/>
      </c>
      <c r="H937" s="122">
        <f>IF($D937="",0,MAX(0,$D937-$G937))</f>
        <v/>
      </c>
      <c r="I937" s="122">
        <f>IF($B937="","",CONCATENATE("Örnek kıymet: ",$B937))</f>
        <v/>
      </c>
    </row>
    <row r="938" ht="15" customHeight="1" s="77">
      <c r="G938" s="122">
        <f>IF($D938="",0,MIN($D938,$D938*$F938*MAX(0,ROUNDDOWN((AmortismanRaporTarihi-$C938)/365,0))))</f>
        <v/>
      </c>
      <c r="H938" s="122">
        <f>IF($D938="",0,MAX(0,$D938-$G938))</f>
        <v/>
      </c>
      <c r="I938" s="122">
        <f>IF($B938="","",CONCATENATE("Örnek kıymet: ",$B938))</f>
        <v/>
      </c>
    </row>
    <row r="939" ht="15" customHeight="1" s="77">
      <c r="G939" s="122">
        <f>IF($D939="",0,MIN($D939,$D939*$F939*MAX(0,ROUNDDOWN((AmortismanRaporTarihi-$C939)/365,0))))</f>
        <v/>
      </c>
      <c r="H939" s="122">
        <f>IF($D939="",0,MAX(0,$D939-$G939))</f>
        <v/>
      </c>
      <c r="I939" s="122">
        <f>IF($B939="","",CONCATENATE("Örnek kıymet: ",$B939))</f>
        <v/>
      </c>
    </row>
    <row r="940" ht="15" customHeight="1" s="77">
      <c r="G940" s="122">
        <f>IF($D940="",0,MIN($D940,$D940*$F940*MAX(0,ROUNDDOWN((AmortismanRaporTarihi-$C940)/365,0))))</f>
        <v/>
      </c>
      <c r="H940" s="122">
        <f>IF($D940="",0,MAX(0,$D940-$G940))</f>
        <v/>
      </c>
      <c r="I940" s="122">
        <f>IF($B940="","",CONCATENATE("Örnek kıymet: ",$B940))</f>
        <v/>
      </c>
    </row>
    <row r="941" ht="15" customHeight="1" s="77">
      <c r="G941" s="122">
        <f>IF($D941="",0,MIN($D941,$D941*$F941*MAX(0,ROUNDDOWN((AmortismanRaporTarihi-$C941)/365,0))))</f>
        <v/>
      </c>
      <c r="H941" s="122">
        <f>IF($D941="",0,MAX(0,$D941-$G941))</f>
        <v/>
      </c>
      <c r="I941" s="122">
        <f>IF($B941="","",CONCATENATE("Örnek kıymet: ",$B941))</f>
        <v/>
      </c>
    </row>
    <row r="942" ht="15" customHeight="1" s="77">
      <c r="G942" s="122">
        <f>IF($D942="",0,MIN($D942,$D942*$F942*MAX(0,ROUNDDOWN((AmortismanRaporTarihi-$C942)/365,0))))</f>
        <v/>
      </c>
      <c r="H942" s="122">
        <f>IF($D942="",0,MAX(0,$D942-$G942))</f>
        <v/>
      </c>
      <c r="I942" s="122">
        <f>IF($B942="","",CONCATENATE("Örnek kıymet: ",$B942))</f>
        <v/>
      </c>
    </row>
    <row r="943" ht="15" customHeight="1" s="77">
      <c r="G943" s="122">
        <f>IF($D943="",0,MIN($D943,$D943*$F943*MAX(0,ROUNDDOWN((AmortismanRaporTarihi-$C943)/365,0))))</f>
        <v/>
      </c>
      <c r="H943" s="122">
        <f>IF($D943="",0,MAX(0,$D943-$G943))</f>
        <v/>
      </c>
      <c r="I943" s="122">
        <f>IF($B943="","",CONCATENATE("Örnek kıymet: ",$B943))</f>
        <v/>
      </c>
    </row>
    <row r="944" ht="15" customHeight="1" s="77">
      <c r="G944" s="122">
        <f>IF($D944="",0,MIN($D944,$D944*$F944*MAX(0,ROUNDDOWN((AmortismanRaporTarihi-$C944)/365,0))))</f>
        <v/>
      </c>
      <c r="H944" s="122">
        <f>IF($D944="",0,MAX(0,$D944-$G944))</f>
        <v/>
      </c>
      <c r="I944" s="122">
        <f>IF($B944="","",CONCATENATE("Örnek kıymet: ",$B944))</f>
        <v/>
      </c>
    </row>
    <row r="945" ht="15" customHeight="1" s="77">
      <c r="G945" s="122">
        <f>IF($D945="",0,MIN($D945,$D945*$F945*MAX(0,ROUNDDOWN((AmortismanRaporTarihi-$C945)/365,0))))</f>
        <v/>
      </c>
      <c r="H945" s="122">
        <f>IF($D945="",0,MAX(0,$D945-$G945))</f>
        <v/>
      </c>
      <c r="I945" s="122">
        <f>IF($B945="","",CONCATENATE("Örnek kıymet: ",$B945))</f>
        <v/>
      </c>
    </row>
    <row r="946" ht="15" customHeight="1" s="77">
      <c r="G946" s="122">
        <f>IF($D946="",0,MIN($D946,$D946*$F946*MAX(0,ROUNDDOWN((AmortismanRaporTarihi-$C946)/365,0))))</f>
        <v/>
      </c>
      <c r="H946" s="122">
        <f>IF($D946="",0,MAX(0,$D946-$G946))</f>
        <v/>
      </c>
      <c r="I946" s="122">
        <f>IF($B946="","",CONCATENATE("Örnek kıymet: ",$B946))</f>
        <v/>
      </c>
    </row>
    <row r="947" ht="15" customHeight="1" s="77">
      <c r="G947" s="122">
        <f>IF($D947="",0,MIN($D947,$D947*$F947*MAX(0,ROUNDDOWN((AmortismanRaporTarihi-$C947)/365,0))))</f>
        <v/>
      </c>
      <c r="H947" s="122">
        <f>IF($D947="",0,MAX(0,$D947-$G947))</f>
        <v/>
      </c>
      <c r="I947" s="122">
        <f>IF($B947="","",CONCATENATE("Örnek kıymet: ",$B947))</f>
        <v/>
      </c>
    </row>
    <row r="948" ht="15" customHeight="1" s="77">
      <c r="G948" s="122">
        <f>IF($D948="",0,MIN($D948,$D948*$F948*MAX(0,ROUNDDOWN((AmortismanRaporTarihi-$C948)/365,0))))</f>
        <v/>
      </c>
      <c r="H948" s="122">
        <f>IF($D948="",0,MAX(0,$D948-$G948))</f>
        <v/>
      </c>
      <c r="I948" s="122">
        <f>IF($B948="","",CONCATENATE("Örnek kıymet: ",$B948))</f>
        <v/>
      </c>
    </row>
    <row r="949" ht="15" customHeight="1" s="77">
      <c r="G949" s="122">
        <f>IF($D949="",0,MIN($D949,$D949*$F949*MAX(0,ROUNDDOWN((AmortismanRaporTarihi-$C949)/365,0))))</f>
        <v/>
      </c>
      <c r="H949" s="122">
        <f>IF($D949="",0,MAX(0,$D949-$G949))</f>
        <v/>
      </c>
      <c r="I949" s="122">
        <f>IF($B949="","",CONCATENATE("Örnek kıymet: ",$B949))</f>
        <v/>
      </c>
    </row>
    <row r="950" ht="15" customHeight="1" s="77">
      <c r="G950" s="122">
        <f>IF($D950="",0,MIN($D950,$D950*$F950*MAX(0,ROUNDDOWN((AmortismanRaporTarihi-$C950)/365,0))))</f>
        <v/>
      </c>
      <c r="H950" s="122">
        <f>IF($D950="",0,MAX(0,$D950-$G950))</f>
        <v/>
      </c>
      <c r="I950" s="122">
        <f>IF($B950="","",CONCATENATE("Örnek kıymet: ",$B950))</f>
        <v/>
      </c>
    </row>
    <row r="951" ht="15" customHeight="1" s="77">
      <c r="G951" s="122">
        <f>IF($D951="",0,MIN($D951,$D951*$F951*MAX(0,ROUNDDOWN((AmortismanRaporTarihi-$C951)/365,0))))</f>
        <v/>
      </c>
      <c r="H951" s="122">
        <f>IF($D951="",0,MAX(0,$D951-$G951))</f>
        <v/>
      </c>
      <c r="I951" s="122">
        <f>IF($B951="","",CONCATENATE("Örnek kıymet: ",$B951))</f>
        <v/>
      </c>
    </row>
    <row r="952" ht="15" customHeight="1" s="77">
      <c r="G952" s="122">
        <f>IF($D952="",0,MIN($D952,$D952*$F952*MAX(0,ROUNDDOWN((AmortismanRaporTarihi-$C952)/365,0))))</f>
        <v/>
      </c>
      <c r="H952" s="122">
        <f>IF($D952="",0,MAX(0,$D952-$G952))</f>
        <v/>
      </c>
      <c r="I952" s="122">
        <f>IF($B952="","",CONCATENATE("Örnek kıymet: ",$B952))</f>
        <v/>
      </c>
    </row>
    <row r="953" ht="15" customHeight="1" s="77">
      <c r="G953" s="122">
        <f>IF($D953="",0,MIN($D953,$D953*$F953*MAX(0,ROUNDDOWN((AmortismanRaporTarihi-$C953)/365,0))))</f>
        <v/>
      </c>
      <c r="H953" s="122">
        <f>IF($D953="",0,MAX(0,$D953-$G953))</f>
        <v/>
      </c>
      <c r="I953" s="122">
        <f>IF($B953="","",CONCATENATE("Örnek kıymet: ",$B953))</f>
        <v/>
      </c>
    </row>
    <row r="954" ht="15" customHeight="1" s="77">
      <c r="G954" s="122">
        <f>IF($D954="",0,MIN($D954,$D954*$F954*MAX(0,ROUNDDOWN((AmortismanRaporTarihi-$C954)/365,0))))</f>
        <v/>
      </c>
      <c r="H954" s="122">
        <f>IF($D954="",0,MAX(0,$D954-$G954))</f>
        <v/>
      </c>
      <c r="I954" s="122">
        <f>IF($B954="","",CONCATENATE("Örnek kıymet: ",$B954))</f>
        <v/>
      </c>
    </row>
    <row r="955" ht="15" customHeight="1" s="77">
      <c r="G955" s="122">
        <f>IF($D955="",0,MIN($D955,$D955*$F955*MAX(0,ROUNDDOWN((AmortismanRaporTarihi-$C955)/365,0))))</f>
        <v/>
      </c>
      <c r="H955" s="122">
        <f>IF($D955="",0,MAX(0,$D955-$G955))</f>
        <v/>
      </c>
      <c r="I955" s="122">
        <f>IF($B955="","",CONCATENATE("Örnek kıymet: ",$B955))</f>
        <v/>
      </c>
    </row>
    <row r="956" ht="15" customHeight="1" s="77">
      <c r="G956" s="122">
        <f>IF($D956="",0,MIN($D956,$D956*$F956*MAX(0,ROUNDDOWN((AmortismanRaporTarihi-$C956)/365,0))))</f>
        <v/>
      </c>
      <c r="H956" s="122">
        <f>IF($D956="",0,MAX(0,$D956-$G956))</f>
        <v/>
      </c>
      <c r="I956" s="122">
        <f>IF($B956="","",CONCATENATE("Örnek kıymet: ",$B956))</f>
        <v/>
      </c>
    </row>
    <row r="957" ht="15" customHeight="1" s="77">
      <c r="G957" s="122">
        <f>IF($D957="",0,MIN($D957,$D957*$F957*MAX(0,ROUNDDOWN((AmortismanRaporTarihi-$C957)/365,0))))</f>
        <v/>
      </c>
      <c r="H957" s="122">
        <f>IF($D957="",0,MAX(0,$D957-$G957))</f>
        <v/>
      </c>
      <c r="I957" s="122">
        <f>IF($B957="","",CONCATENATE("Örnek kıymet: ",$B957))</f>
        <v/>
      </c>
    </row>
    <row r="958" ht="15" customHeight="1" s="77">
      <c r="G958" s="122">
        <f>IF($D958="",0,MIN($D958,$D958*$F958*MAX(0,ROUNDDOWN((AmortismanRaporTarihi-$C958)/365,0))))</f>
        <v/>
      </c>
      <c r="H958" s="122">
        <f>IF($D958="",0,MAX(0,$D958-$G958))</f>
        <v/>
      </c>
      <c r="I958" s="122">
        <f>IF($B958="","",CONCATENATE("Örnek kıymet: ",$B958))</f>
        <v/>
      </c>
    </row>
    <row r="959" ht="15" customHeight="1" s="77">
      <c r="G959" s="122">
        <f>IF($D959="",0,MIN($D959,$D959*$F959*MAX(0,ROUNDDOWN((AmortismanRaporTarihi-$C959)/365,0))))</f>
        <v/>
      </c>
      <c r="H959" s="122">
        <f>IF($D959="",0,MAX(0,$D959-$G959))</f>
        <v/>
      </c>
      <c r="I959" s="122">
        <f>IF($B959="","",CONCATENATE("Örnek kıymet: ",$B959))</f>
        <v/>
      </c>
    </row>
    <row r="960" ht="15" customHeight="1" s="77">
      <c r="G960" s="122">
        <f>IF($D960="",0,MIN($D960,$D960*$F960*MAX(0,ROUNDDOWN((AmortismanRaporTarihi-$C960)/365,0))))</f>
        <v/>
      </c>
      <c r="H960" s="122">
        <f>IF($D960="",0,MAX(0,$D960-$G960))</f>
        <v/>
      </c>
      <c r="I960" s="122">
        <f>IF($B960="","",CONCATENATE("Örnek kıymet: ",$B960))</f>
        <v/>
      </c>
    </row>
    <row r="961" ht="15" customHeight="1" s="77">
      <c r="G961" s="122">
        <f>IF($D961="",0,MIN($D961,$D961*$F961*MAX(0,ROUNDDOWN((AmortismanRaporTarihi-$C961)/365,0))))</f>
        <v/>
      </c>
      <c r="H961" s="122">
        <f>IF($D961="",0,MAX(0,$D961-$G961))</f>
        <v/>
      </c>
      <c r="I961" s="122">
        <f>IF($B961="","",CONCATENATE("Örnek kıymet: ",$B961))</f>
        <v/>
      </c>
    </row>
    <row r="962" ht="15" customHeight="1" s="77">
      <c r="G962" s="122">
        <f>IF($D962="",0,MIN($D962,$D962*$F962*MAX(0,ROUNDDOWN((AmortismanRaporTarihi-$C962)/365,0))))</f>
        <v/>
      </c>
      <c r="H962" s="122">
        <f>IF($D962="",0,MAX(0,$D962-$G962))</f>
        <v/>
      </c>
      <c r="I962" s="122">
        <f>IF($B962="","",CONCATENATE("Örnek kıymet: ",$B962))</f>
        <v/>
      </c>
    </row>
    <row r="963" ht="15" customHeight="1" s="77">
      <c r="G963" s="122">
        <f>IF($D963="",0,MIN($D963,$D963*$F963*MAX(0,ROUNDDOWN((AmortismanRaporTarihi-$C963)/365,0))))</f>
        <v/>
      </c>
      <c r="H963" s="122">
        <f>IF($D963="",0,MAX(0,$D963-$G963))</f>
        <v/>
      </c>
      <c r="I963" s="122">
        <f>IF($B963="","",CONCATENATE("Örnek kıymet: ",$B963))</f>
        <v/>
      </c>
    </row>
    <row r="964" ht="15" customHeight="1" s="77">
      <c r="G964" s="122">
        <f>IF($D964="",0,MIN($D964,$D964*$F964*MAX(0,ROUNDDOWN((AmortismanRaporTarihi-$C964)/365,0))))</f>
        <v/>
      </c>
      <c r="H964" s="122">
        <f>IF($D964="",0,MAX(0,$D964-$G964))</f>
        <v/>
      </c>
      <c r="I964" s="122">
        <f>IF($B964="","",CONCATENATE("Örnek kıymet: ",$B964))</f>
        <v/>
      </c>
    </row>
    <row r="965" ht="15" customHeight="1" s="77">
      <c r="G965" s="122">
        <f>IF($D965="",0,MIN($D965,$D965*$F965*MAX(0,ROUNDDOWN((AmortismanRaporTarihi-$C965)/365,0))))</f>
        <v/>
      </c>
      <c r="H965" s="122">
        <f>IF($D965="",0,MAX(0,$D965-$G965))</f>
        <v/>
      </c>
      <c r="I965" s="122">
        <f>IF($B965="","",CONCATENATE("Örnek kıymet: ",$B965))</f>
        <v/>
      </c>
    </row>
    <row r="966" ht="15" customHeight="1" s="77">
      <c r="G966" s="122">
        <f>IF($D966="",0,MIN($D966,$D966*$F966*MAX(0,ROUNDDOWN((AmortismanRaporTarihi-$C966)/365,0))))</f>
        <v/>
      </c>
      <c r="H966" s="122">
        <f>IF($D966="",0,MAX(0,$D966-$G966))</f>
        <v/>
      </c>
      <c r="I966" s="122">
        <f>IF($B966="","",CONCATENATE("Örnek kıymet: ",$B966))</f>
        <v/>
      </c>
    </row>
    <row r="967" ht="15" customHeight="1" s="77">
      <c r="G967" s="122">
        <f>IF($D967="",0,MIN($D967,$D967*$F967*MAX(0,ROUNDDOWN((AmortismanRaporTarihi-$C967)/365,0))))</f>
        <v/>
      </c>
      <c r="H967" s="122">
        <f>IF($D967="",0,MAX(0,$D967-$G967))</f>
        <v/>
      </c>
      <c r="I967" s="122">
        <f>IF($B967="","",CONCATENATE("Örnek kıymet: ",$B967))</f>
        <v/>
      </c>
    </row>
    <row r="968" ht="15" customHeight="1" s="77">
      <c r="G968" s="122">
        <f>IF($D968="",0,MIN($D968,$D968*$F968*MAX(0,ROUNDDOWN((AmortismanRaporTarihi-$C968)/365,0))))</f>
        <v/>
      </c>
      <c r="H968" s="122">
        <f>IF($D968="",0,MAX(0,$D968-$G968))</f>
        <v/>
      </c>
      <c r="I968" s="122">
        <f>IF($B968="","",CONCATENATE("Örnek kıymet: ",$B968))</f>
        <v/>
      </c>
    </row>
    <row r="969" ht="15" customHeight="1" s="77">
      <c r="G969" s="122">
        <f>IF($D969="",0,MIN($D969,$D969*$F969*MAX(0,ROUNDDOWN((AmortismanRaporTarihi-$C969)/365,0))))</f>
        <v/>
      </c>
      <c r="H969" s="122">
        <f>IF($D969="",0,MAX(0,$D969-$G969))</f>
        <v/>
      </c>
      <c r="I969" s="122">
        <f>IF($B969="","",CONCATENATE("Örnek kıymet: ",$B969))</f>
        <v/>
      </c>
    </row>
    <row r="970" ht="15" customHeight="1" s="77">
      <c r="G970" s="122">
        <f>IF($D970="",0,MIN($D970,$D970*$F970*MAX(0,ROUNDDOWN((AmortismanRaporTarihi-$C970)/365,0))))</f>
        <v/>
      </c>
      <c r="H970" s="122">
        <f>IF($D970="",0,MAX(0,$D970-$G970))</f>
        <v/>
      </c>
      <c r="I970" s="122">
        <f>IF($B970="","",CONCATENATE("Örnek kıymet: ",$B970))</f>
        <v/>
      </c>
    </row>
    <row r="971" ht="15" customHeight="1" s="77">
      <c r="G971" s="122">
        <f>IF($D971="",0,MIN($D971,$D971*$F971*MAX(0,ROUNDDOWN((AmortismanRaporTarihi-$C971)/365,0))))</f>
        <v/>
      </c>
      <c r="H971" s="122">
        <f>IF($D971="",0,MAX(0,$D971-$G971))</f>
        <v/>
      </c>
      <c r="I971" s="122">
        <f>IF($B971="","",CONCATENATE("Örnek kıymet: ",$B971))</f>
        <v/>
      </c>
    </row>
    <row r="972" ht="15" customHeight="1" s="77">
      <c r="G972" s="122">
        <f>IF($D972="",0,MIN($D972,$D972*$F972*MAX(0,ROUNDDOWN((AmortismanRaporTarihi-$C972)/365,0))))</f>
        <v/>
      </c>
      <c r="H972" s="122">
        <f>IF($D972="",0,MAX(0,$D972-$G972))</f>
        <v/>
      </c>
      <c r="I972" s="122">
        <f>IF($B972="","",CONCATENATE("Örnek kıymet: ",$B972))</f>
        <v/>
      </c>
    </row>
    <row r="973" ht="15" customHeight="1" s="77">
      <c r="G973" s="122">
        <f>IF($D973="",0,MIN($D973,$D973*$F973*MAX(0,ROUNDDOWN((AmortismanRaporTarihi-$C973)/365,0))))</f>
        <v/>
      </c>
      <c r="H973" s="122">
        <f>IF($D973="",0,MAX(0,$D973-$G973))</f>
        <v/>
      </c>
      <c r="I973" s="122">
        <f>IF($B973="","",CONCATENATE("Örnek kıymet: ",$B973))</f>
        <v/>
      </c>
    </row>
    <row r="974" ht="15" customHeight="1" s="77">
      <c r="G974" s="122">
        <f>IF($D974="",0,MIN($D974,$D974*$F974*MAX(0,ROUNDDOWN((AmortismanRaporTarihi-$C974)/365,0))))</f>
        <v/>
      </c>
      <c r="H974" s="122">
        <f>IF($D974="",0,MAX(0,$D974-$G974))</f>
        <v/>
      </c>
      <c r="I974" s="122">
        <f>IF($B974="","",CONCATENATE("Örnek kıymet: ",$B974))</f>
        <v/>
      </c>
    </row>
    <row r="975" ht="15" customHeight="1" s="77">
      <c r="G975" s="122">
        <f>IF($D975="",0,MIN($D975,$D975*$F975*MAX(0,ROUNDDOWN((AmortismanRaporTarihi-$C975)/365,0))))</f>
        <v/>
      </c>
      <c r="H975" s="122">
        <f>IF($D975="",0,MAX(0,$D975-$G975))</f>
        <v/>
      </c>
      <c r="I975" s="122">
        <f>IF($B975="","",CONCATENATE("Örnek kıymet: ",$B975))</f>
        <v/>
      </c>
    </row>
    <row r="976" ht="15" customHeight="1" s="77">
      <c r="G976" s="122">
        <f>IF($D976="",0,MIN($D976,$D976*$F976*MAX(0,ROUNDDOWN((AmortismanRaporTarihi-$C976)/365,0))))</f>
        <v/>
      </c>
      <c r="H976" s="122">
        <f>IF($D976="",0,MAX(0,$D976-$G976))</f>
        <v/>
      </c>
      <c r="I976" s="122">
        <f>IF($B976="","",CONCATENATE("Örnek kıymet: ",$B976))</f>
        <v/>
      </c>
    </row>
    <row r="977" ht="15" customHeight="1" s="77">
      <c r="G977" s="122">
        <f>IF($D977="",0,MIN($D977,$D977*$F977*MAX(0,ROUNDDOWN((AmortismanRaporTarihi-$C977)/365,0))))</f>
        <v/>
      </c>
      <c r="H977" s="122">
        <f>IF($D977="",0,MAX(0,$D977-$G977))</f>
        <v/>
      </c>
      <c r="I977" s="122">
        <f>IF($B977="","",CONCATENATE("Örnek kıymet: ",$B977))</f>
        <v/>
      </c>
    </row>
    <row r="978" ht="15" customHeight="1" s="77">
      <c r="G978" s="122">
        <f>IF($D978="",0,MIN($D978,$D978*$F978*MAX(0,ROUNDDOWN((AmortismanRaporTarihi-$C978)/365,0))))</f>
        <v/>
      </c>
      <c r="H978" s="122">
        <f>IF($D978="",0,MAX(0,$D978-$G978))</f>
        <v/>
      </c>
      <c r="I978" s="122">
        <f>IF($B978="","",CONCATENATE("Örnek kıymet: ",$B978))</f>
        <v/>
      </c>
    </row>
    <row r="979" ht="15" customHeight="1" s="77">
      <c r="G979" s="122">
        <f>IF($D979="",0,MIN($D979,$D979*$F979*MAX(0,ROUNDDOWN((AmortismanRaporTarihi-$C979)/365,0))))</f>
        <v/>
      </c>
      <c r="H979" s="122">
        <f>IF($D979="",0,MAX(0,$D979-$G979))</f>
        <v/>
      </c>
      <c r="I979" s="122">
        <f>IF($B979="","",CONCATENATE("Örnek kıymet: ",$B979))</f>
        <v/>
      </c>
    </row>
    <row r="980" ht="15" customHeight="1" s="77">
      <c r="G980" s="122">
        <f>IF($D980="",0,MIN($D980,$D980*$F980*MAX(0,ROUNDDOWN((AmortismanRaporTarihi-$C980)/365,0))))</f>
        <v/>
      </c>
      <c r="H980" s="122">
        <f>IF($D980="",0,MAX(0,$D980-$G980))</f>
        <v/>
      </c>
      <c r="I980" s="122">
        <f>IF($B980="","",CONCATENATE("Örnek kıymet: ",$B980))</f>
        <v/>
      </c>
    </row>
    <row r="981" ht="15" customHeight="1" s="77">
      <c r="G981" s="122">
        <f>IF($D981="",0,MIN($D981,$D981*$F981*MAX(0,ROUNDDOWN((AmortismanRaporTarihi-$C981)/365,0))))</f>
        <v/>
      </c>
      <c r="H981" s="122">
        <f>IF($D981="",0,MAX(0,$D981-$G981))</f>
        <v/>
      </c>
      <c r="I981" s="122">
        <f>IF($B981="","",CONCATENATE("Örnek kıymet: ",$B981))</f>
        <v/>
      </c>
    </row>
    <row r="982" ht="15" customHeight="1" s="77">
      <c r="G982" s="122">
        <f>IF($D982="",0,MIN($D982,$D982*$F982*MAX(0,ROUNDDOWN((AmortismanRaporTarihi-$C982)/365,0))))</f>
        <v/>
      </c>
      <c r="H982" s="122">
        <f>IF($D982="",0,MAX(0,$D982-$G982))</f>
        <v/>
      </c>
      <c r="I982" s="122">
        <f>IF($B982="","",CONCATENATE("Örnek kıymet: ",$B982))</f>
        <v/>
      </c>
    </row>
    <row r="983" ht="15" customHeight="1" s="77">
      <c r="G983" s="122">
        <f>IF($D983="",0,MIN($D983,$D983*$F983*MAX(0,ROUNDDOWN((AmortismanRaporTarihi-$C983)/365,0))))</f>
        <v/>
      </c>
      <c r="H983" s="122">
        <f>IF($D983="",0,MAX(0,$D983-$G983))</f>
        <v/>
      </c>
      <c r="I983" s="122">
        <f>IF($B983="","",CONCATENATE("Örnek kıymet: ",$B983))</f>
        <v/>
      </c>
    </row>
    <row r="984" ht="15" customHeight="1" s="77">
      <c r="G984" s="122">
        <f>IF($D984="",0,MIN($D984,$D984*$F984*MAX(0,ROUNDDOWN((AmortismanRaporTarihi-$C984)/365,0))))</f>
        <v/>
      </c>
      <c r="H984" s="122">
        <f>IF($D984="",0,MAX(0,$D984-$G984))</f>
        <v/>
      </c>
      <c r="I984" s="122">
        <f>IF($B984="","",CONCATENATE("Örnek kıymet: ",$B984))</f>
        <v/>
      </c>
    </row>
    <row r="985" ht="15" customHeight="1" s="77">
      <c r="G985" s="122">
        <f>IF($D985="",0,MIN($D985,$D985*$F985*MAX(0,ROUNDDOWN((AmortismanRaporTarihi-$C985)/365,0))))</f>
        <v/>
      </c>
      <c r="H985" s="122">
        <f>IF($D985="",0,MAX(0,$D985-$G985))</f>
        <v/>
      </c>
      <c r="I985" s="122">
        <f>IF($B985="","",CONCATENATE("Örnek kıymet: ",$B985))</f>
        <v/>
      </c>
    </row>
    <row r="986" ht="15" customHeight="1" s="77">
      <c r="G986" s="122">
        <f>IF($D986="",0,MIN($D986,$D986*$F986*MAX(0,ROUNDDOWN((AmortismanRaporTarihi-$C986)/365,0))))</f>
        <v/>
      </c>
      <c r="H986" s="122">
        <f>IF($D986="",0,MAX(0,$D986-$G986))</f>
        <v/>
      </c>
      <c r="I986" s="122">
        <f>IF($B986="","",CONCATENATE("Örnek kıymet: ",$B986))</f>
        <v/>
      </c>
    </row>
    <row r="987" ht="15" customHeight="1" s="77">
      <c r="G987" s="122">
        <f>IF($D987="",0,MIN($D987,$D987*$F987*MAX(0,ROUNDDOWN((AmortismanRaporTarihi-$C987)/365,0))))</f>
        <v/>
      </c>
      <c r="H987" s="122">
        <f>IF($D987="",0,MAX(0,$D987-$G987))</f>
        <v/>
      </c>
      <c r="I987" s="122">
        <f>IF($B987="","",CONCATENATE("Örnek kıymet: ",$B987))</f>
        <v/>
      </c>
    </row>
    <row r="988" ht="15" customHeight="1" s="77">
      <c r="G988" s="122">
        <f>IF($D988="",0,MIN($D988,$D988*$F988*MAX(0,ROUNDDOWN((AmortismanRaporTarihi-$C988)/365,0))))</f>
        <v/>
      </c>
      <c r="H988" s="122">
        <f>IF($D988="",0,MAX(0,$D988-$G988))</f>
        <v/>
      </c>
      <c r="I988" s="122">
        <f>IF($B988="","",CONCATENATE("Örnek kıymet: ",$B988))</f>
        <v/>
      </c>
    </row>
    <row r="989" ht="15" customHeight="1" s="77">
      <c r="G989" s="122">
        <f>IF($D989="",0,MIN($D989,$D989*$F989*MAX(0,ROUNDDOWN((AmortismanRaporTarihi-$C989)/365,0))))</f>
        <v/>
      </c>
      <c r="H989" s="122">
        <f>IF($D989="",0,MAX(0,$D989-$G989))</f>
        <v/>
      </c>
      <c r="I989" s="122">
        <f>IF($B989="","",CONCATENATE("Örnek kıymet: ",$B989))</f>
        <v/>
      </c>
    </row>
    <row r="990" ht="15" customHeight="1" s="77">
      <c r="G990" s="122">
        <f>IF($D990="",0,MIN($D990,$D990*$F990*MAX(0,ROUNDDOWN((AmortismanRaporTarihi-$C990)/365,0))))</f>
        <v/>
      </c>
      <c r="H990" s="122">
        <f>IF($D990="",0,MAX(0,$D990-$G990))</f>
        <v/>
      </c>
      <c r="I990" s="122">
        <f>IF($B990="","",CONCATENATE("Örnek kıymet: ",$B990))</f>
        <v/>
      </c>
    </row>
    <row r="991" ht="15" customHeight="1" s="77">
      <c r="G991" s="122">
        <f>IF($D991="",0,MIN($D991,$D991*$F991*MAX(0,ROUNDDOWN((AmortismanRaporTarihi-$C991)/365,0))))</f>
        <v/>
      </c>
      <c r="H991" s="122">
        <f>IF($D991="",0,MAX(0,$D991-$G991))</f>
        <v/>
      </c>
      <c r="I991" s="122">
        <f>IF($B991="","",CONCATENATE("Örnek kıymet: ",$B991))</f>
        <v/>
      </c>
    </row>
    <row r="992" ht="15" customHeight="1" s="77">
      <c r="G992" s="122">
        <f>IF($D992="",0,MIN($D992,$D992*$F992*MAX(0,ROUNDDOWN((AmortismanRaporTarihi-$C992)/365,0))))</f>
        <v/>
      </c>
      <c r="H992" s="122">
        <f>IF($D992="",0,MAX(0,$D992-$G992))</f>
        <v/>
      </c>
      <c r="I992" s="122">
        <f>IF($B992="","",CONCATENATE("Örnek kıymet: ",$B992))</f>
        <v/>
      </c>
    </row>
    <row r="993" ht="15" customHeight="1" s="77">
      <c r="G993" s="122">
        <f>IF($D993="",0,MIN($D993,$D993*$F993*MAX(0,ROUNDDOWN((AmortismanRaporTarihi-$C993)/365,0))))</f>
        <v/>
      </c>
      <c r="H993" s="122">
        <f>IF($D993="",0,MAX(0,$D993-$G993))</f>
        <v/>
      </c>
      <c r="I993" s="122">
        <f>IF($B993="","",CONCATENATE("Örnek kıymet: ",$B993))</f>
        <v/>
      </c>
    </row>
    <row r="994" ht="15" customHeight="1" s="77">
      <c r="G994" s="122">
        <f>IF($D994="",0,MIN($D994,$D994*$F994*MAX(0,ROUNDDOWN((AmortismanRaporTarihi-$C994)/365,0))))</f>
        <v/>
      </c>
      <c r="H994" s="122">
        <f>IF($D994="",0,MAX(0,$D994-$G994))</f>
        <v/>
      </c>
      <c r="I994" s="122">
        <f>IF($B994="","",CONCATENATE("Örnek kıymet: ",$B994))</f>
        <v/>
      </c>
    </row>
    <row r="995" ht="15" customHeight="1" s="77">
      <c r="G995" s="122">
        <f>IF($D995="",0,MIN($D995,$D995*$F995*MAX(0,ROUNDDOWN((AmortismanRaporTarihi-$C995)/365,0))))</f>
        <v/>
      </c>
      <c r="H995" s="122">
        <f>IF($D995="",0,MAX(0,$D995-$G995))</f>
        <v/>
      </c>
      <c r="I995" s="122">
        <f>IF($B995="","",CONCATENATE("Örnek kıymet: ",$B995))</f>
        <v/>
      </c>
    </row>
    <row r="996" ht="15" customHeight="1" s="77">
      <c r="G996" s="122">
        <f>IF($D996="",0,MIN($D996,$D996*$F996*MAX(0,ROUNDDOWN((AmortismanRaporTarihi-$C996)/365,0))))</f>
        <v/>
      </c>
      <c r="H996" s="122">
        <f>IF($D996="",0,MAX(0,$D996-$G996))</f>
        <v/>
      </c>
      <c r="I996" s="122">
        <f>IF($B996="","",CONCATENATE("Örnek kıymet: ",$B996))</f>
        <v/>
      </c>
    </row>
    <row r="997" ht="15" customHeight="1" s="77">
      <c r="G997" s="122">
        <f>IF($D997="",0,MIN($D997,$D997*$F997*MAX(0,ROUNDDOWN((AmortismanRaporTarihi-$C997)/365,0))))</f>
        <v/>
      </c>
      <c r="H997" s="122">
        <f>IF($D997="",0,MAX(0,$D997-$G997))</f>
        <v/>
      </c>
      <c r="I997" s="122">
        <f>IF($B997="","",CONCATENATE("Örnek kıymet: ",$B997))</f>
        <v/>
      </c>
    </row>
    <row r="998" ht="15" customHeight="1" s="77">
      <c r="G998" s="122">
        <f>IF($D998="",0,MIN($D998,$D998*$F998*MAX(0,ROUNDDOWN((AmortismanRaporTarihi-$C998)/365,0))))</f>
        <v/>
      </c>
      <c r="H998" s="122">
        <f>IF($D998="",0,MAX(0,$D998-$G998))</f>
        <v/>
      </c>
      <c r="I998" s="122">
        <f>IF($B998="","",CONCATENATE("Örnek kıymet: ",$B998))</f>
        <v/>
      </c>
    </row>
    <row r="999" ht="15" customHeight="1" s="77">
      <c r="G999" s="122">
        <f>IF($D999="",0,MIN($D999,$D999*$F999*MAX(0,ROUNDDOWN((AmortismanRaporTarihi-$C999)/365,0))))</f>
        <v/>
      </c>
      <c r="H999" s="122">
        <f>IF($D999="",0,MAX(0,$D999-$G999))</f>
        <v/>
      </c>
      <c r="I999" s="122">
        <f>IF($B999="","",CONCATENATE("Örnek kıymet: ",$B999))</f>
        <v/>
      </c>
    </row>
    <row r="1000" ht="15" customHeight="1" s="77">
      <c r="G1000" s="122">
        <f>IF($D1000="",0,MIN($D1000,$D1000*$F1000*MAX(0,ROUNDDOWN((AmortismanRaporTarihi-$C1000)/365,0))))</f>
        <v/>
      </c>
      <c r="H1000" s="122">
        <f>IF($D1000="",0,MAX(0,$D1000-$G1000))</f>
        <v/>
      </c>
      <c r="I1000" s="122">
        <f>IF($B1000="","",CONCATENATE("Örnek kıymet: ",$B1000))</f>
        <v/>
      </c>
    </row>
    <row r="1001" ht="15" customHeight="1" s="77">
      <c r="G1001" s="122">
        <f>IF($D1001="",0,MIN($D1001,$D1001*$F1001*MAX(0,ROUNDDOWN((AmortismanRaporTarihi-$C1001)/365,0))))</f>
        <v/>
      </c>
      <c r="H1001" s="122">
        <f>IF($D1001="",0,MAX(0,$D1001-$G1001))</f>
        <v/>
      </c>
      <c r="I1001" s="122">
        <f>IF($B1001="","",CONCATENATE("Örnek kıymet: ",$B1001))</f>
        <v/>
      </c>
    </row>
    <row r="1002" ht="15" customHeight="1" s="77">
      <c r="G1002" s="122">
        <f>IF($D1002="",0,MIN($D1002,$D1002*$F1002*MAX(0,ROUNDDOWN((AmortismanRaporTarihi-$C1002)/365,0))))</f>
        <v/>
      </c>
      <c r="H1002" s="122">
        <f>IF($D1002="",0,MAX(0,$D1002-$G1002))</f>
        <v/>
      </c>
      <c r="I1002" s="122">
        <f>IF($B1002="","",CONCATENATE("Örnek kıymet: ",$B1002))</f>
        <v/>
      </c>
    </row>
    <row r="1003" ht="15" customHeight="1" s="77">
      <c r="G1003" s="122">
        <f>IF($D1003="",0,MIN($D1003,$D1003*$F1003*MAX(0,ROUNDDOWN((AmortismanRaporTarihi-$C1003)/365,0))))</f>
        <v/>
      </c>
      <c r="H1003" s="122">
        <f>IF($D1003="",0,MAX(0,$D1003-$G1003))</f>
        <v/>
      </c>
      <c r="I1003" s="122">
        <f>IF($B1003="","",CONCATENATE("Örnek kıymet: ",$B1003))</f>
        <v/>
      </c>
    </row>
    <row r="1004" ht="15" customHeight="1" s="77">
      <c r="G1004" s="122">
        <f>IF($D1004="",0,MIN($D1004,$D1004*$F1004*MAX(0,ROUNDDOWN((AmortismanRaporTarihi-$C1004)/365,0))))</f>
        <v/>
      </c>
      <c r="H1004" s="122">
        <f>IF($D1004="",0,MAX(0,$D1004-$G1004))</f>
        <v/>
      </c>
      <c r="I1004" s="122">
        <f>IF($B1004="","",CONCATENATE("Örnek kıymet: ",$B1004))</f>
        <v/>
      </c>
    </row>
    <row r="1006" ht="19.5" customHeight="1" s="77">
      <c r="A1006" s="127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77">
      <c r="A1" s="103" t="inlineStr">
        <is>
          <t>KURALLAR — amort_uretildi</t>
        </is>
      </c>
    </row>
    <row r="3" ht="15" customHeight="1" s="77">
      <c r="A3" s="103" t="inlineStr">
        <is>
          <t>kural_id</t>
        </is>
      </c>
      <c r="B3" s="103" t="inlineStr">
        <is>
          <t>aciklama</t>
        </is>
      </c>
      <c r="C3" s="103" t="inlineStr">
        <is>
          <t>deger_2025</t>
        </is>
      </c>
      <c r="D3" s="103" t="inlineStr">
        <is>
          <t>deger_2026</t>
        </is>
      </c>
      <c r="E3" s="103" t="inlineStr">
        <is>
          <t>deger_2027</t>
        </is>
      </c>
      <c r="F3" s="103" t="inlineStr">
        <is>
          <t>kaynak</t>
        </is>
      </c>
    </row>
    <row r="4" ht="15" customHeight="1" s="77">
      <c r="A4" s="103" t="inlineStr">
        <is>
          <t>K1</t>
        </is>
      </c>
      <c r="B4" s="103" t="inlineStr">
        <is>
          <t>Kurumlar vergisi oranı</t>
        </is>
      </c>
      <c r="C4" s="161" t="n">
        <v>0.25</v>
      </c>
      <c r="D4" s="161" t="n">
        <v>0.25</v>
      </c>
      <c r="E4" s="161" t="n">
        <v>0.25</v>
      </c>
      <c r="F4" s="103" t="inlineStr">
        <is>
          <t>KV</t>
        </is>
      </c>
    </row>
    <row r="5" ht="15" customHeight="1" s="77">
      <c r="A5" s="103" t="inlineStr">
        <is>
          <t>K2</t>
        </is>
      </c>
      <c r="B5" s="103" t="inlineStr">
        <is>
          <t>İskonto / referans oran</t>
        </is>
      </c>
      <c r="C5" s="161" t="n">
        <v>0.2</v>
      </c>
      <c r="D5" s="161" t="n">
        <v>0.2</v>
      </c>
      <c r="E5" s="161" t="n">
        <v>0.2</v>
      </c>
      <c r="F5" s="103" t="inlineStr">
        <is>
          <t>AYARLAR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77">
      <c r="A1" s="103" t="inlineStr">
        <is>
          <t>VAKALAR — amort_uretildi</t>
        </is>
      </c>
    </row>
    <row r="3" ht="15" customHeight="1" s="77">
      <c r="A3" s="103" t="inlineStr">
        <is>
          <t>Tebliğ tarzı altın vakalar</t>
        </is>
      </c>
    </row>
    <row r="5" ht="15" customHeight="1" s="77">
      <c r="A5" s="103" t="inlineStr">
        <is>
          <t>vaka_id</t>
        </is>
      </c>
      <c r="B5" s="103" t="inlineStr">
        <is>
          <t>aciklama</t>
        </is>
      </c>
      <c r="C5" s="103" t="inlineStr">
        <is>
          <t>girdi_ozeti</t>
        </is>
      </c>
      <c r="D5" s="103" t="inlineStr">
        <is>
          <t>beklenen_sonuc</t>
        </is>
      </c>
      <c r="E5" s="103" t="inlineStr">
        <is>
          <t>hesaplanan</t>
        </is>
      </c>
      <c r="F5" s="103" t="inlineStr">
        <is>
          <t>fark</t>
        </is>
      </c>
      <c r="G5" s="103" t="inlineStr">
        <is>
          <t>durum</t>
        </is>
      </c>
      <c r="H5" s="103" t="inlineStr">
        <is>
          <t>kaynak</t>
        </is>
      </c>
    </row>
    <row r="6" ht="15" customHeight="1" s="77">
      <c r="A6" s="103" t="inlineStr">
        <is>
          <t>V1</t>
        </is>
      </c>
      <c r="B6" s="103" t="inlineStr">
        <is>
          <t>Baz senaryo tutarlılık</t>
        </is>
      </c>
      <c r="C6" s="103" t="inlineStr">
        <is>
          <t>örnek girdi</t>
        </is>
      </c>
      <c r="D6" s="161" t="n">
        <v>0</v>
      </c>
      <c r="E6" s="161" t="n">
        <v>0</v>
      </c>
      <c r="F6" s="161" t="n">
        <v>0</v>
      </c>
      <c r="G6" s="103" t="inlineStr">
        <is>
          <t>TUTARLI</t>
        </is>
      </c>
      <c r="H6" s="103" t="inlineStr">
        <is>
          <t>iç test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03" min="1" max="1"/>
    <col width="10" customWidth="1" style="103" min="2" max="2"/>
    <col width="40" customWidth="1" style="103" min="3" max="3"/>
    <col width="30" customWidth="1" style="103" min="4" max="4"/>
    <col width="14" customWidth="1" style="103" min="5" max="5"/>
  </cols>
  <sheetData>
    <row r="1" ht="25.5" customHeight="1" s="77">
      <c r="A1" s="104" t="inlineStr">
        <is>
          <t>DEGISIKLIK KAYDI — Amortisman &amp; Sabit Kıymet Satış Zamanlama Stratejisti</t>
        </is>
      </c>
    </row>
    <row r="3" ht="15" customHeight="1" s="77">
      <c r="A3" s="107" t="inlineStr">
        <is>
          <t>Değişiklik Kaydı</t>
        </is>
      </c>
    </row>
    <row r="4" ht="30" customHeight="1" s="77">
      <c r="A4" s="117" t="inlineStr">
        <is>
          <t>Tarih</t>
        </is>
      </c>
      <c r="B4" s="117" t="inlineStr">
        <is>
          <t>Sürüm</t>
        </is>
      </c>
      <c r="C4" s="117" t="inlineStr">
        <is>
          <t>Değişiklik</t>
        </is>
      </c>
      <c r="D4" s="117" t="inlineStr">
        <is>
          <t>Neden</t>
        </is>
      </c>
      <c r="E4" s="117" t="inlineStr">
        <is>
          <t>Yapan</t>
        </is>
      </c>
    </row>
    <row r="5" ht="15" customHeight="1" s="77">
      <c r="A5" s="156" t="inlineStr">
        <is>
          <t>10.08.2026</t>
        </is>
      </c>
      <c r="B5" s="156" t="inlineStr">
        <is>
          <t>1.0.0</t>
        </is>
      </c>
      <c r="C5" s="156" t="inlineStr">
        <is>
          <t>İlk üretim</t>
        </is>
      </c>
      <c r="D5" s="156" t="inlineStr">
        <is>
          <t>Ürünün yayına hazırlanması</t>
        </is>
      </c>
      <c r="E5" s="156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103" min="1" max="1"/>
    <col width="22" customWidth="1" style="103" min="3" max="3"/>
    <col width="16" customWidth="1" style="103" min="5" max="5"/>
  </cols>
  <sheetData>
    <row r="1" ht="25.5" customHeight="1" s="77">
      <c r="A1" s="104" t="inlineStr">
        <is>
          <t>LISTELER — Amortisman &amp; Sabit Kıymet Satış Zamanlama Stratejisti</t>
        </is>
      </c>
    </row>
    <row r="3" ht="15" customHeight="1" s="77">
      <c r="A3" s="107" t="inlineStr">
        <is>
          <t>Bağlı Listeler</t>
        </is>
      </c>
    </row>
    <row r="4" ht="68.25" customHeight="1" s="77">
      <c r="A4" s="106" t="inlineStr">
        <is>
          <t>Bu sayfadaki listeler açılır menüleri besler; yeni seçenek eklemek için sarı hücrelere yazın.</t>
        </is>
      </c>
    </row>
    <row r="6" ht="15" customHeight="1" s="77">
      <c r="A6" s="147" t="inlineStr">
        <is>
          <t>Kıymet Türü</t>
        </is>
      </c>
      <c r="C6" s="147" t="inlineStr">
        <is>
          <t>Amortisman Yöntemi</t>
        </is>
      </c>
      <c r="E6" s="147" t="inlineStr">
        <is>
          <t>Çeyrekler</t>
        </is>
      </c>
    </row>
    <row r="7" ht="15" customHeight="1" s="77">
      <c r="A7" s="162" t="inlineStr">
        <is>
          <t>Bina</t>
        </is>
      </c>
      <c r="C7" s="162" t="inlineStr">
        <is>
          <t>Normal</t>
        </is>
      </c>
      <c r="E7" s="162" t="inlineStr">
        <is>
          <t>1. ÇEYREK</t>
        </is>
      </c>
    </row>
    <row r="8" ht="15" customHeight="1" s="77">
      <c r="A8" s="162" t="inlineStr">
        <is>
          <t>Makine</t>
        </is>
      </c>
      <c r="C8" s="162" t="inlineStr">
        <is>
          <t>Azalan</t>
        </is>
      </c>
      <c r="E8" s="162" t="inlineStr">
        <is>
          <t>2. ÇEYREK</t>
        </is>
      </c>
    </row>
    <row r="9" ht="15" customHeight="1" s="77">
      <c r="A9" s="162" t="inlineStr">
        <is>
          <t>Taşıt</t>
        </is>
      </c>
      <c r="E9" s="162" t="inlineStr">
        <is>
          <t>3. ÇEYREK</t>
        </is>
      </c>
    </row>
    <row r="10" ht="15" customHeight="1" s="77">
      <c r="A10" s="162" t="inlineStr">
        <is>
          <t>Demirbaş</t>
        </is>
      </c>
      <c r="E10" s="162" t="inlineStr">
        <is>
          <t>4. ÇEYREK</t>
        </is>
      </c>
    </row>
    <row r="11" ht="15" customHeight="1" s="77">
      <c r="A11" s="162" t="inlineStr">
        <is>
          <t>Yazılım</t>
        </is>
      </c>
    </row>
    <row r="12" ht="15" customHeight="1" s="77">
      <c r="A12" s="162" t="inlineStr">
        <is>
          <t>Diğer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D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103" min="1" max="1"/>
    <col width="24" customWidth="1" style="103" min="2" max="2"/>
    <col width="12" customWidth="1" style="103" min="3" max="3"/>
    <col width="10" customWidth="1" style="103" min="4" max="5"/>
    <col width="60" customWidth="1" style="103" min="6" max="6"/>
    <col width="22" customWidth="1" style="103" min="7" max="7"/>
    <col width="16" customWidth="1" style="103" min="8" max="8"/>
    <col width="18" customWidth="1" style="103" min="9" max="9"/>
  </cols>
  <sheetData>
    <row r="1" ht="25.5" customHeight="1" s="77">
      <c r="A1" s="104" t="inlineStr">
        <is>
          <t>AYARLAR — Amortisman &amp; Sabit Kıymet Satış Zamanlama Stratejisti</t>
        </is>
      </c>
    </row>
    <row r="3" ht="15" customHeight="1" s="77">
      <c r="A3" s="107" t="inlineStr">
        <is>
          <t>Sistem Ayarları ve Oranlar</t>
        </is>
      </c>
    </row>
    <row r="4" ht="68.25" customHeight="1" s="77">
      <c r="A4" s="106" t="inlineStr">
        <is>
          <t>Tüm sabitler bu sayfadadır. Kurumlar vergisi oranı, iskonto oranı, azalan bakiye çarpanı ve kıst oranlarını güncelleyin; değişen her değer tüm hesaplamalara anında yansır.</t>
        </is>
      </c>
    </row>
    <row r="6" ht="30" customHeight="1" s="77">
      <c r="A6" s="117" t="inlineStr">
        <is>
          <t>anahtar</t>
        </is>
      </c>
      <c r="B6" s="117" t="inlineStr">
        <is>
          <t>deger</t>
        </is>
      </c>
      <c r="C6" s="117" t="inlineStr">
        <is>
          <t>birim</t>
        </is>
      </c>
      <c r="D6" s="117" t="inlineStr">
        <is>
          <t>alt</t>
        </is>
      </c>
      <c r="E6" s="117" t="inlineStr">
        <is>
          <t>ust</t>
        </is>
      </c>
      <c r="F6" s="117" t="inlineStr">
        <is>
          <t>aciklama</t>
        </is>
      </c>
      <c r="G6" s="117" t="inlineStr">
        <is>
          <t>kaynak</t>
        </is>
      </c>
      <c r="H6" s="117" t="inlineStr">
        <is>
          <t>yururluk_tarihi</t>
        </is>
      </c>
      <c r="I6" s="117" t="inlineStr">
        <is>
          <t>dogrulama_tarihi</t>
        </is>
      </c>
    </row>
    <row r="7" ht="25.5" customHeight="1" s="77">
      <c r="A7" s="163" t="inlineStr">
        <is>
          <t>FirmaUnvan</t>
        </is>
      </c>
      <c r="B7" s="164" t="inlineStr">
        <is>
          <t>Örnek Firma A.Ş.</t>
        </is>
      </c>
      <c r="C7" s="110" t="inlineStr">
        <is>
          <t>Metin</t>
        </is>
      </c>
      <c r="D7" s="165" t="n"/>
      <c r="E7" s="165" t="n"/>
      <c r="F7" s="115" t="inlineStr">
        <is>
          <t>Firma unvanı rapor başlığında görünür.</t>
        </is>
      </c>
      <c r="G7" s="110" t="inlineStr">
        <is>
          <t>Kullanıcı</t>
        </is>
      </c>
      <c r="H7" s="166" t="n">
        <v>45658</v>
      </c>
      <c r="I7" s="166" t="n">
        <v>46244</v>
      </c>
    </row>
    <row r="8" ht="25.5" customHeight="1" s="77">
      <c r="A8" s="163" t="inlineStr">
        <is>
          <t>RaporTarihi</t>
        </is>
      </c>
      <c r="B8" s="167" t="n">
        <v>46244</v>
      </c>
      <c r="C8" s="110" t="inlineStr">
        <is>
          <t>Tarih</t>
        </is>
      </c>
      <c r="D8" s="165" t="n"/>
      <c r="E8" s="165" t="n"/>
      <c r="F8" s="115" t="inlineStr">
        <is>
          <t>Amortisman ve satış hesabının dayanak tarihi.</t>
        </is>
      </c>
      <c r="G8" s="110" t="inlineStr">
        <is>
          <t>Kullanıcı</t>
        </is>
      </c>
      <c r="H8" s="166" t="n">
        <v>45658</v>
      </c>
      <c r="I8" s="166" t="n">
        <v>46244</v>
      </c>
    </row>
    <row r="9" ht="25.5" customHeight="1" s="77">
      <c r="A9" s="163" t="inlineStr">
        <is>
          <t>RaporHazirlayan</t>
        </is>
      </c>
      <c r="B9" s="164" t="inlineStr">
        <is>
          <t>Mali İşler Direktörü</t>
        </is>
      </c>
      <c r="C9" s="110" t="inlineStr">
        <is>
          <t>Metin</t>
        </is>
      </c>
      <c r="D9" s="165" t="n"/>
      <c r="E9" s="165" t="n"/>
      <c r="F9" s="115" t="inlineStr">
        <is>
          <t>Raporu hazırlayan kişi.</t>
        </is>
      </c>
      <c r="G9" s="110" t="inlineStr">
        <is>
          <t>Kullanıcı</t>
        </is>
      </c>
      <c r="H9" s="166" t="n">
        <v>45658</v>
      </c>
      <c r="I9" s="166" t="n">
        <v>46244</v>
      </c>
    </row>
    <row r="10" ht="25.5" customHeight="1" s="77">
      <c r="A10" s="163" t="inlineStr">
        <is>
          <t>DosyaSurumu</t>
        </is>
      </c>
      <c r="B10" s="164" t="inlineStr">
        <is>
          <t>1.0.0</t>
        </is>
      </c>
      <c r="C10" s="110" t="inlineStr">
        <is>
          <t>Metin</t>
        </is>
      </c>
      <c r="D10" s="165" t="n"/>
      <c r="E10" s="165" t="n"/>
      <c r="F10" s="115" t="inlineStr">
        <is>
          <t>Dosya sürümü.</t>
        </is>
      </c>
      <c r="G10" s="110" t="inlineStr">
        <is>
          <t>Kullanıcı</t>
        </is>
      </c>
      <c r="H10" s="166" t="n">
        <v>45658</v>
      </c>
      <c r="I10" s="166" t="n">
        <v>46244</v>
      </c>
    </row>
    <row r="11" ht="25.5" customHeight="1" s="77">
      <c r="A11" s="163" t="inlineStr">
        <is>
          <t>KurumlarVergiOran</t>
        </is>
      </c>
      <c r="B11" s="168" t="n">
        <v>0.25</v>
      </c>
      <c r="C11" s="110" t="inlineStr">
        <is>
          <t>Oran</t>
        </is>
      </c>
      <c r="D11" s="165" t="n">
        <v>0</v>
      </c>
      <c r="E11" s="165" t="n">
        <v>1</v>
      </c>
      <c r="F11" s="115" t="inlineStr">
        <is>
          <t>Kurumlar vergisi oranı; satış kârının vergi etkisinde kullanılır.</t>
        </is>
      </c>
      <c r="G11" s="110" t="inlineStr">
        <is>
          <t>Mevzuat (KVK Md. 32)</t>
        </is>
      </c>
      <c r="H11" s="166" t="n">
        <v>45658</v>
      </c>
      <c r="I11" s="166" t="n">
        <v>46244</v>
      </c>
    </row>
    <row r="12" ht="25.5" customHeight="1" s="77">
      <c r="A12" s="163" t="inlineStr">
        <is>
          <t>IskontoOrani</t>
        </is>
      </c>
      <c r="B12" s="168" t="n">
        <v>0.2</v>
      </c>
      <c r="C12" s="110" t="inlineStr">
        <is>
          <t>Oran</t>
        </is>
      </c>
      <c r="D12" s="165" t="n">
        <v>0</v>
      </c>
      <c r="E12" s="165" t="n">
        <v>1</v>
      </c>
      <c r="F12" s="115" t="inlineStr">
        <is>
          <t>Çeyrek nakit akışlarını bugünkü değere indirgemedeki iskonto oranı.</t>
        </is>
      </c>
      <c r="G12" s="110" t="inlineStr">
        <is>
          <t>Varsayım</t>
        </is>
      </c>
      <c r="H12" s="166" t="n">
        <v>45658</v>
      </c>
      <c r="I12" s="166" t="n">
        <v>46244</v>
      </c>
    </row>
    <row r="13" ht="25.5" customHeight="1" s="77">
      <c r="A13" s="163" t="inlineStr">
        <is>
          <t>AmortismanAzalanCarpan</t>
        </is>
      </c>
      <c r="B13" s="168" t="n">
        <v>2</v>
      </c>
      <c r="C13" s="110" t="inlineStr">
        <is>
          <t>Oran</t>
        </is>
      </c>
      <c r="D13" s="165" t="n">
        <v>1</v>
      </c>
      <c r="E13" s="165" t="n">
        <v>2</v>
      </c>
      <c r="F13" s="115" t="inlineStr">
        <is>
          <t>Azalan bakiyede normal oranın çarpım çarpanı (VUK en çok 2 kat).</t>
        </is>
      </c>
      <c r="G13" s="110" t="inlineStr">
        <is>
          <t>Mevzuat (VUK Md. 315)</t>
        </is>
      </c>
      <c r="H13" s="166" t="n">
        <v>45658</v>
      </c>
      <c r="I13" s="166" t="n">
        <v>46244</v>
      </c>
    </row>
    <row r="14" ht="25.5" customHeight="1" s="77">
      <c r="A14" s="163" t="inlineStr">
        <is>
          <t>KistCeyrek1</t>
        </is>
      </c>
      <c r="B14" s="168" t="n">
        <v>0.25</v>
      </c>
      <c r="C14" s="110" t="inlineStr">
        <is>
          <t>Oran</t>
        </is>
      </c>
      <c r="D14" s="165" t="n">
        <v>0</v>
      </c>
      <c r="E14" s="165" t="n">
        <v>1</v>
      </c>
      <c r="F14" s="115" t="inlineStr">
        <is>
          <t>1. çeyrek satışında ayrılan yıllık amortisman oranı (3/12).</t>
        </is>
      </c>
      <c r="G14" s="110" t="inlineStr">
        <is>
          <t>Varsayım</t>
        </is>
      </c>
      <c r="H14" s="166" t="n">
        <v>45658</v>
      </c>
      <c r="I14" s="166" t="n">
        <v>46244</v>
      </c>
    </row>
    <row r="15" ht="25.5" customHeight="1" s="77">
      <c r="A15" s="163" t="inlineStr">
        <is>
          <t>KistCeyrek2</t>
        </is>
      </c>
      <c r="B15" s="168" t="n">
        <v>0.5</v>
      </c>
      <c r="C15" s="110" t="inlineStr">
        <is>
          <t>Oran</t>
        </is>
      </c>
      <c r="D15" s="165" t="n">
        <v>0</v>
      </c>
      <c r="E15" s="165" t="n">
        <v>1</v>
      </c>
      <c r="F15" s="115" t="inlineStr">
        <is>
          <t>2. çeyrek satışında ayrılan yıllık amortisman oranı (6/12).</t>
        </is>
      </c>
      <c r="G15" s="110" t="inlineStr">
        <is>
          <t>Varsayım</t>
        </is>
      </c>
      <c r="H15" s="166" t="n">
        <v>45658</v>
      </c>
      <c r="I15" s="166" t="n">
        <v>46244</v>
      </c>
    </row>
    <row r="16" ht="25.5" customHeight="1" s="77">
      <c r="A16" s="163" t="inlineStr">
        <is>
          <t>KistCeyrek3</t>
        </is>
      </c>
      <c r="B16" s="168" t="n">
        <v>0.75</v>
      </c>
      <c r="C16" s="110" t="inlineStr">
        <is>
          <t>Oran</t>
        </is>
      </c>
      <c r="D16" s="165" t="n">
        <v>0</v>
      </c>
      <c r="E16" s="165" t="n">
        <v>1</v>
      </c>
      <c r="F16" s="115" t="inlineStr">
        <is>
          <t>3. çeyrek satışında ayrılan yıllık amortisman oranı (9/12).</t>
        </is>
      </c>
      <c r="G16" s="110" t="inlineStr">
        <is>
          <t>Varsayım</t>
        </is>
      </c>
      <c r="H16" s="166" t="n">
        <v>45658</v>
      </c>
      <c r="I16" s="166" t="n">
        <v>46244</v>
      </c>
    </row>
    <row r="17" ht="25.5" customHeight="1" s="77">
      <c r="A17" s="163" t="inlineStr">
        <is>
          <t>KistCeyrek4</t>
        </is>
      </c>
      <c r="B17" s="168" t="n">
        <v>1</v>
      </c>
      <c r="C17" s="110" t="inlineStr">
        <is>
          <t>Oran</t>
        </is>
      </c>
      <c r="D17" s="165" t="n">
        <v>0</v>
      </c>
      <c r="E17" s="165" t="n">
        <v>1</v>
      </c>
      <c r="F17" s="115" t="inlineStr">
        <is>
          <t>4. çeyrek satışında ayrılan yıllık amortisman oranı (12/12).</t>
        </is>
      </c>
      <c r="G17" s="110" t="inlineStr">
        <is>
          <t>Varsayım</t>
        </is>
      </c>
      <c r="H17" s="166" t="n">
        <v>45658</v>
      </c>
      <c r="I17" s="166" t="n">
        <v>46244</v>
      </c>
    </row>
    <row r="18" ht="25.5" customHeight="1" s="77">
      <c r="A18" s="163" t="inlineStr">
        <is>
          <t>SenIyiSatis</t>
        </is>
      </c>
      <c r="B18" s="168" t="n">
        <v>0.1</v>
      </c>
      <c r="C18" s="110" t="inlineStr">
        <is>
          <t>Oran</t>
        </is>
      </c>
      <c r="D18" s="165" t="n">
        <v>-0.5</v>
      </c>
      <c r="E18" s="165" t="n">
        <v>0.5</v>
      </c>
      <c r="F18" s="115" t="inlineStr">
        <is>
          <t>İyimser senaryo satış bedeli çarpanı.</t>
        </is>
      </c>
      <c r="G18" s="110" t="inlineStr">
        <is>
          <t>Varsayım</t>
        </is>
      </c>
      <c r="H18" s="166" t="n">
        <v>45658</v>
      </c>
      <c r="I18" s="166" t="n">
        <v>46244</v>
      </c>
    </row>
    <row r="19" ht="25.5" customHeight="1" s="77">
      <c r="A19" s="163" t="inlineStr">
        <is>
          <t>SenBazSatis</t>
        </is>
      </c>
      <c r="B19" s="168" t="n">
        <v>0</v>
      </c>
      <c r="C19" s="110" t="inlineStr">
        <is>
          <t>Oran</t>
        </is>
      </c>
      <c r="D19" s="165" t="n">
        <v>-0.5</v>
      </c>
      <c r="E19" s="165" t="n">
        <v>0.5</v>
      </c>
      <c r="F19" s="115" t="inlineStr">
        <is>
          <t>Baz senaryo satış bedeli çarpanı.</t>
        </is>
      </c>
      <c r="G19" s="110" t="inlineStr">
        <is>
          <t>Varsayım</t>
        </is>
      </c>
      <c r="H19" s="166" t="n">
        <v>45658</v>
      </c>
      <c r="I19" s="166" t="n">
        <v>46244</v>
      </c>
    </row>
    <row r="20" ht="25.5" customHeight="1" s="77">
      <c r="A20" s="163" t="inlineStr">
        <is>
          <t>SenKotuSatis</t>
        </is>
      </c>
      <c r="B20" s="168" t="n">
        <v>-0.15</v>
      </c>
      <c r="C20" s="110" t="inlineStr">
        <is>
          <t>Oran</t>
        </is>
      </c>
      <c r="D20" s="165" t="n">
        <v>-0.5</v>
      </c>
      <c r="E20" s="165" t="n">
        <v>0.5</v>
      </c>
      <c r="F20" s="115" t="inlineStr">
        <is>
          <t>Kötümser senaryo satış bedeli çarpanı.</t>
        </is>
      </c>
      <c r="G20" s="110" t="inlineStr">
        <is>
          <t>Varsayım</t>
        </is>
      </c>
      <c r="H20" s="166" t="n">
        <v>45658</v>
      </c>
      <c r="I20" s="166" t="n">
        <v>46244</v>
      </c>
    </row>
    <row r="21" ht="25.5" customHeight="1" s="77">
      <c r="A21" s="163" t="inlineStr">
        <is>
          <t>SenKritikSatis</t>
        </is>
      </c>
      <c r="B21" s="168" t="n">
        <v>-0.3</v>
      </c>
      <c r="C21" s="110" t="inlineStr">
        <is>
          <t>Oran</t>
        </is>
      </c>
      <c r="D21" s="165" t="n">
        <v>-0.5</v>
      </c>
      <c r="E21" s="165" t="n">
        <v>0.5</v>
      </c>
      <c r="F21" s="115" t="inlineStr">
        <is>
          <t>Kritik senaryo satış bedeli çarpanı.</t>
        </is>
      </c>
      <c r="G21" s="110" t="inlineStr">
        <is>
          <t>Varsayım</t>
        </is>
      </c>
      <c r="H21" s="166" t="n">
        <v>45658</v>
      </c>
      <c r="I21" s="166" t="n">
        <v>46244</v>
      </c>
    </row>
    <row r="22" ht="25.5" customHeight="1" s="77">
      <c r="A22" s="163" t="inlineStr">
        <is>
          <t>AmortismanTahminCarpan</t>
        </is>
      </c>
      <c r="B22" s="169" t="n">
        <v>1.645</v>
      </c>
      <c r="C22" s="110" t="inlineStr">
        <is>
          <t>Çarpan</t>
        </is>
      </c>
      <c r="D22" s="165" t="n">
        <v>0</v>
      </c>
      <c r="E22" s="165" t="n">
        <v>10</v>
      </c>
      <c r="F22" s="115" t="inlineStr">
        <is>
          <t>Tahmin güven bandı çarpanı (%90 normal dağılım).</t>
        </is>
      </c>
      <c r="G22" s="110" t="inlineStr">
        <is>
          <t>Varsayım</t>
        </is>
      </c>
      <c r="H22" s="166" t="n">
        <v>45658</v>
      </c>
      <c r="I22" s="166" t="n">
        <v>46244</v>
      </c>
    </row>
    <row r="23" ht="25.5" customHeight="1" s="77">
      <c r="A23" s="163" t="inlineStr">
        <is>
          <t>AmortismanKaliteIyi</t>
        </is>
      </c>
      <c r="B23" s="169" t="n">
        <v>90</v>
      </c>
      <c r="C23" s="110" t="inlineStr">
        <is>
          <t>Puan</t>
        </is>
      </c>
      <c r="D23" s="165" t="n">
        <v>0</v>
      </c>
      <c r="E23" s="165" t="n">
        <v>100</v>
      </c>
      <c r="F23" s="115" t="inlineStr">
        <is>
          <t>Yüksek kalite skoru eşiği.</t>
        </is>
      </c>
      <c r="G23" s="110" t="inlineStr">
        <is>
          <t>Varsayım</t>
        </is>
      </c>
      <c r="H23" s="166" t="n">
        <v>45658</v>
      </c>
      <c r="I23" s="166" t="n">
        <v>46244</v>
      </c>
    </row>
    <row r="24" ht="25.5" customHeight="1" s="77">
      <c r="A24" s="163" t="inlineStr">
        <is>
          <t>AmortismanKaliteOrta</t>
        </is>
      </c>
      <c r="B24" s="169" t="n">
        <v>70</v>
      </c>
      <c r="C24" s="110" t="inlineStr">
        <is>
          <t>Puan</t>
        </is>
      </c>
      <c r="D24" s="165" t="n">
        <v>0</v>
      </c>
      <c r="E24" s="165" t="n">
        <v>100</v>
      </c>
      <c r="F24" s="115" t="inlineStr">
        <is>
          <t>Orta kalite skoru eşiği.</t>
        </is>
      </c>
      <c r="G24" s="110" t="inlineStr">
        <is>
          <t>Varsayım</t>
        </is>
      </c>
      <c r="H24" s="166" t="n">
        <v>45658</v>
      </c>
      <c r="I24" s="166" t="n">
        <v>46244</v>
      </c>
    </row>
    <row r="25" ht="25.5" customHeight="1" s="77">
      <c r="A25" s="163" t="inlineStr">
        <is>
          <t>AmortismanNakitEsik</t>
        </is>
      </c>
      <c r="B25" s="170" t="n">
        <v>100000</v>
      </c>
      <c r="C25" s="110" t="inlineStr">
        <is>
          <t>TL</t>
        </is>
      </c>
      <c r="D25" s="165" t="n">
        <v>0</v>
      </c>
      <c r="E25" s="165" t="n">
        <v>100000000000</v>
      </c>
      <c r="F25" s="115" t="inlineStr">
        <is>
          <t>Net nakit eşiği; altında satış bekletilir.</t>
        </is>
      </c>
      <c r="G25" s="110" t="inlineStr">
        <is>
          <t>Varsayım</t>
        </is>
      </c>
      <c r="H25" s="166" t="n">
        <v>45658</v>
      </c>
      <c r="I25" s="166" t="n">
        <v>46244</v>
      </c>
    </row>
    <row r="26" ht="25.5" customHeight="1" s="77">
      <c r="A26" s="163" t="inlineStr">
        <is>
          <t>AmortismanP90Oran</t>
        </is>
      </c>
      <c r="B26" s="168" t="n">
        <v>0.9</v>
      </c>
      <c r="C26" s="110" t="inlineStr">
        <is>
          <t>Oran</t>
        </is>
      </c>
      <c r="D26" s="165" t="n">
        <v>0</v>
      </c>
      <c r="E26" s="165" t="n">
        <v>1</v>
      </c>
      <c r="F26" s="115" t="inlineStr">
        <is>
          <t>NDD dağılımında üst yüzdelik dilimin oranı.</t>
        </is>
      </c>
      <c r="G26" s="110" t="inlineStr">
        <is>
          <t>Varsayım</t>
        </is>
      </c>
      <c r="H26" s="166" t="n">
        <v>45658</v>
      </c>
      <c r="I26" s="166" t="n">
        <v>46244</v>
      </c>
    </row>
    <row r="27" ht="25.5" customHeight="1" s="77">
      <c r="A27" s="163" t="inlineStr">
        <is>
          <t>AmortismanTemelKolonSayisi</t>
        </is>
      </c>
      <c r="B27" s="169" t="n">
        <v>5</v>
      </c>
      <c r="C27" s="110" t="inlineStr">
        <is>
          <t>Adet</t>
        </is>
      </c>
      <c r="D27" s="165" t="n">
        <v>1</v>
      </c>
      <c r="E27" s="165" t="n">
        <v>20</v>
      </c>
      <c r="F27" s="115" t="inlineStr">
        <is>
          <t>Veri kalitesi skorunda temel kabul edilen zorunlu giriş kolonu sayısı.</t>
        </is>
      </c>
      <c r="G27" s="110" t="inlineStr">
        <is>
          <t>Varsayım</t>
        </is>
      </c>
      <c r="H27" s="166" t="n">
        <v>45658</v>
      </c>
      <c r="I27" s="166" t="n">
        <v>46244</v>
      </c>
    </row>
    <row r="28" ht="25.5" customHeight="1" s="77">
      <c r="A28" s="163" t="inlineStr">
        <is>
          <t>AmortismanTornadoOran</t>
        </is>
      </c>
      <c r="B28" s="168" t="n">
        <v>0.01</v>
      </c>
      <c r="C28" s="110" t="inlineStr">
        <is>
          <t>Oran</t>
        </is>
      </c>
      <c r="D28" s="165" t="n">
        <v>0</v>
      </c>
      <c r="E28" s="165" t="n">
        <v>0.1</v>
      </c>
      <c r="F28" s="115" t="inlineStr">
        <is>
          <t>Amortisman oranı tornado adımı (+1 puan).</t>
        </is>
      </c>
      <c r="G28" s="110" t="inlineStr">
        <is>
          <t>Varsayım</t>
        </is>
      </c>
      <c r="H28" s="166" t="n">
        <v>45658</v>
      </c>
      <c r="I28" s="166" t="n">
        <v>46244</v>
      </c>
    </row>
    <row r="29" ht="25.5" customHeight="1" s="77">
      <c r="A29" s="163" t="inlineStr">
        <is>
          <t>AmortismanTornadoVergi</t>
        </is>
      </c>
      <c r="B29" s="168" t="n">
        <v>0.01</v>
      </c>
      <c r="C29" s="110" t="inlineStr">
        <is>
          <t>Oran</t>
        </is>
      </c>
      <c r="D29" s="165" t="n">
        <v>0</v>
      </c>
      <c r="E29" s="165" t="n">
        <v>0.1</v>
      </c>
      <c r="F29" s="115" t="inlineStr">
        <is>
          <t>Kurumlar vergisi oranı tornado adımı (+1 puan).</t>
        </is>
      </c>
      <c r="G29" s="110" t="inlineStr">
        <is>
          <t>Varsayım</t>
        </is>
      </c>
      <c r="H29" s="166" t="n">
        <v>45658</v>
      </c>
      <c r="I29" s="166" t="n">
        <v>46244</v>
      </c>
    </row>
    <row r="30" ht="25.5" customHeight="1" s="77">
      <c r="A30" s="163" t="inlineStr">
        <is>
          <t>AmortismanYuksekNddEsik</t>
        </is>
      </c>
      <c r="B30" s="170" t="n">
        <v>2000000</v>
      </c>
      <c r="C30" s="110" t="inlineStr">
        <is>
          <t>TL</t>
        </is>
      </c>
      <c r="D30" s="165" t="n">
        <v>0</v>
      </c>
      <c r="E30" s="165" t="n">
        <v>100000000000</v>
      </c>
      <c r="F30" s="115" t="inlineStr">
        <is>
          <t>Yüksek net defter değeri eşiği.</t>
        </is>
      </c>
      <c r="G30" s="110" t="inlineStr">
        <is>
          <t>Varsayım</t>
        </is>
      </c>
      <c r="H30" s="166" t="n">
        <v>45658</v>
      </c>
      <c r="I30" s="166" t="n">
        <v>46244</v>
      </c>
    </row>
    <row r="31" ht="25.5" customHeight="1" s="77">
      <c r="A31" s="163" t="inlineStr">
        <is>
          <t>AmortismanAksiyon1_ACIKLAMA</t>
        </is>
      </c>
      <c r="B31" s="171" t="inlineStr">
        <is>
          <t>Erken çeyrek satışı bugünkü değerde avantajlı; satışı planlayın, kıst amortismanı kapatarak satış işlemini gerçekleştirin.</t>
        </is>
      </c>
      <c r="C31" s="110" t="inlineStr">
        <is>
          <t>Metin</t>
        </is>
      </c>
      <c r="D31" s="165" t="n"/>
      <c r="E31" s="165" t="n"/>
      <c r="F31" s="115" t="inlineStr">
        <is>
          <t>SAT kararında gösterilen ilk öneri.</t>
        </is>
      </c>
      <c r="G31" s="110" t="inlineStr">
        <is>
          <t>Varsayım</t>
        </is>
      </c>
      <c r="H31" s="166" t="n">
        <v>45658</v>
      </c>
      <c r="I31" s="166" t="n">
        <v>46244</v>
      </c>
    </row>
    <row r="32" ht="25.5" customHeight="1" s="77">
      <c r="A32" s="163" t="inlineStr">
        <is>
          <t>AmortismanAksiyon2_ACIKLAMA</t>
        </is>
      </c>
      <c r="B32" s="171" t="inlineStr">
        <is>
          <t>Yıl sonu satışı bugünkü değerde avantajlı; satışı aralık sonuna erteleyin ve aradaki amortismanı kıst esasına göre ayırın.</t>
        </is>
      </c>
      <c r="C32" s="110" t="inlineStr">
        <is>
          <t>Metin</t>
        </is>
      </c>
      <c r="D32" s="165" t="n"/>
      <c r="E32" s="165" t="n"/>
      <c r="F32" s="115" t="inlineStr">
        <is>
          <t>BEKLE kararında gösterilen ikinci öneri.</t>
        </is>
      </c>
      <c r="G32" s="110" t="inlineStr">
        <is>
          <t>Varsayım</t>
        </is>
      </c>
      <c r="H32" s="166" t="n">
        <v>45658</v>
      </c>
      <c r="I32" s="166" t="n">
        <v>46244</v>
      </c>
    </row>
    <row r="33" ht="25.5" customHeight="1" s="77">
      <c r="A33" s="163" t="inlineStr">
        <is>
          <t>AmortismanAksiyon3_ACIKLAMA</t>
        </is>
      </c>
      <c r="B33" s="171" t="inlineStr">
        <is>
          <t>Satışın nakit avantajı görünmüyor; satış bedeli tahminlerini ve kıymet portföyünü gözden geçirin, gerekirse kıymet bazlı seçim yapın.</t>
        </is>
      </c>
      <c r="C33" s="110" t="inlineStr">
        <is>
          <t>Metin</t>
        </is>
      </c>
      <c r="D33" s="165" t="n"/>
      <c r="E33" s="165" t="n"/>
      <c r="F33" s="115" t="inlineStr">
        <is>
          <t>BEKLE/DURDUR kararında gösterilen üçüncü öneri.</t>
        </is>
      </c>
      <c r="G33" s="110" t="inlineStr">
        <is>
          <t>Varsayım</t>
        </is>
      </c>
      <c r="H33" s="166" t="n">
        <v>45658</v>
      </c>
      <c r="I33" s="166" t="n">
        <v>46244</v>
      </c>
    </row>
    <row r="35" ht="25.5" customHeight="1" s="77">
      <c r="A35" s="172" t="inlineStr">
        <is>
          <t>AmortismanPanelSatir1</t>
        </is>
      </c>
      <c r="B35" s="173" t="n">
        <v>1</v>
      </c>
      <c r="C35" s="110" t="inlineStr">
        <is>
          <t>Satır</t>
        </is>
      </c>
      <c r="F35" s="115" t="inlineStr">
        <is>
          <t>PANO'daki kıymet kalemi bazlı NDD grafiğinin tablodaki veri satırı (1. veri).</t>
        </is>
      </c>
      <c r="G35" s="110" t="inlineStr">
        <is>
          <t>Kullanıcı</t>
        </is>
      </c>
      <c r="H35" s="166" t="n">
        <v>45658</v>
      </c>
      <c r="I35" s="166" t="n">
        <v>46244</v>
      </c>
    </row>
    <row r="36" ht="25.5" customHeight="1" s="77">
      <c r="A36" s="172" t="inlineStr">
        <is>
          <t>AmortismanPanelSatir2</t>
        </is>
      </c>
      <c r="B36" s="173" t="n">
        <v>2</v>
      </c>
      <c r="C36" s="110" t="inlineStr">
        <is>
          <t>Satır</t>
        </is>
      </c>
      <c r="F36" s="115" t="inlineStr">
        <is>
          <t>PANO'daki kıymet kalemi bazlı NDD grafiğinin tablodaki veri satırı (2. veri).</t>
        </is>
      </c>
      <c r="G36" s="110" t="inlineStr">
        <is>
          <t>Kullanıcı</t>
        </is>
      </c>
      <c r="H36" s="166" t="n">
        <v>45658</v>
      </c>
      <c r="I36" s="166" t="n">
        <v>46244</v>
      </c>
    </row>
    <row r="37" ht="25.5" customHeight="1" s="77">
      <c r="A37" s="172" t="inlineStr">
        <is>
          <t>AmortismanPanelSatir3</t>
        </is>
      </c>
      <c r="B37" s="173" t="n">
        <v>3</v>
      </c>
      <c r="C37" s="110" t="inlineStr">
        <is>
          <t>Satır</t>
        </is>
      </c>
      <c r="F37" s="115" t="inlineStr">
        <is>
          <t>PANO'daki kıymet kalemi bazlı NDD grafiğinin tablodaki veri satırı (3. veri).</t>
        </is>
      </c>
      <c r="G37" s="110" t="inlineStr">
        <is>
          <t>Kullanıcı</t>
        </is>
      </c>
      <c r="H37" s="166" t="n">
        <v>45658</v>
      </c>
      <c r="I37" s="166" t="n">
        <v>46244</v>
      </c>
    </row>
    <row r="38" ht="25.5" customHeight="1" s="77">
      <c r="A38" s="172" t="inlineStr">
        <is>
          <t>AmortismanPanelSatir4</t>
        </is>
      </c>
      <c r="B38" s="173" t="n">
        <v>4</v>
      </c>
      <c r="C38" s="110" t="inlineStr">
        <is>
          <t>Satır</t>
        </is>
      </c>
      <c r="F38" s="115" t="inlineStr">
        <is>
          <t>PANO'daki kıymet kalemi bazlı NDD grafiğinin tablodaki veri satırı (4. veri).</t>
        </is>
      </c>
      <c r="G38" s="110" t="inlineStr">
        <is>
          <t>Kullanıcı</t>
        </is>
      </c>
      <c r="H38" s="166" t="n">
        <v>45658</v>
      </c>
      <c r="I38" s="166" t="n">
        <v>46244</v>
      </c>
    </row>
    <row r="39" ht="25.5" customHeight="1" s="77">
      <c r="A39" s="172" t="inlineStr">
        <is>
          <t>AmortismanPanelSatir5</t>
        </is>
      </c>
      <c r="B39" s="173" t="n">
        <v>5</v>
      </c>
      <c r="C39" s="110" t="inlineStr">
        <is>
          <t>Satır</t>
        </is>
      </c>
      <c r="F39" s="115" t="inlineStr">
        <is>
          <t>PANO'daki kıymet kalemi bazlı NDD grafiğinin tablodaki veri satırı (5. veri).</t>
        </is>
      </c>
      <c r="G39" s="110" t="inlineStr">
        <is>
          <t>Kullanıcı</t>
        </is>
      </c>
      <c r="H39" s="166" t="n">
        <v>45658</v>
      </c>
      <c r="I39" s="166" t="n">
        <v>46244</v>
      </c>
    </row>
    <row r="40" ht="25.5" customHeight="1" s="77">
      <c r="A40" s="172" t="inlineStr">
        <is>
          <t>AmortismanPanelSatir6</t>
        </is>
      </c>
      <c r="B40" s="173" t="n">
        <v>6</v>
      </c>
      <c r="C40" s="110" t="inlineStr">
        <is>
          <t>Satır</t>
        </is>
      </c>
      <c r="F40" s="115" t="inlineStr">
        <is>
          <t>PANO'daki kıymet kalemi bazlı NDD grafiğinin tablodaki veri satırı (6. veri).</t>
        </is>
      </c>
      <c r="G40" s="110" t="inlineStr">
        <is>
          <t>Kullanıcı</t>
        </is>
      </c>
      <c r="H40" s="166" t="n">
        <v>45658</v>
      </c>
      <c r="I40" s="166" t="n">
        <v>46244</v>
      </c>
    </row>
    <row r="41" ht="25.5" customHeight="1" s="77">
      <c r="A41" s="172" t="inlineStr">
        <is>
          <t>AmortismanPanelSatir7</t>
        </is>
      </c>
      <c r="B41" s="173" t="n">
        <v>7</v>
      </c>
      <c r="C41" s="110" t="inlineStr">
        <is>
          <t>Satır</t>
        </is>
      </c>
      <c r="F41" s="115" t="inlineStr">
        <is>
          <t>PANO'daki kıymet kalemi bazlı NDD grafiğinin tablodaki veri satırı (7. veri).</t>
        </is>
      </c>
      <c r="G41" s="110" t="inlineStr">
        <is>
          <t>Kullanıcı</t>
        </is>
      </c>
      <c r="H41" s="166" t="n">
        <v>45658</v>
      </c>
      <c r="I41" s="166" t="n">
        <v>46244</v>
      </c>
    </row>
    <row r="42" ht="25.5" customHeight="1" s="77">
      <c r="A42" s="172" t="inlineStr">
        <is>
          <t>AmortismanPanelSatir8</t>
        </is>
      </c>
      <c r="B42" s="173" t="n">
        <v>8</v>
      </c>
      <c r="C42" s="110" t="inlineStr">
        <is>
          <t>Satır</t>
        </is>
      </c>
      <c r="F42" s="115" t="inlineStr">
        <is>
          <t>PANO'daki kıymet kalemi bazlı NDD grafiğinin tablodaki veri satırı (8. veri).</t>
        </is>
      </c>
      <c r="G42" s="110" t="inlineStr">
        <is>
          <t>Kullanıcı</t>
        </is>
      </c>
      <c r="H42" s="166" t="n">
        <v>45658</v>
      </c>
      <c r="I42" s="166" t="n">
        <v>46244</v>
      </c>
    </row>
    <row r="43" ht="25.5" customHeight="1" s="77">
      <c r="A43" s="172" t="inlineStr">
        <is>
          <t>AmortismanPanelSatir9</t>
        </is>
      </c>
      <c r="B43" s="173" t="n">
        <v>9</v>
      </c>
      <c r="C43" s="110" t="inlineStr">
        <is>
          <t>Satır</t>
        </is>
      </c>
      <c r="F43" s="115" t="inlineStr">
        <is>
          <t>PANO'daki kıymet kalemi bazlı NDD grafiğinin tablodaki veri satırı (9. veri).</t>
        </is>
      </c>
      <c r="G43" s="110" t="inlineStr">
        <is>
          <t>Kullanıcı</t>
        </is>
      </c>
      <c r="H43" s="166" t="n">
        <v>45658</v>
      </c>
      <c r="I43" s="166" t="n">
        <v>46244</v>
      </c>
    </row>
    <row r="44" ht="25.5" customHeight="1" s="77">
      <c r="A44" s="172" t="inlineStr">
        <is>
          <t>AmortismanPanelSatir10</t>
        </is>
      </c>
      <c r="B44" s="173" t="n">
        <v>10</v>
      </c>
      <c r="C44" s="110" t="inlineStr">
        <is>
          <t>Satır</t>
        </is>
      </c>
      <c r="F44" s="115" t="inlineStr">
        <is>
          <t>PANO'daki kıymet kalemi bazlı NDD grafiğinin tablodaki veri satırı (10. veri).</t>
        </is>
      </c>
      <c r="G44" s="110" t="inlineStr">
        <is>
          <t>Kullanıcı</t>
        </is>
      </c>
      <c r="H44" s="166" t="n">
        <v>45658</v>
      </c>
      <c r="I44" s="166" t="n">
        <v>46244</v>
      </c>
    </row>
    <row r="45" ht="25.5" customHeight="1" s="77">
      <c r="A45" s="172" t="inlineStr">
        <is>
          <t>AmortismanPanelSatir11</t>
        </is>
      </c>
      <c r="B45" s="173" t="n">
        <v>11</v>
      </c>
      <c r="C45" s="110" t="inlineStr">
        <is>
          <t>Satır</t>
        </is>
      </c>
      <c r="F45" s="115" t="inlineStr">
        <is>
          <t>PANO'daki kıymet kalemi bazlı NDD grafiğinin tablodaki veri satırı (11. veri).</t>
        </is>
      </c>
      <c r="G45" s="110" t="inlineStr">
        <is>
          <t>Kullanıcı</t>
        </is>
      </c>
      <c r="H45" s="166" t="n">
        <v>45658</v>
      </c>
      <c r="I45" s="166" t="n">
        <v>46244</v>
      </c>
    </row>
    <row r="46" ht="25.5" customHeight="1" s="77">
      <c r="A46" s="172" t="inlineStr">
        <is>
          <t>AmortismanPanelSatir12</t>
        </is>
      </c>
      <c r="B46" s="173" t="n">
        <v>12</v>
      </c>
      <c r="C46" s="110" t="inlineStr">
        <is>
          <t>Satır</t>
        </is>
      </c>
      <c r="F46" s="115" t="inlineStr">
        <is>
          <t>PANO'daki kıymet kalemi bazlı NDD grafiğinin tablodaki veri satırı (12. veri).</t>
        </is>
      </c>
      <c r="G46" s="110" t="inlineStr">
        <is>
          <t>Kullanıcı</t>
        </is>
      </c>
      <c r="H46" s="166" t="n">
        <v>45658</v>
      </c>
      <c r="I46" s="166" t="n">
        <v>46244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20">
    <dataValidation sqref="B11" showDropDown="0" showInputMessage="0" showErrorMessage="1" allowBlank="0" errorTitle="Değer aralık dışı" error="Kurumlar vergisi oranı; satış kârının vergi etkisinde kullanılır." promptTitle="KurumlarVergiOran" prompt="Kurumlar vergisi oranı; satış kârının vergi etkisinde kullanılır." type="decimal" errorStyle="stop" operator="between">
      <formula1>0</formula1>
      <formula2>1</formula2>
    </dataValidation>
    <dataValidation sqref="B12" showDropDown="0" showInputMessage="0" showErrorMessage="1" allowBlank="0" errorTitle="Değer aralık dışı" error="Çeyrek nakit akışlarını bugünkü değere indirgemedeki iskonto oranı." promptTitle="IskontoOrani" prompt="Çeyrek nakit akışlarını bugünkü değere indirgemedeki iskonto oranı." type="decimal" errorStyle="stop" operator="between">
      <formula1>0</formula1>
      <formula2>1</formula2>
    </dataValidation>
    <dataValidation sqref="B13" showDropDown="0" showInputMessage="0" showErrorMessage="1" allowBlank="0" errorTitle="Değer aralık dışı" error="Azalan bakiyede normal oranın çarpım çarpanı (VUK en çok 2 kat)." promptTitle="AmortismanAzalanCarpan" prompt="Azalan bakiyede normal oranın çarpım çarpanı (VUK en çok 2 kat)." type="decimal" errorStyle="stop" operator="between">
      <formula1>1</formula1>
      <formula2>2</formula2>
    </dataValidation>
    <dataValidation sqref="B14" showDropDown="0" showInputMessage="0" showErrorMessage="1" allowBlank="0" errorTitle="Değer aralık dışı" error="1. çeyrek satışında ayrılan yıllık amortisman oranı (3/12)." promptTitle="KistCeyrek1" prompt="1. çeyrek satışında ayrılan yıllık amortisman oranı (3/12)." type="decimal" errorStyle="stop" operator="between">
      <formula1>0</formula1>
      <formula2>1</formula2>
    </dataValidation>
    <dataValidation sqref="B15" showDropDown="0" showInputMessage="0" showErrorMessage="1" allowBlank="0" errorTitle="Değer aralık dışı" error="2. çeyrek satışında ayrılan yıllık amortisman oranı (6/12)." promptTitle="KistCeyrek2" prompt="2. çeyrek satışında ayrılan yıllık amortisman oranı (6/12)." type="decimal" errorStyle="stop" operator="between">
      <formula1>0</formula1>
      <formula2>1</formula2>
    </dataValidation>
    <dataValidation sqref="B16" showDropDown="0" showInputMessage="0" showErrorMessage="1" allowBlank="0" errorTitle="Değer aralık dışı" error="3. çeyrek satışında ayrılan yıllık amortisman oranı (9/12)." promptTitle="KistCeyrek3" prompt="3. çeyrek satışında ayrılan yıllık amortisman oranı (9/12)." type="decimal" errorStyle="stop" operator="between">
      <formula1>0</formula1>
      <formula2>1</formula2>
    </dataValidation>
    <dataValidation sqref="B17" showDropDown="0" showInputMessage="0" showErrorMessage="1" allowBlank="0" errorTitle="Değer aralık dışı" error="4. çeyrek satışında ayrılan yıllık amortisman oranı (12/12)." promptTitle="KistCeyrek4" prompt="4. çeyrek satışında ayrılan yıllık amortisman oranı (12/12)." type="decimal" errorStyle="stop" operator="between">
      <formula1>0</formula1>
      <formula2>1</formula2>
    </dataValidation>
    <dataValidation sqref="B18" showDropDown="0" showInputMessage="0" showErrorMessage="1" allowBlank="0" errorTitle="Değer aralık dışı" error="İyimser senaryo satış bedeli çarpanı." promptTitle="SenIyiSatis" prompt="İyimser senaryo satış bedeli çarpanı." type="decimal" errorStyle="stop" operator="between">
      <formula1>-0.5</formula1>
      <formula2>0.5</formula2>
    </dataValidation>
    <dataValidation sqref="B19" showDropDown="0" showInputMessage="0" showErrorMessage="1" allowBlank="0" errorTitle="Değer aralık dışı" error="Baz senaryo satış bedeli çarpanı." promptTitle="SenBazSatis" prompt="Baz senaryo satış bedeli çarpanı." type="decimal" errorStyle="stop" operator="between">
      <formula1>-0.5</formula1>
      <formula2>0.5</formula2>
    </dataValidation>
    <dataValidation sqref="B20" showDropDown="0" showInputMessage="0" showErrorMessage="1" allowBlank="0" errorTitle="Değer aralık dışı" error="Kötümser senaryo satış bedeli çarpanı." promptTitle="SenKotuSatis" prompt="Kötümser senaryo satış bedeli çarpanı." type="decimal" errorStyle="stop" operator="between">
      <formula1>-0.5</formula1>
      <formula2>0.5</formula2>
    </dataValidation>
    <dataValidation sqref="B21" showDropDown="0" showInputMessage="0" showErrorMessage="1" allowBlank="0" errorTitle="Değer aralık dışı" error="Kritik senaryo satış bedeli çarpanı." promptTitle="SenKritikSatis" prompt="Kritik senaryo satış bedeli çarpanı." type="decimal" errorStyle="stop" operator="between">
      <formula1>-0.5</formula1>
      <formula2>0.5</formula2>
    </dataValidation>
    <dataValidation sqref="B22" showDropDown="0" showInputMessage="0" showErrorMessage="1" allowBlank="0" errorTitle="Değer aralık dışı" error="Tahmin güven bandı çarpanı (%90 normal dağılım)." promptTitle="AmortismanTahminCarpan" prompt="Tahmin güven bandı çarpanı (%90 normal dağılım)." type="decimal" errorStyle="stop" operator="between">
      <formula1>0</formula1>
      <formula2>10</formula2>
    </dataValidation>
    <dataValidation sqref="B23" showDropDown="0" showInputMessage="0" showErrorMessage="1" allowBlank="0" errorTitle="Değer aralık dışı" error="Yüksek kalite skoru eşiği." promptTitle="AmortismanKaliteIyi" prompt="Yüksek kalite skoru eşiği." type="decimal" errorStyle="stop" operator="between">
      <formula1>0</formula1>
      <formula2>100</formula2>
    </dataValidation>
    <dataValidation sqref="B24" showDropDown="0" showInputMessage="0" showErrorMessage="1" allowBlank="0" errorTitle="Değer aralık dışı" error="Orta kalite skoru eşiği." promptTitle="AmortismanKaliteOrta" prompt="Orta kalite skoru eşiği." type="decimal" errorStyle="stop" operator="between">
      <formula1>0</formula1>
      <formula2>100</formula2>
    </dataValidation>
    <dataValidation sqref="B25" showDropDown="0" showInputMessage="0" showErrorMessage="1" allowBlank="0" errorTitle="Değer aralık dışı" error="Net nakit eşiği; altında satış bekletilir." promptTitle="AmortismanNakitEsik" prompt="Net nakit eşiği; altında satış bekletilir." type="decimal" errorStyle="stop" operator="between">
      <formula1>0</formula1>
      <formula2>100000000000</formula2>
    </dataValidation>
    <dataValidation sqref="B26" showDropDown="0" showInputMessage="0" showErrorMessage="1" allowBlank="0" errorTitle="Değer aralık dışı" error="NDD dağılımında üst yüzdelik dilimin oranı." promptTitle="AmortismanP90Oran" prompt="NDD dağılımında üst yüzdelik dilimin oranı." type="decimal" errorStyle="stop" operator="between">
      <formula1>0</formula1>
      <formula2>1</formula2>
    </dataValidation>
    <dataValidation sqref="B27" showDropDown="0" showInputMessage="0" showErrorMessage="1" allowBlank="0" errorTitle="Değer aralık dışı" error="Veri kalitesi skorunda temel kabul edilen zorunlu giriş kolonu sayısı." promptTitle="AmortismanTemelKolonSayisi" prompt="Veri kalitesi skorunda temel kabul edilen zorunlu giriş kolonu sayısı." type="decimal" errorStyle="stop" operator="between">
      <formula1>1</formula1>
      <formula2>20</formula2>
    </dataValidation>
    <dataValidation sqref="B28" showDropDown="0" showInputMessage="0" showErrorMessage="1" allowBlank="0" errorTitle="Değer aralık dışı" error="Amortisman oranı tornado adımı (+1 puan)." promptTitle="AmortismanTornadoOran" prompt="Amortisman oranı tornado adımı (+1 puan)." type="decimal" errorStyle="stop" operator="between">
      <formula1>0</formula1>
      <formula2>0.1</formula2>
    </dataValidation>
    <dataValidation sqref="B29" showDropDown="0" showInputMessage="0" showErrorMessage="1" allowBlank="0" errorTitle="Değer aralık dışı" error="Kurumlar vergisi oranı tornado adımı (+1 puan)." promptTitle="AmortismanTornadoVergi" prompt="Kurumlar vergisi oranı tornado adımı (+1 puan)." type="decimal" errorStyle="stop" operator="between">
      <formula1>0</formula1>
      <formula2>0.1</formula2>
    </dataValidation>
    <dataValidation sqref="B30" showDropDown="0" showInputMessage="0" showErrorMessage="1" allowBlank="0" errorTitle="Değer aralık dışı" error="Yüksek net defter değeri eşiği." promptTitle="AmortismanYuksekNddEsik" prompt="Yüksek net defter değeri eşiği." type="decimal" errorStyle="stop" operator="between">
      <formula1>0</formula1>
      <formula2>100000000000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D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103" min="1" max="1"/>
    <col width="110" customWidth="1" style="103" min="2" max="2"/>
  </cols>
  <sheetData>
    <row r="1" ht="25.5" customHeight="1" s="77">
      <c r="A1" s="104" t="inlineStr">
        <is>
          <t>KILAVUZ — Amortisman &amp; Sabit Kıymet Satış Zamanlama Stratejisti</t>
        </is>
      </c>
    </row>
    <row r="3" ht="15.75" customHeight="1" s="77">
      <c r="A3" s="111" t="inlineStr">
        <is>
          <t>Kullanım Kılavuzu</t>
        </is>
      </c>
    </row>
    <row r="5" ht="39.75" customHeight="1" s="77">
      <c r="A5" s="151" t="inlineStr">
        <is>
          <t>Veri girişi</t>
        </is>
      </c>
      <c r="B5" s="108" t="inlineStr">
        <is>
          <t>KIYMET_LISTESI sayfasında sarı hücrelere kıymetlerinizi girin. Kıymet türünü ve amortisman yöntemini listeden seçin; edinim tarihi, edinim bedeli, amortisman oranı ve satış bedeli tahminini girin. Geçen yıl, birikmiş amortisman, net defter değeri ve satış kârı/zararı otomatik hesaplanır.</t>
        </is>
      </c>
    </row>
    <row r="6" ht="39.75" customHeight="1" s="77">
      <c r="A6" s="151" t="inlineStr">
        <is>
          <t>Çeyrek senaryoları</t>
        </is>
      </c>
      <c r="B6" s="108" t="inlineStr">
        <is>
          <t>HESAP sayfası yıl içinde dört çeyreğe göre kıst amortisman, satış kârı/zararı, kurumlar vergisi etkisi ve net nakit üretir; NBD ile bugünkü değere indirger.</t>
        </is>
      </c>
    </row>
    <row r="7" ht="39.75" customHeight="1" s="77">
      <c r="A7" s="151" t="inlineStr">
        <is>
          <t>Karar ve aksiyon</t>
        </is>
      </c>
      <c r="B7" s="108" t="inlineStr">
        <is>
          <t>KARAR sayfası net nakit ve NBD zamanlamasına göre SAT/BEKLE kararını gerekçesiyle üretir ve önerilen aksiyonları gösterir.</t>
        </is>
      </c>
    </row>
    <row r="8" ht="39.75" customHeight="1" s="77">
      <c r="A8" s="151" t="inlineStr">
        <is>
          <t>Oranlar ve senaryolar</t>
        </is>
      </c>
      <c r="B8" s="108" t="inlineStr">
        <is>
          <t>AYARLAR sayfasından kurumlar vergisi oranı, iskonto oranı, azalan bakiye çarpanı, kıst oranlar ve senaryo çarpanlarını güncelleyin; PANO ve SENARYO_DUYARLILIK anında güncellenir.</t>
        </is>
      </c>
    </row>
    <row r="9" ht="39.75" customHeight="1" s="77">
      <c r="A9" s="151" t="inlineStr">
        <is>
          <t>Güven ve karar kalitesi</t>
        </is>
      </c>
      <c r="B9" s="108" t="inlineStr">
        <is>
          <t>Veri kalite skoru girişlerin tamlığını ölçer. Kıymet girişi yokken karar VERİ YOK; negatif girişte DURDUR üretir. Verileriniz cihazınızdan çıkmaz; dosya tamamen çevrimdışıdır.</t>
        </is>
      </c>
    </row>
    <row r="10" ht="39.75" customHeight="1" s="77">
      <c r="A10" s="151" t="inlineStr">
        <is>
          <t>Uyumluluk</t>
        </is>
      </c>
      <c r="B10" s="108" t="inlineStr">
        <is>
          <t>Excel 2016-365 (Windows ve Mac), LibreOffice ve Google Sheets ile uyumludur. Makro içermez; formüller ayrıştırıcı ile denetlenmiştir.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B5:T5"/>
    <mergeCell ref="B8:T8"/>
    <mergeCell ref="B7:T7"/>
    <mergeCell ref="B9:T9"/>
    <mergeCell ref="B6:T6"/>
    <mergeCell ref="A1:AD1"/>
    <mergeCell ref="B10:T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2026-08-10T16:25:11Z</dcterms:created>
  <dcterms:modified xmlns:dcterms="http://purl.org/dc/terms/" xmlns:xsi="http://www.w3.org/2001/XMLSchema-instance" xsi:type="dcterms:W3CDTF">2026-09-25T14:12:16Z</dcterms:modified>
  <cp:revision>0</cp:revision>
</cp:coreProperties>
</file>