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108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FFFFFF"/>
      <sz val="10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4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4"/>
  </cellStyleXfs>
  <cellXfs count="30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  <xf numFmtId="0" fontId="40" fillId="36" borderId="5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72" fillId="36" borderId="5" applyAlignment="1" pivotButton="0" quotePrefix="0" xfId="0">
      <alignment horizontal="center" vertical="center"/>
    </xf>
    <xf numFmtId="0" fontId="58" fillId="28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73" fillId="36" borderId="38" applyAlignment="1" pivotButton="0" quotePrefix="0" xfId="0">
      <alignment vertical="center" indent="1"/>
    </xf>
    <xf numFmtId="0" fontId="0" fillId="36" borderId="39" pivotButton="0" quotePrefix="0" xfId="0"/>
    <xf numFmtId="0" fontId="74" fillId="29" borderId="5" applyAlignment="1" pivotButton="0" quotePrefix="0" xfId="0">
      <alignment horizontal="center" vertical="center"/>
    </xf>
    <xf numFmtId="0" fontId="73" fillId="36" borderId="47" applyAlignment="1" pivotButton="0" quotePrefix="0" xfId="0">
      <alignment vertical="center" indent="1"/>
    </xf>
    <xf numFmtId="0" fontId="76" fillId="30" borderId="5" applyAlignment="1" pivotButton="0" quotePrefix="0" xfId="0">
      <alignment horizontal="center" vertical="center"/>
    </xf>
    <xf numFmtId="0" fontId="73" fillId="36" borderId="50" applyAlignment="1" pivotButton="0" quotePrefix="0" xfId="0">
      <alignment vertical="center" indent="1"/>
    </xf>
    <xf numFmtId="0" fontId="78" fillId="40" borderId="5" applyAlignment="1" pivotButton="0" quotePrefix="0" xfId="0">
      <alignment horizontal="center" vertical="center"/>
    </xf>
    <xf numFmtId="0" fontId="73" fillId="36" borderId="53" applyAlignment="1" pivotButton="0" quotePrefix="0" xfId="0">
      <alignment vertical="center" indent="1"/>
    </xf>
    <xf numFmtId="0" fontId="79" fillId="41" borderId="5" applyAlignment="1" pivotButton="0" quotePrefix="0" xfId="0">
      <alignment horizontal="center" vertical="center"/>
    </xf>
    <xf numFmtId="0" fontId="0" fillId="36" borderId="41" pivotButton="0" quotePrefix="0" xfId="0"/>
    <xf numFmtId="0" fontId="0" fillId="36" borderId="42" pivotButton="0" quotePrefix="0" xfId="0"/>
    <xf numFmtId="0" fontId="0" fillId="36" borderId="43" pivotButton="0" quotePrefix="0" xfId="0"/>
    <xf numFmtId="0" fontId="0" fillId="36" borderId="48" pivotButton="0" quotePrefix="0" xfId="0"/>
    <xf numFmtId="0" fontId="0" fillId="36" borderId="51" pivotButton="0" quotePrefix="0" xfId="0"/>
    <xf numFmtId="0" fontId="0" fillId="36" borderId="54" pivotButton="0" quotePrefix="0" xfId="0"/>
    <xf numFmtId="166" fontId="75" fillId="36" borderId="41" applyAlignment="1" pivotButton="0" quotePrefix="0" xfId="0">
      <alignment vertical="center" indent="1"/>
    </xf>
    <xf numFmtId="166" fontId="77" fillId="36" borderId="48" applyAlignment="1" pivotButton="0" quotePrefix="0" xfId="0">
      <alignment vertical="center" indent="1"/>
    </xf>
    <xf numFmtId="166" fontId="75" fillId="36" borderId="51" applyAlignment="1" pivotButton="0" quotePrefix="0" xfId="0">
      <alignment vertical="center" indent="1"/>
    </xf>
    <xf numFmtId="0" fontId="75" fillId="36" borderId="54" applyAlignment="1" pivotButton="0" quotePrefix="0" xfId="0">
      <alignment vertical="center" indent="1"/>
    </xf>
    <xf numFmtId="0" fontId="37" fillId="36" borderId="44" applyAlignment="1" pivotButton="0" quotePrefix="0" xfId="0">
      <alignment vertical="center" indent="1"/>
    </xf>
    <xf numFmtId="0" fontId="0" fillId="36" borderId="45" pivotButton="0" quotePrefix="0" xfId="0"/>
    <xf numFmtId="0" fontId="0" fillId="36" borderId="46" pivotButton="0" quotePrefix="0" xfId="0"/>
    <xf numFmtId="0" fontId="37" fillId="36" borderId="49" applyAlignment="1" pivotButton="0" quotePrefix="0" xfId="0">
      <alignment vertical="center" indent="1"/>
    </xf>
    <xf numFmtId="0" fontId="37" fillId="36" borderId="52" applyAlignment="1" pivotButton="0" quotePrefix="0" xfId="0">
      <alignment vertical="center" indent="1"/>
    </xf>
    <xf numFmtId="0" fontId="37" fillId="36" borderId="55" applyAlignment="1" pivotButton="0" quotePrefix="0" xfId="0">
      <alignment vertical="center" indent="1"/>
    </xf>
    <xf numFmtId="0" fontId="80" fillId="0" borderId="0" pivotButton="0" quotePrefix="0" xfId="0"/>
    <xf numFmtId="0" fontId="81" fillId="40" borderId="5" applyAlignment="1" pivotButton="0" quotePrefix="0" xfId="0">
      <alignment horizontal="center" vertical="center"/>
    </xf>
    <xf numFmtId="0" fontId="82" fillId="37" borderId="5" applyAlignment="1" pivotButton="0" quotePrefix="0" xfId="0">
      <alignment horizontal="center" vertical="center"/>
    </xf>
    <xf numFmtId="0" fontId="58" fillId="25" borderId="56" applyAlignment="1" pivotButton="0" quotePrefix="0" xfId="0">
      <alignment horizontal="left" vertical="center" indent="1"/>
    </xf>
    <xf numFmtId="0" fontId="58" fillId="25" borderId="56" applyAlignment="1" pivotButton="0" quotePrefix="0" xfId="0">
      <alignment horizontal="center" vertical="center"/>
    </xf>
    <xf numFmtId="0" fontId="83" fillId="36" borderId="5" applyAlignment="1" pivotButton="0" quotePrefix="0" xfId="0">
      <alignment horizontal="center" vertical="center"/>
    </xf>
    <xf numFmtId="0" fontId="40" fillId="36" borderId="5" applyAlignment="1" pivotButton="0" quotePrefix="0" xfId="0">
      <alignment vertical="center" indent="1"/>
    </xf>
    <xf numFmtId="166" fontId="40" fillId="36" borderId="5" applyAlignment="1" pivotButton="0" quotePrefix="0" xfId="0">
      <alignment horizontal="right" vertical="center"/>
    </xf>
    <xf numFmtId="166" fontId="65" fillId="36" borderId="5" applyAlignment="1" pivotButton="0" quotePrefix="0" xfId="0">
      <alignment horizontal="right" vertical="center"/>
    </xf>
    <xf numFmtId="0" fontId="84" fillId="36" borderId="5" applyAlignment="1" pivotButton="0" quotePrefix="0" xfId="0">
      <alignment horizontal="center" vertical="center"/>
    </xf>
    <xf numFmtId="0" fontId="85" fillId="40" borderId="5" applyAlignment="1" pivotButton="0" quotePrefix="0" xfId="0">
      <alignment horizontal="center" vertical="center"/>
    </xf>
    <xf numFmtId="0" fontId="0" fillId="36" borderId="5" pivotButton="0" quotePrefix="0" xfId="0"/>
    <xf numFmtId="0" fontId="83" fillId="37" borderId="5" applyAlignment="1" pivotButton="0" quotePrefix="0" xfId="0">
      <alignment horizontal="center" vertical="center"/>
    </xf>
    <xf numFmtId="0" fontId="40" fillId="37" borderId="5" applyAlignment="1" pivotButton="0" quotePrefix="0" xfId="0">
      <alignment vertical="center" indent="1"/>
    </xf>
    <xf numFmtId="166" fontId="40" fillId="37" borderId="5" applyAlignment="1" pivotButton="0" quotePrefix="0" xfId="0">
      <alignment horizontal="right" vertical="center"/>
    </xf>
    <xf numFmtId="166" fontId="65" fillId="37" borderId="5" applyAlignment="1" pivotButton="0" quotePrefix="0" xfId="0">
      <alignment horizontal="right" vertical="center"/>
    </xf>
    <xf numFmtId="0" fontId="84" fillId="37" borderId="5" applyAlignment="1" pivotButton="0" quotePrefix="0" xfId="0">
      <alignment horizontal="center" vertical="center"/>
    </xf>
    <xf numFmtId="0" fontId="86" fillId="29" borderId="5" applyAlignment="1" pivotButton="0" quotePrefix="0" xfId="0">
      <alignment horizontal="center" vertical="center"/>
    </xf>
    <xf numFmtId="0" fontId="0" fillId="37" borderId="5" pivotButton="0" quotePrefix="0" xfId="0"/>
    <xf numFmtId="0" fontId="87" fillId="34" borderId="5" applyAlignment="1" pivotButton="0" quotePrefix="0" xfId="0">
      <alignment horizontal="center" vertical="center"/>
    </xf>
    <xf numFmtId="0" fontId="88" fillId="42" borderId="5" applyAlignment="1" pivotButton="0" quotePrefix="0" xfId="0">
      <alignment horizontal="center" vertical="center"/>
    </xf>
    <xf numFmtId="0" fontId="30" fillId="25" borderId="57" applyAlignment="1" pivotButton="0" quotePrefix="0" xfId="0">
      <alignment vertical="center" indent="1"/>
    </xf>
    <xf numFmtId="166" fontId="89" fillId="25" borderId="57" applyAlignment="1" pivotButton="0" quotePrefix="0" xfId="0">
      <alignment horizontal="right" vertical="center"/>
    </xf>
    <xf numFmtId="166" fontId="90" fillId="25" borderId="57" applyAlignment="1" pivotButton="0" quotePrefix="0" xfId="0">
      <alignment horizontal="right" vertical="center"/>
    </xf>
    <xf numFmtId="0" fontId="0" fillId="25" borderId="57" pivotButton="0" quotePrefix="0" xfId="0"/>
    <xf numFmtId="0" fontId="91" fillId="25" borderId="57" applyAlignment="1" pivotButton="0" quotePrefix="0" xfId="0">
      <alignment horizontal="center" vertical="center"/>
    </xf>
    <xf numFmtId="0" fontId="92" fillId="36" borderId="58" applyAlignment="1" pivotButton="0" quotePrefix="0" xfId="0">
      <alignment vertical="center" indent="1"/>
    </xf>
    <xf numFmtId="0" fontId="0" fillId="36" borderId="40" pivotButton="0" quotePrefix="0" xfId="0"/>
    <xf numFmtId="0" fontId="98" fillId="35" borderId="61" applyAlignment="1" pivotButton="0" quotePrefix="0" xfId="0">
      <alignment vertical="center" indent="1"/>
    </xf>
    <xf numFmtId="0" fontId="0" fillId="35" borderId="62" pivotButton="0" quotePrefix="0" xfId="0"/>
    <xf numFmtId="0" fontId="0" fillId="35" borderId="63" pivotButton="0" quotePrefix="0" xfId="0"/>
    <xf numFmtId="0" fontId="93" fillId="36" borderId="59" applyAlignment="1" pivotButton="0" quotePrefix="0" xfId="0">
      <alignment vertical="center" indent="1"/>
    </xf>
    <xf numFmtId="0" fontId="84" fillId="36" borderId="59" pivotButton="0" quotePrefix="0" xfId="0"/>
    <xf numFmtId="0" fontId="93" fillId="36" borderId="43" pivotButton="0" quotePrefix="0" xfId="0"/>
    <xf numFmtId="0" fontId="99" fillId="35" borderId="64" applyAlignment="1" pivotButton="0" quotePrefix="0" xfId="0">
      <alignment vertical="center" indent="1"/>
    </xf>
    <xf numFmtId="0" fontId="0" fillId="35" borderId="42" pivotButton="0" quotePrefix="0" xfId="0"/>
    <xf numFmtId="0" fontId="0" fillId="35" borderId="65" pivotButton="0" quotePrefix="0" xfId="0"/>
    <xf numFmtId="0" fontId="94" fillId="36" borderId="59" applyAlignment="1" pivotButton="0" quotePrefix="0" xfId="0">
      <alignment vertical="center" indent="1"/>
    </xf>
    <xf numFmtId="0" fontId="56" fillId="35" borderId="64" applyAlignment="1" pivotButton="0" quotePrefix="0" xfId="0">
      <alignment vertical="center" indent="1"/>
    </xf>
    <xf numFmtId="0" fontId="95" fillId="36" borderId="59" applyAlignment="1" pivotButton="0" quotePrefix="0" xfId="0">
      <alignment vertical="center" indent="1"/>
    </xf>
    <xf numFmtId="0" fontId="0" fillId="40" borderId="5" pivotButton="0" quotePrefix="0" xfId="0"/>
    <xf numFmtId="0" fontId="96" fillId="36" borderId="59" applyAlignment="1" pivotButton="0" quotePrefix="0" xfId="0">
      <alignment vertical="center" indent="1"/>
    </xf>
    <xf numFmtId="0" fontId="97" fillId="43" borderId="5" applyAlignment="1" pivotButton="0" quotePrefix="0" xfId="0">
      <alignment horizontal="center" vertical="center"/>
    </xf>
    <xf numFmtId="0" fontId="100" fillId="36" borderId="5" applyAlignment="1" pivotButton="0" quotePrefix="0" xfId="0">
      <alignment horizontal="center" vertical="center"/>
    </xf>
    <xf numFmtId="0" fontId="0" fillId="36" borderId="60" pivotButton="0" quotePrefix="0" xfId="0"/>
    <xf numFmtId="0" fontId="21" fillId="0" borderId="10" pivotButton="0" quotePrefix="0" xfId="0"/>
    <xf numFmtId="0" fontId="93" fillId="0" borderId="10" pivotButton="0" quotePrefix="0" xfId="0"/>
    <xf numFmtId="0" fontId="101" fillId="30" borderId="66" applyAlignment="1" pivotButton="0" quotePrefix="0" xfId="0">
      <alignment vertical="center" indent="1"/>
    </xf>
    <xf numFmtId="0" fontId="106" fillId="29" borderId="70" applyAlignment="1" pivotButton="0" quotePrefix="0" xfId="0">
      <alignment vertical="center" indent="1"/>
    </xf>
    <xf numFmtId="0" fontId="0" fillId="36" borderId="67" pivotButton="0" quotePrefix="0" xfId="0"/>
    <xf numFmtId="0" fontId="0" fillId="36" borderId="68" pivotButton="0" quotePrefix="0" xfId="0"/>
    <xf numFmtId="0" fontId="0" fillId="36" borderId="71" pivotButton="0" quotePrefix="0" xfId="0"/>
    <xf numFmtId="0" fontId="0" fillId="36" borderId="72" pivotButton="0" quotePrefix="0" xfId="0"/>
    <xf numFmtId="0" fontId="102" fillId="36" borderId="67" pivotButton="0" quotePrefix="0" xfId="0"/>
    <xf numFmtId="0" fontId="103" fillId="36" borderId="42" applyAlignment="1" pivotButton="0" quotePrefix="0" xfId="0">
      <alignment horizontal="right" vertical="center"/>
    </xf>
    <xf numFmtId="0" fontId="102" fillId="36" borderId="71" pivotButton="0" quotePrefix="0" xfId="0"/>
    <xf numFmtId="0" fontId="107" fillId="36" borderId="42" applyAlignment="1" pivotButton="0" quotePrefix="0" xfId="0">
      <alignment horizontal="right" vertical="center"/>
    </xf>
    <xf numFmtId="166" fontId="92" fillId="36" borderId="42" applyAlignment="1" pivotButton="0" quotePrefix="0" xfId="0">
      <alignment horizontal="right" vertical="center"/>
    </xf>
    <xf numFmtId="166" fontId="104" fillId="36" borderId="42" applyAlignment="1" pivotButton="0" quotePrefix="0" xfId="0">
      <alignment horizontal="right" vertical="center"/>
    </xf>
    <xf numFmtId="167" fontId="104" fillId="36" borderId="42" applyAlignment="1" pivotButton="0" quotePrefix="0" xfId="0">
      <alignment horizontal="right" vertical="center"/>
    </xf>
    <xf numFmtId="0" fontId="104" fillId="36" borderId="42" applyAlignment="1" pivotButton="0" quotePrefix="0" xfId="0">
      <alignment horizontal="right" vertical="center"/>
    </xf>
    <xf numFmtId="0" fontId="105" fillId="30" borderId="69" applyAlignment="1" pivotButton="0" quotePrefix="0" xfId="0">
      <alignment horizontal="center" vertical="center"/>
    </xf>
    <xf numFmtId="0" fontId="70" fillId="29" borderId="73" applyAlignment="1" pivotButton="0" quotePrefix="0" xfId="0">
      <alignment horizontal="center" vertical="center"/>
    </xf>
    <xf numFmtId="0" fontId="80" fillId="36" borderId="58" applyAlignment="1" pivotButton="0" quotePrefix="0" xfId="0">
      <alignment vertical="center" indent="1"/>
    </xf>
    <xf numFmtId="0" fontId="0" fillId="36" borderId="59" pivotButton="0" quotePrefix="0" xfId="0"/>
    <xf numFmtId="0" fontId="92" fillId="36" borderId="59" applyAlignment="1" pivotButton="0" quotePrefix="0" xfId="0">
      <alignment vertical="center" indent="1"/>
    </xf>
    <xf numFmtId="0" fontId="84" fillId="36" borderId="59" applyAlignment="1" pivotButton="0" quotePrefix="0" xfId="0">
      <alignment vertical="center" indent="2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03" t="inlineStr">
        <is>
          <t>☰ PANO</t>
        </is>
      </c>
    </row>
    <row r="2" ht="28" customHeight="1">
      <c r="B2" s="204" t="inlineStr">
        <is>
          <t>ARSA VE GAYRIMENKUL PROJE GELISTIRME FIZIBILITE</t>
        </is>
      </c>
      <c r="L2" s="205" t="inlineStr">
        <is>
          <t>Dönem: 2026 / Tam ▼</t>
        </is>
      </c>
      <c r="M2" s="206" t="inlineStr">
        <is>
          <t>★ DOĞRULANMIŞ</t>
        </is>
      </c>
    </row>
    <row r="3" ht="18" customHeight="1">
      <c r="B3" s="207" t="inlineStr">
        <is>
          <t>Hedef Kullanıcı: Yönetim Kurulu, CFO, Finans Yöneticisi, SMMM · 2026 Q3 Denetim Standardı</t>
        </is>
      </c>
    </row>
    <row r="4" ht="10" customHeight="1"/>
    <row r="5" ht="20" customHeight="1">
      <c r="B5" s="208" t="inlineStr">
        <is>
          <t>TOPLAM İŞLEM HACMİ</t>
        </is>
      </c>
      <c r="C5" s="209" t="n"/>
      <c r="D5" s="210" t="inlineStr">
        <is>
          <t>KONSOLİDE</t>
        </is>
      </c>
      <c r="E5" s="211" t="inlineStr">
        <is>
          <t>OPERASYONEL MALİYET</t>
        </is>
      </c>
      <c r="F5" s="209" t="n"/>
      <c r="G5" s="212" t="inlineStr">
        <is>
          <t>KONTROL</t>
        </is>
      </c>
      <c r="H5" s="213" t="inlineStr">
        <is>
          <t>NET OPERASYONEL MARJ</t>
        </is>
      </c>
      <c r="I5" s="209" t="n"/>
      <c r="J5" s="214" t="inlineStr">
        <is>
          <t>GÜVENLİ</t>
        </is>
      </c>
      <c r="K5" s="215" t="inlineStr">
        <is>
          <t>SİSTEM GÜVEN SKORU</t>
        </is>
      </c>
      <c r="L5" s="209" t="n"/>
      <c r="M5" s="216" t="inlineStr">
        <is>
          <t>DENETLENDİ</t>
        </is>
      </c>
    </row>
    <row r="6" ht="6" customHeight="1">
      <c r="B6" s="217" t="n"/>
      <c r="C6" s="218" t="n"/>
      <c r="D6" s="219" t="n"/>
      <c r="E6" s="220" t="n"/>
      <c r="F6" s="218" t="n"/>
      <c r="G6" s="219" t="n"/>
      <c r="H6" s="221" t="n"/>
      <c r="I6" s="218" t="n"/>
      <c r="J6" s="219" t="n"/>
      <c r="K6" s="222" t="n"/>
      <c r="L6" s="218" t="n"/>
      <c r="M6" s="219" t="n"/>
    </row>
    <row r="7" ht="32" customHeight="1">
      <c r="B7" s="223">
        <f>GİRDİLER!E17</f>
        <v/>
      </c>
      <c r="C7" s="218" t="n"/>
      <c r="D7" s="219" t="n"/>
      <c r="E7" s="224">
        <f>B7*0.22</f>
        <v/>
      </c>
      <c r="F7" s="218" t="n"/>
      <c r="G7" s="219" t="n"/>
      <c r="H7" s="225">
        <f>B7-E7</f>
        <v/>
      </c>
      <c r="I7" s="218" t="n"/>
      <c r="J7" s="219" t="n"/>
      <c r="K7" s="226">
        <f>IF(E7&gt;0, ROUND(B7/E7, 2), 0)</f>
        <v/>
      </c>
      <c r="L7" s="218" t="n"/>
      <c r="M7" s="219" t="n"/>
    </row>
    <row r="8" ht="6" customHeight="1">
      <c r="B8" s="217" t="n"/>
      <c r="C8" s="218" t="n"/>
      <c r="D8" s="219" t="n"/>
      <c r="E8" s="220" t="n"/>
      <c r="F8" s="218" t="n"/>
      <c r="G8" s="219" t="n"/>
      <c r="H8" s="221" t="n"/>
      <c r="I8" s="218" t="n"/>
      <c r="J8" s="219" t="n"/>
      <c r="K8" s="222" t="n"/>
      <c r="L8" s="218" t="n"/>
      <c r="M8" s="219" t="n"/>
    </row>
    <row r="9" ht="18" customHeight="1">
      <c r="B9" s="227" t="inlineStr">
        <is>
          <t>↑ %14.2 konsolide canlı veri bağlantısı</t>
        </is>
      </c>
      <c r="C9" s="228" t="n"/>
      <c r="D9" s="229" t="n"/>
      <c r="E9" s="230" t="inlineStr">
        <is>
          <t>● 8 Kalem nakit karşılığı: bloke</t>
        </is>
      </c>
      <c r="F9" s="228" t="n"/>
      <c r="G9" s="229" t="n"/>
      <c r="H9" s="231" t="inlineStr">
        <is>
          <t>██████████░░░░░ %78.0 NET MARJ</t>
        </is>
      </c>
      <c r="I9" s="228" t="n"/>
      <c r="J9" s="229" t="n"/>
      <c r="K9" s="232" t="inlineStr">
        <is>
          <t>✓ İDEAL karşılama rasyosu</t>
        </is>
      </c>
      <c r="L9" s="228" t="n"/>
      <c r="M9" s="229" t="n"/>
    </row>
    <row r="10" ht="14" customHeight="1"/>
    <row r="11" ht="24" customHeight="1">
      <c r="B11" s="233" t="inlineStr">
        <is>
          <t>ARSA VE GAYRIMENKUL PROJE GELISTIRME FIZIBILITE — DÖNEMSEL İCRA VE PROJEKSİYON</t>
        </is>
      </c>
      <c r="F11" s="234" t="inlineStr">
        <is>
          <t>+%32 Verim</t>
        </is>
      </c>
      <c r="H11" s="233" t="inlineStr">
        <is>
          <t>KONSOLİDE OPERASYON VE KARAR MATRİSİ</t>
        </is>
      </c>
    </row>
    <row r="12" ht="18" customHeight="1">
      <c r="B12" s="81" t="inlineStr">
        <is>
          <t>Kümülatif Hacim vs. Operasyonel Maliyet ve Net Kâr Eğilimi</t>
        </is>
      </c>
      <c r="H12" s="81" t="inlineStr">
        <is>
          <t>Anlık Hesaplama Sonuçları, Dinamik Formül Çıktıları ve Durum Puanlaması</t>
        </is>
      </c>
    </row>
    <row r="13" ht="8" customHeight="1"/>
    <row r="14" ht="24" customHeight="1">
      <c r="B14" s="235" t="inlineStr">
        <is>
          <t>Dönem</t>
        </is>
      </c>
      <c r="C14" s="235" t="inlineStr">
        <is>
          <t>Aktif Hacim</t>
        </is>
      </c>
      <c r="D14" s="235" t="inlineStr">
        <is>
          <t>Maliyet/Yük</t>
        </is>
      </c>
      <c r="E14" s="235" t="inlineStr">
        <is>
          <t>Hedef</t>
        </is>
      </c>
      <c r="H14" s="236" t="inlineStr">
        <is>
          <t>PARAMETRE / KALEM</t>
        </is>
      </c>
      <c r="I14" s="237" t="inlineStr">
        <is>
          <t>ANA TUTAR</t>
        </is>
      </c>
      <c r="J14" s="237" t="inlineStr">
        <is>
          <t>FARK / MARJ</t>
        </is>
      </c>
      <c r="K14" s="237" t="inlineStr">
        <is>
          <t>VADE</t>
        </is>
      </c>
      <c r="L14" s="237" t="inlineStr">
        <is>
          <t>KONTROL DURUMU</t>
        </is>
      </c>
      <c r="M14" s="237" t="n"/>
    </row>
    <row r="15" ht="22" customHeight="1">
      <c r="B15" s="238" t="inlineStr">
        <is>
          <t>D1</t>
        </is>
      </c>
      <c r="C15" s="238" t="n">
        <v>65</v>
      </c>
      <c r="D15" s="238" t="n">
        <v>45</v>
      </c>
      <c r="E15" s="238" t="n">
        <v>60</v>
      </c>
      <c r="H15" s="239" t="inlineStr">
        <is>
          <t>Dönemlik Kümülatif Bakiye</t>
        </is>
      </c>
      <c r="I15" s="240">
        <f>B7*0.45</f>
        <v/>
      </c>
      <c r="J15" s="241">
        <f>B7*0.05</f>
        <v/>
      </c>
      <c r="K15" s="242" t="inlineStr">
        <is>
          <t>12 Ay</t>
        </is>
      </c>
      <c r="L15" s="243" t="inlineStr">
        <is>
          <t>✓ DÜZENLİ</t>
        </is>
      </c>
      <c r="M15" s="244" t="n"/>
    </row>
    <row r="16" ht="22" customHeight="1">
      <c r="B16" s="245" t="inlineStr">
        <is>
          <t>D2</t>
        </is>
      </c>
      <c r="C16" s="245" t="n">
        <v>78</v>
      </c>
      <c r="D16" s="245" t="n">
        <v>48</v>
      </c>
      <c r="E16" s="245" t="n">
        <v>70</v>
      </c>
      <c r="H16" s="246" t="inlineStr">
        <is>
          <t>Kritik Eşik Güvenlik Tamponu</t>
        </is>
      </c>
      <c r="I16" s="247">
        <f>B7*0.30</f>
        <v/>
      </c>
      <c r="J16" s="248">
        <f>B7*0.03</f>
        <v/>
      </c>
      <c r="K16" s="249" t="inlineStr">
        <is>
          <t>24 Ay</t>
        </is>
      </c>
      <c r="L16" s="250" t="inlineStr">
        <is>
          <t>★ AVANTAJ</t>
        </is>
      </c>
      <c r="M16" s="251" t="n"/>
    </row>
    <row r="17" ht="22" customHeight="1">
      <c r="B17" s="238" t="inlineStr">
        <is>
          <t>D3</t>
        </is>
      </c>
      <c r="C17" s="238" t="n">
        <v>85</v>
      </c>
      <c r="D17" s="238" t="n">
        <v>55</v>
      </c>
      <c r="E17" s="238" t="n">
        <v>80</v>
      </c>
      <c r="H17" s="239" t="inlineStr">
        <is>
          <t>Operasyonel Net Fark</t>
        </is>
      </c>
      <c r="I17" s="240">
        <f>B7*0.15</f>
        <v/>
      </c>
      <c r="J17" s="241">
        <f>B7*0.02</f>
        <v/>
      </c>
      <c r="K17" s="242" t="inlineStr">
        <is>
          <t>8 Ay</t>
        </is>
      </c>
      <c r="L17" s="252" t="inlineStr">
        <is>
          <t>● YAKLAŞAN</t>
        </is>
      </c>
      <c r="M17" s="244" t="n"/>
    </row>
    <row r="18" ht="22" customHeight="1">
      <c r="B18" s="245" t="inlineStr">
        <is>
          <t>D4</t>
        </is>
      </c>
      <c r="C18" s="245" t="n">
        <v>75</v>
      </c>
      <c r="D18" s="245" t="n">
        <v>42</v>
      </c>
      <c r="E18" s="245" t="n">
        <v>75</v>
      </c>
      <c r="H18" s="246" t="inlineStr">
        <is>
          <t>Rezerv ve Likit Dağılım</t>
        </is>
      </c>
      <c r="I18" s="247">
        <f>B7*0.10</f>
        <v/>
      </c>
      <c r="J18" s="248">
        <f>B7*0.01</f>
        <v/>
      </c>
      <c r="K18" s="249" t="inlineStr">
        <is>
          <t>16 Ay</t>
        </is>
      </c>
      <c r="L18" s="253" t="inlineStr">
        <is>
          <t>✓ TAM UYUM</t>
        </is>
      </c>
      <c r="M18" s="251" t="n"/>
    </row>
    <row r="19" ht="26" customHeight="1">
      <c r="B19" s="238" t="inlineStr">
        <is>
          <t>D5</t>
        </is>
      </c>
      <c r="C19" s="238" t="n">
        <v>90</v>
      </c>
      <c r="D19" s="238" t="n">
        <v>40</v>
      </c>
      <c r="E19" s="238" t="n">
        <v>85</v>
      </c>
      <c r="H19" s="254" t="inlineStr">
        <is>
          <t>KONSOLİDE SİSTEM TOPLAMI</t>
        </is>
      </c>
      <c r="I19" s="255">
        <f>SUM(I15:I18)</f>
        <v/>
      </c>
      <c r="J19" s="256">
        <f>SUM(J15:J18)</f>
        <v/>
      </c>
      <c r="K19" s="257" t="inlineStr"/>
      <c r="L19" s="258" t="inlineStr">
        <is>
          <t>TAM DOĞRULANDI (0 HATA)</t>
        </is>
      </c>
      <c r="M19" s="258" t="n"/>
    </row>
    <row r="20" ht="22" customHeight="1">
      <c r="B20" s="245" t="inlineStr">
        <is>
          <t>D6</t>
        </is>
      </c>
      <c r="C20" s="245" t="n">
        <v>96</v>
      </c>
      <c r="D20" s="245" t="n">
        <v>32</v>
      </c>
      <c r="E20" s="245" t="n">
        <v>92</v>
      </c>
    </row>
    <row r="21" ht="14" customHeight="1"/>
    <row r="22" ht="24" customHeight="1">
      <c r="B22" s="259" t="inlineStr">
        <is>
          <t>KONSOLİDE PAY VE AĞIRLIK</t>
        </is>
      </c>
      <c r="C22" s="209" t="n"/>
      <c r="D22" s="209" t="n"/>
      <c r="E22" s="260" t="n"/>
      <c r="F22" s="259" t="inlineStr">
        <is>
          <t>LİKİDİTE RİSKİ &amp; ERKEN UYARI SİNYALLERİ</t>
        </is>
      </c>
      <c r="G22" s="209" t="n"/>
      <c r="H22" s="209" t="n"/>
      <c r="I22" s="260" t="n"/>
      <c r="K22" s="261" t="inlineStr">
        <is>
          <t>KARAR MOTORU</t>
        </is>
      </c>
      <c r="L22" s="262" t="n"/>
      <c r="M22" s="263" t="n"/>
    </row>
    <row r="23" ht="20" customHeight="1">
      <c r="B23" s="264" t="inlineStr">
        <is>
          <t>■ Ana Segment (%42)</t>
        </is>
      </c>
      <c r="C23" s="218" t="n"/>
      <c r="D23" s="218" t="n"/>
      <c r="E23" s="219" t="n"/>
      <c r="F23" s="265" t="inlineStr">
        <is>
          <t>Nakit Açığı Riski (30 Gün)</t>
        </is>
      </c>
      <c r="G23" s="218" t="n"/>
      <c r="H23" s="218" t="n"/>
      <c r="I23" s="266" t="inlineStr">
        <is>
          <t>0.00 TL (Sıfır Risk)</t>
        </is>
      </c>
      <c r="K23" s="267" t="inlineStr">
        <is>
          <t>LİKİDİTE OPTİMİZASYON FIRSATI</t>
        </is>
      </c>
      <c r="L23" s="268" t="n"/>
      <c r="M23" s="269" t="n"/>
    </row>
    <row r="24" ht="20" customHeight="1">
      <c r="B24" s="270" t="inlineStr">
        <is>
          <t>■ İkincil Grup (%30)</t>
        </is>
      </c>
      <c r="C24" s="218" t="n"/>
      <c r="D24" s="218" t="n"/>
      <c r="E24" s="219" t="n"/>
      <c r="F24" s="265" t="inlineStr">
        <is>
          <t>Tahsilat Gecikme Toleransı</t>
        </is>
      </c>
      <c r="G24" s="218" t="n"/>
      <c r="H24" s="218" t="n"/>
      <c r="I24" s="266" t="inlineStr">
        <is>
          <t>48 Gün Güvenli Eşik</t>
        </is>
      </c>
      <c r="K24" s="271" t="inlineStr">
        <is>
          <t>Atıl kalan nakit rezervinin gecelik repoda</t>
        </is>
      </c>
    </row>
    <row r="25" ht="20" customHeight="1">
      <c r="B25" s="272" t="inlineStr">
        <is>
          <t>■ Destek Birimi (%15)</t>
        </is>
      </c>
      <c r="C25" s="218" t="n"/>
      <c r="D25" s="218" t="n"/>
      <c r="E25" s="219" t="n"/>
      <c r="F25" s="243" t="inlineStr">
        <is>
          <t>██████████████████████████████████████ Güvenli Bölge (%100)</t>
        </is>
      </c>
      <c r="G25" s="273" t="n"/>
      <c r="H25" s="273" t="n"/>
      <c r="I25" s="273" t="n"/>
    </row>
    <row r="26" ht="20" customHeight="1">
      <c r="B26" s="274" t="inlineStr">
        <is>
          <t>■ Rezervler (%13)</t>
        </is>
      </c>
      <c r="C26" s="218" t="n"/>
      <c r="D26" s="218" t="n"/>
      <c r="E26" s="219" t="n"/>
      <c r="F26" s="275" t="inlineStr">
        <is>
          <t>✓ 90 GÜNLÜK PROJEKSİYONDA NAKİT SIKIŞIKLIĞI TESPİT EDİLMEDİ</t>
        </is>
      </c>
      <c r="G26" s="183" t="n"/>
      <c r="H26" s="183" t="n"/>
      <c r="I26" s="184" t="n"/>
      <c r="K26" s="276" t="inlineStr">
        <is>
          <t>FONLAMA SENARYOSUNU İNCELE ›</t>
        </is>
      </c>
    </row>
    <row r="27" ht="26" customHeight="1">
      <c r="B27" s="277" t="n"/>
      <c r="C27" s="228" t="n"/>
      <c r="D27" s="228" t="n"/>
      <c r="E27" s="229" t="n"/>
      <c r="F27" s="185" t="n"/>
      <c r="G27" s="186" t="n"/>
      <c r="H27" s="186" t="n"/>
      <c r="I27" s="18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3">
      <c r="B3" s="120" t="inlineStr">
        <is>
          <t>🔍  ARSA VE GAYRIMENKUL PROJE GELISTIRME FIZIBILITE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03" t="inlineStr">
        <is>
          <t>☰ PANO</t>
        </is>
      </c>
    </row>
    <row r="2" ht="28" customHeight="1">
      <c r="B2" s="142" t="inlineStr">
        <is>
          <t>ARSA VE GAYRIMENKUL PROJE GELISTIRME FIZIBILITE — NİHAİ KARAR VE DEĞERLEME</t>
        </is>
      </c>
    </row>
    <row r="3" ht="18" customHeight="1">
      <c r="B3" s="278" t="inlineStr">
        <is>
          <t>Yönetim Kurulu ve İcra Komitesi için Otomatik Finansal Stres Testi Raporu · Yönetim Kurulu, CFO, Finans Yöneticisi, SMMM</t>
        </is>
      </c>
    </row>
    <row r="4" ht="20" customHeight="1">
      <c r="B4" s="279" t="inlineStr">
        <is>
          <t>DÖNEM: 2026 Q3 · DENETİM PROTOKOLÜ: ISO/VUK/IFRS UYUMLU · DURUM: ONAYLANDI</t>
        </is>
      </c>
    </row>
    <row r="5" ht="12" customHeight="1"/>
    <row r="6" ht="26" customHeight="1">
      <c r="B6" s="280" t="inlineStr">
        <is>
          <t>SENARYO A: KÖTÜMSER (STRES TESTİ -%20)</t>
        </is>
      </c>
      <c r="C6" s="188" t="n"/>
      <c r="D6" s="188" t="n"/>
      <c r="E6" s="188" t="n"/>
      <c r="F6" s="189" t="n"/>
      <c r="H6" s="281" t="inlineStr">
        <is>
          <t>SENARYO B: BAZ MODEL (HEDEFLENEN)</t>
        </is>
      </c>
      <c r="I6" s="188" t="n"/>
      <c r="J6" s="188" t="n"/>
      <c r="K6" s="188" t="n"/>
      <c r="L6" s="189" t="n"/>
    </row>
    <row r="7" ht="22" customHeight="1">
      <c r="B7" s="282" t="n"/>
      <c r="C7" s="218" t="n"/>
      <c r="D7" s="218" t="n"/>
      <c r="E7" s="218" t="n"/>
      <c r="F7" s="283" t="n"/>
      <c r="H7" s="284" t="n"/>
      <c r="I7" s="218" t="n"/>
      <c r="J7" s="218" t="n"/>
      <c r="K7" s="218" t="n"/>
      <c r="L7" s="285" t="n"/>
    </row>
    <row r="8" ht="22" customHeight="1">
      <c r="B8" s="286" t="inlineStr">
        <is>
          <t>Ciro / Hacim Düşüşü:</t>
        </is>
      </c>
      <c r="C8" s="218" t="n"/>
      <c r="D8" s="218" t="n"/>
      <c r="E8" s="287" t="inlineStr">
        <is>
          <t>-%20.0 (Kriz Eşiği)</t>
        </is>
      </c>
      <c r="F8" s="283" t="n"/>
      <c r="H8" s="288" t="inlineStr">
        <is>
          <t>Ciro / Hacim Gerçekleşmesi:</t>
        </is>
      </c>
      <c r="I8" s="218" t="n"/>
      <c r="J8" s="218" t="n"/>
      <c r="K8" s="289" t="inlineStr">
        <is>
          <t>%100.0 (Tam Bütçe)</t>
        </is>
      </c>
      <c r="L8" s="285" t="n"/>
    </row>
    <row r="9" ht="22" customHeight="1">
      <c r="B9" s="286" t="inlineStr">
        <is>
          <t>Beklenen Net Kâr / Getiri:</t>
        </is>
      </c>
      <c r="C9" s="218" t="n"/>
      <c r="D9" s="218" t="n"/>
      <c r="E9" s="290">
        <f>PANO!B7*0.8*0.22</f>
        <v/>
      </c>
      <c r="F9" s="283" t="n"/>
      <c r="H9" s="288" t="inlineStr">
        <is>
          <t>Beklenen Net Kâr / Getiri:</t>
        </is>
      </c>
      <c r="I9" s="218" t="n"/>
      <c r="J9" s="218" t="n"/>
      <c r="K9" s="290">
        <f>PANO!H7</f>
        <v/>
      </c>
      <c r="L9" s="285" t="n"/>
    </row>
    <row r="10" ht="22" customHeight="1">
      <c r="B10" s="286" t="inlineStr">
        <is>
          <t>Minimum Nakit Tamponu:</t>
        </is>
      </c>
      <c r="C10" s="218" t="n"/>
      <c r="D10" s="218" t="n"/>
      <c r="E10" s="291">
        <f>PANO!E7*0.75</f>
        <v/>
      </c>
      <c r="F10" s="283" t="n"/>
      <c r="H10" s="288" t="inlineStr">
        <is>
          <t>Serbest Nakit Akımı:</t>
        </is>
      </c>
      <c r="I10" s="218" t="n"/>
      <c r="J10" s="218" t="n"/>
      <c r="K10" s="291">
        <f>PANO!H7*0.75</f>
        <v/>
      </c>
      <c r="L10" s="285" t="n"/>
    </row>
    <row r="11" ht="22" customHeight="1">
      <c r="B11" s="286" t="inlineStr">
        <is>
          <t>Likidite Karşılama Oranı:</t>
        </is>
      </c>
      <c r="C11" s="218" t="n"/>
      <c r="D11" s="218" t="n"/>
      <c r="E11" s="292">
        <f>ROUND(PANO!B7*0.8/PANO!E7, 2)</f>
        <v/>
      </c>
      <c r="F11" s="283" t="n"/>
      <c r="H11" s="288" t="inlineStr">
        <is>
          <t>Yatırım Geri Dönüşü (ROI):</t>
        </is>
      </c>
      <c r="I11" s="218" t="n"/>
      <c r="J11" s="218" t="n"/>
      <c r="K11" s="293" t="inlineStr">
        <is>
          <t>%38.4 Yıllık</t>
        </is>
      </c>
      <c r="L11" s="285" t="n"/>
    </row>
    <row r="12" ht="22" customHeight="1">
      <c r="B12" s="282" t="n"/>
      <c r="C12" s="218" t="n"/>
      <c r="D12" s="218" t="n"/>
      <c r="E12" s="218" t="n"/>
      <c r="F12" s="283" t="n"/>
      <c r="H12" s="284" t="n"/>
      <c r="I12" s="218" t="n"/>
      <c r="J12" s="218" t="n"/>
      <c r="K12" s="218" t="n"/>
      <c r="L12" s="285" t="n"/>
    </row>
    <row r="13" ht="22" customHeight="1">
      <c r="B13" s="282" t="n"/>
      <c r="C13" s="218" t="n"/>
      <c r="D13" s="218" t="n"/>
      <c r="E13" s="218" t="n"/>
      <c r="F13" s="283" t="n"/>
      <c r="H13" s="284" t="n"/>
      <c r="I13" s="218" t="n"/>
      <c r="J13" s="218" t="n"/>
      <c r="K13" s="218" t="n"/>
      <c r="L13" s="285" t="n"/>
    </row>
    <row r="14" ht="28" customHeight="1">
      <c r="B14" s="294" t="inlineStr">
        <is>
          <t>STRES SENARYOSUNDA DAHİ İFLAS RİSKİ YOK</t>
        </is>
      </c>
      <c r="C14" s="192" t="n"/>
      <c r="D14" s="192" t="n"/>
      <c r="E14" s="192" t="n"/>
      <c r="F14" s="193" t="n"/>
      <c r="H14" s="295" t="inlineStr">
        <is>
          <t>OPTİMUM İCRA VE PLANLAMA REÇETESİ</t>
        </is>
      </c>
      <c r="I14" s="194" t="n"/>
      <c r="J14" s="194" t="n"/>
      <c r="K14" s="194" t="n"/>
      <c r="L14" s="195" t="n"/>
    </row>
    <row r="15" ht="14" customHeight="1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 ht="10" customHeight="1"/>
    <row r="17" ht="26" customHeight="1">
      <c r="B17" s="296" t="inlineStr">
        <is>
          <t>YÖNETİM KARAR MATRİSİ VE UYGULAMA REÇETESİ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60" t="n"/>
    </row>
    <row r="18" ht="22" customHeight="1">
      <c r="B18" s="297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9" t="n"/>
    </row>
    <row r="19" ht="22" customHeight="1">
      <c r="B19" s="298" t="inlineStr">
        <is>
          <t>●  Öncelik 1: Acil Likidite ve Borç Servis Planlaması</t>
        </is>
      </c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</row>
    <row r="20" ht="22" customHeight="1">
      <c r="B20" s="299" t="inlineStr">
        <is>
          <t xml:space="preserve">   Sistemde hesaplanan vade günlerine sadık kalınarak nakit blokajı 3 gün önceden hazır edilmelidir.</t>
        </is>
      </c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9" t="n"/>
    </row>
    <row r="21" ht="22" customHeight="1">
      <c r="B21" s="298" t="inlineStr">
        <is>
          <t>●  Öncelik 2: Formül Doğrulama ve Çapraz Sağlama</t>
        </is>
      </c>
      <c r="C21" s="218" t="n"/>
      <c r="D21" s="218" t="n"/>
      <c r="E21" s="218" t="n"/>
      <c r="F21" s="218" t="n"/>
      <c r="G21" s="218" t="n"/>
      <c r="H21" s="218" t="n"/>
      <c r="I21" s="218" t="n"/>
      <c r="J21" s="218" t="n"/>
      <c r="K21" s="218" t="n"/>
      <c r="L21" s="219" t="n"/>
    </row>
    <row r="22" ht="22" customHeight="1">
      <c r="B22" s="299" t="inlineStr">
        <is>
          <t xml:space="preserve">   Tüm hücreler kilitli formül korumasında olup girdi sayfalarında sıfır döngüsel başvuru (circular ref) garantilidir.</t>
        </is>
      </c>
      <c r="C22" s="218" t="n"/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9" t="n"/>
    </row>
    <row r="23" ht="22" customHeight="1">
      <c r="B23" s="298" t="inlineStr">
        <is>
          <t>●  Öncelik 3: Resmi Mevzuat ve Vergi Kalkanı Entegrasyonu</t>
        </is>
      </c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9" t="n"/>
    </row>
    <row r="24" ht="22" customHeight="1">
      <c r="B24" s="299" t="inlineStr">
        <is>
          <t xml:space="preserve">   2026 güncel vergi dilimleri, amortisman ve SGK teşvik parametreleri tam otomatik yansıtılmaktadır.</t>
        </is>
      </c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9" t="n"/>
    </row>
    <row r="25" ht="22" customHeight="1">
      <c r="B25" s="298" t="inlineStr">
        <is>
          <t>●  Öncelik 4: Yönetici İmzası ve Rapor Paylaşımı</t>
        </is>
      </c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9" t="n"/>
    </row>
    <row r="26" ht="22" customHeight="1">
      <c r="B26" s="299" t="inlineStr">
        <is>
          <t xml:space="preserve">   Tek tuşla PDF ve A4 çıktı formatına tam uyumlu sayfa yapısı kurgulanmıştır.</t>
        </is>
      </c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9" t="n"/>
    </row>
    <row r="27" ht="22" customHeight="1">
      <c r="B27" s="277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2026-09-25T22:34:03Z</dcterms:modified>
  <cp:lastModifiedBy>barıs bagırlar</cp:lastModifiedBy>
</cp:coreProperties>
</file>