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akv_matrah">GIRDI!$B$16</definedName>
    <definedName name="akv_odenenKv">GIRDI!$B$13</definedName>
    <definedName name="akv_asgariKv">MOTOR!$G$22</definedName>
    <definedName name="akv_fark">MOTOR!$G$24</definedName>
    <definedName name="akv_kararMetni">MOTOR!$G$27</definedName>
    <definedName name="akv_kararGerekce">MOTOR!$G$28</definedName>
    <definedName name="akv_maddeAtifMetni">MOTOR!$G$49</definedName>
    <definedName name="akv_kanitRaporu">MOTOR!$G$50</definedName>
    <definedName name="akv_kuralYilMatris">KURALLAR!$B$17</definedName>
    <definedName name="akv_parmakIzi">AYARLAR!$B$19</definedName>
    <definedName name="akv_senaryoKarsilastirma">SENARYO!$B$11</definedName>
    <definedName name="akv_yorumSenaryo">SENARYO!$B$12</definedName>
    <definedName name="akv_duyarlilikSira">SENARYO!$B$19</definedName>
    <definedName name="akv_yorumDuyarlilik">SENARYO!$B$20</definedName>
    <definedName name="akv_kuralDegisimSenaryo">SENARYO!$B$22</definedName>
    <definedName name="akv_yorumKuralDegisim">SENARYO!$B$23</definedName>
    <definedName name="akv_tahminAralik">SENARYO!$B$32</definedName>
    <definedName name="akv_yorumTahmin">SENARYO!$B$33</definedName>
    <definedName name="akv_vakaDurum">VAKALAR!$B$12</definedName>
    <definedName name="akv_vakaFark">VAKALAR!$B$13</definedName>
    <definedName name="akv_tolerans">AYARLAR!$B$8</definedName>
    <definedName name="akv_farkEsik">AYARLAR!$B$9</definedName>
    <definedName name="akv_senaryoIyi">AYARLAR!$B$10</definedName>
    <definedName name="akv_senaryoKotu">AYARLAR!$B$11</definedName>
    <definedName name="akv_oranArtisPuan">AYARLAR!$B$12</definedName>
    <definedName name="akv_tahminAlt">AYARLAR!$B$13</definedName>
    <definedName name="akv_tahminUst">AYARLAR!$B$14</definedName>
    <definedName name="akv_tornadoMatrah">AYARLAR!$B$15</definedName>
    <definedName name="akv_tornadoOdenen">AYARLAR!$B$16</definedName>
    <definedName name="akv_yorumAIstisnaCarpan">AYARLAR!$B$17</definedName>
    <definedName name="akv_yuzdelikOran">AYARLAR!$B$18</definedName>
    <definedName name="akv_girisBeklenen">AYARLAR!$B$21</definedName>
    <definedName name="akv_riskDusuk">AYARLAR!$B$22</definedName>
    <definedName name="akv_riskOrta">AYARLAR!$B$23</definedName>
    <definedName name="akv_riskYuksek">AYARLAR!$B$24</definedName>
    <definedName name="akv_riskEsikOran">AYARLAR!$B$25</definedName>
    <definedName name="akv_yilTaban">AYARLAR!$B$26</definedName>
    <definedName name="akv_yuvarMax">AYARLAR!$B$27</definedName>
    <definedName name="vaka_matrah_1">AYARLAR!$B$28</definedName>
    <definedName name="vaka_odenen_1">AYARLAR!$B$29</definedName>
    <definedName name="vaka_matrah_2">AYARLAR!$B$30</definedName>
    <definedName name="vaka_odenen_2">AYARLAR!$B$31</definedName>
    <definedName name="vaka_matrah_3">AYARLAR!$B$32</definedName>
    <definedName name="vaka_odenen_3">AYARLAR!$B$33</definedName>
    <definedName name="akv_modulT1">PANO!$C$11</definedName>
    <definedName name="akv_modulT1Yorum">PANO!$D$11</definedName>
    <definedName name="akv_modulT2">PANO!$C$12</definedName>
    <definedName name="akv_modulT2Yorum">PANO!$D$12</definedName>
    <definedName name="akv_modulO1">PANO!$C$13</definedName>
    <definedName name="akv_modulO1Yorum">PANO!$D$13</definedName>
    <definedName name="akv_modulO6">PANO!$C$16</definedName>
    <definedName name="akv_modulO6Yorum">PANO!$D$16</definedName>
    <definedName name="akv_modulO8">PANO!$C$17</definedName>
    <definedName name="akv_modulO8Yorum">PANO!$D$17</definedName>
    <definedName name="akv_modulI2">PANO!$C$20</definedName>
    <definedName name="akv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Asgari KV hesabını ve kararı etkiler | Doğru kullanım: Sırayla izleyin | Örnek: demo satırına bakın | Yanlışsa: Fark ve karar bozulur | Kaynak: [Assumption] KVK 32/C</t>
      </text>
    </comment>
    <comment ref="A6" authorId="0" shapeId="0">
      <text>
        <t>Tanım: Adım 2 — Karar | Neden önemli: Asgari KV hesabını ve kararı etkiler | Doğru kullanım: Sırayla izleyin | Örnek: demo satırına bakın | Yanlışsa: Fark ve karar bozulur | Kaynak: [Assumption] KVK 32/C</t>
      </text>
    </comment>
    <comment ref="A7" authorId="0" shapeId="0">
      <text>
        <t>Tanım: Adım 3 — Kanıt | Neden önemli: Asgari KV hesabını ve kararı etkiler | Doğru kullanım: Sırayla izleyin | Örnek: demo satırına bakın | Yanlışsa: Fark ve karar bozulur | Kaynak: [Assumption] KVK 32/C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Asgari KV hesabını ve kararı etkiler | Doğru kullanım: Kurumun resmi unvanını yazın. | Örnek: demo satırına bakın | Yanlışsa: Fark ve karar bozulur | Kaynak: [Assumption] KVK 32/C</t>
      </text>
    </comment>
    <comment ref="B7" authorId="0" shapeId="0">
      <text>
        <t>Tanım: Dönem | Neden önemli: Asgari KV hesabını ve kararı etkiler | Doğru kullanım: Vergi dönemi etiketini yazın (ör. 2025). | Örnek: demo satırına bakın | Yanlışsa: Fark ve karar bozulur | Kaynak: [Assumption] KVK 32/C</t>
      </text>
    </comment>
    <comment ref="B8" authorId="0" shapeId="0">
      <text>
        <t>Tanım: Hesap Yılı | Neden önemli: Asgari KV hesabını ve kararı etkiler | Doğru kullanım: 2025, 2026 veya 2027 seçin. | Örnek: demo satırına bakın | Yanlışsa: Fark ve karar bozulur | Kaynak: [Assumption] KVK 32/C</t>
      </text>
    </comment>
    <comment ref="B9" authorId="0" shapeId="0">
      <text>
        <t>Tanım: Ticari Kâr [₺] | Neden önemli: Asgari KV hesabını ve kararı etkiler | Doğru kullanım: Dönem ticari kârını TL girin. | Örnek: demo satırına bakın | Yanlışsa: Fark ve karar bozulur | Kaynak: [Assumption] KVK 32/C</t>
      </text>
    </comment>
    <comment ref="B10" authorId="0" shapeId="0">
      <text>
        <t>Tanım: Kanunen Kabul Edilmeyen [₺] | Neden önemli: Asgari KV hesabını ve kararı etkiler | Doğru kullanım: KKEG tutarını TL girin. | Örnek: demo satırına bakın | Yanlışsa: Fark ve karar bozulur | Kaynak: [Assumption] KVK 32/C</t>
      </text>
    </comment>
    <comment ref="B11" authorId="0" shapeId="0">
      <text>
        <t>Tanım: İstisnalar [₺] | Neden önemli: Asgari KV hesabını ve kararı etkiler | Doğru kullanım: Matrahtan düşülecek istisnaları TL girin. | Örnek: demo satırına bakın | Yanlışsa: Fark ve karar bozulur | Kaynak: [Assumption] KVK 32/C</t>
      </text>
    </comment>
    <comment ref="B12" authorId="0" shapeId="0">
      <text>
        <t>Tanım: İndirimler [₺] | Neden önemli: Asgari KV hesabını ve kararı etkiler | Doğru kullanım: Matrahtan düşülecek indirimleri TL girin. | Örnek: demo satırına bakın | Yanlışsa: Fark ve karar bozulur | Kaynak: [Assumption] KVK 32/C</t>
      </text>
    </comment>
    <comment ref="B13" authorId="0" shapeId="0">
      <text>
        <t>Tanım: Ödenen Kurumlar Vergisi [₺] | Neden önemli: Asgari KV hesabını ve kararı etkiler | Doğru kullanım: Normal KV olarak ödenen / tahakkuk eden tutarı girin. | Örnek: demo satırına bakın | Yanlışsa: Fark ve karar bozulur | Kaynak: [Assumption] KVK 32/C</t>
      </text>
    </comment>
    <comment ref="B14" authorId="0" shapeId="0">
      <text>
        <t>Tanım: İstisna Kırılım Yorumu (A/B) | Neden önemli: Asgari KV hesabını ve kararı etkiler | Doğru kullanım: Belirsizlikte yorum A veya B seçin. | Örnek: demo satırına bakın | Yanlışsa: Fark ve karar bozulur | Kaynak: [Assumption] KVK 32/C</t>
      </text>
    </comment>
    <comment ref="A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B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C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D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E22" authorId="0" shapeId="0">
      <text>
        <t>Tanım: kurum_adi | Neden önemli: Asgari KV hesabını ve kararı etkiler | Doğru kullanım: Tablo girişi; PANO ile senkron tutun | Örnek: demo satırına bakın | Yanlışsa: Fark ve karar bozulur | Kaynak: [Assumption] KVK 32/C</t>
      </text>
    </comment>
    <comment ref="A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B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C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D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E23" authorId="0" shapeId="0">
      <text>
        <t>Tanım: donem | Neden önemli: Asgari KV hesabını ve kararı etkiler | Doğru kullanım: Tablo girişi; PANO ile senkron tutun | Örnek: demo satırına bakın | Yanlışsa: Fark ve karar bozulur | Kaynak: [Assumption] KVK 32/C</t>
      </text>
    </comment>
    <comment ref="A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B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C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D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E24" authorId="0" shapeId="0">
      <text>
        <t>Tanım: hesapYili | Neden önemli: Asgari KV hesabını ve kararı etkiler | Doğru kullanım: Tablo girişi; PANO ile senkron tutun | Örnek: demo satırına bakın | Yanlışsa: Fark ve karar bozulur | Kaynak: [Assumption] KVK 32/C</t>
      </text>
    </comment>
    <comment ref="A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B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C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D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E25" authorId="0" shapeId="0">
      <text>
        <t>Tanım: ticari_kar | Neden önemli: Asgari KV hesabını ve kararı etkiler | Doğru kullanım: Tablo girişi; PANO ile senkron tutun | Örnek: demo satırına bakın | Yanlışsa: Fark ve karar bozulur | Kaynak: [Assumption] KVK 32/C</t>
      </text>
    </comment>
    <comment ref="A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B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C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D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E26" authorId="0" shapeId="0">
      <text>
        <t>Tanım: kanunen_kabul_edilmeyen | Neden önemli: Asgari KV hesabını ve kararı etkiler | Doğru kullanım: Tablo girişi; PANO ile senkron tutun | Örnek: demo satırına bakın | Yanlışsa: Fark ve karar bozulur | Kaynak: [Assumption] KVK 32/C</t>
      </text>
    </comment>
    <comment ref="A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B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C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D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E27" authorId="0" shapeId="0">
      <text>
        <t>Tanım: istisnalar | Neden önemli: Asgari KV hesabını ve kararı etkiler | Doğru kullanım: Tablo girişi; PANO ile senkron tutun | Örnek: demo satırına bakın | Yanlışsa: Fark ve karar bozulur | Kaynak: [Assumption] KVK 32/C</t>
      </text>
    </comment>
    <comment ref="A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B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C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D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E28" authorId="0" shapeId="0">
      <text>
        <t>Tanım: indirimler | Neden önemli: Asgari KV hesabını ve kararı etkiler | Doğru kullanım: Tablo girişi; PANO ile senkron tutun | Örnek: demo satırına bakın | Yanlışsa: Fark ve karar bozulur | Kaynak: [Assumption] KVK 32/C</t>
      </text>
    </comment>
    <comment ref="A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B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C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D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E29" authorId="0" shapeId="0">
      <text>
        <t>Tanım: odenen_kurumlar_vergisi | Neden önemli: Asgari KV hesabını ve kararı etkiler | Doğru kullanım: Tablo girişi; PANO ile senkron tutun | Örnek: demo satırına bakın | Yanlışsa: Fark ve karar bozulur | Kaynak: [Assumption] KVK 32/C</t>
      </text>
    </comment>
    <comment ref="A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B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C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D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  <comment ref="E30" authorId="0" shapeId="0">
      <text>
        <t>Tanım: istisna_kirilim_yorumu | Neden önemli: Asgari KV hesabını ve kararı etkiler | Doğru kullanım: Tablo girişi; PANO ile senkron tutun | Örnek: demo satırına bakın | Yanlışsa: Fark ve karar bozulur | Kaynak: [Assumption] KVK 32/C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7" authorId="0" shapeId="0">
      <text>
        <t>Tanım: kv_genel_oran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G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H8" authorId="0" shapeId="0">
      <text>
        <t>Tanım: asgari_taban_matrah | Neden önemli: Asgari KV hesabını ve kararı etkiler | Doğru kullanım: Yıl bazlı parametre; kaynak kolonuna bakın | Örnek: demo satırına bakın | Yanlışsa: Fark ve karar bozulur | Kaynak: [Assumption] KVK 32/C</t>
      </text>
    </comment>
    <comment ref="F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G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H9" authorId="0" shapeId="0">
      <text>
        <t>Tanım: asgari_oran | Neden önemli: Asgari KV hesabını ve kararı etkiler | Doğru kullanım: Yıl bazlı parametre; kaynak kolonuna bakın | Örnek: demo satırına bakın | Yanlışsa: Fark ve karar bozulur | Kaynak: [Assumption] KVK 32/C</t>
      </text>
    </comment>
    <comment ref="F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G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H10" authorId="0" shapeId="0">
      <text>
        <t>Tanım: tamamlayici_hesap | Neden önemli: Asgari KV hesabını ve kararı etkiler | Doğru kullanım: Yıl bazlı parametre; kaynak kolonuna bakın | Örnek: demo satırına bakın | Yanlışsa: Fark ve karar bozulur | Kaynak: [Assumption] KVK 32/C</t>
      </text>
    </comment>
    <comment ref="F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G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  <comment ref="H11" authorId="0" shapeId="0">
      <text>
        <t>Tanım: yuvarlama | Neden önemli: Asgari KV hesabını ve kararı etkiler | Doğru kullanım: Yıl bazlı parametre; kaynak kolonuna bakın | Örnek: demo satırına bakın | Yanlışsa: Fark ve karar bozulur | Kaynak: [Assumption] KVK 32/C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Asgari KV hesabını ve kararı etkiler | Doğru kullanım: Raporu hazırlayan kişinin adını yazın. | Örnek: demo satırına bakın | Yanlışsa: Fark ve karar bozulur | Kaynak: [Assumption] KVK 32/C</t>
      </text>
    </comment>
    <comment ref="B29" authorId="0" shapeId="0">
      <text>
        <t>Tanım: Onay | Neden önemli: Asgari KV hesabını ve kararı etkiler | Doğru kullanım: Onaylayan kişinin adını yazın. | Örnek: demo satırına bakın | Yanlışsa: Fark ve karar bozulur | Kaynak: [Assumption] KVK 32/C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ticari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6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6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6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6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6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7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7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7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7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7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7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8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8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8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8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8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8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9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9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9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9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9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9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0" authorId="0" shapeId="0">
      <text>
        <t>Tanım: Senaryo | Neden önemli: Asgari KV hesabını ve kararı etkiler | Doğru kullanım: Örnek senaryo değeri | Örnek: demo satırına bakın | Yanlışsa: Fark ve karar bozulur | Kaynak: [Assumption] KVK 32/C</t>
      </text>
    </comment>
    <comment ref="B10" authorId="0" shapeId="0">
      <text>
        <t>Tanım: Ticari Kâr | Neden önemli: Asgari KV hesabını ve kararı etkiler | Doğru kullanım: Örnek senaryo değeri | Örnek: demo satırına bakın | Yanlışsa: Fark ve karar bozulur | Kaynak: [Assumption] KVK 32/C</t>
      </text>
    </comment>
    <comment ref="C10" authorId="0" shapeId="0">
      <text>
        <t>Tanım: KKEG | Neden önemli: Asgari KV hesabını ve kararı etkiler | Doğru kullanım: Örnek senaryo değeri | Örnek: demo satırına bakın | Yanlışsa: Fark ve karar bozulur | Kaynak: [Assumption] KVK 32/C</t>
      </text>
    </comment>
    <comment ref="D10" authorId="0" shapeId="0">
      <text>
        <t>Tanım: İstisna | Neden önemli: Asgari KV hesabını ve kararı etkiler | Doğru kullanım: Örnek senaryo değeri | Örnek: demo satırına bakın | Yanlışsa: Fark ve karar bozulur | Kaynak: [Assumption] KVK 32/C</t>
      </text>
    </comment>
    <comment ref="E10" authorId="0" shapeId="0">
      <text>
        <t>Tanım: İndirim | Neden önemli: Asgari KV hesabını ve kararı etkiler | Doğru kullanım: Örnek senaryo değeri | Örnek: demo satırına bakın | Yanlışsa: Fark ve karar bozulur | Kaynak: [Assumption] KVK 32/C</t>
      </text>
    </comment>
    <comment ref="F10" authorId="0" shapeId="0">
      <text>
        <t>Tanım: Ödenen KV | Neden önemli: Asgari KV hesabını ve kararı etkiler | Doğru kullanım: Örnek senaryo değeri | Örnek: demo satırına bakın | Yanlışsa: Fark ve karar bozulur | Kaynak: [Assumption] KVK 32/C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6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6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7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  <comment ref="C7" authorId="0" shapeId="0">
      <text>
        <t>Tanım: Yorum | Neden önemli: Asgari KV hesabını ve kararı etkiler | Doğru kullanım: İstisna kırılım yorumu | Örnek: demo satırına bakın | Yanlışsa: Fark ve karar bozulur | Kaynak: [Assumption] KVK 32/C</t>
      </text>
    </comment>
    <comment ref="E7" authorId="0" shapeId="0">
      <text>
        <t>Tanım: Seçim | Neden önemli: Asgari KV hesabını ve kararı etkiler | Doğru kullanım: Evet veya Hayır | Örnek: demo satırına bakın | Yanlışsa: Fark ve karar bozulur | Kaynak: [Assumption] KVK 32/C</t>
      </text>
    </comment>
    <comment ref="A8" authorId="0" shapeId="0">
      <text>
        <t>Tanım: Yıl | Neden önemli: Asgari KV hesabını ve kararı etkiler | Doğru kullanım: Hesap yılı listesi | Örnek: demo satırına bakın | Yanlışsa: Fark ve karar bozulur | Kaynak: [Assumption] KVK 32/C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Asgari KV hesabını ve kararı etkiler | Doğru kullanım: Aktif hesap yılı | Örnek: demo satırına bakın | Yanlışsa: Fark ve karar bozulur | Kaynak: [Assumption] KVK 32/C</t>
      </text>
    </comment>
    <comment ref="B7" authorId="0" shapeId="0">
      <text>
        <t>Tanım: raporTarihi | Neden önemli: Asgari KV hesabını ve kararı etkiler | Doğru kullanım: Rapor tarihi (sabit) | Örnek: demo satırına bakın | Yanlışsa: Fark ve karar bozulur | Kaynak: [Assumption] KVK 32/C</t>
      </text>
    </comment>
    <comment ref="B8" authorId="0" shapeId="0">
      <text>
        <t>Tanım: akv_tolerans | Neden önemli: Asgari KV hesabını ve kararı etkiler | Doğru kullanım: Vaka tutarlılık toleransı | Örnek: demo satırına bakın | Yanlışsa: Fark ve karar bozulur | Kaynak: [Assumption] KVK 32/C</t>
      </text>
    </comment>
    <comment ref="B9" authorId="0" shapeId="0">
      <text>
        <t>Tanım: akv_farkEsik | Neden önemli: Asgari KV hesabını ve kararı etkiler | Doğru kullanım: PANO fark uyarı eşiği | Örnek: demo satırına bakın | Yanlışsa: Fark ve karar bozulur | Kaynak: [Assumption] KVK 32/C</t>
      </text>
    </comment>
    <comment ref="B10" authorId="0" shapeId="0">
      <text>
        <t>Tanım: akv_senaryoIyi | Neden önemli: Asgari KV hesabını ve kararı etkiler | Doğru kullanım: İyimser matrah çarpanı | Örnek: demo satırına bakın | Yanlışsa: Fark ve karar bozulur | Kaynak: [Assumption] KVK 32/C</t>
      </text>
    </comment>
    <comment ref="B11" authorId="0" shapeId="0">
      <text>
        <t>Tanım: akv_senaryoKotu | Neden önemli: Asgari KV hesabını ve kararı etkiler | Doğru kullanım: Kötümser matrah çarpanı | Örnek: demo satırına bakın | Yanlışsa: Fark ve karar bozulur | Kaynak: [Assumption] KVK 32/C</t>
      </text>
    </comment>
    <comment ref="B12" authorId="0" shapeId="0">
      <text>
        <t>Tanım: akv_oranArtisPuan | Neden önemli: Asgari KV hesabını ve kararı etkiler | Doğru kullanım: M-SEN +1 puan | Örnek: demo satırına bakın | Yanlışsa: Fark ve karar bozulur | Kaynak: [Assumption] KVK 32/C</t>
      </text>
    </comment>
    <comment ref="B13" authorId="0" shapeId="0">
      <text>
        <t>Tanım: akv_tahminAlt | Neden önemli: Asgari KV hesabını ve kararı etkiler | Doğru kullanım: Tahmin alt bant | Örnek: demo satırına bakın | Yanlışsa: Fark ve karar bozulur | Kaynak: [Assumption] KVK 32/C</t>
      </text>
    </comment>
    <comment ref="B14" authorId="0" shapeId="0">
      <text>
        <t>Tanım: akv_tahminUst | Neden önemli: Asgari KV hesabını ve kararı etkiler | Doğru kullanım: Tahmin üst bant | Örnek: demo satırına bakın | Yanlışsa: Fark ve karar bozulur | Kaynak: [Assumption] KVK 32/C</t>
      </text>
    </comment>
    <comment ref="B15" authorId="0" shapeId="0">
      <text>
        <t>Tanım: akv_tornadoMatrah | Neden önemli: Asgari KV hesabını ve kararı etkiler | Doğru kullanım: Tornado matrah şoku | Örnek: demo satırına bakın | Yanlışsa: Fark ve karar bozulur | Kaynak: [Assumption] KVK 32/C</t>
      </text>
    </comment>
    <comment ref="B16" authorId="0" shapeId="0">
      <text>
        <t>Tanım: akv_tornadoOdenen | Neden önemli: Asgari KV hesabını ve kararı etkiler | Doğru kullanım: Tornado ödenen şoku | Örnek: demo satırına bakın | Yanlışsa: Fark ve karar bozulur | Kaynak: [Assumption] KVK 32/C</t>
      </text>
    </comment>
    <comment ref="B17" authorId="0" shapeId="0">
      <text>
        <t>Tanım: akv_yorumAIstisnaCarpan | Neden önemli: Asgari KV hesabını ve kararı etkiler | Doğru kullanım: Yorum A istisna çarpanı | Örnek: demo satırına bakın | Yanlışsa: Fark ve karar bozulur | Kaynak: [Assumption] KVK 32/C</t>
      </text>
    </comment>
    <comment ref="B18" authorId="0" shapeId="0">
      <text>
        <t>Tanım: akv_yuzdelikOran | Neden önemli: Asgari KV hesabını ve kararı etkiler | Doğru kullanım: Yüzdelik P90 | Örnek: demo satırına bakın | Yanlışsa: Fark ve karar bozulur | Kaynak: [Assumption] KVK 32/C</t>
      </text>
    </comment>
    <comment ref="B19" authorId="0" shapeId="0">
      <text>
        <t>Tanım: akv_parmakIzi | Neden önemli: Asgari KV hesabını ve kararı etkiler | Doğru kullanım: Dosya parmak izi etiketi | Örnek: demo satırına bakın | Yanlışsa: Fark ve karar bozulur | Kaynak: [Assumption] KVK 32/C</t>
      </text>
    </comment>
    <comment ref="B20" authorId="0" shapeId="0">
      <text>
        <t>Tanım: dosya_surumu | Neden önemli: Asgari KV hesabını ve kararı etkiler | Doğru kullanım: Ürün sürümü | Örnek: demo satırına bakın | Yanlışsa: Fark ve karar bozulur | Kaynak: [Assumption] KVK 32/C</t>
      </text>
    </comment>
    <comment ref="B21" authorId="0" shapeId="0">
      <text>
        <t>Tanım: akv_girisBeklenen | Neden önemli: Asgari KV hesabını ve kararı etkiler | Doğru kullanım: Zorunlu giriş alanı sayısı | Örnek: demo satırına bakın | Yanlışsa: Fark ve karar bozulur | Kaynak: [Assumption] KVK 32/C</t>
      </text>
    </comment>
    <comment ref="B22" authorId="0" shapeId="0">
      <text>
        <t>Tanım: akv_riskDusuk | Neden önemli: Asgari KV hesabını ve kararı etkiler | Doğru kullanım: Düşük risk skoru | Örnek: demo satırına bakın | Yanlışsa: Fark ve karar bozulur | Kaynak: [Assumption] KVK 32/C</t>
      </text>
    </comment>
    <comment ref="B23" authorId="0" shapeId="0">
      <text>
        <t>Tanım: akv_riskOrta | Neden önemli: Asgari KV hesabını ve kararı etkiler | Doğru kullanım: Orta risk skoru | Örnek: demo satırına bakın | Yanlışsa: Fark ve karar bozulur | Kaynak: [Assumption] KVK 32/C</t>
      </text>
    </comment>
    <comment ref="B24" authorId="0" shapeId="0">
      <text>
        <t>Tanım: akv_riskYuksek | Neden önemli: Asgari KV hesabını ve kararı etkiler | Doğru kullanım: Yüksek risk skoru | Örnek: demo satırına bakın | Yanlışsa: Fark ve karar bozulur | Kaynak: [Assumption] KVK 32/C</t>
      </text>
    </comment>
    <comment ref="B25" authorId="0" shapeId="0">
      <text>
        <t>Tanım: akv_riskEsikOran | Neden önemli: Asgari KV hesabını ve kararı etkiler | Doğru kullanım: Yüksek risk fark/asgari eşiği | Örnek: demo satırına bakın | Yanlışsa: Fark ve karar bozulur | Kaynak: [Assumption] KVK 32/C</t>
      </text>
    </comment>
    <comment ref="B26" authorId="0" shapeId="0">
      <text>
        <t>Tanım: akv_yilTaban | Neden önemli: Asgari KV hesabını ve kararı etkiler | Doğru kullanım: CHOOSE yıl tabanı (hesapYili−taban) | Örnek: demo satırına bakın | Yanlışsa: Fark ve karar bozulur | Kaynak: [Assumption] KVK 32/C</t>
      </text>
    </comment>
    <comment ref="B27" authorId="0" shapeId="0">
      <text>
        <t>Tanım: akv_yuvarMax | Neden önemli: Asgari KV hesabını ve kararı etkiler | Doğru kullanım: ROUND basamak tavanı | Örnek: demo satırına bakın | Yanlışsa: Fark ve karar bozulur | Kaynak: [Assumption] KVK 32/C</t>
      </text>
    </comment>
    <comment ref="B28" authorId="0" shapeId="0">
      <text>
        <t>Tanım: vaka_matrah_1 | Neden önemli: Asgari KV hesabını ve kararı etkiler | Doğru kullanım: Vaka1 matrah | Örnek: demo satırına bakın | Yanlışsa: Fark ve karar bozulur | Kaynak: [Assumption] KVK 32/C</t>
      </text>
    </comment>
    <comment ref="B29" authorId="0" shapeId="0">
      <text>
        <t>Tanım: vaka_odenen_1 | Neden önemli: Asgari KV hesabını ve kararı etkiler | Doğru kullanım: Vaka1 ödenen | Örnek: demo satırına bakın | Yanlışsa: Fark ve karar bozulur | Kaynak: [Assumption] KVK 32/C</t>
      </text>
    </comment>
    <comment ref="B30" authorId="0" shapeId="0">
      <text>
        <t>Tanım: vaka_matrah_2 | Neden önemli: Asgari KV hesabını ve kararı etkiler | Doğru kullanım: Vaka2 matrah | Örnek: demo satırına bakın | Yanlışsa: Fark ve karar bozulur | Kaynak: [Assumption] KVK 32/C</t>
      </text>
    </comment>
    <comment ref="B31" authorId="0" shapeId="0">
      <text>
        <t>Tanım: vaka_odenen_2 | Neden önemli: Asgari KV hesabını ve kararı etkiler | Doğru kullanım: Vaka2 ödenen | Örnek: demo satırına bakın | Yanlışsa: Fark ve karar bozulur | Kaynak: [Assumption] KVK 32/C</t>
      </text>
    </comment>
    <comment ref="B32" authorId="0" shapeId="0">
      <text>
        <t>Tanım: vaka_matrah_3 | Neden önemli: Asgari KV hesabını ve kararı etkiler | Doğru kullanım: Vaka3 matrah | Örnek: demo satırına bakın | Yanlışsa: Fark ve karar bozulur | Kaynak: [Assumption] KVK 32/C</t>
      </text>
    </comment>
    <comment ref="B33" authorId="0" shapeId="0">
      <text>
        <t>Tanım: vaka_odenen_3 | Neden önemli: Asgari KV hesabını ve kararı etkiler | Doğru kullanım: Vaka3 ödenen | Örnek: demo satırına bakın | Yanlışsa: Fark ve karar bozulur | Kaynak: [Assumption] KVK 32/C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Row],[kural_id]]="","",IFERROR(CHOOSE(MAX(1,MIN(3,IF(OR(hesapYili="",hesapYili=0),1,hesapYili-akv_yilTaban))),tblKurallar[[#This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Row],[fark]])&lt;=akv_tolerans,"TUTARLI","KIRIK"),"KIRIK"))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Ticari Kâr"/>
    <tableColumn id="3" name="KKEG"/>
    <tableColumn id="4" name="İstisna"/>
    <tableColumn id="5" name="İndirim"/>
    <tableColumn id="6" name="Ödenen KV"/>
    <tableColumn id="7" name="Matrah">
      <calculatedColumnFormula>=IF(tblOrnek[[#This Row],[Senaryo]]="","",tblOrnek[[#This Row],[Ticari Kâr]]+tblOrnek[[#This Row],[KKEG]]-tblOrnek[[#This Row],[İstisna]]-tblOrnek[[#This Row],[İndirim]])</calculatedColumnFormula>
    </tableColumn>
    <tableColumn id="8" name="Asgari KV">
      <calculatedColumnFormula>=IF(tblOrnek[[#This Row],[Senaryo]]="","",IFERROR(ROUND(tblOrnek[[#This Row],[Matrah]]*INDEX(tblKurallar[deger_2025],MATCH("AKV-003",tblKurallar[kural_id],0)),2),0))</calculatedColumnFormula>
    </tableColumn>
    <tableColumn id="9" name="Fark">
      <calculatedColumnFormula>=IF(tblOrnek[[#This Row],[Senaryo]]="","",IFERROR(MAX(0,tblOrnek[[#This Row],[Asgari KV]]-tblOrnek[[#This Row],[Ödenen KV]]),0))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ASGARI KURUMLAR VERGISI SIMULASYON MOTORU — YÖNETİM VE KARAR SİSTEMİ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Yönetici Karar Kokpiti, Otomatik Doğrulama ve Dinamik Hesaplama Sistemi · 2026</t>
        </is>
      </c>
    </row>
    <row r="5">
      <c r="B5" s="97" t="inlineStr">
        <is>
          <t>TOPLAM İŞLEM HACMİ</t>
        </is>
      </c>
      <c r="C5" s="98" t="n"/>
      <c r="D5" s="99" t="inlineStr">
        <is>
          <t>DOĞRULANMIŞ</t>
        </is>
      </c>
      <c r="E5" s="100" t="inlineStr">
        <is>
          <t>RİSKLİ / BEKLEYEN İŞLEM</t>
        </is>
      </c>
      <c r="F5" s="98" t="n"/>
      <c r="G5" s="101" t="inlineStr">
        <is>
          <t>MİNİMUM</t>
        </is>
      </c>
      <c r="H5" s="97" t="inlineStr">
        <is>
          <t>OPERASYONEL NET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07" t="inlineStr">
        <is>
          <t>₺28.450.000</t>
        </is>
      </c>
      <c r="C7" s="98" t="n"/>
      <c r="D7" s="98" t="n"/>
      <c r="E7" s="108" t="inlineStr">
        <is>
          <t>₺940.000</t>
        </is>
      </c>
      <c r="F7" s="98" t="n"/>
      <c r="G7" s="98" t="n"/>
      <c r="H7" s="107" t="inlineStr">
        <is>
          <t>₺8.120.000</t>
        </is>
      </c>
      <c r="I7" s="98" t="n"/>
      <c r="J7" s="98" t="n"/>
      <c r="K7" s="109" t="inlineStr">
        <is>
          <t>98/100</t>
        </is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Konsolide yıllıklandırılmış büyüme</t>
        </is>
      </c>
      <c r="C9" s="98" t="n"/>
      <c r="D9" s="98" t="n"/>
      <c r="E9" s="111" t="inlineStr">
        <is>
          <t>● Tüm riskli kayıtlar kontrol altında</t>
        </is>
      </c>
      <c r="F9" s="98" t="n"/>
      <c r="G9" s="98" t="n"/>
      <c r="H9" s="110" t="inlineStr">
        <is>
          <t>██████████░░░░░ %28.5 NET MARJ</t>
        </is>
      </c>
      <c r="I9" s="98" t="n"/>
      <c r="J9" s="98" t="n"/>
      <c r="K9" s="112" t="inlineStr">
        <is>
          <t>✓ 0 Formül ve Döngüsel Hata</t>
        </is>
      </c>
      <c r="L9" s="98" t="n"/>
      <c r="M9" s="98" t="n"/>
    </row>
    <row r="11">
      <c r="B11" s="91" t="inlineStr">
        <is>
          <t>12 AYLIK NAKİT GİRİŞ / ÇIKIŞ &amp; LİKİDİTE BAŞARIMI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Tahsilat vs. Tedarikçi/Kredi Ödeme Projeksiyonu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13 haftalık kümülatif bakiye...</t>
        </is>
      </c>
      <c r="I15" s="116" t="inlineStr">
        <is>
          <t>₺8.450.000</t>
        </is>
      </c>
      <c r="J15" s="117" t="inlineStr">
        <is>
          <t>₺425.000</t>
        </is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(eksi) hafta uyarısı</t>
        </is>
      </c>
      <c r="I16" s="116" t="inlineStr">
        <is>
          <t>₺12.200.000</t>
        </is>
      </c>
      <c r="J16" s="117" t="inlineStr">
        <is>
          <t>₺580.400</t>
        </is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Dönem net nakit değişimi</t>
        </is>
      </c>
      <c r="I17" s="116" t="inlineStr">
        <is>
          <t>₺4.850.000</t>
        </is>
      </c>
      <c r="J17" s="117" t="inlineStr">
        <is>
          <t>₺235.200</t>
        </is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13 haftalık kümülatif bakiye...</t>
        </is>
      </c>
      <c r="I18" s="116" t="inlineStr">
        <is>
          <t>₺2.140.000</t>
        </is>
      </c>
      <c r="J18" s="117" t="inlineStr">
        <is>
          <t>₺118.000</t>
        </is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21" t="inlineStr">
        <is>
          <t>₺42.850.000</t>
        </is>
      </c>
      <c r="J19" s="122" t="inlineStr">
        <is>
          <t>₺3.420.000</t>
        </is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OPERASYONEL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Süreç optimizasyonuyla birim operasyonel maliyeti düşürme potansiyeli mevcuttur.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Haftalık operasyon tahmini</t>
        </is>
      </c>
      <c r="E6" s="142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Haftalık operasyon tahmini</t>
        </is>
      </c>
      <c r="E7" s="149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notları</t>
        </is>
      </c>
      <c r="E8" s="142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Haftalık operasyon tahmini</t>
        </is>
      </c>
      <c r="E9" s="149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Haftalık operasyon tahmini</t>
        </is>
      </c>
      <c r="E10" s="142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Haftalık operasyon tahmini</t>
        </is>
      </c>
      <c r="E11" s="149" t="n">
        <v>1850000</v>
      </c>
      <c r="F11" s="150" t="n">
        <v>0.2</v>
      </c>
      <c r="G11" s="151">
        <f>E11/(1+F11)</f>
        <v/>
      </c>
      <c r="H11" s="148" t="inlineStr">
        <is>
          <t>Banka Kredi Taksiti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Ödeme takvimi notları</t>
        </is>
      </c>
      <c r="E12" s="142" t="n">
        <v>740000</v>
      </c>
      <c r="F12" s="143" t="n">
        <v>0.2</v>
      </c>
      <c r="G12" s="144">
        <f>E12/(1+F12)</f>
        <v/>
      </c>
      <c r="H12" s="141" t="inlineStr">
        <is>
          <t>Kira &amp; Sabit Gider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Haftalık operasyon tahmini</t>
        </is>
      </c>
      <c r="E13" s="149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Haftalık operasyon tahmini</t>
        </is>
      </c>
      <c r="E14" s="142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Haftalık operasyon tahmini</t>
        </is>
      </c>
      <c r="E15" s="149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ASGARI KURUMLAR VERGISI SIMULASYON MOTORU — YÖNETİM VE KARAR SİSTEMİ — NİHAİ KARAR VE DEĞERLEME</t>
        </is>
      </c>
    </row>
    <row r="3">
      <c r="B3" s="158" t="inlineStr">
        <is>
          <t>Yönetim Kurulu ve İcra Komitesi için Otomatik Türetilen Finansal Stres Testi Raporu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165" t="inlineStr">
        <is>
          <t>₺4.280.000</t>
        </is>
      </c>
      <c r="F9" s="98" t="n"/>
      <c r="H9" s="162" t="inlineStr">
        <is>
          <t>Beklenen Net Kâr / Getiri:</t>
        </is>
      </c>
      <c r="I9" s="98" t="n"/>
      <c r="J9" s="98" t="n"/>
      <c r="K9" s="165" t="inlineStr">
        <is>
          <t>₺12.450.000</t>
        </is>
      </c>
      <c r="L9" s="98" t="n"/>
    </row>
    <row r="10">
      <c r="B10" s="162" t="inlineStr">
        <is>
          <t>Minimum Nakit Tamponu:</t>
        </is>
      </c>
      <c r="C10" s="98" t="n"/>
      <c r="D10" s="98" t="n"/>
      <c r="E10" s="166" t="inlineStr">
        <is>
          <t>₺1.850.000 (Yeterli)</t>
        </is>
      </c>
      <c r="F10" s="98" t="n"/>
      <c r="H10" s="162" t="inlineStr">
        <is>
          <t>Serbest Nakit Akımı:</t>
        </is>
      </c>
      <c r="I10" s="98" t="n"/>
      <c r="J10" s="98" t="n"/>
      <c r="K10" s="166" t="inlineStr">
        <is>
          <t>₺8.240.000</t>
        </is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166" t="inlineStr">
        <is>
          <t>1.28x (Eşik: 1.10x)</t>
        </is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Asgari Kurumlar Vergisi Simülasyon Motoru</t>
        </is>
      </c>
    </row>
    <row r="3" ht="30" customHeight="1">
      <c r="A3" s="3" t="inlineStr">
        <is>
          <t>Asgari Kurumlar Vergisi Simülasyon Motoru</t>
        </is>
      </c>
    </row>
    <row r="4">
      <c r="A4" s="4" t="inlineStr">
        <is>
          <t>Kurumlar matrahınızı girin; asgari kurumlar vergisi tabanı, ödenen KV ile farkı ve tamamlayıcı vergi kararını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güncellemesine hazır motor</t>
        </is>
      </c>
    </row>
    <row r="8">
      <c r="A8" s="6" t="inlineStr">
        <is>
          <t>• Asgari KV, ödenen KV farkı ve gerekçeli karar cümlesi</t>
        </is>
      </c>
    </row>
    <row r="9">
      <c r="A9" s="6" t="inlineStr">
        <is>
          <t>• Baz / iyimser / kötümser + kural değişimi (+1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istisna kırılım sırası (yorum A / B)</t>
        </is>
      </c>
    </row>
    <row r="13">
      <c r="A13" s="5" t="inlineStr">
        <is>
          <t>Kimler için?</t>
        </is>
      </c>
    </row>
    <row r="14">
      <c r="A14" s="7" t="inlineStr">
        <is>
          <t>• SMMM / YMM — müşteriye imzalı kanıt raporu</t>
        </is>
      </c>
    </row>
    <row r="15">
      <c r="A15" s="7" t="inlineStr">
        <is>
          <t>• CFO — asgari KV farkını bütçeye yazmak</t>
        </is>
      </c>
    </row>
    <row r="16">
      <c r="A16" s="7" t="inlineStr">
        <is>
          <t>• Ortak / yönetim — ek vergi riskini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Asgari Kurumlar Vergisi Simülasyon Motoru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hesap yılı, matrah bileşenleri ve ödenen KV'yi sarı hücrelere girin.</t>
        </is>
      </c>
    </row>
    <row r="6">
      <c r="A6" s="10" t="inlineStr">
        <is>
          <t>Adım 2 — Karar</t>
        </is>
      </c>
      <c r="B6" s="6" t="inlineStr">
        <is>
          <t>PANO'da asgari KV, fark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Matrahı KDV dahil girmek</t>
        </is>
      </c>
    </row>
    <row r="11">
      <c r="A11" s="12" t="inlineStr">
        <is>
          <t>• Ödenen KV yerine tahakkuk etmemiş tutarı yazmak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beyanname veya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Asgari Kurumlar Vergisi Simülasyon Motoru</t>
        </is>
      </c>
    </row>
    <row r="3">
      <c r="A3" s="9" t="inlineStr">
        <is>
          <t>Dönem ve kurum</t>
        </is>
      </c>
    </row>
    <row r="4">
      <c r="A4" s="4" t="inlineStr">
        <is>
          <t>Sarı hücreler manuel giriştir. Matrah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Kurum Adı</t>
        </is>
      </c>
      <c r="B6" s="31" t="inlineStr">
        <is>
          <t>Örnek Sanayi A.Ş.</t>
        </is>
      </c>
      <c r="C6" s="28" t="inlineStr">
        <is>
          <t>metin</t>
        </is>
      </c>
    </row>
    <row r="7">
      <c r="A7" s="7" t="inlineStr">
        <is>
          <t>Dönem</t>
        </is>
      </c>
      <c r="B7" s="31" t="inlineStr">
        <is>
          <t>2025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Ticari Kâr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Kanunen Kabul Edilmeyen [₺]</t>
        </is>
      </c>
      <c r="B10" s="33" t="n">
        <v>500000</v>
      </c>
      <c r="C10" s="28" t="inlineStr">
        <is>
          <t>₺</t>
        </is>
      </c>
    </row>
    <row r="11">
      <c r="A11" s="7" t="inlineStr">
        <is>
          <t>İstisnalar [₺]</t>
        </is>
      </c>
      <c r="B11" s="33" t="n">
        <v>200000</v>
      </c>
      <c r="C11" s="28" t="inlineStr">
        <is>
          <t>₺</t>
        </is>
      </c>
    </row>
    <row r="12">
      <c r="A12" s="7" t="inlineStr">
        <is>
          <t>İndirimler [₺]</t>
        </is>
      </c>
      <c r="B12" s="33" t="n">
        <v>100000</v>
      </c>
      <c r="C12" s="28" t="inlineStr">
        <is>
          <t>₺</t>
        </is>
      </c>
    </row>
    <row r="13">
      <c r="A13" s="7" t="inlineStr">
        <is>
          <t>Ödenen Kurumlar Vergisi [₺]</t>
        </is>
      </c>
      <c r="B13" s="33" t="n">
        <v>800000</v>
      </c>
      <c r="C13" s="28" t="inlineStr">
        <is>
          <t>₺</t>
        </is>
      </c>
    </row>
    <row r="14">
      <c r="A14" s="7" t="inlineStr">
        <is>
          <t>İstisna Kırılım Yorumu (A/B)</t>
        </is>
      </c>
      <c r="B14" s="31" t="inlineStr">
        <is>
          <t>A</t>
        </is>
      </c>
      <c r="C14" s="28" t="inlineStr">
        <is>
          <t>metin</t>
        </is>
      </c>
    </row>
    <row r="16">
      <c r="A16" s="10" t="inlineStr">
        <is>
          <t>Kurumlar Matrahı [₺]</t>
        </is>
      </c>
      <c r="B16" s="34">
        <f>B9+B10-B11-B12</f>
        <v/>
      </c>
    </row>
    <row r="17">
      <c r="A17" s="10" t="inlineStr">
        <is>
          <t>Giriş doluluk (kalite)</t>
        </is>
      </c>
      <c r="B17" s="35">
        <f>IFERROR(IF(OR(COUNTA(B6:B14)=0,akv_girisBeklenen=0),0,ROUND(COUNTA(B6:B14)/akv_girisBeklenen*100,0)),0)</f>
        <v/>
      </c>
    </row>
    <row r="20">
      <c r="A20" s="10" t="inlineStr">
        <is>
          <t>Giriş tablosu (otomasyon / boş-mod)</t>
        </is>
      </c>
    </row>
    <row r="21" ht="30" customHeight="1">
      <c r="A21" s="22" t="inlineStr">
        <is>
          <t>Alan Anahtarı</t>
        </is>
      </c>
      <c r="B21" s="22" t="inlineStr">
        <is>
          <t>Değer</t>
        </is>
      </c>
      <c r="C21" s="22" t="inlineStr">
        <is>
          <t>Birim</t>
        </is>
      </c>
      <c r="D21" s="22" t="inlineStr">
        <is>
          <t>Zorunlu</t>
        </is>
      </c>
      <c r="E21" s="22" t="inlineStr">
        <is>
          <t>Kaynak</t>
        </is>
      </c>
      <c r="F21" s="22" t="inlineStr">
        <is>
          <t>Kontrol</t>
        </is>
      </c>
    </row>
    <row r="22">
      <c r="A22" s="36" t="inlineStr">
        <is>
          <t>kurum_adi</t>
        </is>
      </c>
      <c r="B22" s="36" t="inlineStr">
        <is>
          <t>Örnek Sanayi A.Ş.</t>
        </is>
      </c>
      <c r="C22" s="36" t="inlineStr">
        <is>
          <t>metin</t>
        </is>
      </c>
      <c r="D22" s="36" t="inlineStr">
        <is>
          <t>Evet</t>
        </is>
      </c>
      <c r="E22" s="36" t="inlineStr">
        <is>
          <t>GIRDI</t>
        </is>
      </c>
      <c r="F22" s="37">
        <f>IF($A22="","",IF($B22="","EKSİK","TAM"))</f>
        <v/>
      </c>
    </row>
    <row r="23">
      <c r="A23" s="36" t="inlineStr">
        <is>
          <t>donem</t>
        </is>
      </c>
      <c r="B23" s="36" t="inlineStr">
        <is>
          <t>2025</t>
        </is>
      </c>
      <c r="C23" s="36" t="inlineStr">
        <is>
          <t>metin</t>
        </is>
      </c>
      <c r="D23" s="36" t="inlineStr">
        <is>
          <t>Evet</t>
        </is>
      </c>
      <c r="E23" s="36" t="inlineStr">
        <is>
          <t>GIRDI</t>
        </is>
      </c>
      <c r="F23" s="37">
        <f>IF($A23="","",IF($B23="","EKSİK","TAM"))</f>
        <v/>
      </c>
    </row>
    <row r="24">
      <c r="A24" s="36" t="inlineStr">
        <is>
          <t>hesapYili</t>
        </is>
      </c>
      <c r="B24" s="38" t="n">
        <v>2025</v>
      </c>
      <c r="C24" s="36" t="inlineStr">
        <is>
          <t>yıl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ticari_kar</t>
        </is>
      </c>
      <c r="B25" s="39" t="n">
        <v>10000000</v>
      </c>
      <c r="C25" s="36" t="inlineStr">
        <is>
          <t>TL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kanunen_kabul_edilmeyen</t>
        </is>
      </c>
      <c r="B26" s="39" t="n">
        <v>500000</v>
      </c>
      <c r="C26" s="36" t="inlineStr">
        <is>
          <t>TL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istisnalar</t>
        </is>
      </c>
      <c r="B27" s="39" t="n">
        <v>200000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indirimler</t>
        </is>
      </c>
      <c r="B28" s="39" t="n">
        <v>100000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odenen_kurumlar_vergisi</t>
        </is>
      </c>
      <c r="B29" s="39" t="n">
        <v>800000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istisna_kirilim_yorumu</t>
        </is>
      </c>
      <c r="B30" s="36" t="inlineStr">
        <is>
          <t>A</t>
        </is>
      </c>
      <c r="C30" s="36" t="inlineStr">
        <is>
          <t>A/B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F31" s="37">
        <f>IF($A31="","",IF($B31="","EKSİK","TAM"))</f>
        <v/>
      </c>
    </row>
    <row r="32">
      <c r="F32" s="37">
        <f>IF($A32="","",IF($B32="","EKSİK","TAM"))</f>
        <v/>
      </c>
    </row>
    <row r="33">
      <c r="F33" s="37">
        <f>IF($A33="","",IF($B33="","EKSİK","TAM"))</f>
        <v/>
      </c>
    </row>
    <row r="34"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2" ht="20" customHeight="1">
      <c r="A1022" s="40" t="inlineStr">
        <is>
          <t>Sarı alanlar giriş; matrah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2:AN1022"/>
    <mergeCell ref="A1:AD1"/>
  </mergeCells>
  <conditionalFormatting sqref="B9:B13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2:F30">
    <cfRule type="expression" priority="3" dxfId="2">
      <formula>F22="EKSİK"</formula>
    </cfRule>
    <cfRule type="expression" priority="4" dxfId="0">
      <formula>F22="TAM"</formula>
    </cfRule>
  </conditionalFormatting>
  <dataValidations count="14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A veya B seçin." promptTitle="Yorum" prompt="İstisna kırılımında A veya B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0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0 ile 1.000.000.000.000 arasında olmalı." promptTitle="Ticari Kâr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.000.000.000.000 arasında olmalı." promptTitle="KKEG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0 ile 1.000.000.000.000 arasında olmalı." promptTitle="İstisnalar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0 ile 1.000.000.000.000 arasında olmalı." promptTitle="İndirimler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0 ile 1.000.000.000.000 arasında olmalı." promptTitle="Ödenen KV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.000.000.000.000 arasında olmalı." promptTitle="Ticari Kâr" prompt="Tablo: TL tutar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.000.000.000.000 arasında olmalı." promptTitle="KKEG" prompt="Tablo: TL tutar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0 ile 1.000.000.000.000 arasında olmalı." promptTitle="İstisnalar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0 ile 1.000.000.000.000 arasında olmalı." promptTitle="İndirimler" prompt="Tablo: TL tutar." type="decimal" errorStyle="stop" operator="between">
      <formula1>0</formula1>
      <formula2>1000000000000</formula2>
    </dataValidation>
    <dataValidation sqref="B29" showDropDown="0" showInputMessage="1" showErrorMessage="1" allowBlank="1" errorTitle="Geçersiz tutar" error="0 ile 1.000.000.000.000 arasında olmalı." promptTitle="Ödenen KV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Asgari Kurumlar Vergisi Simülasyon Motoru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AKV-001</t>
        </is>
      </c>
      <c r="B7" s="7" t="inlineStr">
        <is>
          <t>KVK md.32</t>
        </is>
      </c>
      <c r="C7" s="7" t="inlineStr">
        <is>
          <t>kv_genel_oran</t>
        </is>
      </c>
      <c r="D7" s="7" t="inlineStr">
        <is>
          <t>kurumlar_matrah&gt;0</t>
        </is>
      </c>
      <c r="E7" s="7" t="inlineStr">
        <is>
          <t>kv_genel_oran</t>
        </is>
      </c>
      <c r="F7" s="43" t="n">
        <v>0.25</v>
      </c>
      <c r="G7" s="43" t="n">
        <v>0.25</v>
      </c>
      <c r="H7" s="43" t="n">
        <v>0.25</v>
      </c>
      <c r="I7" s="7" t="inlineStr">
        <is>
          <t>01.01.2025</t>
        </is>
      </c>
      <c r="J7" s="7" t="inlineStr">
        <is>
          <t>KVK md.32</t>
        </is>
      </c>
      <c r="K7" s="37">
        <f>IF($A7="","",IFERROR(CHOOSE(MAX(1,MIN(3,IF(OR(hesapYili="",hesapYili=0),1,hesapYili-akv_yilTaban))),$F7,$G7,$H7),0))</f>
        <v/>
      </c>
    </row>
    <row r="8">
      <c r="A8" s="7" t="inlineStr">
        <is>
          <t>AKV-002</t>
        </is>
      </c>
      <c r="B8" s="7" t="inlineStr">
        <is>
          <t>KVK 32/C</t>
        </is>
      </c>
      <c r="C8" s="7" t="inlineStr">
        <is>
          <t>asgari_taban_matrah</t>
        </is>
      </c>
      <c r="D8" s="7" t="inlineStr">
        <is>
          <t>her zaman</t>
        </is>
      </c>
      <c r="E8" s="7" t="inlineStr">
        <is>
          <t>asgari_taban_matrah</t>
        </is>
      </c>
      <c r="F8" s="44" t="n">
        <v>0</v>
      </c>
      <c r="G8" s="44" t="n">
        <v>0</v>
      </c>
      <c r="H8" s="44" t="n">
        <v>0</v>
      </c>
      <c r="I8" s="7" t="inlineStr">
        <is>
          <t>01.01.2025</t>
        </is>
      </c>
      <c r="J8" s="7" t="inlineStr">
        <is>
          <t>KVK 32/C</t>
        </is>
      </c>
      <c r="K8" s="37">
        <f>IF($A8="","",IFERROR(CHOOSE(MAX(1,MIN(3,IF(OR(hesapYili="",hesapYili=0),1,hesapYili-akv_yilTaban))),$F8,$G8,$H8),0))</f>
        <v/>
      </c>
    </row>
    <row r="9">
      <c r="A9" s="7" t="inlineStr">
        <is>
          <t>AKV-003</t>
        </is>
      </c>
      <c r="B9" s="7" t="inlineStr">
        <is>
          <t>KVK 32/C-3</t>
        </is>
      </c>
      <c r="C9" s="7" t="inlineStr">
        <is>
          <t>asgari_oran</t>
        </is>
      </c>
      <c r="D9" s="7" t="inlineStr">
        <is>
          <t>kurumlar_matrah&gt;0</t>
        </is>
      </c>
      <c r="E9" s="7" t="inlineStr">
        <is>
          <t>asgari_oran</t>
        </is>
      </c>
      <c r="F9" s="43" t="n">
        <v>0.1</v>
      </c>
      <c r="G9" s="43" t="n">
        <v>0.1</v>
      </c>
      <c r="H9" s="43" t="n">
        <v>0.1</v>
      </c>
      <c r="I9" s="7" t="inlineStr">
        <is>
          <t>01.01.2025</t>
        </is>
      </c>
      <c r="J9" s="7" t="inlineStr">
        <is>
          <t>7524 s.K. md.36</t>
        </is>
      </c>
      <c r="K9" s="37">
        <f>IF($A9="","",IFERROR(CHOOSE(MAX(1,MIN(3,IF(OR(hesapYili="",hesapYili=0),1,hesapYili-akv_yilTaban))),$F9,$G9,$H9),0))</f>
        <v/>
      </c>
    </row>
    <row r="10">
      <c r="A10" s="7" t="inlineStr">
        <is>
          <t>AKV-004</t>
        </is>
      </c>
      <c r="B10" s="7" t="inlineStr">
        <is>
          <t>KVK 32/C</t>
        </is>
      </c>
      <c r="C10" s="7" t="inlineStr">
        <is>
          <t>tamamlayici_hesap</t>
        </is>
      </c>
      <c r="D10" s="7" t="inlineStr">
        <is>
          <t>asgari&gt;ödenen</t>
        </is>
      </c>
      <c r="E10" s="7" t="inlineStr">
        <is>
          <t>tamamlayici_bayrak</t>
        </is>
      </c>
      <c r="F10" s="44" t="n">
        <v>1</v>
      </c>
      <c r="G10" s="44" t="n">
        <v>1</v>
      </c>
      <c r="H10" s="44" t="n">
        <v>1</v>
      </c>
      <c r="I10" s="7" t="inlineStr">
        <is>
          <t>01.01.2025</t>
        </is>
      </c>
      <c r="J10" s="7" t="inlineStr">
        <is>
          <t>KVK 32/C</t>
        </is>
      </c>
      <c r="K10" s="37">
        <f>IF($A10="","",IFERROR(CHOOSE(MAX(1,MIN(3,IF(OR(hesapYili="",hesapYili=0),1,hesapYili-akv_yilTaban))),$F10,$G10,$H10),0))</f>
        <v/>
      </c>
    </row>
    <row r="11">
      <c r="A11" s="7" t="inlineStr">
        <is>
          <t>AKV-005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IF($A11="","",IFERROR(CHOOSE(MAX(1,MIN(3,IF(OR(hesapYili="",hesapYili=0),1,hesapYili-akv_yilTaban))),$F11,$G11,$H11),0))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Asgari oran (aktif yıl)</t>
        </is>
      </c>
      <c r="B15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6">
      <c r="A16" s="7" t="inlineStr">
        <is>
          <t>Genel KV oranı (aktif yıl)</t>
        </is>
      </c>
      <c r="B16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17">
      <c r="A17" s="7" t="inlineStr">
        <is>
          <t>Matris metni</t>
        </is>
      </c>
      <c r="B17" s="21">
        <f>_xlfn.TEXTJOIN(" | ",TRUE,"AKV-001=",TEXT(B16,"0.0%"),"AKV-003=",TEXT(B15,"0.0%"),"yıl=",hesapYili)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G7:G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  <dataValidation sqref="H7:H11" showDropDown="0" showInputMessage="1" showErrorMessage="1" allowBlank="1" errorTitle="Geçersiz" error="0 ile 1 arasında veya tamsayı." promptTitle="Kural değeri" prompt="Yıl kolonuna sayısal parametre giri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Asgari Kurumlar Vergisi Simülasyon Motoru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AKV-005</t>
        </is>
      </c>
      <c r="G7" s="35">
        <f>IFERROR(hesapYili,0)</f>
        <v/>
      </c>
    </row>
    <row r="8">
      <c r="A8" s="45" t="n">
        <v>2</v>
      </c>
      <c r="B8" s="24" t="inlineStr">
        <is>
          <t>Genel KV oranı</t>
        </is>
      </c>
      <c r="C8" s="48">
        <f>IFERROR(INDEX(CHOOSE(MAX(1,MIN(3,IF(OR(hesapYili="",hesapYili=0),1,hesapYili-akv_yilTaban))),tblKurallar[deger_2025],tblKurallar[deger_2026],tblKurallar[deger_2027]),MATCH("AKV-001",tblKurallar[kural_id],0)),0)</f>
        <v/>
      </c>
      <c r="D8" s="47" t="inlineStr">
        <is>
          <t>oran</t>
        </is>
      </c>
      <c r="E8" s="6" t="inlineStr">
        <is>
          <t>KVK md.32 oranı</t>
        </is>
      </c>
      <c r="F8" s="23" t="inlineStr">
        <is>
          <t>AKV-001</t>
        </is>
      </c>
      <c r="G8" s="25">
        <f>IFERROR(INDEX(CHOOSE(MAX(1,MIN(3,IF(OR(hesapYili="",hesapYili=0),1,hesapYili-akv_yilTaban))),tblKurallar[deger_2025],tblKurallar[deger_2026],tblKurallar[deger_2027]),MATCH("AKV-001",tblKurallar[kural_id],0)),0)</f>
        <v/>
      </c>
    </row>
    <row r="9">
      <c r="A9" s="45" t="n">
        <v>3</v>
      </c>
      <c r="B9" s="24" t="inlineStr">
        <is>
          <t>Asgari taban matrah</t>
        </is>
      </c>
      <c r="C9" s="49">
        <f>IFERROR(INDEX(CHOOSE(MAX(1,MIN(3,IF(OR(hesapYili="",hesapYili=0),1,hesapYili-akv_yilTaban))),tblKurallar[deger_2025],tblKurallar[deger_2026],tblKurallar[deger_2027]),MATCH("AKV-002",tblKurallar[kural_id],0)),0)</f>
        <v/>
      </c>
      <c r="D9" s="47" t="inlineStr">
        <is>
          <t>TL</t>
        </is>
      </c>
      <c r="E9" s="6" t="inlineStr">
        <is>
          <t>Taban matrah eşiği</t>
        </is>
      </c>
      <c r="F9" s="23" t="inlineStr">
        <is>
          <t>AKV-002</t>
        </is>
      </c>
      <c r="G9" s="26">
        <f>IFERROR(INDEX(CHOOSE(MAX(1,MIN(3,IF(OR(hesapYili="",hesapYili=0),1,hesapYili-akv_yilTaban))),tblKurallar[deger_2025],tblKurallar[deger_2026],tblKurallar[deger_2027]),MATCH("AKV-002",tblKurallar[kural_id],0)),0)</f>
        <v/>
      </c>
    </row>
    <row r="10">
      <c r="A10" s="45" t="n">
        <v>4</v>
      </c>
      <c r="B10" s="24" t="inlineStr">
        <is>
          <t>Asgari oran</t>
        </is>
      </c>
      <c r="C10" s="48">
        <f>IFERROR(INDEX(CHOOSE(MAX(1,MIN(3,IF(OR(hesapYili="",hesapYili=0),1,hesapYili-akv_yilTaban))),tblKurallar[deger_2025],tblKurallar[deger_2026],tblKurallar[deger_2027]),MATCH("AKV-003",tblKurallar[kural_id],0)),0)</f>
        <v/>
      </c>
      <c r="D10" s="47" t="inlineStr">
        <is>
          <t>oran</t>
        </is>
      </c>
      <c r="E10" s="6" t="inlineStr">
        <is>
          <t>Asgari KV oranı</t>
        </is>
      </c>
      <c r="F10" s="23" t="inlineStr">
        <is>
          <t>AKV-003</t>
        </is>
      </c>
      <c r="G10" s="25">
        <f>IFERROR(INDEX(CHOOSE(MAX(1,MIN(3,IF(OR(hesapYili="",hesapYili=0),1,hesapYili-akv_yilTaban))),tblKurallar[deger_2025],tblKurallar[deger_2026],tblKurallar[deger_2027]),MATCH("AKV-003",tblKurallar[kural_id],0)),0)</f>
        <v/>
      </c>
    </row>
    <row r="11">
      <c r="A11" s="45" t="n">
        <v>5</v>
      </c>
      <c r="B11" s="24" t="inlineStr">
        <is>
          <t>Tamamlayıcı bayrak</t>
        </is>
      </c>
      <c r="C11" s="46">
        <f>IFERROR(INDEX(CHOOSE(MAX(1,MIN(3,IF(OR(hesapYili="",hesapYili=0),1,hesapYili-akv_yilTaban))),tblKurallar[deger_2025],tblKurallar[deger_2026],tblKurallar[deger_2027]),MATCH("AKV-004",tblKurallar[kural_id],0)),0)</f>
        <v/>
      </c>
      <c r="D11" s="47" t="inlineStr">
        <is>
          <t>bayrak</t>
        </is>
      </c>
      <c r="E11" s="6" t="inlineStr">
        <is>
          <t>Tamamlayıcı hesap açık mı</t>
        </is>
      </c>
      <c r="F11" s="23" t="inlineStr">
        <is>
          <t>AKV-004</t>
        </is>
      </c>
      <c r="G11" s="35">
        <f>IFERROR(INDEX(CHOOSE(MAX(1,MIN(3,IF(OR(hesapYili="",hesapYili=0),1,hesapYili-akv_yilTaban))),tblKurallar[deger_2025],tblKurallar[deger_2026],tblKurallar[deger_2027]),MATCH("AKV-004",tblKurallar[kural_id],0)),0)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IFERROR(INDEX(CHOOSE(MAX(1,MIN(3,IF(OR(hesapYili="",hesapYili=0),1,hesapYili-akv_yilTaban))),tblKurallar[deger_2025],tblKurallar[deger_2026],tblKurallar[deger_2027]),MATCH("AKV-005",tblKurallar[kural_id],0)),0)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AKV-005</t>
        </is>
      </c>
      <c r="G12" s="35">
        <f>IFERROR(INDEX(CHOOSE(MAX(1,MIN(3,IF(OR(hesapYili="",hesapYili=0),1,hesapYili-akv_yilTaban))),tblKurallar[deger_2025],tblKurallar[deger_2026],tblKurallar[deger_2027]),MATCH("AKV-005",tblKurallar[kural_id],0)),0)</f>
        <v/>
      </c>
    </row>
    <row r="13">
      <c r="A13" s="45" t="n">
        <v>7</v>
      </c>
      <c r="B13" s="24" t="inlineStr">
        <is>
          <t>Ticari kâr</t>
        </is>
      </c>
      <c r="C13" s="49">
        <f>IFERROR(GIRDI!B9,0)</f>
        <v/>
      </c>
      <c r="D13" s="47" t="inlineStr">
        <is>
          <t>TL</t>
        </is>
      </c>
      <c r="E13" s="6" t="inlineStr">
        <is>
          <t>Ham ticari kâr</t>
        </is>
      </c>
      <c r="F13" s="23" t="inlineStr">
        <is>
          <t>AKV-001</t>
        </is>
      </c>
      <c r="G13" s="26">
        <f>IFERROR(GIRDI!B9,0)</f>
        <v/>
      </c>
    </row>
    <row r="14">
      <c r="A14" s="45" t="n">
        <v>8</v>
      </c>
      <c r="B14" s="24" t="inlineStr">
        <is>
          <t>Kanunen kabul edilmeyen</t>
        </is>
      </c>
      <c r="C14" s="49">
        <f>IFERROR(GIRDI!B10,0)</f>
        <v/>
      </c>
      <c r="D14" s="47" t="inlineStr">
        <is>
          <t>TL</t>
        </is>
      </c>
      <c r="E14" s="6" t="inlineStr">
        <is>
          <t>KKEG eklemesi</t>
        </is>
      </c>
      <c r="F14" s="23" t="inlineStr">
        <is>
          <t>AKV-001</t>
        </is>
      </c>
      <c r="G14" s="26">
        <f>IFERROR(GIRDI!B10,0)</f>
        <v/>
      </c>
    </row>
    <row r="15">
      <c r="A15" s="45" t="n">
        <v>9</v>
      </c>
      <c r="B15" s="24" t="inlineStr">
        <is>
          <t>İstisnalar</t>
        </is>
      </c>
      <c r="C15" s="49">
        <f>IFERROR(GIRDI!B11,0)</f>
        <v/>
      </c>
      <c r="D15" s="47" t="inlineStr">
        <is>
          <t>TL</t>
        </is>
      </c>
      <c r="E15" s="6" t="inlineStr">
        <is>
          <t>İstisna düşümü</t>
        </is>
      </c>
      <c r="F15" s="23" t="inlineStr">
        <is>
          <t>AKV-002</t>
        </is>
      </c>
      <c r="G15" s="26">
        <f>IFERROR(GIRDI!B11,0)</f>
        <v/>
      </c>
    </row>
    <row r="16">
      <c r="A16" s="45" t="n">
        <v>10</v>
      </c>
      <c r="B16" s="24" t="inlineStr">
        <is>
          <t>İndirimler</t>
        </is>
      </c>
      <c r="C16" s="49">
        <f>IFERROR(GIRDI!B12,0)</f>
        <v/>
      </c>
      <c r="D16" s="47" t="inlineStr">
        <is>
          <t>TL</t>
        </is>
      </c>
      <c r="E16" s="6" t="inlineStr">
        <is>
          <t>İndirim düşümü</t>
        </is>
      </c>
      <c r="F16" s="23" t="inlineStr">
        <is>
          <t>AKV-002</t>
        </is>
      </c>
      <c r="G16" s="26">
        <f>IFERROR(GIRDI!B12,0)</f>
        <v/>
      </c>
    </row>
    <row r="17">
      <c r="A17" s="45" t="n">
        <v>11</v>
      </c>
      <c r="B17" s="24" t="inlineStr">
        <is>
          <t>Matrah ham</t>
        </is>
      </c>
      <c r="C17" s="49">
        <f>IFERROR(G13+G14-G15-G16,0)</f>
        <v/>
      </c>
      <c r="D17" s="47" t="inlineStr">
        <is>
          <t>TL</t>
        </is>
      </c>
      <c r="E17" s="6" t="inlineStr">
        <is>
          <t>Bileşenlerden matrah</t>
        </is>
      </c>
      <c r="F17" s="23" t="inlineStr">
        <is>
          <t>AKV-002</t>
        </is>
      </c>
      <c r="G17" s="26">
        <f>IFERROR(G13+G14-G15-G16,0)</f>
        <v/>
      </c>
    </row>
    <row r="18">
      <c r="A18" s="45" t="n">
        <v>12</v>
      </c>
      <c r="B18" s="24" t="inlineStr">
        <is>
          <t>Matrah taban kontrol</t>
        </is>
      </c>
      <c r="C18" s="49">
        <f>IFERROR(MAX(G17,G9),0)</f>
        <v/>
      </c>
      <c r="D18" s="47" t="inlineStr">
        <is>
          <t>TL</t>
        </is>
      </c>
      <c r="E18" s="6" t="inlineStr">
        <is>
          <t>Taban ile karşılaştır</t>
        </is>
      </c>
      <c r="F18" s="23" t="inlineStr">
        <is>
          <t>AKV-002</t>
        </is>
      </c>
      <c r="G18" s="26">
        <f>IFERROR(MAX(G17,G9),0)</f>
        <v/>
      </c>
    </row>
    <row r="19">
      <c r="A19" s="45" t="n">
        <v>13</v>
      </c>
      <c r="B19" s="24" t="inlineStr">
        <is>
          <t>Kurumlar matrahı</t>
        </is>
      </c>
      <c r="C19" s="49">
        <f>IFERROR(ROUND(G18,MAX(0,MIN(akv_yuvarMax,IFERROR(N(G12),0)))),0)</f>
        <v/>
      </c>
      <c r="D19" s="47" t="inlineStr">
        <is>
          <t>TL</t>
        </is>
      </c>
      <c r="E19" s="6" t="inlineStr">
        <is>
          <t>Yuvarlanmış matrah</t>
        </is>
      </c>
      <c r="F19" s="23" t="inlineStr">
        <is>
          <t>AKV-005</t>
        </is>
      </c>
      <c r="G19" s="26">
        <f>IFERROR(ROUND(G18,MAX(0,MIN(akv_yuvarMax,IFERROR(N(G12),0)))),0)</f>
        <v/>
      </c>
    </row>
    <row r="20">
      <c r="A20" s="45" t="n">
        <v>14</v>
      </c>
      <c r="B20" s="24" t="inlineStr">
        <is>
          <t>Ödenen KV</t>
        </is>
      </c>
      <c r="C20" s="49">
        <f>IFERROR(GIRDI!B13,0)</f>
        <v/>
      </c>
      <c r="D20" s="47" t="inlineStr">
        <is>
          <t>TL</t>
        </is>
      </c>
      <c r="E20" s="6" t="inlineStr">
        <is>
          <t>Ödenen/tahakkuk KV</t>
        </is>
      </c>
      <c r="F20" s="23" t="inlineStr">
        <is>
          <t>AKV-001</t>
        </is>
      </c>
      <c r="G20" s="26">
        <f>IFERROR(GIRDI!B13,0)</f>
        <v/>
      </c>
    </row>
    <row r="21">
      <c r="A21" s="45" t="n">
        <v>15</v>
      </c>
      <c r="B21" s="24" t="inlineStr">
        <is>
          <t>Normal KV (referans)</t>
        </is>
      </c>
      <c r="C21" s="49">
        <f>IFERROR(ROUND(G19*G8,MAX(0,MIN(akv_yuvarMax,IFERROR(N(G12),0)))),0)</f>
        <v/>
      </c>
      <c r="D21" s="47" t="inlineStr">
        <is>
          <t>TL</t>
        </is>
      </c>
      <c r="E21" s="6" t="inlineStr">
        <is>
          <t>Genel oranlı KV</t>
        </is>
      </c>
      <c r="F21" s="23" t="inlineStr">
        <is>
          <t>AKV-001</t>
        </is>
      </c>
      <c r="G21" s="26">
        <f>IFERROR(ROUND(G19*G8,MAX(0,MIN(akv_yuvarMax,IFERROR(N(G12),0)))),0)</f>
        <v/>
      </c>
    </row>
    <row r="22">
      <c r="A22" s="45" t="n">
        <v>16</v>
      </c>
      <c r="B22" s="24" t="inlineStr">
        <is>
          <t>Asgari KV</t>
        </is>
      </c>
      <c r="C22" s="49">
        <f>IFERROR(ROUND(G19*G10,MAX(0,MIN(akv_yuvarMax,IFERROR(N(G12),0)))),0)</f>
        <v/>
      </c>
      <c r="D22" s="47" t="inlineStr">
        <is>
          <t>TL</t>
        </is>
      </c>
      <c r="E22" s="6" t="inlineStr">
        <is>
          <t>Matrah × asgari oran</t>
        </is>
      </c>
      <c r="F22" s="23" t="inlineStr">
        <is>
          <t>AKV-003</t>
        </is>
      </c>
      <c r="G22" s="26">
        <f>IFERROR(ROUND(G19*G10,MAX(0,MIN(akv_yuvarMax,IFERROR(N(G12),0)))),0)</f>
        <v/>
      </c>
    </row>
    <row r="23">
      <c r="A23" s="45" t="n">
        <v>17</v>
      </c>
      <c r="B23" s="24" t="inlineStr">
        <is>
          <t>Fark ham</t>
        </is>
      </c>
      <c r="C23" s="49">
        <f>IFERROR(G22-G20,0)</f>
        <v/>
      </c>
      <c r="D23" s="47" t="inlineStr">
        <is>
          <t>TL</t>
        </is>
      </c>
      <c r="E23" s="6" t="inlineStr">
        <is>
          <t>Asgari − ödenen</t>
        </is>
      </c>
      <c r="F23" s="23" t="inlineStr">
        <is>
          <t>AKV-004</t>
        </is>
      </c>
      <c r="G23" s="26">
        <f>IFERROR(G22-G20,0)</f>
        <v/>
      </c>
    </row>
    <row r="24">
      <c r="A24" s="45" t="n">
        <v>18</v>
      </c>
      <c r="B24" s="24" t="inlineStr">
        <is>
          <t>Fark (sıfır altı yok)</t>
        </is>
      </c>
      <c r="C24" s="49">
        <f>IFERROR(MAX(0,G23),0)</f>
        <v/>
      </c>
      <c r="D24" s="47" t="inlineStr">
        <is>
          <t>TL</t>
        </is>
      </c>
      <c r="E24" s="6" t="inlineStr">
        <is>
          <t>Tamamlayıcı tutar</t>
        </is>
      </c>
      <c r="F24" s="23" t="inlineStr">
        <is>
          <t>AKV-004</t>
        </is>
      </c>
      <c r="G24" s="26">
        <f>IFERROR(MAX(0,G23),0)</f>
        <v/>
      </c>
    </row>
    <row r="25">
      <c r="A25" s="45" t="n">
        <v>19</v>
      </c>
      <c r="B25" s="24" t="inlineStr">
        <is>
          <t>Tamamlayıcı uygulanır mı</t>
        </is>
      </c>
      <c r="C25" s="46">
        <f>IFERROR(IF(AND(G11=1,G24&gt;0),1,0),0)</f>
        <v/>
      </c>
      <c r="D25" s="47" t="inlineStr">
        <is>
          <t>bayrak</t>
        </is>
      </c>
      <c r="E25" s="6" t="inlineStr">
        <is>
          <t>Bayrak × fark</t>
        </is>
      </c>
      <c r="F25" s="23" t="inlineStr">
        <is>
          <t>AKV-004</t>
        </is>
      </c>
      <c r="G25" s="35">
        <f>IFERROR(IF(AND(G11=1,G24&gt;0),1,0),0)</f>
        <v/>
      </c>
    </row>
    <row r="26">
      <c r="A26" s="45" t="n">
        <v>20</v>
      </c>
      <c r="B26" s="24" t="inlineStr">
        <is>
          <t>Karar kodu</t>
        </is>
      </c>
      <c r="C26" s="21">
        <f>IFERROR(IF(COUNTA(tblGirdi[Alan Anahtarı])=0,"VERI_YOK",IF(G24=0,"EK_YOK","FARK")),"")</f>
        <v/>
      </c>
      <c r="D26" s="47" t="inlineStr">
        <is>
          <t>kod</t>
        </is>
      </c>
      <c r="E26" s="6" t="inlineStr">
        <is>
          <t>Karar kodu</t>
        </is>
      </c>
      <c r="F26" s="23" t="inlineStr">
        <is>
          <t>AKV-004</t>
        </is>
      </c>
      <c r="G26" s="27">
        <f>IFERROR(IF(COUNTA(tblGirdi[Alan Anahtarı])=0,"VERI_YOK",IF(G24=0,"EK_YOK","FARK")),"")</f>
        <v/>
      </c>
    </row>
    <row r="27">
      <c r="A27" s="45" t="n">
        <v>21</v>
      </c>
      <c r="B27" s="24" t="inlineStr">
        <is>
          <t>Karar metni</t>
        </is>
      </c>
      <c r="C27" s="21">
        <f>IFERROR(IF(G26="VERI_YOK","VERİ YOK",IF(G26="EK_YOK","EK VERGİ YOK / UYGUN","FARK HESAPLA / DİKKAT")),"")</f>
        <v/>
      </c>
      <c r="D27" s="47" t="inlineStr">
        <is>
          <t>metin</t>
        </is>
      </c>
      <c r="E27" s="6" t="inlineStr">
        <is>
          <t>Kullanıcıya karar</t>
        </is>
      </c>
      <c r="F27" s="23" t="inlineStr">
        <is>
          <t>AKV-004</t>
        </is>
      </c>
      <c r="G27" s="27">
        <f>IFERROR(IF(G26="VERI_YOK","VERİ YOK",IF(G26="EK_YOK","EK VERGİ YOK / UYGUN","FARK HESAPLA / DİKKAT")),"")</f>
        <v/>
      </c>
    </row>
    <row r="28">
      <c r="A28" s="45" t="n">
        <v>22</v>
      </c>
      <c r="B28" s="24" t="inlineStr">
        <is>
          <t>Gerekçe</t>
        </is>
      </c>
      <c r="C28" s="21">
        <f>IFERROR(IF(G26="VERI_YOK","Giriş tablosu boş — hesap yapılamaz.",IF(G26="EK_YOK","Ödenen KV asgari tutarı karşılıyor; ek vergi yok.","Ödenen KV asgari tutarın altında; tamamlayıcı fark hesaplandı.")),"")</f>
        <v/>
      </c>
      <c r="D28" s="47" t="inlineStr">
        <is>
          <t>metin</t>
        </is>
      </c>
      <c r="E28" s="6" t="inlineStr">
        <is>
          <t>Gerekçe cümlesi</t>
        </is>
      </c>
      <c r="F28" s="23" t="inlineStr">
        <is>
          <t>AKV-004</t>
        </is>
      </c>
      <c r="G28" s="27">
        <f>IFERROR(IF(G26="VERI_YOK","Giriş tablosu boş — hesap yapılamaz.",IF(G26="EK_YOK","Ödenen KV asgari tutarı karşılıyor; ek vergi yok.","Ödenen KV asgari tutarın altında; tamamlayıcı fark hesaplandı.")),"")</f>
        <v/>
      </c>
    </row>
    <row r="29">
      <c r="A29" s="45" t="n">
        <v>23</v>
      </c>
      <c r="B29" s="24" t="inlineStr">
        <is>
          <t>Ödenen / asgari oranı</t>
        </is>
      </c>
      <c r="C29" s="48">
        <f>IFERROR(IF(G22=0,0,G20/G22),0)</f>
        <v/>
      </c>
      <c r="D29" s="47" t="inlineStr">
        <is>
          <t>oran</t>
        </is>
      </c>
      <c r="E29" s="6" t="inlineStr">
        <is>
          <t>Karşılama oranı</t>
        </is>
      </c>
      <c r="F29" s="23" t="inlineStr">
        <is>
          <t>AKV-003</t>
        </is>
      </c>
      <c r="G29" s="25">
        <f>IFERROR(IF(G22=0,0,G20/G22),0)</f>
        <v/>
      </c>
    </row>
    <row r="30">
      <c r="A30" s="45" t="n">
        <v>24</v>
      </c>
      <c r="B30" s="24" t="inlineStr">
        <is>
          <t>Fark / matrah</t>
        </is>
      </c>
      <c r="C30" s="48">
        <f>IFERROR(IF(G19=0,0,G24/G19),0)</f>
        <v/>
      </c>
      <c r="D30" s="47" t="inlineStr">
        <is>
          <t>oran</t>
        </is>
      </c>
      <c r="E30" s="6" t="inlineStr">
        <is>
          <t>Fark yoğunluğu</t>
        </is>
      </c>
      <c r="F30" s="23" t="inlineStr">
        <is>
          <t>AKV-003</t>
        </is>
      </c>
      <c r="G30" s="25">
        <f>IFERROR(IF(G19=0,0,G24/G19),0)</f>
        <v/>
      </c>
    </row>
    <row r="31">
      <c r="A31" s="45" t="n">
        <v>25</v>
      </c>
      <c r="B31" s="24" t="inlineStr">
        <is>
          <t>Normal − asgari</t>
        </is>
      </c>
      <c r="C31" s="49">
        <f>IFERROR(G21-G22,0)</f>
        <v/>
      </c>
      <c r="D31" s="47" t="inlineStr">
        <is>
          <t>TL</t>
        </is>
      </c>
      <c r="E31" s="6" t="inlineStr">
        <is>
          <t>Oran farkı tutarı</t>
        </is>
      </c>
      <c r="F31" s="23" t="inlineStr">
        <is>
          <t>AKV-001</t>
        </is>
      </c>
      <c r="G31" s="26">
        <f>IFERROR(G21-G22,0)</f>
        <v/>
      </c>
    </row>
    <row r="32">
      <c r="A32" s="45" t="n">
        <v>26</v>
      </c>
      <c r="B32" s="24" t="inlineStr">
        <is>
          <t>Yorum A etkisi</t>
        </is>
      </c>
      <c r="C32" s="49">
        <f>IFERROR(ROUND((GIRDI!B9+GIRDI!B10-GIRDI!B11*akv_yorumAIstisnaCarpan-GIRDI!B12)*G10,MAX(0,MIN(akv_yuvarMax,IFERROR(N(G12),0)))),0)</f>
        <v/>
      </c>
      <c r="D32" s="47" t="inlineStr">
        <is>
          <t>TL</t>
        </is>
      </c>
      <c r="E32" s="6" t="inlineStr">
        <is>
          <t>Yorum A alternatif matrah asgari</t>
        </is>
      </c>
      <c r="F32" s="23" t="inlineStr">
        <is>
          <t>AKV-003</t>
        </is>
      </c>
      <c r="G32" s="26">
        <f>IFERROR(ROUND((GIRDI!B9+GIRDI!B10-GIRDI!B11*akv_yorumAIstisnaCarpan-GIRDI!B12)*G10,MAX(0,MIN(akv_yuvarMax,IFERROR(N(G12),0)))),0)</f>
        <v/>
      </c>
    </row>
    <row r="33">
      <c r="A33" s="45" t="n">
        <v>27</v>
      </c>
      <c r="B33" s="24" t="inlineStr">
        <is>
          <t>Yorum B etkisi</t>
        </is>
      </c>
      <c r="C33" s="49">
        <f>IFERROR(ROUND((GIRDI!B9+GIRDI!B10-GIRDI!B11-GIRDI!B12)*G10,MAX(0,MIN(akv_yuvarMax,IFERROR(N(G12),0)))),0)</f>
        <v/>
      </c>
      <c r="D33" s="47" t="inlineStr">
        <is>
          <t>TL</t>
        </is>
      </c>
      <c r="E33" s="6" t="inlineStr">
        <is>
          <t>Yorum B (tam istisna)</t>
        </is>
      </c>
      <c r="F33" s="23" t="inlineStr">
        <is>
          <t>AKV-003</t>
        </is>
      </c>
      <c r="G33" s="26">
        <f>IFERROR(ROUND((GIRDI!B9+GIRDI!B10-GIRDI!B11-GIRDI!B12)*G10,MAX(0,MIN(akv_yuvarMax,IFERROR(N(G12),0)))),0)</f>
        <v/>
      </c>
    </row>
    <row r="34">
      <c r="A34" s="45" t="n">
        <v>28</v>
      </c>
      <c r="B34" s="24" t="inlineStr">
        <is>
          <t>Seçili yorum asgari</t>
        </is>
      </c>
      <c r="C34" s="49">
        <f>IFERROR(IF(GIRDI!B14="B",G33,G32),0)</f>
        <v/>
      </c>
      <c r="D34" s="47" t="inlineStr">
        <is>
          <t>TL</t>
        </is>
      </c>
      <c r="E34" s="6" t="inlineStr">
        <is>
          <t>A/B seçimine göre</t>
        </is>
      </c>
      <c r="F34" s="23" t="inlineStr">
        <is>
          <t>AKV-003</t>
        </is>
      </c>
      <c r="G34" s="26">
        <f>IFERROR(IF(GIRDI!B14="B",G33,G32),0)</f>
        <v/>
      </c>
    </row>
    <row r="35">
      <c r="A35" s="45" t="n">
        <v>29</v>
      </c>
      <c r="B35" s="24" t="inlineStr">
        <is>
          <t>Yorum farkı</t>
        </is>
      </c>
      <c r="C35" s="49">
        <f>IFERROR(ABS(G32-G33),0)</f>
        <v/>
      </c>
      <c r="D35" s="47" t="inlineStr">
        <is>
          <t>TL</t>
        </is>
      </c>
      <c r="E35" s="6" t="inlineStr">
        <is>
          <t>Belirsizlik aralığı</t>
        </is>
      </c>
      <c r="F35" s="23" t="inlineStr">
        <is>
          <t>AKV-003</t>
        </is>
      </c>
      <c r="G35" s="26">
        <f>IFERROR(ABS(G32-G33),0)</f>
        <v/>
      </c>
    </row>
    <row r="36">
      <c r="A36" s="45" t="n">
        <v>30</v>
      </c>
      <c r="B36" s="24" t="inlineStr">
        <is>
          <t>Güven skoru</t>
        </is>
      </c>
      <c r="C36" s="46">
        <f>IFERROR(ROUND(IF(COUNTA(GIRDI!B6:B14)=0,0,COUNTA(GIRDI!B6:B14)/COUNTA(GIRDI!B6:B14)*100),0),0)</f>
        <v/>
      </c>
      <c r="D36" s="47" t="inlineStr">
        <is>
          <t>puan</t>
        </is>
      </c>
      <c r="E36" s="6" t="inlineStr">
        <is>
          <t>Giriş bütünlüğü</t>
        </is>
      </c>
      <c r="F36" s="23" t="inlineStr">
        <is>
          <t>AKV-005</t>
        </is>
      </c>
      <c r="G36" s="35">
        <f>IFERROR(ROUND(IF(COUNTA(GIRDI!B6:B14)=0,0,COUNTA(GIRDI!B6:B14)/COUNTA(GIRDI!B6:B14)*100),0),0)</f>
        <v/>
      </c>
    </row>
    <row r="37">
      <c r="A37" s="45" t="n">
        <v>31</v>
      </c>
      <c r="B37" s="24" t="inlineStr">
        <is>
          <t>Risk skoru</t>
        </is>
      </c>
      <c r="C37" s="46">
        <f>IFERROR(IF(G26="VERI_YOK",0,IF(G24=0,akv_riskDusuk,IF(G24/MAX(G22,1)&gt;akv_riskEsikOran,akv_riskYuksek,akv_riskOrta))),0)</f>
        <v/>
      </c>
      <c r="D37" s="47" t="inlineStr">
        <is>
          <t>puan</t>
        </is>
      </c>
      <c r="E37" s="6" t="inlineStr">
        <is>
          <t>Fark riski</t>
        </is>
      </c>
      <c r="F37" s="23" t="inlineStr">
        <is>
          <t>AKV-004</t>
        </is>
      </c>
      <c r="G37" s="35">
        <f>IFERROR(IF(G26="VERI_YOK",0,IF(G24=0,akv_riskDusuk,IF(G24/MAX(G22,1)&gt;akv_riskEsikOran,akv_riskYuksek,akv_riskOrta))),0)</f>
        <v/>
      </c>
    </row>
    <row r="38">
      <c r="A38" s="45" t="n">
        <v>32</v>
      </c>
      <c r="B38" s="24" t="inlineStr">
        <is>
          <t>Senaryo iyimser matrah</t>
        </is>
      </c>
      <c r="C38" s="49">
        <f>IFERROR(G19*akv_senaryoIyi,0)</f>
        <v/>
      </c>
      <c r="D38" s="47" t="inlineStr">
        <is>
          <t>TL</t>
        </is>
      </c>
      <c r="E38" s="6" t="inlineStr">
        <is>
          <t>İyimser matrah</t>
        </is>
      </c>
      <c r="F38" s="23" t="inlineStr">
        <is>
          <t>AKV-002</t>
        </is>
      </c>
      <c r="G38" s="26">
        <f>IFERROR(G19*akv_senaryoIyi,0)</f>
        <v/>
      </c>
    </row>
    <row r="39">
      <c r="A39" s="45" t="n">
        <v>33</v>
      </c>
      <c r="B39" s="24" t="inlineStr">
        <is>
          <t>Senaryo kötümser matrah</t>
        </is>
      </c>
      <c r="C39" s="49">
        <f>IFERROR(G19*akv_senaryoKotu,0)</f>
        <v/>
      </c>
      <c r="D39" s="47" t="inlineStr">
        <is>
          <t>TL</t>
        </is>
      </c>
      <c r="E39" s="6" t="inlineStr">
        <is>
          <t>Kötümser matrah</t>
        </is>
      </c>
      <c r="F39" s="23" t="inlineStr">
        <is>
          <t>AKV-002</t>
        </is>
      </c>
      <c r="G39" s="26">
        <f>IFERROR(G19*akv_senaryoKotu,0)</f>
        <v/>
      </c>
    </row>
    <row r="40">
      <c r="A40" s="45" t="n">
        <v>34</v>
      </c>
      <c r="B40" s="24" t="inlineStr">
        <is>
          <t>İyimser asgari KV</t>
        </is>
      </c>
      <c r="C40" s="49">
        <f>IFERROR(ROUND(G38*G10,MAX(0,MIN(akv_yuvarMax,IFERROR(N(G12),0)))),0)</f>
        <v/>
      </c>
      <c r="D40" s="47" t="inlineStr">
        <is>
          <t>TL</t>
        </is>
      </c>
      <c r="E40" s="6" t="inlineStr">
        <is>
          <t>İyimser asgari</t>
        </is>
      </c>
      <c r="F40" s="23" t="inlineStr">
        <is>
          <t>AKV-003</t>
        </is>
      </c>
      <c r="G40" s="26">
        <f>IFERROR(ROUND(G38*G10,MAX(0,MIN(akv_yuvarMax,IFERROR(N(G12),0)))),0)</f>
        <v/>
      </c>
    </row>
    <row r="41">
      <c r="A41" s="45" t="n">
        <v>35</v>
      </c>
      <c r="B41" s="24" t="inlineStr">
        <is>
          <t>Kötümser asgari KV</t>
        </is>
      </c>
      <c r="C41" s="49">
        <f>IFERROR(ROUND(G39*G10,MAX(0,MIN(akv_yuvarMax,IFERROR(N(G12),0)))),0)</f>
        <v/>
      </c>
      <c r="D41" s="47" t="inlineStr">
        <is>
          <t>TL</t>
        </is>
      </c>
      <c r="E41" s="6" t="inlineStr">
        <is>
          <t>Kötümser asgari</t>
        </is>
      </c>
      <c r="F41" s="23" t="inlineStr">
        <is>
          <t>AKV-003</t>
        </is>
      </c>
      <c r="G41" s="26">
        <f>IFERROR(ROUND(G39*G10,MAX(0,MIN(akv_yuvarMax,IFERROR(N(G12),0)))),0)</f>
        <v/>
      </c>
    </row>
    <row r="42">
      <c r="A42" s="45" t="n">
        <v>36</v>
      </c>
      <c r="B42" s="24" t="inlineStr">
        <is>
          <t>Kural+1 puan asgari</t>
        </is>
      </c>
      <c r="C42" s="49">
        <f>IFERROR(ROUND(IF(OR(COUNTA(GIRDI!B6:B14)=0,akv_girisBeklenen=0),0,COUNTA(GIRDI!B6:B14)/akv_girisBeklenen*100),0),0)</f>
        <v/>
      </c>
      <c r="D42" s="47" t="inlineStr">
        <is>
          <t>TL</t>
        </is>
      </c>
      <c r="E42" s="6" t="inlineStr">
        <is>
          <t>M-SEN +1 puan</t>
        </is>
      </c>
      <c r="F42" s="23" t="inlineStr">
        <is>
          <t>AKV-003</t>
        </is>
      </c>
      <c r="G42" s="26">
        <f>IFERROR(ROUND(IF(OR(COUNTA(GIRDI!B6:B14)=0,akv_girisBeklenen=0),0,COUNTA(GIRDI!B6:B14)/akv_girisBeklenen*100),0),0)</f>
        <v/>
      </c>
    </row>
    <row r="43">
      <c r="A43" s="45" t="n">
        <v>37</v>
      </c>
      <c r="B43" s="24" t="inlineStr">
        <is>
          <t>M-SEN fark</t>
        </is>
      </c>
      <c r="C43" s="49">
        <f>IFERROR(MAX(0,G42-G20),0)</f>
        <v/>
      </c>
      <c r="D43" s="47" t="inlineStr">
        <is>
          <t>TL</t>
        </is>
      </c>
      <c r="E43" s="6" t="inlineStr">
        <is>
          <t>Kural değişimi farkı</t>
        </is>
      </c>
      <c r="F43" s="23" t="inlineStr">
        <is>
          <t>AKV-004</t>
        </is>
      </c>
      <c r="G43" s="26">
        <f>IFERROR(MAX(0,G42-G20),0)</f>
        <v/>
      </c>
    </row>
    <row r="44">
      <c r="A44" s="45" t="n">
        <v>38</v>
      </c>
      <c r="B44" s="24" t="inlineStr">
        <is>
          <t>Tahmin üst</t>
        </is>
      </c>
      <c r="C44" s="49">
        <f>IFERROR(G24*akv_tahminUst,0)</f>
        <v/>
      </c>
      <c r="D44" s="47" t="inlineStr">
        <is>
          <t>TL</t>
        </is>
      </c>
      <c r="E44" s="6" t="inlineStr">
        <is>
          <t>Tahmin üst bant</t>
        </is>
      </c>
      <c r="F44" s="23" t="inlineStr">
        <is>
          <t>AKV-005</t>
        </is>
      </c>
      <c r="G44" s="26">
        <f>IFERROR(G24*akv_tahminUst,0)</f>
        <v/>
      </c>
    </row>
    <row r="45">
      <c r="A45" s="45" t="n">
        <v>39</v>
      </c>
      <c r="B45" s="24" t="inlineStr">
        <is>
          <t>Tahmin alt</t>
        </is>
      </c>
      <c r="C45" s="49">
        <f>IFERROR(G24*akv_tahminAlt,0)</f>
        <v/>
      </c>
      <c r="D45" s="47" t="inlineStr">
        <is>
          <t>TL</t>
        </is>
      </c>
      <c r="E45" s="6" t="inlineStr">
        <is>
          <t>Tahmin alt bant</t>
        </is>
      </c>
      <c r="F45" s="23" t="inlineStr">
        <is>
          <t>AKV-005</t>
        </is>
      </c>
      <c r="G45" s="26">
        <f>IFERROR(G24*akv_tahminAlt,0)</f>
        <v/>
      </c>
    </row>
    <row r="46">
      <c r="A46" s="45" t="n">
        <v>40</v>
      </c>
      <c r="B46" s="24" t="inlineStr">
        <is>
          <t>Tornado: matrah etkisi</t>
        </is>
      </c>
      <c r="C46" s="49">
        <f>IFERROR(ABS(ROUND((G19*akv_tornadoMatrah)*G10,MAX(0,MIN(akv_yuvarMax,IFERROR(N(G12),0))))-G22),0)</f>
        <v/>
      </c>
      <c r="D46" s="47" t="inlineStr">
        <is>
          <t>TL</t>
        </is>
      </c>
      <c r="E46" s="6" t="inlineStr">
        <is>
          <t>Matrah ± etki</t>
        </is>
      </c>
      <c r="F46" s="23" t="inlineStr">
        <is>
          <t>AKV-003</t>
        </is>
      </c>
      <c r="G46" s="26">
        <f>IFERROR(ABS(ROUND((G19*akv_tornadoMatrah)*G10,MAX(0,MIN(akv_yuvarMax,IFERROR(N(G12),0))))-G22),0)</f>
        <v/>
      </c>
    </row>
    <row r="47">
      <c r="A47" s="45" t="n">
        <v>41</v>
      </c>
      <c r="B47" s="24" t="inlineStr">
        <is>
          <t>Tornado: ödenen etkisi</t>
        </is>
      </c>
      <c r="C47" s="49">
        <f>IFERROR(ABS(MAX(0,G22-G20*akv_tornadoOdenen)-G24),0)</f>
        <v/>
      </c>
      <c r="D47" s="47" t="inlineStr">
        <is>
          <t>TL</t>
        </is>
      </c>
      <c r="E47" s="6" t="inlineStr">
        <is>
          <t>Ödenen ± etki</t>
        </is>
      </c>
      <c r="F47" s="23" t="inlineStr">
        <is>
          <t>AKV-004</t>
        </is>
      </c>
      <c r="G47" s="26">
        <f>IFERROR(ABS(MAX(0,G22-G20*akv_tornadoOdenen)-G24),0)</f>
        <v/>
      </c>
    </row>
    <row r="48">
      <c r="A48" s="45" t="n">
        <v>42</v>
      </c>
      <c r="B48" s="24" t="inlineStr">
        <is>
          <t>Tornado: oran etkisi</t>
        </is>
      </c>
      <c r="C48" s="49">
        <f>IFERROR(ABS(ROUND(G19*(G10+akv_oranArtisPuan),MAX(0,MIN(akv_yuvarMax,IFERROR(N(G12),0))))-G22),0)</f>
        <v/>
      </c>
      <c r="D48" s="47" t="inlineStr">
        <is>
          <t>TL</t>
        </is>
      </c>
      <c r="E48" s="6" t="inlineStr">
        <is>
          <t>Oran ± etki</t>
        </is>
      </c>
      <c r="F48" s="23" t="inlineStr">
        <is>
          <t>AKV-003</t>
        </is>
      </c>
      <c r="G48" s="26">
        <f>IFERROR(ABS(ROUND(G19*(G10+akv_oranArtisPuan),MAX(0,MIN(akv_yuvarMax,IFERROR(N(G12),0))))-G22),0)</f>
        <v/>
      </c>
    </row>
    <row r="49">
      <c r="A49" s="45" t="n">
        <v>43</v>
      </c>
      <c r="B49" s="24" t="inlineStr">
        <is>
          <t>Madde atıf özeti</t>
        </is>
      </c>
      <c r="C49" s="21">
        <f>IFERROR(_xlfn.TEXTJOIN(" | ",TRUE,"AKV-001→KVK md.32","AKV-003→KVK 32/C-3","AKV-004→tamamlayıcı"),"")</f>
        <v/>
      </c>
      <c r="D49" s="47" t="inlineStr">
        <is>
          <t>metin</t>
        </is>
      </c>
      <c r="E49" s="6" t="inlineStr">
        <is>
          <t>Kanıt atıfları</t>
        </is>
      </c>
      <c r="F49" s="23" t="inlineStr">
        <is>
          <t>AKV-001</t>
        </is>
      </c>
      <c r="G49" s="27">
        <f>IFERROR(_xlfn.TEXTJOIN(" | ",TRUE,"AKV-001→KVK md.32","AKV-003→KVK 32/C-3","AKV-004→tamamlayıcı"),"")</f>
        <v/>
      </c>
    </row>
    <row r="50">
      <c r="A50" s="45" t="n">
        <v>44</v>
      </c>
      <c r="B50" s="24" t="inlineStr">
        <is>
          <t>Kanıt satır özeti</t>
        </is>
      </c>
      <c r="C50" s="21">
        <f>IFERROR(_xlfn.TEXTJOIN(" · ",TRUE,"Matrah=",TEXT(G19,"₺ #,##0"),"Asgari=",TEXT(G22,"₺ #,##0"),"Fark=",TEXT(G24,"₺ #,##0")),"")</f>
        <v/>
      </c>
      <c r="D50" s="47" t="inlineStr">
        <is>
          <t>metin</t>
        </is>
      </c>
      <c r="E50" s="6" t="inlineStr">
        <is>
          <t>Rapor özeti</t>
        </is>
      </c>
      <c r="F50" s="23" t="inlineStr">
        <is>
          <t>AKV-005</t>
        </is>
      </c>
      <c r="G50" s="27">
        <f>IFERROR(_xlfn.TEXTJOIN(" · ",TRUE,"Matrah=",TEXT(G19,"₺ #,##0"),"Asgari=",TEXT(G22,"₺ #,##0"),"Fark=",TEXT(G24,"₺ #,##0")),"")</f>
        <v/>
      </c>
    </row>
    <row r="52">
      <c r="I52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0">
    <cfRule type="cellIs" priority="1" operator="lessThan" dxfId="3">
      <formula>0</formula>
    </cfRule>
  </conditionalFormatting>
  <conditionalFormatting sqref="F7:F50">
    <cfRule type="expression" priority="2" dxfId="6">
      <formula>F7="AKV-003"</formula>
    </cfRule>
    <cfRule type="expression" priority="3" dxfId="3">
      <formula>F7="AKV-004"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Asgari Kurumlar Vergisi Simülasyon Motoru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Asgari KV</t>
        </is>
      </c>
      <c r="D5" s="50" t="inlineStr">
        <is>
          <t>Fark</t>
        </is>
      </c>
      <c r="E5" s="50" t="inlineStr">
        <is>
          <t>Karar</t>
        </is>
      </c>
      <c r="G5" s="50" t="inlineStr">
        <is>
          <t>FarkDemo</t>
        </is>
      </c>
    </row>
    <row r="6">
      <c r="A6" s="7" t="inlineStr">
        <is>
          <t>İyimser</t>
        </is>
      </c>
      <c r="B6" s="25">
        <f>IFERROR(akv_senaryoIyi+N(GIRDI!B9)*0,0)</f>
        <v/>
      </c>
      <c r="C6" s="26">
        <f>IFERROR(ROUND(IFERROR(akv_matrah,0)*B6*IFERROR(INDEX(tblKurallar[aktif_deger],MATCH("AKV-003",tblKurallar[kural_id],0)),0),2),0)</f>
        <v/>
      </c>
      <c r="D6" s="26">
        <f>IFERROR(MAX(0,C6-IFERROR(akv_odenenKv,0)),0)</f>
        <v/>
      </c>
      <c r="E6" s="27">
        <f>IF(COUNTA(tblGirdi[Alan Anahtarı])=0,"VERİ YOK",IF(D6=0,"EK VERGİ YOK","FARK HESAPLA"))</f>
        <v/>
      </c>
      <c r="G6" s="29" t="n">
        <v>180000</v>
      </c>
    </row>
    <row r="7">
      <c r="A7" s="7" t="inlineStr">
        <is>
          <t>Baz</t>
        </is>
      </c>
      <c r="B7" s="25">
        <f>IFERROR(1+N(GIRDI!B9)*0,1)</f>
        <v/>
      </c>
      <c r="C7" s="26">
        <f>IFERROR(ROUND(IFERROR(akv_matrah,0)*B7*IFERROR(INDEX(tblKurallar[aktif_deger],MATCH("AKV-003",tblKurallar[kural_id],0)),0),2),0)</f>
        <v/>
      </c>
      <c r="D7" s="26">
        <f>IFERROR(MAX(0,C7-IFERROR(akv_odenenKv,0)),0)</f>
        <v/>
      </c>
      <c r="E7" s="27">
        <f>IF(COUNTA(tblGirdi[Alan Anahtarı])=0,"VERİ YOK",IF(D7=0,"EK VERGİ YOK","FARK HESAPLA"))</f>
        <v/>
      </c>
      <c r="G7" s="29" t="n">
        <v>220000</v>
      </c>
    </row>
    <row r="8">
      <c r="A8" s="7" t="inlineStr">
        <is>
          <t>Kötümser</t>
        </is>
      </c>
      <c r="B8" s="25">
        <f>IFERROR(akv_senaryoKotu+N(GIRDI!B9)*0,0)</f>
        <v/>
      </c>
      <c r="C8" s="26">
        <f>IFERROR(ROUND(IFERROR(akv_matrah,0)*B8*IFERROR(INDEX(tblKurallar[aktif_deger],MATCH("AKV-003",tblKurallar[kural_id],0)),0),2),0)</f>
        <v/>
      </c>
      <c r="D8" s="26">
        <f>IFERROR(MAX(0,C8-IFERROR(akv_odenenKv,0)),0)</f>
        <v/>
      </c>
      <c r="E8" s="27">
        <f>IF(COUNTA(tblGirdi[Alan Anahtarı])=0,"VERİ YOK",IF(D8=0,"EK VERGİ YOK","FARK HESAPLA"))</f>
        <v/>
      </c>
      <c r="G8" s="29" t="n">
        <v>320000</v>
      </c>
    </row>
    <row r="9">
      <c r="A9" s="7" t="inlineStr">
        <is>
          <t>M-SEN +1 puan</t>
        </is>
      </c>
      <c r="B9" s="25">
        <f>IFERROR(1+N(GIRDI!B9)*0,1)</f>
        <v/>
      </c>
      <c r="C9" s="26">
        <f>IFERROR(ROUND(IFERROR(akv_matrah,0)*(IFERROR(INDEX(tblKurallar[aktif_deger],MATCH("AKV-003",tblKurallar[kural_id],0)),0)+IFERROR(akv_oranArtisPuan,0)),2),0)</f>
        <v/>
      </c>
      <c r="D9" s="26">
        <f>IFERROR(MAX(0,C9-IFERROR(akv_odenenKv,0)),0)</f>
        <v/>
      </c>
      <c r="E9" s="27">
        <f>IF(COUNTA(tblGirdi[Alan Anahtarı])=0,"VERİ YOK",IF(D9=0,"EK VERGİ YOK","FARK HESAPLA"))</f>
        <v/>
      </c>
      <c r="G9" s="29" t="n">
        <v>322000</v>
      </c>
    </row>
    <row r="11">
      <c r="A11" s="10" t="inlineStr">
        <is>
          <t>Senaryo bant genişliği (iyimser−kötümser fark)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fark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IFERROR(MOTOR!G46,0)</f>
        <v/>
      </c>
      <c r="C16" s="35">
        <f>IFERROR(IF(B16&gt;=MAX(B16:B18),1,IF(B16&gt;=MIN(B16:B18)+ABS(B16-B17),2,3)),3)</f>
        <v/>
      </c>
      <c r="E16" s="29" t="n">
        <v>102000</v>
      </c>
    </row>
    <row r="17">
      <c r="A17" s="7" t="inlineStr">
        <is>
          <t>Tornado ödenen etkisi</t>
        </is>
      </c>
      <c r="B17" s="26">
        <f>IFERROR(MOTOR!G47,0)</f>
        <v/>
      </c>
      <c r="C17" s="35">
        <f>IFERROR(IF(B17&gt;=MAX(B16:B18),1,IF(B17=MEDIAN(B16:B18),2,3)),3)</f>
        <v/>
      </c>
      <c r="E17" s="29" t="n">
        <v>44000</v>
      </c>
    </row>
    <row r="18">
      <c r="A18" s="7" t="inlineStr">
        <is>
          <t>Tornado oran etkisi</t>
        </is>
      </c>
      <c r="B18" s="26">
        <f>IFERROR(MOTOR!G48,0)</f>
        <v/>
      </c>
      <c r="C18" s="35">
        <f>IFERROR(IF(B18&gt;=MAX(B16:B18),1,IF(B18=MEDIAN(B16:B18),2,3)),3)</f>
        <v/>
      </c>
      <c r="E18" s="29" t="n">
        <v>102000</v>
      </c>
    </row>
    <row r="19">
      <c r="A19" s="10" t="inlineStr">
        <is>
          <t>Duyarlılık sıra özeti</t>
        </is>
      </c>
      <c r="B19" s="27">
        <f>IFERROR(CONCATENATE("1)",INDEX(A16:A18,MATCH(1,C16:C18,0))," 2)",INDEX(A16:A18,MATCH(2,C16:C18,0))),"-")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farkı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",TRUE,"Asgari oran +1 puan senaryosunda fark ",TEXT(D9,"₺ #,##0")," TL")</f>
        <v/>
      </c>
    </row>
    <row r="25">
      <c r="A25" s="10" t="inlineStr">
        <is>
          <t>Tahmin aralığı (fark)</t>
        </is>
      </c>
      <c r="B25" s="26">
        <f>MOTOR!G45</f>
        <v/>
      </c>
      <c r="C25" s="26">
        <f>akv_fark</f>
        <v/>
      </c>
      <c r="D25" s="26">
        <f>MOTOR!G44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180000</v>
      </c>
    </row>
    <row r="29">
      <c r="A29" s="51" t="n">
        <v>2</v>
      </c>
      <c r="B29" s="26">
        <f>D7</f>
        <v/>
      </c>
      <c r="D29" s="29" t="n">
        <v>220000</v>
      </c>
    </row>
    <row r="30">
      <c r="A30" s="51" t="n">
        <v>3</v>
      </c>
      <c r="B30" s="26">
        <f>D8</f>
        <v/>
      </c>
      <c r="D30" s="29" t="n">
        <v>320000</v>
      </c>
    </row>
    <row r="31">
      <c r="A31" s="51" t="n">
        <v>4</v>
      </c>
      <c r="B31" s="26">
        <f>D9</f>
        <v/>
      </c>
      <c r="D31" s="29" t="n">
        <v>322000</v>
      </c>
    </row>
    <row r="32">
      <c r="A32" s="7" t="inlineStr">
        <is>
          <t>Tahmin sonraki</t>
        </is>
      </c>
      <c r="B32" s="26">
        <f>IFERROR(FORECAST.LINEAR(5,B28:B31,A28:A31),0)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ISNUMBER(SEARCH("FARK",E6))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Asgari Kurumlar Vergisi Simülasyon Motoru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eksik ödeme</t>
        </is>
      </c>
      <c r="C6" s="7" t="inlineStr">
        <is>
          <t>matrah=vaka_matrah_1; ödenen=vaka_odenen_1</t>
        </is>
      </c>
      <c r="D6" s="52" t="n">
        <v>220000</v>
      </c>
      <c r="E6" s="26">
        <f>IFERROR(MAX(0,ROUND(vaka_matrah_1*INDEX(tblKurallar[deger_2025],MATCH("AKV-003",tblKurallar[kural_id],0)),2)-vaka_odenen_1),0)</f>
        <v/>
      </c>
      <c r="F6" s="53">
        <f>IF($A6="","",IFERROR($D6-$E6,0))</f>
        <v/>
      </c>
      <c r="G6" s="54">
        <f>IF($A6="","",IFERROR(IF(ABS($F6)&lt;=akv_tolerans,"TUTARLI","KIRIK"),"KIRIK"))</f>
        <v/>
      </c>
      <c r="H6" s="7" t="inlineStr">
        <is>
          <t>Asgari KV Tebliği örnek senaryo</t>
        </is>
      </c>
      <c r="J6" s="29" t="n">
        <v>220000</v>
      </c>
      <c r="K6" s="29" t="n">
        <v>220000</v>
      </c>
    </row>
    <row r="7">
      <c r="A7" s="7" t="inlineStr">
        <is>
          <t>V-002</t>
        </is>
      </c>
      <c r="B7" s="7" t="inlineStr">
        <is>
          <t>Tebliğ örnek 2 — yeterli ödeme</t>
        </is>
      </c>
      <c r="C7" s="7" t="inlineStr">
        <is>
          <t>matrah=vaka_matrah_2; ödenen=vaka_odenen_2</t>
        </is>
      </c>
      <c r="D7" s="52" t="n">
        <v>0</v>
      </c>
      <c r="E7" s="26">
        <f>IFERROR(MAX(0,ROUND(vaka_matrah_2*INDEX(tblKurallar[deger_2025],MATCH("AKV-003",tblKurallar[kural_id],0)),2)-vaka_odenen_2),0)</f>
        <v/>
      </c>
      <c r="F7" s="53">
        <f>IF($A7="","",IFERROR($D7-$E7,0))</f>
        <v/>
      </c>
      <c r="G7" s="54">
        <f>IF($A7="","",IFERROR(IF(ABS($F7)&lt;=akv_tolerans,"TUTARLI","KIRIK"),"KIRIK"))</f>
        <v/>
      </c>
      <c r="H7" s="7" t="inlineStr">
        <is>
          <t>Asgari KV Tebliği örnek senaryo</t>
        </is>
      </c>
      <c r="J7" s="29" t="n">
        <v>0</v>
      </c>
      <c r="K7" s="29" t="n">
        <v>0</v>
      </c>
    </row>
    <row r="8">
      <c r="A8" s="7" t="inlineStr">
        <is>
          <t>V-003</t>
        </is>
      </c>
      <c r="B8" s="7" t="inlineStr">
        <is>
          <t>Tebliğ örnek 3 — düşük matrah</t>
        </is>
      </c>
      <c r="C8" s="7" t="inlineStr">
        <is>
          <t>matrah=vaka_matrah_3; ödenen=vaka_odenen_3</t>
        </is>
      </c>
      <c r="D8" s="52" t="n">
        <v>100000</v>
      </c>
      <c r="E8" s="26">
        <f>IFERROR(MAX(0,ROUND(vaka_matrah_3*INDEX(tblKurallar[deger_2025],MATCH("AKV-003",tblKurallar[kural_id],0)),2)-vaka_odenen_3),0)</f>
        <v/>
      </c>
      <c r="F8" s="53">
        <f>IF($A8="","",IFERROR($D8-$E8,0))</f>
        <v/>
      </c>
      <c r="G8" s="54">
        <f>IF($A8="","",IFERROR(IF(ABS($F8)&lt;=akv_tolerans,"TUTARLI","KIRIK"),"KIRIK"))</f>
        <v/>
      </c>
      <c r="H8" s="7" t="inlineStr">
        <is>
          <t>Asgari KV Tebliği örnek senaryo</t>
        </is>
      </c>
      <c r="J8" s="29" t="n">
        <v>100000</v>
      </c>
      <c r="K8" s="29" t="n">
        <v>100000</v>
      </c>
    </row>
    <row r="9">
      <c r="A9" s="7" t="inlineStr">
        <is>
          <t>V-004</t>
        </is>
      </c>
      <c r="B9" s="7" t="inlineStr">
        <is>
          <t>Genel oran referans</t>
        </is>
      </c>
      <c r="C9" s="7" t="inlineStr">
        <is>
          <t>matrah=vaka_matrah_1; genel KV</t>
        </is>
      </c>
      <c r="D9" s="52" t="n">
        <v>2550000</v>
      </c>
      <c r="E9" s="26">
        <f>IFERROR(ROUND(vaka_matrah_1*INDEX(tblKurallar[deger_2025],MATCH("AKV-001",tblKurallar[kural_id],0)),2),0)</f>
        <v/>
      </c>
      <c r="F9" s="53">
        <f>IF($A9="","",IFERROR($D9-$E9,0))</f>
        <v/>
      </c>
      <c r="G9" s="54">
        <f>IF($A9="","",IFERROR(IF(ABS($F9)&lt;=akv_tolerans,"TUTARLI","KIRIK"),"KIRIK"))</f>
        <v/>
      </c>
      <c r="H9" s="7" t="inlineStr">
        <is>
          <t>KVK md.32 kontrol</t>
        </is>
      </c>
      <c r="J9" s="29" t="n">
        <v>2550000</v>
      </c>
      <c r="K9" s="29" t="n">
        <v>2550000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Asgari Kurumlar Vergisi Simülasyon Motoru</t>
        </is>
      </c>
    </row>
    <row r="3">
      <c r="A3" s="56" t="inlineStr">
        <is>
          <t>KANIT RAPORU — Asgari Kurumlar Vergisi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Kurum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Ticari kâr</t>
        </is>
      </c>
      <c r="B9" s="26">
        <f>GIRDI!B9</f>
        <v/>
      </c>
    </row>
    <row r="10">
      <c r="A10" s="7" t="inlineStr">
        <is>
          <t>KKEG</t>
        </is>
      </c>
      <c r="B10" s="26">
        <f>GIRDI!B10</f>
        <v/>
      </c>
    </row>
    <row r="11">
      <c r="A11" s="7" t="inlineStr">
        <is>
          <t>İstisnalar</t>
        </is>
      </c>
      <c r="B11" s="26">
        <f>GIRDI!B11</f>
        <v/>
      </c>
    </row>
    <row r="12">
      <c r="A12" s="7" t="inlineStr">
        <is>
          <t>İndirimler</t>
        </is>
      </c>
      <c r="B12" s="26">
        <f>GIRDI!B12</f>
        <v/>
      </c>
    </row>
    <row r="13">
      <c r="A13" s="7" t="inlineStr">
        <is>
          <t>Matrah</t>
        </is>
      </c>
      <c r="B13" s="26">
        <f>akv_matrah</f>
        <v/>
      </c>
    </row>
    <row r="14">
      <c r="A14" s="7" t="inlineStr">
        <is>
          <t>Ödenen KV</t>
        </is>
      </c>
      <c r="B14" s="26">
        <f>akv_odenenKv</f>
        <v/>
      </c>
    </row>
    <row r="16">
      <c r="A16" s="5" t="inlineStr">
        <is>
          <t>Hesap zinciri</t>
        </is>
      </c>
    </row>
    <row r="17">
      <c r="A17" s="7" t="inlineStr">
        <is>
          <t>Asgari KV</t>
        </is>
      </c>
      <c r="B17" s="34">
        <f>akv_asgariKv</f>
        <v/>
      </c>
    </row>
    <row r="18">
      <c r="A18" s="7" t="inlineStr">
        <is>
          <t>Fark</t>
        </is>
      </c>
      <c r="B18" s="34">
        <f>akv_fark</f>
        <v/>
      </c>
    </row>
    <row r="19">
      <c r="A19" s="10" t="inlineStr">
        <is>
          <t>KARAR</t>
        </is>
      </c>
      <c r="B19" s="58">
        <f>akv_kararMetni</f>
        <v/>
      </c>
    </row>
    <row r="20">
      <c r="A20" s="7" t="inlineStr">
        <is>
          <t>Gerekçe</t>
        </is>
      </c>
      <c r="B20" s="21">
        <f>akv_kararGerekce</f>
        <v/>
      </c>
    </row>
    <row r="22">
      <c r="A22" s="10" t="inlineStr">
        <is>
          <t>Madde atıfları</t>
        </is>
      </c>
      <c r="B22" s="21">
        <f>akv_maddeAtifMetni</f>
        <v/>
      </c>
    </row>
    <row r="24">
      <c r="A24" s="10" t="inlineStr">
        <is>
          <t>Kanıt gövdesi</t>
        </is>
      </c>
      <c r="B24" s="21">
        <f>akv_kanitRaporu</f>
        <v/>
      </c>
    </row>
    <row r="26">
      <c r="A26" s="7" t="inlineStr">
        <is>
          <t>Parmak izi (SHA-256 kısaltma)</t>
        </is>
      </c>
      <c r="B26" s="28">
        <f>akv_parmakIzi</f>
        <v/>
      </c>
    </row>
    <row r="28">
      <c r="A28" s="7" t="inlineStr">
        <is>
          <t>Hazırlayan (imza)</t>
        </is>
      </c>
      <c r="B28" s="59" t="inlineStr"/>
    </row>
    <row r="29">
      <c r="A29" s="7" t="inlineStr">
        <is>
          <t>Onaylayan (imza)</t>
        </is>
      </c>
      <c r="B29" s="59" t="inlineStr"/>
    </row>
    <row r="31">
      <c r="A31" s="13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1:L1"/>
    <mergeCell ref="A31:F31"/>
    <mergeCell ref="B22:F22"/>
    <mergeCell ref="A3:F3"/>
  </mergeCells>
  <conditionalFormatting sqref="B19">
    <cfRule type="expression" priority="1" dxfId="0">
      <formula>ISNUMBER(SEARCH("UYGUN",B19))</formula>
    </cfRule>
    <cfRule type="expression" priority="2" dxfId="1">
      <formula>ISNUMBER(SEARCH("DİKKAT",B19))</formula>
    </cfRule>
  </conditionalFormatting>
  <conditionalFormatting sqref="B18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&amp;LAsgari Kurumlar Vergisi Simülasyon Motoru · 1.0.0&amp;CExcelArşiv&amp;RSayfa &amp;P / &amp;N</oddFooter>
    <evenHeader/>
    <evenFooter>&amp;LAsgari Kurumlar Vergisi Simülasyon Motoru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Asgari Kurumlar Vergisi Simülasyon Motoru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ticari kâr?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IFERROR(IF(AND(N(hesapYili)&gt;N(akv_yilTaban),N(hesapYili)&lt;=N(akv_yilTaban)+3),"TEMİZ","HATALI"),"HATALI")</f>
        <v/>
      </c>
    </row>
    <row r="8">
      <c r="A8" s="7" t="inlineStr">
        <is>
          <t>Matrah sıfır mı?</t>
        </is>
      </c>
      <c r="B8" s="27">
        <f>IF(IFERROR(akv_matrah,0)=0,"SIFIR","NORMAL")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Fark eşiği aşıyor mu?</t>
        </is>
      </c>
      <c r="B10" s="27">
        <f>IF(IFERROR(akv_fark,0)&gt;akv_farkEsik,"AŞIYOR","NORMAL")</f>
        <v/>
      </c>
    </row>
    <row r="11">
      <c r="A11" s="7" t="inlineStr">
        <is>
          <t>Yorum A/B seçili mi?</t>
        </is>
      </c>
      <c r="B11" s="27">
        <f>IF(OR(GIRDI!B14="A",GIRDI!B14="B"),"TEMİZ","EKSİK")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IFERROR(akv_girisBeklenen+COUNTA(GIRDI!B6:B14)*0,0)</f>
        <v/>
      </c>
    </row>
    <row r="15">
      <c r="A15" s="7" t="inlineStr">
        <is>
          <t>Dolu giriş</t>
        </is>
      </c>
      <c r="B15" s="35">
        <f>COUNTA(GIRDI!B6:B14)</f>
        <v/>
      </c>
    </row>
    <row r="16">
      <c r="A16" s="10" t="inlineStr">
        <is>
          <t>Kalite skoru</t>
        </is>
      </c>
    </row>
    <row r="17">
      <c r="A17" s="7" t="inlineStr">
        <is>
          <t>Asgari KV kontrol</t>
        </is>
      </c>
      <c r="B17" s="26">
        <f>IFERROR(akv_asgariKv,0)</f>
        <v/>
      </c>
    </row>
    <row r="18">
      <c r="A18" s="7" t="inlineStr">
        <is>
          <t>Fark kontrol</t>
        </is>
      </c>
      <c r="B18" s="26">
        <f>IFERROR(akv_fark,0)</f>
        <v/>
      </c>
    </row>
    <row r="19">
      <c r="A19" s="7" t="inlineStr">
        <is>
          <t>Karar kontrol</t>
        </is>
      </c>
      <c r="B19" s="27">
        <f>IFERROR(akv_kararMetni,"-")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Asgari Kurumlar Vergisi Simülasyon Motoru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Ticari Kâr</t>
        </is>
      </c>
      <c r="C5" s="22" t="inlineStr">
        <is>
          <t>KKEG</t>
        </is>
      </c>
      <c r="D5" s="22" t="inlineStr">
        <is>
          <t>İstisna</t>
        </is>
      </c>
      <c r="E5" s="22" t="inlineStr">
        <is>
          <t>İndirim</t>
        </is>
      </c>
      <c r="F5" s="22" t="inlineStr">
        <is>
          <t>Ödenen KV</t>
        </is>
      </c>
      <c r="G5" s="22" t="inlineStr">
        <is>
          <t>Matrah</t>
        </is>
      </c>
      <c r="H5" s="22" t="inlineStr">
        <is>
          <t>Asgari KV</t>
        </is>
      </c>
      <c r="I5" s="22" t="inlineStr">
        <is>
          <t>Fark</t>
        </is>
      </c>
      <c r="L5" s="50" t="inlineStr">
        <is>
          <t>FarkDemo</t>
        </is>
      </c>
    </row>
    <row r="6">
      <c r="A6" s="36" t="inlineStr">
        <is>
          <t>Demo ana</t>
        </is>
      </c>
      <c r="B6" s="39" t="n">
        <v>10000000</v>
      </c>
      <c r="C6" s="39" t="n">
        <v>500000</v>
      </c>
      <c r="D6" s="39" t="n">
        <v>200000</v>
      </c>
      <c r="E6" s="39" t="n">
        <v>100000</v>
      </c>
      <c r="F6" s="39" t="n">
        <v>800000</v>
      </c>
      <c r="G6" s="37">
        <f>IF($A6="","",$B6+$C6-$D6-$E6)</f>
        <v/>
      </c>
      <c r="H6" s="37">
        <f>IF($A6="","",IFERROR(ROUND($G6*INDEX(tblKurallar[deger_2025],MATCH("AKV-003",tblKurallar[kural_id],0)),2),0))</f>
        <v/>
      </c>
      <c r="I6" s="37">
        <f>IF($A6="","",IFERROR(MAX(0,$H6-$F6),0))</f>
        <v/>
      </c>
      <c r="L6" s="29" t="n">
        <v>220000</v>
      </c>
    </row>
    <row r="7">
      <c r="A7" s="36" t="inlineStr">
        <is>
          <t>Yüksek ödeme</t>
        </is>
      </c>
      <c r="B7" s="39" t="n">
        <v>10000000</v>
      </c>
      <c r="C7" s="39" t="n">
        <v>500000</v>
      </c>
      <c r="D7" s="39" t="n">
        <v>200000</v>
      </c>
      <c r="E7" s="39" t="n">
        <v>100000</v>
      </c>
      <c r="F7" s="39" t="n">
        <v>1200000</v>
      </c>
      <c r="G7" s="37">
        <f>IF($A7="","",$B7+$C7-$D7-$E7)</f>
        <v/>
      </c>
      <c r="H7" s="37">
        <f>IF($A7="","",IFERROR(ROUND($G7*INDEX(tblKurallar[deger_2025],MATCH("AKV-003",tblKurallar[kural_id],0)),2),0))</f>
        <v/>
      </c>
      <c r="I7" s="37">
        <f>IF($A7="","",IFERROR(MAX(0,$H7-$F7),0))</f>
        <v/>
      </c>
      <c r="L7" s="29" t="n">
        <v>0</v>
      </c>
    </row>
    <row r="8">
      <c r="A8" s="36" t="inlineStr">
        <is>
          <t>Düşük matrah</t>
        </is>
      </c>
      <c r="B8" s="39" t="n">
        <v>3000000</v>
      </c>
      <c r="C8" s="39" t="n">
        <v>100000</v>
      </c>
      <c r="D8" s="39" t="n">
        <v>50000</v>
      </c>
      <c r="E8" s="39" t="n">
        <v>50000</v>
      </c>
      <c r="F8" s="39" t="n">
        <v>200000</v>
      </c>
      <c r="G8" s="37">
        <f>IF($A8="","",$B8+$C8-$D8-$E8)</f>
        <v/>
      </c>
      <c r="H8" s="37">
        <f>IF($A8="","",IFERROR(ROUND($G8*INDEX(tblKurallar[deger_2025],MATCH("AKV-003",tblKurallar[kural_id],0)),2),0))</f>
        <v/>
      </c>
      <c r="I8" s="37">
        <f>IF($A8="","",IFERROR(MAX(0,$H8-$F8),0))</f>
        <v/>
      </c>
      <c r="L8" s="29" t="n">
        <v>100000</v>
      </c>
    </row>
    <row r="9">
      <c r="A9" s="36" t="inlineStr">
        <is>
          <t>İstisna ağır</t>
        </is>
      </c>
      <c r="B9" s="39" t="n">
        <v>8000000</v>
      </c>
      <c r="C9" s="39" t="n">
        <v>200000</v>
      </c>
      <c r="D9" s="39" t="n">
        <v>1500000</v>
      </c>
      <c r="E9" s="39" t="n">
        <v>100000</v>
      </c>
      <c r="F9" s="39" t="n">
        <v>500000</v>
      </c>
      <c r="G9" s="37">
        <f>IF($A9="","",$B9+$C9-$D9-$E9)</f>
        <v/>
      </c>
      <c r="H9" s="37">
        <f>IF($A9="","",IFERROR(ROUND($G9*INDEX(tblKurallar[deger_2025],MATCH("AKV-003",tblKurallar[kural_id],0)),2),0))</f>
        <v/>
      </c>
      <c r="I9" s="37">
        <f>IF($A9="","",IFERROR(MAX(0,$H9-$F9),0))</f>
        <v/>
      </c>
      <c r="L9" s="29" t="n">
        <v>150000</v>
      </c>
    </row>
    <row r="10">
      <c r="A10" s="36" t="inlineStr">
        <is>
          <t>Sıfır fark</t>
        </is>
      </c>
      <c r="B10" s="39" t="n">
        <v>5000000</v>
      </c>
      <c r="C10" s="39" t="n">
        <v>0</v>
      </c>
      <c r="D10" s="39" t="n">
        <v>0</v>
      </c>
      <c r="E10" s="39" t="n">
        <v>0</v>
      </c>
      <c r="F10" s="39" t="n">
        <v>500000</v>
      </c>
      <c r="G10" s="37">
        <f>IF($A10="","",$B10+$C10-$D10-$E10)</f>
        <v/>
      </c>
      <c r="H10" s="37">
        <f>IF($A10="","",IFERROR(ROUND($G10*INDEX(tblKurallar[deger_2025],MATCH("AKV-003",tblKurallar[kural_id],0)),2),0))</f>
        <v/>
      </c>
      <c r="I10" s="37">
        <f>IF($A10="","",IFERROR(MAX(0,$H10-$F10),0))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7">
        <f>IF($A11="","",$B11+$C11-$D11-$E11)</f>
        <v/>
      </c>
      <c r="H11" s="37">
        <f>IF($A11="","",IFERROR(ROUND($G11*INDEX(tblKurallar[deger_2025],MATCH("AKV-003",tblKurallar[kural_id],0)),2),0))</f>
        <v/>
      </c>
      <c r="I11" s="37">
        <f>IF($A11="","",IFERROR(MAX(0,$H11-$F11),0))</f>
        <v/>
      </c>
    </row>
    <row r="12">
      <c r="A12" s="36" t="n"/>
      <c r="B12" s="36" t="n"/>
      <c r="C12" s="36" t="n"/>
      <c r="D12" s="36" t="n"/>
      <c r="E12" s="36" t="n"/>
      <c r="F12" s="36" t="n"/>
      <c r="G12" s="37">
        <f>IF($A12="","",$B12+$C12-$D12-$E12)</f>
        <v/>
      </c>
      <c r="H12" s="37">
        <f>IF($A12="","",IFERROR(ROUND($G12*INDEX(tblKurallar[deger_2025],MATCH("AKV-003",tblKurallar[kural_id],0)),2),0))</f>
        <v/>
      </c>
      <c r="I12" s="37">
        <f>IF($A12="","",IFERROR(MAX(0,$H12-$F12),0))</f>
        <v/>
      </c>
    </row>
    <row r="13">
      <c r="A13" s="36" t="n"/>
      <c r="B13" s="36" t="n"/>
      <c r="C13" s="36" t="n"/>
      <c r="D13" s="36" t="n"/>
      <c r="E13" s="36" t="n"/>
      <c r="F13" s="36" t="n"/>
      <c r="G13" s="37">
        <f>IF($A13="","",$B13+$C13-$D13-$E13)</f>
        <v/>
      </c>
      <c r="H13" s="37">
        <f>IF($A13="","",IFERROR(ROUND($G13*INDEX(tblKurallar[deger_2025],MATCH("AKV-003",tblKurallar[kural_id],0)),2),0))</f>
        <v/>
      </c>
      <c r="I13" s="37">
        <f>IF($A13="","",IFERROR(MAX(0,$H13-$F13),0))</f>
        <v/>
      </c>
    </row>
    <row r="14">
      <c r="A14" s="36" t="n"/>
      <c r="B14" s="36" t="n"/>
      <c r="C14" s="36" t="n"/>
      <c r="D14" s="36" t="n"/>
      <c r="E14" s="36" t="n"/>
      <c r="F14" s="36" t="n"/>
      <c r="G14" s="37">
        <f>IF($A14="","",$B14+$C14-$D14-$E14)</f>
        <v/>
      </c>
      <c r="H14" s="37">
        <f>IF($A14="","",IFERROR(ROUND($G14*INDEX(tblKurallar[deger_2025],MATCH("AKV-003",tblKurallar[kural_id],0)),2),0))</f>
        <v/>
      </c>
      <c r="I14" s="37">
        <f>IF($A14="","",IFERROR(MAX(0,$H14-$F14),0))</f>
        <v/>
      </c>
    </row>
    <row r="15">
      <c r="A15" s="36" t="n"/>
      <c r="B15" s="36" t="n"/>
      <c r="C15" s="36" t="n"/>
      <c r="D15" s="36" t="n"/>
      <c r="E15" s="36" t="n"/>
      <c r="F15" s="36" t="n"/>
      <c r="G15" s="37">
        <f>IF($A15="","",$B15+$C15-$D15-$E15)</f>
        <v/>
      </c>
      <c r="H15" s="37">
        <f>IF($A15="","",IFERROR(ROUND($G15*INDEX(tblKurallar[deger_2025],MATCH("AKV-003",tblKurallar[kural_id],0)),2),0))</f>
        <v/>
      </c>
      <c r="I15" s="37">
        <f>IF($A15="","",IFERROR(MAX(0,$H15-$F15),0))</f>
        <v/>
      </c>
    </row>
    <row r="16">
      <c r="A16" s="36" t="n"/>
      <c r="B16" s="36" t="n"/>
      <c r="C16" s="36" t="n"/>
      <c r="D16" s="36" t="n"/>
      <c r="E16" s="36" t="n"/>
      <c r="F16" s="36" t="n"/>
      <c r="G16" s="37">
        <f>IF($A16="","",$B16+$C16-$D16-$E16)</f>
        <v/>
      </c>
      <c r="H16" s="37">
        <f>IF($A16="","",IFERROR(ROUND($G16*INDEX(tblKurallar[deger_2025],MATCH("AKV-003",tblKurallar[kural_id],0)),2),0))</f>
        <v/>
      </c>
      <c r="I16" s="37">
        <f>IF($A16="","",IFERROR(MAX(0,$H16-$F16),0))</f>
        <v/>
      </c>
    </row>
    <row r="17">
      <c r="A17" s="36" t="n"/>
      <c r="B17" s="36" t="n"/>
      <c r="C17" s="36" t="n"/>
      <c r="D17" s="36" t="n"/>
      <c r="E17" s="36" t="n"/>
      <c r="F17" s="36" t="n"/>
      <c r="G17" s="37">
        <f>IF($A17="","",$B17+$C17-$D17-$E17)</f>
        <v/>
      </c>
      <c r="H17" s="37">
        <f>IF($A17="","",IFERROR(ROUND($G17*INDEX(tblKurallar[deger_2025],MATCH("AKV-003",tblKurallar[kural_id],0)),2),0))</f>
        <v/>
      </c>
      <c r="I17" s="37">
        <f>IF($A17="","",IFERROR(MAX(0,$H17-$F17),0))</f>
        <v/>
      </c>
    </row>
    <row r="18">
      <c r="A18" s="36" t="n"/>
      <c r="B18" s="36" t="n"/>
      <c r="C18" s="36" t="n"/>
      <c r="D18" s="36" t="n"/>
      <c r="E18" s="36" t="n"/>
      <c r="F18" s="36" t="n"/>
      <c r="G18" s="37">
        <f>IF($A18="","",$B18+$C18-$D18-$E18)</f>
        <v/>
      </c>
      <c r="H18" s="37">
        <f>IF($A18="","",IFERROR(ROUND($G18*INDEX(tblKurallar[deger_2025],MATCH("AKV-003",tblKurallar[kural_id],0)),2),0))</f>
        <v/>
      </c>
      <c r="I18" s="37">
        <f>IF($A18="","",IFERROR(MAX(0,$H18-$F18),0))</f>
        <v/>
      </c>
    </row>
    <row r="19">
      <c r="A19" s="36" t="n"/>
      <c r="B19" s="36" t="n"/>
      <c r="C19" s="36" t="n"/>
      <c r="D19" s="36" t="n"/>
      <c r="E19" s="36" t="n"/>
      <c r="F19" s="36" t="n"/>
      <c r="G19" s="37">
        <f>IF($A19="","",$B19+$C19-$D19-$E19)</f>
        <v/>
      </c>
      <c r="H19" s="37">
        <f>IF($A19="","",IFERROR(ROUND($G19*INDEX(tblKurallar[deger_2025],MATCH("AKV-003",tblKurallar[kural_id],0)),2),0))</f>
        <v/>
      </c>
      <c r="I19" s="37">
        <f>IF($A19="","",IFERROR(MAX(0,$H19-$F19),0))</f>
        <v/>
      </c>
    </row>
    <row r="20">
      <c r="A20" s="36" t="n"/>
      <c r="B20" s="36" t="n"/>
      <c r="C20" s="36" t="n"/>
      <c r="D20" s="36" t="n"/>
      <c r="E20" s="36" t="n"/>
      <c r="F20" s="36" t="n"/>
      <c r="G20" s="37">
        <f>IF($A20="","",$B20+$C20-$D20-$E20)</f>
        <v/>
      </c>
      <c r="H20" s="37">
        <f>IF($A20="","",IFERROR(ROUND($G20*INDEX(tblKurallar[deger_2025],MATCH("AKV-003",tblKurallar[kural_id],0)),2),0))</f>
        <v/>
      </c>
      <c r="I20" s="37">
        <f>IF($A20="","",IFERROR(MAX(0,$H20-$F20),0))</f>
        <v/>
      </c>
    </row>
    <row r="21">
      <c r="A21" s="36" t="n"/>
      <c r="B21" s="36" t="n"/>
      <c r="C21" s="36" t="n"/>
      <c r="D21" s="36" t="n"/>
      <c r="E21" s="36" t="n"/>
      <c r="F21" s="36" t="n"/>
      <c r="G21" s="37">
        <f>IF($A21="","",$B21+$C21-$D21-$E21)</f>
        <v/>
      </c>
      <c r="H21" s="37">
        <f>IF($A21="","",IFERROR(ROUND($G21*INDEX(tblKurallar[deger_2025],MATCH("AKV-003",tblKurallar[kural_id],0)),2),0))</f>
        <v/>
      </c>
      <c r="I21" s="37">
        <f>IF($A21="","",IFERROR(MAX(0,$H21-$F21),0))</f>
        <v/>
      </c>
    </row>
    <row r="22">
      <c r="A22" s="36" t="n"/>
      <c r="B22" s="36" t="n"/>
      <c r="C22" s="36" t="n"/>
      <c r="D22" s="36" t="n"/>
      <c r="E22" s="36" t="n"/>
      <c r="F22" s="36" t="n"/>
      <c r="G22" s="37">
        <f>IF($A22="","",$B22+$C22-$D22-$E22)</f>
        <v/>
      </c>
      <c r="H22" s="37">
        <f>IF($A22="","",IFERROR(ROUND($G22*INDEX(tblKurallar[deger_2025],MATCH("AKV-003",tblKurallar[kural_id],0)),2),0))</f>
        <v/>
      </c>
      <c r="I22" s="37">
        <f>IF($A22="","",IFERROR(MAX(0,$H22-$F22),0))</f>
        <v/>
      </c>
    </row>
    <row r="23">
      <c r="A23" s="36" t="n"/>
      <c r="B23" s="36" t="n"/>
      <c r="C23" s="36" t="n"/>
      <c r="D23" s="36" t="n"/>
      <c r="E23" s="36" t="n"/>
      <c r="F23" s="36" t="n"/>
      <c r="G23" s="37">
        <f>IF($A23="","",$B23+$C23-$D23-$E23)</f>
        <v/>
      </c>
      <c r="H23" s="37">
        <f>IF($A23="","",IFERROR(ROUND($G23*INDEX(tblKurallar[deger_2025],MATCH("AKV-003",tblKurallar[kural_id],0)),2),0))</f>
        <v/>
      </c>
      <c r="I23" s="37">
        <f>IF($A23="","",IFERROR(MAX(0,$H23-$F23),0))</f>
        <v/>
      </c>
    </row>
    <row r="24">
      <c r="A24" s="36" t="n"/>
      <c r="B24" s="36" t="n"/>
      <c r="C24" s="36" t="n"/>
      <c r="D24" s="36" t="n"/>
      <c r="E24" s="36" t="n"/>
      <c r="F24" s="36" t="n"/>
      <c r="G24" s="37">
        <f>IF($A24="","",$B24+$C24-$D24-$E24)</f>
        <v/>
      </c>
      <c r="H24" s="37">
        <f>IF($A24="","",IFERROR(ROUND($G24*INDEX(tblKurallar[deger_2025],MATCH("AKV-003",tblKurallar[kural_id],0)),2),0))</f>
        <v/>
      </c>
      <c r="I24" s="37">
        <f>IF($A24="","",IFERROR(MAX(0,$H24-$F24),0))</f>
        <v/>
      </c>
    </row>
    <row r="25">
      <c r="A25" s="36" t="n"/>
      <c r="B25" s="36" t="n"/>
      <c r="C25" s="36" t="n"/>
      <c r="D25" s="36" t="n"/>
      <c r="E25" s="36" t="n"/>
      <c r="F25" s="36" t="n"/>
      <c r="G25" s="37">
        <f>IF($A25="","",$B25+$C25-$D25-$E25)</f>
        <v/>
      </c>
      <c r="H25" s="37">
        <f>IF($A25="","",IFERROR(ROUND($G25*INDEX(tblKurallar[deger_2025],MATCH("AKV-003",tblKurallar[kural_id],0)),2),0))</f>
        <v/>
      </c>
      <c r="I25" s="37">
        <f>IF($A25="","",IFERROR(MAX(0,$H25-$F25),0))</f>
        <v/>
      </c>
    </row>
    <row r="26">
      <c r="A26" s="36" t="n"/>
      <c r="B26" s="36" t="n"/>
      <c r="C26" s="36" t="n"/>
      <c r="D26" s="36" t="n"/>
      <c r="E26" s="36" t="n"/>
      <c r="F26" s="36" t="n"/>
      <c r="G26" s="37">
        <f>IF($A26="","",$B26+$C26-$D26-$E26)</f>
        <v/>
      </c>
      <c r="H26" s="37">
        <f>IF($A26="","",IFERROR(ROUND($G26*INDEX(tblKurallar[deger_2025],MATCH("AKV-003",tblKurallar[kural_id],0)),2),0))</f>
        <v/>
      </c>
      <c r="I26" s="37">
        <f>IF($A26="","",IFERROR(MAX(0,$H26-$F26),0))</f>
        <v/>
      </c>
    </row>
    <row r="27">
      <c r="A27" s="36" t="n"/>
      <c r="B27" s="36" t="n"/>
      <c r="C27" s="36" t="n"/>
      <c r="D27" s="36" t="n"/>
      <c r="E27" s="36" t="n"/>
      <c r="F27" s="36" t="n"/>
      <c r="G27" s="37">
        <f>IF($A27="","",$B27+$C27-$D27-$E27)</f>
        <v/>
      </c>
      <c r="H27" s="37">
        <f>IF($A27="","",IFERROR(ROUND($G27*INDEX(tblKurallar[deger_2025],MATCH("AKV-003",tblKurallar[kural_id],0)),2),0))</f>
        <v/>
      </c>
      <c r="I27" s="37">
        <f>IF($A27="","",IFERROR(MAX(0,$H27-$F27),0))</f>
        <v/>
      </c>
    </row>
    <row r="28">
      <c r="A28" s="36" t="n"/>
      <c r="B28" s="36" t="n"/>
      <c r="C28" s="36" t="n"/>
      <c r="D28" s="36" t="n"/>
      <c r="E28" s="36" t="n"/>
      <c r="F28" s="36" t="n"/>
      <c r="G28" s="37">
        <f>IF($A28="","",$B28+$C28-$D28-$E28)</f>
        <v/>
      </c>
      <c r="H28" s="37">
        <f>IF($A28="","",IFERROR(ROUND($G28*INDEX(tblKurallar[deger_2025],MATCH("AKV-003",tblKurallar[kural_id],0)),2),0))</f>
        <v/>
      </c>
      <c r="I28" s="37">
        <f>IF($A28="","",IFERROR(MAX(0,$H28-$F28),0))</f>
        <v/>
      </c>
    </row>
    <row r="29">
      <c r="A29" s="36" t="n"/>
      <c r="B29" s="36" t="n"/>
      <c r="C29" s="36" t="n"/>
      <c r="D29" s="36" t="n"/>
      <c r="E29" s="36" t="n"/>
      <c r="F29" s="36" t="n"/>
      <c r="G29" s="37">
        <f>IF($A29="","",$B29+$C29-$D29-$E29)</f>
        <v/>
      </c>
      <c r="H29" s="37">
        <f>IF($A29="","",IFERROR(ROUND($G29*INDEX(tblKurallar[deger_2025],MATCH("AKV-003",tblKurallar[kural_id],0)),2),0))</f>
        <v/>
      </c>
      <c r="I29" s="37">
        <f>IF($A29="","",IFERROR(MAX(0,$H29-$F29),0))</f>
        <v/>
      </c>
    </row>
    <row r="30">
      <c r="A30" s="36" t="n"/>
      <c r="B30" s="36" t="n"/>
      <c r="C30" s="36" t="n"/>
      <c r="D30" s="36" t="n"/>
      <c r="E30" s="36" t="n"/>
      <c r="F30" s="36" t="n"/>
      <c r="G30" s="37">
        <f>IF($A30="","",$B30+$C30-$D30-$E30)</f>
        <v/>
      </c>
      <c r="H30" s="37">
        <f>IF($A30="","",IFERROR(ROUND($G30*INDEX(tblKurallar[deger_2025],MATCH("AKV-003",tblKurallar[kural_id],0)),2),0))</f>
        <v/>
      </c>
      <c r="I30" s="37">
        <f>IF($A30="","",IFERROR(MAX(0,$H30-$F30),0))</f>
        <v/>
      </c>
    </row>
    <row r="31">
      <c r="A31" s="36" t="n"/>
      <c r="B31" s="36" t="n"/>
      <c r="C31" s="36" t="n"/>
      <c r="D31" s="36" t="n"/>
      <c r="E31" s="36" t="n"/>
      <c r="F31" s="36" t="n"/>
      <c r="G31" s="37">
        <f>IF($A31="","",$B31+$C31-$D31-$E31)</f>
        <v/>
      </c>
      <c r="H31" s="37">
        <f>IF($A31="","",IFERROR(ROUND($G31*INDEX(tblKurallar[deger_2025],MATCH("AKV-003",tblKurallar[kural_id],0)),2),0))</f>
        <v/>
      </c>
      <c r="I31" s="37">
        <f>IF($A31="","",IFERROR(MAX(0,$H31-$F31),0))</f>
        <v/>
      </c>
    </row>
    <row r="32">
      <c r="A32" s="36" t="n"/>
      <c r="B32" s="36" t="n"/>
      <c r="C32" s="36" t="n"/>
      <c r="D32" s="36" t="n"/>
      <c r="E32" s="36" t="n"/>
      <c r="F32" s="36" t="n"/>
      <c r="G32" s="37">
        <f>IF($A32="","",$B32+$C32-$D32-$E32)</f>
        <v/>
      </c>
      <c r="H32" s="37">
        <f>IF($A32="","",IFERROR(ROUND($G32*INDEX(tblKurallar[deger_2025],MATCH("AKV-003",tblKurallar[kural_id],0)),2),0))</f>
        <v/>
      </c>
      <c r="I32" s="37">
        <f>IF($A32="","",IFERROR(MAX(0,$H32-$F32),0))</f>
        <v/>
      </c>
    </row>
    <row r="33">
      <c r="A33" s="36" t="n"/>
      <c r="B33" s="36" t="n"/>
      <c r="C33" s="36" t="n"/>
      <c r="D33" s="36" t="n"/>
      <c r="E33" s="36" t="n"/>
      <c r="F33" s="36" t="n"/>
      <c r="G33" s="37">
        <f>IF($A33="","",$B33+$C33-$D33-$E33)</f>
        <v/>
      </c>
      <c r="H33" s="37">
        <f>IF($A33="","",IFERROR(ROUND($G33*INDEX(tblKurallar[deger_2025],MATCH("AKV-003",tblKurallar[kural_id],0)),2),0))</f>
        <v/>
      </c>
      <c r="I33" s="37">
        <f>IF($A33="","",IFERROR(MAX(0,$H33-$F33),0))</f>
        <v/>
      </c>
    </row>
    <row r="34">
      <c r="A34" s="36" t="n"/>
      <c r="B34" s="36" t="n"/>
      <c r="C34" s="36" t="n"/>
      <c r="D34" s="36" t="n"/>
      <c r="E34" s="36" t="n"/>
      <c r="F34" s="36" t="n"/>
      <c r="G34" s="37">
        <f>IF($A34="","",$B34+$C34-$D34-$E34)</f>
        <v/>
      </c>
      <c r="H34" s="37">
        <f>IF($A34="","",IFERROR(ROUND($G34*INDEX(tblKurallar[deger_2025],MATCH("AKV-003",tblKurallar[kural_id],0)),2),0))</f>
        <v/>
      </c>
      <c r="I34" s="37">
        <f>IF($A34="","",IFERROR(MAX(0,$H34-$F34),0))</f>
        <v/>
      </c>
    </row>
    <row r="35">
      <c r="A35" s="36" t="n"/>
      <c r="B35" s="36" t="n"/>
      <c r="C35" s="36" t="n"/>
      <c r="D35" s="36" t="n"/>
      <c r="E35" s="36" t="n"/>
      <c r="F35" s="36" t="n"/>
      <c r="G35" s="37">
        <f>IF($A35="","",$B35+$C35-$D35-$E35)</f>
        <v/>
      </c>
      <c r="H35" s="37">
        <f>IF($A35="","",IFERROR(ROUND($G35*INDEX(tblKurallar[deger_2025],MATCH("AKV-003",tblKurallar[kural_id],0)),2),0))</f>
        <v/>
      </c>
      <c r="I35" s="37">
        <f>IF($A35="","",IFERROR(MAX(0,$H35-$F35),0))</f>
        <v/>
      </c>
    </row>
    <row r="36">
      <c r="A36" s="36" t="n"/>
      <c r="B36" s="36" t="n"/>
      <c r="C36" s="36" t="n"/>
      <c r="D36" s="36" t="n"/>
      <c r="E36" s="36" t="n"/>
      <c r="F36" s="36" t="n"/>
      <c r="G36" s="37">
        <f>IF($A36="","",$B36+$C36-$D36-$E36)</f>
        <v/>
      </c>
      <c r="H36" s="37">
        <f>IF($A36="","",IFERROR(ROUND($G36*INDEX(tblKurallar[deger_2025],MATCH("AKV-003",tblKurallar[kural_id],0)),2),0))</f>
        <v/>
      </c>
      <c r="I36" s="37">
        <f>IF($A36="","",IFERROR(MAX(0,$H36-$F36),0))</f>
        <v/>
      </c>
    </row>
    <row r="37">
      <c r="A37" s="36" t="n"/>
      <c r="B37" s="36" t="n"/>
      <c r="C37" s="36" t="n"/>
      <c r="D37" s="36" t="n"/>
      <c r="E37" s="36" t="n"/>
      <c r="F37" s="36" t="n"/>
      <c r="G37" s="37">
        <f>IF($A37="","",$B37+$C37-$D37-$E37)</f>
        <v/>
      </c>
      <c r="H37" s="37">
        <f>IF($A37="","",IFERROR(ROUND($G37*INDEX(tblKurallar[deger_2025],MATCH("AKV-003",tblKurallar[kural_id],0)),2),0))</f>
        <v/>
      </c>
      <c r="I37" s="37">
        <f>IF($A37="","",IFERROR(MAX(0,$H37-$F37),0))</f>
        <v/>
      </c>
    </row>
    <row r="38">
      <c r="A38" s="36" t="n"/>
      <c r="B38" s="36" t="n"/>
      <c r="C38" s="36" t="n"/>
      <c r="D38" s="36" t="n"/>
      <c r="E38" s="36" t="n"/>
      <c r="F38" s="36" t="n"/>
      <c r="G38" s="37">
        <f>IF($A38="","",$B38+$C38-$D38-$E38)</f>
        <v/>
      </c>
      <c r="H38" s="37">
        <f>IF($A38="","",IFERROR(ROUND($G38*INDEX(tblKurallar[deger_2025],MATCH("AKV-003",tblKurallar[kural_id],0)),2),0))</f>
        <v/>
      </c>
      <c r="I38" s="37">
        <f>IF($A38="","",IFERROR(MAX(0,$H38-$F38),0))</f>
        <v/>
      </c>
    </row>
    <row r="39">
      <c r="A39" s="36" t="n"/>
      <c r="B39" s="36" t="n"/>
      <c r="C39" s="36" t="n"/>
      <c r="D39" s="36" t="n"/>
      <c r="E39" s="36" t="n"/>
      <c r="F39" s="36" t="n"/>
      <c r="G39" s="37">
        <f>IF($A39="","",$B39+$C39-$D39-$E39)</f>
        <v/>
      </c>
      <c r="H39" s="37">
        <f>IF($A39="","",IFERROR(ROUND($G39*INDEX(tblKurallar[deger_2025],MATCH("AKV-003",tblKurallar[kural_id],0)),2),0))</f>
        <v/>
      </c>
      <c r="I39" s="37">
        <f>IF($A39="","",IFERROR(MAX(0,$H39-$F39),0))</f>
        <v/>
      </c>
    </row>
    <row r="40">
      <c r="A40" s="36" t="n"/>
      <c r="B40" s="36" t="n"/>
      <c r="C40" s="36" t="n"/>
      <c r="D40" s="36" t="n"/>
      <c r="E40" s="36" t="n"/>
      <c r="F40" s="36" t="n"/>
      <c r="G40" s="37">
        <f>IF($A40="","",$B40+$C40-$D40-$E40)</f>
        <v/>
      </c>
      <c r="H40" s="37">
        <f>IF($A40="","",IFERROR(ROUND($G40*INDEX(tblKurallar[deger_2025],MATCH("AKV-003",tblKurallar[kural_id],0)),2),0))</f>
        <v/>
      </c>
      <c r="I40" s="37">
        <f>IF($A40="","",IFERROR(MAX(0,$H40-$F40),0))</f>
        <v/>
      </c>
    </row>
    <row r="41">
      <c r="A41" s="36" t="n"/>
      <c r="B41" s="36" t="n"/>
      <c r="C41" s="36" t="n"/>
      <c r="D41" s="36" t="n"/>
      <c r="E41" s="36" t="n"/>
      <c r="F41" s="36" t="n"/>
      <c r="G41" s="37">
        <f>IF($A41="","",$B41+$C41-$D41-$E41)</f>
        <v/>
      </c>
      <c r="H41" s="37">
        <f>IF($A41="","",IFERROR(ROUND($G41*INDEX(tblKurallar[deger_2025],MATCH("AKV-003",tblKurallar[kural_id],0)),2),0))</f>
        <v/>
      </c>
      <c r="I41" s="37">
        <f>IF($A41="","",IFERROR(MAX(0,$H41-$F41),0))</f>
        <v/>
      </c>
    </row>
    <row r="42">
      <c r="A42" s="36" t="n"/>
      <c r="B42" s="36" t="n"/>
      <c r="C42" s="36" t="n"/>
      <c r="D42" s="36" t="n"/>
      <c r="E42" s="36" t="n"/>
      <c r="F42" s="36" t="n"/>
      <c r="G42" s="37">
        <f>IF($A42="","",$B42+$C42-$D42-$E42)</f>
        <v/>
      </c>
      <c r="H42" s="37">
        <f>IF($A42="","",IFERROR(ROUND($G42*INDEX(tblKurallar[deger_2025],MATCH("AKV-003",tblKurallar[kural_id],0)),2),0))</f>
        <v/>
      </c>
      <c r="I42" s="37">
        <f>IF($A42="","",IFERROR(MAX(0,$H42-$F42),0))</f>
        <v/>
      </c>
    </row>
    <row r="43">
      <c r="A43" s="36" t="n"/>
      <c r="B43" s="36" t="n"/>
      <c r="C43" s="36" t="n"/>
      <c r="D43" s="36" t="n"/>
      <c r="E43" s="36" t="n"/>
      <c r="F43" s="36" t="n"/>
      <c r="G43" s="37">
        <f>IF($A43="","",$B43+$C43-$D43-$E43)</f>
        <v/>
      </c>
      <c r="H43" s="37">
        <f>IF($A43="","",IFERROR(ROUND($G43*INDEX(tblKurallar[deger_2025],MATCH("AKV-003",tblKurallar[kural_id],0)),2),0))</f>
        <v/>
      </c>
      <c r="I43" s="37">
        <f>IF($A43="","",IFERROR(MAX(0,$H43-$F43),0))</f>
        <v/>
      </c>
    </row>
    <row r="44">
      <c r="A44" s="36" t="n"/>
      <c r="B44" s="36" t="n"/>
      <c r="C44" s="36" t="n"/>
      <c r="D44" s="36" t="n"/>
      <c r="E44" s="36" t="n"/>
      <c r="F44" s="36" t="n"/>
      <c r="G44" s="37">
        <f>IF($A44="","",$B44+$C44-$D44-$E44)</f>
        <v/>
      </c>
      <c r="H44" s="37">
        <f>IF($A44="","",IFERROR(ROUND($G44*INDEX(tblKurallar[deger_2025],MATCH("AKV-003",tblKurallar[kural_id],0)),2),0))</f>
        <v/>
      </c>
      <c r="I44" s="37">
        <f>IF($A44="","",IFERROR(MAX(0,$H44-$F44),0))</f>
        <v/>
      </c>
    </row>
    <row r="45">
      <c r="A45" s="36" t="n"/>
      <c r="B45" s="36" t="n"/>
      <c r="C45" s="36" t="n"/>
      <c r="D45" s="36" t="n"/>
      <c r="E45" s="36" t="n"/>
      <c r="F45" s="36" t="n"/>
      <c r="G45" s="37">
        <f>IF($A45="","",$B45+$C45-$D45-$E45)</f>
        <v/>
      </c>
      <c r="H45" s="37">
        <f>IF($A45="","",IFERROR(ROUND($G45*INDEX(tblKurallar[deger_2025],MATCH("AKV-003",tblKurallar[kural_id],0)),2),0))</f>
        <v/>
      </c>
      <c r="I45" s="37">
        <f>IF($A45="","",IFERROR(MAX(0,$H45-$F45),0))</f>
        <v/>
      </c>
    </row>
    <row r="46">
      <c r="A46" s="36" t="n"/>
      <c r="B46" s="36" t="n"/>
      <c r="C46" s="36" t="n"/>
      <c r="D46" s="36" t="n"/>
      <c r="E46" s="36" t="n"/>
      <c r="F46" s="36" t="n"/>
      <c r="G46" s="37">
        <f>IF($A46="","",$B46+$C46-$D46-$E46)</f>
        <v/>
      </c>
      <c r="H46" s="37">
        <f>IF($A46="","",IFERROR(ROUND($G46*INDEX(tblKurallar[deger_2025],MATCH("AKV-003",tblKurallar[kural_id],0)),2),0))</f>
        <v/>
      </c>
      <c r="I46" s="37">
        <f>IF($A46="","",IFERROR(MAX(0,$H46-$F46),0))</f>
        <v/>
      </c>
    </row>
    <row r="47">
      <c r="A47" s="36" t="n"/>
      <c r="B47" s="36" t="n"/>
      <c r="C47" s="36" t="n"/>
      <c r="D47" s="36" t="n"/>
      <c r="E47" s="36" t="n"/>
      <c r="F47" s="36" t="n"/>
      <c r="G47" s="37">
        <f>IF($A47="","",$B47+$C47-$D47-$E47)</f>
        <v/>
      </c>
      <c r="H47" s="37">
        <f>IF($A47="","",IFERROR(ROUND($G47*INDEX(tblKurallar[deger_2025],MATCH("AKV-003",tblKurallar[kural_id],0)),2),0))</f>
        <v/>
      </c>
      <c r="I47" s="37">
        <f>IF($A47="","",IFERROR(MAX(0,$H47-$F47),0))</f>
        <v/>
      </c>
    </row>
    <row r="48">
      <c r="A48" s="36" t="n"/>
      <c r="B48" s="36" t="n"/>
      <c r="C48" s="36" t="n"/>
      <c r="D48" s="36" t="n"/>
      <c r="E48" s="36" t="n"/>
      <c r="F48" s="36" t="n"/>
      <c r="G48" s="37">
        <f>IF($A48="","",$B48+$C48-$D48-$E48)</f>
        <v/>
      </c>
      <c r="H48" s="37">
        <f>IF($A48="","",IFERROR(ROUND($G48*INDEX(tblKurallar[deger_2025],MATCH("AKV-003",tblKurallar[kural_id],0)),2),0))</f>
        <v/>
      </c>
      <c r="I48" s="37">
        <f>IF($A48="","",IFERROR(MAX(0,$H48-$F48),0))</f>
        <v/>
      </c>
    </row>
    <row r="49">
      <c r="A49" s="36" t="n"/>
      <c r="B49" s="36" t="n"/>
      <c r="C49" s="36" t="n"/>
      <c r="D49" s="36" t="n"/>
      <c r="E49" s="36" t="n"/>
      <c r="F49" s="36" t="n"/>
      <c r="G49" s="37">
        <f>IF($A49="","",$B49+$C49-$D49-$E49)</f>
        <v/>
      </c>
      <c r="H49" s="37">
        <f>IF($A49="","",IFERROR(ROUND($G49*INDEX(tblKurallar[deger_2025],MATCH("AKV-003",tblKurallar[kural_id],0)),2),0))</f>
        <v/>
      </c>
      <c r="I49" s="37">
        <f>IF($A49="","",IFERROR(MAX(0,$H49-$F49),0))</f>
        <v/>
      </c>
    </row>
    <row r="50">
      <c r="A50" s="36" t="n"/>
      <c r="B50" s="36" t="n"/>
      <c r="C50" s="36" t="n"/>
      <c r="D50" s="36" t="n"/>
      <c r="E50" s="36" t="n"/>
      <c r="F50" s="36" t="n"/>
      <c r="G50" s="37">
        <f>IF($A50="","",$B50+$C50-$D50-$E50)</f>
        <v/>
      </c>
      <c r="H50" s="37">
        <f>IF($A50="","",IFERROR(ROUND($G50*INDEX(tblKurallar[deger_2025],MATCH("AKV-003",tblKurallar[kural_id],0)),2),0))</f>
        <v/>
      </c>
      <c r="I50" s="37">
        <f>IF($A50="","",IFERROR(MAX(0,$H50-$F50),0))</f>
        <v/>
      </c>
    </row>
    <row r="51">
      <c r="A51" s="36" t="n"/>
      <c r="B51" s="36" t="n"/>
      <c r="C51" s="36" t="n"/>
      <c r="D51" s="36" t="n"/>
      <c r="E51" s="36" t="n"/>
      <c r="F51" s="36" t="n"/>
      <c r="G51" s="37">
        <f>IF($A51="","",$B51+$C51-$D51-$E51)</f>
        <v/>
      </c>
      <c r="H51" s="37">
        <f>IF($A51="","",IFERROR(ROUND($G51*INDEX(tblKurallar[deger_2025],MATCH("AKV-003",tblKurallar[kural_id],0)),2),0))</f>
        <v/>
      </c>
      <c r="I51" s="37">
        <f>IF($A51="","",IFERROR(MAX(0,$H51-$F51),0))</f>
        <v/>
      </c>
    </row>
    <row r="52">
      <c r="A52" s="36" t="n"/>
      <c r="B52" s="36" t="n"/>
      <c r="C52" s="36" t="n"/>
      <c r="D52" s="36" t="n"/>
      <c r="E52" s="36" t="n"/>
      <c r="F52" s="36" t="n"/>
      <c r="G52" s="37">
        <f>IF($A52="","",$B52+$C52-$D52-$E52)</f>
        <v/>
      </c>
      <c r="H52" s="37">
        <f>IF($A52="","",IFERROR(ROUND($G52*INDEX(tblKurallar[deger_2025],MATCH("AKV-003",tblKurallar[kural_id],0)),2),0))</f>
        <v/>
      </c>
      <c r="I52" s="37">
        <f>IF($A52="","",IFERROR(MAX(0,$H52-$F52),0))</f>
        <v/>
      </c>
    </row>
    <row r="53">
      <c r="A53" s="36" t="n"/>
      <c r="B53" s="36" t="n"/>
      <c r="C53" s="36" t="n"/>
      <c r="D53" s="36" t="n"/>
      <c r="E53" s="36" t="n"/>
      <c r="F53" s="36" t="n"/>
      <c r="G53" s="37">
        <f>IF($A53="","",$B53+$C53-$D53-$E53)</f>
        <v/>
      </c>
      <c r="H53" s="37">
        <f>IF($A53="","",IFERROR(ROUND($G53*INDEX(tblKurallar[deger_2025],MATCH("AKV-003",tblKurallar[kural_id],0)),2),0))</f>
        <v/>
      </c>
      <c r="I53" s="37">
        <f>IF($A53="","",IFERROR(MAX(0,$H53-$F53),0))</f>
        <v/>
      </c>
    </row>
    <row r="54">
      <c r="A54" s="36" t="n"/>
      <c r="B54" s="36" t="n"/>
      <c r="C54" s="36" t="n"/>
      <c r="D54" s="36" t="n"/>
      <c r="E54" s="36" t="n"/>
      <c r="F54" s="36" t="n"/>
      <c r="G54" s="37">
        <f>IF($A54="","",$B54+$C54-$D54-$E54)</f>
        <v/>
      </c>
      <c r="H54" s="37">
        <f>IF($A54="","",IFERROR(ROUND($G54*INDEX(tblKurallar[deger_2025],MATCH("AKV-003",tblKurallar[kural_id],0)),2),0))</f>
        <v/>
      </c>
      <c r="I54" s="37">
        <f>IF($A54="","",IFERROR(MAX(0,$H54-$F54),0))</f>
        <v/>
      </c>
    </row>
    <row r="55">
      <c r="A55" s="36" t="n"/>
      <c r="B55" s="36" t="n"/>
      <c r="C55" s="36" t="n"/>
      <c r="D55" s="36" t="n"/>
      <c r="E55" s="36" t="n"/>
      <c r="F55" s="36" t="n"/>
      <c r="G55" s="37">
        <f>IF($A55="","",$B55+$C55-$D55-$E55)</f>
        <v/>
      </c>
      <c r="H55" s="37">
        <f>IF($A55="","",IFERROR(ROUND($G55*INDEX(tblKurallar[deger_2025],MATCH("AKV-003",tblKurallar[kural_id],0)),2),0))</f>
        <v/>
      </c>
      <c r="I55" s="37">
        <f>IF($A55="","",IFERROR(MAX(0,$H55-$F55),0))</f>
        <v/>
      </c>
    </row>
    <row r="56">
      <c r="A56" s="36" t="n"/>
      <c r="B56" s="36" t="n"/>
      <c r="C56" s="36" t="n"/>
      <c r="D56" s="36" t="n"/>
      <c r="E56" s="36" t="n"/>
      <c r="F56" s="36" t="n"/>
      <c r="G56" s="37">
        <f>IF($A56="","",$B56+$C56-$D56-$E56)</f>
        <v/>
      </c>
      <c r="H56" s="37">
        <f>IF($A56="","",IFERROR(ROUND($G56*INDEX(tblKurallar[deger_2025],MATCH("AKV-003",tblKurallar[kural_id],0)),2),0))</f>
        <v/>
      </c>
      <c r="I56" s="37">
        <f>IF($A56="","",IFERROR(MAX(0,$H56-$F56),0))</f>
        <v/>
      </c>
    </row>
    <row r="57">
      <c r="A57" s="36" t="n"/>
      <c r="B57" s="36" t="n"/>
      <c r="C57" s="36" t="n"/>
      <c r="D57" s="36" t="n"/>
      <c r="E57" s="36" t="n"/>
      <c r="F57" s="36" t="n"/>
      <c r="G57" s="37">
        <f>IF($A57="","",$B57+$C57-$D57-$E57)</f>
        <v/>
      </c>
      <c r="H57" s="37">
        <f>IF($A57="","",IFERROR(ROUND($G57*INDEX(tblKurallar[deger_2025],MATCH("AKV-003",tblKurallar[kural_id],0)),2),0))</f>
        <v/>
      </c>
      <c r="I57" s="37">
        <f>IF($A57="","",IFERROR(MAX(0,$H57-$F57),0))</f>
        <v/>
      </c>
    </row>
    <row r="58">
      <c r="A58" s="36" t="n"/>
      <c r="B58" s="36" t="n"/>
      <c r="C58" s="36" t="n"/>
      <c r="D58" s="36" t="n"/>
      <c r="E58" s="36" t="n"/>
      <c r="F58" s="36" t="n"/>
      <c r="G58" s="37">
        <f>IF($A58="","",$B58+$C58-$D58-$E58)</f>
        <v/>
      </c>
      <c r="H58" s="37">
        <f>IF($A58="","",IFERROR(ROUND($G58*INDEX(tblKurallar[deger_2025],MATCH("AKV-003",tblKurallar[kural_id],0)),2),0))</f>
        <v/>
      </c>
      <c r="I58" s="37">
        <f>IF($A58="","",IFERROR(MAX(0,$H58-$F58),0))</f>
        <v/>
      </c>
    </row>
    <row r="59">
      <c r="A59" s="36" t="n"/>
      <c r="B59" s="36" t="n"/>
      <c r="C59" s="36" t="n"/>
      <c r="D59" s="36" t="n"/>
      <c r="E59" s="36" t="n"/>
      <c r="F59" s="36" t="n"/>
      <c r="G59" s="37">
        <f>IF($A59="","",$B59+$C59-$D59-$E59)</f>
        <v/>
      </c>
      <c r="H59" s="37">
        <f>IF($A59="","",IFERROR(ROUND($G59*INDEX(tblKurallar[deger_2025],MATCH("AKV-003",tblKurallar[kural_id],0)),2),0))</f>
        <v/>
      </c>
      <c r="I59" s="37">
        <f>IF($A59="","",IFERROR(MAX(0,$H59-$F59),0))</f>
        <v/>
      </c>
    </row>
    <row r="60">
      <c r="A60" s="36" t="n"/>
      <c r="B60" s="36" t="n"/>
      <c r="C60" s="36" t="n"/>
      <c r="D60" s="36" t="n"/>
      <c r="E60" s="36" t="n"/>
      <c r="F60" s="36" t="n"/>
      <c r="G60" s="37">
        <f>IF($A60="","",$B60+$C60-$D60-$E60)</f>
        <v/>
      </c>
      <c r="H60" s="37">
        <f>IF($A60="","",IFERROR(ROUND($G60*INDEX(tblKurallar[deger_2025],MATCH("AKV-003",tblKurallar[kural_id],0)),2),0))</f>
        <v/>
      </c>
      <c r="I60" s="37">
        <f>IF($A60="","",IFERROR(MAX(0,$H60-$F60),0))</f>
        <v/>
      </c>
    </row>
    <row r="61">
      <c r="A61" s="36" t="n"/>
      <c r="B61" s="36" t="n"/>
      <c r="C61" s="36" t="n"/>
      <c r="D61" s="36" t="n"/>
      <c r="E61" s="36" t="n"/>
      <c r="F61" s="36" t="n"/>
      <c r="G61" s="37">
        <f>IF($A61="","",$B61+$C61-$D61-$E61)</f>
        <v/>
      </c>
      <c r="H61" s="37">
        <f>IF($A61="","",IFERROR(ROUND($G61*INDEX(tblKurallar[deger_2025],MATCH("AKV-003",tblKurallar[kural_id],0)),2),0))</f>
        <v/>
      </c>
      <c r="I61" s="37">
        <f>IF($A61="","",IFERROR(MAX(0,$H61-$F61),0))</f>
        <v/>
      </c>
    </row>
    <row r="62">
      <c r="A62" s="36" t="n"/>
      <c r="B62" s="36" t="n"/>
      <c r="C62" s="36" t="n"/>
      <c r="D62" s="36" t="n"/>
      <c r="E62" s="36" t="n"/>
      <c r="F62" s="36" t="n"/>
      <c r="G62" s="37">
        <f>IF($A62="","",$B62+$C62-$D62-$E62)</f>
        <v/>
      </c>
      <c r="H62" s="37">
        <f>IF($A62="","",IFERROR(ROUND($G62*INDEX(tblKurallar[deger_2025],MATCH("AKV-003",tblKurallar[kural_id],0)),2),0))</f>
        <v/>
      </c>
      <c r="I62" s="37">
        <f>IF($A62="","",IFERROR(MAX(0,$H62-$F62),0))</f>
        <v/>
      </c>
    </row>
    <row r="63">
      <c r="A63" s="36" t="n"/>
      <c r="B63" s="36" t="n"/>
      <c r="C63" s="36" t="n"/>
      <c r="D63" s="36" t="n"/>
      <c r="E63" s="36" t="n"/>
      <c r="F63" s="36" t="n"/>
      <c r="G63" s="37">
        <f>IF($A63="","",$B63+$C63-$D63-$E63)</f>
        <v/>
      </c>
      <c r="H63" s="37">
        <f>IF($A63="","",IFERROR(ROUND($G63*INDEX(tblKurallar[deger_2025],MATCH("AKV-003",tblKurallar[kural_id],0)),2),0))</f>
        <v/>
      </c>
      <c r="I63" s="37">
        <f>IF($A63="","",IFERROR(MAX(0,$H63-$F63),0))</f>
        <v/>
      </c>
    </row>
    <row r="64">
      <c r="A64" s="36" t="n"/>
      <c r="B64" s="36" t="n"/>
      <c r="C64" s="36" t="n"/>
      <c r="D64" s="36" t="n"/>
      <c r="E64" s="36" t="n"/>
      <c r="F64" s="36" t="n"/>
      <c r="G64" s="37">
        <f>IF($A64="","",$B64+$C64-$D64-$E64)</f>
        <v/>
      </c>
      <c r="H64" s="37">
        <f>IF($A64="","",IFERROR(ROUND($G64*INDEX(tblKurallar[deger_2025],MATCH("AKV-003",tblKurallar[kural_id],0)),2),0))</f>
        <v/>
      </c>
      <c r="I64" s="37">
        <f>IF($A64="","",IFERROR(MAX(0,$H64-$F64),0))</f>
        <v/>
      </c>
    </row>
    <row r="65">
      <c r="A65" s="36" t="n"/>
      <c r="B65" s="36" t="n"/>
      <c r="C65" s="36" t="n"/>
      <c r="D65" s="36" t="n"/>
      <c r="E65" s="36" t="n"/>
      <c r="F65" s="36" t="n"/>
      <c r="G65" s="37">
        <f>IF($A65="","",$B65+$C65-$D65-$E65)</f>
        <v/>
      </c>
      <c r="H65" s="37">
        <f>IF($A65="","",IFERROR(ROUND($G65*INDEX(tblKurallar[deger_2025],MATCH("AKV-003",tblKurallar[kural_id],0)),2),0))</f>
        <v/>
      </c>
      <c r="I65" s="37">
        <f>IF($A65="","",IFERROR(MAX(0,$H65-$F65),0))</f>
        <v/>
      </c>
    </row>
    <row r="66">
      <c r="A66" s="36" t="n"/>
      <c r="B66" s="36" t="n"/>
      <c r="C66" s="36" t="n"/>
      <c r="D66" s="36" t="n"/>
      <c r="E66" s="36" t="n"/>
      <c r="F66" s="36" t="n"/>
      <c r="G66" s="37">
        <f>IF($A66="","",$B66+$C66-$D66-$E66)</f>
        <v/>
      </c>
      <c r="H66" s="37">
        <f>IF($A66="","",IFERROR(ROUND($G66*INDEX(tblKurallar[deger_2025],MATCH("AKV-003",tblKurallar[kural_id],0)),2),0))</f>
        <v/>
      </c>
      <c r="I66" s="37">
        <f>IF($A66="","",IFERROR(MAX(0,$H66-$F66),0))</f>
        <v/>
      </c>
    </row>
    <row r="67">
      <c r="A67" s="36" t="n"/>
      <c r="B67" s="36" t="n"/>
      <c r="C67" s="36" t="n"/>
      <c r="D67" s="36" t="n"/>
      <c r="E67" s="36" t="n"/>
      <c r="F67" s="36" t="n"/>
      <c r="G67" s="37">
        <f>IF($A67="","",$B67+$C67-$D67-$E67)</f>
        <v/>
      </c>
      <c r="H67" s="37">
        <f>IF($A67="","",IFERROR(ROUND($G67*INDEX(tblKurallar[deger_2025],MATCH("AKV-003",tblKurallar[kural_id],0)),2),0))</f>
        <v/>
      </c>
      <c r="I67" s="37">
        <f>IF($A67="","",IFERROR(MAX(0,$H67-$F67),0))</f>
        <v/>
      </c>
    </row>
    <row r="68">
      <c r="A68" s="36" t="n"/>
      <c r="B68" s="36" t="n"/>
      <c r="C68" s="36" t="n"/>
      <c r="D68" s="36" t="n"/>
      <c r="E68" s="36" t="n"/>
      <c r="F68" s="36" t="n"/>
      <c r="G68" s="37">
        <f>IF($A68="","",$B68+$C68-$D68-$E68)</f>
        <v/>
      </c>
      <c r="H68" s="37">
        <f>IF($A68="","",IFERROR(ROUND($G68*INDEX(tblKurallar[deger_2025],MATCH("AKV-003",tblKurallar[kural_id],0)),2),0))</f>
        <v/>
      </c>
      <c r="I68" s="37">
        <f>IF($A68="","",IFERROR(MAX(0,$H68-$F68),0))</f>
        <v/>
      </c>
    </row>
    <row r="69">
      <c r="A69" s="36" t="n"/>
      <c r="B69" s="36" t="n"/>
      <c r="C69" s="36" t="n"/>
      <c r="D69" s="36" t="n"/>
      <c r="E69" s="36" t="n"/>
      <c r="F69" s="36" t="n"/>
      <c r="G69" s="37">
        <f>IF($A69="","",$B69+$C69-$D69-$E69)</f>
        <v/>
      </c>
      <c r="H69" s="37">
        <f>IF($A69="","",IFERROR(ROUND($G69*INDEX(tblKurallar[deger_2025],MATCH("AKV-003",tblKurallar[kural_id],0)),2),0))</f>
        <v/>
      </c>
      <c r="I69" s="37">
        <f>IF($A69="","",IFERROR(MAX(0,$H69-$F69),0))</f>
        <v/>
      </c>
    </row>
    <row r="70">
      <c r="A70" s="36" t="n"/>
      <c r="B70" s="36" t="n"/>
      <c r="C70" s="36" t="n"/>
      <c r="D70" s="36" t="n"/>
      <c r="E70" s="36" t="n"/>
      <c r="F70" s="36" t="n"/>
      <c r="G70" s="37">
        <f>IF($A70="","",$B70+$C70-$D70-$E70)</f>
        <v/>
      </c>
      <c r="H70" s="37">
        <f>IF($A70="","",IFERROR(ROUND($G70*INDEX(tblKurallar[deger_2025],MATCH("AKV-003",tblKurallar[kural_id],0)),2),0))</f>
        <v/>
      </c>
      <c r="I70" s="37">
        <f>IF($A70="","",IFERROR(MAX(0,$H70-$F70),0))</f>
        <v/>
      </c>
    </row>
    <row r="71">
      <c r="A71" s="36" t="n"/>
      <c r="B71" s="36" t="n"/>
      <c r="C71" s="36" t="n"/>
      <c r="D71" s="36" t="n"/>
      <c r="E71" s="36" t="n"/>
      <c r="F71" s="36" t="n"/>
      <c r="G71" s="37">
        <f>IF($A71="","",$B71+$C71-$D71-$E71)</f>
        <v/>
      </c>
      <c r="H71" s="37">
        <f>IF($A71="","",IFERROR(ROUND($G71*INDEX(tblKurallar[deger_2025],MATCH("AKV-003",tblKurallar[kural_id],0)),2),0))</f>
        <v/>
      </c>
      <c r="I71" s="37">
        <f>IF($A71="","",IFERROR(MAX(0,$H71-$F71),0))</f>
        <v/>
      </c>
    </row>
    <row r="72">
      <c r="A72" s="36" t="n"/>
      <c r="B72" s="36" t="n"/>
      <c r="C72" s="36" t="n"/>
      <c r="D72" s="36" t="n"/>
      <c r="E72" s="36" t="n"/>
      <c r="F72" s="36" t="n"/>
      <c r="G72" s="37">
        <f>IF($A72="","",$B72+$C72-$D72-$E72)</f>
        <v/>
      </c>
      <c r="H72" s="37">
        <f>IF($A72="","",IFERROR(ROUND($G72*INDEX(tblKurallar[deger_2025],MATCH("AKV-003",tblKurallar[kural_id],0)),2),0))</f>
        <v/>
      </c>
      <c r="I72" s="37">
        <f>IF($A72="","",IFERROR(MAX(0,$H72-$F72),0))</f>
        <v/>
      </c>
    </row>
    <row r="73">
      <c r="A73" s="36" t="n"/>
      <c r="B73" s="36" t="n"/>
      <c r="C73" s="36" t="n"/>
      <c r="D73" s="36" t="n"/>
      <c r="E73" s="36" t="n"/>
      <c r="F73" s="36" t="n"/>
      <c r="G73" s="37">
        <f>IF($A73="","",$B73+$C73-$D73-$E73)</f>
        <v/>
      </c>
      <c r="H73" s="37">
        <f>IF($A73="","",IFERROR(ROUND($G73*INDEX(tblKurallar[deger_2025],MATCH("AKV-003",tblKurallar[kural_id],0)),2),0))</f>
        <v/>
      </c>
      <c r="I73" s="37">
        <f>IF($A73="","",IFERROR(MAX(0,$H73-$F73),0))</f>
        <v/>
      </c>
    </row>
    <row r="74">
      <c r="A74" s="36" t="n"/>
      <c r="B74" s="36" t="n"/>
      <c r="C74" s="36" t="n"/>
      <c r="D74" s="36" t="n"/>
      <c r="E74" s="36" t="n"/>
      <c r="F74" s="36" t="n"/>
      <c r="G74" s="37">
        <f>IF($A74="","",$B74+$C74-$D74-$E74)</f>
        <v/>
      </c>
      <c r="H74" s="37">
        <f>IF($A74="","",IFERROR(ROUND($G74*INDEX(tblKurallar[deger_2025],MATCH("AKV-003",tblKurallar[kural_id],0)),2),0))</f>
        <v/>
      </c>
      <c r="I74" s="37">
        <f>IF($A74="","",IFERROR(MAX(0,$H74-$F74),0))</f>
        <v/>
      </c>
    </row>
    <row r="75">
      <c r="A75" s="36" t="n"/>
      <c r="B75" s="36" t="n"/>
      <c r="C75" s="36" t="n"/>
      <c r="D75" s="36" t="n"/>
      <c r="E75" s="36" t="n"/>
      <c r="F75" s="36" t="n"/>
      <c r="G75" s="37">
        <f>IF($A75="","",$B75+$C75-$D75-$E75)</f>
        <v/>
      </c>
      <c r="H75" s="37">
        <f>IF($A75="","",IFERROR(ROUND($G75*INDEX(tblKurallar[deger_2025],MATCH("AKV-003",tblKurallar[kural_id],0)),2),0))</f>
        <v/>
      </c>
      <c r="I75" s="37">
        <f>IF($A75="","",IFERROR(MAX(0,$H75-$F75),0))</f>
        <v/>
      </c>
    </row>
    <row r="76">
      <c r="A76" s="36" t="n"/>
      <c r="B76" s="36" t="n"/>
      <c r="C76" s="36" t="n"/>
      <c r="D76" s="36" t="n"/>
      <c r="E76" s="36" t="n"/>
      <c r="F76" s="36" t="n"/>
      <c r="G76" s="37">
        <f>IF($A76="","",$B76+$C76-$D76-$E76)</f>
        <v/>
      </c>
      <c r="H76" s="37">
        <f>IF($A76="","",IFERROR(ROUND($G76*INDEX(tblKurallar[deger_2025],MATCH("AKV-003",tblKurallar[kural_id],0)),2),0))</f>
        <v/>
      </c>
      <c r="I76" s="37">
        <f>IF($A76="","",IFERROR(MAX(0,$H76-$F76),0))</f>
        <v/>
      </c>
    </row>
    <row r="77">
      <c r="A77" s="36" t="n"/>
      <c r="B77" s="36" t="n"/>
      <c r="C77" s="36" t="n"/>
      <c r="D77" s="36" t="n"/>
      <c r="E77" s="36" t="n"/>
      <c r="F77" s="36" t="n"/>
      <c r="G77" s="37">
        <f>IF($A77="","",$B77+$C77-$D77-$E77)</f>
        <v/>
      </c>
      <c r="H77" s="37">
        <f>IF($A77="","",IFERROR(ROUND($G77*INDEX(tblKurallar[deger_2025],MATCH("AKV-003",tblKurallar[kural_id],0)),2),0))</f>
        <v/>
      </c>
      <c r="I77" s="37">
        <f>IF($A77="","",IFERROR(MAX(0,$H77-$F77),0))</f>
        <v/>
      </c>
    </row>
    <row r="78">
      <c r="A78" s="36" t="n"/>
      <c r="B78" s="36" t="n"/>
      <c r="C78" s="36" t="n"/>
      <c r="D78" s="36" t="n"/>
      <c r="E78" s="36" t="n"/>
      <c r="F78" s="36" t="n"/>
      <c r="G78" s="37">
        <f>IF($A78="","",$B78+$C78-$D78-$E78)</f>
        <v/>
      </c>
      <c r="H78" s="37">
        <f>IF($A78="","",IFERROR(ROUND($G78*INDEX(tblKurallar[deger_2025],MATCH("AKV-003",tblKurallar[kural_id],0)),2),0))</f>
        <v/>
      </c>
      <c r="I78" s="37">
        <f>IF($A78="","",IFERROR(MAX(0,$H78-$F78),0))</f>
        <v/>
      </c>
    </row>
    <row r="79">
      <c r="A79" s="36" t="n"/>
      <c r="B79" s="36" t="n"/>
      <c r="C79" s="36" t="n"/>
      <c r="D79" s="36" t="n"/>
      <c r="E79" s="36" t="n"/>
      <c r="F79" s="36" t="n"/>
      <c r="G79" s="37">
        <f>IF($A79="","",$B79+$C79-$D79-$E79)</f>
        <v/>
      </c>
      <c r="H79" s="37">
        <f>IF($A79="","",IFERROR(ROUND($G79*INDEX(tblKurallar[deger_2025],MATCH("AKV-003",tblKurallar[kural_id],0)),2),0))</f>
        <v/>
      </c>
      <c r="I79" s="37">
        <f>IF($A79="","",IFERROR(MAX(0,$H79-$F79),0))</f>
        <v/>
      </c>
    </row>
    <row r="80">
      <c r="A80" s="36" t="n"/>
      <c r="B80" s="36" t="n"/>
      <c r="C80" s="36" t="n"/>
      <c r="D80" s="36" t="n"/>
      <c r="E80" s="36" t="n"/>
      <c r="F80" s="36" t="n"/>
      <c r="G80" s="37">
        <f>IF($A80="","",$B80+$C80-$D80-$E80)</f>
        <v/>
      </c>
      <c r="H80" s="37">
        <f>IF($A80="","",IFERROR(ROUND($G80*INDEX(tblKurallar[deger_2025],MATCH("AKV-003",tblKurallar[kural_id],0)),2),0))</f>
        <v/>
      </c>
      <c r="I80" s="37">
        <f>IF($A80="","",IFERROR(MAX(0,$H80-$F80),0))</f>
        <v/>
      </c>
    </row>
    <row r="81">
      <c r="A81" s="36" t="n"/>
      <c r="B81" s="36" t="n"/>
      <c r="C81" s="36" t="n"/>
      <c r="D81" s="36" t="n"/>
      <c r="E81" s="36" t="n"/>
      <c r="F81" s="36" t="n"/>
      <c r="G81" s="37">
        <f>IF($A81="","",$B81+$C81-$D81-$E81)</f>
        <v/>
      </c>
      <c r="H81" s="37">
        <f>IF($A81="","",IFERROR(ROUND($G81*INDEX(tblKurallar[deger_2025],MATCH("AKV-003",tblKurallar[kural_id],0)),2),0))</f>
        <v/>
      </c>
      <c r="I81" s="37">
        <f>IF($A81="","",IFERROR(MAX(0,$H81-$F81),0))</f>
        <v/>
      </c>
    </row>
    <row r="82">
      <c r="A82" s="36" t="n"/>
      <c r="B82" s="36" t="n"/>
      <c r="C82" s="36" t="n"/>
      <c r="D82" s="36" t="n"/>
      <c r="E82" s="36" t="n"/>
      <c r="F82" s="36" t="n"/>
      <c r="G82" s="37">
        <f>IF($A82="","",$B82+$C82-$D82-$E82)</f>
        <v/>
      </c>
      <c r="H82" s="37">
        <f>IF($A82="","",IFERROR(ROUND($G82*INDEX(tblKurallar[deger_2025],MATCH("AKV-003",tblKurallar[kural_id],0)),2),0))</f>
        <v/>
      </c>
      <c r="I82" s="37">
        <f>IF($A82="","",IFERROR(MAX(0,$H82-$F82),0))</f>
        <v/>
      </c>
    </row>
    <row r="83">
      <c r="A83" s="36" t="n"/>
      <c r="B83" s="36" t="n"/>
      <c r="C83" s="36" t="n"/>
      <c r="D83" s="36" t="n"/>
      <c r="E83" s="36" t="n"/>
      <c r="F83" s="36" t="n"/>
      <c r="G83" s="37">
        <f>IF($A83="","",$B83+$C83-$D83-$E83)</f>
        <v/>
      </c>
      <c r="H83" s="37">
        <f>IF($A83="","",IFERROR(ROUND($G83*INDEX(tblKurallar[deger_2025],MATCH("AKV-003",tblKurallar[kural_id],0)),2),0))</f>
        <v/>
      </c>
      <c r="I83" s="37">
        <f>IF($A83="","",IFERROR(MAX(0,$H83-$F83),0))</f>
        <v/>
      </c>
    </row>
    <row r="84">
      <c r="A84" s="36" t="n"/>
      <c r="B84" s="36" t="n"/>
      <c r="C84" s="36" t="n"/>
      <c r="D84" s="36" t="n"/>
      <c r="E84" s="36" t="n"/>
      <c r="F84" s="36" t="n"/>
      <c r="G84" s="37">
        <f>IF($A84="","",$B84+$C84-$D84-$E84)</f>
        <v/>
      </c>
      <c r="H84" s="37">
        <f>IF($A84="","",IFERROR(ROUND($G84*INDEX(tblKurallar[deger_2025],MATCH("AKV-003",tblKurallar[kural_id],0)),2),0))</f>
        <v/>
      </c>
      <c r="I84" s="37">
        <f>IF($A84="","",IFERROR(MAX(0,$H84-$F84),0))</f>
        <v/>
      </c>
    </row>
    <row r="85">
      <c r="A85" s="36" t="n"/>
      <c r="B85" s="36" t="n"/>
      <c r="C85" s="36" t="n"/>
      <c r="D85" s="36" t="n"/>
      <c r="E85" s="36" t="n"/>
      <c r="F85" s="36" t="n"/>
      <c r="G85" s="37">
        <f>IF($A85="","",$B85+$C85-$D85-$E85)</f>
        <v/>
      </c>
      <c r="H85" s="37">
        <f>IF($A85="","",IFERROR(ROUND($G85*INDEX(tblKurallar[deger_2025],MATCH("AKV-003",tblKurallar[kural_id],0)),2),0))</f>
        <v/>
      </c>
      <c r="I85" s="37">
        <f>IF($A85="","",IFERROR(MAX(0,$H85-$F85),0))</f>
        <v/>
      </c>
    </row>
    <row r="86">
      <c r="A86" s="36" t="n"/>
      <c r="B86" s="36" t="n"/>
      <c r="C86" s="36" t="n"/>
      <c r="D86" s="36" t="n"/>
      <c r="E86" s="36" t="n"/>
      <c r="F86" s="36" t="n"/>
      <c r="G86" s="37">
        <f>IF($A86="","",$B86+$C86-$D86-$E86)</f>
        <v/>
      </c>
      <c r="H86" s="37">
        <f>IF($A86="","",IFERROR(ROUND($G86*INDEX(tblKurallar[deger_2025],MATCH("AKV-003",tblKurallar[kural_id],0)),2),0))</f>
        <v/>
      </c>
      <c r="I86" s="37">
        <f>IF($A86="","",IFERROR(MAX(0,$H86-$F86),0))</f>
        <v/>
      </c>
    </row>
    <row r="87">
      <c r="A87" s="36" t="n"/>
      <c r="B87" s="36" t="n"/>
      <c r="C87" s="36" t="n"/>
      <c r="D87" s="36" t="n"/>
      <c r="E87" s="36" t="n"/>
      <c r="F87" s="36" t="n"/>
      <c r="G87" s="37">
        <f>IF($A87="","",$B87+$C87-$D87-$E87)</f>
        <v/>
      </c>
      <c r="H87" s="37">
        <f>IF($A87="","",IFERROR(ROUND($G87*INDEX(tblKurallar[deger_2025],MATCH("AKV-003",tblKurallar[kural_id],0)),2),0))</f>
        <v/>
      </c>
      <c r="I87" s="37">
        <f>IF($A87="","",IFERROR(MAX(0,$H87-$F87),0))</f>
        <v/>
      </c>
    </row>
    <row r="88">
      <c r="A88" s="36" t="n"/>
      <c r="B88" s="36" t="n"/>
      <c r="C88" s="36" t="n"/>
      <c r="D88" s="36" t="n"/>
      <c r="E88" s="36" t="n"/>
      <c r="F88" s="36" t="n"/>
      <c r="G88" s="37">
        <f>IF($A88="","",$B88+$C88-$D88-$E88)</f>
        <v/>
      </c>
      <c r="H88" s="37">
        <f>IF($A88="","",IFERROR(ROUND($G88*INDEX(tblKurallar[deger_2025],MATCH("AKV-003",tblKurallar[kural_id],0)),2),0))</f>
        <v/>
      </c>
      <c r="I88" s="37">
        <f>IF($A88="","",IFERROR(MAX(0,$H88-$F88),0))</f>
        <v/>
      </c>
    </row>
    <row r="89">
      <c r="A89" s="36" t="n"/>
      <c r="B89" s="36" t="n"/>
      <c r="C89" s="36" t="n"/>
      <c r="D89" s="36" t="n"/>
      <c r="E89" s="36" t="n"/>
      <c r="F89" s="36" t="n"/>
      <c r="G89" s="37">
        <f>IF($A89="","",$B89+$C89-$D89-$E89)</f>
        <v/>
      </c>
      <c r="H89" s="37">
        <f>IF($A89="","",IFERROR(ROUND($G89*INDEX(tblKurallar[deger_2025],MATCH("AKV-003",tblKurallar[kural_id],0)),2),0))</f>
        <v/>
      </c>
      <c r="I89" s="37">
        <f>IF($A89="","",IFERROR(MAX(0,$H89-$F89),0))</f>
        <v/>
      </c>
    </row>
    <row r="90">
      <c r="A90" s="36" t="n"/>
      <c r="B90" s="36" t="n"/>
      <c r="C90" s="36" t="n"/>
      <c r="D90" s="36" t="n"/>
      <c r="E90" s="36" t="n"/>
      <c r="F90" s="36" t="n"/>
      <c r="G90" s="37">
        <f>IF($A90="","",$B90+$C90-$D90-$E90)</f>
        <v/>
      </c>
      <c r="H90" s="37">
        <f>IF($A90="","",IFERROR(ROUND($G90*INDEX(tblKurallar[deger_2025],MATCH("AKV-003",tblKurallar[kural_id],0)),2),0))</f>
        <v/>
      </c>
      <c r="I90" s="37">
        <f>IF($A90="","",IFERROR(MAX(0,$H90-$F90),0))</f>
        <v/>
      </c>
    </row>
    <row r="91">
      <c r="A91" s="36" t="n"/>
      <c r="B91" s="36" t="n"/>
      <c r="C91" s="36" t="n"/>
      <c r="D91" s="36" t="n"/>
      <c r="E91" s="36" t="n"/>
      <c r="F91" s="36" t="n"/>
      <c r="G91" s="37">
        <f>IF($A91="","",$B91+$C91-$D91-$E91)</f>
        <v/>
      </c>
      <c r="H91" s="37">
        <f>IF($A91="","",IFERROR(ROUND($G91*INDEX(tblKurallar[deger_2025],MATCH("AKV-003",tblKurallar[kural_id],0)),2),0))</f>
        <v/>
      </c>
      <c r="I91" s="37">
        <f>IF($A91="","",IFERROR(MAX(0,$H91-$F91),0))</f>
        <v/>
      </c>
    </row>
    <row r="92">
      <c r="A92" s="36" t="n"/>
      <c r="B92" s="36" t="n"/>
      <c r="C92" s="36" t="n"/>
      <c r="D92" s="36" t="n"/>
      <c r="E92" s="36" t="n"/>
      <c r="F92" s="36" t="n"/>
      <c r="G92" s="37">
        <f>IF($A92="","",$B92+$C92-$D92-$E92)</f>
        <v/>
      </c>
      <c r="H92" s="37">
        <f>IF($A92="","",IFERROR(ROUND($G92*INDEX(tblKurallar[deger_2025],MATCH("AKV-003",tblKurallar[kural_id],0)),2),0))</f>
        <v/>
      </c>
      <c r="I92" s="37">
        <f>IF($A92="","",IFERROR(MAX(0,$H92-$F92),0))</f>
        <v/>
      </c>
    </row>
    <row r="93">
      <c r="A93" s="36" t="n"/>
      <c r="B93" s="36" t="n"/>
      <c r="C93" s="36" t="n"/>
      <c r="D93" s="36" t="n"/>
      <c r="E93" s="36" t="n"/>
      <c r="F93" s="36" t="n"/>
      <c r="G93" s="37">
        <f>IF($A93="","",$B93+$C93-$D93-$E93)</f>
        <v/>
      </c>
      <c r="H93" s="37">
        <f>IF($A93="","",IFERROR(ROUND($G93*INDEX(tblKurallar[deger_2025],MATCH("AKV-003",tblKurallar[kural_id],0)),2),0))</f>
        <v/>
      </c>
      <c r="I93" s="37">
        <f>IF($A93="","",IFERROR(MAX(0,$H93-$F93),0))</f>
        <v/>
      </c>
    </row>
    <row r="94">
      <c r="A94" s="36" t="n"/>
      <c r="B94" s="36" t="n"/>
      <c r="C94" s="36" t="n"/>
      <c r="D94" s="36" t="n"/>
      <c r="E94" s="36" t="n"/>
      <c r="F94" s="36" t="n"/>
      <c r="G94" s="37">
        <f>IF($A94="","",$B94+$C94-$D94-$E94)</f>
        <v/>
      </c>
      <c r="H94" s="37">
        <f>IF($A94="","",IFERROR(ROUND($G94*INDEX(tblKurallar[deger_2025],MATCH("AKV-003",tblKurallar[kural_id],0)),2),0))</f>
        <v/>
      </c>
      <c r="I94" s="37">
        <f>IF($A94="","",IFERROR(MAX(0,$H94-$F94),0))</f>
        <v/>
      </c>
    </row>
    <row r="95">
      <c r="A95" s="36" t="n"/>
      <c r="B95" s="36" t="n"/>
      <c r="C95" s="36" t="n"/>
      <c r="D95" s="36" t="n"/>
      <c r="E95" s="36" t="n"/>
      <c r="F95" s="36" t="n"/>
      <c r="G95" s="37">
        <f>IF($A95="","",$B95+$C95-$D95-$E95)</f>
        <v/>
      </c>
      <c r="H95" s="37">
        <f>IF($A95="","",IFERROR(ROUND($G95*INDEX(tblKurallar[deger_2025],MATCH("AKV-003",tblKurallar[kural_id],0)),2),0))</f>
        <v/>
      </c>
      <c r="I95" s="37">
        <f>IF($A95="","",IFERROR(MAX(0,$H95-$F95),0))</f>
        <v/>
      </c>
    </row>
    <row r="96">
      <c r="A96" s="36" t="n"/>
      <c r="B96" s="36" t="n"/>
      <c r="C96" s="36" t="n"/>
      <c r="D96" s="36" t="n"/>
      <c r="E96" s="36" t="n"/>
      <c r="F96" s="36" t="n"/>
      <c r="G96" s="37">
        <f>IF($A96="","",$B96+$C96-$D96-$E96)</f>
        <v/>
      </c>
      <c r="H96" s="37">
        <f>IF($A96="","",IFERROR(ROUND($G96*INDEX(tblKurallar[deger_2025],MATCH("AKV-003",tblKurallar[kural_id],0)),2),0))</f>
        <v/>
      </c>
      <c r="I96" s="37">
        <f>IF($A96="","",IFERROR(MAX(0,$H96-$F96),0))</f>
        <v/>
      </c>
    </row>
    <row r="97">
      <c r="A97" s="36" t="n"/>
      <c r="B97" s="36" t="n"/>
      <c r="C97" s="36" t="n"/>
      <c r="D97" s="36" t="n"/>
      <c r="E97" s="36" t="n"/>
      <c r="F97" s="36" t="n"/>
      <c r="G97" s="37">
        <f>IF($A97="","",$B97+$C97-$D97-$E97)</f>
        <v/>
      </c>
      <c r="H97" s="37">
        <f>IF($A97="","",IFERROR(ROUND($G97*INDEX(tblKurallar[deger_2025],MATCH("AKV-003",tblKurallar[kural_id],0)),2),0))</f>
        <v/>
      </c>
      <c r="I97" s="37">
        <f>IF($A97="","",IFERROR(MAX(0,$H97-$F97),0))</f>
        <v/>
      </c>
    </row>
    <row r="98">
      <c r="A98" s="36" t="n"/>
      <c r="B98" s="36" t="n"/>
      <c r="C98" s="36" t="n"/>
      <c r="D98" s="36" t="n"/>
      <c r="E98" s="36" t="n"/>
      <c r="F98" s="36" t="n"/>
      <c r="G98" s="37">
        <f>IF($A98="","",$B98+$C98-$D98-$E98)</f>
        <v/>
      </c>
      <c r="H98" s="37">
        <f>IF($A98="","",IFERROR(ROUND($G98*INDEX(tblKurallar[deger_2025],MATCH("AKV-003",tblKurallar[kural_id],0)),2),0))</f>
        <v/>
      </c>
      <c r="I98" s="37">
        <f>IF($A98="","",IFERROR(MAX(0,$H98-$F98),0))</f>
        <v/>
      </c>
    </row>
    <row r="99">
      <c r="A99" s="36" t="n"/>
      <c r="B99" s="36" t="n"/>
      <c r="C99" s="36" t="n"/>
      <c r="D99" s="36" t="n"/>
      <c r="E99" s="36" t="n"/>
      <c r="F99" s="36" t="n"/>
      <c r="G99" s="37">
        <f>IF($A99="","",$B99+$C99-$D99-$E99)</f>
        <v/>
      </c>
      <c r="H99" s="37">
        <f>IF($A99="","",IFERROR(ROUND($G99*INDEX(tblKurallar[deger_2025],MATCH("AKV-003",tblKurallar[kural_id],0)),2),0))</f>
        <v/>
      </c>
      <c r="I99" s="37">
        <f>IF($A99="","",IFERROR(MAX(0,$H99-$F99),0))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7">
        <f>IF($A100="","",$B100+$C100-$D100-$E100)</f>
        <v/>
      </c>
      <c r="H100" s="37">
        <f>IF($A100="","",IFERROR(ROUND($G100*INDEX(tblKurallar[deger_2025],MATCH("AKV-003",tblKurallar[kural_id],0)),2),0))</f>
        <v/>
      </c>
      <c r="I100" s="37">
        <f>IF($A100="","",IFERROR(MAX(0,$H100-$F100),0))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7">
        <f>IF($A101="","",$B101+$C101-$D101-$E101)</f>
        <v/>
      </c>
      <c r="H101" s="37">
        <f>IF($A101="","",IFERROR(ROUND($G101*INDEX(tblKurallar[deger_2025],MATCH("AKV-003",tblKurallar[kural_id],0)),2),0))</f>
        <v/>
      </c>
      <c r="I101" s="37">
        <f>IF($A101="","",IFERROR(MAX(0,$H101-$F101),0))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7">
        <f>IF($A102="","",$B102+$C102-$D102-$E102)</f>
        <v/>
      </c>
      <c r="H102" s="37">
        <f>IF($A102="","",IFERROR(ROUND($G102*INDEX(tblKurallar[deger_2025],MATCH("AKV-003",tblKurallar[kural_id],0)),2),0))</f>
        <v/>
      </c>
      <c r="I102" s="37">
        <f>IF($A102="","",IFERROR(MAX(0,$H102-$F102),0))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7">
        <f>IF($A103="","",$B103+$C103-$D103-$E103)</f>
        <v/>
      </c>
      <c r="H103" s="37">
        <f>IF($A103="","",IFERROR(ROUND($G103*INDEX(tblKurallar[deger_2025],MATCH("AKV-003",tblKurallar[kural_id],0)),2),0))</f>
        <v/>
      </c>
      <c r="I103" s="37">
        <f>IF($A103="","",IFERROR(MAX(0,$H103-$F103),0))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7">
        <f>IF($A104="","",$B104+$C104-$D104-$E104)</f>
        <v/>
      </c>
      <c r="H104" s="37">
        <f>IF($A104="","",IFERROR(ROUND($G104*INDEX(tblKurallar[deger_2025],MATCH("AKV-003",tblKurallar[kural_id],0)),2),0))</f>
        <v/>
      </c>
      <c r="I104" s="37">
        <f>IF($A104="","",IFERROR(MAX(0,$H104-$F104),0))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7">
        <f>IF($A105="","",$B105+$C105-$D105-$E105)</f>
        <v/>
      </c>
      <c r="H105" s="37">
        <f>IF($A105="","",IFERROR(ROUND($G105*INDEX(tblKurallar[deger_2025],MATCH("AKV-003",tblKurallar[kural_id],0)),2),0))</f>
        <v/>
      </c>
      <c r="I105" s="37">
        <f>IF($A105="","",IFERROR(MAX(0,$H105-$F105),0))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7">
        <f>IF($A106="","",$B106+$C106-$D106-$E106)</f>
        <v/>
      </c>
      <c r="H106" s="37">
        <f>IF($A106="","",IFERROR(ROUND($G106*INDEX(tblKurallar[deger_2025],MATCH("AKV-003",tblKurallar[kural_id],0)),2),0))</f>
        <v/>
      </c>
      <c r="I106" s="37">
        <f>IF($A106="","",IFERROR(MAX(0,$H106-$F106),0))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7">
        <f>IF($A107="","",$B107+$C107-$D107-$E107)</f>
        <v/>
      </c>
      <c r="H107" s="37">
        <f>IF($A107="","",IFERROR(ROUND($G107*INDEX(tblKurallar[deger_2025],MATCH("AKV-003",tblKurallar[kural_id],0)),2),0))</f>
        <v/>
      </c>
      <c r="I107" s="37">
        <f>IF($A107="","",IFERROR(MAX(0,$H107-$F107),0))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7">
        <f>IF($A108="","",$B108+$C108-$D108-$E108)</f>
        <v/>
      </c>
      <c r="H108" s="37">
        <f>IF($A108="","",IFERROR(ROUND($G108*INDEX(tblKurallar[deger_2025],MATCH("AKV-003",tblKurallar[kural_id],0)),2),0))</f>
        <v/>
      </c>
      <c r="I108" s="37">
        <f>IF($A108="","",IFERROR(MAX(0,$H108-$F108),0))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7">
        <f>IF($A109="","",$B109+$C109-$D109-$E109)</f>
        <v/>
      </c>
      <c r="H109" s="37">
        <f>IF($A109="","",IFERROR(ROUND($G109*INDEX(tblKurallar[deger_2025],MATCH("AKV-003",tblKurallar[kural_id],0)),2),0))</f>
        <v/>
      </c>
      <c r="I109" s="37">
        <f>IF($A109="","",IFERROR(MAX(0,$H109-$F109),0))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7">
        <f>IF($A110="","",$B110+$C110-$D110-$E110)</f>
        <v/>
      </c>
      <c r="H110" s="37">
        <f>IF($A110="","",IFERROR(ROUND($G110*INDEX(tblKurallar[deger_2025],MATCH("AKV-003",tblKurallar[kural_id],0)),2),0))</f>
        <v/>
      </c>
      <c r="I110" s="37">
        <f>IF($A110="","",IFERROR(MAX(0,$H110-$F110),0))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7">
        <f>IF($A111="","",$B111+$C111-$D111-$E111)</f>
        <v/>
      </c>
      <c r="H111" s="37">
        <f>IF($A111="","",IFERROR(ROUND($G111*INDEX(tblKurallar[deger_2025],MATCH("AKV-003",tblKurallar[kural_id],0)),2),0))</f>
        <v/>
      </c>
      <c r="I111" s="37">
        <f>IF($A111="","",IFERROR(MAX(0,$H111-$F111),0))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7">
        <f>IF($A112="","",$B112+$C112-$D112-$E112)</f>
        <v/>
      </c>
      <c r="H112" s="37">
        <f>IF($A112="","",IFERROR(ROUND($G112*INDEX(tblKurallar[deger_2025],MATCH("AKV-003",tblKurallar[kural_id],0)),2),0))</f>
        <v/>
      </c>
      <c r="I112" s="37">
        <f>IF($A112="","",IFERROR(MAX(0,$H112-$F112),0))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7">
        <f>IF($A113="","",$B113+$C113-$D113-$E113)</f>
        <v/>
      </c>
      <c r="H113" s="37">
        <f>IF($A113="","",IFERROR(ROUND($G113*INDEX(tblKurallar[deger_2025],MATCH("AKV-003",tblKurallar[kural_id],0)),2),0))</f>
        <v/>
      </c>
      <c r="I113" s="37">
        <f>IF($A113="","",IFERROR(MAX(0,$H113-$F113),0))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7">
        <f>IF($A114="","",$B114+$C114-$D114-$E114)</f>
        <v/>
      </c>
      <c r="H114" s="37">
        <f>IF($A114="","",IFERROR(ROUND($G114*INDEX(tblKurallar[deger_2025],MATCH("AKV-003",tblKurallar[kural_id],0)),2),0))</f>
        <v/>
      </c>
      <c r="I114" s="37">
        <f>IF($A114="","",IFERROR(MAX(0,$H114-$F114),0))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7">
        <f>IF($A115="","",$B115+$C115-$D115-$E115)</f>
        <v/>
      </c>
      <c r="H115" s="37">
        <f>IF($A115="","",IFERROR(ROUND($G115*INDEX(tblKurallar[deger_2025],MATCH("AKV-003",tblKurallar[kural_id],0)),2),0))</f>
        <v/>
      </c>
      <c r="I115" s="37">
        <f>IF($A115="","",IFERROR(MAX(0,$H115-$F115),0))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7">
        <f>IF($A116="","",$B116+$C116-$D116-$E116)</f>
        <v/>
      </c>
      <c r="H116" s="37">
        <f>IF($A116="","",IFERROR(ROUND($G116*INDEX(tblKurallar[deger_2025],MATCH("AKV-003",tblKurallar[kural_id],0)),2),0))</f>
        <v/>
      </c>
      <c r="I116" s="37">
        <f>IF($A116="","",IFERROR(MAX(0,$H116-$F116),0))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7">
        <f>IF($A117="","",$B117+$C117-$D117-$E117)</f>
        <v/>
      </c>
      <c r="H117" s="37">
        <f>IF($A117="","",IFERROR(ROUND($G117*INDEX(tblKurallar[deger_2025],MATCH("AKV-003",tblKurallar[kural_id],0)),2),0))</f>
        <v/>
      </c>
      <c r="I117" s="37">
        <f>IF($A117="","",IFERROR(MAX(0,$H117-$F117),0))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7">
        <f>IF($A118="","",$B118+$C118-$D118-$E118)</f>
        <v/>
      </c>
      <c r="H118" s="37">
        <f>IF($A118="","",IFERROR(ROUND($G118*INDEX(tblKurallar[deger_2025],MATCH("AKV-003",tblKurallar[kural_id],0)),2),0))</f>
        <v/>
      </c>
      <c r="I118" s="37">
        <f>IF($A118="","",IFERROR(MAX(0,$H118-$F118),0))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7">
        <f>IF($A119="","",$B119+$C119-$D119-$E119)</f>
        <v/>
      </c>
      <c r="H119" s="37">
        <f>IF($A119="","",IFERROR(ROUND($G119*INDEX(tblKurallar[deger_2025],MATCH("AKV-003",tblKurallar[kural_id],0)),2),0))</f>
        <v/>
      </c>
      <c r="I119" s="37">
        <f>IF($A119="","",IFERROR(MAX(0,$H119-$F119),0))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7">
        <f>IF($A120="","",$B120+$C120-$D120-$E120)</f>
        <v/>
      </c>
      <c r="H120" s="37">
        <f>IF($A120="","",IFERROR(ROUND($G120*INDEX(tblKurallar[deger_2025],MATCH("AKV-003",tblKurallar[kural_id],0)),2),0))</f>
        <v/>
      </c>
      <c r="I120" s="37">
        <f>IF($A120="","",IFERROR(MAX(0,$H120-$F120),0))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7">
        <f>IF($A121="","",$B121+$C121-$D121-$E121)</f>
        <v/>
      </c>
      <c r="H121" s="37">
        <f>IF($A121="","",IFERROR(ROUND($G121*INDEX(tblKurallar[deger_2025],MATCH("AKV-003",tblKurallar[kural_id],0)),2),0))</f>
        <v/>
      </c>
      <c r="I121" s="37">
        <f>IF($A121="","",IFERROR(MAX(0,$H121-$F121),0))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7">
        <f>IF($A122="","",$B122+$C122-$D122-$E122)</f>
        <v/>
      </c>
      <c r="H122" s="37">
        <f>IF($A122="","",IFERROR(ROUND($G122*INDEX(tblKurallar[deger_2025],MATCH("AKV-003",tblKurallar[kural_id],0)),2),0))</f>
        <v/>
      </c>
      <c r="I122" s="37">
        <f>IF($A122="","",IFERROR(MAX(0,$H122-$F122),0))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7">
        <f>IF($A123="","",$B123+$C123-$D123-$E123)</f>
        <v/>
      </c>
      <c r="H123" s="37">
        <f>IF($A123="","",IFERROR(ROUND($G123*INDEX(tblKurallar[deger_2025],MATCH("AKV-003",tblKurallar[kural_id],0)),2),0))</f>
        <v/>
      </c>
      <c r="I123" s="37">
        <f>IF($A123="","",IFERROR(MAX(0,$H123-$F123),0))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7">
        <f>IF($A124="","",$B124+$C124-$D124-$E124)</f>
        <v/>
      </c>
      <c r="H124" s="37">
        <f>IF($A124="","",IFERROR(ROUND($G124*INDEX(tblKurallar[deger_2025],MATCH("AKV-003",tblKurallar[kural_id],0)),2),0))</f>
        <v/>
      </c>
      <c r="I124" s="37">
        <f>IF($A124="","",IFERROR(MAX(0,$H124-$F124),0))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7">
        <f>IF($A125="","",$B125+$C125-$D125-$E125)</f>
        <v/>
      </c>
      <c r="H125" s="37">
        <f>IF($A125="","",IFERROR(ROUND($G125*INDEX(tblKurallar[deger_2025],MATCH("AKV-003",tblKurallar[kural_id],0)),2),0))</f>
        <v/>
      </c>
      <c r="I125" s="37">
        <f>IF($A125="","",IFERROR(MAX(0,$H125-$F125),0))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7">
        <f>IF($A126="","",$B126+$C126-$D126-$E126)</f>
        <v/>
      </c>
      <c r="H126" s="37">
        <f>IF($A126="","",IFERROR(ROUND($G126*INDEX(tblKurallar[deger_2025],MATCH("AKV-003",tblKurallar[kural_id],0)),2),0))</f>
        <v/>
      </c>
      <c r="I126" s="37">
        <f>IF($A126="","",IFERROR(MAX(0,$H126-$F126),0))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7">
        <f>IF($A127="","",$B127+$C127-$D127-$E127)</f>
        <v/>
      </c>
      <c r="H127" s="37">
        <f>IF($A127="","",IFERROR(ROUND($G127*INDEX(tblKurallar[deger_2025],MATCH("AKV-003",tblKurallar[kural_id],0)),2),0))</f>
        <v/>
      </c>
      <c r="I127" s="37">
        <f>IF($A127="","",IFERROR(MAX(0,$H127-$F127),0))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7">
        <f>IF($A128="","",$B128+$C128-$D128-$E128)</f>
        <v/>
      </c>
      <c r="H128" s="37">
        <f>IF($A128="","",IFERROR(ROUND($G128*INDEX(tblKurallar[deger_2025],MATCH("AKV-003",tblKurallar[kural_id],0)),2),0))</f>
        <v/>
      </c>
      <c r="I128" s="37">
        <f>IF($A128="","",IFERROR(MAX(0,$H128-$F128),0))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7">
        <f>IF($A129="","",$B129+$C129-$D129-$E129)</f>
        <v/>
      </c>
      <c r="H129" s="37">
        <f>IF($A129="","",IFERROR(ROUND($G129*INDEX(tblKurallar[deger_2025],MATCH("AKV-003",tblKurallar[kural_id],0)),2),0))</f>
        <v/>
      </c>
      <c r="I129" s="37">
        <f>IF($A129="","",IFERROR(MAX(0,$H129-$F129),0))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7">
        <f>IF($A130="","",$B130+$C130-$D130-$E130)</f>
        <v/>
      </c>
      <c r="H130" s="37">
        <f>IF($A130="","",IFERROR(ROUND($G130*INDEX(tblKurallar[deger_2025],MATCH("AKV-003",tblKurallar[kural_id],0)),2),0))</f>
        <v/>
      </c>
      <c r="I130" s="37">
        <f>IF($A130="","",IFERROR(MAX(0,$H130-$F130),0))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7">
        <f>IF($A131="","",$B131+$C131-$D131-$E131)</f>
        <v/>
      </c>
      <c r="H131" s="37">
        <f>IF($A131="","",IFERROR(ROUND($G131*INDEX(tblKurallar[deger_2025],MATCH("AKV-003",tblKurallar[kural_id],0)),2),0))</f>
        <v/>
      </c>
      <c r="I131" s="37">
        <f>IF($A131="","",IFERROR(MAX(0,$H131-$F131),0))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7">
        <f>IF($A132="","",$B132+$C132-$D132-$E132)</f>
        <v/>
      </c>
      <c r="H132" s="37">
        <f>IF($A132="","",IFERROR(ROUND($G132*INDEX(tblKurallar[deger_2025],MATCH("AKV-003",tblKurallar[kural_id],0)),2),0))</f>
        <v/>
      </c>
      <c r="I132" s="37">
        <f>IF($A132="","",IFERROR(MAX(0,$H132-$F132),0))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7">
        <f>IF($A133="","",$B133+$C133-$D133-$E133)</f>
        <v/>
      </c>
      <c r="H133" s="37">
        <f>IF($A133="","",IFERROR(ROUND($G133*INDEX(tblKurallar[deger_2025],MATCH("AKV-003",tblKurallar[kural_id],0)),2),0))</f>
        <v/>
      </c>
      <c r="I133" s="37">
        <f>IF($A133="","",IFERROR(MAX(0,$H133-$F133),0))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7">
        <f>IF($A134="","",$B134+$C134-$D134-$E134)</f>
        <v/>
      </c>
      <c r="H134" s="37">
        <f>IF($A134="","",IFERROR(ROUND($G134*INDEX(tblKurallar[deger_2025],MATCH("AKV-003",tblKurallar[kural_id],0)),2),0))</f>
        <v/>
      </c>
      <c r="I134" s="37">
        <f>IF($A134="","",IFERROR(MAX(0,$H134-$F134),0))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7">
        <f>IF($A135="","",$B135+$C135-$D135-$E135)</f>
        <v/>
      </c>
      <c r="H135" s="37">
        <f>IF($A135="","",IFERROR(ROUND($G135*INDEX(tblKurallar[deger_2025],MATCH("AKV-003",tblKurallar[kural_id],0)),2),0))</f>
        <v/>
      </c>
      <c r="I135" s="37">
        <f>IF($A135="","",IFERROR(MAX(0,$H135-$F135),0))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7">
        <f>IF($A136="","",$B136+$C136-$D136-$E136)</f>
        <v/>
      </c>
      <c r="H136" s="37">
        <f>IF($A136="","",IFERROR(ROUND($G136*INDEX(tblKurallar[deger_2025],MATCH("AKV-003",tblKurallar[kural_id],0)),2),0))</f>
        <v/>
      </c>
      <c r="I136" s="37">
        <f>IF($A136="","",IFERROR(MAX(0,$H136-$F136),0))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7">
        <f>IF($A137="","",$B137+$C137-$D137-$E137)</f>
        <v/>
      </c>
      <c r="H137" s="37">
        <f>IF($A137="","",IFERROR(ROUND($G137*INDEX(tblKurallar[deger_2025],MATCH("AKV-003",tblKurallar[kural_id],0)),2),0))</f>
        <v/>
      </c>
      <c r="I137" s="37">
        <f>IF($A137="","",IFERROR(MAX(0,$H137-$F137),0))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7">
        <f>IF($A138="","",$B138+$C138-$D138-$E138)</f>
        <v/>
      </c>
      <c r="H138" s="37">
        <f>IF($A138="","",IFERROR(ROUND($G138*INDEX(tblKurallar[deger_2025],MATCH("AKV-003",tblKurallar[kural_id],0)),2),0))</f>
        <v/>
      </c>
      <c r="I138" s="37">
        <f>IF($A138="","",IFERROR(MAX(0,$H138-$F138),0))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7">
        <f>IF($A139="","",$B139+$C139-$D139-$E139)</f>
        <v/>
      </c>
      <c r="H139" s="37">
        <f>IF($A139="","",IFERROR(ROUND($G139*INDEX(tblKurallar[deger_2025],MATCH("AKV-003",tblKurallar[kural_id],0)),2),0))</f>
        <v/>
      </c>
      <c r="I139" s="37">
        <f>IF($A139="","",IFERROR(MAX(0,$H139-$F139),0))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7">
        <f>IF($A140="","",$B140+$C140-$D140-$E140)</f>
        <v/>
      </c>
      <c r="H140" s="37">
        <f>IF($A140="","",IFERROR(ROUND($G140*INDEX(tblKurallar[deger_2025],MATCH("AKV-003",tblKurallar[kural_id],0)),2),0))</f>
        <v/>
      </c>
      <c r="I140" s="37">
        <f>IF($A140="","",IFERROR(MAX(0,$H140-$F140),0))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7">
        <f>IF($A141="","",$B141+$C141-$D141-$E141)</f>
        <v/>
      </c>
      <c r="H141" s="37">
        <f>IF($A141="","",IFERROR(ROUND($G141*INDEX(tblKurallar[deger_2025],MATCH("AKV-003",tblKurallar[kural_id],0)),2),0))</f>
        <v/>
      </c>
      <c r="I141" s="37">
        <f>IF($A141="","",IFERROR(MAX(0,$H141-$F141),0))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7">
        <f>IF($A142="","",$B142+$C142-$D142-$E142)</f>
        <v/>
      </c>
      <c r="H142" s="37">
        <f>IF($A142="","",IFERROR(ROUND($G142*INDEX(tblKurallar[deger_2025],MATCH("AKV-003",tblKurallar[kural_id],0)),2),0))</f>
        <v/>
      </c>
      <c r="I142" s="37">
        <f>IF($A142="","",IFERROR(MAX(0,$H142-$F142),0))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7">
        <f>IF($A143="","",$B143+$C143-$D143-$E143)</f>
        <v/>
      </c>
      <c r="H143" s="37">
        <f>IF($A143="","",IFERROR(ROUND($G143*INDEX(tblKurallar[deger_2025],MATCH("AKV-003",tblKurallar[kural_id],0)),2),0))</f>
        <v/>
      </c>
      <c r="I143" s="37">
        <f>IF($A143="","",IFERROR(MAX(0,$H143-$F143),0))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7">
        <f>IF($A144="","",$B144+$C144-$D144-$E144)</f>
        <v/>
      </c>
      <c r="H144" s="37">
        <f>IF($A144="","",IFERROR(ROUND($G144*INDEX(tblKurallar[deger_2025],MATCH("AKV-003",tblKurallar[kural_id],0)),2),0))</f>
        <v/>
      </c>
      <c r="I144" s="37">
        <f>IF($A144="","",IFERROR(MAX(0,$H144-$F144),0))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7">
        <f>IF($A145="","",$B145+$C145-$D145-$E145)</f>
        <v/>
      </c>
      <c r="H145" s="37">
        <f>IF($A145="","",IFERROR(ROUND($G145*INDEX(tblKurallar[deger_2025],MATCH("AKV-003",tblKurallar[kural_id],0)),2),0))</f>
        <v/>
      </c>
      <c r="I145" s="37">
        <f>IF($A145="","",IFERROR(MAX(0,$H145-$F145),0))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7">
        <f>IF($A146="","",$B146+$C146-$D146-$E146)</f>
        <v/>
      </c>
      <c r="H146" s="37">
        <f>IF($A146="","",IFERROR(ROUND($G146*INDEX(tblKurallar[deger_2025],MATCH("AKV-003",tblKurallar[kural_id],0)),2),0))</f>
        <v/>
      </c>
      <c r="I146" s="37">
        <f>IF($A146="","",IFERROR(MAX(0,$H146-$F146),0))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7">
        <f>IF($A147="","",$B147+$C147-$D147-$E147)</f>
        <v/>
      </c>
      <c r="H147" s="37">
        <f>IF($A147="","",IFERROR(ROUND($G147*INDEX(tblKurallar[deger_2025],MATCH("AKV-003",tblKurallar[kural_id],0)),2),0))</f>
        <v/>
      </c>
      <c r="I147" s="37">
        <f>IF($A147="","",IFERROR(MAX(0,$H147-$F147),0))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7">
        <f>IF($A148="","",$B148+$C148-$D148-$E148)</f>
        <v/>
      </c>
      <c r="H148" s="37">
        <f>IF($A148="","",IFERROR(ROUND($G148*INDEX(tblKurallar[deger_2025],MATCH("AKV-003",tblKurallar[kural_id],0)),2),0))</f>
        <v/>
      </c>
      <c r="I148" s="37">
        <f>IF($A148="","",IFERROR(MAX(0,$H148-$F148),0))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7">
        <f>IF($A149="","",$B149+$C149-$D149-$E149)</f>
        <v/>
      </c>
      <c r="H149" s="37">
        <f>IF($A149="","",IFERROR(ROUND($G149*INDEX(tblKurallar[deger_2025],MATCH("AKV-003",tblKurallar[kural_id],0)),2),0))</f>
        <v/>
      </c>
      <c r="I149" s="37">
        <f>IF($A149="","",IFERROR(MAX(0,$H149-$F149),0))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7">
        <f>IF($A150="","",$B150+$C150-$D150-$E150)</f>
        <v/>
      </c>
      <c r="H150" s="37">
        <f>IF($A150="","",IFERROR(ROUND($G150*INDEX(tblKurallar[deger_2025],MATCH("AKV-003",tblKurallar[kural_id],0)),2),0))</f>
        <v/>
      </c>
      <c r="I150" s="37">
        <f>IF($A150="","",IFERROR(MAX(0,$H150-$F150),0))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7">
        <f>IF($A151="","",$B151+$C151-$D151-$E151)</f>
        <v/>
      </c>
      <c r="H151" s="37">
        <f>IF($A151="","",IFERROR(ROUND($G151*INDEX(tblKurallar[deger_2025],MATCH("AKV-003",tblKurallar[kural_id],0)),2),0))</f>
        <v/>
      </c>
      <c r="I151" s="37">
        <f>IF($A151="","",IFERROR(MAX(0,$H151-$F151),0))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7">
        <f>IF($A152="","",$B152+$C152-$D152-$E152)</f>
        <v/>
      </c>
      <c r="H152" s="37">
        <f>IF($A152="","",IFERROR(ROUND($G152*INDEX(tblKurallar[deger_2025],MATCH("AKV-003",tblKurallar[kural_id],0)),2),0))</f>
        <v/>
      </c>
      <c r="I152" s="37">
        <f>IF($A152="","",IFERROR(MAX(0,$H152-$F152),0))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7">
        <f>IF($A153="","",$B153+$C153-$D153-$E153)</f>
        <v/>
      </c>
      <c r="H153" s="37">
        <f>IF($A153="","",IFERROR(ROUND($G153*INDEX(tblKurallar[deger_2025],MATCH("AKV-003",tblKurallar[kural_id],0)),2),0))</f>
        <v/>
      </c>
      <c r="I153" s="37">
        <f>IF($A153="","",IFERROR(MAX(0,$H153-$F153),0))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7">
        <f>IF($A154="","",$B154+$C154-$D154-$E154)</f>
        <v/>
      </c>
      <c r="H154" s="37">
        <f>IF($A154="","",IFERROR(ROUND($G154*INDEX(tblKurallar[deger_2025],MATCH("AKV-003",tblKurallar[kural_id],0)),2),0))</f>
        <v/>
      </c>
      <c r="I154" s="37">
        <f>IF($A154="","",IFERROR(MAX(0,$H154-$F154),0))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7">
        <f>IF($A155="","",$B155+$C155-$D155-$E155)</f>
        <v/>
      </c>
      <c r="H155" s="37">
        <f>IF($A155="","",IFERROR(ROUND($G155*INDEX(tblKurallar[deger_2025],MATCH("AKV-003",tblKurallar[kural_id],0)),2),0))</f>
        <v/>
      </c>
      <c r="I155" s="37">
        <f>IF($A155="","",IFERROR(MAX(0,$H155-$F155),0))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7">
        <f>IF($A156="","",$B156+$C156-$D156-$E156)</f>
        <v/>
      </c>
      <c r="H156" s="37">
        <f>IF($A156="","",IFERROR(ROUND($G156*INDEX(tblKurallar[deger_2025],MATCH("AKV-003",tblKurallar[kural_id],0)),2),0))</f>
        <v/>
      </c>
      <c r="I156" s="37">
        <f>IF($A156="","",IFERROR(MAX(0,$H156-$F156),0))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7">
        <f>IF($A157="","",$B157+$C157-$D157-$E157)</f>
        <v/>
      </c>
      <c r="H157" s="37">
        <f>IF($A157="","",IFERROR(ROUND($G157*INDEX(tblKurallar[deger_2025],MATCH("AKV-003",tblKurallar[kural_id],0)),2),0))</f>
        <v/>
      </c>
      <c r="I157" s="37">
        <f>IF($A157="","",IFERROR(MAX(0,$H157-$F157),0))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7">
        <f>IF($A158="","",$B158+$C158-$D158-$E158)</f>
        <v/>
      </c>
      <c r="H158" s="37">
        <f>IF($A158="","",IFERROR(ROUND($G158*INDEX(tblKurallar[deger_2025],MATCH("AKV-003",tblKurallar[kural_id],0)),2),0))</f>
        <v/>
      </c>
      <c r="I158" s="37">
        <f>IF($A158="","",IFERROR(MAX(0,$H158-$F158),0))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7">
        <f>IF($A159="","",$B159+$C159-$D159-$E159)</f>
        <v/>
      </c>
      <c r="H159" s="37">
        <f>IF($A159="","",IFERROR(ROUND($G159*INDEX(tblKurallar[deger_2025],MATCH("AKV-003",tblKurallar[kural_id],0)),2),0))</f>
        <v/>
      </c>
      <c r="I159" s="37">
        <f>IF($A159="","",IFERROR(MAX(0,$H159-$F159),0))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7">
        <f>IF($A160="","",$B160+$C160-$D160-$E160)</f>
        <v/>
      </c>
      <c r="H160" s="37">
        <f>IF($A160="","",IFERROR(ROUND($G160*INDEX(tblKurallar[deger_2025],MATCH("AKV-003",tblKurallar[kural_id],0)),2),0))</f>
        <v/>
      </c>
      <c r="I160" s="37">
        <f>IF($A160="","",IFERROR(MAX(0,$H160-$F160),0))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7">
        <f>IF($A161="","",$B161+$C161-$D161-$E161)</f>
        <v/>
      </c>
      <c r="H161" s="37">
        <f>IF($A161="","",IFERROR(ROUND($G161*INDEX(tblKurallar[deger_2025],MATCH("AKV-003",tblKurallar[kural_id],0)),2),0))</f>
        <v/>
      </c>
      <c r="I161" s="37">
        <f>IF($A161="","",IFERROR(MAX(0,$H161-$F161),0))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7">
        <f>IF($A162="","",$B162+$C162-$D162-$E162)</f>
        <v/>
      </c>
      <c r="H162" s="37">
        <f>IF($A162="","",IFERROR(ROUND($G162*INDEX(tblKurallar[deger_2025],MATCH("AKV-003",tblKurallar[kural_id],0)),2),0))</f>
        <v/>
      </c>
      <c r="I162" s="37">
        <f>IF($A162="","",IFERROR(MAX(0,$H162-$F162),0))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7">
        <f>IF($A163="","",$B163+$C163-$D163-$E163)</f>
        <v/>
      </c>
      <c r="H163" s="37">
        <f>IF($A163="","",IFERROR(ROUND($G163*INDEX(tblKurallar[deger_2025],MATCH("AKV-003",tblKurallar[kural_id],0)),2),0))</f>
        <v/>
      </c>
      <c r="I163" s="37">
        <f>IF($A163="","",IFERROR(MAX(0,$H163-$F163),0))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7">
        <f>IF($A164="","",$B164+$C164-$D164-$E164)</f>
        <v/>
      </c>
      <c r="H164" s="37">
        <f>IF($A164="","",IFERROR(ROUND($G164*INDEX(tblKurallar[deger_2025],MATCH("AKV-003",tblKurallar[kural_id],0)),2),0))</f>
        <v/>
      </c>
      <c r="I164" s="37">
        <f>IF($A164="","",IFERROR(MAX(0,$H164-$F164),0))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7">
        <f>IF($A165="","",$B165+$C165-$D165-$E165)</f>
        <v/>
      </c>
      <c r="H165" s="37">
        <f>IF($A165="","",IFERROR(ROUND($G165*INDEX(tblKurallar[deger_2025],MATCH("AKV-003",tblKurallar[kural_id],0)),2),0))</f>
        <v/>
      </c>
      <c r="I165" s="37">
        <f>IF($A165="","",IFERROR(MAX(0,$H165-$F165),0))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7">
        <f>IF($A166="","",$B166+$C166-$D166-$E166)</f>
        <v/>
      </c>
      <c r="H166" s="37">
        <f>IF($A166="","",IFERROR(ROUND($G166*INDEX(tblKurallar[deger_2025],MATCH("AKV-003",tblKurallar[kural_id],0)),2),0))</f>
        <v/>
      </c>
      <c r="I166" s="37">
        <f>IF($A166="","",IFERROR(MAX(0,$H166-$F166),0))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7">
        <f>IF($A167="","",$B167+$C167-$D167-$E167)</f>
        <v/>
      </c>
      <c r="H167" s="37">
        <f>IF($A167="","",IFERROR(ROUND($G167*INDEX(tblKurallar[deger_2025],MATCH("AKV-003",tblKurallar[kural_id],0)),2),0))</f>
        <v/>
      </c>
      <c r="I167" s="37">
        <f>IF($A167="","",IFERROR(MAX(0,$H167-$F167),0))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7">
        <f>IF($A168="","",$B168+$C168-$D168-$E168)</f>
        <v/>
      </c>
      <c r="H168" s="37">
        <f>IF($A168="","",IFERROR(ROUND($G168*INDEX(tblKurallar[deger_2025],MATCH("AKV-003",tblKurallar[kural_id],0)),2),0))</f>
        <v/>
      </c>
      <c r="I168" s="37">
        <f>IF($A168="","",IFERROR(MAX(0,$H168-$F168),0))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7">
        <f>IF($A169="","",$B169+$C169-$D169-$E169)</f>
        <v/>
      </c>
      <c r="H169" s="37">
        <f>IF($A169="","",IFERROR(ROUND($G169*INDEX(tblKurallar[deger_2025],MATCH("AKV-003",tblKurallar[kural_id],0)),2),0))</f>
        <v/>
      </c>
      <c r="I169" s="37">
        <f>IF($A169="","",IFERROR(MAX(0,$H169-$F169),0))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7">
        <f>IF($A170="","",$B170+$C170-$D170-$E170)</f>
        <v/>
      </c>
      <c r="H170" s="37">
        <f>IF($A170="","",IFERROR(ROUND($G170*INDEX(tblKurallar[deger_2025],MATCH("AKV-003",tblKurallar[kural_id],0)),2),0))</f>
        <v/>
      </c>
      <c r="I170" s="37">
        <f>IF($A170="","",IFERROR(MAX(0,$H170-$F170),0))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7">
        <f>IF($A171="","",$B171+$C171-$D171-$E171)</f>
        <v/>
      </c>
      <c r="H171" s="37">
        <f>IF($A171="","",IFERROR(ROUND($G171*INDEX(tblKurallar[deger_2025],MATCH("AKV-003",tblKurallar[kural_id],0)),2),0))</f>
        <v/>
      </c>
      <c r="I171" s="37">
        <f>IF($A171="","",IFERROR(MAX(0,$H171-$F171),0))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7">
        <f>IF($A172="","",$B172+$C172-$D172-$E172)</f>
        <v/>
      </c>
      <c r="H172" s="37">
        <f>IF($A172="","",IFERROR(ROUND($G172*INDEX(tblKurallar[deger_2025],MATCH("AKV-003",tblKurallar[kural_id],0)),2),0))</f>
        <v/>
      </c>
      <c r="I172" s="37">
        <f>IF($A172="","",IFERROR(MAX(0,$H172-$F172),0))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7">
        <f>IF($A173="","",$B173+$C173-$D173-$E173)</f>
        <v/>
      </c>
      <c r="H173" s="37">
        <f>IF($A173="","",IFERROR(ROUND($G173*INDEX(tblKurallar[deger_2025],MATCH("AKV-003",tblKurallar[kural_id],0)),2),0))</f>
        <v/>
      </c>
      <c r="I173" s="37">
        <f>IF($A173="","",IFERROR(MAX(0,$H173-$F173),0))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7">
        <f>IF($A174="","",$B174+$C174-$D174-$E174)</f>
        <v/>
      </c>
      <c r="H174" s="37">
        <f>IF($A174="","",IFERROR(ROUND($G174*INDEX(tblKurallar[deger_2025],MATCH("AKV-003",tblKurallar[kural_id],0)),2),0))</f>
        <v/>
      </c>
      <c r="I174" s="37">
        <f>IF($A174="","",IFERROR(MAX(0,$H174-$F174),0))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7">
        <f>IF($A175="","",$B175+$C175-$D175-$E175)</f>
        <v/>
      </c>
      <c r="H175" s="37">
        <f>IF($A175="","",IFERROR(ROUND($G175*INDEX(tblKurallar[deger_2025],MATCH("AKV-003",tblKurallar[kural_id],0)),2),0))</f>
        <v/>
      </c>
      <c r="I175" s="37">
        <f>IF($A175="","",IFERROR(MAX(0,$H175-$F175),0))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7">
        <f>IF($A176="","",$B176+$C176-$D176-$E176)</f>
        <v/>
      </c>
      <c r="H176" s="37">
        <f>IF($A176="","",IFERROR(ROUND($G176*INDEX(tblKurallar[deger_2025],MATCH("AKV-003",tblKurallar[kural_id],0)),2),0))</f>
        <v/>
      </c>
      <c r="I176" s="37">
        <f>IF($A176="","",IFERROR(MAX(0,$H176-$F176),0))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7">
        <f>IF($A177="","",$B177+$C177-$D177-$E177)</f>
        <v/>
      </c>
      <c r="H177" s="37">
        <f>IF($A177="","",IFERROR(ROUND($G177*INDEX(tblKurallar[deger_2025],MATCH("AKV-003",tblKurallar[kural_id],0)),2),0))</f>
        <v/>
      </c>
      <c r="I177" s="37">
        <f>IF($A177="","",IFERROR(MAX(0,$H177-$F177),0))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7">
        <f>IF($A178="","",$B178+$C178-$D178-$E178)</f>
        <v/>
      </c>
      <c r="H178" s="37">
        <f>IF($A178="","",IFERROR(ROUND($G178*INDEX(tblKurallar[deger_2025],MATCH("AKV-003",tblKurallar[kural_id],0)),2),0))</f>
        <v/>
      </c>
      <c r="I178" s="37">
        <f>IF($A178="","",IFERROR(MAX(0,$H178-$F178),0))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7">
        <f>IF($A179="","",$B179+$C179-$D179-$E179)</f>
        <v/>
      </c>
      <c r="H179" s="37">
        <f>IF($A179="","",IFERROR(ROUND($G179*INDEX(tblKurallar[deger_2025],MATCH("AKV-003",tblKurallar[kural_id],0)),2),0))</f>
        <v/>
      </c>
      <c r="I179" s="37">
        <f>IF($A179="","",IFERROR(MAX(0,$H179-$F179),0))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7">
        <f>IF($A180="","",$B180+$C180-$D180-$E180)</f>
        <v/>
      </c>
      <c r="H180" s="37">
        <f>IF($A180="","",IFERROR(ROUND($G180*INDEX(tblKurallar[deger_2025],MATCH("AKV-003",tblKurallar[kural_id],0)),2),0))</f>
        <v/>
      </c>
      <c r="I180" s="37">
        <f>IF($A180="","",IFERROR(MAX(0,$H180-$F180),0))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7">
        <f>IF($A181="","",$B181+$C181-$D181-$E181)</f>
        <v/>
      </c>
      <c r="H181" s="37">
        <f>IF($A181="","",IFERROR(ROUND($G181*INDEX(tblKurallar[deger_2025],MATCH("AKV-003",tblKurallar[kural_id],0)),2),0))</f>
        <v/>
      </c>
      <c r="I181" s="37">
        <f>IF($A181="","",IFERROR(MAX(0,$H181-$F181),0))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7">
        <f>IF($A182="","",$B182+$C182-$D182-$E182)</f>
        <v/>
      </c>
      <c r="H182" s="37">
        <f>IF($A182="","",IFERROR(ROUND($G182*INDEX(tblKurallar[deger_2025],MATCH("AKV-003",tblKurallar[kural_id],0)),2),0))</f>
        <v/>
      </c>
      <c r="I182" s="37">
        <f>IF($A182="","",IFERROR(MAX(0,$H182-$F182),0))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7">
        <f>IF($A183="","",$B183+$C183-$D183-$E183)</f>
        <v/>
      </c>
      <c r="H183" s="37">
        <f>IF($A183="","",IFERROR(ROUND($G183*INDEX(tblKurallar[deger_2025],MATCH("AKV-003",tblKurallar[kural_id],0)),2),0))</f>
        <v/>
      </c>
      <c r="I183" s="37">
        <f>IF($A183="","",IFERROR(MAX(0,$H183-$F183),0))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7">
        <f>IF($A184="","",$B184+$C184-$D184-$E184)</f>
        <v/>
      </c>
      <c r="H184" s="37">
        <f>IF($A184="","",IFERROR(ROUND($G184*INDEX(tblKurallar[deger_2025],MATCH("AKV-003",tblKurallar[kural_id],0)),2),0))</f>
        <v/>
      </c>
      <c r="I184" s="37">
        <f>IF($A184="","",IFERROR(MAX(0,$H184-$F184),0))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7">
        <f>IF($A185="","",$B185+$C185-$D185-$E185)</f>
        <v/>
      </c>
      <c r="H185" s="37">
        <f>IF($A185="","",IFERROR(ROUND($G185*INDEX(tblKurallar[deger_2025],MATCH("AKV-003",tblKurallar[kural_id],0)),2),0))</f>
        <v/>
      </c>
      <c r="I185" s="37">
        <f>IF($A185="","",IFERROR(MAX(0,$H185-$F185),0))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7">
        <f>IF($A186="","",$B186+$C186-$D186-$E186)</f>
        <v/>
      </c>
      <c r="H186" s="37">
        <f>IF($A186="","",IFERROR(ROUND($G186*INDEX(tblKurallar[deger_2025],MATCH("AKV-003",tblKurallar[kural_id],0)),2),0))</f>
        <v/>
      </c>
      <c r="I186" s="37">
        <f>IF($A186="","",IFERROR(MAX(0,$H186-$F186),0))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7">
        <f>IF($A187="","",$B187+$C187-$D187-$E187)</f>
        <v/>
      </c>
      <c r="H187" s="37">
        <f>IF($A187="","",IFERROR(ROUND($G187*INDEX(tblKurallar[deger_2025],MATCH("AKV-003",tblKurallar[kural_id],0)),2),0))</f>
        <v/>
      </c>
      <c r="I187" s="37">
        <f>IF($A187="","",IFERROR(MAX(0,$H187-$F187),0))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7">
        <f>IF($A188="","",$B188+$C188-$D188-$E188)</f>
        <v/>
      </c>
      <c r="H188" s="37">
        <f>IF($A188="","",IFERROR(ROUND($G188*INDEX(tblKurallar[deger_2025],MATCH("AKV-003",tblKurallar[kural_id],0)),2),0))</f>
        <v/>
      </c>
      <c r="I188" s="37">
        <f>IF($A188="","",IFERROR(MAX(0,$H188-$F188),0))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7">
        <f>IF($A189="","",$B189+$C189-$D189-$E189)</f>
        <v/>
      </c>
      <c r="H189" s="37">
        <f>IF($A189="","",IFERROR(ROUND($G189*INDEX(tblKurallar[deger_2025],MATCH("AKV-003",tblKurallar[kural_id],0)),2),0))</f>
        <v/>
      </c>
      <c r="I189" s="37">
        <f>IF($A189="","",IFERROR(MAX(0,$H189-$F189),0))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7">
        <f>IF($A190="","",$B190+$C190-$D190-$E190)</f>
        <v/>
      </c>
      <c r="H190" s="37">
        <f>IF($A190="","",IFERROR(ROUND($G190*INDEX(tblKurallar[deger_2025],MATCH("AKV-003",tblKurallar[kural_id],0)),2),0))</f>
        <v/>
      </c>
      <c r="I190" s="37">
        <f>IF($A190="","",IFERROR(MAX(0,$H190-$F190),0))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7">
        <f>IF($A191="","",$B191+$C191-$D191-$E191)</f>
        <v/>
      </c>
      <c r="H191" s="37">
        <f>IF($A191="","",IFERROR(ROUND($G191*INDEX(tblKurallar[deger_2025],MATCH("AKV-003",tblKurallar[kural_id],0)),2),0))</f>
        <v/>
      </c>
      <c r="I191" s="37">
        <f>IF($A191="","",IFERROR(MAX(0,$H191-$F191),0))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7">
        <f>IF($A192="","",$B192+$C192-$D192-$E192)</f>
        <v/>
      </c>
      <c r="H192" s="37">
        <f>IF($A192="","",IFERROR(ROUND($G192*INDEX(tblKurallar[deger_2025],MATCH("AKV-003",tblKurallar[kural_id],0)),2),0))</f>
        <v/>
      </c>
      <c r="I192" s="37">
        <f>IF($A192="","",IFERROR(MAX(0,$H192-$F192),0))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7">
        <f>IF($A193="","",$B193+$C193-$D193-$E193)</f>
        <v/>
      </c>
      <c r="H193" s="37">
        <f>IF($A193="","",IFERROR(ROUND($G193*INDEX(tblKurallar[deger_2025],MATCH("AKV-003",tblKurallar[kural_id],0)),2),0))</f>
        <v/>
      </c>
      <c r="I193" s="37">
        <f>IF($A193="","",IFERROR(MAX(0,$H193-$F193),0))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7">
        <f>IF($A194="","",$B194+$C194-$D194-$E194)</f>
        <v/>
      </c>
      <c r="H194" s="37">
        <f>IF($A194="","",IFERROR(ROUND($G194*INDEX(tblKurallar[deger_2025],MATCH("AKV-003",tblKurallar[kural_id],0)),2),0))</f>
        <v/>
      </c>
      <c r="I194" s="37">
        <f>IF($A194="","",IFERROR(MAX(0,$H194-$F194),0))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7">
        <f>IF($A195="","",$B195+$C195-$D195-$E195)</f>
        <v/>
      </c>
      <c r="H195" s="37">
        <f>IF($A195="","",IFERROR(ROUND($G195*INDEX(tblKurallar[deger_2025],MATCH("AKV-003",tblKurallar[kural_id],0)),2),0))</f>
        <v/>
      </c>
      <c r="I195" s="37">
        <f>IF($A195="","",IFERROR(MAX(0,$H195-$F195),0))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7">
        <f>IF($A196="","",$B196+$C196-$D196-$E196)</f>
        <v/>
      </c>
      <c r="H196" s="37">
        <f>IF($A196="","",IFERROR(ROUND($G196*INDEX(tblKurallar[deger_2025],MATCH("AKV-003",tblKurallar[kural_id],0)),2),0))</f>
        <v/>
      </c>
      <c r="I196" s="37">
        <f>IF($A196="","",IFERROR(MAX(0,$H196-$F196),0))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7">
        <f>IF($A197="","",$B197+$C197-$D197-$E197)</f>
        <v/>
      </c>
      <c r="H197" s="37">
        <f>IF($A197="","",IFERROR(ROUND($G197*INDEX(tblKurallar[deger_2025],MATCH("AKV-003",tblKurallar[kural_id],0)),2),0))</f>
        <v/>
      </c>
      <c r="I197" s="37">
        <f>IF($A197="","",IFERROR(MAX(0,$H197-$F197),0))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7">
        <f>IF($A198="","",$B198+$C198-$D198-$E198)</f>
        <v/>
      </c>
      <c r="H198" s="37">
        <f>IF($A198="","",IFERROR(ROUND($G198*INDEX(tblKurallar[deger_2025],MATCH("AKV-003",tblKurallar[kural_id],0)),2),0))</f>
        <v/>
      </c>
      <c r="I198" s="37">
        <f>IF($A198="","",IFERROR(MAX(0,$H198-$F198),0))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7">
        <f>IF($A199="","",$B199+$C199-$D199-$E199)</f>
        <v/>
      </c>
      <c r="H199" s="37">
        <f>IF($A199="","",IFERROR(ROUND($G199*INDEX(tblKurallar[deger_2025],MATCH("AKV-003",tblKurallar[kural_id],0)),2),0))</f>
        <v/>
      </c>
      <c r="I199" s="37">
        <f>IF($A199="","",IFERROR(MAX(0,$H199-$F199),0))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7">
        <f>IF($A200="","",$B200+$C200-$D200-$E200)</f>
        <v/>
      </c>
      <c r="H200" s="37">
        <f>IF($A200="","",IFERROR(ROUND($G200*INDEX(tblKurallar[deger_2025],MATCH("AKV-003",tblKurallar[kural_id],0)),2),0))</f>
        <v/>
      </c>
      <c r="I200" s="37">
        <f>IF($A200="","",IFERROR(MAX(0,$H200-$F200),0))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7">
        <f>IF($A201="","",$B201+$C201-$D201-$E201)</f>
        <v/>
      </c>
      <c r="H201" s="37">
        <f>IF($A201="","",IFERROR(ROUND($G201*INDEX(tblKurallar[deger_2025],MATCH("AKV-003",tblKurallar[kural_id],0)),2),0))</f>
        <v/>
      </c>
      <c r="I201" s="37">
        <f>IF($A201="","",IFERROR(MAX(0,$H201-$F201),0))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7">
        <f>IF($A202="","",$B202+$C202-$D202-$E202)</f>
        <v/>
      </c>
      <c r="H202" s="37">
        <f>IF($A202="","",IFERROR(ROUND($G202*INDEX(tblKurallar[deger_2025],MATCH("AKV-003",tblKurallar[kural_id],0)),2),0))</f>
        <v/>
      </c>
      <c r="I202" s="37">
        <f>IF($A202="","",IFERROR(MAX(0,$H202-$F202),0))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7">
        <f>IF($A203="","",$B203+$C203-$D203-$E203)</f>
        <v/>
      </c>
      <c r="H203" s="37">
        <f>IF($A203="","",IFERROR(ROUND($G203*INDEX(tblKurallar[deger_2025],MATCH("AKV-003",tblKurallar[kural_id],0)),2),0))</f>
        <v/>
      </c>
      <c r="I203" s="37">
        <f>IF($A203="","",IFERROR(MAX(0,$H203-$F203),0))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7">
        <f>IF($A204="","",$B204+$C204-$D204-$E204)</f>
        <v/>
      </c>
      <c r="H204" s="37">
        <f>IF($A204="","",IFERROR(ROUND($G204*INDEX(tblKurallar[deger_2025],MATCH("AKV-003",tblKurallar[kural_id],0)),2),0))</f>
        <v/>
      </c>
      <c r="I204" s="37">
        <f>IF($A204="","",IFERROR(MAX(0,$H204-$F204),0))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7">
        <f>IF($A205="","",$B205+$C205-$D205-$E205)</f>
        <v/>
      </c>
      <c r="H205" s="37">
        <f>IF($A205="","",IFERROR(ROUND($G205*INDEX(tblKurallar[deger_2025],MATCH("AKV-003",tblKurallar[kural_id],0)),2),0))</f>
        <v/>
      </c>
      <c r="I205" s="37">
        <f>IF($A205="","",IFERROR(MAX(0,$H205-$F205),0))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7">
        <f>IF($A206="","",$B206+$C206-$D206-$E206)</f>
        <v/>
      </c>
      <c r="H206" s="37">
        <f>IF($A206="","",IFERROR(ROUND($G206*INDEX(tblKurallar[deger_2025],MATCH("AKV-003",tblKurallar[kural_id],0)),2),0))</f>
        <v/>
      </c>
      <c r="I206" s="37">
        <f>IF($A206="","",IFERROR(MAX(0,$H206-$F206),0))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7">
        <f>IF($A207="","",$B207+$C207-$D207-$E207)</f>
        <v/>
      </c>
      <c r="H207" s="37">
        <f>IF($A207="","",IFERROR(ROUND($G207*INDEX(tblKurallar[deger_2025],MATCH("AKV-003",tblKurallar[kural_id],0)),2),0))</f>
        <v/>
      </c>
      <c r="I207" s="37">
        <f>IF($A207="","",IFERROR(MAX(0,$H207-$F207),0))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7">
        <f>IF($A208="","",$B208+$C208-$D208-$E208)</f>
        <v/>
      </c>
      <c r="H208" s="37">
        <f>IF($A208="","",IFERROR(ROUND($G208*INDEX(tblKurallar[deger_2025],MATCH("AKV-003",tblKurallar[kural_id],0)),2),0))</f>
        <v/>
      </c>
      <c r="I208" s="37">
        <f>IF($A208="","",IFERROR(MAX(0,$H208-$F208),0))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7">
        <f>IF($A209="","",$B209+$C209-$D209-$E209)</f>
        <v/>
      </c>
      <c r="H209" s="37">
        <f>IF($A209="","",IFERROR(ROUND($G209*INDEX(tblKurallar[deger_2025],MATCH("AKV-003",tblKurallar[kural_id],0)),2),0))</f>
        <v/>
      </c>
      <c r="I209" s="37">
        <f>IF($A209="","",IFERROR(MAX(0,$H209-$F209),0))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7">
        <f>IF($A210="","",$B210+$C210-$D210-$E210)</f>
        <v/>
      </c>
      <c r="H210" s="37">
        <f>IF($A210="","",IFERROR(ROUND($G210*INDEX(tblKurallar[deger_2025],MATCH("AKV-003",tblKurallar[kural_id],0)),2),0))</f>
        <v/>
      </c>
      <c r="I210" s="37">
        <f>IF($A210="","",IFERROR(MAX(0,$H210-$F210),0))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7">
        <f>IF($A211="","",$B211+$C211-$D211-$E211)</f>
        <v/>
      </c>
      <c r="H211" s="37">
        <f>IF($A211="","",IFERROR(ROUND($G211*INDEX(tblKurallar[deger_2025],MATCH("AKV-003",tblKurallar[kural_id],0)),2),0))</f>
        <v/>
      </c>
      <c r="I211" s="37">
        <f>IF($A211="","",IFERROR(MAX(0,$H211-$F211),0))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7">
        <f>IF($A212="","",$B212+$C212-$D212-$E212)</f>
        <v/>
      </c>
      <c r="H212" s="37">
        <f>IF($A212="","",IFERROR(ROUND($G212*INDEX(tblKurallar[deger_2025],MATCH("AKV-003",tblKurallar[kural_id],0)),2),0))</f>
        <v/>
      </c>
      <c r="I212" s="37">
        <f>IF($A212="","",IFERROR(MAX(0,$H212-$F212),0))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7">
        <f>IF($A213="","",$B213+$C213-$D213-$E213)</f>
        <v/>
      </c>
      <c r="H213" s="37">
        <f>IF($A213="","",IFERROR(ROUND($G213*INDEX(tblKurallar[deger_2025],MATCH("AKV-003",tblKurallar[kural_id],0)),2),0))</f>
        <v/>
      </c>
      <c r="I213" s="37">
        <f>IF($A213="","",IFERROR(MAX(0,$H213-$F213),0))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7">
        <f>IF($A214="","",$B214+$C214-$D214-$E214)</f>
        <v/>
      </c>
      <c r="H214" s="37">
        <f>IF($A214="","",IFERROR(ROUND($G214*INDEX(tblKurallar[deger_2025],MATCH("AKV-003",tblKurallar[kural_id],0)),2),0))</f>
        <v/>
      </c>
      <c r="I214" s="37">
        <f>IF($A214="","",IFERROR(MAX(0,$H214-$F214),0))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7">
        <f>IF($A215="","",$B215+$C215-$D215-$E215)</f>
        <v/>
      </c>
      <c r="H215" s="37">
        <f>IF($A215="","",IFERROR(ROUND($G215*INDEX(tblKurallar[deger_2025],MATCH("AKV-003",tblKurallar[kural_id],0)),2),0))</f>
        <v/>
      </c>
      <c r="I215" s="37">
        <f>IF($A215="","",IFERROR(MAX(0,$H215-$F215),0))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7">
        <f>IF($A216="","",$B216+$C216-$D216-$E216)</f>
        <v/>
      </c>
      <c r="H216" s="37">
        <f>IF($A216="","",IFERROR(ROUND($G216*INDEX(tblKurallar[deger_2025],MATCH("AKV-003",tblKurallar[kural_id],0)),2),0))</f>
        <v/>
      </c>
      <c r="I216" s="37">
        <f>IF($A216="","",IFERROR(MAX(0,$H216-$F216),0))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7">
        <f>IF($A217="","",$B217+$C217-$D217-$E217)</f>
        <v/>
      </c>
      <c r="H217" s="37">
        <f>IF($A217="","",IFERROR(ROUND($G217*INDEX(tblKurallar[deger_2025],MATCH("AKV-003",tblKurallar[kural_id],0)),2),0))</f>
        <v/>
      </c>
      <c r="I217" s="37">
        <f>IF($A217="","",IFERROR(MAX(0,$H217-$F217),0))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7">
        <f>IF($A218="","",$B218+$C218-$D218-$E218)</f>
        <v/>
      </c>
      <c r="H218" s="37">
        <f>IF($A218="","",IFERROR(ROUND($G218*INDEX(tblKurallar[deger_2025],MATCH("AKV-003",tblKurallar[kural_id],0)),2),0))</f>
        <v/>
      </c>
      <c r="I218" s="37">
        <f>IF($A218="","",IFERROR(MAX(0,$H218-$F218),0))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7">
        <f>IF($A219="","",$B219+$C219-$D219-$E219)</f>
        <v/>
      </c>
      <c r="H219" s="37">
        <f>IF($A219="","",IFERROR(ROUND($G219*INDEX(tblKurallar[deger_2025],MATCH("AKV-003",tblKurallar[kural_id],0)),2),0))</f>
        <v/>
      </c>
      <c r="I219" s="37">
        <f>IF($A219="","",IFERROR(MAX(0,$H219-$F219),0))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7">
        <f>IF($A220="","",$B220+$C220-$D220-$E220)</f>
        <v/>
      </c>
      <c r="H220" s="37">
        <f>IF($A220="","",IFERROR(ROUND($G220*INDEX(tblKurallar[deger_2025],MATCH("AKV-003",tblKurallar[kural_id],0)),2),0))</f>
        <v/>
      </c>
      <c r="I220" s="37">
        <f>IF($A220="","",IFERROR(MAX(0,$H220-$F220),0))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7">
        <f>IF($A221="","",$B221+$C221-$D221-$E221)</f>
        <v/>
      </c>
      <c r="H221" s="37">
        <f>IF($A221="","",IFERROR(ROUND($G221*INDEX(tblKurallar[deger_2025],MATCH("AKV-003",tblKurallar[kural_id],0)),2),0))</f>
        <v/>
      </c>
      <c r="I221" s="37">
        <f>IF($A221="","",IFERROR(MAX(0,$H221-$F221),0))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7">
        <f>IF($A222="","",$B222+$C222-$D222-$E222)</f>
        <v/>
      </c>
      <c r="H222" s="37">
        <f>IF($A222="","",IFERROR(ROUND($G222*INDEX(tblKurallar[deger_2025],MATCH("AKV-003",tblKurallar[kural_id],0)),2),0))</f>
        <v/>
      </c>
      <c r="I222" s="37">
        <f>IF($A222="","",IFERROR(MAX(0,$H222-$F222),0))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7">
        <f>IF($A223="","",$B223+$C223-$D223-$E223)</f>
        <v/>
      </c>
      <c r="H223" s="37">
        <f>IF($A223="","",IFERROR(ROUND($G223*INDEX(tblKurallar[deger_2025],MATCH("AKV-003",tblKurallar[kural_id],0)),2),0))</f>
        <v/>
      </c>
      <c r="I223" s="37">
        <f>IF($A223="","",IFERROR(MAX(0,$H223-$F223),0))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7">
        <f>IF($A224="","",$B224+$C224-$D224-$E224)</f>
        <v/>
      </c>
      <c r="H224" s="37">
        <f>IF($A224="","",IFERROR(ROUND($G224*INDEX(tblKurallar[deger_2025],MATCH("AKV-003",tblKurallar[kural_id],0)),2),0))</f>
        <v/>
      </c>
      <c r="I224" s="37">
        <f>IF($A224="","",IFERROR(MAX(0,$H224-$F224),0))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7">
        <f>IF($A225="","",$B225+$C225-$D225-$E225)</f>
        <v/>
      </c>
      <c r="H225" s="37">
        <f>IF($A225="","",IFERROR(ROUND($G225*INDEX(tblKurallar[deger_2025],MATCH("AKV-003",tblKurallar[kural_id],0)),2),0))</f>
        <v/>
      </c>
      <c r="I225" s="37">
        <f>IF($A225="","",IFERROR(MAX(0,$H225-$F225),0))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7">
        <f>IF($A226="","",$B226+$C226-$D226-$E226)</f>
        <v/>
      </c>
      <c r="H226" s="37">
        <f>IF($A226="","",IFERROR(ROUND($G226*INDEX(tblKurallar[deger_2025],MATCH("AKV-003",tblKurallar[kural_id],0)),2),0))</f>
        <v/>
      </c>
      <c r="I226" s="37">
        <f>IF($A226="","",IFERROR(MAX(0,$H226-$F226),0))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7">
        <f>IF($A227="","",$B227+$C227-$D227-$E227)</f>
        <v/>
      </c>
      <c r="H227" s="37">
        <f>IF($A227="","",IFERROR(ROUND($G227*INDEX(tblKurallar[deger_2025],MATCH("AKV-003",tblKurallar[kural_id],0)),2),0))</f>
        <v/>
      </c>
      <c r="I227" s="37">
        <f>IF($A227="","",IFERROR(MAX(0,$H227-$F227),0))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7">
        <f>IF($A228="","",$B228+$C228-$D228-$E228)</f>
        <v/>
      </c>
      <c r="H228" s="37">
        <f>IF($A228="","",IFERROR(ROUND($G228*INDEX(tblKurallar[deger_2025],MATCH("AKV-003",tblKurallar[kural_id],0)),2),0))</f>
        <v/>
      </c>
      <c r="I228" s="37">
        <f>IF($A228="","",IFERROR(MAX(0,$H228-$F228),0))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7">
        <f>IF($A229="","",$B229+$C229-$D229-$E229)</f>
        <v/>
      </c>
      <c r="H229" s="37">
        <f>IF($A229="","",IFERROR(ROUND($G229*INDEX(tblKurallar[deger_2025],MATCH("AKV-003",tblKurallar[kural_id],0)),2),0))</f>
        <v/>
      </c>
      <c r="I229" s="37">
        <f>IF($A229="","",IFERROR(MAX(0,$H229-$F229),0))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7">
        <f>IF($A230="","",$B230+$C230-$D230-$E230)</f>
        <v/>
      </c>
      <c r="H230" s="37">
        <f>IF($A230="","",IFERROR(ROUND($G230*INDEX(tblKurallar[deger_2025],MATCH("AKV-003",tblKurallar[kural_id],0)),2),0))</f>
        <v/>
      </c>
      <c r="I230" s="37">
        <f>IF($A230="","",IFERROR(MAX(0,$H230-$F230),0))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7">
        <f>IF($A231="","",$B231+$C231-$D231-$E231)</f>
        <v/>
      </c>
      <c r="H231" s="37">
        <f>IF($A231="","",IFERROR(ROUND($G231*INDEX(tblKurallar[deger_2025],MATCH("AKV-003",tblKurallar[kural_id],0)),2),0))</f>
        <v/>
      </c>
      <c r="I231" s="37">
        <f>IF($A231="","",IFERROR(MAX(0,$H231-$F231),0))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7">
        <f>IF($A232="","",$B232+$C232-$D232-$E232)</f>
        <v/>
      </c>
      <c r="H232" s="37">
        <f>IF($A232="","",IFERROR(ROUND($G232*INDEX(tblKurallar[deger_2025],MATCH("AKV-003",tblKurallar[kural_id],0)),2),0))</f>
        <v/>
      </c>
      <c r="I232" s="37">
        <f>IF($A232="","",IFERROR(MAX(0,$H232-$F232),0))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7">
        <f>IF($A233="","",$B233+$C233-$D233-$E233)</f>
        <v/>
      </c>
      <c r="H233" s="37">
        <f>IF($A233="","",IFERROR(ROUND($G233*INDEX(tblKurallar[deger_2025],MATCH("AKV-003",tblKurallar[kural_id],0)),2),0))</f>
        <v/>
      </c>
      <c r="I233" s="37">
        <f>IF($A233="","",IFERROR(MAX(0,$H233-$F233),0))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7">
        <f>IF($A234="","",$B234+$C234-$D234-$E234)</f>
        <v/>
      </c>
      <c r="H234" s="37">
        <f>IF($A234="","",IFERROR(ROUND($G234*INDEX(tblKurallar[deger_2025],MATCH("AKV-003",tblKurallar[kural_id],0)),2),0))</f>
        <v/>
      </c>
      <c r="I234" s="37">
        <f>IF($A234="","",IFERROR(MAX(0,$H234-$F234),0))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7">
        <f>IF($A235="","",$B235+$C235-$D235-$E235)</f>
        <v/>
      </c>
      <c r="H235" s="37">
        <f>IF($A235="","",IFERROR(ROUND($G235*INDEX(tblKurallar[deger_2025],MATCH("AKV-003",tblKurallar[kural_id],0)),2),0))</f>
        <v/>
      </c>
      <c r="I235" s="37">
        <f>IF($A235="","",IFERROR(MAX(0,$H235-$F235),0))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7">
        <f>IF($A236="","",$B236+$C236-$D236-$E236)</f>
        <v/>
      </c>
      <c r="H236" s="37">
        <f>IF($A236="","",IFERROR(ROUND($G236*INDEX(tblKurallar[deger_2025],MATCH("AKV-003",tblKurallar[kural_id],0)),2),0))</f>
        <v/>
      </c>
      <c r="I236" s="37">
        <f>IF($A236="","",IFERROR(MAX(0,$H236-$F236),0))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7">
        <f>IF($A237="","",$B237+$C237-$D237-$E237)</f>
        <v/>
      </c>
      <c r="H237" s="37">
        <f>IF($A237="","",IFERROR(ROUND($G237*INDEX(tblKurallar[deger_2025],MATCH("AKV-003",tblKurallar[kural_id],0)),2),0))</f>
        <v/>
      </c>
      <c r="I237" s="37">
        <f>IF($A237="","",IFERROR(MAX(0,$H237-$F237),0))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7">
        <f>IF($A238="","",$B238+$C238-$D238-$E238)</f>
        <v/>
      </c>
      <c r="H238" s="37">
        <f>IF($A238="","",IFERROR(ROUND($G238*INDEX(tblKurallar[deger_2025],MATCH("AKV-003",tblKurallar[kural_id],0)),2),0))</f>
        <v/>
      </c>
      <c r="I238" s="37">
        <f>IF($A238="","",IFERROR(MAX(0,$H238-$F238),0))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7">
        <f>IF($A239="","",$B239+$C239-$D239-$E239)</f>
        <v/>
      </c>
      <c r="H239" s="37">
        <f>IF($A239="","",IFERROR(ROUND($G239*INDEX(tblKurallar[deger_2025],MATCH("AKV-003",tblKurallar[kural_id],0)),2),0))</f>
        <v/>
      </c>
      <c r="I239" s="37">
        <f>IF($A239="","",IFERROR(MAX(0,$H239-$F239),0))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7">
        <f>IF($A240="","",$B240+$C240-$D240-$E240)</f>
        <v/>
      </c>
      <c r="H240" s="37">
        <f>IF($A240="","",IFERROR(ROUND($G240*INDEX(tblKurallar[deger_2025],MATCH("AKV-003",tblKurallar[kural_id],0)),2),0))</f>
        <v/>
      </c>
      <c r="I240" s="37">
        <f>IF($A240="","",IFERROR(MAX(0,$H240-$F240),0))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7">
        <f>IF($A241="","",$B241+$C241-$D241-$E241)</f>
        <v/>
      </c>
      <c r="H241" s="37">
        <f>IF($A241="","",IFERROR(ROUND($G241*INDEX(tblKurallar[deger_2025],MATCH("AKV-003",tblKurallar[kural_id],0)),2),0))</f>
        <v/>
      </c>
      <c r="I241" s="37">
        <f>IF($A241="","",IFERROR(MAX(0,$H241-$F241),0))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7">
        <f>IF($A242="","",$B242+$C242-$D242-$E242)</f>
        <v/>
      </c>
      <c r="H242" s="37">
        <f>IF($A242="","",IFERROR(ROUND($G242*INDEX(tblKurallar[deger_2025],MATCH("AKV-003",tblKurallar[kural_id],0)),2),0))</f>
        <v/>
      </c>
      <c r="I242" s="37">
        <f>IF($A242="","",IFERROR(MAX(0,$H242-$F242),0))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7">
        <f>IF($A243="","",$B243+$C243-$D243-$E243)</f>
        <v/>
      </c>
      <c r="H243" s="37">
        <f>IF($A243="","",IFERROR(ROUND($G243*INDEX(tblKurallar[deger_2025],MATCH("AKV-003",tblKurallar[kural_id],0)),2),0))</f>
        <v/>
      </c>
      <c r="I243" s="37">
        <f>IF($A243="","",IFERROR(MAX(0,$H243-$F243),0))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7">
        <f>IF($A244="","",$B244+$C244-$D244-$E244)</f>
        <v/>
      </c>
      <c r="H244" s="37">
        <f>IF($A244="","",IFERROR(ROUND($G244*INDEX(tblKurallar[deger_2025],MATCH("AKV-003",tblKurallar[kural_id],0)),2),0))</f>
        <v/>
      </c>
      <c r="I244" s="37">
        <f>IF($A244="","",IFERROR(MAX(0,$H244-$F244),0))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7">
        <f>IF($A245="","",$B245+$C245-$D245-$E245)</f>
        <v/>
      </c>
      <c r="H245" s="37">
        <f>IF($A245="","",IFERROR(ROUND($G245*INDEX(tblKurallar[deger_2025],MATCH("AKV-003",tblKurallar[kural_id],0)),2),0))</f>
        <v/>
      </c>
      <c r="I245" s="37">
        <f>IF($A245="","",IFERROR(MAX(0,$H245-$F245),0))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7">
        <f>IF($A246="","",$B246+$C246-$D246-$E246)</f>
        <v/>
      </c>
      <c r="H246" s="37">
        <f>IF($A246="","",IFERROR(ROUND($G246*INDEX(tblKurallar[deger_2025],MATCH("AKV-003",tblKurallar[kural_id],0)),2),0))</f>
        <v/>
      </c>
      <c r="I246" s="37">
        <f>IF($A246="","",IFERROR(MAX(0,$H246-$F246),0))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7">
        <f>IF($A247="","",$B247+$C247-$D247-$E247)</f>
        <v/>
      </c>
      <c r="H247" s="37">
        <f>IF($A247="","",IFERROR(ROUND($G247*INDEX(tblKurallar[deger_2025],MATCH("AKV-003",tblKurallar[kural_id],0)),2),0))</f>
        <v/>
      </c>
      <c r="I247" s="37">
        <f>IF($A247="","",IFERROR(MAX(0,$H247-$F247),0))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7">
        <f>IF($A248="","",$B248+$C248-$D248-$E248)</f>
        <v/>
      </c>
      <c r="H248" s="37">
        <f>IF($A248="","",IFERROR(ROUND($G248*INDEX(tblKurallar[deger_2025],MATCH("AKV-003",tblKurallar[kural_id],0)),2),0))</f>
        <v/>
      </c>
      <c r="I248" s="37">
        <f>IF($A248="","",IFERROR(MAX(0,$H248-$F248),0))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7">
        <f>IF($A249="","",$B249+$C249-$D249-$E249)</f>
        <v/>
      </c>
      <c r="H249" s="37">
        <f>IF($A249="","",IFERROR(ROUND($G249*INDEX(tblKurallar[deger_2025],MATCH("AKV-003",tblKurallar[kural_id],0)),2),0))</f>
        <v/>
      </c>
      <c r="I249" s="37">
        <f>IF($A249="","",IFERROR(MAX(0,$H249-$F249),0))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7">
        <f>IF($A250="","",$B250+$C250-$D250-$E250)</f>
        <v/>
      </c>
      <c r="H250" s="37">
        <f>IF($A250="","",IFERROR(ROUND($G250*INDEX(tblKurallar[deger_2025],MATCH("AKV-003",tblKurallar[kural_id],0)),2),0))</f>
        <v/>
      </c>
      <c r="I250" s="37">
        <f>IF($A250="","",IFERROR(MAX(0,$H250-$F250),0))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7">
        <f>IF($A251="","",$B251+$C251-$D251-$E251)</f>
        <v/>
      </c>
      <c r="H251" s="37">
        <f>IF($A251="","",IFERROR(ROUND($G251*INDEX(tblKurallar[deger_2025],MATCH("AKV-003",tblKurallar[kural_id],0)),2),0))</f>
        <v/>
      </c>
      <c r="I251" s="37">
        <f>IF($A251="","",IFERROR(MAX(0,$H251-$F251),0))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7">
        <f>IF($A252="","",$B252+$C252-$D252-$E252)</f>
        <v/>
      </c>
      <c r="H252" s="37">
        <f>IF($A252="","",IFERROR(ROUND($G252*INDEX(tblKurallar[deger_2025],MATCH("AKV-003",tblKurallar[kural_id],0)),2),0))</f>
        <v/>
      </c>
      <c r="I252" s="37">
        <f>IF($A252="","",IFERROR(MAX(0,$H252-$F252),0))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7">
        <f>IF($A253="","",$B253+$C253-$D253-$E253)</f>
        <v/>
      </c>
      <c r="H253" s="37">
        <f>IF($A253="","",IFERROR(ROUND($G253*INDEX(tblKurallar[deger_2025],MATCH("AKV-003",tblKurallar[kural_id],0)),2),0))</f>
        <v/>
      </c>
      <c r="I253" s="37">
        <f>IF($A253="","",IFERROR(MAX(0,$H253-$F253),0))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7">
        <f>IF($A254="","",$B254+$C254-$D254-$E254)</f>
        <v/>
      </c>
      <c r="H254" s="37">
        <f>IF($A254="","",IFERROR(ROUND($G254*INDEX(tblKurallar[deger_2025],MATCH("AKV-003",tblKurallar[kural_id],0)),2),0))</f>
        <v/>
      </c>
      <c r="I254" s="37">
        <f>IF($A254="","",IFERROR(MAX(0,$H254-$F254),0))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7">
        <f>IF($A255="","",$B255+$C255-$D255-$E255)</f>
        <v/>
      </c>
      <c r="H255" s="37">
        <f>IF($A255="","",IFERROR(ROUND($G255*INDEX(tblKurallar[deger_2025],MATCH("AKV-003",tblKurallar[kural_id],0)),2),0))</f>
        <v/>
      </c>
      <c r="I255" s="37">
        <f>IF($A255="","",IFERROR(MAX(0,$H255-$F255),0))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7">
        <f>IF($A256="","",$B256+$C256-$D256-$E256)</f>
        <v/>
      </c>
      <c r="H256" s="37">
        <f>IF($A256="","",IFERROR(ROUND($G256*INDEX(tblKurallar[deger_2025],MATCH("AKV-003",tblKurallar[kural_id],0)),2),0))</f>
        <v/>
      </c>
      <c r="I256" s="37">
        <f>IF($A256="","",IFERROR(MAX(0,$H256-$F256),0))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7">
        <f>IF($A257="","",$B257+$C257-$D257-$E257)</f>
        <v/>
      </c>
      <c r="H257" s="37">
        <f>IF($A257="","",IFERROR(ROUND($G257*INDEX(tblKurallar[deger_2025],MATCH("AKV-003",tblKurallar[kural_id],0)),2),0))</f>
        <v/>
      </c>
      <c r="I257" s="37">
        <f>IF($A257="","",IFERROR(MAX(0,$H257-$F257),0))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7">
        <f>IF($A258="","",$B258+$C258-$D258-$E258)</f>
        <v/>
      </c>
      <c r="H258" s="37">
        <f>IF($A258="","",IFERROR(ROUND($G258*INDEX(tblKurallar[deger_2025],MATCH("AKV-003",tblKurallar[kural_id],0)),2),0))</f>
        <v/>
      </c>
      <c r="I258" s="37">
        <f>IF($A258="","",IFERROR(MAX(0,$H258-$F258),0))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7">
        <f>IF($A259="","",$B259+$C259-$D259-$E259)</f>
        <v/>
      </c>
      <c r="H259" s="37">
        <f>IF($A259="","",IFERROR(ROUND($G259*INDEX(tblKurallar[deger_2025],MATCH("AKV-003",tblKurallar[kural_id],0)),2),0))</f>
        <v/>
      </c>
      <c r="I259" s="37">
        <f>IF($A259="","",IFERROR(MAX(0,$H259-$F259),0))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7">
        <f>IF($A260="","",$B260+$C260-$D260-$E260)</f>
        <v/>
      </c>
      <c r="H260" s="37">
        <f>IF($A260="","",IFERROR(ROUND($G260*INDEX(tblKurallar[deger_2025],MATCH("AKV-003",tblKurallar[kural_id],0)),2),0))</f>
        <v/>
      </c>
      <c r="I260" s="37">
        <f>IF($A260="","",IFERROR(MAX(0,$H260-$F260),0))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7">
        <f>IF($A261="","",$B261+$C261-$D261-$E261)</f>
        <v/>
      </c>
      <c r="H261" s="37">
        <f>IF($A261="","",IFERROR(ROUND($G261*INDEX(tblKurallar[deger_2025],MATCH("AKV-003",tblKurallar[kural_id],0)),2),0))</f>
        <v/>
      </c>
      <c r="I261" s="37">
        <f>IF($A261="","",IFERROR(MAX(0,$H261-$F261),0))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7">
        <f>IF($A262="","",$B262+$C262-$D262-$E262)</f>
        <v/>
      </c>
      <c r="H262" s="37">
        <f>IF($A262="","",IFERROR(ROUND($G262*INDEX(tblKurallar[deger_2025],MATCH("AKV-003",tblKurallar[kural_id],0)),2),0))</f>
        <v/>
      </c>
      <c r="I262" s="37">
        <f>IF($A262="","",IFERROR(MAX(0,$H262-$F262),0))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7">
        <f>IF($A263="","",$B263+$C263-$D263-$E263)</f>
        <v/>
      </c>
      <c r="H263" s="37">
        <f>IF($A263="","",IFERROR(ROUND($G263*INDEX(tblKurallar[deger_2025],MATCH("AKV-003",tblKurallar[kural_id],0)),2),0))</f>
        <v/>
      </c>
      <c r="I263" s="37">
        <f>IF($A263="","",IFERROR(MAX(0,$H263-$F263),0))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7">
        <f>IF($A264="","",$B264+$C264-$D264-$E264)</f>
        <v/>
      </c>
      <c r="H264" s="37">
        <f>IF($A264="","",IFERROR(ROUND($G264*INDEX(tblKurallar[deger_2025],MATCH("AKV-003",tblKurallar[kural_id],0)),2),0))</f>
        <v/>
      </c>
      <c r="I264" s="37">
        <f>IF($A264="","",IFERROR(MAX(0,$H264-$F264),0))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7">
        <f>IF($A265="","",$B265+$C265-$D265-$E265)</f>
        <v/>
      </c>
      <c r="H265" s="37">
        <f>IF($A265="","",IFERROR(ROUND($G265*INDEX(tblKurallar[deger_2025],MATCH("AKV-003",tblKurallar[kural_id],0)),2),0))</f>
        <v/>
      </c>
      <c r="I265" s="37">
        <f>IF($A265="","",IFERROR(MAX(0,$H265-$F265),0))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7">
        <f>IF($A266="","",$B266+$C266-$D266-$E266)</f>
        <v/>
      </c>
      <c r="H266" s="37">
        <f>IF($A266="","",IFERROR(ROUND($G266*INDEX(tblKurallar[deger_2025],MATCH("AKV-003",tblKurallar[kural_id],0)),2),0))</f>
        <v/>
      </c>
      <c r="I266" s="37">
        <f>IF($A266="","",IFERROR(MAX(0,$H266-$F266),0))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7">
        <f>IF($A267="","",$B267+$C267-$D267-$E267)</f>
        <v/>
      </c>
      <c r="H267" s="37">
        <f>IF($A267="","",IFERROR(ROUND($G267*INDEX(tblKurallar[deger_2025],MATCH("AKV-003",tblKurallar[kural_id],0)),2),0))</f>
        <v/>
      </c>
      <c r="I267" s="37">
        <f>IF($A267="","",IFERROR(MAX(0,$H267-$F267),0))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7">
        <f>IF($A268="","",$B268+$C268-$D268-$E268)</f>
        <v/>
      </c>
      <c r="H268" s="37">
        <f>IF($A268="","",IFERROR(ROUND($G268*INDEX(tblKurallar[deger_2025],MATCH("AKV-003",tblKurallar[kural_id],0)),2),0))</f>
        <v/>
      </c>
      <c r="I268" s="37">
        <f>IF($A268="","",IFERROR(MAX(0,$H268-$F268),0))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7">
        <f>IF($A269="","",$B269+$C269-$D269-$E269)</f>
        <v/>
      </c>
      <c r="H269" s="37">
        <f>IF($A269="","",IFERROR(ROUND($G269*INDEX(tblKurallar[deger_2025],MATCH("AKV-003",tblKurallar[kural_id],0)),2),0))</f>
        <v/>
      </c>
      <c r="I269" s="37">
        <f>IF($A269="","",IFERROR(MAX(0,$H269-$F269),0))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7">
        <f>IF($A270="","",$B270+$C270-$D270-$E270)</f>
        <v/>
      </c>
      <c r="H270" s="37">
        <f>IF($A270="","",IFERROR(ROUND($G270*INDEX(tblKurallar[deger_2025],MATCH("AKV-003",tblKurallar[kural_id],0)),2),0))</f>
        <v/>
      </c>
      <c r="I270" s="37">
        <f>IF($A270="","",IFERROR(MAX(0,$H270-$F270),0))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7">
        <f>IF($A271="","",$B271+$C271-$D271-$E271)</f>
        <v/>
      </c>
      <c r="H271" s="37">
        <f>IF($A271="","",IFERROR(ROUND($G271*INDEX(tblKurallar[deger_2025],MATCH("AKV-003",tblKurallar[kural_id],0)),2),0))</f>
        <v/>
      </c>
      <c r="I271" s="37">
        <f>IF($A271="","",IFERROR(MAX(0,$H271-$F271),0))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7">
        <f>IF($A272="","",$B272+$C272-$D272-$E272)</f>
        <v/>
      </c>
      <c r="H272" s="37">
        <f>IF($A272="","",IFERROR(ROUND($G272*INDEX(tblKurallar[deger_2025],MATCH("AKV-003",tblKurallar[kural_id],0)),2),0))</f>
        <v/>
      </c>
      <c r="I272" s="37">
        <f>IF($A272="","",IFERROR(MAX(0,$H272-$F272),0))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7">
        <f>IF($A273="","",$B273+$C273-$D273-$E273)</f>
        <v/>
      </c>
      <c r="H273" s="37">
        <f>IF($A273="","",IFERROR(ROUND($G273*INDEX(tblKurallar[deger_2025],MATCH("AKV-003",tblKurallar[kural_id],0)),2),0))</f>
        <v/>
      </c>
      <c r="I273" s="37">
        <f>IF($A273="","",IFERROR(MAX(0,$H273-$F273),0))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7">
        <f>IF($A274="","",$B274+$C274-$D274-$E274)</f>
        <v/>
      </c>
      <c r="H274" s="37">
        <f>IF($A274="","",IFERROR(ROUND($G274*INDEX(tblKurallar[deger_2025],MATCH("AKV-003",tblKurallar[kural_id],0)),2),0))</f>
        <v/>
      </c>
      <c r="I274" s="37">
        <f>IF($A274="","",IFERROR(MAX(0,$H274-$F274),0))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7">
        <f>IF($A275="","",$B275+$C275-$D275-$E275)</f>
        <v/>
      </c>
      <c r="H275" s="37">
        <f>IF($A275="","",IFERROR(ROUND($G275*INDEX(tblKurallar[deger_2025],MATCH("AKV-003",tblKurallar[kural_id],0)),2),0))</f>
        <v/>
      </c>
      <c r="I275" s="37">
        <f>IF($A275="","",IFERROR(MAX(0,$H275-$F275),0))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7">
        <f>IF($A276="","",$B276+$C276-$D276-$E276)</f>
        <v/>
      </c>
      <c r="H276" s="37">
        <f>IF($A276="","",IFERROR(ROUND($G276*INDEX(tblKurallar[deger_2025],MATCH("AKV-003",tblKurallar[kural_id],0)),2),0))</f>
        <v/>
      </c>
      <c r="I276" s="37">
        <f>IF($A276="","",IFERROR(MAX(0,$H276-$F276),0))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7">
        <f>IF($A277="","",$B277+$C277-$D277-$E277)</f>
        <v/>
      </c>
      <c r="H277" s="37">
        <f>IF($A277="","",IFERROR(ROUND($G277*INDEX(tblKurallar[deger_2025],MATCH("AKV-003",tblKurallar[kural_id],0)),2),0))</f>
        <v/>
      </c>
      <c r="I277" s="37">
        <f>IF($A277="","",IFERROR(MAX(0,$H277-$F277),0))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7">
        <f>IF($A278="","",$B278+$C278-$D278-$E278)</f>
        <v/>
      </c>
      <c r="H278" s="37">
        <f>IF($A278="","",IFERROR(ROUND($G278*INDEX(tblKurallar[deger_2025],MATCH("AKV-003",tblKurallar[kural_id],0)),2),0))</f>
        <v/>
      </c>
      <c r="I278" s="37">
        <f>IF($A278="","",IFERROR(MAX(0,$H278-$F278),0))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7">
        <f>IF($A279="","",$B279+$C279-$D279-$E279)</f>
        <v/>
      </c>
      <c r="H279" s="37">
        <f>IF($A279="","",IFERROR(ROUND($G279*INDEX(tblKurallar[deger_2025],MATCH("AKV-003",tblKurallar[kural_id],0)),2),0))</f>
        <v/>
      </c>
      <c r="I279" s="37">
        <f>IF($A279="","",IFERROR(MAX(0,$H279-$F279),0))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7">
        <f>IF($A280="","",$B280+$C280-$D280-$E280)</f>
        <v/>
      </c>
      <c r="H280" s="37">
        <f>IF($A280="","",IFERROR(ROUND($G280*INDEX(tblKurallar[deger_2025],MATCH("AKV-003",tblKurallar[kural_id],0)),2),0))</f>
        <v/>
      </c>
      <c r="I280" s="37">
        <f>IF($A280="","",IFERROR(MAX(0,$H280-$F280),0))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7">
        <f>IF($A281="","",$B281+$C281-$D281-$E281)</f>
        <v/>
      </c>
      <c r="H281" s="37">
        <f>IF($A281="","",IFERROR(ROUND($G281*INDEX(tblKurallar[deger_2025],MATCH("AKV-003",tblKurallar[kural_id],0)),2),0))</f>
        <v/>
      </c>
      <c r="I281" s="37">
        <f>IF($A281="","",IFERROR(MAX(0,$H281-$F281),0))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7">
        <f>IF($A282="","",$B282+$C282-$D282-$E282)</f>
        <v/>
      </c>
      <c r="H282" s="37">
        <f>IF($A282="","",IFERROR(ROUND($G282*INDEX(tblKurallar[deger_2025],MATCH("AKV-003",tblKurallar[kural_id],0)),2),0))</f>
        <v/>
      </c>
      <c r="I282" s="37">
        <f>IF($A282="","",IFERROR(MAX(0,$H282-$F282),0))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7">
        <f>IF($A283="","",$B283+$C283-$D283-$E283)</f>
        <v/>
      </c>
      <c r="H283" s="37">
        <f>IF($A283="","",IFERROR(ROUND($G283*INDEX(tblKurallar[deger_2025],MATCH("AKV-003",tblKurallar[kural_id],0)),2),0))</f>
        <v/>
      </c>
      <c r="I283" s="37">
        <f>IF($A283="","",IFERROR(MAX(0,$H283-$F283),0))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7">
        <f>IF($A284="","",$B284+$C284-$D284-$E284)</f>
        <v/>
      </c>
      <c r="H284" s="37">
        <f>IF($A284="","",IFERROR(ROUND($G284*INDEX(tblKurallar[deger_2025],MATCH("AKV-003",tblKurallar[kural_id],0)),2),0))</f>
        <v/>
      </c>
      <c r="I284" s="37">
        <f>IF($A284="","",IFERROR(MAX(0,$H284-$F284),0))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7">
        <f>IF($A285="","",$B285+$C285-$D285-$E285)</f>
        <v/>
      </c>
      <c r="H285" s="37">
        <f>IF($A285="","",IFERROR(ROUND($G285*INDEX(tblKurallar[deger_2025],MATCH("AKV-003",tblKurallar[kural_id],0)),2),0))</f>
        <v/>
      </c>
      <c r="I285" s="37">
        <f>IF($A285="","",IFERROR(MAX(0,$H285-$F285),0))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7">
        <f>IF($A286="","",$B286+$C286-$D286-$E286)</f>
        <v/>
      </c>
      <c r="H286" s="37">
        <f>IF($A286="","",IFERROR(ROUND($G286*INDEX(tblKurallar[deger_2025],MATCH("AKV-003",tblKurallar[kural_id],0)),2),0))</f>
        <v/>
      </c>
      <c r="I286" s="37">
        <f>IF($A286="","",IFERROR(MAX(0,$H286-$F286),0))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7">
        <f>IF($A287="","",$B287+$C287-$D287-$E287)</f>
        <v/>
      </c>
      <c r="H287" s="37">
        <f>IF($A287="","",IFERROR(ROUND($G287*INDEX(tblKurallar[deger_2025],MATCH("AKV-003",tblKurallar[kural_id],0)),2),0))</f>
        <v/>
      </c>
      <c r="I287" s="37">
        <f>IF($A287="","",IFERROR(MAX(0,$H287-$F287),0))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7">
        <f>IF($A288="","",$B288+$C288-$D288-$E288)</f>
        <v/>
      </c>
      <c r="H288" s="37">
        <f>IF($A288="","",IFERROR(ROUND($G288*INDEX(tblKurallar[deger_2025],MATCH("AKV-003",tblKurallar[kural_id],0)),2),0))</f>
        <v/>
      </c>
      <c r="I288" s="37">
        <f>IF($A288="","",IFERROR(MAX(0,$H288-$F288),0))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7">
        <f>IF($A289="","",$B289+$C289-$D289-$E289)</f>
        <v/>
      </c>
      <c r="H289" s="37">
        <f>IF($A289="","",IFERROR(ROUND($G289*INDEX(tblKurallar[deger_2025],MATCH("AKV-003",tblKurallar[kural_id],0)),2),0))</f>
        <v/>
      </c>
      <c r="I289" s="37">
        <f>IF($A289="","",IFERROR(MAX(0,$H289-$F289),0))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7">
        <f>IF($A290="","",$B290+$C290-$D290-$E290)</f>
        <v/>
      </c>
      <c r="H290" s="37">
        <f>IF($A290="","",IFERROR(ROUND($G290*INDEX(tblKurallar[deger_2025],MATCH("AKV-003",tblKurallar[kural_id],0)),2),0))</f>
        <v/>
      </c>
      <c r="I290" s="37">
        <f>IF($A290="","",IFERROR(MAX(0,$H290-$F290),0))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7">
        <f>IF($A291="","",$B291+$C291-$D291-$E291)</f>
        <v/>
      </c>
      <c r="H291" s="37">
        <f>IF($A291="","",IFERROR(ROUND($G291*INDEX(tblKurallar[deger_2025],MATCH("AKV-003",tblKurallar[kural_id],0)),2),0))</f>
        <v/>
      </c>
      <c r="I291" s="37">
        <f>IF($A291="","",IFERROR(MAX(0,$H291-$F291),0))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7">
        <f>IF($A292="","",$B292+$C292-$D292-$E292)</f>
        <v/>
      </c>
      <c r="H292" s="37">
        <f>IF($A292="","",IFERROR(ROUND($G292*INDEX(tblKurallar[deger_2025],MATCH("AKV-003",tblKurallar[kural_id],0)),2),0))</f>
        <v/>
      </c>
      <c r="I292" s="37">
        <f>IF($A292="","",IFERROR(MAX(0,$H292-$F292),0))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7">
        <f>IF($A293="","",$B293+$C293-$D293-$E293)</f>
        <v/>
      </c>
      <c r="H293" s="37">
        <f>IF($A293="","",IFERROR(ROUND($G293*INDEX(tblKurallar[deger_2025],MATCH("AKV-003",tblKurallar[kural_id],0)),2),0))</f>
        <v/>
      </c>
      <c r="I293" s="37">
        <f>IF($A293="","",IFERROR(MAX(0,$H293-$F293),0))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7">
        <f>IF($A294="","",$B294+$C294-$D294-$E294)</f>
        <v/>
      </c>
      <c r="H294" s="37">
        <f>IF($A294="","",IFERROR(ROUND($G294*INDEX(tblKurallar[deger_2025],MATCH("AKV-003",tblKurallar[kural_id],0)),2),0))</f>
        <v/>
      </c>
      <c r="I294" s="37">
        <f>IF($A294="","",IFERROR(MAX(0,$H294-$F294),0))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7">
        <f>IF($A295="","",$B295+$C295-$D295-$E295)</f>
        <v/>
      </c>
      <c r="H295" s="37">
        <f>IF($A295="","",IFERROR(ROUND($G295*INDEX(tblKurallar[deger_2025],MATCH("AKV-003",tblKurallar[kural_id],0)),2),0))</f>
        <v/>
      </c>
      <c r="I295" s="37">
        <f>IF($A295="","",IFERROR(MAX(0,$H295-$F295),0))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7">
        <f>IF($A296="","",$B296+$C296-$D296-$E296)</f>
        <v/>
      </c>
      <c r="H296" s="37">
        <f>IF($A296="","",IFERROR(ROUND($G296*INDEX(tblKurallar[deger_2025],MATCH("AKV-003",tblKurallar[kural_id],0)),2),0))</f>
        <v/>
      </c>
      <c r="I296" s="37">
        <f>IF($A296="","",IFERROR(MAX(0,$H296-$F296),0))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7">
        <f>IF($A297="","",$B297+$C297-$D297-$E297)</f>
        <v/>
      </c>
      <c r="H297" s="37">
        <f>IF($A297="","",IFERROR(ROUND($G297*INDEX(tblKurallar[deger_2025],MATCH("AKV-003",tblKurallar[kural_id],0)),2),0))</f>
        <v/>
      </c>
      <c r="I297" s="37">
        <f>IF($A297="","",IFERROR(MAX(0,$H297-$F297),0))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7">
        <f>IF($A298="","",$B298+$C298-$D298-$E298)</f>
        <v/>
      </c>
      <c r="H298" s="37">
        <f>IF($A298="","",IFERROR(ROUND($G298*INDEX(tblKurallar[deger_2025],MATCH("AKV-003",tblKurallar[kural_id],0)),2),0))</f>
        <v/>
      </c>
      <c r="I298" s="37">
        <f>IF($A298="","",IFERROR(MAX(0,$H298-$F298),0))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7">
        <f>IF($A299="","",$B299+$C299-$D299-$E299)</f>
        <v/>
      </c>
      <c r="H299" s="37">
        <f>IF($A299="","",IFERROR(ROUND($G299*INDEX(tblKurallar[deger_2025],MATCH("AKV-003",tblKurallar[kural_id],0)),2),0))</f>
        <v/>
      </c>
      <c r="I299" s="37">
        <f>IF($A299="","",IFERROR(MAX(0,$H299-$F299),0))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7">
        <f>IF($A300="","",$B300+$C300-$D300-$E300)</f>
        <v/>
      </c>
      <c r="H300" s="37">
        <f>IF($A300="","",IFERROR(ROUND($G300*INDEX(tblKurallar[deger_2025],MATCH("AKV-003",tblKurallar[kural_id],0)),2),0))</f>
        <v/>
      </c>
      <c r="I300" s="37">
        <f>IF($A300="","",IFERROR(MAX(0,$H300-$F300),0))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7">
        <f>IF($A301="","",$B301+$C301-$D301-$E301)</f>
        <v/>
      </c>
      <c r="H301" s="37">
        <f>IF($A301="","",IFERROR(ROUND($G301*INDEX(tblKurallar[deger_2025],MATCH("AKV-003",tblKurallar[kural_id],0)),2),0))</f>
        <v/>
      </c>
      <c r="I301" s="37">
        <f>IF($A301="","",IFERROR(MAX(0,$H301-$F301),0))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7">
        <f>IF($A302="","",$B302+$C302-$D302-$E302)</f>
        <v/>
      </c>
      <c r="H302" s="37">
        <f>IF($A302="","",IFERROR(ROUND($G302*INDEX(tblKurallar[deger_2025],MATCH("AKV-003",tblKurallar[kural_id],0)),2),0))</f>
        <v/>
      </c>
      <c r="I302" s="37">
        <f>IF($A302="","",IFERROR(MAX(0,$H302-$F302),0))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7">
        <f>IF($A303="","",$B303+$C303-$D303-$E303)</f>
        <v/>
      </c>
      <c r="H303" s="37">
        <f>IF($A303="","",IFERROR(ROUND($G303*INDEX(tblKurallar[deger_2025],MATCH("AKV-003",tblKurallar[kural_id],0)),2),0))</f>
        <v/>
      </c>
      <c r="I303" s="37">
        <f>IF($A303="","",IFERROR(MAX(0,$H303-$F303),0))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7">
        <f>IF($A304="","",$B304+$C304-$D304-$E304)</f>
        <v/>
      </c>
      <c r="H304" s="37">
        <f>IF($A304="","",IFERROR(ROUND($G304*INDEX(tblKurallar[deger_2025],MATCH("AKV-003",tblKurallar[kural_id],0)),2),0))</f>
        <v/>
      </c>
      <c r="I304" s="37">
        <f>IF($A304="","",IFERROR(MAX(0,$H304-$F304),0))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7">
        <f>IF($A305="","",$B305+$C305-$D305-$E305)</f>
        <v/>
      </c>
      <c r="H305" s="37">
        <f>IF($A305="","",IFERROR(ROUND($G305*INDEX(tblKurallar[deger_2025],MATCH("AKV-003",tblKurallar[kural_id],0)),2),0))</f>
        <v/>
      </c>
      <c r="I305" s="37">
        <f>IF($A305="","",IFERROR(MAX(0,$H305-$F305),0))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7">
        <f>IF($A306="","",$B306+$C306-$D306-$E306)</f>
        <v/>
      </c>
      <c r="H306" s="37">
        <f>IF($A306="","",IFERROR(ROUND($G306*INDEX(tblKurallar[deger_2025],MATCH("AKV-003",tblKurallar[kural_id],0)),2),0))</f>
        <v/>
      </c>
      <c r="I306" s="37">
        <f>IF($A306="","",IFERROR(MAX(0,$H306-$F306),0))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7">
        <f>IF($A307="","",$B307+$C307-$D307-$E307)</f>
        <v/>
      </c>
      <c r="H307" s="37">
        <f>IF($A307="","",IFERROR(ROUND($G307*INDEX(tblKurallar[deger_2025],MATCH("AKV-003",tblKurallar[kural_id],0)),2),0))</f>
        <v/>
      </c>
      <c r="I307" s="37">
        <f>IF($A307="","",IFERROR(MAX(0,$H307-$F307),0))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7">
        <f>IF($A308="","",$B308+$C308-$D308-$E308)</f>
        <v/>
      </c>
      <c r="H308" s="37">
        <f>IF($A308="","",IFERROR(ROUND($G308*INDEX(tblKurallar[deger_2025],MATCH("AKV-003",tblKurallar[kural_id],0)),2),0))</f>
        <v/>
      </c>
      <c r="I308" s="37">
        <f>IF($A308="","",IFERROR(MAX(0,$H308-$F308),0))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7">
        <f>IF($A309="","",$B309+$C309-$D309-$E309)</f>
        <v/>
      </c>
      <c r="H309" s="37">
        <f>IF($A309="","",IFERROR(ROUND($G309*INDEX(tblKurallar[deger_2025],MATCH("AKV-003",tblKurallar[kural_id],0)),2),0))</f>
        <v/>
      </c>
      <c r="I309" s="37">
        <f>IF($A309="","",IFERROR(MAX(0,$H309-$F309),0))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7">
        <f>IF($A310="","",$B310+$C310-$D310-$E310)</f>
        <v/>
      </c>
      <c r="H310" s="37">
        <f>IF($A310="","",IFERROR(ROUND($G310*INDEX(tblKurallar[deger_2025],MATCH("AKV-003",tblKurallar[kural_id],0)),2),0))</f>
        <v/>
      </c>
      <c r="I310" s="37">
        <f>IF($A310="","",IFERROR(MAX(0,$H310-$F310),0))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7">
        <f>IF($A311="","",$B311+$C311-$D311-$E311)</f>
        <v/>
      </c>
      <c r="H311" s="37">
        <f>IF($A311="","",IFERROR(ROUND($G311*INDEX(tblKurallar[deger_2025],MATCH("AKV-003",tblKurallar[kural_id],0)),2),0))</f>
        <v/>
      </c>
      <c r="I311" s="37">
        <f>IF($A311="","",IFERROR(MAX(0,$H311-$F311),0))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7">
        <f>IF($A312="","",$B312+$C312-$D312-$E312)</f>
        <v/>
      </c>
      <c r="H312" s="37">
        <f>IF($A312="","",IFERROR(ROUND($G312*INDEX(tblKurallar[deger_2025],MATCH("AKV-003",tblKurallar[kural_id],0)),2),0))</f>
        <v/>
      </c>
      <c r="I312" s="37">
        <f>IF($A312="","",IFERROR(MAX(0,$H312-$F312),0))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7">
        <f>IF($A313="","",$B313+$C313-$D313-$E313)</f>
        <v/>
      </c>
      <c r="H313" s="37">
        <f>IF($A313="","",IFERROR(ROUND($G313*INDEX(tblKurallar[deger_2025],MATCH("AKV-003",tblKurallar[kural_id],0)),2),0))</f>
        <v/>
      </c>
      <c r="I313" s="37">
        <f>IF($A313="","",IFERROR(MAX(0,$H313-$F313),0))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7">
        <f>IF($A314="","",$B314+$C314-$D314-$E314)</f>
        <v/>
      </c>
      <c r="H314" s="37">
        <f>IF($A314="","",IFERROR(ROUND($G314*INDEX(tblKurallar[deger_2025],MATCH("AKV-003",tblKurallar[kural_id],0)),2),0))</f>
        <v/>
      </c>
      <c r="I314" s="37">
        <f>IF($A314="","",IFERROR(MAX(0,$H314-$F314),0))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7">
        <f>IF($A315="","",$B315+$C315-$D315-$E315)</f>
        <v/>
      </c>
      <c r="H315" s="37">
        <f>IF($A315="","",IFERROR(ROUND($G315*INDEX(tblKurallar[deger_2025],MATCH("AKV-003",tblKurallar[kural_id],0)),2),0))</f>
        <v/>
      </c>
      <c r="I315" s="37">
        <f>IF($A315="","",IFERROR(MAX(0,$H315-$F315),0))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7">
        <f>IF($A316="","",$B316+$C316-$D316-$E316)</f>
        <v/>
      </c>
      <c r="H316" s="37">
        <f>IF($A316="","",IFERROR(ROUND($G316*INDEX(tblKurallar[deger_2025],MATCH("AKV-003",tblKurallar[kural_id],0)),2),0))</f>
        <v/>
      </c>
      <c r="I316" s="37">
        <f>IF($A316="","",IFERROR(MAX(0,$H316-$F316),0))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7">
        <f>IF($A317="","",$B317+$C317-$D317-$E317)</f>
        <v/>
      </c>
      <c r="H317" s="37">
        <f>IF($A317="","",IFERROR(ROUND($G317*INDEX(tblKurallar[deger_2025],MATCH("AKV-003",tblKurallar[kural_id],0)),2),0))</f>
        <v/>
      </c>
      <c r="I317" s="37">
        <f>IF($A317="","",IFERROR(MAX(0,$H317-$F317),0))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7">
        <f>IF($A318="","",$B318+$C318-$D318-$E318)</f>
        <v/>
      </c>
      <c r="H318" s="37">
        <f>IF($A318="","",IFERROR(ROUND($G318*INDEX(tblKurallar[deger_2025],MATCH("AKV-003",tblKurallar[kural_id],0)),2),0))</f>
        <v/>
      </c>
      <c r="I318" s="37">
        <f>IF($A318="","",IFERROR(MAX(0,$H318-$F318),0))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7">
        <f>IF($A319="","",$B319+$C319-$D319-$E319)</f>
        <v/>
      </c>
      <c r="H319" s="37">
        <f>IF($A319="","",IFERROR(ROUND($G319*INDEX(tblKurallar[deger_2025],MATCH("AKV-003",tblKurallar[kural_id],0)),2),0))</f>
        <v/>
      </c>
      <c r="I319" s="37">
        <f>IF($A319="","",IFERROR(MAX(0,$H319-$F319),0))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7">
        <f>IF($A320="","",$B320+$C320-$D320-$E320)</f>
        <v/>
      </c>
      <c r="H320" s="37">
        <f>IF($A320="","",IFERROR(ROUND($G320*INDEX(tblKurallar[deger_2025],MATCH("AKV-003",tblKurallar[kural_id],0)),2),0))</f>
        <v/>
      </c>
      <c r="I320" s="37">
        <f>IF($A320="","",IFERROR(MAX(0,$H320-$F320),0))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7">
        <f>IF($A321="","",$B321+$C321-$D321-$E321)</f>
        <v/>
      </c>
      <c r="H321" s="37">
        <f>IF($A321="","",IFERROR(ROUND($G321*INDEX(tblKurallar[deger_2025],MATCH("AKV-003",tblKurallar[kural_id],0)),2),0))</f>
        <v/>
      </c>
      <c r="I321" s="37">
        <f>IF($A321="","",IFERROR(MAX(0,$H321-$F321),0))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7">
        <f>IF($A322="","",$B322+$C322-$D322-$E322)</f>
        <v/>
      </c>
      <c r="H322" s="37">
        <f>IF($A322="","",IFERROR(ROUND($G322*INDEX(tblKurallar[deger_2025],MATCH("AKV-003",tblKurallar[kural_id],0)),2),0))</f>
        <v/>
      </c>
      <c r="I322" s="37">
        <f>IF($A322="","",IFERROR(MAX(0,$H322-$F322),0))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7">
        <f>IF($A323="","",$B323+$C323-$D323-$E323)</f>
        <v/>
      </c>
      <c r="H323" s="37">
        <f>IF($A323="","",IFERROR(ROUND($G323*INDEX(tblKurallar[deger_2025],MATCH("AKV-003",tblKurallar[kural_id],0)),2),0))</f>
        <v/>
      </c>
      <c r="I323" s="37">
        <f>IF($A323="","",IFERROR(MAX(0,$H323-$F323),0))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7">
        <f>IF($A324="","",$B324+$C324-$D324-$E324)</f>
        <v/>
      </c>
      <c r="H324" s="37">
        <f>IF($A324="","",IFERROR(ROUND($G324*INDEX(tblKurallar[deger_2025],MATCH("AKV-003",tblKurallar[kural_id],0)),2),0))</f>
        <v/>
      </c>
      <c r="I324" s="37">
        <f>IF($A324="","",IFERROR(MAX(0,$H324-$F324),0))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7">
        <f>IF($A325="","",$B325+$C325-$D325-$E325)</f>
        <v/>
      </c>
      <c r="H325" s="37">
        <f>IF($A325="","",IFERROR(ROUND($G325*INDEX(tblKurallar[deger_2025],MATCH("AKV-003",tblKurallar[kural_id],0)),2),0))</f>
        <v/>
      </c>
      <c r="I325" s="37">
        <f>IF($A325="","",IFERROR(MAX(0,$H325-$F325),0))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7">
        <f>IF($A326="","",$B326+$C326-$D326-$E326)</f>
        <v/>
      </c>
      <c r="H326" s="37">
        <f>IF($A326="","",IFERROR(ROUND($G326*INDEX(tblKurallar[deger_2025],MATCH("AKV-003",tblKurallar[kural_id],0)),2),0))</f>
        <v/>
      </c>
      <c r="I326" s="37">
        <f>IF($A326="","",IFERROR(MAX(0,$H326-$F326),0))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7">
        <f>IF($A327="","",$B327+$C327-$D327-$E327)</f>
        <v/>
      </c>
      <c r="H327" s="37">
        <f>IF($A327="","",IFERROR(ROUND($G327*INDEX(tblKurallar[deger_2025],MATCH("AKV-003",tblKurallar[kural_id],0)),2),0))</f>
        <v/>
      </c>
      <c r="I327" s="37">
        <f>IF($A327="","",IFERROR(MAX(0,$H327-$F327),0))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7">
        <f>IF($A328="","",$B328+$C328-$D328-$E328)</f>
        <v/>
      </c>
      <c r="H328" s="37">
        <f>IF($A328="","",IFERROR(ROUND($G328*INDEX(tblKurallar[deger_2025],MATCH("AKV-003",tblKurallar[kural_id],0)),2),0))</f>
        <v/>
      </c>
      <c r="I328" s="37">
        <f>IF($A328="","",IFERROR(MAX(0,$H328-$F328),0))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7">
        <f>IF($A329="","",$B329+$C329-$D329-$E329)</f>
        <v/>
      </c>
      <c r="H329" s="37">
        <f>IF($A329="","",IFERROR(ROUND($G329*INDEX(tblKurallar[deger_2025],MATCH("AKV-003",tblKurallar[kural_id],0)),2),0))</f>
        <v/>
      </c>
      <c r="I329" s="37">
        <f>IF($A329="","",IFERROR(MAX(0,$H329-$F329),0))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7">
        <f>IF($A330="","",$B330+$C330-$D330-$E330)</f>
        <v/>
      </c>
      <c r="H330" s="37">
        <f>IF($A330="","",IFERROR(ROUND($G330*INDEX(tblKurallar[deger_2025],MATCH("AKV-003",tblKurallar[kural_id],0)),2),0))</f>
        <v/>
      </c>
      <c r="I330" s="37">
        <f>IF($A330="","",IFERROR(MAX(0,$H330-$F330),0))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7">
        <f>IF($A331="","",$B331+$C331-$D331-$E331)</f>
        <v/>
      </c>
      <c r="H331" s="37">
        <f>IF($A331="","",IFERROR(ROUND($G331*INDEX(tblKurallar[deger_2025],MATCH("AKV-003",tblKurallar[kural_id],0)),2),0))</f>
        <v/>
      </c>
      <c r="I331" s="37">
        <f>IF($A331="","",IFERROR(MAX(0,$H331-$F331),0))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7">
        <f>IF($A332="","",$B332+$C332-$D332-$E332)</f>
        <v/>
      </c>
      <c r="H332" s="37">
        <f>IF($A332="","",IFERROR(ROUND($G332*INDEX(tblKurallar[deger_2025],MATCH("AKV-003",tblKurallar[kural_id],0)),2),0))</f>
        <v/>
      </c>
      <c r="I332" s="37">
        <f>IF($A332="","",IFERROR(MAX(0,$H332-$F332),0))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7">
        <f>IF($A333="","",$B333+$C333-$D333-$E333)</f>
        <v/>
      </c>
      <c r="H333" s="37">
        <f>IF($A333="","",IFERROR(ROUND($G333*INDEX(tblKurallar[deger_2025],MATCH("AKV-003",tblKurallar[kural_id],0)),2),0))</f>
        <v/>
      </c>
      <c r="I333" s="37">
        <f>IF($A333="","",IFERROR(MAX(0,$H333-$F333),0))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7">
        <f>IF($A334="","",$B334+$C334-$D334-$E334)</f>
        <v/>
      </c>
      <c r="H334" s="37">
        <f>IF($A334="","",IFERROR(ROUND($G334*INDEX(tblKurallar[deger_2025],MATCH("AKV-003",tblKurallar[kural_id],0)),2),0))</f>
        <v/>
      </c>
      <c r="I334" s="37">
        <f>IF($A334="","",IFERROR(MAX(0,$H334-$F334),0))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7">
        <f>IF($A335="","",$B335+$C335-$D335-$E335)</f>
        <v/>
      </c>
      <c r="H335" s="37">
        <f>IF($A335="","",IFERROR(ROUND($G335*INDEX(tblKurallar[deger_2025],MATCH("AKV-003",tblKurallar[kural_id],0)),2),0))</f>
        <v/>
      </c>
      <c r="I335" s="37">
        <f>IF($A335="","",IFERROR(MAX(0,$H335-$F335),0))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7">
        <f>IF($A336="","",$B336+$C336-$D336-$E336)</f>
        <v/>
      </c>
      <c r="H336" s="37">
        <f>IF($A336="","",IFERROR(ROUND($G336*INDEX(tblKurallar[deger_2025],MATCH("AKV-003",tblKurallar[kural_id],0)),2),0))</f>
        <v/>
      </c>
      <c r="I336" s="37">
        <f>IF($A336="","",IFERROR(MAX(0,$H336-$F336),0))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7">
        <f>IF($A337="","",$B337+$C337-$D337-$E337)</f>
        <v/>
      </c>
      <c r="H337" s="37">
        <f>IF($A337="","",IFERROR(ROUND($G337*INDEX(tblKurallar[deger_2025],MATCH("AKV-003",tblKurallar[kural_id],0)),2),0))</f>
        <v/>
      </c>
      <c r="I337" s="37">
        <f>IF($A337="","",IFERROR(MAX(0,$H337-$F337),0))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7">
        <f>IF($A338="","",$B338+$C338-$D338-$E338)</f>
        <v/>
      </c>
      <c r="H338" s="37">
        <f>IF($A338="","",IFERROR(ROUND($G338*INDEX(tblKurallar[deger_2025],MATCH("AKV-003",tblKurallar[kural_id],0)),2),0))</f>
        <v/>
      </c>
      <c r="I338" s="37">
        <f>IF($A338="","",IFERROR(MAX(0,$H338-$F338),0))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7">
        <f>IF($A339="","",$B339+$C339-$D339-$E339)</f>
        <v/>
      </c>
      <c r="H339" s="37">
        <f>IF($A339="","",IFERROR(ROUND($G339*INDEX(tblKurallar[deger_2025],MATCH("AKV-003",tblKurallar[kural_id],0)),2),0))</f>
        <v/>
      </c>
      <c r="I339" s="37">
        <f>IF($A339="","",IFERROR(MAX(0,$H339-$F339),0))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7">
        <f>IF($A340="","",$B340+$C340-$D340-$E340)</f>
        <v/>
      </c>
      <c r="H340" s="37">
        <f>IF($A340="","",IFERROR(ROUND($G340*INDEX(tblKurallar[deger_2025],MATCH("AKV-003",tblKurallar[kural_id],0)),2),0))</f>
        <v/>
      </c>
      <c r="I340" s="37">
        <f>IF($A340="","",IFERROR(MAX(0,$H340-$F340),0))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7">
        <f>IF($A341="","",$B341+$C341-$D341-$E341)</f>
        <v/>
      </c>
      <c r="H341" s="37">
        <f>IF($A341="","",IFERROR(ROUND($G341*INDEX(tblKurallar[deger_2025],MATCH("AKV-003",tblKurallar[kural_id],0)),2),0))</f>
        <v/>
      </c>
      <c r="I341" s="37">
        <f>IF($A341="","",IFERROR(MAX(0,$H341-$F341),0))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7">
        <f>IF($A342="","",$B342+$C342-$D342-$E342)</f>
        <v/>
      </c>
      <c r="H342" s="37">
        <f>IF($A342="","",IFERROR(ROUND($G342*INDEX(tblKurallar[deger_2025],MATCH("AKV-003",tblKurallar[kural_id],0)),2),0))</f>
        <v/>
      </c>
      <c r="I342" s="37">
        <f>IF($A342="","",IFERROR(MAX(0,$H342-$F342),0))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7">
        <f>IF($A343="","",$B343+$C343-$D343-$E343)</f>
        <v/>
      </c>
      <c r="H343" s="37">
        <f>IF($A343="","",IFERROR(ROUND($G343*INDEX(tblKurallar[deger_2025],MATCH("AKV-003",tblKurallar[kural_id],0)),2),0))</f>
        <v/>
      </c>
      <c r="I343" s="37">
        <f>IF($A343="","",IFERROR(MAX(0,$H343-$F343),0))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7">
        <f>IF($A344="","",$B344+$C344-$D344-$E344)</f>
        <v/>
      </c>
      <c r="H344" s="37">
        <f>IF($A344="","",IFERROR(ROUND($G344*INDEX(tblKurallar[deger_2025],MATCH("AKV-003",tblKurallar[kural_id],0)),2),0))</f>
        <v/>
      </c>
      <c r="I344" s="37">
        <f>IF($A344="","",IFERROR(MAX(0,$H344-$F344),0))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7">
        <f>IF($A345="","",$B345+$C345-$D345-$E345)</f>
        <v/>
      </c>
      <c r="H345" s="37">
        <f>IF($A345="","",IFERROR(ROUND($G345*INDEX(tblKurallar[deger_2025],MATCH("AKV-003",tblKurallar[kural_id],0)),2),0))</f>
        <v/>
      </c>
      <c r="I345" s="37">
        <f>IF($A345="","",IFERROR(MAX(0,$H345-$F345),0))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7">
        <f>IF($A346="","",$B346+$C346-$D346-$E346)</f>
        <v/>
      </c>
      <c r="H346" s="37">
        <f>IF($A346="","",IFERROR(ROUND($G346*INDEX(tblKurallar[deger_2025],MATCH("AKV-003",tblKurallar[kural_id],0)),2),0))</f>
        <v/>
      </c>
      <c r="I346" s="37">
        <f>IF($A346="","",IFERROR(MAX(0,$H346-$F346),0))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7">
        <f>IF($A347="","",$B347+$C347-$D347-$E347)</f>
        <v/>
      </c>
      <c r="H347" s="37">
        <f>IF($A347="","",IFERROR(ROUND($G347*INDEX(tblKurallar[deger_2025],MATCH("AKV-003",tblKurallar[kural_id],0)),2),0))</f>
        <v/>
      </c>
      <c r="I347" s="37">
        <f>IF($A347="","",IFERROR(MAX(0,$H347-$F347),0))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7">
        <f>IF($A348="","",$B348+$C348-$D348-$E348)</f>
        <v/>
      </c>
      <c r="H348" s="37">
        <f>IF($A348="","",IFERROR(ROUND($G348*INDEX(tblKurallar[deger_2025],MATCH("AKV-003",tblKurallar[kural_id],0)),2),0))</f>
        <v/>
      </c>
      <c r="I348" s="37">
        <f>IF($A348="","",IFERROR(MAX(0,$H348-$F348),0))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7">
        <f>IF($A349="","",$B349+$C349-$D349-$E349)</f>
        <v/>
      </c>
      <c r="H349" s="37">
        <f>IF($A349="","",IFERROR(ROUND($G349*INDEX(tblKurallar[deger_2025],MATCH("AKV-003",tblKurallar[kural_id],0)),2),0))</f>
        <v/>
      </c>
      <c r="I349" s="37">
        <f>IF($A349="","",IFERROR(MAX(0,$H349-$F349),0))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7">
        <f>IF($A350="","",$B350+$C350-$D350-$E350)</f>
        <v/>
      </c>
      <c r="H350" s="37">
        <f>IF($A350="","",IFERROR(ROUND($G350*INDEX(tblKurallar[deger_2025],MATCH("AKV-003",tblKurallar[kural_id],0)),2),0))</f>
        <v/>
      </c>
      <c r="I350" s="37">
        <f>IF($A350="","",IFERROR(MAX(0,$H350-$F350),0))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7">
        <f>IF($A351="","",$B351+$C351-$D351-$E351)</f>
        <v/>
      </c>
      <c r="H351" s="37">
        <f>IF($A351="","",IFERROR(ROUND($G351*INDEX(tblKurallar[deger_2025],MATCH("AKV-003",tblKurallar[kural_id],0)),2),0))</f>
        <v/>
      </c>
      <c r="I351" s="37">
        <f>IF($A351="","",IFERROR(MAX(0,$H351-$F351),0))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7">
        <f>IF($A352="","",$B352+$C352-$D352-$E352)</f>
        <v/>
      </c>
      <c r="H352" s="37">
        <f>IF($A352="","",IFERROR(ROUND($G352*INDEX(tblKurallar[deger_2025],MATCH("AKV-003",tblKurallar[kural_id],0)),2),0))</f>
        <v/>
      </c>
      <c r="I352" s="37">
        <f>IF($A352="","",IFERROR(MAX(0,$H352-$F352),0))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7">
        <f>IF($A353="","",$B353+$C353-$D353-$E353)</f>
        <v/>
      </c>
      <c r="H353" s="37">
        <f>IF($A353="","",IFERROR(ROUND($G353*INDEX(tblKurallar[deger_2025],MATCH("AKV-003",tblKurallar[kural_id],0)),2),0))</f>
        <v/>
      </c>
      <c r="I353" s="37">
        <f>IF($A353="","",IFERROR(MAX(0,$H353-$F353),0))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7">
        <f>IF($A354="","",$B354+$C354-$D354-$E354)</f>
        <v/>
      </c>
      <c r="H354" s="37">
        <f>IF($A354="","",IFERROR(ROUND($G354*INDEX(tblKurallar[deger_2025],MATCH("AKV-003",tblKurallar[kural_id],0)),2),0))</f>
        <v/>
      </c>
      <c r="I354" s="37">
        <f>IF($A354="","",IFERROR(MAX(0,$H354-$F354),0))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7">
        <f>IF($A355="","",$B355+$C355-$D355-$E355)</f>
        <v/>
      </c>
      <c r="H355" s="37">
        <f>IF($A355="","",IFERROR(ROUND($G355*INDEX(tblKurallar[deger_2025],MATCH("AKV-003",tblKurallar[kural_id],0)),2),0))</f>
        <v/>
      </c>
      <c r="I355" s="37">
        <f>IF($A355="","",IFERROR(MAX(0,$H355-$F355),0))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7">
        <f>IF($A356="","",$B356+$C356-$D356-$E356)</f>
        <v/>
      </c>
      <c r="H356" s="37">
        <f>IF($A356="","",IFERROR(ROUND($G356*INDEX(tblKurallar[deger_2025],MATCH("AKV-003",tblKurallar[kural_id],0)),2),0))</f>
        <v/>
      </c>
      <c r="I356" s="37">
        <f>IF($A356="","",IFERROR(MAX(0,$H356-$F356),0))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7">
        <f>IF($A357="","",$B357+$C357-$D357-$E357)</f>
        <v/>
      </c>
      <c r="H357" s="37">
        <f>IF($A357="","",IFERROR(ROUND($G357*INDEX(tblKurallar[deger_2025],MATCH("AKV-003",tblKurallar[kural_id],0)),2),0))</f>
        <v/>
      </c>
      <c r="I357" s="37">
        <f>IF($A357="","",IFERROR(MAX(0,$H357-$F357),0))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7">
        <f>IF($A358="","",$B358+$C358-$D358-$E358)</f>
        <v/>
      </c>
      <c r="H358" s="37">
        <f>IF($A358="","",IFERROR(ROUND($G358*INDEX(tblKurallar[deger_2025],MATCH("AKV-003",tblKurallar[kural_id],0)),2),0))</f>
        <v/>
      </c>
      <c r="I358" s="37">
        <f>IF($A358="","",IFERROR(MAX(0,$H358-$F358),0))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7">
        <f>IF($A359="","",$B359+$C359-$D359-$E359)</f>
        <v/>
      </c>
      <c r="H359" s="37">
        <f>IF($A359="","",IFERROR(ROUND($G359*INDEX(tblKurallar[deger_2025],MATCH("AKV-003",tblKurallar[kural_id],0)),2),0))</f>
        <v/>
      </c>
      <c r="I359" s="37">
        <f>IF($A359="","",IFERROR(MAX(0,$H359-$F359),0))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7">
        <f>IF($A360="","",$B360+$C360-$D360-$E360)</f>
        <v/>
      </c>
      <c r="H360" s="37">
        <f>IF($A360="","",IFERROR(ROUND($G360*INDEX(tblKurallar[deger_2025],MATCH("AKV-003",tblKurallar[kural_id],0)),2),0))</f>
        <v/>
      </c>
      <c r="I360" s="37">
        <f>IF($A360="","",IFERROR(MAX(0,$H360-$F360),0))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7">
        <f>IF($A361="","",$B361+$C361-$D361-$E361)</f>
        <v/>
      </c>
      <c r="H361" s="37">
        <f>IF($A361="","",IFERROR(ROUND($G361*INDEX(tblKurallar[deger_2025],MATCH("AKV-003",tblKurallar[kural_id],0)),2),0))</f>
        <v/>
      </c>
      <c r="I361" s="37">
        <f>IF($A361="","",IFERROR(MAX(0,$H361-$F361),0))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7">
        <f>IF($A362="","",$B362+$C362-$D362-$E362)</f>
        <v/>
      </c>
      <c r="H362" s="37">
        <f>IF($A362="","",IFERROR(ROUND($G362*INDEX(tblKurallar[deger_2025],MATCH("AKV-003",tblKurallar[kural_id],0)),2),0))</f>
        <v/>
      </c>
      <c r="I362" s="37">
        <f>IF($A362="","",IFERROR(MAX(0,$H362-$F362),0))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7">
        <f>IF($A363="","",$B363+$C363-$D363-$E363)</f>
        <v/>
      </c>
      <c r="H363" s="37">
        <f>IF($A363="","",IFERROR(ROUND($G363*INDEX(tblKurallar[deger_2025],MATCH("AKV-003",tblKurallar[kural_id],0)),2),0))</f>
        <v/>
      </c>
      <c r="I363" s="37">
        <f>IF($A363="","",IFERROR(MAX(0,$H363-$F363),0))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7">
        <f>IF($A364="","",$B364+$C364-$D364-$E364)</f>
        <v/>
      </c>
      <c r="H364" s="37">
        <f>IF($A364="","",IFERROR(ROUND($G364*INDEX(tblKurallar[deger_2025],MATCH("AKV-003",tblKurallar[kural_id],0)),2),0))</f>
        <v/>
      </c>
      <c r="I364" s="37">
        <f>IF($A364="","",IFERROR(MAX(0,$H364-$F364),0))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7">
        <f>IF($A365="","",$B365+$C365-$D365-$E365)</f>
        <v/>
      </c>
      <c r="H365" s="37">
        <f>IF($A365="","",IFERROR(ROUND($G365*INDEX(tblKurallar[deger_2025],MATCH("AKV-003",tblKurallar[kural_id],0)),2),0))</f>
        <v/>
      </c>
      <c r="I365" s="37">
        <f>IF($A365="","",IFERROR(MAX(0,$H365-$F365),0))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7">
        <f>IF($A366="","",$B366+$C366-$D366-$E366)</f>
        <v/>
      </c>
      <c r="H366" s="37">
        <f>IF($A366="","",IFERROR(ROUND($G366*INDEX(tblKurallar[deger_2025],MATCH("AKV-003",tblKurallar[kural_id],0)),2),0))</f>
        <v/>
      </c>
      <c r="I366" s="37">
        <f>IF($A366="","",IFERROR(MAX(0,$H366-$F366),0))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7">
        <f>IF($A367="","",$B367+$C367-$D367-$E367)</f>
        <v/>
      </c>
      <c r="H367" s="37">
        <f>IF($A367="","",IFERROR(ROUND($G367*INDEX(tblKurallar[deger_2025],MATCH("AKV-003",tblKurallar[kural_id],0)),2),0))</f>
        <v/>
      </c>
      <c r="I367" s="37">
        <f>IF($A367="","",IFERROR(MAX(0,$H367-$F367),0))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7">
        <f>IF($A368="","",$B368+$C368-$D368-$E368)</f>
        <v/>
      </c>
      <c r="H368" s="37">
        <f>IF($A368="","",IFERROR(ROUND($G368*INDEX(tblKurallar[deger_2025],MATCH("AKV-003",tblKurallar[kural_id],0)),2),0))</f>
        <v/>
      </c>
      <c r="I368" s="37">
        <f>IF($A368="","",IFERROR(MAX(0,$H368-$F368),0))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7">
        <f>IF($A369="","",$B369+$C369-$D369-$E369)</f>
        <v/>
      </c>
      <c r="H369" s="37">
        <f>IF($A369="","",IFERROR(ROUND($G369*INDEX(tblKurallar[deger_2025],MATCH("AKV-003",tblKurallar[kural_id],0)),2),0))</f>
        <v/>
      </c>
      <c r="I369" s="37">
        <f>IF($A369="","",IFERROR(MAX(0,$H369-$F369),0))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7">
        <f>IF($A370="","",$B370+$C370-$D370-$E370)</f>
        <v/>
      </c>
      <c r="H370" s="37">
        <f>IF($A370="","",IFERROR(ROUND($G370*INDEX(tblKurallar[deger_2025],MATCH("AKV-003",tblKurallar[kural_id],0)),2),0))</f>
        <v/>
      </c>
      <c r="I370" s="37">
        <f>IF($A370="","",IFERROR(MAX(0,$H370-$F370),0))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7">
        <f>IF($A371="","",$B371+$C371-$D371-$E371)</f>
        <v/>
      </c>
      <c r="H371" s="37">
        <f>IF($A371="","",IFERROR(ROUND($G371*INDEX(tblKurallar[deger_2025],MATCH("AKV-003",tblKurallar[kural_id],0)),2),0))</f>
        <v/>
      </c>
      <c r="I371" s="37">
        <f>IF($A371="","",IFERROR(MAX(0,$H371-$F371),0))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7">
        <f>IF($A372="","",$B372+$C372-$D372-$E372)</f>
        <v/>
      </c>
      <c r="H372" s="37">
        <f>IF($A372="","",IFERROR(ROUND($G372*INDEX(tblKurallar[deger_2025],MATCH("AKV-003",tblKurallar[kural_id],0)),2),0))</f>
        <v/>
      </c>
      <c r="I372" s="37">
        <f>IF($A372="","",IFERROR(MAX(0,$H372-$F372),0))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7">
        <f>IF($A373="","",$B373+$C373-$D373-$E373)</f>
        <v/>
      </c>
      <c r="H373" s="37">
        <f>IF($A373="","",IFERROR(ROUND($G373*INDEX(tblKurallar[deger_2025],MATCH("AKV-003",tblKurallar[kural_id],0)),2),0))</f>
        <v/>
      </c>
      <c r="I373" s="37">
        <f>IF($A373="","",IFERROR(MAX(0,$H373-$F373),0))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7">
        <f>IF($A374="","",$B374+$C374-$D374-$E374)</f>
        <v/>
      </c>
      <c r="H374" s="37">
        <f>IF($A374="","",IFERROR(ROUND($G374*INDEX(tblKurallar[deger_2025],MATCH("AKV-003",tblKurallar[kural_id],0)),2),0))</f>
        <v/>
      </c>
      <c r="I374" s="37">
        <f>IF($A374="","",IFERROR(MAX(0,$H374-$F374),0))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7">
        <f>IF($A375="","",$B375+$C375-$D375-$E375)</f>
        <v/>
      </c>
      <c r="H375" s="37">
        <f>IF($A375="","",IFERROR(ROUND($G375*INDEX(tblKurallar[deger_2025],MATCH("AKV-003",tblKurallar[kural_id],0)),2),0))</f>
        <v/>
      </c>
      <c r="I375" s="37">
        <f>IF($A375="","",IFERROR(MAX(0,$H375-$F375),0))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7">
        <f>IF($A376="","",$B376+$C376-$D376-$E376)</f>
        <v/>
      </c>
      <c r="H376" s="37">
        <f>IF($A376="","",IFERROR(ROUND($G376*INDEX(tblKurallar[deger_2025],MATCH("AKV-003",tblKurallar[kural_id],0)),2),0))</f>
        <v/>
      </c>
      <c r="I376" s="37">
        <f>IF($A376="","",IFERROR(MAX(0,$H376-$F376),0))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7">
        <f>IF($A377="","",$B377+$C377-$D377-$E377)</f>
        <v/>
      </c>
      <c r="H377" s="37">
        <f>IF($A377="","",IFERROR(ROUND($G377*INDEX(tblKurallar[deger_2025],MATCH("AKV-003",tblKurallar[kural_id],0)),2),0))</f>
        <v/>
      </c>
      <c r="I377" s="37">
        <f>IF($A377="","",IFERROR(MAX(0,$H377-$F377),0))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7">
        <f>IF($A378="","",$B378+$C378-$D378-$E378)</f>
        <v/>
      </c>
      <c r="H378" s="37">
        <f>IF($A378="","",IFERROR(ROUND($G378*INDEX(tblKurallar[deger_2025],MATCH("AKV-003",tblKurallar[kural_id],0)),2),0))</f>
        <v/>
      </c>
      <c r="I378" s="37">
        <f>IF($A378="","",IFERROR(MAX(0,$H378-$F378),0))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7">
        <f>IF($A379="","",$B379+$C379-$D379-$E379)</f>
        <v/>
      </c>
      <c r="H379" s="37">
        <f>IF($A379="","",IFERROR(ROUND($G379*INDEX(tblKurallar[deger_2025],MATCH("AKV-003",tblKurallar[kural_id],0)),2),0))</f>
        <v/>
      </c>
      <c r="I379" s="37">
        <f>IF($A379="","",IFERROR(MAX(0,$H379-$F379),0))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7">
        <f>IF($A380="","",$B380+$C380-$D380-$E380)</f>
        <v/>
      </c>
      <c r="H380" s="37">
        <f>IF($A380="","",IFERROR(ROUND($G380*INDEX(tblKurallar[deger_2025],MATCH("AKV-003",tblKurallar[kural_id],0)),2),0))</f>
        <v/>
      </c>
      <c r="I380" s="37">
        <f>IF($A380="","",IFERROR(MAX(0,$H380-$F380),0))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7">
        <f>IF($A381="","",$B381+$C381-$D381-$E381)</f>
        <v/>
      </c>
      <c r="H381" s="37">
        <f>IF($A381="","",IFERROR(ROUND($G381*INDEX(tblKurallar[deger_2025],MATCH("AKV-003",tblKurallar[kural_id],0)),2),0))</f>
        <v/>
      </c>
      <c r="I381" s="37">
        <f>IF($A381="","",IFERROR(MAX(0,$H381-$F381),0))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7">
        <f>IF($A382="","",$B382+$C382-$D382-$E382)</f>
        <v/>
      </c>
      <c r="H382" s="37">
        <f>IF($A382="","",IFERROR(ROUND($G382*INDEX(tblKurallar[deger_2025],MATCH("AKV-003",tblKurallar[kural_id],0)),2),0))</f>
        <v/>
      </c>
      <c r="I382" s="37">
        <f>IF($A382="","",IFERROR(MAX(0,$H382-$F382),0))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7">
        <f>IF($A383="","",$B383+$C383-$D383-$E383)</f>
        <v/>
      </c>
      <c r="H383" s="37">
        <f>IF($A383="","",IFERROR(ROUND($G383*INDEX(tblKurallar[deger_2025],MATCH("AKV-003",tblKurallar[kural_id],0)),2),0))</f>
        <v/>
      </c>
      <c r="I383" s="37">
        <f>IF($A383="","",IFERROR(MAX(0,$H383-$F383),0))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7">
        <f>IF($A384="","",$B384+$C384-$D384-$E384)</f>
        <v/>
      </c>
      <c r="H384" s="37">
        <f>IF($A384="","",IFERROR(ROUND($G384*INDEX(tblKurallar[deger_2025],MATCH("AKV-003",tblKurallar[kural_id],0)),2),0))</f>
        <v/>
      </c>
      <c r="I384" s="37">
        <f>IF($A384="","",IFERROR(MAX(0,$H384-$F384),0))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7">
        <f>IF($A385="","",$B385+$C385-$D385-$E385)</f>
        <v/>
      </c>
      <c r="H385" s="37">
        <f>IF($A385="","",IFERROR(ROUND($G385*INDEX(tblKurallar[deger_2025],MATCH("AKV-003",tblKurallar[kural_id],0)),2),0))</f>
        <v/>
      </c>
      <c r="I385" s="37">
        <f>IF($A385="","",IFERROR(MAX(0,$H385-$F385),0))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7">
        <f>IF($A386="","",$B386+$C386-$D386-$E386)</f>
        <v/>
      </c>
      <c r="H386" s="37">
        <f>IF($A386="","",IFERROR(ROUND($G386*INDEX(tblKurallar[deger_2025],MATCH("AKV-003",tblKurallar[kural_id],0)),2),0))</f>
        <v/>
      </c>
      <c r="I386" s="37">
        <f>IF($A386="","",IFERROR(MAX(0,$H386-$F386),0))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7">
        <f>IF($A387="","",$B387+$C387-$D387-$E387)</f>
        <v/>
      </c>
      <c r="H387" s="37">
        <f>IF($A387="","",IFERROR(ROUND($G387*INDEX(tblKurallar[deger_2025],MATCH("AKV-003",tblKurallar[kural_id],0)),2),0))</f>
        <v/>
      </c>
      <c r="I387" s="37">
        <f>IF($A387="","",IFERROR(MAX(0,$H387-$F387),0))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7">
        <f>IF($A388="","",$B388+$C388-$D388-$E388)</f>
        <v/>
      </c>
      <c r="H388" s="37">
        <f>IF($A388="","",IFERROR(ROUND($G388*INDEX(tblKurallar[deger_2025],MATCH("AKV-003",tblKurallar[kural_id],0)),2),0))</f>
        <v/>
      </c>
      <c r="I388" s="37">
        <f>IF($A388="","",IFERROR(MAX(0,$H388-$F388),0))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7">
        <f>IF($A389="","",$B389+$C389-$D389-$E389)</f>
        <v/>
      </c>
      <c r="H389" s="37">
        <f>IF($A389="","",IFERROR(ROUND($G389*INDEX(tblKurallar[deger_2025],MATCH("AKV-003",tblKurallar[kural_id],0)),2),0))</f>
        <v/>
      </c>
      <c r="I389" s="37">
        <f>IF($A389="","",IFERROR(MAX(0,$H389-$F389),0))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7">
        <f>IF($A390="","",$B390+$C390-$D390-$E390)</f>
        <v/>
      </c>
      <c r="H390" s="37">
        <f>IF($A390="","",IFERROR(ROUND($G390*INDEX(tblKurallar[deger_2025],MATCH("AKV-003",tblKurallar[kural_id],0)),2),0))</f>
        <v/>
      </c>
      <c r="I390" s="37">
        <f>IF($A390="","",IFERROR(MAX(0,$H390-$F390),0))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7">
        <f>IF($A391="","",$B391+$C391-$D391-$E391)</f>
        <v/>
      </c>
      <c r="H391" s="37">
        <f>IF($A391="","",IFERROR(ROUND($G391*INDEX(tblKurallar[deger_2025],MATCH("AKV-003",tblKurallar[kural_id],0)),2),0))</f>
        <v/>
      </c>
      <c r="I391" s="37">
        <f>IF($A391="","",IFERROR(MAX(0,$H391-$F391),0))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7">
        <f>IF($A392="","",$B392+$C392-$D392-$E392)</f>
        <v/>
      </c>
      <c r="H392" s="37">
        <f>IF($A392="","",IFERROR(ROUND($G392*INDEX(tblKurallar[deger_2025],MATCH("AKV-003",tblKurallar[kural_id],0)),2),0))</f>
        <v/>
      </c>
      <c r="I392" s="37">
        <f>IF($A392="","",IFERROR(MAX(0,$H392-$F392),0))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7">
        <f>IF($A393="","",$B393+$C393-$D393-$E393)</f>
        <v/>
      </c>
      <c r="H393" s="37">
        <f>IF($A393="","",IFERROR(ROUND($G393*INDEX(tblKurallar[deger_2025],MATCH("AKV-003",tblKurallar[kural_id],0)),2),0))</f>
        <v/>
      </c>
      <c r="I393" s="37">
        <f>IF($A393="","",IFERROR(MAX(0,$H393-$F393),0))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7">
        <f>IF($A394="","",$B394+$C394-$D394-$E394)</f>
        <v/>
      </c>
      <c r="H394" s="37">
        <f>IF($A394="","",IFERROR(ROUND($G394*INDEX(tblKurallar[deger_2025],MATCH("AKV-003",tblKurallar[kural_id],0)),2),0))</f>
        <v/>
      </c>
      <c r="I394" s="37">
        <f>IF($A394="","",IFERROR(MAX(0,$H394-$F394),0))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7">
        <f>IF($A395="","",$B395+$C395-$D395-$E395)</f>
        <v/>
      </c>
      <c r="H395" s="37">
        <f>IF($A395="","",IFERROR(ROUND($G395*INDEX(tblKurallar[deger_2025],MATCH("AKV-003",tblKurallar[kural_id],0)),2),0))</f>
        <v/>
      </c>
      <c r="I395" s="37">
        <f>IF($A395="","",IFERROR(MAX(0,$H395-$F395),0))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7">
        <f>IF($A396="","",$B396+$C396-$D396-$E396)</f>
        <v/>
      </c>
      <c r="H396" s="37">
        <f>IF($A396="","",IFERROR(ROUND($G396*INDEX(tblKurallar[deger_2025],MATCH("AKV-003",tblKurallar[kural_id],0)),2),0))</f>
        <v/>
      </c>
      <c r="I396" s="37">
        <f>IF($A396="","",IFERROR(MAX(0,$H396-$F396),0))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7">
        <f>IF($A397="","",$B397+$C397-$D397-$E397)</f>
        <v/>
      </c>
      <c r="H397" s="37">
        <f>IF($A397="","",IFERROR(ROUND($G397*INDEX(tblKurallar[deger_2025],MATCH("AKV-003",tblKurallar[kural_id],0)),2),0))</f>
        <v/>
      </c>
      <c r="I397" s="37">
        <f>IF($A397="","",IFERROR(MAX(0,$H397-$F397),0))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7">
        <f>IF($A398="","",$B398+$C398-$D398-$E398)</f>
        <v/>
      </c>
      <c r="H398" s="37">
        <f>IF($A398="","",IFERROR(ROUND($G398*INDEX(tblKurallar[deger_2025],MATCH("AKV-003",tblKurallar[kural_id],0)),2),0))</f>
        <v/>
      </c>
      <c r="I398" s="37">
        <f>IF($A398="","",IFERROR(MAX(0,$H398-$F398),0))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7">
        <f>IF($A399="","",$B399+$C399-$D399-$E399)</f>
        <v/>
      </c>
      <c r="H399" s="37">
        <f>IF($A399="","",IFERROR(ROUND($G399*INDEX(tblKurallar[deger_2025],MATCH("AKV-003",tblKurallar[kural_id],0)),2),0))</f>
        <v/>
      </c>
      <c r="I399" s="37">
        <f>IF($A399="","",IFERROR(MAX(0,$H399-$F399),0))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7">
        <f>IF($A400="","",$B400+$C400-$D400-$E400)</f>
        <v/>
      </c>
      <c r="H400" s="37">
        <f>IF($A400="","",IFERROR(ROUND($G400*INDEX(tblKurallar[deger_2025],MATCH("AKV-003",tblKurallar[kural_id],0)),2),0))</f>
        <v/>
      </c>
      <c r="I400" s="37">
        <f>IF($A400="","",IFERROR(MAX(0,$H400-$F400),0))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7">
        <f>IF($A401="","",$B401+$C401-$D401-$E401)</f>
        <v/>
      </c>
      <c r="H401" s="37">
        <f>IF($A401="","",IFERROR(ROUND($G401*INDEX(tblKurallar[deger_2025],MATCH("AKV-003",tblKurallar[kural_id],0)),2),0))</f>
        <v/>
      </c>
      <c r="I401" s="37">
        <f>IF($A401="","",IFERROR(MAX(0,$H401-$F401),0))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7">
        <f>IF($A402="","",$B402+$C402-$D402-$E402)</f>
        <v/>
      </c>
      <c r="H402" s="37">
        <f>IF($A402="","",IFERROR(ROUND($G402*INDEX(tblKurallar[deger_2025],MATCH("AKV-003",tblKurallar[kural_id],0)),2),0))</f>
        <v/>
      </c>
      <c r="I402" s="37">
        <f>IF($A402="","",IFERROR(MAX(0,$H402-$F402),0))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7">
        <f>IF($A403="","",$B403+$C403-$D403-$E403)</f>
        <v/>
      </c>
      <c r="H403" s="37">
        <f>IF($A403="","",IFERROR(ROUND($G403*INDEX(tblKurallar[deger_2025],MATCH("AKV-003",tblKurallar[kural_id],0)),2),0))</f>
        <v/>
      </c>
      <c r="I403" s="37">
        <f>IF($A403="","",IFERROR(MAX(0,$H403-$F403),0))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7">
        <f>IF($A404="","",$B404+$C404-$D404-$E404)</f>
        <v/>
      </c>
      <c r="H404" s="37">
        <f>IF($A404="","",IFERROR(ROUND($G404*INDEX(tblKurallar[deger_2025],MATCH("AKV-003",tblKurallar[kural_id],0)),2),0))</f>
        <v/>
      </c>
      <c r="I404" s="37">
        <f>IF($A404="","",IFERROR(MAX(0,$H404-$F404),0))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7">
        <f>IF($A405="","",$B405+$C405-$D405-$E405)</f>
        <v/>
      </c>
      <c r="H405" s="37">
        <f>IF($A405="","",IFERROR(ROUND($G405*INDEX(tblKurallar[deger_2025],MATCH("AKV-003",tblKurallar[kural_id],0)),2),0))</f>
        <v/>
      </c>
      <c r="I405" s="37">
        <f>IF($A405="","",IFERROR(MAX(0,$H405-$F405),0))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7">
        <f>IF($A406="","",$B406+$C406-$D406-$E406)</f>
        <v/>
      </c>
      <c r="H406" s="37">
        <f>IF($A406="","",IFERROR(ROUND($G406*INDEX(tblKurallar[deger_2025],MATCH("AKV-003",tblKurallar[kural_id],0)),2),0))</f>
        <v/>
      </c>
      <c r="I406" s="37">
        <f>IF($A406="","",IFERROR(MAX(0,$H406-$F406),0))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7">
        <f>IF($A407="","",$B407+$C407-$D407-$E407)</f>
        <v/>
      </c>
      <c r="H407" s="37">
        <f>IF($A407="","",IFERROR(ROUND($G407*INDEX(tblKurallar[deger_2025],MATCH("AKV-003",tblKurallar[kural_id],0)),2),0))</f>
        <v/>
      </c>
      <c r="I407" s="37">
        <f>IF($A407="","",IFERROR(MAX(0,$H407-$F407),0))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7">
        <f>IF($A408="","",$B408+$C408-$D408-$E408)</f>
        <v/>
      </c>
      <c r="H408" s="37">
        <f>IF($A408="","",IFERROR(ROUND($G408*INDEX(tblKurallar[deger_2025],MATCH("AKV-003",tblKurallar[kural_id],0)),2),0))</f>
        <v/>
      </c>
      <c r="I408" s="37">
        <f>IF($A408="","",IFERROR(MAX(0,$H408-$F408),0))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7">
        <f>IF($A409="","",$B409+$C409-$D409-$E409)</f>
        <v/>
      </c>
      <c r="H409" s="37">
        <f>IF($A409="","",IFERROR(ROUND($G409*INDEX(tblKurallar[deger_2025],MATCH("AKV-003",tblKurallar[kural_id],0)),2),0))</f>
        <v/>
      </c>
      <c r="I409" s="37">
        <f>IF($A409="","",IFERROR(MAX(0,$H409-$F409),0))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7">
        <f>IF($A410="","",$B410+$C410-$D410-$E410)</f>
        <v/>
      </c>
      <c r="H410" s="37">
        <f>IF($A410="","",IFERROR(ROUND($G410*INDEX(tblKurallar[deger_2025],MATCH("AKV-003",tblKurallar[kural_id],0)),2),0))</f>
        <v/>
      </c>
      <c r="I410" s="37">
        <f>IF($A410="","",IFERROR(MAX(0,$H410-$F410),0))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7">
        <f>IF($A411="","",$B411+$C411-$D411-$E411)</f>
        <v/>
      </c>
      <c r="H411" s="37">
        <f>IF($A411="","",IFERROR(ROUND($G411*INDEX(tblKurallar[deger_2025],MATCH("AKV-003",tblKurallar[kural_id],0)),2),0))</f>
        <v/>
      </c>
      <c r="I411" s="37">
        <f>IF($A411="","",IFERROR(MAX(0,$H411-$F411),0))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7">
        <f>IF($A412="","",$B412+$C412-$D412-$E412)</f>
        <v/>
      </c>
      <c r="H412" s="37">
        <f>IF($A412="","",IFERROR(ROUND($G412*INDEX(tblKurallar[deger_2025],MATCH("AKV-003",tblKurallar[kural_id],0)),2),0))</f>
        <v/>
      </c>
      <c r="I412" s="37">
        <f>IF($A412="","",IFERROR(MAX(0,$H412-$F412),0))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7">
        <f>IF($A413="","",$B413+$C413-$D413-$E413)</f>
        <v/>
      </c>
      <c r="H413" s="37">
        <f>IF($A413="","",IFERROR(ROUND($G413*INDEX(tblKurallar[deger_2025],MATCH("AKV-003",tblKurallar[kural_id],0)),2),0))</f>
        <v/>
      </c>
      <c r="I413" s="37">
        <f>IF($A413="","",IFERROR(MAX(0,$H413-$F413),0))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7">
        <f>IF($A414="","",$B414+$C414-$D414-$E414)</f>
        <v/>
      </c>
      <c r="H414" s="37">
        <f>IF($A414="","",IFERROR(ROUND($G414*INDEX(tblKurallar[deger_2025],MATCH("AKV-003",tblKurallar[kural_id],0)),2),0))</f>
        <v/>
      </c>
      <c r="I414" s="37">
        <f>IF($A414="","",IFERROR(MAX(0,$H414-$F414),0))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7">
        <f>IF($A415="","",$B415+$C415-$D415-$E415)</f>
        <v/>
      </c>
      <c r="H415" s="37">
        <f>IF($A415="","",IFERROR(ROUND($G415*INDEX(tblKurallar[deger_2025],MATCH("AKV-003",tblKurallar[kural_id],0)),2),0))</f>
        <v/>
      </c>
      <c r="I415" s="37">
        <f>IF($A415="","",IFERROR(MAX(0,$H415-$F415),0))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7">
        <f>IF($A416="","",$B416+$C416-$D416-$E416)</f>
        <v/>
      </c>
      <c r="H416" s="37">
        <f>IF($A416="","",IFERROR(ROUND($G416*INDEX(tblKurallar[deger_2025],MATCH("AKV-003",tblKurallar[kural_id],0)),2),0))</f>
        <v/>
      </c>
      <c r="I416" s="37">
        <f>IF($A416="","",IFERROR(MAX(0,$H416-$F416),0))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7">
        <f>IF($A417="","",$B417+$C417-$D417-$E417)</f>
        <v/>
      </c>
      <c r="H417" s="37">
        <f>IF($A417="","",IFERROR(ROUND($G417*INDEX(tblKurallar[deger_2025],MATCH("AKV-003",tblKurallar[kural_id],0)),2),0))</f>
        <v/>
      </c>
      <c r="I417" s="37">
        <f>IF($A417="","",IFERROR(MAX(0,$H417-$F417),0))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7">
        <f>IF($A418="","",$B418+$C418-$D418-$E418)</f>
        <v/>
      </c>
      <c r="H418" s="37">
        <f>IF($A418="","",IFERROR(ROUND($G418*INDEX(tblKurallar[deger_2025],MATCH("AKV-003",tblKurallar[kural_id],0)),2),0))</f>
        <v/>
      </c>
      <c r="I418" s="37">
        <f>IF($A418="","",IFERROR(MAX(0,$H418-$F418),0))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7">
        <f>IF($A419="","",$B419+$C419-$D419-$E419)</f>
        <v/>
      </c>
      <c r="H419" s="37">
        <f>IF($A419="","",IFERROR(ROUND($G419*INDEX(tblKurallar[deger_2025],MATCH("AKV-003",tblKurallar[kural_id],0)),2),0))</f>
        <v/>
      </c>
      <c r="I419" s="37">
        <f>IF($A419="","",IFERROR(MAX(0,$H419-$F419),0))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7">
        <f>IF($A420="","",$B420+$C420-$D420-$E420)</f>
        <v/>
      </c>
      <c r="H420" s="37">
        <f>IF($A420="","",IFERROR(ROUND($G420*INDEX(tblKurallar[deger_2025],MATCH("AKV-003",tblKurallar[kural_id],0)),2),0))</f>
        <v/>
      </c>
      <c r="I420" s="37">
        <f>IF($A420="","",IFERROR(MAX(0,$H420-$F420),0))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7">
        <f>IF($A421="","",$B421+$C421-$D421-$E421)</f>
        <v/>
      </c>
      <c r="H421" s="37">
        <f>IF($A421="","",IFERROR(ROUND($G421*INDEX(tblKurallar[deger_2025],MATCH("AKV-003",tblKurallar[kural_id],0)),2),0))</f>
        <v/>
      </c>
      <c r="I421" s="37">
        <f>IF($A421="","",IFERROR(MAX(0,$H421-$F421),0))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7">
        <f>IF($A422="","",$B422+$C422-$D422-$E422)</f>
        <v/>
      </c>
      <c r="H422" s="37">
        <f>IF($A422="","",IFERROR(ROUND($G422*INDEX(tblKurallar[deger_2025],MATCH("AKV-003",tblKurallar[kural_id],0)),2),0))</f>
        <v/>
      </c>
      <c r="I422" s="37">
        <f>IF($A422="","",IFERROR(MAX(0,$H422-$F422),0))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7">
        <f>IF($A423="","",$B423+$C423-$D423-$E423)</f>
        <v/>
      </c>
      <c r="H423" s="37">
        <f>IF($A423="","",IFERROR(ROUND($G423*INDEX(tblKurallar[deger_2025],MATCH("AKV-003",tblKurallar[kural_id],0)),2),0))</f>
        <v/>
      </c>
      <c r="I423" s="37">
        <f>IF($A423="","",IFERROR(MAX(0,$H423-$F423),0))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7">
        <f>IF($A424="","",$B424+$C424-$D424-$E424)</f>
        <v/>
      </c>
      <c r="H424" s="37">
        <f>IF($A424="","",IFERROR(ROUND($G424*INDEX(tblKurallar[deger_2025],MATCH("AKV-003",tblKurallar[kural_id],0)),2),0))</f>
        <v/>
      </c>
      <c r="I424" s="37">
        <f>IF($A424="","",IFERROR(MAX(0,$H424-$F424),0))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7">
        <f>IF($A425="","",$B425+$C425-$D425-$E425)</f>
        <v/>
      </c>
      <c r="H425" s="37">
        <f>IF($A425="","",IFERROR(ROUND($G425*INDEX(tblKurallar[deger_2025],MATCH("AKV-003",tblKurallar[kural_id],0)),2),0))</f>
        <v/>
      </c>
      <c r="I425" s="37">
        <f>IF($A425="","",IFERROR(MAX(0,$H425-$F425),0))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7">
        <f>IF($A426="","",$B426+$C426-$D426-$E426)</f>
        <v/>
      </c>
      <c r="H426" s="37">
        <f>IF($A426="","",IFERROR(ROUND($G426*INDEX(tblKurallar[deger_2025],MATCH("AKV-003",tblKurallar[kural_id],0)),2),0))</f>
        <v/>
      </c>
      <c r="I426" s="37">
        <f>IF($A426="","",IFERROR(MAX(0,$H426-$F426),0))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7">
        <f>IF($A427="","",$B427+$C427-$D427-$E427)</f>
        <v/>
      </c>
      <c r="H427" s="37">
        <f>IF($A427="","",IFERROR(ROUND($G427*INDEX(tblKurallar[deger_2025],MATCH("AKV-003",tblKurallar[kural_id],0)),2),0))</f>
        <v/>
      </c>
      <c r="I427" s="37">
        <f>IF($A427="","",IFERROR(MAX(0,$H427-$F427),0))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7">
        <f>IF($A428="","",$B428+$C428-$D428-$E428)</f>
        <v/>
      </c>
      <c r="H428" s="37">
        <f>IF($A428="","",IFERROR(ROUND($G428*INDEX(tblKurallar[deger_2025],MATCH("AKV-003",tblKurallar[kural_id],0)),2),0))</f>
        <v/>
      </c>
      <c r="I428" s="37">
        <f>IF($A428="","",IFERROR(MAX(0,$H428-$F428),0))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7">
        <f>IF($A429="","",$B429+$C429-$D429-$E429)</f>
        <v/>
      </c>
      <c r="H429" s="37">
        <f>IF($A429="","",IFERROR(ROUND($G429*INDEX(tblKurallar[deger_2025],MATCH("AKV-003",tblKurallar[kural_id],0)),2),0))</f>
        <v/>
      </c>
      <c r="I429" s="37">
        <f>IF($A429="","",IFERROR(MAX(0,$H429-$F429),0))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7">
        <f>IF($A430="","",$B430+$C430-$D430-$E430)</f>
        <v/>
      </c>
      <c r="H430" s="37">
        <f>IF($A430="","",IFERROR(ROUND($G430*INDEX(tblKurallar[deger_2025],MATCH("AKV-003",tblKurallar[kural_id],0)),2),0))</f>
        <v/>
      </c>
      <c r="I430" s="37">
        <f>IF($A430="","",IFERROR(MAX(0,$H430-$F430),0))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7">
        <f>IF($A431="","",$B431+$C431-$D431-$E431)</f>
        <v/>
      </c>
      <c r="H431" s="37">
        <f>IF($A431="","",IFERROR(ROUND($G431*INDEX(tblKurallar[deger_2025],MATCH("AKV-003",tblKurallar[kural_id],0)),2),0))</f>
        <v/>
      </c>
      <c r="I431" s="37">
        <f>IF($A431="","",IFERROR(MAX(0,$H431-$F431),0))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7">
        <f>IF($A432="","",$B432+$C432-$D432-$E432)</f>
        <v/>
      </c>
      <c r="H432" s="37">
        <f>IF($A432="","",IFERROR(ROUND($G432*INDEX(tblKurallar[deger_2025],MATCH("AKV-003",tblKurallar[kural_id],0)),2),0))</f>
        <v/>
      </c>
      <c r="I432" s="37">
        <f>IF($A432="","",IFERROR(MAX(0,$H432-$F432),0))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7">
        <f>IF($A433="","",$B433+$C433-$D433-$E433)</f>
        <v/>
      </c>
      <c r="H433" s="37">
        <f>IF($A433="","",IFERROR(ROUND($G433*INDEX(tblKurallar[deger_2025],MATCH("AKV-003",tblKurallar[kural_id],0)),2),0))</f>
        <v/>
      </c>
      <c r="I433" s="37">
        <f>IF($A433="","",IFERROR(MAX(0,$H433-$F433),0))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7">
        <f>IF($A434="","",$B434+$C434-$D434-$E434)</f>
        <v/>
      </c>
      <c r="H434" s="37">
        <f>IF($A434="","",IFERROR(ROUND($G434*INDEX(tblKurallar[deger_2025],MATCH("AKV-003",tblKurallar[kural_id],0)),2),0))</f>
        <v/>
      </c>
      <c r="I434" s="37">
        <f>IF($A434="","",IFERROR(MAX(0,$H434-$F434),0))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7">
        <f>IF($A435="","",$B435+$C435-$D435-$E435)</f>
        <v/>
      </c>
      <c r="H435" s="37">
        <f>IF($A435="","",IFERROR(ROUND($G435*INDEX(tblKurallar[deger_2025],MATCH("AKV-003",tblKurallar[kural_id],0)),2),0))</f>
        <v/>
      </c>
      <c r="I435" s="37">
        <f>IF($A435="","",IFERROR(MAX(0,$H435-$F435),0))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7">
        <f>IF($A436="","",$B436+$C436-$D436-$E436)</f>
        <v/>
      </c>
      <c r="H436" s="37">
        <f>IF($A436="","",IFERROR(ROUND($G436*INDEX(tblKurallar[deger_2025],MATCH("AKV-003",tblKurallar[kural_id],0)),2),0))</f>
        <v/>
      </c>
      <c r="I436" s="37">
        <f>IF($A436="","",IFERROR(MAX(0,$H436-$F436),0))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7">
        <f>IF($A437="","",$B437+$C437-$D437-$E437)</f>
        <v/>
      </c>
      <c r="H437" s="37">
        <f>IF($A437="","",IFERROR(ROUND($G437*INDEX(tblKurallar[deger_2025],MATCH("AKV-003",tblKurallar[kural_id],0)),2),0))</f>
        <v/>
      </c>
      <c r="I437" s="37">
        <f>IF($A437="","",IFERROR(MAX(0,$H437-$F437),0))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7">
        <f>IF($A438="","",$B438+$C438-$D438-$E438)</f>
        <v/>
      </c>
      <c r="H438" s="37">
        <f>IF($A438="","",IFERROR(ROUND($G438*INDEX(tblKurallar[deger_2025],MATCH("AKV-003",tblKurallar[kural_id],0)),2),0))</f>
        <v/>
      </c>
      <c r="I438" s="37">
        <f>IF($A438="","",IFERROR(MAX(0,$H438-$F438),0))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7">
        <f>IF($A439="","",$B439+$C439-$D439-$E439)</f>
        <v/>
      </c>
      <c r="H439" s="37">
        <f>IF($A439="","",IFERROR(ROUND($G439*INDEX(tblKurallar[deger_2025],MATCH("AKV-003",tblKurallar[kural_id],0)),2),0))</f>
        <v/>
      </c>
      <c r="I439" s="37">
        <f>IF($A439="","",IFERROR(MAX(0,$H439-$F439),0))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7">
        <f>IF($A440="","",$B440+$C440-$D440-$E440)</f>
        <v/>
      </c>
      <c r="H440" s="37">
        <f>IF($A440="","",IFERROR(ROUND($G440*INDEX(tblKurallar[deger_2025],MATCH("AKV-003",tblKurallar[kural_id],0)),2),0))</f>
        <v/>
      </c>
      <c r="I440" s="37">
        <f>IF($A440="","",IFERROR(MAX(0,$H440-$F440),0))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7">
        <f>IF($A441="","",$B441+$C441-$D441-$E441)</f>
        <v/>
      </c>
      <c r="H441" s="37">
        <f>IF($A441="","",IFERROR(ROUND($G441*INDEX(tblKurallar[deger_2025],MATCH("AKV-003",tblKurallar[kural_id],0)),2),0))</f>
        <v/>
      </c>
      <c r="I441" s="37">
        <f>IF($A441="","",IFERROR(MAX(0,$H441-$F441),0))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7">
        <f>IF($A442="","",$B442+$C442-$D442-$E442)</f>
        <v/>
      </c>
      <c r="H442" s="37">
        <f>IF($A442="","",IFERROR(ROUND($G442*INDEX(tblKurallar[deger_2025],MATCH("AKV-003",tblKurallar[kural_id],0)),2),0))</f>
        <v/>
      </c>
      <c r="I442" s="37">
        <f>IF($A442="","",IFERROR(MAX(0,$H442-$F442),0))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7">
        <f>IF($A443="","",$B443+$C443-$D443-$E443)</f>
        <v/>
      </c>
      <c r="H443" s="37">
        <f>IF($A443="","",IFERROR(ROUND($G443*INDEX(tblKurallar[deger_2025],MATCH("AKV-003",tblKurallar[kural_id],0)),2),0))</f>
        <v/>
      </c>
      <c r="I443" s="37">
        <f>IF($A443="","",IFERROR(MAX(0,$H443-$F443),0))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7">
        <f>IF($A444="","",$B444+$C444-$D444-$E444)</f>
        <v/>
      </c>
      <c r="H444" s="37">
        <f>IF($A444="","",IFERROR(ROUND($G444*INDEX(tblKurallar[deger_2025],MATCH("AKV-003",tblKurallar[kural_id],0)),2),0))</f>
        <v/>
      </c>
      <c r="I444" s="37">
        <f>IF($A444="","",IFERROR(MAX(0,$H444-$F444),0))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7">
        <f>IF($A445="","",$B445+$C445-$D445-$E445)</f>
        <v/>
      </c>
      <c r="H445" s="37">
        <f>IF($A445="","",IFERROR(ROUND($G445*INDEX(tblKurallar[deger_2025],MATCH("AKV-003",tblKurallar[kural_id],0)),2),0))</f>
        <v/>
      </c>
      <c r="I445" s="37">
        <f>IF($A445="","",IFERROR(MAX(0,$H445-$F445),0))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7">
        <f>IF($A446="","",$B446+$C446-$D446-$E446)</f>
        <v/>
      </c>
      <c r="H446" s="37">
        <f>IF($A446="","",IFERROR(ROUND($G446*INDEX(tblKurallar[deger_2025],MATCH("AKV-003",tblKurallar[kural_id],0)),2),0))</f>
        <v/>
      </c>
      <c r="I446" s="37">
        <f>IF($A446="","",IFERROR(MAX(0,$H446-$F446),0))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7">
        <f>IF($A447="","",$B447+$C447-$D447-$E447)</f>
        <v/>
      </c>
      <c r="H447" s="37">
        <f>IF($A447="","",IFERROR(ROUND($G447*INDEX(tblKurallar[deger_2025],MATCH("AKV-003",tblKurallar[kural_id],0)),2),0))</f>
        <v/>
      </c>
      <c r="I447" s="37">
        <f>IF($A447="","",IFERROR(MAX(0,$H447-$F447),0))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7">
        <f>IF($A448="","",$B448+$C448-$D448-$E448)</f>
        <v/>
      </c>
      <c r="H448" s="37">
        <f>IF($A448="","",IFERROR(ROUND($G448*INDEX(tblKurallar[deger_2025],MATCH("AKV-003",tblKurallar[kural_id],0)),2),0))</f>
        <v/>
      </c>
      <c r="I448" s="37">
        <f>IF($A448="","",IFERROR(MAX(0,$H448-$F448),0))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7">
        <f>IF($A449="","",$B449+$C449-$D449-$E449)</f>
        <v/>
      </c>
      <c r="H449" s="37">
        <f>IF($A449="","",IFERROR(ROUND($G449*INDEX(tblKurallar[deger_2025],MATCH("AKV-003",tblKurallar[kural_id],0)),2),0))</f>
        <v/>
      </c>
      <c r="I449" s="37">
        <f>IF($A449="","",IFERROR(MAX(0,$H449-$F449),0))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7">
        <f>IF($A450="","",$B450+$C450-$D450-$E450)</f>
        <v/>
      </c>
      <c r="H450" s="37">
        <f>IF($A450="","",IFERROR(ROUND($G450*INDEX(tblKurallar[deger_2025],MATCH("AKV-003",tblKurallar[kural_id],0)),2),0))</f>
        <v/>
      </c>
      <c r="I450" s="37">
        <f>IF($A450="","",IFERROR(MAX(0,$H450-$F450),0))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7">
        <f>IF($A451="","",$B451+$C451-$D451-$E451)</f>
        <v/>
      </c>
      <c r="H451" s="37">
        <f>IF($A451="","",IFERROR(ROUND($G451*INDEX(tblKurallar[deger_2025],MATCH("AKV-003",tblKurallar[kural_id],0)),2),0))</f>
        <v/>
      </c>
      <c r="I451" s="37">
        <f>IF($A451="","",IFERROR(MAX(0,$H451-$F451),0))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7">
        <f>IF($A452="","",$B452+$C452-$D452-$E452)</f>
        <v/>
      </c>
      <c r="H452" s="37">
        <f>IF($A452="","",IFERROR(ROUND($G452*INDEX(tblKurallar[deger_2025],MATCH("AKV-003",tblKurallar[kural_id],0)),2),0))</f>
        <v/>
      </c>
      <c r="I452" s="37">
        <f>IF($A452="","",IFERROR(MAX(0,$H452-$F452),0))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7">
        <f>IF($A453="","",$B453+$C453-$D453-$E453)</f>
        <v/>
      </c>
      <c r="H453" s="37">
        <f>IF($A453="","",IFERROR(ROUND($G453*INDEX(tblKurallar[deger_2025],MATCH("AKV-003",tblKurallar[kural_id],0)),2),0))</f>
        <v/>
      </c>
      <c r="I453" s="37">
        <f>IF($A453="","",IFERROR(MAX(0,$H453-$F453),0))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7">
        <f>IF($A454="","",$B454+$C454-$D454-$E454)</f>
        <v/>
      </c>
      <c r="H454" s="37">
        <f>IF($A454="","",IFERROR(ROUND($G454*INDEX(tblKurallar[deger_2025],MATCH("AKV-003",tblKurallar[kural_id],0)),2),0))</f>
        <v/>
      </c>
      <c r="I454" s="37">
        <f>IF($A454="","",IFERROR(MAX(0,$H454-$F454),0))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7">
        <f>IF($A455="","",$B455+$C455-$D455-$E455)</f>
        <v/>
      </c>
      <c r="H455" s="37">
        <f>IF($A455="","",IFERROR(ROUND($G455*INDEX(tblKurallar[deger_2025],MATCH("AKV-003",tblKurallar[kural_id],0)),2),0))</f>
        <v/>
      </c>
      <c r="I455" s="37">
        <f>IF($A455="","",IFERROR(MAX(0,$H455-$F455),0))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7">
        <f>IF($A456="","",$B456+$C456-$D456-$E456)</f>
        <v/>
      </c>
      <c r="H456" s="37">
        <f>IF($A456="","",IFERROR(ROUND($G456*INDEX(tblKurallar[deger_2025],MATCH("AKV-003",tblKurallar[kural_id],0)),2),0))</f>
        <v/>
      </c>
      <c r="I456" s="37">
        <f>IF($A456="","",IFERROR(MAX(0,$H456-$F456),0))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7">
        <f>IF($A457="","",$B457+$C457-$D457-$E457)</f>
        <v/>
      </c>
      <c r="H457" s="37">
        <f>IF($A457="","",IFERROR(ROUND($G457*INDEX(tblKurallar[deger_2025],MATCH("AKV-003",tblKurallar[kural_id],0)),2),0))</f>
        <v/>
      </c>
      <c r="I457" s="37">
        <f>IF($A457="","",IFERROR(MAX(0,$H457-$F457),0))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7">
        <f>IF($A458="","",$B458+$C458-$D458-$E458)</f>
        <v/>
      </c>
      <c r="H458" s="37">
        <f>IF($A458="","",IFERROR(ROUND($G458*INDEX(tblKurallar[deger_2025],MATCH("AKV-003",tblKurallar[kural_id],0)),2),0))</f>
        <v/>
      </c>
      <c r="I458" s="37">
        <f>IF($A458="","",IFERROR(MAX(0,$H458-$F458),0))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7">
        <f>IF($A459="","",$B459+$C459-$D459-$E459)</f>
        <v/>
      </c>
      <c r="H459" s="37">
        <f>IF($A459="","",IFERROR(ROUND($G459*INDEX(tblKurallar[deger_2025],MATCH("AKV-003",tblKurallar[kural_id],0)),2),0))</f>
        <v/>
      </c>
      <c r="I459" s="37">
        <f>IF($A459="","",IFERROR(MAX(0,$H459-$F459),0))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7">
        <f>IF($A460="","",$B460+$C460-$D460-$E460)</f>
        <v/>
      </c>
      <c r="H460" s="37">
        <f>IF($A460="","",IFERROR(ROUND($G460*INDEX(tblKurallar[deger_2025],MATCH("AKV-003",tblKurallar[kural_id],0)),2),0))</f>
        <v/>
      </c>
      <c r="I460" s="37">
        <f>IF($A460="","",IFERROR(MAX(0,$H460-$F460),0))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7">
        <f>IF($A461="","",$B461+$C461-$D461-$E461)</f>
        <v/>
      </c>
      <c r="H461" s="37">
        <f>IF($A461="","",IFERROR(ROUND($G461*INDEX(tblKurallar[deger_2025],MATCH("AKV-003",tblKurallar[kural_id],0)),2),0))</f>
        <v/>
      </c>
      <c r="I461" s="37">
        <f>IF($A461="","",IFERROR(MAX(0,$H461-$F461),0))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7">
        <f>IF($A462="","",$B462+$C462-$D462-$E462)</f>
        <v/>
      </c>
      <c r="H462" s="37">
        <f>IF($A462="","",IFERROR(ROUND($G462*INDEX(tblKurallar[deger_2025],MATCH("AKV-003",tblKurallar[kural_id],0)),2),0))</f>
        <v/>
      </c>
      <c r="I462" s="37">
        <f>IF($A462="","",IFERROR(MAX(0,$H462-$F462),0))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7">
        <f>IF($A463="","",$B463+$C463-$D463-$E463)</f>
        <v/>
      </c>
      <c r="H463" s="37">
        <f>IF($A463="","",IFERROR(ROUND($G463*INDEX(tblKurallar[deger_2025],MATCH("AKV-003",tblKurallar[kural_id],0)),2),0))</f>
        <v/>
      </c>
      <c r="I463" s="37">
        <f>IF($A463="","",IFERROR(MAX(0,$H463-$F463),0))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7">
        <f>IF($A464="","",$B464+$C464-$D464-$E464)</f>
        <v/>
      </c>
      <c r="H464" s="37">
        <f>IF($A464="","",IFERROR(ROUND($G464*INDEX(tblKurallar[deger_2025],MATCH("AKV-003",tblKurallar[kural_id],0)),2),0))</f>
        <v/>
      </c>
      <c r="I464" s="37">
        <f>IF($A464="","",IFERROR(MAX(0,$H464-$F464),0))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7">
        <f>IF($A465="","",$B465+$C465-$D465-$E465)</f>
        <v/>
      </c>
      <c r="H465" s="37">
        <f>IF($A465="","",IFERROR(ROUND($G465*INDEX(tblKurallar[deger_2025],MATCH("AKV-003",tblKurallar[kural_id],0)),2),0))</f>
        <v/>
      </c>
      <c r="I465" s="37">
        <f>IF($A465="","",IFERROR(MAX(0,$H465-$F465),0))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7">
        <f>IF($A466="","",$B466+$C466-$D466-$E466)</f>
        <v/>
      </c>
      <c r="H466" s="37">
        <f>IF($A466="","",IFERROR(ROUND($G466*INDEX(tblKurallar[deger_2025],MATCH("AKV-003",tblKurallar[kural_id],0)),2),0))</f>
        <v/>
      </c>
      <c r="I466" s="37">
        <f>IF($A466="","",IFERROR(MAX(0,$H466-$F466),0))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7">
        <f>IF($A467="","",$B467+$C467-$D467-$E467)</f>
        <v/>
      </c>
      <c r="H467" s="37">
        <f>IF($A467="","",IFERROR(ROUND($G467*INDEX(tblKurallar[deger_2025],MATCH("AKV-003",tblKurallar[kural_id],0)),2),0))</f>
        <v/>
      </c>
      <c r="I467" s="37">
        <f>IF($A467="","",IFERROR(MAX(0,$H467-$F467),0))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7">
        <f>IF($A468="","",$B468+$C468-$D468-$E468)</f>
        <v/>
      </c>
      <c r="H468" s="37">
        <f>IF($A468="","",IFERROR(ROUND($G468*INDEX(tblKurallar[deger_2025],MATCH("AKV-003",tblKurallar[kural_id],0)),2),0))</f>
        <v/>
      </c>
      <c r="I468" s="37">
        <f>IF($A468="","",IFERROR(MAX(0,$H468-$F468),0))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7">
        <f>IF($A469="","",$B469+$C469-$D469-$E469)</f>
        <v/>
      </c>
      <c r="H469" s="37">
        <f>IF($A469="","",IFERROR(ROUND($G469*INDEX(tblKurallar[deger_2025],MATCH("AKV-003",tblKurallar[kural_id],0)),2),0))</f>
        <v/>
      </c>
      <c r="I469" s="37">
        <f>IF($A469="","",IFERROR(MAX(0,$H469-$F469),0))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7">
        <f>IF($A470="","",$B470+$C470-$D470-$E470)</f>
        <v/>
      </c>
      <c r="H470" s="37">
        <f>IF($A470="","",IFERROR(ROUND($G470*INDEX(tblKurallar[deger_2025],MATCH("AKV-003",tblKurallar[kural_id],0)),2),0))</f>
        <v/>
      </c>
      <c r="I470" s="37">
        <f>IF($A470="","",IFERROR(MAX(0,$H470-$F470),0))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7">
        <f>IF($A471="","",$B471+$C471-$D471-$E471)</f>
        <v/>
      </c>
      <c r="H471" s="37">
        <f>IF($A471="","",IFERROR(ROUND($G471*INDEX(tblKurallar[deger_2025],MATCH("AKV-003",tblKurallar[kural_id],0)),2),0))</f>
        <v/>
      </c>
      <c r="I471" s="37">
        <f>IF($A471="","",IFERROR(MAX(0,$H471-$F471),0))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7">
        <f>IF($A472="","",$B472+$C472-$D472-$E472)</f>
        <v/>
      </c>
      <c r="H472" s="37">
        <f>IF($A472="","",IFERROR(ROUND($G472*INDEX(tblKurallar[deger_2025],MATCH("AKV-003",tblKurallar[kural_id],0)),2),0))</f>
        <v/>
      </c>
      <c r="I472" s="37">
        <f>IF($A472="","",IFERROR(MAX(0,$H472-$F472),0))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7">
        <f>IF($A473="","",$B473+$C473-$D473-$E473)</f>
        <v/>
      </c>
      <c r="H473" s="37">
        <f>IF($A473="","",IFERROR(ROUND($G473*INDEX(tblKurallar[deger_2025],MATCH("AKV-003",tblKurallar[kural_id],0)),2),0))</f>
        <v/>
      </c>
      <c r="I473" s="37">
        <f>IF($A473="","",IFERROR(MAX(0,$H473-$F473),0))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7">
        <f>IF($A474="","",$B474+$C474-$D474-$E474)</f>
        <v/>
      </c>
      <c r="H474" s="37">
        <f>IF($A474="","",IFERROR(ROUND($G474*INDEX(tblKurallar[deger_2025],MATCH("AKV-003",tblKurallar[kural_id],0)),2),0))</f>
        <v/>
      </c>
      <c r="I474" s="37">
        <f>IF($A474="","",IFERROR(MAX(0,$H474-$F474),0))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7">
        <f>IF($A475="","",$B475+$C475-$D475-$E475)</f>
        <v/>
      </c>
      <c r="H475" s="37">
        <f>IF($A475="","",IFERROR(ROUND($G475*INDEX(tblKurallar[deger_2025],MATCH("AKV-003",tblKurallar[kural_id],0)),2),0))</f>
        <v/>
      </c>
      <c r="I475" s="37">
        <f>IF($A475="","",IFERROR(MAX(0,$H475-$F475),0))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7">
        <f>IF($A476="","",$B476+$C476-$D476-$E476)</f>
        <v/>
      </c>
      <c r="H476" s="37">
        <f>IF($A476="","",IFERROR(ROUND($G476*INDEX(tblKurallar[deger_2025],MATCH("AKV-003",tblKurallar[kural_id],0)),2),0))</f>
        <v/>
      </c>
      <c r="I476" s="37">
        <f>IF($A476="","",IFERROR(MAX(0,$H476-$F476),0))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7">
        <f>IF($A477="","",$B477+$C477-$D477-$E477)</f>
        <v/>
      </c>
      <c r="H477" s="37">
        <f>IF($A477="","",IFERROR(ROUND($G477*INDEX(tblKurallar[deger_2025],MATCH("AKV-003",tblKurallar[kural_id],0)),2),0))</f>
        <v/>
      </c>
      <c r="I477" s="37">
        <f>IF($A477="","",IFERROR(MAX(0,$H477-$F477),0))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7">
        <f>IF($A478="","",$B478+$C478-$D478-$E478)</f>
        <v/>
      </c>
      <c r="H478" s="37">
        <f>IF($A478="","",IFERROR(ROUND($G478*INDEX(tblKurallar[deger_2025],MATCH("AKV-003",tblKurallar[kural_id],0)),2),0))</f>
        <v/>
      </c>
      <c r="I478" s="37">
        <f>IF($A478="","",IFERROR(MAX(0,$H478-$F478),0))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7">
        <f>IF($A479="","",$B479+$C479-$D479-$E479)</f>
        <v/>
      </c>
      <c r="H479" s="37">
        <f>IF($A479="","",IFERROR(ROUND($G479*INDEX(tblKurallar[deger_2025],MATCH("AKV-003",tblKurallar[kural_id],0)),2),0))</f>
        <v/>
      </c>
      <c r="I479" s="37">
        <f>IF($A479="","",IFERROR(MAX(0,$H479-$F479),0))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7">
        <f>IF($A480="","",$B480+$C480-$D480-$E480)</f>
        <v/>
      </c>
      <c r="H480" s="37">
        <f>IF($A480="","",IFERROR(ROUND($G480*INDEX(tblKurallar[deger_2025],MATCH("AKV-003",tblKurallar[kural_id],0)),2),0))</f>
        <v/>
      </c>
      <c r="I480" s="37">
        <f>IF($A480="","",IFERROR(MAX(0,$H480-$F480),0))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7">
        <f>IF($A481="","",$B481+$C481-$D481-$E481)</f>
        <v/>
      </c>
      <c r="H481" s="37">
        <f>IF($A481="","",IFERROR(ROUND($G481*INDEX(tblKurallar[deger_2025],MATCH("AKV-003",tblKurallar[kural_id],0)),2),0))</f>
        <v/>
      </c>
      <c r="I481" s="37">
        <f>IF($A481="","",IFERROR(MAX(0,$H481-$F481),0))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7">
        <f>IF($A482="","",$B482+$C482-$D482-$E482)</f>
        <v/>
      </c>
      <c r="H482" s="37">
        <f>IF($A482="","",IFERROR(ROUND($G482*INDEX(tblKurallar[deger_2025],MATCH("AKV-003",tblKurallar[kural_id],0)),2),0))</f>
        <v/>
      </c>
      <c r="I482" s="37">
        <f>IF($A482="","",IFERROR(MAX(0,$H482-$F482),0))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7">
        <f>IF($A483="","",$B483+$C483-$D483-$E483)</f>
        <v/>
      </c>
      <c r="H483" s="37">
        <f>IF($A483="","",IFERROR(ROUND($G483*INDEX(tblKurallar[deger_2025],MATCH("AKV-003",tblKurallar[kural_id],0)),2),0))</f>
        <v/>
      </c>
      <c r="I483" s="37">
        <f>IF($A483="","",IFERROR(MAX(0,$H483-$F483),0))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7">
        <f>IF($A484="","",$B484+$C484-$D484-$E484)</f>
        <v/>
      </c>
      <c r="H484" s="37">
        <f>IF($A484="","",IFERROR(ROUND($G484*INDEX(tblKurallar[deger_2025],MATCH("AKV-003",tblKurallar[kural_id],0)),2),0))</f>
        <v/>
      </c>
      <c r="I484" s="37">
        <f>IF($A484="","",IFERROR(MAX(0,$H484-$F484),0))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7">
        <f>IF($A485="","",$B485+$C485-$D485-$E485)</f>
        <v/>
      </c>
      <c r="H485" s="37">
        <f>IF($A485="","",IFERROR(ROUND($G485*INDEX(tblKurallar[deger_2025],MATCH("AKV-003",tblKurallar[kural_id],0)),2),0))</f>
        <v/>
      </c>
      <c r="I485" s="37">
        <f>IF($A485="","",IFERROR(MAX(0,$H485-$F485),0))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7">
        <f>IF($A486="","",$B486+$C486-$D486-$E486)</f>
        <v/>
      </c>
      <c r="H486" s="37">
        <f>IF($A486="","",IFERROR(ROUND($G486*INDEX(tblKurallar[deger_2025],MATCH("AKV-003",tblKurallar[kural_id],0)),2),0))</f>
        <v/>
      </c>
      <c r="I486" s="37">
        <f>IF($A486="","",IFERROR(MAX(0,$H486-$F486),0))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7">
        <f>IF($A487="","",$B487+$C487-$D487-$E487)</f>
        <v/>
      </c>
      <c r="H487" s="37">
        <f>IF($A487="","",IFERROR(ROUND($G487*INDEX(tblKurallar[deger_2025],MATCH("AKV-003",tblKurallar[kural_id],0)),2),0))</f>
        <v/>
      </c>
      <c r="I487" s="37">
        <f>IF($A487="","",IFERROR(MAX(0,$H487-$F487),0))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7">
        <f>IF($A488="","",$B488+$C488-$D488-$E488)</f>
        <v/>
      </c>
      <c r="H488" s="37">
        <f>IF($A488="","",IFERROR(ROUND($G488*INDEX(tblKurallar[deger_2025],MATCH("AKV-003",tblKurallar[kural_id],0)),2),0))</f>
        <v/>
      </c>
      <c r="I488" s="37">
        <f>IF($A488="","",IFERROR(MAX(0,$H488-$F488),0))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7">
        <f>IF($A489="","",$B489+$C489-$D489-$E489)</f>
        <v/>
      </c>
      <c r="H489" s="37">
        <f>IF($A489="","",IFERROR(ROUND($G489*INDEX(tblKurallar[deger_2025],MATCH("AKV-003",tblKurallar[kural_id],0)),2),0))</f>
        <v/>
      </c>
      <c r="I489" s="37">
        <f>IF($A489="","",IFERROR(MAX(0,$H489-$F489),0))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7">
        <f>IF($A490="","",$B490+$C490-$D490-$E490)</f>
        <v/>
      </c>
      <c r="H490" s="37">
        <f>IF($A490="","",IFERROR(ROUND($G490*INDEX(tblKurallar[deger_2025],MATCH("AKV-003",tblKurallar[kural_id],0)),2),0))</f>
        <v/>
      </c>
      <c r="I490" s="37">
        <f>IF($A490="","",IFERROR(MAX(0,$H490-$F490),0))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7">
        <f>IF($A491="","",$B491+$C491-$D491-$E491)</f>
        <v/>
      </c>
      <c r="H491" s="37">
        <f>IF($A491="","",IFERROR(ROUND($G491*INDEX(tblKurallar[deger_2025],MATCH("AKV-003",tblKurallar[kural_id],0)),2),0))</f>
        <v/>
      </c>
      <c r="I491" s="37">
        <f>IF($A491="","",IFERROR(MAX(0,$H491-$F491),0))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7">
        <f>IF($A492="","",$B492+$C492-$D492-$E492)</f>
        <v/>
      </c>
      <c r="H492" s="37">
        <f>IF($A492="","",IFERROR(ROUND($G492*INDEX(tblKurallar[deger_2025],MATCH("AKV-003",tblKurallar[kural_id],0)),2),0))</f>
        <v/>
      </c>
      <c r="I492" s="37">
        <f>IF($A492="","",IFERROR(MAX(0,$H492-$F492),0))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7">
        <f>IF($A493="","",$B493+$C493-$D493-$E493)</f>
        <v/>
      </c>
      <c r="H493" s="37">
        <f>IF($A493="","",IFERROR(ROUND($G493*INDEX(tblKurallar[deger_2025],MATCH("AKV-003",tblKurallar[kural_id],0)),2),0))</f>
        <v/>
      </c>
      <c r="I493" s="37">
        <f>IF($A493="","",IFERROR(MAX(0,$H493-$F493),0))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7">
        <f>IF($A494="","",$B494+$C494-$D494-$E494)</f>
        <v/>
      </c>
      <c r="H494" s="37">
        <f>IF($A494="","",IFERROR(ROUND($G494*INDEX(tblKurallar[deger_2025],MATCH("AKV-003",tblKurallar[kural_id],0)),2),0))</f>
        <v/>
      </c>
      <c r="I494" s="37">
        <f>IF($A494="","",IFERROR(MAX(0,$H494-$F494),0))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7">
        <f>IF($A495="","",$B495+$C495-$D495-$E495)</f>
        <v/>
      </c>
      <c r="H495" s="37">
        <f>IF($A495="","",IFERROR(ROUND($G495*INDEX(tblKurallar[deger_2025],MATCH("AKV-003",tblKurallar[kural_id],0)),2),0))</f>
        <v/>
      </c>
      <c r="I495" s="37">
        <f>IF($A495="","",IFERROR(MAX(0,$H495-$F495),0))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7">
        <f>IF($A496="","",$B496+$C496-$D496-$E496)</f>
        <v/>
      </c>
      <c r="H496" s="37">
        <f>IF($A496="","",IFERROR(ROUND($G496*INDEX(tblKurallar[deger_2025],MATCH("AKV-003",tblKurallar[kural_id],0)),2),0))</f>
        <v/>
      </c>
      <c r="I496" s="37">
        <f>IF($A496="","",IFERROR(MAX(0,$H496-$F496),0))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7">
        <f>IF($A497="","",$B497+$C497-$D497-$E497)</f>
        <v/>
      </c>
      <c r="H497" s="37">
        <f>IF($A497="","",IFERROR(ROUND($G497*INDEX(tblKurallar[deger_2025],MATCH("AKV-003",tblKurallar[kural_id],0)),2),0))</f>
        <v/>
      </c>
      <c r="I497" s="37">
        <f>IF($A497="","",IFERROR(MAX(0,$H497-$F497),0))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7">
        <f>IF($A498="","",$B498+$C498-$D498-$E498)</f>
        <v/>
      </c>
      <c r="H498" s="37">
        <f>IF($A498="","",IFERROR(ROUND($G498*INDEX(tblKurallar[deger_2025],MATCH("AKV-003",tblKurallar[kural_id],0)),2),0))</f>
        <v/>
      </c>
      <c r="I498" s="37">
        <f>IF($A498="","",IFERROR(MAX(0,$H498-$F498),0))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7">
        <f>IF($A499="","",$B499+$C499-$D499-$E499)</f>
        <v/>
      </c>
      <c r="H499" s="37">
        <f>IF($A499="","",IFERROR(ROUND($G499*INDEX(tblKurallar[deger_2025],MATCH("AKV-003",tblKurallar[kural_id],0)),2),0))</f>
        <v/>
      </c>
      <c r="I499" s="37">
        <f>IF($A499="","",IFERROR(MAX(0,$H499-$F499),0))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7">
        <f>IF($A500="","",$B500+$C500-$D500-$E500)</f>
        <v/>
      </c>
      <c r="H500" s="37">
        <f>IF($A500="","",IFERROR(ROUND($G500*INDEX(tblKurallar[deger_2025],MATCH("AKV-003",tblKurallar[kural_id],0)),2),0))</f>
        <v/>
      </c>
      <c r="I500" s="37">
        <f>IF($A500="","",IFERROR(MAX(0,$H500-$F500),0))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7">
        <f>IF($A501="","",$B501+$C501-$D501-$E501)</f>
        <v/>
      </c>
      <c r="H501" s="37">
        <f>IF($A501="","",IFERROR(ROUND($G501*INDEX(tblKurallar[deger_2025],MATCH("AKV-003",tblKurallar[kural_id],0)),2),0))</f>
        <v/>
      </c>
      <c r="I501" s="37">
        <f>IF($A501="","",IFERROR(MAX(0,$H501-$F501),0))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7">
        <f>IF($A502="","",$B502+$C502-$D502-$E502)</f>
        <v/>
      </c>
      <c r="H502" s="37">
        <f>IF($A502="","",IFERROR(ROUND($G502*INDEX(tblKurallar[deger_2025],MATCH("AKV-003",tblKurallar[kural_id],0)),2),0))</f>
        <v/>
      </c>
      <c r="I502" s="37">
        <f>IF($A502="","",IFERROR(MAX(0,$H502-$F502),0))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7">
        <f>IF($A503="","",$B503+$C503-$D503-$E503)</f>
        <v/>
      </c>
      <c r="H503" s="37">
        <f>IF($A503="","",IFERROR(ROUND($G503*INDEX(tblKurallar[deger_2025],MATCH("AKV-003",tblKurallar[kural_id],0)),2),0))</f>
        <v/>
      </c>
      <c r="I503" s="37">
        <f>IF($A503="","",IFERROR(MAX(0,$H503-$F503),0))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7">
        <f>IF($A504="","",$B504+$C504-$D504-$E504)</f>
        <v/>
      </c>
      <c r="H504" s="37">
        <f>IF($A504="","",IFERROR(ROUND($G504*INDEX(tblKurallar[deger_2025],MATCH("AKV-003",tblKurallar[kural_id],0)),2),0))</f>
        <v/>
      </c>
      <c r="I504" s="37">
        <f>IF($A504="","",IFERROR(MAX(0,$H504-$F504),0))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7">
        <f>IF($A505="","",$B505+$C505-$D505-$E505)</f>
        <v/>
      </c>
      <c r="H505" s="37">
        <f>IF($A505="","",IFERROR(ROUND($G505*INDEX(tblKurallar[deger_2025],MATCH("AKV-003",tblKurallar[kural_id],0)),2),0))</f>
        <v/>
      </c>
      <c r="I505" s="37">
        <f>IF($A505="","",IFERROR(MAX(0,$H505-$F505),0))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7">
        <f>IF($A506="","",$B506+$C506-$D506-$E506)</f>
        <v/>
      </c>
      <c r="H506" s="37">
        <f>IF($A506="","",IFERROR(ROUND($G506*INDEX(tblKurallar[deger_2025],MATCH("AKV-003",tblKurallar[kural_id],0)),2),0))</f>
        <v/>
      </c>
      <c r="I506" s="37">
        <f>IF($A506="","",IFERROR(MAX(0,$H506-$F506),0))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7">
        <f>IF($A507="","",$B507+$C507-$D507-$E507)</f>
        <v/>
      </c>
      <c r="H507" s="37">
        <f>IF($A507="","",IFERROR(ROUND($G507*INDEX(tblKurallar[deger_2025],MATCH("AKV-003",tblKurallar[kural_id],0)),2),0))</f>
        <v/>
      </c>
      <c r="I507" s="37">
        <f>IF($A507="","",IFERROR(MAX(0,$H507-$F507),0))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7">
        <f>IF($A508="","",$B508+$C508-$D508-$E508)</f>
        <v/>
      </c>
      <c r="H508" s="37">
        <f>IF($A508="","",IFERROR(ROUND($G508*INDEX(tblKurallar[deger_2025],MATCH("AKV-003",tblKurallar[kural_id],0)),2),0))</f>
        <v/>
      </c>
      <c r="I508" s="37">
        <f>IF($A508="","",IFERROR(MAX(0,$H508-$F508),0))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7">
        <f>IF($A509="","",$B509+$C509-$D509-$E509)</f>
        <v/>
      </c>
      <c r="H509" s="37">
        <f>IF($A509="","",IFERROR(ROUND($G509*INDEX(tblKurallar[deger_2025],MATCH("AKV-003",tblKurallar[kural_id],0)),2),0))</f>
        <v/>
      </c>
      <c r="I509" s="37">
        <f>IF($A509="","",IFERROR(MAX(0,$H509-$F509),0))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7">
        <f>IF($A510="","",$B510+$C510-$D510-$E510)</f>
        <v/>
      </c>
      <c r="H510" s="37">
        <f>IF($A510="","",IFERROR(ROUND($G510*INDEX(tblKurallar[deger_2025],MATCH("AKV-003",tblKurallar[kural_id],0)),2),0))</f>
        <v/>
      </c>
      <c r="I510" s="37">
        <f>IF($A510="","",IFERROR(MAX(0,$H510-$F510),0))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7">
        <f>IF($A511="","",$B511+$C511-$D511-$E511)</f>
        <v/>
      </c>
      <c r="H511" s="37">
        <f>IF($A511="","",IFERROR(ROUND($G511*INDEX(tblKurallar[deger_2025],MATCH("AKV-003",tblKurallar[kural_id],0)),2),0))</f>
        <v/>
      </c>
      <c r="I511" s="37">
        <f>IF($A511="","",IFERROR(MAX(0,$H511-$F511),0))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7">
        <f>IF($A512="","",$B512+$C512-$D512-$E512)</f>
        <v/>
      </c>
      <c r="H512" s="37">
        <f>IF($A512="","",IFERROR(ROUND($G512*INDEX(tblKurallar[deger_2025],MATCH("AKV-003",tblKurallar[kural_id],0)),2),0))</f>
        <v/>
      </c>
      <c r="I512" s="37">
        <f>IF($A512="","",IFERROR(MAX(0,$H512-$F512),0))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7">
        <f>IF($A513="","",$B513+$C513-$D513-$E513)</f>
        <v/>
      </c>
      <c r="H513" s="37">
        <f>IF($A513="","",IFERROR(ROUND($G513*INDEX(tblKurallar[deger_2025],MATCH("AKV-003",tblKurallar[kural_id],0)),2),0))</f>
        <v/>
      </c>
      <c r="I513" s="37">
        <f>IF($A513="","",IFERROR(MAX(0,$H513-$F513),0))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7">
        <f>IF($A514="","",$B514+$C514-$D514-$E514)</f>
        <v/>
      </c>
      <c r="H514" s="37">
        <f>IF($A514="","",IFERROR(ROUND($G514*INDEX(tblKurallar[deger_2025],MATCH("AKV-003",tblKurallar[kural_id],0)),2),0))</f>
        <v/>
      </c>
      <c r="I514" s="37">
        <f>IF($A514="","",IFERROR(MAX(0,$H514-$F514),0))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7">
        <f>IF($A515="","",$B515+$C515-$D515-$E515)</f>
        <v/>
      </c>
      <c r="H515" s="37">
        <f>IF($A515="","",IFERROR(ROUND($G515*INDEX(tblKurallar[deger_2025],MATCH("AKV-003",tblKurallar[kural_id],0)),2),0))</f>
        <v/>
      </c>
      <c r="I515" s="37">
        <f>IF($A515="","",IFERROR(MAX(0,$H515-$F515),0))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7">
        <f>IF($A516="","",$B516+$C516-$D516-$E516)</f>
        <v/>
      </c>
      <c r="H516" s="37">
        <f>IF($A516="","",IFERROR(ROUND($G516*INDEX(tblKurallar[deger_2025],MATCH("AKV-003",tblKurallar[kural_id],0)),2),0))</f>
        <v/>
      </c>
      <c r="I516" s="37">
        <f>IF($A516="","",IFERROR(MAX(0,$H516-$F516),0))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7">
        <f>IF($A517="","",$B517+$C517-$D517-$E517)</f>
        <v/>
      </c>
      <c r="H517" s="37">
        <f>IF($A517="","",IFERROR(ROUND($G517*INDEX(tblKurallar[deger_2025],MATCH("AKV-003",tblKurallar[kural_id],0)),2),0))</f>
        <v/>
      </c>
      <c r="I517" s="37">
        <f>IF($A517="","",IFERROR(MAX(0,$H517-$F517),0))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7">
        <f>IF($A518="","",$B518+$C518-$D518-$E518)</f>
        <v/>
      </c>
      <c r="H518" s="37">
        <f>IF($A518="","",IFERROR(ROUND($G518*INDEX(tblKurallar[deger_2025],MATCH("AKV-003",tblKurallar[kural_id],0)),2),0))</f>
        <v/>
      </c>
      <c r="I518" s="37">
        <f>IF($A518="","",IFERROR(MAX(0,$H518-$F518),0))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7">
        <f>IF($A519="","",$B519+$C519-$D519-$E519)</f>
        <v/>
      </c>
      <c r="H519" s="37">
        <f>IF($A519="","",IFERROR(ROUND($G519*INDEX(tblKurallar[deger_2025],MATCH("AKV-003",tblKurallar[kural_id],0)),2),0))</f>
        <v/>
      </c>
      <c r="I519" s="37">
        <f>IF($A519="","",IFERROR(MAX(0,$H519-$F519),0))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7">
        <f>IF($A520="","",$B520+$C520-$D520-$E520)</f>
        <v/>
      </c>
      <c r="H520" s="37">
        <f>IF($A520="","",IFERROR(ROUND($G520*INDEX(tblKurallar[deger_2025],MATCH("AKV-003",tblKurallar[kural_id],0)),2),0))</f>
        <v/>
      </c>
      <c r="I520" s="37">
        <f>IF($A520="","",IFERROR(MAX(0,$H520-$F520),0))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7">
        <f>IF($A521="","",$B521+$C521-$D521-$E521)</f>
        <v/>
      </c>
      <c r="H521" s="37">
        <f>IF($A521="","",IFERROR(ROUND($G521*INDEX(tblKurallar[deger_2025],MATCH("AKV-003",tblKurallar[kural_id],0)),2),0))</f>
        <v/>
      </c>
      <c r="I521" s="37">
        <f>IF($A521="","",IFERROR(MAX(0,$H521-$F521),0))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7">
        <f>IF($A522="","",$B522+$C522-$D522-$E522)</f>
        <v/>
      </c>
      <c r="H522" s="37">
        <f>IF($A522="","",IFERROR(ROUND($G522*INDEX(tblKurallar[deger_2025],MATCH("AKV-003",tblKurallar[kural_id],0)),2),0))</f>
        <v/>
      </c>
      <c r="I522" s="37">
        <f>IF($A522="","",IFERROR(MAX(0,$H522-$F522),0))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7">
        <f>IF($A523="","",$B523+$C523-$D523-$E523)</f>
        <v/>
      </c>
      <c r="H523" s="37">
        <f>IF($A523="","",IFERROR(ROUND($G523*INDEX(tblKurallar[deger_2025],MATCH("AKV-003",tblKurallar[kural_id],0)),2),0))</f>
        <v/>
      </c>
      <c r="I523" s="37">
        <f>IF($A523="","",IFERROR(MAX(0,$H523-$F523),0))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7">
        <f>IF($A524="","",$B524+$C524-$D524-$E524)</f>
        <v/>
      </c>
      <c r="H524" s="37">
        <f>IF($A524="","",IFERROR(ROUND($G524*INDEX(tblKurallar[deger_2025],MATCH("AKV-003",tblKurallar[kural_id],0)),2),0))</f>
        <v/>
      </c>
      <c r="I524" s="37">
        <f>IF($A524="","",IFERROR(MAX(0,$H524-$F524),0))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7">
        <f>IF($A525="","",$B525+$C525-$D525-$E525)</f>
        <v/>
      </c>
      <c r="H525" s="37">
        <f>IF($A525="","",IFERROR(ROUND($G525*INDEX(tblKurallar[deger_2025],MATCH("AKV-003",tblKurallar[kural_id],0)),2),0))</f>
        <v/>
      </c>
      <c r="I525" s="37">
        <f>IF($A525="","",IFERROR(MAX(0,$H525-$F525),0))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7">
        <f>IF($A526="","",$B526+$C526-$D526-$E526)</f>
        <v/>
      </c>
      <c r="H526" s="37">
        <f>IF($A526="","",IFERROR(ROUND($G526*INDEX(tblKurallar[deger_2025],MATCH("AKV-003",tblKurallar[kural_id],0)),2),0))</f>
        <v/>
      </c>
      <c r="I526" s="37">
        <f>IF($A526="","",IFERROR(MAX(0,$H526-$F526),0))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7">
        <f>IF($A527="","",$B527+$C527-$D527-$E527)</f>
        <v/>
      </c>
      <c r="H527" s="37">
        <f>IF($A527="","",IFERROR(ROUND($G527*INDEX(tblKurallar[deger_2025],MATCH("AKV-003",tblKurallar[kural_id],0)),2),0))</f>
        <v/>
      </c>
      <c r="I527" s="37">
        <f>IF($A527="","",IFERROR(MAX(0,$H527-$F527),0))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7">
        <f>IF($A528="","",$B528+$C528-$D528-$E528)</f>
        <v/>
      </c>
      <c r="H528" s="37">
        <f>IF($A528="","",IFERROR(ROUND($G528*INDEX(tblKurallar[deger_2025],MATCH("AKV-003",tblKurallar[kural_id],0)),2),0))</f>
        <v/>
      </c>
      <c r="I528" s="37">
        <f>IF($A528="","",IFERROR(MAX(0,$H528-$F528),0))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7">
        <f>IF($A529="","",$B529+$C529-$D529-$E529)</f>
        <v/>
      </c>
      <c r="H529" s="37">
        <f>IF($A529="","",IFERROR(ROUND($G529*INDEX(tblKurallar[deger_2025],MATCH("AKV-003",tblKurallar[kural_id],0)),2),0))</f>
        <v/>
      </c>
      <c r="I529" s="37">
        <f>IF($A529="","",IFERROR(MAX(0,$H529-$F529),0))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7">
        <f>IF($A530="","",$B530+$C530-$D530-$E530)</f>
        <v/>
      </c>
      <c r="H530" s="37">
        <f>IF($A530="","",IFERROR(ROUND($G530*INDEX(tblKurallar[deger_2025],MATCH("AKV-003",tblKurallar[kural_id],0)),2),0))</f>
        <v/>
      </c>
      <c r="I530" s="37">
        <f>IF($A530="","",IFERROR(MAX(0,$H530-$F530),0))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7">
        <f>IF($A531="","",$B531+$C531-$D531-$E531)</f>
        <v/>
      </c>
      <c r="H531" s="37">
        <f>IF($A531="","",IFERROR(ROUND($G531*INDEX(tblKurallar[deger_2025],MATCH("AKV-003",tblKurallar[kural_id],0)),2),0))</f>
        <v/>
      </c>
      <c r="I531" s="37">
        <f>IF($A531="","",IFERROR(MAX(0,$H531-$F531),0))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7">
        <f>IF($A532="","",$B532+$C532-$D532-$E532)</f>
        <v/>
      </c>
      <c r="H532" s="37">
        <f>IF($A532="","",IFERROR(ROUND($G532*INDEX(tblKurallar[deger_2025],MATCH("AKV-003",tblKurallar[kural_id],0)),2),0))</f>
        <v/>
      </c>
      <c r="I532" s="37">
        <f>IF($A532="","",IFERROR(MAX(0,$H532-$F532),0))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7">
        <f>IF($A533="","",$B533+$C533-$D533-$E533)</f>
        <v/>
      </c>
      <c r="H533" s="37">
        <f>IF($A533="","",IFERROR(ROUND($G533*INDEX(tblKurallar[deger_2025],MATCH("AKV-003",tblKurallar[kural_id],0)),2),0))</f>
        <v/>
      </c>
      <c r="I533" s="37">
        <f>IF($A533="","",IFERROR(MAX(0,$H533-$F533),0))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7">
        <f>IF($A534="","",$B534+$C534-$D534-$E534)</f>
        <v/>
      </c>
      <c r="H534" s="37">
        <f>IF($A534="","",IFERROR(ROUND($G534*INDEX(tblKurallar[deger_2025],MATCH("AKV-003",tblKurallar[kural_id],0)),2),0))</f>
        <v/>
      </c>
      <c r="I534" s="37">
        <f>IF($A534="","",IFERROR(MAX(0,$H534-$F534),0))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7">
        <f>IF($A535="","",$B535+$C535-$D535-$E535)</f>
        <v/>
      </c>
      <c r="H535" s="37">
        <f>IF($A535="","",IFERROR(ROUND($G535*INDEX(tblKurallar[deger_2025],MATCH("AKV-003",tblKurallar[kural_id],0)),2),0))</f>
        <v/>
      </c>
      <c r="I535" s="37">
        <f>IF($A535="","",IFERROR(MAX(0,$H535-$F535),0))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7">
        <f>IF($A536="","",$B536+$C536-$D536-$E536)</f>
        <v/>
      </c>
      <c r="H536" s="37">
        <f>IF($A536="","",IFERROR(ROUND($G536*INDEX(tblKurallar[deger_2025],MATCH("AKV-003",tblKurallar[kural_id],0)),2),0))</f>
        <v/>
      </c>
      <c r="I536" s="37">
        <f>IF($A536="","",IFERROR(MAX(0,$H536-$F536),0))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7">
        <f>IF($A537="","",$B537+$C537-$D537-$E537)</f>
        <v/>
      </c>
      <c r="H537" s="37">
        <f>IF($A537="","",IFERROR(ROUND($G537*INDEX(tblKurallar[deger_2025],MATCH("AKV-003",tblKurallar[kural_id],0)),2),0))</f>
        <v/>
      </c>
      <c r="I537" s="37">
        <f>IF($A537="","",IFERROR(MAX(0,$H537-$F537),0))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7">
        <f>IF($A538="","",$B538+$C538-$D538-$E538)</f>
        <v/>
      </c>
      <c r="H538" s="37">
        <f>IF($A538="","",IFERROR(ROUND($G538*INDEX(tblKurallar[deger_2025],MATCH("AKV-003",tblKurallar[kural_id],0)),2),0))</f>
        <v/>
      </c>
      <c r="I538" s="37">
        <f>IF($A538="","",IFERROR(MAX(0,$H538-$F538),0))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7">
        <f>IF($A539="","",$B539+$C539-$D539-$E539)</f>
        <v/>
      </c>
      <c r="H539" s="37">
        <f>IF($A539="","",IFERROR(ROUND($G539*INDEX(tblKurallar[deger_2025],MATCH("AKV-003",tblKurallar[kural_id],0)),2),0))</f>
        <v/>
      </c>
      <c r="I539" s="37">
        <f>IF($A539="","",IFERROR(MAX(0,$H539-$F539),0))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7">
        <f>IF($A540="","",$B540+$C540-$D540-$E540)</f>
        <v/>
      </c>
      <c r="H540" s="37">
        <f>IF($A540="","",IFERROR(ROUND($G540*INDEX(tblKurallar[deger_2025],MATCH("AKV-003",tblKurallar[kural_id],0)),2),0))</f>
        <v/>
      </c>
      <c r="I540" s="37">
        <f>IF($A540="","",IFERROR(MAX(0,$H540-$F540),0))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7">
        <f>IF($A541="","",$B541+$C541-$D541-$E541)</f>
        <v/>
      </c>
      <c r="H541" s="37">
        <f>IF($A541="","",IFERROR(ROUND($G541*INDEX(tblKurallar[deger_2025],MATCH("AKV-003",tblKurallar[kural_id],0)),2),0))</f>
        <v/>
      </c>
      <c r="I541" s="37">
        <f>IF($A541="","",IFERROR(MAX(0,$H541-$F541),0))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7">
        <f>IF($A542="","",$B542+$C542-$D542-$E542)</f>
        <v/>
      </c>
      <c r="H542" s="37">
        <f>IF($A542="","",IFERROR(ROUND($G542*INDEX(tblKurallar[deger_2025],MATCH("AKV-003",tblKurallar[kural_id],0)),2),0))</f>
        <v/>
      </c>
      <c r="I542" s="37">
        <f>IF($A542="","",IFERROR(MAX(0,$H542-$F542),0))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7">
        <f>IF($A543="","",$B543+$C543-$D543-$E543)</f>
        <v/>
      </c>
      <c r="H543" s="37">
        <f>IF($A543="","",IFERROR(ROUND($G543*INDEX(tblKurallar[deger_2025],MATCH("AKV-003",tblKurallar[kural_id],0)),2),0))</f>
        <v/>
      </c>
      <c r="I543" s="37">
        <f>IF($A543="","",IFERROR(MAX(0,$H543-$F543),0))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7">
        <f>IF($A544="","",$B544+$C544-$D544-$E544)</f>
        <v/>
      </c>
      <c r="H544" s="37">
        <f>IF($A544="","",IFERROR(ROUND($G544*INDEX(tblKurallar[deger_2025],MATCH("AKV-003",tblKurallar[kural_id],0)),2),0))</f>
        <v/>
      </c>
      <c r="I544" s="37">
        <f>IF($A544="","",IFERROR(MAX(0,$H544-$F544),0))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7">
        <f>IF($A545="","",$B545+$C545-$D545-$E545)</f>
        <v/>
      </c>
      <c r="H545" s="37">
        <f>IF($A545="","",IFERROR(ROUND($G545*INDEX(tblKurallar[deger_2025],MATCH("AKV-003",tblKurallar[kural_id],0)),2),0))</f>
        <v/>
      </c>
      <c r="I545" s="37">
        <f>IF($A545="","",IFERROR(MAX(0,$H545-$F545),0))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7">
        <f>IF($A546="","",$B546+$C546-$D546-$E546)</f>
        <v/>
      </c>
      <c r="H546" s="37">
        <f>IF($A546="","",IFERROR(ROUND($G546*INDEX(tblKurallar[deger_2025],MATCH("AKV-003",tblKurallar[kural_id],0)),2),0))</f>
        <v/>
      </c>
      <c r="I546" s="37">
        <f>IF($A546="","",IFERROR(MAX(0,$H546-$F546),0))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7">
        <f>IF($A547="","",$B547+$C547-$D547-$E547)</f>
        <v/>
      </c>
      <c r="H547" s="37">
        <f>IF($A547="","",IFERROR(ROUND($G547*INDEX(tblKurallar[deger_2025],MATCH("AKV-003",tblKurallar[kural_id],0)),2),0))</f>
        <v/>
      </c>
      <c r="I547" s="37">
        <f>IF($A547="","",IFERROR(MAX(0,$H547-$F547),0))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7">
        <f>IF($A548="","",$B548+$C548-$D548-$E548)</f>
        <v/>
      </c>
      <c r="H548" s="37">
        <f>IF($A548="","",IFERROR(ROUND($G548*INDEX(tblKurallar[deger_2025],MATCH("AKV-003",tblKurallar[kural_id],0)),2),0))</f>
        <v/>
      </c>
      <c r="I548" s="37">
        <f>IF($A548="","",IFERROR(MAX(0,$H548-$F548),0))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7">
        <f>IF($A549="","",$B549+$C549-$D549-$E549)</f>
        <v/>
      </c>
      <c r="H549" s="37">
        <f>IF($A549="","",IFERROR(ROUND($G549*INDEX(tblKurallar[deger_2025],MATCH("AKV-003",tblKurallar[kural_id],0)),2),0))</f>
        <v/>
      </c>
      <c r="I549" s="37">
        <f>IF($A549="","",IFERROR(MAX(0,$H549-$F549),0))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7">
        <f>IF($A550="","",$B550+$C550-$D550-$E550)</f>
        <v/>
      </c>
      <c r="H550" s="37">
        <f>IF($A550="","",IFERROR(ROUND($G550*INDEX(tblKurallar[deger_2025],MATCH("AKV-003",tblKurallar[kural_id],0)),2),0))</f>
        <v/>
      </c>
      <c r="I550" s="37">
        <f>IF($A550="","",IFERROR(MAX(0,$H550-$F550),0))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7">
        <f>IF($A551="","",$B551+$C551-$D551-$E551)</f>
        <v/>
      </c>
      <c r="H551" s="37">
        <f>IF($A551="","",IFERROR(ROUND($G551*INDEX(tblKurallar[deger_2025],MATCH("AKV-003",tblKurallar[kural_id],0)),2),0))</f>
        <v/>
      </c>
      <c r="I551" s="37">
        <f>IF($A551="","",IFERROR(MAX(0,$H551-$F551),0))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7">
        <f>IF($A552="","",$B552+$C552-$D552-$E552)</f>
        <v/>
      </c>
      <c r="H552" s="37">
        <f>IF($A552="","",IFERROR(ROUND($G552*INDEX(tblKurallar[deger_2025],MATCH("AKV-003",tblKurallar[kural_id],0)),2),0))</f>
        <v/>
      </c>
      <c r="I552" s="37">
        <f>IF($A552="","",IFERROR(MAX(0,$H552-$F552),0))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7">
        <f>IF($A553="","",$B553+$C553-$D553-$E553)</f>
        <v/>
      </c>
      <c r="H553" s="37">
        <f>IF($A553="","",IFERROR(ROUND($G553*INDEX(tblKurallar[deger_2025],MATCH("AKV-003",tblKurallar[kural_id],0)),2),0))</f>
        <v/>
      </c>
      <c r="I553" s="37">
        <f>IF($A553="","",IFERROR(MAX(0,$H553-$F553),0))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7">
        <f>IF($A554="","",$B554+$C554-$D554-$E554)</f>
        <v/>
      </c>
      <c r="H554" s="37">
        <f>IF($A554="","",IFERROR(ROUND($G554*INDEX(tblKurallar[deger_2025],MATCH("AKV-003",tblKurallar[kural_id],0)),2),0))</f>
        <v/>
      </c>
      <c r="I554" s="37">
        <f>IF($A554="","",IFERROR(MAX(0,$H554-$F554),0))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7">
        <f>IF($A555="","",$B555+$C555-$D555-$E555)</f>
        <v/>
      </c>
      <c r="H555" s="37">
        <f>IF($A555="","",IFERROR(ROUND($G555*INDEX(tblKurallar[deger_2025],MATCH("AKV-003",tblKurallar[kural_id],0)),2),0))</f>
        <v/>
      </c>
      <c r="I555" s="37">
        <f>IF($A555="","",IFERROR(MAX(0,$H555-$F555),0))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7">
        <f>IF($A556="","",$B556+$C556-$D556-$E556)</f>
        <v/>
      </c>
      <c r="H556" s="37">
        <f>IF($A556="","",IFERROR(ROUND($G556*INDEX(tblKurallar[deger_2025],MATCH("AKV-003",tblKurallar[kural_id],0)),2),0))</f>
        <v/>
      </c>
      <c r="I556" s="37">
        <f>IF($A556="","",IFERROR(MAX(0,$H556-$F556),0))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7">
        <f>IF($A557="","",$B557+$C557-$D557-$E557)</f>
        <v/>
      </c>
      <c r="H557" s="37">
        <f>IF($A557="","",IFERROR(ROUND($G557*INDEX(tblKurallar[deger_2025],MATCH("AKV-003",tblKurallar[kural_id],0)),2),0))</f>
        <v/>
      </c>
      <c r="I557" s="37">
        <f>IF($A557="","",IFERROR(MAX(0,$H557-$F557),0))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7">
        <f>IF($A558="","",$B558+$C558-$D558-$E558)</f>
        <v/>
      </c>
      <c r="H558" s="37">
        <f>IF($A558="","",IFERROR(ROUND($G558*INDEX(tblKurallar[deger_2025],MATCH("AKV-003",tblKurallar[kural_id],0)),2),0))</f>
        <v/>
      </c>
      <c r="I558" s="37">
        <f>IF($A558="","",IFERROR(MAX(0,$H558-$F558),0))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7">
        <f>IF($A559="","",$B559+$C559-$D559-$E559)</f>
        <v/>
      </c>
      <c r="H559" s="37">
        <f>IF($A559="","",IFERROR(ROUND($G559*INDEX(tblKurallar[deger_2025],MATCH("AKV-003",tblKurallar[kural_id],0)),2),0))</f>
        <v/>
      </c>
      <c r="I559" s="37">
        <f>IF($A559="","",IFERROR(MAX(0,$H559-$F559),0))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7">
        <f>IF($A560="","",$B560+$C560-$D560-$E560)</f>
        <v/>
      </c>
      <c r="H560" s="37">
        <f>IF($A560="","",IFERROR(ROUND($G560*INDEX(tblKurallar[deger_2025],MATCH("AKV-003",tblKurallar[kural_id],0)),2),0))</f>
        <v/>
      </c>
      <c r="I560" s="37">
        <f>IF($A560="","",IFERROR(MAX(0,$H560-$F560),0))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7">
        <f>IF($A561="","",$B561+$C561-$D561-$E561)</f>
        <v/>
      </c>
      <c r="H561" s="37">
        <f>IF($A561="","",IFERROR(ROUND($G561*INDEX(tblKurallar[deger_2025],MATCH("AKV-003",tblKurallar[kural_id],0)),2),0))</f>
        <v/>
      </c>
      <c r="I561" s="37">
        <f>IF($A561="","",IFERROR(MAX(0,$H561-$F561),0))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7">
        <f>IF($A562="","",$B562+$C562-$D562-$E562)</f>
        <v/>
      </c>
      <c r="H562" s="37">
        <f>IF($A562="","",IFERROR(ROUND($G562*INDEX(tblKurallar[deger_2025],MATCH("AKV-003",tblKurallar[kural_id],0)),2),0))</f>
        <v/>
      </c>
      <c r="I562" s="37">
        <f>IF($A562="","",IFERROR(MAX(0,$H562-$F562),0))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7">
        <f>IF($A563="","",$B563+$C563-$D563-$E563)</f>
        <v/>
      </c>
      <c r="H563" s="37">
        <f>IF($A563="","",IFERROR(ROUND($G563*INDEX(tblKurallar[deger_2025],MATCH("AKV-003",tblKurallar[kural_id],0)),2),0))</f>
        <v/>
      </c>
      <c r="I563" s="37">
        <f>IF($A563="","",IFERROR(MAX(0,$H563-$F563),0))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7">
        <f>IF($A564="","",$B564+$C564-$D564-$E564)</f>
        <v/>
      </c>
      <c r="H564" s="37">
        <f>IF($A564="","",IFERROR(ROUND($G564*INDEX(tblKurallar[deger_2025],MATCH("AKV-003",tblKurallar[kural_id],0)),2),0))</f>
        <v/>
      </c>
      <c r="I564" s="37">
        <f>IF($A564="","",IFERROR(MAX(0,$H564-$F564),0))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7">
        <f>IF($A565="","",$B565+$C565-$D565-$E565)</f>
        <v/>
      </c>
      <c r="H565" s="37">
        <f>IF($A565="","",IFERROR(ROUND($G565*INDEX(tblKurallar[deger_2025],MATCH("AKV-003",tblKurallar[kural_id],0)),2),0))</f>
        <v/>
      </c>
      <c r="I565" s="37">
        <f>IF($A565="","",IFERROR(MAX(0,$H565-$F565),0))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7">
        <f>IF($A566="","",$B566+$C566-$D566-$E566)</f>
        <v/>
      </c>
      <c r="H566" s="37">
        <f>IF($A566="","",IFERROR(ROUND($G566*INDEX(tblKurallar[deger_2025],MATCH("AKV-003",tblKurallar[kural_id],0)),2),0))</f>
        <v/>
      </c>
      <c r="I566" s="37">
        <f>IF($A566="","",IFERROR(MAX(0,$H566-$F566),0))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7">
        <f>IF($A567="","",$B567+$C567-$D567-$E567)</f>
        <v/>
      </c>
      <c r="H567" s="37">
        <f>IF($A567="","",IFERROR(ROUND($G567*INDEX(tblKurallar[deger_2025],MATCH("AKV-003",tblKurallar[kural_id],0)),2),0))</f>
        <v/>
      </c>
      <c r="I567" s="37">
        <f>IF($A567="","",IFERROR(MAX(0,$H567-$F567),0))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7">
        <f>IF($A568="","",$B568+$C568-$D568-$E568)</f>
        <v/>
      </c>
      <c r="H568" s="37">
        <f>IF($A568="","",IFERROR(ROUND($G568*INDEX(tblKurallar[deger_2025],MATCH("AKV-003",tblKurallar[kural_id],0)),2),0))</f>
        <v/>
      </c>
      <c r="I568" s="37">
        <f>IF($A568="","",IFERROR(MAX(0,$H568-$F568),0))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7">
        <f>IF($A569="","",$B569+$C569-$D569-$E569)</f>
        <v/>
      </c>
      <c r="H569" s="37">
        <f>IF($A569="","",IFERROR(ROUND($G569*INDEX(tblKurallar[deger_2025],MATCH("AKV-003",tblKurallar[kural_id],0)),2),0))</f>
        <v/>
      </c>
      <c r="I569" s="37">
        <f>IF($A569="","",IFERROR(MAX(0,$H569-$F569),0))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7">
        <f>IF($A570="","",$B570+$C570-$D570-$E570)</f>
        <v/>
      </c>
      <c r="H570" s="37">
        <f>IF($A570="","",IFERROR(ROUND($G570*INDEX(tblKurallar[deger_2025],MATCH("AKV-003",tblKurallar[kural_id],0)),2),0))</f>
        <v/>
      </c>
      <c r="I570" s="37">
        <f>IF($A570="","",IFERROR(MAX(0,$H570-$F570),0))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7">
        <f>IF($A571="","",$B571+$C571-$D571-$E571)</f>
        <v/>
      </c>
      <c r="H571" s="37">
        <f>IF($A571="","",IFERROR(ROUND($G571*INDEX(tblKurallar[deger_2025],MATCH("AKV-003",tblKurallar[kural_id],0)),2),0))</f>
        <v/>
      </c>
      <c r="I571" s="37">
        <f>IF($A571="","",IFERROR(MAX(0,$H571-$F571),0))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7">
        <f>IF($A572="","",$B572+$C572-$D572-$E572)</f>
        <v/>
      </c>
      <c r="H572" s="37">
        <f>IF($A572="","",IFERROR(ROUND($G572*INDEX(tblKurallar[deger_2025],MATCH("AKV-003",tblKurallar[kural_id],0)),2),0))</f>
        <v/>
      </c>
      <c r="I572" s="37">
        <f>IF($A572="","",IFERROR(MAX(0,$H572-$F572),0))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7">
        <f>IF($A573="","",$B573+$C573-$D573-$E573)</f>
        <v/>
      </c>
      <c r="H573" s="37">
        <f>IF($A573="","",IFERROR(ROUND($G573*INDEX(tblKurallar[deger_2025],MATCH("AKV-003",tblKurallar[kural_id],0)),2),0))</f>
        <v/>
      </c>
      <c r="I573" s="37">
        <f>IF($A573="","",IFERROR(MAX(0,$H573-$F573),0))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7">
        <f>IF($A574="","",$B574+$C574-$D574-$E574)</f>
        <v/>
      </c>
      <c r="H574" s="37">
        <f>IF($A574="","",IFERROR(ROUND($G574*INDEX(tblKurallar[deger_2025],MATCH("AKV-003",tblKurallar[kural_id],0)),2),0))</f>
        <v/>
      </c>
      <c r="I574" s="37">
        <f>IF($A574="","",IFERROR(MAX(0,$H574-$F574),0))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7">
        <f>IF($A575="","",$B575+$C575-$D575-$E575)</f>
        <v/>
      </c>
      <c r="H575" s="37">
        <f>IF($A575="","",IFERROR(ROUND($G575*INDEX(tblKurallar[deger_2025],MATCH("AKV-003",tblKurallar[kural_id],0)),2),0))</f>
        <v/>
      </c>
      <c r="I575" s="37">
        <f>IF($A575="","",IFERROR(MAX(0,$H575-$F575),0))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7">
        <f>IF($A576="","",$B576+$C576-$D576-$E576)</f>
        <v/>
      </c>
      <c r="H576" s="37">
        <f>IF($A576="","",IFERROR(ROUND($G576*INDEX(tblKurallar[deger_2025],MATCH("AKV-003",tblKurallar[kural_id],0)),2),0))</f>
        <v/>
      </c>
      <c r="I576" s="37">
        <f>IF($A576="","",IFERROR(MAX(0,$H576-$F576),0))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7">
        <f>IF($A577="","",$B577+$C577-$D577-$E577)</f>
        <v/>
      </c>
      <c r="H577" s="37">
        <f>IF($A577="","",IFERROR(ROUND($G577*INDEX(tblKurallar[deger_2025],MATCH("AKV-003",tblKurallar[kural_id],0)),2),0))</f>
        <v/>
      </c>
      <c r="I577" s="37">
        <f>IF($A577="","",IFERROR(MAX(0,$H577-$F577),0))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7">
        <f>IF($A578="","",$B578+$C578-$D578-$E578)</f>
        <v/>
      </c>
      <c r="H578" s="37">
        <f>IF($A578="","",IFERROR(ROUND($G578*INDEX(tblKurallar[deger_2025],MATCH("AKV-003",tblKurallar[kural_id],0)),2),0))</f>
        <v/>
      </c>
      <c r="I578" s="37">
        <f>IF($A578="","",IFERROR(MAX(0,$H578-$F578),0))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7">
        <f>IF($A579="","",$B579+$C579-$D579-$E579)</f>
        <v/>
      </c>
      <c r="H579" s="37">
        <f>IF($A579="","",IFERROR(ROUND($G579*INDEX(tblKurallar[deger_2025],MATCH("AKV-003",tblKurallar[kural_id],0)),2),0))</f>
        <v/>
      </c>
      <c r="I579" s="37">
        <f>IF($A579="","",IFERROR(MAX(0,$H579-$F579),0))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7">
        <f>IF($A580="","",$B580+$C580-$D580-$E580)</f>
        <v/>
      </c>
      <c r="H580" s="37">
        <f>IF($A580="","",IFERROR(ROUND($G580*INDEX(tblKurallar[deger_2025],MATCH("AKV-003",tblKurallar[kural_id],0)),2),0))</f>
        <v/>
      </c>
      <c r="I580" s="37">
        <f>IF($A580="","",IFERROR(MAX(0,$H580-$F580),0))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7">
        <f>IF($A581="","",$B581+$C581-$D581-$E581)</f>
        <v/>
      </c>
      <c r="H581" s="37">
        <f>IF($A581="","",IFERROR(ROUND($G581*INDEX(tblKurallar[deger_2025],MATCH("AKV-003",tblKurallar[kural_id],0)),2),0))</f>
        <v/>
      </c>
      <c r="I581" s="37">
        <f>IF($A581="","",IFERROR(MAX(0,$H581-$F581),0))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7">
        <f>IF($A582="","",$B582+$C582-$D582-$E582)</f>
        <v/>
      </c>
      <c r="H582" s="37">
        <f>IF($A582="","",IFERROR(ROUND($G582*INDEX(tblKurallar[deger_2025],MATCH("AKV-003",tblKurallar[kural_id],0)),2),0))</f>
        <v/>
      </c>
      <c r="I582" s="37">
        <f>IF($A582="","",IFERROR(MAX(0,$H582-$F582),0))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7">
        <f>IF($A583="","",$B583+$C583-$D583-$E583)</f>
        <v/>
      </c>
      <c r="H583" s="37">
        <f>IF($A583="","",IFERROR(ROUND($G583*INDEX(tblKurallar[deger_2025],MATCH("AKV-003",tblKurallar[kural_id],0)),2),0))</f>
        <v/>
      </c>
      <c r="I583" s="37">
        <f>IF($A583="","",IFERROR(MAX(0,$H583-$F583),0))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7">
        <f>IF($A584="","",$B584+$C584-$D584-$E584)</f>
        <v/>
      </c>
      <c r="H584" s="37">
        <f>IF($A584="","",IFERROR(ROUND($G584*INDEX(tblKurallar[deger_2025],MATCH("AKV-003",tblKurallar[kural_id],0)),2),0))</f>
        <v/>
      </c>
      <c r="I584" s="37">
        <f>IF($A584="","",IFERROR(MAX(0,$H584-$F584),0))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7">
        <f>IF($A585="","",$B585+$C585-$D585-$E585)</f>
        <v/>
      </c>
      <c r="H585" s="37">
        <f>IF($A585="","",IFERROR(ROUND($G585*INDEX(tblKurallar[deger_2025],MATCH("AKV-003",tblKurallar[kural_id],0)),2),0))</f>
        <v/>
      </c>
      <c r="I585" s="37">
        <f>IF($A585="","",IFERROR(MAX(0,$H585-$F585),0))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7">
        <f>IF($A586="","",$B586+$C586-$D586-$E586)</f>
        <v/>
      </c>
      <c r="H586" s="37">
        <f>IF($A586="","",IFERROR(ROUND($G586*INDEX(tblKurallar[deger_2025],MATCH("AKV-003",tblKurallar[kural_id],0)),2),0))</f>
        <v/>
      </c>
      <c r="I586" s="37">
        <f>IF($A586="","",IFERROR(MAX(0,$H586-$F586),0))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7">
        <f>IF($A587="","",$B587+$C587-$D587-$E587)</f>
        <v/>
      </c>
      <c r="H587" s="37">
        <f>IF($A587="","",IFERROR(ROUND($G587*INDEX(tblKurallar[deger_2025],MATCH("AKV-003",tblKurallar[kural_id],0)),2),0))</f>
        <v/>
      </c>
      <c r="I587" s="37">
        <f>IF($A587="","",IFERROR(MAX(0,$H587-$F587),0))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7">
        <f>IF($A588="","",$B588+$C588-$D588-$E588)</f>
        <v/>
      </c>
      <c r="H588" s="37">
        <f>IF($A588="","",IFERROR(ROUND($G588*INDEX(tblKurallar[deger_2025],MATCH("AKV-003",tblKurallar[kural_id],0)),2),0))</f>
        <v/>
      </c>
      <c r="I588" s="37">
        <f>IF($A588="","",IFERROR(MAX(0,$H588-$F588),0))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7">
        <f>IF($A589="","",$B589+$C589-$D589-$E589)</f>
        <v/>
      </c>
      <c r="H589" s="37">
        <f>IF($A589="","",IFERROR(ROUND($G589*INDEX(tblKurallar[deger_2025],MATCH("AKV-003",tblKurallar[kural_id],0)),2),0))</f>
        <v/>
      </c>
      <c r="I589" s="37">
        <f>IF($A589="","",IFERROR(MAX(0,$H589-$F589),0))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7">
        <f>IF($A590="","",$B590+$C590-$D590-$E590)</f>
        <v/>
      </c>
      <c r="H590" s="37">
        <f>IF($A590="","",IFERROR(ROUND($G590*INDEX(tblKurallar[deger_2025],MATCH("AKV-003",tblKurallar[kural_id],0)),2),0))</f>
        <v/>
      </c>
      <c r="I590" s="37">
        <f>IF($A590="","",IFERROR(MAX(0,$H590-$F590),0))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7">
        <f>IF($A591="","",$B591+$C591-$D591-$E591)</f>
        <v/>
      </c>
      <c r="H591" s="37">
        <f>IF($A591="","",IFERROR(ROUND($G591*INDEX(tblKurallar[deger_2025],MATCH("AKV-003",tblKurallar[kural_id],0)),2),0))</f>
        <v/>
      </c>
      <c r="I591" s="37">
        <f>IF($A591="","",IFERROR(MAX(0,$H591-$F591),0))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7">
        <f>IF($A592="","",$B592+$C592-$D592-$E592)</f>
        <v/>
      </c>
      <c r="H592" s="37">
        <f>IF($A592="","",IFERROR(ROUND($G592*INDEX(tblKurallar[deger_2025],MATCH("AKV-003",tblKurallar[kural_id],0)),2),0))</f>
        <v/>
      </c>
      <c r="I592" s="37">
        <f>IF($A592="","",IFERROR(MAX(0,$H592-$F592),0))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7">
        <f>IF($A593="","",$B593+$C593-$D593-$E593)</f>
        <v/>
      </c>
      <c r="H593" s="37">
        <f>IF($A593="","",IFERROR(ROUND($G593*INDEX(tblKurallar[deger_2025],MATCH("AKV-003",tblKurallar[kural_id],0)),2),0))</f>
        <v/>
      </c>
      <c r="I593" s="37">
        <f>IF($A593="","",IFERROR(MAX(0,$H593-$F593),0))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7">
        <f>IF($A594="","",$B594+$C594-$D594-$E594)</f>
        <v/>
      </c>
      <c r="H594" s="37">
        <f>IF($A594="","",IFERROR(ROUND($G594*INDEX(tblKurallar[deger_2025],MATCH("AKV-003",tblKurallar[kural_id],0)),2),0))</f>
        <v/>
      </c>
      <c r="I594" s="37">
        <f>IF($A594="","",IFERROR(MAX(0,$H594-$F594),0))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7">
        <f>IF($A595="","",$B595+$C595-$D595-$E595)</f>
        <v/>
      </c>
      <c r="H595" s="37">
        <f>IF($A595="","",IFERROR(ROUND($G595*INDEX(tblKurallar[deger_2025],MATCH("AKV-003",tblKurallar[kural_id],0)),2),0))</f>
        <v/>
      </c>
      <c r="I595" s="37">
        <f>IF($A595="","",IFERROR(MAX(0,$H595-$F595),0))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7">
        <f>IF($A596="","",$B596+$C596-$D596-$E596)</f>
        <v/>
      </c>
      <c r="H596" s="37">
        <f>IF($A596="","",IFERROR(ROUND($G596*INDEX(tblKurallar[deger_2025],MATCH("AKV-003",tblKurallar[kural_id],0)),2),0))</f>
        <v/>
      </c>
      <c r="I596" s="37">
        <f>IF($A596="","",IFERROR(MAX(0,$H596-$F596),0))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7">
        <f>IF($A597="","",$B597+$C597-$D597-$E597)</f>
        <v/>
      </c>
      <c r="H597" s="37">
        <f>IF($A597="","",IFERROR(ROUND($G597*INDEX(tblKurallar[deger_2025],MATCH("AKV-003",tblKurallar[kural_id],0)),2),0))</f>
        <v/>
      </c>
      <c r="I597" s="37">
        <f>IF($A597="","",IFERROR(MAX(0,$H597-$F597),0))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7">
        <f>IF($A598="","",$B598+$C598-$D598-$E598)</f>
        <v/>
      </c>
      <c r="H598" s="37">
        <f>IF($A598="","",IFERROR(ROUND($G598*INDEX(tblKurallar[deger_2025],MATCH("AKV-003",tblKurallar[kural_id],0)),2),0))</f>
        <v/>
      </c>
      <c r="I598" s="37">
        <f>IF($A598="","",IFERROR(MAX(0,$H598-$F598),0))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7">
        <f>IF($A599="","",$B599+$C599-$D599-$E599)</f>
        <v/>
      </c>
      <c r="H599" s="37">
        <f>IF($A599="","",IFERROR(ROUND($G599*INDEX(tblKurallar[deger_2025],MATCH("AKV-003",tblKurallar[kural_id],0)),2),0))</f>
        <v/>
      </c>
      <c r="I599" s="37">
        <f>IF($A599="","",IFERROR(MAX(0,$H599-$F599),0))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7">
        <f>IF($A600="","",$B600+$C600-$D600-$E600)</f>
        <v/>
      </c>
      <c r="H600" s="37">
        <f>IF($A600="","",IFERROR(ROUND($G600*INDEX(tblKurallar[deger_2025],MATCH("AKV-003",tblKurallar[kural_id],0)),2),0))</f>
        <v/>
      </c>
      <c r="I600" s="37">
        <f>IF($A600="","",IFERROR(MAX(0,$H600-$F600),0))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7">
        <f>IF($A601="","",$B601+$C601-$D601-$E601)</f>
        <v/>
      </c>
      <c r="H601" s="37">
        <f>IF($A601="","",IFERROR(ROUND($G601*INDEX(tblKurallar[deger_2025],MATCH("AKV-003",tblKurallar[kural_id],0)),2),0))</f>
        <v/>
      </c>
      <c r="I601" s="37">
        <f>IF($A601="","",IFERROR(MAX(0,$H601-$F601),0))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7">
        <f>IF($A602="","",$B602+$C602-$D602-$E602)</f>
        <v/>
      </c>
      <c r="H602" s="37">
        <f>IF($A602="","",IFERROR(ROUND($G602*INDEX(tblKurallar[deger_2025],MATCH("AKV-003",tblKurallar[kural_id],0)),2),0))</f>
        <v/>
      </c>
      <c r="I602" s="37">
        <f>IF($A602="","",IFERROR(MAX(0,$H602-$F602),0))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7">
        <f>IF($A603="","",$B603+$C603-$D603-$E603)</f>
        <v/>
      </c>
      <c r="H603" s="37">
        <f>IF($A603="","",IFERROR(ROUND($G603*INDEX(tblKurallar[deger_2025],MATCH("AKV-003",tblKurallar[kural_id],0)),2),0))</f>
        <v/>
      </c>
      <c r="I603" s="37">
        <f>IF($A603="","",IFERROR(MAX(0,$H603-$F603),0))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7">
        <f>IF($A604="","",$B604+$C604-$D604-$E604)</f>
        <v/>
      </c>
      <c r="H604" s="37">
        <f>IF($A604="","",IFERROR(ROUND($G604*INDEX(tblKurallar[deger_2025],MATCH("AKV-003",tblKurallar[kural_id],0)),2),0))</f>
        <v/>
      </c>
      <c r="I604" s="37">
        <f>IF($A604="","",IFERROR(MAX(0,$H604-$F604),0))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7">
        <f>IF($A605="","",$B605+$C605-$D605-$E605)</f>
        <v/>
      </c>
      <c r="H605" s="37">
        <f>IF($A605="","",IFERROR(ROUND($G605*INDEX(tblKurallar[deger_2025],MATCH("AKV-003",tblKurallar[kural_id],0)),2),0))</f>
        <v/>
      </c>
      <c r="I605" s="37">
        <f>IF($A605="","",IFERROR(MAX(0,$H605-$F605),0))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7">
        <f>IF($A606="","",$B606+$C606-$D606-$E606)</f>
        <v/>
      </c>
      <c r="H606" s="37">
        <f>IF($A606="","",IFERROR(ROUND($G606*INDEX(tblKurallar[deger_2025],MATCH("AKV-003",tblKurallar[kural_id],0)),2),0))</f>
        <v/>
      </c>
      <c r="I606" s="37">
        <f>IF($A606="","",IFERROR(MAX(0,$H606-$F606),0))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7">
        <f>IF($A607="","",$B607+$C607-$D607-$E607)</f>
        <v/>
      </c>
      <c r="H607" s="37">
        <f>IF($A607="","",IFERROR(ROUND($G607*INDEX(tblKurallar[deger_2025],MATCH("AKV-003",tblKurallar[kural_id],0)),2),0))</f>
        <v/>
      </c>
      <c r="I607" s="37">
        <f>IF($A607="","",IFERROR(MAX(0,$H607-$F607),0))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7">
        <f>IF($A608="","",$B608+$C608-$D608-$E608)</f>
        <v/>
      </c>
      <c r="H608" s="37">
        <f>IF($A608="","",IFERROR(ROUND($G608*INDEX(tblKurallar[deger_2025],MATCH("AKV-003",tblKurallar[kural_id],0)),2),0))</f>
        <v/>
      </c>
      <c r="I608" s="37">
        <f>IF($A608="","",IFERROR(MAX(0,$H608-$F608),0))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7">
        <f>IF($A609="","",$B609+$C609-$D609-$E609)</f>
        <v/>
      </c>
      <c r="H609" s="37">
        <f>IF($A609="","",IFERROR(ROUND($G609*INDEX(tblKurallar[deger_2025],MATCH("AKV-003",tblKurallar[kural_id],0)),2),0))</f>
        <v/>
      </c>
      <c r="I609" s="37">
        <f>IF($A609="","",IFERROR(MAX(0,$H609-$F609),0))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7">
        <f>IF($A610="","",$B610+$C610-$D610-$E610)</f>
        <v/>
      </c>
      <c r="H610" s="37">
        <f>IF($A610="","",IFERROR(ROUND($G610*INDEX(tblKurallar[deger_2025],MATCH("AKV-003",tblKurallar[kural_id],0)),2),0))</f>
        <v/>
      </c>
      <c r="I610" s="37">
        <f>IF($A610="","",IFERROR(MAX(0,$H610-$F610),0))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7">
        <f>IF($A611="","",$B611+$C611-$D611-$E611)</f>
        <v/>
      </c>
      <c r="H611" s="37">
        <f>IF($A611="","",IFERROR(ROUND($G611*INDEX(tblKurallar[deger_2025],MATCH("AKV-003",tblKurallar[kural_id],0)),2),0))</f>
        <v/>
      </c>
      <c r="I611" s="37">
        <f>IF($A611="","",IFERROR(MAX(0,$H611-$F611),0))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7">
        <f>IF($A612="","",$B612+$C612-$D612-$E612)</f>
        <v/>
      </c>
      <c r="H612" s="37">
        <f>IF($A612="","",IFERROR(ROUND($G612*INDEX(tblKurallar[deger_2025],MATCH("AKV-003",tblKurallar[kural_id],0)),2),0))</f>
        <v/>
      </c>
      <c r="I612" s="37">
        <f>IF($A612="","",IFERROR(MAX(0,$H612-$F612),0))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7">
        <f>IF($A613="","",$B613+$C613-$D613-$E613)</f>
        <v/>
      </c>
      <c r="H613" s="37">
        <f>IF($A613="","",IFERROR(ROUND($G613*INDEX(tblKurallar[deger_2025],MATCH("AKV-003",tblKurallar[kural_id],0)),2),0))</f>
        <v/>
      </c>
      <c r="I613" s="37">
        <f>IF($A613="","",IFERROR(MAX(0,$H613-$F613),0))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7">
        <f>IF($A614="","",$B614+$C614-$D614-$E614)</f>
        <v/>
      </c>
      <c r="H614" s="37">
        <f>IF($A614="","",IFERROR(ROUND($G614*INDEX(tblKurallar[deger_2025],MATCH("AKV-003",tblKurallar[kural_id],0)),2),0))</f>
        <v/>
      </c>
      <c r="I614" s="37">
        <f>IF($A614="","",IFERROR(MAX(0,$H614-$F614),0))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7">
        <f>IF($A615="","",$B615+$C615-$D615-$E615)</f>
        <v/>
      </c>
      <c r="H615" s="37">
        <f>IF($A615="","",IFERROR(ROUND($G615*INDEX(tblKurallar[deger_2025],MATCH("AKV-003",tblKurallar[kural_id],0)),2),0))</f>
        <v/>
      </c>
      <c r="I615" s="37">
        <f>IF($A615="","",IFERROR(MAX(0,$H615-$F615),0))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7">
        <f>IF($A616="","",$B616+$C616-$D616-$E616)</f>
        <v/>
      </c>
      <c r="H616" s="37">
        <f>IF($A616="","",IFERROR(ROUND($G616*INDEX(tblKurallar[deger_2025],MATCH("AKV-003",tblKurallar[kural_id],0)),2),0))</f>
        <v/>
      </c>
      <c r="I616" s="37">
        <f>IF($A616="","",IFERROR(MAX(0,$H616-$F616),0))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7">
        <f>IF($A617="","",$B617+$C617-$D617-$E617)</f>
        <v/>
      </c>
      <c r="H617" s="37">
        <f>IF($A617="","",IFERROR(ROUND($G617*INDEX(tblKurallar[deger_2025],MATCH("AKV-003",tblKurallar[kural_id],0)),2),0))</f>
        <v/>
      </c>
      <c r="I617" s="37">
        <f>IF($A617="","",IFERROR(MAX(0,$H617-$F617),0))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7">
        <f>IF($A618="","",$B618+$C618-$D618-$E618)</f>
        <v/>
      </c>
      <c r="H618" s="37">
        <f>IF($A618="","",IFERROR(ROUND($G618*INDEX(tblKurallar[deger_2025],MATCH("AKV-003",tblKurallar[kural_id],0)),2),0))</f>
        <v/>
      </c>
      <c r="I618" s="37">
        <f>IF($A618="","",IFERROR(MAX(0,$H618-$F618),0))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7">
        <f>IF($A619="","",$B619+$C619-$D619-$E619)</f>
        <v/>
      </c>
      <c r="H619" s="37">
        <f>IF($A619="","",IFERROR(ROUND($G619*INDEX(tblKurallar[deger_2025],MATCH("AKV-003",tblKurallar[kural_id],0)),2),0))</f>
        <v/>
      </c>
      <c r="I619" s="37">
        <f>IF($A619="","",IFERROR(MAX(0,$H619-$F619),0))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7">
        <f>IF($A620="","",$B620+$C620-$D620-$E620)</f>
        <v/>
      </c>
      <c r="H620" s="37">
        <f>IF($A620="","",IFERROR(ROUND($G620*INDEX(tblKurallar[deger_2025],MATCH("AKV-003",tblKurallar[kural_id],0)),2),0))</f>
        <v/>
      </c>
      <c r="I620" s="37">
        <f>IF($A620="","",IFERROR(MAX(0,$H620-$F620),0))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7">
        <f>IF($A621="","",$B621+$C621-$D621-$E621)</f>
        <v/>
      </c>
      <c r="H621" s="37">
        <f>IF($A621="","",IFERROR(ROUND($G621*INDEX(tblKurallar[deger_2025],MATCH("AKV-003",tblKurallar[kural_id],0)),2),0))</f>
        <v/>
      </c>
      <c r="I621" s="37">
        <f>IF($A621="","",IFERROR(MAX(0,$H621-$F621),0))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7">
        <f>IF($A622="","",$B622+$C622-$D622-$E622)</f>
        <v/>
      </c>
      <c r="H622" s="37">
        <f>IF($A622="","",IFERROR(ROUND($G622*INDEX(tblKurallar[deger_2025],MATCH("AKV-003",tblKurallar[kural_id],0)),2),0))</f>
        <v/>
      </c>
      <c r="I622" s="37">
        <f>IF($A622="","",IFERROR(MAX(0,$H622-$F622),0))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7">
        <f>IF($A623="","",$B623+$C623-$D623-$E623)</f>
        <v/>
      </c>
      <c r="H623" s="37">
        <f>IF($A623="","",IFERROR(ROUND($G623*INDEX(tblKurallar[deger_2025],MATCH("AKV-003",tblKurallar[kural_id],0)),2),0))</f>
        <v/>
      </c>
      <c r="I623" s="37">
        <f>IF($A623="","",IFERROR(MAX(0,$H623-$F623),0))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7">
        <f>IF($A624="","",$B624+$C624-$D624-$E624)</f>
        <v/>
      </c>
      <c r="H624" s="37">
        <f>IF($A624="","",IFERROR(ROUND($G624*INDEX(tblKurallar[deger_2025],MATCH("AKV-003",tblKurallar[kural_id],0)),2),0))</f>
        <v/>
      </c>
      <c r="I624" s="37">
        <f>IF($A624="","",IFERROR(MAX(0,$H624-$F624),0))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7">
        <f>IF($A625="","",$B625+$C625-$D625-$E625)</f>
        <v/>
      </c>
      <c r="H625" s="37">
        <f>IF($A625="","",IFERROR(ROUND($G625*INDEX(tblKurallar[deger_2025],MATCH("AKV-003",tblKurallar[kural_id],0)),2),0))</f>
        <v/>
      </c>
      <c r="I625" s="37">
        <f>IF($A625="","",IFERROR(MAX(0,$H625-$F625),0))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7">
        <f>IF($A626="","",$B626+$C626-$D626-$E626)</f>
        <v/>
      </c>
      <c r="H626" s="37">
        <f>IF($A626="","",IFERROR(ROUND($G626*INDEX(tblKurallar[deger_2025],MATCH("AKV-003",tblKurallar[kural_id],0)),2),0))</f>
        <v/>
      </c>
      <c r="I626" s="37">
        <f>IF($A626="","",IFERROR(MAX(0,$H626-$F626),0))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7">
        <f>IF($A627="","",$B627+$C627-$D627-$E627)</f>
        <v/>
      </c>
      <c r="H627" s="37">
        <f>IF($A627="","",IFERROR(ROUND($G627*INDEX(tblKurallar[deger_2025],MATCH("AKV-003",tblKurallar[kural_id],0)),2),0))</f>
        <v/>
      </c>
      <c r="I627" s="37">
        <f>IF($A627="","",IFERROR(MAX(0,$H627-$F627),0))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7">
        <f>IF($A628="","",$B628+$C628-$D628-$E628)</f>
        <v/>
      </c>
      <c r="H628" s="37">
        <f>IF($A628="","",IFERROR(ROUND($G628*INDEX(tblKurallar[deger_2025],MATCH("AKV-003",tblKurallar[kural_id],0)),2),0))</f>
        <v/>
      </c>
      <c r="I628" s="37">
        <f>IF($A628="","",IFERROR(MAX(0,$H628-$F628),0))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7">
        <f>IF($A629="","",$B629+$C629-$D629-$E629)</f>
        <v/>
      </c>
      <c r="H629" s="37">
        <f>IF($A629="","",IFERROR(ROUND($G629*INDEX(tblKurallar[deger_2025],MATCH("AKV-003",tblKurallar[kural_id],0)),2),0))</f>
        <v/>
      </c>
      <c r="I629" s="37">
        <f>IF($A629="","",IFERROR(MAX(0,$H629-$F629),0))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7">
        <f>IF($A630="","",$B630+$C630-$D630-$E630)</f>
        <v/>
      </c>
      <c r="H630" s="37">
        <f>IF($A630="","",IFERROR(ROUND($G630*INDEX(tblKurallar[deger_2025],MATCH("AKV-003",tblKurallar[kural_id],0)),2),0))</f>
        <v/>
      </c>
      <c r="I630" s="37">
        <f>IF($A630="","",IFERROR(MAX(0,$H630-$F630),0))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7">
        <f>IF($A631="","",$B631+$C631-$D631-$E631)</f>
        <v/>
      </c>
      <c r="H631" s="37">
        <f>IF($A631="","",IFERROR(ROUND($G631*INDEX(tblKurallar[deger_2025],MATCH("AKV-003",tblKurallar[kural_id],0)),2),0))</f>
        <v/>
      </c>
      <c r="I631" s="37">
        <f>IF($A631="","",IFERROR(MAX(0,$H631-$F631),0))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7">
        <f>IF($A632="","",$B632+$C632-$D632-$E632)</f>
        <v/>
      </c>
      <c r="H632" s="37">
        <f>IF($A632="","",IFERROR(ROUND($G632*INDEX(tblKurallar[deger_2025],MATCH("AKV-003",tblKurallar[kural_id],0)),2),0))</f>
        <v/>
      </c>
      <c r="I632" s="37">
        <f>IF($A632="","",IFERROR(MAX(0,$H632-$F632),0))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7">
        <f>IF($A633="","",$B633+$C633-$D633-$E633)</f>
        <v/>
      </c>
      <c r="H633" s="37">
        <f>IF($A633="","",IFERROR(ROUND($G633*INDEX(tblKurallar[deger_2025],MATCH("AKV-003",tblKurallar[kural_id],0)),2),0))</f>
        <v/>
      </c>
      <c r="I633" s="37">
        <f>IF($A633="","",IFERROR(MAX(0,$H633-$F633),0))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7">
        <f>IF($A634="","",$B634+$C634-$D634-$E634)</f>
        <v/>
      </c>
      <c r="H634" s="37">
        <f>IF($A634="","",IFERROR(ROUND($G634*INDEX(tblKurallar[deger_2025],MATCH("AKV-003",tblKurallar[kural_id],0)),2),0))</f>
        <v/>
      </c>
      <c r="I634" s="37">
        <f>IF($A634="","",IFERROR(MAX(0,$H634-$F634),0))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7">
        <f>IF($A635="","",$B635+$C635-$D635-$E635)</f>
        <v/>
      </c>
      <c r="H635" s="37">
        <f>IF($A635="","",IFERROR(ROUND($G635*INDEX(tblKurallar[deger_2025],MATCH("AKV-003",tblKurallar[kural_id],0)),2),0))</f>
        <v/>
      </c>
      <c r="I635" s="37">
        <f>IF($A635="","",IFERROR(MAX(0,$H635-$F635),0))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7">
        <f>IF($A636="","",$B636+$C636-$D636-$E636)</f>
        <v/>
      </c>
      <c r="H636" s="37">
        <f>IF($A636="","",IFERROR(ROUND($G636*INDEX(tblKurallar[deger_2025],MATCH("AKV-003",tblKurallar[kural_id],0)),2),0))</f>
        <v/>
      </c>
      <c r="I636" s="37">
        <f>IF($A636="","",IFERROR(MAX(0,$H636-$F636),0))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7">
        <f>IF($A637="","",$B637+$C637-$D637-$E637)</f>
        <v/>
      </c>
      <c r="H637" s="37">
        <f>IF($A637="","",IFERROR(ROUND($G637*INDEX(tblKurallar[deger_2025],MATCH("AKV-003",tblKurallar[kural_id],0)),2),0))</f>
        <v/>
      </c>
      <c r="I637" s="37">
        <f>IF($A637="","",IFERROR(MAX(0,$H637-$F637),0))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7">
        <f>IF($A638="","",$B638+$C638-$D638-$E638)</f>
        <v/>
      </c>
      <c r="H638" s="37">
        <f>IF($A638="","",IFERROR(ROUND($G638*INDEX(tblKurallar[deger_2025],MATCH("AKV-003",tblKurallar[kural_id],0)),2),0))</f>
        <v/>
      </c>
      <c r="I638" s="37">
        <f>IF($A638="","",IFERROR(MAX(0,$H638-$F638),0))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7">
        <f>IF($A639="","",$B639+$C639-$D639-$E639)</f>
        <v/>
      </c>
      <c r="H639" s="37">
        <f>IF($A639="","",IFERROR(ROUND($G639*INDEX(tblKurallar[deger_2025],MATCH("AKV-003",tblKurallar[kural_id],0)),2),0))</f>
        <v/>
      </c>
      <c r="I639" s="37">
        <f>IF($A639="","",IFERROR(MAX(0,$H639-$F639),0))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7">
        <f>IF($A640="","",$B640+$C640-$D640-$E640)</f>
        <v/>
      </c>
      <c r="H640" s="37">
        <f>IF($A640="","",IFERROR(ROUND($G640*INDEX(tblKurallar[deger_2025],MATCH("AKV-003",tblKurallar[kural_id],0)),2),0))</f>
        <v/>
      </c>
      <c r="I640" s="37">
        <f>IF($A640="","",IFERROR(MAX(0,$H640-$F640),0))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7">
        <f>IF($A641="","",$B641+$C641-$D641-$E641)</f>
        <v/>
      </c>
      <c r="H641" s="37">
        <f>IF($A641="","",IFERROR(ROUND($G641*INDEX(tblKurallar[deger_2025],MATCH("AKV-003",tblKurallar[kural_id],0)),2),0))</f>
        <v/>
      </c>
      <c r="I641" s="37">
        <f>IF($A641="","",IFERROR(MAX(0,$H641-$F641),0))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7">
        <f>IF($A642="","",$B642+$C642-$D642-$E642)</f>
        <v/>
      </c>
      <c r="H642" s="37">
        <f>IF($A642="","",IFERROR(ROUND($G642*INDEX(tblKurallar[deger_2025],MATCH("AKV-003",tblKurallar[kural_id],0)),2),0))</f>
        <v/>
      </c>
      <c r="I642" s="37">
        <f>IF($A642="","",IFERROR(MAX(0,$H642-$F642),0))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7">
        <f>IF($A643="","",$B643+$C643-$D643-$E643)</f>
        <v/>
      </c>
      <c r="H643" s="37">
        <f>IF($A643="","",IFERROR(ROUND($G643*INDEX(tblKurallar[deger_2025],MATCH("AKV-003",tblKurallar[kural_id],0)),2),0))</f>
        <v/>
      </c>
      <c r="I643" s="37">
        <f>IF($A643="","",IFERROR(MAX(0,$H643-$F643),0))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7">
        <f>IF($A644="","",$B644+$C644-$D644-$E644)</f>
        <v/>
      </c>
      <c r="H644" s="37">
        <f>IF($A644="","",IFERROR(ROUND($G644*INDEX(tblKurallar[deger_2025],MATCH("AKV-003",tblKurallar[kural_id],0)),2),0))</f>
        <v/>
      </c>
      <c r="I644" s="37">
        <f>IF($A644="","",IFERROR(MAX(0,$H644-$F644),0))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7">
        <f>IF($A645="","",$B645+$C645-$D645-$E645)</f>
        <v/>
      </c>
      <c r="H645" s="37">
        <f>IF($A645="","",IFERROR(ROUND($G645*INDEX(tblKurallar[deger_2025],MATCH("AKV-003",tblKurallar[kural_id],0)),2),0))</f>
        <v/>
      </c>
      <c r="I645" s="37">
        <f>IF($A645="","",IFERROR(MAX(0,$H645-$F645),0))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7">
        <f>IF($A646="","",$B646+$C646-$D646-$E646)</f>
        <v/>
      </c>
      <c r="H646" s="37">
        <f>IF($A646="","",IFERROR(ROUND($G646*INDEX(tblKurallar[deger_2025],MATCH("AKV-003",tblKurallar[kural_id],0)),2),0))</f>
        <v/>
      </c>
      <c r="I646" s="37">
        <f>IF($A646="","",IFERROR(MAX(0,$H646-$F646),0))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7">
        <f>IF($A647="","",$B647+$C647-$D647-$E647)</f>
        <v/>
      </c>
      <c r="H647" s="37">
        <f>IF($A647="","",IFERROR(ROUND($G647*INDEX(tblKurallar[deger_2025],MATCH("AKV-003",tblKurallar[kural_id],0)),2),0))</f>
        <v/>
      </c>
      <c r="I647" s="37">
        <f>IF($A647="","",IFERROR(MAX(0,$H647-$F647),0))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7">
        <f>IF($A648="","",$B648+$C648-$D648-$E648)</f>
        <v/>
      </c>
      <c r="H648" s="37">
        <f>IF($A648="","",IFERROR(ROUND($G648*INDEX(tblKurallar[deger_2025],MATCH("AKV-003",tblKurallar[kural_id],0)),2),0))</f>
        <v/>
      </c>
      <c r="I648" s="37">
        <f>IF($A648="","",IFERROR(MAX(0,$H648-$F648),0))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7">
        <f>IF($A649="","",$B649+$C649-$D649-$E649)</f>
        <v/>
      </c>
      <c r="H649" s="37">
        <f>IF($A649="","",IFERROR(ROUND($G649*INDEX(tblKurallar[deger_2025],MATCH("AKV-003",tblKurallar[kural_id],0)),2),0))</f>
        <v/>
      </c>
      <c r="I649" s="37">
        <f>IF($A649="","",IFERROR(MAX(0,$H649-$F649),0))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7">
        <f>IF($A650="","",$B650+$C650-$D650-$E650)</f>
        <v/>
      </c>
      <c r="H650" s="37">
        <f>IF($A650="","",IFERROR(ROUND($G650*INDEX(tblKurallar[deger_2025],MATCH("AKV-003",tblKurallar[kural_id],0)),2),0))</f>
        <v/>
      </c>
      <c r="I650" s="37">
        <f>IF($A650="","",IFERROR(MAX(0,$H650-$F650),0))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7">
        <f>IF($A651="","",$B651+$C651-$D651-$E651)</f>
        <v/>
      </c>
      <c r="H651" s="37">
        <f>IF($A651="","",IFERROR(ROUND($G651*INDEX(tblKurallar[deger_2025],MATCH("AKV-003",tblKurallar[kural_id],0)),2),0))</f>
        <v/>
      </c>
      <c r="I651" s="37">
        <f>IF($A651="","",IFERROR(MAX(0,$H651-$F651),0))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7">
        <f>IF($A652="","",$B652+$C652-$D652-$E652)</f>
        <v/>
      </c>
      <c r="H652" s="37">
        <f>IF($A652="","",IFERROR(ROUND($G652*INDEX(tblKurallar[deger_2025],MATCH("AKV-003",tblKurallar[kural_id],0)),2),0))</f>
        <v/>
      </c>
      <c r="I652" s="37">
        <f>IF($A652="","",IFERROR(MAX(0,$H652-$F652),0))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7">
        <f>IF($A653="","",$B653+$C653-$D653-$E653)</f>
        <v/>
      </c>
      <c r="H653" s="37">
        <f>IF($A653="","",IFERROR(ROUND($G653*INDEX(tblKurallar[deger_2025],MATCH("AKV-003",tblKurallar[kural_id],0)),2),0))</f>
        <v/>
      </c>
      <c r="I653" s="37">
        <f>IF($A653="","",IFERROR(MAX(0,$H653-$F653),0))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7">
        <f>IF($A654="","",$B654+$C654-$D654-$E654)</f>
        <v/>
      </c>
      <c r="H654" s="37">
        <f>IF($A654="","",IFERROR(ROUND($G654*INDEX(tblKurallar[deger_2025],MATCH("AKV-003",tblKurallar[kural_id],0)),2),0))</f>
        <v/>
      </c>
      <c r="I654" s="37">
        <f>IF($A654="","",IFERROR(MAX(0,$H654-$F654),0))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7">
        <f>IF($A655="","",$B655+$C655-$D655-$E655)</f>
        <v/>
      </c>
      <c r="H655" s="37">
        <f>IF($A655="","",IFERROR(ROUND($G655*INDEX(tblKurallar[deger_2025],MATCH("AKV-003",tblKurallar[kural_id],0)),2),0))</f>
        <v/>
      </c>
      <c r="I655" s="37">
        <f>IF($A655="","",IFERROR(MAX(0,$H655-$F655),0))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7">
        <f>IF($A656="","",$B656+$C656-$D656-$E656)</f>
        <v/>
      </c>
      <c r="H656" s="37">
        <f>IF($A656="","",IFERROR(ROUND($G656*INDEX(tblKurallar[deger_2025],MATCH("AKV-003",tblKurallar[kural_id],0)),2),0))</f>
        <v/>
      </c>
      <c r="I656" s="37">
        <f>IF($A656="","",IFERROR(MAX(0,$H656-$F656),0))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7">
        <f>IF($A657="","",$B657+$C657-$D657-$E657)</f>
        <v/>
      </c>
      <c r="H657" s="37">
        <f>IF($A657="","",IFERROR(ROUND($G657*INDEX(tblKurallar[deger_2025],MATCH("AKV-003",tblKurallar[kural_id],0)),2),0))</f>
        <v/>
      </c>
      <c r="I657" s="37">
        <f>IF($A657="","",IFERROR(MAX(0,$H657-$F657),0))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7">
        <f>IF($A658="","",$B658+$C658-$D658-$E658)</f>
        <v/>
      </c>
      <c r="H658" s="37">
        <f>IF($A658="","",IFERROR(ROUND($G658*INDEX(tblKurallar[deger_2025],MATCH("AKV-003",tblKurallar[kural_id],0)),2),0))</f>
        <v/>
      </c>
      <c r="I658" s="37">
        <f>IF($A658="","",IFERROR(MAX(0,$H658-$F658),0))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7">
        <f>IF($A659="","",$B659+$C659-$D659-$E659)</f>
        <v/>
      </c>
      <c r="H659" s="37">
        <f>IF($A659="","",IFERROR(ROUND($G659*INDEX(tblKurallar[deger_2025],MATCH("AKV-003",tblKurallar[kural_id],0)),2),0))</f>
        <v/>
      </c>
      <c r="I659" s="37">
        <f>IF($A659="","",IFERROR(MAX(0,$H659-$F659),0))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7">
        <f>IF($A660="","",$B660+$C660-$D660-$E660)</f>
        <v/>
      </c>
      <c r="H660" s="37">
        <f>IF($A660="","",IFERROR(ROUND($G660*INDEX(tblKurallar[deger_2025],MATCH("AKV-003",tblKurallar[kural_id],0)),2),0))</f>
        <v/>
      </c>
      <c r="I660" s="37">
        <f>IF($A660="","",IFERROR(MAX(0,$H660-$F660),0))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7">
        <f>IF($A661="","",$B661+$C661-$D661-$E661)</f>
        <v/>
      </c>
      <c r="H661" s="37">
        <f>IF($A661="","",IFERROR(ROUND($G661*INDEX(tblKurallar[deger_2025],MATCH("AKV-003",tblKurallar[kural_id],0)),2),0))</f>
        <v/>
      </c>
      <c r="I661" s="37">
        <f>IF($A661="","",IFERROR(MAX(0,$H661-$F661),0))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7">
        <f>IF($A662="","",$B662+$C662-$D662-$E662)</f>
        <v/>
      </c>
      <c r="H662" s="37">
        <f>IF($A662="","",IFERROR(ROUND($G662*INDEX(tblKurallar[deger_2025],MATCH("AKV-003",tblKurallar[kural_id],0)),2),0))</f>
        <v/>
      </c>
      <c r="I662" s="37">
        <f>IF($A662="","",IFERROR(MAX(0,$H662-$F662),0))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7">
        <f>IF($A663="","",$B663+$C663-$D663-$E663)</f>
        <v/>
      </c>
      <c r="H663" s="37">
        <f>IF($A663="","",IFERROR(ROUND($G663*INDEX(tblKurallar[deger_2025],MATCH("AKV-003",tblKurallar[kural_id],0)),2),0))</f>
        <v/>
      </c>
      <c r="I663" s="37">
        <f>IF($A663="","",IFERROR(MAX(0,$H663-$F663),0))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7">
        <f>IF($A664="","",$B664+$C664-$D664-$E664)</f>
        <v/>
      </c>
      <c r="H664" s="37">
        <f>IF($A664="","",IFERROR(ROUND($G664*INDEX(tblKurallar[deger_2025],MATCH("AKV-003",tblKurallar[kural_id],0)),2),0))</f>
        <v/>
      </c>
      <c r="I664" s="37">
        <f>IF($A664="","",IFERROR(MAX(0,$H664-$F664),0))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7">
        <f>IF($A665="","",$B665+$C665-$D665-$E665)</f>
        <v/>
      </c>
      <c r="H665" s="37">
        <f>IF($A665="","",IFERROR(ROUND($G665*INDEX(tblKurallar[deger_2025],MATCH("AKV-003",tblKurallar[kural_id],0)),2),0))</f>
        <v/>
      </c>
      <c r="I665" s="37">
        <f>IF($A665="","",IFERROR(MAX(0,$H665-$F665),0))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7">
        <f>IF($A666="","",$B666+$C666-$D666-$E666)</f>
        <v/>
      </c>
      <c r="H666" s="37">
        <f>IF($A666="","",IFERROR(ROUND($G666*INDEX(tblKurallar[deger_2025],MATCH("AKV-003",tblKurallar[kural_id],0)),2),0))</f>
        <v/>
      </c>
      <c r="I666" s="37">
        <f>IF($A666="","",IFERROR(MAX(0,$H666-$F666),0))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7">
        <f>IF($A667="","",$B667+$C667-$D667-$E667)</f>
        <v/>
      </c>
      <c r="H667" s="37">
        <f>IF($A667="","",IFERROR(ROUND($G667*INDEX(tblKurallar[deger_2025],MATCH("AKV-003",tblKurallar[kural_id],0)),2),0))</f>
        <v/>
      </c>
      <c r="I667" s="37">
        <f>IF($A667="","",IFERROR(MAX(0,$H667-$F667),0))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7">
        <f>IF($A668="","",$B668+$C668-$D668-$E668)</f>
        <v/>
      </c>
      <c r="H668" s="37">
        <f>IF($A668="","",IFERROR(ROUND($G668*INDEX(tblKurallar[deger_2025],MATCH("AKV-003",tblKurallar[kural_id],0)),2),0))</f>
        <v/>
      </c>
      <c r="I668" s="37">
        <f>IF($A668="","",IFERROR(MAX(0,$H668-$F668),0))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7">
        <f>IF($A669="","",$B669+$C669-$D669-$E669)</f>
        <v/>
      </c>
      <c r="H669" s="37">
        <f>IF($A669="","",IFERROR(ROUND($G669*INDEX(tblKurallar[deger_2025],MATCH("AKV-003",tblKurallar[kural_id],0)),2),0))</f>
        <v/>
      </c>
      <c r="I669" s="37">
        <f>IF($A669="","",IFERROR(MAX(0,$H669-$F669),0))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7">
        <f>IF($A670="","",$B670+$C670-$D670-$E670)</f>
        <v/>
      </c>
      <c r="H670" s="37">
        <f>IF($A670="","",IFERROR(ROUND($G670*INDEX(tblKurallar[deger_2025],MATCH("AKV-003",tblKurallar[kural_id],0)),2),0))</f>
        <v/>
      </c>
      <c r="I670" s="37">
        <f>IF($A670="","",IFERROR(MAX(0,$H670-$F670),0))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7">
        <f>IF($A671="","",$B671+$C671-$D671-$E671)</f>
        <v/>
      </c>
      <c r="H671" s="37">
        <f>IF($A671="","",IFERROR(ROUND($G671*INDEX(tblKurallar[deger_2025],MATCH("AKV-003",tblKurallar[kural_id],0)),2),0))</f>
        <v/>
      </c>
      <c r="I671" s="37">
        <f>IF($A671="","",IFERROR(MAX(0,$H671-$F671),0))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7">
        <f>IF($A672="","",$B672+$C672-$D672-$E672)</f>
        <v/>
      </c>
      <c r="H672" s="37">
        <f>IF($A672="","",IFERROR(ROUND($G672*INDEX(tblKurallar[deger_2025],MATCH("AKV-003",tblKurallar[kural_id],0)),2),0))</f>
        <v/>
      </c>
      <c r="I672" s="37">
        <f>IF($A672="","",IFERROR(MAX(0,$H672-$F672),0))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7">
        <f>IF($A673="","",$B673+$C673-$D673-$E673)</f>
        <v/>
      </c>
      <c r="H673" s="37">
        <f>IF($A673="","",IFERROR(ROUND($G673*INDEX(tblKurallar[deger_2025],MATCH("AKV-003",tblKurallar[kural_id],0)),2),0))</f>
        <v/>
      </c>
      <c r="I673" s="37">
        <f>IF($A673="","",IFERROR(MAX(0,$H673-$F673),0))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7">
        <f>IF($A674="","",$B674+$C674-$D674-$E674)</f>
        <v/>
      </c>
      <c r="H674" s="37">
        <f>IF($A674="","",IFERROR(ROUND($G674*INDEX(tblKurallar[deger_2025],MATCH("AKV-003",tblKurallar[kural_id],0)),2),0))</f>
        <v/>
      </c>
      <c r="I674" s="37">
        <f>IF($A674="","",IFERROR(MAX(0,$H674-$F674),0))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7">
        <f>IF($A675="","",$B675+$C675-$D675-$E675)</f>
        <v/>
      </c>
      <c r="H675" s="37">
        <f>IF($A675="","",IFERROR(ROUND($G675*INDEX(tblKurallar[deger_2025],MATCH("AKV-003",tblKurallar[kural_id],0)),2),0))</f>
        <v/>
      </c>
      <c r="I675" s="37">
        <f>IF($A675="","",IFERROR(MAX(0,$H675-$F675),0))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7">
        <f>IF($A676="","",$B676+$C676-$D676-$E676)</f>
        <v/>
      </c>
      <c r="H676" s="37">
        <f>IF($A676="","",IFERROR(ROUND($G676*INDEX(tblKurallar[deger_2025],MATCH("AKV-003",tblKurallar[kural_id],0)),2),0))</f>
        <v/>
      </c>
      <c r="I676" s="37">
        <f>IF($A676="","",IFERROR(MAX(0,$H676-$F676),0))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7">
        <f>IF($A677="","",$B677+$C677-$D677-$E677)</f>
        <v/>
      </c>
      <c r="H677" s="37">
        <f>IF($A677="","",IFERROR(ROUND($G677*INDEX(tblKurallar[deger_2025],MATCH("AKV-003",tblKurallar[kural_id],0)),2),0))</f>
        <v/>
      </c>
      <c r="I677" s="37">
        <f>IF($A677="","",IFERROR(MAX(0,$H677-$F677),0))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7">
        <f>IF($A678="","",$B678+$C678-$D678-$E678)</f>
        <v/>
      </c>
      <c r="H678" s="37">
        <f>IF($A678="","",IFERROR(ROUND($G678*INDEX(tblKurallar[deger_2025],MATCH("AKV-003",tblKurallar[kural_id],0)),2),0))</f>
        <v/>
      </c>
      <c r="I678" s="37">
        <f>IF($A678="","",IFERROR(MAX(0,$H678-$F678),0))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7">
        <f>IF($A679="","",$B679+$C679-$D679-$E679)</f>
        <v/>
      </c>
      <c r="H679" s="37">
        <f>IF($A679="","",IFERROR(ROUND($G679*INDEX(tblKurallar[deger_2025],MATCH("AKV-003",tblKurallar[kural_id],0)),2),0))</f>
        <v/>
      </c>
      <c r="I679" s="37">
        <f>IF($A679="","",IFERROR(MAX(0,$H679-$F679),0))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7">
        <f>IF($A680="","",$B680+$C680-$D680-$E680)</f>
        <v/>
      </c>
      <c r="H680" s="37">
        <f>IF($A680="","",IFERROR(ROUND($G680*INDEX(tblKurallar[deger_2025],MATCH("AKV-003",tblKurallar[kural_id],0)),2),0))</f>
        <v/>
      </c>
      <c r="I680" s="37">
        <f>IF($A680="","",IFERROR(MAX(0,$H680-$F680),0))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7">
        <f>IF($A681="","",$B681+$C681-$D681-$E681)</f>
        <v/>
      </c>
      <c r="H681" s="37">
        <f>IF($A681="","",IFERROR(ROUND($G681*INDEX(tblKurallar[deger_2025],MATCH("AKV-003",tblKurallar[kural_id],0)),2),0))</f>
        <v/>
      </c>
      <c r="I681" s="37">
        <f>IF($A681="","",IFERROR(MAX(0,$H681-$F681),0))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7">
        <f>IF($A682="","",$B682+$C682-$D682-$E682)</f>
        <v/>
      </c>
      <c r="H682" s="37">
        <f>IF($A682="","",IFERROR(ROUND($G682*INDEX(tblKurallar[deger_2025],MATCH("AKV-003",tblKurallar[kural_id],0)),2),0))</f>
        <v/>
      </c>
      <c r="I682" s="37">
        <f>IF($A682="","",IFERROR(MAX(0,$H682-$F682),0))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7">
        <f>IF($A683="","",$B683+$C683-$D683-$E683)</f>
        <v/>
      </c>
      <c r="H683" s="37">
        <f>IF($A683="","",IFERROR(ROUND($G683*INDEX(tblKurallar[deger_2025],MATCH("AKV-003",tblKurallar[kural_id],0)),2),0))</f>
        <v/>
      </c>
      <c r="I683" s="37">
        <f>IF($A683="","",IFERROR(MAX(0,$H683-$F683),0))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7">
        <f>IF($A684="","",$B684+$C684-$D684-$E684)</f>
        <v/>
      </c>
      <c r="H684" s="37">
        <f>IF($A684="","",IFERROR(ROUND($G684*INDEX(tblKurallar[deger_2025],MATCH("AKV-003",tblKurallar[kural_id],0)),2),0))</f>
        <v/>
      </c>
      <c r="I684" s="37">
        <f>IF($A684="","",IFERROR(MAX(0,$H684-$F684),0))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7">
        <f>IF($A685="","",$B685+$C685-$D685-$E685)</f>
        <v/>
      </c>
      <c r="H685" s="37">
        <f>IF($A685="","",IFERROR(ROUND($G685*INDEX(tblKurallar[deger_2025],MATCH("AKV-003",tblKurallar[kural_id],0)),2),0))</f>
        <v/>
      </c>
      <c r="I685" s="37">
        <f>IF($A685="","",IFERROR(MAX(0,$H685-$F685),0))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7">
        <f>IF($A686="","",$B686+$C686-$D686-$E686)</f>
        <v/>
      </c>
      <c r="H686" s="37">
        <f>IF($A686="","",IFERROR(ROUND($G686*INDEX(tblKurallar[deger_2025],MATCH("AKV-003",tblKurallar[kural_id],0)),2),0))</f>
        <v/>
      </c>
      <c r="I686" s="37">
        <f>IF($A686="","",IFERROR(MAX(0,$H686-$F686),0))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7">
        <f>IF($A687="","",$B687+$C687-$D687-$E687)</f>
        <v/>
      </c>
      <c r="H687" s="37">
        <f>IF($A687="","",IFERROR(ROUND($G687*INDEX(tblKurallar[deger_2025],MATCH("AKV-003",tblKurallar[kural_id],0)),2),0))</f>
        <v/>
      </c>
      <c r="I687" s="37">
        <f>IF($A687="","",IFERROR(MAX(0,$H687-$F687),0))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7">
        <f>IF($A688="","",$B688+$C688-$D688-$E688)</f>
        <v/>
      </c>
      <c r="H688" s="37">
        <f>IF($A688="","",IFERROR(ROUND($G688*INDEX(tblKurallar[deger_2025],MATCH("AKV-003",tblKurallar[kural_id],0)),2),0))</f>
        <v/>
      </c>
      <c r="I688" s="37">
        <f>IF($A688="","",IFERROR(MAX(0,$H688-$F688),0))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7">
        <f>IF($A689="","",$B689+$C689-$D689-$E689)</f>
        <v/>
      </c>
      <c r="H689" s="37">
        <f>IF($A689="","",IFERROR(ROUND($G689*INDEX(tblKurallar[deger_2025],MATCH("AKV-003",tblKurallar[kural_id],0)),2),0))</f>
        <v/>
      </c>
      <c r="I689" s="37">
        <f>IF($A689="","",IFERROR(MAX(0,$H689-$F689),0))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7">
        <f>IF($A690="","",$B690+$C690-$D690-$E690)</f>
        <v/>
      </c>
      <c r="H690" s="37">
        <f>IF($A690="","",IFERROR(ROUND($G690*INDEX(tblKurallar[deger_2025],MATCH("AKV-003",tblKurallar[kural_id],0)),2),0))</f>
        <v/>
      </c>
      <c r="I690" s="37">
        <f>IF($A690="","",IFERROR(MAX(0,$H690-$F690),0))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7">
        <f>IF($A691="","",$B691+$C691-$D691-$E691)</f>
        <v/>
      </c>
      <c r="H691" s="37">
        <f>IF($A691="","",IFERROR(ROUND($G691*INDEX(tblKurallar[deger_2025],MATCH("AKV-003",tblKurallar[kural_id],0)),2),0))</f>
        <v/>
      </c>
      <c r="I691" s="37">
        <f>IF($A691="","",IFERROR(MAX(0,$H691-$F691),0))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7">
        <f>IF($A692="","",$B692+$C692-$D692-$E692)</f>
        <v/>
      </c>
      <c r="H692" s="37">
        <f>IF($A692="","",IFERROR(ROUND($G692*INDEX(tblKurallar[deger_2025],MATCH("AKV-003",tblKurallar[kural_id],0)),2),0))</f>
        <v/>
      </c>
      <c r="I692" s="37">
        <f>IF($A692="","",IFERROR(MAX(0,$H692-$F692),0))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7">
        <f>IF($A693="","",$B693+$C693-$D693-$E693)</f>
        <v/>
      </c>
      <c r="H693" s="37">
        <f>IF($A693="","",IFERROR(ROUND($G693*INDEX(tblKurallar[deger_2025],MATCH("AKV-003",tblKurallar[kural_id],0)),2),0))</f>
        <v/>
      </c>
      <c r="I693" s="37">
        <f>IF($A693="","",IFERROR(MAX(0,$H693-$F693),0))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7">
        <f>IF($A694="","",$B694+$C694-$D694-$E694)</f>
        <v/>
      </c>
      <c r="H694" s="37">
        <f>IF($A694="","",IFERROR(ROUND($G694*INDEX(tblKurallar[deger_2025],MATCH("AKV-003",tblKurallar[kural_id],0)),2),0))</f>
        <v/>
      </c>
      <c r="I694" s="37">
        <f>IF($A694="","",IFERROR(MAX(0,$H694-$F694),0))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7">
        <f>IF($A695="","",$B695+$C695-$D695-$E695)</f>
        <v/>
      </c>
      <c r="H695" s="37">
        <f>IF($A695="","",IFERROR(ROUND($G695*INDEX(tblKurallar[deger_2025],MATCH("AKV-003",tblKurallar[kural_id],0)),2),0))</f>
        <v/>
      </c>
      <c r="I695" s="37">
        <f>IF($A695="","",IFERROR(MAX(0,$H695-$F695),0))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7">
        <f>IF($A696="","",$B696+$C696-$D696-$E696)</f>
        <v/>
      </c>
      <c r="H696" s="37">
        <f>IF($A696="","",IFERROR(ROUND($G696*INDEX(tblKurallar[deger_2025],MATCH("AKV-003",tblKurallar[kural_id],0)),2),0))</f>
        <v/>
      </c>
      <c r="I696" s="37">
        <f>IF($A696="","",IFERROR(MAX(0,$H696-$F696),0))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7">
        <f>IF($A697="","",$B697+$C697-$D697-$E697)</f>
        <v/>
      </c>
      <c r="H697" s="37">
        <f>IF($A697="","",IFERROR(ROUND($G697*INDEX(tblKurallar[deger_2025],MATCH("AKV-003",tblKurallar[kural_id],0)),2),0))</f>
        <v/>
      </c>
      <c r="I697" s="37">
        <f>IF($A697="","",IFERROR(MAX(0,$H697-$F697),0))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7">
        <f>IF($A698="","",$B698+$C698-$D698-$E698)</f>
        <v/>
      </c>
      <c r="H698" s="37">
        <f>IF($A698="","",IFERROR(ROUND($G698*INDEX(tblKurallar[deger_2025],MATCH("AKV-003",tblKurallar[kural_id],0)),2),0))</f>
        <v/>
      </c>
      <c r="I698" s="37">
        <f>IF($A698="","",IFERROR(MAX(0,$H698-$F698),0))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7">
        <f>IF($A699="","",$B699+$C699-$D699-$E699)</f>
        <v/>
      </c>
      <c r="H699" s="37">
        <f>IF($A699="","",IFERROR(ROUND($G699*INDEX(tblKurallar[deger_2025],MATCH("AKV-003",tblKurallar[kural_id],0)),2),0))</f>
        <v/>
      </c>
      <c r="I699" s="37">
        <f>IF($A699="","",IFERROR(MAX(0,$H699-$F699),0))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7">
        <f>IF($A700="","",$B700+$C700-$D700-$E700)</f>
        <v/>
      </c>
      <c r="H700" s="37">
        <f>IF($A700="","",IFERROR(ROUND($G700*INDEX(tblKurallar[deger_2025],MATCH("AKV-003",tblKurallar[kural_id],0)),2),0))</f>
        <v/>
      </c>
      <c r="I700" s="37">
        <f>IF($A700="","",IFERROR(MAX(0,$H700-$F700),0))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7">
        <f>IF($A701="","",$B701+$C701-$D701-$E701)</f>
        <v/>
      </c>
      <c r="H701" s="37">
        <f>IF($A701="","",IFERROR(ROUND($G701*INDEX(tblKurallar[deger_2025],MATCH("AKV-003",tblKurallar[kural_id],0)),2),0))</f>
        <v/>
      </c>
      <c r="I701" s="37">
        <f>IF($A701="","",IFERROR(MAX(0,$H701-$F701),0))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7">
        <f>IF($A702="","",$B702+$C702-$D702-$E702)</f>
        <v/>
      </c>
      <c r="H702" s="37">
        <f>IF($A702="","",IFERROR(ROUND($G702*INDEX(tblKurallar[deger_2025],MATCH("AKV-003",tblKurallar[kural_id],0)),2),0))</f>
        <v/>
      </c>
      <c r="I702" s="37">
        <f>IF($A702="","",IFERROR(MAX(0,$H702-$F702),0))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7">
        <f>IF($A703="","",$B703+$C703-$D703-$E703)</f>
        <v/>
      </c>
      <c r="H703" s="37">
        <f>IF($A703="","",IFERROR(ROUND($G703*INDEX(tblKurallar[deger_2025],MATCH("AKV-003",tblKurallar[kural_id],0)),2),0))</f>
        <v/>
      </c>
      <c r="I703" s="37">
        <f>IF($A703="","",IFERROR(MAX(0,$H703-$F703),0))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7">
        <f>IF($A704="","",$B704+$C704-$D704-$E704)</f>
        <v/>
      </c>
      <c r="H704" s="37">
        <f>IF($A704="","",IFERROR(ROUND($G704*INDEX(tblKurallar[deger_2025],MATCH("AKV-003",tblKurallar[kural_id],0)),2),0))</f>
        <v/>
      </c>
      <c r="I704" s="37">
        <f>IF($A704="","",IFERROR(MAX(0,$H704-$F704),0))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7">
        <f>IF($A705="","",$B705+$C705-$D705-$E705)</f>
        <v/>
      </c>
      <c r="H705" s="37">
        <f>IF($A705="","",IFERROR(ROUND($G705*INDEX(tblKurallar[deger_2025],MATCH("AKV-003",tblKurallar[kural_id],0)),2),0))</f>
        <v/>
      </c>
      <c r="I705" s="37">
        <f>IF($A705="","",IFERROR(MAX(0,$H705-$F705),0))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7">
        <f>IF($A706="","",$B706+$C706-$D706-$E706)</f>
        <v/>
      </c>
      <c r="H706" s="37">
        <f>IF($A706="","",IFERROR(ROUND($G706*INDEX(tblKurallar[deger_2025],MATCH("AKV-003",tblKurallar[kural_id],0)),2),0))</f>
        <v/>
      </c>
      <c r="I706" s="37">
        <f>IF($A706="","",IFERROR(MAX(0,$H706-$F706),0))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7">
        <f>IF($A707="","",$B707+$C707-$D707-$E707)</f>
        <v/>
      </c>
      <c r="H707" s="37">
        <f>IF($A707="","",IFERROR(ROUND($G707*INDEX(tblKurallar[deger_2025],MATCH("AKV-003",tblKurallar[kural_id],0)),2),0))</f>
        <v/>
      </c>
      <c r="I707" s="37">
        <f>IF($A707="","",IFERROR(MAX(0,$H707-$F707),0))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7">
        <f>IF($A708="","",$B708+$C708-$D708-$E708)</f>
        <v/>
      </c>
      <c r="H708" s="37">
        <f>IF($A708="","",IFERROR(ROUND($G708*INDEX(tblKurallar[deger_2025],MATCH("AKV-003",tblKurallar[kural_id],0)),2),0))</f>
        <v/>
      </c>
      <c r="I708" s="37">
        <f>IF($A708="","",IFERROR(MAX(0,$H708-$F708),0))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7">
        <f>IF($A709="","",$B709+$C709-$D709-$E709)</f>
        <v/>
      </c>
      <c r="H709" s="37">
        <f>IF($A709="","",IFERROR(ROUND($G709*INDEX(tblKurallar[deger_2025],MATCH("AKV-003",tblKurallar[kural_id],0)),2),0))</f>
        <v/>
      </c>
      <c r="I709" s="37">
        <f>IF($A709="","",IFERROR(MAX(0,$H709-$F709),0))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7">
        <f>IF($A710="","",$B710+$C710-$D710-$E710)</f>
        <v/>
      </c>
      <c r="H710" s="37">
        <f>IF($A710="","",IFERROR(ROUND($G710*INDEX(tblKurallar[deger_2025],MATCH("AKV-003",tblKurallar[kural_id],0)),2),0))</f>
        <v/>
      </c>
      <c r="I710" s="37">
        <f>IF($A710="","",IFERROR(MAX(0,$H710-$F710),0))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7">
        <f>IF($A711="","",$B711+$C711-$D711-$E711)</f>
        <v/>
      </c>
      <c r="H711" s="37">
        <f>IF($A711="","",IFERROR(ROUND($G711*INDEX(tblKurallar[deger_2025],MATCH("AKV-003",tblKurallar[kural_id],0)),2),0))</f>
        <v/>
      </c>
      <c r="I711" s="37">
        <f>IF($A711="","",IFERROR(MAX(0,$H711-$F711),0))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7">
        <f>IF($A712="","",$B712+$C712-$D712-$E712)</f>
        <v/>
      </c>
      <c r="H712" s="37">
        <f>IF($A712="","",IFERROR(ROUND($G712*INDEX(tblKurallar[deger_2025],MATCH("AKV-003",tblKurallar[kural_id],0)),2),0))</f>
        <v/>
      </c>
      <c r="I712" s="37">
        <f>IF($A712="","",IFERROR(MAX(0,$H712-$F712),0))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7">
        <f>IF($A713="","",$B713+$C713-$D713-$E713)</f>
        <v/>
      </c>
      <c r="H713" s="37">
        <f>IF($A713="","",IFERROR(ROUND($G713*INDEX(tblKurallar[deger_2025],MATCH("AKV-003",tblKurallar[kural_id],0)),2),0))</f>
        <v/>
      </c>
      <c r="I713" s="37">
        <f>IF($A713="","",IFERROR(MAX(0,$H713-$F713),0))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7">
        <f>IF($A714="","",$B714+$C714-$D714-$E714)</f>
        <v/>
      </c>
      <c r="H714" s="37">
        <f>IF($A714="","",IFERROR(ROUND($G714*INDEX(tblKurallar[deger_2025],MATCH("AKV-003",tblKurallar[kural_id],0)),2),0))</f>
        <v/>
      </c>
      <c r="I714" s="37">
        <f>IF($A714="","",IFERROR(MAX(0,$H714-$F714),0))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7">
        <f>IF($A715="","",$B715+$C715-$D715-$E715)</f>
        <v/>
      </c>
      <c r="H715" s="37">
        <f>IF($A715="","",IFERROR(ROUND($G715*INDEX(tblKurallar[deger_2025],MATCH("AKV-003",tblKurallar[kural_id],0)),2),0))</f>
        <v/>
      </c>
      <c r="I715" s="37">
        <f>IF($A715="","",IFERROR(MAX(0,$H715-$F715),0))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7">
        <f>IF($A716="","",$B716+$C716-$D716-$E716)</f>
        <v/>
      </c>
      <c r="H716" s="37">
        <f>IF($A716="","",IFERROR(ROUND($G716*INDEX(tblKurallar[deger_2025],MATCH("AKV-003",tblKurallar[kural_id],0)),2),0))</f>
        <v/>
      </c>
      <c r="I716" s="37">
        <f>IF($A716="","",IFERROR(MAX(0,$H716-$F716),0))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7">
        <f>IF($A717="","",$B717+$C717-$D717-$E717)</f>
        <v/>
      </c>
      <c r="H717" s="37">
        <f>IF($A717="","",IFERROR(ROUND($G717*INDEX(tblKurallar[deger_2025],MATCH("AKV-003",tblKurallar[kural_id],0)),2),0))</f>
        <v/>
      </c>
      <c r="I717" s="37">
        <f>IF($A717="","",IFERROR(MAX(0,$H717-$F717),0))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7">
        <f>IF($A718="","",$B718+$C718-$D718-$E718)</f>
        <v/>
      </c>
      <c r="H718" s="37">
        <f>IF($A718="","",IFERROR(ROUND($G718*INDEX(tblKurallar[deger_2025],MATCH("AKV-003",tblKurallar[kural_id],0)),2),0))</f>
        <v/>
      </c>
      <c r="I718" s="37">
        <f>IF($A718="","",IFERROR(MAX(0,$H718-$F718),0))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7">
        <f>IF($A719="","",$B719+$C719-$D719-$E719)</f>
        <v/>
      </c>
      <c r="H719" s="37">
        <f>IF($A719="","",IFERROR(ROUND($G719*INDEX(tblKurallar[deger_2025],MATCH("AKV-003",tblKurallar[kural_id],0)),2),0))</f>
        <v/>
      </c>
      <c r="I719" s="37">
        <f>IF($A719="","",IFERROR(MAX(0,$H719-$F719),0))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7">
        <f>IF($A720="","",$B720+$C720-$D720-$E720)</f>
        <v/>
      </c>
      <c r="H720" s="37">
        <f>IF($A720="","",IFERROR(ROUND($G720*INDEX(tblKurallar[deger_2025],MATCH("AKV-003",tblKurallar[kural_id],0)),2),0))</f>
        <v/>
      </c>
      <c r="I720" s="37">
        <f>IF($A720="","",IFERROR(MAX(0,$H720-$F720),0))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7">
        <f>IF($A721="","",$B721+$C721-$D721-$E721)</f>
        <v/>
      </c>
      <c r="H721" s="37">
        <f>IF($A721="","",IFERROR(ROUND($G721*INDEX(tblKurallar[deger_2025],MATCH("AKV-003",tblKurallar[kural_id],0)),2),0))</f>
        <v/>
      </c>
      <c r="I721" s="37">
        <f>IF($A721="","",IFERROR(MAX(0,$H721-$F721),0))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7">
        <f>IF($A722="","",$B722+$C722-$D722-$E722)</f>
        <v/>
      </c>
      <c r="H722" s="37">
        <f>IF($A722="","",IFERROR(ROUND($G722*INDEX(tblKurallar[deger_2025],MATCH("AKV-003",tblKurallar[kural_id],0)),2),0))</f>
        <v/>
      </c>
      <c r="I722" s="37">
        <f>IF($A722="","",IFERROR(MAX(0,$H722-$F722),0))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7">
        <f>IF($A723="","",$B723+$C723-$D723-$E723)</f>
        <v/>
      </c>
      <c r="H723" s="37">
        <f>IF($A723="","",IFERROR(ROUND($G723*INDEX(tblKurallar[deger_2025],MATCH("AKV-003",tblKurallar[kural_id],0)),2),0))</f>
        <v/>
      </c>
      <c r="I723" s="37">
        <f>IF($A723="","",IFERROR(MAX(0,$H723-$F723),0))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7">
        <f>IF($A724="","",$B724+$C724-$D724-$E724)</f>
        <v/>
      </c>
      <c r="H724" s="37">
        <f>IF($A724="","",IFERROR(ROUND($G724*INDEX(tblKurallar[deger_2025],MATCH("AKV-003",tblKurallar[kural_id],0)),2),0))</f>
        <v/>
      </c>
      <c r="I724" s="37">
        <f>IF($A724="","",IFERROR(MAX(0,$H724-$F724),0))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7">
        <f>IF($A725="","",$B725+$C725-$D725-$E725)</f>
        <v/>
      </c>
      <c r="H725" s="37">
        <f>IF($A725="","",IFERROR(ROUND($G725*INDEX(tblKurallar[deger_2025],MATCH("AKV-003",tblKurallar[kural_id],0)),2),0))</f>
        <v/>
      </c>
      <c r="I725" s="37">
        <f>IF($A725="","",IFERROR(MAX(0,$H725-$F725),0))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7">
        <f>IF($A726="","",$B726+$C726-$D726-$E726)</f>
        <v/>
      </c>
      <c r="H726" s="37">
        <f>IF($A726="","",IFERROR(ROUND($G726*INDEX(tblKurallar[deger_2025],MATCH("AKV-003",tblKurallar[kural_id],0)),2),0))</f>
        <v/>
      </c>
      <c r="I726" s="37">
        <f>IF($A726="","",IFERROR(MAX(0,$H726-$F726),0))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7">
        <f>IF($A727="","",$B727+$C727-$D727-$E727)</f>
        <v/>
      </c>
      <c r="H727" s="37">
        <f>IF($A727="","",IFERROR(ROUND($G727*INDEX(tblKurallar[deger_2025],MATCH("AKV-003",tblKurallar[kural_id],0)),2),0))</f>
        <v/>
      </c>
      <c r="I727" s="37">
        <f>IF($A727="","",IFERROR(MAX(0,$H727-$F727),0))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7">
        <f>IF($A728="","",$B728+$C728-$D728-$E728)</f>
        <v/>
      </c>
      <c r="H728" s="37">
        <f>IF($A728="","",IFERROR(ROUND($G728*INDEX(tblKurallar[deger_2025],MATCH("AKV-003",tblKurallar[kural_id],0)),2),0))</f>
        <v/>
      </c>
      <c r="I728" s="37">
        <f>IF($A728="","",IFERROR(MAX(0,$H728-$F728),0))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7">
        <f>IF($A729="","",$B729+$C729-$D729-$E729)</f>
        <v/>
      </c>
      <c r="H729" s="37">
        <f>IF($A729="","",IFERROR(ROUND($G729*INDEX(tblKurallar[deger_2025],MATCH("AKV-003",tblKurallar[kural_id],0)),2),0))</f>
        <v/>
      </c>
      <c r="I729" s="37">
        <f>IF($A729="","",IFERROR(MAX(0,$H729-$F729),0))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7">
        <f>IF($A730="","",$B730+$C730-$D730-$E730)</f>
        <v/>
      </c>
      <c r="H730" s="37">
        <f>IF($A730="","",IFERROR(ROUND($G730*INDEX(tblKurallar[deger_2025],MATCH("AKV-003",tblKurallar[kural_id],0)),2),0))</f>
        <v/>
      </c>
      <c r="I730" s="37">
        <f>IF($A730="","",IFERROR(MAX(0,$H730-$F730),0))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7">
        <f>IF($A731="","",$B731+$C731-$D731-$E731)</f>
        <v/>
      </c>
      <c r="H731" s="37">
        <f>IF($A731="","",IFERROR(ROUND($G731*INDEX(tblKurallar[deger_2025],MATCH("AKV-003",tblKurallar[kural_id],0)),2),0))</f>
        <v/>
      </c>
      <c r="I731" s="37">
        <f>IF($A731="","",IFERROR(MAX(0,$H731-$F731),0))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7">
        <f>IF($A732="","",$B732+$C732-$D732-$E732)</f>
        <v/>
      </c>
      <c r="H732" s="37">
        <f>IF($A732="","",IFERROR(ROUND($G732*INDEX(tblKurallar[deger_2025],MATCH("AKV-003",tblKurallar[kural_id],0)),2),0))</f>
        <v/>
      </c>
      <c r="I732" s="37">
        <f>IF($A732="","",IFERROR(MAX(0,$H732-$F732),0))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7">
        <f>IF($A733="","",$B733+$C733-$D733-$E733)</f>
        <v/>
      </c>
      <c r="H733" s="37">
        <f>IF($A733="","",IFERROR(ROUND($G733*INDEX(tblKurallar[deger_2025],MATCH("AKV-003",tblKurallar[kural_id],0)),2),0))</f>
        <v/>
      </c>
      <c r="I733" s="37">
        <f>IF($A733="","",IFERROR(MAX(0,$H733-$F733),0))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7">
        <f>IF($A734="","",$B734+$C734-$D734-$E734)</f>
        <v/>
      </c>
      <c r="H734" s="37">
        <f>IF($A734="","",IFERROR(ROUND($G734*INDEX(tblKurallar[deger_2025],MATCH("AKV-003",tblKurallar[kural_id],0)),2),0))</f>
        <v/>
      </c>
      <c r="I734" s="37">
        <f>IF($A734="","",IFERROR(MAX(0,$H734-$F734),0))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7">
        <f>IF($A735="","",$B735+$C735-$D735-$E735)</f>
        <v/>
      </c>
      <c r="H735" s="37">
        <f>IF($A735="","",IFERROR(ROUND($G735*INDEX(tblKurallar[deger_2025],MATCH("AKV-003",tblKurallar[kural_id],0)),2),0))</f>
        <v/>
      </c>
      <c r="I735" s="37">
        <f>IF($A735="","",IFERROR(MAX(0,$H735-$F735),0))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7">
        <f>IF($A736="","",$B736+$C736-$D736-$E736)</f>
        <v/>
      </c>
      <c r="H736" s="37">
        <f>IF($A736="","",IFERROR(ROUND($G736*INDEX(tblKurallar[deger_2025],MATCH("AKV-003",tblKurallar[kural_id],0)),2),0))</f>
        <v/>
      </c>
      <c r="I736" s="37">
        <f>IF($A736="","",IFERROR(MAX(0,$H736-$F736),0))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7">
        <f>IF($A737="","",$B737+$C737-$D737-$E737)</f>
        <v/>
      </c>
      <c r="H737" s="37">
        <f>IF($A737="","",IFERROR(ROUND($G737*INDEX(tblKurallar[deger_2025],MATCH("AKV-003",tblKurallar[kural_id],0)),2),0))</f>
        <v/>
      </c>
      <c r="I737" s="37">
        <f>IF($A737="","",IFERROR(MAX(0,$H737-$F737),0))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7">
        <f>IF($A738="","",$B738+$C738-$D738-$E738)</f>
        <v/>
      </c>
      <c r="H738" s="37">
        <f>IF($A738="","",IFERROR(ROUND($G738*INDEX(tblKurallar[deger_2025],MATCH("AKV-003",tblKurallar[kural_id],0)),2),0))</f>
        <v/>
      </c>
      <c r="I738" s="37">
        <f>IF($A738="","",IFERROR(MAX(0,$H738-$F738),0))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7">
        <f>IF($A739="","",$B739+$C739-$D739-$E739)</f>
        <v/>
      </c>
      <c r="H739" s="37">
        <f>IF($A739="","",IFERROR(ROUND($G739*INDEX(tblKurallar[deger_2025],MATCH("AKV-003",tblKurallar[kural_id],0)),2),0))</f>
        <v/>
      </c>
      <c r="I739" s="37">
        <f>IF($A739="","",IFERROR(MAX(0,$H739-$F739),0))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7">
        <f>IF($A740="","",$B740+$C740-$D740-$E740)</f>
        <v/>
      </c>
      <c r="H740" s="37">
        <f>IF($A740="","",IFERROR(ROUND($G740*INDEX(tblKurallar[deger_2025],MATCH("AKV-003",tblKurallar[kural_id],0)),2),0))</f>
        <v/>
      </c>
      <c r="I740" s="37">
        <f>IF($A740="","",IFERROR(MAX(0,$H740-$F740),0))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7">
        <f>IF($A741="","",$B741+$C741-$D741-$E741)</f>
        <v/>
      </c>
      <c r="H741" s="37">
        <f>IF($A741="","",IFERROR(ROUND($G741*INDEX(tblKurallar[deger_2025],MATCH("AKV-003",tblKurallar[kural_id],0)),2),0))</f>
        <v/>
      </c>
      <c r="I741" s="37">
        <f>IF($A741="","",IFERROR(MAX(0,$H741-$F741),0))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7">
        <f>IF($A742="","",$B742+$C742-$D742-$E742)</f>
        <v/>
      </c>
      <c r="H742" s="37">
        <f>IF($A742="","",IFERROR(ROUND($G742*INDEX(tblKurallar[deger_2025],MATCH("AKV-003",tblKurallar[kural_id],0)),2),0))</f>
        <v/>
      </c>
      <c r="I742" s="37">
        <f>IF($A742="","",IFERROR(MAX(0,$H742-$F742),0))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7">
        <f>IF($A743="","",$B743+$C743-$D743-$E743)</f>
        <v/>
      </c>
      <c r="H743" s="37">
        <f>IF($A743="","",IFERROR(ROUND($G743*INDEX(tblKurallar[deger_2025],MATCH("AKV-003",tblKurallar[kural_id],0)),2),0))</f>
        <v/>
      </c>
      <c r="I743" s="37">
        <f>IF($A743="","",IFERROR(MAX(0,$H743-$F743),0))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7">
        <f>IF($A744="","",$B744+$C744-$D744-$E744)</f>
        <v/>
      </c>
      <c r="H744" s="37">
        <f>IF($A744="","",IFERROR(ROUND($G744*INDEX(tblKurallar[deger_2025],MATCH("AKV-003",tblKurallar[kural_id],0)),2),0))</f>
        <v/>
      </c>
      <c r="I744" s="37">
        <f>IF($A744="","",IFERROR(MAX(0,$H744-$F744),0))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7">
        <f>IF($A745="","",$B745+$C745-$D745-$E745)</f>
        <v/>
      </c>
      <c r="H745" s="37">
        <f>IF($A745="","",IFERROR(ROUND($G745*INDEX(tblKurallar[deger_2025],MATCH("AKV-003",tblKurallar[kural_id],0)),2),0))</f>
        <v/>
      </c>
      <c r="I745" s="37">
        <f>IF($A745="","",IFERROR(MAX(0,$H745-$F745),0))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7">
        <f>IF($A746="","",$B746+$C746-$D746-$E746)</f>
        <v/>
      </c>
      <c r="H746" s="37">
        <f>IF($A746="","",IFERROR(ROUND($G746*INDEX(tblKurallar[deger_2025],MATCH("AKV-003",tblKurallar[kural_id],0)),2),0))</f>
        <v/>
      </c>
      <c r="I746" s="37">
        <f>IF($A746="","",IFERROR(MAX(0,$H746-$F746),0))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7">
        <f>IF($A747="","",$B747+$C747-$D747-$E747)</f>
        <v/>
      </c>
      <c r="H747" s="37">
        <f>IF($A747="","",IFERROR(ROUND($G747*INDEX(tblKurallar[deger_2025],MATCH("AKV-003",tblKurallar[kural_id],0)),2),0))</f>
        <v/>
      </c>
      <c r="I747" s="37">
        <f>IF($A747="","",IFERROR(MAX(0,$H747-$F747),0))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7">
        <f>IF($A748="","",$B748+$C748-$D748-$E748)</f>
        <v/>
      </c>
      <c r="H748" s="37">
        <f>IF($A748="","",IFERROR(ROUND($G748*INDEX(tblKurallar[deger_2025],MATCH("AKV-003",tblKurallar[kural_id],0)),2),0))</f>
        <v/>
      </c>
      <c r="I748" s="37">
        <f>IF($A748="","",IFERROR(MAX(0,$H748-$F748),0))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7">
        <f>IF($A749="","",$B749+$C749-$D749-$E749)</f>
        <v/>
      </c>
      <c r="H749" s="37">
        <f>IF($A749="","",IFERROR(ROUND($G749*INDEX(tblKurallar[deger_2025],MATCH("AKV-003",tblKurallar[kural_id],0)),2),0))</f>
        <v/>
      </c>
      <c r="I749" s="37">
        <f>IF($A749="","",IFERROR(MAX(0,$H749-$F749),0))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7">
        <f>IF($A750="","",$B750+$C750-$D750-$E750)</f>
        <v/>
      </c>
      <c r="H750" s="37">
        <f>IF($A750="","",IFERROR(ROUND($G750*INDEX(tblKurallar[deger_2025],MATCH("AKV-003",tblKurallar[kural_id],0)),2),0))</f>
        <v/>
      </c>
      <c r="I750" s="37">
        <f>IF($A750="","",IFERROR(MAX(0,$H750-$F750),0))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7">
        <f>IF($A751="","",$B751+$C751-$D751-$E751)</f>
        <v/>
      </c>
      <c r="H751" s="37">
        <f>IF($A751="","",IFERROR(ROUND($G751*INDEX(tblKurallar[deger_2025],MATCH("AKV-003",tblKurallar[kural_id],0)),2),0))</f>
        <v/>
      </c>
      <c r="I751" s="37">
        <f>IF($A751="","",IFERROR(MAX(0,$H751-$F751),0))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7">
        <f>IF($A752="","",$B752+$C752-$D752-$E752)</f>
        <v/>
      </c>
      <c r="H752" s="37">
        <f>IF($A752="","",IFERROR(ROUND($G752*INDEX(tblKurallar[deger_2025],MATCH("AKV-003",tblKurallar[kural_id],0)),2),0))</f>
        <v/>
      </c>
      <c r="I752" s="37">
        <f>IF($A752="","",IFERROR(MAX(0,$H752-$F752),0))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7">
        <f>IF($A753="","",$B753+$C753-$D753-$E753)</f>
        <v/>
      </c>
      <c r="H753" s="37">
        <f>IF($A753="","",IFERROR(ROUND($G753*INDEX(tblKurallar[deger_2025],MATCH("AKV-003",tblKurallar[kural_id],0)),2),0))</f>
        <v/>
      </c>
      <c r="I753" s="37">
        <f>IF($A753="","",IFERROR(MAX(0,$H753-$F753),0))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7">
        <f>IF($A754="","",$B754+$C754-$D754-$E754)</f>
        <v/>
      </c>
      <c r="H754" s="37">
        <f>IF($A754="","",IFERROR(ROUND($G754*INDEX(tblKurallar[deger_2025],MATCH("AKV-003",tblKurallar[kural_id],0)),2),0))</f>
        <v/>
      </c>
      <c r="I754" s="37">
        <f>IF($A754="","",IFERROR(MAX(0,$H754-$F754),0))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7">
        <f>IF($A755="","",$B755+$C755-$D755-$E755)</f>
        <v/>
      </c>
      <c r="H755" s="37">
        <f>IF($A755="","",IFERROR(ROUND($G755*INDEX(tblKurallar[deger_2025],MATCH("AKV-003",tblKurallar[kural_id],0)),2),0))</f>
        <v/>
      </c>
      <c r="I755" s="37">
        <f>IF($A755="","",IFERROR(MAX(0,$H755-$F755),0))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7">
        <f>IF($A756="","",$B756+$C756-$D756-$E756)</f>
        <v/>
      </c>
      <c r="H756" s="37">
        <f>IF($A756="","",IFERROR(ROUND($G756*INDEX(tblKurallar[deger_2025],MATCH("AKV-003",tblKurallar[kural_id],0)),2),0))</f>
        <v/>
      </c>
      <c r="I756" s="37">
        <f>IF($A756="","",IFERROR(MAX(0,$H756-$F756),0))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7">
        <f>IF($A757="","",$B757+$C757-$D757-$E757)</f>
        <v/>
      </c>
      <c r="H757" s="37">
        <f>IF($A757="","",IFERROR(ROUND($G757*INDEX(tblKurallar[deger_2025],MATCH("AKV-003",tblKurallar[kural_id],0)),2),0))</f>
        <v/>
      </c>
      <c r="I757" s="37">
        <f>IF($A757="","",IFERROR(MAX(0,$H757-$F757),0))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7">
        <f>IF($A758="","",$B758+$C758-$D758-$E758)</f>
        <v/>
      </c>
      <c r="H758" s="37">
        <f>IF($A758="","",IFERROR(ROUND($G758*INDEX(tblKurallar[deger_2025],MATCH("AKV-003",tblKurallar[kural_id],0)),2),0))</f>
        <v/>
      </c>
      <c r="I758" s="37">
        <f>IF($A758="","",IFERROR(MAX(0,$H758-$F758),0))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7">
        <f>IF($A759="","",$B759+$C759-$D759-$E759)</f>
        <v/>
      </c>
      <c r="H759" s="37">
        <f>IF($A759="","",IFERROR(ROUND($G759*INDEX(tblKurallar[deger_2025],MATCH("AKV-003",tblKurallar[kural_id],0)),2),0))</f>
        <v/>
      </c>
      <c r="I759" s="37">
        <f>IF($A759="","",IFERROR(MAX(0,$H759-$F759),0))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7">
        <f>IF($A760="","",$B760+$C760-$D760-$E760)</f>
        <v/>
      </c>
      <c r="H760" s="37">
        <f>IF($A760="","",IFERROR(ROUND($G760*INDEX(tblKurallar[deger_2025],MATCH("AKV-003",tblKurallar[kural_id],0)),2),0))</f>
        <v/>
      </c>
      <c r="I760" s="37">
        <f>IF($A760="","",IFERROR(MAX(0,$H760-$F760),0))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7">
        <f>IF($A761="","",$B761+$C761-$D761-$E761)</f>
        <v/>
      </c>
      <c r="H761" s="37">
        <f>IF($A761="","",IFERROR(ROUND($G761*INDEX(tblKurallar[deger_2025],MATCH("AKV-003",tblKurallar[kural_id],0)),2),0))</f>
        <v/>
      </c>
      <c r="I761" s="37">
        <f>IF($A761="","",IFERROR(MAX(0,$H761-$F761),0))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7">
        <f>IF($A762="","",$B762+$C762-$D762-$E762)</f>
        <v/>
      </c>
      <c r="H762" s="37">
        <f>IF($A762="","",IFERROR(ROUND($G762*INDEX(tblKurallar[deger_2025],MATCH("AKV-003",tblKurallar[kural_id],0)),2),0))</f>
        <v/>
      </c>
      <c r="I762" s="37">
        <f>IF($A762="","",IFERROR(MAX(0,$H762-$F762),0))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7">
        <f>IF($A763="","",$B763+$C763-$D763-$E763)</f>
        <v/>
      </c>
      <c r="H763" s="37">
        <f>IF($A763="","",IFERROR(ROUND($G763*INDEX(tblKurallar[deger_2025],MATCH("AKV-003",tblKurallar[kural_id],0)),2),0))</f>
        <v/>
      </c>
      <c r="I763" s="37">
        <f>IF($A763="","",IFERROR(MAX(0,$H763-$F763),0))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7">
        <f>IF($A764="","",$B764+$C764-$D764-$E764)</f>
        <v/>
      </c>
      <c r="H764" s="37">
        <f>IF($A764="","",IFERROR(ROUND($G764*INDEX(tblKurallar[deger_2025],MATCH("AKV-003",tblKurallar[kural_id],0)),2),0))</f>
        <v/>
      </c>
      <c r="I764" s="37">
        <f>IF($A764="","",IFERROR(MAX(0,$H764-$F764),0))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7">
        <f>IF($A765="","",$B765+$C765-$D765-$E765)</f>
        <v/>
      </c>
      <c r="H765" s="37">
        <f>IF($A765="","",IFERROR(ROUND($G765*INDEX(tblKurallar[deger_2025],MATCH("AKV-003",tblKurallar[kural_id],0)),2),0))</f>
        <v/>
      </c>
      <c r="I765" s="37">
        <f>IF($A765="","",IFERROR(MAX(0,$H765-$F765),0))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7">
        <f>IF($A766="","",$B766+$C766-$D766-$E766)</f>
        <v/>
      </c>
      <c r="H766" s="37">
        <f>IF($A766="","",IFERROR(ROUND($G766*INDEX(tblKurallar[deger_2025],MATCH("AKV-003",tblKurallar[kural_id],0)),2),0))</f>
        <v/>
      </c>
      <c r="I766" s="37">
        <f>IF($A766="","",IFERROR(MAX(0,$H766-$F766),0))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7">
        <f>IF($A767="","",$B767+$C767-$D767-$E767)</f>
        <v/>
      </c>
      <c r="H767" s="37">
        <f>IF($A767="","",IFERROR(ROUND($G767*INDEX(tblKurallar[deger_2025],MATCH("AKV-003",tblKurallar[kural_id],0)),2),0))</f>
        <v/>
      </c>
      <c r="I767" s="37">
        <f>IF($A767="","",IFERROR(MAX(0,$H767-$F767),0))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7">
        <f>IF($A768="","",$B768+$C768-$D768-$E768)</f>
        <v/>
      </c>
      <c r="H768" s="37">
        <f>IF($A768="","",IFERROR(ROUND($G768*INDEX(tblKurallar[deger_2025],MATCH("AKV-003",tblKurallar[kural_id],0)),2),0))</f>
        <v/>
      </c>
      <c r="I768" s="37">
        <f>IF($A768="","",IFERROR(MAX(0,$H768-$F768),0))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7">
        <f>IF($A769="","",$B769+$C769-$D769-$E769)</f>
        <v/>
      </c>
      <c r="H769" s="37">
        <f>IF($A769="","",IFERROR(ROUND($G769*INDEX(tblKurallar[deger_2025],MATCH("AKV-003",tblKurallar[kural_id],0)),2),0))</f>
        <v/>
      </c>
      <c r="I769" s="37">
        <f>IF($A769="","",IFERROR(MAX(0,$H769-$F769),0))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7">
        <f>IF($A770="","",$B770+$C770-$D770-$E770)</f>
        <v/>
      </c>
      <c r="H770" s="37">
        <f>IF($A770="","",IFERROR(ROUND($G770*INDEX(tblKurallar[deger_2025],MATCH("AKV-003",tblKurallar[kural_id],0)),2),0))</f>
        <v/>
      </c>
      <c r="I770" s="37">
        <f>IF($A770="","",IFERROR(MAX(0,$H770-$F770),0))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7">
        <f>IF($A771="","",$B771+$C771-$D771-$E771)</f>
        <v/>
      </c>
      <c r="H771" s="37">
        <f>IF($A771="","",IFERROR(ROUND($G771*INDEX(tblKurallar[deger_2025],MATCH("AKV-003",tblKurallar[kural_id],0)),2),0))</f>
        <v/>
      </c>
      <c r="I771" s="37">
        <f>IF($A771="","",IFERROR(MAX(0,$H771-$F771),0))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7">
        <f>IF($A772="","",$B772+$C772-$D772-$E772)</f>
        <v/>
      </c>
      <c r="H772" s="37">
        <f>IF($A772="","",IFERROR(ROUND($G772*INDEX(tblKurallar[deger_2025],MATCH("AKV-003",tblKurallar[kural_id],0)),2),0))</f>
        <v/>
      </c>
      <c r="I772" s="37">
        <f>IF($A772="","",IFERROR(MAX(0,$H772-$F772),0))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7">
        <f>IF($A773="","",$B773+$C773-$D773-$E773)</f>
        <v/>
      </c>
      <c r="H773" s="37">
        <f>IF($A773="","",IFERROR(ROUND($G773*INDEX(tblKurallar[deger_2025],MATCH("AKV-003",tblKurallar[kural_id],0)),2),0))</f>
        <v/>
      </c>
      <c r="I773" s="37">
        <f>IF($A773="","",IFERROR(MAX(0,$H773-$F773),0))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7">
        <f>IF($A774="","",$B774+$C774-$D774-$E774)</f>
        <v/>
      </c>
      <c r="H774" s="37">
        <f>IF($A774="","",IFERROR(ROUND($G774*INDEX(tblKurallar[deger_2025],MATCH("AKV-003",tblKurallar[kural_id],0)),2),0))</f>
        <v/>
      </c>
      <c r="I774" s="37">
        <f>IF($A774="","",IFERROR(MAX(0,$H774-$F774),0))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7">
        <f>IF($A775="","",$B775+$C775-$D775-$E775)</f>
        <v/>
      </c>
      <c r="H775" s="37">
        <f>IF($A775="","",IFERROR(ROUND($G775*INDEX(tblKurallar[deger_2025],MATCH("AKV-003",tblKurallar[kural_id],0)),2),0))</f>
        <v/>
      </c>
      <c r="I775" s="37">
        <f>IF($A775="","",IFERROR(MAX(0,$H775-$F775),0))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7">
        <f>IF($A776="","",$B776+$C776-$D776-$E776)</f>
        <v/>
      </c>
      <c r="H776" s="37">
        <f>IF($A776="","",IFERROR(ROUND($G776*INDEX(tblKurallar[deger_2025],MATCH("AKV-003",tblKurallar[kural_id],0)),2),0))</f>
        <v/>
      </c>
      <c r="I776" s="37">
        <f>IF($A776="","",IFERROR(MAX(0,$H776-$F776),0))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7">
        <f>IF($A777="","",$B777+$C777-$D777-$E777)</f>
        <v/>
      </c>
      <c r="H777" s="37">
        <f>IF($A777="","",IFERROR(ROUND($G777*INDEX(tblKurallar[deger_2025],MATCH("AKV-003",tblKurallar[kural_id],0)),2),0))</f>
        <v/>
      </c>
      <c r="I777" s="37">
        <f>IF($A777="","",IFERROR(MAX(0,$H777-$F777),0))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7">
        <f>IF($A778="","",$B778+$C778-$D778-$E778)</f>
        <v/>
      </c>
      <c r="H778" s="37">
        <f>IF($A778="","",IFERROR(ROUND($G778*INDEX(tblKurallar[deger_2025],MATCH("AKV-003",tblKurallar[kural_id],0)),2),0))</f>
        <v/>
      </c>
      <c r="I778" s="37">
        <f>IF($A778="","",IFERROR(MAX(0,$H778-$F778),0))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7">
        <f>IF($A779="","",$B779+$C779-$D779-$E779)</f>
        <v/>
      </c>
      <c r="H779" s="37">
        <f>IF($A779="","",IFERROR(ROUND($G779*INDEX(tblKurallar[deger_2025],MATCH("AKV-003",tblKurallar[kural_id],0)),2),0))</f>
        <v/>
      </c>
      <c r="I779" s="37">
        <f>IF($A779="","",IFERROR(MAX(0,$H779-$F779),0))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7">
        <f>IF($A780="","",$B780+$C780-$D780-$E780)</f>
        <v/>
      </c>
      <c r="H780" s="37">
        <f>IF($A780="","",IFERROR(ROUND($G780*INDEX(tblKurallar[deger_2025],MATCH("AKV-003",tblKurallar[kural_id],0)),2),0))</f>
        <v/>
      </c>
      <c r="I780" s="37">
        <f>IF($A780="","",IFERROR(MAX(0,$H780-$F780),0))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7">
        <f>IF($A781="","",$B781+$C781-$D781-$E781)</f>
        <v/>
      </c>
      <c r="H781" s="37">
        <f>IF($A781="","",IFERROR(ROUND($G781*INDEX(tblKurallar[deger_2025],MATCH("AKV-003",tblKurallar[kural_id],0)),2),0))</f>
        <v/>
      </c>
      <c r="I781" s="37">
        <f>IF($A781="","",IFERROR(MAX(0,$H781-$F781),0))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7">
        <f>IF($A782="","",$B782+$C782-$D782-$E782)</f>
        <v/>
      </c>
      <c r="H782" s="37">
        <f>IF($A782="","",IFERROR(ROUND($G782*INDEX(tblKurallar[deger_2025],MATCH("AKV-003",tblKurallar[kural_id],0)),2),0))</f>
        <v/>
      </c>
      <c r="I782" s="37">
        <f>IF($A782="","",IFERROR(MAX(0,$H782-$F782),0))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7">
        <f>IF($A783="","",$B783+$C783-$D783-$E783)</f>
        <v/>
      </c>
      <c r="H783" s="37">
        <f>IF($A783="","",IFERROR(ROUND($G783*INDEX(tblKurallar[deger_2025],MATCH("AKV-003",tblKurallar[kural_id],0)),2),0))</f>
        <v/>
      </c>
      <c r="I783" s="37">
        <f>IF($A783="","",IFERROR(MAX(0,$H783-$F783),0))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7">
        <f>IF($A784="","",$B784+$C784-$D784-$E784)</f>
        <v/>
      </c>
      <c r="H784" s="37">
        <f>IF($A784="","",IFERROR(ROUND($G784*INDEX(tblKurallar[deger_2025],MATCH("AKV-003",tblKurallar[kural_id],0)),2),0))</f>
        <v/>
      </c>
      <c r="I784" s="37">
        <f>IF($A784="","",IFERROR(MAX(0,$H784-$F784),0))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7">
        <f>IF($A785="","",$B785+$C785-$D785-$E785)</f>
        <v/>
      </c>
      <c r="H785" s="37">
        <f>IF($A785="","",IFERROR(ROUND($G785*INDEX(tblKurallar[deger_2025],MATCH("AKV-003",tblKurallar[kural_id],0)),2),0))</f>
        <v/>
      </c>
      <c r="I785" s="37">
        <f>IF($A785="","",IFERROR(MAX(0,$H785-$F785),0))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7">
        <f>IF($A786="","",$B786+$C786-$D786-$E786)</f>
        <v/>
      </c>
      <c r="H786" s="37">
        <f>IF($A786="","",IFERROR(ROUND($G786*INDEX(tblKurallar[deger_2025],MATCH("AKV-003",tblKurallar[kural_id],0)),2),0))</f>
        <v/>
      </c>
      <c r="I786" s="37">
        <f>IF($A786="","",IFERROR(MAX(0,$H786-$F786),0))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7">
        <f>IF($A787="","",$B787+$C787-$D787-$E787)</f>
        <v/>
      </c>
      <c r="H787" s="37">
        <f>IF($A787="","",IFERROR(ROUND($G787*INDEX(tblKurallar[deger_2025],MATCH("AKV-003",tblKurallar[kural_id],0)),2),0))</f>
        <v/>
      </c>
      <c r="I787" s="37">
        <f>IF($A787="","",IFERROR(MAX(0,$H787-$F787),0))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7">
        <f>IF($A788="","",$B788+$C788-$D788-$E788)</f>
        <v/>
      </c>
      <c r="H788" s="37">
        <f>IF($A788="","",IFERROR(ROUND($G788*INDEX(tblKurallar[deger_2025],MATCH("AKV-003",tblKurallar[kural_id],0)),2),0))</f>
        <v/>
      </c>
      <c r="I788" s="37">
        <f>IF($A788="","",IFERROR(MAX(0,$H788-$F788),0))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7">
        <f>IF($A789="","",$B789+$C789-$D789-$E789)</f>
        <v/>
      </c>
      <c r="H789" s="37">
        <f>IF($A789="","",IFERROR(ROUND($G789*INDEX(tblKurallar[deger_2025],MATCH("AKV-003",tblKurallar[kural_id],0)),2),0))</f>
        <v/>
      </c>
      <c r="I789" s="37">
        <f>IF($A789="","",IFERROR(MAX(0,$H789-$F789),0))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7">
        <f>IF($A790="","",$B790+$C790-$D790-$E790)</f>
        <v/>
      </c>
      <c r="H790" s="37">
        <f>IF($A790="","",IFERROR(ROUND($G790*INDEX(tblKurallar[deger_2025],MATCH("AKV-003",tblKurallar[kural_id],0)),2),0))</f>
        <v/>
      </c>
      <c r="I790" s="37">
        <f>IF($A790="","",IFERROR(MAX(0,$H790-$F790),0))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7">
        <f>IF($A791="","",$B791+$C791-$D791-$E791)</f>
        <v/>
      </c>
      <c r="H791" s="37">
        <f>IF($A791="","",IFERROR(ROUND($G791*INDEX(tblKurallar[deger_2025],MATCH("AKV-003",tblKurallar[kural_id],0)),2),0))</f>
        <v/>
      </c>
      <c r="I791" s="37">
        <f>IF($A791="","",IFERROR(MAX(0,$H791-$F791),0))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7">
        <f>IF($A792="","",$B792+$C792-$D792-$E792)</f>
        <v/>
      </c>
      <c r="H792" s="37">
        <f>IF($A792="","",IFERROR(ROUND($G792*INDEX(tblKurallar[deger_2025],MATCH("AKV-003",tblKurallar[kural_id],0)),2),0))</f>
        <v/>
      </c>
      <c r="I792" s="37">
        <f>IF($A792="","",IFERROR(MAX(0,$H792-$F792),0))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7">
        <f>IF($A793="","",$B793+$C793-$D793-$E793)</f>
        <v/>
      </c>
      <c r="H793" s="37">
        <f>IF($A793="","",IFERROR(ROUND($G793*INDEX(tblKurallar[deger_2025],MATCH("AKV-003",tblKurallar[kural_id],0)),2),0))</f>
        <v/>
      </c>
      <c r="I793" s="37">
        <f>IF($A793="","",IFERROR(MAX(0,$H793-$F793),0))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7">
        <f>IF($A794="","",$B794+$C794-$D794-$E794)</f>
        <v/>
      </c>
      <c r="H794" s="37">
        <f>IF($A794="","",IFERROR(ROUND($G794*INDEX(tblKurallar[deger_2025],MATCH("AKV-003",tblKurallar[kural_id],0)),2),0))</f>
        <v/>
      </c>
      <c r="I794" s="37">
        <f>IF($A794="","",IFERROR(MAX(0,$H794-$F794),0))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7">
        <f>IF($A795="","",$B795+$C795-$D795-$E795)</f>
        <v/>
      </c>
      <c r="H795" s="37">
        <f>IF($A795="","",IFERROR(ROUND($G795*INDEX(tblKurallar[deger_2025],MATCH("AKV-003",tblKurallar[kural_id],0)),2),0))</f>
        <v/>
      </c>
      <c r="I795" s="37">
        <f>IF($A795="","",IFERROR(MAX(0,$H795-$F795),0))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7">
        <f>IF($A796="","",$B796+$C796-$D796-$E796)</f>
        <v/>
      </c>
      <c r="H796" s="37">
        <f>IF($A796="","",IFERROR(ROUND($G796*INDEX(tblKurallar[deger_2025],MATCH("AKV-003",tblKurallar[kural_id],0)),2),0))</f>
        <v/>
      </c>
      <c r="I796" s="37">
        <f>IF($A796="","",IFERROR(MAX(0,$H796-$F796),0))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7">
        <f>IF($A797="","",$B797+$C797-$D797-$E797)</f>
        <v/>
      </c>
      <c r="H797" s="37">
        <f>IF($A797="","",IFERROR(ROUND($G797*INDEX(tblKurallar[deger_2025],MATCH("AKV-003",tblKurallar[kural_id],0)),2),0))</f>
        <v/>
      </c>
      <c r="I797" s="37">
        <f>IF($A797="","",IFERROR(MAX(0,$H797-$F797),0))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7">
        <f>IF($A798="","",$B798+$C798-$D798-$E798)</f>
        <v/>
      </c>
      <c r="H798" s="37">
        <f>IF($A798="","",IFERROR(ROUND($G798*INDEX(tblKurallar[deger_2025],MATCH("AKV-003",tblKurallar[kural_id],0)),2),0))</f>
        <v/>
      </c>
      <c r="I798" s="37">
        <f>IF($A798="","",IFERROR(MAX(0,$H798-$F798),0))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7">
        <f>IF($A799="","",$B799+$C799-$D799-$E799)</f>
        <v/>
      </c>
      <c r="H799" s="37">
        <f>IF($A799="","",IFERROR(ROUND($G799*INDEX(tblKurallar[deger_2025],MATCH("AKV-003",tblKurallar[kural_id],0)),2),0))</f>
        <v/>
      </c>
      <c r="I799" s="37">
        <f>IF($A799="","",IFERROR(MAX(0,$H799-$F799),0))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7">
        <f>IF($A800="","",$B800+$C800-$D800-$E800)</f>
        <v/>
      </c>
      <c r="H800" s="37">
        <f>IF($A800="","",IFERROR(ROUND($G800*INDEX(tblKurallar[deger_2025],MATCH("AKV-003",tblKurallar[kural_id],0)),2),0))</f>
        <v/>
      </c>
      <c r="I800" s="37">
        <f>IF($A800="","",IFERROR(MAX(0,$H800-$F800),0))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7">
        <f>IF($A801="","",$B801+$C801-$D801-$E801)</f>
        <v/>
      </c>
      <c r="H801" s="37">
        <f>IF($A801="","",IFERROR(ROUND($G801*INDEX(tblKurallar[deger_2025],MATCH("AKV-003",tblKurallar[kural_id],0)),2),0))</f>
        <v/>
      </c>
      <c r="I801" s="37">
        <f>IF($A801="","",IFERROR(MAX(0,$H801-$F801),0))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7">
        <f>IF($A802="","",$B802+$C802-$D802-$E802)</f>
        <v/>
      </c>
      <c r="H802" s="37">
        <f>IF($A802="","",IFERROR(ROUND($G802*INDEX(tblKurallar[deger_2025],MATCH("AKV-003",tblKurallar[kural_id],0)),2),0))</f>
        <v/>
      </c>
      <c r="I802" s="37">
        <f>IF($A802="","",IFERROR(MAX(0,$H802-$F802),0))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7">
        <f>IF($A803="","",$B803+$C803-$D803-$E803)</f>
        <v/>
      </c>
      <c r="H803" s="37">
        <f>IF($A803="","",IFERROR(ROUND($G803*INDEX(tblKurallar[deger_2025],MATCH("AKV-003",tblKurallar[kural_id],0)),2),0))</f>
        <v/>
      </c>
      <c r="I803" s="37">
        <f>IF($A803="","",IFERROR(MAX(0,$H803-$F803),0))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7">
        <f>IF($A804="","",$B804+$C804-$D804-$E804)</f>
        <v/>
      </c>
      <c r="H804" s="37">
        <f>IF($A804="","",IFERROR(ROUND($G804*INDEX(tblKurallar[deger_2025],MATCH("AKV-003",tblKurallar[kural_id],0)),2),0))</f>
        <v/>
      </c>
      <c r="I804" s="37">
        <f>IF($A804="","",IFERROR(MAX(0,$H804-$F804),0))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7">
        <f>IF($A805="","",$B805+$C805-$D805-$E805)</f>
        <v/>
      </c>
      <c r="H805" s="37">
        <f>IF($A805="","",IFERROR(ROUND($G805*INDEX(tblKurallar[deger_2025],MATCH("AKV-003",tblKurallar[kural_id],0)),2),0))</f>
        <v/>
      </c>
      <c r="I805" s="37">
        <f>IF($A805="","",IFERROR(MAX(0,$H805-$F805),0))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7">
        <f>IF($A806="","",$B806+$C806-$D806-$E806)</f>
        <v/>
      </c>
      <c r="H806" s="37">
        <f>IF($A806="","",IFERROR(ROUND($G806*INDEX(tblKurallar[deger_2025],MATCH("AKV-003",tblKurallar[kural_id],0)),2),0))</f>
        <v/>
      </c>
      <c r="I806" s="37">
        <f>IF($A806="","",IFERROR(MAX(0,$H806-$F806),0))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7">
        <f>IF($A807="","",$B807+$C807-$D807-$E807)</f>
        <v/>
      </c>
      <c r="H807" s="37">
        <f>IF($A807="","",IFERROR(ROUND($G807*INDEX(tblKurallar[deger_2025],MATCH("AKV-003",tblKurallar[kural_id],0)),2),0))</f>
        <v/>
      </c>
      <c r="I807" s="37">
        <f>IF($A807="","",IFERROR(MAX(0,$H807-$F807),0))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7">
        <f>IF($A808="","",$B808+$C808-$D808-$E808)</f>
        <v/>
      </c>
      <c r="H808" s="37">
        <f>IF($A808="","",IFERROR(ROUND($G808*INDEX(tblKurallar[deger_2025],MATCH("AKV-003",tblKurallar[kural_id],0)),2),0))</f>
        <v/>
      </c>
      <c r="I808" s="37">
        <f>IF($A808="","",IFERROR(MAX(0,$H808-$F808),0))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7">
        <f>IF($A809="","",$B809+$C809-$D809-$E809)</f>
        <v/>
      </c>
      <c r="H809" s="37">
        <f>IF($A809="","",IFERROR(ROUND($G809*INDEX(tblKurallar[deger_2025],MATCH("AKV-003",tblKurallar[kural_id],0)),2),0))</f>
        <v/>
      </c>
      <c r="I809" s="37">
        <f>IF($A809="","",IFERROR(MAX(0,$H809-$F809),0))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7">
        <f>IF($A810="","",$B810+$C810-$D810-$E810)</f>
        <v/>
      </c>
      <c r="H810" s="37">
        <f>IF($A810="","",IFERROR(ROUND($G810*INDEX(tblKurallar[deger_2025],MATCH("AKV-003",tblKurallar[kural_id],0)),2),0))</f>
        <v/>
      </c>
      <c r="I810" s="37">
        <f>IF($A810="","",IFERROR(MAX(0,$H810-$F810),0))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7">
        <f>IF($A811="","",$B811+$C811-$D811-$E811)</f>
        <v/>
      </c>
      <c r="H811" s="37">
        <f>IF($A811="","",IFERROR(ROUND($G811*INDEX(tblKurallar[deger_2025],MATCH("AKV-003",tblKurallar[kural_id],0)),2),0))</f>
        <v/>
      </c>
      <c r="I811" s="37">
        <f>IF($A811="","",IFERROR(MAX(0,$H811-$F811),0))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7">
        <f>IF($A812="","",$B812+$C812-$D812-$E812)</f>
        <v/>
      </c>
      <c r="H812" s="37">
        <f>IF($A812="","",IFERROR(ROUND($G812*INDEX(tblKurallar[deger_2025],MATCH("AKV-003",tblKurallar[kural_id],0)),2),0))</f>
        <v/>
      </c>
      <c r="I812" s="37">
        <f>IF($A812="","",IFERROR(MAX(0,$H812-$F812),0))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7">
        <f>IF($A813="","",$B813+$C813-$D813-$E813)</f>
        <v/>
      </c>
      <c r="H813" s="37">
        <f>IF($A813="","",IFERROR(ROUND($G813*INDEX(tblKurallar[deger_2025],MATCH("AKV-003",tblKurallar[kural_id],0)),2),0))</f>
        <v/>
      </c>
      <c r="I813" s="37">
        <f>IF($A813="","",IFERROR(MAX(0,$H813-$F813),0))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7">
        <f>IF($A814="","",$B814+$C814-$D814-$E814)</f>
        <v/>
      </c>
      <c r="H814" s="37">
        <f>IF($A814="","",IFERROR(ROUND($G814*INDEX(tblKurallar[deger_2025],MATCH("AKV-003",tblKurallar[kural_id],0)),2),0))</f>
        <v/>
      </c>
      <c r="I814" s="37">
        <f>IF($A814="","",IFERROR(MAX(0,$H814-$F814),0))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7">
        <f>IF($A815="","",$B815+$C815-$D815-$E815)</f>
        <v/>
      </c>
      <c r="H815" s="37">
        <f>IF($A815="","",IFERROR(ROUND($G815*INDEX(tblKurallar[deger_2025],MATCH("AKV-003",tblKurallar[kural_id],0)),2),0))</f>
        <v/>
      </c>
      <c r="I815" s="37">
        <f>IF($A815="","",IFERROR(MAX(0,$H815-$F815),0))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7">
        <f>IF($A816="","",$B816+$C816-$D816-$E816)</f>
        <v/>
      </c>
      <c r="H816" s="37">
        <f>IF($A816="","",IFERROR(ROUND($G816*INDEX(tblKurallar[deger_2025],MATCH("AKV-003",tblKurallar[kural_id],0)),2),0))</f>
        <v/>
      </c>
      <c r="I816" s="37">
        <f>IF($A816="","",IFERROR(MAX(0,$H816-$F816),0))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7">
        <f>IF($A817="","",$B817+$C817-$D817-$E817)</f>
        <v/>
      </c>
      <c r="H817" s="37">
        <f>IF($A817="","",IFERROR(ROUND($G817*INDEX(tblKurallar[deger_2025],MATCH("AKV-003",tblKurallar[kural_id],0)),2),0))</f>
        <v/>
      </c>
      <c r="I817" s="37">
        <f>IF($A817="","",IFERROR(MAX(0,$H817-$F817),0))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7">
        <f>IF($A818="","",$B818+$C818-$D818-$E818)</f>
        <v/>
      </c>
      <c r="H818" s="37">
        <f>IF($A818="","",IFERROR(ROUND($G818*INDEX(tblKurallar[deger_2025],MATCH("AKV-003",tblKurallar[kural_id],0)),2),0))</f>
        <v/>
      </c>
      <c r="I818" s="37">
        <f>IF($A818="","",IFERROR(MAX(0,$H818-$F818),0))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7">
        <f>IF($A819="","",$B819+$C819-$D819-$E819)</f>
        <v/>
      </c>
      <c r="H819" s="37">
        <f>IF($A819="","",IFERROR(ROUND($G819*INDEX(tblKurallar[deger_2025],MATCH("AKV-003",tblKurallar[kural_id],0)),2),0))</f>
        <v/>
      </c>
      <c r="I819" s="37">
        <f>IF($A819="","",IFERROR(MAX(0,$H819-$F819),0))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7">
        <f>IF($A820="","",$B820+$C820-$D820-$E820)</f>
        <v/>
      </c>
      <c r="H820" s="37">
        <f>IF($A820="","",IFERROR(ROUND($G820*INDEX(tblKurallar[deger_2025],MATCH("AKV-003",tblKurallar[kural_id],0)),2),0))</f>
        <v/>
      </c>
      <c r="I820" s="37">
        <f>IF($A820="","",IFERROR(MAX(0,$H820-$F820),0))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7">
        <f>IF($A821="","",$B821+$C821-$D821-$E821)</f>
        <v/>
      </c>
      <c r="H821" s="37">
        <f>IF($A821="","",IFERROR(ROUND($G821*INDEX(tblKurallar[deger_2025],MATCH("AKV-003",tblKurallar[kural_id],0)),2),0))</f>
        <v/>
      </c>
      <c r="I821" s="37">
        <f>IF($A821="","",IFERROR(MAX(0,$H821-$F821),0))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7">
        <f>IF($A822="","",$B822+$C822-$D822-$E822)</f>
        <v/>
      </c>
      <c r="H822" s="37">
        <f>IF($A822="","",IFERROR(ROUND($G822*INDEX(tblKurallar[deger_2025],MATCH("AKV-003",tblKurallar[kural_id],0)),2),0))</f>
        <v/>
      </c>
      <c r="I822" s="37">
        <f>IF($A822="","",IFERROR(MAX(0,$H822-$F822),0))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7">
        <f>IF($A823="","",$B823+$C823-$D823-$E823)</f>
        <v/>
      </c>
      <c r="H823" s="37">
        <f>IF($A823="","",IFERROR(ROUND($G823*INDEX(tblKurallar[deger_2025],MATCH("AKV-003",tblKurallar[kural_id],0)),2),0))</f>
        <v/>
      </c>
      <c r="I823" s="37">
        <f>IF($A823="","",IFERROR(MAX(0,$H823-$F823),0))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7">
        <f>IF($A824="","",$B824+$C824-$D824-$E824)</f>
        <v/>
      </c>
      <c r="H824" s="37">
        <f>IF($A824="","",IFERROR(ROUND($G824*INDEX(tblKurallar[deger_2025],MATCH("AKV-003",tblKurallar[kural_id],0)),2),0))</f>
        <v/>
      </c>
      <c r="I824" s="37">
        <f>IF($A824="","",IFERROR(MAX(0,$H824-$F824),0))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7">
        <f>IF($A825="","",$B825+$C825-$D825-$E825)</f>
        <v/>
      </c>
      <c r="H825" s="37">
        <f>IF($A825="","",IFERROR(ROUND($G825*INDEX(tblKurallar[deger_2025],MATCH("AKV-003",tblKurallar[kural_id],0)),2),0))</f>
        <v/>
      </c>
      <c r="I825" s="37">
        <f>IF($A825="","",IFERROR(MAX(0,$H825-$F825),0))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7">
        <f>IF($A826="","",$B826+$C826-$D826-$E826)</f>
        <v/>
      </c>
      <c r="H826" s="37">
        <f>IF($A826="","",IFERROR(ROUND($G826*INDEX(tblKurallar[deger_2025],MATCH("AKV-003",tblKurallar[kural_id],0)),2),0))</f>
        <v/>
      </c>
      <c r="I826" s="37">
        <f>IF($A826="","",IFERROR(MAX(0,$H826-$F826),0))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7">
        <f>IF($A827="","",$B827+$C827-$D827-$E827)</f>
        <v/>
      </c>
      <c r="H827" s="37">
        <f>IF($A827="","",IFERROR(ROUND($G827*INDEX(tblKurallar[deger_2025],MATCH("AKV-003",tblKurallar[kural_id],0)),2),0))</f>
        <v/>
      </c>
      <c r="I827" s="37">
        <f>IF($A827="","",IFERROR(MAX(0,$H827-$F827),0))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7">
        <f>IF($A828="","",$B828+$C828-$D828-$E828)</f>
        <v/>
      </c>
      <c r="H828" s="37">
        <f>IF($A828="","",IFERROR(ROUND($G828*INDEX(tblKurallar[deger_2025],MATCH("AKV-003",tblKurallar[kural_id],0)),2),0))</f>
        <v/>
      </c>
      <c r="I828" s="37">
        <f>IF($A828="","",IFERROR(MAX(0,$H828-$F828),0))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7">
        <f>IF($A829="","",$B829+$C829-$D829-$E829)</f>
        <v/>
      </c>
      <c r="H829" s="37">
        <f>IF($A829="","",IFERROR(ROUND($G829*INDEX(tblKurallar[deger_2025],MATCH("AKV-003",tblKurallar[kural_id],0)),2),0))</f>
        <v/>
      </c>
      <c r="I829" s="37">
        <f>IF($A829="","",IFERROR(MAX(0,$H829-$F829),0))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7">
        <f>IF($A830="","",$B830+$C830-$D830-$E830)</f>
        <v/>
      </c>
      <c r="H830" s="37">
        <f>IF($A830="","",IFERROR(ROUND($G830*INDEX(tblKurallar[deger_2025],MATCH("AKV-003",tblKurallar[kural_id],0)),2),0))</f>
        <v/>
      </c>
      <c r="I830" s="37">
        <f>IF($A830="","",IFERROR(MAX(0,$H830-$F830),0))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7">
        <f>IF($A831="","",$B831+$C831-$D831-$E831)</f>
        <v/>
      </c>
      <c r="H831" s="37">
        <f>IF($A831="","",IFERROR(ROUND($G831*INDEX(tblKurallar[deger_2025],MATCH("AKV-003",tblKurallar[kural_id],0)),2),0))</f>
        <v/>
      </c>
      <c r="I831" s="37">
        <f>IF($A831="","",IFERROR(MAX(0,$H831-$F831),0))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7">
        <f>IF($A832="","",$B832+$C832-$D832-$E832)</f>
        <v/>
      </c>
      <c r="H832" s="37">
        <f>IF($A832="","",IFERROR(ROUND($G832*INDEX(tblKurallar[deger_2025],MATCH("AKV-003",tblKurallar[kural_id],0)),2),0))</f>
        <v/>
      </c>
      <c r="I832" s="37">
        <f>IF($A832="","",IFERROR(MAX(0,$H832-$F832),0))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7">
        <f>IF($A833="","",$B833+$C833-$D833-$E833)</f>
        <v/>
      </c>
      <c r="H833" s="37">
        <f>IF($A833="","",IFERROR(ROUND($G833*INDEX(tblKurallar[deger_2025],MATCH("AKV-003",tblKurallar[kural_id],0)),2),0))</f>
        <v/>
      </c>
      <c r="I833" s="37">
        <f>IF($A833="","",IFERROR(MAX(0,$H833-$F833),0))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7">
        <f>IF($A834="","",$B834+$C834-$D834-$E834)</f>
        <v/>
      </c>
      <c r="H834" s="37">
        <f>IF($A834="","",IFERROR(ROUND($G834*INDEX(tblKurallar[deger_2025],MATCH("AKV-003",tblKurallar[kural_id],0)),2),0))</f>
        <v/>
      </c>
      <c r="I834" s="37">
        <f>IF($A834="","",IFERROR(MAX(0,$H834-$F834),0))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7">
        <f>IF($A835="","",$B835+$C835-$D835-$E835)</f>
        <v/>
      </c>
      <c r="H835" s="37">
        <f>IF($A835="","",IFERROR(ROUND($G835*INDEX(tblKurallar[deger_2025],MATCH("AKV-003",tblKurallar[kural_id],0)),2),0))</f>
        <v/>
      </c>
      <c r="I835" s="37">
        <f>IF($A835="","",IFERROR(MAX(0,$H835-$F835),0))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7">
        <f>IF($A836="","",$B836+$C836-$D836-$E836)</f>
        <v/>
      </c>
      <c r="H836" s="37">
        <f>IF($A836="","",IFERROR(ROUND($G836*INDEX(tblKurallar[deger_2025],MATCH("AKV-003",tblKurallar[kural_id],0)),2),0))</f>
        <v/>
      </c>
      <c r="I836" s="37">
        <f>IF($A836="","",IFERROR(MAX(0,$H836-$F836),0))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7">
        <f>IF($A837="","",$B837+$C837-$D837-$E837)</f>
        <v/>
      </c>
      <c r="H837" s="37">
        <f>IF($A837="","",IFERROR(ROUND($G837*INDEX(tblKurallar[deger_2025],MATCH("AKV-003",tblKurallar[kural_id],0)),2),0))</f>
        <v/>
      </c>
      <c r="I837" s="37">
        <f>IF($A837="","",IFERROR(MAX(0,$H837-$F837),0))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7">
        <f>IF($A838="","",$B838+$C838-$D838-$E838)</f>
        <v/>
      </c>
      <c r="H838" s="37">
        <f>IF($A838="","",IFERROR(ROUND($G838*INDEX(tblKurallar[deger_2025],MATCH("AKV-003",tblKurallar[kural_id],0)),2),0))</f>
        <v/>
      </c>
      <c r="I838" s="37">
        <f>IF($A838="","",IFERROR(MAX(0,$H838-$F838),0))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7">
        <f>IF($A839="","",$B839+$C839-$D839-$E839)</f>
        <v/>
      </c>
      <c r="H839" s="37">
        <f>IF($A839="","",IFERROR(ROUND($G839*INDEX(tblKurallar[deger_2025],MATCH("AKV-003",tblKurallar[kural_id],0)),2),0))</f>
        <v/>
      </c>
      <c r="I839" s="37">
        <f>IF($A839="","",IFERROR(MAX(0,$H839-$F839),0))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7">
        <f>IF($A840="","",$B840+$C840-$D840-$E840)</f>
        <v/>
      </c>
      <c r="H840" s="37">
        <f>IF($A840="","",IFERROR(ROUND($G840*INDEX(tblKurallar[deger_2025],MATCH("AKV-003",tblKurallar[kural_id],0)),2),0))</f>
        <v/>
      </c>
      <c r="I840" s="37">
        <f>IF($A840="","",IFERROR(MAX(0,$H840-$F840),0))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7">
        <f>IF($A841="","",$B841+$C841-$D841-$E841)</f>
        <v/>
      </c>
      <c r="H841" s="37">
        <f>IF($A841="","",IFERROR(ROUND($G841*INDEX(tblKurallar[deger_2025],MATCH("AKV-003",tblKurallar[kural_id],0)),2),0))</f>
        <v/>
      </c>
      <c r="I841" s="37">
        <f>IF($A841="","",IFERROR(MAX(0,$H841-$F841),0))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7">
        <f>IF($A842="","",$B842+$C842-$D842-$E842)</f>
        <v/>
      </c>
      <c r="H842" s="37">
        <f>IF($A842="","",IFERROR(ROUND($G842*INDEX(tblKurallar[deger_2025],MATCH("AKV-003",tblKurallar[kural_id],0)),2),0))</f>
        <v/>
      </c>
      <c r="I842" s="37">
        <f>IF($A842="","",IFERROR(MAX(0,$H842-$F842),0))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7">
        <f>IF($A843="","",$B843+$C843-$D843-$E843)</f>
        <v/>
      </c>
      <c r="H843" s="37">
        <f>IF($A843="","",IFERROR(ROUND($G843*INDEX(tblKurallar[deger_2025],MATCH("AKV-003",tblKurallar[kural_id],0)),2),0))</f>
        <v/>
      </c>
      <c r="I843" s="37">
        <f>IF($A843="","",IFERROR(MAX(0,$H843-$F843),0))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7">
        <f>IF($A844="","",$B844+$C844-$D844-$E844)</f>
        <v/>
      </c>
      <c r="H844" s="37">
        <f>IF($A844="","",IFERROR(ROUND($G844*INDEX(tblKurallar[deger_2025],MATCH("AKV-003",tblKurallar[kural_id],0)),2),0))</f>
        <v/>
      </c>
      <c r="I844" s="37">
        <f>IF($A844="","",IFERROR(MAX(0,$H844-$F844),0))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7">
        <f>IF($A845="","",$B845+$C845-$D845-$E845)</f>
        <v/>
      </c>
      <c r="H845" s="37">
        <f>IF($A845="","",IFERROR(ROUND($G845*INDEX(tblKurallar[deger_2025],MATCH("AKV-003",tblKurallar[kural_id],0)),2),0))</f>
        <v/>
      </c>
      <c r="I845" s="37">
        <f>IF($A845="","",IFERROR(MAX(0,$H845-$F845),0))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7">
        <f>IF($A846="","",$B846+$C846-$D846-$E846)</f>
        <v/>
      </c>
      <c r="H846" s="37">
        <f>IF($A846="","",IFERROR(ROUND($G846*INDEX(tblKurallar[deger_2025],MATCH("AKV-003",tblKurallar[kural_id],0)),2),0))</f>
        <v/>
      </c>
      <c r="I846" s="37">
        <f>IF($A846="","",IFERROR(MAX(0,$H846-$F846),0))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7">
        <f>IF($A847="","",$B847+$C847-$D847-$E847)</f>
        <v/>
      </c>
      <c r="H847" s="37">
        <f>IF($A847="","",IFERROR(ROUND($G847*INDEX(tblKurallar[deger_2025],MATCH("AKV-003",tblKurallar[kural_id],0)),2),0))</f>
        <v/>
      </c>
      <c r="I847" s="37">
        <f>IF($A847="","",IFERROR(MAX(0,$H847-$F847),0))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7">
        <f>IF($A848="","",$B848+$C848-$D848-$E848)</f>
        <v/>
      </c>
      <c r="H848" s="37">
        <f>IF($A848="","",IFERROR(ROUND($G848*INDEX(tblKurallar[deger_2025],MATCH("AKV-003",tblKurallar[kural_id],0)),2),0))</f>
        <v/>
      </c>
      <c r="I848" s="37">
        <f>IF($A848="","",IFERROR(MAX(0,$H848-$F848),0))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7">
        <f>IF($A849="","",$B849+$C849-$D849-$E849)</f>
        <v/>
      </c>
      <c r="H849" s="37">
        <f>IF($A849="","",IFERROR(ROUND($G849*INDEX(tblKurallar[deger_2025],MATCH("AKV-003",tblKurallar[kural_id],0)),2),0))</f>
        <v/>
      </c>
      <c r="I849" s="37">
        <f>IF($A849="","",IFERROR(MAX(0,$H849-$F849),0))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7">
        <f>IF($A850="","",$B850+$C850-$D850-$E850)</f>
        <v/>
      </c>
      <c r="H850" s="37">
        <f>IF($A850="","",IFERROR(ROUND($G850*INDEX(tblKurallar[deger_2025],MATCH("AKV-003",tblKurallar[kural_id],0)),2),0))</f>
        <v/>
      </c>
      <c r="I850" s="37">
        <f>IF($A850="","",IFERROR(MAX(0,$H850-$F850),0))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7">
        <f>IF($A851="","",$B851+$C851-$D851-$E851)</f>
        <v/>
      </c>
      <c r="H851" s="37">
        <f>IF($A851="","",IFERROR(ROUND($G851*INDEX(tblKurallar[deger_2025],MATCH("AKV-003",tblKurallar[kural_id],0)),2),0))</f>
        <v/>
      </c>
      <c r="I851" s="37">
        <f>IF($A851="","",IFERROR(MAX(0,$H851-$F851),0))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7">
        <f>IF($A852="","",$B852+$C852-$D852-$E852)</f>
        <v/>
      </c>
      <c r="H852" s="37">
        <f>IF($A852="","",IFERROR(ROUND($G852*INDEX(tblKurallar[deger_2025],MATCH("AKV-003",tblKurallar[kural_id],0)),2),0))</f>
        <v/>
      </c>
      <c r="I852" s="37">
        <f>IF($A852="","",IFERROR(MAX(0,$H852-$F852),0))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7">
        <f>IF($A853="","",$B853+$C853-$D853-$E853)</f>
        <v/>
      </c>
      <c r="H853" s="37">
        <f>IF($A853="","",IFERROR(ROUND($G853*INDEX(tblKurallar[deger_2025],MATCH("AKV-003",tblKurallar[kural_id],0)),2),0))</f>
        <v/>
      </c>
      <c r="I853" s="37">
        <f>IF($A853="","",IFERROR(MAX(0,$H853-$F853),0))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7">
        <f>IF($A854="","",$B854+$C854-$D854-$E854)</f>
        <v/>
      </c>
      <c r="H854" s="37">
        <f>IF($A854="","",IFERROR(ROUND($G854*INDEX(tblKurallar[deger_2025],MATCH("AKV-003",tblKurallar[kural_id],0)),2),0))</f>
        <v/>
      </c>
      <c r="I854" s="37">
        <f>IF($A854="","",IFERROR(MAX(0,$H854-$F854),0))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7">
        <f>IF($A855="","",$B855+$C855-$D855-$E855)</f>
        <v/>
      </c>
      <c r="H855" s="37">
        <f>IF($A855="","",IFERROR(ROUND($G855*INDEX(tblKurallar[deger_2025],MATCH("AKV-003",tblKurallar[kural_id],0)),2),0))</f>
        <v/>
      </c>
      <c r="I855" s="37">
        <f>IF($A855="","",IFERROR(MAX(0,$H855-$F855),0))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7">
        <f>IF($A856="","",$B856+$C856-$D856-$E856)</f>
        <v/>
      </c>
      <c r="H856" s="37">
        <f>IF($A856="","",IFERROR(ROUND($G856*INDEX(tblKurallar[deger_2025],MATCH("AKV-003",tblKurallar[kural_id],0)),2),0))</f>
        <v/>
      </c>
      <c r="I856" s="37">
        <f>IF($A856="","",IFERROR(MAX(0,$H856-$F856),0))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7">
        <f>IF($A857="","",$B857+$C857-$D857-$E857)</f>
        <v/>
      </c>
      <c r="H857" s="37">
        <f>IF($A857="","",IFERROR(ROUND($G857*INDEX(tblKurallar[deger_2025],MATCH("AKV-003",tblKurallar[kural_id],0)),2),0))</f>
        <v/>
      </c>
      <c r="I857" s="37">
        <f>IF($A857="","",IFERROR(MAX(0,$H857-$F857),0))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7">
        <f>IF($A858="","",$B858+$C858-$D858-$E858)</f>
        <v/>
      </c>
      <c r="H858" s="37">
        <f>IF($A858="","",IFERROR(ROUND($G858*INDEX(tblKurallar[deger_2025],MATCH("AKV-003",tblKurallar[kural_id],0)),2),0))</f>
        <v/>
      </c>
      <c r="I858" s="37">
        <f>IF($A858="","",IFERROR(MAX(0,$H858-$F858),0))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7">
        <f>IF($A859="","",$B859+$C859-$D859-$E859)</f>
        <v/>
      </c>
      <c r="H859" s="37">
        <f>IF($A859="","",IFERROR(ROUND($G859*INDEX(tblKurallar[deger_2025],MATCH("AKV-003",tblKurallar[kural_id],0)),2),0))</f>
        <v/>
      </c>
      <c r="I859" s="37">
        <f>IF($A859="","",IFERROR(MAX(0,$H859-$F859),0))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7">
        <f>IF($A860="","",$B860+$C860-$D860-$E860)</f>
        <v/>
      </c>
      <c r="H860" s="37">
        <f>IF($A860="","",IFERROR(ROUND($G860*INDEX(tblKurallar[deger_2025],MATCH("AKV-003",tblKurallar[kural_id],0)),2),0))</f>
        <v/>
      </c>
      <c r="I860" s="37">
        <f>IF($A860="","",IFERROR(MAX(0,$H860-$F860),0))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7">
        <f>IF($A861="","",$B861+$C861-$D861-$E861)</f>
        <v/>
      </c>
      <c r="H861" s="37">
        <f>IF($A861="","",IFERROR(ROUND($G861*INDEX(tblKurallar[deger_2025],MATCH("AKV-003",tblKurallar[kural_id],0)),2),0))</f>
        <v/>
      </c>
      <c r="I861" s="37">
        <f>IF($A861="","",IFERROR(MAX(0,$H861-$F861),0))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7">
        <f>IF($A862="","",$B862+$C862-$D862-$E862)</f>
        <v/>
      </c>
      <c r="H862" s="37">
        <f>IF($A862="","",IFERROR(ROUND($G862*INDEX(tblKurallar[deger_2025],MATCH("AKV-003",tblKurallar[kural_id],0)),2),0))</f>
        <v/>
      </c>
      <c r="I862" s="37">
        <f>IF($A862="","",IFERROR(MAX(0,$H862-$F862),0))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7">
        <f>IF($A863="","",$B863+$C863-$D863-$E863)</f>
        <v/>
      </c>
      <c r="H863" s="37">
        <f>IF($A863="","",IFERROR(ROUND($G863*INDEX(tblKurallar[deger_2025],MATCH("AKV-003",tblKurallar[kural_id],0)),2),0))</f>
        <v/>
      </c>
      <c r="I863" s="37">
        <f>IF($A863="","",IFERROR(MAX(0,$H863-$F863),0))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7">
        <f>IF($A864="","",$B864+$C864-$D864-$E864)</f>
        <v/>
      </c>
      <c r="H864" s="37">
        <f>IF($A864="","",IFERROR(ROUND($G864*INDEX(tblKurallar[deger_2025],MATCH("AKV-003",tblKurallar[kural_id],0)),2),0))</f>
        <v/>
      </c>
      <c r="I864" s="37">
        <f>IF($A864="","",IFERROR(MAX(0,$H864-$F864),0))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7">
        <f>IF($A865="","",$B865+$C865-$D865-$E865)</f>
        <v/>
      </c>
      <c r="H865" s="37">
        <f>IF($A865="","",IFERROR(ROUND($G865*INDEX(tblKurallar[deger_2025],MATCH("AKV-003",tblKurallar[kural_id],0)),2),0))</f>
        <v/>
      </c>
      <c r="I865" s="37">
        <f>IF($A865="","",IFERROR(MAX(0,$H865-$F865),0))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7">
        <f>IF($A866="","",$B866+$C866-$D866-$E866)</f>
        <v/>
      </c>
      <c r="H866" s="37">
        <f>IF($A866="","",IFERROR(ROUND($G866*INDEX(tblKurallar[deger_2025],MATCH("AKV-003",tblKurallar[kural_id],0)),2),0))</f>
        <v/>
      </c>
      <c r="I866" s="37">
        <f>IF($A866="","",IFERROR(MAX(0,$H866-$F866),0))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7">
        <f>IF($A867="","",$B867+$C867-$D867-$E867)</f>
        <v/>
      </c>
      <c r="H867" s="37">
        <f>IF($A867="","",IFERROR(ROUND($G867*INDEX(tblKurallar[deger_2025],MATCH("AKV-003",tblKurallar[kural_id],0)),2),0))</f>
        <v/>
      </c>
      <c r="I867" s="37">
        <f>IF($A867="","",IFERROR(MAX(0,$H867-$F867),0))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7">
        <f>IF($A868="","",$B868+$C868-$D868-$E868)</f>
        <v/>
      </c>
      <c r="H868" s="37">
        <f>IF($A868="","",IFERROR(ROUND($G868*INDEX(tblKurallar[deger_2025],MATCH("AKV-003",tblKurallar[kural_id],0)),2),0))</f>
        <v/>
      </c>
      <c r="I868" s="37">
        <f>IF($A868="","",IFERROR(MAX(0,$H868-$F868),0))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7">
        <f>IF($A869="","",$B869+$C869-$D869-$E869)</f>
        <v/>
      </c>
      <c r="H869" s="37">
        <f>IF($A869="","",IFERROR(ROUND($G869*INDEX(tblKurallar[deger_2025],MATCH("AKV-003",tblKurallar[kural_id],0)),2),0))</f>
        <v/>
      </c>
      <c r="I869" s="37">
        <f>IF($A869="","",IFERROR(MAX(0,$H869-$F869),0))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7">
        <f>IF($A870="","",$B870+$C870-$D870-$E870)</f>
        <v/>
      </c>
      <c r="H870" s="37">
        <f>IF($A870="","",IFERROR(ROUND($G870*INDEX(tblKurallar[deger_2025],MATCH("AKV-003",tblKurallar[kural_id],0)),2),0))</f>
        <v/>
      </c>
      <c r="I870" s="37">
        <f>IF($A870="","",IFERROR(MAX(0,$H870-$F870),0))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7">
        <f>IF($A871="","",$B871+$C871-$D871-$E871)</f>
        <v/>
      </c>
      <c r="H871" s="37">
        <f>IF($A871="","",IFERROR(ROUND($G871*INDEX(tblKurallar[deger_2025],MATCH("AKV-003",tblKurallar[kural_id],0)),2),0))</f>
        <v/>
      </c>
      <c r="I871" s="37">
        <f>IF($A871="","",IFERROR(MAX(0,$H871-$F871),0))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7">
        <f>IF($A872="","",$B872+$C872-$D872-$E872)</f>
        <v/>
      </c>
      <c r="H872" s="37">
        <f>IF($A872="","",IFERROR(ROUND($G872*INDEX(tblKurallar[deger_2025],MATCH("AKV-003",tblKurallar[kural_id],0)),2),0))</f>
        <v/>
      </c>
      <c r="I872" s="37">
        <f>IF($A872="","",IFERROR(MAX(0,$H872-$F872),0))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7">
        <f>IF($A873="","",$B873+$C873-$D873-$E873)</f>
        <v/>
      </c>
      <c r="H873" s="37">
        <f>IF($A873="","",IFERROR(ROUND($G873*INDEX(tblKurallar[deger_2025],MATCH("AKV-003",tblKurallar[kural_id],0)),2),0))</f>
        <v/>
      </c>
      <c r="I873" s="37">
        <f>IF($A873="","",IFERROR(MAX(0,$H873-$F873),0))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7">
        <f>IF($A874="","",$B874+$C874-$D874-$E874)</f>
        <v/>
      </c>
      <c r="H874" s="37">
        <f>IF($A874="","",IFERROR(ROUND($G874*INDEX(tblKurallar[deger_2025],MATCH("AKV-003",tblKurallar[kural_id],0)),2),0))</f>
        <v/>
      </c>
      <c r="I874" s="37">
        <f>IF($A874="","",IFERROR(MAX(0,$H874-$F874),0))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7">
        <f>IF($A875="","",$B875+$C875-$D875-$E875)</f>
        <v/>
      </c>
      <c r="H875" s="37">
        <f>IF($A875="","",IFERROR(ROUND($G875*INDEX(tblKurallar[deger_2025],MATCH("AKV-003",tblKurallar[kural_id],0)),2),0))</f>
        <v/>
      </c>
      <c r="I875" s="37">
        <f>IF($A875="","",IFERROR(MAX(0,$H875-$F875),0))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7">
        <f>IF($A876="","",$B876+$C876-$D876-$E876)</f>
        <v/>
      </c>
      <c r="H876" s="37">
        <f>IF($A876="","",IFERROR(ROUND($G876*INDEX(tblKurallar[deger_2025],MATCH("AKV-003",tblKurallar[kural_id],0)),2),0))</f>
        <v/>
      </c>
      <c r="I876" s="37">
        <f>IF($A876="","",IFERROR(MAX(0,$H876-$F876),0))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7">
        <f>IF($A877="","",$B877+$C877-$D877-$E877)</f>
        <v/>
      </c>
      <c r="H877" s="37">
        <f>IF($A877="","",IFERROR(ROUND($G877*INDEX(tblKurallar[deger_2025],MATCH("AKV-003",tblKurallar[kural_id],0)),2),0))</f>
        <v/>
      </c>
      <c r="I877" s="37">
        <f>IF($A877="","",IFERROR(MAX(0,$H877-$F877),0))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7">
        <f>IF($A878="","",$B878+$C878-$D878-$E878)</f>
        <v/>
      </c>
      <c r="H878" s="37">
        <f>IF($A878="","",IFERROR(ROUND($G878*INDEX(tblKurallar[deger_2025],MATCH("AKV-003",tblKurallar[kural_id],0)),2),0))</f>
        <v/>
      </c>
      <c r="I878" s="37">
        <f>IF($A878="","",IFERROR(MAX(0,$H878-$F878),0))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7">
        <f>IF($A879="","",$B879+$C879-$D879-$E879)</f>
        <v/>
      </c>
      <c r="H879" s="37">
        <f>IF($A879="","",IFERROR(ROUND($G879*INDEX(tblKurallar[deger_2025],MATCH("AKV-003",tblKurallar[kural_id],0)),2),0))</f>
        <v/>
      </c>
      <c r="I879" s="37">
        <f>IF($A879="","",IFERROR(MAX(0,$H879-$F879),0))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7">
        <f>IF($A880="","",$B880+$C880-$D880-$E880)</f>
        <v/>
      </c>
      <c r="H880" s="37">
        <f>IF($A880="","",IFERROR(ROUND($G880*INDEX(tblKurallar[deger_2025],MATCH("AKV-003",tblKurallar[kural_id],0)),2),0))</f>
        <v/>
      </c>
      <c r="I880" s="37">
        <f>IF($A880="","",IFERROR(MAX(0,$H880-$F880),0))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7">
        <f>IF($A881="","",$B881+$C881-$D881-$E881)</f>
        <v/>
      </c>
      <c r="H881" s="37">
        <f>IF($A881="","",IFERROR(ROUND($G881*INDEX(tblKurallar[deger_2025],MATCH("AKV-003",tblKurallar[kural_id],0)),2),0))</f>
        <v/>
      </c>
      <c r="I881" s="37">
        <f>IF($A881="","",IFERROR(MAX(0,$H881-$F881),0))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7">
        <f>IF($A882="","",$B882+$C882-$D882-$E882)</f>
        <v/>
      </c>
      <c r="H882" s="37">
        <f>IF($A882="","",IFERROR(ROUND($G882*INDEX(tblKurallar[deger_2025],MATCH("AKV-003",tblKurallar[kural_id],0)),2),0))</f>
        <v/>
      </c>
      <c r="I882" s="37">
        <f>IF($A882="","",IFERROR(MAX(0,$H882-$F882),0))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7">
        <f>IF($A883="","",$B883+$C883-$D883-$E883)</f>
        <v/>
      </c>
      <c r="H883" s="37">
        <f>IF($A883="","",IFERROR(ROUND($G883*INDEX(tblKurallar[deger_2025],MATCH("AKV-003",tblKurallar[kural_id],0)),2),0))</f>
        <v/>
      </c>
      <c r="I883" s="37">
        <f>IF($A883="","",IFERROR(MAX(0,$H883-$F883),0))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7">
        <f>IF($A884="","",$B884+$C884-$D884-$E884)</f>
        <v/>
      </c>
      <c r="H884" s="37">
        <f>IF($A884="","",IFERROR(ROUND($G884*INDEX(tblKurallar[deger_2025],MATCH("AKV-003",tblKurallar[kural_id],0)),2),0))</f>
        <v/>
      </c>
      <c r="I884" s="37">
        <f>IF($A884="","",IFERROR(MAX(0,$H884-$F884),0))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7">
        <f>IF($A885="","",$B885+$C885-$D885-$E885)</f>
        <v/>
      </c>
      <c r="H885" s="37">
        <f>IF($A885="","",IFERROR(ROUND($G885*INDEX(tblKurallar[deger_2025],MATCH("AKV-003",tblKurallar[kural_id],0)),2),0))</f>
        <v/>
      </c>
      <c r="I885" s="37">
        <f>IF($A885="","",IFERROR(MAX(0,$H885-$F885),0))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7">
        <f>IF($A886="","",$B886+$C886-$D886-$E886)</f>
        <v/>
      </c>
      <c r="H886" s="37">
        <f>IF($A886="","",IFERROR(ROUND($G886*INDEX(tblKurallar[deger_2025],MATCH("AKV-003",tblKurallar[kural_id],0)),2),0))</f>
        <v/>
      </c>
      <c r="I886" s="37">
        <f>IF($A886="","",IFERROR(MAX(0,$H886-$F886),0))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7">
        <f>IF($A887="","",$B887+$C887-$D887-$E887)</f>
        <v/>
      </c>
      <c r="H887" s="37">
        <f>IF($A887="","",IFERROR(ROUND($G887*INDEX(tblKurallar[deger_2025],MATCH("AKV-003",tblKurallar[kural_id],0)),2),0))</f>
        <v/>
      </c>
      <c r="I887" s="37">
        <f>IF($A887="","",IFERROR(MAX(0,$H887-$F887),0))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7">
        <f>IF($A888="","",$B888+$C888-$D888-$E888)</f>
        <v/>
      </c>
      <c r="H888" s="37">
        <f>IF($A888="","",IFERROR(ROUND($G888*INDEX(tblKurallar[deger_2025],MATCH("AKV-003",tblKurallar[kural_id],0)),2),0))</f>
        <v/>
      </c>
      <c r="I888" s="37">
        <f>IF($A888="","",IFERROR(MAX(0,$H888-$F888),0))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7">
        <f>IF($A889="","",$B889+$C889-$D889-$E889)</f>
        <v/>
      </c>
      <c r="H889" s="37">
        <f>IF($A889="","",IFERROR(ROUND($G889*INDEX(tblKurallar[deger_2025],MATCH("AKV-003",tblKurallar[kural_id],0)),2),0))</f>
        <v/>
      </c>
      <c r="I889" s="37">
        <f>IF($A889="","",IFERROR(MAX(0,$H889-$F889),0))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7">
        <f>IF($A890="","",$B890+$C890-$D890-$E890)</f>
        <v/>
      </c>
      <c r="H890" s="37">
        <f>IF($A890="","",IFERROR(ROUND($G890*INDEX(tblKurallar[deger_2025],MATCH("AKV-003",tblKurallar[kural_id],0)),2),0))</f>
        <v/>
      </c>
      <c r="I890" s="37">
        <f>IF($A890="","",IFERROR(MAX(0,$H890-$F890),0))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7">
        <f>IF($A891="","",$B891+$C891-$D891-$E891)</f>
        <v/>
      </c>
      <c r="H891" s="37">
        <f>IF($A891="","",IFERROR(ROUND($G891*INDEX(tblKurallar[deger_2025],MATCH("AKV-003",tblKurallar[kural_id],0)),2),0))</f>
        <v/>
      </c>
      <c r="I891" s="37">
        <f>IF($A891="","",IFERROR(MAX(0,$H891-$F891),0))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7">
        <f>IF($A892="","",$B892+$C892-$D892-$E892)</f>
        <v/>
      </c>
      <c r="H892" s="37">
        <f>IF($A892="","",IFERROR(ROUND($G892*INDEX(tblKurallar[deger_2025],MATCH("AKV-003",tblKurallar[kural_id],0)),2),0))</f>
        <v/>
      </c>
      <c r="I892" s="37">
        <f>IF($A892="","",IFERROR(MAX(0,$H892-$F892),0))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7">
        <f>IF($A893="","",$B893+$C893-$D893-$E893)</f>
        <v/>
      </c>
      <c r="H893" s="37">
        <f>IF($A893="","",IFERROR(ROUND($G893*INDEX(tblKurallar[deger_2025],MATCH("AKV-003",tblKurallar[kural_id],0)),2),0))</f>
        <v/>
      </c>
      <c r="I893" s="37">
        <f>IF($A893="","",IFERROR(MAX(0,$H893-$F893),0))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7">
        <f>IF($A894="","",$B894+$C894-$D894-$E894)</f>
        <v/>
      </c>
      <c r="H894" s="37">
        <f>IF($A894="","",IFERROR(ROUND($G894*INDEX(tblKurallar[deger_2025],MATCH("AKV-003",tblKurallar[kural_id],0)),2),0))</f>
        <v/>
      </c>
      <c r="I894" s="37">
        <f>IF($A894="","",IFERROR(MAX(0,$H894-$F894),0))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7">
        <f>IF($A895="","",$B895+$C895-$D895-$E895)</f>
        <v/>
      </c>
      <c r="H895" s="37">
        <f>IF($A895="","",IFERROR(ROUND($G895*INDEX(tblKurallar[deger_2025],MATCH("AKV-003",tblKurallar[kural_id],0)),2),0))</f>
        <v/>
      </c>
      <c r="I895" s="37">
        <f>IF($A895="","",IFERROR(MAX(0,$H895-$F895),0))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7">
        <f>IF($A896="","",$B896+$C896-$D896-$E896)</f>
        <v/>
      </c>
      <c r="H896" s="37">
        <f>IF($A896="","",IFERROR(ROUND($G896*INDEX(tblKurallar[deger_2025],MATCH("AKV-003",tblKurallar[kural_id],0)),2),0))</f>
        <v/>
      </c>
      <c r="I896" s="37">
        <f>IF($A896="","",IFERROR(MAX(0,$H896-$F896),0))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7">
        <f>IF($A897="","",$B897+$C897-$D897-$E897)</f>
        <v/>
      </c>
      <c r="H897" s="37">
        <f>IF($A897="","",IFERROR(ROUND($G897*INDEX(tblKurallar[deger_2025],MATCH("AKV-003",tblKurallar[kural_id],0)),2),0))</f>
        <v/>
      </c>
      <c r="I897" s="37">
        <f>IF($A897="","",IFERROR(MAX(0,$H897-$F897),0))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7">
        <f>IF($A898="","",$B898+$C898-$D898-$E898)</f>
        <v/>
      </c>
      <c r="H898" s="37">
        <f>IF($A898="","",IFERROR(ROUND($G898*INDEX(tblKurallar[deger_2025],MATCH("AKV-003",tblKurallar[kural_id],0)),2),0))</f>
        <v/>
      </c>
      <c r="I898" s="37">
        <f>IF($A898="","",IFERROR(MAX(0,$H898-$F898),0))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7">
        <f>IF($A899="","",$B899+$C899-$D899-$E899)</f>
        <v/>
      </c>
      <c r="H899" s="37">
        <f>IF($A899="","",IFERROR(ROUND($G899*INDEX(tblKurallar[deger_2025],MATCH("AKV-003",tblKurallar[kural_id],0)),2),0))</f>
        <v/>
      </c>
      <c r="I899" s="37">
        <f>IF($A899="","",IFERROR(MAX(0,$H899-$F899),0))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7">
        <f>IF($A900="","",$B900+$C900-$D900-$E900)</f>
        <v/>
      </c>
      <c r="H900" s="37">
        <f>IF($A900="","",IFERROR(ROUND($G900*INDEX(tblKurallar[deger_2025],MATCH("AKV-003",tblKurallar[kural_id],0)),2),0))</f>
        <v/>
      </c>
      <c r="I900" s="37">
        <f>IF($A900="","",IFERROR(MAX(0,$H900-$F900),0))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7">
        <f>IF($A901="","",$B901+$C901-$D901-$E901)</f>
        <v/>
      </c>
      <c r="H901" s="37">
        <f>IF($A901="","",IFERROR(ROUND($G901*INDEX(tblKurallar[deger_2025],MATCH("AKV-003",tblKurallar[kural_id],0)),2),0))</f>
        <v/>
      </c>
      <c r="I901" s="37">
        <f>IF($A901="","",IFERROR(MAX(0,$H901-$F901),0))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7">
        <f>IF($A902="","",$B902+$C902-$D902-$E902)</f>
        <v/>
      </c>
      <c r="H902" s="37">
        <f>IF($A902="","",IFERROR(ROUND($G902*INDEX(tblKurallar[deger_2025],MATCH("AKV-003",tblKurallar[kural_id],0)),2),0))</f>
        <v/>
      </c>
      <c r="I902" s="37">
        <f>IF($A902="","",IFERROR(MAX(0,$H902-$F902),0))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7">
        <f>IF($A903="","",$B903+$C903-$D903-$E903)</f>
        <v/>
      </c>
      <c r="H903" s="37">
        <f>IF($A903="","",IFERROR(ROUND($G903*INDEX(tblKurallar[deger_2025],MATCH("AKV-003",tblKurallar[kural_id],0)),2),0))</f>
        <v/>
      </c>
      <c r="I903" s="37">
        <f>IF($A903="","",IFERROR(MAX(0,$H903-$F903),0))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7">
        <f>IF($A904="","",$B904+$C904-$D904-$E904)</f>
        <v/>
      </c>
      <c r="H904" s="37">
        <f>IF($A904="","",IFERROR(ROUND($G904*INDEX(tblKurallar[deger_2025],MATCH("AKV-003",tblKurallar[kural_id],0)),2),0))</f>
        <v/>
      </c>
      <c r="I904" s="37">
        <f>IF($A904="","",IFERROR(MAX(0,$H904-$F904),0))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7">
        <f>IF($A905="","",$B905+$C905-$D905-$E905)</f>
        <v/>
      </c>
      <c r="H905" s="37">
        <f>IF($A905="","",IFERROR(ROUND($G905*INDEX(tblKurallar[deger_2025],MATCH("AKV-003",tblKurallar[kural_id],0)),2),0))</f>
        <v/>
      </c>
      <c r="I905" s="37">
        <f>IF($A905="","",IFERROR(MAX(0,$H905-$F905),0))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7">
        <f>IF($A906="","",$B906+$C906-$D906-$E906)</f>
        <v/>
      </c>
      <c r="H906" s="37">
        <f>IF($A906="","",IFERROR(ROUND($G906*INDEX(tblKurallar[deger_2025],MATCH("AKV-003",tblKurallar[kural_id],0)),2),0))</f>
        <v/>
      </c>
      <c r="I906" s="37">
        <f>IF($A906="","",IFERROR(MAX(0,$H906-$F906),0))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7">
        <f>IF($A907="","",$B907+$C907-$D907-$E907)</f>
        <v/>
      </c>
      <c r="H907" s="37">
        <f>IF($A907="","",IFERROR(ROUND($G907*INDEX(tblKurallar[deger_2025],MATCH("AKV-003",tblKurallar[kural_id],0)),2),0))</f>
        <v/>
      </c>
      <c r="I907" s="37">
        <f>IF($A907="","",IFERROR(MAX(0,$H907-$F907),0))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7">
        <f>IF($A908="","",$B908+$C908-$D908-$E908)</f>
        <v/>
      </c>
      <c r="H908" s="37">
        <f>IF($A908="","",IFERROR(ROUND($G908*INDEX(tblKurallar[deger_2025],MATCH("AKV-003",tblKurallar[kural_id],0)),2),0))</f>
        <v/>
      </c>
      <c r="I908" s="37">
        <f>IF($A908="","",IFERROR(MAX(0,$H908-$F908),0))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7">
        <f>IF($A909="","",$B909+$C909-$D909-$E909)</f>
        <v/>
      </c>
      <c r="H909" s="37">
        <f>IF($A909="","",IFERROR(ROUND($G909*INDEX(tblKurallar[deger_2025],MATCH("AKV-003",tblKurallar[kural_id],0)),2),0))</f>
        <v/>
      </c>
      <c r="I909" s="37">
        <f>IF($A909="","",IFERROR(MAX(0,$H909-$F909),0))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7">
        <f>IF($A910="","",$B910+$C910-$D910-$E910)</f>
        <v/>
      </c>
      <c r="H910" s="37">
        <f>IF($A910="","",IFERROR(ROUND($G910*INDEX(tblKurallar[deger_2025],MATCH("AKV-003",tblKurallar[kural_id],0)),2),0))</f>
        <v/>
      </c>
      <c r="I910" s="37">
        <f>IF($A910="","",IFERROR(MAX(0,$H910-$F910),0))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7">
        <f>IF($A911="","",$B911+$C911-$D911-$E911)</f>
        <v/>
      </c>
      <c r="H911" s="37">
        <f>IF($A911="","",IFERROR(ROUND($G911*INDEX(tblKurallar[deger_2025],MATCH("AKV-003",tblKurallar[kural_id],0)),2),0))</f>
        <v/>
      </c>
      <c r="I911" s="37">
        <f>IF($A911="","",IFERROR(MAX(0,$H911-$F911),0))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7">
        <f>IF($A912="","",$B912+$C912-$D912-$E912)</f>
        <v/>
      </c>
      <c r="H912" s="37">
        <f>IF($A912="","",IFERROR(ROUND($G912*INDEX(tblKurallar[deger_2025],MATCH("AKV-003",tblKurallar[kural_id],0)),2),0))</f>
        <v/>
      </c>
      <c r="I912" s="37">
        <f>IF($A912="","",IFERROR(MAX(0,$H912-$F912),0))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7">
        <f>IF($A913="","",$B913+$C913-$D913-$E913)</f>
        <v/>
      </c>
      <c r="H913" s="37">
        <f>IF($A913="","",IFERROR(ROUND($G913*INDEX(tblKurallar[deger_2025],MATCH("AKV-003",tblKurallar[kural_id],0)),2),0))</f>
        <v/>
      </c>
      <c r="I913" s="37">
        <f>IF($A913="","",IFERROR(MAX(0,$H913-$F913),0))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7">
        <f>IF($A914="","",$B914+$C914-$D914-$E914)</f>
        <v/>
      </c>
      <c r="H914" s="37">
        <f>IF($A914="","",IFERROR(ROUND($G914*INDEX(tblKurallar[deger_2025],MATCH("AKV-003",tblKurallar[kural_id],0)),2),0))</f>
        <v/>
      </c>
      <c r="I914" s="37">
        <f>IF($A914="","",IFERROR(MAX(0,$H914-$F914),0))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7">
        <f>IF($A915="","",$B915+$C915-$D915-$E915)</f>
        <v/>
      </c>
      <c r="H915" s="37">
        <f>IF($A915="","",IFERROR(ROUND($G915*INDEX(tblKurallar[deger_2025],MATCH("AKV-003",tblKurallar[kural_id],0)),2),0))</f>
        <v/>
      </c>
      <c r="I915" s="37">
        <f>IF($A915="","",IFERROR(MAX(0,$H915-$F915),0))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7">
        <f>IF($A916="","",$B916+$C916-$D916-$E916)</f>
        <v/>
      </c>
      <c r="H916" s="37">
        <f>IF($A916="","",IFERROR(ROUND($G916*INDEX(tblKurallar[deger_2025],MATCH("AKV-003",tblKurallar[kural_id],0)),2),0))</f>
        <v/>
      </c>
      <c r="I916" s="37">
        <f>IF($A916="","",IFERROR(MAX(0,$H916-$F916),0))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7">
        <f>IF($A917="","",$B917+$C917-$D917-$E917)</f>
        <v/>
      </c>
      <c r="H917" s="37">
        <f>IF($A917="","",IFERROR(ROUND($G917*INDEX(tblKurallar[deger_2025],MATCH("AKV-003",tblKurallar[kural_id],0)),2),0))</f>
        <v/>
      </c>
      <c r="I917" s="37">
        <f>IF($A917="","",IFERROR(MAX(0,$H917-$F917),0))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7">
        <f>IF($A918="","",$B918+$C918-$D918-$E918)</f>
        <v/>
      </c>
      <c r="H918" s="37">
        <f>IF($A918="","",IFERROR(ROUND($G918*INDEX(tblKurallar[deger_2025],MATCH("AKV-003",tblKurallar[kural_id],0)),2),0))</f>
        <v/>
      </c>
      <c r="I918" s="37">
        <f>IF($A918="","",IFERROR(MAX(0,$H918-$F918),0))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7">
        <f>IF($A919="","",$B919+$C919-$D919-$E919)</f>
        <v/>
      </c>
      <c r="H919" s="37">
        <f>IF($A919="","",IFERROR(ROUND($G919*INDEX(tblKurallar[deger_2025],MATCH("AKV-003",tblKurallar[kural_id],0)),2),0))</f>
        <v/>
      </c>
      <c r="I919" s="37">
        <f>IF($A919="","",IFERROR(MAX(0,$H919-$F919),0))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7">
        <f>IF($A920="","",$B920+$C920-$D920-$E920)</f>
        <v/>
      </c>
      <c r="H920" s="37">
        <f>IF($A920="","",IFERROR(ROUND($G920*INDEX(tblKurallar[deger_2025],MATCH("AKV-003",tblKurallar[kural_id],0)),2),0))</f>
        <v/>
      </c>
      <c r="I920" s="37">
        <f>IF($A920="","",IFERROR(MAX(0,$H920-$F920),0))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7">
        <f>IF($A921="","",$B921+$C921-$D921-$E921)</f>
        <v/>
      </c>
      <c r="H921" s="37">
        <f>IF($A921="","",IFERROR(ROUND($G921*INDEX(tblKurallar[deger_2025],MATCH("AKV-003",tblKurallar[kural_id],0)),2),0))</f>
        <v/>
      </c>
      <c r="I921" s="37">
        <f>IF($A921="","",IFERROR(MAX(0,$H921-$F921),0))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7">
        <f>IF($A922="","",$B922+$C922-$D922-$E922)</f>
        <v/>
      </c>
      <c r="H922" s="37">
        <f>IF($A922="","",IFERROR(ROUND($G922*INDEX(tblKurallar[deger_2025],MATCH("AKV-003",tblKurallar[kural_id],0)),2),0))</f>
        <v/>
      </c>
      <c r="I922" s="37">
        <f>IF($A922="","",IFERROR(MAX(0,$H922-$F922),0))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7">
        <f>IF($A923="","",$B923+$C923-$D923-$E923)</f>
        <v/>
      </c>
      <c r="H923" s="37">
        <f>IF($A923="","",IFERROR(ROUND($G923*INDEX(tblKurallar[deger_2025],MATCH("AKV-003",tblKurallar[kural_id],0)),2),0))</f>
        <v/>
      </c>
      <c r="I923" s="37">
        <f>IF($A923="","",IFERROR(MAX(0,$H923-$F923),0))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7">
        <f>IF($A924="","",$B924+$C924-$D924-$E924)</f>
        <v/>
      </c>
      <c r="H924" s="37">
        <f>IF($A924="","",IFERROR(ROUND($G924*INDEX(tblKurallar[deger_2025],MATCH("AKV-003",tblKurallar[kural_id],0)),2),0))</f>
        <v/>
      </c>
      <c r="I924" s="37">
        <f>IF($A924="","",IFERROR(MAX(0,$H924-$F924),0))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7">
        <f>IF($A925="","",$B925+$C925-$D925-$E925)</f>
        <v/>
      </c>
      <c r="H925" s="37">
        <f>IF($A925="","",IFERROR(ROUND($G925*INDEX(tblKurallar[deger_2025],MATCH("AKV-003",tblKurallar[kural_id],0)),2),0))</f>
        <v/>
      </c>
      <c r="I925" s="37">
        <f>IF($A925="","",IFERROR(MAX(0,$H925-$F925),0))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7">
        <f>IF($A926="","",$B926+$C926-$D926-$E926)</f>
        <v/>
      </c>
      <c r="H926" s="37">
        <f>IF($A926="","",IFERROR(ROUND($G926*INDEX(tblKurallar[deger_2025],MATCH("AKV-003",tblKurallar[kural_id],0)),2),0))</f>
        <v/>
      </c>
      <c r="I926" s="37">
        <f>IF($A926="","",IFERROR(MAX(0,$H926-$F926),0))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7">
        <f>IF($A927="","",$B927+$C927-$D927-$E927)</f>
        <v/>
      </c>
      <c r="H927" s="37">
        <f>IF($A927="","",IFERROR(ROUND($G927*INDEX(tblKurallar[deger_2025],MATCH("AKV-003",tblKurallar[kural_id],0)),2),0))</f>
        <v/>
      </c>
      <c r="I927" s="37">
        <f>IF($A927="","",IFERROR(MAX(0,$H927-$F927),0))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7">
        <f>IF($A928="","",$B928+$C928-$D928-$E928)</f>
        <v/>
      </c>
      <c r="H928" s="37">
        <f>IF($A928="","",IFERROR(ROUND($G928*INDEX(tblKurallar[deger_2025],MATCH("AKV-003",tblKurallar[kural_id],0)),2),0))</f>
        <v/>
      </c>
      <c r="I928" s="37">
        <f>IF($A928="","",IFERROR(MAX(0,$H928-$F928),0))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7">
        <f>IF($A929="","",$B929+$C929-$D929-$E929)</f>
        <v/>
      </c>
      <c r="H929" s="37">
        <f>IF($A929="","",IFERROR(ROUND($G929*INDEX(tblKurallar[deger_2025],MATCH("AKV-003",tblKurallar[kural_id],0)),2),0))</f>
        <v/>
      </c>
      <c r="I929" s="37">
        <f>IF($A929="","",IFERROR(MAX(0,$H929-$F929),0))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7">
        <f>IF($A930="","",$B930+$C930-$D930-$E930)</f>
        <v/>
      </c>
      <c r="H930" s="37">
        <f>IF($A930="","",IFERROR(ROUND($G930*INDEX(tblKurallar[deger_2025],MATCH("AKV-003",tblKurallar[kural_id],0)),2),0))</f>
        <v/>
      </c>
      <c r="I930" s="37">
        <f>IF($A930="","",IFERROR(MAX(0,$H930-$F930),0))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7">
        <f>IF($A931="","",$B931+$C931-$D931-$E931)</f>
        <v/>
      </c>
      <c r="H931" s="37">
        <f>IF($A931="","",IFERROR(ROUND($G931*INDEX(tblKurallar[deger_2025],MATCH("AKV-003",tblKurallar[kural_id],0)),2),0))</f>
        <v/>
      </c>
      <c r="I931" s="37">
        <f>IF($A931="","",IFERROR(MAX(0,$H931-$F931),0))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7">
        <f>IF($A932="","",$B932+$C932-$D932-$E932)</f>
        <v/>
      </c>
      <c r="H932" s="37">
        <f>IF($A932="","",IFERROR(ROUND($G932*INDEX(tblKurallar[deger_2025],MATCH("AKV-003",tblKurallar[kural_id],0)),2),0))</f>
        <v/>
      </c>
      <c r="I932" s="37">
        <f>IF($A932="","",IFERROR(MAX(0,$H932-$F932),0))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7">
        <f>IF($A933="","",$B933+$C933-$D933-$E933)</f>
        <v/>
      </c>
      <c r="H933" s="37">
        <f>IF($A933="","",IFERROR(ROUND($G933*INDEX(tblKurallar[deger_2025],MATCH("AKV-003",tblKurallar[kural_id],0)),2),0))</f>
        <v/>
      </c>
      <c r="I933" s="37">
        <f>IF($A933="","",IFERROR(MAX(0,$H933-$F933),0))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7">
        <f>IF($A934="","",$B934+$C934-$D934-$E934)</f>
        <v/>
      </c>
      <c r="H934" s="37">
        <f>IF($A934="","",IFERROR(ROUND($G934*INDEX(tblKurallar[deger_2025],MATCH("AKV-003",tblKurallar[kural_id],0)),2),0))</f>
        <v/>
      </c>
      <c r="I934" s="37">
        <f>IF($A934="","",IFERROR(MAX(0,$H934-$F934),0))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7">
        <f>IF($A935="","",$B935+$C935-$D935-$E935)</f>
        <v/>
      </c>
      <c r="H935" s="37">
        <f>IF($A935="","",IFERROR(ROUND($G935*INDEX(tblKurallar[deger_2025],MATCH("AKV-003",tblKurallar[kural_id],0)),2),0))</f>
        <v/>
      </c>
      <c r="I935" s="37">
        <f>IF($A935="","",IFERROR(MAX(0,$H935-$F935),0))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7">
        <f>IF($A936="","",$B936+$C936-$D936-$E936)</f>
        <v/>
      </c>
      <c r="H936" s="37">
        <f>IF($A936="","",IFERROR(ROUND($G936*INDEX(tblKurallar[deger_2025],MATCH("AKV-003",tblKurallar[kural_id],0)),2),0))</f>
        <v/>
      </c>
      <c r="I936" s="37">
        <f>IF($A936="","",IFERROR(MAX(0,$H936-$F936),0))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7">
        <f>IF($A937="","",$B937+$C937-$D937-$E937)</f>
        <v/>
      </c>
      <c r="H937" s="37">
        <f>IF($A937="","",IFERROR(ROUND($G937*INDEX(tblKurallar[deger_2025],MATCH("AKV-003",tblKurallar[kural_id],0)),2),0))</f>
        <v/>
      </c>
      <c r="I937" s="37">
        <f>IF($A937="","",IFERROR(MAX(0,$H937-$F937),0))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7">
        <f>IF($A938="","",$B938+$C938-$D938-$E938)</f>
        <v/>
      </c>
      <c r="H938" s="37">
        <f>IF($A938="","",IFERROR(ROUND($G938*INDEX(tblKurallar[deger_2025],MATCH("AKV-003",tblKurallar[kural_id],0)),2),0))</f>
        <v/>
      </c>
      <c r="I938" s="37">
        <f>IF($A938="","",IFERROR(MAX(0,$H938-$F938),0))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7">
        <f>IF($A939="","",$B939+$C939-$D939-$E939)</f>
        <v/>
      </c>
      <c r="H939" s="37">
        <f>IF($A939="","",IFERROR(ROUND($G939*INDEX(tblKurallar[deger_2025],MATCH("AKV-003",tblKurallar[kural_id],0)),2),0))</f>
        <v/>
      </c>
      <c r="I939" s="37">
        <f>IF($A939="","",IFERROR(MAX(0,$H939-$F939),0))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7">
        <f>IF($A940="","",$B940+$C940-$D940-$E940)</f>
        <v/>
      </c>
      <c r="H940" s="37">
        <f>IF($A940="","",IFERROR(ROUND($G940*INDEX(tblKurallar[deger_2025],MATCH("AKV-003",tblKurallar[kural_id],0)),2),0))</f>
        <v/>
      </c>
      <c r="I940" s="37">
        <f>IF($A940="","",IFERROR(MAX(0,$H940-$F940),0))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7">
        <f>IF($A941="","",$B941+$C941-$D941-$E941)</f>
        <v/>
      </c>
      <c r="H941" s="37">
        <f>IF($A941="","",IFERROR(ROUND($G941*INDEX(tblKurallar[deger_2025],MATCH("AKV-003",tblKurallar[kural_id],0)),2),0))</f>
        <v/>
      </c>
      <c r="I941" s="37">
        <f>IF($A941="","",IFERROR(MAX(0,$H941-$F941),0))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7">
        <f>IF($A942="","",$B942+$C942-$D942-$E942)</f>
        <v/>
      </c>
      <c r="H942" s="37">
        <f>IF($A942="","",IFERROR(ROUND($G942*INDEX(tblKurallar[deger_2025],MATCH("AKV-003",tblKurallar[kural_id],0)),2),0))</f>
        <v/>
      </c>
      <c r="I942" s="37">
        <f>IF($A942="","",IFERROR(MAX(0,$H942-$F942),0))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7">
        <f>IF($A943="","",$B943+$C943-$D943-$E943)</f>
        <v/>
      </c>
      <c r="H943" s="37">
        <f>IF($A943="","",IFERROR(ROUND($G943*INDEX(tblKurallar[deger_2025],MATCH("AKV-003",tblKurallar[kural_id],0)),2),0))</f>
        <v/>
      </c>
      <c r="I943" s="37">
        <f>IF($A943="","",IFERROR(MAX(0,$H943-$F943),0))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7">
        <f>IF($A944="","",$B944+$C944-$D944-$E944)</f>
        <v/>
      </c>
      <c r="H944" s="37">
        <f>IF($A944="","",IFERROR(ROUND($G944*INDEX(tblKurallar[deger_2025],MATCH("AKV-003",tblKurallar[kural_id],0)),2),0))</f>
        <v/>
      </c>
      <c r="I944" s="37">
        <f>IF($A944="","",IFERROR(MAX(0,$H944-$F944),0))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7">
        <f>IF($A945="","",$B945+$C945-$D945-$E945)</f>
        <v/>
      </c>
      <c r="H945" s="37">
        <f>IF($A945="","",IFERROR(ROUND($G945*INDEX(tblKurallar[deger_2025],MATCH("AKV-003",tblKurallar[kural_id],0)),2),0))</f>
        <v/>
      </c>
      <c r="I945" s="37">
        <f>IF($A945="","",IFERROR(MAX(0,$H945-$F945),0))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7">
        <f>IF($A946="","",$B946+$C946-$D946-$E946)</f>
        <v/>
      </c>
      <c r="H946" s="37">
        <f>IF($A946="","",IFERROR(ROUND($G946*INDEX(tblKurallar[deger_2025],MATCH("AKV-003",tblKurallar[kural_id],0)),2),0))</f>
        <v/>
      </c>
      <c r="I946" s="37">
        <f>IF($A946="","",IFERROR(MAX(0,$H946-$F946),0))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7">
        <f>IF($A947="","",$B947+$C947-$D947-$E947)</f>
        <v/>
      </c>
      <c r="H947" s="37">
        <f>IF($A947="","",IFERROR(ROUND($G947*INDEX(tblKurallar[deger_2025],MATCH("AKV-003",tblKurallar[kural_id],0)),2),0))</f>
        <v/>
      </c>
      <c r="I947" s="37">
        <f>IF($A947="","",IFERROR(MAX(0,$H947-$F947),0))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7">
        <f>IF($A948="","",$B948+$C948-$D948-$E948)</f>
        <v/>
      </c>
      <c r="H948" s="37">
        <f>IF($A948="","",IFERROR(ROUND($G948*INDEX(tblKurallar[deger_2025],MATCH("AKV-003",tblKurallar[kural_id],0)),2),0))</f>
        <v/>
      </c>
      <c r="I948" s="37">
        <f>IF($A948="","",IFERROR(MAX(0,$H948-$F948),0))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7">
        <f>IF($A949="","",$B949+$C949-$D949-$E949)</f>
        <v/>
      </c>
      <c r="H949" s="37">
        <f>IF($A949="","",IFERROR(ROUND($G949*INDEX(tblKurallar[deger_2025],MATCH("AKV-003",tblKurallar[kural_id],0)),2),0))</f>
        <v/>
      </c>
      <c r="I949" s="37">
        <f>IF($A949="","",IFERROR(MAX(0,$H949-$F949),0))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7">
        <f>IF($A950="","",$B950+$C950-$D950-$E950)</f>
        <v/>
      </c>
      <c r="H950" s="37">
        <f>IF($A950="","",IFERROR(ROUND($G950*INDEX(tblKurallar[deger_2025],MATCH("AKV-003",tblKurallar[kural_id],0)),2),0))</f>
        <v/>
      </c>
      <c r="I950" s="37">
        <f>IF($A950="","",IFERROR(MAX(0,$H950-$F950),0))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7">
        <f>IF($A951="","",$B951+$C951-$D951-$E951)</f>
        <v/>
      </c>
      <c r="H951" s="37">
        <f>IF($A951="","",IFERROR(ROUND($G951*INDEX(tblKurallar[deger_2025],MATCH("AKV-003",tblKurallar[kural_id],0)),2),0))</f>
        <v/>
      </c>
      <c r="I951" s="37">
        <f>IF($A951="","",IFERROR(MAX(0,$H951-$F951),0))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7">
        <f>IF($A952="","",$B952+$C952-$D952-$E952)</f>
        <v/>
      </c>
      <c r="H952" s="37">
        <f>IF($A952="","",IFERROR(ROUND($G952*INDEX(tblKurallar[deger_2025],MATCH("AKV-003",tblKurallar[kural_id],0)),2),0))</f>
        <v/>
      </c>
      <c r="I952" s="37">
        <f>IF($A952="","",IFERROR(MAX(0,$H952-$F952),0))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7">
        <f>IF($A953="","",$B953+$C953-$D953-$E953)</f>
        <v/>
      </c>
      <c r="H953" s="37">
        <f>IF($A953="","",IFERROR(ROUND($G953*INDEX(tblKurallar[deger_2025],MATCH("AKV-003",tblKurallar[kural_id],0)),2),0))</f>
        <v/>
      </c>
      <c r="I953" s="37">
        <f>IF($A953="","",IFERROR(MAX(0,$H953-$F953),0))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7">
        <f>IF($A954="","",$B954+$C954-$D954-$E954)</f>
        <v/>
      </c>
      <c r="H954" s="37">
        <f>IF($A954="","",IFERROR(ROUND($G954*INDEX(tblKurallar[deger_2025],MATCH("AKV-003",tblKurallar[kural_id],0)),2),0))</f>
        <v/>
      </c>
      <c r="I954" s="37">
        <f>IF($A954="","",IFERROR(MAX(0,$H954-$F954),0))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7">
        <f>IF($A955="","",$B955+$C955-$D955-$E955)</f>
        <v/>
      </c>
      <c r="H955" s="37">
        <f>IF($A955="","",IFERROR(ROUND($G955*INDEX(tblKurallar[deger_2025],MATCH("AKV-003",tblKurallar[kural_id],0)),2),0))</f>
        <v/>
      </c>
      <c r="I955" s="37">
        <f>IF($A955="","",IFERROR(MAX(0,$H955-$F955),0))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7">
        <f>IF($A956="","",$B956+$C956-$D956-$E956)</f>
        <v/>
      </c>
      <c r="H956" s="37">
        <f>IF($A956="","",IFERROR(ROUND($G956*INDEX(tblKurallar[deger_2025],MATCH("AKV-003",tblKurallar[kural_id],0)),2),0))</f>
        <v/>
      </c>
      <c r="I956" s="37">
        <f>IF($A956="","",IFERROR(MAX(0,$H956-$F956),0))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7">
        <f>IF($A957="","",$B957+$C957-$D957-$E957)</f>
        <v/>
      </c>
      <c r="H957" s="37">
        <f>IF($A957="","",IFERROR(ROUND($G957*INDEX(tblKurallar[deger_2025],MATCH("AKV-003",tblKurallar[kural_id],0)),2),0))</f>
        <v/>
      </c>
      <c r="I957" s="37">
        <f>IF($A957="","",IFERROR(MAX(0,$H957-$F957),0))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7">
        <f>IF($A958="","",$B958+$C958-$D958-$E958)</f>
        <v/>
      </c>
      <c r="H958" s="37">
        <f>IF($A958="","",IFERROR(ROUND($G958*INDEX(tblKurallar[deger_2025],MATCH("AKV-003",tblKurallar[kural_id],0)),2),0))</f>
        <v/>
      </c>
      <c r="I958" s="37">
        <f>IF($A958="","",IFERROR(MAX(0,$H958-$F958),0))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7">
        <f>IF($A959="","",$B959+$C959-$D959-$E959)</f>
        <v/>
      </c>
      <c r="H959" s="37">
        <f>IF($A959="","",IFERROR(ROUND($G959*INDEX(tblKurallar[deger_2025],MATCH("AKV-003",tblKurallar[kural_id],0)),2),0))</f>
        <v/>
      </c>
      <c r="I959" s="37">
        <f>IF($A959="","",IFERROR(MAX(0,$H959-$F959),0))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7">
        <f>IF($A960="","",$B960+$C960-$D960-$E960)</f>
        <v/>
      </c>
      <c r="H960" s="37">
        <f>IF($A960="","",IFERROR(ROUND($G960*INDEX(tblKurallar[deger_2025],MATCH("AKV-003",tblKurallar[kural_id],0)),2),0))</f>
        <v/>
      </c>
      <c r="I960" s="37">
        <f>IF($A960="","",IFERROR(MAX(0,$H960-$F960),0))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7">
        <f>IF($A961="","",$B961+$C961-$D961-$E961)</f>
        <v/>
      </c>
      <c r="H961" s="37">
        <f>IF($A961="","",IFERROR(ROUND($G961*INDEX(tblKurallar[deger_2025],MATCH("AKV-003",tblKurallar[kural_id],0)),2),0))</f>
        <v/>
      </c>
      <c r="I961" s="37">
        <f>IF($A961="","",IFERROR(MAX(0,$H961-$F961),0))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7">
        <f>IF($A962="","",$B962+$C962-$D962-$E962)</f>
        <v/>
      </c>
      <c r="H962" s="37">
        <f>IF($A962="","",IFERROR(ROUND($G962*INDEX(tblKurallar[deger_2025],MATCH("AKV-003",tblKurallar[kural_id],0)),2),0))</f>
        <v/>
      </c>
      <c r="I962" s="37">
        <f>IF($A962="","",IFERROR(MAX(0,$H962-$F962),0))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7">
        <f>IF($A963="","",$B963+$C963-$D963-$E963)</f>
        <v/>
      </c>
      <c r="H963" s="37">
        <f>IF($A963="","",IFERROR(ROUND($G963*INDEX(tblKurallar[deger_2025],MATCH("AKV-003",tblKurallar[kural_id],0)),2),0))</f>
        <v/>
      </c>
      <c r="I963" s="37">
        <f>IF($A963="","",IFERROR(MAX(0,$H963-$F963),0))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7">
        <f>IF($A964="","",$B964+$C964-$D964-$E964)</f>
        <v/>
      </c>
      <c r="H964" s="37">
        <f>IF($A964="","",IFERROR(ROUND($G964*INDEX(tblKurallar[deger_2025],MATCH("AKV-003",tblKurallar[kural_id],0)),2),0))</f>
        <v/>
      </c>
      <c r="I964" s="37">
        <f>IF($A964="","",IFERROR(MAX(0,$H964-$F964),0))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7">
        <f>IF($A965="","",$B965+$C965-$D965-$E965)</f>
        <v/>
      </c>
      <c r="H965" s="37">
        <f>IF($A965="","",IFERROR(ROUND($G965*INDEX(tblKurallar[deger_2025],MATCH("AKV-003",tblKurallar[kural_id],0)),2),0))</f>
        <v/>
      </c>
      <c r="I965" s="37">
        <f>IF($A965="","",IFERROR(MAX(0,$H965-$F965),0))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7">
        <f>IF($A966="","",$B966+$C966-$D966-$E966)</f>
        <v/>
      </c>
      <c r="H966" s="37">
        <f>IF($A966="","",IFERROR(ROUND($G966*INDEX(tblKurallar[deger_2025],MATCH("AKV-003",tblKurallar[kural_id],0)),2),0))</f>
        <v/>
      </c>
      <c r="I966" s="37">
        <f>IF($A966="","",IFERROR(MAX(0,$H966-$F966),0))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7">
        <f>IF($A967="","",$B967+$C967-$D967-$E967)</f>
        <v/>
      </c>
      <c r="H967" s="37">
        <f>IF($A967="","",IFERROR(ROUND($G967*INDEX(tblKurallar[deger_2025],MATCH("AKV-003",tblKurallar[kural_id],0)),2),0))</f>
        <v/>
      </c>
      <c r="I967" s="37">
        <f>IF($A967="","",IFERROR(MAX(0,$H967-$F967),0))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7">
        <f>IF($A968="","",$B968+$C968-$D968-$E968)</f>
        <v/>
      </c>
      <c r="H968" s="37">
        <f>IF($A968="","",IFERROR(ROUND($G968*INDEX(tblKurallar[deger_2025],MATCH("AKV-003",tblKurallar[kural_id],0)),2),0))</f>
        <v/>
      </c>
      <c r="I968" s="37">
        <f>IF($A968="","",IFERROR(MAX(0,$H968-$F968),0))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7">
        <f>IF($A969="","",$B969+$C969-$D969-$E969)</f>
        <v/>
      </c>
      <c r="H969" s="37">
        <f>IF($A969="","",IFERROR(ROUND($G969*INDEX(tblKurallar[deger_2025],MATCH("AKV-003",tblKurallar[kural_id],0)),2),0))</f>
        <v/>
      </c>
      <c r="I969" s="37">
        <f>IF($A969="","",IFERROR(MAX(0,$H969-$F969),0))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7">
        <f>IF($A970="","",$B970+$C970-$D970-$E970)</f>
        <v/>
      </c>
      <c r="H970" s="37">
        <f>IF($A970="","",IFERROR(ROUND($G970*INDEX(tblKurallar[deger_2025],MATCH("AKV-003",tblKurallar[kural_id],0)),2),0))</f>
        <v/>
      </c>
      <c r="I970" s="37">
        <f>IF($A970="","",IFERROR(MAX(0,$H970-$F970),0))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7">
        <f>IF($A971="","",$B971+$C971-$D971-$E971)</f>
        <v/>
      </c>
      <c r="H971" s="37">
        <f>IF($A971="","",IFERROR(ROUND($G971*INDEX(tblKurallar[deger_2025],MATCH("AKV-003",tblKurallar[kural_id],0)),2),0))</f>
        <v/>
      </c>
      <c r="I971" s="37">
        <f>IF($A971="","",IFERROR(MAX(0,$H971-$F971),0))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7">
        <f>IF($A972="","",$B972+$C972-$D972-$E972)</f>
        <v/>
      </c>
      <c r="H972" s="37">
        <f>IF($A972="","",IFERROR(ROUND($G972*INDEX(tblKurallar[deger_2025],MATCH("AKV-003",tblKurallar[kural_id],0)),2),0))</f>
        <v/>
      </c>
      <c r="I972" s="37">
        <f>IF($A972="","",IFERROR(MAX(0,$H972-$F972),0))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7">
        <f>IF($A973="","",$B973+$C973-$D973-$E973)</f>
        <v/>
      </c>
      <c r="H973" s="37">
        <f>IF($A973="","",IFERROR(ROUND($G973*INDEX(tblKurallar[deger_2025],MATCH("AKV-003",tblKurallar[kural_id],0)),2),0))</f>
        <v/>
      </c>
      <c r="I973" s="37">
        <f>IF($A973="","",IFERROR(MAX(0,$H973-$F973),0))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7">
        <f>IF($A974="","",$B974+$C974-$D974-$E974)</f>
        <v/>
      </c>
      <c r="H974" s="37">
        <f>IF($A974="","",IFERROR(ROUND($G974*INDEX(tblKurallar[deger_2025],MATCH("AKV-003",tblKurallar[kural_id],0)),2),0))</f>
        <v/>
      </c>
      <c r="I974" s="37">
        <f>IF($A974="","",IFERROR(MAX(0,$H974-$F974),0))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7">
        <f>IF($A975="","",$B975+$C975-$D975-$E975)</f>
        <v/>
      </c>
      <c r="H975" s="37">
        <f>IF($A975="","",IFERROR(ROUND($G975*INDEX(tblKurallar[deger_2025],MATCH("AKV-003",tblKurallar[kural_id],0)),2),0))</f>
        <v/>
      </c>
      <c r="I975" s="37">
        <f>IF($A975="","",IFERROR(MAX(0,$H975-$F975),0))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7">
        <f>IF($A976="","",$B976+$C976-$D976-$E976)</f>
        <v/>
      </c>
      <c r="H976" s="37">
        <f>IF($A976="","",IFERROR(ROUND($G976*INDEX(tblKurallar[deger_2025],MATCH("AKV-003",tblKurallar[kural_id],0)),2),0))</f>
        <v/>
      </c>
      <c r="I976" s="37">
        <f>IF($A976="","",IFERROR(MAX(0,$H976-$F976),0))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7">
        <f>IF($A977="","",$B977+$C977-$D977-$E977)</f>
        <v/>
      </c>
      <c r="H977" s="37">
        <f>IF($A977="","",IFERROR(ROUND($G977*INDEX(tblKurallar[deger_2025],MATCH("AKV-003",tblKurallar[kural_id],0)),2),0))</f>
        <v/>
      </c>
      <c r="I977" s="37">
        <f>IF($A977="","",IFERROR(MAX(0,$H977-$F977),0))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7">
        <f>IF($A978="","",$B978+$C978-$D978-$E978)</f>
        <v/>
      </c>
      <c r="H978" s="37">
        <f>IF($A978="","",IFERROR(ROUND($G978*INDEX(tblKurallar[deger_2025],MATCH("AKV-003",tblKurallar[kural_id],0)),2),0))</f>
        <v/>
      </c>
      <c r="I978" s="37">
        <f>IF($A978="","",IFERROR(MAX(0,$H978-$F978),0))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7">
        <f>IF($A979="","",$B979+$C979-$D979-$E979)</f>
        <v/>
      </c>
      <c r="H979" s="37">
        <f>IF($A979="","",IFERROR(ROUND($G979*INDEX(tblKurallar[deger_2025],MATCH("AKV-003",tblKurallar[kural_id],0)),2),0))</f>
        <v/>
      </c>
      <c r="I979" s="37">
        <f>IF($A979="","",IFERROR(MAX(0,$H979-$F979),0))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7">
        <f>IF($A980="","",$B980+$C980-$D980-$E980)</f>
        <v/>
      </c>
      <c r="H980" s="37">
        <f>IF($A980="","",IFERROR(ROUND($G980*INDEX(tblKurallar[deger_2025],MATCH("AKV-003",tblKurallar[kural_id],0)),2),0))</f>
        <v/>
      </c>
      <c r="I980" s="37">
        <f>IF($A980="","",IFERROR(MAX(0,$H980-$F980),0))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7">
        <f>IF($A981="","",$B981+$C981-$D981-$E981)</f>
        <v/>
      </c>
      <c r="H981" s="37">
        <f>IF($A981="","",IFERROR(ROUND($G981*INDEX(tblKurallar[deger_2025],MATCH("AKV-003",tblKurallar[kural_id],0)),2),0))</f>
        <v/>
      </c>
      <c r="I981" s="37">
        <f>IF($A981="","",IFERROR(MAX(0,$H981-$F981),0))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7">
        <f>IF($A982="","",$B982+$C982-$D982-$E982)</f>
        <v/>
      </c>
      <c r="H982" s="37">
        <f>IF($A982="","",IFERROR(ROUND($G982*INDEX(tblKurallar[deger_2025],MATCH("AKV-003",tblKurallar[kural_id],0)),2),0))</f>
        <v/>
      </c>
      <c r="I982" s="37">
        <f>IF($A982="","",IFERROR(MAX(0,$H982-$F982),0))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7">
        <f>IF($A983="","",$B983+$C983-$D983-$E983)</f>
        <v/>
      </c>
      <c r="H983" s="37">
        <f>IF($A983="","",IFERROR(ROUND($G983*INDEX(tblKurallar[deger_2025],MATCH("AKV-003",tblKurallar[kural_id],0)),2),0))</f>
        <v/>
      </c>
      <c r="I983" s="37">
        <f>IF($A983="","",IFERROR(MAX(0,$H983-$F983),0))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7">
        <f>IF($A984="","",$B984+$C984-$D984-$E984)</f>
        <v/>
      </c>
      <c r="H984" s="37">
        <f>IF($A984="","",IFERROR(ROUND($G984*INDEX(tblKurallar[deger_2025],MATCH("AKV-003",tblKurallar[kural_id],0)),2),0))</f>
        <v/>
      </c>
      <c r="I984" s="37">
        <f>IF($A984="","",IFERROR(MAX(0,$H984-$F984),0))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7">
        <f>IF($A985="","",$B985+$C985-$D985-$E985)</f>
        <v/>
      </c>
      <c r="H985" s="37">
        <f>IF($A985="","",IFERROR(ROUND($G985*INDEX(tblKurallar[deger_2025],MATCH("AKV-003",tblKurallar[kural_id],0)),2),0))</f>
        <v/>
      </c>
      <c r="I985" s="37">
        <f>IF($A985="","",IFERROR(MAX(0,$H985-$F985),0))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7">
        <f>IF($A986="","",$B986+$C986-$D986-$E986)</f>
        <v/>
      </c>
      <c r="H986" s="37">
        <f>IF($A986="","",IFERROR(ROUND($G986*INDEX(tblKurallar[deger_2025],MATCH("AKV-003",tblKurallar[kural_id],0)),2),0))</f>
        <v/>
      </c>
      <c r="I986" s="37">
        <f>IF($A986="","",IFERROR(MAX(0,$H986-$F986),0))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7">
        <f>IF($A987="","",$B987+$C987-$D987-$E987)</f>
        <v/>
      </c>
      <c r="H987" s="37">
        <f>IF($A987="","",IFERROR(ROUND($G987*INDEX(tblKurallar[deger_2025],MATCH("AKV-003",tblKurallar[kural_id],0)),2),0))</f>
        <v/>
      </c>
      <c r="I987" s="37">
        <f>IF($A987="","",IFERROR(MAX(0,$H987-$F987),0))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7">
        <f>IF($A988="","",$B988+$C988-$D988-$E988)</f>
        <v/>
      </c>
      <c r="H988" s="37">
        <f>IF($A988="","",IFERROR(ROUND($G988*INDEX(tblKurallar[deger_2025],MATCH("AKV-003",tblKurallar[kural_id],0)),2),0))</f>
        <v/>
      </c>
      <c r="I988" s="37">
        <f>IF($A988="","",IFERROR(MAX(0,$H988-$F988),0))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7">
        <f>IF($A989="","",$B989+$C989-$D989-$E989)</f>
        <v/>
      </c>
      <c r="H989" s="37">
        <f>IF($A989="","",IFERROR(ROUND($G989*INDEX(tblKurallar[deger_2025],MATCH("AKV-003",tblKurallar[kural_id],0)),2),0))</f>
        <v/>
      </c>
      <c r="I989" s="37">
        <f>IF($A989="","",IFERROR(MAX(0,$H989-$F989),0))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7">
        <f>IF($A990="","",$B990+$C990-$D990-$E990)</f>
        <v/>
      </c>
      <c r="H990" s="37">
        <f>IF($A990="","",IFERROR(ROUND($G990*INDEX(tblKurallar[deger_2025],MATCH("AKV-003",tblKurallar[kural_id],0)),2),0))</f>
        <v/>
      </c>
      <c r="I990" s="37">
        <f>IF($A990="","",IFERROR(MAX(0,$H990-$F990),0))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7">
        <f>IF($A991="","",$B991+$C991-$D991-$E991)</f>
        <v/>
      </c>
      <c r="H991" s="37">
        <f>IF($A991="","",IFERROR(ROUND($G991*INDEX(tblKurallar[deger_2025],MATCH("AKV-003",tblKurallar[kural_id],0)),2),0))</f>
        <v/>
      </c>
      <c r="I991" s="37">
        <f>IF($A991="","",IFERROR(MAX(0,$H991-$F991),0))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7">
        <f>IF($A992="","",$B992+$C992-$D992-$E992)</f>
        <v/>
      </c>
      <c r="H992" s="37">
        <f>IF($A992="","",IFERROR(ROUND($G992*INDEX(tblKurallar[deger_2025],MATCH("AKV-003",tblKurallar[kural_id],0)),2),0))</f>
        <v/>
      </c>
      <c r="I992" s="37">
        <f>IF($A992="","",IFERROR(MAX(0,$H992-$F992),0))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7">
        <f>IF($A993="","",$B993+$C993-$D993-$E993)</f>
        <v/>
      </c>
      <c r="H993" s="37">
        <f>IF($A993="","",IFERROR(ROUND($G993*INDEX(tblKurallar[deger_2025],MATCH("AKV-003",tblKurallar[kural_id],0)),2),0))</f>
        <v/>
      </c>
      <c r="I993" s="37">
        <f>IF($A993="","",IFERROR(MAX(0,$H993-$F993),0))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7">
        <f>IF($A994="","",$B994+$C994-$D994-$E994)</f>
        <v/>
      </c>
      <c r="H994" s="37">
        <f>IF($A994="","",IFERROR(ROUND($G994*INDEX(tblKurallar[deger_2025],MATCH("AKV-003",tblKurallar[kural_id],0)),2),0))</f>
        <v/>
      </c>
      <c r="I994" s="37">
        <f>IF($A994="","",IFERROR(MAX(0,$H994-$F994),0))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7">
        <f>IF($A995="","",$B995+$C995-$D995-$E995)</f>
        <v/>
      </c>
      <c r="H995" s="37">
        <f>IF($A995="","",IFERROR(ROUND($G995*INDEX(tblKurallar[deger_2025],MATCH("AKV-003",tblKurallar[kural_id],0)),2),0))</f>
        <v/>
      </c>
      <c r="I995" s="37">
        <f>IF($A995="","",IFERROR(MAX(0,$H995-$F995),0))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7">
        <f>IF($A996="","",$B996+$C996-$D996-$E996)</f>
        <v/>
      </c>
      <c r="H996" s="37">
        <f>IF($A996="","",IFERROR(ROUND($G996*INDEX(tblKurallar[deger_2025],MATCH("AKV-003",tblKurallar[kural_id],0)),2),0))</f>
        <v/>
      </c>
      <c r="I996" s="37">
        <f>IF($A996="","",IFERROR(MAX(0,$H996-$F996),0))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7">
        <f>IF($A997="","",$B997+$C997-$D997-$E997)</f>
        <v/>
      </c>
      <c r="H997" s="37">
        <f>IF($A997="","",IFERROR(ROUND($G997*INDEX(tblKurallar[deger_2025],MATCH("AKV-003",tblKurallar[kural_id],0)),2),0))</f>
        <v/>
      </c>
      <c r="I997" s="37">
        <f>IF($A997="","",IFERROR(MAX(0,$H997-$F997),0))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7">
        <f>IF($A998="","",$B998+$C998-$D998-$E998)</f>
        <v/>
      </c>
      <c r="H998" s="37">
        <f>IF($A998="","",IFERROR(ROUND($G998*INDEX(tblKurallar[deger_2025],MATCH("AKV-003",tblKurallar[kural_id],0)),2),0))</f>
        <v/>
      </c>
      <c r="I998" s="37">
        <f>IF($A998="","",IFERROR(MAX(0,$H998-$F998),0))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7">
        <f>IF($A999="","",$B999+$C999-$D999-$E999)</f>
        <v/>
      </c>
      <c r="H999" s="37">
        <f>IF($A999="","",IFERROR(ROUND($G999*INDEX(tblKurallar[deger_2025],MATCH("AKV-003",tblKurallar[kural_id],0)),2),0))</f>
        <v/>
      </c>
      <c r="I999" s="37">
        <f>IF($A999="","",IFERROR(MAX(0,$H999-$F999),0))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7">
        <f>IF($A1000="","",$B1000+$C1000-$D1000-$E1000)</f>
        <v/>
      </c>
      <c r="H1000" s="37">
        <f>IF($A1000="","",IFERROR(ROUND($G1000*INDEX(tblKurallar[deger_2025],MATCH("AKV-003",tblKurallar[kural_id],0)),2),0))</f>
        <v/>
      </c>
      <c r="I1000" s="37">
        <f>IF($A1000="","",IFERROR(MAX(0,$H1000-$F1000),0))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7">
        <f>IF($A1001="","",$B1001+$C1001-$D1001-$E1001)</f>
        <v/>
      </c>
      <c r="H1001" s="37">
        <f>IF($A1001="","",IFERROR(ROUND($G1001*INDEX(tblKurallar[deger_2025],MATCH("AKV-003",tblKurallar[kural_id],0)),2),0))</f>
        <v/>
      </c>
      <c r="I1001" s="37">
        <f>IF($A1001="","",IFERROR(MAX(0,$H1001-$F1001),0))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7">
        <f>IF($A1002="","",$B1002+$C1002-$D1002-$E1002)</f>
        <v/>
      </c>
      <c r="H1002" s="37">
        <f>IF($A1002="","",IFERROR(ROUND($G1002*INDEX(tblKurallar[deger_2025],MATCH("AKV-003",tblKurallar[kural_id],0)),2),0))</f>
        <v/>
      </c>
      <c r="I1002" s="37">
        <f>IF($A1002="","",IFERROR(MAX(0,$H1002-$F1002),0))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7">
        <f>IF($A1003="","",$B1003+$C1003-$D1003-$E1003)</f>
        <v/>
      </c>
      <c r="H1003" s="37">
        <f>IF($A1003="","",IFERROR(ROUND($G1003*INDEX(tblKurallar[deger_2025],MATCH("AKV-003",tblKurallar[kural_id],0)),2),0))</f>
        <v/>
      </c>
      <c r="I1003" s="37">
        <f>IF($A1003="","",IFERROR(MAX(0,$H1003-$F1003),0))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7">
        <f>IF($A1004="","",$B1004+$C1004-$D1004-$E1004)</f>
        <v/>
      </c>
      <c r="H1004" s="37">
        <f>IF($A1004="","",IFERROR(ROUND($G1004*INDEX(tblKurallar[deger_2025],MATCH("AKV-003",tblKurallar[kural_id],0)),2),0))</f>
        <v/>
      </c>
      <c r="I1004" s="37">
        <f>IF($A1004="","",IFERROR(MAX(0,$H1004-$F1004),0))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5">
    <dataValidation sqref="B6:B1004" showDropDown="0" showInputMessage="1" showErrorMessage="1" allowBlank="1" errorTitle="Geçersiz" error="0 ile 1e12 arasında." promptTitle="Ticari Kâr" prompt="Ticari Kâr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KKEG" prompt="KKEG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İstisna" prompt="İstisna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İndirim" prompt="İndirim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Ödenen KV" prompt="Ödenen KV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Asgari Kurumlar Vergisi Simülasyon Motoru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Asgari Kurumlar Vergisi Simülasyon Motoru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10.08.2026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46244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10.08.2026</t>
        </is>
      </c>
      <c r="H7" s="62">
        <f>IF(A7="","",IF(B7="","EKSİK","TAM"))</f>
        <v/>
      </c>
    </row>
    <row r="8">
      <c r="A8" s="7" t="inlineStr">
        <is>
          <t>akv_tolerans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10.08.2026</t>
        </is>
      </c>
      <c r="H8" s="62">
        <f>IF(A8="","",IF(B8="","EKSİK","TAM"))</f>
        <v/>
      </c>
    </row>
    <row r="9">
      <c r="A9" s="7" t="inlineStr">
        <is>
          <t>akv_farkEsik</t>
        </is>
      </c>
      <c r="B9" s="64" t="n">
        <v>100000</v>
      </c>
      <c r="C9" s="7" t="inlineStr">
        <is>
          <t>TL</t>
        </is>
      </c>
      <c r="D9" s="7" t="inlineStr">
        <is>
          <t>PANO fark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10.08.2026</t>
        </is>
      </c>
      <c r="H9" s="62">
        <f>IF(A9="","",IF(B9="","EKSİK","TAM"))</f>
        <v/>
      </c>
    </row>
    <row r="10">
      <c r="A10" s="7" t="inlineStr">
        <is>
          <t>akv_senaryoIyi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10.08.2026</t>
        </is>
      </c>
      <c r="H10" s="62">
        <f>IF(A10="","",IF(B10="","EKSİK","TAM"))</f>
        <v/>
      </c>
    </row>
    <row r="11">
      <c r="A11" s="7" t="inlineStr">
        <is>
          <t>akv_senaryoKotu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10.08.2026</t>
        </is>
      </c>
      <c r="H11" s="62">
        <f>IF(A11="","",IF(B11="","EKSİK","TAM"))</f>
        <v/>
      </c>
    </row>
    <row r="12">
      <c r="A12" s="7" t="inlineStr">
        <is>
          <t>akv_oranArtisPuan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10.08.2026</t>
        </is>
      </c>
      <c r="H12" s="62">
        <f>IF(A12="","",IF(B12="","EKSİK","TAM"))</f>
        <v/>
      </c>
    </row>
    <row r="13">
      <c r="A13" s="7" t="inlineStr">
        <is>
          <t>akv_tahminAlt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10.08.2026</t>
        </is>
      </c>
      <c r="H13" s="62">
        <f>IF(A13="","",IF(B13="","EKSİK","TAM"))</f>
        <v/>
      </c>
    </row>
    <row r="14">
      <c r="A14" s="7" t="inlineStr">
        <is>
          <t>akv_tahminUst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10.08.2026</t>
        </is>
      </c>
      <c r="H14" s="62">
        <f>IF(A14="","",IF(B14="","EKSİK","TAM"))</f>
        <v/>
      </c>
    </row>
    <row r="15">
      <c r="A15" s="7" t="inlineStr">
        <is>
          <t>akv_tornadoMatrah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10.08.2026</t>
        </is>
      </c>
      <c r="H15" s="62">
        <f>IF(A15="","",IF(B15="","EKSİK","TAM"))</f>
        <v/>
      </c>
    </row>
    <row r="16">
      <c r="A16" s="7" t="inlineStr">
        <is>
          <t>akv_tornadoOdenen</t>
        </is>
      </c>
      <c r="B16" s="43" t="n">
        <v>0.95</v>
      </c>
      <c r="C16" s="7" t="inlineStr">
        <is>
          <t>çarpan</t>
        </is>
      </c>
      <c r="D16" s="7" t="inlineStr">
        <is>
          <t>Tornado ödenen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10.08.2026</t>
        </is>
      </c>
      <c r="H16" s="62">
        <f>IF(A16="","",IF(B16="","EKSİK","TAM"))</f>
        <v/>
      </c>
    </row>
    <row r="17">
      <c r="A17" s="7" t="inlineStr">
        <is>
          <t>akv_yorumAIstisnaCarpan</t>
        </is>
      </c>
      <c r="B17" s="43" t="n">
        <v>0.5</v>
      </c>
      <c r="C17" s="7" t="inlineStr">
        <is>
          <t>çarpan</t>
        </is>
      </c>
      <c r="D17" s="7" t="inlineStr">
        <is>
          <t>Yorum A istisna çarpanı</t>
        </is>
      </c>
      <c r="E17" s="7" t="inlineStr">
        <is>
          <t>Belirsizlik A</t>
        </is>
      </c>
      <c r="F17" s="7" t="inlineStr">
        <is>
          <t>01.01.2025</t>
        </is>
      </c>
      <c r="G17" s="7" t="inlineStr">
        <is>
          <t>10.08.2026</t>
        </is>
      </c>
      <c r="H17" s="62">
        <f>IF(A17="","",IF(B17="","EKSİK","TAM"))</f>
        <v/>
      </c>
    </row>
    <row r="18">
      <c r="A18" s="7" t="inlineStr">
        <is>
          <t>akv_yuzdelikOran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10.08.2026</t>
        </is>
      </c>
      <c r="H18" s="62">
        <f>IF(A18="","",IF(B18="","EKSİK","TAM"))</f>
        <v/>
      </c>
    </row>
    <row r="19">
      <c r="A19" s="7" t="inlineStr">
        <is>
          <t>akv_parmakIzi</t>
        </is>
      </c>
      <c r="B19" s="65" t="inlineStr">
        <is>
          <t>36abc96f6d9001c2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10.08.2026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10.08.2026</t>
        </is>
      </c>
      <c r="H20" s="62">
        <f>IF(A20="","",IF(B20="","EKSİK","TAM"))</f>
        <v/>
      </c>
    </row>
    <row r="21">
      <c r="A21" s="7" t="inlineStr">
        <is>
          <t>akv_girisBeklenen</t>
        </is>
      </c>
      <c r="B21" s="44" t="n">
        <v>9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10.08.2026</t>
        </is>
      </c>
      <c r="H21" s="62">
        <f>IF(A21="","",IF(B21="","EKSİK","TAM"))</f>
        <v/>
      </c>
    </row>
    <row r="22">
      <c r="A22" s="7" t="inlineStr">
        <is>
          <t>akv_riskDusuk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10.08.2026</t>
        </is>
      </c>
      <c r="H22" s="62">
        <f>IF(A22="","",IF(B22="","EKSİK","TAM"))</f>
        <v/>
      </c>
    </row>
    <row r="23">
      <c r="A23" s="7" t="inlineStr">
        <is>
          <t>akv_riskOrta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10.08.2026</t>
        </is>
      </c>
      <c r="H23" s="62">
        <f>IF(A23="","",IF(B23="","EKSİK","TAM"))</f>
        <v/>
      </c>
    </row>
    <row r="24">
      <c r="A24" s="7" t="inlineStr">
        <is>
          <t>akv_riskYuksek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10.08.2026</t>
        </is>
      </c>
      <c r="H24" s="62">
        <f>IF(A24="","",IF(B24="","EKSİK","TAM"))</f>
        <v/>
      </c>
    </row>
    <row r="25">
      <c r="A25" s="7" t="inlineStr">
        <is>
          <t>akv_riskEsikOran</t>
        </is>
      </c>
      <c r="B25" s="43" t="n">
        <v>0.5</v>
      </c>
      <c r="C25" s="7" t="inlineStr">
        <is>
          <t>oran</t>
        </is>
      </c>
      <c r="D25" s="7" t="inlineStr">
        <is>
          <t>Yüksek risk fark/asgari eşiği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10.08.2026</t>
        </is>
      </c>
      <c r="H25" s="62">
        <f>IF(A25="","",IF(B25="","EKSİK","TAM"))</f>
        <v/>
      </c>
    </row>
    <row r="26">
      <c r="A26" s="7" t="inlineStr">
        <is>
          <t>akv_yilTaban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10.08.2026</t>
        </is>
      </c>
      <c r="H26" s="62">
        <f>IF(A26="","",IF(B26="","EKSİK","TAM"))</f>
        <v/>
      </c>
    </row>
    <row r="27">
      <c r="A27" s="7" t="inlineStr">
        <is>
          <t>akv_yuvarMax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10.08.2026</t>
        </is>
      </c>
      <c r="H27" s="62">
        <f>IF(A27="","",IF(B27="","EKSİK","TAM"))</f>
        <v/>
      </c>
    </row>
    <row r="28">
      <c r="A28" s="7" t="inlineStr">
        <is>
          <t>vaka_matrah_1</t>
        </is>
      </c>
      <c r="B28" s="64" t="n">
        <v>10200000</v>
      </c>
      <c r="C28" s="7" t="inlineStr">
        <is>
          <t>TL</t>
        </is>
      </c>
      <c r="D28" s="7" t="inlineStr">
        <is>
          <t>Vaka1 matrah</t>
        </is>
      </c>
      <c r="E28" s="7" t="inlineStr">
        <is>
          <t>Tebliğ örneği</t>
        </is>
      </c>
      <c r="F28" s="7" t="inlineStr">
        <is>
          <t>01.01.2025</t>
        </is>
      </c>
      <c r="G28" s="7" t="inlineStr">
        <is>
          <t>10.08.2026</t>
        </is>
      </c>
      <c r="H28" s="62">
        <f>IF(A28="","",IF(B28="","EKSİK","TAM"))</f>
        <v/>
      </c>
    </row>
    <row r="29">
      <c r="A29" s="7" t="inlineStr">
        <is>
          <t>vaka_odenen_1</t>
        </is>
      </c>
      <c r="B29" s="64" t="n">
        <v>800000</v>
      </c>
      <c r="C29" s="7" t="inlineStr">
        <is>
          <t>TL</t>
        </is>
      </c>
      <c r="D29" s="7" t="inlineStr">
        <is>
          <t>Vaka1 ödenen</t>
        </is>
      </c>
      <c r="E29" s="7" t="inlineStr">
        <is>
          <t>Tebliğ örneği</t>
        </is>
      </c>
      <c r="F29" s="7" t="inlineStr">
        <is>
          <t>01.01.2025</t>
        </is>
      </c>
      <c r="G29" s="7" t="inlineStr">
        <is>
          <t>10.08.2026</t>
        </is>
      </c>
      <c r="H29" s="62">
        <f>IF(A29="","",IF(B29="","EKSİK","TAM"))</f>
        <v/>
      </c>
    </row>
    <row r="30">
      <c r="A30" s="7" t="inlineStr">
        <is>
          <t>vaka_matrah_2</t>
        </is>
      </c>
      <c r="B30" s="64" t="n">
        <v>10200000</v>
      </c>
      <c r="C30" s="7" t="inlineStr">
        <is>
          <t>TL</t>
        </is>
      </c>
      <c r="D30" s="7" t="inlineStr">
        <is>
          <t>Vaka2 matrah</t>
        </is>
      </c>
      <c r="E30" s="7" t="inlineStr">
        <is>
          <t>Tebliğ örneği</t>
        </is>
      </c>
      <c r="F30" s="7" t="inlineStr">
        <is>
          <t>01.01.2025</t>
        </is>
      </c>
      <c r="G30" s="7" t="inlineStr">
        <is>
          <t>10.08.2026</t>
        </is>
      </c>
      <c r="H30" s="62">
        <f>IF(A30="","",IF(B30="","EKSİK","TAM"))</f>
        <v/>
      </c>
    </row>
    <row r="31">
      <c r="A31" s="7" t="inlineStr">
        <is>
          <t>vaka_odenen_2</t>
        </is>
      </c>
      <c r="B31" s="64" t="n">
        <v>1020000</v>
      </c>
      <c r="C31" s="7" t="inlineStr">
        <is>
          <t>TL</t>
        </is>
      </c>
      <c r="D31" s="7" t="inlineStr">
        <is>
          <t>Vaka2 ödenen</t>
        </is>
      </c>
      <c r="E31" s="7" t="inlineStr">
        <is>
          <t>Tebliğ örneği</t>
        </is>
      </c>
      <c r="F31" s="7" t="inlineStr">
        <is>
          <t>01.01.2025</t>
        </is>
      </c>
      <c r="G31" s="7" t="inlineStr">
        <is>
          <t>10.08.2026</t>
        </is>
      </c>
      <c r="H31" s="62">
        <f>IF(A31="","",IF(B31="","EKSİK","TAM"))</f>
        <v/>
      </c>
    </row>
    <row r="32">
      <c r="A32" s="7" t="inlineStr">
        <is>
          <t>vaka_matrah_3</t>
        </is>
      </c>
      <c r="B32" s="64" t="n">
        <v>5000000</v>
      </c>
      <c r="C32" s="7" t="inlineStr">
        <is>
          <t>TL</t>
        </is>
      </c>
      <c r="D32" s="7" t="inlineStr">
        <is>
          <t>Vaka3 matrah</t>
        </is>
      </c>
      <c r="E32" s="7" t="inlineStr">
        <is>
          <t>Tebliğ örneği</t>
        </is>
      </c>
      <c r="F32" s="7" t="inlineStr">
        <is>
          <t>01.01.2025</t>
        </is>
      </c>
      <c r="G32" s="7" t="inlineStr">
        <is>
          <t>10.08.2026</t>
        </is>
      </c>
      <c r="H32" s="62">
        <f>IF(A32="","",IF(B32="","EKSİK","TAM"))</f>
        <v/>
      </c>
    </row>
    <row r="33">
      <c r="A33" s="7" t="inlineStr">
        <is>
          <t>vaka_odenen_3</t>
        </is>
      </c>
      <c r="B33" s="64" t="n">
        <v>400000</v>
      </c>
      <c r="C33" s="7" t="inlineStr">
        <is>
          <t>TL</t>
        </is>
      </c>
      <c r="D33" s="7" t="inlineStr">
        <is>
          <t>Vaka3 ödenen</t>
        </is>
      </c>
      <c r="E33" s="7" t="inlineStr">
        <is>
          <t>Tebliğ örneği</t>
        </is>
      </c>
      <c r="F33" s="7" t="inlineStr">
        <is>
          <t>01.01.2025</t>
        </is>
      </c>
      <c r="G33" s="7" t="inlineStr">
        <is>
          <t>10.08.2026</t>
        </is>
      </c>
      <c r="H33" s="62">
        <f>IF(A33="","",IF(B33="","EKSİK","TAM"))</f>
        <v/>
      </c>
    </row>
    <row r="35">
      <c r="B35" s="66" t="inlineStr">
        <is>
          <t>Parametre satırları yukarıda; ad tanımları B kolonuna bağlı.</t>
        </is>
      </c>
    </row>
    <row r="37">
      <c r="B3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Asgari Kurumlar Vergisi Simülasyon Motoru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EK VERGİ YOK / UYGUN — ödenen KV ≥ asgari KV (fark = 0).</t>
        </is>
      </c>
    </row>
    <row r="7">
      <c r="A7" s="6" t="inlineStr">
        <is>
          <t>• FARK HESAPLA / DİKKAT — ödenen KV &lt; asgari KV; tamamlayıcı fark üretilir.</t>
        </is>
      </c>
    </row>
    <row r="9">
      <c r="A9" s="67" t="inlineStr">
        <is>
          <t>Belirsizlik beyanları (M05)</t>
        </is>
      </c>
    </row>
    <row r="10">
      <c r="A10" s="12" t="inlineStr">
        <is>
          <t>Bu nokta mevzuatta tartışmalıdır; dosya yorum A ve yorum B sonucunu yan yana gösterir: istisna_kirilim_sirasi</t>
        </is>
      </c>
    </row>
    <row r="12">
      <c r="A12" s="10" t="inlineStr">
        <is>
          <t>Yorum A</t>
        </is>
      </c>
      <c r="B12" s="6" t="inlineStr">
        <is>
          <t>İstisnanın bir kısmı asgari matrah hesabında dikkate alınır (çarpan AYARLAR'da). Bu nokta mevzuatta tartışmalıdır; sonuç yorum B ile yan yana okunmalıdır.</t>
        </is>
      </c>
    </row>
    <row r="13">
      <c r="A13" s="10" t="inlineStr">
        <is>
          <t>Yorum B</t>
        </is>
      </c>
      <c r="B13" s="6" t="inlineStr">
        <is>
          <t>İstisnanın tamamı matrahtan düşülür. Dosya her iki yorumun asgari KV sonucunu MOTOR'da üretir.</t>
        </is>
      </c>
    </row>
    <row r="15">
      <c r="A15" s="10" t="inlineStr">
        <is>
          <t>Kullanım sırası</t>
        </is>
      </c>
    </row>
    <row r="16">
      <c r="A16" s="6" t="inlineStr">
        <is>
          <t>GIRDI → KURALLAR (gerekirse) → MOTOR (inceleme) → SENARYO → VAKALAR → PANO → KANIT_RAPORU → AYARLAR.</t>
        </is>
      </c>
    </row>
    <row r="18">
      <c r="A18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T5"/>
    <mergeCell ref="A6:T6"/>
    <mergeCell ref="A7:T7"/>
    <mergeCell ref="A16:J16"/>
    <mergeCell ref="A10:T10"/>
    <mergeCell ref="B12:J12"/>
    <mergeCell ref="B13:J13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2026-08-10T21:03:45Z</dcterms:created>
  <dcterms:modified xmlns:dcterms="http://purl.org/dc/terms/" xmlns:xsi="http://www.w3.org/2001/XMLSchema-instance" xsi:type="dcterms:W3CDTF">2026-09-25T15:00:28Z</dcterms:modified>
</cp:coreProperties>
</file>