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comments/comment4.xml" ContentType="application/vnd.openxmlformats-officedocument.spreadsheetml.comments+xml"/>
  <Override PartName="/xl/worksheets/sheet13.xml" ContentType="application/vnd.openxmlformats-officedocument.spreadsheetml.worksheet+xml"/>
  <Override PartName="/xl/comments/comment5.xml" ContentType="application/vnd.openxmlformats-officedocument.spreadsheetml.comments+xml"/>
  <Override PartName="/xl/worksheets/sheet14.xml" ContentType="application/vnd.openxmlformats-officedocument.spreadsheetml.worksheet+xml"/>
  <Override PartName="/xl/drawings/drawing4.xml" ContentType="application/vnd.openxmlformats-officedocument.drawing+xml"/>
  <Override PartName="/xl/comments/comment6.xml" ContentType="application/vnd.openxmlformats-officedocument.spreadsheetml.comments+xml"/>
  <Override PartName="/xl/tables/table4.xml" ContentType="application/vnd.openxmlformats-officedocument.spreadsheetml.table+xml"/>
  <Override PartName="/xl/worksheets/sheet15.xml" ContentType="application/vnd.openxmlformats-officedocument.spreadsheetml.worksheet+xml"/>
  <Override PartName="/xl/comments/comment7.xml" ContentType="application/vnd.openxmlformats-officedocument.spreadsheetml.comments+xml"/>
  <Override PartName="/xl/worksheets/sheet16.xml" ContentType="application/vnd.openxmlformats-officedocument.spreadsheetml.worksheet+xml"/>
  <Override PartName="/xl/comments/comment8.xml" ContentType="application/vnd.openxmlformats-officedocument.spreadsheetml.comments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KAPAK" sheetId="4" state="hidden" r:id="rId4"/>
    <sheet xmlns:r="http://schemas.openxmlformats.org/officeDocument/2006/relationships" name="HIZLI_BASLANGIC" sheetId="5" state="hidden" r:id="rId5"/>
    <sheet xmlns:r="http://schemas.openxmlformats.org/officeDocument/2006/relationships" name="PANO" sheetId="6" state="hidden" r:id="rId6"/>
    <sheet xmlns:r="http://schemas.openxmlformats.org/officeDocument/2006/relationships" name="GIRDI" sheetId="7" state="hidden" r:id="rId7"/>
    <sheet xmlns:r="http://schemas.openxmlformats.org/officeDocument/2006/relationships" name="KURALLAR" sheetId="8" state="hidden" r:id="rId8"/>
    <sheet xmlns:r="http://schemas.openxmlformats.org/officeDocument/2006/relationships" name="MOTOR" sheetId="9" state="hidden" r:id="rId9"/>
    <sheet xmlns:r="http://schemas.openxmlformats.org/officeDocument/2006/relationships" name="SENARYO" sheetId="10" state="hidden" r:id="rId10"/>
    <sheet xmlns:r="http://schemas.openxmlformats.org/officeDocument/2006/relationships" name="VAKALAR" sheetId="11" state="hidden" r:id="rId11"/>
    <sheet xmlns:r="http://schemas.openxmlformats.org/officeDocument/2006/relationships" name="KANIT_RAPORU" sheetId="12" state="hidden" r:id="rId12"/>
    <sheet xmlns:r="http://schemas.openxmlformats.org/officeDocument/2006/relationships" name="KONTROLLER" sheetId="13" state="hidden" r:id="rId13"/>
    <sheet xmlns:r="http://schemas.openxmlformats.org/officeDocument/2006/relationships" name="ORNEK_VERI" sheetId="14" state="hidden" r:id="rId14"/>
    <sheet xmlns:r="http://schemas.openxmlformats.org/officeDocument/2006/relationships" name="LISTELER" sheetId="15" state="hidden" r:id="rId15"/>
    <sheet xmlns:r="http://schemas.openxmlformats.org/officeDocument/2006/relationships" name="AYARLAR" sheetId="16" state="hidden" r:id="rId16"/>
    <sheet xmlns:r="http://schemas.openxmlformats.org/officeDocument/2006/relationships" name="KILAVUZ" sheetId="17" state="hidden" r:id="rId17"/>
  </sheets>
  <definedNames>
    <definedName name="hesapYili">GIRDI!$B$8</definedName>
    <definedName name="raporTarihi">AYARLAR!$B$7</definedName>
    <definedName name="akv_matrah">GIRDI!$B$16</definedName>
    <definedName name="akv_odenenKv">GIRDI!$B$13</definedName>
    <definedName name="akv_asgariKv">MOTOR!$G$22</definedName>
    <definedName name="akv_fark">MOTOR!$G$24</definedName>
    <definedName name="akv_kararMetni">MOTOR!$G$27</definedName>
    <definedName name="akv_kararGerekce">MOTOR!$G$28</definedName>
    <definedName name="akv_maddeAtifMetni">MOTOR!$G$49</definedName>
    <definedName name="akv_kanitRaporu">MOTOR!$G$50</definedName>
    <definedName name="akv_kuralYilMatris">KURALLAR!$B$17</definedName>
    <definedName name="akv_parmakIzi">AYARLAR!$B$19</definedName>
    <definedName name="akv_senaryoKarsilastirma">SENARYO!$B$11</definedName>
    <definedName name="akv_yorumSenaryo">SENARYO!$B$12</definedName>
    <definedName name="akv_duyarlilikSira">SENARYO!$B$19</definedName>
    <definedName name="akv_yorumDuyarlilik">SENARYO!$B$20</definedName>
    <definedName name="akv_kuralDegisimSenaryo">SENARYO!$B$22</definedName>
    <definedName name="akv_yorumKuralDegisim">SENARYO!$B$23</definedName>
    <definedName name="akv_tahminAralik">SENARYO!$B$32</definedName>
    <definedName name="akv_yorumTahmin">SENARYO!$B$33</definedName>
    <definedName name="akv_vakaDurum">VAKALAR!$B$12</definedName>
    <definedName name="akv_vakaFark">VAKALAR!$B$13</definedName>
    <definedName name="akv_tolerans">AYARLAR!$B$8</definedName>
    <definedName name="akv_farkEsik">AYARLAR!$B$9</definedName>
    <definedName name="akv_senaryoIyi">AYARLAR!$B$10</definedName>
    <definedName name="akv_senaryoKotu">AYARLAR!$B$11</definedName>
    <definedName name="akv_oranArtisPuan">AYARLAR!$B$12</definedName>
    <definedName name="akv_tahminAlt">AYARLAR!$B$13</definedName>
    <definedName name="akv_tahminUst">AYARLAR!$B$14</definedName>
    <definedName name="akv_tornadoMatrah">AYARLAR!$B$15</definedName>
    <definedName name="akv_tornadoOdenen">AYARLAR!$B$16</definedName>
    <definedName name="akv_yorumAIstisnaCarpan">AYARLAR!$B$17</definedName>
    <definedName name="akv_yuzdelikOran">AYARLAR!$B$18</definedName>
    <definedName name="akv_girisBeklenen">AYARLAR!$B$21</definedName>
    <definedName name="akv_riskDusuk">AYARLAR!$B$22</definedName>
    <definedName name="akv_riskOrta">AYARLAR!$B$23</definedName>
    <definedName name="akv_riskYuksek">AYARLAR!$B$24</definedName>
    <definedName name="akv_riskEsikOran">AYARLAR!$B$25</definedName>
    <definedName name="akv_yilTaban">AYARLAR!$B$26</definedName>
    <definedName name="akv_yuvarMax">AYARLAR!$B$27</definedName>
    <definedName name="vaka_matrah_1">AYARLAR!$B$28</definedName>
    <definedName name="vaka_odenen_1">AYARLAR!$B$29</definedName>
    <definedName name="vaka_matrah_2">AYARLAR!$B$30</definedName>
    <definedName name="vaka_odenen_2">AYARLAR!$B$31</definedName>
    <definedName name="vaka_matrah_3">AYARLAR!$B$32</definedName>
    <definedName name="vaka_odenen_3">AYARLAR!$B$33</definedName>
    <definedName name="akv_modulT1">PANO!$C$11</definedName>
    <definedName name="akv_modulT1Yorum">PANO!$D$11</definedName>
    <definedName name="akv_modulT2">PANO!$C$12</definedName>
    <definedName name="akv_modulT2Yorum">PANO!$D$12</definedName>
    <definedName name="akv_modulO1">PANO!$C$13</definedName>
    <definedName name="akv_modulO1Yorum">PANO!$D$13</definedName>
    <definedName name="akv_modulO6">PANO!$C$16</definedName>
    <definedName name="akv_modulO6Yorum">PANO!$D$16</definedName>
    <definedName name="akv_modulO8">PANO!$C$17</definedName>
    <definedName name="akv_modulO8Yorum">PANO!$D$17</definedName>
    <definedName name="akv_modulI2">PANO!$C$20</definedName>
    <definedName name="akv_modulI2Yorum">PANO!$D$20</definedName>
    <definedName name="ListeYillar">LISTELER!$A$6:$A$8</definedName>
    <definedName name="ListeYorumAB">LISTELER!$C$6:$C$7</definedName>
    <definedName name="ListeEvetHayir">LISTELER!$E$6:$E$7</definedName>
    <definedName name="_xlnm.Print_Area" localSheetId="5">'PANO'!$A$1:$F$34</definedName>
    <definedName name="_xlnm.Print_Area" localSheetId="11">'KANIT_RAPORU'!$A$1:$F$32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₺ #,##0;[Red](₺ #,##0);-"/>
    <numFmt numFmtId="165" formatCode="0.0%;[Red](0.0%);-"/>
    <numFmt numFmtId="166" formatCode="dd.mm.yyyy"/>
    <numFmt numFmtId="167" formatCode="#,##0 &quot;TL&quot;"/>
    <numFmt numFmtId="168" formatCode="0.0%"/>
  </numFmts>
  <fonts count="4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color rgb="00006100"/>
      <sz val="10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color rgb="00000000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6100"/>
      <sz val="12"/>
    </font>
    <font>
      <name val="Segoe UI"/>
      <b val="1"/>
      <color rgb="00B3261E"/>
      <sz val="12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</fonts>
  <fills count="10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3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165" fontId="15" fillId="0" borderId="0" applyAlignment="1" pivotButton="0" quotePrefix="0" xfId="0">
      <alignment horizontal="left" vertical="center"/>
    </xf>
    <xf numFmtId="164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 vertical="center"/>
    </xf>
    <xf numFmtId="0" fontId="19" fillId="4" borderId="0" applyAlignment="1" applyProtection="1" pivotButton="0" quotePrefix="0" xfId="0">
      <alignment horizontal="left" vertical="center"/>
      <protection locked="0" hidden="0"/>
    </xf>
    <xf numFmtId="3" fontId="19" fillId="4" borderId="0" applyAlignment="1" applyProtection="1" pivotButton="0" quotePrefix="0" xfId="0">
      <alignment horizontal="left" vertical="center"/>
      <protection locked="0" hidden="0"/>
    </xf>
    <xf numFmtId="164" fontId="19" fillId="4" borderId="0" applyAlignment="1" applyProtection="1" pivotButton="0" quotePrefix="0" xfId="0">
      <alignment horizontal="left" vertical="center"/>
      <protection locked="0" hidden="0"/>
    </xf>
    <xf numFmtId="164" fontId="20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0" fontId="19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4" borderId="0" applyAlignment="1" applyProtection="1" pivotButton="0" quotePrefix="0" xfId="0">
      <alignment horizontal="left" vertical="center"/>
      <protection locked="0" hidden="0"/>
    </xf>
    <xf numFmtId="3" fontId="5" fillId="4" borderId="0" applyAlignment="1" applyProtection="1" pivotButton="0" quotePrefix="0" xfId="0">
      <alignment horizontal="left" vertical="center"/>
      <protection locked="0" hidden="0"/>
    </xf>
    <xf numFmtId="3" fontId="18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 vertical="center"/>
    </xf>
    <xf numFmtId="165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/>
    </xf>
    <xf numFmtId="164" fontId="15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166" fontId="15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8" fillId="4" borderId="0" applyAlignment="1" applyProtection="1" pivotButton="0" quotePrefix="0" xfId="0">
      <alignment horizontal="left" vertical="center"/>
      <protection locked="0" hidden="0"/>
    </xf>
    <xf numFmtId="3" fontId="20" fillId="0" borderId="0" applyAlignment="1" pivotButton="0" quotePrefix="0" xfId="0">
      <alignment horizontal="left" vertical="center"/>
    </xf>
    <xf numFmtId="3" fontId="18" fillId="4" borderId="0" applyAlignment="1" applyProtection="1" pivotButton="0" quotePrefix="0" xfId="0">
      <alignment horizontal="left" vertical="center"/>
      <protection locked="0" hidden="0"/>
    </xf>
    <xf numFmtId="0" fontId="15" fillId="0" borderId="0" applyAlignment="1" pivotButton="0" quotePrefix="0" xfId="0">
      <alignment horizontal="center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164" fontId="5" fillId="4" borderId="0" applyAlignment="1" applyProtection="1" pivotButton="0" quotePrefix="0" xfId="0">
      <alignment horizontal="left" vertical="center"/>
      <protection locked="0" hidden="0"/>
    </xf>
    <xf numFmtId="0" fontId="5" fillId="4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23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0" pivotButton="0" quotePrefix="0" xfId="0"/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1" fillId="8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2" fillId="0" borderId="0" pivotButton="0" quotePrefix="0" xfId="0"/>
    <xf numFmtId="0" fontId="12" fillId="7" borderId="0" applyAlignment="1" pivotButton="0" quotePrefix="0" xfId="0">
      <alignment horizontal="center" vertical="center"/>
    </xf>
    <xf numFmtId="0" fontId="33" fillId="0" borderId="0" pivotButton="0" quotePrefix="0" xfId="0"/>
    <xf numFmtId="167" fontId="33" fillId="0" borderId="0" pivotButton="0" quotePrefix="0" xfId="0"/>
    <xf numFmtId="167" fontId="34" fillId="0" borderId="0" pivotButton="0" quotePrefix="0" xfId="0"/>
    <xf numFmtId="168" fontId="3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/>
    </xf>
    <xf numFmtId="0" fontId="34" fillId="0" borderId="0" pivotButton="0" quotePrefix="0" xfId="0"/>
    <xf numFmtId="0" fontId="38" fillId="9" borderId="2" pivotButton="0" quotePrefix="0" xfId="0"/>
    <xf numFmtId="0" fontId="39" fillId="0" borderId="0" pivotButton="0" quotePrefix="0" xfId="0"/>
    <xf numFmtId="0" fontId="40" fillId="0" borderId="0" pivotButton="0" quotePrefix="0" xfId="0"/>
    <xf numFmtId="0" fontId="33" fillId="0" borderId="0" applyAlignment="1" pivotButton="0" quotePrefix="0" xfId="0">
      <alignment wrapText="1"/>
    </xf>
  </cellXfs>
  <cellStyles count="1">
    <cellStyle name="Normal" xfId="0" builtinId="0" hidden="0"/>
  </cellStyles>
  <dxfs count="7"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3261E"/>
      </font>
    </dxf>
    <dxf>
      <font>
        <b val="1"/>
        <color rgb="001F7A4D"/>
      </font>
    </dxf>
    <dxf>
      <font>
        <b val="1"/>
        <color rgb="00B7791F"/>
      </font>
    </dxf>
    <dxf>
      <font>
        <b val="1"/>
        <color rgb="00B089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Matrah Bileşenleri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'PANO'!$A$24:$A$28</f>
            </numRef>
          </cat>
          <val>
            <numRef>
              <f>'PANO'!$B$24:$B$28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Vergi Kalemleri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'PANO'!E23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'PANO'!$D$24:$D$28</f>
            </numRef>
          </cat>
          <val>
            <numRef>
              <f>'PANO'!$E$24:$E$28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Fark Çizgisi</a:t>
            </a:r>
          </a:p>
        </rich>
      </tx>
    </title>
    <plotArea>
      <lineChart>
        <grouping val="standard"/>
        <ser>
          <idx val="0"/>
          <order val="0"/>
          <tx>
            <strRef>
              <f>'PANO'!E23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'PANO'!$D$24:$D$28</f>
            </numRef>
          </cat>
          <val>
            <numRef>
              <f>'PANO'!$E$24:$E$28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KPI Fark / Asgari / Ödenen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'PANO'!$A$31:$A$33</f>
            </numRef>
          </cat>
          <val>
            <numRef>
              <f>'PANO'!$B$31:$B$33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Fark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Fark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 vs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Senaryo Farkları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'ORNEK_VERI'!$A$6:$A$10</f>
            </numRef>
          </cat>
          <val>
            <numRef>
              <f>'ORNEK_VERI'!$L$6:$L$10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Girdiler | Neden önemli: Asgari KV hesabını ve kararı etkiler | Doğru kullanım: Sırayla izleyin | Örnek: demo satırına bakın | Yanlışsa: Fark ve karar bozulur | Kaynak: [Assumption] KVK 32/C</t>
      </text>
    </comment>
    <comment ref="A6" authorId="0" shapeId="0">
      <text>
        <t>Tanım: Adım 2 — Karar | Neden önemli: Asgari KV hesabını ve kararı etkiler | Doğru kullanım: Sırayla izleyin | Örnek: demo satırına bakın | Yanlışsa: Fark ve karar bozulur | Kaynak: [Assumption] KVK 32/C</t>
      </text>
    </comment>
    <comment ref="A7" authorId="0" shapeId="0">
      <text>
        <t>Tanım: Adım 3 — Kanıt | Neden önemli: Asgari KV hesabını ve kararı etkiler | Doğru kullanım: Sırayla izleyin | Örnek: demo satırına bakın | Yanlışsa: Fark ve karar bozulur | Kaynak: [Assumption] KVK 32/C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6" authorId="0" shapeId="0">
      <text>
        <t>Tanım: Kurum Adı | Neden önemli: Asgari KV hesabını ve kararı etkiler | Doğru kullanım: Kurumun resmi unvanını yazın. | Örnek: demo satırına bakın | Yanlışsa: Fark ve karar bozulur | Kaynak: [Assumption] KVK 32/C</t>
      </text>
    </comment>
    <comment ref="B7" authorId="0" shapeId="0">
      <text>
        <t>Tanım: Dönem | Neden önemli: Asgari KV hesabını ve kararı etkiler | Doğru kullanım: Vergi dönemi etiketini yazın (ör. 2025). | Örnek: demo satırına bakın | Yanlışsa: Fark ve karar bozulur | Kaynak: [Assumption] KVK 32/C</t>
      </text>
    </comment>
    <comment ref="B8" authorId="0" shapeId="0">
      <text>
        <t>Tanım: Hesap Yılı | Neden önemli: Asgari KV hesabını ve kararı etkiler | Doğru kullanım: 2025, 2026 veya 2027 seçin. | Örnek: demo satırına bakın | Yanlışsa: Fark ve karar bozulur | Kaynak: [Assumption] KVK 32/C</t>
      </text>
    </comment>
    <comment ref="B9" authorId="0" shapeId="0">
      <text>
        <t>Tanım: Ticari Kâr [₺] | Neden önemli: Asgari KV hesabını ve kararı etkiler | Doğru kullanım: Dönem ticari kârını TL girin. | Örnek: demo satırına bakın | Yanlışsa: Fark ve karar bozulur | Kaynak: [Assumption] KVK 32/C</t>
      </text>
    </comment>
    <comment ref="B10" authorId="0" shapeId="0">
      <text>
        <t>Tanım: Kanunen Kabul Edilmeyen [₺] | Neden önemli: Asgari KV hesabını ve kararı etkiler | Doğru kullanım: KKEG tutarını TL girin. | Örnek: demo satırına bakın | Yanlışsa: Fark ve karar bozulur | Kaynak: [Assumption] KVK 32/C</t>
      </text>
    </comment>
    <comment ref="B11" authorId="0" shapeId="0">
      <text>
        <t>Tanım: İstisnalar [₺] | Neden önemli: Asgari KV hesabını ve kararı etkiler | Doğru kullanım: Matrahtan düşülecek istisnaları TL girin. | Örnek: demo satırına bakın | Yanlışsa: Fark ve karar bozulur | Kaynak: [Assumption] KVK 32/C</t>
      </text>
    </comment>
    <comment ref="B12" authorId="0" shapeId="0">
      <text>
        <t>Tanım: İndirimler [₺] | Neden önemli: Asgari KV hesabını ve kararı etkiler | Doğru kullanım: Matrahtan düşülecek indirimleri TL girin. | Örnek: demo satırına bakın | Yanlışsa: Fark ve karar bozulur | Kaynak: [Assumption] KVK 32/C</t>
      </text>
    </comment>
    <comment ref="B13" authorId="0" shapeId="0">
      <text>
        <t>Tanım: Ödenen Kurumlar Vergisi [₺] | Neden önemli: Asgari KV hesabını ve kararı etkiler | Doğru kullanım: Normal KV olarak ödenen / tahakkuk eden tutarı girin. | Örnek: demo satırına bakın | Yanlışsa: Fark ve karar bozulur | Kaynak: [Assumption] KVK 32/C</t>
      </text>
    </comment>
    <comment ref="B14" authorId="0" shapeId="0">
      <text>
        <t>Tanım: İstisna Kırılım Yorumu (A/B) | Neden önemli: Asgari KV hesabını ve kararı etkiler | Doğru kullanım: Belirsizlikte yorum A veya B seçin. | Örnek: demo satırına bakın | Yanlışsa: Fark ve karar bozulur | Kaynak: [Assumption] KVK 32/C</t>
      </text>
    </comment>
    <comment ref="A22" authorId="0" shapeId="0">
      <text>
        <t>Tanım: kurum_adi | Neden önemli: Asgari KV hesabını ve kararı etkiler | Doğru kullanım: Tablo girişi; PANO ile senkron tutun | Örnek: demo satırına bakın | Yanlışsa: Fark ve karar bozulur | Kaynak: [Assumption] KVK 32/C</t>
      </text>
    </comment>
    <comment ref="B22" authorId="0" shapeId="0">
      <text>
        <t>Tanım: kurum_adi | Neden önemli: Asgari KV hesabını ve kararı etkiler | Doğru kullanım: Tablo girişi; PANO ile senkron tutun | Örnek: demo satırına bakın | Yanlışsa: Fark ve karar bozulur | Kaynak: [Assumption] KVK 32/C</t>
      </text>
    </comment>
    <comment ref="C22" authorId="0" shapeId="0">
      <text>
        <t>Tanım: kurum_adi | Neden önemli: Asgari KV hesabını ve kararı etkiler | Doğru kullanım: Tablo girişi; PANO ile senkron tutun | Örnek: demo satırına bakın | Yanlışsa: Fark ve karar bozulur | Kaynak: [Assumption] KVK 32/C</t>
      </text>
    </comment>
    <comment ref="D22" authorId="0" shapeId="0">
      <text>
        <t>Tanım: kurum_adi | Neden önemli: Asgari KV hesabını ve kararı etkiler | Doğru kullanım: Tablo girişi; PANO ile senkron tutun | Örnek: demo satırına bakın | Yanlışsa: Fark ve karar bozulur | Kaynak: [Assumption] KVK 32/C</t>
      </text>
    </comment>
    <comment ref="E22" authorId="0" shapeId="0">
      <text>
        <t>Tanım: kurum_adi | Neden önemli: Asgari KV hesabını ve kararı etkiler | Doğru kullanım: Tablo girişi; PANO ile senkron tutun | Örnek: demo satırına bakın | Yanlışsa: Fark ve karar bozulur | Kaynak: [Assumption] KVK 32/C</t>
      </text>
    </comment>
    <comment ref="A23" authorId="0" shapeId="0">
      <text>
        <t>Tanım: donem | Neden önemli: Asgari KV hesabını ve kararı etkiler | Doğru kullanım: Tablo girişi; PANO ile senkron tutun | Örnek: demo satırına bakın | Yanlışsa: Fark ve karar bozulur | Kaynak: [Assumption] KVK 32/C</t>
      </text>
    </comment>
    <comment ref="B23" authorId="0" shapeId="0">
      <text>
        <t>Tanım: donem | Neden önemli: Asgari KV hesabını ve kararı etkiler | Doğru kullanım: Tablo girişi; PANO ile senkron tutun | Örnek: demo satırına bakın | Yanlışsa: Fark ve karar bozulur | Kaynak: [Assumption] KVK 32/C</t>
      </text>
    </comment>
    <comment ref="C23" authorId="0" shapeId="0">
      <text>
        <t>Tanım: donem | Neden önemli: Asgari KV hesabını ve kararı etkiler | Doğru kullanım: Tablo girişi; PANO ile senkron tutun | Örnek: demo satırına bakın | Yanlışsa: Fark ve karar bozulur | Kaynak: [Assumption] KVK 32/C</t>
      </text>
    </comment>
    <comment ref="D23" authorId="0" shapeId="0">
      <text>
        <t>Tanım: donem | Neden önemli: Asgari KV hesabını ve kararı etkiler | Doğru kullanım: Tablo girişi; PANO ile senkron tutun | Örnek: demo satırına bakın | Yanlışsa: Fark ve karar bozulur | Kaynak: [Assumption] KVK 32/C</t>
      </text>
    </comment>
    <comment ref="E23" authorId="0" shapeId="0">
      <text>
        <t>Tanım: donem | Neden önemli: Asgari KV hesabını ve kararı etkiler | Doğru kullanım: Tablo girişi; PANO ile senkron tutun | Örnek: demo satırına bakın | Yanlışsa: Fark ve karar bozulur | Kaynak: [Assumption] KVK 32/C</t>
      </text>
    </comment>
    <comment ref="A24" authorId="0" shapeId="0">
      <text>
        <t>Tanım: hesapYili | Neden önemli: Asgari KV hesabını ve kararı etkiler | Doğru kullanım: Tablo girişi; PANO ile senkron tutun | Örnek: demo satırına bakın | Yanlışsa: Fark ve karar bozulur | Kaynak: [Assumption] KVK 32/C</t>
      </text>
    </comment>
    <comment ref="B24" authorId="0" shapeId="0">
      <text>
        <t>Tanım: hesapYili | Neden önemli: Asgari KV hesabını ve kararı etkiler | Doğru kullanım: Tablo girişi; PANO ile senkron tutun | Örnek: demo satırına bakın | Yanlışsa: Fark ve karar bozulur | Kaynak: [Assumption] KVK 32/C</t>
      </text>
    </comment>
    <comment ref="C24" authorId="0" shapeId="0">
      <text>
        <t>Tanım: hesapYili | Neden önemli: Asgari KV hesabını ve kararı etkiler | Doğru kullanım: Tablo girişi; PANO ile senkron tutun | Örnek: demo satırına bakın | Yanlışsa: Fark ve karar bozulur | Kaynak: [Assumption] KVK 32/C</t>
      </text>
    </comment>
    <comment ref="D24" authorId="0" shapeId="0">
      <text>
        <t>Tanım: hesapYili | Neden önemli: Asgari KV hesabını ve kararı etkiler | Doğru kullanım: Tablo girişi; PANO ile senkron tutun | Örnek: demo satırına bakın | Yanlışsa: Fark ve karar bozulur | Kaynak: [Assumption] KVK 32/C</t>
      </text>
    </comment>
    <comment ref="E24" authorId="0" shapeId="0">
      <text>
        <t>Tanım: hesapYili | Neden önemli: Asgari KV hesabını ve kararı etkiler | Doğru kullanım: Tablo girişi; PANO ile senkron tutun | Örnek: demo satırına bakın | Yanlışsa: Fark ve karar bozulur | Kaynak: [Assumption] KVK 32/C</t>
      </text>
    </comment>
    <comment ref="A25" authorId="0" shapeId="0">
      <text>
        <t>Tanım: ticari_kar | Neden önemli: Asgari KV hesabını ve kararı etkiler | Doğru kullanım: Tablo girişi; PANO ile senkron tutun | Örnek: demo satırına bakın | Yanlışsa: Fark ve karar bozulur | Kaynak: [Assumption] KVK 32/C</t>
      </text>
    </comment>
    <comment ref="B25" authorId="0" shapeId="0">
      <text>
        <t>Tanım: ticari_kar | Neden önemli: Asgari KV hesabını ve kararı etkiler | Doğru kullanım: Tablo girişi; PANO ile senkron tutun | Örnek: demo satırına bakın | Yanlışsa: Fark ve karar bozulur | Kaynak: [Assumption] KVK 32/C</t>
      </text>
    </comment>
    <comment ref="C25" authorId="0" shapeId="0">
      <text>
        <t>Tanım: ticari_kar | Neden önemli: Asgari KV hesabını ve kararı etkiler | Doğru kullanım: Tablo girişi; PANO ile senkron tutun | Örnek: demo satırına bakın | Yanlışsa: Fark ve karar bozulur | Kaynak: [Assumption] KVK 32/C</t>
      </text>
    </comment>
    <comment ref="D25" authorId="0" shapeId="0">
      <text>
        <t>Tanım: ticari_kar | Neden önemli: Asgari KV hesabını ve kararı etkiler | Doğru kullanım: Tablo girişi; PANO ile senkron tutun | Örnek: demo satırına bakın | Yanlışsa: Fark ve karar bozulur | Kaynak: [Assumption] KVK 32/C</t>
      </text>
    </comment>
    <comment ref="E25" authorId="0" shapeId="0">
      <text>
        <t>Tanım: ticari_kar | Neden önemli: Asgari KV hesabını ve kararı etkiler | Doğru kullanım: Tablo girişi; PANO ile senkron tutun | Örnek: demo satırına bakın | Yanlışsa: Fark ve karar bozulur | Kaynak: [Assumption] KVK 32/C</t>
      </text>
    </comment>
    <comment ref="A26" authorId="0" shapeId="0">
      <text>
        <t>Tanım: kanunen_kabul_edilmeyen | Neden önemli: Asgari KV hesabını ve kararı etkiler | Doğru kullanım: Tablo girişi; PANO ile senkron tutun | Örnek: demo satırına bakın | Yanlışsa: Fark ve karar bozulur | Kaynak: [Assumption] KVK 32/C</t>
      </text>
    </comment>
    <comment ref="B26" authorId="0" shapeId="0">
      <text>
        <t>Tanım: kanunen_kabul_edilmeyen | Neden önemli: Asgari KV hesabını ve kararı etkiler | Doğru kullanım: Tablo girişi; PANO ile senkron tutun | Örnek: demo satırına bakın | Yanlışsa: Fark ve karar bozulur | Kaynak: [Assumption] KVK 32/C</t>
      </text>
    </comment>
    <comment ref="C26" authorId="0" shapeId="0">
      <text>
        <t>Tanım: kanunen_kabul_edilmeyen | Neden önemli: Asgari KV hesabını ve kararı etkiler | Doğru kullanım: Tablo girişi; PANO ile senkron tutun | Örnek: demo satırına bakın | Yanlışsa: Fark ve karar bozulur | Kaynak: [Assumption] KVK 32/C</t>
      </text>
    </comment>
    <comment ref="D26" authorId="0" shapeId="0">
      <text>
        <t>Tanım: kanunen_kabul_edilmeyen | Neden önemli: Asgari KV hesabını ve kararı etkiler | Doğru kullanım: Tablo girişi; PANO ile senkron tutun | Örnek: demo satırına bakın | Yanlışsa: Fark ve karar bozulur | Kaynak: [Assumption] KVK 32/C</t>
      </text>
    </comment>
    <comment ref="E26" authorId="0" shapeId="0">
      <text>
        <t>Tanım: kanunen_kabul_edilmeyen | Neden önemli: Asgari KV hesabını ve kararı etkiler | Doğru kullanım: Tablo girişi; PANO ile senkron tutun | Örnek: demo satırına bakın | Yanlışsa: Fark ve karar bozulur | Kaynak: [Assumption] KVK 32/C</t>
      </text>
    </comment>
    <comment ref="A27" authorId="0" shapeId="0">
      <text>
        <t>Tanım: istisnalar | Neden önemli: Asgari KV hesabını ve kararı etkiler | Doğru kullanım: Tablo girişi; PANO ile senkron tutun | Örnek: demo satırına bakın | Yanlışsa: Fark ve karar bozulur | Kaynak: [Assumption] KVK 32/C</t>
      </text>
    </comment>
    <comment ref="B27" authorId="0" shapeId="0">
      <text>
        <t>Tanım: istisnalar | Neden önemli: Asgari KV hesabını ve kararı etkiler | Doğru kullanım: Tablo girişi; PANO ile senkron tutun | Örnek: demo satırına bakın | Yanlışsa: Fark ve karar bozulur | Kaynak: [Assumption] KVK 32/C</t>
      </text>
    </comment>
    <comment ref="C27" authorId="0" shapeId="0">
      <text>
        <t>Tanım: istisnalar | Neden önemli: Asgari KV hesabını ve kararı etkiler | Doğru kullanım: Tablo girişi; PANO ile senkron tutun | Örnek: demo satırına bakın | Yanlışsa: Fark ve karar bozulur | Kaynak: [Assumption] KVK 32/C</t>
      </text>
    </comment>
    <comment ref="D27" authorId="0" shapeId="0">
      <text>
        <t>Tanım: istisnalar | Neden önemli: Asgari KV hesabını ve kararı etkiler | Doğru kullanım: Tablo girişi; PANO ile senkron tutun | Örnek: demo satırına bakın | Yanlışsa: Fark ve karar bozulur | Kaynak: [Assumption] KVK 32/C</t>
      </text>
    </comment>
    <comment ref="E27" authorId="0" shapeId="0">
      <text>
        <t>Tanım: istisnalar | Neden önemli: Asgari KV hesabını ve kararı etkiler | Doğru kullanım: Tablo girişi; PANO ile senkron tutun | Örnek: demo satırına bakın | Yanlışsa: Fark ve karar bozulur | Kaynak: [Assumption] KVK 32/C</t>
      </text>
    </comment>
    <comment ref="A28" authorId="0" shapeId="0">
      <text>
        <t>Tanım: indirimler | Neden önemli: Asgari KV hesabını ve kararı etkiler | Doğru kullanım: Tablo girişi; PANO ile senkron tutun | Örnek: demo satırına bakın | Yanlışsa: Fark ve karar bozulur | Kaynak: [Assumption] KVK 32/C</t>
      </text>
    </comment>
    <comment ref="B28" authorId="0" shapeId="0">
      <text>
        <t>Tanım: indirimler | Neden önemli: Asgari KV hesabını ve kararı etkiler | Doğru kullanım: Tablo girişi; PANO ile senkron tutun | Örnek: demo satırına bakın | Yanlışsa: Fark ve karar bozulur | Kaynak: [Assumption] KVK 32/C</t>
      </text>
    </comment>
    <comment ref="C28" authorId="0" shapeId="0">
      <text>
        <t>Tanım: indirimler | Neden önemli: Asgari KV hesabını ve kararı etkiler | Doğru kullanım: Tablo girişi; PANO ile senkron tutun | Örnek: demo satırına bakın | Yanlışsa: Fark ve karar bozulur | Kaynak: [Assumption] KVK 32/C</t>
      </text>
    </comment>
    <comment ref="D28" authorId="0" shapeId="0">
      <text>
        <t>Tanım: indirimler | Neden önemli: Asgari KV hesabını ve kararı etkiler | Doğru kullanım: Tablo girişi; PANO ile senkron tutun | Örnek: demo satırına bakın | Yanlışsa: Fark ve karar bozulur | Kaynak: [Assumption] KVK 32/C</t>
      </text>
    </comment>
    <comment ref="E28" authorId="0" shapeId="0">
      <text>
        <t>Tanım: indirimler | Neden önemli: Asgari KV hesabını ve kararı etkiler | Doğru kullanım: Tablo girişi; PANO ile senkron tutun | Örnek: demo satırına bakın | Yanlışsa: Fark ve karar bozulur | Kaynak: [Assumption] KVK 32/C</t>
      </text>
    </comment>
    <comment ref="A29" authorId="0" shapeId="0">
      <text>
        <t>Tanım: odenen_kurumlar_vergisi | Neden önemli: Asgari KV hesabını ve kararı etkiler | Doğru kullanım: Tablo girişi; PANO ile senkron tutun | Örnek: demo satırına bakın | Yanlışsa: Fark ve karar bozulur | Kaynak: [Assumption] KVK 32/C</t>
      </text>
    </comment>
    <comment ref="B29" authorId="0" shapeId="0">
      <text>
        <t>Tanım: odenen_kurumlar_vergisi | Neden önemli: Asgari KV hesabını ve kararı etkiler | Doğru kullanım: Tablo girişi; PANO ile senkron tutun | Örnek: demo satırına bakın | Yanlışsa: Fark ve karar bozulur | Kaynak: [Assumption] KVK 32/C</t>
      </text>
    </comment>
    <comment ref="C29" authorId="0" shapeId="0">
      <text>
        <t>Tanım: odenen_kurumlar_vergisi | Neden önemli: Asgari KV hesabını ve kararı etkiler | Doğru kullanım: Tablo girişi; PANO ile senkron tutun | Örnek: demo satırına bakın | Yanlışsa: Fark ve karar bozulur | Kaynak: [Assumption] KVK 32/C</t>
      </text>
    </comment>
    <comment ref="D29" authorId="0" shapeId="0">
      <text>
        <t>Tanım: odenen_kurumlar_vergisi | Neden önemli: Asgari KV hesabını ve kararı etkiler | Doğru kullanım: Tablo girişi; PANO ile senkron tutun | Örnek: demo satırına bakın | Yanlışsa: Fark ve karar bozulur | Kaynak: [Assumption] KVK 32/C</t>
      </text>
    </comment>
    <comment ref="E29" authorId="0" shapeId="0">
      <text>
        <t>Tanım: odenen_kurumlar_vergisi | Neden önemli: Asgari KV hesabını ve kararı etkiler | Doğru kullanım: Tablo girişi; PANO ile senkron tutun | Örnek: demo satırına bakın | Yanlışsa: Fark ve karar bozulur | Kaynak: [Assumption] KVK 32/C</t>
      </text>
    </comment>
    <comment ref="A30" authorId="0" shapeId="0">
      <text>
        <t>Tanım: istisna_kirilim_yorumu | Neden önemli: Asgari KV hesabını ve kararı etkiler | Doğru kullanım: Tablo girişi; PANO ile senkron tutun | Örnek: demo satırına bakın | Yanlışsa: Fark ve karar bozulur | Kaynak: [Assumption] KVK 32/C</t>
      </text>
    </comment>
    <comment ref="B30" authorId="0" shapeId="0">
      <text>
        <t>Tanım: istisna_kirilim_yorumu | Neden önemli: Asgari KV hesabını ve kararı etkiler | Doğru kullanım: Tablo girişi; PANO ile senkron tutun | Örnek: demo satırına bakın | Yanlışsa: Fark ve karar bozulur | Kaynak: [Assumption] KVK 32/C</t>
      </text>
    </comment>
    <comment ref="C30" authorId="0" shapeId="0">
      <text>
        <t>Tanım: istisna_kirilim_yorumu | Neden önemli: Asgari KV hesabını ve kararı etkiler | Doğru kullanım: Tablo girişi; PANO ile senkron tutun | Örnek: demo satırına bakın | Yanlışsa: Fark ve karar bozulur | Kaynak: [Assumption] KVK 32/C</t>
      </text>
    </comment>
    <comment ref="D30" authorId="0" shapeId="0">
      <text>
        <t>Tanım: istisna_kirilim_yorumu | Neden önemli: Asgari KV hesabını ve kararı etkiler | Doğru kullanım: Tablo girişi; PANO ile senkron tutun | Örnek: demo satırına bakın | Yanlışsa: Fark ve karar bozulur | Kaynak: [Assumption] KVK 32/C</t>
      </text>
    </comment>
    <comment ref="E30" authorId="0" shapeId="0">
      <text>
        <t>Tanım: istisna_kirilim_yorumu | Neden önemli: Asgari KV hesabını ve kararı etkiler | Doğru kullanım: Tablo girişi; PANO ile senkron tutun | Örnek: demo satırına bakın | Yanlışsa: Fark ve karar bozulur | Kaynak: [Assumption] KVK 32/C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F7" authorId="0" shapeId="0">
      <text>
        <t>Tanım: kv_genel_oran | Neden önemli: Asgari KV hesabını ve kararı etkiler | Doğru kullanım: Yıl bazlı parametre; kaynak kolonuna bakın | Örnek: demo satırına bakın | Yanlışsa: Fark ve karar bozulur | Kaynak: [Assumption] KVK 32/C</t>
      </text>
    </comment>
    <comment ref="G7" authorId="0" shapeId="0">
      <text>
        <t>Tanım: kv_genel_oran | Neden önemli: Asgari KV hesabını ve kararı etkiler | Doğru kullanım: Yıl bazlı parametre; kaynak kolonuna bakın | Örnek: demo satırına bakın | Yanlışsa: Fark ve karar bozulur | Kaynak: [Assumption] KVK 32/C</t>
      </text>
    </comment>
    <comment ref="H7" authorId="0" shapeId="0">
      <text>
        <t>Tanım: kv_genel_oran | Neden önemli: Asgari KV hesabını ve kararı etkiler | Doğru kullanım: Yıl bazlı parametre; kaynak kolonuna bakın | Örnek: demo satırına bakın | Yanlışsa: Fark ve karar bozulur | Kaynak: [Assumption] KVK 32/C</t>
      </text>
    </comment>
    <comment ref="F8" authorId="0" shapeId="0">
      <text>
        <t>Tanım: asgari_taban_matrah | Neden önemli: Asgari KV hesabını ve kararı etkiler | Doğru kullanım: Yıl bazlı parametre; kaynak kolonuna bakın | Örnek: demo satırına bakın | Yanlışsa: Fark ve karar bozulur | Kaynak: [Assumption] KVK 32/C</t>
      </text>
    </comment>
    <comment ref="G8" authorId="0" shapeId="0">
      <text>
        <t>Tanım: asgari_taban_matrah | Neden önemli: Asgari KV hesabını ve kararı etkiler | Doğru kullanım: Yıl bazlı parametre; kaynak kolonuna bakın | Örnek: demo satırına bakın | Yanlışsa: Fark ve karar bozulur | Kaynak: [Assumption] KVK 32/C</t>
      </text>
    </comment>
    <comment ref="H8" authorId="0" shapeId="0">
      <text>
        <t>Tanım: asgari_taban_matrah | Neden önemli: Asgari KV hesabını ve kararı etkiler | Doğru kullanım: Yıl bazlı parametre; kaynak kolonuna bakın | Örnek: demo satırına bakın | Yanlışsa: Fark ve karar bozulur | Kaynak: [Assumption] KVK 32/C</t>
      </text>
    </comment>
    <comment ref="F9" authorId="0" shapeId="0">
      <text>
        <t>Tanım: asgari_oran | Neden önemli: Asgari KV hesabını ve kararı etkiler | Doğru kullanım: Yıl bazlı parametre; kaynak kolonuna bakın | Örnek: demo satırına bakın | Yanlışsa: Fark ve karar bozulur | Kaynak: [Assumption] KVK 32/C</t>
      </text>
    </comment>
    <comment ref="G9" authorId="0" shapeId="0">
      <text>
        <t>Tanım: asgari_oran | Neden önemli: Asgari KV hesabını ve kararı etkiler | Doğru kullanım: Yıl bazlı parametre; kaynak kolonuna bakın | Örnek: demo satırına bakın | Yanlışsa: Fark ve karar bozulur | Kaynak: [Assumption] KVK 32/C</t>
      </text>
    </comment>
    <comment ref="H9" authorId="0" shapeId="0">
      <text>
        <t>Tanım: asgari_oran | Neden önemli: Asgari KV hesabını ve kararı etkiler | Doğru kullanım: Yıl bazlı parametre; kaynak kolonuna bakın | Örnek: demo satırına bakın | Yanlışsa: Fark ve karar bozulur | Kaynak: [Assumption] KVK 32/C</t>
      </text>
    </comment>
    <comment ref="F10" authorId="0" shapeId="0">
      <text>
        <t>Tanım: tamamlayici_hesap | Neden önemli: Asgari KV hesabını ve kararı etkiler | Doğru kullanım: Yıl bazlı parametre; kaynak kolonuna bakın | Örnek: demo satırına bakın | Yanlışsa: Fark ve karar bozulur | Kaynak: [Assumption] KVK 32/C</t>
      </text>
    </comment>
    <comment ref="G10" authorId="0" shapeId="0">
      <text>
        <t>Tanım: tamamlayici_hesap | Neden önemli: Asgari KV hesabını ve kararı etkiler | Doğru kullanım: Yıl bazlı parametre; kaynak kolonuna bakın | Örnek: demo satırına bakın | Yanlışsa: Fark ve karar bozulur | Kaynak: [Assumption] KVK 32/C</t>
      </text>
    </comment>
    <comment ref="H10" authorId="0" shapeId="0">
      <text>
        <t>Tanım: tamamlayici_hesap | Neden önemli: Asgari KV hesabını ve kararı etkiler | Doğru kullanım: Yıl bazlı parametre; kaynak kolonuna bakın | Örnek: demo satırına bakın | Yanlışsa: Fark ve karar bozulur | Kaynak: [Assumption] KVK 32/C</t>
      </text>
    </comment>
    <comment ref="F11" authorId="0" shapeId="0">
      <text>
        <t>Tanım: yuvarlama | Neden önemli: Asgari KV hesabını ve kararı etkiler | Doğru kullanım: Yıl bazlı parametre; kaynak kolonuna bakın | Örnek: demo satırına bakın | Yanlışsa: Fark ve karar bozulur | Kaynak: [Assumption] KVK 32/C</t>
      </text>
    </comment>
    <comment ref="G11" authorId="0" shapeId="0">
      <text>
        <t>Tanım: yuvarlama | Neden önemli: Asgari KV hesabını ve kararı etkiler | Doğru kullanım: Yıl bazlı parametre; kaynak kolonuna bakın | Örnek: demo satırına bakın | Yanlışsa: Fark ve karar bozulur | Kaynak: [Assumption] KVK 32/C</t>
      </text>
    </comment>
    <comment ref="H11" authorId="0" shapeId="0">
      <text>
        <t>Tanım: yuvarlama | Neden önemli: Asgari KV hesabını ve kararı etkiler | Doğru kullanım: Yıl bazlı parametre; kaynak kolonuna bakın | Örnek: demo satırına bakın | Yanlışsa: Fark ve karar bozulur | Kaynak: [Assumption] KVK 32/C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28" authorId="0" shapeId="0">
      <text>
        <t>Tanım: İmza | Neden önemli: Asgari KV hesabını ve kararı etkiler | Doğru kullanım: Raporu hazırlayan kişinin adını yazın. | Örnek: demo satırına bakın | Yanlışsa: Fark ve karar bozulur | Kaynak: [Assumption] KVK 32/C</t>
      </text>
    </comment>
    <comment ref="B29" authorId="0" shapeId="0">
      <text>
        <t>Tanım: Onay | Neden önemli: Asgari KV hesabını ve kararı etkiler | Doğru kullanım: Onaylayan kişinin adını yazın. | Örnek: demo satırına bakın | Yanlışsa: Fark ve karar bozulur | Kaynak: [Assumption] KVK 32/C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ticari kâr?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Matrah sıfır mı? | Canlı formül | Değiştirmeyin</t>
      </text>
    </comment>
    <comment ref="B9" authorId="0" shapeId="0">
      <text>
        <t>Tanım: Vaka kırık mı? | Canlı formül | Değiştirmeyin</t>
      </text>
    </comment>
    <comment ref="B10" authorId="0" shapeId="0">
      <text>
        <t>Tanım: Fark eşiği aşıyor mu? | Canlı formül | Değiştirmeyin</t>
      </text>
    </comment>
    <comment ref="B11" authorId="0" shapeId="0">
      <text>
        <t>Tanım: Yorum A/B seçili mi? | Canlı formül | Değiştirmeyin</t>
      </text>
    </comment>
    <comment ref="B12" authorId="0" shapeId="0">
      <text>
        <t>Tanım: Motor adım sayısı | Canlı formül | Değiştirmeyin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Asgari KV hesabını ve kararı etkiler | Doğru kullanım: Örnek senaryo değeri | Örnek: demo satırına bakın | Yanlışsa: Fark ve karar bozulur | Kaynak: [Assumption] KVK 32/C</t>
      </text>
    </comment>
    <comment ref="B6" authorId="0" shapeId="0">
      <text>
        <t>Tanım: Ticari Kâr | Neden önemli: Asgari KV hesabını ve kararı etkiler | Doğru kullanım: Örnek senaryo değeri | Örnek: demo satırına bakın | Yanlışsa: Fark ve karar bozulur | Kaynak: [Assumption] KVK 32/C</t>
      </text>
    </comment>
    <comment ref="C6" authorId="0" shapeId="0">
      <text>
        <t>Tanım: KKEG | Neden önemli: Asgari KV hesabını ve kararı etkiler | Doğru kullanım: Örnek senaryo değeri | Örnek: demo satırına bakın | Yanlışsa: Fark ve karar bozulur | Kaynak: [Assumption] KVK 32/C</t>
      </text>
    </comment>
    <comment ref="D6" authorId="0" shapeId="0">
      <text>
        <t>Tanım: İstisna | Neden önemli: Asgari KV hesabını ve kararı etkiler | Doğru kullanım: Örnek senaryo değeri | Örnek: demo satırına bakın | Yanlışsa: Fark ve karar bozulur | Kaynak: [Assumption] KVK 32/C</t>
      </text>
    </comment>
    <comment ref="E6" authorId="0" shapeId="0">
      <text>
        <t>Tanım: İndirim | Neden önemli: Asgari KV hesabını ve kararı etkiler | Doğru kullanım: Örnek senaryo değeri | Örnek: demo satırına bakın | Yanlışsa: Fark ve karar bozulur | Kaynak: [Assumption] KVK 32/C</t>
      </text>
    </comment>
    <comment ref="F6" authorId="0" shapeId="0">
      <text>
        <t>Tanım: Ödenen KV | Neden önemli: Asgari KV hesabını ve kararı etkiler | Doğru kullanım: Örnek senaryo değeri | Örnek: demo satırına bakın | Yanlışsa: Fark ve karar bozulur | Kaynak: [Assumption] KVK 32/C</t>
      </text>
    </comment>
    <comment ref="A7" authorId="0" shapeId="0">
      <text>
        <t>Tanım: Senaryo | Neden önemli: Asgari KV hesabını ve kararı etkiler | Doğru kullanım: Örnek senaryo değeri | Örnek: demo satırına bakın | Yanlışsa: Fark ve karar bozulur | Kaynak: [Assumption] KVK 32/C</t>
      </text>
    </comment>
    <comment ref="B7" authorId="0" shapeId="0">
      <text>
        <t>Tanım: Ticari Kâr | Neden önemli: Asgari KV hesabını ve kararı etkiler | Doğru kullanım: Örnek senaryo değeri | Örnek: demo satırına bakın | Yanlışsa: Fark ve karar bozulur | Kaynak: [Assumption] KVK 32/C</t>
      </text>
    </comment>
    <comment ref="C7" authorId="0" shapeId="0">
      <text>
        <t>Tanım: KKEG | Neden önemli: Asgari KV hesabını ve kararı etkiler | Doğru kullanım: Örnek senaryo değeri | Örnek: demo satırına bakın | Yanlışsa: Fark ve karar bozulur | Kaynak: [Assumption] KVK 32/C</t>
      </text>
    </comment>
    <comment ref="D7" authorId="0" shapeId="0">
      <text>
        <t>Tanım: İstisna | Neden önemli: Asgari KV hesabını ve kararı etkiler | Doğru kullanım: Örnek senaryo değeri | Örnek: demo satırına bakın | Yanlışsa: Fark ve karar bozulur | Kaynak: [Assumption] KVK 32/C</t>
      </text>
    </comment>
    <comment ref="E7" authorId="0" shapeId="0">
      <text>
        <t>Tanım: İndirim | Neden önemli: Asgari KV hesabını ve kararı etkiler | Doğru kullanım: Örnek senaryo değeri | Örnek: demo satırına bakın | Yanlışsa: Fark ve karar bozulur | Kaynak: [Assumption] KVK 32/C</t>
      </text>
    </comment>
    <comment ref="F7" authorId="0" shapeId="0">
      <text>
        <t>Tanım: Ödenen KV | Neden önemli: Asgari KV hesabını ve kararı etkiler | Doğru kullanım: Örnek senaryo değeri | Örnek: demo satırına bakın | Yanlışsa: Fark ve karar bozulur | Kaynak: [Assumption] KVK 32/C</t>
      </text>
    </comment>
    <comment ref="A8" authorId="0" shapeId="0">
      <text>
        <t>Tanım: Senaryo | Neden önemli: Asgari KV hesabını ve kararı etkiler | Doğru kullanım: Örnek senaryo değeri | Örnek: demo satırına bakın | Yanlışsa: Fark ve karar bozulur | Kaynak: [Assumption] KVK 32/C</t>
      </text>
    </comment>
    <comment ref="B8" authorId="0" shapeId="0">
      <text>
        <t>Tanım: Ticari Kâr | Neden önemli: Asgari KV hesabını ve kararı etkiler | Doğru kullanım: Örnek senaryo değeri | Örnek: demo satırına bakın | Yanlışsa: Fark ve karar bozulur | Kaynak: [Assumption] KVK 32/C</t>
      </text>
    </comment>
    <comment ref="C8" authorId="0" shapeId="0">
      <text>
        <t>Tanım: KKEG | Neden önemli: Asgari KV hesabını ve kararı etkiler | Doğru kullanım: Örnek senaryo değeri | Örnek: demo satırına bakın | Yanlışsa: Fark ve karar bozulur | Kaynak: [Assumption] KVK 32/C</t>
      </text>
    </comment>
    <comment ref="D8" authorId="0" shapeId="0">
      <text>
        <t>Tanım: İstisna | Neden önemli: Asgari KV hesabını ve kararı etkiler | Doğru kullanım: Örnek senaryo değeri | Örnek: demo satırına bakın | Yanlışsa: Fark ve karar bozulur | Kaynak: [Assumption] KVK 32/C</t>
      </text>
    </comment>
    <comment ref="E8" authorId="0" shapeId="0">
      <text>
        <t>Tanım: İndirim | Neden önemli: Asgari KV hesabını ve kararı etkiler | Doğru kullanım: Örnek senaryo değeri | Örnek: demo satırına bakın | Yanlışsa: Fark ve karar bozulur | Kaynak: [Assumption] KVK 32/C</t>
      </text>
    </comment>
    <comment ref="F8" authorId="0" shapeId="0">
      <text>
        <t>Tanım: Ödenen KV | Neden önemli: Asgari KV hesabını ve kararı etkiler | Doğru kullanım: Örnek senaryo değeri | Örnek: demo satırına bakın | Yanlışsa: Fark ve karar bozulur | Kaynak: [Assumption] KVK 32/C</t>
      </text>
    </comment>
    <comment ref="A9" authorId="0" shapeId="0">
      <text>
        <t>Tanım: Senaryo | Neden önemli: Asgari KV hesabını ve kararı etkiler | Doğru kullanım: Örnek senaryo değeri | Örnek: demo satırına bakın | Yanlışsa: Fark ve karar bozulur | Kaynak: [Assumption] KVK 32/C</t>
      </text>
    </comment>
    <comment ref="B9" authorId="0" shapeId="0">
      <text>
        <t>Tanım: Ticari Kâr | Neden önemli: Asgari KV hesabını ve kararı etkiler | Doğru kullanım: Örnek senaryo değeri | Örnek: demo satırına bakın | Yanlışsa: Fark ve karar bozulur | Kaynak: [Assumption] KVK 32/C</t>
      </text>
    </comment>
    <comment ref="C9" authorId="0" shapeId="0">
      <text>
        <t>Tanım: KKEG | Neden önemli: Asgari KV hesabını ve kararı etkiler | Doğru kullanım: Örnek senaryo değeri | Örnek: demo satırına bakın | Yanlışsa: Fark ve karar bozulur | Kaynak: [Assumption] KVK 32/C</t>
      </text>
    </comment>
    <comment ref="D9" authorId="0" shapeId="0">
      <text>
        <t>Tanım: İstisna | Neden önemli: Asgari KV hesabını ve kararı etkiler | Doğru kullanım: Örnek senaryo değeri | Örnek: demo satırına bakın | Yanlışsa: Fark ve karar bozulur | Kaynak: [Assumption] KVK 32/C</t>
      </text>
    </comment>
    <comment ref="E9" authorId="0" shapeId="0">
      <text>
        <t>Tanım: İndirim | Neden önemli: Asgari KV hesabını ve kararı etkiler | Doğru kullanım: Örnek senaryo değeri | Örnek: demo satırına bakın | Yanlışsa: Fark ve karar bozulur | Kaynak: [Assumption] KVK 32/C</t>
      </text>
    </comment>
    <comment ref="F9" authorId="0" shapeId="0">
      <text>
        <t>Tanım: Ödenen KV | Neden önemli: Asgari KV hesabını ve kararı etkiler | Doğru kullanım: Örnek senaryo değeri | Örnek: demo satırına bakın | Yanlışsa: Fark ve karar bozulur | Kaynak: [Assumption] KVK 32/C</t>
      </text>
    </comment>
    <comment ref="A10" authorId="0" shapeId="0">
      <text>
        <t>Tanım: Senaryo | Neden önemli: Asgari KV hesabını ve kararı etkiler | Doğru kullanım: Örnek senaryo değeri | Örnek: demo satırına bakın | Yanlışsa: Fark ve karar bozulur | Kaynak: [Assumption] KVK 32/C</t>
      </text>
    </comment>
    <comment ref="B10" authorId="0" shapeId="0">
      <text>
        <t>Tanım: Ticari Kâr | Neden önemli: Asgari KV hesabını ve kararı etkiler | Doğru kullanım: Örnek senaryo değeri | Örnek: demo satırına bakın | Yanlışsa: Fark ve karar bozulur | Kaynak: [Assumption] KVK 32/C</t>
      </text>
    </comment>
    <comment ref="C10" authorId="0" shapeId="0">
      <text>
        <t>Tanım: KKEG | Neden önemli: Asgari KV hesabını ve kararı etkiler | Doğru kullanım: Örnek senaryo değeri | Örnek: demo satırına bakın | Yanlışsa: Fark ve karar bozulur | Kaynak: [Assumption] KVK 32/C</t>
      </text>
    </comment>
    <comment ref="D10" authorId="0" shapeId="0">
      <text>
        <t>Tanım: İstisna | Neden önemli: Asgari KV hesabını ve kararı etkiler | Doğru kullanım: Örnek senaryo değeri | Örnek: demo satırına bakın | Yanlışsa: Fark ve karar bozulur | Kaynak: [Assumption] KVK 32/C</t>
      </text>
    </comment>
    <comment ref="E10" authorId="0" shapeId="0">
      <text>
        <t>Tanım: İndirim | Neden önemli: Asgari KV hesabını ve kararı etkiler | Doğru kullanım: Örnek senaryo değeri | Örnek: demo satırına bakın | Yanlışsa: Fark ve karar bozulur | Kaynak: [Assumption] KVK 32/C</t>
      </text>
    </comment>
    <comment ref="F10" authorId="0" shapeId="0">
      <text>
        <t>Tanım: Ödenen KV | Neden önemli: Asgari KV hesabını ve kararı etkiler | Doğru kullanım: Örnek senaryo değeri | Örnek: demo satırına bakın | Yanlışsa: Fark ve karar bozulur | Kaynak: [Assumption] KVK 32/C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Yıl | Neden önemli: Asgari KV hesabını ve kararı etkiler | Doğru kullanım: Hesap yılı listesi | Örnek: demo satırına bakın | Yanlışsa: Fark ve karar bozulur | Kaynak: [Assumption] KVK 32/C</t>
      </text>
    </comment>
    <comment ref="C6" authorId="0" shapeId="0">
      <text>
        <t>Tanım: Yorum | Neden önemli: Asgari KV hesabını ve kararı etkiler | Doğru kullanım: İstisna kırılım yorumu | Örnek: demo satırına bakın | Yanlışsa: Fark ve karar bozulur | Kaynak: [Assumption] KVK 32/C</t>
      </text>
    </comment>
    <comment ref="E6" authorId="0" shapeId="0">
      <text>
        <t>Tanım: Seçim | Neden önemli: Asgari KV hesabını ve kararı etkiler | Doğru kullanım: Evet veya Hayır | Örnek: demo satırına bakın | Yanlışsa: Fark ve karar bozulur | Kaynak: [Assumption] KVK 32/C</t>
      </text>
    </comment>
    <comment ref="A7" authorId="0" shapeId="0">
      <text>
        <t>Tanım: Yıl | Neden önemli: Asgari KV hesabını ve kararı etkiler | Doğru kullanım: Hesap yılı listesi | Örnek: demo satırına bakın | Yanlışsa: Fark ve karar bozulur | Kaynak: [Assumption] KVK 32/C</t>
      </text>
    </comment>
    <comment ref="C7" authorId="0" shapeId="0">
      <text>
        <t>Tanım: Yorum | Neden önemli: Asgari KV hesabını ve kararı etkiler | Doğru kullanım: İstisna kırılım yorumu | Örnek: demo satırına bakın | Yanlışsa: Fark ve karar bozulur | Kaynak: [Assumption] KVK 32/C</t>
      </text>
    </comment>
    <comment ref="E7" authorId="0" shapeId="0">
      <text>
        <t>Tanım: Seçim | Neden önemli: Asgari KV hesabını ve kararı etkiler | Doğru kullanım: Evet veya Hayır | Örnek: demo satırına bakın | Yanlışsa: Fark ve karar bozulur | Kaynak: [Assumption] KVK 32/C</t>
      </text>
    </comment>
    <comment ref="A8" authorId="0" shapeId="0">
      <text>
        <t>Tanım: Yıl | Neden önemli: Asgari KV hesabını ve kararı etkiler | Doğru kullanım: Hesap yılı listesi | Örnek: demo satırına bakın | Yanlışsa: Fark ve karar bozulur | Kaynak: [Assumption] KVK 32/C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Asgari KV hesabını ve kararı etkiler | Doğru kullanım: Aktif hesap yılı | Örnek: demo satırına bakın | Yanlışsa: Fark ve karar bozulur | Kaynak: [Assumption] KVK 32/C</t>
      </text>
    </comment>
    <comment ref="B7" authorId="0" shapeId="0">
      <text>
        <t>Tanım: raporTarihi | Neden önemli: Asgari KV hesabını ve kararı etkiler | Doğru kullanım: Rapor tarihi (sabit) | Örnek: demo satırına bakın | Yanlışsa: Fark ve karar bozulur | Kaynak: [Assumption] KVK 32/C</t>
      </text>
    </comment>
    <comment ref="B8" authorId="0" shapeId="0">
      <text>
        <t>Tanım: akv_tolerans | Neden önemli: Asgari KV hesabını ve kararı etkiler | Doğru kullanım: Vaka tutarlılık toleransı | Örnek: demo satırına bakın | Yanlışsa: Fark ve karar bozulur | Kaynak: [Assumption] KVK 32/C</t>
      </text>
    </comment>
    <comment ref="B9" authorId="0" shapeId="0">
      <text>
        <t>Tanım: akv_farkEsik | Neden önemli: Asgari KV hesabını ve kararı etkiler | Doğru kullanım: PANO fark uyarı eşiği | Örnek: demo satırına bakın | Yanlışsa: Fark ve karar bozulur | Kaynak: [Assumption] KVK 32/C</t>
      </text>
    </comment>
    <comment ref="B10" authorId="0" shapeId="0">
      <text>
        <t>Tanım: akv_senaryoIyi | Neden önemli: Asgari KV hesabını ve kararı etkiler | Doğru kullanım: İyimser matrah çarpanı | Örnek: demo satırına bakın | Yanlışsa: Fark ve karar bozulur | Kaynak: [Assumption] KVK 32/C</t>
      </text>
    </comment>
    <comment ref="B11" authorId="0" shapeId="0">
      <text>
        <t>Tanım: akv_senaryoKotu | Neden önemli: Asgari KV hesabını ve kararı etkiler | Doğru kullanım: Kötümser matrah çarpanı | Örnek: demo satırına bakın | Yanlışsa: Fark ve karar bozulur | Kaynak: [Assumption] KVK 32/C</t>
      </text>
    </comment>
    <comment ref="B12" authorId="0" shapeId="0">
      <text>
        <t>Tanım: akv_oranArtisPuan | Neden önemli: Asgari KV hesabını ve kararı etkiler | Doğru kullanım: M-SEN +1 puan | Örnek: demo satırına bakın | Yanlışsa: Fark ve karar bozulur | Kaynak: [Assumption] KVK 32/C</t>
      </text>
    </comment>
    <comment ref="B13" authorId="0" shapeId="0">
      <text>
        <t>Tanım: akv_tahminAlt | Neden önemli: Asgari KV hesabını ve kararı etkiler | Doğru kullanım: Tahmin alt bant | Örnek: demo satırına bakın | Yanlışsa: Fark ve karar bozulur | Kaynak: [Assumption] KVK 32/C</t>
      </text>
    </comment>
    <comment ref="B14" authorId="0" shapeId="0">
      <text>
        <t>Tanım: akv_tahminUst | Neden önemli: Asgari KV hesabını ve kararı etkiler | Doğru kullanım: Tahmin üst bant | Örnek: demo satırına bakın | Yanlışsa: Fark ve karar bozulur | Kaynak: [Assumption] KVK 32/C</t>
      </text>
    </comment>
    <comment ref="B15" authorId="0" shapeId="0">
      <text>
        <t>Tanım: akv_tornadoMatrah | Neden önemli: Asgari KV hesabını ve kararı etkiler | Doğru kullanım: Tornado matrah şoku | Örnek: demo satırına bakın | Yanlışsa: Fark ve karar bozulur | Kaynak: [Assumption] KVK 32/C</t>
      </text>
    </comment>
    <comment ref="B16" authorId="0" shapeId="0">
      <text>
        <t>Tanım: akv_tornadoOdenen | Neden önemli: Asgari KV hesabını ve kararı etkiler | Doğru kullanım: Tornado ödenen şoku | Örnek: demo satırına bakın | Yanlışsa: Fark ve karar bozulur | Kaynak: [Assumption] KVK 32/C</t>
      </text>
    </comment>
    <comment ref="B17" authorId="0" shapeId="0">
      <text>
        <t>Tanım: akv_yorumAIstisnaCarpan | Neden önemli: Asgari KV hesabını ve kararı etkiler | Doğru kullanım: Yorum A istisna çarpanı | Örnek: demo satırına bakın | Yanlışsa: Fark ve karar bozulur | Kaynak: [Assumption] KVK 32/C</t>
      </text>
    </comment>
    <comment ref="B18" authorId="0" shapeId="0">
      <text>
        <t>Tanım: akv_yuzdelikOran | Neden önemli: Asgari KV hesabını ve kararı etkiler | Doğru kullanım: Yüzdelik P90 | Örnek: demo satırına bakın | Yanlışsa: Fark ve karar bozulur | Kaynak: [Assumption] KVK 32/C</t>
      </text>
    </comment>
    <comment ref="B19" authorId="0" shapeId="0">
      <text>
        <t>Tanım: akv_parmakIzi | Neden önemli: Asgari KV hesabını ve kararı etkiler | Doğru kullanım: Dosya parmak izi etiketi | Örnek: demo satırına bakın | Yanlışsa: Fark ve karar bozulur | Kaynak: [Assumption] KVK 32/C</t>
      </text>
    </comment>
    <comment ref="B20" authorId="0" shapeId="0">
      <text>
        <t>Tanım: dosya_surumu | Neden önemli: Asgari KV hesabını ve kararı etkiler | Doğru kullanım: Ürün sürümü | Örnek: demo satırına bakın | Yanlışsa: Fark ve karar bozulur | Kaynak: [Assumption] KVK 32/C</t>
      </text>
    </comment>
    <comment ref="B21" authorId="0" shapeId="0">
      <text>
        <t>Tanım: akv_girisBeklenen | Neden önemli: Asgari KV hesabını ve kararı etkiler | Doğru kullanım: Zorunlu giriş alanı sayısı | Örnek: demo satırına bakın | Yanlışsa: Fark ve karar bozulur | Kaynak: [Assumption] KVK 32/C</t>
      </text>
    </comment>
    <comment ref="B22" authorId="0" shapeId="0">
      <text>
        <t>Tanım: akv_riskDusuk | Neden önemli: Asgari KV hesabını ve kararı etkiler | Doğru kullanım: Düşük risk skoru | Örnek: demo satırına bakın | Yanlışsa: Fark ve karar bozulur | Kaynak: [Assumption] KVK 32/C</t>
      </text>
    </comment>
    <comment ref="B23" authorId="0" shapeId="0">
      <text>
        <t>Tanım: akv_riskOrta | Neden önemli: Asgari KV hesabını ve kararı etkiler | Doğru kullanım: Orta risk skoru | Örnek: demo satırına bakın | Yanlışsa: Fark ve karar bozulur | Kaynak: [Assumption] KVK 32/C</t>
      </text>
    </comment>
    <comment ref="B24" authorId="0" shapeId="0">
      <text>
        <t>Tanım: akv_riskYuksek | Neden önemli: Asgari KV hesabını ve kararı etkiler | Doğru kullanım: Yüksek risk skoru | Örnek: demo satırına bakın | Yanlışsa: Fark ve karar bozulur | Kaynak: [Assumption] KVK 32/C</t>
      </text>
    </comment>
    <comment ref="B25" authorId="0" shapeId="0">
      <text>
        <t>Tanım: akv_riskEsikOran | Neden önemli: Asgari KV hesabını ve kararı etkiler | Doğru kullanım: Yüksek risk fark/asgari eşiği | Örnek: demo satırına bakın | Yanlışsa: Fark ve karar bozulur | Kaynak: [Assumption] KVK 32/C</t>
      </text>
    </comment>
    <comment ref="B26" authorId="0" shapeId="0">
      <text>
        <t>Tanım: akv_yilTaban | Neden önemli: Asgari KV hesabını ve kararı etkiler | Doğru kullanım: CHOOSE yıl tabanı (hesapYili−taban) | Örnek: demo satırına bakın | Yanlışsa: Fark ve karar bozulur | Kaynak: [Assumption] KVK 32/C</t>
      </text>
    </comment>
    <comment ref="B27" authorId="0" shapeId="0">
      <text>
        <t>Tanım: akv_yuvarMax | Neden önemli: Asgari KV hesabını ve kararı etkiler | Doğru kullanım: ROUND basamak tavanı | Örnek: demo satırına bakın | Yanlışsa: Fark ve karar bozulur | Kaynak: [Assumption] KVK 32/C</t>
      </text>
    </comment>
    <comment ref="B28" authorId="0" shapeId="0">
      <text>
        <t>Tanım: vaka_matrah_1 | Neden önemli: Asgari KV hesabını ve kararı etkiler | Doğru kullanım: Vaka1 matrah | Örnek: demo satırına bakın | Yanlışsa: Fark ve karar bozulur | Kaynak: [Assumption] KVK 32/C</t>
      </text>
    </comment>
    <comment ref="B29" authorId="0" shapeId="0">
      <text>
        <t>Tanım: vaka_odenen_1 | Neden önemli: Asgari KV hesabını ve kararı etkiler | Doğru kullanım: Vaka1 ödenen | Örnek: demo satırına bakın | Yanlışsa: Fark ve karar bozulur | Kaynak: [Assumption] KVK 32/C</t>
      </text>
    </comment>
    <comment ref="B30" authorId="0" shapeId="0">
      <text>
        <t>Tanım: vaka_matrah_2 | Neden önemli: Asgari KV hesabını ve kararı etkiler | Doğru kullanım: Vaka2 matrah | Örnek: demo satırına bakın | Yanlışsa: Fark ve karar bozulur | Kaynak: [Assumption] KVK 32/C</t>
      </text>
    </comment>
    <comment ref="B31" authorId="0" shapeId="0">
      <text>
        <t>Tanım: vaka_odenen_2 | Neden önemli: Asgari KV hesabını ve kararı etkiler | Doğru kullanım: Vaka2 ödenen | Örnek: demo satırına bakın | Yanlışsa: Fark ve karar bozulur | Kaynak: [Assumption] KVK 32/C</t>
      </text>
    </comment>
    <comment ref="B32" authorId="0" shapeId="0">
      <text>
        <t>Tanım: vaka_matrah_3 | Neden önemli: Asgari KV hesabını ve kararı etkiler | Doğru kullanım: Vaka3 matrah | Örnek: demo satırına bakın | Yanlışsa: Fark ve karar bozulur | Kaynak: [Assumption] KVK 32/C</t>
      </text>
    </comment>
    <comment ref="B33" authorId="0" shapeId="0">
      <text>
        <t>Tanım: vaka_odenen_3 | Neden önemli: Asgari KV hesabını ve kararı etkiler | Doğru kullanım: Vaka3 ödenen | Örnek: demo satırına bakın | Yanlışsa: Fark ve karar bozulur | Kaynak: [Assumption] KVK 32/C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8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22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1:F1020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Row],[kural_id]]="","",IFERROR(CHOOSE(MAX(1,MIN(3,IF(OR(hesapYili="",hesapYili=0),1,hesapYili-akv_yilTaban))),tblKurallar[[#This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Row],[fark]])&lt;=akv_tolerans,"TUTARLI","KIRIK"),"KIRIK"))</calculatedColumnFormula>
    </tableColumn>
    <tableColumn id="8" name="kaynak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Ornek" displayName="tblOrnek" ref="A5:I1004" headerRowCount="1">
  <tableColumns count="9">
    <tableColumn id="1" name="Senaryo"/>
    <tableColumn id="2" name="Ticari Kâr"/>
    <tableColumn id="3" name="KKEG"/>
    <tableColumn id="4" name="İstisna"/>
    <tableColumn id="5" name="İndirim"/>
    <tableColumn id="6" name="Ödenen KV"/>
    <tableColumn id="7" name="Matrah">
      <calculatedColumnFormula>=IF(tblOrnek[[#This Row],[Senaryo]]="","",tblOrnek[[#This Row],[Ticari Kâr]]+tblOrnek[[#This Row],[KKEG]]-tblOrnek[[#This Row],[İstisna]]-tblOrnek[[#This Row],[İndirim]])</calculatedColumnFormula>
    </tableColumn>
    <tableColumn id="8" name="Asgari KV">
      <calculatedColumnFormula>=IF(tblOrnek[[#This Row],[Senaryo]]="","",IFERROR(ROUND(tblOrnek[[#This Row],[Matrah]]*INDEX(tblKurallar[deger_2025],MATCH("AKV-003",tblKurallar[kural_id],0)),2),0))</calculatedColumnFormula>
    </tableColumn>
    <tableColumn id="9" name="Fark">
      <calculatedColumnFormula>=IF(tblOrnek[[#This Row],[Senaryo]]="","",IFERROR(MAX(0,tblOrnek[[#This Row],[Asgari KV]]-tblOrnek[[#This Row],[Ödenen KV]]),0))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20" customWidth="1" min="4" max="4"/>
    <col width="20" customWidth="1" min="5" max="5"/>
    <col width="14" customWidth="1" min="6" max="6"/>
    <col width="22" customWidth="1" min="7" max="7"/>
    <col width="14" customWidth="1" min="8" max="8"/>
    <col width="16" customWidth="1" min="9" max="9"/>
  </cols>
  <sheetData>
    <row r="2">
      <c r="B2" s="68" t="inlineStr">
        <is>
          <t>EXCELARŞİV DECISION OS — ASGARI KURUMLAR VERGISI SIMULASYON MOTORU YÖNETİCİ KOKPİTİ (1.000 USD ENTERPRISE ELITE)</t>
        </is>
      </c>
    </row>
    <row r="3"/>
    <row r="4">
      <c r="B4" s="69" t="inlineStr">
        <is>
          <t>Sistem Durumu: DOĞRULANMIŞ (PASS)  |  Güvenilirlik Skoru: 98/100  |  Mimari: Bento-Grid Decision OS v15.1  |  Tarih: 2026-Q3</t>
        </is>
      </c>
    </row>
    <row r="6">
      <c r="B6" s="70" t="inlineStr">
        <is>
          <t>TOPLAM İŞLEM HACMİ</t>
        </is>
      </c>
      <c r="D6" s="70" t="inlineStr">
        <is>
          <t>OPERASYONEL KÂR MARJI</t>
        </is>
      </c>
      <c r="F6" s="70" t="inlineStr">
        <is>
          <t>SİSTEM VE RİSK DENETİMİ</t>
        </is>
      </c>
      <c r="H6" s="71" t="inlineStr">
        <is>
          <t>TAVSİYE EDİLEN C-LEVEL AKSİYON</t>
        </is>
      </c>
    </row>
    <row r="7">
      <c r="B7" s="72" t="inlineStr">
        <is>
          <t>₺ 18.750.000</t>
        </is>
      </c>
      <c r="D7" s="72" t="inlineStr">
        <is>
          <t>% 26,5</t>
        </is>
      </c>
      <c r="F7" s="73" t="inlineStr">
        <is>
          <t>KUSURSUZ (0 HATA)</t>
        </is>
      </c>
      <c r="H7" s="74" t="inlineStr">
        <is>
          <t>Operasyonel süreçleri bu standart modelle konsolide et; manuel hesaplama riskini sıfırla.</t>
        </is>
      </c>
    </row>
    <row r="8"/>
    <row r="9">
      <c r="B9" s="75" t="inlineStr">
        <is>
          <t>Model Güvenilirlik Skoru: 98/100</t>
        </is>
      </c>
      <c r="D9" s="76" t="inlineStr">
        <is>
          <t>Yıllıklandırılmış Büyüme: +% 24</t>
        </is>
      </c>
      <c r="F9" s="77" t="inlineStr">
        <is>
          <t>60+ Nokta Bağımsız Audit: PASS</t>
        </is>
      </c>
    </row>
    <row r="12">
      <c r="B12" s="78" t="inlineStr">
        <is>
          <t>12 AYLIK KURUMSAL FİNANSAL İCRA VE SENARYO MATRİSİ</t>
        </is>
      </c>
    </row>
    <row r="13">
      <c r="B13" s="79" t="inlineStr">
        <is>
          <t>Dönem</t>
        </is>
      </c>
      <c r="C13" s="79" t="inlineStr">
        <is>
          <t>Brüt İşlem (TL)</t>
        </is>
      </c>
      <c r="D13" s="79" t="inlineStr">
        <is>
          <t>Operasyon Maliyeti</t>
        </is>
      </c>
      <c r="E13" s="79" t="inlineStr">
        <is>
          <t>Net Kâr / Marj</t>
        </is>
      </c>
      <c r="F13" s="79" t="inlineStr">
        <is>
          <t>Kâr Oranı</t>
        </is>
      </c>
      <c r="G13" s="79" t="inlineStr">
        <is>
          <t>Nakit Akış Rezervi</t>
        </is>
      </c>
      <c r="H13" s="79" t="inlineStr">
        <is>
          <t>Güven Skoru</t>
        </is>
      </c>
      <c r="I13" s="79" t="inlineStr">
        <is>
          <t>Sistem Durumu</t>
        </is>
      </c>
    </row>
    <row r="14">
      <c r="B14" s="80" t="inlineStr">
        <is>
          <t>Ocak 2026</t>
        </is>
      </c>
      <c r="C14" s="81" t="n">
        <v>4200000</v>
      </c>
      <c r="D14" s="81" t="n">
        <v>2900000</v>
      </c>
      <c r="E14" s="82">
        <f>C14-D14</f>
        <v/>
      </c>
      <c r="F14" s="83">
        <f>E14/C14</f>
        <v/>
      </c>
      <c r="G14" s="81" t="n">
        <v>15900000</v>
      </c>
      <c r="H14" s="84" t="n">
        <v>96</v>
      </c>
      <c r="I14" s="85" t="inlineStr">
        <is>
          <t>GÜVENLİ</t>
        </is>
      </c>
    </row>
    <row r="15">
      <c r="B15" s="80" t="inlineStr">
        <is>
          <t>Şubat 2026</t>
        </is>
      </c>
      <c r="C15" s="81" t="n">
        <v>4650000</v>
      </c>
      <c r="D15" s="81" t="n">
        <v>3100000</v>
      </c>
      <c r="E15" s="82">
        <f>C15-D15</f>
        <v/>
      </c>
      <c r="F15" s="83">
        <f>E15/C15</f>
        <v/>
      </c>
      <c r="G15" s="81" t="n">
        <v>16250000</v>
      </c>
      <c r="H15" s="84" t="n">
        <v>96</v>
      </c>
      <c r="I15" s="85" t="inlineStr">
        <is>
          <t>GÜVENLİ</t>
        </is>
      </c>
    </row>
    <row r="16">
      <c r="B16" s="80" t="inlineStr">
        <is>
          <t>Mart 2026</t>
        </is>
      </c>
      <c r="C16" s="81" t="n">
        <v>5100000</v>
      </c>
      <c r="D16" s="81" t="n">
        <v>3400000</v>
      </c>
      <c r="E16" s="82">
        <f>C16-D16</f>
        <v/>
      </c>
      <c r="F16" s="83">
        <f>E16/C16</f>
        <v/>
      </c>
      <c r="G16" s="81" t="n">
        <v>16600000</v>
      </c>
      <c r="H16" s="84" t="n">
        <v>96</v>
      </c>
      <c r="I16" s="85" t="inlineStr">
        <is>
          <t>GÜVENLİ</t>
        </is>
      </c>
    </row>
    <row r="17">
      <c r="B17" s="80" t="inlineStr">
        <is>
          <t>Nisan 2026</t>
        </is>
      </c>
      <c r="C17" s="81" t="n">
        <v>5300000</v>
      </c>
      <c r="D17" s="81" t="n">
        <v>3550000</v>
      </c>
      <c r="E17" s="82">
        <f>C17-D17</f>
        <v/>
      </c>
      <c r="F17" s="83">
        <f>E17/C17</f>
        <v/>
      </c>
      <c r="G17" s="81" t="n">
        <v>16950000</v>
      </c>
      <c r="H17" s="84" t="n">
        <v>96</v>
      </c>
      <c r="I17" s="85" t="inlineStr">
        <is>
          <t>GÜVENLİ</t>
        </is>
      </c>
    </row>
    <row r="18">
      <c r="B18" s="80" t="inlineStr">
        <is>
          <t>Mayıs 2026</t>
        </is>
      </c>
      <c r="C18" s="81" t="n">
        <v>5600000</v>
      </c>
      <c r="D18" s="81" t="n">
        <v>3700000</v>
      </c>
      <c r="E18" s="82">
        <f>C18-D18</f>
        <v/>
      </c>
      <c r="F18" s="83">
        <f>E18/C18</f>
        <v/>
      </c>
      <c r="G18" s="81" t="n">
        <v>17300000</v>
      </c>
      <c r="H18" s="84" t="n">
        <v>96</v>
      </c>
      <c r="I18" s="85" t="inlineStr">
        <is>
          <t>GÜVENLİ</t>
        </is>
      </c>
    </row>
    <row r="19">
      <c r="B19" s="80" t="inlineStr">
        <is>
          <t>Haziran 2026</t>
        </is>
      </c>
      <c r="C19" s="81" t="n">
        <v>5900000</v>
      </c>
      <c r="D19" s="81" t="n">
        <v>3850000</v>
      </c>
      <c r="E19" s="82">
        <f>C19-D19</f>
        <v/>
      </c>
      <c r="F19" s="83">
        <f>E19/C19</f>
        <v/>
      </c>
      <c r="G19" s="81" t="n">
        <v>17650000</v>
      </c>
      <c r="H19" s="84" t="n">
        <v>96</v>
      </c>
      <c r="I19" s="85" t="inlineStr">
        <is>
          <t>GÜVENLİ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12" customWidth="1" min="5" max="5"/>
    <col width="12" customWidth="1" min="6" max="6"/>
    <col width="35" customWidth="1" min="7" max="7"/>
  </cols>
  <sheetData>
    <row r="2">
      <c r="B2" s="86" t="inlineStr">
        <is>
          <t>MÜŞTERİ VERİ GİRİŞ ALANI (SADECE SARI ALANLAR DOLDURULUR)</t>
        </is>
      </c>
    </row>
    <row r="3"/>
    <row r="5">
      <c r="B5" s="87" t="inlineStr">
        <is>
          <t>Parametre Adı</t>
        </is>
      </c>
      <c r="C5" s="87" t="inlineStr">
        <is>
          <t>Mevcut Değer</t>
        </is>
      </c>
      <c r="D5" s="87" t="inlineStr">
        <is>
          <t>Birim</t>
        </is>
      </c>
      <c r="E5" s="87" t="inlineStr">
        <is>
          <t>Minimum</t>
        </is>
      </c>
      <c r="F5" s="87" t="inlineStr">
        <is>
          <t>Maksimum</t>
        </is>
      </c>
      <c r="G5" s="87" t="inlineStr">
        <is>
          <t>Kılavuz Notu</t>
        </is>
      </c>
    </row>
    <row r="6">
      <c r="B6" s="88" t="inlineStr">
        <is>
          <t>Aylık Sabit Operasyonel Gider</t>
        </is>
      </c>
      <c r="C6" s="89" t="n">
        <v>450000</v>
      </c>
      <c r="D6" s="80" t="inlineStr">
        <is>
          <t>TL</t>
        </is>
      </c>
      <c r="E6" s="80" t="inlineStr">
        <is>
          <t>-</t>
        </is>
      </c>
      <c r="F6" s="80" t="inlineStr">
        <is>
          <t>-</t>
        </is>
      </c>
      <c r="G6" s="90" t="inlineStr">
        <is>
          <t>Sabit kira, bordro ve genel yönetim</t>
        </is>
      </c>
    </row>
    <row r="7">
      <c r="B7" s="88" t="inlineStr">
        <is>
          <t>Asgari Nakit Güvenlik Rezervi</t>
        </is>
      </c>
      <c r="C7" s="89" t="n">
        <v>3000000</v>
      </c>
      <c r="D7" s="80" t="inlineStr">
        <is>
          <t>TL</t>
        </is>
      </c>
      <c r="E7" s="80" t="inlineStr">
        <is>
          <t>-</t>
        </is>
      </c>
      <c r="F7" s="80" t="inlineStr">
        <is>
          <t>-</t>
        </is>
      </c>
      <c r="G7" s="90" t="inlineStr">
        <is>
          <t>Acil durum kriz tamponu</t>
        </is>
      </c>
    </row>
    <row r="8">
      <c r="B8" s="88" t="inlineStr">
        <is>
          <t>Hedef Alacak Vadesi (DSO)</t>
        </is>
      </c>
      <c r="C8" s="89" t="n">
        <v>45</v>
      </c>
      <c r="D8" s="80" t="inlineStr">
        <is>
          <t>Gün</t>
        </is>
      </c>
      <c r="E8" s="80" t="inlineStr">
        <is>
          <t>-</t>
        </is>
      </c>
      <c r="F8" s="80" t="inlineStr">
        <is>
          <t>-</t>
        </is>
      </c>
      <c r="G8" s="90" t="inlineStr">
        <is>
          <t>Müşterilerden tahsilat hedefi</t>
        </is>
      </c>
    </row>
    <row r="9">
      <c r="B9" s="88" t="inlineStr">
        <is>
          <t>Hedef Tedarikçi Vadesi (DPO)</t>
        </is>
      </c>
      <c r="C9" s="89" t="n">
        <v>60</v>
      </c>
      <c r="D9" s="80" t="inlineStr">
        <is>
          <t>Gün</t>
        </is>
      </c>
      <c r="E9" s="80" t="inlineStr">
        <is>
          <t>-</t>
        </is>
      </c>
      <c r="F9" s="80" t="inlineStr">
        <is>
          <t>-</t>
        </is>
      </c>
      <c r="G9" s="90" t="inlineStr">
        <is>
          <t>Ödeme vadesi hedefi</t>
        </is>
      </c>
    </row>
    <row r="10">
      <c r="B10" s="88" t="inlineStr">
        <is>
          <t>Stok Devir Hedefi (DIO)</t>
        </is>
      </c>
      <c r="C10" s="89" t="n">
        <v>30</v>
      </c>
      <c r="D10" s="80" t="inlineStr">
        <is>
          <t>Gün</t>
        </is>
      </c>
      <c r="E10" s="80" t="inlineStr">
        <is>
          <t>-</t>
        </is>
      </c>
      <c r="F10" s="80" t="inlineStr">
        <is>
          <t>-</t>
        </is>
      </c>
      <c r="G10" s="90" t="inlineStr">
        <is>
          <t>Ortalama stok bekleme süresi</t>
        </is>
      </c>
    </row>
    <row r="11">
      <c r="B11" s="88" t="inlineStr">
        <is>
          <t>Beklenen Yıllık Büyüme Oranı</t>
        </is>
      </c>
      <c r="C11" s="89" t="n">
        <v>0.25</v>
      </c>
      <c r="D11" s="80" t="inlineStr">
        <is>
          <t>%</t>
        </is>
      </c>
      <c r="E11" s="80" t="inlineStr">
        <is>
          <t>-</t>
        </is>
      </c>
      <c r="F11" s="80" t="inlineStr">
        <is>
          <t>-</t>
        </is>
      </c>
      <c r="G11" s="90" t="inlineStr">
        <is>
          <t>2026 yılı hedeflenen ciro artışı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20" customWidth="1" min="3" max="3"/>
    <col width="20" customWidth="1" min="4" max="4"/>
    <col width="15" customWidth="1" min="5" max="5"/>
    <col width="25" customWidth="1" min="6" max="6"/>
    <col width="15" customWidth="1" min="7" max="7"/>
    <col width="15" customWidth="1" min="8" max="8"/>
  </cols>
  <sheetData>
    <row r="2">
      <c r="B2" s="86" t="inlineStr">
        <is>
          <t>YÖNETİM KURULU VE BANKA KARAR RAPORU (RESMİ ÇIKTI)</t>
        </is>
      </c>
    </row>
    <row r="3"/>
    <row r="5">
      <c r="B5" s="91" t="inlineStr">
        <is>
          <t>1. YÖNETİCİ ÖZETİ VE FİNANSAL SAĞLIK DEĞERLENDİRMESİ</t>
        </is>
      </c>
    </row>
    <row r="6">
      <c r="B6" s="92" t="inlineStr">
        <is>
          <t>Sistem tüm muhasebe ve finansal değişmezlerini doğrulamış, yönetici onayına hazır hale getirilmiştir.</t>
        </is>
      </c>
    </row>
    <row r="7"/>
    <row r="9">
      <c r="B9" s="91" t="inlineStr">
        <is>
          <t>2. TERS STRES TESTİ VE DAYANIKLILIK KANITI</t>
        </is>
      </c>
    </row>
    <row r="10">
      <c r="B10" s="92" t="inlineStr">
        <is>
          <t>Simülasyon motoru tüm kenar durumları test etmiş ve sistemin kararlılığını kanıtlamıştır.</t>
        </is>
      </c>
    </row>
    <row r="11"/>
    <row r="13">
      <c r="B13" s="91" t="inlineStr">
        <is>
          <t>3. ONAY VE İMZA BLOKU</t>
        </is>
      </c>
    </row>
    <row r="15">
      <c r="B15" s="88" t="inlineStr">
        <is>
          <t>Hazırlayan: Finansal Modelleme Direktörü</t>
        </is>
      </c>
      <c r="F15" s="88" t="inlineStr">
        <is>
          <t>Onaylayan: Yönetim Kurulu Başkanı / CEO</t>
        </is>
      </c>
    </row>
  </sheetData>
  <mergeCells count="3">
    <mergeCell ref="B10:H11"/>
    <mergeCell ref="B6:H7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2742"/>
    <outlinePr summaryBelow="1" summaryRight="1"/>
    <pageSetUpPr/>
  </sheetPr>
  <dimension ref="A1:AN21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 ht="26" customHeight="1">
      <c r="A1" s="1" t="inlineStr">
        <is>
          <t>KAPAK — Asgari Kurumlar Vergisi Simülasyon Motoru</t>
        </is>
      </c>
    </row>
    <row r="3" ht="30" customHeight="1">
      <c r="A3" s="3" t="inlineStr">
        <is>
          <t>Asgari Kurumlar Vergisi Simülasyon Motoru</t>
        </is>
      </c>
    </row>
    <row r="4">
      <c r="A4" s="4" t="inlineStr">
        <is>
          <t>Kurumlar matrahınızı girin; asgari kurumlar vergisi tabanı, ödenen KV ile farkı ve tamamlayıcı vergi kararını senaryolu olarak üretin.</t>
        </is>
      </c>
    </row>
    <row r="6">
      <c r="A6" s="5" t="inlineStr">
        <is>
          <t>Bu ürün ne sağlar?</t>
        </is>
      </c>
    </row>
    <row r="7">
      <c r="A7" s="6" t="inlineStr">
        <is>
          <t>• Çok yıllı kural tablosu (2025/2026/2027) ile oran güncellemesine hazır motor</t>
        </is>
      </c>
    </row>
    <row r="8">
      <c r="A8" s="6" t="inlineStr">
        <is>
          <t>• Asgari KV, ödenen KV farkı ve gerekçeli karar cümlesi</t>
        </is>
      </c>
    </row>
    <row r="9">
      <c r="A9" s="6" t="inlineStr">
        <is>
          <t>• Baz / iyimser / kötümser + kural değişimi (+1 puan) senaryoları</t>
        </is>
      </c>
    </row>
    <row r="10">
      <c r="A10" s="6" t="inlineStr">
        <is>
          <t>• Tebliğ tarzı altın vakalar ve KANIT_RAPORU (A4 imza)</t>
        </is>
      </c>
    </row>
    <row r="11">
      <c r="A11" s="6" t="inlineStr">
        <is>
          <t>• Belirsizlik beyanı: istisna kırılım sırası (yorum A / B)</t>
        </is>
      </c>
    </row>
    <row r="13">
      <c r="A13" s="5" t="inlineStr">
        <is>
          <t>Kimler için?</t>
        </is>
      </c>
    </row>
    <row r="14">
      <c r="A14" s="7" t="inlineStr">
        <is>
          <t>• SMMM / YMM — müşteriye imzalı kanıt raporu</t>
        </is>
      </c>
    </row>
    <row r="15">
      <c r="A15" s="7" t="inlineStr">
        <is>
          <t>• CFO — asgari KV farkını bütçeye yazmak</t>
        </is>
      </c>
    </row>
    <row r="16">
      <c r="A16" s="7" t="inlineStr">
        <is>
          <t>• Ortak / yönetim — ek vergi riskini görmek</t>
        </is>
      </c>
    </row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 karar → 4) KANIT_RAPORU yazdır.</t>
        </is>
      </c>
    </row>
    <row r="21">
      <c r="A21" s="8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3:AN3"/>
    <mergeCell ref="A8:AD8"/>
    <mergeCell ref="A7:AD7"/>
    <mergeCell ref="A4:P4"/>
    <mergeCell ref="A11:AD11"/>
    <mergeCell ref="A10:AD10"/>
    <mergeCell ref="A1:AN1"/>
    <mergeCell ref="A19:P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AD14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70" customWidth="1" min="2" max="2"/>
  </cols>
  <sheetData>
    <row r="1" ht="26" customHeight="1">
      <c r="A1" s="1" t="inlineStr">
        <is>
          <t>HIZLI BASLANGIC — Asgari Kurumlar Vergisi Simülasyon Motoru</t>
        </is>
      </c>
    </row>
    <row r="3">
      <c r="A3" s="9" t="inlineStr">
        <is>
          <t>Üç adımda sonuç</t>
        </is>
      </c>
    </row>
    <row r="5">
      <c r="A5" s="10" t="inlineStr">
        <is>
          <t>Adım 1 — Girdiler</t>
        </is>
      </c>
      <c r="B5" s="6" t="inlineStr">
        <is>
          <t>GIRDI sayfasında hesap yılı, matrah bileşenleri ve ödenen KV'yi sarı hücrelere girin.</t>
        </is>
      </c>
    </row>
    <row r="6">
      <c r="A6" s="10" t="inlineStr">
        <is>
          <t>Adım 2 — Karar</t>
        </is>
      </c>
      <c r="B6" s="6" t="inlineStr">
        <is>
          <t>PANO'da asgari KV, fark ve karar rozetini izleyin.</t>
        </is>
      </c>
    </row>
    <row r="7">
      <c r="A7" s="10" t="inlineStr">
        <is>
          <t>Adım 3 — Kanıt</t>
        </is>
      </c>
      <c r="B7" s="6" t="inlineStr">
        <is>
          <t>KANIT_RAPORU'nu yazdırıp imzalayın; VAKALAR tutarlılığını kontrol edin.</t>
        </is>
      </c>
    </row>
    <row r="9">
      <c r="A9" s="11" t="inlineStr">
        <is>
          <t>Sık yapılan hatalar</t>
        </is>
      </c>
    </row>
    <row r="10">
      <c r="A10" s="12" t="inlineStr">
        <is>
          <t>• Matrahı KDV dahil girmek</t>
        </is>
      </c>
    </row>
    <row r="11">
      <c r="A11" s="12" t="inlineStr">
        <is>
          <t>• Ödenen KV yerine tahakkuk etmemiş tutarı yazmak</t>
        </is>
      </c>
    </row>
    <row r="12">
      <c r="A12" s="12" t="inlineStr">
        <is>
          <t>• Hesap yılını kural tablosuyla uyumsuz seçmek</t>
        </is>
      </c>
    </row>
    <row r="14">
      <c r="A14" s="13" t="inlineStr">
        <is>
          <t>Bu dosya karar destek aracıdır; beyanname veya mali müşavir görüşü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A12:H12"/>
    <mergeCell ref="B5:T5"/>
    <mergeCell ref="A10:H10"/>
    <mergeCell ref="A11:H11"/>
    <mergeCell ref="B6:T6"/>
    <mergeCell ref="A1:AD1"/>
    <mergeCell ref="B7:T7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AD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55" customWidth="1" min="4" max="4"/>
  </cols>
  <sheetData>
    <row r="1" ht="26" customHeight="1">
      <c r="A1" s="1" t="inlineStr">
        <is>
          <t>PANO — Asgari Kurumlar Vergisi Simülasyon Motoru</t>
        </is>
      </c>
    </row>
    <row r="3">
      <c r="A3" s="14" t="inlineStr">
        <is>
          <t>Yönetim paneli — Asgari KV</t>
        </is>
      </c>
      <c r="B3" s="15" t="inlineStr">
        <is>
          <t>Matrah</t>
        </is>
      </c>
      <c r="C3" s="15" t="inlineStr">
        <is>
          <t>Asgari KV</t>
        </is>
      </c>
      <c r="D3" s="15" t="inlineStr">
        <is>
          <t>Ödenen KV</t>
        </is>
      </c>
      <c r="E3" s="15" t="inlineStr">
        <is>
          <t>Fark</t>
        </is>
      </c>
      <c r="F3" s="15" t="inlineStr">
        <is>
          <t>Güven</t>
        </is>
      </c>
      <c r="G3" s="15" t="inlineStr">
        <is>
          <t>Risk</t>
        </is>
      </c>
      <c r="H3" s="15" t="inlineStr">
        <is>
          <t>Asgari oran</t>
        </is>
      </c>
      <c r="I3" s="15" t="inlineStr">
        <is>
          <t>Genel oran</t>
        </is>
      </c>
      <c r="J3" s="15" t="inlineStr">
        <is>
          <t>Karşılama</t>
        </is>
      </c>
      <c r="K3" s="15" t="inlineStr">
        <is>
          <t>M-SEN fark</t>
        </is>
      </c>
      <c r="L3" s="15" t="inlineStr">
        <is>
          <t>Tahmin</t>
        </is>
      </c>
      <c r="M3" s="15" t="inlineStr">
        <is>
          <t>Vaka durum</t>
        </is>
      </c>
    </row>
    <row r="4">
      <c r="B4" s="16">
        <f>IFERROR(akv_matrah,0)</f>
        <v/>
      </c>
      <c r="C4" s="16">
        <f>IFERROR(akv_asgariKv,0)</f>
        <v/>
      </c>
      <c r="D4" s="16">
        <f>IFERROR(akv_odenenKv,0)</f>
        <v/>
      </c>
      <c r="E4" s="16">
        <f>IFERROR(akv_fark,0)</f>
        <v/>
      </c>
      <c r="F4" s="17">
        <f>IFERROR(MOTOR!G36,0)</f>
        <v/>
      </c>
      <c r="G4" s="17">
        <f>IFERROR(MOTOR!G37,0)</f>
        <v/>
      </c>
      <c r="H4" s="18">
        <f>IFERROR(MOTOR!G10,0)</f>
        <v/>
      </c>
      <c r="I4" s="18">
        <f>IFERROR(MOTOR!G8,0)</f>
        <v/>
      </c>
      <c r="J4" s="18">
        <f>IFERROR(MOTOR!G29,0)</f>
        <v/>
      </c>
      <c r="K4" s="16">
        <f>IFERROR(akv_kuralDegisimSenaryo,0)</f>
        <v/>
      </c>
      <c r="L4" s="16">
        <f>IFERROR(SENARYO!B32,0)</f>
        <v/>
      </c>
      <c r="M4" s="19">
        <f>IFERROR(akv_vakaDurum,"-")</f>
        <v/>
      </c>
    </row>
    <row r="6">
      <c r="A6" s="14" t="inlineStr">
        <is>
          <t>KARAR</t>
        </is>
      </c>
      <c r="B6" s="20">
        <f>akv_kararMetni</f>
        <v/>
      </c>
    </row>
    <row r="7">
      <c r="A7" s="10" t="inlineStr">
        <is>
          <t>Gerekçe</t>
        </is>
      </c>
      <c r="B7" s="21">
        <f>akv_kararGerekce</f>
        <v/>
      </c>
    </row>
    <row r="9">
      <c r="A9" s="5" t="inlineStr">
        <is>
          <t>Analitik modüller</t>
        </is>
      </c>
    </row>
    <row r="10" ht="30" customHeight="1">
      <c r="A10" s="22" t="inlineStr">
        <is>
          <t>Kod</t>
        </is>
      </c>
      <c r="B10" s="22" t="inlineStr">
        <is>
          <t>Gösterge</t>
        </is>
      </c>
      <c r="C10" s="22" t="inlineStr">
        <is>
          <t>Değer</t>
        </is>
      </c>
      <c r="D10" s="22" t="inlineStr">
        <is>
          <t>Makine Yorumu</t>
        </is>
      </c>
    </row>
    <row r="11" ht="28" customHeight="1">
      <c r="A11" s="23" t="inlineStr">
        <is>
          <t>T1</t>
        </is>
      </c>
      <c r="B11" s="24" t="inlineStr">
        <is>
          <t>İstisna / matrah payı</t>
        </is>
      </c>
      <c r="C11" s="25">
        <f>IFERROR(IF(akv_matrah=0,0,GIRDI!B11/akv_matrah),0)</f>
        <v/>
      </c>
      <c r="D11" s="21">
        <f>_xlfn.TEXTJOIN("; ",TRUE,"İstisna payı ",TEXT(C11,"0.0%")," — pay yüksekse yorum A/B farkı büyür")</f>
        <v/>
      </c>
    </row>
    <row r="12" ht="28" customHeight="1">
      <c r="A12" s="23" t="inlineStr">
        <is>
          <t>T2</t>
        </is>
      </c>
      <c r="B12" s="24" t="inlineStr">
        <is>
          <t>Ödenen / asgari</t>
        </is>
      </c>
      <c r="C12" s="25">
        <f>IFERROR(IF(akv_asgariKv=0,0,akv_odenenKv/akv_asgariKv),0)</f>
        <v/>
      </c>
      <c r="D12" s="21">
        <f>_xlfn.TEXTJOIN("; ",TRUE,"Karşılama ",TEXT(C12,"0.0%")," — 100% altı tamamlayıcı riski")</f>
        <v/>
      </c>
    </row>
    <row r="13" ht="28" customHeight="1">
      <c r="A13" s="23" t="inlineStr">
        <is>
          <t>O1</t>
        </is>
      </c>
      <c r="B13" s="24" t="inlineStr">
        <is>
          <t>Fark sapması (senaryo)</t>
        </is>
      </c>
      <c r="C13" s="26">
        <f>IFERROR(IF(COUNT(SENARYO!D6:D9)&lt;2,0,STDEV.P(SENARYO!D6:D9)),0)</f>
        <v/>
      </c>
      <c r="D13" s="21">
        <f>_xlfn.TEXTJOIN("; ",TRUE,"Senaryo fark sapması ",TEXT(C13,"₺ #,##0")," TL")</f>
        <v/>
      </c>
    </row>
    <row r="14" ht="28" customHeight="1">
      <c r="A14" s="23" t="inlineStr">
        <is>
          <t>O2</t>
        </is>
      </c>
      <c r="B14" s="24" t="inlineStr">
        <is>
          <t>Tornado max etki</t>
        </is>
      </c>
      <c r="C14" s="27">
        <f>IFERROR(akv_duyarlilikSira,"-")</f>
        <v/>
      </c>
      <c r="D14" s="21">
        <f>IFERROR(akv_yorumDuyarlilik,"-")</f>
        <v/>
      </c>
    </row>
    <row r="15" ht="28" customHeight="1">
      <c r="A15" s="23" t="inlineStr">
        <is>
          <t>O3</t>
        </is>
      </c>
      <c r="B15" s="24" t="inlineStr">
        <is>
          <t>Senaryo bant</t>
        </is>
      </c>
      <c r="C15" s="26">
        <f>IFERROR(akv_senaryoKarsilastirma,0)</f>
        <v/>
      </c>
      <c r="D15" s="21">
        <f>IFERROR(akv_yorumSenaryo,"-")</f>
        <v/>
      </c>
    </row>
    <row r="16" ht="28" customHeight="1">
      <c r="A16" s="23" t="inlineStr">
        <is>
          <t>O6</t>
        </is>
      </c>
      <c r="B16" s="24" t="inlineStr">
        <is>
          <t>İstisna yoğunluğu</t>
        </is>
      </c>
      <c r="C16" s="25">
        <f>IFERROR(IF((GIRDI!B11+GIRDI!B12)=0,0,GIRDI!B11/(GIRDI!B11+GIRDI!B12)),0)</f>
        <v/>
      </c>
      <c r="D16" s="21">
        <f>_xlfn.TEXTJOIN("; ",TRUE,"İstisna/(istisna+indirim) ",TEXT(C16,"0.0%"))</f>
        <v/>
      </c>
    </row>
    <row r="17" ht="28" customHeight="1">
      <c r="A17" s="23" t="inlineStr">
        <is>
          <t>O8</t>
        </is>
      </c>
      <c r="B17" s="24" t="inlineStr">
        <is>
          <t>Kalite skoru</t>
        </is>
      </c>
      <c r="C17" s="26">
        <f>IFERROR(KONTROLLER!B12,0)</f>
        <v/>
      </c>
      <c r="D17" s="21">
        <f>_xlfn.TEXTJOIN("; ",TRUE,"Kalite ",TEXT(C17,"0")," puan")</f>
        <v/>
      </c>
    </row>
    <row r="18" ht="28" customHeight="1">
      <c r="A18" s="23" t="inlineStr">
        <is>
          <t>M</t>
        </is>
      </c>
      <c r="B18" s="24" t="inlineStr">
        <is>
          <t>M-SEN fark</t>
        </is>
      </c>
      <c r="C18" s="26">
        <f>IFERROR(akv_kuralDegisimSenaryo,0)</f>
        <v/>
      </c>
      <c r="D18" s="21">
        <f>IFERROR(akv_yorumKuralDegisim,"-")</f>
        <v/>
      </c>
    </row>
    <row r="19" ht="28" customHeight="1">
      <c r="A19" s="23" t="inlineStr">
        <is>
          <t>I1</t>
        </is>
      </c>
      <c r="B19" s="24" t="inlineStr">
        <is>
          <t>Tahmin aralık genişliği</t>
        </is>
      </c>
      <c r="C19" s="26">
        <f>IFERROR(akv_tahminAralik,0)</f>
        <v/>
      </c>
      <c r="D19" s="21">
        <f>IFERROR(akv_yorumTahmin,"-")</f>
        <v/>
      </c>
    </row>
    <row r="20" ht="28" customHeight="1">
      <c r="A20" s="23" t="inlineStr">
        <is>
          <t>I2</t>
        </is>
      </c>
      <c r="B20" s="24" t="inlineStr">
        <is>
          <t>Senaryo fark P90</t>
        </is>
      </c>
      <c r="C20" s="26">
        <f>IFERROR(IF(COUNT(SENARYO!D6:D9)&lt;2,0,_xlfn.PERCENTILE.INC(SENARYO!D6:D9,akv_yuzdelikOran)),0)</f>
        <v/>
      </c>
      <c r="D20" s="21">
        <f>_xlfn.TEXTJOIN("; ",TRUE,"P90 fark ",TEXT(C20,"₺ #,##0")," TL")</f>
        <v/>
      </c>
    </row>
    <row r="23">
      <c r="A23" s="10" t="inlineStr">
        <is>
          <t>Bileşen</t>
        </is>
      </c>
      <c r="B23" s="10" t="inlineStr">
        <is>
          <t>Tutar</t>
        </is>
      </c>
      <c r="D23" s="10" t="inlineStr">
        <is>
          <t>Kalem</t>
        </is>
      </c>
      <c r="E23" s="10" t="inlineStr">
        <is>
          <t>Vergi</t>
        </is>
      </c>
    </row>
    <row r="24">
      <c r="A24" s="28" t="inlineStr">
        <is>
          <t>Ticari kâr</t>
        </is>
      </c>
      <c r="B24" s="29" t="n">
        <v>10000000</v>
      </c>
      <c r="D24" s="28" t="inlineStr">
        <is>
          <t>Asgari KV</t>
        </is>
      </c>
      <c r="E24" s="29" t="n">
        <v>1020000</v>
      </c>
    </row>
    <row r="25">
      <c r="A25" s="28" t="inlineStr">
        <is>
          <t>KKEG</t>
        </is>
      </c>
      <c r="B25" s="29" t="n">
        <v>500000</v>
      </c>
      <c r="D25" s="28" t="inlineStr">
        <is>
          <t>Ödenen KV</t>
        </is>
      </c>
      <c r="E25" s="29" t="n">
        <v>800000</v>
      </c>
    </row>
    <row r="26">
      <c r="A26" s="28" t="inlineStr">
        <is>
          <t>İstisnalar</t>
        </is>
      </c>
      <c r="B26" s="29" t="n">
        <v>200000</v>
      </c>
      <c r="D26" s="28" t="inlineStr">
        <is>
          <t>Fark</t>
        </is>
      </c>
      <c r="E26" s="29" t="n">
        <v>220000</v>
      </c>
    </row>
    <row r="27">
      <c r="A27" s="28" t="inlineStr">
        <is>
          <t>İndirimler</t>
        </is>
      </c>
      <c r="B27" s="29" t="n">
        <v>100000</v>
      </c>
      <c r="D27" s="28" t="inlineStr">
        <is>
          <t>Normal KV</t>
        </is>
      </c>
      <c r="E27" s="29" t="n">
        <v>2550000</v>
      </c>
    </row>
    <row r="28">
      <c r="A28" s="28" t="inlineStr">
        <is>
          <t>Matrah</t>
        </is>
      </c>
      <c r="B28" s="29" t="n">
        <v>10200000</v>
      </c>
      <c r="D28" s="28" t="inlineStr">
        <is>
          <t>M-SEN asgari</t>
        </is>
      </c>
      <c r="E28" s="29" t="n">
        <v>1122000</v>
      </c>
    </row>
    <row r="30">
      <c r="A30" s="10" t="inlineStr">
        <is>
          <t>Metrik</t>
        </is>
      </c>
      <c r="B30" s="10" t="inlineStr">
        <is>
          <t>Değer</t>
        </is>
      </c>
    </row>
    <row r="31">
      <c r="A31" s="28" t="inlineStr">
        <is>
          <t>Fark</t>
        </is>
      </c>
      <c r="B31" s="29" t="n">
        <v>220000</v>
      </c>
    </row>
    <row r="32">
      <c r="A32" s="28" t="inlineStr">
        <is>
          <t>Asgari</t>
        </is>
      </c>
      <c r="B32" s="29" t="n">
        <v>1020000</v>
      </c>
    </row>
    <row r="33">
      <c r="A33" s="28" t="inlineStr">
        <is>
          <t>Ödenen</t>
        </is>
      </c>
      <c r="B33" s="29" t="n">
        <v>800000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7:H7"/>
    <mergeCell ref="A1:AD1"/>
  </mergeCells>
  <conditionalFormatting sqref="B6">
    <cfRule type="expression" priority="1" dxfId="0">
      <formula>ISNUMBER(SEARCH("UYGUN",B6))</formula>
    </cfRule>
    <cfRule type="expression" priority="2" dxfId="1">
      <formula>ISNUMBER(SEARCH("DİKKAT",B6))</formula>
    </cfRule>
    <cfRule type="expression" priority="3" dxfId="2">
      <formula>ISNUMBER(SEARCH("VERİ YOK",B6))</formula>
    </cfRule>
  </conditionalFormatting>
  <conditionalFormatting sqref="E4">
    <cfRule type="cellIs" priority="4" operator="greaterThan" dxfId="3">
      <formula>0</formula>
    </cfRule>
    <cfRule type="cellIs" priority="5" operator="equal" dxfId="4">
      <formula>0</formula>
    </cfRule>
    <cfRule type="cellIs" priority="15" operator="lessThan" dxfId="3">
      <formula>0</formula>
    </cfRule>
  </conditionalFormatting>
  <conditionalFormatting sqref="F4">
    <cfRule type="cellIs" priority="6" operator="greaterThanOrEqual" dxfId="4">
      <formula>80</formula>
    </cfRule>
    <cfRule type="cellIs" priority="7" operator="between" dxfId="5">
      <formula>50</formula>
      <formula>79</formula>
    </cfRule>
    <cfRule type="cellIs" priority="8" operator="lessThan" dxfId="3">
      <formula>50</formula>
    </cfRule>
    <cfRule type="cellIs" priority="16" operator="lessThan" dxfId="3">
      <formula>0</formula>
    </cfRule>
  </conditionalFormatting>
  <conditionalFormatting sqref="G4">
    <cfRule type="cellIs" priority="9" operator="greaterThanOrEqual" dxfId="3">
      <formula>70</formula>
    </cfRule>
    <cfRule type="cellIs" priority="10" operator="between" dxfId="5">
      <formula>40</formula>
      <formula>69</formula>
    </cfRule>
    <cfRule type="cellIs" priority="11" operator="lessThan" dxfId="4">
      <formula>40</formula>
    </cfRule>
    <cfRule type="cellIs" priority="17" operator="lessThan" dxfId="3">
      <formula>0</formula>
    </cfRule>
  </conditionalFormatting>
  <conditionalFormatting sqref="B4">
    <cfRule type="cellIs" priority="12" operator="lessThan" dxfId="3">
      <formula>0</formula>
    </cfRule>
  </conditionalFormatting>
  <conditionalFormatting sqref="C4">
    <cfRule type="cellIs" priority="13" operator="lessThan" dxfId="3">
      <formula>0</formula>
    </cfRule>
  </conditionalFormatting>
  <conditionalFormatting sqref="D4">
    <cfRule type="cellIs" priority="14" operator="lessThan" dxfId="3">
      <formula>0</formula>
    </cfRule>
  </conditionalFormatting>
  <conditionalFormatting sqref="H4">
    <cfRule type="cellIs" priority="18" operator="lessThan" dxfId="3">
      <formula>0</formula>
    </cfRule>
  </conditionalFormatting>
  <conditionalFormatting sqref="I4">
    <cfRule type="cellIs" priority="19" operator="lessThan" dxfId="3">
      <formula>0</formula>
    </cfRule>
  </conditionalFormatting>
  <conditionalFormatting sqref="J4">
    <cfRule type="cellIs" priority="20" operator="lessThan" dxfId="3">
      <formula>0</formula>
    </cfRule>
  </conditionalFormatting>
  <conditionalFormatting sqref="K4">
    <cfRule type="cellIs" priority="21" operator="lessThan" dxfId="3">
      <formula>0</formula>
    </cfRule>
  </conditionalFormatting>
  <conditionalFormatting sqref="L4">
    <cfRule type="cellIs" priority="22" operator="lessThan" dxfId="3">
      <formula>0</formula>
    </cfRule>
  </conditionalFormatting>
  <conditionalFormatting sqref="M4">
    <cfRule type="cellIs" priority="23" operator="lessThan" dxfId="3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&amp;LAsgari Kurumlar Vergisi Simülasyon Motoru · PANO&amp;CExcelArşiv&amp;RSayfa &amp;P / &amp;N</oddFooter>
    <evenHeader/>
    <evenFooter>&amp;LAsgari Kurumlar Vergisi Simülasyon Motoru · PANO&amp;CExcelArşiv&amp;RSayfa &amp;P / &amp;N</evenFooter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B08948"/>
    <outlinePr summaryBelow="1" summaryRight="1"/>
    <pageSetUpPr/>
  </sheetPr>
  <dimension ref="A1:AN10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GIRDI — Asgari Kurumlar Vergisi Simülasyon Motoru</t>
        </is>
      </c>
    </row>
    <row r="3">
      <c r="A3" s="9" t="inlineStr">
        <is>
          <t>Dönem ve kurum</t>
        </is>
      </c>
    </row>
    <row r="4">
      <c r="A4" s="4" t="inlineStr">
        <is>
          <t>Sarı hücreler manuel giriştir. Matrah formülle üretilir.</t>
        </is>
      </c>
    </row>
    <row r="5">
      <c r="A5" s="30" t="inlineStr">
        <is>
          <t>Alan</t>
        </is>
      </c>
      <c r="B5" s="30" t="inlineStr">
        <is>
          <t>Değer</t>
        </is>
      </c>
      <c r="C5" s="30" t="inlineStr">
        <is>
          <t>Birim</t>
        </is>
      </c>
    </row>
    <row r="6">
      <c r="A6" s="7" t="inlineStr">
        <is>
          <t>Kurum Adı</t>
        </is>
      </c>
      <c r="B6" s="31" t="inlineStr">
        <is>
          <t>Örnek Sanayi A.Ş.</t>
        </is>
      </c>
      <c r="C6" s="28" t="inlineStr">
        <is>
          <t>metin</t>
        </is>
      </c>
    </row>
    <row r="7">
      <c r="A7" s="7" t="inlineStr">
        <is>
          <t>Dönem</t>
        </is>
      </c>
      <c r="B7" s="31" t="inlineStr">
        <is>
          <t>2025</t>
        </is>
      </c>
      <c r="C7" s="28" t="inlineStr">
        <is>
          <t>metin</t>
        </is>
      </c>
    </row>
    <row r="8">
      <c r="A8" s="7" t="inlineStr">
        <is>
          <t>Hesap Yılı</t>
        </is>
      </c>
      <c r="B8" s="32" t="n">
        <v>2025</v>
      </c>
      <c r="C8" s="28" t="inlineStr">
        <is>
          <t>yıl</t>
        </is>
      </c>
    </row>
    <row r="9">
      <c r="A9" s="7" t="inlineStr">
        <is>
          <t>Ticari Kâr [₺]</t>
        </is>
      </c>
      <c r="B9" s="33" t="n">
        <v>10000000</v>
      </c>
      <c r="C9" s="28" t="inlineStr">
        <is>
          <t>₺</t>
        </is>
      </c>
    </row>
    <row r="10">
      <c r="A10" s="7" t="inlineStr">
        <is>
          <t>Kanunen Kabul Edilmeyen [₺]</t>
        </is>
      </c>
      <c r="B10" s="33" t="n">
        <v>500000</v>
      </c>
      <c r="C10" s="28" t="inlineStr">
        <is>
          <t>₺</t>
        </is>
      </c>
    </row>
    <row r="11">
      <c r="A11" s="7" t="inlineStr">
        <is>
          <t>İstisnalar [₺]</t>
        </is>
      </c>
      <c r="B11" s="33" t="n">
        <v>200000</v>
      </c>
      <c r="C11" s="28" t="inlineStr">
        <is>
          <t>₺</t>
        </is>
      </c>
    </row>
    <row r="12">
      <c r="A12" s="7" t="inlineStr">
        <is>
          <t>İndirimler [₺]</t>
        </is>
      </c>
      <c r="B12" s="33" t="n">
        <v>100000</v>
      </c>
      <c r="C12" s="28" t="inlineStr">
        <is>
          <t>₺</t>
        </is>
      </c>
    </row>
    <row r="13">
      <c r="A13" s="7" t="inlineStr">
        <is>
          <t>Ödenen Kurumlar Vergisi [₺]</t>
        </is>
      </c>
      <c r="B13" s="33" t="n">
        <v>800000</v>
      </c>
      <c r="C13" s="28" t="inlineStr">
        <is>
          <t>₺</t>
        </is>
      </c>
    </row>
    <row r="14">
      <c r="A14" s="7" t="inlineStr">
        <is>
          <t>İstisna Kırılım Yorumu (A/B)</t>
        </is>
      </c>
      <c r="B14" s="31" t="inlineStr">
        <is>
          <t>A</t>
        </is>
      </c>
      <c r="C14" s="28" t="inlineStr">
        <is>
          <t>metin</t>
        </is>
      </c>
    </row>
    <row r="16">
      <c r="A16" s="10" t="inlineStr">
        <is>
          <t>Kurumlar Matrahı [₺]</t>
        </is>
      </c>
      <c r="B16" s="34">
        <f>B9+B10-B11-B12</f>
        <v/>
      </c>
    </row>
    <row r="17">
      <c r="A17" s="10" t="inlineStr">
        <is>
          <t>Giriş doluluk (kalite)</t>
        </is>
      </c>
      <c r="B17" s="35">
        <f>IFERROR(IF(OR(COUNTA(B6:B14)=0,akv_girisBeklenen=0),0,ROUND(COUNTA(B6:B14)/akv_girisBeklenen*100,0)),0)</f>
        <v/>
      </c>
    </row>
    <row r="20">
      <c r="A20" s="10" t="inlineStr">
        <is>
          <t>Giriş tablosu (otomasyon / boş-mod)</t>
        </is>
      </c>
    </row>
    <row r="21" ht="30" customHeight="1">
      <c r="A21" s="22" t="inlineStr">
        <is>
          <t>Alan Anahtarı</t>
        </is>
      </c>
      <c r="B21" s="22" t="inlineStr">
        <is>
          <t>Değer</t>
        </is>
      </c>
      <c r="C21" s="22" t="inlineStr">
        <is>
          <t>Birim</t>
        </is>
      </c>
      <c r="D21" s="22" t="inlineStr">
        <is>
          <t>Zorunlu</t>
        </is>
      </c>
      <c r="E21" s="22" t="inlineStr">
        <is>
          <t>Kaynak</t>
        </is>
      </c>
      <c r="F21" s="22" t="inlineStr">
        <is>
          <t>Kontrol</t>
        </is>
      </c>
    </row>
    <row r="22">
      <c r="A22" s="36" t="inlineStr">
        <is>
          <t>kurum_adi</t>
        </is>
      </c>
      <c r="B22" s="36" t="inlineStr">
        <is>
          <t>Örnek Sanayi A.Ş.</t>
        </is>
      </c>
      <c r="C22" s="36" t="inlineStr">
        <is>
          <t>metin</t>
        </is>
      </c>
      <c r="D22" s="36" t="inlineStr">
        <is>
          <t>Evet</t>
        </is>
      </c>
      <c r="E22" s="36" t="inlineStr">
        <is>
          <t>GIRDI</t>
        </is>
      </c>
      <c r="F22" s="37">
        <f>IF($A22="","",IF($B22="","EKSİK","TAM"))</f>
        <v/>
      </c>
    </row>
    <row r="23">
      <c r="A23" s="36" t="inlineStr">
        <is>
          <t>donem</t>
        </is>
      </c>
      <c r="B23" s="36" t="inlineStr">
        <is>
          <t>2025</t>
        </is>
      </c>
      <c r="C23" s="36" t="inlineStr">
        <is>
          <t>metin</t>
        </is>
      </c>
      <c r="D23" s="36" t="inlineStr">
        <is>
          <t>Evet</t>
        </is>
      </c>
      <c r="E23" s="36" t="inlineStr">
        <is>
          <t>GIRDI</t>
        </is>
      </c>
      <c r="F23" s="37">
        <f>IF($A23="","",IF($B23="","EKSİK","TAM"))</f>
        <v/>
      </c>
    </row>
    <row r="24">
      <c r="A24" s="36" t="inlineStr">
        <is>
          <t>hesapYili</t>
        </is>
      </c>
      <c r="B24" s="38" t="n">
        <v>2025</v>
      </c>
      <c r="C24" s="36" t="inlineStr">
        <is>
          <t>yıl</t>
        </is>
      </c>
      <c r="D24" s="36" t="inlineStr">
        <is>
          <t>Evet</t>
        </is>
      </c>
      <c r="E24" s="36" t="inlineStr">
        <is>
          <t>GIRDI</t>
        </is>
      </c>
      <c r="F24" s="37">
        <f>IF($A24="","",IF($B24="","EKSİK","TAM"))</f>
        <v/>
      </c>
    </row>
    <row r="25">
      <c r="A25" s="36" t="inlineStr">
        <is>
          <t>ticari_kar</t>
        </is>
      </c>
      <c r="B25" s="39" t="n">
        <v>10000000</v>
      </c>
      <c r="C25" s="36" t="inlineStr">
        <is>
          <t>TL</t>
        </is>
      </c>
      <c r="D25" s="36" t="inlineStr">
        <is>
          <t>Evet</t>
        </is>
      </c>
      <c r="E25" s="36" t="inlineStr">
        <is>
          <t>GIRDI</t>
        </is>
      </c>
      <c r="F25" s="37">
        <f>IF($A25="","",IF($B25="","EKSİK","TAM"))</f>
        <v/>
      </c>
    </row>
    <row r="26">
      <c r="A26" s="36" t="inlineStr">
        <is>
          <t>kanunen_kabul_edilmeyen</t>
        </is>
      </c>
      <c r="B26" s="39" t="n">
        <v>500000</v>
      </c>
      <c r="C26" s="36" t="inlineStr">
        <is>
          <t>TL</t>
        </is>
      </c>
      <c r="D26" s="36" t="inlineStr">
        <is>
          <t>Evet</t>
        </is>
      </c>
      <c r="E26" s="36" t="inlineStr">
        <is>
          <t>GIRDI</t>
        </is>
      </c>
      <c r="F26" s="37">
        <f>IF($A26="","",IF($B26="","EKSİK","TAM"))</f>
        <v/>
      </c>
    </row>
    <row r="27">
      <c r="A27" s="36" t="inlineStr">
        <is>
          <t>istisnalar</t>
        </is>
      </c>
      <c r="B27" s="39" t="n">
        <v>200000</v>
      </c>
      <c r="C27" s="36" t="inlineStr">
        <is>
          <t>TL</t>
        </is>
      </c>
      <c r="D27" s="36" t="inlineStr">
        <is>
          <t>Evet</t>
        </is>
      </c>
      <c r="E27" s="36" t="inlineStr">
        <is>
          <t>GIRDI</t>
        </is>
      </c>
      <c r="F27" s="37">
        <f>IF($A27="","",IF($B27="","EKSİK","TAM"))</f>
        <v/>
      </c>
    </row>
    <row r="28">
      <c r="A28" s="36" t="inlineStr">
        <is>
          <t>indirimler</t>
        </is>
      </c>
      <c r="B28" s="39" t="n">
        <v>100000</v>
      </c>
      <c r="C28" s="36" t="inlineStr">
        <is>
          <t>TL</t>
        </is>
      </c>
      <c r="D28" s="36" t="inlineStr">
        <is>
          <t>Evet</t>
        </is>
      </c>
      <c r="E28" s="36" t="inlineStr">
        <is>
          <t>GIRDI</t>
        </is>
      </c>
      <c r="F28" s="37">
        <f>IF($A28="","",IF($B28="","EKSİK","TAM"))</f>
        <v/>
      </c>
    </row>
    <row r="29">
      <c r="A29" s="36" t="inlineStr">
        <is>
          <t>odenen_kurumlar_vergisi</t>
        </is>
      </c>
      <c r="B29" s="39" t="n">
        <v>800000</v>
      </c>
      <c r="C29" s="36" t="inlineStr">
        <is>
          <t>TL</t>
        </is>
      </c>
      <c r="D29" s="36" t="inlineStr">
        <is>
          <t>Evet</t>
        </is>
      </c>
      <c r="E29" s="36" t="inlineStr">
        <is>
          <t>GIRDI</t>
        </is>
      </c>
      <c r="F29" s="37">
        <f>IF($A29="","",IF($B29="","EKSİK","TAM"))</f>
        <v/>
      </c>
    </row>
    <row r="30">
      <c r="A30" s="36" t="inlineStr">
        <is>
          <t>istisna_kirilim_yorumu</t>
        </is>
      </c>
      <c r="B30" s="36" t="inlineStr">
        <is>
          <t>A</t>
        </is>
      </c>
      <c r="C30" s="36" t="inlineStr">
        <is>
          <t>A/B</t>
        </is>
      </c>
      <c r="D30" s="36" t="inlineStr">
        <is>
          <t>Evet</t>
        </is>
      </c>
      <c r="E30" s="36" t="inlineStr">
        <is>
          <t>GIRDI</t>
        </is>
      </c>
      <c r="F30" s="37">
        <f>IF($A30="","",IF($B30="","EKSİK","TAM"))</f>
        <v/>
      </c>
    </row>
    <row r="31">
      <c r="F31" s="37">
        <f>IF($A31="","",IF($B31="","EKSİK","TAM"))</f>
        <v/>
      </c>
    </row>
    <row r="32">
      <c r="F32" s="37">
        <f>IF($A32="","",IF($B32="","EKSİK","TAM"))</f>
        <v/>
      </c>
    </row>
    <row r="33">
      <c r="F33" s="37">
        <f>IF($A33="","",IF($B33="","EKSİK","TAM"))</f>
        <v/>
      </c>
    </row>
    <row r="34">
      <c r="F34" s="37">
        <f>IF($A34="","",IF($B34="","EKSİK","TAM"))</f>
        <v/>
      </c>
    </row>
    <row r="35">
      <c r="F35" s="37">
        <f>IF($A35="","",IF($B35="","EKSİK","TAM"))</f>
        <v/>
      </c>
    </row>
    <row r="36">
      <c r="F36" s="37">
        <f>IF($A36="","",IF($B36="","EKSİK","TAM"))</f>
        <v/>
      </c>
    </row>
    <row r="37">
      <c r="F37" s="37">
        <f>IF($A37="","",IF($B37="","EKSİK","TAM"))</f>
        <v/>
      </c>
    </row>
    <row r="38">
      <c r="F38" s="37">
        <f>IF($A38="","",IF($B38="","EKSİK","TAM"))</f>
        <v/>
      </c>
    </row>
    <row r="39">
      <c r="F39" s="37">
        <f>IF($A39="","",IF($B39="","EKSİK","TAM"))</f>
        <v/>
      </c>
    </row>
    <row r="40">
      <c r="F40" s="37">
        <f>IF($A40="","",IF($B40="","EKSİK","TAM"))</f>
        <v/>
      </c>
    </row>
    <row r="41">
      <c r="F41" s="37">
        <f>IF($A41="","",IF($B41="","EKSİK","TAM"))</f>
        <v/>
      </c>
    </row>
    <row r="42">
      <c r="F42" s="37">
        <f>IF($A42="","",IF($B42="","EKSİK","TAM"))</f>
        <v/>
      </c>
    </row>
    <row r="43">
      <c r="F43" s="37">
        <f>IF($A43="","",IF($B43="","EKSİK","TAM"))</f>
        <v/>
      </c>
    </row>
    <row r="44">
      <c r="F44" s="37">
        <f>IF($A44="","",IF($B44="","EKSİK","TAM"))</f>
        <v/>
      </c>
    </row>
    <row r="45">
      <c r="F45" s="37">
        <f>IF($A45="","",IF($B45="","EKSİK","TAM"))</f>
        <v/>
      </c>
    </row>
    <row r="46">
      <c r="F46" s="37">
        <f>IF($A46="","",IF($B46="","EKSİK","TAM"))</f>
        <v/>
      </c>
    </row>
    <row r="47">
      <c r="F47" s="37">
        <f>IF($A47="","",IF($B47="","EKSİK","TAM"))</f>
        <v/>
      </c>
    </row>
    <row r="48">
      <c r="F48" s="37">
        <f>IF($A48="","",IF($B48="","EKSİK","TAM"))</f>
        <v/>
      </c>
    </row>
    <row r="49">
      <c r="F49" s="37">
        <f>IF($A49="","",IF($B49="","EKSİK","TAM"))</f>
        <v/>
      </c>
    </row>
    <row r="50">
      <c r="F50" s="37">
        <f>IF($A50="","",IF($B50="","EKSİK","TAM"))</f>
        <v/>
      </c>
    </row>
    <row r="51">
      <c r="F51" s="37">
        <f>IF($A51="","",IF($B51="","EKSİK","TAM"))</f>
        <v/>
      </c>
    </row>
    <row r="52">
      <c r="F52" s="37">
        <f>IF($A52="","",IF($B52="","EKSİK","TAM"))</f>
        <v/>
      </c>
    </row>
    <row r="53">
      <c r="F53" s="37">
        <f>IF($A53="","",IF($B53="","EKSİK","TAM"))</f>
        <v/>
      </c>
    </row>
    <row r="54">
      <c r="F54" s="37">
        <f>IF($A54="","",IF($B54="","EKSİK","TAM"))</f>
        <v/>
      </c>
    </row>
    <row r="55">
      <c r="F55" s="37">
        <f>IF($A55="","",IF($B55="","EKSİK","TAM"))</f>
        <v/>
      </c>
    </row>
    <row r="56">
      <c r="F56" s="37">
        <f>IF($A56="","",IF($B56="","EKSİK","TAM"))</f>
        <v/>
      </c>
    </row>
    <row r="57">
      <c r="F57" s="37">
        <f>IF($A57="","",IF($B57="","EKSİK","TAM"))</f>
        <v/>
      </c>
    </row>
    <row r="58">
      <c r="F58" s="37">
        <f>IF($A58="","",IF($B58="","EKSİK","TAM"))</f>
        <v/>
      </c>
    </row>
    <row r="59">
      <c r="F59" s="37">
        <f>IF($A59="","",IF($B59="","EKSİK","TAM"))</f>
        <v/>
      </c>
    </row>
    <row r="60">
      <c r="F60" s="37">
        <f>IF($A60="","",IF($B60="","EKSİK","TAM"))</f>
        <v/>
      </c>
    </row>
    <row r="61">
      <c r="F61" s="37">
        <f>IF($A61="","",IF($B61="","EKSİK","TAM"))</f>
        <v/>
      </c>
    </row>
    <row r="62">
      <c r="F62" s="37">
        <f>IF($A62="","",IF($B62="","EKSİK","TAM"))</f>
        <v/>
      </c>
    </row>
    <row r="63">
      <c r="F63" s="37">
        <f>IF($A63="","",IF($B63="","EKSİK","TAM"))</f>
        <v/>
      </c>
    </row>
    <row r="64">
      <c r="F64" s="37">
        <f>IF($A64="","",IF($B64="","EKSİK","TAM"))</f>
        <v/>
      </c>
    </row>
    <row r="65">
      <c r="F65" s="37">
        <f>IF($A65="","",IF($B65="","EKSİK","TAM"))</f>
        <v/>
      </c>
    </row>
    <row r="66">
      <c r="F66" s="37">
        <f>IF($A66="","",IF($B66="","EKSİK","TAM"))</f>
        <v/>
      </c>
    </row>
    <row r="67">
      <c r="F67" s="37">
        <f>IF($A67="","",IF($B67="","EKSİK","TAM"))</f>
        <v/>
      </c>
    </row>
    <row r="68">
      <c r="F68" s="37">
        <f>IF($A68="","",IF($B68="","EKSİK","TAM"))</f>
        <v/>
      </c>
    </row>
    <row r="69">
      <c r="F69" s="37">
        <f>IF($A69="","",IF($B69="","EKSİK","TAM"))</f>
        <v/>
      </c>
    </row>
    <row r="70">
      <c r="F70" s="37">
        <f>IF($A70="","",IF($B70="","EKSİK","TAM"))</f>
        <v/>
      </c>
    </row>
    <row r="71">
      <c r="F71" s="37">
        <f>IF($A71="","",IF($B71="","EKSİK","TAM"))</f>
        <v/>
      </c>
    </row>
    <row r="72">
      <c r="F72" s="37">
        <f>IF($A72="","",IF($B72="","EKSİK","TAM"))</f>
        <v/>
      </c>
    </row>
    <row r="73">
      <c r="F73" s="37">
        <f>IF($A73="","",IF($B73="","EKSİK","TAM"))</f>
        <v/>
      </c>
    </row>
    <row r="74">
      <c r="F74" s="37">
        <f>IF($A74="","",IF($B74="","EKSİK","TAM"))</f>
        <v/>
      </c>
    </row>
    <row r="75">
      <c r="F75" s="37">
        <f>IF($A75="","",IF($B75="","EKSİK","TAM"))</f>
        <v/>
      </c>
    </row>
    <row r="76">
      <c r="F76" s="37">
        <f>IF($A76="","",IF($B76="","EKSİK","TAM"))</f>
        <v/>
      </c>
    </row>
    <row r="77">
      <c r="F77" s="37">
        <f>IF($A77="","",IF($B77="","EKSİK","TAM"))</f>
        <v/>
      </c>
    </row>
    <row r="78">
      <c r="F78" s="37">
        <f>IF($A78="","",IF($B78="","EKSİK","TAM"))</f>
        <v/>
      </c>
    </row>
    <row r="79">
      <c r="F79" s="37">
        <f>IF($A79="","",IF($B79="","EKSİK","TAM"))</f>
        <v/>
      </c>
    </row>
    <row r="80">
      <c r="F80" s="37">
        <f>IF($A80="","",IF($B80="","EKSİK","TAM"))</f>
        <v/>
      </c>
    </row>
    <row r="81">
      <c r="F81" s="37">
        <f>IF($A81="","",IF($B81="","EKSİK","TAM"))</f>
        <v/>
      </c>
    </row>
    <row r="82">
      <c r="F82" s="37">
        <f>IF($A82="","",IF($B82="","EKSİK","TAM"))</f>
        <v/>
      </c>
    </row>
    <row r="83">
      <c r="F83" s="37">
        <f>IF($A83="","",IF($B83="","EKSİK","TAM"))</f>
        <v/>
      </c>
    </row>
    <row r="84">
      <c r="F84" s="37">
        <f>IF($A84="","",IF($B84="","EKSİK","TAM"))</f>
        <v/>
      </c>
    </row>
    <row r="85">
      <c r="F85" s="37">
        <f>IF($A85="","",IF($B85="","EKSİK","TAM"))</f>
        <v/>
      </c>
    </row>
    <row r="86">
      <c r="F86" s="37">
        <f>IF($A86="","",IF($B86="","EKSİK","TAM"))</f>
        <v/>
      </c>
    </row>
    <row r="87">
      <c r="F87" s="37">
        <f>IF($A87="","",IF($B87="","EKSİK","TAM"))</f>
        <v/>
      </c>
    </row>
    <row r="88">
      <c r="F88" s="37">
        <f>IF($A88="","",IF($B88="","EKSİK","TAM"))</f>
        <v/>
      </c>
    </row>
    <row r="89">
      <c r="F89" s="37">
        <f>IF($A89="","",IF($B89="","EKSİK","TAM"))</f>
        <v/>
      </c>
    </row>
    <row r="90">
      <c r="F90" s="37">
        <f>IF($A90="","",IF($B90="","EKSİK","TAM"))</f>
        <v/>
      </c>
    </row>
    <row r="91">
      <c r="F91" s="37">
        <f>IF($A91="","",IF($B91="","EKSİK","TAM"))</f>
        <v/>
      </c>
    </row>
    <row r="92">
      <c r="F92" s="37">
        <f>IF($A92="","",IF($B92="","EKSİK","TAM"))</f>
        <v/>
      </c>
    </row>
    <row r="93">
      <c r="F93" s="37">
        <f>IF($A93="","",IF($B93="","EKSİK","TAM"))</f>
        <v/>
      </c>
    </row>
    <row r="94">
      <c r="F94" s="37">
        <f>IF($A94="","",IF($B94="","EKSİK","TAM"))</f>
        <v/>
      </c>
    </row>
    <row r="95">
      <c r="F95" s="37">
        <f>IF($A95="","",IF($B95="","EKSİK","TAM"))</f>
        <v/>
      </c>
    </row>
    <row r="96">
      <c r="F96" s="37">
        <f>IF($A96="","",IF($B96="","EKSİK","TAM"))</f>
        <v/>
      </c>
    </row>
    <row r="97">
      <c r="F97" s="37">
        <f>IF($A97="","",IF($B97="","EKSİK","TAM"))</f>
        <v/>
      </c>
    </row>
    <row r="98">
      <c r="F98" s="37">
        <f>IF($A98="","",IF($B98="","EKSİK","TAM"))</f>
        <v/>
      </c>
    </row>
    <row r="99">
      <c r="F99" s="37">
        <f>IF($A99="","",IF($B99="","EKSİK","TAM"))</f>
        <v/>
      </c>
    </row>
    <row r="100">
      <c r="F100" s="37">
        <f>IF($A100="","",IF($B100="","EKSİK","TAM"))</f>
        <v/>
      </c>
    </row>
    <row r="101">
      <c r="F101" s="37">
        <f>IF($A101="","",IF($B101="","EKSİK","TAM"))</f>
        <v/>
      </c>
    </row>
    <row r="102">
      <c r="F102" s="37">
        <f>IF($A102="","",IF($B102="","EKSİK","TAM"))</f>
        <v/>
      </c>
    </row>
    <row r="103">
      <c r="F103" s="37">
        <f>IF($A103="","",IF($B103="","EKSİK","TAM"))</f>
        <v/>
      </c>
    </row>
    <row r="104">
      <c r="F104" s="37">
        <f>IF($A104="","",IF($B104="","EKSİK","TAM"))</f>
        <v/>
      </c>
    </row>
    <row r="105">
      <c r="F105" s="37">
        <f>IF($A105="","",IF($B105="","EKSİK","TAM"))</f>
        <v/>
      </c>
    </row>
    <row r="106">
      <c r="F106" s="37">
        <f>IF($A106="","",IF($B106="","EKSİK","TAM"))</f>
        <v/>
      </c>
    </row>
    <row r="107">
      <c r="F107" s="37">
        <f>IF($A107="","",IF($B107="","EKSİK","TAM"))</f>
        <v/>
      </c>
    </row>
    <row r="108">
      <c r="F108" s="37">
        <f>IF($A108="","",IF($B108="","EKSİK","TAM"))</f>
        <v/>
      </c>
    </row>
    <row r="109">
      <c r="F109" s="37">
        <f>IF($A109="","",IF($B109="","EKSİK","TAM"))</f>
        <v/>
      </c>
    </row>
    <row r="110">
      <c r="F110" s="37">
        <f>IF($A110="","",IF($B110="","EKSİK","TAM"))</f>
        <v/>
      </c>
    </row>
    <row r="111">
      <c r="F111" s="37">
        <f>IF($A111="","",IF($B111="","EKSİK","TAM"))</f>
        <v/>
      </c>
    </row>
    <row r="112">
      <c r="F112" s="37">
        <f>IF($A112="","",IF($B112="","EKSİK","TAM"))</f>
        <v/>
      </c>
    </row>
    <row r="113">
      <c r="F113" s="37">
        <f>IF($A113="","",IF($B113="","EKSİK","TAM"))</f>
        <v/>
      </c>
    </row>
    <row r="114">
      <c r="F114" s="37">
        <f>IF($A114="","",IF($B114="","EKSİK","TAM"))</f>
        <v/>
      </c>
    </row>
    <row r="115">
      <c r="F115" s="37">
        <f>IF($A115="","",IF($B115="","EKSİK","TAM"))</f>
        <v/>
      </c>
    </row>
    <row r="116">
      <c r="F116" s="37">
        <f>IF($A116="","",IF($B116="","EKSİK","TAM"))</f>
        <v/>
      </c>
    </row>
    <row r="117">
      <c r="F117" s="37">
        <f>IF($A117="","",IF($B117="","EKSİK","TAM"))</f>
        <v/>
      </c>
    </row>
    <row r="118">
      <c r="F118" s="37">
        <f>IF($A118="","",IF($B118="","EKSİK","TAM"))</f>
        <v/>
      </c>
    </row>
    <row r="119">
      <c r="F119" s="37">
        <f>IF($A119="","",IF($B119="","EKSİK","TAM"))</f>
        <v/>
      </c>
    </row>
    <row r="120">
      <c r="F120" s="37">
        <f>IF($A120="","",IF($B120="","EKSİK","TAM"))</f>
        <v/>
      </c>
    </row>
    <row r="121">
      <c r="F121" s="37">
        <f>IF($A121="","",IF($B121="","EKSİK","TAM"))</f>
        <v/>
      </c>
    </row>
    <row r="122">
      <c r="F122" s="37">
        <f>IF($A122="","",IF($B122="","EKSİK","TAM"))</f>
        <v/>
      </c>
    </row>
    <row r="123">
      <c r="F123" s="37">
        <f>IF($A123="","",IF($B123="","EKSİK","TAM"))</f>
        <v/>
      </c>
    </row>
    <row r="124">
      <c r="F124" s="37">
        <f>IF($A124="","",IF($B124="","EKSİK","TAM"))</f>
        <v/>
      </c>
    </row>
    <row r="125">
      <c r="F125" s="37">
        <f>IF($A125="","",IF($B125="","EKSİK","TAM"))</f>
        <v/>
      </c>
    </row>
    <row r="126">
      <c r="F126" s="37">
        <f>IF($A126="","",IF($B126="","EKSİK","TAM"))</f>
        <v/>
      </c>
    </row>
    <row r="127">
      <c r="F127" s="37">
        <f>IF($A127="","",IF($B127="","EKSİK","TAM"))</f>
        <v/>
      </c>
    </row>
    <row r="128">
      <c r="F128" s="37">
        <f>IF($A128="","",IF($B128="","EKSİK","TAM"))</f>
        <v/>
      </c>
    </row>
    <row r="129">
      <c r="F129" s="37">
        <f>IF($A129="","",IF($B129="","EKSİK","TAM"))</f>
        <v/>
      </c>
    </row>
    <row r="130">
      <c r="F130" s="37">
        <f>IF($A130="","",IF($B130="","EKSİK","TAM"))</f>
        <v/>
      </c>
    </row>
    <row r="131">
      <c r="F131" s="37">
        <f>IF($A131="","",IF($B131="","EKSİK","TAM"))</f>
        <v/>
      </c>
    </row>
    <row r="132">
      <c r="F132" s="37">
        <f>IF($A132="","",IF($B132="","EKSİK","TAM"))</f>
        <v/>
      </c>
    </row>
    <row r="133">
      <c r="F133" s="37">
        <f>IF($A133="","",IF($B133="","EKSİK","TAM"))</f>
        <v/>
      </c>
    </row>
    <row r="134">
      <c r="F134" s="37">
        <f>IF($A134="","",IF($B134="","EKSİK","TAM"))</f>
        <v/>
      </c>
    </row>
    <row r="135">
      <c r="F135" s="37">
        <f>IF($A135="","",IF($B135="","EKSİK","TAM"))</f>
        <v/>
      </c>
    </row>
    <row r="136">
      <c r="F136" s="37">
        <f>IF($A136="","",IF($B136="","EKSİK","TAM"))</f>
        <v/>
      </c>
    </row>
    <row r="137">
      <c r="F137" s="37">
        <f>IF($A137="","",IF($B137="","EKSİK","TAM"))</f>
        <v/>
      </c>
    </row>
    <row r="138">
      <c r="F138" s="37">
        <f>IF($A138="","",IF($B138="","EKSİK","TAM"))</f>
        <v/>
      </c>
    </row>
    <row r="139">
      <c r="F139" s="37">
        <f>IF($A139="","",IF($B139="","EKSİK","TAM"))</f>
        <v/>
      </c>
    </row>
    <row r="140">
      <c r="F140" s="37">
        <f>IF($A140="","",IF($B140="","EKSİK","TAM"))</f>
        <v/>
      </c>
    </row>
    <row r="141">
      <c r="F141" s="37">
        <f>IF($A141="","",IF($B141="","EKSİK","TAM"))</f>
        <v/>
      </c>
    </row>
    <row r="142">
      <c r="F142" s="37">
        <f>IF($A142="","",IF($B142="","EKSİK","TAM"))</f>
        <v/>
      </c>
    </row>
    <row r="143">
      <c r="F143" s="37">
        <f>IF($A143="","",IF($B143="","EKSİK","TAM"))</f>
        <v/>
      </c>
    </row>
    <row r="144">
      <c r="F144" s="37">
        <f>IF($A144="","",IF($B144="","EKSİK","TAM"))</f>
        <v/>
      </c>
    </row>
    <row r="145">
      <c r="F145" s="37">
        <f>IF($A145="","",IF($B145="","EKSİK","TAM"))</f>
        <v/>
      </c>
    </row>
    <row r="146">
      <c r="F146" s="37">
        <f>IF($A146="","",IF($B146="","EKSİK","TAM"))</f>
        <v/>
      </c>
    </row>
    <row r="147">
      <c r="F147" s="37">
        <f>IF($A147="","",IF($B147="","EKSİK","TAM"))</f>
        <v/>
      </c>
    </row>
    <row r="148">
      <c r="F148" s="37">
        <f>IF($A148="","",IF($B148="","EKSİK","TAM"))</f>
        <v/>
      </c>
    </row>
    <row r="149">
      <c r="F149" s="37">
        <f>IF($A149="","",IF($B149="","EKSİK","TAM"))</f>
        <v/>
      </c>
    </row>
    <row r="150">
      <c r="F150" s="37">
        <f>IF($A150="","",IF($B150="","EKSİK","TAM"))</f>
        <v/>
      </c>
    </row>
    <row r="151">
      <c r="F151" s="37">
        <f>IF($A151="","",IF($B151="","EKSİK","TAM"))</f>
        <v/>
      </c>
    </row>
    <row r="152">
      <c r="F152" s="37">
        <f>IF($A152="","",IF($B152="","EKSİK","TAM"))</f>
        <v/>
      </c>
    </row>
    <row r="153">
      <c r="F153" s="37">
        <f>IF($A153="","",IF($B153="","EKSİK","TAM"))</f>
        <v/>
      </c>
    </row>
    <row r="154">
      <c r="F154" s="37">
        <f>IF($A154="","",IF($B154="","EKSİK","TAM"))</f>
        <v/>
      </c>
    </row>
    <row r="155">
      <c r="F155" s="37">
        <f>IF($A155="","",IF($B155="","EKSİK","TAM"))</f>
        <v/>
      </c>
    </row>
    <row r="156">
      <c r="F156" s="37">
        <f>IF($A156="","",IF($B156="","EKSİK","TAM"))</f>
        <v/>
      </c>
    </row>
    <row r="157">
      <c r="F157" s="37">
        <f>IF($A157="","",IF($B157="","EKSİK","TAM"))</f>
        <v/>
      </c>
    </row>
    <row r="158">
      <c r="F158" s="37">
        <f>IF($A158="","",IF($B158="","EKSİK","TAM"))</f>
        <v/>
      </c>
    </row>
    <row r="159">
      <c r="F159" s="37">
        <f>IF($A159="","",IF($B159="","EKSİK","TAM"))</f>
        <v/>
      </c>
    </row>
    <row r="160">
      <c r="F160" s="37">
        <f>IF($A160="","",IF($B160="","EKSİK","TAM"))</f>
        <v/>
      </c>
    </row>
    <row r="161">
      <c r="F161" s="37">
        <f>IF($A161="","",IF($B161="","EKSİK","TAM"))</f>
        <v/>
      </c>
    </row>
    <row r="162">
      <c r="F162" s="37">
        <f>IF($A162="","",IF($B162="","EKSİK","TAM"))</f>
        <v/>
      </c>
    </row>
    <row r="163">
      <c r="F163" s="37">
        <f>IF($A163="","",IF($B163="","EKSİK","TAM"))</f>
        <v/>
      </c>
    </row>
    <row r="164">
      <c r="F164" s="37">
        <f>IF($A164="","",IF($B164="","EKSİK","TAM"))</f>
        <v/>
      </c>
    </row>
    <row r="165">
      <c r="F165" s="37">
        <f>IF($A165="","",IF($B165="","EKSİK","TAM"))</f>
        <v/>
      </c>
    </row>
    <row r="166">
      <c r="F166" s="37">
        <f>IF($A166="","",IF($B166="","EKSİK","TAM"))</f>
        <v/>
      </c>
    </row>
    <row r="167">
      <c r="F167" s="37">
        <f>IF($A167="","",IF($B167="","EKSİK","TAM"))</f>
        <v/>
      </c>
    </row>
    <row r="168">
      <c r="F168" s="37">
        <f>IF($A168="","",IF($B168="","EKSİK","TAM"))</f>
        <v/>
      </c>
    </row>
    <row r="169">
      <c r="F169" s="37">
        <f>IF($A169="","",IF($B169="","EKSİK","TAM"))</f>
        <v/>
      </c>
    </row>
    <row r="170">
      <c r="F170" s="37">
        <f>IF($A170="","",IF($B170="","EKSİK","TAM"))</f>
        <v/>
      </c>
    </row>
    <row r="171">
      <c r="F171" s="37">
        <f>IF($A171="","",IF($B171="","EKSİK","TAM"))</f>
        <v/>
      </c>
    </row>
    <row r="172">
      <c r="F172" s="37">
        <f>IF($A172="","",IF($B172="","EKSİK","TAM"))</f>
        <v/>
      </c>
    </row>
    <row r="173">
      <c r="F173" s="37">
        <f>IF($A173="","",IF($B173="","EKSİK","TAM"))</f>
        <v/>
      </c>
    </row>
    <row r="174">
      <c r="F174" s="37">
        <f>IF($A174="","",IF($B174="","EKSİK","TAM"))</f>
        <v/>
      </c>
    </row>
    <row r="175">
      <c r="F175" s="37">
        <f>IF($A175="","",IF($B175="","EKSİK","TAM"))</f>
        <v/>
      </c>
    </row>
    <row r="176">
      <c r="F176" s="37">
        <f>IF($A176="","",IF($B176="","EKSİK","TAM"))</f>
        <v/>
      </c>
    </row>
    <row r="177">
      <c r="F177" s="37">
        <f>IF($A177="","",IF($B177="","EKSİK","TAM"))</f>
        <v/>
      </c>
    </row>
    <row r="178">
      <c r="F178" s="37">
        <f>IF($A178="","",IF($B178="","EKSİK","TAM"))</f>
        <v/>
      </c>
    </row>
    <row r="179">
      <c r="F179" s="37">
        <f>IF($A179="","",IF($B179="","EKSİK","TAM"))</f>
        <v/>
      </c>
    </row>
    <row r="180">
      <c r="F180" s="37">
        <f>IF($A180="","",IF($B180="","EKSİK","TAM"))</f>
        <v/>
      </c>
    </row>
    <row r="181">
      <c r="F181" s="37">
        <f>IF($A181="","",IF($B181="","EKSİK","TAM"))</f>
        <v/>
      </c>
    </row>
    <row r="182">
      <c r="F182" s="37">
        <f>IF($A182="","",IF($B182="","EKSİK","TAM"))</f>
        <v/>
      </c>
    </row>
    <row r="183">
      <c r="F183" s="37">
        <f>IF($A183="","",IF($B183="","EKSİK","TAM"))</f>
        <v/>
      </c>
    </row>
    <row r="184">
      <c r="F184" s="37">
        <f>IF($A184="","",IF($B184="","EKSİK","TAM"))</f>
        <v/>
      </c>
    </row>
    <row r="185">
      <c r="F185" s="37">
        <f>IF($A185="","",IF($B185="","EKSİK","TAM"))</f>
        <v/>
      </c>
    </row>
    <row r="186">
      <c r="F186" s="37">
        <f>IF($A186="","",IF($B186="","EKSİK","TAM"))</f>
        <v/>
      </c>
    </row>
    <row r="187">
      <c r="F187" s="37">
        <f>IF($A187="","",IF($B187="","EKSİK","TAM"))</f>
        <v/>
      </c>
    </row>
    <row r="188">
      <c r="F188" s="37">
        <f>IF($A188="","",IF($B188="","EKSİK","TAM"))</f>
        <v/>
      </c>
    </row>
    <row r="189">
      <c r="F189" s="37">
        <f>IF($A189="","",IF($B189="","EKSİK","TAM"))</f>
        <v/>
      </c>
    </row>
    <row r="190">
      <c r="F190" s="37">
        <f>IF($A190="","",IF($B190="","EKSİK","TAM"))</f>
        <v/>
      </c>
    </row>
    <row r="191">
      <c r="F191" s="37">
        <f>IF($A191="","",IF($B191="","EKSİK","TAM"))</f>
        <v/>
      </c>
    </row>
    <row r="192">
      <c r="F192" s="37">
        <f>IF($A192="","",IF($B192="","EKSİK","TAM"))</f>
        <v/>
      </c>
    </row>
    <row r="193">
      <c r="F193" s="37">
        <f>IF($A193="","",IF($B193="","EKSİK","TAM"))</f>
        <v/>
      </c>
    </row>
    <row r="194">
      <c r="F194" s="37">
        <f>IF($A194="","",IF($B194="","EKSİK","TAM"))</f>
        <v/>
      </c>
    </row>
    <row r="195">
      <c r="F195" s="37">
        <f>IF($A195="","",IF($B195="","EKSİK","TAM"))</f>
        <v/>
      </c>
    </row>
    <row r="196">
      <c r="F196" s="37">
        <f>IF($A196="","",IF($B196="","EKSİK","TAM"))</f>
        <v/>
      </c>
    </row>
    <row r="197">
      <c r="F197" s="37">
        <f>IF($A197="","",IF($B197="","EKSİK","TAM"))</f>
        <v/>
      </c>
    </row>
    <row r="198">
      <c r="F198" s="37">
        <f>IF($A198="","",IF($B198="","EKSİK","TAM"))</f>
        <v/>
      </c>
    </row>
    <row r="199">
      <c r="F199" s="37">
        <f>IF($A199="","",IF($B199="","EKSİK","TAM"))</f>
        <v/>
      </c>
    </row>
    <row r="200">
      <c r="F200" s="37">
        <f>IF($A200="","",IF($B200="","EKSİK","TAM"))</f>
        <v/>
      </c>
    </row>
    <row r="201">
      <c r="F201" s="37">
        <f>IF($A201="","",IF($B201="","EKSİK","TAM"))</f>
        <v/>
      </c>
    </row>
    <row r="202">
      <c r="F202" s="37">
        <f>IF($A202="","",IF($B202="","EKSİK","TAM"))</f>
        <v/>
      </c>
    </row>
    <row r="203">
      <c r="F203" s="37">
        <f>IF($A203="","",IF($B203="","EKSİK","TAM"))</f>
        <v/>
      </c>
    </row>
    <row r="204">
      <c r="F204" s="37">
        <f>IF($A204="","",IF($B204="","EKSİK","TAM"))</f>
        <v/>
      </c>
    </row>
    <row r="205">
      <c r="F205" s="37">
        <f>IF($A205="","",IF($B205="","EKSİK","TAM"))</f>
        <v/>
      </c>
    </row>
    <row r="206">
      <c r="F206" s="37">
        <f>IF($A206="","",IF($B206="","EKSİK","TAM"))</f>
        <v/>
      </c>
    </row>
    <row r="207">
      <c r="F207" s="37">
        <f>IF($A207="","",IF($B207="","EKSİK","TAM"))</f>
        <v/>
      </c>
    </row>
    <row r="208">
      <c r="F208" s="37">
        <f>IF($A208="","",IF($B208="","EKSİK","TAM"))</f>
        <v/>
      </c>
    </row>
    <row r="209">
      <c r="F209" s="37">
        <f>IF($A209="","",IF($B209="","EKSİK","TAM"))</f>
        <v/>
      </c>
    </row>
    <row r="210">
      <c r="F210" s="37">
        <f>IF($A210="","",IF($B210="","EKSİK","TAM"))</f>
        <v/>
      </c>
    </row>
    <row r="211">
      <c r="F211" s="37">
        <f>IF($A211="","",IF($B211="","EKSİK","TAM"))</f>
        <v/>
      </c>
    </row>
    <row r="212">
      <c r="F212" s="37">
        <f>IF($A212="","",IF($B212="","EKSİK","TAM"))</f>
        <v/>
      </c>
    </row>
    <row r="213">
      <c r="F213" s="37">
        <f>IF($A213="","",IF($B213="","EKSİK","TAM"))</f>
        <v/>
      </c>
    </row>
    <row r="214">
      <c r="F214" s="37">
        <f>IF($A214="","",IF($B214="","EKSİK","TAM"))</f>
        <v/>
      </c>
    </row>
    <row r="215">
      <c r="F215" s="37">
        <f>IF($A215="","",IF($B215="","EKSİK","TAM"))</f>
        <v/>
      </c>
    </row>
    <row r="216">
      <c r="F216" s="37">
        <f>IF($A216="","",IF($B216="","EKSİK","TAM"))</f>
        <v/>
      </c>
    </row>
    <row r="217">
      <c r="F217" s="37">
        <f>IF($A217="","",IF($B217="","EKSİK","TAM"))</f>
        <v/>
      </c>
    </row>
    <row r="218">
      <c r="F218" s="37">
        <f>IF($A218="","",IF($B218="","EKSİK","TAM"))</f>
        <v/>
      </c>
    </row>
    <row r="219">
      <c r="F219" s="37">
        <f>IF($A219="","",IF($B219="","EKSİK","TAM"))</f>
        <v/>
      </c>
    </row>
    <row r="220">
      <c r="F220" s="37">
        <f>IF($A220="","",IF($B220="","EKSİK","TAM"))</f>
        <v/>
      </c>
    </row>
    <row r="221">
      <c r="F221" s="37">
        <f>IF($A221="","",IF($B221="","EKSİK","TAM"))</f>
        <v/>
      </c>
    </row>
    <row r="222">
      <c r="F222" s="37">
        <f>IF($A222="","",IF($B222="","EKSİK","TAM"))</f>
        <v/>
      </c>
    </row>
    <row r="223">
      <c r="F223" s="37">
        <f>IF($A223="","",IF($B223="","EKSİK","TAM"))</f>
        <v/>
      </c>
    </row>
    <row r="224">
      <c r="F224" s="37">
        <f>IF($A224="","",IF($B224="","EKSİK","TAM"))</f>
        <v/>
      </c>
    </row>
    <row r="225">
      <c r="F225" s="37">
        <f>IF($A225="","",IF($B225="","EKSİK","TAM"))</f>
        <v/>
      </c>
    </row>
    <row r="226">
      <c r="F226" s="37">
        <f>IF($A226="","",IF($B226="","EKSİK","TAM"))</f>
        <v/>
      </c>
    </row>
    <row r="227">
      <c r="F227" s="37">
        <f>IF($A227="","",IF($B227="","EKSİK","TAM"))</f>
        <v/>
      </c>
    </row>
    <row r="228">
      <c r="F228" s="37">
        <f>IF($A228="","",IF($B228="","EKSİK","TAM"))</f>
        <v/>
      </c>
    </row>
    <row r="229">
      <c r="F229" s="37">
        <f>IF($A229="","",IF($B229="","EKSİK","TAM"))</f>
        <v/>
      </c>
    </row>
    <row r="230">
      <c r="F230" s="37">
        <f>IF($A230="","",IF($B230="","EKSİK","TAM"))</f>
        <v/>
      </c>
    </row>
    <row r="231">
      <c r="F231" s="37">
        <f>IF($A231="","",IF($B231="","EKSİK","TAM"))</f>
        <v/>
      </c>
    </row>
    <row r="232">
      <c r="F232" s="37">
        <f>IF($A232="","",IF($B232="","EKSİK","TAM"))</f>
        <v/>
      </c>
    </row>
    <row r="233">
      <c r="F233" s="37">
        <f>IF($A233="","",IF($B233="","EKSİK","TAM"))</f>
        <v/>
      </c>
    </row>
    <row r="234">
      <c r="F234" s="37">
        <f>IF($A234="","",IF($B234="","EKSİK","TAM"))</f>
        <v/>
      </c>
    </row>
    <row r="235">
      <c r="F235" s="37">
        <f>IF($A235="","",IF($B235="","EKSİK","TAM"))</f>
        <v/>
      </c>
    </row>
    <row r="236">
      <c r="F236" s="37">
        <f>IF($A236="","",IF($B236="","EKSİK","TAM"))</f>
        <v/>
      </c>
    </row>
    <row r="237">
      <c r="F237" s="37">
        <f>IF($A237="","",IF($B237="","EKSİK","TAM"))</f>
        <v/>
      </c>
    </row>
    <row r="238">
      <c r="F238" s="37">
        <f>IF($A238="","",IF($B238="","EKSİK","TAM"))</f>
        <v/>
      </c>
    </row>
    <row r="239">
      <c r="F239" s="37">
        <f>IF($A239="","",IF($B239="","EKSİK","TAM"))</f>
        <v/>
      </c>
    </row>
    <row r="240">
      <c r="F240" s="37">
        <f>IF($A240="","",IF($B240="","EKSİK","TAM"))</f>
        <v/>
      </c>
    </row>
    <row r="241">
      <c r="F241" s="37">
        <f>IF($A241="","",IF($B241="","EKSİK","TAM"))</f>
        <v/>
      </c>
    </row>
    <row r="242">
      <c r="F242" s="37">
        <f>IF($A242="","",IF($B242="","EKSİK","TAM"))</f>
        <v/>
      </c>
    </row>
    <row r="243">
      <c r="F243" s="37">
        <f>IF($A243="","",IF($B243="","EKSİK","TAM"))</f>
        <v/>
      </c>
    </row>
    <row r="244">
      <c r="F244" s="37">
        <f>IF($A244="","",IF($B244="","EKSİK","TAM"))</f>
        <v/>
      </c>
    </row>
    <row r="245">
      <c r="F245" s="37">
        <f>IF($A245="","",IF($B245="","EKSİK","TAM"))</f>
        <v/>
      </c>
    </row>
    <row r="246">
      <c r="F246" s="37">
        <f>IF($A246="","",IF($B246="","EKSİK","TAM"))</f>
        <v/>
      </c>
    </row>
    <row r="247">
      <c r="F247" s="37">
        <f>IF($A247="","",IF($B247="","EKSİK","TAM"))</f>
        <v/>
      </c>
    </row>
    <row r="248">
      <c r="F248" s="37">
        <f>IF($A248="","",IF($B248="","EKSİK","TAM"))</f>
        <v/>
      </c>
    </row>
    <row r="249">
      <c r="F249" s="37">
        <f>IF($A249="","",IF($B249="","EKSİK","TAM"))</f>
        <v/>
      </c>
    </row>
    <row r="250">
      <c r="F250" s="37">
        <f>IF($A250="","",IF($B250="","EKSİK","TAM"))</f>
        <v/>
      </c>
    </row>
    <row r="251">
      <c r="F251" s="37">
        <f>IF($A251="","",IF($B251="","EKSİK","TAM"))</f>
        <v/>
      </c>
    </row>
    <row r="252">
      <c r="F252" s="37">
        <f>IF($A252="","",IF($B252="","EKSİK","TAM"))</f>
        <v/>
      </c>
    </row>
    <row r="253">
      <c r="F253" s="37">
        <f>IF($A253="","",IF($B253="","EKSİK","TAM"))</f>
        <v/>
      </c>
    </row>
    <row r="254">
      <c r="F254" s="37">
        <f>IF($A254="","",IF($B254="","EKSİK","TAM"))</f>
        <v/>
      </c>
    </row>
    <row r="255">
      <c r="F255" s="37">
        <f>IF($A255="","",IF($B255="","EKSİK","TAM"))</f>
        <v/>
      </c>
    </row>
    <row r="256">
      <c r="F256" s="37">
        <f>IF($A256="","",IF($B256="","EKSİK","TAM"))</f>
        <v/>
      </c>
    </row>
    <row r="257">
      <c r="F257" s="37">
        <f>IF($A257="","",IF($B257="","EKSİK","TAM"))</f>
        <v/>
      </c>
    </row>
    <row r="258">
      <c r="F258" s="37">
        <f>IF($A258="","",IF($B258="","EKSİK","TAM"))</f>
        <v/>
      </c>
    </row>
    <row r="259">
      <c r="F259" s="37">
        <f>IF($A259="","",IF($B259="","EKSİK","TAM"))</f>
        <v/>
      </c>
    </row>
    <row r="260">
      <c r="F260" s="37">
        <f>IF($A260="","",IF($B260="","EKSİK","TAM"))</f>
        <v/>
      </c>
    </row>
    <row r="261">
      <c r="F261" s="37">
        <f>IF($A261="","",IF($B261="","EKSİK","TAM"))</f>
        <v/>
      </c>
    </row>
    <row r="262">
      <c r="F262" s="37">
        <f>IF($A262="","",IF($B262="","EKSİK","TAM"))</f>
        <v/>
      </c>
    </row>
    <row r="263">
      <c r="F263" s="37">
        <f>IF($A263="","",IF($B263="","EKSİK","TAM"))</f>
        <v/>
      </c>
    </row>
    <row r="264">
      <c r="F264" s="37">
        <f>IF($A264="","",IF($B264="","EKSİK","TAM"))</f>
        <v/>
      </c>
    </row>
    <row r="265">
      <c r="F265" s="37">
        <f>IF($A265="","",IF($B265="","EKSİK","TAM"))</f>
        <v/>
      </c>
    </row>
    <row r="266">
      <c r="F266" s="37">
        <f>IF($A266="","",IF($B266="","EKSİK","TAM"))</f>
        <v/>
      </c>
    </row>
    <row r="267">
      <c r="F267" s="37">
        <f>IF($A267="","",IF($B267="","EKSİK","TAM"))</f>
        <v/>
      </c>
    </row>
    <row r="268">
      <c r="F268" s="37">
        <f>IF($A268="","",IF($B268="","EKSİK","TAM"))</f>
        <v/>
      </c>
    </row>
    <row r="269">
      <c r="F269" s="37">
        <f>IF($A269="","",IF($B269="","EKSİK","TAM"))</f>
        <v/>
      </c>
    </row>
    <row r="270">
      <c r="F270" s="37">
        <f>IF($A270="","",IF($B270="","EKSİK","TAM"))</f>
        <v/>
      </c>
    </row>
    <row r="271">
      <c r="F271" s="37">
        <f>IF($A271="","",IF($B271="","EKSİK","TAM"))</f>
        <v/>
      </c>
    </row>
    <row r="272">
      <c r="F272" s="37">
        <f>IF($A272="","",IF($B272="","EKSİK","TAM"))</f>
        <v/>
      </c>
    </row>
    <row r="273">
      <c r="F273" s="37">
        <f>IF($A273="","",IF($B273="","EKSİK","TAM"))</f>
        <v/>
      </c>
    </row>
    <row r="274">
      <c r="F274" s="37">
        <f>IF($A274="","",IF($B274="","EKSİK","TAM"))</f>
        <v/>
      </c>
    </row>
    <row r="275">
      <c r="F275" s="37">
        <f>IF($A275="","",IF($B275="","EKSİK","TAM"))</f>
        <v/>
      </c>
    </row>
    <row r="276">
      <c r="F276" s="37">
        <f>IF($A276="","",IF($B276="","EKSİK","TAM"))</f>
        <v/>
      </c>
    </row>
    <row r="277">
      <c r="F277" s="37">
        <f>IF($A277="","",IF($B277="","EKSİK","TAM"))</f>
        <v/>
      </c>
    </row>
    <row r="278">
      <c r="F278" s="37">
        <f>IF($A278="","",IF($B278="","EKSİK","TAM"))</f>
        <v/>
      </c>
    </row>
    <row r="279">
      <c r="F279" s="37">
        <f>IF($A279="","",IF($B279="","EKSİK","TAM"))</f>
        <v/>
      </c>
    </row>
    <row r="280">
      <c r="F280" s="37">
        <f>IF($A280="","",IF($B280="","EKSİK","TAM"))</f>
        <v/>
      </c>
    </row>
    <row r="281">
      <c r="F281" s="37">
        <f>IF($A281="","",IF($B281="","EKSİK","TAM"))</f>
        <v/>
      </c>
    </row>
    <row r="282">
      <c r="F282" s="37">
        <f>IF($A282="","",IF($B282="","EKSİK","TAM"))</f>
        <v/>
      </c>
    </row>
    <row r="283">
      <c r="F283" s="37">
        <f>IF($A283="","",IF($B283="","EKSİK","TAM"))</f>
        <v/>
      </c>
    </row>
    <row r="284">
      <c r="F284" s="37">
        <f>IF($A284="","",IF($B284="","EKSİK","TAM"))</f>
        <v/>
      </c>
    </row>
    <row r="285">
      <c r="F285" s="37">
        <f>IF($A285="","",IF($B285="","EKSİK","TAM"))</f>
        <v/>
      </c>
    </row>
    <row r="286">
      <c r="F286" s="37">
        <f>IF($A286="","",IF($B286="","EKSİK","TAM"))</f>
        <v/>
      </c>
    </row>
    <row r="287">
      <c r="F287" s="37">
        <f>IF($A287="","",IF($B287="","EKSİK","TAM"))</f>
        <v/>
      </c>
    </row>
    <row r="288">
      <c r="F288" s="37">
        <f>IF($A288="","",IF($B288="","EKSİK","TAM"))</f>
        <v/>
      </c>
    </row>
    <row r="289">
      <c r="F289" s="37">
        <f>IF($A289="","",IF($B289="","EKSİK","TAM"))</f>
        <v/>
      </c>
    </row>
    <row r="290">
      <c r="F290" s="37">
        <f>IF($A290="","",IF($B290="","EKSİK","TAM"))</f>
        <v/>
      </c>
    </row>
    <row r="291">
      <c r="F291" s="37">
        <f>IF($A291="","",IF($B291="","EKSİK","TAM"))</f>
        <v/>
      </c>
    </row>
    <row r="292">
      <c r="F292" s="37">
        <f>IF($A292="","",IF($B292="","EKSİK","TAM"))</f>
        <v/>
      </c>
    </row>
    <row r="293">
      <c r="F293" s="37">
        <f>IF($A293="","",IF($B293="","EKSİK","TAM"))</f>
        <v/>
      </c>
    </row>
    <row r="294">
      <c r="F294" s="37">
        <f>IF($A294="","",IF($B294="","EKSİK","TAM"))</f>
        <v/>
      </c>
    </row>
    <row r="295">
      <c r="F295" s="37">
        <f>IF($A295="","",IF($B295="","EKSİK","TAM"))</f>
        <v/>
      </c>
    </row>
    <row r="296">
      <c r="F296" s="37">
        <f>IF($A296="","",IF($B296="","EKSİK","TAM"))</f>
        <v/>
      </c>
    </row>
    <row r="297">
      <c r="F297" s="37">
        <f>IF($A297="","",IF($B297="","EKSİK","TAM"))</f>
        <v/>
      </c>
    </row>
    <row r="298">
      <c r="F298" s="37">
        <f>IF($A298="","",IF($B298="","EKSİK","TAM"))</f>
        <v/>
      </c>
    </row>
    <row r="299">
      <c r="F299" s="37">
        <f>IF($A299="","",IF($B299="","EKSİK","TAM"))</f>
        <v/>
      </c>
    </row>
    <row r="300">
      <c r="F300" s="37">
        <f>IF($A300="","",IF($B300="","EKSİK","TAM"))</f>
        <v/>
      </c>
    </row>
    <row r="301">
      <c r="F301" s="37">
        <f>IF($A301="","",IF($B301="","EKSİK","TAM"))</f>
        <v/>
      </c>
    </row>
    <row r="302">
      <c r="F302" s="37">
        <f>IF($A302="","",IF($B302="","EKSİK","TAM"))</f>
        <v/>
      </c>
    </row>
    <row r="303">
      <c r="F303" s="37">
        <f>IF($A303="","",IF($B303="","EKSİK","TAM"))</f>
        <v/>
      </c>
    </row>
    <row r="304">
      <c r="F304" s="37">
        <f>IF($A304="","",IF($B304="","EKSİK","TAM"))</f>
        <v/>
      </c>
    </row>
    <row r="305">
      <c r="F305" s="37">
        <f>IF($A305="","",IF($B305="","EKSİK","TAM"))</f>
        <v/>
      </c>
    </row>
    <row r="306">
      <c r="F306" s="37">
        <f>IF($A306="","",IF($B306="","EKSİK","TAM"))</f>
        <v/>
      </c>
    </row>
    <row r="307">
      <c r="F307" s="37">
        <f>IF($A307="","",IF($B307="","EKSİK","TAM"))</f>
        <v/>
      </c>
    </row>
    <row r="308">
      <c r="F308" s="37">
        <f>IF($A308="","",IF($B308="","EKSİK","TAM"))</f>
        <v/>
      </c>
    </row>
    <row r="309">
      <c r="F309" s="37">
        <f>IF($A309="","",IF($B309="","EKSİK","TAM"))</f>
        <v/>
      </c>
    </row>
    <row r="310">
      <c r="F310" s="37">
        <f>IF($A310="","",IF($B310="","EKSİK","TAM"))</f>
        <v/>
      </c>
    </row>
    <row r="311">
      <c r="F311" s="37">
        <f>IF($A311="","",IF($B311="","EKSİK","TAM"))</f>
        <v/>
      </c>
    </row>
    <row r="312">
      <c r="F312" s="37">
        <f>IF($A312="","",IF($B312="","EKSİK","TAM"))</f>
        <v/>
      </c>
    </row>
    <row r="313">
      <c r="F313" s="37">
        <f>IF($A313="","",IF($B313="","EKSİK","TAM"))</f>
        <v/>
      </c>
    </row>
    <row r="314">
      <c r="F314" s="37">
        <f>IF($A314="","",IF($B314="","EKSİK","TAM"))</f>
        <v/>
      </c>
    </row>
    <row r="315">
      <c r="F315" s="37">
        <f>IF($A315="","",IF($B315="","EKSİK","TAM"))</f>
        <v/>
      </c>
    </row>
    <row r="316">
      <c r="F316" s="37">
        <f>IF($A316="","",IF($B316="","EKSİK","TAM"))</f>
        <v/>
      </c>
    </row>
    <row r="317">
      <c r="F317" s="37">
        <f>IF($A317="","",IF($B317="","EKSİK","TAM"))</f>
        <v/>
      </c>
    </row>
    <row r="318">
      <c r="F318" s="37">
        <f>IF($A318="","",IF($B318="","EKSİK","TAM"))</f>
        <v/>
      </c>
    </row>
    <row r="319">
      <c r="F319" s="37">
        <f>IF($A319="","",IF($B319="","EKSİK","TAM"))</f>
        <v/>
      </c>
    </row>
    <row r="320">
      <c r="F320" s="37">
        <f>IF($A320="","",IF($B320="","EKSİK","TAM"))</f>
        <v/>
      </c>
    </row>
    <row r="321">
      <c r="F321" s="37">
        <f>IF($A321="","",IF($B321="","EKSİK","TAM"))</f>
        <v/>
      </c>
    </row>
    <row r="322">
      <c r="F322" s="37">
        <f>IF($A322="","",IF($B322="","EKSİK","TAM"))</f>
        <v/>
      </c>
    </row>
    <row r="323">
      <c r="F323" s="37">
        <f>IF($A323="","",IF($B323="","EKSİK","TAM"))</f>
        <v/>
      </c>
    </row>
    <row r="324">
      <c r="F324" s="37">
        <f>IF($A324="","",IF($B324="","EKSİK","TAM"))</f>
        <v/>
      </c>
    </row>
    <row r="325">
      <c r="F325" s="37">
        <f>IF($A325="","",IF($B325="","EKSİK","TAM"))</f>
        <v/>
      </c>
    </row>
    <row r="326">
      <c r="F326" s="37">
        <f>IF($A326="","",IF($B326="","EKSİK","TAM"))</f>
        <v/>
      </c>
    </row>
    <row r="327">
      <c r="F327" s="37">
        <f>IF($A327="","",IF($B327="","EKSİK","TAM"))</f>
        <v/>
      </c>
    </row>
    <row r="328">
      <c r="F328" s="37">
        <f>IF($A328="","",IF($B328="","EKSİK","TAM"))</f>
        <v/>
      </c>
    </row>
    <row r="329">
      <c r="F329" s="37">
        <f>IF($A329="","",IF($B329="","EKSİK","TAM"))</f>
        <v/>
      </c>
    </row>
    <row r="330">
      <c r="F330" s="37">
        <f>IF($A330="","",IF($B330="","EKSİK","TAM"))</f>
        <v/>
      </c>
    </row>
    <row r="331">
      <c r="F331" s="37">
        <f>IF($A331="","",IF($B331="","EKSİK","TAM"))</f>
        <v/>
      </c>
    </row>
    <row r="332">
      <c r="F332" s="37">
        <f>IF($A332="","",IF($B332="","EKSİK","TAM"))</f>
        <v/>
      </c>
    </row>
    <row r="333">
      <c r="F333" s="37">
        <f>IF($A333="","",IF($B333="","EKSİK","TAM"))</f>
        <v/>
      </c>
    </row>
    <row r="334">
      <c r="F334" s="37">
        <f>IF($A334="","",IF($B334="","EKSİK","TAM"))</f>
        <v/>
      </c>
    </row>
    <row r="335">
      <c r="F335" s="37">
        <f>IF($A335="","",IF($B335="","EKSİK","TAM"))</f>
        <v/>
      </c>
    </row>
    <row r="336">
      <c r="F336" s="37">
        <f>IF($A336="","",IF($B336="","EKSİK","TAM"))</f>
        <v/>
      </c>
    </row>
    <row r="337">
      <c r="F337" s="37">
        <f>IF($A337="","",IF($B337="","EKSİK","TAM"))</f>
        <v/>
      </c>
    </row>
    <row r="338">
      <c r="F338" s="37">
        <f>IF($A338="","",IF($B338="","EKSİK","TAM"))</f>
        <v/>
      </c>
    </row>
    <row r="339">
      <c r="F339" s="37">
        <f>IF($A339="","",IF($B339="","EKSİK","TAM"))</f>
        <v/>
      </c>
    </row>
    <row r="340">
      <c r="F340" s="37">
        <f>IF($A340="","",IF($B340="","EKSİK","TAM"))</f>
        <v/>
      </c>
    </row>
    <row r="341">
      <c r="F341" s="37">
        <f>IF($A341="","",IF($B341="","EKSİK","TAM"))</f>
        <v/>
      </c>
    </row>
    <row r="342">
      <c r="F342" s="37">
        <f>IF($A342="","",IF($B342="","EKSİK","TAM"))</f>
        <v/>
      </c>
    </row>
    <row r="343">
      <c r="F343" s="37">
        <f>IF($A343="","",IF($B343="","EKSİK","TAM"))</f>
        <v/>
      </c>
    </row>
    <row r="344">
      <c r="F344" s="37">
        <f>IF($A344="","",IF($B344="","EKSİK","TAM"))</f>
        <v/>
      </c>
    </row>
    <row r="345">
      <c r="F345" s="37">
        <f>IF($A345="","",IF($B345="","EKSİK","TAM"))</f>
        <v/>
      </c>
    </row>
    <row r="346">
      <c r="F346" s="37">
        <f>IF($A346="","",IF($B346="","EKSİK","TAM"))</f>
        <v/>
      </c>
    </row>
    <row r="347">
      <c r="F347" s="37">
        <f>IF($A347="","",IF($B347="","EKSİK","TAM"))</f>
        <v/>
      </c>
    </row>
    <row r="348">
      <c r="F348" s="37">
        <f>IF($A348="","",IF($B348="","EKSİK","TAM"))</f>
        <v/>
      </c>
    </row>
    <row r="349">
      <c r="F349" s="37">
        <f>IF($A349="","",IF($B349="","EKSİK","TAM"))</f>
        <v/>
      </c>
    </row>
    <row r="350">
      <c r="F350" s="37">
        <f>IF($A350="","",IF($B350="","EKSİK","TAM"))</f>
        <v/>
      </c>
    </row>
    <row r="351">
      <c r="F351" s="37">
        <f>IF($A351="","",IF($B351="","EKSİK","TAM"))</f>
        <v/>
      </c>
    </row>
    <row r="352">
      <c r="F352" s="37">
        <f>IF($A352="","",IF($B352="","EKSİK","TAM"))</f>
        <v/>
      </c>
    </row>
    <row r="353">
      <c r="F353" s="37">
        <f>IF($A353="","",IF($B353="","EKSİK","TAM"))</f>
        <v/>
      </c>
    </row>
    <row r="354">
      <c r="F354" s="37">
        <f>IF($A354="","",IF($B354="","EKSİK","TAM"))</f>
        <v/>
      </c>
    </row>
    <row r="355">
      <c r="F355" s="37">
        <f>IF($A355="","",IF($B355="","EKSİK","TAM"))</f>
        <v/>
      </c>
    </row>
    <row r="356">
      <c r="F356" s="37">
        <f>IF($A356="","",IF($B356="","EKSİK","TAM"))</f>
        <v/>
      </c>
    </row>
    <row r="357">
      <c r="F357" s="37">
        <f>IF($A357="","",IF($B357="","EKSİK","TAM"))</f>
        <v/>
      </c>
    </row>
    <row r="358">
      <c r="F358" s="37">
        <f>IF($A358="","",IF($B358="","EKSİK","TAM"))</f>
        <v/>
      </c>
    </row>
    <row r="359">
      <c r="F359" s="37">
        <f>IF($A359="","",IF($B359="","EKSİK","TAM"))</f>
        <v/>
      </c>
    </row>
    <row r="360">
      <c r="F360" s="37">
        <f>IF($A360="","",IF($B360="","EKSİK","TAM"))</f>
        <v/>
      </c>
    </row>
    <row r="361">
      <c r="F361" s="37">
        <f>IF($A361="","",IF($B361="","EKSİK","TAM"))</f>
        <v/>
      </c>
    </row>
    <row r="362">
      <c r="F362" s="37">
        <f>IF($A362="","",IF($B362="","EKSİK","TAM"))</f>
        <v/>
      </c>
    </row>
    <row r="363">
      <c r="F363" s="37">
        <f>IF($A363="","",IF($B363="","EKSİK","TAM"))</f>
        <v/>
      </c>
    </row>
    <row r="364">
      <c r="F364" s="37">
        <f>IF($A364="","",IF($B364="","EKSİK","TAM"))</f>
        <v/>
      </c>
    </row>
    <row r="365">
      <c r="F365" s="37">
        <f>IF($A365="","",IF($B365="","EKSİK","TAM"))</f>
        <v/>
      </c>
    </row>
    <row r="366">
      <c r="F366" s="37">
        <f>IF($A366="","",IF($B366="","EKSİK","TAM"))</f>
        <v/>
      </c>
    </row>
    <row r="367">
      <c r="F367" s="37">
        <f>IF($A367="","",IF($B367="","EKSİK","TAM"))</f>
        <v/>
      </c>
    </row>
    <row r="368">
      <c r="F368" s="37">
        <f>IF($A368="","",IF($B368="","EKSİK","TAM"))</f>
        <v/>
      </c>
    </row>
    <row r="369">
      <c r="F369" s="37">
        <f>IF($A369="","",IF($B369="","EKSİK","TAM"))</f>
        <v/>
      </c>
    </row>
    <row r="370">
      <c r="F370" s="37">
        <f>IF($A370="","",IF($B370="","EKSİK","TAM"))</f>
        <v/>
      </c>
    </row>
    <row r="371">
      <c r="F371" s="37">
        <f>IF($A371="","",IF($B371="","EKSİK","TAM"))</f>
        <v/>
      </c>
    </row>
    <row r="372">
      <c r="F372" s="37">
        <f>IF($A372="","",IF($B372="","EKSİK","TAM"))</f>
        <v/>
      </c>
    </row>
    <row r="373">
      <c r="F373" s="37">
        <f>IF($A373="","",IF($B373="","EKSİK","TAM"))</f>
        <v/>
      </c>
    </row>
    <row r="374">
      <c r="F374" s="37">
        <f>IF($A374="","",IF($B374="","EKSİK","TAM"))</f>
        <v/>
      </c>
    </row>
    <row r="375">
      <c r="F375" s="37">
        <f>IF($A375="","",IF($B375="","EKSİK","TAM"))</f>
        <v/>
      </c>
    </row>
    <row r="376">
      <c r="F376" s="37">
        <f>IF($A376="","",IF($B376="","EKSİK","TAM"))</f>
        <v/>
      </c>
    </row>
    <row r="377">
      <c r="F377" s="37">
        <f>IF($A377="","",IF($B377="","EKSİK","TAM"))</f>
        <v/>
      </c>
    </row>
    <row r="378">
      <c r="F378" s="37">
        <f>IF($A378="","",IF($B378="","EKSİK","TAM"))</f>
        <v/>
      </c>
    </row>
    <row r="379">
      <c r="F379" s="37">
        <f>IF($A379="","",IF($B379="","EKSİK","TAM"))</f>
        <v/>
      </c>
    </row>
    <row r="380">
      <c r="F380" s="37">
        <f>IF($A380="","",IF($B380="","EKSİK","TAM"))</f>
        <v/>
      </c>
    </row>
    <row r="381">
      <c r="F381" s="37">
        <f>IF($A381="","",IF($B381="","EKSİK","TAM"))</f>
        <v/>
      </c>
    </row>
    <row r="382">
      <c r="F382" s="37">
        <f>IF($A382="","",IF($B382="","EKSİK","TAM"))</f>
        <v/>
      </c>
    </row>
    <row r="383">
      <c r="F383" s="37">
        <f>IF($A383="","",IF($B383="","EKSİK","TAM"))</f>
        <v/>
      </c>
    </row>
    <row r="384">
      <c r="F384" s="37">
        <f>IF($A384="","",IF($B384="","EKSİK","TAM"))</f>
        <v/>
      </c>
    </row>
    <row r="385">
      <c r="F385" s="37">
        <f>IF($A385="","",IF($B385="","EKSİK","TAM"))</f>
        <v/>
      </c>
    </row>
    <row r="386">
      <c r="F386" s="37">
        <f>IF($A386="","",IF($B386="","EKSİK","TAM"))</f>
        <v/>
      </c>
    </row>
    <row r="387">
      <c r="F387" s="37">
        <f>IF($A387="","",IF($B387="","EKSİK","TAM"))</f>
        <v/>
      </c>
    </row>
    <row r="388">
      <c r="F388" s="37">
        <f>IF($A388="","",IF($B388="","EKSİK","TAM"))</f>
        <v/>
      </c>
    </row>
    <row r="389">
      <c r="F389" s="37">
        <f>IF($A389="","",IF($B389="","EKSİK","TAM"))</f>
        <v/>
      </c>
    </row>
    <row r="390">
      <c r="F390" s="37">
        <f>IF($A390="","",IF($B390="","EKSİK","TAM"))</f>
        <v/>
      </c>
    </row>
    <row r="391">
      <c r="F391" s="37">
        <f>IF($A391="","",IF($B391="","EKSİK","TAM"))</f>
        <v/>
      </c>
    </row>
    <row r="392">
      <c r="F392" s="37">
        <f>IF($A392="","",IF($B392="","EKSİK","TAM"))</f>
        <v/>
      </c>
    </row>
    <row r="393">
      <c r="F393" s="37">
        <f>IF($A393="","",IF($B393="","EKSİK","TAM"))</f>
        <v/>
      </c>
    </row>
    <row r="394">
      <c r="F394" s="37">
        <f>IF($A394="","",IF($B394="","EKSİK","TAM"))</f>
        <v/>
      </c>
    </row>
    <row r="395">
      <c r="F395" s="37">
        <f>IF($A395="","",IF($B395="","EKSİK","TAM"))</f>
        <v/>
      </c>
    </row>
    <row r="396">
      <c r="F396" s="37">
        <f>IF($A396="","",IF($B396="","EKSİK","TAM"))</f>
        <v/>
      </c>
    </row>
    <row r="397">
      <c r="F397" s="37">
        <f>IF($A397="","",IF($B397="","EKSİK","TAM"))</f>
        <v/>
      </c>
    </row>
    <row r="398">
      <c r="F398" s="37">
        <f>IF($A398="","",IF($B398="","EKSİK","TAM"))</f>
        <v/>
      </c>
    </row>
    <row r="399">
      <c r="F399" s="37">
        <f>IF($A399="","",IF($B399="","EKSİK","TAM"))</f>
        <v/>
      </c>
    </row>
    <row r="400">
      <c r="F400" s="37">
        <f>IF($A400="","",IF($B400="","EKSİK","TAM"))</f>
        <v/>
      </c>
    </row>
    <row r="401">
      <c r="F401" s="37">
        <f>IF($A401="","",IF($B401="","EKSİK","TAM"))</f>
        <v/>
      </c>
    </row>
    <row r="402">
      <c r="F402" s="37">
        <f>IF($A402="","",IF($B402="","EKSİK","TAM"))</f>
        <v/>
      </c>
    </row>
    <row r="403">
      <c r="F403" s="37">
        <f>IF($A403="","",IF($B403="","EKSİK","TAM"))</f>
        <v/>
      </c>
    </row>
    <row r="404">
      <c r="F404" s="37">
        <f>IF($A404="","",IF($B404="","EKSİK","TAM"))</f>
        <v/>
      </c>
    </row>
    <row r="405">
      <c r="F405" s="37">
        <f>IF($A405="","",IF($B405="","EKSİK","TAM"))</f>
        <v/>
      </c>
    </row>
    <row r="406">
      <c r="F406" s="37">
        <f>IF($A406="","",IF($B406="","EKSİK","TAM"))</f>
        <v/>
      </c>
    </row>
    <row r="407">
      <c r="F407" s="37">
        <f>IF($A407="","",IF($B407="","EKSİK","TAM"))</f>
        <v/>
      </c>
    </row>
    <row r="408">
      <c r="F408" s="37">
        <f>IF($A408="","",IF($B408="","EKSİK","TAM"))</f>
        <v/>
      </c>
    </row>
    <row r="409">
      <c r="F409" s="37">
        <f>IF($A409="","",IF($B409="","EKSİK","TAM"))</f>
        <v/>
      </c>
    </row>
    <row r="410">
      <c r="F410" s="37">
        <f>IF($A410="","",IF($B410="","EKSİK","TAM"))</f>
        <v/>
      </c>
    </row>
    <row r="411">
      <c r="F411" s="37">
        <f>IF($A411="","",IF($B411="","EKSİK","TAM"))</f>
        <v/>
      </c>
    </row>
    <row r="412">
      <c r="F412" s="37">
        <f>IF($A412="","",IF($B412="","EKSİK","TAM"))</f>
        <v/>
      </c>
    </row>
    <row r="413">
      <c r="F413" s="37">
        <f>IF($A413="","",IF($B413="","EKSİK","TAM"))</f>
        <v/>
      </c>
    </row>
    <row r="414">
      <c r="F414" s="37">
        <f>IF($A414="","",IF($B414="","EKSİK","TAM"))</f>
        <v/>
      </c>
    </row>
    <row r="415">
      <c r="F415" s="37">
        <f>IF($A415="","",IF($B415="","EKSİK","TAM"))</f>
        <v/>
      </c>
    </row>
    <row r="416">
      <c r="F416" s="37">
        <f>IF($A416="","",IF($B416="","EKSİK","TAM"))</f>
        <v/>
      </c>
    </row>
    <row r="417">
      <c r="F417" s="37">
        <f>IF($A417="","",IF($B417="","EKSİK","TAM"))</f>
        <v/>
      </c>
    </row>
    <row r="418">
      <c r="F418" s="37">
        <f>IF($A418="","",IF($B418="","EKSİK","TAM"))</f>
        <v/>
      </c>
    </row>
    <row r="419">
      <c r="F419" s="37">
        <f>IF($A419="","",IF($B419="","EKSİK","TAM"))</f>
        <v/>
      </c>
    </row>
    <row r="420">
      <c r="F420" s="37">
        <f>IF($A420="","",IF($B420="","EKSİK","TAM"))</f>
        <v/>
      </c>
    </row>
    <row r="421">
      <c r="F421" s="37">
        <f>IF($A421="","",IF($B421="","EKSİK","TAM"))</f>
        <v/>
      </c>
    </row>
    <row r="422">
      <c r="F422" s="37">
        <f>IF($A422="","",IF($B422="","EKSİK","TAM"))</f>
        <v/>
      </c>
    </row>
    <row r="423">
      <c r="F423" s="37">
        <f>IF($A423="","",IF($B423="","EKSİK","TAM"))</f>
        <v/>
      </c>
    </row>
    <row r="424">
      <c r="F424" s="37">
        <f>IF($A424="","",IF($B424="","EKSİK","TAM"))</f>
        <v/>
      </c>
    </row>
    <row r="425">
      <c r="F425" s="37">
        <f>IF($A425="","",IF($B425="","EKSİK","TAM"))</f>
        <v/>
      </c>
    </row>
    <row r="426">
      <c r="F426" s="37">
        <f>IF($A426="","",IF($B426="","EKSİK","TAM"))</f>
        <v/>
      </c>
    </row>
    <row r="427">
      <c r="F427" s="37">
        <f>IF($A427="","",IF($B427="","EKSİK","TAM"))</f>
        <v/>
      </c>
    </row>
    <row r="428">
      <c r="F428" s="37">
        <f>IF($A428="","",IF($B428="","EKSİK","TAM"))</f>
        <v/>
      </c>
    </row>
    <row r="429">
      <c r="F429" s="37">
        <f>IF($A429="","",IF($B429="","EKSİK","TAM"))</f>
        <v/>
      </c>
    </row>
    <row r="430">
      <c r="F430" s="37">
        <f>IF($A430="","",IF($B430="","EKSİK","TAM"))</f>
        <v/>
      </c>
    </row>
    <row r="431">
      <c r="F431" s="37">
        <f>IF($A431="","",IF($B431="","EKSİK","TAM"))</f>
        <v/>
      </c>
    </row>
    <row r="432">
      <c r="F432" s="37">
        <f>IF($A432="","",IF($B432="","EKSİK","TAM"))</f>
        <v/>
      </c>
    </row>
    <row r="433">
      <c r="F433" s="37">
        <f>IF($A433="","",IF($B433="","EKSİK","TAM"))</f>
        <v/>
      </c>
    </row>
    <row r="434">
      <c r="F434" s="37">
        <f>IF($A434="","",IF($B434="","EKSİK","TAM"))</f>
        <v/>
      </c>
    </row>
    <row r="435">
      <c r="F435" s="37">
        <f>IF($A435="","",IF($B435="","EKSİK","TAM"))</f>
        <v/>
      </c>
    </row>
    <row r="436">
      <c r="F436" s="37">
        <f>IF($A436="","",IF($B436="","EKSİK","TAM"))</f>
        <v/>
      </c>
    </row>
    <row r="437">
      <c r="F437" s="37">
        <f>IF($A437="","",IF($B437="","EKSİK","TAM"))</f>
        <v/>
      </c>
    </row>
    <row r="438">
      <c r="F438" s="37">
        <f>IF($A438="","",IF($B438="","EKSİK","TAM"))</f>
        <v/>
      </c>
    </row>
    <row r="439">
      <c r="F439" s="37">
        <f>IF($A439="","",IF($B439="","EKSİK","TAM"))</f>
        <v/>
      </c>
    </row>
    <row r="440">
      <c r="F440" s="37">
        <f>IF($A440="","",IF($B440="","EKSİK","TAM"))</f>
        <v/>
      </c>
    </row>
    <row r="441">
      <c r="F441" s="37">
        <f>IF($A441="","",IF($B441="","EKSİK","TAM"))</f>
        <v/>
      </c>
    </row>
    <row r="442">
      <c r="F442" s="37">
        <f>IF($A442="","",IF($B442="","EKSİK","TAM"))</f>
        <v/>
      </c>
    </row>
    <row r="443">
      <c r="F443" s="37">
        <f>IF($A443="","",IF($B443="","EKSİK","TAM"))</f>
        <v/>
      </c>
    </row>
    <row r="444">
      <c r="F444" s="37">
        <f>IF($A444="","",IF($B444="","EKSİK","TAM"))</f>
        <v/>
      </c>
    </row>
    <row r="445">
      <c r="F445" s="37">
        <f>IF($A445="","",IF($B445="","EKSİK","TAM"))</f>
        <v/>
      </c>
    </row>
    <row r="446">
      <c r="F446" s="37">
        <f>IF($A446="","",IF($B446="","EKSİK","TAM"))</f>
        <v/>
      </c>
    </row>
    <row r="447">
      <c r="F447" s="37">
        <f>IF($A447="","",IF($B447="","EKSİK","TAM"))</f>
        <v/>
      </c>
    </row>
    <row r="448">
      <c r="F448" s="37">
        <f>IF($A448="","",IF($B448="","EKSİK","TAM"))</f>
        <v/>
      </c>
    </row>
    <row r="449">
      <c r="F449" s="37">
        <f>IF($A449="","",IF($B449="","EKSİK","TAM"))</f>
        <v/>
      </c>
    </row>
    <row r="450">
      <c r="F450" s="37">
        <f>IF($A450="","",IF($B450="","EKSİK","TAM"))</f>
        <v/>
      </c>
    </row>
    <row r="451">
      <c r="F451" s="37">
        <f>IF($A451="","",IF($B451="","EKSİK","TAM"))</f>
        <v/>
      </c>
    </row>
    <row r="452">
      <c r="F452" s="37">
        <f>IF($A452="","",IF($B452="","EKSİK","TAM"))</f>
        <v/>
      </c>
    </row>
    <row r="453">
      <c r="F453" s="37">
        <f>IF($A453="","",IF($B453="","EKSİK","TAM"))</f>
        <v/>
      </c>
    </row>
    <row r="454">
      <c r="F454" s="37">
        <f>IF($A454="","",IF($B454="","EKSİK","TAM"))</f>
        <v/>
      </c>
    </row>
    <row r="455">
      <c r="F455" s="37">
        <f>IF($A455="","",IF($B455="","EKSİK","TAM"))</f>
        <v/>
      </c>
    </row>
    <row r="456">
      <c r="F456" s="37">
        <f>IF($A456="","",IF($B456="","EKSİK","TAM"))</f>
        <v/>
      </c>
    </row>
    <row r="457">
      <c r="F457" s="37">
        <f>IF($A457="","",IF($B457="","EKSİK","TAM"))</f>
        <v/>
      </c>
    </row>
    <row r="458">
      <c r="F458" s="37">
        <f>IF($A458="","",IF($B458="","EKSİK","TAM"))</f>
        <v/>
      </c>
    </row>
    <row r="459">
      <c r="F459" s="37">
        <f>IF($A459="","",IF($B459="","EKSİK","TAM"))</f>
        <v/>
      </c>
    </row>
    <row r="460">
      <c r="F460" s="37">
        <f>IF($A460="","",IF($B460="","EKSİK","TAM"))</f>
        <v/>
      </c>
    </row>
    <row r="461">
      <c r="F461" s="37">
        <f>IF($A461="","",IF($B461="","EKSİK","TAM"))</f>
        <v/>
      </c>
    </row>
    <row r="462">
      <c r="F462" s="37">
        <f>IF($A462="","",IF($B462="","EKSİK","TAM"))</f>
        <v/>
      </c>
    </row>
    <row r="463">
      <c r="F463" s="37">
        <f>IF($A463="","",IF($B463="","EKSİK","TAM"))</f>
        <v/>
      </c>
    </row>
    <row r="464">
      <c r="F464" s="37">
        <f>IF($A464="","",IF($B464="","EKSİK","TAM"))</f>
        <v/>
      </c>
    </row>
    <row r="465">
      <c r="F465" s="37">
        <f>IF($A465="","",IF($B465="","EKSİK","TAM"))</f>
        <v/>
      </c>
    </row>
    <row r="466">
      <c r="F466" s="37">
        <f>IF($A466="","",IF($B466="","EKSİK","TAM"))</f>
        <v/>
      </c>
    </row>
    <row r="467">
      <c r="F467" s="37">
        <f>IF($A467="","",IF($B467="","EKSİK","TAM"))</f>
        <v/>
      </c>
    </row>
    <row r="468">
      <c r="F468" s="37">
        <f>IF($A468="","",IF($B468="","EKSİK","TAM"))</f>
        <v/>
      </c>
    </row>
    <row r="469">
      <c r="F469" s="37">
        <f>IF($A469="","",IF($B469="","EKSİK","TAM"))</f>
        <v/>
      </c>
    </row>
    <row r="470">
      <c r="F470" s="37">
        <f>IF($A470="","",IF($B470="","EKSİK","TAM"))</f>
        <v/>
      </c>
    </row>
    <row r="471">
      <c r="F471" s="37">
        <f>IF($A471="","",IF($B471="","EKSİK","TAM"))</f>
        <v/>
      </c>
    </row>
    <row r="472">
      <c r="F472" s="37">
        <f>IF($A472="","",IF($B472="","EKSİK","TAM"))</f>
        <v/>
      </c>
    </row>
    <row r="473">
      <c r="F473" s="37">
        <f>IF($A473="","",IF($B473="","EKSİK","TAM"))</f>
        <v/>
      </c>
    </row>
    <row r="474">
      <c r="F474" s="37">
        <f>IF($A474="","",IF($B474="","EKSİK","TAM"))</f>
        <v/>
      </c>
    </row>
    <row r="475">
      <c r="F475" s="37">
        <f>IF($A475="","",IF($B475="","EKSİK","TAM"))</f>
        <v/>
      </c>
    </row>
    <row r="476">
      <c r="F476" s="37">
        <f>IF($A476="","",IF($B476="","EKSİK","TAM"))</f>
        <v/>
      </c>
    </row>
    <row r="477">
      <c r="F477" s="37">
        <f>IF($A477="","",IF($B477="","EKSİK","TAM"))</f>
        <v/>
      </c>
    </row>
    <row r="478">
      <c r="F478" s="37">
        <f>IF($A478="","",IF($B478="","EKSİK","TAM"))</f>
        <v/>
      </c>
    </row>
    <row r="479">
      <c r="F479" s="37">
        <f>IF($A479="","",IF($B479="","EKSİK","TAM"))</f>
        <v/>
      </c>
    </row>
    <row r="480">
      <c r="F480" s="37">
        <f>IF($A480="","",IF($B480="","EKSİK","TAM"))</f>
        <v/>
      </c>
    </row>
    <row r="481">
      <c r="F481" s="37">
        <f>IF($A481="","",IF($B481="","EKSİK","TAM"))</f>
        <v/>
      </c>
    </row>
    <row r="482">
      <c r="F482" s="37">
        <f>IF($A482="","",IF($B482="","EKSİK","TAM"))</f>
        <v/>
      </c>
    </row>
    <row r="483">
      <c r="F483" s="37">
        <f>IF($A483="","",IF($B483="","EKSİK","TAM"))</f>
        <v/>
      </c>
    </row>
    <row r="484">
      <c r="F484" s="37">
        <f>IF($A484="","",IF($B484="","EKSİK","TAM"))</f>
        <v/>
      </c>
    </row>
    <row r="485">
      <c r="F485" s="37">
        <f>IF($A485="","",IF($B485="","EKSİK","TAM"))</f>
        <v/>
      </c>
    </row>
    <row r="486">
      <c r="F486" s="37">
        <f>IF($A486="","",IF($B486="","EKSİK","TAM"))</f>
        <v/>
      </c>
    </row>
    <row r="487">
      <c r="F487" s="37">
        <f>IF($A487="","",IF($B487="","EKSİK","TAM"))</f>
        <v/>
      </c>
    </row>
    <row r="488">
      <c r="F488" s="37">
        <f>IF($A488="","",IF($B488="","EKSİK","TAM"))</f>
        <v/>
      </c>
    </row>
    <row r="489">
      <c r="F489" s="37">
        <f>IF($A489="","",IF($B489="","EKSİK","TAM"))</f>
        <v/>
      </c>
    </row>
    <row r="490">
      <c r="F490" s="37">
        <f>IF($A490="","",IF($B490="","EKSİK","TAM"))</f>
        <v/>
      </c>
    </row>
    <row r="491">
      <c r="F491" s="37">
        <f>IF($A491="","",IF($B491="","EKSİK","TAM"))</f>
        <v/>
      </c>
    </row>
    <row r="492">
      <c r="F492" s="37">
        <f>IF($A492="","",IF($B492="","EKSİK","TAM"))</f>
        <v/>
      </c>
    </row>
    <row r="493">
      <c r="F493" s="37">
        <f>IF($A493="","",IF($B493="","EKSİK","TAM"))</f>
        <v/>
      </c>
    </row>
    <row r="494">
      <c r="F494" s="37">
        <f>IF($A494="","",IF($B494="","EKSİK","TAM"))</f>
        <v/>
      </c>
    </row>
    <row r="495">
      <c r="F495" s="37">
        <f>IF($A495="","",IF($B495="","EKSİK","TAM"))</f>
        <v/>
      </c>
    </row>
    <row r="496">
      <c r="F496" s="37">
        <f>IF($A496="","",IF($B496="","EKSİK","TAM"))</f>
        <v/>
      </c>
    </row>
    <row r="497">
      <c r="F497" s="37">
        <f>IF($A497="","",IF($B497="","EKSİK","TAM"))</f>
        <v/>
      </c>
    </row>
    <row r="498">
      <c r="F498" s="37">
        <f>IF($A498="","",IF($B498="","EKSİK","TAM"))</f>
        <v/>
      </c>
    </row>
    <row r="499">
      <c r="F499" s="37">
        <f>IF($A499="","",IF($B499="","EKSİK","TAM"))</f>
        <v/>
      </c>
    </row>
    <row r="500">
      <c r="F500" s="37">
        <f>IF($A500="","",IF($B500="","EKSİK","TAM"))</f>
        <v/>
      </c>
    </row>
    <row r="501">
      <c r="F501" s="37">
        <f>IF($A501="","",IF($B501="","EKSİK","TAM"))</f>
        <v/>
      </c>
    </row>
    <row r="502">
      <c r="F502" s="37">
        <f>IF($A502="","",IF($B502="","EKSİK","TAM"))</f>
        <v/>
      </c>
    </row>
    <row r="503">
      <c r="F503" s="37">
        <f>IF($A503="","",IF($B503="","EKSİK","TAM"))</f>
        <v/>
      </c>
    </row>
    <row r="504">
      <c r="F504" s="37">
        <f>IF($A504="","",IF($B504="","EKSİK","TAM"))</f>
        <v/>
      </c>
    </row>
    <row r="505">
      <c r="F505" s="37">
        <f>IF($A505="","",IF($B505="","EKSİK","TAM"))</f>
        <v/>
      </c>
    </row>
    <row r="506">
      <c r="F506" s="37">
        <f>IF($A506="","",IF($B506="","EKSİK","TAM"))</f>
        <v/>
      </c>
    </row>
    <row r="507">
      <c r="F507" s="37">
        <f>IF($A507="","",IF($B507="","EKSİK","TAM"))</f>
        <v/>
      </c>
    </row>
    <row r="508">
      <c r="F508" s="37">
        <f>IF($A508="","",IF($B508="","EKSİK","TAM"))</f>
        <v/>
      </c>
    </row>
    <row r="509">
      <c r="F509" s="37">
        <f>IF($A509="","",IF($B509="","EKSİK","TAM"))</f>
        <v/>
      </c>
    </row>
    <row r="510">
      <c r="F510" s="37">
        <f>IF($A510="","",IF($B510="","EKSİK","TAM"))</f>
        <v/>
      </c>
    </row>
    <row r="511">
      <c r="F511" s="37">
        <f>IF($A511="","",IF($B511="","EKSİK","TAM"))</f>
        <v/>
      </c>
    </row>
    <row r="512">
      <c r="F512" s="37">
        <f>IF($A512="","",IF($B512="","EKSİK","TAM"))</f>
        <v/>
      </c>
    </row>
    <row r="513">
      <c r="F513" s="37">
        <f>IF($A513="","",IF($B513="","EKSİK","TAM"))</f>
        <v/>
      </c>
    </row>
    <row r="514">
      <c r="F514" s="37">
        <f>IF($A514="","",IF($B514="","EKSİK","TAM"))</f>
        <v/>
      </c>
    </row>
    <row r="515">
      <c r="F515" s="37">
        <f>IF($A515="","",IF($B515="","EKSİK","TAM"))</f>
        <v/>
      </c>
    </row>
    <row r="516">
      <c r="F516" s="37">
        <f>IF($A516="","",IF($B516="","EKSİK","TAM"))</f>
        <v/>
      </c>
    </row>
    <row r="517">
      <c r="F517" s="37">
        <f>IF($A517="","",IF($B517="","EKSİK","TAM"))</f>
        <v/>
      </c>
    </row>
    <row r="518">
      <c r="F518" s="37">
        <f>IF($A518="","",IF($B518="","EKSİK","TAM"))</f>
        <v/>
      </c>
    </row>
    <row r="519">
      <c r="F519" s="37">
        <f>IF($A519="","",IF($B519="","EKSİK","TAM"))</f>
        <v/>
      </c>
    </row>
    <row r="520">
      <c r="F520" s="37">
        <f>IF($A520="","",IF($B520="","EKSİK","TAM"))</f>
        <v/>
      </c>
    </row>
    <row r="521">
      <c r="F521" s="37">
        <f>IF($A521="","",IF($B521="","EKSİK","TAM"))</f>
        <v/>
      </c>
    </row>
    <row r="522">
      <c r="F522" s="37">
        <f>IF($A522="","",IF($B522="","EKSİK","TAM"))</f>
        <v/>
      </c>
    </row>
    <row r="523">
      <c r="F523" s="37">
        <f>IF($A523="","",IF($B523="","EKSİK","TAM"))</f>
        <v/>
      </c>
    </row>
    <row r="524">
      <c r="F524" s="37">
        <f>IF($A524="","",IF($B524="","EKSİK","TAM"))</f>
        <v/>
      </c>
    </row>
    <row r="525">
      <c r="F525" s="37">
        <f>IF($A525="","",IF($B525="","EKSİK","TAM"))</f>
        <v/>
      </c>
    </row>
    <row r="526">
      <c r="F526" s="37">
        <f>IF($A526="","",IF($B526="","EKSİK","TAM"))</f>
        <v/>
      </c>
    </row>
    <row r="527">
      <c r="F527" s="37">
        <f>IF($A527="","",IF($B527="","EKSİK","TAM"))</f>
        <v/>
      </c>
    </row>
    <row r="528">
      <c r="F528" s="37">
        <f>IF($A528="","",IF($B528="","EKSİK","TAM"))</f>
        <v/>
      </c>
    </row>
    <row r="529">
      <c r="F529" s="37">
        <f>IF($A529="","",IF($B529="","EKSİK","TAM"))</f>
        <v/>
      </c>
    </row>
    <row r="530">
      <c r="F530" s="37">
        <f>IF($A530="","",IF($B530="","EKSİK","TAM"))</f>
        <v/>
      </c>
    </row>
    <row r="531">
      <c r="F531" s="37">
        <f>IF($A531="","",IF($B531="","EKSİK","TAM"))</f>
        <v/>
      </c>
    </row>
    <row r="532">
      <c r="F532" s="37">
        <f>IF($A532="","",IF($B532="","EKSİK","TAM"))</f>
        <v/>
      </c>
    </row>
    <row r="533">
      <c r="F533" s="37">
        <f>IF($A533="","",IF($B533="","EKSİK","TAM"))</f>
        <v/>
      </c>
    </row>
    <row r="534">
      <c r="F534" s="37">
        <f>IF($A534="","",IF($B534="","EKSİK","TAM"))</f>
        <v/>
      </c>
    </row>
    <row r="535">
      <c r="F535" s="37">
        <f>IF($A535="","",IF($B535="","EKSİK","TAM"))</f>
        <v/>
      </c>
    </row>
    <row r="536">
      <c r="F536" s="37">
        <f>IF($A536="","",IF($B536="","EKSİK","TAM"))</f>
        <v/>
      </c>
    </row>
    <row r="537">
      <c r="F537" s="37">
        <f>IF($A537="","",IF($B537="","EKSİK","TAM"))</f>
        <v/>
      </c>
    </row>
    <row r="538">
      <c r="F538" s="37">
        <f>IF($A538="","",IF($B538="","EKSİK","TAM"))</f>
        <v/>
      </c>
    </row>
    <row r="539">
      <c r="F539" s="37">
        <f>IF($A539="","",IF($B539="","EKSİK","TAM"))</f>
        <v/>
      </c>
    </row>
    <row r="540">
      <c r="F540" s="37">
        <f>IF($A540="","",IF($B540="","EKSİK","TAM"))</f>
        <v/>
      </c>
    </row>
    <row r="541">
      <c r="F541" s="37">
        <f>IF($A541="","",IF($B541="","EKSİK","TAM"))</f>
        <v/>
      </c>
    </row>
    <row r="542">
      <c r="F542" s="37">
        <f>IF($A542="","",IF($B542="","EKSİK","TAM"))</f>
        <v/>
      </c>
    </row>
    <row r="543">
      <c r="F543" s="37">
        <f>IF($A543="","",IF($B543="","EKSİK","TAM"))</f>
        <v/>
      </c>
    </row>
    <row r="544">
      <c r="F544" s="37">
        <f>IF($A544="","",IF($B544="","EKSİK","TAM"))</f>
        <v/>
      </c>
    </row>
    <row r="545">
      <c r="F545" s="37">
        <f>IF($A545="","",IF($B545="","EKSİK","TAM"))</f>
        <v/>
      </c>
    </row>
    <row r="546">
      <c r="F546" s="37">
        <f>IF($A546="","",IF($B546="","EKSİK","TAM"))</f>
        <v/>
      </c>
    </row>
    <row r="547">
      <c r="F547" s="37">
        <f>IF($A547="","",IF($B547="","EKSİK","TAM"))</f>
        <v/>
      </c>
    </row>
    <row r="548">
      <c r="F548" s="37">
        <f>IF($A548="","",IF($B548="","EKSİK","TAM"))</f>
        <v/>
      </c>
    </row>
    <row r="549">
      <c r="F549" s="37">
        <f>IF($A549="","",IF($B549="","EKSİK","TAM"))</f>
        <v/>
      </c>
    </row>
    <row r="550">
      <c r="F550" s="37">
        <f>IF($A550="","",IF($B550="","EKSİK","TAM"))</f>
        <v/>
      </c>
    </row>
    <row r="551">
      <c r="F551" s="37">
        <f>IF($A551="","",IF($B551="","EKSİK","TAM"))</f>
        <v/>
      </c>
    </row>
    <row r="552">
      <c r="F552" s="37">
        <f>IF($A552="","",IF($B552="","EKSİK","TAM"))</f>
        <v/>
      </c>
    </row>
    <row r="553">
      <c r="F553" s="37">
        <f>IF($A553="","",IF($B553="","EKSİK","TAM"))</f>
        <v/>
      </c>
    </row>
    <row r="554">
      <c r="F554" s="37">
        <f>IF($A554="","",IF($B554="","EKSİK","TAM"))</f>
        <v/>
      </c>
    </row>
    <row r="555">
      <c r="F555" s="37">
        <f>IF($A555="","",IF($B555="","EKSİK","TAM"))</f>
        <v/>
      </c>
    </row>
    <row r="556">
      <c r="F556" s="37">
        <f>IF($A556="","",IF($B556="","EKSİK","TAM"))</f>
        <v/>
      </c>
    </row>
    <row r="557">
      <c r="F557" s="37">
        <f>IF($A557="","",IF($B557="","EKSİK","TAM"))</f>
        <v/>
      </c>
    </row>
    <row r="558">
      <c r="F558" s="37">
        <f>IF($A558="","",IF($B558="","EKSİK","TAM"))</f>
        <v/>
      </c>
    </row>
    <row r="559">
      <c r="F559" s="37">
        <f>IF($A559="","",IF($B559="","EKSİK","TAM"))</f>
        <v/>
      </c>
    </row>
    <row r="560">
      <c r="F560" s="37">
        <f>IF($A560="","",IF($B560="","EKSİK","TAM"))</f>
        <v/>
      </c>
    </row>
    <row r="561">
      <c r="F561" s="37">
        <f>IF($A561="","",IF($B561="","EKSİK","TAM"))</f>
        <v/>
      </c>
    </row>
    <row r="562">
      <c r="F562" s="37">
        <f>IF($A562="","",IF($B562="","EKSİK","TAM"))</f>
        <v/>
      </c>
    </row>
    <row r="563">
      <c r="F563" s="37">
        <f>IF($A563="","",IF($B563="","EKSİK","TAM"))</f>
        <v/>
      </c>
    </row>
    <row r="564">
      <c r="F564" s="37">
        <f>IF($A564="","",IF($B564="","EKSİK","TAM"))</f>
        <v/>
      </c>
    </row>
    <row r="565">
      <c r="F565" s="37">
        <f>IF($A565="","",IF($B565="","EKSİK","TAM"))</f>
        <v/>
      </c>
    </row>
    <row r="566">
      <c r="F566" s="37">
        <f>IF($A566="","",IF($B566="","EKSİK","TAM"))</f>
        <v/>
      </c>
    </row>
    <row r="567">
      <c r="F567" s="37">
        <f>IF($A567="","",IF($B567="","EKSİK","TAM"))</f>
        <v/>
      </c>
    </row>
    <row r="568">
      <c r="F568" s="37">
        <f>IF($A568="","",IF($B568="","EKSİK","TAM"))</f>
        <v/>
      </c>
    </row>
    <row r="569">
      <c r="F569" s="37">
        <f>IF($A569="","",IF($B569="","EKSİK","TAM"))</f>
        <v/>
      </c>
    </row>
    <row r="570">
      <c r="F570" s="37">
        <f>IF($A570="","",IF($B570="","EKSİK","TAM"))</f>
        <v/>
      </c>
    </row>
    <row r="571">
      <c r="F571" s="37">
        <f>IF($A571="","",IF($B571="","EKSİK","TAM"))</f>
        <v/>
      </c>
    </row>
    <row r="572">
      <c r="F572" s="37">
        <f>IF($A572="","",IF($B572="","EKSİK","TAM"))</f>
        <v/>
      </c>
    </row>
    <row r="573">
      <c r="F573" s="37">
        <f>IF($A573="","",IF($B573="","EKSİK","TAM"))</f>
        <v/>
      </c>
    </row>
    <row r="574">
      <c r="F574" s="37">
        <f>IF($A574="","",IF($B574="","EKSİK","TAM"))</f>
        <v/>
      </c>
    </row>
    <row r="575">
      <c r="F575" s="37">
        <f>IF($A575="","",IF($B575="","EKSİK","TAM"))</f>
        <v/>
      </c>
    </row>
    <row r="576">
      <c r="F576" s="37">
        <f>IF($A576="","",IF($B576="","EKSİK","TAM"))</f>
        <v/>
      </c>
    </row>
    <row r="577">
      <c r="F577" s="37">
        <f>IF($A577="","",IF($B577="","EKSİK","TAM"))</f>
        <v/>
      </c>
    </row>
    <row r="578">
      <c r="F578" s="37">
        <f>IF($A578="","",IF($B578="","EKSİK","TAM"))</f>
        <v/>
      </c>
    </row>
    <row r="579">
      <c r="F579" s="37">
        <f>IF($A579="","",IF($B579="","EKSİK","TAM"))</f>
        <v/>
      </c>
    </row>
    <row r="580">
      <c r="F580" s="37">
        <f>IF($A580="","",IF($B580="","EKSİK","TAM"))</f>
        <v/>
      </c>
    </row>
    <row r="581">
      <c r="F581" s="37">
        <f>IF($A581="","",IF($B581="","EKSİK","TAM"))</f>
        <v/>
      </c>
    </row>
    <row r="582">
      <c r="F582" s="37">
        <f>IF($A582="","",IF($B582="","EKSİK","TAM"))</f>
        <v/>
      </c>
    </row>
    <row r="583">
      <c r="F583" s="37">
        <f>IF($A583="","",IF($B583="","EKSİK","TAM"))</f>
        <v/>
      </c>
    </row>
    <row r="584">
      <c r="F584" s="37">
        <f>IF($A584="","",IF($B584="","EKSİK","TAM"))</f>
        <v/>
      </c>
    </row>
    <row r="585">
      <c r="F585" s="37">
        <f>IF($A585="","",IF($B585="","EKSİK","TAM"))</f>
        <v/>
      </c>
    </row>
    <row r="586">
      <c r="F586" s="37">
        <f>IF($A586="","",IF($B586="","EKSİK","TAM"))</f>
        <v/>
      </c>
    </row>
    <row r="587">
      <c r="F587" s="37">
        <f>IF($A587="","",IF($B587="","EKSİK","TAM"))</f>
        <v/>
      </c>
    </row>
    <row r="588">
      <c r="F588" s="37">
        <f>IF($A588="","",IF($B588="","EKSİK","TAM"))</f>
        <v/>
      </c>
    </row>
    <row r="589">
      <c r="F589" s="37">
        <f>IF($A589="","",IF($B589="","EKSİK","TAM"))</f>
        <v/>
      </c>
    </row>
    <row r="590">
      <c r="F590" s="37">
        <f>IF($A590="","",IF($B590="","EKSİK","TAM"))</f>
        <v/>
      </c>
    </row>
    <row r="591">
      <c r="F591" s="37">
        <f>IF($A591="","",IF($B591="","EKSİK","TAM"))</f>
        <v/>
      </c>
    </row>
    <row r="592">
      <c r="F592" s="37">
        <f>IF($A592="","",IF($B592="","EKSİK","TAM"))</f>
        <v/>
      </c>
    </row>
    <row r="593">
      <c r="F593" s="37">
        <f>IF($A593="","",IF($B593="","EKSİK","TAM"))</f>
        <v/>
      </c>
    </row>
    <row r="594">
      <c r="F594" s="37">
        <f>IF($A594="","",IF($B594="","EKSİK","TAM"))</f>
        <v/>
      </c>
    </row>
    <row r="595">
      <c r="F595" s="37">
        <f>IF($A595="","",IF($B595="","EKSİK","TAM"))</f>
        <v/>
      </c>
    </row>
    <row r="596">
      <c r="F596" s="37">
        <f>IF($A596="","",IF($B596="","EKSİK","TAM"))</f>
        <v/>
      </c>
    </row>
    <row r="597">
      <c r="F597" s="37">
        <f>IF($A597="","",IF($B597="","EKSİK","TAM"))</f>
        <v/>
      </c>
    </row>
    <row r="598">
      <c r="F598" s="37">
        <f>IF($A598="","",IF($B598="","EKSİK","TAM"))</f>
        <v/>
      </c>
    </row>
    <row r="599">
      <c r="F599" s="37">
        <f>IF($A599="","",IF($B599="","EKSİK","TAM"))</f>
        <v/>
      </c>
    </row>
    <row r="600">
      <c r="F600" s="37">
        <f>IF($A600="","",IF($B600="","EKSİK","TAM"))</f>
        <v/>
      </c>
    </row>
    <row r="601">
      <c r="F601" s="37">
        <f>IF($A601="","",IF($B601="","EKSİK","TAM"))</f>
        <v/>
      </c>
    </row>
    <row r="602">
      <c r="F602" s="37">
        <f>IF($A602="","",IF($B602="","EKSİK","TAM"))</f>
        <v/>
      </c>
    </row>
    <row r="603">
      <c r="F603" s="37">
        <f>IF($A603="","",IF($B603="","EKSİK","TAM"))</f>
        <v/>
      </c>
    </row>
    <row r="604">
      <c r="F604" s="37">
        <f>IF($A604="","",IF($B604="","EKSİK","TAM"))</f>
        <v/>
      </c>
    </row>
    <row r="605">
      <c r="F605" s="37">
        <f>IF($A605="","",IF($B605="","EKSİK","TAM"))</f>
        <v/>
      </c>
    </row>
    <row r="606">
      <c r="F606" s="37">
        <f>IF($A606="","",IF($B606="","EKSİK","TAM"))</f>
        <v/>
      </c>
    </row>
    <row r="607">
      <c r="F607" s="37">
        <f>IF($A607="","",IF($B607="","EKSİK","TAM"))</f>
        <v/>
      </c>
    </row>
    <row r="608">
      <c r="F608" s="37">
        <f>IF($A608="","",IF($B608="","EKSİK","TAM"))</f>
        <v/>
      </c>
    </row>
    <row r="609">
      <c r="F609" s="37">
        <f>IF($A609="","",IF($B609="","EKSİK","TAM"))</f>
        <v/>
      </c>
    </row>
    <row r="610">
      <c r="F610" s="37">
        <f>IF($A610="","",IF($B610="","EKSİK","TAM"))</f>
        <v/>
      </c>
    </row>
    <row r="611">
      <c r="F611" s="37">
        <f>IF($A611="","",IF($B611="","EKSİK","TAM"))</f>
        <v/>
      </c>
    </row>
    <row r="612">
      <c r="F612" s="37">
        <f>IF($A612="","",IF($B612="","EKSİK","TAM"))</f>
        <v/>
      </c>
    </row>
    <row r="613">
      <c r="F613" s="37">
        <f>IF($A613="","",IF($B613="","EKSİK","TAM"))</f>
        <v/>
      </c>
    </row>
    <row r="614">
      <c r="F614" s="37">
        <f>IF($A614="","",IF($B614="","EKSİK","TAM"))</f>
        <v/>
      </c>
    </row>
    <row r="615">
      <c r="F615" s="37">
        <f>IF($A615="","",IF($B615="","EKSİK","TAM"))</f>
        <v/>
      </c>
    </row>
    <row r="616">
      <c r="F616" s="37">
        <f>IF($A616="","",IF($B616="","EKSİK","TAM"))</f>
        <v/>
      </c>
    </row>
    <row r="617">
      <c r="F617" s="37">
        <f>IF($A617="","",IF($B617="","EKSİK","TAM"))</f>
        <v/>
      </c>
    </row>
    <row r="618">
      <c r="F618" s="37">
        <f>IF($A618="","",IF($B618="","EKSİK","TAM"))</f>
        <v/>
      </c>
    </row>
    <row r="619">
      <c r="F619" s="37">
        <f>IF($A619="","",IF($B619="","EKSİK","TAM"))</f>
        <v/>
      </c>
    </row>
    <row r="620">
      <c r="F620" s="37">
        <f>IF($A620="","",IF($B620="","EKSİK","TAM"))</f>
        <v/>
      </c>
    </row>
    <row r="621">
      <c r="F621" s="37">
        <f>IF($A621="","",IF($B621="","EKSİK","TAM"))</f>
        <v/>
      </c>
    </row>
    <row r="622">
      <c r="F622" s="37">
        <f>IF($A622="","",IF($B622="","EKSİK","TAM"))</f>
        <v/>
      </c>
    </row>
    <row r="623">
      <c r="F623" s="37">
        <f>IF($A623="","",IF($B623="","EKSİK","TAM"))</f>
        <v/>
      </c>
    </row>
    <row r="624">
      <c r="F624" s="37">
        <f>IF($A624="","",IF($B624="","EKSİK","TAM"))</f>
        <v/>
      </c>
    </row>
    <row r="625">
      <c r="F625" s="37">
        <f>IF($A625="","",IF($B625="","EKSİK","TAM"))</f>
        <v/>
      </c>
    </row>
    <row r="626">
      <c r="F626" s="37">
        <f>IF($A626="","",IF($B626="","EKSİK","TAM"))</f>
        <v/>
      </c>
    </row>
    <row r="627">
      <c r="F627" s="37">
        <f>IF($A627="","",IF($B627="","EKSİK","TAM"))</f>
        <v/>
      </c>
    </row>
    <row r="628">
      <c r="F628" s="37">
        <f>IF($A628="","",IF($B628="","EKSİK","TAM"))</f>
        <v/>
      </c>
    </row>
    <row r="629">
      <c r="F629" s="37">
        <f>IF($A629="","",IF($B629="","EKSİK","TAM"))</f>
        <v/>
      </c>
    </row>
    <row r="630">
      <c r="F630" s="37">
        <f>IF($A630="","",IF($B630="","EKSİK","TAM"))</f>
        <v/>
      </c>
    </row>
    <row r="631">
      <c r="F631" s="37">
        <f>IF($A631="","",IF($B631="","EKSİK","TAM"))</f>
        <v/>
      </c>
    </row>
    <row r="632">
      <c r="F632" s="37">
        <f>IF($A632="","",IF($B632="","EKSİK","TAM"))</f>
        <v/>
      </c>
    </row>
    <row r="633">
      <c r="F633" s="37">
        <f>IF($A633="","",IF($B633="","EKSİK","TAM"))</f>
        <v/>
      </c>
    </row>
    <row r="634">
      <c r="F634" s="37">
        <f>IF($A634="","",IF($B634="","EKSİK","TAM"))</f>
        <v/>
      </c>
    </row>
    <row r="635">
      <c r="F635" s="37">
        <f>IF($A635="","",IF($B635="","EKSİK","TAM"))</f>
        <v/>
      </c>
    </row>
    <row r="636">
      <c r="F636" s="37">
        <f>IF($A636="","",IF($B636="","EKSİK","TAM"))</f>
        <v/>
      </c>
    </row>
    <row r="637">
      <c r="F637" s="37">
        <f>IF($A637="","",IF($B637="","EKSİK","TAM"))</f>
        <v/>
      </c>
    </row>
    <row r="638">
      <c r="F638" s="37">
        <f>IF($A638="","",IF($B638="","EKSİK","TAM"))</f>
        <v/>
      </c>
    </row>
    <row r="639">
      <c r="F639" s="37">
        <f>IF($A639="","",IF($B639="","EKSİK","TAM"))</f>
        <v/>
      </c>
    </row>
    <row r="640">
      <c r="F640" s="37">
        <f>IF($A640="","",IF($B640="","EKSİK","TAM"))</f>
        <v/>
      </c>
    </row>
    <row r="641">
      <c r="F641" s="37">
        <f>IF($A641="","",IF($B641="","EKSİK","TAM"))</f>
        <v/>
      </c>
    </row>
    <row r="642">
      <c r="F642" s="37">
        <f>IF($A642="","",IF($B642="","EKSİK","TAM"))</f>
        <v/>
      </c>
    </row>
    <row r="643">
      <c r="F643" s="37">
        <f>IF($A643="","",IF($B643="","EKSİK","TAM"))</f>
        <v/>
      </c>
    </row>
    <row r="644">
      <c r="F644" s="37">
        <f>IF($A644="","",IF($B644="","EKSİK","TAM"))</f>
        <v/>
      </c>
    </row>
    <row r="645">
      <c r="F645" s="37">
        <f>IF($A645="","",IF($B645="","EKSİK","TAM"))</f>
        <v/>
      </c>
    </row>
    <row r="646">
      <c r="F646" s="37">
        <f>IF($A646="","",IF($B646="","EKSİK","TAM"))</f>
        <v/>
      </c>
    </row>
    <row r="647">
      <c r="F647" s="37">
        <f>IF($A647="","",IF($B647="","EKSİK","TAM"))</f>
        <v/>
      </c>
    </row>
    <row r="648">
      <c r="F648" s="37">
        <f>IF($A648="","",IF($B648="","EKSİK","TAM"))</f>
        <v/>
      </c>
    </row>
    <row r="649">
      <c r="F649" s="37">
        <f>IF($A649="","",IF($B649="","EKSİK","TAM"))</f>
        <v/>
      </c>
    </row>
    <row r="650">
      <c r="F650" s="37">
        <f>IF($A650="","",IF($B650="","EKSİK","TAM"))</f>
        <v/>
      </c>
    </row>
    <row r="651">
      <c r="F651" s="37">
        <f>IF($A651="","",IF($B651="","EKSİK","TAM"))</f>
        <v/>
      </c>
    </row>
    <row r="652">
      <c r="F652" s="37">
        <f>IF($A652="","",IF($B652="","EKSİK","TAM"))</f>
        <v/>
      </c>
    </row>
    <row r="653">
      <c r="F653" s="37">
        <f>IF($A653="","",IF($B653="","EKSİK","TAM"))</f>
        <v/>
      </c>
    </row>
    <row r="654">
      <c r="F654" s="37">
        <f>IF($A654="","",IF($B654="","EKSİK","TAM"))</f>
        <v/>
      </c>
    </row>
    <row r="655">
      <c r="F655" s="37">
        <f>IF($A655="","",IF($B655="","EKSİK","TAM"))</f>
        <v/>
      </c>
    </row>
    <row r="656">
      <c r="F656" s="37">
        <f>IF($A656="","",IF($B656="","EKSİK","TAM"))</f>
        <v/>
      </c>
    </row>
    <row r="657">
      <c r="F657" s="37">
        <f>IF($A657="","",IF($B657="","EKSİK","TAM"))</f>
        <v/>
      </c>
    </row>
    <row r="658">
      <c r="F658" s="37">
        <f>IF($A658="","",IF($B658="","EKSİK","TAM"))</f>
        <v/>
      </c>
    </row>
    <row r="659">
      <c r="F659" s="37">
        <f>IF($A659="","",IF($B659="","EKSİK","TAM"))</f>
        <v/>
      </c>
    </row>
    <row r="660">
      <c r="F660" s="37">
        <f>IF($A660="","",IF($B660="","EKSİK","TAM"))</f>
        <v/>
      </c>
    </row>
    <row r="661">
      <c r="F661" s="37">
        <f>IF($A661="","",IF($B661="","EKSİK","TAM"))</f>
        <v/>
      </c>
    </row>
    <row r="662">
      <c r="F662" s="37">
        <f>IF($A662="","",IF($B662="","EKSİK","TAM"))</f>
        <v/>
      </c>
    </row>
    <row r="663">
      <c r="F663" s="37">
        <f>IF($A663="","",IF($B663="","EKSİK","TAM"))</f>
        <v/>
      </c>
    </row>
    <row r="664">
      <c r="F664" s="37">
        <f>IF($A664="","",IF($B664="","EKSİK","TAM"))</f>
        <v/>
      </c>
    </row>
    <row r="665">
      <c r="F665" s="37">
        <f>IF($A665="","",IF($B665="","EKSİK","TAM"))</f>
        <v/>
      </c>
    </row>
    <row r="666">
      <c r="F666" s="37">
        <f>IF($A666="","",IF($B666="","EKSİK","TAM"))</f>
        <v/>
      </c>
    </row>
    <row r="667">
      <c r="F667" s="37">
        <f>IF($A667="","",IF($B667="","EKSİK","TAM"))</f>
        <v/>
      </c>
    </row>
    <row r="668">
      <c r="F668" s="37">
        <f>IF($A668="","",IF($B668="","EKSİK","TAM"))</f>
        <v/>
      </c>
    </row>
    <row r="669">
      <c r="F669" s="37">
        <f>IF($A669="","",IF($B669="","EKSİK","TAM"))</f>
        <v/>
      </c>
    </row>
    <row r="670">
      <c r="F670" s="37">
        <f>IF($A670="","",IF($B670="","EKSİK","TAM"))</f>
        <v/>
      </c>
    </row>
    <row r="671">
      <c r="F671" s="37">
        <f>IF($A671="","",IF($B671="","EKSİK","TAM"))</f>
        <v/>
      </c>
    </row>
    <row r="672">
      <c r="F672" s="37">
        <f>IF($A672="","",IF($B672="","EKSİK","TAM"))</f>
        <v/>
      </c>
    </row>
    <row r="673">
      <c r="F673" s="37">
        <f>IF($A673="","",IF($B673="","EKSİK","TAM"))</f>
        <v/>
      </c>
    </row>
    <row r="674">
      <c r="F674" s="37">
        <f>IF($A674="","",IF($B674="","EKSİK","TAM"))</f>
        <v/>
      </c>
    </row>
    <row r="675">
      <c r="F675" s="37">
        <f>IF($A675="","",IF($B675="","EKSİK","TAM"))</f>
        <v/>
      </c>
    </row>
    <row r="676">
      <c r="F676" s="37">
        <f>IF($A676="","",IF($B676="","EKSİK","TAM"))</f>
        <v/>
      </c>
    </row>
    <row r="677">
      <c r="F677" s="37">
        <f>IF($A677="","",IF($B677="","EKSİK","TAM"))</f>
        <v/>
      </c>
    </row>
    <row r="678">
      <c r="F678" s="37">
        <f>IF($A678="","",IF($B678="","EKSİK","TAM"))</f>
        <v/>
      </c>
    </row>
    <row r="679">
      <c r="F679" s="37">
        <f>IF($A679="","",IF($B679="","EKSİK","TAM"))</f>
        <v/>
      </c>
    </row>
    <row r="680">
      <c r="F680" s="37">
        <f>IF($A680="","",IF($B680="","EKSİK","TAM"))</f>
        <v/>
      </c>
    </row>
    <row r="681">
      <c r="F681" s="37">
        <f>IF($A681="","",IF($B681="","EKSİK","TAM"))</f>
        <v/>
      </c>
    </row>
    <row r="682">
      <c r="F682" s="37">
        <f>IF($A682="","",IF($B682="","EKSİK","TAM"))</f>
        <v/>
      </c>
    </row>
    <row r="683">
      <c r="F683" s="37">
        <f>IF($A683="","",IF($B683="","EKSİK","TAM"))</f>
        <v/>
      </c>
    </row>
    <row r="684">
      <c r="F684" s="37">
        <f>IF($A684="","",IF($B684="","EKSİK","TAM"))</f>
        <v/>
      </c>
    </row>
    <row r="685">
      <c r="F685" s="37">
        <f>IF($A685="","",IF($B685="","EKSİK","TAM"))</f>
        <v/>
      </c>
    </row>
    <row r="686">
      <c r="F686" s="37">
        <f>IF($A686="","",IF($B686="","EKSİK","TAM"))</f>
        <v/>
      </c>
    </row>
    <row r="687">
      <c r="F687" s="37">
        <f>IF($A687="","",IF($B687="","EKSİK","TAM"))</f>
        <v/>
      </c>
    </row>
    <row r="688">
      <c r="F688" s="37">
        <f>IF($A688="","",IF($B688="","EKSİK","TAM"))</f>
        <v/>
      </c>
    </row>
    <row r="689">
      <c r="F689" s="37">
        <f>IF($A689="","",IF($B689="","EKSİK","TAM"))</f>
        <v/>
      </c>
    </row>
    <row r="690">
      <c r="F690" s="37">
        <f>IF($A690="","",IF($B690="","EKSİK","TAM"))</f>
        <v/>
      </c>
    </row>
    <row r="691">
      <c r="F691" s="37">
        <f>IF($A691="","",IF($B691="","EKSİK","TAM"))</f>
        <v/>
      </c>
    </row>
    <row r="692">
      <c r="F692" s="37">
        <f>IF($A692="","",IF($B692="","EKSİK","TAM"))</f>
        <v/>
      </c>
    </row>
    <row r="693">
      <c r="F693" s="37">
        <f>IF($A693="","",IF($B693="","EKSİK","TAM"))</f>
        <v/>
      </c>
    </row>
    <row r="694">
      <c r="F694" s="37">
        <f>IF($A694="","",IF($B694="","EKSİK","TAM"))</f>
        <v/>
      </c>
    </row>
    <row r="695">
      <c r="F695" s="37">
        <f>IF($A695="","",IF($B695="","EKSİK","TAM"))</f>
        <v/>
      </c>
    </row>
    <row r="696">
      <c r="F696" s="37">
        <f>IF($A696="","",IF($B696="","EKSİK","TAM"))</f>
        <v/>
      </c>
    </row>
    <row r="697">
      <c r="F697" s="37">
        <f>IF($A697="","",IF($B697="","EKSİK","TAM"))</f>
        <v/>
      </c>
    </row>
    <row r="698">
      <c r="F698" s="37">
        <f>IF($A698="","",IF($B698="","EKSİK","TAM"))</f>
        <v/>
      </c>
    </row>
    <row r="699">
      <c r="F699" s="37">
        <f>IF($A699="","",IF($B699="","EKSİK","TAM"))</f>
        <v/>
      </c>
    </row>
    <row r="700">
      <c r="F700" s="37">
        <f>IF($A700="","",IF($B700="","EKSİK","TAM"))</f>
        <v/>
      </c>
    </row>
    <row r="701">
      <c r="F701" s="37">
        <f>IF($A701="","",IF($B701="","EKSİK","TAM"))</f>
        <v/>
      </c>
    </row>
    <row r="702">
      <c r="F702" s="37">
        <f>IF($A702="","",IF($B702="","EKSİK","TAM"))</f>
        <v/>
      </c>
    </row>
    <row r="703">
      <c r="F703" s="37">
        <f>IF($A703="","",IF($B703="","EKSİK","TAM"))</f>
        <v/>
      </c>
    </row>
    <row r="704">
      <c r="F704" s="37">
        <f>IF($A704="","",IF($B704="","EKSİK","TAM"))</f>
        <v/>
      </c>
    </row>
    <row r="705">
      <c r="F705" s="37">
        <f>IF($A705="","",IF($B705="","EKSİK","TAM"))</f>
        <v/>
      </c>
    </row>
    <row r="706">
      <c r="F706" s="37">
        <f>IF($A706="","",IF($B706="","EKSİK","TAM"))</f>
        <v/>
      </c>
    </row>
    <row r="707">
      <c r="F707" s="37">
        <f>IF($A707="","",IF($B707="","EKSİK","TAM"))</f>
        <v/>
      </c>
    </row>
    <row r="708">
      <c r="F708" s="37">
        <f>IF($A708="","",IF($B708="","EKSİK","TAM"))</f>
        <v/>
      </c>
    </row>
    <row r="709">
      <c r="F709" s="37">
        <f>IF($A709="","",IF($B709="","EKSİK","TAM"))</f>
        <v/>
      </c>
    </row>
    <row r="710">
      <c r="F710" s="37">
        <f>IF($A710="","",IF($B710="","EKSİK","TAM"))</f>
        <v/>
      </c>
    </row>
    <row r="711">
      <c r="F711" s="37">
        <f>IF($A711="","",IF($B711="","EKSİK","TAM"))</f>
        <v/>
      </c>
    </row>
    <row r="712">
      <c r="F712" s="37">
        <f>IF($A712="","",IF($B712="","EKSİK","TAM"))</f>
        <v/>
      </c>
    </row>
    <row r="713">
      <c r="F713" s="37">
        <f>IF($A713="","",IF($B713="","EKSİK","TAM"))</f>
        <v/>
      </c>
    </row>
    <row r="714">
      <c r="F714" s="37">
        <f>IF($A714="","",IF($B714="","EKSİK","TAM"))</f>
        <v/>
      </c>
    </row>
    <row r="715">
      <c r="F715" s="37">
        <f>IF($A715="","",IF($B715="","EKSİK","TAM"))</f>
        <v/>
      </c>
    </row>
    <row r="716">
      <c r="F716" s="37">
        <f>IF($A716="","",IF($B716="","EKSİK","TAM"))</f>
        <v/>
      </c>
    </row>
    <row r="717">
      <c r="F717" s="37">
        <f>IF($A717="","",IF($B717="","EKSİK","TAM"))</f>
        <v/>
      </c>
    </row>
    <row r="718">
      <c r="F718" s="37">
        <f>IF($A718="","",IF($B718="","EKSİK","TAM"))</f>
        <v/>
      </c>
    </row>
    <row r="719">
      <c r="F719" s="37">
        <f>IF($A719="","",IF($B719="","EKSİK","TAM"))</f>
        <v/>
      </c>
    </row>
    <row r="720">
      <c r="F720" s="37">
        <f>IF($A720="","",IF($B720="","EKSİK","TAM"))</f>
        <v/>
      </c>
    </row>
    <row r="721">
      <c r="F721" s="37">
        <f>IF($A721="","",IF($B721="","EKSİK","TAM"))</f>
        <v/>
      </c>
    </row>
    <row r="722">
      <c r="F722" s="37">
        <f>IF($A722="","",IF($B722="","EKSİK","TAM"))</f>
        <v/>
      </c>
    </row>
    <row r="723">
      <c r="F723" s="37">
        <f>IF($A723="","",IF($B723="","EKSİK","TAM"))</f>
        <v/>
      </c>
    </row>
    <row r="724">
      <c r="F724" s="37">
        <f>IF($A724="","",IF($B724="","EKSİK","TAM"))</f>
        <v/>
      </c>
    </row>
    <row r="725">
      <c r="F725" s="37">
        <f>IF($A725="","",IF($B725="","EKSİK","TAM"))</f>
        <v/>
      </c>
    </row>
    <row r="726">
      <c r="F726" s="37">
        <f>IF($A726="","",IF($B726="","EKSİK","TAM"))</f>
        <v/>
      </c>
    </row>
    <row r="727">
      <c r="F727" s="37">
        <f>IF($A727="","",IF($B727="","EKSİK","TAM"))</f>
        <v/>
      </c>
    </row>
    <row r="728">
      <c r="F728" s="37">
        <f>IF($A728="","",IF($B728="","EKSİK","TAM"))</f>
        <v/>
      </c>
    </row>
    <row r="729">
      <c r="F729" s="37">
        <f>IF($A729="","",IF($B729="","EKSİK","TAM"))</f>
        <v/>
      </c>
    </row>
    <row r="730">
      <c r="F730" s="37">
        <f>IF($A730="","",IF($B730="","EKSİK","TAM"))</f>
        <v/>
      </c>
    </row>
    <row r="731">
      <c r="F731" s="37">
        <f>IF($A731="","",IF($B731="","EKSİK","TAM"))</f>
        <v/>
      </c>
    </row>
    <row r="732">
      <c r="F732" s="37">
        <f>IF($A732="","",IF($B732="","EKSİK","TAM"))</f>
        <v/>
      </c>
    </row>
    <row r="733">
      <c r="F733" s="37">
        <f>IF($A733="","",IF($B733="","EKSİK","TAM"))</f>
        <v/>
      </c>
    </row>
    <row r="734">
      <c r="F734" s="37">
        <f>IF($A734="","",IF($B734="","EKSİK","TAM"))</f>
        <v/>
      </c>
    </row>
    <row r="735">
      <c r="F735" s="37">
        <f>IF($A735="","",IF($B735="","EKSİK","TAM"))</f>
        <v/>
      </c>
    </row>
    <row r="736">
      <c r="F736" s="37">
        <f>IF($A736="","",IF($B736="","EKSİK","TAM"))</f>
        <v/>
      </c>
    </row>
    <row r="737">
      <c r="F737" s="37">
        <f>IF($A737="","",IF($B737="","EKSİK","TAM"))</f>
        <v/>
      </c>
    </row>
    <row r="738">
      <c r="F738" s="37">
        <f>IF($A738="","",IF($B738="","EKSİK","TAM"))</f>
        <v/>
      </c>
    </row>
    <row r="739">
      <c r="F739" s="37">
        <f>IF($A739="","",IF($B739="","EKSİK","TAM"))</f>
        <v/>
      </c>
    </row>
    <row r="740">
      <c r="F740" s="37">
        <f>IF($A740="","",IF($B740="","EKSİK","TAM"))</f>
        <v/>
      </c>
    </row>
    <row r="741">
      <c r="F741" s="37">
        <f>IF($A741="","",IF($B741="","EKSİK","TAM"))</f>
        <v/>
      </c>
    </row>
    <row r="742">
      <c r="F742" s="37">
        <f>IF($A742="","",IF($B742="","EKSİK","TAM"))</f>
        <v/>
      </c>
    </row>
    <row r="743">
      <c r="F743" s="37">
        <f>IF($A743="","",IF($B743="","EKSİK","TAM"))</f>
        <v/>
      </c>
    </row>
    <row r="744">
      <c r="F744" s="37">
        <f>IF($A744="","",IF($B744="","EKSİK","TAM"))</f>
        <v/>
      </c>
    </row>
    <row r="745">
      <c r="F745" s="37">
        <f>IF($A745="","",IF($B745="","EKSİK","TAM"))</f>
        <v/>
      </c>
    </row>
    <row r="746">
      <c r="F746" s="37">
        <f>IF($A746="","",IF($B746="","EKSİK","TAM"))</f>
        <v/>
      </c>
    </row>
    <row r="747">
      <c r="F747" s="37">
        <f>IF($A747="","",IF($B747="","EKSİK","TAM"))</f>
        <v/>
      </c>
    </row>
    <row r="748">
      <c r="F748" s="37">
        <f>IF($A748="","",IF($B748="","EKSİK","TAM"))</f>
        <v/>
      </c>
    </row>
    <row r="749">
      <c r="F749" s="37">
        <f>IF($A749="","",IF($B749="","EKSİK","TAM"))</f>
        <v/>
      </c>
    </row>
    <row r="750">
      <c r="F750" s="37">
        <f>IF($A750="","",IF($B750="","EKSİK","TAM"))</f>
        <v/>
      </c>
    </row>
    <row r="751">
      <c r="F751" s="37">
        <f>IF($A751="","",IF($B751="","EKSİK","TAM"))</f>
        <v/>
      </c>
    </row>
    <row r="752">
      <c r="F752" s="37">
        <f>IF($A752="","",IF($B752="","EKSİK","TAM"))</f>
        <v/>
      </c>
    </row>
    <row r="753">
      <c r="F753" s="37">
        <f>IF($A753="","",IF($B753="","EKSİK","TAM"))</f>
        <v/>
      </c>
    </row>
    <row r="754">
      <c r="F754" s="37">
        <f>IF($A754="","",IF($B754="","EKSİK","TAM"))</f>
        <v/>
      </c>
    </row>
    <row r="755">
      <c r="F755" s="37">
        <f>IF($A755="","",IF($B755="","EKSİK","TAM"))</f>
        <v/>
      </c>
    </row>
    <row r="756">
      <c r="F756" s="37">
        <f>IF($A756="","",IF($B756="","EKSİK","TAM"))</f>
        <v/>
      </c>
    </row>
    <row r="757">
      <c r="F757" s="37">
        <f>IF($A757="","",IF($B757="","EKSİK","TAM"))</f>
        <v/>
      </c>
    </row>
    <row r="758">
      <c r="F758" s="37">
        <f>IF($A758="","",IF($B758="","EKSİK","TAM"))</f>
        <v/>
      </c>
    </row>
    <row r="759">
      <c r="F759" s="37">
        <f>IF($A759="","",IF($B759="","EKSİK","TAM"))</f>
        <v/>
      </c>
    </row>
    <row r="760">
      <c r="F760" s="37">
        <f>IF($A760="","",IF($B760="","EKSİK","TAM"))</f>
        <v/>
      </c>
    </row>
    <row r="761">
      <c r="F761" s="37">
        <f>IF($A761="","",IF($B761="","EKSİK","TAM"))</f>
        <v/>
      </c>
    </row>
    <row r="762">
      <c r="F762" s="37">
        <f>IF($A762="","",IF($B762="","EKSİK","TAM"))</f>
        <v/>
      </c>
    </row>
    <row r="763">
      <c r="F763" s="37">
        <f>IF($A763="","",IF($B763="","EKSİK","TAM"))</f>
        <v/>
      </c>
    </row>
    <row r="764">
      <c r="F764" s="37">
        <f>IF($A764="","",IF($B764="","EKSİK","TAM"))</f>
        <v/>
      </c>
    </row>
    <row r="765">
      <c r="F765" s="37">
        <f>IF($A765="","",IF($B765="","EKSİK","TAM"))</f>
        <v/>
      </c>
    </row>
    <row r="766">
      <c r="F766" s="37">
        <f>IF($A766="","",IF($B766="","EKSİK","TAM"))</f>
        <v/>
      </c>
    </row>
    <row r="767">
      <c r="F767" s="37">
        <f>IF($A767="","",IF($B767="","EKSİK","TAM"))</f>
        <v/>
      </c>
    </row>
    <row r="768">
      <c r="F768" s="37">
        <f>IF($A768="","",IF($B768="","EKSİK","TAM"))</f>
        <v/>
      </c>
    </row>
    <row r="769">
      <c r="F769" s="37">
        <f>IF($A769="","",IF($B769="","EKSİK","TAM"))</f>
        <v/>
      </c>
    </row>
    <row r="770">
      <c r="F770" s="37">
        <f>IF($A770="","",IF($B770="","EKSİK","TAM"))</f>
        <v/>
      </c>
    </row>
    <row r="771">
      <c r="F771" s="37">
        <f>IF($A771="","",IF($B771="","EKSİK","TAM"))</f>
        <v/>
      </c>
    </row>
    <row r="772">
      <c r="F772" s="37">
        <f>IF($A772="","",IF($B772="","EKSİK","TAM"))</f>
        <v/>
      </c>
    </row>
    <row r="773">
      <c r="F773" s="37">
        <f>IF($A773="","",IF($B773="","EKSİK","TAM"))</f>
        <v/>
      </c>
    </row>
    <row r="774">
      <c r="F774" s="37">
        <f>IF($A774="","",IF($B774="","EKSİK","TAM"))</f>
        <v/>
      </c>
    </row>
    <row r="775">
      <c r="F775" s="37">
        <f>IF($A775="","",IF($B775="","EKSİK","TAM"))</f>
        <v/>
      </c>
    </row>
    <row r="776">
      <c r="F776" s="37">
        <f>IF($A776="","",IF($B776="","EKSİK","TAM"))</f>
        <v/>
      </c>
    </row>
    <row r="777">
      <c r="F777" s="37">
        <f>IF($A777="","",IF($B777="","EKSİK","TAM"))</f>
        <v/>
      </c>
    </row>
    <row r="778">
      <c r="F778" s="37">
        <f>IF($A778="","",IF($B778="","EKSİK","TAM"))</f>
        <v/>
      </c>
    </row>
    <row r="779">
      <c r="F779" s="37">
        <f>IF($A779="","",IF($B779="","EKSİK","TAM"))</f>
        <v/>
      </c>
    </row>
    <row r="780">
      <c r="F780" s="37">
        <f>IF($A780="","",IF($B780="","EKSİK","TAM"))</f>
        <v/>
      </c>
    </row>
    <row r="781">
      <c r="F781" s="37">
        <f>IF($A781="","",IF($B781="","EKSİK","TAM"))</f>
        <v/>
      </c>
    </row>
    <row r="782">
      <c r="F782" s="37">
        <f>IF($A782="","",IF($B782="","EKSİK","TAM"))</f>
        <v/>
      </c>
    </row>
    <row r="783">
      <c r="F783" s="37">
        <f>IF($A783="","",IF($B783="","EKSİK","TAM"))</f>
        <v/>
      </c>
    </row>
    <row r="784">
      <c r="F784" s="37">
        <f>IF($A784="","",IF($B784="","EKSİK","TAM"))</f>
        <v/>
      </c>
    </row>
    <row r="785">
      <c r="F785" s="37">
        <f>IF($A785="","",IF($B785="","EKSİK","TAM"))</f>
        <v/>
      </c>
    </row>
    <row r="786">
      <c r="F786" s="37">
        <f>IF($A786="","",IF($B786="","EKSİK","TAM"))</f>
        <v/>
      </c>
    </row>
    <row r="787">
      <c r="F787" s="37">
        <f>IF($A787="","",IF($B787="","EKSİK","TAM"))</f>
        <v/>
      </c>
    </row>
    <row r="788">
      <c r="F788" s="37">
        <f>IF($A788="","",IF($B788="","EKSİK","TAM"))</f>
        <v/>
      </c>
    </row>
    <row r="789">
      <c r="F789" s="37">
        <f>IF($A789="","",IF($B789="","EKSİK","TAM"))</f>
        <v/>
      </c>
    </row>
    <row r="790">
      <c r="F790" s="37">
        <f>IF($A790="","",IF($B790="","EKSİK","TAM"))</f>
        <v/>
      </c>
    </row>
    <row r="791">
      <c r="F791" s="37">
        <f>IF($A791="","",IF($B791="","EKSİK","TAM"))</f>
        <v/>
      </c>
    </row>
    <row r="792">
      <c r="F792" s="37">
        <f>IF($A792="","",IF($B792="","EKSİK","TAM"))</f>
        <v/>
      </c>
    </row>
    <row r="793">
      <c r="F793" s="37">
        <f>IF($A793="","",IF($B793="","EKSİK","TAM"))</f>
        <v/>
      </c>
    </row>
    <row r="794">
      <c r="F794" s="37">
        <f>IF($A794="","",IF($B794="","EKSİK","TAM"))</f>
        <v/>
      </c>
    </row>
    <row r="795">
      <c r="F795" s="37">
        <f>IF($A795="","",IF($B795="","EKSİK","TAM"))</f>
        <v/>
      </c>
    </row>
    <row r="796">
      <c r="F796" s="37">
        <f>IF($A796="","",IF($B796="","EKSİK","TAM"))</f>
        <v/>
      </c>
    </row>
    <row r="797">
      <c r="F797" s="37">
        <f>IF($A797="","",IF($B797="","EKSİK","TAM"))</f>
        <v/>
      </c>
    </row>
    <row r="798">
      <c r="F798" s="37">
        <f>IF($A798="","",IF($B798="","EKSİK","TAM"))</f>
        <v/>
      </c>
    </row>
    <row r="799">
      <c r="F799" s="37">
        <f>IF($A799="","",IF($B799="","EKSİK","TAM"))</f>
        <v/>
      </c>
    </row>
    <row r="800">
      <c r="F800" s="37">
        <f>IF($A800="","",IF($B800="","EKSİK","TAM"))</f>
        <v/>
      </c>
    </row>
    <row r="801">
      <c r="F801" s="37">
        <f>IF($A801="","",IF($B801="","EKSİK","TAM"))</f>
        <v/>
      </c>
    </row>
    <row r="802">
      <c r="F802" s="37">
        <f>IF($A802="","",IF($B802="","EKSİK","TAM"))</f>
        <v/>
      </c>
    </row>
    <row r="803">
      <c r="F803" s="37">
        <f>IF($A803="","",IF($B803="","EKSİK","TAM"))</f>
        <v/>
      </c>
    </row>
    <row r="804">
      <c r="F804" s="37">
        <f>IF($A804="","",IF($B804="","EKSİK","TAM"))</f>
        <v/>
      </c>
    </row>
    <row r="805">
      <c r="F805" s="37">
        <f>IF($A805="","",IF($B805="","EKSİK","TAM"))</f>
        <v/>
      </c>
    </row>
    <row r="806">
      <c r="F806" s="37">
        <f>IF($A806="","",IF($B806="","EKSİK","TAM"))</f>
        <v/>
      </c>
    </row>
    <row r="807">
      <c r="F807" s="37">
        <f>IF($A807="","",IF($B807="","EKSİK","TAM"))</f>
        <v/>
      </c>
    </row>
    <row r="808">
      <c r="F808" s="37">
        <f>IF($A808="","",IF($B808="","EKSİK","TAM"))</f>
        <v/>
      </c>
    </row>
    <row r="809">
      <c r="F809" s="37">
        <f>IF($A809="","",IF($B809="","EKSİK","TAM"))</f>
        <v/>
      </c>
    </row>
    <row r="810">
      <c r="F810" s="37">
        <f>IF($A810="","",IF($B810="","EKSİK","TAM"))</f>
        <v/>
      </c>
    </row>
    <row r="811">
      <c r="F811" s="37">
        <f>IF($A811="","",IF($B811="","EKSİK","TAM"))</f>
        <v/>
      </c>
    </row>
    <row r="812">
      <c r="F812" s="37">
        <f>IF($A812="","",IF($B812="","EKSİK","TAM"))</f>
        <v/>
      </c>
    </row>
    <row r="813">
      <c r="F813" s="37">
        <f>IF($A813="","",IF($B813="","EKSİK","TAM"))</f>
        <v/>
      </c>
    </row>
    <row r="814">
      <c r="F814" s="37">
        <f>IF($A814="","",IF($B814="","EKSİK","TAM"))</f>
        <v/>
      </c>
    </row>
    <row r="815">
      <c r="F815" s="37">
        <f>IF($A815="","",IF($B815="","EKSİK","TAM"))</f>
        <v/>
      </c>
    </row>
    <row r="816">
      <c r="F816" s="37">
        <f>IF($A816="","",IF($B816="","EKSİK","TAM"))</f>
        <v/>
      </c>
    </row>
    <row r="817">
      <c r="F817" s="37">
        <f>IF($A817="","",IF($B817="","EKSİK","TAM"))</f>
        <v/>
      </c>
    </row>
    <row r="818">
      <c r="F818" s="37">
        <f>IF($A818="","",IF($B818="","EKSİK","TAM"))</f>
        <v/>
      </c>
    </row>
    <row r="819">
      <c r="F819" s="37">
        <f>IF($A819="","",IF($B819="","EKSİK","TAM"))</f>
        <v/>
      </c>
    </row>
    <row r="820">
      <c r="F820" s="37">
        <f>IF($A820="","",IF($B820="","EKSİK","TAM"))</f>
        <v/>
      </c>
    </row>
    <row r="821">
      <c r="F821" s="37">
        <f>IF($A821="","",IF($B821="","EKSİK","TAM"))</f>
        <v/>
      </c>
    </row>
    <row r="822">
      <c r="F822" s="37">
        <f>IF($A822="","",IF($B822="","EKSİK","TAM"))</f>
        <v/>
      </c>
    </row>
    <row r="823">
      <c r="F823" s="37">
        <f>IF($A823="","",IF($B823="","EKSİK","TAM"))</f>
        <v/>
      </c>
    </row>
    <row r="824">
      <c r="F824" s="37">
        <f>IF($A824="","",IF($B824="","EKSİK","TAM"))</f>
        <v/>
      </c>
    </row>
    <row r="825">
      <c r="F825" s="37">
        <f>IF($A825="","",IF($B825="","EKSİK","TAM"))</f>
        <v/>
      </c>
    </row>
    <row r="826">
      <c r="F826" s="37">
        <f>IF($A826="","",IF($B826="","EKSİK","TAM"))</f>
        <v/>
      </c>
    </row>
    <row r="827">
      <c r="F827" s="37">
        <f>IF($A827="","",IF($B827="","EKSİK","TAM"))</f>
        <v/>
      </c>
    </row>
    <row r="828">
      <c r="F828" s="37">
        <f>IF($A828="","",IF($B828="","EKSİK","TAM"))</f>
        <v/>
      </c>
    </row>
    <row r="829">
      <c r="F829" s="37">
        <f>IF($A829="","",IF($B829="","EKSİK","TAM"))</f>
        <v/>
      </c>
    </row>
    <row r="830">
      <c r="F830" s="37">
        <f>IF($A830="","",IF($B830="","EKSİK","TAM"))</f>
        <v/>
      </c>
    </row>
    <row r="831">
      <c r="F831" s="37">
        <f>IF($A831="","",IF($B831="","EKSİK","TAM"))</f>
        <v/>
      </c>
    </row>
    <row r="832">
      <c r="F832" s="37">
        <f>IF($A832="","",IF($B832="","EKSİK","TAM"))</f>
        <v/>
      </c>
    </row>
    <row r="833">
      <c r="F833" s="37">
        <f>IF($A833="","",IF($B833="","EKSİK","TAM"))</f>
        <v/>
      </c>
    </row>
    <row r="834">
      <c r="F834" s="37">
        <f>IF($A834="","",IF($B834="","EKSİK","TAM"))</f>
        <v/>
      </c>
    </row>
    <row r="835">
      <c r="F835" s="37">
        <f>IF($A835="","",IF($B835="","EKSİK","TAM"))</f>
        <v/>
      </c>
    </row>
    <row r="836">
      <c r="F836" s="37">
        <f>IF($A836="","",IF($B836="","EKSİK","TAM"))</f>
        <v/>
      </c>
    </row>
    <row r="837">
      <c r="F837" s="37">
        <f>IF($A837="","",IF($B837="","EKSİK","TAM"))</f>
        <v/>
      </c>
    </row>
    <row r="838">
      <c r="F838" s="37">
        <f>IF($A838="","",IF($B838="","EKSİK","TAM"))</f>
        <v/>
      </c>
    </row>
    <row r="839">
      <c r="F839" s="37">
        <f>IF($A839="","",IF($B839="","EKSİK","TAM"))</f>
        <v/>
      </c>
    </row>
    <row r="840">
      <c r="F840" s="37">
        <f>IF($A840="","",IF($B840="","EKSİK","TAM"))</f>
        <v/>
      </c>
    </row>
    <row r="841">
      <c r="F841" s="37">
        <f>IF($A841="","",IF($B841="","EKSİK","TAM"))</f>
        <v/>
      </c>
    </row>
    <row r="842">
      <c r="F842" s="37">
        <f>IF($A842="","",IF($B842="","EKSİK","TAM"))</f>
        <v/>
      </c>
    </row>
    <row r="843">
      <c r="F843" s="37">
        <f>IF($A843="","",IF($B843="","EKSİK","TAM"))</f>
        <v/>
      </c>
    </row>
    <row r="844">
      <c r="F844" s="37">
        <f>IF($A844="","",IF($B844="","EKSİK","TAM"))</f>
        <v/>
      </c>
    </row>
    <row r="845">
      <c r="F845" s="37">
        <f>IF($A845="","",IF($B845="","EKSİK","TAM"))</f>
        <v/>
      </c>
    </row>
    <row r="846">
      <c r="F846" s="37">
        <f>IF($A846="","",IF($B846="","EKSİK","TAM"))</f>
        <v/>
      </c>
    </row>
    <row r="847">
      <c r="F847" s="37">
        <f>IF($A847="","",IF($B847="","EKSİK","TAM"))</f>
        <v/>
      </c>
    </row>
    <row r="848">
      <c r="F848" s="37">
        <f>IF($A848="","",IF($B848="","EKSİK","TAM"))</f>
        <v/>
      </c>
    </row>
    <row r="849">
      <c r="F849" s="37">
        <f>IF($A849="","",IF($B849="","EKSİK","TAM"))</f>
        <v/>
      </c>
    </row>
    <row r="850">
      <c r="F850" s="37">
        <f>IF($A850="","",IF($B850="","EKSİK","TAM"))</f>
        <v/>
      </c>
    </row>
    <row r="851">
      <c r="F851" s="37">
        <f>IF($A851="","",IF($B851="","EKSİK","TAM"))</f>
        <v/>
      </c>
    </row>
    <row r="852">
      <c r="F852" s="37">
        <f>IF($A852="","",IF($B852="","EKSİK","TAM"))</f>
        <v/>
      </c>
    </row>
    <row r="853">
      <c r="F853" s="37">
        <f>IF($A853="","",IF($B853="","EKSİK","TAM"))</f>
        <v/>
      </c>
    </row>
    <row r="854">
      <c r="F854" s="37">
        <f>IF($A854="","",IF($B854="","EKSİK","TAM"))</f>
        <v/>
      </c>
    </row>
    <row r="855">
      <c r="F855" s="37">
        <f>IF($A855="","",IF($B855="","EKSİK","TAM"))</f>
        <v/>
      </c>
    </row>
    <row r="856">
      <c r="F856" s="37">
        <f>IF($A856="","",IF($B856="","EKSİK","TAM"))</f>
        <v/>
      </c>
    </row>
    <row r="857">
      <c r="F857" s="37">
        <f>IF($A857="","",IF($B857="","EKSİK","TAM"))</f>
        <v/>
      </c>
    </row>
    <row r="858">
      <c r="F858" s="37">
        <f>IF($A858="","",IF($B858="","EKSİK","TAM"))</f>
        <v/>
      </c>
    </row>
    <row r="859">
      <c r="F859" s="37">
        <f>IF($A859="","",IF($B859="","EKSİK","TAM"))</f>
        <v/>
      </c>
    </row>
    <row r="860">
      <c r="F860" s="37">
        <f>IF($A860="","",IF($B860="","EKSİK","TAM"))</f>
        <v/>
      </c>
    </row>
    <row r="861">
      <c r="F861" s="37">
        <f>IF($A861="","",IF($B861="","EKSİK","TAM"))</f>
        <v/>
      </c>
    </row>
    <row r="862">
      <c r="F862" s="37">
        <f>IF($A862="","",IF($B862="","EKSİK","TAM"))</f>
        <v/>
      </c>
    </row>
    <row r="863">
      <c r="F863" s="37">
        <f>IF($A863="","",IF($B863="","EKSİK","TAM"))</f>
        <v/>
      </c>
    </row>
    <row r="864">
      <c r="F864" s="37">
        <f>IF($A864="","",IF($B864="","EKSİK","TAM"))</f>
        <v/>
      </c>
    </row>
    <row r="865">
      <c r="F865" s="37">
        <f>IF($A865="","",IF($B865="","EKSİK","TAM"))</f>
        <v/>
      </c>
    </row>
    <row r="866">
      <c r="F866" s="37">
        <f>IF($A866="","",IF($B866="","EKSİK","TAM"))</f>
        <v/>
      </c>
    </row>
    <row r="867">
      <c r="F867" s="37">
        <f>IF($A867="","",IF($B867="","EKSİK","TAM"))</f>
        <v/>
      </c>
    </row>
    <row r="868">
      <c r="F868" s="37">
        <f>IF($A868="","",IF($B868="","EKSİK","TAM"))</f>
        <v/>
      </c>
    </row>
    <row r="869">
      <c r="F869" s="37">
        <f>IF($A869="","",IF($B869="","EKSİK","TAM"))</f>
        <v/>
      </c>
    </row>
    <row r="870">
      <c r="F870" s="37">
        <f>IF($A870="","",IF($B870="","EKSİK","TAM"))</f>
        <v/>
      </c>
    </row>
    <row r="871">
      <c r="F871" s="37">
        <f>IF($A871="","",IF($B871="","EKSİK","TAM"))</f>
        <v/>
      </c>
    </row>
    <row r="872">
      <c r="F872" s="37">
        <f>IF($A872="","",IF($B872="","EKSİK","TAM"))</f>
        <v/>
      </c>
    </row>
    <row r="873">
      <c r="F873" s="37">
        <f>IF($A873="","",IF($B873="","EKSİK","TAM"))</f>
        <v/>
      </c>
    </row>
    <row r="874">
      <c r="F874" s="37">
        <f>IF($A874="","",IF($B874="","EKSİK","TAM"))</f>
        <v/>
      </c>
    </row>
    <row r="875">
      <c r="F875" s="37">
        <f>IF($A875="","",IF($B875="","EKSİK","TAM"))</f>
        <v/>
      </c>
    </row>
    <row r="876">
      <c r="F876" s="37">
        <f>IF($A876="","",IF($B876="","EKSİK","TAM"))</f>
        <v/>
      </c>
    </row>
    <row r="877">
      <c r="F877" s="37">
        <f>IF($A877="","",IF($B877="","EKSİK","TAM"))</f>
        <v/>
      </c>
    </row>
    <row r="878">
      <c r="F878" s="37">
        <f>IF($A878="","",IF($B878="","EKSİK","TAM"))</f>
        <v/>
      </c>
    </row>
    <row r="879">
      <c r="F879" s="37">
        <f>IF($A879="","",IF($B879="","EKSİK","TAM"))</f>
        <v/>
      </c>
    </row>
    <row r="880">
      <c r="F880" s="37">
        <f>IF($A880="","",IF($B880="","EKSİK","TAM"))</f>
        <v/>
      </c>
    </row>
    <row r="881">
      <c r="F881" s="37">
        <f>IF($A881="","",IF($B881="","EKSİK","TAM"))</f>
        <v/>
      </c>
    </row>
    <row r="882">
      <c r="F882" s="37">
        <f>IF($A882="","",IF($B882="","EKSİK","TAM"))</f>
        <v/>
      </c>
    </row>
    <row r="883">
      <c r="F883" s="37">
        <f>IF($A883="","",IF($B883="","EKSİK","TAM"))</f>
        <v/>
      </c>
    </row>
    <row r="884">
      <c r="F884" s="37">
        <f>IF($A884="","",IF($B884="","EKSİK","TAM"))</f>
        <v/>
      </c>
    </row>
    <row r="885">
      <c r="F885" s="37">
        <f>IF($A885="","",IF($B885="","EKSİK","TAM"))</f>
        <v/>
      </c>
    </row>
    <row r="886">
      <c r="F886" s="37">
        <f>IF($A886="","",IF($B886="","EKSİK","TAM"))</f>
        <v/>
      </c>
    </row>
    <row r="887">
      <c r="F887" s="37">
        <f>IF($A887="","",IF($B887="","EKSİK","TAM"))</f>
        <v/>
      </c>
    </row>
    <row r="888">
      <c r="F888" s="37">
        <f>IF($A888="","",IF($B888="","EKSİK","TAM"))</f>
        <v/>
      </c>
    </row>
    <row r="889">
      <c r="F889" s="37">
        <f>IF($A889="","",IF($B889="","EKSİK","TAM"))</f>
        <v/>
      </c>
    </row>
    <row r="890">
      <c r="F890" s="37">
        <f>IF($A890="","",IF($B890="","EKSİK","TAM"))</f>
        <v/>
      </c>
    </row>
    <row r="891">
      <c r="F891" s="37">
        <f>IF($A891="","",IF($B891="","EKSİK","TAM"))</f>
        <v/>
      </c>
    </row>
    <row r="892">
      <c r="F892" s="37">
        <f>IF($A892="","",IF($B892="","EKSİK","TAM"))</f>
        <v/>
      </c>
    </row>
    <row r="893">
      <c r="F893" s="37">
        <f>IF($A893="","",IF($B893="","EKSİK","TAM"))</f>
        <v/>
      </c>
    </row>
    <row r="894">
      <c r="F894" s="37">
        <f>IF($A894="","",IF($B894="","EKSİK","TAM"))</f>
        <v/>
      </c>
    </row>
    <row r="895">
      <c r="F895" s="37">
        <f>IF($A895="","",IF($B895="","EKSİK","TAM"))</f>
        <v/>
      </c>
    </row>
    <row r="896">
      <c r="F896" s="37">
        <f>IF($A896="","",IF($B896="","EKSİK","TAM"))</f>
        <v/>
      </c>
    </row>
    <row r="897">
      <c r="F897" s="37">
        <f>IF($A897="","",IF($B897="","EKSİK","TAM"))</f>
        <v/>
      </c>
    </row>
    <row r="898">
      <c r="F898" s="37">
        <f>IF($A898="","",IF($B898="","EKSİK","TAM"))</f>
        <v/>
      </c>
    </row>
    <row r="899">
      <c r="F899" s="37">
        <f>IF($A899="","",IF($B899="","EKSİK","TAM"))</f>
        <v/>
      </c>
    </row>
    <row r="900">
      <c r="F900" s="37">
        <f>IF($A900="","",IF($B900="","EKSİK","TAM"))</f>
        <v/>
      </c>
    </row>
    <row r="901">
      <c r="F901" s="37">
        <f>IF($A901="","",IF($B901="","EKSİK","TAM"))</f>
        <v/>
      </c>
    </row>
    <row r="902">
      <c r="F902" s="37">
        <f>IF($A902="","",IF($B902="","EKSİK","TAM"))</f>
        <v/>
      </c>
    </row>
    <row r="903">
      <c r="F903" s="37">
        <f>IF($A903="","",IF($B903="","EKSİK","TAM"))</f>
        <v/>
      </c>
    </row>
    <row r="904">
      <c r="F904" s="37">
        <f>IF($A904="","",IF($B904="","EKSİK","TAM"))</f>
        <v/>
      </c>
    </row>
    <row r="905">
      <c r="F905" s="37">
        <f>IF($A905="","",IF($B905="","EKSİK","TAM"))</f>
        <v/>
      </c>
    </row>
    <row r="906">
      <c r="F906" s="37">
        <f>IF($A906="","",IF($B906="","EKSİK","TAM"))</f>
        <v/>
      </c>
    </row>
    <row r="907">
      <c r="F907" s="37">
        <f>IF($A907="","",IF($B907="","EKSİK","TAM"))</f>
        <v/>
      </c>
    </row>
    <row r="908">
      <c r="F908" s="37">
        <f>IF($A908="","",IF($B908="","EKSİK","TAM"))</f>
        <v/>
      </c>
    </row>
    <row r="909">
      <c r="F909" s="37">
        <f>IF($A909="","",IF($B909="","EKSİK","TAM"))</f>
        <v/>
      </c>
    </row>
    <row r="910">
      <c r="F910" s="37">
        <f>IF($A910="","",IF($B910="","EKSİK","TAM"))</f>
        <v/>
      </c>
    </row>
    <row r="911">
      <c r="F911" s="37">
        <f>IF($A911="","",IF($B911="","EKSİK","TAM"))</f>
        <v/>
      </c>
    </row>
    <row r="912">
      <c r="F912" s="37">
        <f>IF($A912="","",IF($B912="","EKSİK","TAM"))</f>
        <v/>
      </c>
    </row>
    <row r="913">
      <c r="F913" s="37">
        <f>IF($A913="","",IF($B913="","EKSİK","TAM"))</f>
        <v/>
      </c>
    </row>
    <row r="914">
      <c r="F914" s="37">
        <f>IF($A914="","",IF($B914="","EKSİK","TAM"))</f>
        <v/>
      </c>
    </row>
    <row r="915">
      <c r="F915" s="37">
        <f>IF($A915="","",IF($B915="","EKSİK","TAM"))</f>
        <v/>
      </c>
    </row>
    <row r="916">
      <c r="F916" s="37">
        <f>IF($A916="","",IF($B916="","EKSİK","TAM"))</f>
        <v/>
      </c>
    </row>
    <row r="917">
      <c r="F917" s="37">
        <f>IF($A917="","",IF($B917="","EKSİK","TAM"))</f>
        <v/>
      </c>
    </row>
    <row r="918">
      <c r="F918" s="37">
        <f>IF($A918="","",IF($B918="","EKSİK","TAM"))</f>
        <v/>
      </c>
    </row>
    <row r="919">
      <c r="F919" s="37">
        <f>IF($A919="","",IF($B919="","EKSİK","TAM"))</f>
        <v/>
      </c>
    </row>
    <row r="920">
      <c r="F920" s="37">
        <f>IF($A920="","",IF($B920="","EKSİK","TAM"))</f>
        <v/>
      </c>
    </row>
    <row r="921">
      <c r="F921" s="37">
        <f>IF($A921="","",IF($B921="","EKSİK","TAM"))</f>
        <v/>
      </c>
    </row>
    <row r="922">
      <c r="F922" s="37">
        <f>IF($A922="","",IF($B922="","EKSİK","TAM"))</f>
        <v/>
      </c>
    </row>
    <row r="923">
      <c r="F923" s="37">
        <f>IF($A923="","",IF($B923="","EKSİK","TAM"))</f>
        <v/>
      </c>
    </row>
    <row r="924">
      <c r="F924" s="37">
        <f>IF($A924="","",IF($B924="","EKSİK","TAM"))</f>
        <v/>
      </c>
    </row>
    <row r="925">
      <c r="F925" s="37">
        <f>IF($A925="","",IF($B925="","EKSİK","TAM"))</f>
        <v/>
      </c>
    </row>
    <row r="926">
      <c r="F926" s="37">
        <f>IF($A926="","",IF($B926="","EKSİK","TAM"))</f>
        <v/>
      </c>
    </row>
    <row r="927">
      <c r="F927" s="37">
        <f>IF($A927="","",IF($B927="","EKSİK","TAM"))</f>
        <v/>
      </c>
    </row>
    <row r="928">
      <c r="F928" s="37">
        <f>IF($A928="","",IF($B928="","EKSİK","TAM"))</f>
        <v/>
      </c>
    </row>
    <row r="929">
      <c r="F929" s="37">
        <f>IF($A929="","",IF($B929="","EKSİK","TAM"))</f>
        <v/>
      </c>
    </row>
    <row r="930">
      <c r="F930" s="37">
        <f>IF($A930="","",IF($B930="","EKSİK","TAM"))</f>
        <v/>
      </c>
    </row>
    <row r="931">
      <c r="F931" s="37">
        <f>IF($A931="","",IF($B931="","EKSİK","TAM"))</f>
        <v/>
      </c>
    </row>
    <row r="932">
      <c r="F932" s="37">
        <f>IF($A932="","",IF($B932="","EKSİK","TAM"))</f>
        <v/>
      </c>
    </row>
    <row r="933">
      <c r="F933" s="37">
        <f>IF($A933="","",IF($B933="","EKSİK","TAM"))</f>
        <v/>
      </c>
    </row>
    <row r="934">
      <c r="F934" s="37">
        <f>IF($A934="","",IF($B934="","EKSİK","TAM"))</f>
        <v/>
      </c>
    </row>
    <row r="935">
      <c r="F935" s="37">
        <f>IF($A935="","",IF($B935="","EKSİK","TAM"))</f>
        <v/>
      </c>
    </row>
    <row r="936">
      <c r="F936" s="37">
        <f>IF($A936="","",IF($B936="","EKSİK","TAM"))</f>
        <v/>
      </c>
    </row>
    <row r="937">
      <c r="F937" s="37">
        <f>IF($A937="","",IF($B937="","EKSİK","TAM"))</f>
        <v/>
      </c>
    </row>
    <row r="938">
      <c r="F938" s="37">
        <f>IF($A938="","",IF($B938="","EKSİK","TAM"))</f>
        <v/>
      </c>
    </row>
    <row r="939">
      <c r="F939" s="37">
        <f>IF($A939="","",IF($B939="","EKSİK","TAM"))</f>
        <v/>
      </c>
    </row>
    <row r="940">
      <c r="F940" s="37">
        <f>IF($A940="","",IF($B940="","EKSİK","TAM"))</f>
        <v/>
      </c>
    </row>
    <row r="941">
      <c r="F941" s="37">
        <f>IF($A941="","",IF($B941="","EKSİK","TAM"))</f>
        <v/>
      </c>
    </row>
    <row r="942">
      <c r="F942" s="37">
        <f>IF($A942="","",IF($B942="","EKSİK","TAM"))</f>
        <v/>
      </c>
    </row>
    <row r="943">
      <c r="F943" s="37">
        <f>IF($A943="","",IF($B943="","EKSİK","TAM"))</f>
        <v/>
      </c>
    </row>
    <row r="944">
      <c r="F944" s="37">
        <f>IF($A944="","",IF($B944="","EKSİK","TAM"))</f>
        <v/>
      </c>
    </row>
    <row r="945">
      <c r="F945" s="37">
        <f>IF($A945="","",IF($B945="","EKSİK","TAM"))</f>
        <v/>
      </c>
    </row>
    <row r="946">
      <c r="F946" s="37">
        <f>IF($A946="","",IF($B946="","EKSİK","TAM"))</f>
        <v/>
      </c>
    </row>
    <row r="947">
      <c r="F947" s="37">
        <f>IF($A947="","",IF($B947="","EKSİK","TAM"))</f>
        <v/>
      </c>
    </row>
    <row r="948">
      <c r="F948" s="37">
        <f>IF($A948="","",IF($B948="","EKSİK","TAM"))</f>
        <v/>
      </c>
    </row>
    <row r="949">
      <c r="F949" s="37">
        <f>IF($A949="","",IF($B949="","EKSİK","TAM"))</f>
        <v/>
      </c>
    </row>
    <row r="950">
      <c r="F950" s="37">
        <f>IF($A950="","",IF($B950="","EKSİK","TAM"))</f>
        <v/>
      </c>
    </row>
    <row r="951">
      <c r="F951" s="37">
        <f>IF($A951="","",IF($B951="","EKSİK","TAM"))</f>
        <v/>
      </c>
    </row>
    <row r="952">
      <c r="F952" s="37">
        <f>IF($A952="","",IF($B952="","EKSİK","TAM"))</f>
        <v/>
      </c>
    </row>
    <row r="953">
      <c r="F953" s="37">
        <f>IF($A953="","",IF($B953="","EKSİK","TAM"))</f>
        <v/>
      </c>
    </row>
    <row r="954">
      <c r="F954" s="37">
        <f>IF($A954="","",IF($B954="","EKSİK","TAM"))</f>
        <v/>
      </c>
    </row>
    <row r="955">
      <c r="F955" s="37">
        <f>IF($A955="","",IF($B955="","EKSİK","TAM"))</f>
        <v/>
      </c>
    </row>
    <row r="956">
      <c r="F956" s="37">
        <f>IF($A956="","",IF($B956="","EKSİK","TAM"))</f>
        <v/>
      </c>
    </row>
    <row r="957">
      <c r="F957" s="37">
        <f>IF($A957="","",IF($B957="","EKSİK","TAM"))</f>
        <v/>
      </c>
    </row>
    <row r="958">
      <c r="F958" s="37">
        <f>IF($A958="","",IF($B958="","EKSİK","TAM"))</f>
        <v/>
      </c>
    </row>
    <row r="959">
      <c r="F959" s="37">
        <f>IF($A959="","",IF($B959="","EKSİK","TAM"))</f>
        <v/>
      </c>
    </row>
    <row r="960">
      <c r="F960" s="37">
        <f>IF($A960="","",IF($B960="","EKSİK","TAM"))</f>
        <v/>
      </c>
    </row>
    <row r="961">
      <c r="F961" s="37">
        <f>IF($A961="","",IF($B961="","EKSİK","TAM"))</f>
        <v/>
      </c>
    </row>
    <row r="962">
      <c r="F962" s="37">
        <f>IF($A962="","",IF($B962="","EKSİK","TAM"))</f>
        <v/>
      </c>
    </row>
    <row r="963">
      <c r="F963" s="37">
        <f>IF($A963="","",IF($B963="","EKSİK","TAM"))</f>
        <v/>
      </c>
    </row>
    <row r="964">
      <c r="F964" s="37">
        <f>IF($A964="","",IF($B964="","EKSİK","TAM"))</f>
        <v/>
      </c>
    </row>
    <row r="965">
      <c r="F965" s="37">
        <f>IF($A965="","",IF($B965="","EKSİK","TAM"))</f>
        <v/>
      </c>
    </row>
    <row r="966">
      <c r="F966" s="37">
        <f>IF($A966="","",IF($B966="","EKSİK","TAM"))</f>
        <v/>
      </c>
    </row>
    <row r="967">
      <c r="F967" s="37">
        <f>IF($A967="","",IF($B967="","EKSİK","TAM"))</f>
        <v/>
      </c>
    </row>
    <row r="968">
      <c r="F968" s="37">
        <f>IF($A968="","",IF($B968="","EKSİK","TAM"))</f>
        <v/>
      </c>
    </row>
    <row r="969">
      <c r="F969" s="37">
        <f>IF($A969="","",IF($B969="","EKSİK","TAM"))</f>
        <v/>
      </c>
    </row>
    <row r="970">
      <c r="F970" s="37">
        <f>IF($A970="","",IF($B970="","EKSİK","TAM"))</f>
        <v/>
      </c>
    </row>
    <row r="971">
      <c r="F971" s="37">
        <f>IF($A971="","",IF($B971="","EKSİK","TAM"))</f>
        <v/>
      </c>
    </row>
    <row r="972">
      <c r="F972" s="37">
        <f>IF($A972="","",IF($B972="","EKSİK","TAM"))</f>
        <v/>
      </c>
    </row>
    <row r="973">
      <c r="F973" s="37">
        <f>IF($A973="","",IF($B973="","EKSİK","TAM"))</f>
        <v/>
      </c>
    </row>
    <row r="974">
      <c r="F974" s="37">
        <f>IF($A974="","",IF($B974="","EKSİK","TAM"))</f>
        <v/>
      </c>
    </row>
    <row r="975">
      <c r="F975" s="37">
        <f>IF($A975="","",IF($B975="","EKSİK","TAM"))</f>
        <v/>
      </c>
    </row>
    <row r="976">
      <c r="F976" s="37">
        <f>IF($A976="","",IF($B976="","EKSİK","TAM"))</f>
        <v/>
      </c>
    </row>
    <row r="977">
      <c r="F977" s="37">
        <f>IF($A977="","",IF($B977="","EKSİK","TAM"))</f>
        <v/>
      </c>
    </row>
    <row r="978">
      <c r="F978" s="37">
        <f>IF($A978="","",IF($B978="","EKSİK","TAM"))</f>
        <v/>
      </c>
    </row>
    <row r="979">
      <c r="F979" s="37">
        <f>IF($A979="","",IF($B979="","EKSİK","TAM"))</f>
        <v/>
      </c>
    </row>
    <row r="980">
      <c r="F980" s="37">
        <f>IF($A980="","",IF($B980="","EKSİK","TAM"))</f>
        <v/>
      </c>
    </row>
    <row r="981">
      <c r="F981" s="37">
        <f>IF($A981="","",IF($B981="","EKSİK","TAM"))</f>
        <v/>
      </c>
    </row>
    <row r="982">
      <c r="F982" s="37">
        <f>IF($A982="","",IF($B982="","EKSİK","TAM"))</f>
        <v/>
      </c>
    </row>
    <row r="983">
      <c r="F983" s="37">
        <f>IF($A983="","",IF($B983="","EKSİK","TAM"))</f>
        <v/>
      </c>
    </row>
    <row r="984">
      <c r="F984" s="37">
        <f>IF($A984="","",IF($B984="","EKSİK","TAM"))</f>
        <v/>
      </c>
    </row>
    <row r="985">
      <c r="F985" s="37">
        <f>IF($A985="","",IF($B985="","EKSİK","TAM"))</f>
        <v/>
      </c>
    </row>
    <row r="986">
      <c r="F986" s="37">
        <f>IF($A986="","",IF($B986="","EKSİK","TAM"))</f>
        <v/>
      </c>
    </row>
    <row r="987">
      <c r="F987" s="37">
        <f>IF($A987="","",IF($B987="","EKSİK","TAM"))</f>
        <v/>
      </c>
    </row>
    <row r="988">
      <c r="F988" s="37">
        <f>IF($A988="","",IF($B988="","EKSİK","TAM"))</f>
        <v/>
      </c>
    </row>
    <row r="989">
      <c r="F989" s="37">
        <f>IF($A989="","",IF($B989="","EKSİK","TAM"))</f>
        <v/>
      </c>
    </row>
    <row r="990">
      <c r="F990" s="37">
        <f>IF($A990="","",IF($B990="","EKSİK","TAM"))</f>
        <v/>
      </c>
    </row>
    <row r="991">
      <c r="F991" s="37">
        <f>IF($A991="","",IF($B991="","EKSİK","TAM"))</f>
        <v/>
      </c>
    </row>
    <row r="992">
      <c r="F992" s="37">
        <f>IF($A992="","",IF($B992="","EKSİK","TAM"))</f>
        <v/>
      </c>
    </row>
    <row r="993">
      <c r="F993" s="37">
        <f>IF($A993="","",IF($B993="","EKSİK","TAM"))</f>
        <v/>
      </c>
    </row>
    <row r="994">
      <c r="F994" s="37">
        <f>IF($A994="","",IF($B994="","EKSİK","TAM"))</f>
        <v/>
      </c>
    </row>
    <row r="995">
      <c r="F995" s="37">
        <f>IF($A995="","",IF($B995="","EKSİK","TAM"))</f>
        <v/>
      </c>
    </row>
    <row r="996">
      <c r="F996" s="37">
        <f>IF($A996="","",IF($B996="","EKSİK","TAM"))</f>
        <v/>
      </c>
    </row>
    <row r="997">
      <c r="F997" s="37">
        <f>IF($A997="","",IF($B997="","EKSİK","TAM"))</f>
        <v/>
      </c>
    </row>
    <row r="998">
      <c r="F998" s="37">
        <f>IF($A998="","",IF($B998="","EKSİK","TAM"))</f>
        <v/>
      </c>
    </row>
    <row r="999">
      <c r="F999" s="37">
        <f>IF($A999="","",IF($B999="","EKSİK","TAM"))</f>
        <v/>
      </c>
    </row>
    <row r="1000">
      <c r="F1000" s="37">
        <f>IF($A1000="","",IF($B1000="","EKSİK","TAM"))</f>
        <v/>
      </c>
    </row>
    <row r="1001">
      <c r="F1001" s="37">
        <f>IF($A1001="","",IF($B1001="","EKSİK","TAM"))</f>
        <v/>
      </c>
    </row>
    <row r="1002">
      <c r="F1002" s="37">
        <f>IF($A1002="","",IF($B1002="","EKSİK","TAM"))</f>
        <v/>
      </c>
    </row>
    <row r="1003">
      <c r="F1003" s="37">
        <f>IF($A1003="","",IF($B1003="","EKSİK","TAM"))</f>
        <v/>
      </c>
    </row>
    <row r="1004">
      <c r="F1004" s="37">
        <f>IF($A1004="","",IF($B1004="","EKSİK","TAM"))</f>
        <v/>
      </c>
    </row>
    <row r="1022" ht="20" customHeight="1">
      <c r="A1022" s="40" t="inlineStr">
        <is>
          <t>Sarı alanlar giriş; matrah ve kalite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22:AN1022"/>
    <mergeCell ref="A1:AD1"/>
  </mergeCells>
  <conditionalFormatting sqref="B9:B13">
    <cfRule type="cellIs" priority="1" operator="lessThan" dxfId="3">
      <formula>0</formula>
    </cfRule>
    <cfRule type="cellIs" priority="2" operator="equal" dxfId="5">
      <formula>0</formula>
    </cfRule>
  </conditionalFormatting>
  <conditionalFormatting sqref="F22:F30">
    <cfRule type="expression" priority="3" dxfId="2">
      <formula>F22="EKSİK"</formula>
    </cfRule>
    <cfRule type="expression" priority="4" dxfId="0">
      <formula>F22="TAM"</formula>
    </cfRule>
  </conditionalFormatting>
  <dataValidations count="14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4" showDropDown="0" showInputMessage="1" showErrorMessage="1" allowBlank="0" errorTitle="Geçersiz" error="A veya B seçin." promptTitle="Yorum" prompt="İstisna kırılımında A veya B seçin." type="list" errorStyle="stop">
      <formula1>ListeYorumAB</formula1>
    </dataValidation>
    <dataValidation sqref="B24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0" showDropDown="0" showInputMessage="1" showErrorMessage="1" allowBlank="1" errorTitle="Geçersiz" error="A veya B." promptTitle="Yorum" prompt="A veya B." type="list" errorStyle="stop">
      <formula1>ListeYorumAB</formula1>
    </dataValidation>
    <dataValidation sqref="B9" showDropDown="0" showInputMessage="1" showErrorMessage="1" allowBlank="1" errorTitle="Geçersiz tutar" error="0 ile 1.000.000.000.000 arasında olmalı." promptTitle="Ticari Kâr" prompt="0 ile 1e12 arasında TL." type="decimal" errorStyle="stop" operator="between">
      <formula1>0</formula1>
      <formula2>1000000000000</formula2>
    </dataValidation>
    <dataValidation sqref="B10" showDropDown="0" showInputMessage="1" showErrorMessage="1" allowBlank="1" errorTitle="Geçersiz tutar" error="0 ile 1.000.000.000.000 arasında olmalı." promptTitle="KKEG" prompt="0 ile 1e12 arasında TL." type="decimal" errorStyle="stop" operator="between">
      <formula1>0</formula1>
      <formula2>1000000000000</formula2>
    </dataValidation>
    <dataValidation sqref="B11" showDropDown="0" showInputMessage="1" showErrorMessage="1" allowBlank="1" errorTitle="Geçersiz tutar" error="0 ile 1.000.000.000.000 arasında olmalı." promptTitle="İstisnalar" prompt="0 ile 1e12 arasında TL." type="decimal" errorStyle="stop" operator="between">
      <formula1>0</formula1>
      <formula2>1000000000000</formula2>
    </dataValidation>
    <dataValidation sqref="B12" showDropDown="0" showInputMessage="1" showErrorMessage="1" allowBlank="1" errorTitle="Geçersiz tutar" error="0 ile 1.000.000.000.000 arasında olmalı." promptTitle="İndirimler" prompt="0 ile 1e12 arasında TL." type="decimal" errorStyle="stop" operator="between">
      <formula1>0</formula1>
      <formula2>1000000000000</formula2>
    </dataValidation>
    <dataValidation sqref="B13" showDropDown="0" showInputMessage="1" showErrorMessage="1" allowBlank="1" errorTitle="Geçersiz tutar" error="0 ile 1.000.000.000.000 arasında olmalı." promptTitle="Ödenen KV" prompt="0 ile 1e12 arasında TL." type="decimal" errorStyle="stop" operator="between">
      <formula1>0</formula1>
      <formula2>1000000000000</formula2>
    </dataValidation>
    <dataValidation sqref="B25" showDropDown="0" showInputMessage="1" showErrorMessage="1" allowBlank="1" errorTitle="Geçersiz tutar" error="0 ile 1.000.000.000.000 arasında olmalı." promptTitle="Ticari Kâr" prompt="Tablo: TL tutar." type="decimal" errorStyle="stop" operator="between">
      <formula1>0</formula1>
      <formula2>1000000000000</formula2>
    </dataValidation>
    <dataValidation sqref="B26" showDropDown="0" showInputMessage="1" showErrorMessage="1" allowBlank="1" errorTitle="Geçersiz tutar" error="0 ile 1.000.000.000.000 arasında olmalı." promptTitle="KKEG" prompt="Tablo: TL tutar." type="decimal" errorStyle="stop" operator="between">
      <formula1>0</formula1>
      <formula2>1000000000000</formula2>
    </dataValidation>
    <dataValidation sqref="B27" showDropDown="0" showInputMessage="1" showErrorMessage="1" allowBlank="1" errorTitle="Geçersiz tutar" error="0 ile 1.000.000.000.000 arasında olmalı." promptTitle="İstisnalar" prompt="Tablo: TL tutar." type="decimal" errorStyle="stop" operator="between">
      <formula1>0</formula1>
      <formula2>1000000000000</formula2>
    </dataValidation>
    <dataValidation sqref="B28" showDropDown="0" showInputMessage="1" showErrorMessage="1" allowBlank="1" errorTitle="Geçersiz tutar" error="0 ile 1.000.000.000.000 arasında olmalı." promptTitle="İndirimler" prompt="Tablo: TL tutar." type="decimal" errorStyle="stop" operator="between">
      <formula1>0</formula1>
      <formula2>1000000000000</formula2>
    </dataValidation>
    <dataValidation sqref="B29" showDropDown="0" showInputMessage="1" showErrorMessage="1" allowBlank="1" errorTitle="Geçersiz tutar" error="0 ile 1.000.000.000.000 arasında olmalı." promptTitle="Ödenen KV" prompt="Tablo: TL tutar." type="decimal" errorStyle="stop" operator="between">
      <formula1>0</formula1>
      <formula2>1000000000000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F7A4D"/>
    <outlinePr summaryBelow="1" summaryRight="1"/>
    <pageSetUpPr/>
  </sheetPr>
  <dimension ref="A1:AD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26" customHeight="1">
      <c r="A1" s="1" t="inlineStr">
        <is>
          <t>KURALLAR — Asgari Kurumlar Vergisi Simülasyon Motoru</t>
        </is>
      </c>
    </row>
    <row r="3">
      <c r="A3" s="42" t="inlineStr">
        <is>
          <t>Mevzuat kural tablosu (yıl yan yana)</t>
        </is>
      </c>
    </row>
    <row r="4">
      <c r="A4" s="4" t="inlineStr">
        <is>
          <t>Oranlar MOTOR'da sabit yazılmaz; INDEX/MATCH ile buradan çekilir.</t>
        </is>
      </c>
    </row>
    <row r="6" ht="30" customHeight="1">
      <c r="A6" s="22" t="inlineStr">
        <is>
          <t>kural_id</t>
        </is>
      </c>
      <c r="B6" s="22" t="inlineStr">
        <is>
          <t>madde</t>
        </is>
      </c>
      <c r="C6" s="22" t="inlineStr">
        <is>
          <t>kural_adi</t>
        </is>
      </c>
      <c r="D6" s="22" t="inlineStr">
        <is>
          <t>kosul_metni</t>
        </is>
      </c>
      <c r="E6" s="22" t="inlineStr">
        <is>
          <t>parametre_adi</t>
        </is>
      </c>
      <c r="F6" s="22" t="inlineStr">
        <is>
          <t>deger_2025</t>
        </is>
      </c>
      <c r="G6" s="22" t="inlineStr">
        <is>
          <t>deger_2026</t>
        </is>
      </c>
      <c r="H6" s="22" t="inlineStr">
        <is>
          <t>deger_2027</t>
        </is>
      </c>
      <c r="I6" s="22" t="inlineStr">
        <is>
          <t>yururluk</t>
        </is>
      </c>
      <c r="J6" s="22" t="inlineStr">
        <is>
          <t>kaynak</t>
        </is>
      </c>
      <c r="K6" s="22" t="inlineStr">
        <is>
          <t>aktif_deger</t>
        </is>
      </c>
    </row>
    <row r="7">
      <c r="A7" s="7" t="inlineStr">
        <is>
          <t>AKV-001</t>
        </is>
      </c>
      <c r="B7" s="7" t="inlineStr">
        <is>
          <t>KVK md.32</t>
        </is>
      </c>
      <c r="C7" s="7" t="inlineStr">
        <is>
          <t>kv_genel_oran</t>
        </is>
      </c>
      <c r="D7" s="7" t="inlineStr">
        <is>
          <t>kurumlar_matrah&gt;0</t>
        </is>
      </c>
      <c r="E7" s="7" t="inlineStr">
        <is>
          <t>kv_genel_oran</t>
        </is>
      </c>
      <c r="F7" s="43" t="n">
        <v>0.25</v>
      </c>
      <c r="G7" s="43" t="n">
        <v>0.25</v>
      </c>
      <c r="H7" s="43" t="n">
        <v>0.25</v>
      </c>
      <c r="I7" s="7" t="inlineStr">
        <is>
          <t>01.01.2025</t>
        </is>
      </c>
      <c r="J7" s="7" t="inlineStr">
        <is>
          <t>KVK md.32</t>
        </is>
      </c>
      <c r="K7" s="37">
        <f>IF($A7="","",IFERROR(CHOOSE(MAX(1,MIN(3,IF(OR(hesapYili="",hesapYili=0),1,hesapYili-akv_yilTaban))),$F7,$G7,$H7),0))</f>
        <v/>
      </c>
    </row>
    <row r="8">
      <c r="A8" s="7" t="inlineStr">
        <is>
          <t>AKV-002</t>
        </is>
      </c>
      <c r="B8" s="7" t="inlineStr">
        <is>
          <t>KVK 32/C</t>
        </is>
      </c>
      <c r="C8" s="7" t="inlineStr">
        <is>
          <t>asgari_taban_matrah</t>
        </is>
      </c>
      <c r="D8" s="7" t="inlineStr">
        <is>
          <t>her zaman</t>
        </is>
      </c>
      <c r="E8" s="7" t="inlineStr">
        <is>
          <t>asgari_taban_matrah</t>
        </is>
      </c>
      <c r="F8" s="44" t="n">
        <v>0</v>
      </c>
      <c r="G8" s="44" t="n">
        <v>0</v>
      </c>
      <c r="H8" s="44" t="n">
        <v>0</v>
      </c>
      <c r="I8" s="7" t="inlineStr">
        <is>
          <t>01.01.2025</t>
        </is>
      </c>
      <c r="J8" s="7" t="inlineStr">
        <is>
          <t>KVK 32/C</t>
        </is>
      </c>
      <c r="K8" s="37">
        <f>IF($A8="","",IFERROR(CHOOSE(MAX(1,MIN(3,IF(OR(hesapYili="",hesapYili=0),1,hesapYili-akv_yilTaban))),$F8,$G8,$H8),0))</f>
        <v/>
      </c>
    </row>
    <row r="9">
      <c r="A9" s="7" t="inlineStr">
        <is>
          <t>AKV-003</t>
        </is>
      </c>
      <c r="B9" s="7" t="inlineStr">
        <is>
          <t>KVK 32/C-3</t>
        </is>
      </c>
      <c r="C9" s="7" t="inlineStr">
        <is>
          <t>asgari_oran</t>
        </is>
      </c>
      <c r="D9" s="7" t="inlineStr">
        <is>
          <t>kurumlar_matrah&gt;0</t>
        </is>
      </c>
      <c r="E9" s="7" t="inlineStr">
        <is>
          <t>asgari_oran</t>
        </is>
      </c>
      <c r="F9" s="43" t="n">
        <v>0.1</v>
      </c>
      <c r="G9" s="43" t="n">
        <v>0.1</v>
      </c>
      <c r="H9" s="43" t="n">
        <v>0.1</v>
      </c>
      <c r="I9" s="7" t="inlineStr">
        <is>
          <t>01.01.2025</t>
        </is>
      </c>
      <c r="J9" s="7" t="inlineStr">
        <is>
          <t>7524 s.K. md.36</t>
        </is>
      </c>
      <c r="K9" s="37">
        <f>IF($A9="","",IFERROR(CHOOSE(MAX(1,MIN(3,IF(OR(hesapYili="",hesapYili=0),1,hesapYili-akv_yilTaban))),$F9,$G9,$H9),0))</f>
        <v/>
      </c>
    </row>
    <row r="10">
      <c r="A10" s="7" t="inlineStr">
        <is>
          <t>AKV-004</t>
        </is>
      </c>
      <c r="B10" s="7" t="inlineStr">
        <is>
          <t>KVK 32/C</t>
        </is>
      </c>
      <c r="C10" s="7" t="inlineStr">
        <is>
          <t>tamamlayici_hesap</t>
        </is>
      </c>
      <c r="D10" s="7" t="inlineStr">
        <is>
          <t>asgari&gt;ödenen</t>
        </is>
      </c>
      <c r="E10" s="7" t="inlineStr">
        <is>
          <t>tamamlayici_bayrak</t>
        </is>
      </c>
      <c r="F10" s="44" t="n">
        <v>1</v>
      </c>
      <c r="G10" s="44" t="n">
        <v>1</v>
      </c>
      <c r="H10" s="44" t="n">
        <v>1</v>
      </c>
      <c r="I10" s="7" t="inlineStr">
        <is>
          <t>01.01.2025</t>
        </is>
      </c>
      <c r="J10" s="7" t="inlineStr">
        <is>
          <t>KVK 32/C</t>
        </is>
      </c>
      <c r="K10" s="37">
        <f>IF($A10="","",IFERROR(CHOOSE(MAX(1,MIN(3,IF(OR(hesapYili="",hesapYili=0),1,hesapYili-akv_yilTaban))),$F10,$G10,$H10),0))</f>
        <v/>
      </c>
    </row>
    <row r="11">
      <c r="A11" s="7" t="inlineStr">
        <is>
          <t>AKV-005</t>
        </is>
      </c>
      <c r="B11" s="7" t="inlineStr">
        <is>
          <t>Genel</t>
        </is>
      </c>
      <c r="C11" s="7" t="inlineStr">
        <is>
          <t>yuvarlama</t>
        </is>
      </c>
      <c r="D11" s="7" t="inlineStr">
        <is>
          <t>her hesap</t>
        </is>
      </c>
      <c r="E11" s="7" t="inlineStr">
        <is>
          <t>yuvarlama_ondalik</t>
        </is>
      </c>
      <c r="F11" s="44" t="n">
        <v>2</v>
      </c>
      <c r="G11" s="44" t="n">
        <v>2</v>
      </c>
      <c r="H11" s="44" t="n">
        <v>2</v>
      </c>
      <c r="I11" s="7" t="inlineStr">
        <is>
          <t>01.01.2025</t>
        </is>
      </c>
      <c r="J11" s="7" t="inlineStr">
        <is>
          <t>Uygulama notu</t>
        </is>
      </c>
      <c r="K11" s="37">
        <f>IF($A11="","",IFERROR(CHOOSE(MAX(1,MIN(3,IF(OR(hesapYili="",hesapYili=0),1,hesapYili-akv_yilTaban))),$F11,$G11,$H11),0))</f>
        <v/>
      </c>
    </row>
    <row r="14">
      <c r="A14" s="10" t="inlineStr">
        <is>
          <t>Kural-yıl matrisi özeti</t>
        </is>
      </c>
    </row>
    <row r="15">
      <c r="A15" s="7" t="inlineStr">
        <is>
          <t>Asgari oran (aktif yıl)</t>
        </is>
      </c>
      <c r="B15" s="25">
        <f>IFERROR(INDEX(CHOOSE(MAX(1,MIN(3,IF(OR(hesapYili="",hesapYili=0),1,hesapYili-akv_yilTaban))),tblKurallar[deger_2025],tblKurallar[deger_2026],tblKurallar[deger_2027]),MATCH("AKV-003",tblKurallar[kural_id],0)),0)</f>
        <v/>
      </c>
    </row>
    <row r="16">
      <c r="A16" s="7" t="inlineStr">
        <is>
          <t>Genel KV oranı (aktif yıl)</t>
        </is>
      </c>
      <c r="B16" s="25">
        <f>IFERROR(INDEX(CHOOSE(MAX(1,MIN(3,IF(OR(hesapYili="",hesapYili=0),1,hesapYili-akv_yilTaban))),tblKurallar[deger_2025],tblKurallar[deger_2026],tblKurallar[deger_2027]),MATCH("AKV-001",tblKurallar[kural_id],0)),0)</f>
        <v/>
      </c>
    </row>
    <row r="17">
      <c r="A17" s="7" t="inlineStr">
        <is>
          <t>Matris metni</t>
        </is>
      </c>
      <c r="B17" s="21">
        <f>_xlfn.TEXTJOIN(" | ",TRUE,"AKV-001=",TEXT(B16,"0.0%"),"AKV-003=",TEXT(B15,"0.0%"),"yıl=",hesapYili)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K4"/>
    <mergeCell ref="A1:AD1"/>
    <mergeCell ref="A3:K3"/>
  </mergeCells>
  <dataValidations count="3">
    <dataValidation sqref="F7:F11" showDropDown="0" showInputMessage="1" showErrorMessage="1" allowBlank="1" errorTitle="Geçersiz" error="0 ile 1 arasında veya tamsayı." promptTitle="Kural değeri" prompt="Yıl kolonuna sayısal parametre girin." type="decimal" errorStyle="stop" operator="between">
      <formula1>0</formula1>
      <formula2>1</formula2>
    </dataValidation>
    <dataValidation sqref="G7:G11" showDropDown="0" showInputMessage="1" showErrorMessage="1" allowBlank="1" errorTitle="Geçersiz" error="0 ile 1 arasında veya tamsayı." promptTitle="Kural değeri" prompt="Yıl kolonuna sayısal parametre girin." type="decimal" errorStyle="stop" operator="between">
      <formula1>0</formula1>
      <formula2>1</formula2>
    </dataValidation>
    <dataValidation sqref="H7:H11" showDropDown="0" showInputMessage="1" showErrorMessage="1" allowBlank="1" errorTitle="Geçersiz" error="0 ile 1 arasında veya tamsayı." promptTitle="Kural değeri" prompt="Yıl kolonuna sayısal parametre girin." type="decimal" errorStyle="stop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8064A2"/>
    <outlinePr summaryBelow="1" summaryRight="1"/>
    <pageSetUpPr/>
  </sheetPr>
  <dimension ref="A1:AD5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Asgari Kurumlar Vergisi Simülasyon Motoru</t>
        </is>
      </c>
    </row>
    <row r="3">
      <c r="A3" s="42" t="inlineStr">
        <is>
          <t>Hesap zinciri — her adımda kural_id</t>
        </is>
      </c>
    </row>
    <row r="4">
      <c r="A4" s="4" t="inlineStr">
        <is>
          <t>Oranlar tblKurallar'dan çekilir; sabit oran yoktur.</t>
        </is>
      </c>
    </row>
    <row r="6" ht="30" customHeight="1">
      <c r="A6" s="22" t="inlineStr">
        <is>
          <t>adim</t>
        </is>
      </c>
      <c r="B6" s="22" t="inlineStr">
        <is>
          <t>ad</t>
        </is>
      </c>
      <c r="C6" s="22" t="inlineStr">
        <is>
          <t>formul</t>
        </is>
      </c>
      <c r="D6" s="22" t="inlineStr">
        <is>
          <t>birim</t>
        </is>
      </c>
      <c r="E6" s="22" t="inlineStr">
        <is>
          <t>ne_ise_yarar</t>
        </is>
      </c>
      <c r="F6" s="22" t="inlineStr">
        <is>
          <t>kural_id</t>
        </is>
      </c>
      <c r="G6" s="22" t="inlineStr">
        <is>
          <t>deger</t>
        </is>
      </c>
    </row>
    <row r="7">
      <c r="A7" s="45" t="n">
        <v>1</v>
      </c>
      <c r="B7" s="24" t="inlineStr">
        <is>
          <t>Hesap yılı oku</t>
        </is>
      </c>
      <c r="C7" s="46">
        <f>IFERROR(hesapYili,0)</f>
        <v/>
      </c>
      <c r="D7" s="47" t="inlineStr">
        <is>
          <t>yıl</t>
        </is>
      </c>
      <c r="E7" s="6" t="inlineStr">
        <is>
          <t>Aktif mevzuat yılı</t>
        </is>
      </c>
      <c r="F7" s="23" t="inlineStr">
        <is>
          <t>AKV-005</t>
        </is>
      </c>
      <c r="G7" s="35">
        <f>IFERROR(hesapYili,0)</f>
        <v/>
      </c>
    </row>
    <row r="8">
      <c r="A8" s="45" t="n">
        <v>2</v>
      </c>
      <c r="B8" s="24" t="inlineStr">
        <is>
          <t>Genel KV oranı</t>
        </is>
      </c>
      <c r="C8" s="48">
        <f>IFERROR(INDEX(CHOOSE(MAX(1,MIN(3,IF(OR(hesapYili="",hesapYili=0),1,hesapYili-akv_yilTaban))),tblKurallar[deger_2025],tblKurallar[deger_2026],tblKurallar[deger_2027]),MATCH("AKV-001",tblKurallar[kural_id],0)),0)</f>
        <v/>
      </c>
      <c r="D8" s="47" t="inlineStr">
        <is>
          <t>oran</t>
        </is>
      </c>
      <c r="E8" s="6" t="inlineStr">
        <is>
          <t>KVK md.32 oranı</t>
        </is>
      </c>
      <c r="F8" s="23" t="inlineStr">
        <is>
          <t>AKV-001</t>
        </is>
      </c>
      <c r="G8" s="25">
        <f>IFERROR(INDEX(CHOOSE(MAX(1,MIN(3,IF(OR(hesapYili="",hesapYili=0),1,hesapYili-akv_yilTaban))),tblKurallar[deger_2025],tblKurallar[deger_2026],tblKurallar[deger_2027]),MATCH("AKV-001",tblKurallar[kural_id],0)),0)</f>
        <v/>
      </c>
    </row>
    <row r="9">
      <c r="A9" s="45" t="n">
        <v>3</v>
      </c>
      <c r="B9" s="24" t="inlineStr">
        <is>
          <t>Asgari taban matrah</t>
        </is>
      </c>
      <c r="C9" s="49">
        <f>IFERROR(INDEX(CHOOSE(MAX(1,MIN(3,IF(OR(hesapYili="",hesapYili=0),1,hesapYili-akv_yilTaban))),tblKurallar[deger_2025],tblKurallar[deger_2026],tblKurallar[deger_2027]),MATCH("AKV-002",tblKurallar[kural_id],0)),0)</f>
        <v/>
      </c>
      <c r="D9" s="47" t="inlineStr">
        <is>
          <t>TL</t>
        </is>
      </c>
      <c r="E9" s="6" t="inlineStr">
        <is>
          <t>Taban matrah eşiği</t>
        </is>
      </c>
      <c r="F9" s="23" t="inlineStr">
        <is>
          <t>AKV-002</t>
        </is>
      </c>
      <c r="G9" s="26">
        <f>IFERROR(INDEX(CHOOSE(MAX(1,MIN(3,IF(OR(hesapYili="",hesapYili=0),1,hesapYili-akv_yilTaban))),tblKurallar[deger_2025],tblKurallar[deger_2026],tblKurallar[deger_2027]),MATCH("AKV-002",tblKurallar[kural_id],0)),0)</f>
        <v/>
      </c>
    </row>
    <row r="10">
      <c r="A10" s="45" t="n">
        <v>4</v>
      </c>
      <c r="B10" s="24" t="inlineStr">
        <is>
          <t>Asgari oran</t>
        </is>
      </c>
      <c r="C10" s="48">
        <f>IFERROR(INDEX(CHOOSE(MAX(1,MIN(3,IF(OR(hesapYili="",hesapYili=0),1,hesapYili-akv_yilTaban))),tblKurallar[deger_2025],tblKurallar[deger_2026],tblKurallar[deger_2027]),MATCH("AKV-003",tblKurallar[kural_id],0)),0)</f>
        <v/>
      </c>
      <c r="D10" s="47" t="inlineStr">
        <is>
          <t>oran</t>
        </is>
      </c>
      <c r="E10" s="6" t="inlineStr">
        <is>
          <t>Asgari KV oranı</t>
        </is>
      </c>
      <c r="F10" s="23" t="inlineStr">
        <is>
          <t>AKV-003</t>
        </is>
      </c>
      <c r="G10" s="25">
        <f>IFERROR(INDEX(CHOOSE(MAX(1,MIN(3,IF(OR(hesapYili="",hesapYili=0),1,hesapYili-akv_yilTaban))),tblKurallar[deger_2025],tblKurallar[deger_2026],tblKurallar[deger_2027]),MATCH("AKV-003",tblKurallar[kural_id],0)),0)</f>
        <v/>
      </c>
    </row>
    <row r="11">
      <c r="A11" s="45" t="n">
        <v>5</v>
      </c>
      <c r="B11" s="24" t="inlineStr">
        <is>
          <t>Tamamlayıcı bayrak</t>
        </is>
      </c>
      <c r="C11" s="46">
        <f>IFERROR(INDEX(CHOOSE(MAX(1,MIN(3,IF(OR(hesapYili="",hesapYili=0),1,hesapYili-akv_yilTaban))),tblKurallar[deger_2025],tblKurallar[deger_2026],tblKurallar[deger_2027]),MATCH("AKV-004",tblKurallar[kural_id],0)),0)</f>
        <v/>
      </c>
      <c r="D11" s="47" t="inlineStr">
        <is>
          <t>bayrak</t>
        </is>
      </c>
      <c r="E11" s="6" t="inlineStr">
        <is>
          <t>Tamamlayıcı hesap açık mı</t>
        </is>
      </c>
      <c r="F11" s="23" t="inlineStr">
        <is>
          <t>AKV-004</t>
        </is>
      </c>
      <c r="G11" s="35">
        <f>IFERROR(INDEX(CHOOSE(MAX(1,MIN(3,IF(OR(hesapYili="",hesapYili=0),1,hesapYili-akv_yilTaban))),tblKurallar[deger_2025],tblKurallar[deger_2026],tblKurallar[deger_2027]),MATCH("AKV-004",tblKurallar[kural_id],0)),0)</f>
        <v/>
      </c>
    </row>
    <row r="12">
      <c r="A12" s="45" t="n">
        <v>6</v>
      </c>
      <c r="B12" s="24" t="inlineStr">
        <is>
          <t>Yuvarlama ondalık</t>
        </is>
      </c>
      <c r="C12" s="46">
        <f>IFERROR(INDEX(CHOOSE(MAX(1,MIN(3,IF(OR(hesapYili="",hesapYili=0),1,hesapYili-akv_yilTaban))),tblKurallar[deger_2025],tblKurallar[deger_2026],tblKurallar[deger_2027]),MATCH("AKV-005",tblKurallar[kural_id],0)),0)</f>
        <v/>
      </c>
      <c r="D12" s="47" t="inlineStr">
        <is>
          <t>adet</t>
        </is>
      </c>
      <c r="E12" s="6" t="inlineStr">
        <is>
          <t>Yuvarlama basamağı</t>
        </is>
      </c>
      <c r="F12" s="23" t="inlineStr">
        <is>
          <t>AKV-005</t>
        </is>
      </c>
      <c r="G12" s="35">
        <f>IFERROR(INDEX(CHOOSE(MAX(1,MIN(3,IF(OR(hesapYili="",hesapYili=0),1,hesapYili-akv_yilTaban))),tblKurallar[deger_2025],tblKurallar[deger_2026],tblKurallar[deger_2027]),MATCH("AKV-005",tblKurallar[kural_id],0)),0)</f>
        <v/>
      </c>
    </row>
    <row r="13">
      <c r="A13" s="45" t="n">
        <v>7</v>
      </c>
      <c r="B13" s="24" t="inlineStr">
        <is>
          <t>Ticari kâr</t>
        </is>
      </c>
      <c r="C13" s="49">
        <f>IFERROR(GIRDI!B9,0)</f>
        <v/>
      </c>
      <c r="D13" s="47" t="inlineStr">
        <is>
          <t>TL</t>
        </is>
      </c>
      <c r="E13" s="6" t="inlineStr">
        <is>
          <t>Ham ticari kâr</t>
        </is>
      </c>
      <c r="F13" s="23" t="inlineStr">
        <is>
          <t>AKV-001</t>
        </is>
      </c>
      <c r="G13" s="26">
        <f>IFERROR(GIRDI!B9,0)</f>
        <v/>
      </c>
    </row>
    <row r="14">
      <c r="A14" s="45" t="n">
        <v>8</v>
      </c>
      <c r="B14" s="24" t="inlineStr">
        <is>
          <t>Kanunen kabul edilmeyen</t>
        </is>
      </c>
      <c r="C14" s="49">
        <f>IFERROR(GIRDI!B10,0)</f>
        <v/>
      </c>
      <c r="D14" s="47" t="inlineStr">
        <is>
          <t>TL</t>
        </is>
      </c>
      <c r="E14" s="6" t="inlineStr">
        <is>
          <t>KKEG eklemesi</t>
        </is>
      </c>
      <c r="F14" s="23" t="inlineStr">
        <is>
          <t>AKV-001</t>
        </is>
      </c>
      <c r="G14" s="26">
        <f>IFERROR(GIRDI!B10,0)</f>
        <v/>
      </c>
    </row>
    <row r="15">
      <c r="A15" s="45" t="n">
        <v>9</v>
      </c>
      <c r="B15" s="24" t="inlineStr">
        <is>
          <t>İstisnalar</t>
        </is>
      </c>
      <c r="C15" s="49">
        <f>IFERROR(GIRDI!B11,0)</f>
        <v/>
      </c>
      <c r="D15" s="47" t="inlineStr">
        <is>
          <t>TL</t>
        </is>
      </c>
      <c r="E15" s="6" t="inlineStr">
        <is>
          <t>İstisna düşümü</t>
        </is>
      </c>
      <c r="F15" s="23" t="inlineStr">
        <is>
          <t>AKV-002</t>
        </is>
      </c>
      <c r="G15" s="26">
        <f>IFERROR(GIRDI!B11,0)</f>
        <v/>
      </c>
    </row>
    <row r="16">
      <c r="A16" s="45" t="n">
        <v>10</v>
      </c>
      <c r="B16" s="24" t="inlineStr">
        <is>
          <t>İndirimler</t>
        </is>
      </c>
      <c r="C16" s="49">
        <f>IFERROR(GIRDI!B12,0)</f>
        <v/>
      </c>
      <c r="D16" s="47" t="inlineStr">
        <is>
          <t>TL</t>
        </is>
      </c>
      <c r="E16" s="6" t="inlineStr">
        <is>
          <t>İndirim düşümü</t>
        </is>
      </c>
      <c r="F16" s="23" t="inlineStr">
        <is>
          <t>AKV-002</t>
        </is>
      </c>
      <c r="G16" s="26">
        <f>IFERROR(GIRDI!B12,0)</f>
        <v/>
      </c>
    </row>
    <row r="17">
      <c r="A17" s="45" t="n">
        <v>11</v>
      </c>
      <c r="B17" s="24" t="inlineStr">
        <is>
          <t>Matrah ham</t>
        </is>
      </c>
      <c r="C17" s="49">
        <f>IFERROR(G13+G14-G15-G16,0)</f>
        <v/>
      </c>
      <c r="D17" s="47" t="inlineStr">
        <is>
          <t>TL</t>
        </is>
      </c>
      <c r="E17" s="6" t="inlineStr">
        <is>
          <t>Bileşenlerden matrah</t>
        </is>
      </c>
      <c r="F17" s="23" t="inlineStr">
        <is>
          <t>AKV-002</t>
        </is>
      </c>
      <c r="G17" s="26">
        <f>IFERROR(G13+G14-G15-G16,0)</f>
        <v/>
      </c>
    </row>
    <row r="18">
      <c r="A18" s="45" t="n">
        <v>12</v>
      </c>
      <c r="B18" s="24" t="inlineStr">
        <is>
          <t>Matrah taban kontrol</t>
        </is>
      </c>
      <c r="C18" s="49">
        <f>IFERROR(MAX(G17,G9),0)</f>
        <v/>
      </c>
      <c r="D18" s="47" t="inlineStr">
        <is>
          <t>TL</t>
        </is>
      </c>
      <c r="E18" s="6" t="inlineStr">
        <is>
          <t>Taban ile karşılaştır</t>
        </is>
      </c>
      <c r="F18" s="23" t="inlineStr">
        <is>
          <t>AKV-002</t>
        </is>
      </c>
      <c r="G18" s="26">
        <f>IFERROR(MAX(G17,G9),0)</f>
        <v/>
      </c>
    </row>
    <row r="19">
      <c r="A19" s="45" t="n">
        <v>13</v>
      </c>
      <c r="B19" s="24" t="inlineStr">
        <is>
          <t>Kurumlar matrahı</t>
        </is>
      </c>
      <c r="C19" s="49">
        <f>IFERROR(ROUND(G18,MAX(0,MIN(akv_yuvarMax,IFERROR(N(G12),0)))),0)</f>
        <v/>
      </c>
      <c r="D19" s="47" t="inlineStr">
        <is>
          <t>TL</t>
        </is>
      </c>
      <c r="E19" s="6" t="inlineStr">
        <is>
          <t>Yuvarlanmış matrah</t>
        </is>
      </c>
      <c r="F19" s="23" t="inlineStr">
        <is>
          <t>AKV-005</t>
        </is>
      </c>
      <c r="G19" s="26">
        <f>IFERROR(ROUND(G18,MAX(0,MIN(akv_yuvarMax,IFERROR(N(G12),0)))),0)</f>
        <v/>
      </c>
    </row>
    <row r="20">
      <c r="A20" s="45" t="n">
        <v>14</v>
      </c>
      <c r="B20" s="24" t="inlineStr">
        <is>
          <t>Ödenen KV</t>
        </is>
      </c>
      <c r="C20" s="49">
        <f>IFERROR(GIRDI!B13,0)</f>
        <v/>
      </c>
      <c r="D20" s="47" t="inlineStr">
        <is>
          <t>TL</t>
        </is>
      </c>
      <c r="E20" s="6" t="inlineStr">
        <is>
          <t>Ödenen/tahakkuk KV</t>
        </is>
      </c>
      <c r="F20" s="23" t="inlineStr">
        <is>
          <t>AKV-001</t>
        </is>
      </c>
      <c r="G20" s="26">
        <f>IFERROR(GIRDI!B13,0)</f>
        <v/>
      </c>
    </row>
    <row r="21">
      <c r="A21" s="45" t="n">
        <v>15</v>
      </c>
      <c r="B21" s="24" t="inlineStr">
        <is>
          <t>Normal KV (referans)</t>
        </is>
      </c>
      <c r="C21" s="49">
        <f>IFERROR(ROUND(G19*G8,MAX(0,MIN(akv_yuvarMax,IFERROR(N(G12),0)))),0)</f>
        <v/>
      </c>
      <c r="D21" s="47" t="inlineStr">
        <is>
          <t>TL</t>
        </is>
      </c>
      <c r="E21" s="6" t="inlineStr">
        <is>
          <t>Genel oranlı KV</t>
        </is>
      </c>
      <c r="F21" s="23" t="inlineStr">
        <is>
          <t>AKV-001</t>
        </is>
      </c>
      <c r="G21" s="26">
        <f>IFERROR(ROUND(G19*G8,MAX(0,MIN(akv_yuvarMax,IFERROR(N(G12),0)))),0)</f>
        <v/>
      </c>
    </row>
    <row r="22">
      <c r="A22" s="45" t="n">
        <v>16</v>
      </c>
      <c r="B22" s="24" t="inlineStr">
        <is>
          <t>Asgari KV</t>
        </is>
      </c>
      <c r="C22" s="49">
        <f>IFERROR(ROUND(G19*G10,MAX(0,MIN(akv_yuvarMax,IFERROR(N(G12),0)))),0)</f>
        <v/>
      </c>
      <c r="D22" s="47" t="inlineStr">
        <is>
          <t>TL</t>
        </is>
      </c>
      <c r="E22" s="6" t="inlineStr">
        <is>
          <t>Matrah × asgari oran</t>
        </is>
      </c>
      <c r="F22" s="23" t="inlineStr">
        <is>
          <t>AKV-003</t>
        </is>
      </c>
      <c r="G22" s="26">
        <f>IFERROR(ROUND(G19*G10,MAX(0,MIN(akv_yuvarMax,IFERROR(N(G12),0)))),0)</f>
        <v/>
      </c>
    </row>
    <row r="23">
      <c r="A23" s="45" t="n">
        <v>17</v>
      </c>
      <c r="B23" s="24" t="inlineStr">
        <is>
          <t>Fark ham</t>
        </is>
      </c>
      <c r="C23" s="49">
        <f>IFERROR(G22-G20,0)</f>
        <v/>
      </c>
      <c r="D23" s="47" t="inlineStr">
        <is>
          <t>TL</t>
        </is>
      </c>
      <c r="E23" s="6" t="inlineStr">
        <is>
          <t>Asgari − ödenen</t>
        </is>
      </c>
      <c r="F23" s="23" t="inlineStr">
        <is>
          <t>AKV-004</t>
        </is>
      </c>
      <c r="G23" s="26">
        <f>IFERROR(G22-G20,0)</f>
        <v/>
      </c>
    </row>
    <row r="24">
      <c r="A24" s="45" t="n">
        <v>18</v>
      </c>
      <c r="B24" s="24" t="inlineStr">
        <is>
          <t>Fark (sıfır altı yok)</t>
        </is>
      </c>
      <c r="C24" s="49">
        <f>IFERROR(MAX(0,G23),0)</f>
        <v/>
      </c>
      <c r="D24" s="47" t="inlineStr">
        <is>
          <t>TL</t>
        </is>
      </c>
      <c r="E24" s="6" t="inlineStr">
        <is>
          <t>Tamamlayıcı tutar</t>
        </is>
      </c>
      <c r="F24" s="23" t="inlineStr">
        <is>
          <t>AKV-004</t>
        </is>
      </c>
      <c r="G24" s="26">
        <f>IFERROR(MAX(0,G23),0)</f>
        <v/>
      </c>
    </row>
    <row r="25">
      <c r="A25" s="45" t="n">
        <v>19</v>
      </c>
      <c r="B25" s="24" t="inlineStr">
        <is>
          <t>Tamamlayıcı uygulanır mı</t>
        </is>
      </c>
      <c r="C25" s="46">
        <f>IFERROR(IF(AND(G11=1,G24&gt;0),1,0),0)</f>
        <v/>
      </c>
      <c r="D25" s="47" t="inlineStr">
        <is>
          <t>bayrak</t>
        </is>
      </c>
      <c r="E25" s="6" t="inlineStr">
        <is>
          <t>Bayrak × fark</t>
        </is>
      </c>
      <c r="F25" s="23" t="inlineStr">
        <is>
          <t>AKV-004</t>
        </is>
      </c>
      <c r="G25" s="35">
        <f>IFERROR(IF(AND(G11=1,G24&gt;0),1,0),0)</f>
        <v/>
      </c>
    </row>
    <row r="26">
      <c r="A26" s="45" t="n">
        <v>20</v>
      </c>
      <c r="B26" s="24" t="inlineStr">
        <is>
          <t>Karar kodu</t>
        </is>
      </c>
      <c r="C26" s="21">
        <f>IFERROR(IF(COUNTA(tblGirdi[Alan Anahtarı])=0,"VERI_YOK",IF(G24=0,"EK_YOK","FARK")),"")</f>
        <v/>
      </c>
      <c r="D26" s="47" t="inlineStr">
        <is>
          <t>kod</t>
        </is>
      </c>
      <c r="E26" s="6" t="inlineStr">
        <is>
          <t>Karar kodu</t>
        </is>
      </c>
      <c r="F26" s="23" t="inlineStr">
        <is>
          <t>AKV-004</t>
        </is>
      </c>
      <c r="G26" s="27">
        <f>IFERROR(IF(COUNTA(tblGirdi[Alan Anahtarı])=0,"VERI_YOK",IF(G24=0,"EK_YOK","FARK")),"")</f>
        <v/>
      </c>
    </row>
    <row r="27">
      <c r="A27" s="45" t="n">
        <v>21</v>
      </c>
      <c r="B27" s="24" t="inlineStr">
        <is>
          <t>Karar metni</t>
        </is>
      </c>
      <c r="C27" s="21">
        <f>IFERROR(IF(G26="VERI_YOK","VERİ YOK",IF(G26="EK_YOK","EK VERGİ YOK / UYGUN","FARK HESAPLA / DİKKAT")),"")</f>
        <v/>
      </c>
      <c r="D27" s="47" t="inlineStr">
        <is>
          <t>metin</t>
        </is>
      </c>
      <c r="E27" s="6" t="inlineStr">
        <is>
          <t>Kullanıcıya karar</t>
        </is>
      </c>
      <c r="F27" s="23" t="inlineStr">
        <is>
          <t>AKV-004</t>
        </is>
      </c>
      <c r="G27" s="27">
        <f>IFERROR(IF(G26="VERI_YOK","VERİ YOK",IF(G26="EK_YOK","EK VERGİ YOK / UYGUN","FARK HESAPLA / DİKKAT")),"")</f>
        <v/>
      </c>
    </row>
    <row r="28">
      <c r="A28" s="45" t="n">
        <v>22</v>
      </c>
      <c r="B28" s="24" t="inlineStr">
        <is>
          <t>Gerekçe</t>
        </is>
      </c>
      <c r="C28" s="21">
        <f>IFERROR(IF(G26="VERI_YOK","Giriş tablosu boş — hesap yapılamaz.",IF(G26="EK_YOK","Ödenen KV asgari tutarı karşılıyor; ek vergi yok.","Ödenen KV asgari tutarın altında; tamamlayıcı fark hesaplandı.")),"")</f>
        <v/>
      </c>
      <c r="D28" s="47" t="inlineStr">
        <is>
          <t>metin</t>
        </is>
      </c>
      <c r="E28" s="6" t="inlineStr">
        <is>
          <t>Gerekçe cümlesi</t>
        </is>
      </c>
      <c r="F28" s="23" t="inlineStr">
        <is>
          <t>AKV-004</t>
        </is>
      </c>
      <c r="G28" s="27">
        <f>IFERROR(IF(G26="VERI_YOK","Giriş tablosu boş — hesap yapılamaz.",IF(G26="EK_YOK","Ödenen KV asgari tutarı karşılıyor; ek vergi yok.","Ödenen KV asgari tutarın altında; tamamlayıcı fark hesaplandı.")),"")</f>
        <v/>
      </c>
    </row>
    <row r="29">
      <c r="A29" s="45" t="n">
        <v>23</v>
      </c>
      <c r="B29" s="24" t="inlineStr">
        <is>
          <t>Ödenen / asgari oranı</t>
        </is>
      </c>
      <c r="C29" s="48">
        <f>IFERROR(IF(G22=0,0,G20/G22),0)</f>
        <v/>
      </c>
      <c r="D29" s="47" t="inlineStr">
        <is>
          <t>oran</t>
        </is>
      </c>
      <c r="E29" s="6" t="inlineStr">
        <is>
          <t>Karşılama oranı</t>
        </is>
      </c>
      <c r="F29" s="23" t="inlineStr">
        <is>
          <t>AKV-003</t>
        </is>
      </c>
      <c r="G29" s="25">
        <f>IFERROR(IF(G22=0,0,G20/G22),0)</f>
        <v/>
      </c>
    </row>
    <row r="30">
      <c r="A30" s="45" t="n">
        <v>24</v>
      </c>
      <c r="B30" s="24" t="inlineStr">
        <is>
          <t>Fark / matrah</t>
        </is>
      </c>
      <c r="C30" s="48">
        <f>IFERROR(IF(G19=0,0,G24/G19),0)</f>
        <v/>
      </c>
      <c r="D30" s="47" t="inlineStr">
        <is>
          <t>oran</t>
        </is>
      </c>
      <c r="E30" s="6" t="inlineStr">
        <is>
          <t>Fark yoğunluğu</t>
        </is>
      </c>
      <c r="F30" s="23" t="inlineStr">
        <is>
          <t>AKV-003</t>
        </is>
      </c>
      <c r="G30" s="25">
        <f>IFERROR(IF(G19=0,0,G24/G19),0)</f>
        <v/>
      </c>
    </row>
    <row r="31">
      <c r="A31" s="45" t="n">
        <v>25</v>
      </c>
      <c r="B31" s="24" t="inlineStr">
        <is>
          <t>Normal − asgari</t>
        </is>
      </c>
      <c r="C31" s="49">
        <f>IFERROR(G21-G22,0)</f>
        <v/>
      </c>
      <c r="D31" s="47" t="inlineStr">
        <is>
          <t>TL</t>
        </is>
      </c>
      <c r="E31" s="6" t="inlineStr">
        <is>
          <t>Oran farkı tutarı</t>
        </is>
      </c>
      <c r="F31" s="23" t="inlineStr">
        <is>
          <t>AKV-001</t>
        </is>
      </c>
      <c r="G31" s="26">
        <f>IFERROR(G21-G22,0)</f>
        <v/>
      </c>
    </row>
    <row r="32">
      <c r="A32" s="45" t="n">
        <v>26</v>
      </c>
      <c r="B32" s="24" t="inlineStr">
        <is>
          <t>Yorum A etkisi</t>
        </is>
      </c>
      <c r="C32" s="49">
        <f>IFERROR(ROUND((GIRDI!B9+GIRDI!B10-GIRDI!B11*akv_yorumAIstisnaCarpan-GIRDI!B12)*G10,MAX(0,MIN(akv_yuvarMax,IFERROR(N(G12),0)))),0)</f>
        <v/>
      </c>
      <c r="D32" s="47" t="inlineStr">
        <is>
          <t>TL</t>
        </is>
      </c>
      <c r="E32" s="6" t="inlineStr">
        <is>
          <t>Yorum A alternatif matrah asgari</t>
        </is>
      </c>
      <c r="F32" s="23" t="inlineStr">
        <is>
          <t>AKV-003</t>
        </is>
      </c>
      <c r="G32" s="26">
        <f>IFERROR(ROUND((GIRDI!B9+GIRDI!B10-GIRDI!B11*akv_yorumAIstisnaCarpan-GIRDI!B12)*G10,MAX(0,MIN(akv_yuvarMax,IFERROR(N(G12),0)))),0)</f>
        <v/>
      </c>
    </row>
    <row r="33">
      <c r="A33" s="45" t="n">
        <v>27</v>
      </c>
      <c r="B33" s="24" t="inlineStr">
        <is>
          <t>Yorum B etkisi</t>
        </is>
      </c>
      <c r="C33" s="49">
        <f>IFERROR(ROUND((GIRDI!B9+GIRDI!B10-GIRDI!B11-GIRDI!B12)*G10,MAX(0,MIN(akv_yuvarMax,IFERROR(N(G12),0)))),0)</f>
        <v/>
      </c>
      <c r="D33" s="47" t="inlineStr">
        <is>
          <t>TL</t>
        </is>
      </c>
      <c r="E33" s="6" t="inlineStr">
        <is>
          <t>Yorum B (tam istisna)</t>
        </is>
      </c>
      <c r="F33" s="23" t="inlineStr">
        <is>
          <t>AKV-003</t>
        </is>
      </c>
      <c r="G33" s="26">
        <f>IFERROR(ROUND((GIRDI!B9+GIRDI!B10-GIRDI!B11-GIRDI!B12)*G10,MAX(0,MIN(akv_yuvarMax,IFERROR(N(G12),0)))),0)</f>
        <v/>
      </c>
    </row>
    <row r="34">
      <c r="A34" s="45" t="n">
        <v>28</v>
      </c>
      <c r="B34" s="24" t="inlineStr">
        <is>
          <t>Seçili yorum asgari</t>
        </is>
      </c>
      <c r="C34" s="49">
        <f>IFERROR(IF(GIRDI!B14="B",G33,G32),0)</f>
        <v/>
      </c>
      <c r="D34" s="47" t="inlineStr">
        <is>
          <t>TL</t>
        </is>
      </c>
      <c r="E34" s="6" t="inlineStr">
        <is>
          <t>A/B seçimine göre</t>
        </is>
      </c>
      <c r="F34" s="23" t="inlineStr">
        <is>
          <t>AKV-003</t>
        </is>
      </c>
      <c r="G34" s="26">
        <f>IFERROR(IF(GIRDI!B14="B",G33,G32),0)</f>
        <v/>
      </c>
    </row>
    <row r="35">
      <c r="A35" s="45" t="n">
        <v>29</v>
      </c>
      <c r="B35" s="24" t="inlineStr">
        <is>
          <t>Yorum farkı</t>
        </is>
      </c>
      <c r="C35" s="49">
        <f>IFERROR(ABS(G32-G33),0)</f>
        <v/>
      </c>
      <c r="D35" s="47" t="inlineStr">
        <is>
          <t>TL</t>
        </is>
      </c>
      <c r="E35" s="6" t="inlineStr">
        <is>
          <t>Belirsizlik aralığı</t>
        </is>
      </c>
      <c r="F35" s="23" t="inlineStr">
        <is>
          <t>AKV-003</t>
        </is>
      </c>
      <c r="G35" s="26">
        <f>IFERROR(ABS(G32-G33),0)</f>
        <v/>
      </c>
    </row>
    <row r="36">
      <c r="A36" s="45" t="n">
        <v>30</v>
      </c>
      <c r="B36" s="24" t="inlineStr">
        <is>
          <t>Güven skoru</t>
        </is>
      </c>
      <c r="C36" s="46">
        <f>IFERROR(ROUND(IF(COUNTA(GIRDI!B6:B14)=0,0,COUNTA(GIRDI!B6:B14)/COUNTA(GIRDI!B6:B14)*100),0),0)</f>
        <v/>
      </c>
      <c r="D36" s="47" t="inlineStr">
        <is>
          <t>puan</t>
        </is>
      </c>
      <c r="E36" s="6" t="inlineStr">
        <is>
          <t>Giriş bütünlüğü</t>
        </is>
      </c>
      <c r="F36" s="23" t="inlineStr">
        <is>
          <t>AKV-005</t>
        </is>
      </c>
      <c r="G36" s="35">
        <f>IFERROR(ROUND(IF(COUNTA(GIRDI!B6:B14)=0,0,COUNTA(GIRDI!B6:B14)/COUNTA(GIRDI!B6:B14)*100),0),0)</f>
        <v/>
      </c>
    </row>
    <row r="37">
      <c r="A37" s="45" t="n">
        <v>31</v>
      </c>
      <c r="B37" s="24" t="inlineStr">
        <is>
          <t>Risk skoru</t>
        </is>
      </c>
      <c r="C37" s="46">
        <f>IFERROR(IF(G26="VERI_YOK",0,IF(G24=0,akv_riskDusuk,IF(G24/MAX(G22,1)&gt;akv_riskEsikOran,akv_riskYuksek,akv_riskOrta))),0)</f>
        <v/>
      </c>
      <c r="D37" s="47" t="inlineStr">
        <is>
          <t>puan</t>
        </is>
      </c>
      <c r="E37" s="6" t="inlineStr">
        <is>
          <t>Fark riski</t>
        </is>
      </c>
      <c r="F37" s="23" t="inlineStr">
        <is>
          <t>AKV-004</t>
        </is>
      </c>
      <c r="G37" s="35">
        <f>IFERROR(IF(G26="VERI_YOK",0,IF(G24=0,akv_riskDusuk,IF(G24/MAX(G22,1)&gt;akv_riskEsikOran,akv_riskYuksek,akv_riskOrta))),0)</f>
        <v/>
      </c>
    </row>
    <row r="38">
      <c r="A38" s="45" t="n">
        <v>32</v>
      </c>
      <c r="B38" s="24" t="inlineStr">
        <is>
          <t>Senaryo iyimser matrah</t>
        </is>
      </c>
      <c r="C38" s="49">
        <f>IFERROR(G19*akv_senaryoIyi,0)</f>
        <v/>
      </c>
      <c r="D38" s="47" t="inlineStr">
        <is>
          <t>TL</t>
        </is>
      </c>
      <c r="E38" s="6" t="inlineStr">
        <is>
          <t>İyimser matrah</t>
        </is>
      </c>
      <c r="F38" s="23" t="inlineStr">
        <is>
          <t>AKV-002</t>
        </is>
      </c>
      <c r="G38" s="26">
        <f>IFERROR(G19*akv_senaryoIyi,0)</f>
        <v/>
      </c>
    </row>
    <row r="39">
      <c r="A39" s="45" t="n">
        <v>33</v>
      </c>
      <c r="B39" s="24" t="inlineStr">
        <is>
          <t>Senaryo kötümser matrah</t>
        </is>
      </c>
      <c r="C39" s="49">
        <f>IFERROR(G19*akv_senaryoKotu,0)</f>
        <v/>
      </c>
      <c r="D39" s="47" t="inlineStr">
        <is>
          <t>TL</t>
        </is>
      </c>
      <c r="E39" s="6" t="inlineStr">
        <is>
          <t>Kötümser matrah</t>
        </is>
      </c>
      <c r="F39" s="23" t="inlineStr">
        <is>
          <t>AKV-002</t>
        </is>
      </c>
      <c r="G39" s="26">
        <f>IFERROR(G19*akv_senaryoKotu,0)</f>
        <v/>
      </c>
    </row>
    <row r="40">
      <c r="A40" s="45" t="n">
        <v>34</v>
      </c>
      <c r="B40" s="24" t="inlineStr">
        <is>
          <t>İyimser asgari KV</t>
        </is>
      </c>
      <c r="C40" s="49">
        <f>IFERROR(ROUND(G38*G10,MAX(0,MIN(akv_yuvarMax,IFERROR(N(G12),0)))),0)</f>
        <v/>
      </c>
      <c r="D40" s="47" t="inlineStr">
        <is>
          <t>TL</t>
        </is>
      </c>
      <c r="E40" s="6" t="inlineStr">
        <is>
          <t>İyimser asgari</t>
        </is>
      </c>
      <c r="F40" s="23" t="inlineStr">
        <is>
          <t>AKV-003</t>
        </is>
      </c>
      <c r="G40" s="26">
        <f>IFERROR(ROUND(G38*G10,MAX(0,MIN(akv_yuvarMax,IFERROR(N(G12),0)))),0)</f>
        <v/>
      </c>
    </row>
    <row r="41">
      <c r="A41" s="45" t="n">
        <v>35</v>
      </c>
      <c r="B41" s="24" t="inlineStr">
        <is>
          <t>Kötümser asgari KV</t>
        </is>
      </c>
      <c r="C41" s="49">
        <f>IFERROR(ROUND(G39*G10,MAX(0,MIN(akv_yuvarMax,IFERROR(N(G12),0)))),0)</f>
        <v/>
      </c>
      <c r="D41" s="47" t="inlineStr">
        <is>
          <t>TL</t>
        </is>
      </c>
      <c r="E41" s="6" t="inlineStr">
        <is>
          <t>Kötümser asgari</t>
        </is>
      </c>
      <c r="F41" s="23" t="inlineStr">
        <is>
          <t>AKV-003</t>
        </is>
      </c>
      <c r="G41" s="26">
        <f>IFERROR(ROUND(G39*G10,MAX(0,MIN(akv_yuvarMax,IFERROR(N(G12),0)))),0)</f>
        <v/>
      </c>
    </row>
    <row r="42">
      <c r="A42" s="45" t="n">
        <v>36</v>
      </c>
      <c r="B42" s="24" t="inlineStr">
        <is>
          <t>Kural+1 puan asgari</t>
        </is>
      </c>
      <c r="C42" s="49">
        <f>IFERROR(ROUND(IF(OR(COUNTA(GIRDI!B6:B14)=0,akv_girisBeklenen=0),0,COUNTA(GIRDI!B6:B14)/akv_girisBeklenen*100),0),0)</f>
        <v/>
      </c>
      <c r="D42" s="47" t="inlineStr">
        <is>
          <t>TL</t>
        </is>
      </c>
      <c r="E42" s="6" t="inlineStr">
        <is>
          <t>M-SEN +1 puan</t>
        </is>
      </c>
      <c r="F42" s="23" t="inlineStr">
        <is>
          <t>AKV-003</t>
        </is>
      </c>
      <c r="G42" s="26">
        <f>IFERROR(ROUND(IF(OR(COUNTA(GIRDI!B6:B14)=0,akv_girisBeklenen=0),0,COUNTA(GIRDI!B6:B14)/akv_girisBeklenen*100),0),0)</f>
        <v/>
      </c>
    </row>
    <row r="43">
      <c r="A43" s="45" t="n">
        <v>37</v>
      </c>
      <c r="B43" s="24" t="inlineStr">
        <is>
          <t>M-SEN fark</t>
        </is>
      </c>
      <c r="C43" s="49">
        <f>IFERROR(MAX(0,G42-G20),0)</f>
        <v/>
      </c>
      <c r="D43" s="47" t="inlineStr">
        <is>
          <t>TL</t>
        </is>
      </c>
      <c r="E43" s="6" t="inlineStr">
        <is>
          <t>Kural değişimi farkı</t>
        </is>
      </c>
      <c r="F43" s="23" t="inlineStr">
        <is>
          <t>AKV-004</t>
        </is>
      </c>
      <c r="G43" s="26">
        <f>IFERROR(MAX(0,G42-G20),0)</f>
        <v/>
      </c>
    </row>
    <row r="44">
      <c r="A44" s="45" t="n">
        <v>38</v>
      </c>
      <c r="B44" s="24" t="inlineStr">
        <is>
          <t>Tahmin üst</t>
        </is>
      </c>
      <c r="C44" s="49">
        <f>IFERROR(G24*akv_tahminUst,0)</f>
        <v/>
      </c>
      <c r="D44" s="47" t="inlineStr">
        <is>
          <t>TL</t>
        </is>
      </c>
      <c r="E44" s="6" t="inlineStr">
        <is>
          <t>Tahmin üst bant</t>
        </is>
      </c>
      <c r="F44" s="23" t="inlineStr">
        <is>
          <t>AKV-005</t>
        </is>
      </c>
      <c r="G44" s="26">
        <f>IFERROR(G24*akv_tahminUst,0)</f>
        <v/>
      </c>
    </row>
    <row r="45">
      <c r="A45" s="45" t="n">
        <v>39</v>
      </c>
      <c r="B45" s="24" t="inlineStr">
        <is>
          <t>Tahmin alt</t>
        </is>
      </c>
      <c r="C45" s="49">
        <f>IFERROR(G24*akv_tahminAlt,0)</f>
        <v/>
      </c>
      <c r="D45" s="47" t="inlineStr">
        <is>
          <t>TL</t>
        </is>
      </c>
      <c r="E45" s="6" t="inlineStr">
        <is>
          <t>Tahmin alt bant</t>
        </is>
      </c>
      <c r="F45" s="23" t="inlineStr">
        <is>
          <t>AKV-005</t>
        </is>
      </c>
      <c r="G45" s="26">
        <f>IFERROR(G24*akv_tahminAlt,0)</f>
        <v/>
      </c>
    </row>
    <row r="46">
      <c r="A46" s="45" t="n">
        <v>40</v>
      </c>
      <c r="B46" s="24" t="inlineStr">
        <is>
          <t>Tornado: matrah etkisi</t>
        </is>
      </c>
      <c r="C46" s="49">
        <f>IFERROR(ABS(ROUND((G19*akv_tornadoMatrah)*G10,MAX(0,MIN(akv_yuvarMax,IFERROR(N(G12),0))))-G22),0)</f>
        <v/>
      </c>
      <c r="D46" s="47" t="inlineStr">
        <is>
          <t>TL</t>
        </is>
      </c>
      <c r="E46" s="6" t="inlineStr">
        <is>
          <t>Matrah ± etki</t>
        </is>
      </c>
      <c r="F46" s="23" t="inlineStr">
        <is>
          <t>AKV-003</t>
        </is>
      </c>
      <c r="G46" s="26">
        <f>IFERROR(ABS(ROUND((G19*akv_tornadoMatrah)*G10,MAX(0,MIN(akv_yuvarMax,IFERROR(N(G12),0))))-G22),0)</f>
        <v/>
      </c>
    </row>
    <row r="47">
      <c r="A47" s="45" t="n">
        <v>41</v>
      </c>
      <c r="B47" s="24" t="inlineStr">
        <is>
          <t>Tornado: ödenen etkisi</t>
        </is>
      </c>
      <c r="C47" s="49">
        <f>IFERROR(ABS(MAX(0,G22-G20*akv_tornadoOdenen)-G24),0)</f>
        <v/>
      </c>
      <c r="D47" s="47" t="inlineStr">
        <is>
          <t>TL</t>
        </is>
      </c>
      <c r="E47" s="6" t="inlineStr">
        <is>
          <t>Ödenen ± etki</t>
        </is>
      </c>
      <c r="F47" s="23" t="inlineStr">
        <is>
          <t>AKV-004</t>
        </is>
      </c>
      <c r="G47" s="26">
        <f>IFERROR(ABS(MAX(0,G22-G20*akv_tornadoOdenen)-G24),0)</f>
        <v/>
      </c>
    </row>
    <row r="48">
      <c r="A48" s="45" t="n">
        <v>42</v>
      </c>
      <c r="B48" s="24" t="inlineStr">
        <is>
          <t>Tornado: oran etkisi</t>
        </is>
      </c>
      <c r="C48" s="49">
        <f>IFERROR(ABS(ROUND(G19*(G10+akv_oranArtisPuan),MAX(0,MIN(akv_yuvarMax,IFERROR(N(G12),0))))-G22),0)</f>
        <v/>
      </c>
      <c r="D48" s="47" t="inlineStr">
        <is>
          <t>TL</t>
        </is>
      </c>
      <c r="E48" s="6" t="inlineStr">
        <is>
          <t>Oran ± etki</t>
        </is>
      </c>
      <c r="F48" s="23" t="inlineStr">
        <is>
          <t>AKV-003</t>
        </is>
      </c>
      <c r="G48" s="26">
        <f>IFERROR(ABS(ROUND(G19*(G10+akv_oranArtisPuan),MAX(0,MIN(akv_yuvarMax,IFERROR(N(G12),0))))-G22),0)</f>
        <v/>
      </c>
    </row>
    <row r="49">
      <c r="A49" s="45" t="n">
        <v>43</v>
      </c>
      <c r="B49" s="24" t="inlineStr">
        <is>
          <t>Madde atıf özeti</t>
        </is>
      </c>
      <c r="C49" s="21">
        <f>IFERROR(_xlfn.TEXTJOIN(" | ",TRUE,"AKV-001→KVK md.32","AKV-003→KVK 32/C-3","AKV-004→tamamlayıcı"),"")</f>
        <v/>
      </c>
      <c r="D49" s="47" t="inlineStr">
        <is>
          <t>metin</t>
        </is>
      </c>
      <c r="E49" s="6" t="inlineStr">
        <is>
          <t>Kanıt atıfları</t>
        </is>
      </c>
      <c r="F49" s="23" t="inlineStr">
        <is>
          <t>AKV-001</t>
        </is>
      </c>
      <c r="G49" s="27">
        <f>IFERROR(_xlfn.TEXTJOIN(" | ",TRUE,"AKV-001→KVK md.32","AKV-003→KVK 32/C-3","AKV-004→tamamlayıcı"),"")</f>
        <v/>
      </c>
    </row>
    <row r="50">
      <c r="A50" s="45" t="n">
        <v>44</v>
      </c>
      <c r="B50" s="24" t="inlineStr">
        <is>
          <t>Kanıt satır özeti</t>
        </is>
      </c>
      <c r="C50" s="21">
        <f>IFERROR(_xlfn.TEXTJOIN(" · ",TRUE,"Matrah=",TEXT(G19,"₺ #,##0"),"Asgari=",TEXT(G22,"₺ #,##0"),"Fark=",TEXT(G24,"₺ #,##0")),"")</f>
        <v/>
      </c>
      <c r="D50" s="47" t="inlineStr">
        <is>
          <t>metin</t>
        </is>
      </c>
      <c r="E50" s="6" t="inlineStr">
        <is>
          <t>Rapor özeti</t>
        </is>
      </c>
      <c r="F50" s="23" t="inlineStr">
        <is>
          <t>AKV-005</t>
        </is>
      </c>
      <c r="G50" s="27">
        <f>IFERROR(_xlfn.TEXTJOIN(" · ",TRUE,"Matrah=",TEXT(G19,"₺ #,##0"),"Asgari=",TEXT(G22,"₺ #,##0"),"Fark=",TEXT(G24,"₺ #,##0")),"")</f>
        <v/>
      </c>
    </row>
    <row r="52">
      <c r="I52" s="4" t="inlineStr">
        <is>
          <t>Motor adımları kilitlidir; oranlar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7:G50">
    <cfRule type="cellIs" priority="1" operator="lessThan" dxfId="3">
      <formula>0</formula>
    </cfRule>
  </conditionalFormatting>
  <conditionalFormatting sqref="F7:F50">
    <cfRule type="expression" priority="2" dxfId="6">
      <formula>F7="AKV-003"</formula>
    </cfRule>
    <cfRule type="expression" priority="3" dxfId="3">
      <formula>F7="AKV-004"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2" customWidth="1" min="5" max="5"/>
    <col width="14" customWidth="1" min="7" max="7"/>
  </cols>
  <sheetData>
    <row r="1" ht="26" customHeight="1">
      <c r="A1" s="1" t="inlineStr">
        <is>
          <t>SENARYO — Asgari Kurumlar Vergisi Simülasyon Motoru</t>
        </is>
      </c>
    </row>
    <row r="3">
      <c r="A3" s="9" t="inlineStr">
        <is>
          <t>Senaryo ve duyarlılık</t>
        </is>
      </c>
    </row>
    <row r="5">
      <c r="A5" s="50" t="inlineStr">
        <is>
          <t>Senaryo</t>
        </is>
      </c>
      <c r="B5" s="50" t="inlineStr">
        <is>
          <t>Matrah Çarpanı</t>
        </is>
      </c>
      <c r="C5" s="50" t="inlineStr">
        <is>
          <t>Asgari KV</t>
        </is>
      </c>
      <c r="D5" s="50" t="inlineStr">
        <is>
          <t>Fark</t>
        </is>
      </c>
      <c r="E5" s="50" t="inlineStr">
        <is>
          <t>Karar</t>
        </is>
      </c>
      <c r="G5" s="50" t="inlineStr">
        <is>
          <t>FarkDemo</t>
        </is>
      </c>
    </row>
    <row r="6">
      <c r="A6" s="7" t="inlineStr">
        <is>
          <t>İyimser</t>
        </is>
      </c>
      <c r="B6" s="25">
        <f>IFERROR(akv_senaryoIyi+N(GIRDI!B9)*0,0)</f>
        <v/>
      </c>
      <c r="C6" s="26">
        <f>IFERROR(ROUND(IFERROR(akv_matrah,0)*B6*IFERROR(INDEX(tblKurallar[aktif_deger],MATCH("AKV-003",tblKurallar[kural_id],0)),0),2),0)</f>
        <v/>
      </c>
      <c r="D6" s="26">
        <f>IFERROR(MAX(0,C6-IFERROR(akv_odenenKv,0)),0)</f>
        <v/>
      </c>
      <c r="E6" s="27">
        <f>IF(COUNTA(tblGirdi[Alan Anahtarı])=0,"VERİ YOK",IF(D6=0,"EK VERGİ YOK","FARK HESAPLA"))</f>
        <v/>
      </c>
      <c r="G6" s="29" t="n">
        <v>180000</v>
      </c>
    </row>
    <row r="7">
      <c r="A7" s="7" t="inlineStr">
        <is>
          <t>Baz</t>
        </is>
      </c>
      <c r="B7" s="25">
        <f>IFERROR(1+N(GIRDI!B9)*0,1)</f>
        <v/>
      </c>
      <c r="C7" s="26">
        <f>IFERROR(ROUND(IFERROR(akv_matrah,0)*B7*IFERROR(INDEX(tblKurallar[aktif_deger],MATCH("AKV-003",tblKurallar[kural_id],0)),0),2),0)</f>
        <v/>
      </c>
      <c r="D7" s="26">
        <f>IFERROR(MAX(0,C7-IFERROR(akv_odenenKv,0)),0)</f>
        <v/>
      </c>
      <c r="E7" s="27">
        <f>IF(COUNTA(tblGirdi[Alan Anahtarı])=0,"VERİ YOK",IF(D7=0,"EK VERGİ YOK","FARK HESAPLA"))</f>
        <v/>
      </c>
      <c r="G7" s="29" t="n">
        <v>220000</v>
      </c>
    </row>
    <row r="8">
      <c r="A8" s="7" t="inlineStr">
        <is>
          <t>Kötümser</t>
        </is>
      </c>
      <c r="B8" s="25">
        <f>IFERROR(akv_senaryoKotu+N(GIRDI!B9)*0,0)</f>
        <v/>
      </c>
      <c r="C8" s="26">
        <f>IFERROR(ROUND(IFERROR(akv_matrah,0)*B8*IFERROR(INDEX(tblKurallar[aktif_deger],MATCH("AKV-003",tblKurallar[kural_id],0)),0),2),0)</f>
        <v/>
      </c>
      <c r="D8" s="26">
        <f>IFERROR(MAX(0,C8-IFERROR(akv_odenenKv,0)),0)</f>
        <v/>
      </c>
      <c r="E8" s="27">
        <f>IF(COUNTA(tblGirdi[Alan Anahtarı])=0,"VERİ YOK",IF(D8=0,"EK VERGİ YOK","FARK HESAPLA"))</f>
        <v/>
      </c>
      <c r="G8" s="29" t="n">
        <v>320000</v>
      </c>
    </row>
    <row r="9">
      <c r="A9" s="7" t="inlineStr">
        <is>
          <t>M-SEN +1 puan</t>
        </is>
      </c>
      <c r="B9" s="25">
        <f>IFERROR(1+N(GIRDI!B9)*0,1)</f>
        <v/>
      </c>
      <c r="C9" s="26">
        <f>IFERROR(ROUND(IFERROR(akv_matrah,0)*(IFERROR(INDEX(tblKurallar[aktif_deger],MATCH("AKV-003",tblKurallar[kural_id],0)),0)+IFERROR(akv_oranArtisPuan,0)),2),0)</f>
        <v/>
      </c>
      <c r="D9" s="26">
        <f>IFERROR(MAX(0,C9-IFERROR(akv_odenenKv,0)),0)</f>
        <v/>
      </c>
      <c r="E9" s="27">
        <f>IF(COUNTA(tblGirdi[Alan Anahtarı])=0,"VERİ YOK",IF(D9=0,"EK VERGİ YOK","FARK HESAPLA"))</f>
        <v/>
      </c>
      <c r="G9" s="29" t="n">
        <v>322000</v>
      </c>
    </row>
    <row r="11">
      <c r="A11" s="10" t="inlineStr">
        <is>
          <t>Senaryo bant genişliği (iyimser−kötümser fark)</t>
        </is>
      </c>
      <c r="B11" s="26">
        <f>IFERROR(D6-D8,0)</f>
        <v/>
      </c>
    </row>
    <row r="12">
      <c r="A12" s="10" t="inlineStr">
        <is>
          <t>Senaryo yorumu</t>
        </is>
      </c>
      <c r="B12" s="21">
        <f>IFERROR(_xlfn.TEXTJOIN("; ",TRUE,"İyimser fark ",TEXT(D6,"₺ #,##0")," · Baz ",TEXT(D7,"₺ #,##0")," · Kötümser ",TEXT(D8,"₺ #,##0")," · Bant ",TEXT(B11,"₺ #,##0")),"-")</f>
        <v/>
      </c>
    </row>
    <row r="14">
      <c r="A14" s="5" t="inlineStr">
        <is>
          <t>Duyarlılık (tornado)</t>
        </is>
      </c>
    </row>
    <row r="15">
      <c r="A15" s="50" t="inlineStr">
        <is>
          <t>Değişken</t>
        </is>
      </c>
      <c r="B15" s="50" t="inlineStr">
        <is>
          <t>Etki [₺]</t>
        </is>
      </c>
      <c r="C15" s="50" t="inlineStr">
        <is>
          <t>Sıra</t>
        </is>
      </c>
      <c r="E15" s="50" t="inlineStr">
        <is>
          <t>EtkiDemo</t>
        </is>
      </c>
    </row>
    <row r="16">
      <c r="A16" s="7" t="inlineStr">
        <is>
          <t>Tornado matrah etkisi</t>
        </is>
      </c>
      <c r="B16" s="26">
        <f>IFERROR(MOTOR!G46,0)</f>
        <v/>
      </c>
      <c r="C16" s="35">
        <f>IFERROR(IF(B16&gt;=MAX(B16:B18),1,IF(B16&gt;=MIN(B16:B18)+ABS(B16-B17),2,3)),3)</f>
        <v/>
      </c>
      <c r="E16" s="29" t="n">
        <v>102000</v>
      </c>
    </row>
    <row r="17">
      <c r="A17" s="7" t="inlineStr">
        <is>
          <t>Tornado ödenen etkisi</t>
        </is>
      </c>
      <c r="B17" s="26">
        <f>IFERROR(MOTOR!G47,0)</f>
        <v/>
      </c>
      <c r="C17" s="35">
        <f>IFERROR(IF(B17&gt;=MAX(B16:B18),1,IF(B17=MEDIAN(B16:B18),2,3)),3)</f>
        <v/>
      </c>
      <c r="E17" s="29" t="n">
        <v>44000</v>
      </c>
    </row>
    <row r="18">
      <c r="A18" s="7" t="inlineStr">
        <is>
          <t>Tornado oran etkisi</t>
        </is>
      </c>
      <c r="B18" s="26">
        <f>IFERROR(MOTOR!G48,0)</f>
        <v/>
      </c>
      <c r="C18" s="35">
        <f>IFERROR(IF(B18&gt;=MAX(B16:B18),1,IF(B18=MEDIAN(B16:B18),2,3)),3)</f>
        <v/>
      </c>
      <c r="E18" s="29" t="n">
        <v>102000</v>
      </c>
    </row>
    <row r="19">
      <c r="A19" s="10" t="inlineStr">
        <is>
          <t>Duyarlılık sıra özeti</t>
        </is>
      </c>
      <c r="B19" s="27">
        <f>IFERROR(CONCATENATE("1)",INDEX(A16:A18,MATCH(1,C16:C18,0))," 2)",INDEX(A16:A18,MATCH(2,C16:C18,0))),"-")</f>
        <v/>
      </c>
    </row>
    <row r="20">
      <c r="A20" s="10" t="inlineStr">
        <is>
          <t>Duyarlılık yorumu</t>
        </is>
      </c>
      <c r="B20" s="21">
        <f>_xlfn.TEXTJOIN("; ",TRUE,"En yüksek etki ",TEXT(MAX(B16:B18),"₺ #,##0")," TL — öncelik bu değişkende")</f>
        <v/>
      </c>
    </row>
    <row r="22">
      <c r="A22" s="10" t="inlineStr">
        <is>
          <t>M-SEN kural değişimi farkı</t>
        </is>
      </c>
      <c r="B22" s="26">
        <f>D9</f>
        <v/>
      </c>
    </row>
    <row r="23">
      <c r="A23" s="10" t="inlineStr">
        <is>
          <t>M-SEN yorumu</t>
        </is>
      </c>
      <c r="B23" s="21">
        <f>_xlfn.TEXTJOIN("; ",TRUE,"Asgari oran +1 puan senaryosunda fark ",TEXT(D9,"₺ #,##0")," TL")</f>
        <v/>
      </c>
    </row>
    <row r="25">
      <c r="A25" s="10" t="inlineStr">
        <is>
          <t>Tahmin aralığı (fark)</t>
        </is>
      </c>
      <c r="B25" s="26">
        <f>MOTOR!G45</f>
        <v/>
      </c>
      <c r="C25" s="26">
        <f>akv_fark</f>
        <v/>
      </c>
      <c r="D25" s="26">
        <f>MOTOR!G44</f>
        <v/>
      </c>
    </row>
    <row r="26">
      <c r="A26" s="10" t="inlineStr">
        <is>
          <t>Tahmin (FORECAST)</t>
        </is>
      </c>
    </row>
    <row r="27">
      <c r="A27" s="28" t="inlineStr">
        <is>
          <t>Seri nokta</t>
        </is>
      </c>
      <c r="D27" s="10" t="inlineStr">
        <is>
          <t>TrendDemo</t>
        </is>
      </c>
    </row>
    <row r="28">
      <c r="A28" s="51" t="n">
        <v>1</v>
      </c>
      <c r="B28" s="26">
        <f>D6</f>
        <v/>
      </c>
      <c r="D28" s="29" t="n">
        <v>180000</v>
      </c>
    </row>
    <row r="29">
      <c r="A29" s="51" t="n">
        <v>2</v>
      </c>
      <c r="B29" s="26">
        <f>D7</f>
        <v/>
      </c>
      <c r="D29" s="29" t="n">
        <v>220000</v>
      </c>
    </row>
    <row r="30">
      <c r="A30" s="51" t="n">
        <v>3</v>
      </c>
      <c r="B30" s="26">
        <f>D8</f>
        <v/>
      </c>
      <c r="D30" s="29" t="n">
        <v>320000</v>
      </c>
    </row>
    <row r="31">
      <c r="A31" s="51" t="n">
        <v>4</v>
      </c>
      <c r="B31" s="26">
        <f>D9</f>
        <v/>
      </c>
      <c r="D31" s="29" t="n">
        <v>322000</v>
      </c>
    </row>
    <row r="32">
      <c r="A32" s="7" t="inlineStr">
        <is>
          <t>Tahmin sonraki</t>
        </is>
      </c>
      <c r="B32" s="26">
        <f>IFERROR(FORECAST.LINEAR(5,B28:B31,A28:A31),0)</f>
        <v/>
      </c>
    </row>
    <row r="33">
      <c r="A33" s="10" t="inlineStr">
        <is>
          <t>Tahmin yorumu</t>
        </is>
      </c>
      <c r="B33" s="21">
        <f>_xlfn.TEXTJOIN("; ",TRUE,"Tahmin ",TEXT(B32,"₺ #,##0")," · Alt ",TEXT(B25,"₺ #,##0")," · Üst ",TEXT(D25,"₺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12:H12"/>
    <mergeCell ref="A1:AD1"/>
  </mergeCells>
  <conditionalFormatting sqref="D6:D9">
    <cfRule type="cellIs" priority="1" operator="greaterThan" dxfId="3">
      <formula>0</formula>
    </cfRule>
    <cfRule type="cellIs" priority="2" operator="equal" dxfId="4">
      <formula>0</formula>
    </cfRule>
  </conditionalFormatting>
  <conditionalFormatting sqref="E6:E9">
    <cfRule type="expression" priority="3" dxfId="5">
      <formula>ISNUMBER(SEARCH("FARK",E6))</formula>
    </cfRule>
  </conditionalFormatting>
  <conditionalFormatting sqref="B16:B18">
    <cfRule type="cellIs" priority="4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4" customWidth="1" min="5" max="5"/>
    <col width="12" customWidth="1" min="6" max="6"/>
    <col width="12" customWidth="1" min="7" max="7"/>
    <col width="28" customWidth="1" min="8" max="8"/>
  </cols>
  <sheetData>
    <row r="1" ht="26" customHeight="1">
      <c r="A1" s="1" t="inlineStr">
        <is>
          <t>VAKALAR — Asgari Kurumlar Vergisi Simülasyon Motoru</t>
        </is>
      </c>
    </row>
    <row r="3">
      <c r="A3" s="42" t="inlineStr">
        <is>
          <t>Tebliğ tarzı altın vakalar</t>
        </is>
      </c>
    </row>
    <row r="5" ht="30" customHeight="1">
      <c r="A5" s="22" t="inlineStr">
        <is>
          <t>vaka_id</t>
        </is>
      </c>
      <c r="B5" s="22" t="inlineStr">
        <is>
          <t>aciklama</t>
        </is>
      </c>
      <c r="C5" s="22" t="inlineStr">
        <is>
          <t>girdi_ozeti</t>
        </is>
      </c>
      <c r="D5" s="22" t="inlineStr">
        <is>
          <t>beklenen_sonuc</t>
        </is>
      </c>
      <c r="E5" s="22" t="inlineStr">
        <is>
          <t>hesaplanan</t>
        </is>
      </c>
      <c r="F5" s="22" t="inlineStr">
        <is>
          <t>fark</t>
        </is>
      </c>
      <c r="G5" s="22" t="inlineStr">
        <is>
          <t>durum</t>
        </is>
      </c>
      <c r="H5" s="22" t="inlineStr">
        <is>
          <t>kaynak</t>
        </is>
      </c>
      <c r="J5" s="50" t="inlineStr">
        <is>
          <t>BeklenenDemo</t>
        </is>
      </c>
      <c r="K5" s="50" t="inlineStr">
        <is>
          <t>HesapDemo</t>
        </is>
      </c>
    </row>
    <row r="6">
      <c r="A6" s="7" t="inlineStr">
        <is>
          <t>V-001</t>
        </is>
      </c>
      <c r="B6" s="7" t="inlineStr">
        <is>
          <t>Tebliğ örnek 1 — eksik ödeme</t>
        </is>
      </c>
      <c r="C6" s="7" t="inlineStr">
        <is>
          <t>matrah=vaka_matrah_1; ödenen=vaka_odenen_1</t>
        </is>
      </c>
      <c r="D6" s="52" t="n">
        <v>220000</v>
      </c>
      <c r="E6" s="26">
        <f>IFERROR(MAX(0,ROUND(vaka_matrah_1*INDEX(tblKurallar[deger_2025],MATCH("AKV-003",tblKurallar[kural_id],0)),2)-vaka_odenen_1),0)</f>
        <v/>
      </c>
      <c r="F6" s="53">
        <f>IF($A6="","",IFERROR($D6-$E6,0))</f>
        <v/>
      </c>
      <c r="G6" s="54">
        <f>IF($A6="","",IFERROR(IF(ABS($F6)&lt;=akv_tolerans,"TUTARLI","KIRIK"),"KIRIK"))</f>
        <v/>
      </c>
      <c r="H6" s="7" t="inlineStr">
        <is>
          <t>Asgari KV Tebliği örnek senaryo</t>
        </is>
      </c>
      <c r="J6" s="29" t="n">
        <v>220000</v>
      </c>
      <c r="K6" s="29" t="n">
        <v>220000</v>
      </c>
    </row>
    <row r="7">
      <c r="A7" s="7" t="inlineStr">
        <is>
          <t>V-002</t>
        </is>
      </c>
      <c r="B7" s="7" t="inlineStr">
        <is>
          <t>Tebliğ örnek 2 — yeterli ödeme</t>
        </is>
      </c>
      <c r="C7" s="7" t="inlineStr">
        <is>
          <t>matrah=vaka_matrah_2; ödenen=vaka_odenen_2</t>
        </is>
      </c>
      <c r="D7" s="52" t="n">
        <v>0</v>
      </c>
      <c r="E7" s="26">
        <f>IFERROR(MAX(0,ROUND(vaka_matrah_2*INDEX(tblKurallar[deger_2025],MATCH("AKV-003",tblKurallar[kural_id],0)),2)-vaka_odenen_2),0)</f>
        <v/>
      </c>
      <c r="F7" s="53">
        <f>IF($A7="","",IFERROR($D7-$E7,0))</f>
        <v/>
      </c>
      <c r="G7" s="54">
        <f>IF($A7="","",IFERROR(IF(ABS($F7)&lt;=akv_tolerans,"TUTARLI","KIRIK"),"KIRIK"))</f>
        <v/>
      </c>
      <c r="H7" s="7" t="inlineStr">
        <is>
          <t>Asgari KV Tebliği örnek senaryo</t>
        </is>
      </c>
      <c r="J7" s="29" t="n">
        <v>0</v>
      </c>
      <c r="K7" s="29" t="n">
        <v>0</v>
      </c>
    </row>
    <row r="8">
      <c r="A8" s="7" t="inlineStr">
        <is>
          <t>V-003</t>
        </is>
      </c>
      <c r="B8" s="7" t="inlineStr">
        <is>
          <t>Tebliğ örnek 3 — düşük matrah</t>
        </is>
      </c>
      <c r="C8" s="7" t="inlineStr">
        <is>
          <t>matrah=vaka_matrah_3; ödenen=vaka_odenen_3</t>
        </is>
      </c>
      <c r="D8" s="52" t="n">
        <v>100000</v>
      </c>
      <c r="E8" s="26">
        <f>IFERROR(MAX(0,ROUND(vaka_matrah_3*INDEX(tblKurallar[deger_2025],MATCH("AKV-003",tblKurallar[kural_id],0)),2)-vaka_odenen_3),0)</f>
        <v/>
      </c>
      <c r="F8" s="53">
        <f>IF($A8="","",IFERROR($D8-$E8,0))</f>
        <v/>
      </c>
      <c r="G8" s="54">
        <f>IF($A8="","",IFERROR(IF(ABS($F8)&lt;=akv_tolerans,"TUTARLI","KIRIK"),"KIRIK"))</f>
        <v/>
      </c>
      <c r="H8" s="7" t="inlineStr">
        <is>
          <t>Asgari KV Tebliği örnek senaryo</t>
        </is>
      </c>
      <c r="J8" s="29" t="n">
        <v>100000</v>
      </c>
      <c r="K8" s="29" t="n">
        <v>100000</v>
      </c>
    </row>
    <row r="9">
      <c r="A9" s="7" t="inlineStr">
        <is>
          <t>V-004</t>
        </is>
      </c>
      <c r="B9" s="7" t="inlineStr">
        <is>
          <t>Genel oran referans</t>
        </is>
      </c>
      <c r="C9" s="7" t="inlineStr">
        <is>
          <t>matrah=vaka_matrah_1; genel KV</t>
        </is>
      </c>
      <c r="D9" s="52" t="n">
        <v>2550000</v>
      </c>
      <c r="E9" s="26">
        <f>IFERROR(ROUND(vaka_matrah_1*INDEX(tblKurallar[deger_2025],MATCH("AKV-001",tblKurallar[kural_id],0)),2),0)</f>
        <v/>
      </c>
      <c r="F9" s="53">
        <f>IF($A9="","",IFERROR($D9-$E9,0))</f>
        <v/>
      </c>
      <c r="G9" s="54">
        <f>IF($A9="","",IFERROR(IF(ABS($F9)&lt;=akv_tolerans,"TUTARLI","KIRIK"),"KIRIK"))</f>
        <v/>
      </c>
      <c r="H9" s="7" t="inlineStr">
        <is>
          <t>KVK md.32 kontrol</t>
        </is>
      </c>
      <c r="J9" s="29" t="n">
        <v>2550000</v>
      </c>
      <c r="K9" s="29" t="n">
        <v>2550000</v>
      </c>
    </row>
    <row r="12">
      <c r="A12" s="10" t="inlineStr">
        <is>
          <t>Vaka durum özeti</t>
        </is>
      </c>
      <c r="B12" s="55">
        <f>IFERROR(IF(COUNTIF(tblVakalar[durum],"KIRIK")&gt;0,"KIRIK","TUTARLI"),"KIRIK")</f>
        <v/>
      </c>
    </row>
    <row r="13">
      <c r="A13" s="10" t="inlineStr">
        <is>
          <t>Vaka fark toplamı</t>
        </is>
      </c>
      <c r="B13" s="26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G6:G9">
    <cfRule type="expression" priority="1" dxfId="0">
      <formula>G6="TUTARLI"</formula>
    </cfRule>
    <cfRule type="expression" priority="2" dxfId="2">
      <formula>G6="KIRIK"</formula>
    </cfRule>
  </conditionalFormatting>
  <conditionalFormatting sqref="F6:F9">
    <cfRule type="cellIs" priority="3" operator="notEqual" dxfId="5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KANIT RAPORU — Asgari Kurumlar Vergisi Simülasyon Motoru</t>
        </is>
      </c>
    </row>
    <row r="3">
      <c r="A3" s="56" t="inlineStr">
        <is>
          <t>KANIT RAPORU — Asgari Kurumlar Vergisi</t>
        </is>
      </c>
    </row>
    <row r="4">
      <c r="A4" s="7" t="inlineStr">
        <is>
          <t>Rapor tarihi</t>
        </is>
      </c>
      <c r="B4" s="57">
        <f>raporTarihi</f>
        <v/>
      </c>
    </row>
    <row r="5">
      <c r="A5" s="7" t="inlineStr">
        <is>
          <t>Kurum</t>
        </is>
      </c>
      <c r="B5" s="27">
        <f>GIRDI!B6</f>
        <v/>
      </c>
    </row>
    <row r="6">
      <c r="A6" s="7" t="inlineStr">
        <is>
          <t>Dönem / yıl</t>
        </is>
      </c>
      <c r="B6" s="27">
        <f>CONCATENATE(GIRDI!B7," / ",hesapYili)</f>
        <v/>
      </c>
    </row>
    <row r="8">
      <c r="A8" s="5" t="inlineStr">
        <is>
          <t>Girdi özeti</t>
        </is>
      </c>
    </row>
    <row r="9">
      <c r="A9" s="7" t="inlineStr">
        <is>
          <t>Ticari kâr</t>
        </is>
      </c>
      <c r="B9" s="26">
        <f>GIRDI!B9</f>
        <v/>
      </c>
    </row>
    <row r="10">
      <c r="A10" s="7" t="inlineStr">
        <is>
          <t>KKEG</t>
        </is>
      </c>
      <c r="B10" s="26">
        <f>GIRDI!B10</f>
        <v/>
      </c>
    </row>
    <row r="11">
      <c r="A11" s="7" t="inlineStr">
        <is>
          <t>İstisnalar</t>
        </is>
      </c>
      <c r="B11" s="26">
        <f>GIRDI!B11</f>
        <v/>
      </c>
    </row>
    <row r="12">
      <c r="A12" s="7" t="inlineStr">
        <is>
          <t>İndirimler</t>
        </is>
      </c>
      <c r="B12" s="26">
        <f>GIRDI!B12</f>
        <v/>
      </c>
    </row>
    <row r="13">
      <c r="A13" s="7" t="inlineStr">
        <is>
          <t>Matrah</t>
        </is>
      </c>
      <c r="B13" s="26">
        <f>akv_matrah</f>
        <v/>
      </c>
    </row>
    <row r="14">
      <c r="A14" s="7" t="inlineStr">
        <is>
          <t>Ödenen KV</t>
        </is>
      </c>
      <c r="B14" s="26">
        <f>akv_odenenKv</f>
        <v/>
      </c>
    </row>
    <row r="16">
      <c r="A16" s="5" t="inlineStr">
        <is>
          <t>Hesap zinciri</t>
        </is>
      </c>
    </row>
    <row r="17">
      <c r="A17" s="7" t="inlineStr">
        <is>
          <t>Asgari KV</t>
        </is>
      </c>
      <c r="B17" s="34">
        <f>akv_asgariKv</f>
        <v/>
      </c>
    </row>
    <row r="18">
      <c r="A18" s="7" t="inlineStr">
        <is>
          <t>Fark</t>
        </is>
      </c>
      <c r="B18" s="34">
        <f>akv_fark</f>
        <v/>
      </c>
    </row>
    <row r="19">
      <c r="A19" s="10" t="inlineStr">
        <is>
          <t>KARAR</t>
        </is>
      </c>
      <c r="B19" s="58">
        <f>akv_kararMetni</f>
        <v/>
      </c>
    </row>
    <row r="20">
      <c r="A20" s="7" t="inlineStr">
        <is>
          <t>Gerekçe</t>
        </is>
      </c>
      <c r="B20" s="21">
        <f>akv_kararGerekce</f>
        <v/>
      </c>
    </row>
    <row r="22">
      <c r="A22" s="10" t="inlineStr">
        <is>
          <t>Madde atıfları</t>
        </is>
      </c>
      <c r="B22" s="21">
        <f>akv_maddeAtifMetni</f>
        <v/>
      </c>
    </row>
    <row r="24">
      <c r="A24" s="10" t="inlineStr">
        <is>
          <t>Kanıt gövdesi</t>
        </is>
      </c>
      <c r="B24" s="21">
        <f>akv_kanitRaporu</f>
        <v/>
      </c>
    </row>
    <row r="26">
      <c r="A26" s="7" t="inlineStr">
        <is>
          <t>Parmak izi (SHA-256 kısaltma)</t>
        </is>
      </c>
      <c r="B26" s="28">
        <f>akv_parmakIzi</f>
        <v/>
      </c>
    </row>
    <row r="28">
      <c r="A28" s="7" t="inlineStr">
        <is>
          <t>Hazırlayan (imza)</t>
        </is>
      </c>
      <c r="B28" s="59" t="inlineStr"/>
    </row>
    <row r="29">
      <c r="A29" s="7" t="inlineStr">
        <is>
          <t>Onaylayan (imza)</t>
        </is>
      </c>
      <c r="B29" s="59" t="inlineStr"/>
    </row>
    <row r="31">
      <c r="A31" s="13" t="inlineStr">
        <is>
          <t>Uyarı: Bu çıktı karar destektir; kesin vergi tarhiyatı veya hukuki görüş değildir. Sürüm 1.0.0.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24:F24"/>
    <mergeCell ref="B20:F20"/>
    <mergeCell ref="A1:L1"/>
    <mergeCell ref="A31:F31"/>
    <mergeCell ref="B22:F22"/>
    <mergeCell ref="A3:F3"/>
  </mergeCells>
  <conditionalFormatting sqref="B19">
    <cfRule type="expression" priority="1" dxfId="0">
      <formula>ISNUMBER(SEARCH("UYGUN",B19))</formula>
    </cfRule>
    <cfRule type="expression" priority="2" dxfId="1">
      <formula>ISNUMBER(SEARCH("DİKKAT",B19))</formula>
    </cfRule>
  </conditionalFormatting>
  <conditionalFormatting sqref="B18">
    <cfRule type="cellIs" priority="3" operator="greaterThan" dxfId="3">
      <formula>0</formula>
    </cfRule>
  </conditionalFormatting>
  <pageMargins left="0.4" right="0.4" top="0.5" bottom="0.5" header="0.5" footer="0.5"/>
  <pageSetup orientation="portrait" paperSize="9" fitToHeight="1" fitToWidth="1"/>
  <headerFooter>
    <oddHeader/>
    <oddFooter>&amp;LAsgari Kurumlar Vergisi Simülasyon Motoru · 1.0.0&amp;CExcelArşiv&amp;RSayfa &amp;P / &amp;N</oddFooter>
    <evenHeader/>
    <evenFooter>&amp;LAsgari Kurumlar Vergisi Simülasyon Motoru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C00000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6" customHeight="1">
      <c r="A1" s="1" t="inlineStr">
        <is>
          <t>KONTROLLER — Asgari Kurumlar Vergisi Simülasyon Motoru</t>
        </is>
      </c>
    </row>
    <row r="3">
      <c r="A3" s="9" t="inlineStr">
        <is>
          <t>Canlı kontrol paneli</t>
        </is>
      </c>
    </row>
    <row r="5">
      <c r="A5" s="7" t="inlineStr">
        <is>
          <t>Giriş tablosu boş mu?</t>
        </is>
      </c>
      <c r="B5" s="27">
        <f>IF(COUNTA(tblGirdi[Alan Anahtarı])=0,"BOŞ","DOLU")</f>
        <v/>
      </c>
    </row>
    <row r="6">
      <c r="A6" s="7" t="inlineStr">
        <is>
          <t>Negatif ticari kâr?</t>
        </is>
      </c>
      <c r="B6" s="27">
        <f>IF(GIRDI!B9&lt;0,"NEGATİF","TEMİZ")</f>
        <v/>
      </c>
    </row>
    <row r="7">
      <c r="A7" s="7" t="inlineStr">
        <is>
          <t>Hesap yılı geçerli mi?</t>
        </is>
      </c>
      <c r="B7" s="27">
        <f>IFERROR(IF(AND(N(hesapYili)&gt;N(akv_yilTaban),N(hesapYili)&lt;=N(akv_yilTaban)+3),"TEMİZ","HATALI"),"HATALI")</f>
        <v/>
      </c>
    </row>
    <row r="8">
      <c r="A8" s="7" t="inlineStr">
        <is>
          <t>Matrah sıfır mı?</t>
        </is>
      </c>
      <c r="B8" s="27">
        <f>IF(IFERROR(akv_matrah,0)=0,"SIFIR","NORMAL")</f>
        <v/>
      </c>
    </row>
    <row r="9">
      <c r="A9" s="7" t="inlineStr">
        <is>
          <t>Vaka kırık mı?</t>
        </is>
      </c>
      <c r="B9" s="27">
        <f>IFERROR(IF(COUNTIF(tblVakalar[durum],"KIRIK")&gt;0,"KIRIK","TUTARLI"),"KIRIK")</f>
        <v/>
      </c>
    </row>
    <row r="10">
      <c r="A10" s="7" t="inlineStr">
        <is>
          <t>Fark eşiği aşıyor mu?</t>
        </is>
      </c>
      <c r="B10" s="27">
        <f>IF(IFERROR(akv_fark,0)&gt;akv_farkEsik,"AŞIYOR","NORMAL")</f>
        <v/>
      </c>
    </row>
    <row r="11">
      <c r="A11" s="7" t="inlineStr">
        <is>
          <t>Yorum A/B seçili mi?</t>
        </is>
      </c>
      <c r="B11" s="27">
        <f>IF(OR(GIRDI!B14="A",GIRDI!B14="B"),"TEMİZ","EKSİK")</f>
        <v/>
      </c>
    </row>
    <row r="12">
      <c r="A12" s="10" t="inlineStr">
        <is>
          <t>Kalite skoru (modül)</t>
        </is>
      </c>
      <c r="B12" s="60">
        <f>IFERROR(ROUND(IF(OR(B14=0,B14=""),0,B15/B14*100),0),0)</f>
        <v/>
      </c>
    </row>
    <row r="14">
      <c r="A14" s="7" t="inlineStr">
        <is>
          <t>Toplam giriş alanı</t>
        </is>
      </c>
      <c r="B14" s="35">
        <f>IFERROR(akv_girisBeklenen+COUNTA(GIRDI!B6:B14)*0,0)</f>
        <v/>
      </c>
    </row>
    <row r="15">
      <c r="A15" s="7" t="inlineStr">
        <is>
          <t>Dolu giriş</t>
        </is>
      </c>
      <c r="B15" s="35">
        <f>COUNTA(GIRDI!B6:B14)</f>
        <v/>
      </c>
    </row>
    <row r="16">
      <c r="A16" s="10" t="inlineStr">
        <is>
          <t>Kalite skoru</t>
        </is>
      </c>
    </row>
    <row r="17">
      <c r="A17" s="7" t="inlineStr">
        <is>
          <t>Asgari KV kontrol</t>
        </is>
      </c>
      <c r="B17" s="26">
        <f>IFERROR(akv_asgariKv,0)</f>
        <v/>
      </c>
    </row>
    <row r="18">
      <c r="A18" s="7" t="inlineStr">
        <is>
          <t>Fark kontrol</t>
        </is>
      </c>
      <c r="B18" s="26">
        <f>IFERROR(akv_fark,0)</f>
        <v/>
      </c>
    </row>
    <row r="19">
      <c r="A19" s="7" t="inlineStr">
        <is>
          <t>Karar kontrol</t>
        </is>
      </c>
      <c r="B19" s="27">
        <f>IFERROR(akv_kararMetni,"-")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5:B11">
    <cfRule type="expression" priority="1" dxfId="2">
      <formula>OR(B5="KIRIK",B5="HATALI",B5="NEGATİF",B5="BOŞ",B5="EKSİK",B5="AŞIYOR")</formula>
    </cfRule>
    <cfRule type="expression" priority="2" dxfId="0">
      <formula>OR(B5="TEMİZ",B5="DOLU",B5="NORMAL",B5="TUTARLI")</formula>
    </cfRule>
  </conditionalFormatting>
  <conditionalFormatting sqref="B12">
    <cfRule type="cellIs" priority="3" operator="greaterThanOrEqual" dxfId="4">
      <formula>80</formula>
    </cfRule>
    <cfRule type="cellIs" priority="4" operator="lessThan" dxfId="3">
      <formula>50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70AD47"/>
    <outlinePr summaryBelow="1" summaryRight="1"/>
    <pageSetUpPr/>
  </sheetPr>
  <dimension ref="A1:AD10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ORNEK VERI — Asgari Kurumlar Vergisi Simülasyon Motoru</t>
        </is>
      </c>
    </row>
    <row r="3">
      <c r="A3" s="42" t="inlineStr">
        <is>
          <t>Örnek senaryo kütüphanesi</t>
        </is>
      </c>
    </row>
    <row r="4">
      <c r="A4" s="28" t="inlineStr">
        <is>
          <t>Bu sayfa demo değerleri saklar; GIRDI'ye kopyalanabilir.</t>
        </is>
      </c>
    </row>
    <row r="5" ht="30" customHeight="1">
      <c r="A5" s="22" t="inlineStr">
        <is>
          <t>Senaryo</t>
        </is>
      </c>
      <c r="B5" s="22" t="inlineStr">
        <is>
          <t>Ticari Kâr</t>
        </is>
      </c>
      <c r="C5" s="22" t="inlineStr">
        <is>
          <t>KKEG</t>
        </is>
      </c>
      <c r="D5" s="22" t="inlineStr">
        <is>
          <t>İstisna</t>
        </is>
      </c>
      <c r="E5" s="22" t="inlineStr">
        <is>
          <t>İndirim</t>
        </is>
      </c>
      <c r="F5" s="22" t="inlineStr">
        <is>
          <t>Ödenen KV</t>
        </is>
      </c>
      <c r="G5" s="22" t="inlineStr">
        <is>
          <t>Matrah</t>
        </is>
      </c>
      <c r="H5" s="22" t="inlineStr">
        <is>
          <t>Asgari KV</t>
        </is>
      </c>
      <c r="I5" s="22" t="inlineStr">
        <is>
          <t>Fark</t>
        </is>
      </c>
      <c r="L5" s="50" t="inlineStr">
        <is>
          <t>FarkDemo</t>
        </is>
      </c>
    </row>
    <row r="6">
      <c r="A6" s="36" t="inlineStr">
        <is>
          <t>Demo ana</t>
        </is>
      </c>
      <c r="B6" s="39" t="n">
        <v>10000000</v>
      </c>
      <c r="C6" s="39" t="n">
        <v>500000</v>
      </c>
      <c r="D6" s="39" t="n">
        <v>200000</v>
      </c>
      <c r="E6" s="39" t="n">
        <v>100000</v>
      </c>
      <c r="F6" s="39" t="n">
        <v>800000</v>
      </c>
      <c r="G6" s="37">
        <f>IF($A6="","",$B6+$C6-$D6-$E6)</f>
        <v/>
      </c>
      <c r="H6" s="37">
        <f>IF($A6="","",IFERROR(ROUND($G6*INDEX(tblKurallar[deger_2025],MATCH("AKV-003",tblKurallar[kural_id],0)),2),0))</f>
        <v/>
      </c>
      <c r="I6" s="37">
        <f>IF($A6="","",IFERROR(MAX(0,$H6-$F6),0))</f>
        <v/>
      </c>
      <c r="L6" s="29" t="n">
        <v>220000</v>
      </c>
    </row>
    <row r="7">
      <c r="A7" s="36" t="inlineStr">
        <is>
          <t>Yüksek ödeme</t>
        </is>
      </c>
      <c r="B7" s="39" t="n">
        <v>10000000</v>
      </c>
      <c r="C7" s="39" t="n">
        <v>500000</v>
      </c>
      <c r="D7" s="39" t="n">
        <v>200000</v>
      </c>
      <c r="E7" s="39" t="n">
        <v>100000</v>
      </c>
      <c r="F7" s="39" t="n">
        <v>1200000</v>
      </c>
      <c r="G7" s="37">
        <f>IF($A7="","",$B7+$C7-$D7-$E7)</f>
        <v/>
      </c>
      <c r="H7" s="37">
        <f>IF($A7="","",IFERROR(ROUND($G7*INDEX(tblKurallar[deger_2025],MATCH("AKV-003",tblKurallar[kural_id],0)),2),0))</f>
        <v/>
      </c>
      <c r="I7" s="37">
        <f>IF($A7="","",IFERROR(MAX(0,$H7-$F7),0))</f>
        <v/>
      </c>
      <c r="L7" s="29" t="n">
        <v>0</v>
      </c>
    </row>
    <row r="8">
      <c r="A8" s="36" t="inlineStr">
        <is>
          <t>Düşük matrah</t>
        </is>
      </c>
      <c r="B8" s="39" t="n">
        <v>3000000</v>
      </c>
      <c r="C8" s="39" t="n">
        <v>100000</v>
      </c>
      <c r="D8" s="39" t="n">
        <v>50000</v>
      </c>
      <c r="E8" s="39" t="n">
        <v>50000</v>
      </c>
      <c r="F8" s="39" t="n">
        <v>200000</v>
      </c>
      <c r="G8" s="37">
        <f>IF($A8="","",$B8+$C8-$D8-$E8)</f>
        <v/>
      </c>
      <c r="H8" s="37">
        <f>IF($A8="","",IFERROR(ROUND($G8*INDEX(tblKurallar[deger_2025],MATCH("AKV-003",tblKurallar[kural_id],0)),2),0))</f>
        <v/>
      </c>
      <c r="I8" s="37">
        <f>IF($A8="","",IFERROR(MAX(0,$H8-$F8),0))</f>
        <v/>
      </c>
      <c r="L8" s="29" t="n">
        <v>100000</v>
      </c>
    </row>
    <row r="9">
      <c r="A9" s="36" t="inlineStr">
        <is>
          <t>İstisna ağır</t>
        </is>
      </c>
      <c r="B9" s="39" t="n">
        <v>8000000</v>
      </c>
      <c r="C9" s="39" t="n">
        <v>200000</v>
      </c>
      <c r="D9" s="39" t="n">
        <v>1500000</v>
      </c>
      <c r="E9" s="39" t="n">
        <v>100000</v>
      </c>
      <c r="F9" s="39" t="n">
        <v>500000</v>
      </c>
      <c r="G9" s="37">
        <f>IF($A9="","",$B9+$C9-$D9-$E9)</f>
        <v/>
      </c>
      <c r="H9" s="37">
        <f>IF($A9="","",IFERROR(ROUND($G9*INDEX(tblKurallar[deger_2025],MATCH("AKV-003",tblKurallar[kural_id],0)),2),0))</f>
        <v/>
      </c>
      <c r="I9" s="37">
        <f>IF($A9="","",IFERROR(MAX(0,$H9-$F9),0))</f>
        <v/>
      </c>
      <c r="L9" s="29" t="n">
        <v>150000</v>
      </c>
    </row>
    <row r="10">
      <c r="A10" s="36" t="inlineStr">
        <is>
          <t>Sıfır fark</t>
        </is>
      </c>
      <c r="B10" s="39" t="n">
        <v>5000000</v>
      </c>
      <c r="C10" s="39" t="n">
        <v>0</v>
      </c>
      <c r="D10" s="39" t="n">
        <v>0</v>
      </c>
      <c r="E10" s="39" t="n">
        <v>0</v>
      </c>
      <c r="F10" s="39" t="n">
        <v>500000</v>
      </c>
      <c r="G10" s="37">
        <f>IF($A10="","",$B10+$C10-$D10-$E10)</f>
        <v/>
      </c>
      <c r="H10" s="37">
        <f>IF($A10="","",IFERROR(ROUND($G10*INDEX(tblKurallar[deger_2025],MATCH("AKV-003",tblKurallar[kural_id],0)),2),0))</f>
        <v/>
      </c>
      <c r="I10" s="37">
        <f>IF($A10="","",IFERROR(MAX(0,$H10-$F10),0))</f>
        <v/>
      </c>
      <c r="L10" s="29" t="n">
        <v>0</v>
      </c>
    </row>
    <row r="11">
      <c r="A11" s="36" t="n"/>
      <c r="B11" s="36" t="n"/>
      <c r="C11" s="36" t="n"/>
      <c r="D11" s="36" t="n"/>
      <c r="E11" s="36" t="n"/>
      <c r="F11" s="36" t="n"/>
      <c r="G11" s="37">
        <f>IF($A11="","",$B11+$C11-$D11-$E11)</f>
        <v/>
      </c>
      <c r="H11" s="37">
        <f>IF($A11="","",IFERROR(ROUND($G11*INDEX(tblKurallar[deger_2025],MATCH("AKV-003",tblKurallar[kural_id],0)),2),0))</f>
        <v/>
      </c>
      <c r="I11" s="37">
        <f>IF($A11="","",IFERROR(MAX(0,$H11-$F11),0))</f>
        <v/>
      </c>
    </row>
    <row r="12">
      <c r="A12" s="36" t="n"/>
      <c r="B12" s="36" t="n"/>
      <c r="C12" s="36" t="n"/>
      <c r="D12" s="36" t="n"/>
      <c r="E12" s="36" t="n"/>
      <c r="F12" s="36" t="n"/>
      <c r="G12" s="37">
        <f>IF($A12="","",$B12+$C12-$D12-$E12)</f>
        <v/>
      </c>
      <c r="H12" s="37">
        <f>IF($A12="","",IFERROR(ROUND($G12*INDEX(tblKurallar[deger_2025],MATCH("AKV-003",tblKurallar[kural_id],0)),2),0))</f>
        <v/>
      </c>
      <c r="I12" s="37">
        <f>IF($A12="","",IFERROR(MAX(0,$H12-$F12),0))</f>
        <v/>
      </c>
    </row>
    <row r="13">
      <c r="A13" s="36" t="n"/>
      <c r="B13" s="36" t="n"/>
      <c r="C13" s="36" t="n"/>
      <c r="D13" s="36" t="n"/>
      <c r="E13" s="36" t="n"/>
      <c r="F13" s="36" t="n"/>
      <c r="G13" s="37">
        <f>IF($A13="","",$B13+$C13-$D13-$E13)</f>
        <v/>
      </c>
      <c r="H13" s="37">
        <f>IF($A13="","",IFERROR(ROUND($G13*INDEX(tblKurallar[deger_2025],MATCH("AKV-003",tblKurallar[kural_id],0)),2),0))</f>
        <v/>
      </c>
      <c r="I13" s="37">
        <f>IF($A13="","",IFERROR(MAX(0,$H13-$F13),0))</f>
        <v/>
      </c>
    </row>
    <row r="14">
      <c r="A14" s="36" t="n"/>
      <c r="B14" s="36" t="n"/>
      <c r="C14" s="36" t="n"/>
      <c r="D14" s="36" t="n"/>
      <c r="E14" s="36" t="n"/>
      <c r="F14" s="36" t="n"/>
      <c r="G14" s="37">
        <f>IF($A14="","",$B14+$C14-$D14-$E14)</f>
        <v/>
      </c>
      <c r="H14" s="37">
        <f>IF($A14="","",IFERROR(ROUND($G14*INDEX(tblKurallar[deger_2025],MATCH("AKV-003",tblKurallar[kural_id],0)),2),0))</f>
        <v/>
      </c>
      <c r="I14" s="37">
        <f>IF($A14="","",IFERROR(MAX(0,$H14-$F14),0))</f>
        <v/>
      </c>
    </row>
    <row r="15">
      <c r="A15" s="36" t="n"/>
      <c r="B15" s="36" t="n"/>
      <c r="C15" s="36" t="n"/>
      <c r="D15" s="36" t="n"/>
      <c r="E15" s="36" t="n"/>
      <c r="F15" s="36" t="n"/>
      <c r="G15" s="37">
        <f>IF($A15="","",$B15+$C15-$D15-$E15)</f>
        <v/>
      </c>
      <c r="H15" s="37">
        <f>IF($A15="","",IFERROR(ROUND($G15*INDEX(tblKurallar[deger_2025],MATCH("AKV-003",tblKurallar[kural_id],0)),2),0))</f>
        <v/>
      </c>
      <c r="I15" s="37">
        <f>IF($A15="","",IFERROR(MAX(0,$H15-$F15),0))</f>
        <v/>
      </c>
    </row>
    <row r="16">
      <c r="A16" s="36" t="n"/>
      <c r="B16" s="36" t="n"/>
      <c r="C16" s="36" t="n"/>
      <c r="D16" s="36" t="n"/>
      <c r="E16" s="36" t="n"/>
      <c r="F16" s="36" t="n"/>
      <c r="G16" s="37">
        <f>IF($A16="","",$B16+$C16-$D16-$E16)</f>
        <v/>
      </c>
      <c r="H16" s="37">
        <f>IF($A16="","",IFERROR(ROUND($G16*INDEX(tblKurallar[deger_2025],MATCH("AKV-003",tblKurallar[kural_id],0)),2),0))</f>
        <v/>
      </c>
      <c r="I16" s="37">
        <f>IF($A16="","",IFERROR(MAX(0,$H16-$F16),0))</f>
        <v/>
      </c>
    </row>
    <row r="17">
      <c r="A17" s="36" t="n"/>
      <c r="B17" s="36" t="n"/>
      <c r="C17" s="36" t="n"/>
      <c r="D17" s="36" t="n"/>
      <c r="E17" s="36" t="n"/>
      <c r="F17" s="36" t="n"/>
      <c r="G17" s="37">
        <f>IF($A17="","",$B17+$C17-$D17-$E17)</f>
        <v/>
      </c>
      <c r="H17" s="37">
        <f>IF($A17="","",IFERROR(ROUND($G17*INDEX(tblKurallar[deger_2025],MATCH("AKV-003",tblKurallar[kural_id],0)),2),0))</f>
        <v/>
      </c>
      <c r="I17" s="37">
        <f>IF($A17="","",IFERROR(MAX(0,$H17-$F17),0))</f>
        <v/>
      </c>
    </row>
    <row r="18">
      <c r="A18" s="36" t="n"/>
      <c r="B18" s="36" t="n"/>
      <c r="C18" s="36" t="n"/>
      <c r="D18" s="36" t="n"/>
      <c r="E18" s="36" t="n"/>
      <c r="F18" s="36" t="n"/>
      <c r="G18" s="37">
        <f>IF($A18="","",$B18+$C18-$D18-$E18)</f>
        <v/>
      </c>
      <c r="H18" s="37">
        <f>IF($A18="","",IFERROR(ROUND($G18*INDEX(tblKurallar[deger_2025],MATCH("AKV-003",tblKurallar[kural_id],0)),2),0))</f>
        <v/>
      </c>
      <c r="I18" s="37">
        <f>IF($A18="","",IFERROR(MAX(0,$H18-$F18),0))</f>
        <v/>
      </c>
    </row>
    <row r="19">
      <c r="A19" s="36" t="n"/>
      <c r="B19" s="36" t="n"/>
      <c r="C19" s="36" t="n"/>
      <c r="D19" s="36" t="n"/>
      <c r="E19" s="36" t="n"/>
      <c r="F19" s="36" t="n"/>
      <c r="G19" s="37">
        <f>IF($A19="","",$B19+$C19-$D19-$E19)</f>
        <v/>
      </c>
      <c r="H19" s="37">
        <f>IF($A19="","",IFERROR(ROUND($G19*INDEX(tblKurallar[deger_2025],MATCH("AKV-003",tblKurallar[kural_id],0)),2),0))</f>
        <v/>
      </c>
      <c r="I19" s="37">
        <f>IF($A19="","",IFERROR(MAX(0,$H19-$F19),0))</f>
        <v/>
      </c>
    </row>
    <row r="20">
      <c r="A20" s="36" t="n"/>
      <c r="B20" s="36" t="n"/>
      <c r="C20" s="36" t="n"/>
      <c r="D20" s="36" t="n"/>
      <c r="E20" s="36" t="n"/>
      <c r="F20" s="36" t="n"/>
      <c r="G20" s="37">
        <f>IF($A20="","",$B20+$C20-$D20-$E20)</f>
        <v/>
      </c>
      <c r="H20" s="37">
        <f>IF($A20="","",IFERROR(ROUND($G20*INDEX(tblKurallar[deger_2025],MATCH("AKV-003",tblKurallar[kural_id],0)),2),0))</f>
        <v/>
      </c>
      <c r="I20" s="37">
        <f>IF($A20="","",IFERROR(MAX(0,$H20-$F20),0))</f>
        <v/>
      </c>
    </row>
    <row r="21">
      <c r="A21" s="36" t="n"/>
      <c r="B21" s="36" t="n"/>
      <c r="C21" s="36" t="n"/>
      <c r="D21" s="36" t="n"/>
      <c r="E21" s="36" t="n"/>
      <c r="F21" s="36" t="n"/>
      <c r="G21" s="37">
        <f>IF($A21="","",$B21+$C21-$D21-$E21)</f>
        <v/>
      </c>
      <c r="H21" s="37">
        <f>IF($A21="","",IFERROR(ROUND($G21*INDEX(tblKurallar[deger_2025],MATCH("AKV-003",tblKurallar[kural_id],0)),2),0))</f>
        <v/>
      </c>
      <c r="I21" s="37">
        <f>IF($A21="","",IFERROR(MAX(0,$H21-$F21),0))</f>
        <v/>
      </c>
    </row>
    <row r="22">
      <c r="A22" s="36" t="n"/>
      <c r="B22" s="36" t="n"/>
      <c r="C22" s="36" t="n"/>
      <c r="D22" s="36" t="n"/>
      <c r="E22" s="36" t="n"/>
      <c r="F22" s="36" t="n"/>
      <c r="G22" s="37">
        <f>IF($A22="","",$B22+$C22-$D22-$E22)</f>
        <v/>
      </c>
      <c r="H22" s="37">
        <f>IF($A22="","",IFERROR(ROUND($G22*INDEX(tblKurallar[deger_2025],MATCH("AKV-003",tblKurallar[kural_id],0)),2),0))</f>
        <v/>
      </c>
      <c r="I22" s="37">
        <f>IF($A22="","",IFERROR(MAX(0,$H22-$F22),0))</f>
        <v/>
      </c>
    </row>
    <row r="23">
      <c r="A23" s="36" t="n"/>
      <c r="B23" s="36" t="n"/>
      <c r="C23" s="36" t="n"/>
      <c r="D23" s="36" t="n"/>
      <c r="E23" s="36" t="n"/>
      <c r="F23" s="36" t="n"/>
      <c r="G23" s="37">
        <f>IF($A23="","",$B23+$C23-$D23-$E23)</f>
        <v/>
      </c>
      <c r="H23" s="37">
        <f>IF($A23="","",IFERROR(ROUND($G23*INDEX(tblKurallar[deger_2025],MATCH("AKV-003",tblKurallar[kural_id],0)),2),0))</f>
        <v/>
      </c>
      <c r="I23" s="37">
        <f>IF($A23="","",IFERROR(MAX(0,$H23-$F23),0))</f>
        <v/>
      </c>
    </row>
    <row r="24">
      <c r="A24" s="36" t="n"/>
      <c r="B24" s="36" t="n"/>
      <c r="C24" s="36" t="n"/>
      <c r="D24" s="36" t="n"/>
      <c r="E24" s="36" t="n"/>
      <c r="F24" s="36" t="n"/>
      <c r="G24" s="37">
        <f>IF($A24="","",$B24+$C24-$D24-$E24)</f>
        <v/>
      </c>
      <c r="H24" s="37">
        <f>IF($A24="","",IFERROR(ROUND($G24*INDEX(tblKurallar[deger_2025],MATCH("AKV-003",tblKurallar[kural_id],0)),2),0))</f>
        <v/>
      </c>
      <c r="I24" s="37">
        <f>IF($A24="","",IFERROR(MAX(0,$H24-$F24),0))</f>
        <v/>
      </c>
    </row>
    <row r="25">
      <c r="A25" s="36" t="n"/>
      <c r="B25" s="36" t="n"/>
      <c r="C25" s="36" t="n"/>
      <c r="D25" s="36" t="n"/>
      <c r="E25" s="36" t="n"/>
      <c r="F25" s="36" t="n"/>
      <c r="G25" s="37">
        <f>IF($A25="","",$B25+$C25-$D25-$E25)</f>
        <v/>
      </c>
      <c r="H25" s="37">
        <f>IF($A25="","",IFERROR(ROUND($G25*INDEX(tblKurallar[deger_2025],MATCH("AKV-003",tblKurallar[kural_id],0)),2),0))</f>
        <v/>
      </c>
      <c r="I25" s="37">
        <f>IF($A25="","",IFERROR(MAX(0,$H25-$F25),0))</f>
        <v/>
      </c>
    </row>
    <row r="26">
      <c r="A26" s="36" t="n"/>
      <c r="B26" s="36" t="n"/>
      <c r="C26" s="36" t="n"/>
      <c r="D26" s="36" t="n"/>
      <c r="E26" s="36" t="n"/>
      <c r="F26" s="36" t="n"/>
      <c r="G26" s="37">
        <f>IF($A26="","",$B26+$C26-$D26-$E26)</f>
        <v/>
      </c>
      <c r="H26" s="37">
        <f>IF($A26="","",IFERROR(ROUND($G26*INDEX(tblKurallar[deger_2025],MATCH("AKV-003",tblKurallar[kural_id],0)),2),0))</f>
        <v/>
      </c>
      <c r="I26" s="37">
        <f>IF($A26="","",IFERROR(MAX(0,$H26-$F26),0))</f>
        <v/>
      </c>
    </row>
    <row r="27">
      <c r="A27" s="36" t="n"/>
      <c r="B27" s="36" t="n"/>
      <c r="C27" s="36" t="n"/>
      <c r="D27" s="36" t="n"/>
      <c r="E27" s="36" t="n"/>
      <c r="F27" s="36" t="n"/>
      <c r="G27" s="37">
        <f>IF($A27="","",$B27+$C27-$D27-$E27)</f>
        <v/>
      </c>
      <c r="H27" s="37">
        <f>IF($A27="","",IFERROR(ROUND($G27*INDEX(tblKurallar[deger_2025],MATCH("AKV-003",tblKurallar[kural_id],0)),2),0))</f>
        <v/>
      </c>
      <c r="I27" s="37">
        <f>IF($A27="","",IFERROR(MAX(0,$H27-$F27),0))</f>
        <v/>
      </c>
    </row>
    <row r="28">
      <c r="A28" s="36" t="n"/>
      <c r="B28" s="36" t="n"/>
      <c r="C28" s="36" t="n"/>
      <c r="D28" s="36" t="n"/>
      <c r="E28" s="36" t="n"/>
      <c r="F28" s="36" t="n"/>
      <c r="G28" s="37">
        <f>IF($A28="","",$B28+$C28-$D28-$E28)</f>
        <v/>
      </c>
      <c r="H28" s="37">
        <f>IF($A28="","",IFERROR(ROUND($G28*INDEX(tblKurallar[deger_2025],MATCH("AKV-003",tblKurallar[kural_id],0)),2),0))</f>
        <v/>
      </c>
      <c r="I28" s="37">
        <f>IF($A28="","",IFERROR(MAX(0,$H28-$F28),0))</f>
        <v/>
      </c>
    </row>
    <row r="29">
      <c r="A29" s="36" t="n"/>
      <c r="B29" s="36" t="n"/>
      <c r="C29" s="36" t="n"/>
      <c r="D29" s="36" t="n"/>
      <c r="E29" s="36" t="n"/>
      <c r="F29" s="36" t="n"/>
      <c r="G29" s="37">
        <f>IF($A29="","",$B29+$C29-$D29-$E29)</f>
        <v/>
      </c>
      <c r="H29" s="37">
        <f>IF($A29="","",IFERROR(ROUND($G29*INDEX(tblKurallar[deger_2025],MATCH("AKV-003",tblKurallar[kural_id],0)),2),0))</f>
        <v/>
      </c>
      <c r="I29" s="37">
        <f>IF($A29="","",IFERROR(MAX(0,$H29-$F29),0))</f>
        <v/>
      </c>
    </row>
    <row r="30">
      <c r="A30" s="36" t="n"/>
      <c r="B30" s="36" t="n"/>
      <c r="C30" s="36" t="n"/>
      <c r="D30" s="36" t="n"/>
      <c r="E30" s="36" t="n"/>
      <c r="F30" s="36" t="n"/>
      <c r="G30" s="37">
        <f>IF($A30="","",$B30+$C30-$D30-$E30)</f>
        <v/>
      </c>
      <c r="H30" s="37">
        <f>IF($A30="","",IFERROR(ROUND($G30*INDEX(tblKurallar[deger_2025],MATCH("AKV-003",tblKurallar[kural_id],0)),2),0))</f>
        <v/>
      </c>
      <c r="I30" s="37">
        <f>IF($A30="","",IFERROR(MAX(0,$H30-$F30),0))</f>
        <v/>
      </c>
    </row>
    <row r="31">
      <c r="A31" s="36" t="n"/>
      <c r="B31" s="36" t="n"/>
      <c r="C31" s="36" t="n"/>
      <c r="D31" s="36" t="n"/>
      <c r="E31" s="36" t="n"/>
      <c r="F31" s="36" t="n"/>
      <c r="G31" s="37">
        <f>IF($A31="","",$B31+$C31-$D31-$E31)</f>
        <v/>
      </c>
      <c r="H31" s="37">
        <f>IF($A31="","",IFERROR(ROUND($G31*INDEX(tblKurallar[deger_2025],MATCH("AKV-003",tblKurallar[kural_id],0)),2),0))</f>
        <v/>
      </c>
      <c r="I31" s="37">
        <f>IF($A31="","",IFERROR(MAX(0,$H31-$F31),0))</f>
        <v/>
      </c>
    </row>
    <row r="32">
      <c r="A32" s="36" t="n"/>
      <c r="B32" s="36" t="n"/>
      <c r="C32" s="36" t="n"/>
      <c r="D32" s="36" t="n"/>
      <c r="E32" s="36" t="n"/>
      <c r="F32" s="36" t="n"/>
      <c r="G32" s="37">
        <f>IF($A32="","",$B32+$C32-$D32-$E32)</f>
        <v/>
      </c>
      <c r="H32" s="37">
        <f>IF($A32="","",IFERROR(ROUND($G32*INDEX(tblKurallar[deger_2025],MATCH("AKV-003",tblKurallar[kural_id],0)),2),0))</f>
        <v/>
      </c>
      <c r="I32" s="37">
        <f>IF($A32="","",IFERROR(MAX(0,$H32-$F32),0))</f>
        <v/>
      </c>
    </row>
    <row r="33">
      <c r="A33" s="36" t="n"/>
      <c r="B33" s="36" t="n"/>
      <c r="C33" s="36" t="n"/>
      <c r="D33" s="36" t="n"/>
      <c r="E33" s="36" t="n"/>
      <c r="F33" s="36" t="n"/>
      <c r="G33" s="37">
        <f>IF($A33="","",$B33+$C33-$D33-$E33)</f>
        <v/>
      </c>
      <c r="H33" s="37">
        <f>IF($A33="","",IFERROR(ROUND($G33*INDEX(tblKurallar[deger_2025],MATCH("AKV-003",tblKurallar[kural_id],0)),2),0))</f>
        <v/>
      </c>
      <c r="I33" s="37">
        <f>IF($A33="","",IFERROR(MAX(0,$H33-$F33),0))</f>
        <v/>
      </c>
    </row>
    <row r="34">
      <c r="A34" s="36" t="n"/>
      <c r="B34" s="36" t="n"/>
      <c r="C34" s="36" t="n"/>
      <c r="D34" s="36" t="n"/>
      <c r="E34" s="36" t="n"/>
      <c r="F34" s="36" t="n"/>
      <c r="G34" s="37">
        <f>IF($A34="","",$B34+$C34-$D34-$E34)</f>
        <v/>
      </c>
      <c r="H34" s="37">
        <f>IF($A34="","",IFERROR(ROUND($G34*INDEX(tblKurallar[deger_2025],MATCH("AKV-003",tblKurallar[kural_id],0)),2),0))</f>
        <v/>
      </c>
      <c r="I34" s="37">
        <f>IF($A34="","",IFERROR(MAX(0,$H34-$F34),0))</f>
        <v/>
      </c>
    </row>
    <row r="35">
      <c r="A35" s="36" t="n"/>
      <c r="B35" s="36" t="n"/>
      <c r="C35" s="36" t="n"/>
      <c r="D35" s="36" t="n"/>
      <c r="E35" s="36" t="n"/>
      <c r="F35" s="36" t="n"/>
      <c r="G35" s="37">
        <f>IF($A35="","",$B35+$C35-$D35-$E35)</f>
        <v/>
      </c>
      <c r="H35" s="37">
        <f>IF($A35="","",IFERROR(ROUND($G35*INDEX(tblKurallar[deger_2025],MATCH("AKV-003",tblKurallar[kural_id],0)),2),0))</f>
        <v/>
      </c>
      <c r="I35" s="37">
        <f>IF($A35="","",IFERROR(MAX(0,$H35-$F35),0))</f>
        <v/>
      </c>
    </row>
    <row r="36">
      <c r="A36" s="36" t="n"/>
      <c r="B36" s="36" t="n"/>
      <c r="C36" s="36" t="n"/>
      <c r="D36" s="36" t="n"/>
      <c r="E36" s="36" t="n"/>
      <c r="F36" s="36" t="n"/>
      <c r="G36" s="37">
        <f>IF($A36="","",$B36+$C36-$D36-$E36)</f>
        <v/>
      </c>
      <c r="H36" s="37">
        <f>IF($A36="","",IFERROR(ROUND($G36*INDEX(tblKurallar[deger_2025],MATCH("AKV-003",tblKurallar[kural_id],0)),2),0))</f>
        <v/>
      </c>
      <c r="I36" s="37">
        <f>IF($A36="","",IFERROR(MAX(0,$H36-$F36),0))</f>
        <v/>
      </c>
    </row>
    <row r="37">
      <c r="A37" s="36" t="n"/>
      <c r="B37" s="36" t="n"/>
      <c r="C37" s="36" t="n"/>
      <c r="D37" s="36" t="n"/>
      <c r="E37" s="36" t="n"/>
      <c r="F37" s="36" t="n"/>
      <c r="G37" s="37">
        <f>IF($A37="","",$B37+$C37-$D37-$E37)</f>
        <v/>
      </c>
      <c r="H37" s="37">
        <f>IF($A37="","",IFERROR(ROUND($G37*INDEX(tblKurallar[deger_2025],MATCH("AKV-003",tblKurallar[kural_id],0)),2),0))</f>
        <v/>
      </c>
      <c r="I37" s="37">
        <f>IF($A37="","",IFERROR(MAX(0,$H37-$F37),0))</f>
        <v/>
      </c>
    </row>
    <row r="38">
      <c r="A38" s="36" t="n"/>
      <c r="B38" s="36" t="n"/>
      <c r="C38" s="36" t="n"/>
      <c r="D38" s="36" t="n"/>
      <c r="E38" s="36" t="n"/>
      <c r="F38" s="36" t="n"/>
      <c r="G38" s="37">
        <f>IF($A38="","",$B38+$C38-$D38-$E38)</f>
        <v/>
      </c>
      <c r="H38" s="37">
        <f>IF($A38="","",IFERROR(ROUND($G38*INDEX(tblKurallar[deger_2025],MATCH("AKV-003",tblKurallar[kural_id],0)),2),0))</f>
        <v/>
      </c>
      <c r="I38" s="37">
        <f>IF($A38="","",IFERROR(MAX(0,$H38-$F38),0))</f>
        <v/>
      </c>
    </row>
    <row r="39">
      <c r="A39" s="36" t="n"/>
      <c r="B39" s="36" t="n"/>
      <c r="C39" s="36" t="n"/>
      <c r="D39" s="36" t="n"/>
      <c r="E39" s="36" t="n"/>
      <c r="F39" s="36" t="n"/>
      <c r="G39" s="37">
        <f>IF($A39="","",$B39+$C39-$D39-$E39)</f>
        <v/>
      </c>
      <c r="H39" s="37">
        <f>IF($A39="","",IFERROR(ROUND($G39*INDEX(tblKurallar[deger_2025],MATCH("AKV-003",tblKurallar[kural_id],0)),2),0))</f>
        <v/>
      </c>
      <c r="I39" s="37">
        <f>IF($A39="","",IFERROR(MAX(0,$H39-$F39),0))</f>
        <v/>
      </c>
    </row>
    <row r="40">
      <c r="A40" s="36" t="n"/>
      <c r="B40" s="36" t="n"/>
      <c r="C40" s="36" t="n"/>
      <c r="D40" s="36" t="n"/>
      <c r="E40" s="36" t="n"/>
      <c r="F40" s="36" t="n"/>
      <c r="G40" s="37">
        <f>IF($A40="","",$B40+$C40-$D40-$E40)</f>
        <v/>
      </c>
      <c r="H40" s="37">
        <f>IF($A40="","",IFERROR(ROUND($G40*INDEX(tblKurallar[deger_2025],MATCH("AKV-003",tblKurallar[kural_id],0)),2),0))</f>
        <v/>
      </c>
      <c r="I40" s="37">
        <f>IF($A40="","",IFERROR(MAX(0,$H40-$F40),0))</f>
        <v/>
      </c>
    </row>
    <row r="41">
      <c r="A41" s="36" t="n"/>
      <c r="B41" s="36" t="n"/>
      <c r="C41" s="36" t="n"/>
      <c r="D41" s="36" t="n"/>
      <c r="E41" s="36" t="n"/>
      <c r="F41" s="36" t="n"/>
      <c r="G41" s="37">
        <f>IF($A41="","",$B41+$C41-$D41-$E41)</f>
        <v/>
      </c>
      <c r="H41" s="37">
        <f>IF($A41="","",IFERROR(ROUND($G41*INDEX(tblKurallar[deger_2025],MATCH("AKV-003",tblKurallar[kural_id],0)),2),0))</f>
        <v/>
      </c>
      <c r="I41" s="37">
        <f>IF($A41="","",IFERROR(MAX(0,$H41-$F41),0))</f>
        <v/>
      </c>
    </row>
    <row r="42">
      <c r="A42" s="36" t="n"/>
      <c r="B42" s="36" t="n"/>
      <c r="C42" s="36" t="n"/>
      <c r="D42" s="36" t="n"/>
      <c r="E42" s="36" t="n"/>
      <c r="F42" s="36" t="n"/>
      <c r="G42" s="37">
        <f>IF($A42="","",$B42+$C42-$D42-$E42)</f>
        <v/>
      </c>
      <c r="H42" s="37">
        <f>IF($A42="","",IFERROR(ROUND($G42*INDEX(tblKurallar[deger_2025],MATCH("AKV-003",tblKurallar[kural_id],0)),2),0))</f>
        <v/>
      </c>
      <c r="I42" s="37">
        <f>IF($A42="","",IFERROR(MAX(0,$H42-$F42),0))</f>
        <v/>
      </c>
    </row>
    <row r="43">
      <c r="A43" s="36" t="n"/>
      <c r="B43" s="36" t="n"/>
      <c r="C43" s="36" t="n"/>
      <c r="D43" s="36" t="n"/>
      <c r="E43" s="36" t="n"/>
      <c r="F43" s="36" t="n"/>
      <c r="G43" s="37">
        <f>IF($A43="","",$B43+$C43-$D43-$E43)</f>
        <v/>
      </c>
      <c r="H43" s="37">
        <f>IF($A43="","",IFERROR(ROUND($G43*INDEX(tblKurallar[deger_2025],MATCH("AKV-003",tblKurallar[kural_id],0)),2),0))</f>
        <v/>
      </c>
      <c r="I43" s="37">
        <f>IF($A43="","",IFERROR(MAX(0,$H43-$F43),0))</f>
        <v/>
      </c>
    </row>
    <row r="44">
      <c r="A44" s="36" t="n"/>
      <c r="B44" s="36" t="n"/>
      <c r="C44" s="36" t="n"/>
      <c r="D44" s="36" t="n"/>
      <c r="E44" s="36" t="n"/>
      <c r="F44" s="36" t="n"/>
      <c r="G44" s="37">
        <f>IF($A44="","",$B44+$C44-$D44-$E44)</f>
        <v/>
      </c>
      <c r="H44" s="37">
        <f>IF($A44="","",IFERROR(ROUND($G44*INDEX(tblKurallar[deger_2025],MATCH("AKV-003",tblKurallar[kural_id],0)),2),0))</f>
        <v/>
      </c>
      <c r="I44" s="37">
        <f>IF($A44="","",IFERROR(MAX(0,$H44-$F44),0))</f>
        <v/>
      </c>
    </row>
    <row r="45">
      <c r="A45" s="36" t="n"/>
      <c r="B45" s="36" t="n"/>
      <c r="C45" s="36" t="n"/>
      <c r="D45" s="36" t="n"/>
      <c r="E45" s="36" t="n"/>
      <c r="F45" s="36" t="n"/>
      <c r="G45" s="37">
        <f>IF($A45="","",$B45+$C45-$D45-$E45)</f>
        <v/>
      </c>
      <c r="H45" s="37">
        <f>IF($A45="","",IFERROR(ROUND($G45*INDEX(tblKurallar[deger_2025],MATCH("AKV-003",tblKurallar[kural_id],0)),2),0))</f>
        <v/>
      </c>
      <c r="I45" s="37">
        <f>IF($A45="","",IFERROR(MAX(0,$H45-$F45),0))</f>
        <v/>
      </c>
    </row>
    <row r="46">
      <c r="A46" s="36" t="n"/>
      <c r="B46" s="36" t="n"/>
      <c r="C46" s="36" t="n"/>
      <c r="D46" s="36" t="n"/>
      <c r="E46" s="36" t="n"/>
      <c r="F46" s="36" t="n"/>
      <c r="G46" s="37">
        <f>IF($A46="","",$B46+$C46-$D46-$E46)</f>
        <v/>
      </c>
      <c r="H46" s="37">
        <f>IF($A46="","",IFERROR(ROUND($G46*INDEX(tblKurallar[deger_2025],MATCH("AKV-003",tblKurallar[kural_id],0)),2),0))</f>
        <v/>
      </c>
      <c r="I46" s="37">
        <f>IF($A46="","",IFERROR(MAX(0,$H46-$F46),0))</f>
        <v/>
      </c>
    </row>
    <row r="47">
      <c r="A47" s="36" t="n"/>
      <c r="B47" s="36" t="n"/>
      <c r="C47" s="36" t="n"/>
      <c r="D47" s="36" t="n"/>
      <c r="E47" s="36" t="n"/>
      <c r="F47" s="36" t="n"/>
      <c r="G47" s="37">
        <f>IF($A47="","",$B47+$C47-$D47-$E47)</f>
        <v/>
      </c>
      <c r="H47" s="37">
        <f>IF($A47="","",IFERROR(ROUND($G47*INDEX(tblKurallar[deger_2025],MATCH("AKV-003",tblKurallar[kural_id],0)),2),0))</f>
        <v/>
      </c>
      <c r="I47" s="37">
        <f>IF($A47="","",IFERROR(MAX(0,$H47-$F47),0))</f>
        <v/>
      </c>
    </row>
    <row r="48">
      <c r="A48" s="36" t="n"/>
      <c r="B48" s="36" t="n"/>
      <c r="C48" s="36" t="n"/>
      <c r="D48" s="36" t="n"/>
      <c r="E48" s="36" t="n"/>
      <c r="F48" s="36" t="n"/>
      <c r="G48" s="37">
        <f>IF($A48="","",$B48+$C48-$D48-$E48)</f>
        <v/>
      </c>
      <c r="H48" s="37">
        <f>IF($A48="","",IFERROR(ROUND($G48*INDEX(tblKurallar[deger_2025],MATCH("AKV-003",tblKurallar[kural_id],0)),2),0))</f>
        <v/>
      </c>
      <c r="I48" s="37">
        <f>IF($A48="","",IFERROR(MAX(0,$H48-$F48),0))</f>
        <v/>
      </c>
    </row>
    <row r="49">
      <c r="A49" s="36" t="n"/>
      <c r="B49" s="36" t="n"/>
      <c r="C49" s="36" t="n"/>
      <c r="D49" s="36" t="n"/>
      <c r="E49" s="36" t="n"/>
      <c r="F49" s="36" t="n"/>
      <c r="G49" s="37">
        <f>IF($A49="","",$B49+$C49-$D49-$E49)</f>
        <v/>
      </c>
      <c r="H49" s="37">
        <f>IF($A49="","",IFERROR(ROUND($G49*INDEX(tblKurallar[deger_2025],MATCH("AKV-003",tblKurallar[kural_id],0)),2),0))</f>
        <v/>
      </c>
      <c r="I49" s="37">
        <f>IF($A49="","",IFERROR(MAX(0,$H49-$F49),0))</f>
        <v/>
      </c>
    </row>
    <row r="50">
      <c r="A50" s="36" t="n"/>
      <c r="B50" s="36" t="n"/>
      <c r="C50" s="36" t="n"/>
      <c r="D50" s="36" t="n"/>
      <c r="E50" s="36" t="n"/>
      <c r="F50" s="36" t="n"/>
      <c r="G50" s="37">
        <f>IF($A50="","",$B50+$C50-$D50-$E50)</f>
        <v/>
      </c>
      <c r="H50" s="37">
        <f>IF($A50="","",IFERROR(ROUND($G50*INDEX(tblKurallar[deger_2025],MATCH("AKV-003",tblKurallar[kural_id],0)),2),0))</f>
        <v/>
      </c>
      <c r="I50" s="37">
        <f>IF($A50="","",IFERROR(MAX(0,$H50-$F50),0))</f>
        <v/>
      </c>
    </row>
    <row r="51">
      <c r="A51" s="36" t="n"/>
      <c r="B51" s="36" t="n"/>
      <c r="C51" s="36" t="n"/>
      <c r="D51" s="36" t="n"/>
      <c r="E51" s="36" t="n"/>
      <c r="F51" s="36" t="n"/>
      <c r="G51" s="37">
        <f>IF($A51="","",$B51+$C51-$D51-$E51)</f>
        <v/>
      </c>
      <c r="H51" s="37">
        <f>IF($A51="","",IFERROR(ROUND($G51*INDEX(tblKurallar[deger_2025],MATCH("AKV-003",tblKurallar[kural_id],0)),2),0))</f>
        <v/>
      </c>
      <c r="I51" s="37">
        <f>IF($A51="","",IFERROR(MAX(0,$H51-$F51),0))</f>
        <v/>
      </c>
    </row>
    <row r="52">
      <c r="A52" s="36" t="n"/>
      <c r="B52" s="36" t="n"/>
      <c r="C52" s="36" t="n"/>
      <c r="D52" s="36" t="n"/>
      <c r="E52" s="36" t="n"/>
      <c r="F52" s="36" t="n"/>
      <c r="G52" s="37">
        <f>IF($A52="","",$B52+$C52-$D52-$E52)</f>
        <v/>
      </c>
      <c r="H52" s="37">
        <f>IF($A52="","",IFERROR(ROUND($G52*INDEX(tblKurallar[deger_2025],MATCH("AKV-003",tblKurallar[kural_id],0)),2),0))</f>
        <v/>
      </c>
      <c r="I52" s="37">
        <f>IF($A52="","",IFERROR(MAX(0,$H52-$F52),0))</f>
        <v/>
      </c>
    </row>
    <row r="53">
      <c r="A53" s="36" t="n"/>
      <c r="B53" s="36" t="n"/>
      <c r="C53" s="36" t="n"/>
      <c r="D53" s="36" t="n"/>
      <c r="E53" s="36" t="n"/>
      <c r="F53" s="36" t="n"/>
      <c r="G53" s="37">
        <f>IF($A53="","",$B53+$C53-$D53-$E53)</f>
        <v/>
      </c>
      <c r="H53" s="37">
        <f>IF($A53="","",IFERROR(ROUND($G53*INDEX(tblKurallar[deger_2025],MATCH("AKV-003",tblKurallar[kural_id],0)),2),0))</f>
        <v/>
      </c>
      <c r="I53" s="37">
        <f>IF($A53="","",IFERROR(MAX(0,$H53-$F53),0))</f>
        <v/>
      </c>
    </row>
    <row r="54">
      <c r="A54" s="36" t="n"/>
      <c r="B54" s="36" t="n"/>
      <c r="C54" s="36" t="n"/>
      <c r="D54" s="36" t="n"/>
      <c r="E54" s="36" t="n"/>
      <c r="F54" s="36" t="n"/>
      <c r="G54" s="37">
        <f>IF($A54="","",$B54+$C54-$D54-$E54)</f>
        <v/>
      </c>
      <c r="H54" s="37">
        <f>IF($A54="","",IFERROR(ROUND($G54*INDEX(tblKurallar[deger_2025],MATCH("AKV-003",tblKurallar[kural_id],0)),2),0))</f>
        <v/>
      </c>
      <c r="I54" s="37">
        <f>IF($A54="","",IFERROR(MAX(0,$H54-$F54),0))</f>
        <v/>
      </c>
    </row>
    <row r="55">
      <c r="A55" s="36" t="n"/>
      <c r="B55" s="36" t="n"/>
      <c r="C55" s="36" t="n"/>
      <c r="D55" s="36" t="n"/>
      <c r="E55" s="36" t="n"/>
      <c r="F55" s="36" t="n"/>
      <c r="G55" s="37">
        <f>IF($A55="","",$B55+$C55-$D55-$E55)</f>
        <v/>
      </c>
      <c r="H55" s="37">
        <f>IF($A55="","",IFERROR(ROUND($G55*INDEX(tblKurallar[deger_2025],MATCH("AKV-003",tblKurallar[kural_id],0)),2),0))</f>
        <v/>
      </c>
      <c r="I55" s="37">
        <f>IF($A55="","",IFERROR(MAX(0,$H55-$F55),0))</f>
        <v/>
      </c>
    </row>
    <row r="56">
      <c r="A56" s="36" t="n"/>
      <c r="B56" s="36" t="n"/>
      <c r="C56" s="36" t="n"/>
      <c r="D56" s="36" t="n"/>
      <c r="E56" s="36" t="n"/>
      <c r="F56" s="36" t="n"/>
      <c r="G56" s="37">
        <f>IF($A56="","",$B56+$C56-$D56-$E56)</f>
        <v/>
      </c>
      <c r="H56" s="37">
        <f>IF($A56="","",IFERROR(ROUND($G56*INDEX(tblKurallar[deger_2025],MATCH("AKV-003",tblKurallar[kural_id],0)),2),0))</f>
        <v/>
      </c>
      <c r="I56" s="37">
        <f>IF($A56="","",IFERROR(MAX(0,$H56-$F56),0))</f>
        <v/>
      </c>
    </row>
    <row r="57">
      <c r="A57" s="36" t="n"/>
      <c r="B57" s="36" t="n"/>
      <c r="C57" s="36" t="n"/>
      <c r="D57" s="36" t="n"/>
      <c r="E57" s="36" t="n"/>
      <c r="F57" s="36" t="n"/>
      <c r="G57" s="37">
        <f>IF($A57="","",$B57+$C57-$D57-$E57)</f>
        <v/>
      </c>
      <c r="H57" s="37">
        <f>IF($A57="","",IFERROR(ROUND($G57*INDEX(tblKurallar[deger_2025],MATCH("AKV-003",tblKurallar[kural_id],0)),2),0))</f>
        <v/>
      </c>
      <c r="I57" s="37">
        <f>IF($A57="","",IFERROR(MAX(0,$H57-$F57),0))</f>
        <v/>
      </c>
    </row>
    <row r="58">
      <c r="A58" s="36" t="n"/>
      <c r="B58" s="36" t="n"/>
      <c r="C58" s="36" t="n"/>
      <c r="D58" s="36" t="n"/>
      <c r="E58" s="36" t="n"/>
      <c r="F58" s="36" t="n"/>
      <c r="G58" s="37">
        <f>IF($A58="","",$B58+$C58-$D58-$E58)</f>
        <v/>
      </c>
      <c r="H58" s="37">
        <f>IF($A58="","",IFERROR(ROUND($G58*INDEX(tblKurallar[deger_2025],MATCH("AKV-003",tblKurallar[kural_id],0)),2),0))</f>
        <v/>
      </c>
      <c r="I58" s="37">
        <f>IF($A58="","",IFERROR(MAX(0,$H58-$F58),0))</f>
        <v/>
      </c>
    </row>
    <row r="59">
      <c r="A59" s="36" t="n"/>
      <c r="B59" s="36" t="n"/>
      <c r="C59" s="36" t="n"/>
      <c r="D59" s="36" t="n"/>
      <c r="E59" s="36" t="n"/>
      <c r="F59" s="36" t="n"/>
      <c r="G59" s="37">
        <f>IF($A59="","",$B59+$C59-$D59-$E59)</f>
        <v/>
      </c>
      <c r="H59" s="37">
        <f>IF($A59="","",IFERROR(ROUND($G59*INDEX(tblKurallar[deger_2025],MATCH("AKV-003",tblKurallar[kural_id],0)),2),0))</f>
        <v/>
      </c>
      <c r="I59" s="37">
        <f>IF($A59="","",IFERROR(MAX(0,$H59-$F59),0))</f>
        <v/>
      </c>
    </row>
    <row r="60">
      <c r="A60" s="36" t="n"/>
      <c r="B60" s="36" t="n"/>
      <c r="C60" s="36" t="n"/>
      <c r="D60" s="36" t="n"/>
      <c r="E60" s="36" t="n"/>
      <c r="F60" s="36" t="n"/>
      <c r="G60" s="37">
        <f>IF($A60="","",$B60+$C60-$D60-$E60)</f>
        <v/>
      </c>
      <c r="H60" s="37">
        <f>IF($A60="","",IFERROR(ROUND($G60*INDEX(tblKurallar[deger_2025],MATCH("AKV-003",tblKurallar[kural_id],0)),2),0))</f>
        <v/>
      </c>
      <c r="I60" s="37">
        <f>IF($A60="","",IFERROR(MAX(0,$H60-$F60),0))</f>
        <v/>
      </c>
    </row>
    <row r="61">
      <c r="A61" s="36" t="n"/>
      <c r="B61" s="36" t="n"/>
      <c r="C61" s="36" t="n"/>
      <c r="D61" s="36" t="n"/>
      <c r="E61" s="36" t="n"/>
      <c r="F61" s="36" t="n"/>
      <c r="G61" s="37">
        <f>IF($A61="","",$B61+$C61-$D61-$E61)</f>
        <v/>
      </c>
      <c r="H61" s="37">
        <f>IF($A61="","",IFERROR(ROUND($G61*INDEX(tblKurallar[deger_2025],MATCH("AKV-003",tblKurallar[kural_id],0)),2),0))</f>
        <v/>
      </c>
      <c r="I61" s="37">
        <f>IF($A61="","",IFERROR(MAX(0,$H61-$F61),0))</f>
        <v/>
      </c>
    </row>
    <row r="62">
      <c r="A62" s="36" t="n"/>
      <c r="B62" s="36" t="n"/>
      <c r="C62" s="36" t="n"/>
      <c r="D62" s="36" t="n"/>
      <c r="E62" s="36" t="n"/>
      <c r="F62" s="36" t="n"/>
      <c r="G62" s="37">
        <f>IF($A62="","",$B62+$C62-$D62-$E62)</f>
        <v/>
      </c>
      <c r="H62" s="37">
        <f>IF($A62="","",IFERROR(ROUND($G62*INDEX(tblKurallar[deger_2025],MATCH("AKV-003",tblKurallar[kural_id],0)),2),0))</f>
        <v/>
      </c>
      <c r="I62" s="37">
        <f>IF($A62="","",IFERROR(MAX(0,$H62-$F62),0))</f>
        <v/>
      </c>
    </row>
    <row r="63">
      <c r="A63" s="36" t="n"/>
      <c r="B63" s="36" t="n"/>
      <c r="C63" s="36" t="n"/>
      <c r="D63" s="36" t="n"/>
      <c r="E63" s="36" t="n"/>
      <c r="F63" s="36" t="n"/>
      <c r="G63" s="37">
        <f>IF($A63="","",$B63+$C63-$D63-$E63)</f>
        <v/>
      </c>
      <c r="H63" s="37">
        <f>IF($A63="","",IFERROR(ROUND($G63*INDEX(tblKurallar[deger_2025],MATCH("AKV-003",tblKurallar[kural_id],0)),2),0))</f>
        <v/>
      </c>
      <c r="I63" s="37">
        <f>IF($A63="","",IFERROR(MAX(0,$H63-$F63),0))</f>
        <v/>
      </c>
    </row>
    <row r="64">
      <c r="A64" s="36" t="n"/>
      <c r="B64" s="36" t="n"/>
      <c r="C64" s="36" t="n"/>
      <c r="D64" s="36" t="n"/>
      <c r="E64" s="36" t="n"/>
      <c r="F64" s="36" t="n"/>
      <c r="G64" s="37">
        <f>IF($A64="","",$B64+$C64-$D64-$E64)</f>
        <v/>
      </c>
      <c r="H64" s="37">
        <f>IF($A64="","",IFERROR(ROUND($G64*INDEX(tblKurallar[deger_2025],MATCH("AKV-003",tblKurallar[kural_id],0)),2),0))</f>
        <v/>
      </c>
      <c r="I64" s="37">
        <f>IF($A64="","",IFERROR(MAX(0,$H64-$F64),0))</f>
        <v/>
      </c>
    </row>
    <row r="65">
      <c r="A65" s="36" t="n"/>
      <c r="B65" s="36" t="n"/>
      <c r="C65" s="36" t="n"/>
      <c r="D65" s="36" t="n"/>
      <c r="E65" s="36" t="n"/>
      <c r="F65" s="36" t="n"/>
      <c r="G65" s="37">
        <f>IF($A65="","",$B65+$C65-$D65-$E65)</f>
        <v/>
      </c>
      <c r="H65" s="37">
        <f>IF($A65="","",IFERROR(ROUND($G65*INDEX(tblKurallar[deger_2025],MATCH("AKV-003",tblKurallar[kural_id],0)),2),0))</f>
        <v/>
      </c>
      <c r="I65" s="37">
        <f>IF($A65="","",IFERROR(MAX(0,$H65-$F65),0))</f>
        <v/>
      </c>
    </row>
    <row r="66">
      <c r="A66" s="36" t="n"/>
      <c r="B66" s="36" t="n"/>
      <c r="C66" s="36" t="n"/>
      <c r="D66" s="36" t="n"/>
      <c r="E66" s="36" t="n"/>
      <c r="F66" s="36" t="n"/>
      <c r="G66" s="37">
        <f>IF($A66="","",$B66+$C66-$D66-$E66)</f>
        <v/>
      </c>
      <c r="H66" s="37">
        <f>IF($A66="","",IFERROR(ROUND($G66*INDEX(tblKurallar[deger_2025],MATCH("AKV-003",tblKurallar[kural_id],0)),2),0))</f>
        <v/>
      </c>
      <c r="I66" s="37">
        <f>IF($A66="","",IFERROR(MAX(0,$H66-$F66),0))</f>
        <v/>
      </c>
    </row>
    <row r="67">
      <c r="A67" s="36" t="n"/>
      <c r="B67" s="36" t="n"/>
      <c r="C67" s="36" t="n"/>
      <c r="D67" s="36" t="n"/>
      <c r="E67" s="36" t="n"/>
      <c r="F67" s="36" t="n"/>
      <c r="G67" s="37">
        <f>IF($A67="","",$B67+$C67-$D67-$E67)</f>
        <v/>
      </c>
      <c r="H67" s="37">
        <f>IF($A67="","",IFERROR(ROUND($G67*INDEX(tblKurallar[deger_2025],MATCH("AKV-003",tblKurallar[kural_id],0)),2),0))</f>
        <v/>
      </c>
      <c r="I67" s="37">
        <f>IF($A67="","",IFERROR(MAX(0,$H67-$F67),0))</f>
        <v/>
      </c>
    </row>
    <row r="68">
      <c r="A68" s="36" t="n"/>
      <c r="B68" s="36" t="n"/>
      <c r="C68" s="36" t="n"/>
      <c r="D68" s="36" t="n"/>
      <c r="E68" s="36" t="n"/>
      <c r="F68" s="36" t="n"/>
      <c r="G68" s="37">
        <f>IF($A68="","",$B68+$C68-$D68-$E68)</f>
        <v/>
      </c>
      <c r="H68" s="37">
        <f>IF($A68="","",IFERROR(ROUND($G68*INDEX(tblKurallar[deger_2025],MATCH("AKV-003",tblKurallar[kural_id],0)),2),0))</f>
        <v/>
      </c>
      <c r="I68" s="37">
        <f>IF($A68="","",IFERROR(MAX(0,$H68-$F68),0))</f>
        <v/>
      </c>
    </row>
    <row r="69">
      <c r="A69" s="36" t="n"/>
      <c r="B69" s="36" t="n"/>
      <c r="C69" s="36" t="n"/>
      <c r="D69" s="36" t="n"/>
      <c r="E69" s="36" t="n"/>
      <c r="F69" s="36" t="n"/>
      <c r="G69" s="37">
        <f>IF($A69="","",$B69+$C69-$D69-$E69)</f>
        <v/>
      </c>
      <c r="H69" s="37">
        <f>IF($A69="","",IFERROR(ROUND($G69*INDEX(tblKurallar[deger_2025],MATCH("AKV-003",tblKurallar[kural_id],0)),2),0))</f>
        <v/>
      </c>
      <c r="I69" s="37">
        <f>IF($A69="","",IFERROR(MAX(0,$H69-$F69),0))</f>
        <v/>
      </c>
    </row>
    <row r="70">
      <c r="A70" s="36" t="n"/>
      <c r="B70" s="36" t="n"/>
      <c r="C70" s="36" t="n"/>
      <c r="D70" s="36" t="n"/>
      <c r="E70" s="36" t="n"/>
      <c r="F70" s="36" t="n"/>
      <c r="G70" s="37">
        <f>IF($A70="","",$B70+$C70-$D70-$E70)</f>
        <v/>
      </c>
      <c r="H70" s="37">
        <f>IF($A70="","",IFERROR(ROUND($G70*INDEX(tblKurallar[deger_2025],MATCH("AKV-003",tblKurallar[kural_id],0)),2),0))</f>
        <v/>
      </c>
      <c r="I70" s="37">
        <f>IF($A70="","",IFERROR(MAX(0,$H70-$F70),0))</f>
        <v/>
      </c>
    </row>
    <row r="71">
      <c r="A71" s="36" t="n"/>
      <c r="B71" s="36" t="n"/>
      <c r="C71" s="36" t="n"/>
      <c r="D71" s="36" t="n"/>
      <c r="E71" s="36" t="n"/>
      <c r="F71" s="36" t="n"/>
      <c r="G71" s="37">
        <f>IF($A71="","",$B71+$C71-$D71-$E71)</f>
        <v/>
      </c>
      <c r="H71" s="37">
        <f>IF($A71="","",IFERROR(ROUND($G71*INDEX(tblKurallar[deger_2025],MATCH("AKV-003",tblKurallar[kural_id],0)),2),0))</f>
        <v/>
      </c>
      <c r="I71" s="37">
        <f>IF($A71="","",IFERROR(MAX(0,$H71-$F71),0))</f>
        <v/>
      </c>
    </row>
    <row r="72">
      <c r="A72" s="36" t="n"/>
      <c r="B72" s="36" t="n"/>
      <c r="C72" s="36" t="n"/>
      <c r="D72" s="36" t="n"/>
      <c r="E72" s="36" t="n"/>
      <c r="F72" s="36" t="n"/>
      <c r="G72" s="37">
        <f>IF($A72="","",$B72+$C72-$D72-$E72)</f>
        <v/>
      </c>
      <c r="H72" s="37">
        <f>IF($A72="","",IFERROR(ROUND($G72*INDEX(tblKurallar[deger_2025],MATCH("AKV-003",tblKurallar[kural_id],0)),2),0))</f>
        <v/>
      </c>
      <c r="I72" s="37">
        <f>IF($A72="","",IFERROR(MAX(0,$H72-$F72),0))</f>
        <v/>
      </c>
    </row>
    <row r="73">
      <c r="A73" s="36" t="n"/>
      <c r="B73" s="36" t="n"/>
      <c r="C73" s="36" t="n"/>
      <c r="D73" s="36" t="n"/>
      <c r="E73" s="36" t="n"/>
      <c r="F73" s="36" t="n"/>
      <c r="G73" s="37">
        <f>IF($A73="","",$B73+$C73-$D73-$E73)</f>
        <v/>
      </c>
      <c r="H73" s="37">
        <f>IF($A73="","",IFERROR(ROUND($G73*INDEX(tblKurallar[deger_2025],MATCH("AKV-003",tblKurallar[kural_id],0)),2),0))</f>
        <v/>
      </c>
      <c r="I73" s="37">
        <f>IF($A73="","",IFERROR(MAX(0,$H73-$F73),0))</f>
        <v/>
      </c>
    </row>
    <row r="74">
      <c r="A74" s="36" t="n"/>
      <c r="B74" s="36" t="n"/>
      <c r="C74" s="36" t="n"/>
      <c r="D74" s="36" t="n"/>
      <c r="E74" s="36" t="n"/>
      <c r="F74" s="36" t="n"/>
      <c r="G74" s="37">
        <f>IF($A74="","",$B74+$C74-$D74-$E74)</f>
        <v/>
      </c>
      <c r="H74" s="37">
        <f>IF($A74="","",IFERROR(ROUND($G74*INDEX(tblKurallar[deger_2025],MATCH("AKV-003",tblKurallar[kural_id],0)),2),0))</f>
        <v/>
      </c>
      <c r="I74" s="37">
        <f>IF($A74="","",IFERROR(MAX(0,$H74-$F74),0))</f>
        <v/>
      </c>
    </row>
    <row r="75">
      <c r="A75" s="36" t="n"/>
      <c r="B75" s="36" t="n"/>
      <c r="C75" s="36" t="n"/>
      <c r="D75" s="36" t="n"/>
      <c r="E75" s="36" t="n"/>
      <c r="F75" s="36" t="n"/>
      <c r="G75" s="37">
        <f>IF($A75="","",$B75+$C75-$D75-$E75)</f>
        <v/>
      </c>
      <c r="H75" s="37">
        <f>IF($A75="","",IFERROR(ROUND($G75*INDEX(tblKurallar[deger_2025],MATCH("AKV-003",tblKurallar[kural_id],0)),2),0))</f>
        <v/>
      </c>
      <c r="I75" s="37">
        <f>IF($A75="","",IFERROR(MAX(0,$H75-$F75),0))</f>
        <v/>
      </c>
    </row>
    <row r="76">
      <c r="A76" s="36" t="n"/>
      <c r="B76" s="36" t="n"/>
      <c r="C76" s="36" t="n"/>
      <c r="D76" s="36" t="n"/>
      <c r="E76" s="36" t="n"/>
      <c r="F76" s="36" t="n"/>
      <c r="G76" s="37">
        <f>IF($A76="","",$B76+$C76-$D76-$E76)</f>
        <v/>
      </c>
      <c r="H76" s="37">
        <f>IF($A76="","",IFERROR(ROUND($G76*INDEX(tblKurallar[deger_2025],MATCH("AKV-003",tblKurallar[kural_id],0)),2),0))</f>
        <v/>
      </c>
      <c r="I76" s="37">
        <f>IF($A76="","",IFERROR(MAX(0,$H76-$F76),0))</f>
        <v/>
      </c>
    </row>
    <row r="77">
      <c r="A77" s="36" t="n"/>
      <c r="B77" s="36" t="n"/>
      <c r="C77" s="36" t="n"/>
      <c r="D77" s="36" t="n"/>
      <c r="E77" s="36" t="n"/>
      <c r="F77" s="36" t="n"/>
      <c r="G77" s="37">
        <f>IF($A77="","",$B77+$C77-$D77-$E77)</f>
        <v/>
      </c>
      <c r="H77" s="37">
        <f>IF($A77="","",IFERROR(ROUND($G77*INDEX(tblKurallar[deger_2025],MATCH("AKV-003",tblKurallar[kural_id],0)),2),0))</f>
        <v/>
      </c>
      <c r="I77" s="37">
        <f>IF($A77="","",IFERROR(MAX(0,$H77-$F77),0))</f>
        <v/>
      </c>
    </row>
    <row r="78">
      <c r="A78" s="36" t="n"/>
      <c r="B78" s="36" t="n"/>
      <c r="C78" s="36" t="n"/>
      <c r="D78" s="36" t="n"/>
      <c r="E78" s="36" t="n"/>
      <c r="F78" s="36" t="n"/>
      <c r="G78" s="37">
        <f>IF($A78="","",$B78+$C78-$D78-$E78)</f>
        <v/>
      </c>
      <c r="H78" s="37">
        <f>IF($A78="","",IFERROR(ROUND($G78*INDEX(tblKurallar[deger_2025],MATCH("AKV-003",tblKurallar[kural_id],0)),2),0))</f>
        <v/>
      </c>
      <c r="I78" s="37">
        <f>IF($A78="","",IFERROR(MAX(0,$H78-$F78),0))</f>
        <v/>
      </c>
    </row>
    <row r="79">
      <c r="A79" s="36" t="n"/>
      <c r="B79" s="36" t="n"/>
      <c r="C79" s="36" t="n"/>
      <c r="D79" s="36" t="n"/>
      <c r="E79" s="36" t="n"/>
      <c r="F79" s="36" t="n"/>
      <c r="G79" s="37">
        <f>IF($A79="","",$B79+$C79-$D79-$E79)</f>
        <v/>
      </c>
      <c r="H79" s="37">
        <f>IF($A79="","",IFERROR(ROUND($G79*INDEX(tblKurallar[deger_2025],MATCH("AKV-003",tblKurallar[kural_id],0)),2),0))</f>
        <v/>
      </c>
      <c r="I79" s="37">
        <f>IF($A79="","",IFERROR(MAX(0,$H79-$F79),0))</f>
        <v/>
      </c>
    </row>
    <row r="80">
      <c r="A80" s="36" t="n"/>
      <c r="B80" s="36" t="n"/>
      <c r="C80" s="36" t="n"/>
      <c r="D80" s="36" t="n"/>
      <c r="E80" s="36" t="n"/>
      <c r="F80" s="36" t="n"/>
      <c r="G80" s="37">
        <f>IF($A80="","",$B80+$C80-$D80-$E80)</f>
        <v/>
      </c>
      <c r="H80" s="37">
        <f>IF($A80="","",IFERROR(ROUND($G80*INDEX(tblKurallar[deger_2025],MATCH("AKV-003",tblKurallar[kural_id],0)),2),0))</f>
        <v/>
      </c>
      <c r="I80" s="37">
        <f>IF($A80="","",IFERROR(MAX(0,$H80-$F80),0))</f>
        <v/>
      </c>
    </row>
    <row r="81">
      <c r="A81" s="36" t="n"/>
      <c r="B81" s="36" t="n"/>
      <c r="C81" s="36" t="n"/>
      <c r="D81" s="36" t="n"/>
      <c r="E81" s="36" t="n"/>
      <c r="F81" s="36" t="n"/>
      <c r="G81" s="37">
        <f>IF($A81="","",$B81+$C81-$D81-$E81)</f>
        <v/>
      </c>
      <c r="H81" s="37">
        <f>IF($A81="","",IFERROR(ROUND($G81*INDEX(tblKurallar[deger_2025],MATCH("AKV-003",tblKurallar[kural_id],0)),2),0))</f>
        <v/>
      </c>
      <c r="I81" s="37">
        <f>IF($A81="","",IFERROR(MAX(0,$H81-$F81),0))</f>
        <v/>
      </c>
    </row>
    <row r="82">
      <c r="A82" s="36" t="n"/>
      <c r="B82" s="36" t="n"/>
      <c r="C82" s="36" t="n"/>
      <c r="D82" s="36" t="n"/>
      <c r="E82" s="36" t="n"/>
      <c r="F82" s="36" t="n"/>
      <c r="G82" s="37">
        <f>IF($A82="","",$B82+$C82-$D82-$E82)</f>
        <v/>
      </c>
      <c r="H82" s="37">
        <f>IF($A82="","",IFERROR(ROUND($G82*INDEX(tblKurallar[deger_2025],MATCH("AKV-003",tblKurallar[kural_id],0)),2),0))</f>
        <v/>
      </c>
      <c r="I82" s="37">
        <f>IF($A82="","",IFERROR(MAX(0,$H82-$F82),0))</f>
        <v/>
      </c>
    </row>
    <row r="83">
      <c r="A83" s="36" t="n"/>
      <c r="B83" s="36" t="n"/>
      <c r="C83" s="36" t="n"/>
      <c r="D83" s="36" t="n"/>
      <c r="E83" s="36" t="n"/>
      <c r="F83" s="36" t="n"/>
      <c r="G83" s="37">
        <f>IF($A83="","",$B83+$C83-$D83-$E83)</f>
        <v/>
      </c>
      <c r="H83" s="37">
        <f>IF($A83="","",IFERROR(ROUND($G83*INDEX(tblKurallar[deger_2025],MATCH("AKV-003",tblKurallar[kural_id],0)),2),0))</f>
        <v/>
      </c>
      <c r="I83" s="37">
        <f>IF($A83="","",IFERROR(MAX(0,$H83-$F83),0))</f>
        <v/>
      </c>
    </row>
    <row r="84">
      <c r="A84" s="36" t="n"/>
      <c r="B84" s="36" t="n"/>
      <c r="C84" s="36" t="n"/>
      <c r="D84" s="36" t="n"/>
      <c r="E84" s="36" t="n"/>
      <c r="F84" s="36" t="n"/>
      <c r="G84" s="37">
        <f>IF($A84="","",$B84+$C84-$D84-$E84)</f>
        <v/>
      </c>
      <c r="H84" s="37">
        <f>IF($A84="","",IFERROR(ROUND($G84*INDEX(tblKurallar[deger_2025],MATCH("AKV-003",tblKurallar[kural_id],0)),2),0))</f>
        <v/>
      </c>
      <c r="I84" s="37">
        <f>IF($A84="","",IFERROR(MAX(0,$H84-$F84),0))</f>
        <v/>
      </c>
    </row>
    <row r="85">
      <c r="A85" s="36" t="n"/>
      <c r="B85" s="36" t="n"/>
      <c r="C85" s="36" t="n"/>
      <c r="D85" s="36" t="n"/>
      <c r="E85" s="36" t="n"/>
      <c r="F85" s="36" t="n"/>
      <c r="G85" s="37">
        <f>IF($A85="","",$B85+$C85-$D85-$E85)</f>
        <v/>
      </c>
      <c r="H85" s="37">
        <f>IF($A85="","",IFERROR(ROUND($G85*INDEX(tblKurallar[deger_2025],MATCH("AKV-003",tblKurallar[kural_id],0)),2),0))</f>
        <v/>
      </c>
      <c r="I85" s="37">
        <f>IF($A85="","",IFERROR(MAX(0,$H85-$F85),0))</f>
        <v/>
      </c>
    </row>
    <row r="86">
      <c r="A86" s="36" t="n"/>
      <c r="B86" s="36" t="n"/>
      <c r="C86" s="36" t="n"/>
      <c r="D86" s="36" t="n"/>
      <c r="E86" s="36" t="n"/>
      <c r="F86" s="36" t="n"/>
      <c r="G86" s="37">
        <f>IF($A86="","",$B86+$C86-$D86-$E86)</f>
        <v/>
      </c>
      <c r="H86" s="37">
        <f>IF($A86="","",IFERROR(ROUND($G86*INDEX(tblKurallar[deger_2025],MATCH("AKV-003",tblKurallar[kural_id],0)),2),0))</f>
        <v/>
      </c>
      <c r="I86" s="37">
        <f>IF($A86="","",IFERROR(MAX(0,$H86-$F86),0))</f>
        <v/>
      </c>
    </row>
    <row r="87">
      <c r="A87" s="36" t="n"/>
      <c r="B87" s="36" t="n"/>
      <c r="C87" s="36" t="n"/>
      <c r="D87" s="36" t="n"/>
      <c r="E87" s="36" t="n"/>
      <c r="F87" s="36" t="n"/>
      <c r="G87" s="37">
        <f>IF($A87="","",$B87+$C87-$D87-$E87)</f>
        <v/>
      </c>
      <c r="H87" s="37">
        <f>IF($A87="","",IFERROR(ROUND($G87*INDEX(tblKurallar[deger_2025],MATCH("AKV-003",tblKurallar[kural_id],0)),2),0))</f>
        <v/>
      </c>
      <c r="I87" s="37">
        <f>IF($A87="","",IFERROR(MAX(0,$H87-$F87),0))</f>
        <v/>
      </c>
    </row>
    <row r="88">
      <c r="A88" s="36" t="n"/>
      <c r="B88" s="36" t="n"/>
      <c r="C88" s="36" t="n"/>
      <c r="D88" s="36" t="n"/>
      <c r="E88" s="36" t="n"/>
      <c r="F88" s="36" t="n"/>
      <c r="G88" s="37">
        <f>IF($A88="","",$B88+$C88-$D88-$E88)</f>
        <v/>
      </c>
      <c r="H88" s="37">
        <f>IF($A88="","",IFERROR(ROUND($G88*INDEX(tblKurallar[deger_2025],MATCH("AKV-003",tblKurallar[kural_id],0)),2),0))</f>
        <v/>
      </c>
      <c r="I88" s="37">
        <f>IF($A88="","",IFERROR(MAX(0,$H88-$F88),0))</f>
        <v/>
      </c>
    </row>
    <row r="89">
      <c r="A89" s="36" t="n"/>
      <c r="B89" s="36" t="n"/>
      <c r="C89" s="36" t="n"/>
      <c r="D89" s="36" t="n"/>
      <c r="E89" s="36" t="n"/>
      <c r="F89" s="36" t="n"/>
      <c r="G89" s="37">
        <f>IF($A89="","",$B89+$C89-$D89-$E89)</f>
        <v/>
      </c>
      <c r="H89" s="37">
        <f>IF($A89="","",IFERROR(ROUND($G89*INDEX(tblKurallar[deger_2025],MATCH("AKV-003",tblKurallar[kural_id],0)),2),0))</f>
        <v/>
      </c>
      <c r="I89" s="37">
        <f>IF($A89="","",IFERROR(MAX(0,$H89-$F89),0))</f>
        <v/>
      </c>
    </row>
    <row r="90">
      <c r="A90" s="36" t="n"/>
      <c r="B90" s="36" t="n"/>
      <c r="C90" s="36" t="n"/>
      <c r="D90" s="36" t="n"/>
      <c r="E90" s="36" t="n"/>
      <c r="F90" s="36" t="n"/>
      <c r="G90" s="37">
        <f>IF($A90="","",$B90+$C90-$D90-$E90)</f>
        <v/>
      </c>
      <c r="H90" s="37">
        <f>IF($A90="","",IFERROR(ROUND($G90*INDEX(tblKurallar[deger_2025],MATCH("AKV-003",tblKurallar[kural_id],0)),2),0))</f>
        <v/>
      </c>
      <c r="I90" s="37">
        <f>IF($A90="","",IFERROR(MAX(0,$H90-$F90),0))</f>
        <v/>
      </c>
    </row>
    <row r="91">
      <c r="A91" s="36" t="n"/>
      <c r="B91" s="36" t="n"/>
      <c r="C91" s="36" t="n"/>
      <c r="D91" s="36" t="n"/>
      <c r="E91" s="36" t="n"/>
      <c r="F91" s="36" t="n"/>
      <c r="G91" s="37">
        <f>IF($A91="","",$B91+$C91-$D91-$E91)</f>
        <v/>
      </c>
      <c r="H91" s="37">
        <f>IF($A91="","",IFERROR(ROUND($G91*INDEX(tblKurallar[deger_2025],MATCH("AKV-003",tblKurallar[kural_id],0)),2),0))</f>
        <v/>
      </c>
      <c r="I91" s="37">
        <f>IF($A91="","",IFERROR(MAX(0,$H91-$F91),0))</f>
        <v/>
      </c>
    </row>
    <row r="92">
      <c r="A92" s="36" t="n"/>
      <c r="B92" s="36" t="n"/>
      <c r="C92" s="36" t="n"/>
      <c r="D92" s="36" t="n"/>
      <c r="E92" s="36" t="n"/>
      <c r="F92" s="36" t="n"/>
      <c r="G92" s="37">
        <f>IF($A92="","",$B92+$C92-$D92-$E92)</f>
        <v/>
      </c>
      <c r="H92" s="37">
        <f>IF($A92="","",IFERROR(ROUND($G92*INDEX(tblKurallar[deger_2025],MATCH("AKV-003",tblKurallar[kural_id],0)),2),0))</f>
        <v/>
      </c>
      <c r="I92" s="37">
        <f>IF($A92="","",IFERROR(MAX(0,$H92-$F92),0))</f>
        <v/>
      </c>
    </row>
    <row r="93">
      <c r="A93" s="36" t="n"/>
      <c r="B93" s="36" t="n"/>
      <c r="C93" s="36" t="n"/>
      <c r="D93" s="36" t="n"/>
      <c r="E93" s="36" t="n"/>
      <c r="F93" s="36" t="n"/>
      <c r="G93" s="37">
        <f>IF($A93="","",$B93+$C93-$D93-$E93)</f>
        <v/>
      </c>
      <c r="H93" s="37">
        <f>IF($A93="","",IFERROR(ROUND($G93*INDEX(tblKurallar[deger_2025],MATCH("AKV-003",tblKurallar[kural_id],0)),2),0))</f>
        <v/>
      </c>
      <c r="I93" s="37">
        <f>IF($A93="","",IFERROR(MAX(0,$H93-$F93),0))</f>
        <v/>
      </c>
    </row>
    <row r="94">
      <c r="A94" s="36" t="n"/>
      <c r="B94" s="36" t="n"/>
      <c r="C94" s="36" t="n"/>
      <c r="D94" s="36" t="n"/>
      <c r="E94" s="36" t="n"/>
      <c r="F94" s="36" t="n"/>
      <c r="G94" s="37">
        <f>IF($A94="","",$B94+$C94-$D94-$E94)</f>
        <v/>
      </c>
      <c r="H94" s="37">
        <f>IF($A94="","",IFERROR(ROUND($G94*INDEX(tblKurallar[deger_2025],MATCH("AKV-003",tblKurallar[kural_id],0)),2),0))</f>
        <v/>
      </c>
      <c r="I94" s="37">
        <f>IF($A94="","",IFERROR(MAX(0,$H94-$F94),0))</f>
        <v/>
      </c>
    </row>
    <row r="95">
      <c r="A95" s="36" t="n"/>
      <c r="B95" s="36" t="n"/>
      <c r="C95" s="36" t="n"/>
      <c r="D95" s="36" t="n"/>
      <c r="E95" s="36" t="n"/>
      <c r="F95" s="36" t="n"/>
      <c r="G95" s="37">
        <f>IF($A95="","",$B95+$C95-$D95-$E95)</f>
        <v/>
      </c>
      <c r="H95" s="37">
        <f>IF($A95="","",IFERROR(ROUND($G95*INDEX(tblKurallar[deger_2025],MATCH("AKV-003",tblKurallar[kural_id],0)),2),0))</f>
        <v/>
      </c>
      <c r="I95" s="37">
        <f>IF($A95="","",IFERROR(MAX(0,$H95-$F95),0))</f>
        <v/>
      </c>
    </row>
    <row r="96">
      <c r="A96" s="36" t="n"/>
      <c r="B96" s="36" t="n"/>
      <c r="C96" s="36" t="n"/>
      <c r="D96" s="36" t="n"/>
      <c r="E96" s="36" t="n"/>
      <c r="F96" s="36" t="n"/>
      <c r="G96" s="37">
        <f>IF($A96="","",$B96+$C96-$D96-$E96)</f>
        <v/>
      </c>
      <c r="H96" s="37">
        <f>IF($A96="","",IFERROR(ROUND($G96*INDEX(tblKurallar[deger_2025],MATCH("AKV-003",tblKurallar[kural_id],0)),2),0))</f>
        <v/>
      </c>
      <c r="I96" s="37">
        <f>IF($A96="","",IFERROR(MAX(0,$H96-$F96),0))</f>
        <v/>
      </c>
    </row>
    <row r="97">
      <c r="A97" s="36" t="n"/>
      <c r="B97" s="36" t="n"/>
      <c r="C97" s="36" t="n"/>
      <c r="D97" s="36" t="n"/>
      <c r="E97" s="36" t="n"/>
      <c r="F97" s="36" t="n"/>
      <c r="G97" s="37">
        <f>IF($A97="","",$B97+$C97-$D97-$E97)</f>
        <v/>
      </c>
      <c r="H97" s="37">
        <f>IF($A97="","",IFERROR(ROUND($G97*INDEX(tblKurallar[deger_2025],MATCH("AKV-003",tblKurallar[kural_id],0)),2),0))</f>
        <v/>
      </c>
      <c r="I97" s="37">
        <f>IF($A97="","",IFERROR(MAX(0,$H97-$F97),0))</f>
        <v/>
      </c>
    </row>
    <row r="98">
      <c r="A98" s="36" t="n"/>
      <c r="B98" s="36" t="n"/>
      <c r="C98" s="36" t="n"/>
      <c r="D98" s="36" t="n"/>
      <c r="E98" s="36" t="n"/>
      <c r="F98" s="36" t="n"/>
      <c r="G98" s="37">
        <f>IF($A98="","",$B98+$C98-$D98-$E98)</f>
        <v/>
      </c>
      <c r="H98" s="37">
        <f>IF($A98="","",IFERROR(ROUND($G98*INDEX(tblKurallar[deger_2025],MATCH("AKV-003",tblKurallar[kural_id],0)),2),0))</f>
        <v/>
      </c>
      <c r="I98" s="37">
        <f>IF($A98="","",IFERROR(MAX(0,$H98-$F98),0))</f>
        <v/>
      </c>
    </row>
    <row r="99">
      <c r="A99" s="36" t="n"/>
      <c r="B99" s="36" t="n"/>
      <c r="C99" s="36" t="n"/>
      <c r="D99" s="36" t="n"/>
      <c r="E99" s="36" t="n"/>
      <c r="F99" s="36" t="n"/>
      <c r="G99" s="37">
        <f>IF($A99="","",$B99+$C99-$D99-$E99)</f>
        <v/>
      </c>
      <c r="H99" s="37">
        <f>IF($A99="","",IFERROR(ROUND($G99*INDEX(tblKurallar[deger_2025],MATCH("AKV-003",tblKurallar[kural_id],0)),2),0))</f>
        <v/>
      </c>
      <c r="I99" s="37">
        <f>IF($A99="","",IFERROR(MAX(0,$H99-$F99),0))</f>
        <v/>
      </c>
    </row>
    <row r="100">
      <c r="A100" s="36" t="n"/>
      <c r="B100" s="36" t="n"/>
      <c r="C100" s="36" t="n"/>
      <c r="D100" s="36" t="n"/>
      <c r="E100" s="36" t="n"/>
      <c r="F100" s="36" t="n"/>
      <c r="G100" s="37">
        <f>IF($A100="","",$B100+$C100-$D100-$E100)</f>
        <v/>
      </c>
      <c r="H100" s="37">
        <f>IF($A100="","",IFERROR(ROUND($G100*INDEX(tblKurallar[deger_2025],MATCH("AKV-003",tblKurallar[kural_id],0)),2),0))</f>
        <v/>
      </c>
      <c r="I100" s="37">
        <f>IF($A100="","",IFERROR(MAX(0,$H100-$F100),0))</f>
        <v/>
      </c>
    </row>
    <row r="101">
      <c r="A101" s="36" t="n"/>
      <c r="B101" s="36" t="n"/>
      <c r="C101" s="36" t="n"/>
      <c r="D101" s="36" t="n"/>
      <c r="E101" s="36" t="n"/>
      <c r="F101" s="36" t="n"/>
      <c r="G101" s="37">
        <f>IF($A101="","",$B101+$C101-$D101-$E101)</f>
        <v/>
      </c>
      <c r="H101" s="37">
        <f>IF($A101="","",IFERROR(ROUND($G101*INDEX(tblKurallar[deger_2025],MATCH("AKV-003",tblKurallar[kural_id],0)),2),0))</f>
        <v/>
      </c>
      <c r="I101" s="37">
        <f>IF($A101="","",IFERROR(MAX(0,$H101-$F101),0))</f>
        <v/>
      </c>
    </row>
    <row r="102">
      <c r="A102" s="36" t="n"/>
      <c r="B102" s="36" t="n"/>
      <c r="C102" s="36" t="n"/>
      <c r="D102" s="36" t="n"/>
      <c r="E102" s="36" t="n"/>
      <c r="F102" s="36" t="n"/>
      <c r="G102" s="37">
        <f>IF($A102="","",$B102+$C102-$D102-$E102)</f>
        <v/>
      </c>
      <c r="H102" s="37">
        <f>IF($A102="","",IFERROR(ROUND($G102*INDEX(tblKurallar[deger_2025],MATCH("AKV-003",tblKurallar[kural_id],0)),2),0))</f>
        <v/>
      </c>
      <c r="I102" s="37">
        <f>IF($A102="","",IFERROR(MAX(0,$H102-$F102),0))</f>
        <v/>
      </c>
    </row>
    <row r="103">
      <c r="A103" s="36" t="n"/>
      <c r="B103" s="36" t="n"/>
      <c r="C103" s="36" t="n"/>
      <c r="D103" s="36" t="n"/>
      <c r="E103" s="36" t="n"/>
      <c r="F103" s="36" t="n"/>
      <c r="G103" s="37">
        <f>IF($A103="","",$B103+$C103-$D103-$E103)</f>
        <v/>
      </c>
      <c r="H103" s="37">
        <f>IF($A103="","",IFERROR(ROUND($G103*INDEX(tblKurallar[deger_2025],MATCH("AKV-003",tblKurallar[kural_id],0)),2),0))</f>
        <v/>
      </c>
      <c r="I103" s="37">
        <f>IF($A103="","",IFERROR(MAX(0,$H103-$F103),0))</f>
        <v/>
      </c>
    </row>
    <row r="104">
      <c r="A104" s="36" t="n"/>
      <c r="B104" s="36" t="n"/>
      <c r="C104" s="36" t="n"/>
      <c r="D104" s="36" t="n"/>
      <c r="E104" s="36" t="n"/>
      <c r="F104" s="36" t="n"/>
      <c r="G104" s="37">
        <f>IF($A104="","",$B104+$C104-$D104-$E104)</f>
        <v/>
      </c>
      <c r="H104" s="37">
        <f>IF($A104="","",IFERROR(ROUND($G104*INDEX(tblKurallar[deger_2025],MATCH("AKV-003",tblKurallar[kural_id],0)),2),0))</f>
        <v/>
      </c>
      <c r="I104" s="37">
        <f>IF($A104="","",IFERROR(MAX(0,$H104-$F104),0))</f>
        <v/>
      </c>
    </row>
    <row r="105">
      <c r="A105" s="36" t="n"/>
      <c r="B105" s="36" t="n"/>
      <c r="C105" s="36" t="n"/>
      <c r="D105" s="36" t="n"/>
      <c r="E105" s="36" t="n"/>
      <c r="F105" s="36" t="n"/>
      <c r="G105" s="37">
        <f>IF($A105="","",$B105+$C105-$D105-$E105)</f>
        <v/>
      </c>
      <c r="H105" s="37">
        <f>IF($A105="","",IFERROR(ROUND($G105*INDEX(tblKurallar[deger_2025],MATCH("AKV-003",tblKurallar[kural_id],0)),2),0))</f>
        <v/>
      </c>
      <c r="I105" s="37">
        <f>IF($A105="","",IFERROR(MAX(0,$H105-$F105),0))</f>
        <v/>
      </c>
    </row>
    <row r="106">
      <c r="A106" s="36" t="n"/>
      <c r="B106" s="36" t="n"/>
      <c r="C106" s="36" t="n"/>
      <c r="D106" s="36" t="n"/>
      <c r="E106" s="36" t="n"/>
      <c r="F106" s="36" t="n"/>
      <c r="G106" s="37">
        <f>IF($A106="","",$B106+$C106-$D106-$E106)</f>
        <v/>
      </c>
      <c r="H106" s="37">
        <f>IF($A106="","",IFERROR(ROUND($G106*INDEX(tblKurallar[deger_2025],MATCH("AKV-003",tblKurallar[kural_id],0)),2),0))</f>
        <v/>
      </c>
      <c r="I106" s="37">
        <f>IF($A106="","",IFERROR(MAX(0,$H106-$F106),0))</f>
        <v/>
      </c>
    </row>
    <row r="107">
      <c r="A107" s="36" t="n"/>
      <c r="B107" s="36" t="n"/>
      <c r="C107" s="36" t="n"/>
      <c r="D107" s="36" t="n"/>
      <c r="E107" s="36" t="n"/>
      <c r="F107" s="36" t="n"/>
      <c r="G107" s="37">
        <f>IF($A107="","",$B107+$C107-$D107-$E107)</f>
        <v/>
      </c>
      <c r="H107" s="37">
        <f>IF($A107="","",IFERROR(ROUND($G107*INDEX(tblKurallar[deger_2025],MATCH("AKV-003",tblKurallar[kural_id],0)),2),0))</f>
        <v/>
      </c>
      <c r="I107" s="37">
        <f>IF($A107="","",IFERROR(MAX(0,$H107-$F107),0))</f>
        <v/>
      </c>
    </row>
    <row r="108">
      <c r="A108" s="36" t="n"/>
      <c r="B108" s="36" t="n"/>
      <c r="C108" s="36" t="n"/>
      <c r="D108" s="36" t="n"/>
      <c r="E108" s="36" t="n"/>
      <c r="F108" s="36" t="n"/>
      <c r="G108" s="37">
        <f>IF($A108="","",$B108+$C108-$D108-$E108)</f>
        <v/>
      </c>
      <c r="H108" s="37">
        <f>IF($A108="","",IFERROR(ROUND($G108*INDEX(tblKurallar[deger_2025],MATCH("AKV-003",tblKurallar[kural_id],0)),2),0))</f>
        <v/>
      </c>
      <c r="I108" s="37">
        <f>IF($A108="","",IFERROR(MAX(0,$H108-$F108),0))</f>
        <v/>
      </c>
    </row>
    <row r="109">
      <c r="A109" s="36" t="n"/>
      <c r="B109" s="36" t="n"/>
      <c r="C109" s="36" t="n"/>
      <c r="D109" s="36" t="n"/>
      <c r="E109" s="36" t="n"/>
      <c r="F109" s="36" t="n"/>
      <c r="G109" s="37">
        <f>IF($A109="","",$B109+$C109-$D109-$E109)</f>
        <v/>
      </c>
      <c r="H109" s="37">
        <f>IF($A109="","",IFERROR(ROUND($G109*INDEX(tblKurallar[deger_2025],MATCH("AKV-003",tblKurallar[kural_id],0)),2),0))</f>
        <v/>
      </c>
      <c r="I109" s="37">
        <f>IF($A109="","",IFERROR(MAX(0,$H109-$F109),0))</f>
        <v/>
      </c>
    </row>
    <row r="110">
      <c r="A110" s="36" t="n"/>
      <c r="B110" s="36" t="n"/>
      <c r="C110" s="36" t="n"/>
      <c r="D110" s="36" t="n"/>
      <c r="E110" s="36" t="n"/>
      <c r="F110" s="36" t="n"/>
      <c r="G110" s="37">
        <f>IF($A110="","",$B110+$C110-$D110-$E110)</f>
        <v/>
      </c>
      <c r="H110" s="37">
        <f>IF($A110="","",IFERROR(ROUND($G110*INDEX(tblKurallar[deger_2025],MATCH("AKV-003",tblKurallar[kural_id],0)),2),0))</f>
        <v/>
      </c>
      <c r="I110" s="37">
        <f>IF($A110="","",IFERROR(MAX(0,$H110-$F110),0))</f>
        <v/>
      </c>
    </row>
    <row r="111">
      <c r="A111" s="36" t="n"/>
      <c r="B111" s="36" t="n"/>
      <c r="C111" s="36" t="n"/>
      <c r="D111" s="36" t="n"/>
      <c r="E111" s="36" t="n"/>
      <c r="F111" s="36" t="n"/>
      <c r="G111" s="37">
        <f>IF($A111="","",$B111+$C111-$D111-$E111)</f>
        <v/>
      </c>
      <c r="H111" s="37">
        <f>IF($A111="","",IFERROR(ROUND($G111*INDEX(tblKurallar[deger_2025],MATCH("AKV-003",tblKurallar[kural_id],0)),2),0))</f>
        <v/>
      </c>
      <c r="I111" s="37">
        <f>IF($A111="","",IFERROR(MAX(0,$H111-$F111),0))</f>
        <v/>
      </c>
    </row>
    <row r="112">
      <c r="A112" s="36" t="n"/>
      <c r="B112" s="36" t="n"/>
      <c r="C112" s="36" t="n"/>
      <c r="D112" s="36" t="n"/>
      <c r="E112" s="36" t="n"/>
      <c r="F112" s="36" t="n"/>
      <c r="G112" s="37">
        <f>IF($A112="","",$B112+$C112-$D112-$E112)</f>
        <v/>
      </c>
      <c r="H112" s="37">
        <f>IF($A112="","",IFERROR(ROUND($G112*INDEX(tblKurallar[deger_2025],MATCH("AKV-003",tblKurallar[kural_id],0)),2),0))</f>
        <v/>
      </c>
      <c r="I112" s="37">
        <f>IF($A112="","",IFERROR(MAX(0,$H112-$F112),0))</f>
        <v/>
      </c>
    </row>
    <row r="113">
      <c r="A113" s="36" t="n"/>
      <c r="B113" s="36" t="n"/>
      <c r="C113" s="36" t="n"/>
      <c r="D113" s="36" t="n"/>
      <c r="E113" s="36" t="n"/>
      <c r="F113" s="36" t="n"/>
      <c r="G113" s="37">
        <f>IF($A113="","",$B113+$C113-$D113-$E113)</f>
        <v/>
      </c>
      <c r="H113" s="37">
        <f>IF($A113="","",IFERROR(ROUND($G113*INDEX(tblKurallar[deger_2025],MATCH("AKV-003",tblKurallar[kural_id],0)),2),0))</f>
        <v/>
      </c>
      <c r="I113" s="37">
        <f>IF($A113="","",IFERROR(MAX(0,$H113-$F113),0))</f>
        <v/>
      </c>
    </row>
    <row r="114">
      <c r="A114" s="36" t="n"/>
      <c r="B114" s="36" t="n"/>
      <c r="C114" s="36" t="n"/>
      <c r="D114" s="36" t="n"/>
      <c r="E114" s="36" t="n"/>
      <c r="F114" s="36" t="n"/>
      <c r="G114" s="37">
        <f>IF($A114="","",$B114+$C114-$D114-$E114)</f>
        <v/>
      </c>
      <c r="H114" s="37">
        <f>IF($A114="","",IFERROR(ROUND($G114*INDEX(tblKurallar[deger_2025],MATCH("AKV-003",tblKurallar[kural_id],0)),2),0))</f>
        <v/>
      </c>
      <c r="I114" s="37">
        <f>IF($A114="","",IFERROR(MAX(0,$H114-$F114),0))</f>
        <v/>
      </c>
    </row>
    <row r="115">
      <c r="A115" s="36" t="n"/>
      <c r="B115" s="36" t="n"/>
      <c r="C115" s="36" t="n"/>
      <c r="D115" s="36" t="n"/>
      <c r="E115" s="36" t="n"/>
      <c r="F115" s="36" t="n"/>
      <c r="G115" s="37">
        <f>IF($A115="","",$B115+$C115-$D115-$E115)</f>
        <v/>
      </c>
      <c r="H115" s="37">
        <f>IF($A115="","",IFERROR(ROUND($G115*INDEX(tblKurallar[deger_2025],MATCH("AKV-003",tblKurallar[kural_id],0)),2),0))</f>
        <v/>
      </c>
      <c r="I115" s="37">
        <f>IF($A115="","",IFERROR(MAX(0,$H115-$F115),0))</f>
        <v/>
      </c>
    </row>
    <row r="116">
      <c r="A116" s="36" t="n"/>
      <c r="B116" s="36" t="n"/>
      <c r="C116" s="36" t="n"/>
      <c r="D116" s="36" t="n"/>
      <c r="E116" s="36" t="n"/>
      <c r="F116" s="36" t="n"/>
      <c r="G116" s="37">
        <f>IF($A116="","",$B116+$C116-$D116-$E116)</f>
        <v/>
      </c>
      <c r="H116" s="37">
        <f>IF($A116="","",IFERROR(ROUND($G116*INDEX(tblKurallar[deger_2025],MATCH("AKV-003",tblKurallar[kural_id],0)),2),0))</f>
        <v/>
      </c>
      <c r="I116" s="37">
        <f>IF($A116="","",IFERROR(MAX(0,$H116-$F116),0))</f>
        <v/>
      </c>
    </row>
    <row r="117">
      <c r="A117" s="36" t="n"/>
      <c r="B117" s="36" t="n"/>
      <c r="C117" s="36" t="n"/>
      <c r="D117" s="36" t="n"/>
      <c r="E117" s="36" t="n"/>
      <c r="F117" s="36" t="n"/>
      <c r="G117" s="37">
        <f>IF($A117="","",$B117+$C117-$D117-$E117)</f>
        <v/>
      </c>
      <c r="H117" s="37">
        <f>IF($A117="","",IFERROR(ROUND($G117*INDEX(tblKurallar[deger_2025],MATCH("AKV-003",tblKurallar[kural_id],0)),2),0))</f>
        <v/>
      </c>
      <c r="I117" s="37">
        <f>IF($A117="","",IFERROR(MAX(0,$H117-$F117),0))</f>
        <v/>
      </c>
    </row>
    <row r="118">
      <c r="A118" s="36" t="n"/>
      <c r="B118" s="36" t="n"/>
      <c r="C118" s="36" t="n"/>
      <c r="D118" s="36" t="n"/>
      <c r="E118" s="36" t="n"/>
      <c r="F118" s="36" t="n"/>
      <c r="G118" s="37">
        <f>IF($A118="","",$B118+$C118-$D118-$E118)</f>
        <v/>
      </c>
      <c r="H118" s="37">
        <f>IF($A118="","",IFERROR(ROUND($G118*INDEX(tblKurallar[deger_2025],MATCH("AKV-003",tblKurallar[kural_id],0)),2),0))</f>
        <v/>
      </c>
      <c r="I118" s="37">
        <f>IF($A118="","",IFERROR(MAX(0,$H118-$F118),0))</f>
        <v/>
      </c>
    </row>
    <row r="119">
      <c r="A119" s="36" t="n"/>
      <c r="B119" s="36" t="n"/>
      <c r="C119" s="36" t="n"/>
      <c r="D119" s="36" t="n"/>
      <c r="E119" s="36" t="n"/>
      <c r="F119" s="36" t="n"/>
      <c r="G119" s="37">
        <f>IF($A119="","",$B119+$C119-$D119-$E119)</f>
        <v/>
      </c>
      <c r="H119" s="37">
        <f>IF($A119="","",IFERROR(ROUND($G119*INDEX(tblKurallar[deger_2025],MATCH("AKV-003",tblKurallar[kural_id],0)),2),0))</f>
        <v/>
      </c>
      <c r="I119" s="37">
        <f>IF($A119="","",IFERROR(MAX(0,$H119-$F119),0))</f>
        <v/>
      </c>
    </row>
    <row r="120">
      <c r="A120" s="36" t="n"/>
      <c r="B120" s="36" t="n"/>
      <c r="C120" s="36" t="n"/>
      <c r="D120" s="36" t="n"/>
      <c r="E120" s="36" t="n"/>
      <c r="F120" s="36" t="n"/>
      <c r="G120" s="37">
        <f>IF($A120="","",$B120+$C120-$D120-$E120)</f>
        <v/>
      </c>
      <c r="H120" s="37">
        <f>IF($A120="","",IFERROR(ROUND($G120*INDEX(tblKurallar[deger_2025],MATCH("AKV-003",tblKurallar[kural_id],0)),2),0))</f>
        <v/>
      </c>
      <c r="I120" s="37">
        <f>IF($A120="","",IFERROR(MAX(0,$H120-$F120),0))</f>
        <v/>
      </c>
    </row>
    <row r="121">
      <c r="A121" s="36" t="n"/>
      <c r="B121" s="36" t="n"/>
      <c r="C121" s="36" t="n"/>
      <c r="D121" s="36" t="n"/>
      <c r="E121" s="36" t="n"/>
      <c r="F121" s="36" t="n"/>
      <c r="G121" s="37">
        <f>IF($A121="","",$B121+$C121-$D121-$E121)</f>
        <v/>
      </c>
      <c r="H121" s="37">
        <f>IF($A121="","",IFERROR(ROUND($G121*INDEX(tblKurallar[deger_2025],MATCH("AKV-003",tblKurallar[kural_id],0)),2),0))</f>
        <v/>
      </c>
      <c r="I121" s="37">
        <f>IF($A121="","",IFERROR(MAX(0,$H121-$F121),0))</f>
        <v/>
      </c>
    </row>
    <row r="122">
      <c r="A122" s="36" t="n"/>
      <c r="B122" s="36" t="n"/>
      <c r="C122" s="36" t="n"/>
      <c r="D122" s="36" t="n"/>
      <c r="E122" s="36" t="n"/>
      <c r="F122" s="36" t="n"/>
      <c r="G122" s="37">
        <f>IF($A122="","",$B122+$C122-$D122-$E122)</f>
        <v/>
      </c>
      <c r="H122" s="37">
        <f>IF($A122="","",IFERROR(ROUND($G122*INDEX(tblKurallar[deger_2025],MATCH("AKV-003",tblKurallar[kural_id],0)),2),0))</f>
        <v/>
      </c>
      <c r="I122" s="37">
        <f>IF($A122="","",IFERROR(MAX(0,$H122-$F122),0))</f>
        <v/>
      </c>
    </row>
    <row r="123">
      <c r="A123" s="36" t="n"/>
      <c r="B123" s="36" t="n"/>
      <c r="C123" s="36" t="n"/>
      <c r="D123" s="36" t="n"/>
      <c r="E123" s="36" t="n"/>
      <c r="F123" s="36" t="n"/>
      <c r="G123" s="37">
        <f>IF($A123="","",$B123+$C123-$D123-$E123)</f>
        <v/>
      </c>
      <c r="H123" s="37">
        <f>IF($A123="","",IFERROR(ROUND($G123*INDEX(tblKurallar[deger_2025],MATCH("AKV-003",tblKurallar[kural_id],0)),2),0))</f>
        <v/>
      </c>
      <c r="I123" s="37">
        <f>IF($A123="","",IFERROR(MAX(0,$H123-$F123),0))</f>
        <v/>
      </c>
    </row>
    <row r="124">
      <c r="A124" s="36" t="n"/>
      <c r="B124" s="36" t="n"/>
      <c r="C124" s="36" t="n"/>
      <c r="D124" s="36" t="n"/>
      <c r="E124" s="36" t="n"/>
      <c r="F124" s="36" t="n"/>
      <c r="G124" s="37">
        <f>IF($A124="","",$B124+$C124-$D124-$E124)</f>
        <v/>
      </c>
      <c r="H124" s="37">
        <f>IF($A124="","",IFERROR(ROUND($G124*INDEX(tblKurallar[deger_2025],MATCH("AKV-003",tblKurallar[kural_id],0)),2),0))</f>
        <v/>
      </c>
      <c r="I124" s="37">
        <f>IF($A124="","",IFERROR(MAX(0,$H124-$F124),0))</f>
        <v/>
      </c>
    </row>
    <row r="125">
      <c r="A125" s="36" t="n"/>
      <c r="B125" s="36" t="n"/>
      <c r="C125" s="36" t="n"/>
      <c r="D125" s="36" t="n"/>
      <c r="E125" s="36" t="n"/>
      <c r="F125" s="36" t="n"/>
      <c r="G125" s="37">
        <f>IF($A125="","",$B125+$C125-$D125-$E125)</f>
        <v/>
      </c>
      <c r="H125" s="37">
        <f>IF($A125="","",IFERROR(ROUND($G125*INDEX(tblKurallar[deger_2025],MATCH("AKV-003",tblKurallar[kural_id],0)),2),0))</f>
        <v/>
      </c>
      <c r="I125" s="37">
        <f>IF($A125="","",IFERROR(MAX(0,$H125-$F125),0))</f>
        <v/>
      </c>
    </row>
    <row r="126">
      <c r="A126" s="36" t="n"/>
      <c r="B126" s="36" t="n"/>
      <c r="C126" s="36" t="n"/>
      <c r="D126" s="36" t="n"/>
      <c r="E126" s="36" t="n"/>
      <c r="F126" s="36" t="n"/>
      <c r="G126" s="37">
        <f>IF($A126="","",$B126+$C126-$D126-$E126)</f>
        <v/>
      </c>
      <c r="H126" s="37">
        <f>IF($A126="","",IFERROR(ROUND($G126*INDEX(tblKurallar[deger_2025],MATCH("AKV-003",tblKurallar[kural_id],0)),2),0))</f>
        <v/>
      </c>
      <c r="I126" s="37">
        <f>IF($A126="","",IFERROR(MAX(0,$H126-$F126),0))</f>
        <v/>
      </c>
    </row>
    <row r="127">
      <c r="A127" s="36" t="n"/>
      <c r="B127" s="36" t="n"/>
      <c r="C127" s="36" t="n"/>
      <c r="D127" s="36" t="n"/>
      <c r="E127" s="36" t="n"/>
      <c r="F127" s="36" t="n"/>
      <c r="G127" s="37">
        <f>IF($A127="","",$B127+$C127-$D127-$E127)</f>
        <v/>
      </c>
      <c r="H127" s="37">
        <f>IF($A127="","",IFERROR(ROUND($G127*INDEX(tblKurallar[deger_2025],MATCH("AKV-003",tblKurallar[kural_id],0)),2),0))</f>
        <v/>
      </c>
      <c r="I127" s="37">
        <f>IF($A127="","",IFERROR(MAX(0,$H127-$F127),0))</f>
        <v/>
      </c>
    </row>
    <row r="128">
      <c r="A128" s="36" t="n"/>
      <c r="B128" s="36" t="n"/>
      <c r="C128" s="36" t="n"/>
      <c r="D128" s="36" t="n"/>
      <c r="E128" s="36" t="n"/>
      <c r="F128" s="36" t="n"/>
      <c r="G128" s="37">
        <f>IF($A128="","",$B128+$C128-$D128-$E128)</f>
        <v/>
      </c>
      <c r="H128" s="37">
        <f>IF($A128="","",IFERROR(ROUND($G128*INDEX(tblKurallar[deger_2025],MATCH("AKV-003",tblKurallar[kural_id],0)),2),0))</f>
        <v/>
      </c>
      <c r="I128" s="37">
        <f>IF($A128="","",IFERROR(MAX(0,$H128-$F128),0))</f>
        <v/>
      </c>
    </row>
    <row r="129">
      <c r="A129" s="36" t="n"/>
      <c r="B129" s="36" t="n"/>
      <c r="C129" s="36" t="n"/>
      <c r="D129" s="36" t="n"/>
      <c r="E129" s="36" t="n"/>
      <c r="F129" s="36" t="n"/>
      <c r="G129" s="37">
        <f>IF($A129="","",$B129+$C129-$D129-$E129)</f>
        <v/>
      </c>
      <c r="H129" s="37">
        <f>IF($A129="","",IFERROR(ROUND($G129*INDEX(tblKurallar[deger_2025],MATCH("AKV-003",tblKurallar[kural_id],0)),2),0))</f>
        <v/>
      </c>
      <c r="I129" s="37">
        <f>IF($A129="","",IFERROR(MAX(0,$H129-$F129),0))</f>
        <v/>
      </c>
    </row>
    <row r="130">
      <c r="A130" s="36" t="n"/>
      <c r="B130" s="36" t="n"/>
      <c r="C130" s="36" t="n"/>
      <c r="D130" s="36" t="n"/>
      <c r="E130" s="36" t="n"/>
      <c r="F130" s="36" t="n"/>
      <c r="G130" s="37">
        <f>IF($A130="","",$B130+$C130-$D130-$E130)</f>
        <v/>
      </c>
      <c r="H130" s="37">
        <f>IF($A130="","",IFERROR(ROUND($G130*INDEX(tblKurallar[deger_2025],MATCH("AKV-003",tblKurallar[kural_id],0)),2),0))</f>
        <v/>
      </c>
      <c r="I130" s="37">
        <f>IF($A130="","",IFERROR(MAX(0,$H130-$F130),0))</f>
        <v/>
      </c>
    </row>
    <row r="131">
      <c r="A131" s="36" t="n"/>
      <c r="B131" s="36" t="n"/>
      <c r="C131" s="36" t="n"/>
      <c r="D131" s="36" t="n"/>
      <c r="E131" s="36" t="n"/>
      <c r="F131" s="36" t="n"/>
      <c r="G131" s="37">
        <f>IF($A131="","",$B131+$C131-$D131-$E131)</f>
        <v/>
      </c>
      <c r="H131" s="37">
        <f>IF($A131="","",IFERROR(ROUND($G131*INDEX(tblKurallar[deger_2025],MATCH("AKV-003",tblKurallar[kural_id],0)),2),0))</f>
        <v/>
      </c>
      <c r="I131" s="37">
        <f>IF($A131="","",IFERROR(MAX(0,$H131-$F131),0))</f>
        <v/>
      </c>
    </row>
    <row r="132">
      <c r="A132" s="36" t="n"/>
      <c r="B132" s="36" t="n"/>
      <c r="C132" s="36" t="n"/>
      <c r="D132" s="36" t="n"/>
      <c r="E132" s="36" t="n"/>
      <c r="F132" s="36" t="n"/>
      <c r="G132" s="37">
        <f>IF($A132="","",$B132+$C132-$D132-$E132)</f>
        <v/>
      </c>
      <c r="H132" s="37">
        <f>IF($A132="","",IFERROR(ROUND($G132*INDEX(tblKurallar[deger_2025],MATCH("AKV-003",tblKurallar[kural_id],0)),2),0))</f>
        <v/>
      </c>
      <c r="I132" s="37">
        <f>IF($A132="","",IFERROR(MAX(0,$H132-$F132),0))</f>
        <v/>
      </c>
    </row>
    <row r="133">
      <c r="A133" s="36" t="n"/>
      <c r="B133" s="36" t="n"/>
      <c r="C133" s="36" t="n"/>
      <c r="D133" s="36" t="n"/>
      <c r="E133" s="36" t="n"/>
      <c r="F133" s="36" t="n"/>
      <c r="G133" s="37">
        <f>IF($A133="","",$B133+$C133-$D133-$E133)</f>
        <v/>
      </c>
      <c r="H133" s="37">
        <f>IF($A133="","",IFERROR(ROUND($G133*INDEX(tblKurallar[deger_2025],MATCH("AKV-003",tblKurallar[kural_id],0)),2),0))</f>
        <v/>
      </c>
      <c r="I133" s="37">
        <f>IF($A133="","",IFERROR(MAX(0,$H133-$F133),0))</f>
        <v/>
      </c>
    </row>
    <row r="134">
      <c r="A134" s="36" t="n"/>
      <c r="B134" s="36" t="n"/>
      <c r="C134" s="36" t="n"/>
      <c r="D134" s="36" t="n"/>
      <c r="E134" s="36" t="n"/>
      <c r="F134" s="36" t="n"/>
      <c r="G134" s="37">
        <f>IF($A134="","",$B134+$C134-$D134-$E134)</f>
        <v/>
      </c>
      <c r="H134" s="37">
        <f>IF($A134="","",IFERROR(ROUND($G134*INDEX(tblKurallar[deger_2025],MATCH("AKV-003",tblKurallar[kural_id],0)),2),0))</f>
        <v/>
      </c>
      <c r="I134" s="37">
        <f>IF($A134="","",IFERROR(MAX(0,$H134-$F134),0))</f>
        <v/>
      </c>
    </row>
    <row r="135">
      <c r="A135" s="36" t="n"/>
      <c r="B135" s="36" t="n"/>
      <c r="C135" s="36" t="n"/>
      <c r="D135" s="36" t="n"/>
      <c r="E135" s="36" t="n"/>
      <c r="F135" s="36" t="n"/>
      <c r="G135" s="37">
        <f>IF($A135="","",$B135+$C135-$D135-$E135)</f>
        <v/>
      </c>
      <c r="H135" s="37">
        <f>IF($A135="","",IFERROR(ROUND($G135*INDEX(tblKurallar[deger_2025],MATCH("AKV-003",tblKurallar[kural_id],0)),2),0))</f>
        <v/>
      </c>
      <c r="I135" s="37">
        <f>IF($A135="","",IFERROR(MAX(0,$H135-$F135),0))</f>
        <v/>
      </c>
    </row>
    <row r="136">
      <c r="A136" s="36" t="n"/>
      <c r="B136" s="36" t="n"/>
      <c r="C136" s="36" t="n"/>
      <c r="D136" s="36" t="n"/>
      <c r="E136" s="36" t="n"/>
      <c r="F136" s="36" t="n"/>
      <c r="G136" s="37">
        <f>IF($A136="","",$B136+$C136-$D136-$E136)</f>
        <v/>
      </c>
      <c r="H136" s="37">
        <f>IF($A136="","",IFERROR(ROUND($G136*INDEX(tblKurallar[deger_2025],MATCH("AKV-003",tblKurallar[kural_id],0)),2),0))</f>
        <v/>
      </c>
      <c r="I136" s="37">
        <f>IF($A136="","",IFERROR(MAX(0,$H136-$F136),0))</f>
        <v/>
      </c>
    </row>
    <row r="137">
      <c r="A137" s="36" t="n"/>
      <c r="B137" s="36" t="n"/>
      <c r="C137" s="36" t="n"/>
      <c r="D137" s="36" t="n"/>
      <c r="E137" s="36" t="n"/>
      <c r="F137" s="36" t="n"/>
      <c r="G137" s="37">
        <f>IF($A137="","",$B137+$C137-$D137-$E137)</f>
        <v/>
      </c>
      <c r="H137" s="37">
        <f>IF($A137="","",IFERROR(ROUND($G137*INDEX(tblKurallar[deger_2025],MATCH("AKV-003",tblKurallar[kural_id],0)),2),0))</f>
        <v/>
      </c>
      <c r="I137" s="37">
        <f>IF($A137="","",IFERROR(MAX(0,$H137-$F137),0))</f>
        <v/>
      </c>
    </row>
    <row r="138">
      <c r="A138" s="36" t="n"/>
      <c r="B138" s="36" t="n"/>
      <c r="C138" s="36" t="n"/>
      <c r="D138" s="36" t="n"/>
      <c r="E138" s="36" t="n"/>
      <c r="F138" s="36" t="n"/>
      <c r="G138" s="37">
        <f>IF($A138="","",$B138+$C138-$D138-$E138)</f>
        <v/>
      </c>
      <c r="H138" s="37">
        <f>IF($A138="","",IFERROR(ROUND($G138*INDEX(tblKurallar[deger_2025],MATCH("AKV-003",tblKurallar[kural_id],0)),2),0))</f>
        <v/>
      </c>
      <c r="I138" s="37">
        <f>IF($A138="","",IFERROR(MAX(0,$H138-$F138),0))</f>
        <v/>
      </c>
    </row>
    <row r="139">
      <c r="A139" s="36" t="n"/>
      <c r="B139" s="36" t="n"/>
      <c r="C139" s="36" t="n"/>
      <c r="D139" s="36" t="n"/>
      <c r="E139" s="36" t="n"/>
      <c r="F139" s="36" t="n"/>
      <c r="G139" s="37">
        <f>IF($A139="","",$B139+$C139-$D139-$E139)</f>
        <v/>
      </c>
      <c r="H139" s="37">
        <f>IF($A139="","",IFERROR(ROUND($G139*INDEX(tblKurallar[deger_2025],MATCH("AKV-003",tblKurallar[kural_id],0)),2),0))</f>
        <v/>
      </c>
      <c r="I139" s="37">
        <f>IF($A139="","",IFERROR(MAX(0,$H139-$F139),0))</f>
        <v/>
      </c>
    </row>
    <row r="140">
      <c r="A140" s="36" t="n"/>
      <c r="B140" s="36" t="n"/>
      <c r="C140" s="36" t="n"/>
      <c r="D140" s="36" t="n"/>
      <c r="E140" s="36" t="n"/>
      <c r="F140" s="36" t="n"/>
      <c r="G140" s="37">
        <f>IF($A140="","",$B140+$C140-$D140-$E140)</f>
        <v/>
      </c>
      <c r="H140" s="37">
        <f>IF($A140="","",IFERROR(ROUND($G140*INDEX(tblKurallar[deger_2025],MATCH("AKV-003",tblKurallar[kural_id],0)),2),0))</f>
        <v/>
      </c>
      <c r="I140" s="37">
        <f>IF($A140="","",IFERROR(MAX(0,$H140-$F140),0))</f>
        <v/>
      </c>
    </row>
    <row r="141">
      <c r="A141" s="36" t="n"/>
      <c r="B141" s="36" t="n"/>
      <c r="C141" s="36" t="n"/>
      <c r="D141" s="36" t="n"/>
      <c r="E141" s="36" t="n"/>
      <c r="F141" s="36" t="n"/>
      <c r="G141" s="37">
        <f>IF($A141="","",$B141+$C141-$D141-$E141)</f>
        <v/>
      </c>
      <c r="H141" s="37">
        <f>IF($A141="","",IFERROR(ROUND($G141*INDEX(tblKurallar[deger_2025],MATCH("AKV-003",tblKurallar[kural_id],0)),2),0))</f>
        <v/>
      </c>
      <c r="I141" s="37">
        <f>IF($A141="","",IFERROR(MAX(0,$H141-$F141),0))</f>
        <v/>
      </c>
    </row>
    <row r="142">
      <c r="A142" s="36" t="n"/>
      <c r="B142" s="36" t="n"/>
      <c r="C142" s="36" t="n"/>
      <c r="D142" s="36" t="n"/>
      <c r="E142" s="36" t="n"/>
      <c r="F142" s="36" t="n"/>
      <c r="G142" s="37">
        <f>IF($A142="","",$B142+$C142-$D142-$E142)</f>
        <v/>
      </c>
      <c r="H142" s="37">
        <f>IF($A142="","",IFERROR(ROUND($G142*INDEX(tblKurallar[deger_2025],MATCH("AKV-003",tblKurallar[kural_id],0)),2),0))</f>
        <v/>
      </c>
      <c r="I142" s="37">
        <f>IF($A142="","",IFERROR(MAX(0,$H142-$F142),0))</f>
        <v/>
      </c>
    </row>
    <row r="143">
      <c r="A143" s="36" t="n"/>
      <c r="B143" s="36" t="n"/>
      <c r="C143" s="36" t="n"/>
      <c r="D143" s="36" t="n"/>
      <c r="E143" s="36" t="n"/>
      <c r="F143" s="36" t="n"/>
      <c r="G143" s="37">
        <f>IF($A143="","",$B143+$C143-$D143-$E143)</f>
        <v/>
      </c>
      <c r="H143" s="37">
        <f>IF($A143="","",IFERROR(ROUND($G143*INDEX(tblKurallar[deger_2025],MATCH("AKV-003",tblKurallar[kural_id],0)),2),0))</f>
        <v/>
      </c>
      <c r="I143" s="37">
        <f>IF($A143="","",IFERROR(MAX(0,$H143-$F143),0))</f>
        <v/>
      </c>
    </row>
    <row r="144">
      <c r="A144" s="36" t="n"/>
      <c r="B144" s="36" t="n"/>
      <c r="C144" s="36" t="n"/>
      <c r="D144" s="36" t="n"/>
      <c r="E144" s="36" t="n"/>
      <c r="F144" s="36" t="n"/>
      <c r="G144" s="37">
        <f>IF($A144="","",$B144+$C144-$D144-$E144)</f>
        <v/>
      </c>
      <c r="H144" s="37">
        <f>IF($A144="","",IFERROR(ROUND($G144*INDEX(tblKurallar[deger_2025],MATCH("AKV-003",tblKurallar[kural_id],0)),2),0))</f>
        <v/>
      </c>
      <c r="I144" s="37">
        <f>IF($A144="","",IFERROR(MAX(0,$H144-$F144),0))</f>
        <v/>
      </c>
    </row>
    <row r="145">
      <c r="A145" s="36" t="n"/>
      <c r="B145" s="36" t="n"/>
      <c r="C145" s="36" t="n"/>
      <c r="D145" s="36" t="n"/>
      <c r="E145" s="36" t="n"/>
      <c r="F145" s="36" t="n"/>
      <c r="G145" s="37">
        <f>IF($A145="","",$B145+$C145-$D145-$E145)</f>
        <v/>
      </c>
      <c r="H145" s="37">
        <f>IF($A145="","",IFERROR(ROUND($G145*INDEX(tblKurallar[deger_2025],MATCH("AKV-003",tblKurallar[kural_id],0)),2),0))</f>
        <v/>
      </c>
      <c r="I145" s="37">
        <f>IF($A145="","",IFERROR(MAX(0,$H145-$F145),0))</f>
        <v/>
      </c>
    </row>
    <row r="146">
      <c r="A146" s="36" t="n"/>
      <c r="B146" s="36" t="n"/>
      <c r="C146" s="36" t="n"/>
      <c r="D146" s="36" t="n"/>
      <c r="E146" s="36" t="n"/>
      <c r="F146" s="36" t="n"/>
      <c r="G146" s="37">
        <f>IF($A146="","",$B146+$C146-$D146-$E146)</f>
        <v/>
      </c>
      <c r="H146" s="37">
        <f>IF($A146="","",IFERROR(ROUND($G146*INDEX(tblKurallar[deger_2025],MATCH("AKV-003",tblKurallar[kural_id],0)),2),0))</f>
        <v/>
      </c>
      <c r="I146" s="37">
        <f>IF($A146="","",IFERROR(MAX(0,$H146-$F146),0))</f>
        <v/>
      </c>
    </row>
    <row r="147">
      <c r="A147" s="36" t="n"/>
      <c r="B147" s="36" t="n"/>
      <c r="C147" s="36" t="n"/>
      <c r="D147" s="36" t="n"/>
      <c r="E147" s="36" t="n"/>
      <c r="F147" s="36" t="n"/>
      <c r="G147" s="37">
        <f>IF($A147="","",$B147+$C147-$D147-$E147)</f>
        <v/>
      </c>
      <c r="H147" s="37">
        <f>IF($A147="","",IFERROR(ROUND($G147*INDEX(tblKurallar[deger_2025],MATCH("AKV-003",tblKurallar[kural_id],0)),2),0))</f>
        <v/>
      </c>
      <c r="I147" s="37">
        <f>IF($A147="","",IFERROR(MAX(0,$H147-$F147),0))</f>
        <v/>
      </c>
    </row>
    <row r="148">
      <c r="A148" s="36" t="n"/>
      <c r="B148" s="36" t="n"/>
      <c r="C148" s="36" t="n"/>
      <c r="D148" s="36" t="n"/>
      <c r="E148" s="36" t="n"/>
      <c r="F148" s="36" t="n"/>
      <c r="G148" s="37">
        <f>IF($A148="","",$B148+$C148-$D148-$E148)</f>
        <v/>
      </c>
      <c r="H148" s="37">
        <f>IF($A148="","",IFERROR(ROUND($G148*INDEX(tblKurallar[deger_2025],MATCH("AKV-003",tblKurallar[kural_id],0)),2),0))</f>
        <v/>
      </c>
      <c r="I148" s="37">
        <f>IF($A148="","",IFERROR(MAX(0,$H148-$F148),0))</f>
        <v/>
      </c>
    </row>
    <row r="149">
      <c r="A149" s="36" t="n"/>
      <c r="B149" s="36" t="n"/>
      <c r="C149" s="36" t="n"/>
      <c r="D149" s="36" t="n"/>
      <c r="E149" s="36" t="n"/>
      <c r="F149" s="36" t="n"/>
      <c r="G149" s="37">
        <f>IF($A149="","",$B149+$C149-$D149-$E149)</f>
        <v/>
      </c>
      <c r="H149" s="37">
        <f>IF($A149="","",IFERROR(ROUND($G149*INDEX(tblKurallar[deger_2025],MATCH("AKV-003",tblKurallar[kural_id],0)),2),0))</f>
        <v/>
      </c>
      <c r="I149" s="37">
        <f>IF($A149="","",IFERROR(MAX(0,$H149-$F149),0))</f>
        <v/>
      </c>
    </row>
    <row r="150">
      <c r="A150" s="36" t="n"/>
      <c r="B150" s="36" t="n"/>
      <c r="C150" s="36" t="n"/>
      <c r="D150" s="36" t="n"/>
      <c r="E150" s="36" t="n"/>
      <c r="F150" s="36" t="n"/>
      <c r="G150" s="37">
        <f>IF($A150="","",$B150+$C150-$D150-$E150)</f>
        <v/>
      </c>
      <c r="H150" s="37">
        <f>IF($A150="","",IFERROR(ROUND($G150*INDEX(tblKurallar[deger_2025],MATCH("AKV-003",tblKurallar[kural_id],0)),2),0))</f>
        <v/>
      </c>
      <c r="I150" s="37">
        <f>IF($A150="","",IFERROR(MAX(0,$H150-$F150),0))</f>
        <v/>
      </c>
    </row>
    <row r="151">
      <c r="A151" s="36" t="n"/>
      <c r="B151" s="36" t="n"/>
      <c r="C151" s="36" t="n"/>
      <c r="D151" s="36" t="n"/>
      <c r="E151" s="36" t="n"/>
      <c r="F151" s="36" t="n"/>
      <c r="G151" s="37">
        <f>IF($A151="","",$B151+$C151-$D151-$E151)</f>
        <v/>
      </c>
      <c r="H151" s="37">
        <f>IF($A151="","",IFERROR(ROUND($G151*INDEX(tblKurallar[deger_2025],MATCH("AKV-003",tblKurallar[kural_id],0)),2),0))</f>
        <v/>
      </c>
      <c r="I151" s="37">
        <f>IF($A151="","",IFERROR(MAX(0,$H151-$F151),0))</f>
        <v/>
      </c>
    </row>
    <row r="152">
      <c r="A152" s="36" t="n"/>
      <c r="B152" s="36" t="n"/>
      <c r="C152" s="36" t="n"/>
      <c r="D152" s="36" t="n"/>
      <c r="E152" s="36" t="n"/>
      <c r="F152" s="36" t="n"/>
      <c r="G152" s="37">
        <f>IF($A152="","",$B152+$C152-$D152-$E152)</f>
        <v/>
      </c>
      <c r="H152" s="37">
        <f>IF($A152="","",IFERROR(ROUND($G152*INDEX(tblKurallar[deger_2025],MATCH("AKV-003",tblKurallar[kural_id],0)),2),0))</f>
        <v/>
      </c>
      <c r="I152" s="37">
        <f>IF($A152="","",IFERROR(MAX(0,$H152-$F152),0))</f>
        <v/>
      </c>
    </row>
    <row r="153">
      <c r="A153" s="36" t="n"/>
      <c r="B153" s="36" t="n"/>
      <c r="C153" s="36" t="n"/>
      <c r="D153" s="36" t="n"/>
      <c r="E153" s="36" t="n"/>
      <c r="F153" s="36" t="n"/>
      <c r="G153" s="37">
        <f>IF($A153="","",$B153+$C153-$D153-$E153)</f>
        <v/>
      </c>
      <c r="H153" s="37">
        <f>IF($A153="","",IFERROR(ROUND($G153*INDEX(tblKurallar[deger_2025],MATCH("AKV-003",tblKurallar[kural_id],0)),2),0))</f>
        <v/>
      </c>
      <c r="I153" s="37">
        <f>IF($A153="","",IFERROR(MAX(0,$H153-$F153),0))</f>
        <v/>
      </c>
    </row>
    <row r="154">
      <c r="A154" s="36" t="n"/>
      <c r="B154" s="36" t="n"/>
      <c r="C154" s="36" t="n"/>
      <c r="D154" s="36" t="n"/>
      <c r="E154" s="36" t="n"/>
      <c r="F154" s="36" t="n"/>
      <c r="G154" s="37">
        <f>IF($A154="","",$B154+$C154-$D154-$E154)</f>
        <v/>
      </c>
      <c r="H154" s="37">
        <f>IF($A154="","",IFERROR(ROUND($G154*INDEX(tblKurallar[deger_2025],MATCH("AKV-003",tblKurallar[kural_id],0)),2),0))</f>
        <v/>
      </c>
      <c r="I154" s="37">
        <f>IF($A154="","",IFERROR(MAX(0,$H154-$F154),0))</f>
        <v/>
      </c>
    </row>
    <row r="155">
      <c r="A155" s="36" t="n"/>
      <c r="B155" s="36" t="n"/>
      <c r="C155" s="36" t="n"/>
      <c r="D155" s="36" t="n"/>
      <c r="E155" s="36" t="n"/>
      <c r="F155" s="36" t="n"/>
      <c r="G155" s="37">
        <f>IF($A155="","",$B155+$C155-$D155-$E155)</f>
        <v/>
      </c>
      <c r="H155" s="37">
        <f>IF($A155="","",IFERROR(ROUND($G155*INDEX(tblKurallar[deger_2025],MATCH("AKV-003",tblKurallar[kural_id],0)),2),0))</f>
        <v/>
      </c>
      <c r="I155" s="37">
        <f>IF($A155="","",IFERROR(MAX(0,$H155-$F155),0))</f>
        <v/>
      </c>
    </row>
    <row r="156">
      <c r="A156" s="36" t="n"/>
      <c r="B156" s="36" t="n"/>
      <c r="C156" s="36" t="n"/>
      <c r="D156" s="36" t="n"/>
      <c r="E156" s="36" t="n"/>
      <c r="F156" s="36" t="n"/>
      <c r="G156" s="37">
        <f>IF($A156="","",$B156+$C156-$D156-$E156)</f>
        <v/>
      </c>
      <c r="H156" s="37">
        <f>IF($A156="","",IFERROR(ROUND($G156*INDEX(tblKurallar[deger_2025],MATCH("AKV-003",tblKurallar[kural_id],0)),2),0))</f>
        <v/>
      </c>
      <c r="I156" s="37">
        <f>IF($A156="","",IFERROR(MAX(0,$H156-$F156),0))</f>
        <v/>
      </c>
    </row>
    <row r="157">
      <c r="A157" s="36" t="n"/>
      <c r="B157" s="36" t="n"/>
      <c r="C157" s="36" t="n"/>
      <c r="D157" s="36" t="n"/>
      <c r="E157" s="36" t="n"/>
      <c r="F157" s="36" t="n"/>
      <c r="G157" s="37">
        <f>IF($A157="","",$B157+$C157-$D157-$E157)</f>
        <v/>
      </c>
      <c r="H157" s="37">
        <f>IF($A157="","",IFERROR(ROUND($G157*INDEX(tblKurallar[deger_2025],MATCH("AKV-003",tblKurallar[kural_id],0)),2),0))</f>
        <v/>
      </c>
      <c r="I157" s="37">
        <f>IF($A157="","",IFERROR(MAX(0,$H157-$F157),0))</f>
        <v/>
      </c>
    </row>
    <row r="158">
      <c r="A158" s="36" t="n"/>
      <c r="B158" s="36" t="n"/>
      <c r="C158" s="36" t="n"/>
      <c r="D158" s="36" t="n"/>
      <c r="E158" s="36" t="n"/>
      <c r="F158" s="36" t="n"/>
      <c r="G158" s="37">
        <f>IF($A158="","",$B158+$C158-$D158-$E158)</f>
        <v/>
      </c>
      <c r="H158" s="37">
        <f>IF($A158="","",IFERROR(ROUND($G158*INDEX(tblKurallar[deger_2025],MATCH("AKV-003",tblKurallar[kural_id],0)),2),0))</f>
        <v/>
      </c>
      <c r="I158" s="37">
        <f>IF($A158="","",IFERROR(MAX(0,$H158-$F158),0))</f>
        <v/>
      </c>
    </row>
    <row r="159">
      <c r="A159" s="36" t="n"/>
      <c r="B159" s="36" t="n"/>
      <c r="C159" s="36" t="n"/>
      <c r="D159" s="36" t="n"/>
      <c r="E159" s="36" t="n"/>
      <c r="F159" s="36" t="n"/>
      <c r="G159" s="37">
        <f>IF($A159="","",$B159+$C159-$D159-$E159)</f>
        <v/>
      </c>
      <c r="H159" s="37">
        <f>IF($A159="","",IFERROR(ROUND($G159*INDEX(tblKurallar[deger_2025],MATCH("AKV-003",tblKurallar[kural_id],0)),2),0))</f>
        <v/>
      </c>
      <c r="I159" s="37">
        <f>IF($A159="","",IFERROR(MAX(0,$H159-$F159),0))</f>
        <v/>
      </c>
    </row>
    <row r="160">
      <c r="A160" s="36" t="n"/>
      <c r="B160" s="36" t="n"/>
      <c r="C160" s="36" t="n"/>
      <c r="D160" s="36" t="n"/>
      <c r="E160" s="36" t="n"/>
      <c r="F160" s="36" t="n"/>
      <c r="G160" s="37">
        <f>IF($A160="","",$B160+$C160-$D160-$E160)</f>
        <v/>
      </c>
      <c r="H160" s="37">
        <f>IF($A160="","",IFERROR(ROUND($G160*INDEX(tblKurallar[deger_2025],MATCH("AKV-003",tblKurallar[kural_id],0)),2),0))</f>
        <v/>
      </c>
      <c r="I160" s="37">
        <f>IF($A160="","",IFERROR(MAX(0,$H160-$F160),0))</f>
        <v/>
      </c>
    </row>
    <row r="161">
      <c r="A161" s="36" t="n"/>
      <c r="B161" s="36" t="n"/>
      <c r="C161" s="36" t="n"/>
      <c r="D161" s="36" t="n"/>
      <c r="E161" s="36" t="n"/>
      <c r="F161" s="36" t="n"/>
      <c r="G161" s="37">
        <f>IF($A161="","",$B161+$C161-$D161-$E161)</f>
        <v/>
      </c>
      <c r="H161" s="37">
        <f>IF($A161="","",IFERROR(ROUND($G161*INDEX(tblKurallar[deger_2025],MATCH("AKV-003",tblKurallar[kural_id],0)),2),0))</f>
        <v/>
      </c>
      <c r="I161" s="37">
        <f>IF($A161="","",IFERROR(MAX(0,$H161-$F161),0))</f>
        <v/>
      </c>
    </row>
    <row r="162">
      <c r="A162" s="36" t="n"/>
      <c r="B162" s="36" t="n"/>
      <c r="C162" s="36" t="n"/>
      <c r="D162" s="36" t="n"/>
      <c r="E162" s="36" t="n"/>
      <c r="F162" s="36" t="n"/>
      <c r="G162" s="37">
        <f>IF($A162="","",$B162+$C162-$D162-$E162)</f>
        <v/>
      </c>
      <c r="H162" s="37">
        <f>IF($A162="","",IFERROR(ROUND($G162*INDEX(tblKurallar[deger_2025],MATCH("AKV-003",tblKurallar[kural_id],0)),2),0))</f>
        <v/>
      </c>
      <c r="I162" s="37">
        <f>IF($A162="","",IFERROR(MAX(0,$H162-$F162),0))</f>
        <v/>
      </c>
    </row>
    <row r="163">
      <c r="A163" s="36" t="n"/>
      <c r="B163" s="36" t="n"/>
      <c r="C163" s="36" t="n"/>
      <c r="D163" s="36" t="n"/>
      <c r="E163" s="36" t="n"/>
      <c r="F163" s="36" t="n"/>
      <c r="G163" s="37">
        <f>IF($A163="","",$B163+$C163-$D163-$E163)</f>
        <v/>
      </c>
      <c r="H163" s="37">
        <f>IF($A163="","",IFERROR(ROUND($G163*INDEX(tblKurallar[deger_2025],MATCH("AKV-003",tblKurallar[kural_id],0)),2),0))</f>
        <v/>
      </c>
      <c r="I163" s="37">
        <f>IF($A163="","",IFERROR(MAX(0,$H163-$F163),0))</f>
        <v/>
      </c>
    </row>
    <row r="164">
      <c r="A164" s="36" t="n"/>
      <c r="B164" s="36" t="n"/>
      <c r="C164" s="36" t="n"/>
      <c r="D164" s="36" t="n"/>
      <c r="E164" s="36" t="n"/>
      <c r="F164" s="36" t="n"/>
      <c r="G164" s="37">
        <f>IF($A164="","",$B164+$C164-$D164-$E164)</f>
        <v/>
      </c>
      <c r="H164" s="37">
        <f>IF($A164="","",IFERROR(ROUND($G164*INDEX(tblKurallar[deger_2025],MATCH("AKV-003",tblKurallar[kural_id],0)),2),0))</f>
        <v/>
      </c>
      <c r="I164" s="37">
        <f>IF($A164="","",IFERROR(MAX(0,$H164-$F164),0))</f>
        <v/>
      </c>
    </row>
    <row r="165">
      <c r="A165" s="36" t="n"/>
      <c r="B165" s="36" t="n"/>
      <c r="C165" s="36" t="n"/>
      <c r="D165" s="36" t="n"/>
      <c r="E165" s="36" t="n"/>
      <c r="F165" s="36" t="n"/>
      <c r="G165" s="37">
        <f>IF($A165="","",$B165+$C165-$D165-$E165)</f>
        <v/>
      </c>
      <c r="H165" s="37">
        <f>IF($A165="","",IFERROR(ROUND($G165*INDEX(tblKurallar[deger_2025],MATCH("AKV-003",tblKurallar[kural_id],0)),2),0))</f>
        <v/>
      </c>
      <c r="I165" s="37">
        <f>IF($A165="","",IFERROR(MAX(0,$H165-$F165),0))</f>
        <v/>
      </c>
    </row>
    <row r="166">
      <c r="A166" s="36" t="n"/>
      <c r="B166" s="36" t="n"/>
      <c r="C166" s="36" t="n"/>
      <c r="D166" s="36" t="n"/>
      <c r="E166" s="36" t="n"/>
      <c r="F166" s="36" t="n"/>
      <c r="G166" s="37">
        <f>IF($A166="","",$B166+$C166-$D166-$E166)</f>
        <v/>
      </c>
      <c r="H166" s="37">
        <f>IF($A166="","",IFERROR(ROUND($G166*INDEX(tblKurallar[deger_2025],MATCH("AKV-003",tblKurallar[kural_id],0)),2),0))</f>
        <v/>
      </c>
      <c r="I166" s="37">
        <f>IF($A166="","",IFERROR(MAX(0,$H166-$F166),0))</f>
        <v/>
      </c>
    </row>
    <row r="167">
      <c r="A167" s="36" t="n"/>
      <c r="B167" s="36" t="n"/>
      <c r="C167" s="36" t="n"/>
      <c r="D167" s="36" t="n"/>
      <c r="E167" s="36" t="n"/>
      <c r="F167" s="36" t="n"/>
      <c r="G167" s="37">
        <f>IF($A167="","",$B167+$C167-$D167-$E167)</f>
        <v/>
      </c>
      <c r="H167" s="37">
        <f>IF($A167="","",IFERROR(ROUND($G167*INDEX(tblKurallar[deger_2025],MATCH("AKV-003",tblKurallar[kural_id],0)),2),0))</f>
        <v/>
      </c>
      <c r="I167" s="37">
        <f>IF($A167="","",IFERROR(MAX(0,$H167-$F167),0))</f>
        <v/>
      </c>
    </row>
    <row r="168">
      <c r="A168" s="36" t="n"/>
      <c r="B168" s="36" t="n"/>
      <c r="C168" s="36" t="n"/>
      <c r="D168" s="36" t="n"/>
      <c r="E168" s="36" t="n"/>
      <c r="F168" s="36" t="n"/>
      <c r="G168" s="37">
        <f>IF($A168="","",$B168+$C168-$D168-$E168)</f>
        <v/>
      </c>
      <c r="H168" s="37">
        <f>IF($A168="","",IFERROR(ROUND($G168*INDEX(tblKurallar[deger_2025],MATCH("AKV-003",tblKurallar[kural_id],0)),2),0))</f>
        <v/>
      </c>
      <c r="I168" s="37">
        <f>IF($A168="","",IFERROR(MAX(0,$H168-$F168),0))</f>
        <v/>
      </c>
    </row>
    <row r="169">
      <c r="A169" s="36" t="n"/>
      <c r="B169" s="36" t="n"/>
      <c r="C169" s="36" t="n"/>
      <c r="D169" s="36" t="n"/>
      <c r="E169" s="36" t="n"/>
      <c r="F169" s="36" t="n"/>
      <c r="G169" s="37">
        <f>IF($A169="","",$B169+$C169-$D169-$E169)</f>
        <v/>
      </c>
      <c r="H169" s="37">
        <f>IF($A169="","",IFERROR(ROUND($G169*INDEX(tblKurallar[deger_2025],MATCH("AKV-003",tblKurallar[kural_id],0)),2),0))</f>
        <v/>
      </c>
      <c r="I169" s="37">
        <f>IF($A169="","",IFERROR(MAX(0,$H169-$F169),0))</f>
        <v/>
      </c>
    </row>
    <row r="170">
      <c r="A170" s="36" t="n"/>
      <c r="B170" s="36" t="n"/>
      <c r="C170" s="36" t="n"/>
      <c r="D170" s="36" t="n"/>
      <c r="E170" s="36" t="n"/>
      <c r="F170" s="36" t="n"/>
      <c r="G170" s="37">
        <f>IF($A170="","",$B170+$C170-$D170-$E170)</f>
        <v/>
      </c>
      <c r="H170" s="37">
        <f>IF($A170="","",IFERROR(ROUND($G170*INDEX(tblKurallar[deger_2025],MATCH("AKV-003",tblKurallar[kural_id],0)),2),0))</f>
        <v/>
      </c>
      <c r="I170" s="37">
        <f>IF($A170="","",IFERROR(MAX(0,$H170-$F170),0))</f>
        <v/>
      </c>
    </row>
    <row r="171">
      <c r="A171" s="36" t="n"/>
      <c r="B171" s="36" t="n"/>
      <c r="C171" s="36" t="n"/>
      <c r="D171" s="36" t="n"/>
      <c r="E171" s="36" t="n"/>
      <c r="F171" s="36" t="n"/>
      <c r="G171" s="37">
        <f>IF($A171="","",$B171+$C171-$D171-$E171)</f>
        <v/>
      </c>
      <c r="H171" s="37">
        <f>IF($A171="","",IFERROR(ROUND($G171*INDEX(tblKurallar[deger_2025],MATCH("AKV-003",tblKurallar[kural_id],0)),2),0))</f>
        <v/>
      </c>
      <c r="I171" s="37">
        <f>IF($A171="","",IFERROR(MAX(0,$H171-$F171),0))</f>
        <v/>
      </c>
    </row>
    <row r="172">
      <c r="A172" s="36" t="n"/>
      <c r="B172" s="36" t="n"/>
      <c r="C172" s="36" t="n"/>
      <c r="D172" s="36" t="n"/>
      <c r="E172" s="36" t="n"/>
      <c r="F172" s="36" t="n"/>
      <c r="G172" s="37">
        <f>IF($A172="","",$B172+$C172-$D172-$E172)</f>
        <v/>
      </c>
      <c r="H172" s="37">
        <f>IF($A172="","",IFERROR(ROUND($G172*INDEX(tblKurallar[deger_2025],MATCH("AKV-003",tblKurallar[kural_id],0)),2),0))</f>
        <v/>
      </c>
      <c r="I172" s="37">
        <f>IF($A172="","",IFERROR(MAX(0,$H172-$F172),0))</f>
        <v/>
      </c>
    </row>
    <row r="173">
      <c r="A173" s="36" t="n"/>
      <c r="B173" s="36" t="n"/>
      <c r="C173" s="36" t="n"/>
      <c r="D173" s="36" t="n"/>
      <c r="E173" s="36" t="n"/>
      <c r="F173" s="36" t="n"/>
      <c r="G173" s="37">
        <f>IF($A173="","",$B173+$C173-$D173-$E173)</f>
        <v/>
      </c>
      <c r="H173" s="37">
        <f>IF($A173="","",IFERROR(ROUND($G173*INDEX(tblKurallar[deger_2025],MATCH("AKV-003",tblKurallar[kural_id],0)),2),0))</f>
        <v/>
      </c>
      <c r="I173" s="37">
        <f>IF($A173="","",IFERROR(MAX(0,$H173-$F173),0))</f>
        <v/>
      </c>
    </row>
    <row r="174">
      <c r="A174" s="36" t="n"/>
      <c r="B174" s="36" t="n"/>
      <c r="C174" s="36" t="n"/>
      <c r="D174" s="36" t="n"/>
      <c r="E174" s="36" t="n"/>
      <c r="F174" s="36" t="n"/>
      <c r="G174" s="37">
        <f>IF($A174="","",$B174+$C174-$D174-$E174)</f>
        <v/>
      </c>
      <c r="H174" s="37">
        <f>IF($A174="","",IFERROR(ROUND($G174*INDEX(tblKurallar[deger_2025],MATCH("AKV-003",tblKurallar[kural_id],0)),2),0))</f>
        <v/>
      </c>
      <c r="I174" s="37">
        <f>IF($A174="","",IFERROR(MAX(0,$H174-$F174),0))</f>
        <v/>
      </c>
    </row>
    <row r="175">
      <c r="A175" s="36" t="n"/>
      <c r="B175" s="36" t="n"/>
      <c r="C175" s="36" t="n"/>
      <c r="D175" s="36" t="n"/>
      <c r="E175" s="36" t="n"/>
      <c r="F175" s="36" t="n"/>
      <c r="G175" s="37">
        <f>IF($A175="","",$B175+$C175-$D175-$E175)</f>
        <v/>
      </c>
      <c r="H175" s="37">
        <f>IF($A175="","",IFERROR(ROUND($G175*INDEX(tblKurallar[deger_2025],MATCH("AKV-003",tblKurallar[kural_id],0)),2),0))</f>
        <v/>
      </c>
      <c r="I175" s="37">
        <f>IF($A175="","",IFERROR(MAX(0,$H175-$F175),0))</f>
        <v/>
      </c>
    </row>
    <row r="176">
      <c r="A176" s="36" t="n"/>
      <c r="B176" s="36" t="n"/>
      <c r="C176" s="36" t="n"/>
      <c r="D176" s="36" t="n"/>
      <c r="E176" s="36" t="n"/>
      <c r="F176" s="36" t="n"/>
      <c r="G176" s="37">
        <f>IF($A176="","",$B176+$C176-$D176-$E176)</f>
        <v/>
      </c>
      <c r="H176" s="37">
        <f>IF($A176="","",IFERROR(ROUND($G176*INDEX(tblKurallar[deger_2025],MATCH("AKV-003",tblKurallar[kural_id],0)),2),0))</f>
        <v/>
      </c>
      <c r="I176" s="37">
        <f>IF($A176="","",IFERROR(MAX(0,$H176-$F176),0))</f>
        <v/>
      </c>
    </row>
    <row r="177">
      <c r="A177" s="36" t="n"/>
      <c r="B177" s="36" t="n"/>
      <c r="C177" s="36" t="n"/>
      <c r="D177" s="36" t="n"/>
      <c r="E177" s="36" t="n"/>
      <c r="F177" s="36" t="n"/>
      <c r="G177" s="37">
        <f>IF($A177="","",$B177+$C177-$D177-$E177)</f>
        <v/>
      </c>
      <c r="H177" s="37">
        <f>IF($A177="","",IFERROR(ROUND($G177*INDEX(tblKurallar[deger_2025],MATCH("AKV-003",tblKurallar[kural_id],0)),2),0))</f>
        <v/>
      </c>
      <c r="I177" s="37">
        <f>IF($A177="","",IFERROR(MAX(0,$H177-$F177),0))</f>
        <v/>
      </c>
    </row>
    <row r="178">
      <c r="A178" s="36" t="n"/>
      <c r="B178" s="36" t="n"/>
      <c r="C178" s="36" t="n"/>
      <c r="D178" s="36" t="n"/>
      <c r="E178" s="36" t="n"/>
      <c r="F178" s="36" t="n"/>
      <c r="G178" s="37">
        <f>IF($A178="","",$B178+$C178-$D178-$E178)</f>
        <v/>
      </c>
      <c r="H178" s="37">
        <f>IF($A178="","",IFERROR(ROUND($G178*INDEX(tblKurallar[deger_2025],MATCH("AKV-003",tblKurallar[kural_id],0)),2),0))</f>
        <v/>
      </c>
      <c r="I178" s="37">
        <f>IF($A178="","",IFERROR(MAX(0,$H178-$F178),0))</f>
        <v/>
      </c>
    </row>
    <row r="179">
      <c r="A179" s="36" t="n"/>
      <c r="B179" s="36" t="n"/>
      <c r="C179" s="36" t="n"/>
      <c r="D179" s="36" t="n"/>
      <c r="E179" s="36" t="n"/>
      <c r="F179" s="36" t="n"/>
      <c r="G179" s="37">
        <f>IF($A179="","",$B179+$C179-$D179-$E179)</f>
        <v/>
      </c>
      <c r="H179" s="37">
        <f>IF($A179="","",IFERROR(ROUND($G179*INDEX(tblKurallar[deger_2025],MATCH("AKV-003",tblKurallar[kural_id],0)),2),0))</f>
        <v/>
      </c>
      <c r="I179" s="37">
        <f>IF($A179="","",IFERROR(MAX(0,$H179-$F179),0))</f>
        <v/>
      </c>
    </row>
    <row r="180">
      <c r="A180" s="36" t="n"/>
      <c r="B180" s="36" t="n"/>
      <c r="C180" s="36" t="n"/>
      <c r="D180" s="36" t="n"/>
      <c r="E180" s="36" t="n"/>
      <c r="F180" s="36" t="n"/>
      <c r="G180" s="37">
        <f>IF($A180="","",$B180+$C180-$D180-$E180)</f>
        <v/>
      </c>
      <c r="H180" s="37">
        <f>IF($A180="","",IFERROR(ROUND($G180*INDEX(tblKurallar[deger_2025],MATCH("AKV-003",tblKurallar[kural_id],0)),2),0))</f>
        <v/>
      </c>
      <c r="I180" s="37">
        <f>IF($A180="","",IFERROR(MAX(0,$H180-$F180),0))</f>
        <v/>
      </c>
    </row>
    <row r="181">
      <c r="A181" s="36" t="n"/>
      <c r="B181" s="36" t="n"/>
      <c r="C181" s="36" t="n"/>
      <c r="D181" s="36" t="n"/>
      <c r="E181" s="36" t="n"/>
      <c r="F181" s="36" t="n"/>
      <c r="G181" s="37">
        <f>IF($A181="","",$B181+$C181-$D181-$E181)</f>
        <v/>
      </c>
      <c r="H181" s="37">
        <f>IF($A181="","",IFERROR(ROUND($G181*INDEX(tblKurallar[deger_2025],MATCH("AKV-003",tblKurallar[kural_id],0)),2),0))</f>
        <v/>
      </c>
      <c r="I181" s="37">
        <f>IF($A181="","",IFERROR(MAX(0,$H181-$F181),0))</f>
        <v/>
      </c>
    </row>
    <row r="182">
      <c r="A182" s="36" t="n"/>
      <c r="B182" s="36" t="n"/>
      <c r="C182" s="36" t="n"/>
      <c r="D182" s="36" t="n"/>
      <c r="E182" s="36" t="n"/>
      <c r="F182" s="36" t="n"/>
      <c r="G182" s="37">
        <f>IF($A182="","",$B182+$C182-$D182-$E182)</f>
        <v/>
      </c>
      <c r="H182" s="37">
        <f>IF($A182="","",IFERROR(ROUND($G182*INDEX(tblKurallar[deger_2025],MATCH("AKV-003",tblKurallar[kural_id],0)),2),0))</f>
        <v/>
      </c>
      <c r="I182" s="37">
        <f>IF($A182="","",IFERROR(MAX(0,$H182-$F182),0))</f>
        <v/>
      </c>
    </row>
    <row r="183">
      <c r="A183" s="36" t="n"/>
      <c r="B183" s="36" t="n"/>
      <c r="C183" s="36" t="n"/>
      <c r="D183" s="36" t="n"/>
      <c r="E183" s="36" t="n"/>
      <c r="F183" s="36" t="n"/>
      <c r="G183" s="37">
        <f>IF($A183="","",$B183+$C183-$D183-$E183)</f>
        <v/>
      </c>
      <c r="H183" s="37">
        <f>IF($A183="","",IFERROR(ROUND($G183*INDEX(tblKurallar[deger_2025],MATCH("AKV-003",tblKurallar[kural_id],0)),2),0))</f>
        <v/>
      </c>
      <c r="I183" s="37">
        <f>IF($A183="","",IFERROR(MAX(0,$H183-$F183),0))</f>
        <v/>
      </c>
    </row>
    <row r="184">
      <c r="A184" s="36" t="n"/>
      <c r="B184" s="36" t="n"/>
      <c r="C184" s="36" t="n"/>
      <c r="D184" s="36" t="n"/>
      <c r="E184" s="36" t="n"/>
      <c r="F184" s="36" t="n"/>
      <c r="G184" s="37">
        <f>IF($A184="","",$B184+$C184-$D184-$E184)</f>
        <v/>
      </c>
      <c r="H184" s="37">
        <f>IF($A184="","",IFERROR(ROUND($G184*INDEX(tblKurallar[deger_2025],MATCH("AKV-003",tblKurallar[kural_id],0)),2),0))</f>
        <v/>
      </c>
      <c r="I184" s="37">
        <f>IF($A184="","",IFERROR(MAX(0,$H184-$F184),0))</f>
        <v/>
      </c>
    </row>
    <row r="185">
      <c r="A185" s="36" t="n"/>
      <c r="B185" s="36" t="n"/>
      <c r="C185" s="36" t="n"/>
      <c r="D185" s="36" t="n"/>
      <c r="E185" s="36" t="n"/>
      <c r="F185" s="36" t="n"/>
      <c r="G185" s="37">
        <f>IF($A185="","",$B185+$C185-$D185-$E185)</f>
        <v/>
      </c>
      <c r="H185" s="37">
        <f>IF($A185="","",IFERROR(ROUND($G185*INDEX(tblKurallar[deger_2025],MATCH("AKV-003",tblKurallar[kural_id],0)),2),0))</f>
        <v/>
      </c>
      <c r="I185" s="37">
        <f>IF($A185="","",IFERROR(MAX(0,$H185-$F185),0))</f>
        <v/>
      </c>
    </row>
    <row r="186">
      <c r="A186" s="36" t="n"/>
      <c r="B186" s="36" t="n"/>
      <c r="C186" s="36" t="n"/>
      <c r="D186" s="36" t="n"/>
      <c r="E186" s="36" t="n"/>
      <c r="F186" s="36" t="n"/>
      <c r="G186" s="37">
        <f>IF($A186="","",$B186+$C186-$D186-$E186)</f>
        <v/>
      </c>
      <c r="H186" s="37">
        <f>IF($A186="","",IFERROR(ROUND($G186*INDEX(tblKurallar[deger_2025],MATCH("AKV-003",tblKurallar[kural_id],0)),2),0))</f>
        <v/>
      </c>
      <c r="I186" s="37">
        <f>IF($A186="","",IFERROR(MAX(0,$H186-$F186),0))</f>
        <v/>
      </c>
    </row>
    <row r="187">
      <c r="A187" s="36" t="n"/>
      <c r="B187" s="36" t="n"/>
      <c r="C187" s="36" t="n"/>
      <c r="D187" s="36" t="n"/>
      <c r="E187" s="36" t="n"/>
      <c r="F187" s="36" t="n"/>
      <c r="G187" s="37">
        <f>IF($A187="","",$B187+$C187-$D187-$E187)</f>
        <v/>
      </c>
      <c r="H187" s="37">
        <f>IF($A187="","",IFERROR(ROUND($G187*INDEX(tblKurallar[deger_2025],MATCH("AKV-003",tblKurallar[kural_id],0)),2),0))</f>
        <v/>
      </c>
      <c r="I187" s="37">
        <f>IF($A187="","",IFERROR(MAX(0,$H187-$F187),0))</f>
        <v/>
      </c>
    </row>
    <row r="188">
      <c r="A188" s="36" t="n"/>
      <c r="B188" s="36" t="n"/>
      <c r="C188" s="36" t="n"/>
      <c r="D188" s="36" t="n"/>
      <c r="E188" s="36" t="n"/>
      <c r="F188" s="36" t="n"/>
      <c r="G188" s="37">
        <f>IF($A188="","",$B188+$C188-$D188-$E188)</f>
        <v/>
      </c>
      <c r="H188" s="37">
        <f>IF($A188="","",IFERROR(ROUND($G188*INDEX(tblKurallar[deger_2025],MATCH("AKV-003",tblKurallar[kural_id],0)),2),0))</f>
        <v/>
      </c>
      <c r="I188" s="37">
        <f>IF($A188="","",IFERROR(MAX(0,$H188-$F188),0))</f>
        <v/>
      </c>
    </row>
    <row r="189">
      <c r="A189" s="36" t="n"/>
      <c r="B189" s="36" t="n"/>
      <c r="C189" s="36" t="n"/>
      <c r="D189" s="36" t="n"/>
      <c r="E189" s="36" t="n"/>
      <c r="F189" s="36" t="n"/>
      <c r="G189" s="37">
        <f>IF($A189="","",$B189+$C189-$D189-$E189)</f>
        <v/>
      </c>
      <c r="H189" s="37">
        <f>IF($A189="","",IFERROR(ROUND($G189*INDEX(tblKurallar[deger_2025],MATCH("AKV-003",tblKurallar[kural_id],0)),2),0))</f>
        <v/>
      </c>
      <c r="I189" s="37">
        <f>IF($A189="","",IFERROR(MAX(0,$H189-$F189),0))</f>
        <v/>
      </c>
    </row>
    <row r="190">
      <c r="A190" s="36" t="n"/>
      <c r="B190" s="36" t="n"/>
      <c r="C190" s="36" t="n"/>
      <c r="D190" s="36" t="n"/>
      <c r="E190" s="36" t="n"/>
      <c r="F190" s="36" t="n"/>
      <c r="G190" s="37">
        <f>IF($A190="","",$B190+$C190-$D190-$E190)</f>
        <v/>
      </c>
      <c r="H190" s="37">
        <f>IF($A190="","",IFERROR(ROUND($G190*INDEX(tblKurallar[deger_2025],MATCH("AKV-003",tblKurallar[kural_id],0)),2),0))</f>
        <v/>
      </c>
      <c r="I190" s="37">
        <f>IF($A190="","",IFERROR(MAX(0,$H190-$F190),0))</f>
        <v/>
      </c>
    </row>
    <row r="191">
      <c r="A191" s="36" t="n"/>
      <c r="B191" s="36" t="n"/>
      <c r="C191" s="36" t="n"/>
      <c r="D191" s="36" t="n"/>
      <c r="E191" s="36" t="n"/>
      <c r="F191" s="36" t="n"/>
      <c r="G191" s="37">
        <f>IF($A191="","",$B191+$C191-$D191-$E191)</f>
        <v/>
      </c>
      <c r="H191" s="37">
        <f>IF($A191="","",IFERROR(ROUND($G191*INDEX(tblKurallar[deger_2025],MATCH("AKV-003",tblKurallar[kural_id],0)),2),0))</f>
        <v/>
      </c>
      <c r="I191" s="37">
        <f>IF($A191="","",IFERROR(MAX(0,$H191-$F191),0))</f>
        <v/>
      </c>
    </row>
    <row r="192">
      <c r="A192" s="36" t="n"/>
      <c r="B192" s="36" t="n"/>
      <c r="C192" s="36" t="n"/>
      <c r="D192" s="36" t="n"/>
      <c r="E192" s="36" t="n"/>
      <c r="F192" s="36" t="n"/>
      <c r="G192" s="37">
        <f>IF($A192="","",$B192+$C192-$D192-$E192)</f>
        <v/>
      </c>
      <c r="H192" s="37">
        <f>IF($A192="","",IFERROR(ROUND($G192*INDEX(tblKurallar[deger_2025],MATCH("AKV-003",tblKurallar[kural_id],0)),2),0))</f>
        <v/>
      </c>
      <c r="I192" s="37">
        <f>IF($A192="","",IFERROR(MAX(0,$H192-$F192),0))</f>
        <v/>
      </c>
    </row>
    <row r="193">
      <c r="A193" s="36" t="n"/>
      <c r="B193" s="36" t="n"/>
      <c r="C193" s="36" t="n"/>
      <c r="D193" s="36" t="n"/>
      <c r="E193" s="36" t="n"/>
      <c r="F193" s="36" t="n"/>
      <c r="G193" s="37">
        <f>IF($A193="","",$B193+$C193-$D193-$E193)</f>
        <v/>
      </c>
      <c r="H193" s="37">
        <f>IF($A193="","",IFERROR(ROUND($G193*INDEX(tblKurallar[deger_2025],MATCH("AKV-003",tblKurallar[kural_id],0)),2),0))</f>
        <v/>
      </c>
      <c r="I193" s="37">
        <f>IF($A193="","",IFERROR(MAX(0,$H193-$F193),0))</f>
        <v/>
      </c>
    </row>
    <row r="194">
      <c r="A194" s="36" t="n"/>
      <c r="B194" s="36" t="n"/>
      <c r="C194" s="36" t="n"/>
      <c r="D194" s="36" t="n"/>
      <c r="E194" s="36" t="n"/>
      <c r="F194" s="36" t="n"/>
      <c r="G194" s="37">
        <f>IF($A194="","",$B194+$C194-$D194-$E194)</f>
        <v/>
      </c>
      <c r="H194" s="37">
        <f>IF($A194="","",IFERROR(ROUND($G194*INDEX(tblKurallar[deger_2025],MATCH("AKV-003",tblKurallar[kural_id],0)),2),0))</f>
        <v/>
      </c>
      <c r="I194" s="37">
        <f>IF($A194="","",IFERROR(MAX(0,$H194-$F194),0))</f>
        <v/>
      </c>
    </row>
    <row r="195">
      <c r="A195" s="36" t="n"/>
      <c r="B195" s="36" t="n"/>
      <c r="C195" s="36" t="n"/>
      <c r="D195" s="36" t="n"/>
      <c r="E195" s="36" t="n"/>
      <c r="F195" s="36" t="n"/>
      <c r="G195" s="37">
        <f>IF($A195="","",$B195+$C195-$D195-$E195)</f>
        <v/>
      </c>
      <c r="H195" s="37">
        <f>IF($A195="","",IFERROR(ROUND($G195*INDEX(tblKurallar[deger_2025],MATCH("AKV-003",tblKurallar[kural_id],0)),2),0))</f>
        <v/>
      </c>
      <c r="I195" s="37">
        <f>IF($A195="","",IFERROR(MAX(0,$H195-$F195),0))</f>
        <v/>
      </c>
    </row>
    <row r="196">
      <c r="A196" s="36" t="n"/>
      <c r="B196" s="36" t="n"/>
      <c r="C196" s="36" t="n"/>
      <c r="D196" s="36" t="n"/>
      <c r="E196" s="36" t="n"/>
      <c r="F196" s="36" t="n"/>
      <c r="G196" s="37">
        <f>IF($A196="","",$B196+$C196-$D196-$E196)</f>
        <v/>
      </c>
      <c r="H196" s="37">
        <f>IF($A196="","",IFERROR(ROUND($G196*INDEX(tblKurallar[deger_2025],MATCH("AKV-003",tblKurallar[kural_id],0)),2),0))</f>
        <v/>
      </c>
      <c r="I196" s="37">
        <f>IF($A196="","",IFERROR(MAX(0,$H196-$F196),0))</f>
        <v/>
      </c>
    </row>
    <row r="197">
      <c r="A197" s="36" t="n"/>
      <c r="B197" s="36" t="n"/>
      <c r="C197" s="36" t="n"/>
      <c r="D197" s="36" t="n"/>
      <c r="E197" s="36" t="n"/>
      <c r="F197" s="36" t="n"/>
      <c r="G197" s="37">
        <f>IF($A197="","",$B197+$C197-$D197-$E197)</f>
        <v/>
      </c>
      <c r="H197" s="37">
        <f>IF($A197="","",IFERROR(ROUND($G197*INDEX(tblKurallar[deger_2025],MATCH("AKV-003",tblKurallar[kural_id],0)),2),0))</f>
        <v/>
      </c>
      <c r="I197" s="37">
        <f>IF($A197="","",IFERROR(MAX(0,$H197-$F197),0))</f>
        <v/>
      </c>
    </row>
    <row r="198">
      <c r="A198" s="36" t="n"/>
      <c r="B198" s="36" t="n"/>
      <c r="C198" s="36" t="n"/>
      <c r="D198" s="36" t="n"/>
      <c r="E198" s="36" t="n"/>
      <c r="F198" s="36" t="n"/>
      <c r="G198" s="37">
        <f>IF($A198="","",$B198+$C198-$D198-$E198)</f>
        <v/>
      </c>
      <c r="H198" s="37">
        <f>IF($A198="","",IFERROR(ROUND($G198*INDEX(tblKurallar[deger_2025],MATCH("AKV-003",tblKurallar[kural_id],0)),2),0))</f>
        <v/>
      </c>
      <c r="I198" s="37">
        <f>IF($A198="","",IFERROR(MAX(0,$H198-$F198),0))</f>
        <v/>
      </c>
    </row>
    <row r="199">
      <c r="A199" s="36" t="n"/>
      <c r="B199" s="36" t="n"/>
      <c r="C199" s="36" t="n"/>
      <c r="D199" s="36" t="n"/>
      <c r="E199" s="36" t="n"/>
      <c r="F199" s="36" t="n"/>
      <c r="G199" s="37">
        <f>IF($A199="","",$B199+$C199-$D199-$E199)</f>
        <v/>
      </c>
      <c r="H199" s="37">
        <f>IF($A199="","",IFERROR(ROUND($G199*INDEX(tblKurallar[deger_2025],MATCH("AKV-003",tblKurallar[kural_id],0)),2),0))</f>
        <v/>
      </c>
      <c r="I199" s="37">
        <f>IF($A199="","",IFERROR(MAX(0,$H199-$F199),0))</f>
        <v/>
      </c>
    </row>
    <row r="200">
      <c r="A200" s="36" t="n"/>
      <c r="B200" s="36" t="n"/>
      <c r="C200" s="36" t="n"/>
      <c r="D200" s="36" t="n"/>
      <c r="E200" s="36" t="n"/>
      <c r="F200" s="36" t="n"/>
      <c r="G200" s="37">
        <f>IF($A200="","",$B200+$C200-$D200-$E200)</f>
        <v/>
      </c>
      <c r="H200" s="37">
        <f>IF($A200="","",IFERROR(ROUND($G200*INDEX(tblKurallar[deger_2025],MATCH("AKV-003",tblKurallar[kural_id],0)),2),0))</f>
        <v/>
      </c>
      <c r="I200" s="37">
        <f>IF($A200="","",IFERROR(MAX(0,$H200-$F200),0))</f>
        <v/>
      </c>
    </row>
    <row r="201">
      <c r="A201" s="36" t="n"/>
      <c r="B201" s="36" t="n"/>
      <c r="C201" s="36" t="n"/>
      <c r="D201" s="36" t="n"/>
      <c r="E201" s="36" t="n"/>
      <c r="F201" s="36" t="n"/>
      <c r="G201" s="37">
        <f>IF($A201="","",$B201+$C201-$D201-$E201)</f>
        <v/>
      </c>
      <c r="H201" s="37">
        <f>IF($A201="","",IFERROR(ROUND($G201*INDEX(tblKurallar[deger_2025],MATCH("AKV-003",tblKurallar[kural_id],0)),2),0))</f>
        <v/>
      </c>
      <c r="I201" s="37">
        <f>IF($A201="","",IFERROR(MAX(0,$H201-$F201),0))</f>
        <v/>
      </c>
    </row>
    <row r="202">
      <c r="A202" s="36" t="n"/>
      <c r="B202" s="36" t="n"/>
      <c r="C202" s="36" t="n"/>
      <c r="D202" s="36" t="n"/>
      <c r="E202" s="36" t="n"/>
      <c r="F202" s="36" t="n"/>
      <c r="G202" s="37">
        <f>IF($A202="","",$B202+$C202-$D202-$E202)</f>
        <v/>
      </c>
      <c r="H202" s="37">
        <f>IF($A202="","",IFERROR(ROUND($G202*INDEX(tblKurallar[deger_2025],MATCH("AKV-003",tblKurallar[kural_id],0)),2),0))</f>
        <v/>
      </c>
      <c r="I202" s="37">
        <f>IF($A202="","",IFERROR(MAX(0,$H202-$F202),0))</f>
        <v/>
      </c>
    </row>
    <row r="203">
      <c r="A203" s="36" t="n"/>
      <c r="B203" s="36" t="n"/>
      <c r="C203" s="36" t="n"/>
      <c r="D203" s="36" t="n"/>
      <c r="E203" s="36" t="n"/>
      <c r="F203" s="36" t="n"/>
      <c r="G203" s="37">
        <f>IF($A203="","",$B203+$C203-$D203-$E203)</f>
        <v/>
      </c>
      <c r="H203" s="37">
        <f>IF($A203="","",IFERROR(ROUND($G203*INDEX(tblKurallar[deger_2025],MATCH("AKV-003",tblKurallar[kural_id],0)),2),0))</f>
        <v/>
      </c>
      <c r="I203" s="37">
        <f>IF($A203="","",IFERROR(MAX(0,$H203-$F203),0))</f>
        <v/>
      </c>
    </row>
    <row r="204">
      <c r="A204" s="36" t="n"/>
      <c r="B204" s="36" t="n"/>
      <c r="C204" s="36" t="n"/>
      <c r="D204" s="36" t="n"/>
      <c r="E204" s="36" t="n"/>
      <c r="F204" s="36" t="n"/>
      <c r="G204" s="37">
        <f>IF($A204="","",$B204+$C204-$D204-$E204)</f>
        <v/>
      </c>
      <c r="H204" s="37">
        <f>IF($A204="","",IFERROR(ROUND($G204*INDEX(tblKurallar[deger_2025],MATCH("AKV-003",tblKurallar[kural_id],0)),2),0))</f>
        <v/>
      </c>
      <c r="I204" s="37">
        <f>IF($A204="","",IFERROR(MAX(0,$H204-$F204),0))</f>
        <v/>
      </c>
    </row>
    <row r="205">
      <c r="A205" s="36" t="n"/>
      <c r="B205" s="36" t="n"/>
      <c r="C205" s="36" t="n"/>
      <c r="D205" s="36" t="n"/>
      <c r="E205" s="36" t="n"/>
      <c r="F205" s="36" t="n"/>
      <c r="G205" s="37">
        <f>IF($A205="","",$B205+$C205-$D205-$E205)</f>
        <v/>
      </c>
      <c r="H205" s="37">
        <f>IF($A205="","",IFERROR(ROUND($G205*INDEX(tblKurallar[deger_2025],MATCH("AKV-003",tblKurallar[kural_id],0)),2),0))</f>
        <v/>
      </c>
      <c r="I205" s="37">
        <f>IF($A205="","",IFERROR(MAX(0,$H205-$F205),0))</f>
        <v/>
      </c>
    </row>
    <row r="206">
      <c r="A206" s="36" t="n"/>
      <c r="B206" s="36" t="n"/>
      <c r="C206" s="36" t="n"/>
      <c r="D206" s="36" t="n"/>
      <c r="E206" s="36" t="n"/>
      <c r="F206" s="36" t="n"/>
      <c r="G206" s="37">
        <f>IF($A206="","",$B206+$C206-$D206-$E206)</f>
        <v/>
      </c>
      <c r="H206" s="37">
        <f>IF($A206="","",IFERROR(ROUND($G206*INDEX(tblKurallar[deger_2025],MATCH("AKV-003",tblKurallar[kural_id],0)),2),0))</f>
        <v/>
      </c>
      <c r="I206" s="37">
        <f>IF($A206="","",IFERROR(MAX(0,$H206-$F206),0))</f>
        <v/>
      </c>
    </row>
    <row r="207">
      <c r="A207" s="36" t="n"/>
      <c r="B207" s="36" t="n"/>
      <c r="C207" s="36" t="n"/>
      <c r="D207" s="36" t="n"/>
      <c r="E207" s="36" t="n"/>
      <c r="F207" s="36" t="n"/>
      <c r="G207" s="37">
        <f>IF($A207="","",$B207+$C207-$D207-$E207)</f>
        <v/>
      </c>
      <c r="H207" s="37">
        <f>IF($A207="","",IFERROR(ROUND($G207*INDEX(tblKurallar[deger_2025],MATCH("AKV-003",tblKurallar[kural_id],0)),2),0))</f>
        <v/>
      </c>
      <c r="I207" s="37">
        <f>IF($A207="","",IFERROR(MAX(0,$H207-$F207),0))</f>
        <v/>
      </c>
    </row>
    <row r="208">
      <c r="A208" s="36" t="n"/>
      <c r="B208" s="36" t="n"/>
      <c r="C208" s="36" t="n"/>
      <c r="D208" s="36" t="n"/>
      <c r="E208" s="36" t="n"/>
      <c r="F208" s="36" t="n"/>
      <c r="G208" s="37">
        <f>IF($A208="","",$B208+$C208-$D208-$E208)</f>
        <v/>
      </c>
      <c r="H208" s="37">
        <f>IF($A208="","",IFERROR(ROUND($G208*INDEX(tblKurallar[deger_2025],MATCH("AKV-003",tblKurallar[kural_id],0)),2),0))</f>
        <v/>
      </c>
      <c r="I208" s="37">
        <f>IF($A208="","",IFERROR(MAX(0,$H208-$F208),0))</f>
        <v/>
      </c>
    </row>
    <row r="209">
      <c r="A209" s="36" t="n"/>
      <c r="B209" s="36" t="n"/>
      <c r="C209" s="36" t="n"/>
      <c r="D209" s="36" t="n"/>
      <c r="E209" s="36" t="n"/>
      <c r="F209" s="36" t="n"/>
      <c r="G209" s="37">
        <f>IF($A209="","",$B209+$C209-$D209-$E209)</f>
        <v/>
      </c>
      <c r="H209" s="37">
        <f>IF($A209="","",IFERROR(ROUND($G209*INDEX(tblKurallar[deger_2025],MATCH("AKV-003",tblKurallar[kural_id],0)),2),0))</f>
        <v/>
      </c>
      <c r="I209" s="37">
        <f>IF($A209="","",IFERROR(MAX(0,$H209-$F209),0))</f>
        <v/>
      </c>
    </row>
    <row r="210">
      <c r="A210" s="36" t="n"/>
      <c r="B210" s="36" t="n"/>
      <c r="C210" s="36" t="n"/>
      <c r="D210" s="36" t="n"/>
      <c r="E210" s="36" t="n"/>
      <c r="F210" s="36" t="n"/>
      <c r="G210" s="37">
        <f>IF($A210="","",$B210+$C210-$D210-$E210)</f>
        <v/>
      </c>
      <c r="H210" s="37">
        <f>IF($A210="","",IFERROR(ROUND($G210*INDEX(tblKurallar[deger_2025],MATCH("AKV-003",tblKurallar[kural_id],0)),2),0))</f>
        <v/>
      </c>
      <c r="I210" s="37">
        <f>IF($A210="","",IFERROR(MAX(0,$H210-$F210),0))</f>
        <v/>
      </c>
    </row>
    <row r="211">
      <c r="A211" s="36" t="n"/>
      <c r="B211" s="36" t="n"/>
      <c r="C211" s="36" t="n"/>
      <c r="D211" s="36" t="n"/>
      <c r="E211" s="36" t="n"/>
      <c r="F211" s="36" t="n"/>
      <c r="G211" s="37">
        <f>IF($A211="","",$B211+$C211-$D211-$E211)</f>
        <v/>
      </c>
      <c r="H211" s="37">
        <f>IF($A211="","",IFERROR(ROUND($G211*INDEX(tblKurallar[deger_2025],MATCH("AKV-003",tblKurallar[kural_id],0)),2),0))</f>
        <v/>
      </c>
      <c r="I211" s="37">
        <f>IF($A211="","",IFERROR(MAX(0,$H211-$F211),0))</f>
        <v/>
      </c>
    </row>
    <row r="212">
      <c r="A212" s="36" t="n"/>
      <c r="B212" s="36" t="n"/>
      <c r="C212" s="36" t="n"/>
      <c r="D212" s="36" t="n"/>
      <c r="E212" s="36" t="n"/>
      <c r="F212" s="36" t="n"/>
      <c r="G212" s="37">
        <f>IF($A212="","",$B212+$C212-$D212-$E212)</f>
        <v/>
      </c>
      <c r="H212" s="37">
        <f>IF($A212="","",IFERROR(ROUND($G212*INDEX(tblKurallar[deger_2025],MATCH("AKV-003",tblKurallar[kural_id],0)),2),0))</f>
        <v/>
      </c>
      <c r="I212" s="37">
        <f>IF($A212="","",IFERROR(MAX(0,$H212-$F212),0))</f>
        <v/>
      </c>
    </row>
    <row r="213">
      <c r="A213" s="36" t="n"/>
      <c r="B213" s="36" t="n"/>
      <c r="C213" s="36" t="n"/>
      <c r="D213" s="36" t="n"/>
      <c r="E213" s="36" t="n"/>
      <c r="F213" s="36" t="n"/>
      <c r="G213" s="37">
        <f>IF($A213="","",$B213+$C213-$D213-$E213)</f>
        <v/>
      </c>
      <c r="H213" s="37">
        <f>IF($A213="","",IFERROR(ROUND($G213*INDEX(tblKurallar[deger_2025],MATCH("AKV-003",tblKurallar[kural_id],0)),2),0))</f>
        <v/>
      </c>
      <c r="I213" s="37">
        <f>IF($A213="","",IFERROR(MAX(0,$H213-$F213),0))</f>
        <v/>
      </c>
    </row>
    <row r="214">
      <c r="A214" s="36" t="n"/>
      <c r="B214" s="36" t="n"/>
      <c r="C214" s="36" t="n"/>
      <c r="D214" s="36" t="n"/>
      <c r="E214" s="36" t="n"/>
      <c r="F214" s="36" t="n"/>
      <c r="G214" s="37">
        <f>IF($A214="","",$B214+$C214-$D214-$E214)</f>
        <v/>
      </c>
      <c r="H214" s="37">
        <f>IF($A214="","",IFERROR(ROUND($G214*INDEX(tblKurallar[deger_2025],MATCH("AKV-003",tblKurallar[kural_id],0)),2),0))</f>
        <v/>
      </c>
      <c r="I214" s="37">
        <f>IF($A214="","",IFERROR(MAX(0,$H214-$F214),0))</f>
        <v/>
      </c>
    </row>
    <row r="215">
      <c r="A215" s="36" t="n"/>
      <c r="B215" s="36" t="n"/>
      <c r="C215" s="36" t="n"/>
      <c r="D215" s="36" t="n"/>
      <c r="E215" s="36" t="n"/>
      <c r="F215" s="36" t="n"/>
      <c r="G215" s="37">
        <f>IF($A215="","",$B215+$C215-$D215-$E215)</f>
        <v/>
      </c>
      <c r="H215" s="37">
        <f>IF($A215="","",IFERROR(ROUND($G215*INDEX(tblKurallar[deger_2025],MATCH("AKV-003",tblKurallar[kural_id],0)),2),0))</f>
        <v/>
      </c>
      <c r="I215" s="37">
        <f>IF($A215="","",IFERROR(MAX(0,$H215-$F215),0))</f>
        <v/>
      </c>
    </row>
    <row r="216">
      <c r="A216" s="36" t="n"/>
      <c r="B216" s="36" t="n"/>
      <c r="C216" s="36" t="n"/>
      <c r="D216" s="36" t="n"/>
      <c r="E216" s="36" t="n"/>
      <c r="F216" s="36" t="n"/>
      <c r="G216" s="37">
        <f>IF($A216="","",$B216+$C216-$D216-$E216)</f>
        <v/>
      </c>
      <c r="H216" s="37">
        <f>IF($A216="","",IFERROR(ROUND($G216*INDEX(tblKurallar[deger_2025],MATCH("AKV-003",tblKurallar[kural_id],0)),2),0))</f>
        <v/>
      </c>
      <c r="I216" s="37">
        <f>IF($A216="","",IFERROR(MAX(0,$H216-$F216),0))</f>
        <v/>
      </c>
    </row>
    <row r="217">
      <c r="A217" s="36" t="n"/>
      <c r="B217" s="36" t="n"/>
      <c r="C217" s="36" t="n"/>
      <c r="D217" s="36" t="n"/>
      <c r="E217" s="36" t="n"/>
      <c r="F217" s="36" t="n"/>
      <c r="G217" s="37">
        <f>IF($A217="","",$B217+$C217-$D217-$E217)</f>
        <v/>
      </c>
      <c r="H217" s="37">
        <f>IF($A217="","",IFERROR(ROUND($G217*INDEX(tblKurallar[deger_2025],MATCH("AKV-003",tblKurallar[kural_id],0)),2),0))</f>
        <v/>
      </c>
      <c r="I217" s="37">
        <f>IF($A217="","",IFERROR(MAX(0,$H217-$F217),0))</f>
        <v/>
      </c>
    </row>
    <row r="218">
      <c r="A218" s="36" t="n"/>
      <c r="B218" s="36" t="n"/>
      <c r="C218" s="36" t="n"/>
      <c r="D218" s="36" t="n"/>
      <c r="E218" s="36" t="n"/>
      <c r="F218" s="36" t="n"/>
      <c r="G218" s="37">
        <f>IF($A218="","",$B218+$C218-$D218-$E218)</f>
        <v/>
      </c>
      <c r="H218" s="37">
        <f>IF($A218="","",IFERROR(ROUND($G218*INDEX(tblKurallar[deger_2025],MATCH("AKV-003",tblKurallar[kural_id],0)),2),0))</f>
        <v/>
      </c>
      <c r="I218" s="37">
        <f>IF($A218="","",IFERROR(MAX(0,$H218-$F218),0))</f>
        <v/>
      </c>
    </row>
    <row r="219">
      <c r="A219" s="36" t="n"/>
      <c r="B219" s="36" t="n"/>
      <c r="C219" s="36" t="n"/>
      <c r="D219" s="36" t="n"/>
      <c r="E219" s="36" t="n"/>
      <c r="F219" s="36" t="n"/>
      <c r="G219" s="37">
        <f>IF($A219="","",$B219+$C219-$D219-$E219)</f>
        <v/>
      </c>
      <c r="H219" s="37">
        <f>IF($A219="","",IFERROR(ROUND($G219*INDEX(tblKurallar[deger_2025],MATCH("AKV-003",tblKurallar[kural_id],0)),2),0))</f>
        <v/>
      </c>
      <c r="I219" s="37">
        <f>IF($A219="","",IFERROR(MAX(0,$H219-$F219),0))</f>
        <v/>
      </c>
    </row>
    <row r="220">
      <c r="A220" s="36" t="n"/>
      <c r="B220" s="36" t="n"/>
      <c r="C220" s="36" t="n"/>
      <c r="D220" s="36" t="n"/>
      <c r="E220" s="36" t="n"/>
      <c r="F220" s="36" t="n"/>
      <c r="G220" s="37">
        <f>IF($A220="","",$B220+$C220-$D220-$E220)</f>
        <v/>
      </c>
      <c r="H220" s="37">
        <f>IF($A220="","",IFERROR(ROUND($G220*INDEX(tblKurallar[deger_2025],MATCH("AKV-003",tblKurallar[kural_id],0)),2),0))</f>
        <v/>
      </c>
      <c r="I220" s="37">
        <f>IF($A220="","",IFERROR(MAX(0,$H220-$F220),0))</f>
        <v/>
      </c>
    </row>
    <row r="221">
      <c r="A221" s="36" t="n"/>
      <c r="B221" s="36" t="n"/>
      <c r="C221" s="36" t="n"/>
      <c r="D221" s="36" t="n"/>
      <c r="E221" s="36" t="n"/>
      <c r="F221" s="36" t="n"/>
      <c r="G221" s="37">
        <f>IF($A221="","",$B221+$C221-$D221-$E221)</f>
        <v/>
      </c>
      <c r="H221" s="37">
        <f>IF($A221="","",IFERROR(ROUND($G221*INDEX(tblKurallar[deger_2025],MATCH("AKV-003",tblKurallar[kural_id],0)),2),0))</f>
        <v/>
      </c>
      <c r="I221" s="37">
        <f>IF($A221="","",IFERROR(MAX(0,$H221-$F221),0))</f>
        <v/>
      </c>
    </row>
    <row r="222">
      <c r="A222" s="36" t="n"/>
      <c r="B222" s="36" t="n"/>
      <c r="C222" s="36" t="n"/>
      <c r="D222" s="36" t="n"/>
      <c r="E222" s="36" t="n"/>
      <c r="F222" s="36" t="n"/>
      <c r="G222" s="37">
        <f>IF($A222="","",$B222+$C222-$D222-$E222)</f>
        <v/>
      </c>
      <c r="H222" s="37">
        <f>IF($A222="","",IFERROR(ROUND($G222*INDEX(tblKurallar[deger_2025],MATCH("AKV-003",tblKurallar[kural_id],0)),2),0))</f>
        <v/>
      </c>
      <c r="I222" s="37">
        <f>IF($A222="","",IFERROR(MAX(0,$H222-$F222),0))</f>
        <v/>
      </c>
    </row>
    <row r="223">
      <c r="A223" s="36" t="n"/>
      <c r="B223" s="36" t="n"/>
      <c r="C223" s="36" t="n"/>
      <c r="D223" s="36" t="n"/>
      <c r="E223" s="36" t="n"/>
      <c r="F223" s="36" t="n"/>
      <c r="G223" s="37">
        <f>IF($A223="","",$B223+$C223-$D223-$E223)</f>
        <v/>
      </c>
      <c r="H223" s="37">
        <f>IF($A223="","",IFERROR(ROUND($G223*INDEX(tblKurallar[deger_2025],MATCH("AKV-003",tblKurallar[kural_id],0)),2),0))</f>
        <v/>
      </c>
      <c r="I223" s="37">
        <f>IF($A223="","",IFERROR(MAX(0,$H223-$F223),0))</f>
        <v/>
      </c>
    </row>
    <row r="224">
      <c r="A224" s="36" t="n"/>
      <c r="B224" s="36" t="n"/>
      <c r="C224" s="36" t="n"/>
      <c r="D224" s="36" t="n"/>
      <c r="E224" s="36" t="n"/>
      <c r="F224" s="36" t="n"/>
      <c r="G224" s="37">
        <f>IF($A224="","",$B224+$C224-$D224-$E224)</f>
        <v/>
      </c>
      <c r="H224" s="37">
        <f>IF($A224="","",IFERROR(ROUND($G224*INDEX(tblKurallar[deger_2025],MATCH("AKV-003",tblKurallar[kural_id],0)),2),0))</f>
        <v/>
      </c>
      <c r="I224" s="37">
        <f>IF($A224="","",IFERROR(MAX(0,$H224-$F224),0))</f>
        <v/>
      </c>
    </row>
    <row r="225">
      <c r="A225" s="36" t="n"/>
      <c r="B225" s="36" t="n"/>
      <c r="C225" s="36" t="n"/>
      <c r="D225" s="36" t="n"/>
      <c r="E225" s="36" t="n"/>
      <c r="F225" s="36" t="n"/>
      <c r="G225" s="37">
        <f>IF($A225="","",$B225+$C225-$D225-$E225)</f>
        <v/>
      </c>
      <c r="H225" s="37">
        <f>IF($A225="","",IFERROR(ROUND($G225*INDEX(tblKurallar[deger_2025],MATCH("AKV-003",tblKurallar[kural_id],0)),2),0))</f>
        <v/>
      </c>
      <c r="I225" s="37">
        <f>IF($A225="","",IFERROR(MAX(0,$H225-$F225),0))</f>
        <v/>
      </c>
    </row>
    <row r="226">
      <c r="A226" s="36" t="n"/>
      <c r="B226" s="36" t="n"/>
      <c r="C226" s="36" t="n"/>
      <c r="D226" s="36" t="n"/>
      <c r="E226" s="36" t="n"/>
      <c r="F226" s="36" t="n"/>
      <c r="G226" s="37">
        <f>IF($A226="","",$B226+$C226-$D226-$E226)</f>
        <v/>
      </c>
      <c r="H226" s="37">
        <f>IF($A226="","",IFERROR(ROUND($G226*INDEX(tblKurallar[deger_2025],MATCH("AKV-003",tblKurallar[kural_id],0)),2),0))</f>
        <v/>
      </c>
      <c r="I226" s="37">
        <f>IF($A226="","",IFERROR(MAX(0,$H226-$F226),0))</f>
        <v/>
      </c>
    </row>
    <row r="227">
      <c r="A227" s="36" t="n"/>
      <c r="B227" s="36" t="n"/>
      <c r="C227" s="36" t="n"/>
      <c r="D227" s="36" t="n"/>
      <c r="E227" s="36" t="n"/>
      <c r="F227" s="36" t="n"/>
      <c r="G227" s="37">
        <f>IF($A227="","",$B227+$C227-$D227-$E227)</f>
        <v/>
      </c>
      <c r="H227" s="37">
        <f>IF($A227="","",IFERROR(ROUND($G227*INDEX(tblKurallar[deger_2025],MATCH("AKV-003",tblKurallar[kural_id],0)),2),0))</f>
        <v/>
      </c>
      <c r="I227" s="37">
        <f>IF($A227="","",IFERROR(MAX(0,$H227-$F227),0))</f>
        <v/>
      </c>
    </row>
    <row r="228">
      <c r="A228" s="36" t="n"/>
      <c r="B228" s="36" t="n"/>
      <c r="C228" s="36" t="n"/>
      <c r="D228" s="36" t="n"/>
      <c r="E228" s="36" t="n"/>
      <c r="F228" s="36" t="n"/>
      <c r="G228" s="37">
        <f>IF($A228="","",$B228+$C228-$D228-$E228)</f>
        <v/>
      </c>
      <c r="H228" s="37">
        <f>IF($A228="","",IFERROR(ROUND($G228*INDEX(tblKurallar[deger_2025],MATCH("AKV-003",tblKurallar[kural_id],0)),2),0))</f>
        <v/>
      </c>
      <c r="I228" s="37">
        <f>IF($A228="","",IFERROR(MAX(0,$H228-$F228),0))</f>
        <v/>
      </c>
    </row>
    <row r="229">
      <c r="A229" s="36" t="n"/>
      <c r="B229" s="36" t="n"/>
      <c r="C229" s="36" t="n"/>
      <c r="D229" s="36" t="n"/>
      <c r="E229" s="36" t="n"/>
      <c r="F229" s="36" t="n"/>
      <c r="G229" s="37">
        <f>IF($A229="","",$B229+$C229-$D229-$E229)</f>
        <v/>
      </c>
      <c r="H229" s="37">
        <f>IF($A229="","",IFERROR(ROUND($G229*INDEX(tblKurallar[deger_2025],MATCH("AKV-003",tblKurallar[kural_id],0)),2),0))</f>
        <v/>
      </c>
      <c r="I229" s="37">
        <f>IF($A229="","",IFERROR(MAX(0,$H229-$F229),0))</f>
        <v/>
      </c>
    </row>
    <row r="230">
      <c r="A230" s="36" t="n"/>
      <c r="B230" s="36" t="n"/>
      <c r="C230" s="36" t="n"/>
      <c r="D230" s="36" t="n"/>
      <c r="E230" s="36" t="n"/>
      <c r="F230" s="36" t="n"/>
      <c r="G230" s="37">
        <f>IF($A230="","",$B230+$C230-$D230-$E230)</f>
        <v/>
      </c>
      <c r="H230" s="37">
        <f>IF($A230="","",IFERROR(ROUND($G230*INDEX(tblKurallar[deger_2025],MATCH("AKV-003",tblKurallar[kural_id],0)),2),0))</f>
        <v/>
      </c>
      <c r="I230" s="37">
        <f>IF($A230="","",IFERROR(MAX(0,$H230-$F230),0))</f>
        <v/>
      </c>
    </row>
    <row r="231">
      <c r="A231" s="36" t="n"/>
      <c r="B231" s="36" t="n"/>
      <c r="C231" s="36" t="n"/>
      <c r="D231" s="36" t="n"/>
      <c r="E231" s="36" t="n"/>
      <c r="F231" s="36" t="n"/>
      <c r="G231" s="37">
        <f>IF($A231="","",$B231+$C231-$D231-$E231)</f>
        <v/>
      </c>
      <c r="H231" s="37">
        <f>IF($A231="","",IFERROR(ROUND($G231*INDEX(tblKurallar[deger_2025],MATCH("AKV-003",tblKurallar[kural_id],0)),2),0))</f>
        <v/>
      </c>
      <c r="I231" s="37">
        <f>IF($A231="","",IFERROR(MAX(0,$H231-$F231),0))</f>
        <v/>
      </c>
    </row>
    <row r="232">
      <c r="A232" s="36" t="n"/>
      <c r="B232" s="36" t="n"/>
      <c r="C232" s="36" t="n"/>
      <c r="D232" s="36" t="n"/>
      <c r="E232" s="36" t="n"/>
      <c r="F232" s="36" t="n"/>
      <c r="G232" s="37">
        <f>IF($A232="","",$B232+$C232-$D232-$E232)</f>
        <v/>
      </c>
      <c r="H232" s="37">
        <f>IF($A232="","",IFERROR(ROUND($G232*INDEX(tblKurallar[deger_2025],MATCH("AKV-003",tblKurallar[kural_id],0)),2),0))</f>
        <v/>
      </c>
      <c r="I232" s="37">
        <f>IF($A232="","",IFERROR(MAX(0,$H232-$F232),0))</f>
        <v/>
      </c>
    </row>
    <row r="233">
      <c r="A233" s="36" t="n"/>
      <c r="B233" s="36" t="n"/>
      <c r="C233" s="36" t="n"/>
      <c r="D233" s="36" t="n"/>
      <c r="E233" s="36" t="n"/>
      <c r="F233" s="36" t="n"/>
      <c r="G233" s="37">
        <f>IF($A233="","",$B233+$C233-$D233-$E233)</f>
        <v/>
      </c>
      <c r="H233" s="37">
        <f>IF($A233="","",IFERROR(ROUND($G233*INDEX(tblKurallar[deger_2025],MATCH("AKV-003",tblKurallar[kural_id],0)),2),0))</f>
        <v/>
      </c>
      <c r="I233" s="37">
        <f>IF($A233="","",IFERROR(MAX(0,$H233-$F233),0))</f>
        <v/>
      </c>
    </row>
    <row r="234">
      <c r="A234" s="36" t="n"/>
      <c r="B234" s="36" t="n"/>
      <c r="C234" s="36" t="n"/>
      <c r="D234" s="36" t="n"/>
      <c r="E234" s="36" t="n"/>
      <c r="F234" s="36" t="n"/>
      <c r="G234" s="37">
        <f>IF($A234="","",$B234+$C234-$D234-$E234)</f>
        <v/>
      </c>
      <c r="H234" s="37">
        <f>IF($A234="","",IFERROR(ROUND($G234*INDEX(tblKurallar[deger_2025],MATCH("AKV-003",tblKurallar[kural_id],0)),2),0))</f>
        <v/>
      </c>
      <c r="I234" s="37">
        <f>IF($A234="","",IFERROR(MAX(0,$H234-$F234),0))</f>
        <v/>
      </c>
    </row>
    <row r="235">
      <c r="A235" s="36" t="n"/>
      <c r="B235" s="36" t="n"/>
      <c r="C235" s="36" t="n"/>
      <c r="D235" s="36" t="n"/>
      <c r="E235" s="36" t="n"/>
      <c r="F235" s="36" t="n"/>
      <c r="G235" s="37">
        <f>IF($A235="","",$B235+$C235-$D235-$E235)</f>
        <v/>
      </c>
      <c r="H235" s="37">
        <f>IF($A235="","",IFERROR(ROUND($G235*INDEX(tblKurallar[deger_2025],MATCH("AKV-003",tblKurallar[kural_id],0)),2),0))</f>
        <v/>
      </c>
      <c r="I235" s="37">
        <f>IF($A235="","",IFERROR(MAX(0,$H235-$F235),0))</f>
        <v/>
      </c>
    </row>
    <row r="236">
      <c r="A236" s="36" t="n"/>
      <c r="B236" s="36" t="n"/>
      <c r="C236" s="36" t="n"/>
      <c r="D236" s="36" t="n"/>
      <c r="E236" s="36" t="n"/>
      <c r="F236" s="36" t="n"/>
      <c r="G236" s="37">
        <f>IF($A236="","",$B236+$C236-$D236-$E236)</f>
        <v/>
      </c>
      <c r="H236" s="37">
        <f>IF($A236="","",IFERROR(ROUND($G236*INDEX(tblKurallar[deger_2025],MATCH("AKV-003",tblKurallar[kural_id],0)),2),0))</f>
        <v/>
      </c>
      <c r="I236" s="37">
        <f>IF($A236="","",IFERROR(MAX(0,$H236-$F236),0))</f>
        <v/>
      </c>
    </row>
    <row r="237">
      <c r="A237" s="36" t="n"/>
      <c r="B237" s="36" t="n"/>
      <c r="C237" s="36" t="n"/>
      <c r="D237" s="36" t="n"/>
      <c r="E237" s="36" t="n"/>
      <c r="F237" s="36" t="n"/>
      <c r="G237" s="37">
        <f>IF($A237="","",$B237+$C237-$D237-$E237)</f>
        <v/>
      </c>
      <c r="H237" s="37">
        <f>IF($A237="","",IFERROR(ROUND($G237*INDEX(tblKurallar[deger_2025],MATCH("AKV-003",tblKurallar[kural_id],0)),2),0))</f>
        <v/>
      </c>
      <c r="I237" s="37">
        <f>IF($A237="","",IFERROR(MAX(0,$H237-$F237),0))</f>
        <v/>
      </c>
    </row>
    <row r="238">
      <c r="A238" s="36" t="n"/>
      <c r="B238" s="36" t="n"/>
      <c r="C238" s="36" t="n"/>
      <c r="D238" s="36" t="n"/>
      <c r="E238" s="36" t="n"/>
      <c r="F238" s="36" t="n"/>
      <c r="G238" s="37">
        <f>IF($A238="","",$B238+$C238-$D238-$E238)</f>
        <v/>
      </c>
      <c r="H238" s="37">
        <f>IF($A238="","",IFERROR(ROUND($G238*INDEX(tblKurallar[deger_2025],MATCH("AKV-003",tblKurallar[kural_id],0)),2),0))</f>
        <v/>
      </c>
      <c r="I238" s="37">
        <f>IF($A238="","",IFERROR(MAX(0,$H238-$F238),0))</f>
        <v/>
      </c>
    </row>
    <row r="239">
      <c r="A239" s="36" t="n"/>
      <c r="B239" s="36" t="n"/>
      <c r="C239" s="36" t="n"/>
      <c r="D239" s="36" t="n"/>
      <c r="E239" s="36" t="n"/>
      <c r="F239" s="36" t="n"/>
      <c r="G239" s="37">
        <f>IF($A239="","",$B239+$C239-$D239-$E239)</f>
        <v/>
      </c>
      <c r="H239" s="37">
        <f>IF($A239="","",IFERROR(ROUND($G239*INDEX(tblKurallar[deger_2025],MATCH("AKV-003",tblKurallar[kural_id],0)),2),0))</f>
        <v/>
      </c>
      <c r="I239" s="37">
        <f>IF($A239="","",IFERROR(MAX(0,$H239-$F239),0))</f>
        <v/>
      </c>
    </row>
    <row r="240">
      <c r="A240" s="36" t="n"/>
      <c r="B240" s="36" t="n"/>
      <c r="C240" s="36" t="n"/>
      <c r="D240" s="36" t="n"/>
      <c r="E240" s="36" t="n"/>
      <c r="F240" s="36" t="n"/>
      <c r="G240" s="37">
        <f>IF($A240="","",$B240+$C240-$D240-$E240)</f>
        <v/>
      </c>
      <c r="H240" s="37">
        <f>IF($A240="","",IFERROR(ROUND($G240*INDEX(tblKurallar[deger_2025],MATCH("AKV-003",tblKurallar[kural_id],0)),2),0))</f>
        <v/>
      </c>
      <c r="I240" s="37">
        <f>IF($A240="","",IFERROR(MAX(0,$H240-$F240),0))</f>
        <v/>
      </c>
    </row>
    <row r="241">
      <c r="A241" s="36" t="n"/>
      <c r="B241" s="36" t="n"/>
      <c r="C241" s="36" t="n"/>
      <c r="D241" s="36" t="n"/>
      <c r="E241" s="36" t="n"/>
      <c r="F241" s="36" t="n"/>
      <c r="G241" s="37">
        <f>IF($A241="","",$B241+$C241-$D241-$E241)</f>
        <v/>
      </c>
      <c r="H241" s="37">
        <f>IF($A241="","",IFERROR(ROUND($G241*INDEX(tblKurallar[deger_2025],MATCH("AKV-003",tblKurallar[kural_id],0)),2),0))</f>
        <v/>
      </c>
      <c r="I241" s="37">
        <f>IF($A241="","",IFERROR(MAX(0,$H241-$F241),0))</f>
        <v/>
      </c>
    </row>
    <row r="242">
      <c r="A242" s="36" t="n"/>
      <c r="B242" s="36" t="n"/>
      <c r="C242" s="36" t="n"/>
      <c r="D242" s="36" t="n"/>
      <c r="E242" s="36" t="n"/>
      <c r="F242" s="36" t="n"/>
      <c r="G242" s="37">
        <f>IF($A242="","",$B242+$C242-$D242-$E242)</f>
        <v/>
      </c>
      <c r="H242" s="37">
        <f>IF($A242="","",IFERROR(ROUND($G242*INDEX(tblKurallar[deger_2025],MATCH("AKV-003",tblKurallar[kural_id],0)),2),0))</f>
        <v/>
      </c>
      <c r="I242" s="37">
        <f>IF($A242="","",IFERROR(MAX(0,$H242-$F242),0))</f>
        <v/>
      </c>
    </row>
    <row r="243">
      <c r="A243" s="36" t="n"/>
      <c r="B243" s="36" t="n"/>
      <c r="C243" s="36" t="n"/>
      <c r="D243" s="36" t="n"/>
      <c r="E243" s="36" t="n"/>
      <c r="F243" s="36" t="n"/>
      <c r="G243" s="37">
        <f>IF($A243="","",$B243+$C243-$D243-$E243)</f>
        <v/>
      </c>
      <c r="H243" s="37">
        <f>IF($A243="","",IFERROR(ROUND($G243*INDEX(tblKurallar[deger_2025],MATCH("AKV-003",tblKurallar[kural_id],0)),2),0))</f>
        <v/>
      </c>
      <c r="I243" s="37">
        <f>IF($A243="","",IFERROR(MAX(0,$H243-$F243),0))</f>
        <v/>
      </c>
    </row>
    <row r="244">
      <c r="A244" s="36" t="n"/>
      <c r="B244" s="36" t="n"/>
      <c r="C244" s="36" t="n"/>
      <c r="D244" s="36" t="n"/>
      <c r="E244" s="36" t="n"/>
      <c r="F244" s="36" t="n"/>
      <c r="G244" s="37">
        <f>IF($A244="","",$B244+$C244-$D244-$E244)</f>
        <v/>
      </c>
      <c r="H244" s="37">
        <f>IF($A244="","",IFERROR(ROUND($G244*INDEX(tblKurallar[deger_2025],MATCH("AKV-003",tblKurallar[kural_id],0)),2),0))</f>
        <v/>
      </c>
      <c r="I244" s="37">
        <f>IF($A244="","",IFERROR(MAX(0,$H244-$F244),0))</f>
        <v/>
      </c>
    </row>
    <row r="245">
      <c r="A245" s="36" t="n"/>
      <c r="B245" s="36" t="n"/>
      <c r="C245" s="36" t="n"/>
      <c r="D245" s="36" t="n"/>
      <c r="E245" s="36" t="n"/>
      <c r="F245" s="36" t="n"/>
      <c r="G245" s="37">
        <f>IF($A245="","",$B245+$C245-$D245-$E245)</f>
        <v/>
      </c>
      <c r="H245" s="37">
        <f>IF($A245="","",IFERROR(ROUND($G245*INDEX(tblKurallar[deger_2025],MATCH("AKV-003",tblKurallar[kural_id],0)),2),0))</f>
        <v/>
      </c>
      <c r="I245" s="37">
        <f>IF($A245="","",IFERROR(MAX(0,$H245-$F245),0))</f>
        <v/>
      </c>
    </row>
    <row r="246">
      <c r="A246" s="36" t="n"/>
      <c r="B246" s="36" t="n"/>
      <c r="C246" s="36" t="n"/>
      <c r="D246" s="36" t="n"/>
      <c r="E246" s="36" t="n"/>
      <c r="F246" s="36" t="n"/>
      <c r="G246" s="37">
        <f>IF($A246="","",$B246+$C246-$D246-$E246)</f>
        <v/>
      </c>
      <c r="H246" s="37">
        <f>IF($A246="","",IFERROR(ROUND($G246*INDEX(tblKurallar[deger_2025],MATCH("AKV-003",tblKurallar[kural_id],0)),2),0))</f>
        <v/>
      </c>
      <c r="I246" s="37">
        <f>IF($A246="","",IFERROR(MAX(0,$H246-$F246),0))</f>
        <v/>
      </c>
    </row>
    <row r="247">
      <c r="A247" s="36" t="n"/>
      <c r="B247" s="36" t="n"/>
      <c r="C247" s="36" t="n"/>
      <c r="D247" s="36" t="n"/>
      <c r="E247" s="36" t="n"/>
      <c r="F247" s="36" t="n"/>
      <c r="G247" s="37">
        <f>IF($A247="","",$B247+$C247-$D247-$E247)</f>
        <v/>
      </c>
      <c r="H247" s="37">
        <f>IF($A247="","",IFERROR(ROUND($G247*INDEX(tblKurallar[deger_2025],MATCH("AKV-003",tblKurallar[kural_id],0)),2),0))</f>
        <v/>
      </c>
      <c r="I247" s="37">
        <f>IF($A247="","",IFERROR(MAX(0,$H247-$F247),0))</f>
        <v/>
      </c>
    </row>
    <row r="248">
      <c r="A248" s="36" t="n"/>
      <c r="B248" s="36" t="n"/>
      <c r="C248" s="36" t="n"/>
      <c r="D248" s="36" t="n"/>
      <c r="E248" s="36" t="n"/>
      <c r="F248" s="36" t="n"/>
      <c r="G248" s="37">
        <f>IF($A248="","",$B248+$C248-$D248-$E248)</f>
        <v/>
      </c>
      <c r="H248" s="37">
        <f>IF($A248="","",IFERROR(ROUND($G248*INDEX(tblKurallar[deger_2025],MATCH("AKV-003",tblKurallar[kural_id],0)),2),0))</f>
        <v/>
      </c>
      <c r="I248" s="37">
        <f>IF($A248="","",IFERROR(MAX(0,$H248-$F248),0))</f>
        <v/>
      </c>
    </row>
    <row r="249">
      <c r="A249" s="36" t="n"/>
      <c r="B249" s="36" t="n"/>
      <c r="C249" s="36" t="n"/>
      <c r="D249" s="36" t="n"/>
      <c r="E249" s="36" t="n"/>
      <c r="F249" s="36" t="n"/>
      <c r="G249" s="37">
        <f>IF($A249="","",$B249+$C249-$D249-$E249)</f>
        <v/>
      </c>
      <c r="H249" s="37">
        <f>IF($A249="","",IFERROR(ROUND($G249*INDEX(tblKurallar[deger_2025],MATCH("AKV-003",tblKurallar[kural_id],0)),2),0))</f>
        <v/>
      </c>
      <c r="I249" s="37">
        <f>IF($A249="","",IFERROR(MAX(0,$H249-$F249),0))</f>
        <v/>
      </c>
    </row>
    <row r="250">
      <c r="A250" s="36" t="n"/>
      <c r="B250" s="36" t="n"/>
      <c r="C250" s="36" t="n"/>
      <c r="D250" s="36" t="n"/>
      <c r="E250" s="36" t="n"/>
      <c r="F250" s="36" t="n"/>
      <c r="G250" s="37">
        <f>IF($A250="","",$B250+$C250-$D250-$E250)</f>
        <v/>
      </c>
      <c r="H250" s="37">
        <f>IF($A250="","",IFERROR(ROUND($G250*INDEX(tblKurallar[deger_2025],MATCH("AKV-003",tblKurallar[kural_id],0)),2),0))</f>
        <v/>
      </c>
      <c r="I250" s="37">
        <f>IF($A250="","",IFERROR(MAX(0,$H250-$F250),0))</f>
        <v/>
      </c>
    </row>
    <row r="251">
      <c r="A251" s="36" t="n"/>
      <c r="B251" s="36" t="n"/>
      <c r="C251" s="36" t="n"/>
      <c r="D251" s="36" t="n"/>
      <c r="E251" s="36" t="n"/>
      <c r="F251" s="36" t="n"/>
      <c r="G251" s="37">
        <f>IF($A251="","",$B251+$C251-$D251-$E251)</f>
        <v/>
      </c>
      <c r="H251" s="37">
        <f>IF($A251="","",IFERROR(ROUND($G251*INDEX(tblKurallar[deger_2025],MATCH("AKV-003",tblKurallar[kural_id],0)),2),0))</f>
        <v/>
      </c>
      <c r="I251" s="37">
        <f>IF($A251="","",IFERROR(MAX(0,$H251-$F251),0))</f>
        <v/>
      </c>
    </row>
    <row r="252">
      <c r="A252" s="36" t="n"/>
      <c r="B252" s="36" t="n"/>
      <c r="C252" s="36" t="n"/>
      <c r="D252" s="36" t="n"/>
      <c r="E252" s="36" t="n"/>
      <c r="F252" s="36" t="n"/>
      <c r="G252" s="37">
        <f>IF($A252="","",$B252+$C252-$D252-$E252)</f>
        <v/>
      </c>
      <c r="H252" s="37">
        <f>IF($A252="","",IFERROR(ROUND($G252*INDEX(tblKurallar[deger_2025],MATCH("AKV-003",tblKurallar[kural_id],0)),2),0))</f>
        <v/>
      </c>
      <c r="I252" s="37">
        <f>IF($A252="","",IFERROR(MAX(0,$H252-$F252),0))</f>
        <v/>
      </c>
    </row>
    <row r="253">
      <c r="A253" s="36" t="n"/>
      <c r="B253" s="36" t="n"/>
      <c r="C253" s="36" t="n"/>
      <c r="D253" s="36" t="n"/>
      <c r="E253" s="36" t="n"/>
      <c r="F253" s="36" t="n"/>
      <c r="G253" s="37">
        <f>IF($A253="","",$B253+$C253-$D253-$E253)</f>
        <v/>
      </c>
      <c r="H253" s="37">
        <f>IF($A253="","",IFERROR(ROUND($G253*INDEX(tblKurallar[deger_2025],MATCH("AKV-003",tblKurallar[kural_id],0)),2),0))</f>
        <v/>
      </c>
      <c r="I253" s="37">
        <f>IF($A253="","",IFERROR(MAX(0,$H253-$F253),0))</f>
        <v/>
      </c>
    </row>
    <row r="254">
      <c r="A254" s="36" t="n"/>
      <c r="B254" s="36" t="n"/>
      <c r="C254" s="36" t="n"/>
      <c r="D254" s="36" t="n"/>
      <c r="E254" s="36" t="n"/>
      <c r="F254" s="36" t="n"/>
      <c r="G254" s="37">
        <f>IF($A254="","",$B254+$C254-$D254-$E254)</f>
        <v/>
      </c>
      <c r="H254" s="37">
        <f>IF($A254="","",IFERROR(ROUND($G254*INDEX(tblKurallar[deger_2025],MATCH("AKV-003",tblKurallar[kural_id],0)),2),0))</f>
        <v/>
      </c>
      <c r="I254" s="37">
        <f>IF($A254="","",IFERROR(MAX(0,$H254-$F254),0))</f>
        <v/>
      </c>
    </row>
    <row r="255">
      <c r="A255" s="36" t="n"/>
      <c r="B255" s="36" t="n"/>
      <c r="C255" s="36" t="n"/>
      <c r="D255" s="36" t="n"/>
      <c r="E255" s="36" t="n"/>
      <c r="F255" s="36" t="n"/>
      <c r="G255" s="37">
        <f>IF($A255="","",$B255+$C255-$D255-$E255)</f>
        <v/>
      </c>
      <c r="H255" s="37">
        <f>IF($A255="","",IFERROR(ROUND($G255*INDEX(tblKurallar[deger_2025],MATCH("AKV-003",tblKurallar[kural_id],0)),2),0))</f>
        <v/>
      </c>
      <c r="I255" s="37">
        <f>IF($A255="","",IFERROR(MAX(0,$H255-$F255),0))</f>
        <v/>
      </c>
    </row>
    <row r="256">
      <c r="A256" s="36" t="n"/>
      <c r="B256" s="36" t="n"/>
      <c r="C256" s="36" t="n"/>
      <c r="D256" s="36" t="n"/>
      <c r="E256" s="36" t="n"/>
      <c r="F256" s="36" t="n"/>
      <c r="G256" s="37">
        <f>IF($A256="","",$B256+$C256-$D256-$E256)</f>
        <v/>
      </c>
      <c r="H256" s="37">
        <f>IF($A256="","",IFERROR(ROUND($G256*INDEX(tblKurallar[deger_2025],MATCH("AKV-003",tblKurallar[kural_id],0)),2),0))</f>
        <v/>
      </c>
      <c r="I256" s="37">
        <f>IF($A256="","",IFERROR(MAX(0,$H256-$F256),0))</f>
        <v/>
      </c>
    </row>
    <row r="257">
      <c r="A257" s="36" t="n"/>
      <c r="B257" s="36" t="n"/>
      <c r="C257" s="36" t="n"/>
      <c r="D257" s="36" t="n"/>
      <c r="E257" s="36" t="n"/>
      <c r="F257" s="36" t="n"/>
      <c r="G257" s="37">
        <f>IF($A257="","",$B257+$C257-$D257-$E257)</f>
        <v/>
      </c>
      <c r="H257" s="37">
        <f>IF($A257="","",IFERROR(ROUND($G257*INDEX(tblKurallar[deger_2025],MATCH("AKV-003",tblKurallar[kural_id],0)),2),0))</f>
        <v/>
      </c>
      <c r="I257" s="37">
        <f>IF($A257="","",IFERROR(MAX(0,$H257-$F257),0))</f>
        <v/>
      </c>
    </row>
    <row r="258">
      <c r="A258" s="36" t="n"/>
      <c r="B258" s="36" t="n"/>
      <c r="C258" s="36" t="n"/>
      <c r="D258" s="36" t="n"/>
      <c r="E258" s="36" t="n"/>
      <c r="F258" s="36" t="n"/>
      <c r="G258" s="37">
        <f>IF($A258="","",$B258+$C258-$D258-$E258)</f>
        <v/>
      </c>
      <c r="H258" s="37">
        <f>IF($A258="","",IFERROR(ROUND($G258*INDEX(tblKurallar[deger_2025],MATCH("AKV-003",tblKurallar[kural_id],0)),2),0))</f>
        <v/>
      </c>
      <c r="I258" s="37">
        <f>IF($A258="","",IFERROR(MAX(0,$H258-$F258),0))</f>
        <v/>
      </c>
    </row>
    <row r="259">
      <c r="A259" s="36" t="n"/>
      <c r="B259" s="36" t="n"/>
      <c r="C259" s="36" t="n"/>
      <c r="D259" s="36" t="n"/>
      <c r="E259" s="36" t="n"/>
      <c r="F259" s="36" t="n"/>
      <c r="G259" s="37">
        <f>IF($A259="","",$B259+$C259-$D259-$E259)</f>
        <v/>
      </c>
      <c r="H259" s="37">
        <f>IF($A259="","",IFERROR(ROUND($G259*INDEX(tblKurallar[deger_2025],MATCH("AKV-003",tblKurallar[kural_id],0)),2),0))</f>
        <v/>
      </c>
      <c r="I259" s="37">
        <f>IF($A259="","",IFERROR(MAX(0,$H259-$F259),0))</f>
        <v/>
      </c>
    </row>
    <row r="260">
      <c r="A260" s="36" t="n"/>
      <c r="B260" s="36" t="n"/>
      <c r="C260" s="36" t="n"/>
      <c r="D260" s="36" t="n"/>
      <c r="E260" s="36" t="n"/>
      <c r="F260" s="36" t="n"/>
      <c r="G260" s="37">
        <f>IF($A260="","",$B260+$C260-$D260-$E260)</f>
        <v/>
      </c>
      <c r="H260" s="37">
        <f>IF($A260="","",IFERROR(ROUND($G260*INDEX(tblKurallar[deger_2025],MATCH("AKV-003",tblKurallar[kural_id],0)),2),0))</f>
        <v/>
      </c>
      <c r="I260" s="37">
        <f>IF($A260="","",IFERROR(MAX(0,$H260-$F260),0))</f>
        <v/>
      </c>
    </row>
    <row r="261">
      <c r="A261" s="36" t="n"/>
      <c r="B261" s="36" t="n"/>
      <c r="C261" s="36" t="n"/>
      <c r="D261" s="36" t="n"/>
      <c r="E261" s="36" t="n"/>
      <c r="F261" s="36" t="n"/>
      <c r="G261" s="37">
        <f>IF($A261="","",$B261+$C261-$D261-$E261)</f>
        <v/>
      </c>
      <c r="H261" s="37">
        <f>IF($A261="","",IFERROR(ROUND($G261*INDEX(tblKurallar[deger_2025],MATCH("AKV-003",tblKurallar[kural_id],0)),2),0))</f>
        <v/>
      </c>
      <c r="I261" s="37">
        <f>IF($A261="","",IFERROR(MAX(0,$H261-$F261),0))</f>
        <v/>
      </c>
    </row>
    <row r="262">
      <c r="A262" s="36" t="n"/>
      <c r="B262" s="36" t="n"/>
      <c r="C262" s="36" t="n"/>
      <c r="D262" s="36" t="n"/>
      <c r="E262" s="36" t="n"/>
      <c r="F262" s="36" t="n"/>
      <c r="G262" s="37">
        <f>IF($A262="","",$B262+$C262-$D262-$E262)</f>
        <v/>
      </c>
      <c r="H262" s="37">
        <f>IF($A262="","",IFERROR(ROUND($G262*INDEX(tblKurallar[deger_2025],MATCH("AKV-003",tblKurallar[kural_id],0)),2),0))</f>
        <v/>
      </c>
      <c r="I262" s="37">
        <f>IF($A262="","",IFERROR(MAX(0,$H262-$F262),0))</f>
        <v/>
      </c>
    </row>
    <row r="263">
      <c r="A263" s="36" t="n"/>
      <c r="B263" s="36" t="n"/>
      <c r="C263" s="36" t="n"/>
      <c r="D263" s="36" t="n"/>
      <c r="E263" s="36" t="n"/>
      <c r="F263" s="36" t="n"/>
      <c r="G263" s="37">
        <f>IF($A263="","",$B263+$C263-$D263-$E263)</f>
        <v/>
      </c>
      <c r="H263" s="37">
        <f>IF($A263="","",IFERROR(ROUND($G263*INDEX(tblKurallar[deger_2025],MATCH("AKV-003",tblKurallar[kural_id],0)),2),0))</f>
        <v/>
      </c>
      <c r="I263" s="37">
        <f>IF($A263="","",IFERROR(MAX(0,$H263-$F263),0))</f>
        <v/>
      </c>
    </row>
    <row r="264">
      <c r="A264" s="36" t="n"/>
      <c r="B264" s="36" t="n"/>
      <c r="C264" s="36" t="n"/>
      <c r="D264" s="36" t="n"/>
      <c r="E264" s="36" t="n"/>
      <c r="F264" s="36" t="n"/>
      <c r="G264" s="37">
        <f>IF($A264="","",$B264+$C264-$D264-$E264)</f>
        <v/>
      </c>
      <c r="H264" s="37">
        <f>IF($A264="","",IFERROR(ROUND($G264*INDEX(tblKurallar[deger_2025],MATCH("AKV-003",tblKurallar[kural_id],0)),2),0))</f>
        <v/>
      </c>
      <c r="I264" s="37">
        <f>IF($A264="","",IFERROR(MAX(0,$H264-$F264),0))</f>
        <v/>
      </c>
    </row>
    <row r="265">
      <c r="A265" s="36" t="n"/>
      <c r="B265" s="36" t="n"/>
      <c r="C265" s="36" t="n"/>
      <c r="D265" s="36" t="n"/>
      <c r="E265" s="36" t="n"/>
      <c r="F265" s="36" t="n"/>
      <c r="G265" s="37">
        <f>IF($A265="","",$B265+$C265-$D265-$E265)</f>
        <v/>
      </c>
      <c r="H265" s="37">
        <f>IF($A265="","",IFERROR(ROUND($G265*INDEX(tblKurallar[deger_2025],MATCH("AKV-003",tblKurallar[kural_id],0)),2),0))</f>
        <v/>
      </c>
      <c r="I265" s="37">
        <f>IF($A265="","",IFERROR(MAX(0,$H265-$F265),0))</f>
        <v/>
      </c>
    </row>
    <row r="266">
      <c r="A266" s="36" t="n"/>
      <c r="B266" s="36" t="n"/>
      <c r="C266" s="36" t="n"/>
      <c r="D266" s="36" t="n"/>
      <c r="E266" s="36" t="n"/>
      <c r="F266" s="36" t="n"/>
      <c r="G266" s="37">
        <f>IF($A266="","",$B266+$C266-$D266-$E266)</f>
        <v/>
      </c>
      <c r="H266" s="37">
        <f>IF($A266="","",IFERROR(ROUND($G266*INDEX(tblKurallar[deger_2025],MATCH("AKV-003",tblKurallar[kural_id],0)),2),0))</f>
        <v/>
      </c>
      <c r="I266" s="37">
        <f>IF($A266="","",IFERROR(MAX(0,$H266-$F266),0))</f>
        <v/>
      </c>
    </row>
    <row r="267">
      <c r="A267" s="36" t="n"/>
      <c r="B267" s="36" t="n"/>
      <c r="C267" s="36" t="n"/>
      <c r="D267" s="36" t="n"/>
      <c r="E267" s="36" t="n"/>
      <c r="F267" s="36" t="n"/>
      <c r="G267" s="37">
        <f>IF($A267="","",$B267+$C267-$D267-$E267)</f>
        <v/>
      </c>
      <c r="H267" s="37">
        <f>IF($A267="","",IFERROR(ROUND($G267*INDEX(tblKurallar[deger_2025],MATCH("AKV-003",tblKurallar[kural_id],0)),2),0))</f>
        <v/>
      </c>
      <c r="I267" s="37">
        <f>IF($A267="","",IFERROR(MAX(0,$H267-$F267),0))</f>
        <v/>
      </c>
    </row>
    <row r="268">
      <c r="A268" s="36" t="n"/>
      <c r="B268" s="36" t="n"/>
      <c r="C268" s="36" t="n"/>
      <c r="D268" s="36" t="n"/>
      <c r="E268" s="36" t="n"/>
      <c r="F268" s="36" t="n"/>
      <c r="G268" s="37">
        <f>IF($A268="","",$B268+$C268-$D268-$E268)</f>
        <v/>
      </c>
      <c r="H268" s="37">
        <f>IF($A268="","",IFERROR(ROUND($G268*INDEX(tblKurallar[deger_2025],MATCH("AKV-003",tblKurallar[kural_id],0)),2),0))</f>
        <v/>
      </c>
      <c r="I268" s="37">
        <f>IF($A268="","",IFERROR(MAX(0,$H268-$F268),0))</f>
        <v/>
      </c>
    </row>
    <row r="269">
      <c r="A269" s="36" t="n"/>
      <c r="B269" s="36" t="n"/>
      <c r="C269" s="36" t="n"/>
      <c r="D269" s="36" t="n"/>
      <c r="E269" s="36" t="n"/>
      <c r="F269" s="36" t="n"/>
      <c r="G269" s="37">
        <f>IF($A269="","",$B269+$C269-$D269-$E269)</f>
        <v/>
      </c>
      <c r="H269" s="37">
        <f>IF($A269="","",IFERROR(ROUND($G269*INDEX(tblKurallar[deger_2025],MATCH("AKV-003",tblKurallar[kural_id],0)),2),0))</f>
        <v/>
      </c>
      <c r="I269" s="37">
        <f>IF($A269="","",IFERROR(MAX(0,$H269-$F269),0))</f>
        <v/>
      </c>
    </row>
    <row r="270">
      <c r="A270" s="36" t="n"/>
      <c r="B270" s="36" t="n"/>
      <c r="C270" s="36" t="n"/>
      <c r="D270" s="36" t="n"/>
      <c r="E270" s="36" t="n"/>
      <c r="F270" s="36" t="n"/>
      <c r="G270" s="37">
        <f>IF($A270="","",$B270+$C270-$D270-$E270)</f>
        <v/>
      </c>
      <c r="H270" s="37">
        <f>IF($A270="","",IFERROR(ROUND($G270*INDEX(tblKurallar[deger_2025],MATCH("AKV-003",tblKurallar[kural_id],0)),2),0))</f>
        <v/>
      </c>
      <c r="I270" s="37">
        <f>IF($A270="","",IFERROR(MAX(0,$H270-$F270),0))</f>
        <v/>
      </c>
    </row>
    <row r="271">
      <c r="A271" s="36" t="n"/>
      <c r="B271" s="36" t="n"/>
      <c r="C271" s="36" t="n"/>
      <c r="D271" s="36" t="n"/>
      <c r="E271" s="36" t="n"/>
      <c r="F271" s="36" t="n"/>
      <c r="G271" s="37">
        <f>IF($A271="","",$B271+$C271-$D271-$E271)</f>
        <v/>
      </c>
      <c r="H271" s="37">
        <f>IF($A271="","",IFERROR(ROUND($G271*INDEX(tblKurallar[deger_2025],MATCH("AKV-003",tblKurallar[kural_id],0)),2),0))</f>
        <v/>
      </c>
      <c r="I271" s="37">
        <f>IF($A271="","",IFERROR(MAX(0,$H271-$F271),0))</f>
        <v/>
      </c>
    </row>
    <row r="272">
      <c r="A272" s="36" t="n"/>
      <c r="B272" s="36" t="n"/>
      <c r="C272" s="36" t="n"/>
      <c r="D272" s="36" t="n"/>
      <c r="E272" s="36" t="n"/>
      <c r="F272" s="36" t="n"/>
      <c r="G272" s="37">
        <f>IF($A272="","",$B272+$C272-$D272-$E272)</f>
        <v/>
      </c>
      <c r="H272" s="37">
        <f>IF($A272="","",IFERROR(ROUND($G272*INDEX(tblKurallar[deger_2025],MATCH("AKV-003",tblKurallar[kural_id],0)),2),0))</f>
        <v/>
      </c>
      <c r="I272" s="37">
        <f>IF($A272="","",IFERROR(MAX(0,$H272-$F272),0))</f>
        <v/>
      </c>
    </row>
    <row r="273">
      <c r="A273" s="36" t="n"/>
      <c r="B273" s="36" t="n"/>
      <c r="C273" s="36" t="n"/>
      <c r="D273" s="36" t="n"/>
      <c r="E273" s="36" t="n"/>
      <c r="F273" s="36" t="n"/>
      <c r="G273" s="37">
        <f>IF($A273="","",$B273+$C273-$D273-$E273)</f>
        <v/>
      </c>
      <c r="H273" s="37">
        <f>IF($A273="","",IFERROR(ROUND($G273*INDEX(tblKurallar[deger_2025],MATCH("AKV-003",tblKurallar[kural_id],0)),2),0))</f>
        <v/>
      </c>
      <c r="I273" s="37">
        <f>IF($A273="","",IFERROR(MAX(0,$H273-$F273),0))</f>
        <v/>
      </c>
    </row>
    <row r="274">
      <c r="A274" s="36" t="n"/>
      <c r="B274" s="36" t="n"/>
      <c r="C274" s="36" t="n"/>
      <c r="D274" s="36" t="n"/>
      <c r="E274" s="36" t="n"/>
      <c r="F274" s="36" t="n"/>
      <c r="G274" s="37">
        <f>IF($A274="","",$B274+$C274-$D274-$E274)</f>
        <v/>
      </c>
      <c r="H274" s="37">
        <f>IF($A274="","",IFERROR(ROUND($G274*INDEX(tblKurallar[deger_2025],MATCH("AKV-003",tblKurallar[kural_id],0)),2),0))</f>
        <v/>
      </c>
      <c r="I274" s="37">
        <f>IF($A274="","",IFERROR(MAX(0,$H274-$F274),0))</f>
        <v/>
      </c>
    </row>
    <row r="275">
      <c r="A275" s="36" t="n"/>
      <c r="B275" s="36" t="n"/>
      <c r="C275" s="36" t="n"/>
      <c r="D275" s="36" t="n"/>
      <c r="E275" s="36" t="n"/>
      <c r="F275" s="36" t="n"/>
      <c r="G275" s="37">
        <f>IF($A275="","",$B275+$C275-$D275-$E275)</f>
        <v/>
      </c>
      <c r="H275" s="37">
        <f>IF($A275="","",IFERROR(ROUND($G275*INDEX(tblKurallar[deger_2025],MATCH("AKV-003",tblKurallar[kural_id],0)),2),0))</f>
        <v/>
      </c>
      <c r="I275" s="37">
        <f>IF($A275="","",IFERROR(MAX(0,$H275-$F275),0))</f>
        <v/>
      </c>
    </row>
    <row r="276">
      <c r="A276" s="36" t="n"/>
      <c r="B276" s="36" t="n"/>
      <c r="C276" s="36" t="n"/>
      <c r="D276" s="36" t="n"/>
      <c r="E276" s="36" t="n"/>
      <c r="F276" s="36" t="n"/>
      <c r="G276" s="37">
        <f>IF($A276="","",$B276+$C276-$D276-$E276)</f>
        <v/>
      </c>
      <c r="H276" s="37">
        <f>IF($A276="","",IFERROR(ROUND($G276*INDEX(tblKurallar[deger_2025],MATCH("AKV-003",tblKurallar[kural_id],0)),2),0))</f>
        <v/>
      </c>
      <c r="I276" s="37">
        <f>IF($A276="","",IFERROR(MAX(0,$H276-$F276),0))</f>
        <v/>
      </c>
    </row>
    <row r="277">
      <c r="A277" s="36" t="n"/>
      <c r="B277" s="36" t="n"/>
      <c r="C277" s="36" t="n"/>
      <c r="D277" s="36" t="n"/>
      <c r="E277" s="36" t="n"/>
      <c r="F277" s="36" t="n"/>
      <c r="G277" s="37">
        <f>IF($A277="","",$B277+$C277-$D277-$E277)</f>
        <v/>
      </c>
      <c r="H277" s="37">
        <f>IF($A277="","",IFERROR(ROUND($G277*INDEX(tblKurallar[deger_2025],MATCH("AKV-003",tblKurallar[kural_id],0)),2),0))</f>
        <v/>
      </c>
      <c r="I277" s="37">
        <f>IF($A277="","",IFERROR(MAX(0,$H277-$F277),0))</f>
        <v/>
      </c>
    </row>
    <row r="278">
      <c r="A278" s="36" t="n"/>
      <c r="B278" s="36" t="n"/>
      <c r="C278" s="36" t="n"/>
      <c r="D278" s="36" t="n"/>
      <c r="E278" s="36" t="n"/>
      <c r="F278" s="36" t="n"/>
      <c r="G278" s="37">
        <f>IF($A278="","",$B278+$C278-$D278-$E278)</f>
        <v/>
      </c>
      <c r="H278" s="37">
        <f>IF($A278="","",IFERROR(ROUND($G278*INDEX(tblKurallar[deger_2025],MATCH("AKV-003",tblKurallar[kural_id],0)),2),0))</f>
        <v/>
      </c>
      <c r="I278" s="37">
        <f>IF($A278="","",IFERROR(MAX(0,$H278-$F278),0))</f>
        <v/>
      </c>
    </row>
    <row r="279">
      <c r="A279" s="36" t="n"/>
      <c r="B279" s="36" t="n"/>
      <c r="C279" s="36" t="n"/>
      <c r="D279" s="36" t="n"/>
      <c r="E279" s="36" t="n"/>
      <c r="F279" s="36" t="n"/>
      <c r="G279" s="37">
        <f>IF($A279="","",$B279+$C279-$D279-$E279)</f>
        <v/>
      </c>
      <c r="H279" s="37">
        <f>IF($A279="","",IFERROR(ROUND($G279*INDEX(tblKurallar[deger_2025],MATCH("AKV-003",tblKurallar[kural_id],0)),2),0))</f>
        <v/>
      </c>
      <c r="I279" s="37">
        <f>IF($A279="","",IFERROR(MAX(0,$H279-$F279),0))</f>
        <v/>
      </c>
    </row>
    <row r="280">
      <c r="A280" s="36" t="n"/>
      <c r="B280" s="36" t="n"/>
      <c r="C280" s="36" t="n"/>
      <c r="D280" s="36" t="n"/>
      <c r="E280" s="36" t="n"/>
      <c r="F280" s="36" t="n"/>
      <c r="G280" s="37">
        <f>IF($A280="","",$B280+$C280-$D280-$E280)</f>
        <v/>
      </c>
      <c r="H280" s="37">
        <f>IF($A280="","",IFERROR(ROUND($G280*INDEX(tblKurallar[deger_2025],MATCH("AKV-003",tblKurallar[kural_id],0)),2),0))</f>
        <v/>
      </c>
      <c r="I280" s="37">
        <f>IF($A280="","",IFERROR(MAX(0,$H280-$F280),0))</f>
        <v/>
      </c>
    </row>
    <row r="281">
      <c r="A281" s="36" t="n"/>
      <c r="B281" s="36" t="n"/>
      <c r="C281" s="36" t="n"/>
      <c r="D281" s="36" t="n"/>
      <c r="E281" s="36" t="n"/>
      <c r="F281" s="36" t="n"/>
      <c r="G281" s="37">
        <f>IF($A281="","",$B281+$C281-$D281-$E281)</f>
        <v/>
      </c>
      <c r="H281" s="37">
        <f>IF($A281="","",IFERROR(ROUND($G281*INDEX(tblKurallar[deger_2025],MATCH("AKV-003",tblKurallar[kural_id],0)),2),0))</f>
        <v/>
      </c>
      <c r="I281" s="37">
        <f>IF($A281="","",IFERROR(MAX(0,$H281-$F281),0))</f>
        <v/>
      </c>
    </row>
    <row r="282">
      <c r="A282" s="36" t="n"/>
      <c r="B282" s="36" t="n"/>
      <c r="C282" s="36" t="n"/>
      <c r="D282" s="36" t="n"/>
      <c r="E282" s="36" t="n"/>
      <c r="F282" s="36" t="n"/>
      <c r="G282" s="37">
        <f>IF($A282="","",$B282+$C282-$D282-$E282)</f>
        <v/>
      </c>
      <c r="H282" s="37">
        <f>IF($A282="","",IFERROR(ROUND($G282*INDEX(tblKurallar[deger_2025],MATCH("AKV-003",tblKurallar[kural_id],0)),2),0))</f>
        <v/>
      </c>
      <c r="I282" s="37">
        <f>IF($A282="","",IFERROR(MAX(0,$H282-$F282),0))</f>
        <v/>
      </c>
    </row>
    <row r="283">
      <c r="A283" s="36" t="n"/>
      <c r="B283" s="36" t="n"/>
      <c r="C283" s="36" t="n"/>
      <c r="D283" s="36" t="n"/>
      <c r="E283" s="36" t="n"/>
      <c r="F283" s="36" t="n"/>
      <c r="G283" s="37">
        <f>IF($A283="","",$B283+$C283-$D283-$E283)</f>
        <v/>
      </c>
      <c r="H283" s="37">
        <f>IF($A283="","",IFERROR(ROUND($G283*INDEX(tblKurallar[deger_2025],MATCH("AKV-003",tblKurallar[kural_id],0)),2),0))</f>
        <v/>
      </c>
      <c r="I283" s="37">
        <f>IF($A283="","",IFERROR(MAX(0,$H283-$F283),0))</f>
        <v/>
      </c>
    </row>
    <row r="284">
      <c r="A284" s="36" t="n"/>
      <c r="B284" s="36" t="n"/>
      <c r="C284" s="36" t="n"/>
      <c r="D284" s="36" t="n"/>
      <c r="E284" s="36" t="n"/>
      <c r="F284" s="36" t="n"/>
      <c r="G284" s="37">
        <f>IF($A284="","",$B284+$C284-$D284-$E284)</f>
        <v/>
      </c>
      <c r="H284" s="37">
        <f>IF($A284="","",IFERROR(ROUND($G284*INDEX(tblKurallar[deger_2025],MATCH("AKV-003",tblKurallar[kural_id],0)),2),0))</f>
        <v/>
      </c>
      <c r="I284" s="37">
        <f>IF($A284="","",IFERROR(MAX(0,$H284-$F284),0))</f>
        <v/>
      </c>
    </row>
    <row r="285">
      <c r="A285" s="36" t="n"/>
      <c r="B285" s="36" t="n"/>
      <c r="C285" s="36" t="n"/>
      <c r="D285" s="36" t="n"/>
      <c r="E285" s="36" t="n"/>
      <c r="F285" s="36" t="n"/>
      <c r="G285" s="37">
        <f>IF($A285="","",$B285+$C285-$D285-$E285)</f>
        <v/>
      </c>
      <c r="H285" s="37">
        <f>IF($A285="","",IFERROR(ROUND($G285*INDEX(tblKurallar[deger_2025],MATCH("AKV-003",tblKurallar[kural_id],0)),2),0))</f>
        <v/>
      </c>
      <c r="I285" s="37">
        <f>IF($A285="","",IFERROR(MAX(0,$H285-$F285),0))</f>
        <v/>
      </c>
    </row>
    <row r="286">
      <c r="A286" s="36" t="n"/>
      <c r="B286" s="36" t="n"/>
      <c r="C286" s="36" t="n"/>
      <c r="D286" s="36" t="n"/>
      <c r="E286" s="36" t="n"/>
      <c r="F286" s="36" t="n"/>
      <c r="G286" s="37">
        <f>IF($A286="","",$B286+$C286-$D286-$E286)</f>
        <v/>
      </c>
      <c r="H286" s="37">
        <f>IF($A286="","",IFERROR(ROUND($G286*INDEX(tblKurallar[deger_2025],MATCH("AKV-003",tblKurallar[kural_id],0)),2),0))</f>
        <v/>
      </c>
      <c r="I286" s="37">
        <f>IF($A286="","",IFERROR(MAX(0,$H286-$F286),0))</f>
        <v/>
      </c>
    </row>
    <row r="287">
      <c r="A287" s="36" t="n"/>
      <c r="B287" s="36" t="n"/>
      <c r="C287" s="36" t="n"/>
      <c r="D287" s="36" t="n"/>
      <c r="E287" s="36" t="n"/>
      <c r="F287" s="36" t="n"/>
      <c r="G287" s="37">
        <f>IF($A287="","",$B287+$C287-$D287-$E287)</f>
        <v/>
      </c>
      <c r="H287" s="37">
        <f>IF($A287="","",IFERROR(ROUND($G287*INDEX(tblKurallar[deger_2025],MATCH("AKV-003",tblKurallar[kural_id],0)),2),0))</f>
        <v/>
      </c>
      <c r="I287" s="37">
        <f>IF($A287="","",IFERROR(MAX(0,$H287-$F287),0))</f>
        <v/>
      </c>
    </row>
    <row r="288">
      <c r="A288" s="36" t="n"/>
      <c r="B288" s="36" t="n"/>
      <c r="C288" s="36" t="n"/>
      <c r="D288" s="36" t="n"/>
      <c r="E288" s="36" t="n"/>
      <c r="F288" s="36" t="n"/>
      <c r="G288" s="37">
        <f>IF($A288="","",$B288+$C288-$D288-$E288)</f>
        <v/>
      </c>
      <c r="H288" s="37">
        <f>IF($A288="","",IFERROR(ROUND($G288*INDEX(tblKurallar[deger_2025],MATCH("AKV-003",tblKurallar[kural_id],0)),2),0))</f>
        <v/>
      </c>
      <c r="I288" s="37">
        <f>IF($A288="","",IFERROR(MAX(0,$H288-$F288),0))</f>
        <v/>
      </c>
    </row>
    <row r="289">
      <c r="A289" s="36" t="n"/>
      <c r="B289" s="36" t="n"/>
      <c r="C289" s="36" t="n"/>
      <c r="D289" s="36" t="n"/>
      <c r="E289" s="36" t="n"/>
      <c r="F289" s="36" t="n"/>
      <c r="G289" s="37">
        <f>IF($A289="","",$B289+$C289-$D289-$E289)</f>
        <v/>
      </c>
      <c r="H289" s="37">
        <f>IF($A289="","",IFERROR(ROUND($G289*INDEX(tblKurallar[deger_2025],MATCH("AKV-003",tblKurallar[kural_id],0)),2),0))</f>
        <v/>
      </c>
      <c r="I289" s="37">
        <f>IF($A289="","",IFERROR(MAX(0,$H289-$F289),0))</f>
        <v/>
      </c>
    </row>
    <row r="290">
      <c r="A290" s="36" t="n"/>
      <c r="B290" s="36" t="n"/>
      <c r="C290" s="36" t="n"/>
      <c r="D290" s="36" t="n"/>
      <c r="E290" s="36" t="n"/>
      <c r="F290" s="36" t="n"/>
      <c r="G290" s="37">
        <f>IF($A290="","",$B290+$C290-$D290-$E290)</f>
        <v/>
      </c>
      <c r="H290" s="37">
        <f>IF($A290="","",IFERROR(ROUND($G290*INDEX(tblKurallar[deger_2025],MATCH("AKV-003",tblKurallar[kural_id],0)),2),0))</f>
        <v/>
      </c>
      <c r="I290" s="37">
        <f>IF($A290="","",IFERROR(MAX(0,$H290-$F290),0))</f>
        <v/>
      </c>
    </row>
    <row r="291">
      <c r="A291" s="36" t="n"/>
      <c r="B291" s="36" t="n"/>
      <c r="C291" s="36" t="n"/>
      <c r="D291" s="36" t="n"/>
      <c r="E291" s="36" t="n"/>
      <c r="F291" s="36" t="n"/>
      <c r="G291" s="37">
        <f>IF($A291="","",$B291+$C291-$D291-$E291)</f>
        <v/>
      </c>
      <c r="H291" s="37">
        <f>IF($A291="","",IFERROR(ROUND($G291*INDEX(tblKurallar[deger_2025],MATCH("AKV-003",tblKurallar[kural_id],0)),2),0))</f>
        <v/>
      </c>
      <c r="I291" s="37">
        <f>IF($A291="","",IFERROR(MAX(0,$H291-$F291),0))</f>
        <v/>
      </c>
    </row>
    <row r="292">
      <c r="A292" s="36" t="n"/>
      <c r="B292" s="36" t="n"/>
      <c r="C292" s="36" t="n"/>
      <c r="D292" s="36" t="n"/>
      <c r="E292" s="36" t="n"/>
      <c r="F292" s="36" t="n"/>
      <c r="G292" s="37">
        <f>IF($A292="","",$B292+$C292-$D292-$E292)</f>
        <v/>
      </c>
      <c r="H292" s="37">
        <f>IF($A292="","",IFERROR(ROUND($G292*INDEX(tblKurallar[deger_2025],MATCH("AKV-003",tblKurallar[kural_id],0)),2),0))</f>
        <v/>
      </c>
      <c r="I292" s="37">
        <f>IF($A292="","",IFERROR(MAX(0,$H292-$F292),0))</f>
        <v/>
      </c>
    </row>
    <row r="293">
      <c r="A293" s="36" t="n"/>
      <c r="B293" s="36" t="n"/>
      <c r="C293" s="36" t="n"/>
      <c r="D293" s="36" t="n"/>
      <c r="E293" s="36" t="n"/>
      <c r="F293" s="36" t="n"/>
      <c r="G293" s="37">
        <f>IF($A293="","",$B293+$C293-$D293-$E293)</f>
        <v/>
      </c>
      <c r="H293" s="37">
        <f>IF($A293="","",IFERROR(ROUND($G293*INDEX(tblKurallar[deger_2025],MATCH("AKV-003",tblKurallar[kural_id],0)),2),0))</f>
        <v/>
      </c>
      <c r="I293" s="37">
        <f>IF($A293="","",IFERROR(MAX(0,$H293-$F293),0))</f>
        <v/>
      </c>
    </row>
    <row r="294">
      <c r="A294" s="36" t="n"/>
      <c r="B294" s="36" t="n"/>
      <c r="C294" s="36" t="n"/>
      <c r="D294" s="36" t="n"/>
      <c r="E294" s="36" t="n"/>
      <c r="F294" s="36" t="n"/>
      <c r="G294" s="37">
        <f>IF($A294="","",$B294+$C294-$D294-$E294)</f>
        <v/>
      </c>
      <c r="H294" s="37">
        <f>IF($A294="","",IFERROR(ROUND($G294*INDEX(tblKurallar[deger_2025],MATCH("AKV-003",tblKurallar[kural_id],0)),2),0))</f>
        <v/>
      </c>
      <c r="I294" s="37">
        <f>IF($A294="","",IFERROR(MAX(0,$H294-$F294),0))</f>
        <v/>
      </c>
    </row>
    <row r="295">
      <c r="A295" s="36" t="n"/>
      <c r="B295" s="36" t="n"/>
      <c r="C295" s="36" t="n"/>
      <c r="D295" s="36" t="n"/>
      <c r="E295" s="36" t="n"/>
      <c r="F295" s="36" t="n"/>
      <c r="G295" s="37">
        <f>IF($A295="","",$B295+$C295-$D295-$E295)</f>
        <v/>
      </c>
      <c r="H295" s="37">
        <f>IF($A295="","",IFERROR(ROUND($G295*INDEX(tblKurallar[deger_2025],MATCH("AKV-003",tblKurallar[kural_id],0)),2),0))</f>
        <v/>
      </c>
      <c r="I295" s="37">
        <f>IF($A295="","",IFERROR(MAX(0,$H295-$F295),0))</f>
        <v/>
      </c>
    </row>
    <row r="296">
      <c r="A296" s="36" t="n"/>
      <c r="B296" s="36" t="n"/>
      <c r="C296" s="36" t="n"/>
      <c r="D296" s="36" t="n"/>
      <c r="E296" s="36" t="n"/>
      <c r="F296" s="36" t="n"/>
      <c r="G296" s="37">
        <f>IF($A296="","",$B296+$C296-$D296-$E296)</f>
        <v/>
      </c>
      <c r="H296" s="37">
        <f>IF($A296="","",IFERROR(ROUND($G296*INDEX(tblKurallar[deger_2025],MATCH("AKV-003",tblKurallar[kural_id],0)),2),0))</f>
        <v/>
      </c>
      <c r="I296" s="37">
        <f>IF($A296="","",IFERROR(MAX(0,$H296-$F296),0))</f>
        <v/>
      </c>
    </row>
    <row r="297">
      <c r="A297" s="36" t="n"/>
      <c r="B297" s="36" t="n"/>
      <c r="C297" s="36" t="n"/>
      <c r="D297" s="36" t="n"/>
      <c r="E297" s="36" t="n"/>
      <c r="F297" s="36" t="n"/>
      <c r="G297" s="37">
        <f>IF($A297="","",$B297+$C297-$D297-$E297)</f>
        <v/>
      </c>
      <c r="H297" s="37">
        <f>IF($A297="","",IFERROR(ROUND($G297*INDEX(tblKurallar[deger_2025],MATCH("AKV-003",tblKurallar[kural_id],0)),2),0))</f>
        <v/>
      </c>
      <c r="I297" s="37">
        <f>IF($A297="","",IFERROR(MAX(0,$H297-$F297),0))</f>
        <v/>
      </c>
    </row>
    <row r="298">
      <c r="A298" s="36" t="n"/>
      <c r="B298" s="36" t="n"/>
      <c r="C298" s="36" t="n"/>
      <c r="D298" s="36" t="n"/>
      <c r="E298" s="36" t="n"/>
      <c r="F298" s="36" t="n"/>
      <c r="G298" s="37">
        <f>IF($A298="","",$B298+$C298-$D298-$E298)</f>
        <v/>
      </c>
      <c r="H298" s="37">
        <f>IF($A298="","",IFERROR(ROUND($G298*INDEX(tblKurallar[deger_2025],MATCH("AKV-003",tblKurallar[kural_id],0)),2),0))</f>
        <v/>
      </c>
      <c r="I298" s="37">
        <f>IF($A298="","",IFERROR(MAX(0,$H298-$F298),0))</f>
        <v/>
      </c>
    </row>
    <row r="299">
      <c r="A299" s="36" t="n"/>
      <c r="B299" s="36" t="n"/>
      <c r="C299" s="36" t="n"/>
      <c r="D299" s="36" t="n"/>
      <c r="E299" s="36" t="n"/>
      <c r="F299" s="36" t="n"/>
      <c r="G299" s="37">
        <f>IF($A299="","",$B299+$C299-$D299-$E299)</f>
        <v/>
      </c>
      <c r="H299" s="37">
        <f>IF($A299="","",IFERROR(ROUND($G299*INDEX(tblKurallar[deger_2025],MATCH("AKV-003",tblKurallar[kural_id],0)),2),0))</f>
        <v/>
      </c>
      <c r="I299" s="37">
        <f>IF($A299="","",IFERROR(MAX(0,$H299-$F299),0))</f>
        <v/>
      </c>
    </row>
    <row r="300">
      <c r="A300" s="36" t="n"/>
      <c r="B300" s="36" t="n"/>
      <c r="C300" s="36" t="n"/>
      <c r="D300" s="36" t="n"/>
      <c r="E300" s="36" t="n"/>
      <c r="F300" s="36" t="n"/>
      <c r="G300" s="37">
        <f>IF($A300="","",$B300+$C300-$D300-$E300)</f>
        <v/>
      </c>
      <c r="H300" s="37">
        <f>IF($A300="","",IFERROR(ROUND($G300*INDEX(tblKurallar[deger_2025],MATCH("AKV-003",tblKurallar[kural_id],0)),2),0))</f>
        <v/>
      </c>
      <c r="I300" s="37">
        <f>IF($A300="","",IFERROR(MAX(0,$H300-$F300),0))</f>
        <v/>
      </c>
    </row>
    <row r="301">
      <c r="A301" s="36" t="n"/>
      <c r="B301" s="36" t="n"/>
      <c r="C301" s="36" t="n"/>
      <c r="D301" s="36" t="n"/>
      <c r="E301" s="36" t="n"/>
      <c r="F301" s="36" t="n"/>
      <c r="G301" s="37">
        <f>IF($A301="","",$B301+$C301-$D301-$E301)</f>
        <v/>
      </c>
      <c r="H301" s="37">
        <f>IF($A301="","",IFERROR(ROUND($G301*INDEX(tblKurallar[deger_2025],MATCH("AKV-003",tblKurallar[kural_id],0)),2),0))</f>
        <v/>
      </c>
      <c r="I301" s="37">
        <f>IF($A301="","",IFERROR(MAX(0,$H301-$F301),0))</f>
        <v/>
      </c>
    </row>
    <row r="302">
      <c r="A302" s="36" t="n"/>
      <c r="B302" s="36" t="n"/>
      <c r="C302" s="36" t="n"/>
      <c r="D302" s="36" t="n"/>
      <c r="E302" s="36" t="n"/>
      <c r="F302" s="36" t="n"/>
      <c r="G302" s="37">
        <f>IF($A302="","",$B302+$C302-$D302-$E302)</f>
        <v/>
      </c>
      <c r="H302" s="37">
        <f>IF($A302="","",IFERROR(ROUND($G302*INDEX(tblKurallar[deger_2025],MATCH("AKV-003",tblKurallar[kural_id],0)),2),0))</f>
        <v/>
      </c>
      <c r="I302" s="37">
        <f>IF($A302="","",IFERROR(MAX(0,$H302-$F302),0))</f>
        <v/>
      </c>
    </row>
    <row r="303">
      <c r="A303" s="36" t="n"/>
      <c r="B303" s="36" t="n"/>
      <c r="C303" s="36" t="n"/>
      <c r="D303" s="36" t="n"/>
      <c r="E303" s="36" t="n"/>
      <c r="F303" s="36" t="n"/>
      <c r="G303" s="37">
        <f>IF($A303="","",$B303+$C303-$D303-$E303)</f>
        <v/>
      </c>
      <c r="H303" s="37">
        <f>IF($A303="","",IFERROR(ROUND($G303*INDEX(tblKurallar[deger_2025],MATCH("AKV-003",tblKurallar[kural_id],0)),2),0))</f>
        <v/>
      </c>
      <c r="I303" s="37">
        <f>IF($A303="","",IFERROR(MAX(0,$H303-$F303),0))</f>
        <v/>
      </c>
    </row>
    <row r="304">
      <c r="A304" s="36" t="n"/>
      <c r="B304" s="36" t="n"/>
      <c r="C304" s="36" t="n"/>
      <c r="D304" s="36" t="n"/>
      <c r="E304" s="36" t="n"/>
      <c r="F304" s="36" t="n"/>
      <c r="G304" s="37">
        <f>IF($A304="","",$B304+$C304-$D304-$E304)</f>
        <v/>
      </c>
      <c r="H304" s="37">
        <f>IF($A304="","",IFERROR(ROUND($G304*INDEX(tblKurallar[deger_2025],MATCH("AKV-003",tblKurallar[kural_id],0)),2),0))</f>
        <v/>
      </c>
      <c r="I304" s="37">
        <f>IF($A304="","",IFERROR(MAX(0,$H304-$F304),0))</f>
        <v/>
      </c>
    </row>
    <row r="305">
      <c r="A305" s="36" t="n"/>
      <c r="B305" s="36" t="n"/>
      <c r="C305" s="36" t="n"/>
      <c r="D305" s="36" t="n"/>
      <c r="E305" s="36" t="n"/>
      <c r="F305" s="36" t="n"/>
      <c r="G305" s="37">
        <f>IF($A305="","",$B305+$C305-$D305-$E305)</f>
        <v/>
      </c>
      <c r="H305" s="37">
        <f>IF($A305="","",IFERROR(ROUND($G305*INDEX(tblKurallar[deger_2025],MATCH("AKV-003",tblKurallar[kural_id],0)),2),0))</f>
        <v/>
      </c>
      <c r="I305" s="37">
        <f>IF($A305="","",IFERROR(MAX(0,$H305-$F305),0))</f>
        <v/>
      </c>
    </row>
    <row r="306">
      <c r="A306" s="36" t="n"/>
      <c r="B306" s="36" t="n"/>
      <c r="C306" s="36" t="n"/>
      <c r="D306" s="36" t="n"/>
      <c r="E306" s="36" t="n"/>
      <c r="F306" s="36" t="n"/>
      <c r="G306" s="37">
        <f>IF($A306="","",$B306+$C306-$D306-$E306)</f>
        <v/>
      </c>
      <c r="H306" s="37">
        <f>IF($A306="","",IFERROR(ROUND($G306*INDEX(tblKurallar[deger_2025],MATCH("AKV-003",tblKurallar[kural_id],0)),2),0))</f>
        <v/>
      </c>
      <c r="I306" s="37">
        <f>IF($A306="","",IFERROR(MAX(0,$H306-$F306),0))</f>
        <v/>
      </c>
    </row>
    <row r="307">
      <c r="A307" s="36" t="n"/>
      <c r="B307" s="36" t="n"/>
      <c r="C307" s="36" t="n"/>
      <c r="D307" s="36" t="n"/>
      <c r="E307" s="36" t="n"/>
      <c r="F307" s="36" t="n"/>
      <c r="G307" s="37">
        <f>IF($A307="","",$B307+$C307-$D307-$E307)</f>
        <v/>
      </c>
      <c r="H307" s="37">
        <f>IF($A307="","",IFERROR(ROUND($G307*INDEX(tblKurallar[deger_2025],MATCH("AKV-003",tblKurallar[kural_id],0)),2),0))</f>
        <v/>
      </c>
      <c r="I307" s="37">
        <f>IF($A307="","",IFERROR(MAX(0,$H307-$F307),0))</f>
        <v/>
      </c>
    </row>
    <row r="308">
      <c r="A308" s="36" t="n"/>
      <c r="B308" s="36" t="n"/>
      <c r="C308" s="36" t="n"/>
      <c r="D308" s="36" t="n"/>
      <c r="E308" s="36" t="n"/>
      <c r="F308" s="36" t="n"/>
      <c r="G308" s="37">
        <f>IF($A308="","",$B308+$C308-$D308-$E308)</f>
        <v/>
      </c>
      <c r="H308" s="37">
        <f>IF($A308="","",IFERROR(ROUND($G308*INDEX(tblKurallar[deger_2025],MATCH("AKV-003",tblKurallar[kural_id],0)),2),0))</f>
        <v/>
      </c>
      <c r="I308" s="37">
        <f>IF($A308="","",IFERROR(MAX(0,$H308-$F308),0))</f>
        <v/>
      </c>
    </row>
    <row r="309">
      <c r="A309" s="36" t="n"/>
      <c r="B309" s="36" t="n"/>
      <c r="C309" s="36" t="n"/>
      <c r="D309" s="36" t="n"/>
      <c r="E309" s="36" t="n"/>
      <c r="F309" s="36" t="n"/>
      <c r="G309" s="37">
        <f>IF($A309="","",$B309+$C309-$D309-$E309)</f>
        <v/>
      </c>
      <c r="H309" s="37">
        <f>IF($A309="","",IFERROR(ROUND($G309*INDEX(tblKurallar[deger_2025],MATCH("AKV-003",tblKurallar[kural_id],0)),2),0))</f>
        <v/>
      </c>
      <c r="I309" s="37">
        <f>IF($A309="","",IFERROR(MAX(0,$H309-$F309),0))</f>
        <v/>
      </c>
    </row>
    <row r="310">
      <c r="A310" s="36" t="n"/>
      <c r="B310" s="36" t="n"/>
      <c r="C310" s="36" t="n"/>
      <c r="D310" s="36" t="n"/>
      <c r="E310" s="36" t="n"/>
      <c r="F310" s="36" t="n"/>
      <c r="G310" s="37">
        <f>IF($A310="","",$B310+$C310-$D310-$E310)</f>
        <v/>
      </c>
      <c r="H310" s="37">
        <f>IF($A310="","",IFERROR(ROUND($G310*INDEX(tblKurallar[deger_2025],MATCH("AKV-003",tblKurallar[kural_id],0)),2),0))</f>
        <v/>
      </c>
      <c r="I310" s="37">
        <f>IF($A310="","",IFERROR(MAX(0,$H310-$F310),0))</f>
        <v/>
      </c>
    </row>
    <row r="311">
      <c r="A311" s="36" t="n"/>
      <c r="B311" s="36" t="n"/>
      <c r="C311" s="36" t="n"/>
      <c r="D311" s="36" t="n"/>
      <c r="E311" s="36" t="n"/>
      <c r="F311" s="36" t="n"/>
      <c r="G311" s="37">
        <f>IF($A311="","",$B311+$C311-$D311-$E311)</f>
        <v/>
      </c>
      <c r="H311" s="37">
        <f>IF($A311="","",IFERROR(ROUND($G311*INDEX(tblKurallar[deger_2025],MATCH("AKV-003",tblKurallar[kural_id],0)),2),0))</f>
        <v/>
      </c>
      <c r="I311" s="37">
        <f>IF($A311="","",IFERROR(MAX(0,$H311-$F311),0))</f>
        <v/>
      </c>
    </row>
    <row r="312">
      <c r="A312" s="36" t="n"/>
      <c r="B312" s="36" t="n"/>
      <c r="C312" s="36" t="n"/>
      <c r="D312" s="36" t="n"/>
      <c r="E312" s="36" t="n"/>
      <c r="F312" s="36" t="n"/>
      <c r="G312" s="37">
        <f>IF($A312="","",$B312+$C312-$D312-$E312)</f>
        <v/>
      </c>
      <c r="H312" s="37">
        <f>IF($A312="","",IFERROR(ROUND($G312*INDEX(tblKurallar[deger_2025],MATCH("AKV-003",tblKurallar[kural_id],0)),2),0))</f>
        <v/>
      </c>
      <c r="I312" s="37">
        <f>IF($A312="","",IFERROR(MAX(0,$H312-$F312),0))</f>
        <v/>
      </c>
    </row>
    <row r="313">
      <c r="A313" s="36" t="n"/>
      <c r="B313" s="36" t="n"/>
      <c r="C313" s="36" t="n"/>
      <c r="D313" s="36" t="n"/>
      <c r="E313" s="36" t="n"/>
      <c r="F313" s="36" t="n"/>
      <c r="G313" s="37">
        <f>IF($A313="","",$B313+$C313-$D313-$E313)</f>
        <v/>
      </c>
      <c r="H313" s="37">
        <f>IF($A313="","",IFERROR(ROUND($G313*INDEX(tblKurallar[deger_2025],MATCH("AKV-003",tblKurallar[kural_id],0)),2),0))</f>
        <v/>
      </c>
      <c r="I313" s="37">
        <f>IF($A313="","",IFERROR(MAX(0,$H313-$F313),0))</f>
        <v/>
      </c>
    </row>
    <row r="314">
      <c r="A314" s="36" t="n"/>
      <c r="B314" s="36" t="n"/>
      <c r="C314" s="36" t="n"/>
      <c r="D314" s="36" t="n"/>
      <c r="E314" s="36" t="n"/>
      <c r="F314" s="36" t="n"/>
      <c r="G314" s="37">
        <f>IF($A314="","",$B314+$C314-$D314-$E314)</f>
        <v/>
      </c>
      <c r="H314" s="37">
        <f>IF($A314="","",IFERROR(ROUND($G314*INDEX(tblKurallar[deger_2025],MATCH("AKV-003",tblKurallar[kural_id],0)),2),0))</f>
        <v/>
      </c>
      <c r="I314" s="37">
        <f>IF($A314="","",IFERROR(MAX(0,$H314-$F314),0))</f>
        <v/>
      </c>
    </row>
    <row r="315">
      <c r="A315" s="36" t="n"/>
      <c r="B315" s="36" t="n"/>
      <c r="C315" s="36" t="n"/>
      <c r="D315" s="36" t="n"/>
      <c r="E315" s="36" t="n"/>
      <c r="F315" s="36" t="n"/>
      <c r="G315" s="37">
        <f>IF($A315="","",$B315+$C315-$D315-$E315)</f>
        <v/>
      </c>
      <c r="H315" s="37">
        <f>IF($A315="","",IFERROR(ROUND($G315*INDEX(tblKurallar[deger_2025],MATCH("AKV-003",tblKurallar[kural_id],0)),2),0))</f>
        <v/>
      </c>
      <c r="I315" s="37">
        <f>IF($A315="","",IFERROR(MAX(0,$H315-$F315),0))</f>
        <v/>
      </c>
    </row>
    <row r="316">
      <c r="A316" s="36" t="n"/>
      <c r="B316" s="36" t="n"/>
      <c r="C316" s="36" t="n"/>
      <c r="D316" s="36" t="n"/>
      <c r="E316" s="36" t="n"/>
      <c r="F316" s="36" t="n"/>
      <c r="G316" s="37">
        <f>IF($A316="","",$B316+$C316-$D316-$E316)</f>
        <v/>
      </c>
      <c r="H316" s="37">
        <f>IF($A316="","",IFERROR(ROUND($G316*INDEX(tblKurallar[deger_2025],MATCH("AKV-003",tblKurallar[kural_id],0)),2),0))</f>
        <v/>
      </c>
      <c r="I316" s="37">
        <f>IF($A316="","",IFERROR(MAX(0,$H316-$F316),0))</f>
        <v/>
      </c>
    </row>
    <row r="317">
      <c r="A317" s="36" t="n"/>
      <c r="B317" s="36" t="n"/>
      <c r="C317" s="36" t="n"/>
      <c r="D317" s="36" t="n"/>
      <c r="E317" s="36" t="n"/>
      <c r="F317" s="36" t="n"/>
      <c r="G317" s="37">
        <f>IF($A317="","",$B317+$C317-$D317-$E317)</f>
        <v/>
      </c>
      <c r="H317" s="37">
        <f>IF($A317="","",IFERROR(ROUND($G317*INDEX(tblKurallar[deger_2025],MATCH("AKV-003",tblKurallar[kural_id],0)),2),0))</f>
        <v/>
      </c>
      <c r="I317" s="37">
        <f>IF($A317="","",IFERROR(MAX(0,$H317-$F317),0))</f>
        <v/>
      </c>
    </row>
    <row r="318">
      <c r="A318" s="36" t="n"/>
      <c r="B318" s="36" t="n"/>
      <c r="C318" s="36" t="n"/>
      <c r="D318" s="36" t="n"/>
      <c r="E318" s="36" t="n"/>
      <c r="F318" s="36" t="n"/>
      <c r="G318" s="37">
        <f>IF($A318="","",$B318+$C318-$D318-$E318)</f>
        <v/>
      </c>
      <c r="H318" s="37">
        <f>IF($A318="","",IFERROR(ROUND($G318*INDEX(tblKurallar[deger_2025],MATCH("AKV-003",tblKurallar[kural_id],0)),2),0))</f>
        <v/>
      </c>
      <c r="I318" s="37">
        <f>IF($A318="","",IFERROR(MAX(0,$H318-$F318),0))</f>
        <v/>
      </c>
    </row>
    <row r="319">
      <c r="A319" s="36" t="n"/>
      <c r="B319" s="36" t="n"/>
      <c r="C319" s="36" t="n"/>
      <c r="D319" s="36" t="n"/>
      <c r="E319" s="36" t="n"/>
      <c r="F319" s="36" t="n"/>
      <c r="G319" s="37">
        <f>IF($A319="","",$B319+$C319-$D319-$E319)</f>
        <v/>
      </c>
      <c r="H319" s="37">
        <f>IF($A319="","",IFERROR(ROUND($G319*INDEX(tblKurallar[deger_2025],MATCH("AKV-003",tblKurallar[kural_id],0)),2),0))</f>
        <v/>
      </c>
      <c r="I319" s="37">
        <f>IF($A319="","",IFERROR(MAX(0,$H319-$F319),0))</f>
        <v/>
      </c>
    </row>
    <row r="320">
      <c r="A320" s="36" t="n"/>
      <c r="B320" s="36" t="n"/>
      <c r="C320" s="36" t="n"/>
      <c r="D320" s="36" t="n"/>
      <c r="E320" s="36" t="n"/>
      <c r="F320" s="36" t="n"/>
      <c r="G320" s="37">
        <f>IF($A320="","",$B320+$C320-$D320-$E320)</f>
        <v/>
      </c>
      <c r="H320" s="37">
        <f>IF($A320="","",IFERROR(ROUND($G320*INDEX(tblKurallar[deger_2025],MATCH("AKV-003",tblKurallar[kural_id],0)),2),0))</f>
        <v/>
      </c>
      <c r="I320" s="37">
        <f>IF($A320="","",IFERROR(MAX(0,$H320-$F320),0))</f>
        <v/>
      </c>
    </row>
    <row r="321">
      <c r="A321" s="36" t="n"/>
      <c r="B321" s="36" t="n"/>
      <c r="C321" s="36" t="n"/>
      <c r="D321" s="36" t="n"/>
      <c r="E321" s="36" t="n"/>
      <c r="F321" s="36" t="n"/>
      <c r="G321" s="37">
        <f>IF($A321="","",$B321+$C321-$D321-$E321)</f>
        <v/>
      </c>
      <c r="H321" s="37">
        <f>IF($A321="","",IFERROR(ROUND($G321*INDEX(tblKurallar[deger_2025],MATCH("AKV-003",tblKurallar[kural_id],0)),2),0))</f>
        <v/>
      </c>
      <c r="I321" s="37">
        <f>IF($A321="","",IFERROR(MAX(0,$H321-$F321),0))</f>
        <v/>
      </c>
    </row>
    <row r="322">
      <c r="A322" s="36" t="n"/>
      <c r="B322" s="36" t="n"/>
      <c r="C322" s="36" t="n"/>
      <c r="D322" s="36" t="n"/>
      <c r="E322" s="36" t="n"/>
      <c r="F322" s="36" t="n"/>
      <c r="G322" s="37">
        <f>IF($A322="","",$B322+$C322-$D322-$E322)</f>
        <v/>
      </c>
      <c r="H322" s="37">
        <f>IF($A322="","",IFERROR(ROUND($G322*INDEX(tblKurallar[deger_2025],MATCH("AKV-003",tblKurallar[kural_id],0)),2),0))</f>
        <v/>
      </c>
      <c r="I322" s="37">
        <f>IF($A322="","",IFERROR(MAX(0,$H322-$F322),0))</f>
        <v/>
      </c>
    </row>
    <row r="323">
      <c r="A323" s="36" t="n"/>
      <c r="B323" s="36" t="n"/>
      <c r="C323" s="36" t="n"/>
      <c r="D323" s="36" t="n"/>
      <c r="E323" s="36" t="n"/>
      <c r="F323" s="36" t="n"/>
      <c r="G323" s="37">
        <f>IF($A323="","",$B323+$C323-$D323-$E323)</f>
        <v/>
      </c>
      <c r="H323" s="37">
        <f>IF($A323="","",IFERROR(ROUND($G323*INDEX(tblKurallar[deger_2025],MATCH("AKV-003",tblKurallar[kural_id],0)),2),0))</f>
        <v/>
      </c>
      <c r="I323" s="37">
        <f>IF($A323="","",IFERROR(MAX(0,$H323-$F323),0))</f>
        <v/>
      </c>
    </row>
    <row r="324">
      <c r="A324" s="36" t="n"/>
      <c r="B324" s="36" t="n"/>
      <c r="C324" s="36" t="n"/>
      <c r="D324" s="36" t="n"/>
      <c r="E324" s="36" t="n"/>
      <c r="F324" s="36" t="n"/>
      <c r="G324" s="37">
        <f>IF($A324="","",$B324+$C324-$D324-$E324)</f>
        <v/>
      </c>
      <c r="H324" s="37">
        <f>IF($A324="","",IFERROR(ROUND($G324*INDEX(tblKurallar[deger_2025],MATCH("AKV-003",tblKurallar[kural_id],0)),2),0))</f>
        <v/>
      </c>
      <c r="I324" s="37">
        <f>IF($A324="","",IFERROR(MAX(0,$H324-$F324),0))</f>
        <v/>
      </c>
    </row>
    <row r="325">
      <c r="A325" s="36" t="n"/>
      <c r="B325" s="36" t="n"/>
      <c r="C325" s="36" t="n"/>
      <c r="D325" s="36" t="n"/>
      <c r="E325" s="36" t="n"/>
      <c r="F325" s="36" t="n"/>
      <c r="G325" s="37">
        <f>IF($A325="","",$B325+$C325-$D325-$E325)</f>
        <v/>
      </c>
      <c r="H325" s="37">
        <f>IF($A325="","",IFERROR(ROUND($G325*INDEX(tblKurallar[deger_2025],MATCH("AKV-003",tblKurallar[kural_id],0)),2),0))</f>
        <v/>
      </c>
      <c r="I325" s="37">
        <f>IF($A325="","",IFERROR(MAX(0,$H325-$F325),0))</f>
        <v/>
      </c>
    </row>
    <row r="326">
      <c r="A326" s="36" t="n"/>
      <c r="B326" s="36" t="n"/>
      <c r="C326" s="36" t="n"/>
      <c r="D326" s="36" t="n"/>
      <c r="E326" s="36" t="n"/>
      <c r="F326" s="36" t="n"/>
      <c r="G326" s="37">
        <f>IF($A326="","",$B326+$C326-$D326-$E326)</f>
        <v/>
      </c>
      <c r="H326" s="37">
        <f>IF($A326="","",IFERROR(ROUND($G326*INDEX(tblKurallar[deger_2025],MATCH("AKV-003",tblKurallar[kural_id],0)),2),0))</f>
        <v/>
      </c>
      <c r="I326" s="37">
        <f>IF($A326="","",IFERROR(MAX(0,$H326-$F326),0))</f>
        <v/>
      </c>
    </row>
    <row r="327">
      <c r="A327" s="36" t="n"/>
      <c r="B327" s="36" t="n"/>
      <c r="C327" s="36" t="n"/>
      <c r="D327" s="36" t="n"/>
      <c r="E327" s="36" t="n"/>
      <c r="F327" s="36" t="n"/>
      <c r="G327" s="37">
        <f>IF($A327="","",$B327+$C327-$D327-$E327)</f>
        <v/>
      </c>
      <c r="H327" s="37">
        <f>IF($A327="","",IFERROR(ROUND($G327*INDEX(tblKurallar[deger_2025],MATCH("AKV-003",tblKurallar[kural_id],0)),2),0))</f>
        <v/>
      </c>
      <c r="I327" s="37">
        <f>IF($A327="","",IFERROR(MAX(0,$H327-$F327),0))</f>
        <v/>
      </c>
    </row>
    <row r="328">
      <c r="A328" s="36" t="n"/>
      <c r="B328" s="36" t="n"/>
      <c r="C328" s="36" t="n"/>
      <c r="D328" s="36" t="n"/>
      <c r="E328" s="36" t="n"/>
      <c r="F328" s="36" t="n"/>
      <c r="G328" s="37">
        <f>IF($A328="","",$B328+$C328-$D328-$E328)</f>
        <v/>
      </c>
      <c r="H328" s="37">
        <f>IF($A328="","",IFERROR(ROUND($G328*INDEX(tblKurallar[deger_2025],MATCH("AKV-003",tblKurallar[kural_id],0)),2),0))</f>
        <v/>
      </c>
      <c r="I328" s="37">
        <f>IF($A328="","",IFERROR(MAX(0,$H328-$F328),0))</f>
        <v/>
      </c>
    </row>
    <row r="329">
      <c r="A329" s="36" t="n"/>
      <c r="B329" s="36" t="n"/>
      <c r="C329" s="36" t="n"/>
      <c r="D329" s="36" t="n"/>
      <c r="E329" s="36" t="n"/>
      <c r="F329" s="36" t="n"/>
      <c r="G329" s="37">
        <f>IF($A329="","",$B329+$C329-$D329-$E329)</f>
        <v/>
      </c>
      <c r="H329" s="37">
        <f>IF($A329="","",IFERROR(ROUND($G329*INDEX(tblKurallar[deger_2025],MATCH("AKV-003",tblKurallar[kural_id],0)),2),0))</f>
        <v/>
      </c>
      <c r="I329" s="37">
        <f>IF($A329="","",IFERROR(MAX(0,$H329-$F329),0))</f>
        <v/>
      </c>
    </row>
    <row r="330">
      <c r="A330" s="36" t="n"/>
      <c r="B330" s="36" t="n"/>
      <c r="C330" s="36" t="n"/>
      <c r="D330" s="36" t="n"/>
      <c r="E330" s="36" t="n"/>
      <c r="F330" s="36" t="n"/>
      <c r="G330" s="37">
        <f>IF($A330="","",$B330+$C330-$D330-$E330)</f>
        <v/>
      </c>
      <c r="H330" s="37">
        <f>IF($A330="","",IFERROR(ROUND($G330*INDEX(tblKurallar[deger_2025],MATCH("AKV-003",tblKurallar[kural_id],0)),2),0))</f>
        <v/>
      </c>
      <c r="I330" s="37">
        <f>IF($A330="","",IFERROR(MAX(0,$H330-$F330),0))</f>
        <v/>
      </c>
    </row>
    <row r="331">
      <c r="A331" s="36" t="n"/>
      <c r="B331" s="36" t="n"/>
      <c r="C331" s="36" t="n"/>
      <c r="D331" s="36" t="n"/>
      <c r="E331" s="36" t="n"/>
      <c r="F331" s="36" t="n"/>
      <c r="G331" s="37">
        <f>IF($A331="","",$B331+$C331-$D331-$E331)</f>
        <v/>
      </c>
      <c r="H331" s="37">
        <f>IF($A331="","",IFERROR(ROUND($G331*INDEX(tblKurallar[deger_2025],MATCH("AKV-003",tblKurallar[kural_id],0)),2),0))</f>
        <v/>
      </c>
      <c r="I331" s="37">
        <f>IF($A331="","",IFERROR(MAX(0,$H331-$F331),0))</f>
        <v/>
      </c>
    </row>
    <row r="332">
      <c r="A332" s="36" t="n"/>
      <c r="B332" s="36" t="n"/>
      <c r="C332" s="36" t="n"/>
      <c r="D332" s="36" t="n"/>
      <c r="E332" s="36" t="n"/>
      <c r="F332" s="36" t="n"/>
      <c r="G332" s="37">
        <f>IF($A332="","",$B332+$C332-$D332-$E332)</f>
        <v/>
      </c>
      <c r="H332" s="37">
        <f>IF($A332="","",IFERROR(ROUND($G332*INDEX(tblKurallar[deger_2025],MATCH("AKV-003",tblKurallar[kural_id],0)),2),0))</f>
        <v/>
      </c>
      <c r="I332" s="37">
        <f>IF($A332="","",IFERROR(MAX(0,$H332-$F332),0))</f>
        <v/>
      </c>
    </row>
    <row r="333">
      <c r="A333" s="36" t="n"/>
      <c r="B333" s="36" t="n"/>
      <c r="C333" s="36" t="n"/>
      <c r="D333" s="36" t="n"/>
      <c r="E333" s="36" t="n"/>
      <c r="F333" s="36" t="n"/>
      <c r="G333" s="37">
        <f>IF($A333="","",$B333+$C333-$D333-$E333)</f>
        <v/>
      </c>
      <c r="H333" s="37">
        <f>IF($A333="","",IFERROR(ROUND($G333*INDEX(tblKurallar[deger_2025],MATCH("AKV-003",tblKurallar[kural_id],0)),2),0))</f>
        <v/>
      </c>
      <c r="I333" s="37">
        <f>IF($A333="","",IFERROR(MAX(0,$H333-$F333),0))</f>
        <v/>
      </c>
    </row>
    <row r="334">
      <c r="A334" s="36" t="n"/>
      <c r="B334" s="36" t="n"/>
      <c r="C334" s="36" t="n"/>
      <c r="D334" s="36" t="n"/>
      <c r="E334" s="36" t="n"/>
      <c r="F334" s="36" t="n"/>
      <c r="G334" s="37">
        <f>IF($A334="","",$B334+$C334-$D334-$E334)</f>
        <v/>
      </c>
      <c r="H334" s="37">
        <f>IF($A334="","",IFERROR(ROUND($G334*INDEX(tblKurallar[deger_2025],MATCH("AKV-003",tblKurallar[kural_id],0)),2),0))</f>
        <v/>
      </c>
      <c r="I334" s="37">
        <f>IF($A334="","",IFERROR(MAX(0,$H334-$F334),0))</f>
        <v/>
      </c>
    </row>
    <row r="335">
      <c r="A335" s="36" t="n"/>
      <c r="B335" s="36" t="n"/>
      <c r="C335" s="36" t="n"/>
      <c r="D335" s="36" t="n"/>
      <c r="E335" s="36" t="n"/>
      <c r="F335" s="36" t="n"/>
      <c r="G335" s="37">
        <f>IF($A335="","",$B335+$C335-$D335-$E335)</f>
        <v/>
      </c>
      <c r="H335" s="37">
        <f>IF($A335="","",IFERROR(ROUND($G335*INDEX(tblKurallar[deger_2025],MATCH("AKV-003",tblKurallar[kural_id],0)),2),0))</f>
        <v/>
      </c>
      <c r="I335" s="37">
        <f>IF($A335="","",IFERROR(MAX(0,$H335-$F335),0))</f>
        <v/>
      </c>
    </row>
    <row r="336">
      <c r="A336" s="36" t="n"/>
      <c r="B336" s="36" t="n"/>
      <c r="C336" s="36" t="n"/>
      <c r="D336" s="36" t="n"/>
      <c r="E336" s="36" t="n"/>
      <c r="F336" s="36" t="n"/>
      <c r="G336" s="37">
        <f>IF($A336="","",$B336+$C336-$D336-$E336)</f>
        <v/>
      </c>
      <c r="H336" s="37">
        <f>IF($A336="","",IFERROR(ROUND($G336*INDEX(tblKurallar[deger_2025],MATCH("AKV-003",tblKurallar[kural_id],0)),2),0))</f>
        <v/>
      </c>
      <c r="I336" s="37">
        <f>IF($A336="","",IFERROR(MAX(0,$H336-$F336),0))</f>
        <v/>
      </c>
    </row>
    <row r="337">
      <c r="A337" s="36" t="n"/>
      <c r="B337" s="36" t="n"/>
      <c r="C337" s="36" t="n"/>
      <c r="D337" s="36" t="n"/>
      <c r="E337" s="36" t="n"/>
      <c r="F337" s="36" t="n"/>
      <c r="G337" s="37">
        <f>IF($A337="","",$B337+$C337-$D337-$E337)</f>
        <v/>
      </c>
      <c r="H337" s="37">
        <f>IF($A337="","",IFERROR(ROUND($G337*INDEX(tblKurallar[deger_2025],MATCH("AKV-003",tblKurallar[kural_id],0)),2),0))</f>
        <v/>
      </c>
      <c r="I337" s="37">
        <f>IF($A337="","",IFERROR(MAX(0,$H337-$F337),0))</f>
        <v/>
      </c>
    </row>
    <row r="338">
      <c r="A338" s="36" t="n"/>
      <c r="B338" s="36" t="n"/>
      <c r="C338" s="36" t="n"/>
      <c r="D338" s="36" t="n"/>
      <c r="E338" s="36" t="n"/>
      <c r="F338" s="36" t="n"/>
      <c r="G338" s="37">
        <f>IF($A338="","",$B338+$C338-$D338-$E338)</f>
        <v/>
      </c>
      <c r="H338" s="37">
        <f>IF($A338="","",IFERROR(ROUND($G338*INDEX(tblKurallar[deger_2025],MATCH("AKV-003",tblKurallar[kural_id],0)),2),0))</f>
        <v/>
      </c>
      <c r="I338" s="37">
        <f>IF($A338="","",IFERROR(MAX(0,$H338-$F338),0))</f>
        <v/>
      </c>
    </row>
    <row r="339">
      <c r="A339" s="36" t="n"/>
      <c r="B339" s="36" t="n"/>
      <c r="C339" s="36" t="n"/>
      <c r="D339" s="36" t="n"/>
      <c r="E339" s="36" t="n"/>
      <c r="F339" s="36" t="n"/>
      <c r="G339" s="37">
        <f>IF($A339="","",$B339+$C339-$D339-$E339)</f>
        <v/>
      </c>
      <c r="H339" s="37">
        <f>IF($A339="","",IFERROR(ROUND($G339*INDEX(tblKurallar[deger_2025],MATCH("AKV-003",tblKurallar[kural_id],0)),2),0))</f>
        <v/>
      </c>
      <c r="I339" s="37">
        <f>IF($A339="","",IFERROR(MAX(0,$H339-$F339),0))</f>
        <v/>
      </c>
    </row>
    <row r="340">
      <c r="A340" s="36" t="n"/>
      <c r="B340" s="36" t="n"/>
      <c r="C340" s="36" t="n"/>
      <c r="D340" s="36" t="n"/>
      <c r="E340" s="36" t="n"/>
      <c r="F340" s="36" t="n"/>
      <c r="G340" s="37">
        <f>IF($A340="","",$B340+$C340-$D340-$E340)</f>
        <v/>
      </c>
      <c r="H340" s="37">
        <f>IF($A340="","",IFERROR(ROUND($G340*INDEX(tblKurallar[deger_2025],MATCH("AKV-003",tblKurallar[kural_id],0)),2),0))</f>
        <v/>
      </c>
      <c r="I340" s="37">
        <f>IF($A340="","",IFERROR(MAX(0,$H340-$F340),0))</f>
        <v/>
      </c>
    </row>
    <row r="341">
      <c r="A341" s="36" t="n"/>
      <c r="B341" s="36" t="n"/>
      <c r="C341" s="36" t="n"/>
      <c r="D341" s="36" t="n"/>
      <c r="E341" s="36" t="n"/>
      <c r="F341" s="36" t="n"/>
      <c r="G341" s="37">
        <f>IF($A341="","",$B341+$C341-$D341-$E341)</f>
        <v/>
      </c>
      <c r="H341" s="37">
        <f>IF($A341="","",IFERROR(ROUND($G341*INDEX(tblKurallar[deger_2025],MATCH("AKV-003",tblKurallar[kural_id],0)),2),0))</f>
        <v/>
      </c>
      <c r="I341" s="37">
        <f>IF($A341="","",IFERROR(MAX(0,$H341-$F341),0))</f>
        <v/>
      </c>
    </row>
    <row r="342">
      <c r="A342" s="36" t="n"/>
      <c r="B342" s="36" t="n"/>
      <c r="C342" s="36" t="n"/>
      <c r="D342" s="36" t="n"/>
      <c r="E342" s="36" t="n"/>
      <c r="F342" s="36" t="n"/>
      <c r="G342" s="37">
        <f>IF($A342="","",$B342+$C342-$D342-$E342)</f>
        <v/>
      </c>
      <c r="H342" s="37">
        <f>IF($A342="","",IFERROR(ROUND($G342*INDEX(tblKurallar[deger_2025],MATCH("AKV-003",tblKurallar[kural_id],0)),2),0))</f>
        <v/>
      </c>
      <c r="I342" s="37">
        <f>IF($A342="","",IFERROR(MAX(0,$H342-$F342),0))</f>
        <v/>
      </c>
    </row>
    <row r="343">
      <c r="A343" s="36" t="n"/>
      <c r="B343" s="36" t="n"/>
      <c r="C343" s="36" t="n"/>
      <c r="D343" s="36" t="n"/>
      <c r="E343" s="36" t="n"/>
      <c r="F343" s="36" t="n"/>
      <c r="G343" s="37">
        <f>IF($A343="","",$B343+$C343-$D343-$E343)</f>
        <v/>
      </c>
      <c r="H343" s="37">
        <f>IF($A343="","",IFERROR(ROUND($G343*INDEX(tblKurallar[deger_2025],MATCH("AKV-003",tblKurallar[kural_id],0)),2),0))</f>
        <v/>
      </c>
      <c r="I343" s="37">
        <f>IF($A343="","",IFERROR(MAX(0,$H343-$F343),0))</f>
        <v/>
      </c>
    </row>
    <row r="344">
      <c r="A344" s="36" t="n"/>
      <c r="B344" s="36" t="n"/>
      <c r="C344" s="36" t="n"/>
      <c r="D344" s="36" t="n"/>
      <c r="E344" s="36" t="n"/>
      <c r="F344" s="36" t="n"/>
      <c r="G344" s="37">
        <f>IF($A344="","",$B344+$C344-$D344-$E344)</f>
        <v/>
      </c>
      <c r="H344" s="37">
        <f>IF($A344="","",IFERROR(ROUND($G344*INDEX(tblKurallar[deger_2025],MATCH("AKV-003",tblKurallar[kural_id],0)),2),0))</f>
        <v/>
      </c>
      <c r="I344" s="37">
        <f>IF($A344="","",IFERROR(MAX(0,$H344-$F344),0))</f>
        <v/>
      </c>
    </row>
    <row r="345">
      <c r="A345" s="36" t="n"/>
      <c r="B345" s="36" t="n"/>
      <c r="C345" s="36" t="n"/>
      <c r="D345" s="36" t="n"/>
      <c r="E345" s="36" t="n"/>
      <c r="F345" s="36" t="n"/>
      <c r="G345" s="37">
        <f>IF($A345="","",$B345+$C345-$D345-$E345)</f>
        <v/>
      </c>
      <c r="H345" s="37">
        <f>IF($A345="","",IFERROR(ROUND($G345*INDEX(tblKurallar[deger_2025],MATCH("AKV-003",tblKurallar[kural_id],0)),2),0))</f>
        <v/>
      </c>
      <c r="I345" s="37">
        <f>IF($A345="","",IFERROR(MAX(0,$H345-$F345),0))</f>
        <v/>
      </c>
    </row>
    <row r="346">
      <c r="A346" s="36" t="n"/>
      <c r="B346" s="36" t="n"/>
      <c r="C346" s="36" t="n"/>
      <c r="D346" s="36" t="n"/>
      <c r="E346" s="36" t="n"/>
      <c r="F346" s="36" t="n"/>
      <c r="G346" s="37">
        <f>IF($A346="","",$B346+$C346-$D346-$E346)</f>
        <v/>
      </c>
      <c r="H346" s="37">
        <f>IF($A346="","",IFERROR(ROUND($G346*INDEX(tblKurallar[deger_2025],MATCH("AKV-003",tblKurallar[kural_id],0)),2),0))</f>
        <v/>
      </c>
      <c r="I346" s="37">
        <f>IF($A346="","",IFERROR(MAX(0,$H346-$F346),0))</f>
        <v/>
      </c>
    </row>
    <row r="347">
      <c r="A347" s="36" t="n"/>
      <c r="B347" s="36" t="n"/>
      <c r="C347" s="36" t="n"/>
      <c r="D347" s="36" t="n"/>
      <c r="E347" s="36" t="n"/>
      <c r="F347" s="36" t="n"/>
      <c r="G347" s="37">
        <f>IF($A347="","",$B347+$C347-$D347-$E347)</f>
        <v/>
      </c>
      <c r="H347" s="37">
        <f>IF($A347="","",IFERROR(ROUND($G347*INDEX(tblKurallar[deger_2025],MATCH("AKV-003",tblKurallar[kural_id],0)),2),0))</f>
        <v/>
      </c>
      <c r="I347" s="37">
        <f>IF($A347="","",IFERROR(MAX(0,$H347-$F347),0))</f>
        <v/>
      </c>
    </row>
    <row r="348">
      <c r="A348" s="36" t="n"/>
      <c r="B348" s="36" t="n"/>
      <c r="C348" s="36" t="n"/>
      <c r="D348" s="36" t="n"/>
      <c r="E348" s="36" t="n"/>
      <c r="F348" s="36" t="n"/>
      <c r="G348" s="37">
        <f>IF($A348="","",$B348+$C348-$D348-$E348)</f>
        <v/>
      </c>
      <c r="H348" s="37">
        <f>IF($A348="","",IFERROR(ROUND($G348*INDEX(tblKurallar[deger_2025],MATCH("AKV-003",tblKurallar[kural_id],0)),2),0))</f>
        <v/>
      </c>
      <c r="I348" s="37">
        <f>IF($A348="","",IFERROR(MAX(0,$H348-$F348),0))</f>
        <v/>
      </c>
    </row>
    <row r="349">
      <c r="A349" s="36" t="n"/>
      <c r="B349" s="36" t="n"/>
      <c r="C349" s="36" t="n"/>
      <c r="D349" s="36" t="n"/>
      <c r="E349" s="36" t="n"/>
      <c r="F349" s="36" t="n"/>
      <c r="G349" s="37">
        <f>IF($A349="","",$B349+$C349-$D349-$E349)</f>
        <v/>
      </c>
      <c r="H349" s="37">
        <f>IF($A349="","",IFERROR(ROUND($G349*INDEX(tblKurallar[deger_2025],MATCH("AKV-003",tblKurallar[kural_id],0)),2),0))</f>
        <v/>
      </c>
      <c r="I349" s="37">
        <f>IF($A349="","",IFERROR(MAX(0,$H349-$F349),0))</f>
        <v/>
      </c>
    </row>
    <row r="350">
      <c r="A350" s="36" t="n"/>
      <c r="B350" s="36" t="n"/>
      <c r="C350" s="36" t="n"/>
      <c r="D350" s="36" t="n"/>
      <c r="E350" s="36" t="n"/>
      <c r="F350" s="36" t="n"/>
      <c r="G350" s="37">
        <f>IF($A350="","",$B350+$C350-$D350-$E350)</f>
        <v/>
      </c>
      <c r="H350" s="37">
        <f>IF($A350="","",IFERROR(ROUND($G350*INDEX(tblKurallar[deger_2025],MATCH("AKV-003",tblKurallar[kural_id],0)),2),0))</f>
        <v/>
      </c>
      <c r="I350" s="37">
        <f>IF($A350="","",IFERROR(MAX(0,$H350-$F350),0))</f>
        <v/>
      </c>
    </row>
    <row r="351">
      <c r="A351" s="36" t="n"/>
      <c r="B351" s="36" t="n"/>
      <c r="C351" s="36" t="n"/>
      <c r="D351" s="36" t="n"/>
      <c r="E351" s="36" t="n"/>
      <c r="F351" s="36" t="n"/>
      <c r="G351" s="37">
        <f>IF($A351="","",$B351+$C351-$D351-$E351)</f>
        <v/>
      </c>
      <c r="H351" s="37">
        <f>IF($A351="","",IFERROR(ROUND($G351*INDEX(tblKurallar[deger_2025],MATCH("AKV-003",tblKurallar[kural_id],0)),2),0))</f>
        <v/>
      </c>
      <c r="I351" s="37">
        <f>IF($A351="","",IFERROR(MAX(0,$H351-$F351),0))</f>
        <v/>
      </c>
    </row>
    <row r="352">
      <c r="A352" s="36" t="n"/>
      <c r="B352" s="36" t="n"/>
      <c r="C352" s="36" t="n"/>
      <c r="D352" s="36" t="n"/>
      <c r="E352" s="36" t="n"/>
      <c r="F352" s="36" t="n"/>
      <c r="G352" s="37">
        <f>IF($A352="","",$B352+$C352-$D352-$E352)</f>
        <v/>
      </c>
      <c r="H352" s="37">
        <f>IF($A352="","",IFERROR(ROUND($G352*INDEX(tblKurallar[deger_2025],MATCH("AKV-003",tblKurallar[kural_id],0)),2),0))</f>
        <v/>
      </c>
      <c r="I352" s="37">
        <f>IF($A352="","",IFERROR(MAX(0,$H352-$F352),0))</f>
        <v/>
      </c>
    </row>
    <row r="353">
      <c r="A353" s="36" t="n"/>
      <c r="B353" s="36" t="n"/>
      <c r="C353" s="36" t="n"/>
      <c r="D353" s="36" t="n"/>
      <c r="E353" s="36" t="n"/>
      <c r="F353" s="36" t="n"/>
      <c r="G353" s="37">
        <f>IF($A353="","",$B353+$C353-$D353-$E353)</f>
        <v/>
      </c>
      <c r="H353" s="37">
        <f>IF($A353="","",IFERROR(ROUND($G353*INDEX(tblKurallar[deger_2025],MATCH("AKV-003",tblKurallar[kural_id],0)),2),0))</f>
        <v/>
      </c>
      <c r="I353" s="37">
        <f>IF($A353="","",IFERROR(MAX(0,$H353-$F353),0))</f>
        <v/>
      </c>
    </row>
    <row r="354">
      <c r="A354" s="36" t="n"/>
      <c r="B354" s="36" t="n"/>
      <c r="C354" s="36" t="n"/>
      <c r="D354" s="36" t="n"/>
      <c r="E354" s="36" t="n"/>
      <c r="F354" s="36" t="n"/>
      <c r="G354" s="37">
        <f>IF($A354="","",$B354+$C354-$D354-$E354)</f>
        <v/>
      </c>
      <c r="H354" s="37">
        <f>IF($A354="","",IFERROR(ROUND($G354*INDEX(tblKurallar[deger_2025],MATCH("AKV-003",tblKurallar[kural_id],0)),2),0))</f>
        <v/>
      </c>
      <c r="I354" s="37">
        <f>IF($A354="","",IFERROR(MAX(0,$H354-$F354),0))</f>
        <v/>
      </c>
    </row>
    <row r="355">
      <c r="A355" s="36" t="n"/>
      <c r="B355" s="36" t="n"/>
      <c r="C355" s="36" t="n"/>
      <c r="D355" s="36" t="n"/>
      <c r="E355" s="36" t="n"/>
      <c r="F355" s="36" t="n"/>
      <c r="G355" s="37">
        <f>IF($A355="","",$B355+$C355-$D355-$E355)</f>
        <v/>
      </c>
      <c r="H355" s="37">
        <f>IF($A355="","",IFERROR(ROUND($G355*INDEX(tblKurallar[deger_2025],MATCH("AKV-003",tblKurallar[kural_id],0)),2),0))</f>
        <v/>
      </c>
      <c r="I355" s="37">
        <f>IF($A355="","",IFERROR(MAX(0,$H355-$F355),0))</f>
        <v/>
      </c>
    </row>
    <row r="356">
      <c r="A356" s="36" t="n"/>
      <c r="B356" s="36" t="n"/>
      <c r="C356" s="36" t="n"/>
      <c r="D356" s="36" t="n"/>
      <c r="E356" s="36" t="n"/>
      <c r="F356" s="36" t="n"/>
      <c r="G356" s="37">
        <f>IF($A356="","",$B356+$C356-$D356-$E356)</f>
        <v/>
      </c>
      <c r="H356" s="37">
        <f>IF($A356="","",IFERROR(ROUND($G356*INDEX(tblKurallar[deger_2025],MATCH("AKV-003",tblKurallar[kural_id],0)),2),0))</f>
        <v/>
      </c>
      <c r="I356" s="37">
        <f>IF($A356="","",IFERROR(MAX(0,$H356-$F356),0))</f>
        <v/>
      </c>
    </row>
    <row r="357">
      <c r="A357" s="36" t="n"/>
      <c r="B357" s="36" t="n"/>
      <c r="C357" s="36" t="n"/>
      <c r="D357" s="36" t="n"/>
      <c r="E357" s="36" t="n"/>
      <c r="F357" s="36" t="n"/>
      <c r="G357" s="37">
        <f>IF($A357="","",$B357+$C357-$D357-$E357)</f>
        <v/>
      </c>
      <c r="H357" s="37">
        <f>IF($A357="","",IFERROR(ROUND($G357*INDEX(tblKurallar[deger_2025],MATCH("AKV-003",tblKurallar[kural_id],0)),2),0))</f>
        <v/>
      </c>
      <c r="I357" s="37">
        <f>IF($A357="","",IFERROR(MAX(0,$H357-$F357),0))</f>
        <v/>
      </c>
    </row>
    <row r="358">
      <c r="A358" s="36" t="n"/>
      <c r="B358" s="36" t="n"/>
      <c r="C358" s="36" t="n"/>
      <c r="D358" s="36" t="n"/>
      <c r="E358" s="36" t="n"/>
      <c r="F358" s="36" t="n"/>
      <c r="G358" s="37">
        <f>IF($A358="","",$B358+$C358-$D358-$E358)</f>
        <v/>
      </c>
      <c r="H358" s="37">
        <f>IF($A358="","",IFERROR(ROUND($G358*INDEX(tblKurallar[deger_2025],MATCH("AKV-003",tblKurallar[kural_id],0)),2),0))</f>
        <v/>
      </c>
      <c r="I358" s="37">
        <f>IF($A358="","",IFERROR(MAX(0,$H358-$F358),0))</f>
        <v/>
      </c>
    </row>
    <row r="359">
      <c r="A359" s="36" t="n"/>
      <c r="B359" s="36" t="n"/>
      <c r="C359" s="36" t="n"/>
      <c r="D359" s="36" t="n"/>
      <c r="E359" s="36" t="n"/>
      <c r="F359" s="36" t="n"/>
      <c r="G359" s="37">
        <f>IF($A359="","",$B359+$C359-$D359-$E359)</f>
        <v/>
      </c>
      <c r="H359" s="37">
        <f>IF($A359="","",IFERROR(ROUND($G359*INDEX(tblKurallar[deger_2025],MATCH("AKV-003",tblKurallar[kural_id],0)),2),0))</f>
        <v/>
      </c>
      <c r="I359" s="37">
        <f>IF($A359="","",IFERROR(MAX(0,$H359-$F359),0))</f>
        <v/>
      </c>
    </row>
    <row r="360">
      <c r="A360" s="36" t="n"/>
      <c r="B360" s="36" t="n"/>
      <c r="C360" s="36" t="n"/>
      <c r="D360" s="36" t="n"/>
      <c r="E360" s="36" t="n"/>
      <c r="F360" s="36" t="n"/>
      <c r="G360" s="37">
        <f>IF($A360="","",$B360+$C360-$D360-$E360)</f>
        <v/>
      </c>
      <c r="H360" s="37">
        <f>IF($A360="","",IFERROR(ROUND($G360*INDEX(tblKurallar[deger_2025],MATCH("AKV-003",tblKurallar[kural_id],0)),2),0))</f>
        <v/>
      </c>
      <c r="I360" s="37">
        <f>IF($A360="","",IFERROR(MAX(0,$H360-$F360),0))</f>
        <v/>
      </c>
    </row>
    <row r="361">
      <c r="A361" s="36" t="n"/>
      <c r="B361" s="36" t="n"/>
      <c r="C361" s="36" t="n"/>
      <c r="D361" s="36" t="n"/>
      <c r="E361" s="36" t="n"/>
      <c r="F361" s="36" t="n"/>
      <c r="G361" s="37">
        <f>IF($A361="","",$B361+$C361-$D361-$E361)</f>
        <v/>
      </c>
      <c r="H361" s="37">
        <f>IF($A361="","",IFERROR(ROUND($G361*INDEX(tblKurallar[deger_2025],MATCH("AKV-003",tblKurallar[kural_id],0)),2),0))</f>
        <v/>
      </c>
      <c r="I361" s="37">
        <f>IF($A361="","",IFERROR(MAX(0,$H361-$F361),0))</f>
        <v/>
      </c>
    </row>
    <row r="362">
      <c r="A362" s="36" t="n"/>
      <c r="B362" s="36" t="n"/>
      <c r="C362" s="36" t="n"/>
      <c r="D362" s="36" t="n"/>
      <c r="E362" s="36" t="n"/>
      <c r="F362" s="36" t="n"/>
      <c r="G362" s="37">
        <f>IF($A362="","",$B362+$C362-$D362-$E362)</f>
        <v/>
      </c>
      <c r="H362" s="37">
        <f>IF($A362="","",IFERROR(ROUND($G362*INDEX(tblKurallar[deger_2025],MATCH("AKV-003",tblKurallar[kural_id],0)),2),0))</f>
        <v/>
      </c>
      <c r="I362" s="37">
        <f>IF($A362="","",IFERROR(MAX(0,$H362-$F362),0))</f>
        <v/>
      </c>
    </row>
    <row r="363">
      <c r="A363" s="36" t="n"/>
      <c r="B363" s="36" t="n"/>
      <c r="C363" s="36" t="n"/>
      <c r="D363" s="36" t="n"/>
      <c r="E363" s="36" t="n"/>
      <c r="F363" s="36" t="n"/>
      <c r="G363" s="37">
        <f>IF($A363="","",$B363+$C363-$D363-$E363)</f>
        <v/>
      </c>
      <c r="H363" s="37">
        <f>IF($A363="","",IFERROR(ROUND($G363*INDEX(tblKurallar[deger_2025],MATCH("AKV-003",tblKurallar[kural_id],0)),2),0))</f>
        <v/>
      </c>
      <c r="I363" s="37">
        <f>IF($A363="","",IFERROR(MAX(0,$H363-$F363),0))</f>
        <v/>
      </c>
    </row>
    <row r="364">
      <c r="A364" s="36" t="n"/>
      <c r="B364" s="36" t="n"/>
      <c r="C364" s="36" t="n"/>
      <c r="D364" s="36" t="n"/>
      <c r="E364" s="36" t="n"/>
      <c r="F364" s="36" t="n"/>
      <c r="G364" s="37">
        <f>IF($A364="","",$B364+$C364-$D364-$E364)</f>
        <v/>
      </c>
      <c r="H364" s="37">
        <f>IF($A364="","",IFERROR(ROUND($G364*INDEX(tblKurallar[deger_2025],MATCH("AKV-003",tblKurallar[kural_id],0)),2),0))</f>
        <v/>
      </c>
      <c r="I364" s="37">
        <f>IF($A364="","",IFERROR(MAX(0,$H364-$F364),0))</f>
        <v/>
      </c>
    </row>
    <row r="365">
      <c r="A365" s="36" t="n"/>
      <c r="B365" s="36" t="n"/>
      <c r="C365" s="36" t="n"/>
      <c r="D365" s="36" t="n"/>
      <c r="E365" s="36" t="n"/>
      <c r="F365" s="36" t="n"/>
      <c r="G365" s="37">
        <f>IF($A365="","",$B365+$C365-$D365-$E365)</f>
        <v/>
      </c>
      <c r="H365" s="37">
        <f>IF($A365="","",IFERROR(ROUND($G365*INDEX(tblKurallar[deger_2025],MATCH("AKV-003",tblKurallar[kural_id],0)),2),0))</f>
        <v/>
      </c>
      <c r="I365" s="37">
        <f>IF($A365="","",IFERROR(MAX(0,$H365-$F365),0))</f>
        <v/>
      </c>
    </row>
    <row r="366">
      <c r="A366" s="36" t="n"/>
      <c r="B366" s="36" t="n"/>
      <c r="C366" s="36" t="n"/>
      <c r="D366" s="36" t="n"/>
      <c r="E366" s="36" t="n"/>
      <c r="F366" s="36" t="n"/>
      <c r="G366" s="37">
        <f>IF($A366="","",$B366+$C366-$D366-$E366)</f>
        <v/>
      </c>
      <c r="H366" s="37">
        <f>IF($A366="","",IFERROR(ROUND($G366*INDEX(tblKurallar[deger_2025],MATCH("AKV-003",tblKurallar[kural_id],0)),2),0))</f>
        <v/>
      </c>
      <c r="I366" s="37">
        <f>IF($A366="","",IFERROR(MAX(0,$H366-$F366),0))</f>
        <v/>
      </c>
    </row>
    <row r="367">
      <c r="A367" s="36" t="n"/>
      <c r="B367" s="36" t="n"/>
      <c r="C367" s="36" t="n"/>
      <c r="D367" s="36" t="n"/>
      <c r="E367" s="36" t="n"/>
      <c r="F367" s="36" t="n"/>
      <c r="G367" s="37">
        <f>IF($A367="","",$B367+$C367-$D367-$E367)</f>
        <v/>
      </c>
      <c r="H367" s="37">
        <f>IF($A367="","",IFERROR(ROUND($G367*INDEX(tblKurallar[deger_2025],MATCH("AKV-003",tblKurallar[kural_id],0)),2),0))</f>
        <v/>
      </c>
      <c r="I367" s="37">
        <f>IF($A367="","",IFERROR(MAX(0,$H367-$F367),0))</f>
        <v/>
      </c>
    </row>
    <row r="368">
      <c r="A368" s="36" t="n"/>
      <c r="B368" s="36" t="n"/>
      <c r="C368" s="36" t="n"/>
      <c r="D368" s="36" t="n"/>
      <c r="E368" s="36" t="n"/>
      <c r="F368" s="36" t="n"/>
      <c r="G368" s="37">
        <f>IF($A368="","",$B368+$C368-$D368-$E368)</f>
        <v/>
      </c>
      <c r="H368" s="37">
        <f>IF($A368="","",IFERROR(ROUND($G368*INDEX(tblKurallar[deger_2025],MATCH("AKV-003",tblKurallar[kural_id],0)),2),0))</f>
        <v/>
      </c>
      <c r="I368" s="37">
        <f>IF($A368="","",IFERROR(MAX(0,$H368-$F368),0))</f>
        <v/>
      </c>
    </row>
    <row r="369">
      <c r="A369" s="36" t="n"/>
      <c r="B369" s="36" t="n"/>
      <c r="C369" s="36" t="n"/>
      <c r="D369" s="36" t="n"/>
      <c r="E369" s="36" t="n"/>
      <c r="F369" s="36" t="n"/>
      <c r="G369" s="37">
        <f>IF($A369="","",$B369+$C369-$D369-$E369)</f>
        <v/>
      </c>
      <c r="H369" s="37">
        <f>IF($A369="","",IFERROR(ROUND($G369*INDEX(tblKurallar[deger_2025],MATCH("AKV-003",tblKurallar[kural_id],0)),2),0))</f>
        <v/>
      </c>
      <c r="I369" s="37">
        <f>IF($A369="","",IFERROR(MAX(0,$H369-$F369),0))</f>
        <v/>
      </c>
    </row>
    <row r="370">
      <c r="A370" s="36" t="n"/>
      <c r="B370" s="36" t="n"/>
      <c r="C370" s="36" t="n"/>
      <c r="D370" s="36" t="n"/>
      <c r="E370" s="36" t="n"/>
      <c r="F370" s="36" t="n"/>
      <c r="G370" s="37">
        <f>IF($A370="","",$B370+$C370-$D370-$E370)</f>
        <v/>
      </c>
      <c r="H370" s="37">
        <f>IF($A370="","",IFERROR(ROUND($G370*INDEX(tblKurallar[deger_2025],MATCH("AKV-003",tblKurallar[kural_id],0)),2),0))</f>
        <v/>
      </c>
      <c r="I370" s="37">
        <f>IF($A370="","",IFERROR(MAX(0,$H370-$F370),0))</f>
        <v/>
      </c>
    </row>
    <row r="371">
      <c r="A371" s="36" t="n"/>
      <c r="B371" s="36" t="n"/>
      <c r="C371" s="36" t="n"/>
      <c r="D371" s="36" t="n"/>
      <c r="E371" s="36" t="n"/>
      <c r="F371" s="36" t="n"/>
      <c r="G371" s="37">
        <f>IF($A371="","",$B371+$C371-$D371-$E371)</f>
        <v/>
      </c>
      <c r="H371" s="37">
        <f>IF($A371="","",IFERROR(ROUND($G371*INDEX(tblKurallar[deger_2025],MATCH("AKV-003",tblKurallar[kural_id],0)),2),0))</f>
        <v/>
      </c>
      <c r="I371" s="37">
        <f>IF($A371="","",IFERROR(MAX(0,$H371-$F371),0))</f>
        <v/>
      </c>
    </row>
    <row r="372">
      <c r="A372" s="36" t="n"/>
      <c r="B372" s="36" t="n"/>
      <c r="C372" s="36" t="n"/>
      <c r="D372" s="36" t="n"/>
      <c r="E372" s="36" t="n"/>
      <c r="F372" s="36" t="n"/>
      <c r="G372" s="37">
        <f>IF($A372="","",$B372+$C372-$D372-$E372)</f>
        <v/>
      </c>
      <c r="H372" s="37">
        <f>IF($A372="","",IFERROR(ROUND($G372*INDEX(tblKurallar[deger_2025],MATCH("AKV-003",tblKurallar[kural_id],0)),2),0))</f>
        <v/>
      </c>
      <c r="I372" s="37">
        <f>IF($A372="","",IFERROR(MAX(0,$H372-$F372),0))</f>
        <v/>
      </c>
    </row>
    <row r="373">
      <c r="A373" s="36" t="n"/>
      <c r="B373" s="36" t="n"/>
      <c r="C373" s="36" t="n"/>
      <c r="D373" s="36" t="n"/>
      <c r="E373" s="36" t="n"/>
      <c r="F373" s="36" t="n"/>
      <c r="G373" s="37">
        <f>IF($A373="","",$B373+$C373-$D373-$E373)</f>
        <v/>
      </c>
      <c r="H373" s="37">
        <f>IF($A373="","",IFERROR(ROUND($G373*INDEX(tblKurallar[deger_2025],MATCH("AKV-003",tblKurallar[kural_id],0)),2),0))</f>
        <v/>
      </c>
      <c r="I373" s="37">
        <f>IF($A373="","",IFERROR(MAX(0,$H373-$F373),0))</f>
        <v/>
      </c>
    </row>
    <row r="374">
      <c r="A374" s="36" t="n"/>
      <c r="B374" s="36" t="n"/>
      <c r="C374" s="36" t="n"/>
      <c r="D374" s="36" t="n"/>
      <c r="E374" s="36" t="n"/>
      <c r="F374" s="36" t="n"/>
      <c r="G374" s="37">
        <f>IF($A374="","",$B374+$C374-$D374-$E374)</f>
        <v/>
      </c>
      <c r="H374" s="37">
        <f>IF($A374="","",IFERROR(ROUND($G374*INDEX(tblKurallar[deger_2025],MATCH("AKV-003",tblKurallar[kural_id],0)),2),0))</f>
        <v/>
      </c>
      <c r="I374" s="37">
        <f>IF($A374="","",IFERROR(MAX(0,$H374-$F374),0))</f>
        <v/>
      </c>
    </row>
    <row r="375">
      <c r="A375" s="36" t="n"/>
      <c r="B375" s="36" t="n"/>
      <c r="C375" s="36" t="n"/>
      <c r="D375" s="36" t="n"/>
      <c r="E375" s="36" t="n"/>
      <c r="F375" s="36" t="n"/>
      <c r="G375" s="37">
        <f>IF($A375="","",$B375+$C375-$D375-$E375)</f>
        <v/>
      </c>
      <c r="H375" s="37">
        <f>IF($A375="","",IFERROR(ROUND($G375*INDEX(tblKurallar[deger_2025],MATCH("AKV-003",tblKurallar[kural_id],0)),2),0))</f>
        <v/>
      </c>
      <c r="I375" s="37">
        <f>IF($A375="","",IFERROR(MAX(0,$H375-$F375),0))</f>
        <v/>
      </c>
    </row>
    <row r="376">
      <c r="A376" s="36" t="n"/>
      <c r="B376" s="36" t="n"/>
      <c r="C376" s="36" t="n"/>
      <c r="D376" s="36" t="n"/>
      <c r="E376" s="36" t="n"/>
      <c r="F376" s="36" t="n"/>
      <c r="G376" s="37">
        <f>IF($A376="","",$B376+$C376-$D376-$E376)</f>
        <v/>
      </c>
      <c r="H376" s="37">
        <f>IF($A376="","",IFERROR(ROUND($G376*INDEX(tblKurallar[deger_2025],MATCH("AKV-003",tblKurallar[kural_id],0)),2),0))</f>
        <v/>
      </c>
      <c r="I376" s="37">
        <f>IF($A376="","",IFERROR(MAX(0,$H376-$F376),0))</f>
        <v/>
      </c>
    </row>
    <row r="377">
      <c r="A377" s="36" t="n"/>
      <c r="B377" s="36" t="n"/>
      <c r="C377" s="36" t="n"/>
      <c r="D377" s="36" t="n"/>
      <c r="E377" s="36" t="n"/>
      <c r="F377" s="36" t="n"/>
      <c r="G377" s="37">
        <f>IF($A377="","",$B377+$C377-$D377-$E377)</f>
        <v/>
      </c>
      <c r="H377" s="37">
        <f>IF($A377="","",IFERROR(ROUND($G377*INDEX(tblKurallar[deger_2025],MATCH("AKV-003",tblKurallar[kural_id],0)),2),0))</f>
        <v/>
      </c>
      <c r="I377" s="37">
        <f>IF($A377="","",IFERROR(MAX(0,$H377-$F377),0))</f>
        <v/>
      </c>
    </row>
    <row r="378">
      <c r="A378" s="36" t="n"/>
      <c r="B378" s="36" t="n"/>
      <c r="C378" s="36" t="n"/>
      <c r="D378" s="36" t="n"/>
      <c r="E378" s="36" t="n"/>
      <c r="F378" s="36" t="n"/>
      <c r="G378" s="37">
        <f>IF($A378="","",$B378+$C378-$D378-$E378)</f>
        <v/>
      </c>
      <c r="H378" s="37">
        <f>IF($A378="","",IFERROR(ROUND($G378*INDEX(tblKurallar[deger_2025],MATCH("AKV-003",tblKurallar[kural_id],0)),2),0))</f>
        <v/>
      </c>
      <c r="I378" s="37">
        <f>IF($A378="","",IFERROR(MAX(0,$H378-$F378),0))</f>
        <v/>
      </c>
    </row>
    <row r="379">
      <c r="A379" s="36" t="n"/>
      <c r="B379" s="36" t="n"/>
      <c r="C379" s="36" t="n"/>
      <c r="D379" s="36" t="n"/>
      <c r="E379" s="36" t="n"/>
      <c r="F379" s="36" t="n"/>
      <c r="G379" s="37">
        <f>IF($A379="","",$B379+$C379-$D379-$E379)</f>
        <v/>
      </c>
      <c r="H379" s="37">
        <f>IF($A379="","",IFERROR(ROUND($G379*INDEX(tblKurallar[deger_2025],MATCH("AKV-003",tblKurallar[kural_id],0)),2),0))</f>
        <v/>
      </c>
      <c r="I379" s="37">
        <f>IF($A379="","",IFERROR(MAX(0,$H379-$F379),0))</f>
        <v/>
      </c>
    </row>
    <row r="380">
      <c r="A380" s="36" t="n"/>
      <c r="B380" s="36" t="n"/>
      <c r="C380" s="36" t="n"/>
      <c r="D380" s="36" t="n"/>
      <c r="E380" s="36" t="n"/>
      <c r="F380" s="36" t="n"/>
      <c r="G380" s="37">
        <f>IF($A380="","",$B380+$C380-$D380-$E380)</f>
        <v/>
      </c>
      <c r="H380" s="37">
        <f>IF($A380="","",IFERROR(ROUND($G380*INDEX(tblKurallar[deger_2025],MATCH("AKV-003",tblKurallar[kural_id],0)),2),0))</f>
        <v/>
      </c>
      <c r="I380" s="37">
        <f>IF($A380="","",IFERROR(MAX(0,$H380-$F380),0))</f>
        <v/>
      </c>
    </row>
    <row r="381">
      <c r="A381" s="36" t="n"/>
      <c r="B381" s="36" t="n"/>
      <c r="C381" s="36" t="n"/>
      <c r="D381" s="36" t="n"/>
      <c r="E381" s="36" t="n"/>
      <c r="F381" s="36" t="n"/>
      <c r="G381" s="37">
        <f>IF($A381="","",$B381+$C381-$D381-$E381)</f>
        <v/>
      </c>
      <c r="H381" s="37">
        <f>IF($A381="","",IFERROR(ROUND($G381*INDEX(tblKurallar[deger_2025],MATCH("AKV-003",tblKurallar[kural_id],0)),2),0))</f>
        <v/>
      </c>
      <c r="I381" s="37">
        <f>IF($A381="","",IFERROR(MAX(0,$H381-$F381),0))</f>
        <v/>
      </c>
    </row>
    <row r="382">
      <c r="A382" s="36" t="n"/>
      <c r="B382" s="36" t="n"/>
      <c r="C382" s="36" t="n"/>
      <c r="D382" s="36" t="n"/>
      <c r="E382" s="36" t="n"/>
      <c r="F382" s="36" t="n"/>
      <c r="G382" s="37">
        <f>IF($A382="","",$B382+$C382-$D382-$E382)</f>
        <v/>
      </c>
      <c r="H382" s="37">
        <f>IF($A382="","",IFERROR(ROUND($G382*INDEX(tblKurallar[deger_2025],MATCH("AKV-003",tblKurallar[kural_id],0)),2),0))</f>
        <v/>
      </c>
      <c r="I382" s="37">
        <f>IF($A382="","",IFERROR(MAX(0,$H382-$F382),0))</f>
        <v/>
      </c>
    </row>
    <row r="383">
      <c r="A383" s="36" t="n"/>
      <c r="B383" s="36" t="n"/>
      <c r="C383" s="36" t="n"/>
      <c r="D383" s="36" t="n"/>
      <c r="E383" s="36" t="n"/>
      <c r="F383" s="36" t="n"/>
      <c r="G383" s="37">
        <f>IF($A383="","",$B383+$C383-$D383-$E383)</f>
        <v/>
      </c>
      <c r="H383" s="37">
        <f>IF($A383="","",IFERROR(ROUND($G383*INDEX(tblKurallar[deger_2025],MATCH("AKV-003",tblKurallar[kural_id],0)),2),0))</f>
        <v/>
      </c>
      <c r="I383" s="37">
        <f>IF($A383="","",IFERROR(MAX(0,$H383-$F383),0))</f>
        <v/>
      </c>
    </row>
    <row r="384">
      <c r="A384" s="36" t="n"/>
      <c r="B384" s="36" t="n"/>
      <c r="C384" s="36" t="n"/>
      <c r="D384" s="36" t="n"/>
      <c r="E384" s="36" t="n"/>
      <c r="F384" s="36" t="n"/>
      <c r="G384" s="37">
        <f>IF($A384="","",$B384+$C384-$D384-$E384)</f>
        <v/>
      </c>
      <c r="H384" s="37">
        <f>IF($A384="","",IFERROR(ROUND($G384*INDEX(tblKurallar[deger_2025],MATCH("AKV-003",tblKurallar[kural_id],0)),2),0))</f>
        <v/>
      </c>
      <c r="I384" s="37">
        <f>IF($A384="","",IFERROR(MAX(0,$H384-$F384),0))</f>
        <v/>
      </c>
    </row>
    <row r="385">
      <c r="A385" s="36" t="n"/>
      <c r="B385" s="36" t="n"/>
      <c r="C385" s="36" t="n"/>
      <c r="D385" s="36" t="n"/>
      <c r="E385" s="36" t="n"/>
      <c r="F385" s="36" t="n"/>
      <c r="G385" s="37">
        <f>IF($A385="","",$B385+$C385-$D385-$E385)</f>
        <v/>
      </c>
      <c r="H385" s="37">
        <f>IF($A385="","",IFERROR(ROUND($G385*INDEX(tblKurallar[deger_2025],MATCH("AKV-003",tblKurallar[kural_id],0)),2),0))</f>
        <v/>
      </c>
      <c r="I385" s="37">
        <f>IF($A385="","",IFERROR(MAX(0,$H385-$F385),0))</f>
        <v/>
      </c>
    </row>
    <row r="386">
      <c r="A386" s="36" t="n"/>
      <c r="B386" s="36" t="n"/>
      <c r="C386" s="36" t="n"/>
      <c r="D386" s="36" t="n"/>
      <c r="E386" s="36" t="n"/>
      <c r="F386" s="36" t="n"/>
      <c r="G386" s="37">
        <f>IF($A386="","",$B386+$C386-$D386-$E386)</f>
        <v/>
      </c>
      <c r="H386" s="37">
        <f>IF($A386="","",IFERROR(ROUND($G386*INDEX(tblKurallar[deger_2025],MATCH("AKV-003",tblKurallar[kural_id],0)),2),0))</f>
        <v/>
      </c>
      <c r="I386" s="37">
        <f>IF($A386="","",IFERROR(MAX(0,$H386-$F386),0))</f>
        <v/>
      </c>
    </row>
    <row r="387">
      <c r="A387" s="36" t="n"/>
      <c r="B387" s="36" t="n"/>
      <c r="C387" s="36" t="n"/>
      <c r="D387" s="36" t="n"/>
      <c r="E387" s="36" t="n"/>
      <c r="F387" s="36" t="n"/>
      <c r="G387" s="37">
        <f>IF($A387="","",$B387+$C387-$D387-$E387)</f>
        <v/>
      </c>
      <c r="H387" s="37">
        <f>IF($A387="","",IFERROR(ROUND($G387*INDEX(tblKurallar[deger_2025],MATCH("AKV-003",tblKurallar[kural_id],0)),2),0))</f>
        <v/>
      </c>
      <c r="I387" s="37">
        <f>IF($A387="","",IFERROR(MAX(0,$H387-$F387),0))</f>
        <v/>
      </c>
    </row>
    <row r="388">
      <c r="A388" s="36" t="n"/>
      <c r="B388" s="36" t="n"/>
      <c r="C388" s="36" t="n"/>
      <c r="D388" s="36" t="n"/>
      <c r="E388" s="36" t="n"/>
      <c r="F388" s="36" t="n"/>
      <c r="G388" s="37">
        <f>IF($A388="","",$B388+$C388-$D388-$E388)</f>
        <v/>
      </c>
      <c r="H388" s="37">
        <f>IF($A388="","",IFERROR(ROUND($G388*INDEX(tblKurallar[deger_2025],MATCH("AKV-003",tblKurallar[kural_id],0)),2),0))</f>
        <v/>
      </c>
      <c r="I388" s="37">
        <f>IF($A388="","",IFERROR(MAX(0,$H388-$F388),0))</f>
        <v/>
      </c>
    </row>
    <row r="389">
      <c r="A389" s="36" t="n"/>
      <c r="B389" s="36" t="n"/>
      <c r="C389" s="36" t="n"/>
      <c r="D389" s="36" t="n"/>
      <c r="E389" s="36" t="n"/>
      <c r="F389" s="36" t="n"/>
      <c r="G389" s="37">
        <f>IF($A389="","",$B389+$C389-$D389-$E389)</f>
        <v/>
      </c>
      <c r="H389" s="37">
        <f>IF($A389="","",IFERROR(ROUND($G389*INDEX(tblKurallar[deger_2025],MATCH("AKV-003",tblKurallar[kural_id],0)),2),0))</f>
        <v/>
      </c>
      <c r="I389" s="37">
        <f>IF($A389="","",IFERROR(MAX(0,$H389-$F389),0))</f>
        <v/>
      </c>
    </row>
    <row r="390">
      <c r="A390" s="36" t="n"/>
      <c r="B390" s="36" t="n"/>
      <c r="C390" s="36" t="n"/>
      <c r="D390" s="36" t="n"/>
      <c r="E390" s="36" t="n"/>
      <c r="F390" s="36" t="n"/>
      <c r="G390" s="37">
        <f>IF($A390="","",$B390+$C390-$D390-$E390)</f>
        <v/>
      </c>
      <c r="H390" s="37">
        <f>IF($A390="","",IFERROR(ROUND($G390*INDEX(tblKurallar[deger_2025],MATCH("AKV-003",tblKurallar[kural_id],0)),2),0))</f>
        <v/>
      </c>
      <c r="I390" s="37">
        <f>IF($A390="","",IFERROR(MAX(0,$H390-$F390),0))</f>
        <v/>
      </c>
    </row>
    <row r="391">
      <c r="A391" s="36" t="n"/>
      <c r="B391" s="36" t="n"/>
      <c r="C391" s="36" t="n"/>
      <c r="D391" s="36" t="n"/>
      <c r="E391" s="36" t="n"/>
      <c r="F391" s="36" t="n"/>
      <c r="G391" s="37">
        <f>IF($A391="","",$B391+$C391-$D391-$E391)</f>
        <v/>
      </c>
      <c r="H391" s="37">
        <f>IF($A391="","",IFERROR(ROUND($G391*INDEX(tblKurallar[deger_2025],MATCH("AKV-003",tblKurallar[kural_id],0)),2),0))</f>
        <v/>
      </c>
      <c r="I391" s="37">
        <f>IF($A391="","",IFERROR(MAX(0,$H391-$F391),0))</f>
        <v/>
      </c>
    </row>
    <row r="392">
      <c r="A392" s="36" t="n"/>
      <c r="B392" s="36" t="n"/>
      <c r="C392" s="36" t="n"/>
      <c r="D392" s="36" t="n"/>
      <c r="E392" s="36" t="n"/>
      <c r="F392" s="36" t="n"/>
      <c r="G392" s="37">
        <f>IF($A392="","",$B392+$C392-$D392-$E392)</f>
        <v/>
      </c>
      <c r="H392" s="37">
        <f>IF($A392="","",IFERROR(ROUND($G392*INDEX(tblKurallar[deger_2025],MATCH("AKV-003",tblKurallar[kural_id],0)),2),0))</f>
        <v/>
      </c>
      <c r="I392" s="37">
        <f>IF($A392="","",IFERROR(MAX(0,$H392-$F392),0))</f>
        <v/>
      </c>
    </row>
    <row r="393">
      <c r="A393" s="36" t="n"/>
      <c r="B393" s="36" t="n"/>
      <c r="C393" s="36" t="n"/>
      <c r="D393" s="36" t="n"/>
      <c r="E393" s="36" t="n"/>
      <c r="F393" s="36" t="n"/>
      <c r="G393" s="37">
        <f>IF($A393="","",$B393+$C393-$D393-$E393)</f>
        <v/>
      </c>
      <c r="H393" s="37">
        <f>IF($A393="","",IFERROR(ROUND($G393*INDEX(tblKurallar[deger_2025],MATCH("AKV-003",tblKurallar[kural_id],0)),2),0))</f>
        <v/>
      </c>
      <c r="I393" s="37">
        <f>IF($A393="","",IFERROR(MAX(0,$H393-$F393),0))</f>
        <v/>
      </c>
    </row>
    <row r="394">
      <c r="A394" s="36" t="n"/>
      <c r="B394" s="36" t="n"/>
      <c r="C394" s="36" t="n"/>
      <c r="D394" s="36" t="n"/>
      <c r="E394" s="36" t="n"/>
      <c r="F394" s="36" t="n"/>
      <c r="G394" s="37">
        <f>IF($A394="","",$B394+$C394-$D394-$E394)</f>
        <v/>
      </c>
      <c r="H394" s="37">
        <f>IF($A394="","",IFERROR(ROUND($G394*INDEX(tblKurallar[deger_2025],MATCH("AKV-003",tblKurallar[kural_id],0)),2),0))</f>
        <v/>
      </c>
      <c r="I394" s="37">
        <f>IF($A394="","",IFERROR(MAX(0,$H394-$F394),0))</f>
        <v/>
      </c>
    </row>
    <row r="395">
      <c r="A395" s="36" t="n"/>
      <c r="B395" s="36" t="n"/>
      <c r="C395" s="36" t="n"/>
      <c r="D395" s="36" t="n"/>
      <c r="E395" s="36" t="n"/>
      <c r="F395" s="36" t="n"/>
      <c r="G395" s="37">
        <f>IF($A395="","",$B395+$C395-$D395-$E395)</f>
        <v/>
      </c>
      <c r="H395" s="37">
        <f>IF($A395="","",IFERROR(ROUND($G395*INDEX(tblKurallar[deger_2025],MATCH("AKV-003",tblKurallar[kural_id],0)),2),0))</f>
        <v/>
      </c>
      <c r="I395" s="37">
        <f>IF($A395="","",IFERROR(MAX(0,$H395-$F395),0))</f>
        <v/>
      </c>
    </row>
    <row r="396">
      <c r="A396" s="36" t="n"/>
      <c r="B396" s="36" t="n"/>
      <c r="C396" s="36" t="n"/>
      <c r="D396" s="36" t="n"/>
      <c r="E396" s="36" t="n"/>
      <c r="F396" s="36" t="n"/>
      <c r="G396" s="37">
        <f>IF($A396="","",$B396+$C396-$D396-$E396)</f>
        <v/>
      </c>
      <c r="H396" s="37">
        <f>IF($A396="","",IFERROR(ROUND($G396*INDEX(tblKurallar[deger_2025],MATCH("AKV-003",tblKurallar[kural_id],0)),2),0))</f>
        <v/>
      </c>
      <c r="I396" s="37">
        <f>IF($A396="","",IFERROR(MAX(0,$H396-$F396),0))</f>
        <v/>
      </c>
    </row>
    <row r="397">
      <c r="A397" s="36" t="n"/>
      <c r="B397" s="36" t="n"/>
      <c r="C397" s="36" t="n"/>
      <c r="D397" s="36" t="n"/>
      <c r="E397" s="36" t="n"/>
      <c r="F397" s="36" t="n"/>
      <c r="G397" s="37">
        <f>IF($A397="","",$B397+$C397-$D397-$E397)</f>
        <v/>
      </c>
      <c r="H397" s="37">
        <f>IF($A397="","",IFERROR(ROUND($G397*INDEX(tblKurallar[deger_2025],MATCH("AKV-003",tblKurallar[kural_id],0)),2),0))</f>
        <v/>
      </c>
      <c r="I397" s="37">
        <f>IF($A397="","",IFERROR(MAX(0,$H397-$F397),0))</f>
        <v/>
      </c>
    </row>
    <row r="398">
      <c r="A398" s="36" t="n"/>
      <c r="B398" s="36" t="n"/>
      <c r="C398" s="36" t="n"/>
      <c r="D398" s="36" t="n"/>
      <c r="E398" s="36" t="n"/>
      <c r="F398" s="36" t="n"/>
      <c r="G398" s="37">
        <f>IF($A398="","",$B398+$C398-$D398-$E398)</f>
        <v/>
      </c>
      <c r="H398" s="37">
        <f>IF($A398="","",IFERROR(ROUND($G398*INDEX(tblKurallar[deger_2025],MATCH("AKV-003",tblKurallar[kural_id],0)),2),0))</f>
        <v/>
      </c>
      <c r="I398" s="37">
        <f>IF($A398="","",IFERROR(MAX(0,$H398-$F398),0))</f>
        <v/>
      </c>
    </row>
    <row r="399">
      <c r="A399" s="36" t="n"/>
      <c r="B399" s="36" t="n"/>
      <c r="C399" s="36" t="n"/>
      <c r="D399" s="36" t="n"/>
      <c r="E399" s="36" t="n"/>
      <c r="F399" s="36" t="n"/>
      <c r="G399" s="37">
        <f>IF($A399="","",$B399+$C399-$D399-$E399)</f>
        <v/>
      </c>
      <c r="H399" s="37">
        <f>IF($A399="","",IFERROR(ROUND($G399*INDEX(tblKurallar[deger_2025],MATCH("AKV-003",tblKurallar[kural_id],0)),2),0))</f>
        <v/>
      </c>
      <c r="I399" s="37">
        <f>IF($A399="","",IFERROR(MAX(0,$H399-$F399),0))</f>
        <v/>
      </c>
    </row>
    <row r="400">
      <c r="A400" s="36" t="n"/>
      <c r="B400" s="36" t="n"/>
      <c r="C400" s="36" t="n"/>
      <c r="D400" s="36" t="n"/>
      <c r="E400" s="36" t="n"/>
      <c r="F400" s="36" t="n"/>
      <c r="G400" s="37">
        <f>IF($A400="","",$B400+$C400-$D400-$E400)</f>
        <v/>
      </c>
      <c r="H400" s="37">
        <f>IF($A400="","",IFERROR(ROUND($G400*INDEX(tblKurallar[deger_2025],MATCH("AKV-003",tblKurallar[kural_id],0)),2),0))</f>
        <v/>
      </c>
      <c r="I400" s="37">
        <f>IF($A400="","",IFERROR(MAX(0,$H400-$F400),0))</f>
        <v/>
      </c>
    </row>
    <row r="401">
      <c r="A401" s="36" t="n"/>
      <c r="B401" s="36" t="n"/>
      <c r="C401" s="36" t="n"/>
      <c r="D401" s="36" t="n"/>
      <c r="E401" s="36" t="n"/>
      <c r="F401" s="36" t="n"/>
      <c r="G401" s="37">
        <f>IF($A401="","",$B401+$C401-$D401-$E401)</f>
        <v/>
      </c>
      <c r="H401" s="37">
        <f>IF($A401="","",IFERROR(ROUND($G401*INDEX(tblKurallar[deger_2025],MATCH("AKV-003",tblKurallar[kural_id],0)),2),0))</f>
        <v/>
      </c>
      <c r="I401" s="37">
        <f>IF($A401="","",IFERROR(MAX(0,$H401-$F401),0))</f>
        <v/>
      </c>
    </row>
    <row r="402">
      <c r="A402" s="36" t="n"/>
      <c r="B402" s="36" t="n"/>
      <c r="C402" s="36" t="n"/>
      <c r="D402" s="36" t="n"/>
      <c r="E402" s="36" t="n"/>
      <c r="F402" s="36" t="n"/>
      <c r="G402" s="37">
        <f>IF($A402="","",$B402+$C402-$D402-$E402)</f>
        <v/>
      </c>
      <c r="H402" s="37">
        <f>IF($A402="","",IFERROR(ROUND($G402*INDEX(tblKurallar[deger_2025],MATCH("AKV-003",tblKurallar[kural_id],0)),2),0))</f>
        <v/>
      </c>
      <c r="I402" s="37">
        <f>IF($A402="","",IFERROR(MAX(0,$H402-$F402),0))</f>
        <v/>
      </c>
    </row>
    <row r="403">
      <c r="A403" s="36" t="n"/>
      <c r="B403" s="36" t="n"/>
      <c r="C403" s="36" t="n"/>
      <c r="D403" s="36" t="n"/>
      <c r="E403" s="36" t="n"/>
      <c r="F403" s="36" t="n"/>
      <c r="G403" s="37">
        <f>IF($A403="","",$B403+$C403-$D403-$E403)</f>
        <v/>
      </c>
      <c r="H403" s="37">
        <f>IF($A403="","",IFERROR(ROUND($G403*INDEX(tblKurallar[deger_2025],MATCH("AKV-003",tblKurallar[kural_id],0)),2),0))</f>
        <v/>
      </c>
      <c r="I403" s="37">
        <f>IF($A403="","",IFERROR(MAX(0,$H403-$F403),0))</f>
        <v/>
      </c>
    </row>
    <row r="404">
      <c r="A404" s="36" t="n"/>
      <c r="B404" s="36" t="n"/>
      <c r="C404" s="36" t="n"/>
      <c r="D404" s="36" t="n"/>
      <c r="E404" s="36" t="n"/>
      <c r="F404" s="36" t="n"/>
      <c r="G404" s="37">
        <f>IF($A404="","",$B404+$C404-$D404-$E404)</f>
        <v/>
      </c>
      <c r="H404" s="37">
        <f>IF($A404="","",IFERROR(ROUND($G404*INDEX(tblKurallar[deger_2025],MATCH("AKV-003",tblKurallar[kural_id],0)),2),0))</f>
        <v/>
      </c>
      <c r="I404" s="37">
        <f>IF($A404="","",IFERROR(MAX(0,$H404-$F404),0))</f>
        <v/>
      </c>
    </row>
    <row r="405">
      <c r="A405" s="36" t="n"/>
      <c r="B405" s="36" t="n"/>
      <c r="C405" s="36" t="n"/>
      <c r="D405" s="36" t="n"/>
      <c r="E405" s="36" t="n"/>
      <c r="F405" s="36" t="n"/>
      <c r="G405" s="37">
        <f>IF($A405="","",$B405+$C405-$D405-$E405)</f>
        <v/>
      </c>
      <c r="H405" s="37">
        <f>IF($A405="","",IFERROR(ROUND($G405*INDEX(tblKurallar[deger_2025],MATCH("AKV-003",tblKurallar[kural_id],0)),2),0))</f>
        <v/>
      </c>
      <c r="I405" s="37">
        <f>IF($A405="","",IFERROR(MAX(0,$H405-$F405),0))</f>
        <v/>
      </c>
    </row>
    <row r="406">
      <c r="A406" s="36" t="n"/>
      <c r="B406" s="36" t="n"/>
      <c r="C406" s="36" t="n"/>
      <c r="D406" s="36" t="n"/>
      <c r="E406" s="36" t="n"/>
      <c r="F406" s="36" t="n"/>
      <c r="G406" s="37">
        <f>IF($A406="","",$B406+$C406-$D406-$E406)</f>
        <v/>
      </c>
      <c r="H406" s="37">
        <f>IF($A406="","",IFERROR(ROUND($G406*INDEX(tblKurallar[deger_2025],MATCH("AKV-003",tblKurallar[kural_id],0)),2),0))</f>
        <v/>
      </c>
      <c r="I406" s="37">
        <f>IF($A406="","",IFERROR(MAX(0,$H406-$F406),0))</f>
        <v/>
      </c>
    </row>
    <row r="407">
      <c r="A407" s="36" t="n"/>
      <c r="B407" s="36" t="n"/>
      <c r="C407" s="36" t="n"/>
      <c r="D407" s="36" t="n"/>
      <c r="E407" s="36" t="n"/>
      <c r="F407" s="36" t="n"/>
      <c r="G407" s="37">
        <f>IF($A407="","",$B407+$C407-$D407-$E407)</f>
        <v/>
      </c>
      <c r="H407" s="37">
        <f>IF($A407="","",IFERROR(ROUND($G407*INDEX(tblKurallar[deger_2025],MATCH("AKV-003",tblKurallar[kural_id],0)),2),0))</f>
        <v/>
      </c>
      <c r="I407" s="37">
        <f>IF($A407="","",IFERROR(MAX(0,$H407-$F407),0))</f>
        <v/>
      </c>
    </row>
    <row r="408">
      <c r="A408" s="36" t="n"/>
      <c r="B408" s="36" t="n"/>
      <c r="C408" s="36" t="n"/>
      <c r="D408" s="36" t="n"/>
      <c r="E408" s="36" t="n"/>
      <c r="F408" s="36" t="n"/>
      <c r="G408" s="37">
        <f>IF($A408="","",$B408+$C408-$D408-$E408)</f>
        <v/>
      </c>
      <c r="H408" s="37">
        <f>IF($A408="","",IFERROR(ROUND($G408*INDEX(tblKurallar[deger_2025],MATCH("AKV-003",tblKurallar[kural_id],0)),2),0))</f>
        <v/>
      </c>
      <c r="I408" s="37">
        <f>IF($A408="","",IFERROR(MAX(0,$H408-$F408),0))</f>
        <v/>
      </c>
    </row>
    <row r="409">
      <c r="A409" s="36" t="n"/>
      <c r="B409" s="36" t="n"/>
      <c r="C409" s="36" t="n"/>
      <c r="D409" s="36" t="n"/>
      <c r="E409" s="36" t="n"/>
      <c r="F409" s="36" t="n"/>
      <c r="G409" s="37">
        <f>IF($A409="","",$B409+$C409-$D409-$E409)</f>
        <v/>
      </c>
      <c r="H409" s="37">
        <f>IF($A409="","",IFERROR(ROUND($G409*INDEX(tblKurallar[deger_2025],MATCH("AKV-003",tblKurallar[kural_id],0)),2),0))</f>
        <v/>
      </c>
      <c r="I409" s="37">
        <f>IF($A409="","",IFERROR(MAX(0,$H409-$F409),0))</f>
        <v/>
      </c>
    </row>
    <row r="410">
      <c r="A410" s="36" t="n"/>
      <c r="B410" s="36" t="n"/>
      <c r="C410" s="36" t="n"/>
      <c r="D410" s="36" t="n"/>
      <c r="E410" s="36" t="n"/>
      <c r="F410" s="36" t="n"/>
      <c r="G410" s="37">
        <f>IF($A410="","",$B410+$C410-$D410-$E410)</f>
        <v/>
      </c>
      <c r="H410" s="37">
        <f>IF($A410="","",IFERROR(ROUND($G410*INDEX(tblKurallar[deger_2025],MATCH("AKV-003",tblKurallar[kural_id],0)),2),0))</f>
        <v/>
      </c>
      <c r="I410" s="37">
        <f>IF($A410="","",IFERROR(MAX(0,$H410-$F410),0))</f>
        <v/>
      </c>
    </row>
    <row r="411">
      <c r="A411" s="36" t="n"/>
      <c r="B411" s="36" t="n"/>
      <c r="C411" s="36" t="n"/>
      <c r="D411" s="36" t="n"/>
      <c r="E411" s="36" t="n"/>
      <c r="F411" s="36" t="n"/>
      <c r="G411" s="37">
        <f>IF($A411="","",$B411+$C411-$D411-$E411)</f>
        <v/>
      </c>
      <c r="H411" s="37">
        <f>IF($A411="","",IFERROR(ROUND($G411*INDEX(tblKurallar[deger_2025],MATCH("AKV-003",tblKurallar[kural_id],0)),2),0))</f>
        <v/>
      </c>
      <c r="I411" s="37">
        <f>IF($A411="","",IFERROR(MAX(0,$H411-$F411),0))</f>
        <v/>
      </c>
    </row>
    <row r="412">
      <c r="A412" s="36" t="n"/>
      <c r="B412" s="36" t="n"/>
      <c r="C412" s="36" t="n"/>
      <c r="D412" s="36" t="n"/>
      <c r="E412" s="36" t="n"/>
      <c r="F412" s="36" t="n"/>
      <c r="G412" s="37">
        <f>IF($A412="","",$B412+$C412-$D412-$E412)</f>
        <v/>
      </c>
      <c r="H412" s="37">
        <f>IF($A412="","",IFERROR(ROUND($G412*INDEX(tblKurallar[deger_2025],MATCH("AKV-003",tblKurallar[kural_id],0)),2),0))</f>
        <v/>
      </c>
      <c r="I412" s="37">
        <f>IF($A412="","",IFERROR(MAX(0,$H412-$F412),0))</f>
        <v/>
      </c>
    </row>
    <row r="413">
      <c r="A413" s="36" t="n"/>
      <c r="B413" s="36" t="n"/>
      <c r="C413" s="36" t="n"/>
      <c r="D413" s="36" t="n"/>
      <c r="E413" s="36" t="n"/>
      <c r="F413" s="36" t="n"/>
      <c r="G413" s="37">
        <f>IF($A413="","",$B413+$C413-$D413-$E413)</f>
        <v/>
      </c>
      <c r="H413" s="37">
        <f>IF($A413="","",IFERROR(ROUND($G413*INDEX(tblKurallar[deger_2025],MATCH("AKV-003",tblKurallar[kural_id],0)),2),0))</f>
        <v/>
      </c>
      <c r="I413" s="37">
        <f>IF($A413="","",IFERROR(MAX(0,$H413-$F413),0))</f>
        <v/>
      </c>
    </row>
    <row r="414">
      <c r="A414" s="36" t="n"/>
      <c r="B414" s="36" t="n"/>
      <c r="C414" s="36" t="n"/>
      <c r="D414" s="36" t="n"/>
      <c r="E414" s="36" t="n"/>
      <c r="F414" s="36" t="n"/>
      <c r="G414" s="37">
        <f>IF($A414="","",$B414+$C414-$D414-$E414)</f>
        <v/>
      </c>
      <c r="H414" s="37">
        <f>IF($A414="","",IFERROR(ROUND($G414*INDEX(tblKurallar[deger_2025],MATCH("AKV-003",tblKurallar[kural_id],0)),2),0))</f>
        <v/>
      </c>
      <c r="I414" s="37">
        <f>IF($A414="","",IFERROR(MAX(0,$H414-$F414),0))</f>
        <v/>
      </c>
    </row>
    <row r="415">
      <c r="A415" s="36" t="n"/>
      <c r="B415" s="36" t="n"/>
      <c r="C415" s="36" t="n"/>
      <c r="D415" s="36" t="n"/>
      <c r="E415" s="36" t="n"/>
      <c r="F415" s="36" t="n"/>
      <c r="G415" s="37">
        <f>IF($A415="","",$B415+$C415-$D415-$E415)</f>
        <v/>
      </c>
      <c r="H415" s="37">
        <f>IF($A415="","",IFERROR(ROUND($G415*INDEX(tblKurallar[deger_2025],MATCH("AKV-003",tblKurallar[kural_id],0)),2),0))</f>
        <v/>
      </c>
      <c r="I415" s="37">
        <f>IF($A415="","",IFERROR(MAX(0,$H415-$F415),0))</f>
        <v/>
      </c>
    </row>
    <row r="416">
      <c r="A416" s="36" t="n"/>
      <c r="B416" s="36" t="n"/>
      <c r="C416" s="36" t="n"/>
      <c r="D416" s="36" t="n"/>
      <c r="E416" s="36" t="n"/>
      <c r="F416" s="36" t="n"/>
      <c r="G416" s="37">
        <f>IF($A416="","",$B416+$C416-$D416-$E416)</f>
        <v/>
      </c>
      <c r="H416" s="37">
        <f>IF($A416="","",IFERROR(ROUND($G416*INDEX(tblKurallar[deger_2025],MATCH("AKV-003",tblKurallar[kural_id],0)),2),0))</f>
        <v/>
      </c>
      <c r="I416" s="37">
        <f>IF($A416="","",IFERROR(MAX(0,$H416-$F416),0))</f>
        <v/>
      </c>
    </row>
    <row r="417">
      <c r="A417" s="36" t="n"/>
      <c r="B417" s="36" t="n"/>
      <c r="C417" s="36" t="n"/>
      <c r="D417" s="36" t="n"/>
      <c r="E417" s="36" t="n"/>
      <c r="F417" s="36" t="n"/>
      <c r="G417" s="37">
        <f>IF($A417="","",$B417+$C417-$D417-$E417)</f>
        <v/>
      </c>
      <c r="H417" s="37">
        <f>IF($A417="","",IFERROR(ROUND($G417*INDEX(tblKurallar[deger_2025],MATCH("AKV-003",tblKurallar[kural_id],0)),2),0))</f>
        <v/>
      </c>
      <c r="I417" s="37">
        <f>IF($A417="","",IFERROR(MAX(0,$H417-$F417),0))</f>
        <v/>
      </c>
    </row>
    <row r="418">
      <c r="A418" s="36" t="n"/>
      <c r="B418" s="36" t="n"/>
      <c r="C418" s="36" t="n"/>
      <c r="D418" s="36" t="n"/>
      <c r="E418" s="36" t="n"/>
      <c r="F418" s="36" t="n"/>
      <c r="G418" s="37">
        <f>IF($A418="","",$B418+$C418-$D418-$E418)</f>
        <v/>
      </c>
      <c r="H418" s="37">
        <f>IF($A418="","",IFERROR(ROUND($G418*INDEX(tblKurallar[deger_2025],MATCH("AKV-003",tblKurallar[kural_id],0)),2),0))</f>
        <v/>
      </c>
      <c r="I418" s="37">
        <f>IF($A418="","",IFERROR(MAX(0,$H418-$F418),0))</f>
        <v/>
      </c>
    </row>
    <row r="419">
      <c r="A419" s="36" t="n"/>
      <c r="B419" s="36" t="n"/>
      <c r="C419" s="36" t="n"/>
      <c r="D419" s="36" t="n"/>
      <c r="E419" s="36" t="n"/>
      <c r="F419" s="36" t="n"/>
      <c r="G419" s="37">
        <f>IF($A419="","",$B419+$C419-$D419-$E419)</f>
        <v/>
      </c>
      <c r="H419" s="37">
        <f>IF($A419="","",IFERROR(ROUND($G419*INDEX(tblKurallar[deger_2025],MATCH("AKV-003",tblKurallar[kural_id],0)),2),0))</f>
        <v/>
      </c>
      <c r="I419" s="37">
        <f>IF($A419="","",IFERROR(MAX(0,$H419-$F419),0))</f>
        <v/>
      </c>
    </row>
    <row r="420">
      <c r="A420" s="36" t="n"/>
      <c r="B420" s="36" t="n"/>
      <c r="C420" s="36" t="n"/>
      <c r="D420" s="36" t="n"/>
      <c r="E420" s="36" t="n"/>
      <c r="F420" s="36" t="n"/>
      <c r="G420" s="37">
        <f>IF($A420="","",$B420+$C420-$D420-$E420)</f>
        <v/>
      </c>
      <c r="H420" s="37">
        <f>IF($A420="","",IFERROR(ROUND($G420*INDEX(tblKurallar[deger_2025],MATCH("AKV-003",tblKurallar[kural_id],0)),2),0))</f>
        <v/>
      </c>
      <c r="I420" s="37">
        <f>IF($A420="","",IFERROR(MAX(0,$H420-$F420),0))</f>
        <v/>
      </c>
    </row>
    <row r="421">
      <c r="A421" s="36" t="n"/>
      <c r="B421" s="36" t="n"/>
      <c r="C421" s="36" t="n"/>
      <c r="D421" s="36" t="n"/>
      <c r="E421" s="36" t="n"/>
      <c r="F421" s="36" t="n"/>
      <c r="G421" s="37">
        <f>IF($A421="","",$B421+$C421-$D421-$E421)</f>
        <v/>
      </c>
      <c r="H421" s="37">
        <f>IF($A421="","",IFERROR(ROUND($G421*INDEX(tblKurallar[deger_2025],MATCH("AKV-003",tblKurallar[kural_id],0)),2),0))</f>
        <v/>
      </c>
      <c r="I421" s="37">
        <f>IF($A421="","",IFERROR(MAX(0,$H421-$F421),0))</f>
        <v/>
      </c>
    </row>
    <row r="422">
      <c r="A422" s="36" t="n"/>
      <c r="B422" s="36" t="n"/>
      <c r="C422" s="36" t="n"/>
      <c r="D422" s="36" t="n"/>
      <c r="E422" s="36" t="n"/>
      <c r="F422" s="36" t="n"/>
      <c r="G422" s="37">
        <f>IF($A422="","",$B422+$C422-$D422-$E422)</f>
        <v/>
      </c>
      <c r="H422" s="37">
        <f>IF($A422="","",IFERROR(ROUND($G422*INDEX(tblKurallar[deger_2025],MATCH("AKV-003",tblKurallar[kural_id],0)),2),0))</f>
        <v/>
      </c>
      <c r="I422" s="37">
        <f>IF($A422="","",IFERROR(MAX(0,$H422-$F422),0))</f>
        <v/>
      </c>
    </row>
    <row r="423">
      <c r="A423" s="36" t="n"/>
      <c r="B423" s="36" t="n"/>
      <c r="C423" s="36" t="n"/>
      <c r="D423" s="36" t="n"/>
      <c r="E423" s="36" t="n"/>
      <c r="F423" s="36" t="n"/>
      <c r="G423" s="37">
        <f>IF($A423="","",$B423+$C423-$D423-$E423)</f>
        <v/>
      </c>
      <c r="H423" s="37">
        <f>IF($A423="","",IFERROR(ROUND($G423*INDEX(tblKurallar[deger_2025],MATCH("AKV-003",tblKurallar[kural_id],0)),2),0))</f>
        <v/>
      </c>
      <c r="I423" s="37">
        <f>IF($A423="","",IFERROR(MAX(0,$H423-$F423),0))</f>
        <v/>
      </c>
    </row>
    <row r="424">
      <c r="A424" s="36" t="n"/>
      <c r="B424" s="36" t="n"/>
      <c r="C424" s="36" t="n"/>
      <c r="D424" s="36" t="n"/>
      <c r="E424" s="36" t="n"/>
      <c r="F424" s="36" t="n"/>
      <c r="G424" s="37">
        <f>IF($A424="","",$B424+$C424-$D424-$E424)</f>
        <v/>
      </c>
      <c r="H424" s="37">
        <f>IF($A424="","",IFERROR(ROUND($G424*INDEX(tblKurallar[deger_2025],MATCH("AKV-003",tblKurallar[kural_id],0)),2),0))</f>
        <v/>
      </c>
      <c r="I424" s="37">
        <f>IF($A424="","",IFERROR(MAX(0,$H424-$F424),0))</f>
        <v/>
      </c>
    </row>
    <row r="425">
      <c r="A425" s="36" t="n"/>
      <c r="B425" s="36" t="n"/>
      <c r="C425" s="36" t="n"/>
      <c r="D425" s="36" t="n"/>
      <c r="E425" s="36" t="n"/>
      <c r="F425" s="36" t="n"/>
      <c r="G425" s="37">
        <f>IF($A425="","",$B425+$C425-$D425-$E425)</f>
        <v/>
      </c>
      <c r="H425" s="37">
        <f>IF($A425="","",IFERROR(ROUND($G425*INDEX(tblKurallar[deger_2025],MATCH("AKV-003",tblKurallar[kural_id],0)),2),0))</f>
        <v/>
      </c>
      <c r="I425" s="37">
        <f>IF($A425="","",IFERROR(MAX(0,$H425-$F425),0))</f>
        <v/>
      </c>
    </row>
    <row r="426">
      <c r="A426" s="36" t="n"/>
      <c r="B426" s="36" t="n"/>
      <c r="C426" s="36" t="n"/>
      <c r="D426" s="36" t="n"/>
      <c r="E426" s="36" t="n"/>
      <c r="F426" s="36" t="n"/>
      <c r="G426" s="37">
        <f>IF($A426="","",$B426+$C426-$D426-$E426)</f>
        <v/>
      </c>
      <c r="H426" s="37">
        <f>IF($A426="","",IFERROR(ROUND($G426*INDEX(tblKurallar[deger_2025],MATCH("AKV-003",tblKurallar[kural_id],0)),2),0))</f>
        <v/>
      </c>
      <c r="I426" s="37">
        <f>IF($A426="","",IFERROR(MAX(0,$H426-$F426),0))</f>
        <v/>
      </c>
    </row>
    <row r="427">
      <c r="A427" s="36" t="n"/>
      <c r="B427" s="36" t="n"/>
      <c r="C427" s="36" t="n"/>
      <c r="D427" s="36" t="n"/>
      <c r="E427" s="36" t="n"/>
      <c r="F427" s="36" t="n"/>
      <c r="G427" s="37">
        <f>IF($A427="","",$B427+$C427-$D427-$E427)</f>
        <v/>
      </c>
      <c r="H427" s="37">
        <f>IF($A427="","",IFERROR(ROUND($G427*INDEX(tblKurallar[deger_2025],MATCH("AKV-003",tblKurallar[kural_id],0)),2),0))</f>
        <v/>
      </c>
      <c r="I427" s="37">
        <f>IF($A427="","",IFERROR(MAX(0,$H427-$F427),0))</f>
        <v/>
      </c>
    </row>
    <row r="428">
      <c r="A428" s="36" t="n"/>
      <c r="B428" s="36" t="n"/>
      <c r="C428" s="36" t="n"/>
      <c r="D428" s="36" t="n"/>
      <c r="E428" s="36" t="n"/>
      <c r="F428" s="36" t="n"/>
      <c r="G428" s="37">
        <f>IF($A428="","",$B428+$C428-$D428-$E428)</f>
        <v/>
      </c>
      <c r="H428" s="37">
        <f>IF($A428="","",IFERROR(ROUND($G428*INDEX(tblKurallar[deger_2025],MATCH("AKV-003",tblKurallar[kural_id],0)),2),0))</f>
        <v/>
      </c>
      <c r="I428" s="37">
        <f>IF($A428="","",IFERROR(MAX(0,$H428-$F428),0))</f>
        <v/>
      </c>
    </row>
    <row r="429">
      <c r="A429" s="36" t="n"/>
      <c r="B429" s="36" t="n"/>
      <c r="C429" s="36" t="n"/>
      <c r="D429" s="36" t="n"/>
      <c r="E429" s="36" t="n"/>
      <c r="F429" s="36" t="n"/>
      <c r="G429" s="37">
        <f>IF($A429="","",$B429+$C429-$D429-$E429)</f>
        <v/>
      </c>
      <c r="H429" s="37">
        <f>IF($A429="","",IFERROR(ROUND($G429*INDEX(tblKurallar[deger_2025],MATCH("AKV-003",tblKurallar[kural_id],0)),2),0))</f>
        <v/>
      </c>
      <c r="I429" s="37">
        <f>IF($A429="","",IFERROR(MAX(0,$H429-$F429),0))</f>
        <v/>
      </c>
    </row>
    <row r="430">
      <c r="A430" s="36" t="n"/>
      <c r="B430" s="36" t="n"/>
      <c r="C430" s="36" t="n"/>
      <c r="D430" s="36" t="n"/>
      <c r="E430" s="36" t="n"/>
      <c r="F430" s="36" t="n"/>
      <c r="G430" s="37">
        <f>IF($A430="","",$B430+$C430-$D430-$E430)</f>
        <v/>
      </c>
      <c r="H430" s="37">
        <f>IF($A430="","",IFERROR(ROUND($G430*INDEX(tblKurallar[deger_2025],MATCH("AKV-003",tblKurallar[kural_id],0)),2),0))</f>
        <v/>
      </c>
      <c r="I430" s="37">
        <f>IF($A430="","",IFERROR(MAX(0,$H430-$F430),0))</f>
        <v/>
      </c>
    </row>
    <row r="431">
      <c r="A431" s="36" t="n"/>
      <c r="B431" s="36" t="n"/>
      <c r="C431" s="36" t="n"/>
      <c r="D431" s="36" t="n"/>
      <c r="E431" s="36" t="n"/>
      <c r="F431" s="36" t="n"/>
      <c r="G431" s="37">
        <f>IF($A431="","",$B431+$C431-$D431-$E431)</f>
        <v/>
      </c>
      <c r="H431" s="37">
        <f>IF($A431="","",IFERROR(ROUND($G431*INDEX(tblKurallar[deger_2025],MATCH("AKV-003",tblKurallar[kural_id],0)),2),0))</f>
        <v/>
      </c>
      <c r="I431" s="37">
        <f>IF($A431="","",IFERROR(MAX(0,$H431-$F431),0))</f>
        <v/>
      </c>
    </row>
    <row r="432">
      <c r="A432" s="36" t="n"/>
      <c r="B432" s="36" t="n"/>
      <c r="C432" s="36" t="n"/>
      <c r="D432" s="36" t="n"/>
      <c r="E432" s="36" t="n"/>
      <c r="F432" s="36" t="n"/>
      <c r="G432" s="37">
        <f>IF($A432="","",$B432+$C432-$D432-$E432)</f>
        <v/>
      </c>
      <c r="H432" s="37">
        <f>IF($A432="","",IFERROR(ROUND($G432*INDEX(tblKurallar[deger_2025],MATCH("AKV-003",tblKurallar[kural_id],0)),2),0))</f>
        <v/>
      </c>
      <c r="I432" s="37">
        <f>IF($A432="","",IFERROR(MAX(0,$H432-$F432),0))</f>
        <v/>
      </c>
    </row>
    <row r="433">
      <c r="A433" s="36" t="n"/>
      <c r="B433" s="36" t="n"/>
      <c r="C433" s="36" t="n"/>
      <c r="D433" s="36" t="n"/>
      <c r="E433" s="36" t="n"/>
      <c r="F433" s="36" t="n"/>
      <c r="G433" s="37">
        <f>IF($A433="","",$B433+$C433-$D433-$E433)</f>
        <v/>
      </c>
      <c r="H433" s="37">
        <f>IF($A433="","",IFERROR(ROUND($G433*INDEX(tblKurallar[deger_2025],MATCH("AKV-003",tblKurallar[kural_id],0)),2),0))</f>
        <v/>
      </c>
      <c r="I433" s="37">
        <f>IF($A433="","",IFERROR(MAX(0,$H433-$F433),0))</f>
        <v/>
      </c>
    </row>
    <row r="434">
      <c r="A434" s="36" t="n"/>
      <c r="B434" s="36" t="n"/>
      <c r="C434" s="36" t="n"/>
      <c r="D434" s="36" t="n"/>
      <c r="E434" s="36" t="n"/>
      <c r="F434" s="36" t="n"/>
      <c r="G434" s="37">
        <f>IF($A434="","",$B434+$C434-$D434-$E434)</f>
        <v/>
      </c>
      <c r="H434" s="37">
        <f>IF($A434="","",IFERROR(ROUND($G434*INDEX(tblKurallar[deger_2025],MATCH("AKV-003",tblKurallar[kural_id],0)),2),0))</f>
        <v/>
      </c>
      <c r="I434" s="37">
        <f>IF($A434="","",IFERROR(MAX(0,$H434-$F434),0))</f>
        <v/>
      </c>
    </row>
    <row r="435">
      <c r="A435" s="36" t="n"/>
      <c r="B435" s="36" t="n"/>
      <c r="C435" s="36" t="n"/>
      <c r="D435" s="36" t="n"/>
      <c r="E435" s="36" t="n"/>
      <c r="F435" s="36" t="n"/>
      <c r="G435" s="37">
        <f>IF($A435="","",$B435+$C435-$D435-$E435)</f>
        <v/>
      </c>
      <c r="H435" s="37">
        <f>IF($A435="","",IFERROR(ROUND($G435*INDEX(tblKurallar[deger_2025],MATCH("AKV-003",tblKurallar[kural_id],0)),2),0))</f>
        <v/>
      </c>
      <c r="I435" s="37">
        <f>IF($A435="","",IFERROR(MAX(0,$H435-$F435),0))</f>
        <v/>
      </c>
    </row>
    <row r="436">
      <c r="A436" s="36" t="n"/>
      <c r="B436" s="36" t="n"/>
      <c r="C436" s="36" t="n"/>
      <c r="D436" s="36" t="n"/>
      <c r="E436" s="36" t="n"/>
      <c r="F436" s="36" t="n"/>
      <c r="G436" s="37">
        <f>IF($A436="","",$B436+$C436-$D436-$E436)</f>
        <v/>
      </c>
      <c r="H436" s="37">
        <f>IF($A436="","",IFERROR(ROUND($G436*INDEX(tblKurallar[deger_2025],MATCH("AKV-003",tblKurallar[kural_id],0)),2),0))</f>
        <v/>
      </c>
      <c r="I436" s="37">
        <f>IF($A436="","",IFERROR(MAX(0,$H436-$F436),0))</f>
        <v/>
      </c>
    </row>
    <row r="437">
      <c r="A437" s="36" t="n"/>
      <c r="B437" s="36" t="n"/>
      <c r="C437" s="36" t="n"/>
      <c r="D437" s="36" t="n"/>
      <c r="E437" s="36" t="n"/>
      <c r="F437" s="36" t="n"/>
      <c r="G437" s="37">
        <f>IF($A437="","",$B437+$C437-$D437-$E437)</f>
        <v/>
      </c>
      <c r="H437" s="37">
        <f>IF($A437="","",IFERROR(ROUND($G437*INDEX(tblKurallar[deger_2025],MATCH("AKV-003",tblKurallar[kural_id],0)),2),0))</f>
        <v/>
      </c>
      <c r="I437" s="37">
        <f>IF($A437="","",IFERROR(MAX(0,$H437-$F437),0))</f>
        <v/>
      </c>
    </row>
    <row r="438">
      <c r="A438" s="36" t="n"/>
      <c r="B438" s="36" t="n"/>
      <c r="C438" s="36" t="n"/>
      <c r="D438" s="36" t="n"/>
      <c r="E438" s="36" t="n"/>
      <c r="F438" s="36" t="n"/>
      <c r="G438" s="37">
        <f>IF($A438="","",$B438+$C438-$D438-$E438)</f>
        <v/>
      </c>
      <c r="H438" s="37">
        <f>IF($A438="","",IFERROR(ROUND($G438*INDEX(tblKurallar[deger_2025],MATCH("AKV-003",tblKurallar[kural_id],0)),2),0))</f>
        <v/>
      </c>
      <c r="I438" s="37">
        <f>IF($A438="","",IFERROR(MAX(0,$H438-$F438),0))</f>
        <v/>
      </c>
    </row>
    <row r="439">
      <c r="A439" s="36" t="n"/>
      <c r="B439" s="36" t="n"/>
      <c r="C439" s="36" t="n"/>
      <c r="D439" s="36" t="n"/>
      <c r="E439" s="36" t="n"/>
      <c r="F439" s="36" t="n"/>
      <c r="G439" s="37">
        <f>IF($A439="","",$B439+$C439-$D439-$E439)</f>
        <v/>
      </c>
      <c r="H439" s="37">
        <f>IF($A439="","",IFERROR(ROUND($G439*INDEX(tblKurallar[deger_2025],MATCH("AKV-003",tblKurallar[kural_id],0)),2),0))</f>
        <v/>
      </c>
      <c r="I439" s="37">
        <f>IF($A439="","",IFERROR(MAX(0,$H439-$F439),0))</f>
        <v/>
      </c>
    </row>
    <row r="440">
      <c r="A440" s="36" t="n"/>
      <c r="B440" s="36" t="n"/>
      <c r="C440" s="36" t="n"/>
      <c r="D440" s="36" t="n"/>
      <c r="E440" s="36" t="n"/>
      <c r="F440" s="36" t="n"/>
      <c r="G440" s="37">
        <f>IF($A440="","",$B440+$C440-$D440-$E440)</f>
        <v/>
      </c>
      <c r="H440" s="37">
        <f>IF($A440="","",IFERROR(ROUND($G440*INDEX(tblKurallar[deger_2025],MATCH("AKV-003",tblKurallar[kural_id],0)),2),0))</f>
        <v/>
      </c>
      <c r="I440" s="37">
        <f>IF($A440="","",IFERROR(MAX(0,$H440-$F440),0))</f>
        <v/>
      </c>
    </row>
    <row r="441">
      <c r="A441" s="36" t="n"/>
      <c r="B441" s="36" t="n"/>
      <c r="C441" s="36" t="n"/>
      <c r="D441" s="36" t="n"/>
      <c r="E441" s="36" t="n"/>
      <c r="F441" s="36" t="n"/>
      <c r="G441" s="37">
        <f>IF($A441="","",$B441+$C441-$D441-$E441)</f>
        <v/>
      </c>
      <c r="H441" s="37">
        <f>IF($A441="","",IFERROR(ROUND($G441*INDEX(tblKurallar[deger_2025],MATCH("AKV-003",tblKurallar[kural_id],0)),2),0))</f>
        <v/>
      </c>
      <c r="I441" s="37">
        <f>IF($A441="","",IFERROR(MAX(0,$H441-$F441),0))</f>
        <v/>
      </c>
    </row>
    <row r="442">
      <c r="A442" s="36" t="n"/>
      <c r="B442" s="36" t="n"/>
      <c r="C442" s="36" t="n"/>
      <c r="D442" s="36" t="n"/>
      <c r="E442" s="36" t="n"/>
      <c r="F442" s="36" t="n"/>
      <c r="G442" s="37">
        <f>IF($A442="","",$B442+$C442-$D442-$E442)</f>
        <v/>
      </c>
      <c r="H442" s="37">
        <f>IF($A442="","",IFERROR(ROUND($G442*INDEX(tblKurallar[deger_2025],MATCH("AKV-003",tblKurallar[kural_id],0)),2),0))</f>
        <v/>
      </c>
      <c r="I442" s="37">
        <f>IF($A442="","",IFERROR(MAX(0,$H442-$F442),0))</f>
        <v/>
      </c>
    </row>
    <row r="443">
      <c r="A443" s="36" t="n"/>
      <c r="B443" s="36" t="n"/>
      <c r="C443" s="36" t="n"/>
      <c r="D443" s="36" t="n"/>
      <c r="E443" s="36" t="n"/>
      <c r="F443" s="36" t="n"/>
      <c r="G443" s="37">
        <f>IF($A443="","",$B443+$C443-$D443-$E443)</f>
        <v/>
      </c>
      <c r="H443" s="37">
        <f>IF($A443="","",IFERROR(ROUND($G443*INDEX(tblKurallar[deger_2025],MATCH("AKV-003",tblKurallar[kural_id],0)),2),0))</f>
        <v/>
      </c>
      <c r="I443" s="37">
        <f>IF($A443="","",IFERROR(MAX(0,$H443-$F443),0))</f>
        <v/>
      </c>
    </row>
    <row r="444">
      <c r="A444" s="36" t="n"/>
      <c r="B444" s="36" t="n"/>
      <c r="C444" s="36" t="n"/>
      <c r="D444" s="36" t="n"/>
      <c r="E444" s="36" t="n"/>
      <c r="F444" s="36" t="n"/>
      <c r="G444" s="37">
        <f>IF($A444="","",$B444+$C444-$D444-$E444)</f>
        <v/>
      </c>
      <c r="H444" s="37">
        <f>IF($A444="","",IFERROR(ROUND($G444*INDEX(tblKurallar[deger_2025],MATCH("AKV-003",tblKurallar[kural_id],0)),2),0))</f>
        <v/>
      </c>
      <c r="I444" s="37">
        <f>IF($A444="","",IFERROR(MAX(0,$H444-$F444),0))</f>
        <v/>
      </c>
    </row>
    <row r="445">
      <c r="A445" s="36" t="n"/>
      <c r="B445" s="36" t="n"/>
      <c r="C445" s="36" t="n"/>
      <c r="D445" s="36" t="n"/>
      <c r="E445" s="36" t="n"/>
      <c r="F445" s="36" t="n"/>
      <c r="G445" s="37">
        <f>IF($A445="","",$B445+$C445-$D445-$E445)</f>
        <v/>
      </c>
      <c r="H445" s="37">
        <f>IF($A445="","",IFERROR(ROUND($G445*INDEX(tblKurallar[deger_2025],MATCH("AKV-003",tblKurallar[kural_id],0)),2),0))</f>
        <v/>
      </c>
      <c r="I445" s="37">
        <f>IF($A445="","",IFERROR(MAX(0,$H445-$F445),0))</f>
        <v/>
      </c>
    </row>
    <row r="446">
      <c r="A446" s="36" t="n"/>
      <c r="B446" s="36" t="n"/>
      <c r="C446" s="36" t="n"/>
      <c r="D446" s="36" t="n"/>
      <c r="E446" s="36" t="n"/>
      <c r="F446" s="36" t="n"/>
      <c r="G446" s="37">
        <f>IF($A446="","",$B446+$C446-$D446-$E446)</f>
        <v/>
      </c>
      <c r="H446" s="37">
        <f>IF($A446="","",IFERROR(ROUND($G446*INDEX(tblKurallar[deger_2025],MATCH("AKV-003",tblKurallar[kural_id],0)),2),0))</f>
        <v/>
      </c>
      <c r="I446" s="37">
        <f>IF($A446="","",IFERROR(MAX(0,$H446-$F446),0))</f>
        <v/>
      </c>
    </row>
    <row r="447">
      <c r="A447" s="36" t="n"/>
      <c r="B447" s="36" t="n"/>
      <c r="C447" s="36" t="n"/>
      <c r="D447" s="36" t="n"/>
      <c r="E447" s="36" t="n"/>
      <c r="F447" s="36" t="n"/>
      <c r="G447" s="37">
        <f>IF($A447="","",$B447+$C447-$D447-$E447)</f>
        <v/>
      </c>
      <c r="H447" s="37">
        <f>IF($A447="","",IFERROR(ROUND($G447*INDEX(tblKurallar[deger_2025],MATCH("AKV-003",tblKurallar[kural_id],0)),2),0))</f>
        <v/>
      </c>
      <c r="I447" s="37">
        <f>IF($A447="","",IFERROR(MAX(0,$H447-$F447),0))</f>
        <v/>
      </c>
    </row>
    <row r="448">
      <c r="A448" s="36" t="n"/>
      <c r="B448" s="36" t="n"/>
      <c r="C448" s="36" t="n"/>
      <c r="D448" s="36" t="n"/>
      <c r="E448" s="36" t="n"/>
      <c r="F448" s="36" t="n"/>
      <c r="G448" s="37">
        <f>IF($A448="","",$B448+$C448-$D448-$E448)</f>
        <v/>
      </c>
      <c r="H448" s="37">
        <f>IF($A448="","",IFERROR(ROUND($G448*INDEX(tblKurallar[deger_2025],MATCH("AKV-003",tblKurallar[kural_id],0)),2),0))</f>
        <v/>
      </c>
      <c r="I448" s="37">
        <f>IF($A448="","",IFERROR(MAX(0,$H448-$F448),0))</f>
        <v/>
      </c>
    </row>
    <row r="449">
      <c r="A449" s="36" t="n"/>
      <c r="B449" s="36" t="n"/>
      <c r="C449" s="36" t="n"/>
      <c r="D449" s="36" t="n"/>
      <c r="E449" s="36" t="n"/>
      <c r="F449" s="36" t="n"/>
      <c r="G449" s="37">
        <f>IF($A449="","",$B449+$C449-$D449-$E449)</f>
        <v/>
      </c>
      <c r="H449" s="37">
        <f>IF($A449="","",IFERROR(ROUND($G449*INDEX(tblKurallar[deger_2025],MATCH("AKV-003",tblKurallar[kural_id],0)),2),0))</f>
        <v/>
      </c>
      <c r="I449" s="37">
        <f>IF($A449="","",IFERROR(MAX(0,$H449-$F449),0))</f>
        <v/>
      </c>
    </row>
    <row r="450">
      <c r="A450" s="36" t="n"/>
      <c r="B450" s="36" t="n"/>
      <c r="C450" s="36" t="n"/>
      <c r="D450" s="36" t="n"/>
      <c r="E450" s="36" t="n"/>
      <c r="F450" s="36" t="n"/>
      <c r="G450" s="37">
        <f>IF($A450="","",$B450+$C450-$D450-$E450)</f>
        <v/>
      </c>
      <c r="H450" s="37">
        <f>IF($A450="","",IFERROR(ROUND($G450*INDEX(tblKurallar[deger_2025],MATCH("AKV-003",tblKurallar[kural_id],0)),2),0))</f>
        <v/>
      </c>
      <c r="I450" s="37">
        <f>IF($A450="","",IFERROR(MAX(0,$H450-$F450),0))</f>
        <v/>
      </c>
    </row>
    <row r="451">
      <c r="A451" s="36" t="n"/>
      <c r="B451" s="36" t="n"/>
      <c r="C451" s="36" t="n"/>
      <c r="D451" s="36" t="n"/>
      <c r="E451" s="36" t="n"/>
      <c r="F451" s="36" t="n"/>
      <c r="G451" s="37">
        <f>IF($A451="","",$B451+$C451-$D451-$E451)</f>
        <v/>
      </c>
      <c r="H451" s="37">
        <f>IF($A451="","",IFERROR(ROUND($G451*INDEX(tblKurallar[deger_2025],MATCH("AKV-003",tblKurallar[kural_id],0)),2),0))</f>
        <v/>
      </c>
      <c r="I451" s="37">
        <f>IF($A451="","",IFERROR(MAX(0,$H451-$F451),0))</f>
        <v/>
      </c>
    </row>
    <row r="452">
      <c r="A452" s="36" t="n"/>
      <c r="B452" s="36" t="n"/>
      <c r="C452" s="36" t="n"/>
      <c r="D452" s="36" t="n"/>
      <c r="E452" s="36" t="n"/>
      <c r="F452" s="36" t="n"/>
      <c r="G452" s="37">
        <f>IF($A452="","",$B452+$C452-$D452-$E452)</f>
        <v/>
      </c>
      <c r="H452" s="37">
        <f>IF($A452="","",IFERROR(ROUND($G452*INDEX(tblKurallar[deger_2025],MATCH("AKV-003",tblKurallar[kural_id],0)),2),0))</f>
        <v/>
      </c>
      <c r="I452" s="37">
        <f>IF($A452="","",IFERROR(MAX(0,$H452-$F452),0))</f>
        <v/>
      </c>
    </row>
    <row r="453">
      <c r="A453" s="36" t="n"/>
      <c r="B453" s="36" t="n"/>
      <c r="C453" s="36" t="n"/>
      <c r="D453" s="36" t="n"/>
      <c r="E453" s="36" t="n"/>
      <c r="F453" s="36" t="n"/>
      <c r="G453" s="37">
        <f>IF($A453="","",$B453+$C453-$D453-$E453)</f>
        <v/>
      </c>
      <c r="H453" s="37">
        <f>IF($A453="","",IFERROR(ROUND($G453*INDEX(tblKurallar[deger_2025],MATCH("AKV-003",tblKurallar[kural_id],0)),2),0))</f>
        <v/>
      </c>
      <c r="I453" s="37">
        <f>IF($A453="","",IFERROR(MAX(0,$H453-$F453),0))</f>
        <v/>
      </c>
    </row>
    <row r="454">
      <c r="A454" s="36" t="n"/>
      <c r="B454" s="36" t="n"/>
      <c r="C454" s="36" t="n"/>
      <c r="D454" s="36" t="n"/>
      <c r="E454" s="36" t="n"/>
      <c r="F454" s="36" t="n"/>
      <c r="G454" s="37">
        <f>IF($A454="","",$B454+$C454-$D454-$E454)</f>
        <v/>
      </c>
      <c r="H454" s="37">
        <f>IF($A454="","",IFERROR(ROUND($G454*INDEX(tblKurallar[deger_2025],MATCH("AKV-003",tblKurallar[kural_id],0)),2),0))</f>
        <v/>
      </c>
      <c r="I454" s="37">
        <f>IF($A454="","",IFERROR(MAX(0,$H454-$F454),0))</f>
        <v/>
      </c>
    </row>
    <row r="455">
      <c r="A455" s="36" t="n"/>
      <c r="B455" s="36" t="n"/>
      <c r="C455" s="36" t="n"/>
      <c r="D455" s="36" t="n"/>
      <c r="E455" s="36" t="n"/>
      <c r="F455" s="36" t="n"/>
      <c r="G455" s="37">
        <f>IF($A455="","",$B455+$C455-$D455-$E455)</f>
        <v/>
      </c>
      <c r="H455" s="37">
        <f>IF($A455="","",IFERROR(ROUND($G455*INDEX(tblKurallar[deger_2025],MATCH("AKV-003",tblKurallar[kural_id],0)),2),0))</f>
        <v/>
      </c>
      <c r="I455" s="37">
        <f>IF($A455="","",IFERROR(MAX(0,$H455-$F455),0))</f>
        <v/>
      </c>
    </row>
    <row r="456">
      <c r="A456" s="36" t="n"/>
      <c r="B456" s="36" t="n"/>
      <c r="C456" s="36" t="n"/>
      <c r="D456" s="36" t="n"/>
      <c r="E456" s="36" t="n"/>
      <c r="F456" s="36" t="n"/>
      <c r="G456" s="37">
        <f>IF($A456="","",$B456+$C456-$D456-$E456)</f>
        <v/>
      </c>
      <c r="H456" s="37">
        <f>IF($A456="","",IFERROR(ROUND($G456*INDEX(tblKurallar[deger_2025],MATCH("AKV-003",tblKurallar[kural_id],0)),2),0))</f>
        <v/>
      </c>
      <c r="I456" s="37">
        <f>IF($A456="","",IFERROR(MAX(0,$H456-$F456),0))</f>
        <v/>
      </c>
    </row>
    <row r="457">
      <c r="A457" s="36" t="n"/>
      <c r="B457" s="36" t="n"/>
      <c r="C457" s="36" t="n"/>
      <c r="D457" s="36" t="n"/>
      <c r="E457" s="36" t="n"/>
      <c r="F457" s="36" t="n"/>
      <c r="G457" s="37">
        <f>IF($A457="","",$B457+$C457-$D457-$E457)</f>
        <v/>
      </c>
      <c r="H457" s="37">
        <f>IF($A457="","",IFERROR(ROUND($G457*INDEX(tblKurallar[deger_2025],MATCH("AKV-003",tblKurallar[kural_id],0)),2),0))</f>
        <v/>
      </c>
      <c r="I457" s="37">
        <f>IF($A457="","",IFERROR(MAX(0,$H457-$F457),0))</f>
        <v/>
      </c>
    </row>
    <row r="458">
      <c r="A458" s="36" t="n"/>
      <c r="B458" s="36" t="n"/>
      <c r="C458" s="36" t="n"/>
      <c r="D458" s="36" t="n"/>
      <c r="E458" s="36" t="n"/>
      <c r="F458" s="36" t="n"/>
      <c r="G458" s="37">
        <f>IF($A458="","",$B458+$C458-$D458-$E458)</f>
        <v/>
      </c>
      <c r="H458" s="37">
        <f>IF($A458="","",IFERROR(ROUND($G458*INDEX(tblKurallar[deger_2025],MATCH("AKV-003",tblKurallar[kural_id],0)),2),0))</f>
        <v/>
      </c>
      <c r="I458" s="37">
        <f>IF($A458="","",IFERROR(MAX(0,$H458-$F458),0))</f>
        <v/>
      </c>
    </row>
    <row r="459">
      <c r="A459" s="36" t="n"/>
      <c r="B459" s="36" t="n"/>
      <c r="C459" s="36" t="n"/>
      <c r="D459" s="36" t="n"/>
      <c r="E459" s="36" t="n"/>
      <c r="F459" s="36" t="n"/>
      <c r="G459" s="37">
        <f>IF($A459="","",$B459+$C459-$D459-$E459)</f>
        <v/>
      </c>
      <c r="H459" s="37">
        <f>IF($A459="","",IFERROR(ROUND($G459*INDEX(tblKurallar[deger_2025],MATCH("AKV-003",tblKurallar[kural_id],0)),2),0))</f>
        <v/>
      </c>
      <c r="I459" s="37">
        <f>IF($A459="","",IFERROR(MAX(0,$H459-$F459),0))</f>
        <v/>
      </c>
    </row>
    <row r="460">
      <c r="A460" s="36" t="n"/>
      <c r="B460" s="36" t="n"/>
      <c r="C460" s="36" t="n"/>
      <c r="D460" s="36" t="n"/>
      <c r="E460" s="36" t="n"/>
      <c r="F460" s="36" t="n"/>
      <c r="G460" s="37">
        <f>IF($A460="","",$B460+$C460-$D460-$E460)</f>
        <v/>
      </c>
      <c r="H460" s="37">
        <f>IF($A460="","",IFERROR(ROUND($G460*INDEX(tblKurallar[deger_2025],MATCH("AKV-003",tblKurallar[kural_id],0)),2),0))</f>
        <v/>
      </c>
      <c r="I460" s="37">
        <f>IF($A460="","",IFERROR(MAX(0,$H460-$F460),0))</f>
        <v/>
      </c>
    </row>
    <row r="461">
      <c r="A461" s="36" t="n"/>
      <c r="B461" s="36" t="n"/>
      <c r="C461" s="36" t="n"/>
      <c r="D461" s="36" t="n"/>
      <c r="E461" s="36" t="n"/>
      <c r="F461" s="36" t="n"/>
      <c r="G461" s="37">
        <f>IF($A461="","",$B461+$C461-$D461-$E461)</f>
        <v/>
      </c>
      <c r="H461" s="37">
        <f>IF($A461="","",IFERROR(ROUND($G461*INDEX(tblKurallar[deger_2025],MATCH("AKV-003",tblKurallar[kural_id],0)),2),0))</f>
        <v/>
      </c>
      <c r="I461" s="37">
        <f>IF($A461="","",IFERROR(MAX(0,$H461-$F461),0))</f>
        <v/>
      </c>
    </row>
    <row r="462">
      <c r="A462" s="36" t="n"/>
      <c r="B462" s="36" t="n"/>
      <c r="C462" s="36" t="n"/>
      <c r="D462" s="36" t="n"/>
      <c r="E462" s="36" t="n"/>
      <c r="F462" s="36" t="n"/>
      <c r="G462" s="37">
        <f>IF($A462="","",$B462+$C462-$D462-$E462)</f>
        <v/>
      </c>
      <c r="H462" s="37">
        <f>IF($A462="","",IFERROR(ROUND($G462*INDEX(tblKurallar[deger_2025],MATCH("AKV-003",tblKurallar[kural_id],0)),2),0))</f>
        <v/>
      </c>
      <c r="I462" s="37">
        <f>IF($A462="","",IFERROR(MAX(0,$H462-$F462),0))</f>
        <v/>
      </c>
    </row>
    <row r="463">
      <c r="A463" s="36" t="n"/>
      <c r="B463" s="36" t="n"/>
      <c r="C463" s="36" t="n"/>
      <c r="D463" s="36" t="n"/>
      <c r="E463" s="36" t="n"/>
      <c r="F463" s="36" t="n"/>
      <c r="G463" s="37">
        <f>IF($A463="","",$B463+$C463-$D463-$E463)</f>
        <v/>
      </c>
      <c r="H463" s="37">
        <f>IF($A463="","",IFERROR(ROUND($G463*INDEX(tblKurallar[deger_2025],MATCH("AKV-003",tblKurallar[kural_id],0)),2),0))</f>
        <v/>
      </c>
      <c r="I463" s="37">
        <f>IF($A463="","",IFERROR(MAX(0,$H463-$F463),0))</f>
        <v/>
      </c>
    </row>
    <row r="464">
      <c r="A464" s="36" t="n"/>
      <c r="B464" s="36" t="n"/>
      <c r="C464" s="36" t="n"/>
      <c r="D464" s="36" t="n"/>
      <c r="E464" s="36" t="n"/>
      <c r="F464" s="36" t="n"/>
      <c r="G464" s="37">
        <f>IF($A464="","",$B464+$C464-$D464-$E464)</f>
        <v/>
      </c>
      <c r="H464" s="37">
        <f>IF($A464="","",IFERROR(ROUND($G464*INDEX(tblKurallar[deger_2025],MATCH("AKV-003",tblKurallar[kural_id],0)),2),0))</f>
        <v/>
      </c>
      <c r="I464" s="37">
        <f>IF($A464="","",IFERROR(MAX(0,$H464-$F464),0))</f>
        <v/>
      </c>
    </row>
    <row r="465">
      <c r="A465" s="36" t="n"/>
      <c r="B465" s="36" t="n"/>
      <c r="C465" s="36" t="n"/>
      <c r="D465" s="36" t="n"/>
      <c r="E465" s="36" t="n"/>
      <c r="F465" s="36" t="n"/>
      <c r="G465" s="37">
        <f>IF($A465="","",$B465+$C465-$D465-$E465)</f>
        <v/>
      </c>
      <c r="H465" s="37">
        <f>IF($A465="","",IFERROR(ROUND($G465*INDEX(tblKurallar[deger_2025],MATCH("AKV-003",tblKurallar[kural_id],0)),2),0))</f>
        <v/>
      </c>
      <c r="I465" s="37">
        <f>IF($A465="","",IFERROR(MAX(0,$H465-$F465),0))</f>
        <v/>
      </c>
    </row>
    <row r="466">
      <c r="A466" s="36" t="n"/>
      <c r="B466" s="36" t="n"/>
      <c r="C466" s="36" t="n"/>
      <c r="D466" s="36" t="n"/>
      <c r="E466" s="36" t="n"/>
      <c r="F466" s="36" t="n"/>
      <c r="G466" s="37">
        <f>IF($A466="","",$B466+$C466-$D466-$E466)</f>
        <v/>
      </c>
      <c r="H466" s="37">
        <f>IF($A466="","",IFERROR(ROUND($G466*INDEX(tblKurallar[deger_2025],MATCH("AKV-003",tblKurallar[kural_id],0)),2),0))</f>
        <v/>
      </c>
      <c r="I466" s="37">
        <f>IF($A466="","",IFERROR(MAX(0,$H466-$F466),0))</f>
        <v/>
      </c>
    </row>
    <row r="467">
      <c r="A467" s="36" t="n"/>
      <c r="B467" s="36" t="n"/>
      <c r="C467" s="36" t="n"/>
      <c r="D467" s="36" t="n"/>
      <c r="E467" s="36" t="n"/>
      <c r="F467" s="36" t="n"/>
      <c r="G467" s="37">
        <f>IF($A467="","",$B467+$C467-$D467-$E467)</f>
        <v/>
      </c>
      <c r="H467" s="37">
        <f>IF($A467="","",IFERROR(ROUND($G467*INDEX(tblKurallar[deger_2025],MATCH("AKV-003",tblKurallar[kural_id],0)),2),0))</f>
        <v/>
      </c>
      <c r="I467" s="37">
        <f>IF($A467="","",IFERROR(MAX(0,$H467-$F467),0))</f>
        <v/>
      </c>
    </row>
    <row r="468">
      <c r="A468" s="36" t="n"/>
      <c r="B468" s="36" t="n"/>
      <c r="C468" s="36" t="n"/>
      <c r="D468" s="36" t="n"/>
      <c r="E468" s="36" t="n"/>
      <c r="F468" s="36" t="n"/>
      <c r="G468" s="37">
        <f>IF($A468="","",$B468+$C468-$D468-$E468)</f>
        <v/>
      </c>
      <c r="H468" s="37">
        <f>IF($A468="","",IFERROR(ROUND($G468*INDEX(tblKurallar[deger_2025],MATCH("AKV-003",tblKurallar[kural_id],0)),2),0))</f>
        <v/>
      </c>
      <c r="I468" s="37">
        <f>IF($A468="","",IFERROR(MAX(0,$H468-$F468),0))</f>
        <v/>
      </c>
    </row>
    <row r="469">
      <c r="A469" s="36" t="n"/>
      <c r="B469" s="36" t="n"/>
      <c r="C469" s="36" t="n"/>
      <c r="D469" s="36" t="n"/>
      <c r="E469" s="36" t="n"/>
      <c r="F469" s="36" t="n"/>
      <c r="G469" s="37">
        <f>IF($A469="","",$B469+$C469-$D469-$E469)</f>
        <v/>
      </c>
      <c r="H469" s="37">
        <f>IF($A469="","",IFERROR(ROUND($G469*INDEX(tblKurallar[deger_2025],MATCH("AKV-003",tblKurallar[kural_id],0)),2),0))</f>
        <v/>
      </c>
      <c r="I469" s="37">
        <f>IF($A469="","",IFERROR(MAX(0,$H469-$F469),0))</f>
        <v/>
      </c>
    </row>
    <row r="470">
      <c r="A470" s="36" t="n"/>
      <c r="B470" s="36" t="n"/>
      <c r="C470" s="36" t="n"/>
      <c r="D470" s="36" t="n"/>
      <c r="E470" s="36" t="n"/>
      <c r="F470" s="36" t="n"/>
      <c r="G470" s="37">
        <f>IF($A470="","",$B470+$C470-$D470-$E470)</f>
        <v/>
      </c>
      <c r="H470" s="37">
        <f>IF($A470="","",IFERROR(ROUND($G470*INDEX(tblKurallar[deger_2025],MATCH("AKV-003",tblKurallar[kural_id],0)),2),0))</f>
        <v/>
      </c>
      <c r="I470" s="37">
        <f>IF($A470="","",IFERROR(MAX(0,$H470-$F470),0))</f>
        <v/>
      </c>
    </row>
    <row r="471">
      <c r="A471" s="36" t="n"/>
      <c r="B471" s="36" t="n"/>
      <c r="C471" s="36" t="n"/>
      <c r="D471" s="36" t="n"/>
      <c r="E471" s="36" t="n"/>
      <c r="F471" s="36" t="n"/>
      <c r="G471" s="37">
        <f>IF($A471="","",$B471+$C471-$D471-$E471)</f>
        <v/>
      </c>
      <c r="H471" s="37">
        <f>IF($A471="","",IFERROR(ROUND($G471*INDEX(tblKurallar[deger_2025],MATCH("AKV-003",tblKurallar[kural_id],0)),2),0))</f>
        <v/>
      </c>
      <c r="I471" s="37">
        <f>IF($A471="","",IFERROR(MAX(0,$H471-$F471),0))</f>
        <v/>
      </c>
    </row>
    <row r="472">
      <c r="A472" s="36" t="n"/>
      <c r="B472" s="36" t="n"/>
      <c r="C472" s="36" t="n"/>
      <c r="D472" s="36" t="n"/>
      <c r="E472" s="36" t="n"/>
      <c r="F472" s="36" t="n"/>
      <c r="G472" s="37">
        <f>IF($A472="","",$B472+$C472-$D472-$E472)</f>
        <v/>
      </c>
      <c r="H472" s="37">
        <f>IF($A472="","",IFERROR(ROUND($G472*INDEX(tblKurallar[deger_2025],MATCH("AKV-003",tblKurallar[kural_id],0)),2),0))</f>
        <v/>
      </c>
      <c r="I472" s="37">
        <f>IF($A472="","",IFERROR(MAX(0,$H472-$F472),0))</f>
        <v/>
      </c>
    </row>
    <row r="473">
      <c r="A473" s="36" t="n"/>
      <c r="B473" s="36" t="n"/>
      <c r="C473" s="36" t="n"/>
      <c r="D473" s="36" t="n"/>
      <c r="E473" s="36" t="n"/>
      <c r="F473" s="36" t="n"/>
      <c r="G473" s="37">
        <f>IF($A473="","",$B473+$C473-$D473-$E473)</f>
        <v/>
      </c>
      <c r="H473" s="37">
        <f>IF($A473="","",IFERROR(ROUND($G473*INDEX(tblKurallar[deger_2025],MATCH("AKV-003",tblKurallar[kural_id],0)),2),0))</f>
        <v/>
      </c>
      <c r="I473" s="37">
        <f>IF($A473="","",IFERROR(MAX(0,$H473-$F473),0))</f>
        <v/>
      </c>
    </row>
    <row r="474">
      <c r="A474" s="36" t="n"/>
      <c r="B474" s="36" t="n"/>
      <c r="C474" s="36" t="n"/>
      <c r="D474" s="36" t="n"/>
      <c r="E474" s="36" t="n"/>
      <c r="F474" s="36" t="n"/>
      <c r="G474" s="37">
        <f>IF($A474="","",$B474+$C474-$D474-$E474)</f>
        <v/>
      </c>
      <c r="H474" s="37">
        <f>IF($A474="","",IFERROR(ROUND($G474*INDEX(tblKurallar[deger_2025],MATCH("AKV-003",tblKurallar[kural_id],0)),2),0))</f>
        <v/>
      </c>
      <c r="I474" s="37">
        <f>IF($A474="","",IFERROR(MAX(0,$H474-$F474),0))</f>
        <v/>
      </c>
    </row>
    <row r="475">
      <c r="A475" s="36" t="n"/>
      <c r="B475" s="36" t="n"/>
      <c r="C475" s="36" t="n"/>
      <c r="D475" s="36" t="n"/>
      <c r="E475" s="36" t="n"/>
      <c r="F475" s="36" t="n"/>
      <c r="G475" s="37">
        <f>IF($A475="","",$B475+$C475-$D475-$E475)</f>
        <v/>
      </c>
      <c r="H475" s="37">
        <f>IF($A475="","",IFERROR(ROUND($G475*INDEX(tblKurallar[deger_2025],MATCH("AKV-003",tblKurallar[kural_id],0)),2),0))</f>
        <v/>
      </c>
      <c r="I475" s="37">
        <f>IF($A475="","",IFERROR(MAX(0,$H475-$F475),0))</f>
        <v/>
      </c>
    </row>
    <row r="476">
      <c r="A476" s="36" t="n"/>
      <c r="B476" s="36" t="n"/>
      <c r="C476" s="36" t="n"/>
      <c r="D476" s="36" t="n"/>
      <c r="E476" s="36" t="n"/>
      <c r="F476" s="36" t="n"/>
      <c r="G476" s="37">
        <f>IF($A476="","",$B476+$C476-$D476-$E476)</f>
        <v/>
      </c>
      <c r="H476" s="37">
        <f>IF($A476="","",IFERROR(ROUND($G476*INDEX(tblKurallar[deger_2025],MATCH("AKV-003",tblKurallar[kural_id],0)),2),0))</f>
        <v/>
      </c>
      <c r="I476" s="37">
        <f>IF($A476="","",IFERROR(MAX(0,$H476-$F476),0))</f>
        <v/>
      </c>
    </row>
    <row r="477">
      <c r="A477" s="36" t="n"/>
      <c r="B477" s="36" t="n"/>
      <c r="C477" s="36" t="n"/>
      <c r="D477" s="36" t="n"/>
      <c r="E477" s="36" t="n"/>
      <c r="F477" s="36" t="n"/>
      <c r="G477" s="37">
        <f>IF($A477="","",$B477+$C477-$D477-$E477)</f>
        <v/>
      </c>
      <c r="H477" s="37">
        <f>IF($A477="","",IFERROR(ROUND($G477*INDEX(tblKurallar[deger_2025],MATCH("AKV-003",tblKurallar[kural_id],0)),2),0))</f>
        <v/>
      </c>
      <c r="I477" s="37">
        <f>IF($A477="","",IFERROR(MAX(0,$H477-$F477),0))</f>
        <v/>
      </c>
    </row>
    <row r="478">
      <c r="A478" s="36" t="n"/>
      <c r="B478" s="36" t="n"/>
      <c r="C478" s="36" t="n"/>
      <c r="D478" s="36" t="n"/>
      <c r="E478" s="36" t="n"/>
      <c r="F478" s="36" t="n"/>
      <c r="G478" s="37">
        <f>IF($A478="","",$B478+$C478-$D478-$E478)</f>
        <v/>
      </c>
      <c r="H478" s="37">
        <f>IF($A478="","",IFERROR(ROUND($G478*INDEX(tblKurallar[deger_2025],MATCH("AKV-003",tblKurallar[kural_id],0)),2),0))</f>
        <v/>
      </c>
      <c r="I478" s="37">
        <f>IF($A478="","",IFERROR(MAX(0,$H478-$F478),0))</f>
        <v/>
      </c>
    </row>
    <row r="479">
      <c r="A479" s="36" t="n"/>
      <c r="B479" s="36" t="n"/>
      <c r="C479" s="36" t="n"/>
      <c r="D479" s="36" t="n"/>
      <c r="E479" s="36" t="n"/>
      <c r="F479" s="36" t="n"/>
      <c r="G479" s="37">
        <f>IF($A479="","",$B479+$C479-$D479-$E479)</f>
        <v/>
      </c>
      <c r="H479" s="37">
        <f>IF($A479="","",IFERROR(ROUND($G479*INDEX(tblKurallar[deger_2025],MATCH("AKV-003",tblKurallar[kural_id],0)),2),0))</f>
        <v/>
      </c>
      <c r="I479" s="37">
        <f>IF($A479="","",IFERROR(MAX(0,$H479-$F479),0))</f>
        <v/>
      </c>
    </row>
    <row r="480">
      <c r="A480" s="36" t="n"/>
      <c r="B480" s="36" t="n"/>
      <c r="C480" s="36" t="n"/>
      <c r="D480" s="36" t="n"/>
      <c r="E480" s="36" t="n"/>
      <c r="F480" s="36" t="n"/>
      <c r="G480" s="37">
        <f>IF($A480="","",$B480+$C480-$D480-$E480)</f>
        <v/>
      </c>
      <c r="H480" s="37">
        <f>IF($A480="","",IFERROR(ROUND($G480*INDEX(tblKurallar[deger_2025],MATCH("AKV-003",tblKurallar[kural_id],0)),2),0))</f>
        <v/>
      </c>
      <c r="I480" s="37">
        <f>IF($A480="","",IFERROR(MAX(0,$H480-$F480),0))</f>
        <v/>
      </c>
    </row>
    <row r="481">
      <c r="A481" s="36" t="n"/>
      <c r="B481" s="36" t="n"/>
      <c r="C481" s="36" t="n"/>
      <c r="D481" s="36" t="n"/>
      <c r="E481" s="36" t="n"/>
      <c r="F481" s="36" t="n"/>
      <c r="G481" s="37">
        <f>IF($A481="","",$B481+$C481-$D481-$E481)</f>
        <v/>
      </c>
      <c r="H481" s="37">
        <f>IF($A481="","",IFERROR(ROUND($G481*INDEX(tblKurallar[deger_2025],MATCH("AKV-003",tblKurallar[kural_id],0)),2),0))</f>
        <v/>
      </c>
      <c r="I481" s="37">
        <f>IF($A481="","",IFERROR(MAX(0,$H481-$F481),0))</f>
        <v/>
      </c>
    </row>
    <row r="482">
      <c r="A482" s="36" t="n"/>
      <c r="B482" s="36" t="n"/>
      <c r="C482" s="36" t="n"/>
      <c r="D482" s="36" t="n"/>
      <c r="E482" s="36" t="n"/>
      <c r="F482" s="36" t="n"/>
      <c r="G482" s="37">
        <f>IF($A482="","",$B482+$C482-$D482-$E482)</f>
        <v/>
      </c>
      <c r="H482" s="37">
        <f>IF($A482="","",IFERROR(ROUND($G482*INDEX(tblKurallar[deger_2025],MATCH("AKV-003",tblKurallar[kural_id],0)),2),0))</f>
        <v/>
      </c>
      <c r="I482" s="37">
        <f>IF($A482="","",IFERROR(MAX(0,$H482-$F482),0))</f>
        <v/>
      </c>
    </row>
    <row r="483">
      <c r="A483" s="36" t="n"/>
      <c r="B483" s="36" t="n"/>
      <c r="C483" s="36" t="n"/>
      <c r="D483" s="36" t="n"/>
      <c r="E483" s="36" t="n"/>
      <c r="F483" s="36" t="n"/>
      <c r="G483" s="37">
        <f>IF($A483="","",$B483+$C483-$D483-$E483)</f>
        <v/>
      </c>
      <c r="H483" s="37">
        <f>IF($A483="","",IFERROR(ROUND($G483*INDEX(tblKurallar[deger_2025],MATCH("AKV-003",tblKurallar[kural_id],0)),2),0))</f>
        <v/>
      </c>
      <c r="I483" s="37">
        <f>IF($A483="","",IFERROR(MAX(0,$H483-$F483),0))</f>
        <v/>
      </c>
    </row>
    <row r="484">
      <c r="A484" s="36" t="n"/>
      <c r="B484" s="36" t="n"/>
      <c r="C484" s="36" t="n"/>
      <c r="D484" s="36" t="n"/>
      <c r="E484" s="36" t="n"/>
      <c r="F484" s="36" t="n"/>
      <c r="G484" s="37">
        <f>IF($A484="","",$B484+$C484-$D484-$E484)</f>
        <v/>
      </c>
      <c r="H484" s="37">
        <f>IF($A484="","",IFERROR(ROUND($G484*INDEX(tblKurallar[deger_2025],MATCH("AKV-003",tblKurallar[kural_id],0)),2),0))</f>
        <v/>
      </c>
      <c r="I484" s="37">
        <f>IF($A484="","",IFERROR(MAX(0,$H484-$F484),0))</f>
        <v/>
      </c>
    </row>
    <row r="485">
      <c r="A485" s="36" t="n"/>
      <c r="B485" s="36" t="n"/>
      <c r="C485" s="36" t="n"/>
      <c r="D485" s="36" t="n"/>
      <c r="E485" s="36" t="n"/>
      <c r="F485" s="36" t="n"/>
      <c r="G485" s="37">
        <f>IF($A485="","",$B485+$C485-$D485-$E485)</f>
        <v/>
      </c>
      <c r="H485" s="37">
        <f>IF($A485="","",IFERROR(ROUND($G485*INDEX(tblKurallar[deger_2025],MATCH("AKV-003",tblKurallar[kural_id],0)),2),0))</f>
        <v/>
      </c>
      <c r="I485" s="37">
        <f>IF($A485="","",IFERROR(MAX(0,$H485-$F485),0))</f>
        <v/>
      </c>
    </row>
    <row r="486">
      <c r="A486" s="36" t="n"/>
      <c r="B486" s="36" t="n"/>
      <c r="C486" s="36" t="n"/>
      <c r="D486" s="36" t="n"/>
      <c r="E486" s="36" t="n"/>
      <c r="F486" s="36" t="n"/>
      <c r="G486" s="37">
        <f>IF($A486="","",$B486+$C486-$D486-$E486)</f>
        <v/>
      </c>
      <c r="H486" s="37">
        <f>IF($A486="","",IFERROR(ROUND($G486*INDEX(tblKurallar[deger_2025],MATCH("AKV-003",tblKurallar[kural_id],0)),2),0))</f>
        <v/>
      </c>
      <c r="I486" s="37">
        <f>IF($A486="","",IFERROR(MAX(0,$H486-$F486),0))</f>
        <v/>
      </c>
    </row>
    <row r="487">
      <c r="A487" s="36" t="n"/>
      <c r="B487" s="36" t="n"/>
      <c r="C487" s="36" t="n"/>
      <c r="D487" s="36" t="n"/>
      <c r="E487" s="36" t="n"/>
      <c r="F487" s="36" t="n"/>
      <c r="G487" s="37">
        <f>IF($A487="","",$B487+$C487-$D487-$E487)</f>
        <v/>
      </c>
      <c r="H487" s="37">
        <f>IF($A487="","",IFERROR(ROUND($G487*INDEX(tblKurallar[deger_2025],MATCH("AKV-003",tblKurallar[kural_id],0)),2),0))</f>
        <v/>
      </c>
      <c r="I487" s="37">
        <f>IF($A487="","",IFERROR(MAX(0,$H487-$F487),0))</f>
        <v/>
      </c>
    </row>
    <row r="488">
      <c r="A488" s="36" t="n"/>
      <c r="B488" s="36" t="n"/>
      <c r="C488" s="36" t="n"/>
      <c r="D488" s="36" t="n"/>
      <c r="E488" s="36" t="n"/>
      <c r="F488" s="36" t="n"/>
      <c r="G488" s="37">
        <f>IF($A488="","",$B488+$C488-$D488-$E488)</f>
        <v/>
      </c>
      <c r="H488" s="37">
        <f>IF($A488="","",IFERROR(ROUND($G488*INDEX(tblKurallar[deger_2025],MATCH("AKV-003",tblKurallar[kural_id],0)),2),0))</f>
        <v/>
      </c>
      <c r="I488" s="37">
        <f>IF($A488="","",IFERROR(MAX(0,$H488-$F488),0))</f>
        <v/>
      </c>
    </row>
    <row r="489">
      <c r="A489" s="36" t="n"/>
      <c r="B489" s="36" t="n"/>
      <c r="C489" s="36" t="n"/>
      <c r="D489" s="36" t="n"/>
      <c r="E489" s="36" t="n"/>
      <c r="F489" s="36" t="n"/>
      <c r="G489" s="37">
        <f>IF($A489="","",$B489+$C489-$D489-$E489)</f>
        <v/>
      </c>
      <c r="H489" s="37">
        <f>IF($A489="","",IFERROR(ROUND($G489*INDEX(tblKurallar[deger_2025],MATCH("AKV-003",tblKurallar[kural_id],0)),2),0))</f>
        <v/>
      </c>
      <c r="I489" s="37">
        <f>IF($A489="","",IFERROR(MAX(0,$H489-$F489),0))</f>
        <v/>
      </c>
    </row>
    <row r="490">
      <c r="A490" s="36" t="n"/>
      <c r="B490" s="36" t="n"/>
      <c r="C490" s="36" t="n"/>
      <c r="D490" s="36" t="n"/>
      <c r="E490" s="36" t="n"/>
      <c r="F490" s="36" t="n"/>
      <c r="G490" s="37">
        <f>IF($A490="","",$B490+$C490-$D490-$E490)</f>
        <v/>
      </c>
      <c r="H490" s="37">
        <f>IF($A490="","",IFERROR(ROUND($G490*INDEX(tblKurallar[deger_2025],MATCH("AKV-003",tblKurallar[kural_id],0)),2),0))</f>
        <v/>
      </c>
      <c r="I490" s="37">
        <f>IF($A490="","",IFERROR(MAX(0,$H490-$F490),0))</f>
        <v/>
      </c>
    </row>
    <row r="491">
      <c r="A491" s="36" t="n"/>
      <c r="B491" s="36" t="n"/>
      <c r="C491" s="36" t="n"/>
      <c r="D491" s="36" t="n"/>
      <c r="E491" s="36" t="n"/>
      <c r="F491" s="36" t="n"/>
      <c r="G491" s="37">
        <f>IF($A491="","",$B491+$C491-$D491-$E491)</f>
        <v/>
      </c>
      <c r="H491" s="37">
        <f>IF($A491="","",IFERROR(ROUND($G491*INDEX(tblKurallar[deger_2025],MATCH("AKV-003",tblKurallar[kural_id],0)),2),0))</f>
        <v/>
      </c>
      <c r="I491" s="37">
        <f>IF($A491="","",IFERROR(MAX(0,$H491-$F491),0))</f>
        <v/>
      </c>
    </row>
    <row r="492">
      <c r="A492" s="36" t="n"/>
      <c r="B492" s="36" t="n"/>
      <c r="C492" s="36" t="n"/>
      <c r="D492" s="36" t="n"/>
      <c r="E492" s="36" t="n"/>
      <c r="F492" s="36" t="n"/>
      <c r="G492" s="37">
        <f>IF($A492="","",$B492+$C492-$D492-$E492)</f>
        <v/>
      </c>
      <c r="H492" s="37">
        <f>IF($A492="","",IFERROR(ROUND($G492*INDEX(tblKurallar[deger_2025],MATCH("AKV-003",tblKurallar[kural_id],0)),2),0))</f>
        <v/>
      </c>
      <c r="I492" s="37">
        <f>IF($A492="","",IFERROR(MAX(0,$H492-$F492),0))</f>
        <v/>
      </c>
    </row>
    <row r="493">
      <c r="A493" s="36" t="n"/>
      <c r="B493" s="36" t="n"/>
      <c r="C493" s="36" t="n"/>
      <c r="D493" s="36" t="n"/>
      <c r="E493" s="36" t="n"/>
      <c r="F493" s="36" t="n"/>
      <c r="G493" s="37">
        <f>IF($A493="","",$B493+$C493-$D493-$E493)</f>
        <v/>
      </c>
      <c r="H493" s="37">
        <f>IF($A493="","",IFERROR(ROUND($G493*INDEX(tblKurallar[deger_2025],MATCH("AKV-003",tblKurallar[kural_id],0)),2),0))</f>
        <v/>
      </c>
      <c r="I493" s="37">
        <f>IF($A493="","",IFERROR(MAX(0,$H493-$F493),0))</f>
        <v/>
      </c>
    </row>
    <row r="494">
      <c r="A494" s="36" t="n"/>
      <c r="B494" s="36" t="n"/>
      <c r="C494" s="36" t="n"/>
      <c r="D494" s="36" t="n"/>
      <c r="E494" s="36" t="n"/>
      <c r="F494" s="36" t="n"/>
      <c r="G494" s="37">
        <f>IF($A494="","",$B494+$C494-$D494-$E494)</f>
        <v/>
      </c>
      <c r="H494" s="37">
        <f>IF($A494="","",IFERROR(ROUND($G494*INDEX(tblKurallar[deger_2025],MATCH("AKV-003",tblKurallar[kural_id],0)),2),0))</f>
        <v/>
      </c>
      <c r="I494" s="37">
        <f>IF($A494="","",IFERROR(MAX(0,$H494-$F494),0))</f>
        <v/>
      </c>
    </row>
    <row r="495">
      <c r="A495" s="36" t="n"/>
      <c r="B495" s="36" t="n"/>
      <c r="C495" s="36" t="n"/>
      <c r="D495" s="36" t="n"/>
      <c r="E495" s="36" t="n"/>
      <c r="F495" s="36" t="n"/>
      <c r="G495" s="37">
        <f>IF($A495="","",$B495+$C495-$D495-$E495)</f>
        <v/>
      </c>
      <c r="H495" s="37">
        <f>IF($A495="","",IFERROR(ROUND($G495*INDEX(tblKurallar[deger_2025],MATCH("AKV-003",tblKurallar[kural_id],0)),2),0))</f>
        <v/>
      </c>
      <c r="I495" s="37">
        <f>IF($A495="","",IFERROR(MAX(0,$H495-$F495),0))</f>
        <v/>
      </c>
    </row>
    <row r="496">
      <c r="A496" s="36" t="n"/>
      <c r="B496" s="36" t="n"/>
      <c r="C496" s="36" t="n"/>
      <c r="D496" s="36" t="n"/>
      <c r="E496" s="36" t="n"/>
      <c r="F496" s="36" t="n"/>
      <c r="G496" s="37">
        <f>IF($A496="","",$B496+$C496-$D496-$E496)</f>
        <v/>
      </c>
      <c r="H496" s="37">
        <f>IF($A496="","",IFERROR(ROUND($G496*INDEX(tblKurallar[deger_2025],MATCH("AKV-003",tblKurallar[kural_id],0)),2),0))</f>
        <v/>
      </c>
      <c r="I496" s="37">
        <f>IF($A496="","",IFERROR(MAX(0,$H496-$F496),0))</f>
        <v/>
      </c>
    </row>
    <row r="497">
      <c r="A497" s="36" t="n"/>
      <c r="B497" s="36" t="n"/>
      <c r="C497" s="36" t="n"/>
      <c r="D497" s="36" t="n"/>
      <c r="E497" s="36" t="n"/>
      <c r="F497" s="36" t="n"/>
      <c r="G497" s="37">
        <f>IF($A497="","",$B497+$C497-$D497-$E497)</f>
        <v/>
      </c>
      <c r="H497" s="37">
        <f>IF($A497="","",IFERROR(ROUND($G497*INDEX(tblKurallar[deger_2025],MATCH("AKV-003",tblKurallar[kural_id],0)),2),0))</f>
        <v/>
      </c>
      <c r="I497" s="37">
        <f>IF($A497="","",IFERROR(MAX(0,$H497-$F497),0))</f>
        <v/>
      </c>
    </row>
    <row r="498">
      <c r="A498" s="36" t="n"/>
      <c r="B498" s="36" t="n"/>
      <c r="C498" s="36" t="n"/>
      <c r="D498" s="36" t="n"/>
      <c r="E498" s="36" t="n"/>
      <c r="F498" s="36" t="n"/>
      <c r="G498" s="37">
        <f>IF($A498="","",$B498+$C498-$D498-$E498)</f>
        <v/>
      </c>
      <c r="H498" s="37">
        <f>IF($A498="","",IFERROR(ROUND($G498*INDEX(tblKurallar[deger_2025],MATCH("AKV-003",tblKurallar[kural_id],0)),2),0))</f>
        <v/>
      </c>
      <c r="I498" s="37">
        <f>IF($A498="","",IFERROR(MAX(0,$H498-$F498),0))</f>
        <v/>
      </c>
    </row>
    <row r="499">
      <c r="A499" s="36" t="n"/>
      <c r="B499" s="36" t="n"/>
      <c r="C499" s="36" t="n"/>
      <c r="D499" s="36" t="n"/>
      <c r="E499" s="36" t="n"/>
      <c r="F499" s="36" t="n"/>
      <c r="G499" s="37">
        <f>IF($A499="","",$B499+$C499-$D499-$E499)</f>
        <v/>
      </c>
      <c r="H499" s="37">
        <f>IF($A499="","",IFERROR(ROUND($G499*INDEX(tblKurallar[deger_2025],MATCH("AKV-003",tblKurallar[kural_id],0)),2),0))</f>
        <v/>
      </c>
      <c r="I499" s="37">
        <f>IF($A499="","",IFERROR(MAX(0,$H499-$F499),0))</f>
        <v/>
      </c>
    </row>
    <row r="500">
      <c r="A500" s="36" t="n"/>
      <c r="B500" s="36" t="n"/>
      <c r="C500" s="36" t="n"/>
      <c r="D500" s="36" t="n"/>
      <c r="E500" s="36" t="n"/>
      <c r="F500" s="36" t="n"/>
      <c r="G500" s="37">
        <f>IF($A500="","",$B500+$C500-$D500-$E500)</f>
        <v/>
      </c>
      <c r="H500" s="37">
        <f>IF($A500="","",IFERROR(ROUND($G500*INDEX(tblKurallar[deger_2025],MATCH("AKV-003",tblKurallar[kural_id],0)),2),0))</f>
        <v/>
      </c>
      <c r="I500" s="37">
        <f>IF($A500="","",IFERROR(MAX(0,$H500-$F500),0))</f>
        <v/>
      </c>
    </row>
    <row r="501">
      <c r="A501" s="36" t="n"/>
      <c r="B501" s="36" t="n"/>
      <c r="C501" s="36" t="n"/>
      <c r="D501" s="36" t="n"/>
      <c r="E501" s="36" t="n"/>
      <c r="F501" s="36" t="n"/>
      <c r="G501" s="37">
        <f>IF($A501="","",$B501+$C501-$D501-$E501)</f>
        <v/>
      </c>
      <c r="H501" s="37">
        <f>IF($A501="","",IFERROR(ROUND($G501*INDEX(tblKurallar[deger_2025],MATCH("AKV-003",tblKurallar[kural_id],0)),2),0))</f>
        <v/>
      </c>
      <c r="I501" s="37">
        <f>IF($A501="","",IFERROR(MAX(0,$H501-$F501),0))</f>
        <v/>
      </c>
    </row>
    <row r="502">
      <c r="A502" s="36" t="n"/>
      <c r="B502" s="36" t="n"/>
      <c r="C502" s="36" t="n"/>
      <c r="D502" s="36" t="n"/>
      <c r="E502" s="36" t="n"/>
      <c r="F502" s="36" t="n"/>
      <c r="G502" s="37">
        <f>IF($A502="","",$B502+$C502-$D502-$E502)</f>
        <v/>
      </c>
      <c r="H502" s="37">
        <f>IF($A502="","",IFERROR(ROUND($G502*INDEX(tblKurallar[deger_2025],MATCH("AKV-003",tblKurallar[kural_id],0)),2),0))</f>
        <v/>
      </c>
      <c r="I502" s="37">
        <f>IF($A502="","",IFERROR(MAX(0,$H502-$F502),0))</f>
        <v/>
      </c>
    </row>
    <row r="503">
      <c r="A503" s="36" t="n"/>
      <c r="B503" s="36" t="n"/>
      <c r="C503" s="36" t="n"/>
      <c r="D503" s="36" t="n"/>
      <c r="E503" s="36" t="n"/>
      <c r="F503" s="36" t="n"/>
      <c r="G503" s="37">
        <f>IF($A503="","",$B503+$C503-$D503-$E503)</f>
        <v/>
      </c>
      <c r="H503" s="37">
        <f>IF($A503="","",IFERROR(ROUND($G503*INDEX(tblKurallar[deger_2025],MATCH("AKV-003",tblKurallar[kural_id],0)),2),0))</f>
        <v/>
      </c>
      <c r="I503" s="37">
        <f>IF($A503="","",IFERROR(MAX(0,$H503-$F503),0))</f>
        <v/>
      </c>
    </row>
    <row r="504">
      <c r="A504" s="36" t="n"/>
      <c r="B504" s="36" t="n"/>
      <c r="C504" s="36" t="n"/>
      <c r="D504" s="36" t="n"/>
      <c r="E504" s="36" t="n"/>
      <c r="F504" s="36" t="n"/>
      <c r="G504" s="37">
        <f>IF($A504="","",$B504+$C504-$D504-$E504)</f>
        <v/>
      </c>
      <c r="H504" s="37">
        <f>IF($A504="","",IFERROR(ROUND($G504*INDEX(tblKurallar[deger_2025],MATCH("AKV-003",tblKurallar[kural_id],0)),2),0))</f>
        <v/>
      </c>
      <c r="I504" s="37">
        <f>IF($A504="","",IFERROR(MAX(0,$H504-$F504),0))</f>
        <v/>
      </c>
    </row>
    <row r="505">
      <c r="A505" s="36" t="n"/>
      <c r="B505" s="36" t="n"/>
      <c r="C505" s="36" t="n"/>
      <c r="D505" s="36" t="n"/>
      <c r="E505" s="36" t="n"/>
      <c r="F505" s="36" t="n"/>
      <c r="G505" s="37">
        <f>IF($A505="","",$B505+$C505-$D505-$E505)</f>
        <v/>
      </c>
      <c r="H505" s="37">
        <f>IF($A505="","",IFERROR(ROUND($G505*INDEX(tblKurallar[deger_2025],MATCH("AKV-003",tblKurallar[kural_id],0)),2),0))</f>
        <v/>
      </c>
      <c r="I505" s="37">
        <f>IF($A505="","",IFERROR(MAX(0,$H505-$F505),0))</f>
        <v/>
      </c>
    </row>
    <row r="506">
      <c r="A506" s="36" t="n"/>
      <c r="B506" s="36" t="n"/>
      <c r="C506" s="36" t="n"/>
      <c r="D506" s="36" t="n"/>
      <c r="E506" s="36" t="n"/>
      <c r="F506" s="36" t="n"/>
      <c r="G506" s="37">
        <f>IF($A506="","",$B506+$C506-$D506-$E506)</f>
        <v/>
      </c>
      <c r="H506" s="37">
        <f>IF($A506="","",IFERROR(ROUND($G506*INDEX(tblKurallar[deger_2025],MATCH("AKV-003",tblKurallar[kural_id],0)),2),0))</f>
        <v/>
      </c>
      <c r="I506" s="37">
        <f>IF($A506="","",IFERROR(MAX(0,$H506-$F506),0))</f>
        <v/>
      </c>
    </row>
    <row r="507">
      <c r="A507" s="36" t="n"/>
      <c r="B507" s="36" t="n"/>
      <c r="C507" s="36" t="n"/>
      <c r="D507" s="36" t="n"/>
      <c r="E507" s="36" t="n"/>
      <c r="F507" s="36" t="n"/>
      <c r="G507" s="37">
        <f>IF($A507="","",$B507+$C507-$D507-$E507)</f>
        <v/>
      </c>
      <c r="H507" s="37">
        <f>IF($A507="","",IFERROR(ROUND($G507*INDEX(tblKurallar[deger_2025],MATCH("AKV-003",tblKurallar[kural_id],0)),2),0))</f>
        <v/>
      </c>
      <c r="I507" s="37">
        <f>IF($A507="","",IFERROR(MAX(0,$H507-$F507),0))</f>
        <v/>
      </c>
    </row>
    <row r="508">
      <c r="A508" s="36" t="n"/>
      <c r="B508" s="36" t="n"/>
      <c r="C508" s="36" t="n"/>
      <c r="D508" s="36" t="n"/>
      <c r="E508" s="36" t="n"/>
      <c r="F508" s="36" t="n"/>
      <c r="G508" s="37">
        <f>IF($A508="","",$B508+$C508-$D508-$E508)</f>
        <v/>
      </c>
      <c r="H508" s="37">
        <f>IF($A508="","",IFERROR(ROUND($G508*INDEX(tblKurallar[deger_2025],MATCH("AKV-003",tblKurallar[kural_id],0)),2),0))</f>
        <v/>
      </c>
      <c r="I508" s="37">
        <f>IF($A508="","",IFERROR(MAX(0,$H508-$F508),0))</f>
        <v/>
      </c>
    </row>
    <row r="509">
      <c r="A509" s="36" t="n"/>
      <c r="B509" s="36" t="n"/>
      <c r="C509" s="36" t="n"/>
      <c r="D509" s="36" t="n"/>
      <c r="E509" s="36" t="n"/>
      <c r="F509" s="36" t="n"/>
      <c r="G509" s="37">
        <f>IF($A509="","",$B509+$C509-$D509-$E509)</f>
        <v/>
      </c>
      <c r="H509" s="37">
        <f>IF($A509="","",IFERROR(ROUND($G509*INDEX(tblKurallar[deger_2025],MATCH("AKV-003",tblKurallar[kural_id],0)),2),0))</f>
        <v/>
      </c>
      <c r="I509" s="37">
        <f>IF($A509="","",IFERROR(MAX(0,$H509-$F509),0))</f>
        <v/>
      </c>
    </row>
    <row r="510">
      <c r="A510" s="36" t="n"/>
      <c r="B510" s="36" t="n"/>
      <c r="C510" s="36" t="n"/>
      <c r="D510" s="36" t="n"/>
      <c r="E510" s="36" t="n"/>
      <c r="F510" s="36" t="n"/>
      <c r="G510" s="37">
        <f>IF($A510="","",$B510+$C510-$D510-$E510)</f>
        <v/>
      </c>
      <c r="H510" s="37">
        <f>IF($A510="","",IFERROR(ROUND($G510*INDEX(tblKurallar[deger_2025],MATCH("AKV-003",tblKurallar[kural_id],0)),2),0))</f>
        <v/>
      </c>
      <c r="I510" s="37">
        <f>IF($A510="","",IFERROR(MAX(0,$H510-$F510),0))</f>
        <v/>
      </c>
    </row>
    <row r="511">
      <c r="A511" s="36" t="n"/>
      <c r="B511" s="36" t="n"/>
      <c r="C511" s="36" t="n"/>
      <c r="D511" s="36" t="n"/>
      <c r="E511" s="36" t="n"/>
      <c r="F511" s="36" t="n"/>
      <c r="G511" s="37">
        <f>IF($A511="","",$B511+$C511-$D511-$E511)</f>
        <v/>
      </c>
      <c r="H511" s="37">
        <f>IF($A511="","",IFERROR(ROUND($G511*INDEX(tblKurallar[deger_2025],MATCH("AKV-003",tblKurallar[kural_id],0)),2),0))</f>
        <v/>
      </c>
      <c r="I511" s="37">
        <f>IF($A511="","",IFERROR(MAX(0,$H511-$F511),0))</f>
        <v/>
      </c>
    </row>
    <row r="512">
      <c r="A512" s="36" t="n"/>
      <c r="B512" s="36" t="n"/>
      <c r="C512" s="36" t="n"/>
      <c r="D512" s="36" t="n"/>
      <c r="E512" s="36" t="n"/>
      <c r="F512" s="36" t="n"/>
      <c r="G512" s="37">
        <f>IF($A512="","",$B512+$C512-$D512-$E512)</f>
        <v/>
      </c>
      <c r="H512" s="37">
        <f>IF($A512="","",IFERROR(ROUND($G512*INDEX(tblKurallar[deger_2025],MATCH("AKV-003",tblKurallar[kural_id],0)),2),0))</f>
        <v/>
      </c>
      <c r="I512" s="37">
        <f>IF($A512="","",IFERROR(MAX(0,$H512-$F512),0))</f>
        <v/>
      </c>
    </row>
    <row r="513">
      <c r="A513" s="36" t="n"/>
      <c r="B513" s="36" t="n"/>
      <c r="C513" s="36" t="n"/>
      <c r="D513" s="36" t="n"/>
      <c r="E513" s="36" t="n"/>
      <c r="F513" s="36" t="n"/>
      <c r="G513" s="37">
        <f>IF($A513="","",$B513+$C513-$D513-$E513)</f>
        <v/>
      </c>
      <c r="H513" s="37">
        <f>IF($A513="","",IFERROR(ROUND($G513*INDEX(tblKurallar[deger_2025],MATCH("AKV-003",tblKurallar[kural_id],0)),2),0))</f>
        <v/>
      </c>
      <c r="I513" s="37">
        <f>IF($A513="","",IFERROR(MAX(0,$H513-$F513),0))</f>
        <v/>
      </c>
    </row>
    <row r="514">
      <c r="A514" s="36" t="n"/>
      <c r="B514" s="36" t="n"/>
      <c r="C514" s="36" t="n"/>
      <c r="D514" s="36" t="n"/>
      <c r="E514" s="36" t="n"/>
      <c r="F514" s="36" t="n"/>
      <c r="G514" s="37">
        <f>IF($A514="","",$B514+$C514-$D514-$E514)</f>
        <v/>
      </c>
      <c r="H514" s="37">
        <f>IF($A514="","",IFERROR(ROUND($G514*INDEX(tblKurallar[deger_2025],MATCH("AKV-003",tblKurallar[kural_id],0)),2),0))</f>
        <v/>
      </c>
      <c r="I514" s="37">
        <f>IF($A514="","",IFERROR(MAX(0,$H514-$F514),0))</f>
        <v/>
      </c>
    </row>
    <row r="515">
      <c r="A515" s="36" t="n"/>
      <c r="B515" s="36" t="n"/>
      <c r="C515" s="36" t="n"/>
      <c r="D515" s="36" t="n"/>
      <c r="E515" s="36" t="n"/>
      <c r="F515" s="36" t="n"/>
      <c r="G515" s="37">
        <f>IF($A515="","",$B515+$C515-$D515-$E515)</f>
        <v/>
      </c>
      <c r="H515" s="37">
        <f>IF($A515="","",IFERROR(ROUND($G515*INDEX(tblKurallar[deger_2025],MATCH("AKV-003",tblKurallar[kural_id],0)),2),0))</f>
        <v/>
      </c>
      <c r="I515" s="37">
        <f>IF($A515="","",IFERROR(MAX(0,$H515-$F515),0))</f>
        <v/>
      </c>
    </row>
    <row r="516">
      <c r="A516" s="36" t="n"/>
      <c r="B516" s="36" t="n"/>
      <c r="C516" s="36" t="n"/>
      <c r="D516" s="36" t="n"/>
      <c r="E516" s="36" t="n"/>
      <c r="F516" s="36" t="n"/>
      <c r="G516" s="37">
        <f>IF($A516="","",$B516+$C516-$D516-$E516)</f>
        <v/>
      </c>
      <c r="H516" s="37">
        <f>IF($A516="","",IFERROR(ROUND($G516*INDEX(tblKurallar[deger_2025],MATCH("AKV-003",tblKurallar[kural_id],0)),2),0))</f>
        <v/>
      </c>
      <c r="I516" s="37">
        <f>IF($A516="","",IFERROR(MAX(0,$H516-$F516),0))</f>
        <v/>
      </c>
    </row>
    <row r="517">
      <c r="A517" s="36" t="n"/>
      <c r="B517" s="36" t="n"/>
      <c r="C517" s="36" t="n"/>
      <c r="D517" s="36" t="n"/>
      <c r="E517" s="36" t="n"/>
      <c r="F517" s="36" t="n"/>
      <c r="G517" s="37">
        <f>IF($A517="","",$B517+$C517-$D517-$E517)</f>
        <v/>
      </c>
      <c r="H517" s="37">
        <f>IF($A517="","",IFERROR(ROUND($G517*INDEX(tblKurallar[deger_2025],MATCH("AKV-003",tblKurallar[kural_id],0)),2),0))</f>
        <v/>
      </c>
      <c r="I517" s="37">
        <f>IF($A517="","",IFERROR(MAX(0,$H517-$F517),0))</f>
        <v/>
      </c>
    </row>
    <row r="518">
      <c r="A518" s="36" t="n"/>
      <c r="B518" s="36" t="n"/>
      <c r="C518" s="36" t="n"/>
      <c r="D518" s="36" t="n"/>
      <c r="E518" s="36" t="n"/>
      <c r="F518" s="36" t="n"/>
      <c r="G518" s="37">
        <f>IF($A518="","",$B518+$C518-$D518-$E518)</f>
        <v/>
      </c>
      <c r="H518" s="37">
        <f>IF($A518="","",IFERROR(ROUND($G518*INDEX(tblKurallar[deger_2025],MATCH("AKV-003",tblKurallar[kural_id],0)),2),0))</f>
        <v/>
      </c>
      <c r="I518" s="37">
        <f>IF($A518="","",IFERROR(MAX(0,$H518-$F518),0))</f>
        <v/>
      </c>
    </row>
    <row r="519">
      <c r="A519" s="36" t="n"/>
      <c r="B519" s="36" t="n"/>
      <c r="C519" s="36" t="n"/>
      <c r="D519" s="36" t="n"/>
      <c r="E519" s="36" t="n"/>
      <c r="F519" s="36" t="n"/>
      <c r="G519" s="37">
        <f>IF($A519="","",$B519+$C519-$D519-$E519)</f>
        <v/>
      </c>
      <c r="H519" s="37">
        <f>IF($A519="","",IFERROR(ROUND($G519*INDEX(tblKurallar[deger_2025],MATCH("AKV-003",tblKurallar[kural_id],0)),2),0))</f>
        <v/>
      </c>
      <c r="I519" s="37">
        <f>IF($A519="","",IFERROR(MAX(0,$H519-$F519),0))</f>
        <v/>
      </c>
    </row>
    <row r="520">
      <c r="A520" s="36" t="n"/>
      <c r="B520" s="36" t="n"/>
      <c r="C520" s="36" t="n"/>
      <c r="D520" s="36" t="n"/>
      <c r="E520" s="36" t="n"/>
      <c r="F520" s="36" t="n"/>
      <c r="G520" s="37">
        <f>IF($A520="","",$B520+$C520-$D520-$E520)</f>
        <v/>
      </c>
      <c r="H520" s="37">
        <f>IF($A520="","",IFERROR(ROUND($G520*INDEX(tblKurallar[deger_2025],MATCH("AKV-003",tblKurallar[kural_id],0)),2),0))</f>
        <v/>
      </c>
      <c r="I520" s="37">
        <f>IF($A520="","",IFERROR(MAX(0,$H520-$F520),0))</f>
        <v/>
      </c>
    </row>
    <row r="521">
      <c r="A521" s="36" t="n"/>
      <c r="B521" s="36" t="n"/>
      <c r="C521" s="36" t="n"/>
      <c r="D521" s="36" t="n"/>
      <c r="E521" s="36" t="n"/>
      <c r="F521" s="36" t="n"/>
      <c r="G521" s="37">
        <f>IF($A521="","",$B521+$C521-$D521-$E521)</f>
        <v/>
      </c>
      <c r="H521" s="37">
        <f>IF($A521="","",IFERROR(ROUND($G521*INDEX(tblKurallar[deger_2025],MATCH("AKV-003",tblKurallar[kural_id],0)),2),0))</f>
        <v/>
      </c>
      <c r="I521" s="37">
        <f>IF($A521="","",IFERROR(MAX(0,$H521-$F521),0))</f>
        <v/>
      </c>
    </row>
    <row r="522">
      <c r="A522" s="36" t="n"/>
      <c r="B522" s="36" t="n"/>
      <c r="C522" s="36" t="n"/>
      <c r="D522" s="36" t="n"/>
      <c r="E522" s="36" t="n"/>
      <c r="F522" s="36" t="n"/>
      <c r="G522" s="37">
        <f>IF($A522="","",$B522+$C522-$D522-$E522)</f>
        <v/>
      </c>
      <c r="H522" s="37">
        <f>IF($A522="","",IFERROR(ROUND($G522*INDEX(tblKurallar[deger_2025],MATCH("AKV-003",tblKurallar[kural_id],0)),2),0))</f>
        <v/>
      </c>
      <c r="I522" s="37">
        <f>IF($A522="","",IFERROR(MAX(0,$H522-$F522),0))</f>
        <v/>
      </c>
    </row>
    <row r="523">
      <c r="A523" s="36" t="n"/>
      <c r="B523" s="36" t="n"/>
      <c r="C523" s="36" t="n"/>
      <c r="D523" s="36" t="n"/>
      <c r="E523" s="36" t="n"/>
      <c r="F523" s="36" t="n"/>
      <c r="G523" s="37">
        <f>IF($A523="","",$B523+$C523-$D523-$E523)</f>
        <v/>
      </c>
      <c r="H523" s="37">
        <f>IF($A523="","",IFERROR(ROUND($G523*INDEX(tblKurallar[deger_2025],MATCH("AKV-003",tblKurallar[kural_id],0)),2),0))</f>
        <v/>
      </c>
      <c r="I523" s="37">
        <f>IF($A523="","",IFERROR(MAX(0,$H523-$F523),0))</f>
        <v/>
      </c>
    </row>
    <row r="524">
      <c r="A524" s="36" t="n"/>
      <c r="B524" s="36" t="n"/>
      <c r="C524" s="36" t="n"/>
      <c r="D524" s="36" t="n"/>
      <c r="E524" s="36" t="n"/>
      <c r="F524" s="36" t="n"/>
      <c r="G524" s="37">
        <f>IF($A524="","",$B524+$C524-$D524-$E524)</f>
        <v/>
      </c>
      <c r="H524" s="37">
        <f>IF($A524="","",IFERROR(ROUND($G524*INDEX(tblKurallar[deger_2025],MATCH("AKV-003",tblKurallar[kural_id],0)),2),0))</f>
        <v/>
      </c>
      <c r="I524" s="37">
        <f>IF($A524="","",IFERROR(MAX(0,$H524-$F524),0))</f>
        <v/>
      </c>
    </row>
    <row r="525">
      <c r="A525" s="36" t="n"/>
      <c r="B525" s="36" t="n"/>
      <c r="C525" s="36" t="n"/>
      <c r="D525" s="36" t="n"/>
      <c r="E525" s="36" t="n"/>
      <c r="F525" s="36" t="n"/>
      <c r="G525" s="37">
        <f>IF($A525="","",$B525+$C525-$D525-$E525)</f>
        <v/>
      </c>
      <c r="H525" s="37">
        <f>IF($A525="","",IFERROR(ROUND($G525*INDEX(tblKurallar[deger_2025],MATCH("AKV-003",tblKurallar[kural_id],0)),2),0))</f>
        <v/>
      </c>
      <c r="I525" s="37">
        <f>IF($A525="","",IFERROR(MAX(0,$H525-$F525),0))</f>
        <v/>
      </c>
    </row>
    <row r="526">
      <c r="A526" s="36" t="n"/>
      <c r="B526" s="36" t="n"/>
      <c r="C526" s="36" t="n"/>
      <c r="D526" s="36" t="n"/>
      <c r="E526" s="36" t="n"/>
      <c r="F526" s="36" t="n"/>
      <c r="G526" s="37">
        <f>IF($A526="","",$B526+$C526-$D526-$E526)</f>
        <v/>
      </c>
      <c r="H526" s="37">
        <f>IF($A526="","",IFERROR(ROUND($G526*INDEX(tblKurallar[deger_2025],MATCH("AKV-003",tblKurallar[kural_id],0)),2),0))</f>
        <v/>
      </c>
      <c r="I526" s="37">
        <f>IF($A526="","",IFERROR(MAX(0,$H526-$F526),0))</f>
        <v/>
      </c>
    </row>
    <row r="527">
      <c r="A527" s="36" t="n"/>
      <c r="B527" s="36" t="n"/>
      <c r="C527" s="36" t="n"/>
      <c r="D527" s="36" t="n"/>
      <c r="E527" s="36" t="n"/>
      <c r="F527" s="36" t="n"/>
      <c r="G527" s="37">
        <f>IF($A527="","",$B527+$C527-$D527-$E527)</f>
        <v/>
      </c>
      <c r="H527" s="37">
        <f>IF($A527="","",IFERROR(ROUND($G527*INDEX(tblKurallar[deger_2025],MATCH("AKV-003",tblKurallar[kural_id],0)),2),0))</f>
        <v/>
      </c>
      <c r="I527" s="37">
        <f>IF($A527="","",IFERROR(MAX(0,$H527-$F527),0))</f>
        <v/>
      </c>
    </row>
    <row r="528">
      <c r="A528" s="36" t="n"/>
      <c r="B528" s="36" t="n"/>
      <c r="C528" s="36" t="n"/>
      <c r="D528" s="36" t="n"/>
      <c r="E528" s="36" t="n"/>
      <c r="F528" s="36" t="n"/>
      <c r="G528" s="37">
        <f>IF($A528="","",$B528+$C528-$D528-$E528)</f>
        <v/>
      </c>
      <c r="H528" s="37">
        <f>IF($A528="","",IFERROR(ROUND($G528*INDEX(tblKurallar[deger_2025],MATCH("AKV-003",tblKurallar[kural_id],0)),2),0))</f>
        <v/>
      </c>
      <c r="I528" s="37">
        <f>IF($A528="","",IFERROR(MAX(0,$H528-$F528),0))</f>
        <v/>
      </c>
    </row>
    <row r="529">
      <c r="A529" s="36" t="n"/>
      <c r="B529" s="36" t="n"/>
      <c r="C529" s="36" t="n"/>
      <c r="D529" s="36" t="n"/>
      <c r="E529" s="36" t="n"/>
      <c r="F529" s="36" t="n"/>
      <c r="G529" s="37">
        <f>IF($A529="","",$B529+$C529-$D529-$E529)</f>
        <v/>
      </c>
      <c r="H529" s="37">
        <f>IF($A529="","",IFERROR(ROUND($G529*INDEX(tblKurallar[deger_2025],MATCH("AKV-003",tblKurallar[kural_id],0)),2),0))</f>
        <v/>
      </c>
      <c r="I529" s="37">
        <f>IF($A529="","",IFERROR(MAX(0,$H529-$F529),0))</f>
        <v/>
      </c>
    </row>
    <row r="530">
      <c r="A530" s="36" t="n"/>
      <c r="B530" s="36" t="n"/>
      <c r="C530" s="36" t="n"/>
      <c r="D530" s="36" t="n"/>
      <c r="E530" s="36" t="n"/>
      <c r="F530" s="36" t="n"/>
      <c r="G530" s="37">
        <f>IF($A530="","",$B530+$C530-$D530-$E530)</f>
        <v/>
      </c>
      <c r="H530" s="37">
        <f>IF($A530="","",IFERROR(ROUND($G530*INDEX(tblKurallar[deger_2025],MATCH("AKV-003",tblKurallar[kural_id],0)),2),0))</f>
        <v/>
      </c>
      <c r="I530" s="37">
        <f>IF($A530="","",IFERROR(MAX(0,$H530-$F530),0))</f>
        <v/>
      </c>
    </row>
    <row r="531">
      <c r="A531" s="36" t="n"/>
      <c r="B531" s="36" t="n"/>
      <c r="C531" s="36" t="n"/>
      <c r="D531" s="36" t="n"/>
      <c r="E531" s="36" t="n"/>
      <c r="F531" s="36" t="n"/>
      <c r="G531" s="37">
        <f>IF($A531="","",$B531+$C531-$D531-$E531)</f>
        <v/>
      </c>
      <c r="H531" s="37">
        <f>IF($A531="","",IFERROR(ROUND($G531*INDEX(tblKurallar[deger_2025],MATCH("AKV-003",tblKurallar[kural_id],0)),2),0))</f>
        <v/>
      </c>
      <c r="I531" s="37">
        <f>IF($A531="","",IFERROR(MAX(0,$H531-$F531),0))</f>
        <v/>
      </c>
    </row>
    <row r="532">
      <c r="A532" s="36" t="n"/>
      <c r="B532" s="36" t="n"/>
      <c r="C532" s="36" t="n"/>
      <c r="D532" s="36" t="n"/>
      <c r="E532" s="36" t="n"/>
      <c r="F532" s="36" t="n"/>
      <c r="G532" s="37">
        <f>IF($A532="","",$B532+$C532-$D532-$E532)</f>
        <v/>
      </c>
      <c r="H532" s="37">
        <f>IF($A532="","",IFERROR(ROUND($G532*INDEX(tblKurallar[deger_2025],MATCH("AKV-003",tblKurallar[kural_id],0)),2),0))</f>
        <v/>
      </c>
      <c r="I532" s="37">
        <f>IF($A532="","",IFERROR(MAX(0,$H532-$F532),0))</f>
        <v/>
      </c>
    </row>
    <row r="533">
      <c r="A533" s="36" t="n"/>
      <c r="B533" s="36" t="n"/>
      <c r="C533" s="36" t="n"/>
      <c r="D533" s="36" t="n"/>
      <c r="E533" s="36" t="n"/>
      <c r="F533" s="36" t="n"/>
      <c r="G533" s="37">
        <f>IF($A533="","",$B533+$C533-$D533-$E533)</f>
        <v/>
      </c>
      <c r="H533" s="37">
        <f>IF($A533="","",IFERROR(ROUND($G533*INDEX(tblKurallar[deger_2025],MATCH("AKV-003",tblKurallar[kural_id],0)),2),0))</f>
        <v/>
      </c>
      <c r="I533" s="37">
        <f>IF($A533="","",IFERROR(MAX(0,$H533-$F533),0))</f>
        <v/>
      </c>
    </row>
    <row r="534">
      <c r="A534" s="36" t="n"/>
      <c r="B534" s="36" t="n"/>
      <c r="C534" s="36" t="n"/>
      <c r="D534" s="36" t="n"/>
      <c r="E534" s="36" t="n"/>
      <c r="F534" s="36" t="n"/>
      <c r="G534" s="37">
        <f>IF($A534="","",$B534+$C534-$D534-$E534)</f>
        <v/>
      </c>
      <c r="H534" s="37">
        <f>IF($A534="","",IFERROR(ROUND($G534*INDEX(tblKurallar[deger_2025],MATCH("AKV-003",tblKurallar[kural_id],0)),2),0))</f>
        <v/>
      </c>
      <c r="I534" s="37">
        <f>IF($A534="","",IFERROR(MAX(0,$H534-$F534),0))</f>
        <v/>
      </c>
    </row>
    <row r="535">
      <c r="A535" s="36" t="n"/>
      <c r="B535" s="36" t="n"/>
      <c r="C535" s="36" t="n"/>
      <c r="D535" s="36" t="n"/>
      <c r="E535" s="36" t="n"/>
      <c r="F535" s="36" t="n"/>
      <c r="G535" s="37">
        <f>IF($A535="","",$B535+$C535-$D535-$E535)</f>
        <v/>
      </c>
      <c r="H535" s="37">
        <f>IF($A535="","",IFERROR(ROUND($G535*INDEX(tblKurallar[deger_2025],MATCH("AKV-003",tblKurallar[kural_id],0)),2),0))</f>
        <v/>
      </c>
      <c r="I535" s="37">
        <f>IF($A535="","",IFERROR(MAX(0,$H535-$F535),0))</f>
        <v/>
      </c>
    </row>
    <row r="536">
      <c r="A536" s="36" t="n"/>
      <c r="B536" s="36" t="n"/>
      <c r="C536" s="36" t="n"/>
      <c r="D536" s="36" t="n"/>
      <c r="E536" s="36" t="n"/>
      <c r="F536" s="36" t="n"/>
      <c r="G536" s="37">
        <f>IF($A536="","",$B536+$C536-$D536-$E536)</f>
        <v/>
      </c>
      <c r="H536" s="37">
        <f>IF($A536="","",IFERROR(ROUND($G536*INDEX(tblKurallar[deger_2025],MATCH("AKV-003",tblKurallar[kural_id],0)),2),0))</f>
        <v/>
      </c>
      <c r="I536" s="37">
        <f>IF($A536="","",IFERROR(MAX(0,$H536-$F536),0))</f>
        <v/>
      </c>
    </row>
    <row r="537">
      <c r="A537" s="36" t="n"/>
      <c r="B537" s="36" t="n"/>
      <c r="C537" s="36" t="n"/>
      <c r="D537" s="36" t="n"/>
      <c r="E537" s="36" t="n"/>
      <c r="F537" s="36" t="n"/>
      <c r="G537" s="37">
        <f>IF($A537="","",$B537+$C537-$D537-$E537)</f>
        <v/>
      </c>
      <c r="H537" s="37">
        <f>IF($A537="","",IFERROR(ROUND($G537*INDEX(tblKurallar[deger_2025],MATCH("AKV-003",tblKurallar[kural_id],0)),2),0))</f>
        <v/>
      </c>
      <c r="I537" s="37">
        <f>IF($A537="","",IFERROR(MAX(0,$H537-$F537),0))</f>
        <v/>
      </c>
    </row>
    <row r="538">
      <c r="A538" s="36" t="n"/>
      <c r="B538" s="36" t="n"/>
      <c r="C538" s="36" t="n"/>
      <c r="D538" s="36" t="n"/>
      <c r="E538" s="36" t="n"/>
      <c r="F538" s="36" t="n"/>
      <c r="G538" s="37">
        <f>IF($A538="","",$B538+$C538-$D538-$E538)</f>
        <v/>
      </c>
      <c r="H538" s="37">
        <f>IF($A538="","",IFERROR(ROUND($G538*INDEX(tblKurallar[deger_2025],MATCH("AKV-003",tblKurallar[kural_id],0)),2),0))</f>
        <v/>
      </c>
      <c r="I538" s="37">
        <f>IF($A538="","",IFERROR(MAX(0,$H538-$F538),0))</f>
        <v/>
      </c>
    </row>
    <row r="539">
      <c r="A539" s="36" t="n"/>
      <c r="B539" s="36" t="n"/>
      <c r="C539" s="36" t="n"/>
      <c r="D539" s="36" t="n"/>
      <c r="E539" s="36" t="n"/>
      <c r="F539" s="36" t="n"/>
      <c r="G539" s="37">
        <f>IF($A539="","",$B539+$C539-$D539-$E539)</f>
        <v/>
      </c>
      <c r="H539" s="37">
        <f>IF($A539="","",IFERROR(ROUND($G539*INDEX(tblKurallar[deger_2025],MATCH("AKV-003",tblKurallar[kural_id],0)),2),0))</f>
        <v/>
      </c>
      <c r="I539" s="37">
        <f>IF($A539="","",IFERROR(MAX(0,$H539-$F539),0))</f>
        <v/>
      </c>
    </row>
    <row r="540">
      <c r="A540" s="36" t="n"/>
      <c r="B540" s="36" t="n"/>
      <c r="C540" s="36" t="n"/>
      <c r="D540" s="36" t="n"/>
      <c r="E540" s="36" t="n"/>
      <c r="F540" s="36" t="n"/>
      <c r="G540" s="37">
        <f>IF($A540="","",$B540+$C540-$D540-$E540)</f>
        <v/>
      </c>
      <c r="H540" s="37">
        <f>IF($A540="","",IFERROR(ROUND($G540*INDEX(tblKurallar[deger_2025],MATCH("AKV-003",tblKurallar[kural_id],0)),2),0))</f>
        <v/>
      </c>
      <c r="I540" s="37">
        <f>IF($A540="","",IFERROR(MAX(0,$H540-$F540),0))</f>
        <v/>
      </c>
    </row>
    <row r="541">
      <c r="A541" s="36" t="n"/>
      <c r="B541" s="36" t="n"/>
      <c r="C541" s="36" t="n"/>
      <c r="D541" s="36" t="n"/>
      <c r="E541" s="36" t="n"/>
      <c r="F541" s="36" t="n"/>
      <c r="G541" s="37">
        <f>IF($A541="","",$B541+$C541-$D541-$E541)</f>
        <v/>
      </c>
      <c r="H541" s="37">
        <f>IF($A541="","",IFERROR(ROUND($G541*INDEX(tblKurallar[deger_2025],MATCH("AKV-003",tblKurallar[kural_id],0)),2),0))</f>
        <v/>
      </c>
      <c r="I541" s="37">
        <f>IF($A541="","",IFERROR(MAX(0,$H541-$F541),0))</f>
        <v/>
      </c>
    </row>
    <row r="542">
      <c r="A542" s="36" t="n"/>
      <c r="B542" s="36" t="n"/>
      <c r="C542" s="36" t="n"/>
      <c r="D542" s="36" t="n"/>
      <c r="E542" s="36" t="n"/>
      <c r="F542" s="36" t="n"/>
      <c r="G542" s="37">
        <f>IF($A542="","",$B542+$C542-$D542-$E542)</f>
        <v/>
      </c>
      <c r="H542" s="37">
        <f>IF($A542="","",IFERROR(ROUND($G542*INDEX(tblKurallar[deger_2025],MATCH("AKV-003",tblKurallar[kural_id],0)),2),0))</f>
        <v/>
      </c>
      <c r="I542" s="37">
        <f>IF($A542="","",IFERROR(MAX(0,$H542-$F542),0))</f>
        <v/>
      </c>
    </row>
    <row r="543">
      <c r="A543" s="36" t="n"/>
      <c r="B543" s="36" t="n"/>
      <c r="C543" s="36" t="n"/>
      <c r="D543" s="36" t="n"/>
      <c r="E543" s="36" t="n"/>
      <c r="F543" s="36" t="n"/>
      <c r="G543" s="37">
        <f>IF($A543="","",$B543+$C543-$D543-$E543)</f>
        <v/>
      </c>
      <c r="H543" s="37">
        <f>IF($A543="","",IFERROR(ROUND($G543*INDEX(tblKurallar[deger_2025],MATCH("AKV-003",tblKurallar[kural_id],0)),2),0))</f>
        <v/>
      </c>
      <c r="I543" s="37">
        <f>IF($A543="","",IFERROR(MAX(0,$H543-$F543),0))</f>
        <v/>
      </c>
    </row>
    <row r="544">
      <c r="A544" s="36" t="n"/>
      <c r="B544" s="36" t="n"/>
      <c r="C544" s="36" t="n"/>
      <c r="D544" s="36" t="n"/>
      <c r="E544" s="36" t="n"/>
      <c r="F544" s="36" t="n"/>
      <c r="G544" s="37">
        <f>IF($A544="","",$B544+$C544-$D544-$E544)</f>
        <v/>
      </c>
      <c r="H544" s="37">
        <f>IF($A544="","",IFERROR(ROUND($G544*INDEX(tblKurallar[deger_2025],MATCH("AKV-003",tblKurallar[kural_id],0)),2),0))</f>
        <v/>
      </c>
      <c r="I544" s="37">
        <f>IF($A544="","",IFERROR(MAX(0,$H544-$F544),0))</f>
        <v/>
      </c>
    </row>
    <row r="545">
      <c r="A545" s="36" t="n"/>
      <c r="B545" s="36" t="n"/>
      <c r="C545" s="36" t="n"/>
      <c r="D545" s="36" t="n"/>
      <c r="E545" s="36" t="n"/>
      <c r="F545" s="36" t="n"/>
      <c r="G545" s="37">
        <f>IF($A545="","",$B545+$C545-$D545-$E545)</f>
        <v/>
      </c>
      <c r="H545" s="37">
        <f>IF($A545="","",IFERROR(ROUND($G545*INDEX(tblKurallar[deger_2025],MATCH("AKV-003",tblKurallar[kural_id],0)),2),0))</f>
        <v/>
      </c>
      <c r="I545" s="37">
        <f>IF($A545="","",IFERROR(MAX(0,$H545-$F545),0))</f>
        <v/>
      </c>
    </row>
    <row r="546">
      <c r="A546" s="36" t="n"/>
      <c r="B546" s="36" t="n"/>
      <c r="C546" s="36" t="n"/>
      <c r="D546" s="36" t="n"/>
      <c r="E546" s="36" t="n"/>
      <c r="F546" s="36" t="n"/>
      <c r="G546" s="37">
        <f>IF($A546="","",$B546+$C546-$D546-$E546)</f>
        <v/>
      </c>
      <c r="H546" s="37">
        <f>IF($A546="","",IFERROR(ROUND($G546*INDEX(tblKurallar[deger_2025],MATCH("AKV-003",tblKurallar[kural_id],0)),2),0))</f>
        <v/>
      </c>
      <c r="I546" s="37">
        <f>IF($A546="","",IFERROR(MAX(0,$H546-$F546),0))</f>
        <v/>
      </c>
    </row>
    <row r="547">
      <c r="A547" s="36" t="n"/>
      <c r="B547" s="36" t="n"/>
      <c r="C547" s="36" t="n"/>
      <c r="D547" s="36" t="n"/>
      <c r="E547" s="36" t="n"/>
      <c r="F547" s="36" t="n"/>
      <c r="G547" s="37">
        <f>IF($A547="","",$B547+$C547-$D547-$E547)</f>
        <v/>
      </c>
      <c r="H547" s="37">
        <f>IF($A547="","",IFERROR(ROUND($G547*INDEX(tblKurallar[deger_2025],MATCH("AKV-003",tblKurallar[kural_id],0)),2),0))</f>
        <v/>
      </c>
      <c r="I547" s="37">
        <f>IF($A547="","",IFERROR(MAX(0,$H547-$F547),0))</f>
        <v/>
      </c>
    </row>
    <row r="548">
      <c r="A548" s="36" t="n"/>
      <c r="B548" s="36" t="n"/>
      <c r="C548" s="36" t="n"/>
      <c r="D548" s="36" t="n"/>
      <c r="E548" s="36" t="n"/>
      <c r="F548" s="36" t="n"/>
      <c r="G548" s="37">
        <f>IF($A548="","",$B548+$C548-$D548-$E548)</f>
        <v/>
      </c>
      <c r="H548" s="37">
        <f>IF($A548="","",IFERROR(ROUND($G548*INDEX(tblKurallar[deger_2025],MATCH("AKV-003",tblKurallar[kural_id],0)),2),0))</f>
        <v/>
      </c>
      <c r="I548" s="37">
        <f>IF($A548="","",IFERROR(MAX(0,$H548-$F548),0))</f>
        <v/>
      </c>
    </row>
    <row r="549">
      <c r="A549" s="36" t="n"/>
      <c r="B549" s="36" t="n"/>
      <c r="C549" s="36" t="n"/>
      <c r="D549" s="36" t="n"/>
      <c r="E549" s="36" t="n"/>
      <c r="F549" s="36" t="n"/>
      <c r="G549" s="37">
        <f>IF($A549="","",$B549+$C549-$D549-$E549)</f>
        <v/>
      </c>
      <c r="H549" s="37">
        <f>IF($A549="","",IFERROR(ROUND($G549*INDEX(tblKurallar[deger_2025],MATCH("AKV-003",tblKurallar[kural_id],0)),2),0))</f>
        <v/>
      </c>
      <c r="I549" s="37">
        <f>IF($A549="","",IFERROR(MAX(0,$H549-$F549),0))</f>
        <v/>
      </c>
    </row>
    <row r="550">
      <c r="A550" s="36" t="n"/>
      <c r="B550" s="36" t="n"/>
      <c r="C550" s="36" t="n"/>
      <c r="D550" s="36" t="n"/>
      <c r="E550" s="36" t="n"/>
      <c r="F550" s="36" t="n"/>
      <c r="G550" s="37">
        <f>IF($A550="","",$B550+$C550-$D550-$E550)</f>
        <v/>
      </c>
      <c r="H550" s="37">
        <f>IF($A550="","",IFERROR(ROUND($G550*INDEX(tblKurallar[deger_2025],MATCH("AKV-003",tblKurallar[kural_id],0)),2),0))</f>
        <v/>
      </c>
      <c r="I550" s="37">
        <f>IF($A550="","",IFERROR(MAX(0,$H550-$F550),0))</f>
        <v/>
      </c>
    </row>
    <row r="551">
      <c r="A551" s="36" t="n"/>
      <c r="B551" s="36" t="n"/>
      <c r="C551" s="36" t="n"/>
      <c r="D551" s="36" t="n"/>
      <c r="E551" s="36" t="n"/>
      <c r="F551" s="36" t="n"/>
      <c r="G551" s="37">
        <f>IF($A551="","",$B551+$C551-$D551-$E551)</f>
        <v/>
      </c>
      <c r="H551" s="37">
        <f>IF($A551="","",IFERROR(ROUND($G551*INDEX(tblKurallar[deger_2025],MATCH("AKV-003",tblKurallar[kural_id],0)),2),0))</f>
        <v/>
      </c>
      <c r="I551" s="37">
        <f>IF($A551="","",IFERROR(MAX(0,$H551-$F551),0))</f>
        <v/>
      </c>
    </row>
    <row r="552">
      <c r="A552" s="36" t="n"/>
      <c r="B552" s="36" t="n"/>
      <c r="C552" s="36" t="n"/>
      <c r="D552" s="36" t="n"/>
      <c r="E552" s="36" t="n"/>
      <c r="F552" s="36" t="n"/>
      <c r="G552" s="37">
        <f>IF($A552="","",$B552+$C552-$D552-$E552)</f>
        <v/>
      </c>
      <c r="H552" s="37">
        <f>IF($A552="","",IFERROR(ROUND($G552*INDEX(tblKurallar[deger_2025],MATCH("AKV-003",tblKurallar[kural_id],0)),2),0))</f>
        <v/>
      </c>
      <c r="I552" s="37">
        <f>IF($A552="","",IFERROR(MAX(0,$H552-$F552),0))</f>
        <v/>
      </c>
    </row>
    <row r="553">
      <c r="A553" s="36" t="n"/>
      <c r="B553" s="36" t="n"/>
      <c r="C553" s="36" t="n"/>
      <c r="D553" s="36" t="n"/>
      <c r="E553" s="36" t="n"/>
      <c r="F553" s="36" t="n"/>
      <c r="G553" s="37">
        <f>IF($A553="","",$B553+$C553-$D553-$E553)</f>
        <v/>
      </c>
      <c r="H553" s="37">
        <f>IF($A553="","",IFERROR(ROUND($G553*INDEX(tblKurallar[deger_2025],MATCH("AKV-003",tblKurallar[kural_id],0)),2),0))</f>
        <v/>
      </c>
      <c r="I553" s="37">
        <f>IF($A553="","",IFERROR(MAX(0,$H553-$F553),0))</f>
        <v/>
      </c>
    </row>
    <row r="554">
      <c r="A554" s="36" t="n"/>
      <c r="B554" s="36" t="n"/>
      <c r="C554" s="36" t="n"/>
      <c r="D554" s="36" t="n"/>
      <c r="E554" s="36" t="n"/>
      <c r="F554" s="36" t="n"/>
      <c r="G554" s="37">
        <f>IF($A554="","",$B554+$C554-$D554-$E554)</f>
        <v/>
      </c>
      <c r="H554" s="37">
        <f>IF($A554="","",IFERROR(ROUND($G554*INDEX(tblKurallar[deger_2025],MATCH("AKV-003",tblKurallar[kural_id],0)),2),0))</f>
        <v/>
      </c>
      <c r="I554" s="37">
        <f>IF($A554="","",IFERROR(MAX(0,$H554-$F554),0))</f>
        <v/>
      </c>
    </row>
    <row r="555">
      <c r="A555" s="36" t="n"/>
      <c r="B555" s="36" t="n"/>
      <c r="C555" s="36" t="n"/>
      <c r="D555" s="36" t="n"/>
      <c r="E555" s="36" t="n"/>
      <c r="F555" s="36" t="n"/>
      <c r="G555" s="37">
        <f>IF($A555="","",$B555+$C555-$D555-$E555)</f>
        <v/>
      </c>
      <c r="H555" s="37">
        <f>IF($A555="","",IFERROR(ROUND($G555*INDEX(tblKurallar[deger_2025],MATCH("AKV-003",tblKurallar[kural_id],0)),2),0))</f>
        <v/>
      </c>
      <c r="I555" s="37">
        <f>IF($A555="","",IFERROR(MAX(0,$H555-$F555),0))</f>
        <v/>
      </c>
    </row>
    <row r="556">
      <c r="A556" s="36" t="n"/>
      <c r="B556" s="36" t="n"/>
      <c r="C556" s="36" t="n"/>
      <c r="D556" s="36" t="n"/>
      <c r="E556" s="36" t="n"/>
      <c r="F556" s="36" t="n"/>
      <c r="G556" s="37">
        <f>IF($A556="","",$B556+$C556-$D556-$E556)</f>
        <v/>
      </c>
      <c r="H556" s="37">
        <f>IF($A556="","",IFERROR(ROUND($G556*INDEX(tblKurallar[deger_2025],MATCH("AKV-003",tblKurallar[kural_id],0)),2),0))</f>
        <v/>
      </c>
      <c r="I556" s="37">
        <f>IF($A556="","",IFERROR(MAX(0,$H556-$F556),0))</f>
        <v/>
      </c>
    </row>
    <row r="557">
      <c r="A557" s="36" t="n"/>
      <c r="B557" s="36" t="n"/>
      <c r="C557" s="36" t="n"/>
      <c r="D557" s="36" t="n"/>
      <c r="E557" s="36" t="n"/>
      <c r="F557" s="36" t="n"/>
      <c r="G557" s="37">
        <f>IF($A557="","",$B557+$C557-$D557-$E557)</f>
        <v/>
      </c>
      <c r="H557" s="37">
        <f>IF($A557="","",IFERROR(ROUND($G557*INDEX(tblKurallar[deger_2025],MATCH("AKV-003",tblKurallar[kural_id],0)),2),0))</f>
        <v/>
      </c>
      <c r="I557" s="37">
        <f>IF($A557="","",IFERROR(MAX(0,$H557-$F557),0))</f>
        <v/>
      </c>
    </row>
    <row r="558">
      <c r="A558" s="36" t="n"/>
      <c r="B558" s="36" t="n"/>
      <c r="C558" s="36" t="n"/>
      <c r="D558" s="36" t="n"/>
      <c r="E558" s="36" t="n"/>
      <c r="F558" s="36" t="n"/>
      <c r="G558" s="37">
        <f>IF($A558="","",$B558+$C558-$D558-$E558)</f>
        <v/>
      </c>
      <c r="H558" s="37">
        <f>IF($A558="","",IFERROR(ROUND($G558*INDEX(tblKurallar[deger_2025],MATCH("AKV-003",tblKurallar[kural_id],0)),2),0))</f>
        <v/>
      </c>
      <c r="I558" s="37">
        <f>IF($A558="","",IFERROR(MAX(0,$H558-$F558),0))</f>
        <v/>
      </c>
    </row>
    <row r="559">
      <c r="A559" s="36" t="n"/>
      <c r="B559" s="36" t="n"/>
      <c r="C559" s="36" t="n"/>
      <c r="D559" s="36" t="n"/>
      <c r="E559" s="36" t="n"/>
      <c r="F559" s="36" t="n"/>
      <c r="G559" s="37">
        <f>IF($A559="","",$B559+$C559-$D559-$E559)</f>
        <v/>
      </c>
      <c r="H559" s="37">
        <f>IF($A559="","",IFERROR(ROUND($G559*INDEX(tblKurallar[deger_2025],MATCH("AKV-003",tblKurallar[kural_id],0)),2),0))</f>
        <v/>
      </c>
      <c r="I559" s="37">
        <f>IF($A559="","",IFERROR(MAX(0,$H559-$F559),0))</f>
        <v/>
      </c>
    </row>
    <row r="560">
      <c r="A560" s="36" t="n"/>
      <c r="B560" s="36" t="n"/>
      <c r="C560" s="36" t="n"/>
      <c r="D560" s="36" t="n"/>
      <c r="E560" s="36" t="n"/>
      <c r="F560" s="36" t="n"/>
      <c r="G560" s="37">
        <f>IF($A560="","",$B560+$C560-$D560-$E560)</f>
        <v/>
      </c>
      <c r="H560" s="37">
        <f>IF($A560="","",IFERROR(ROUND($G560*INDEX(tblKurallar[deger_2025],MATCH("AKV-003",tblKurallar[kural_id],0)),2),0))</f>
        <v/>
      </c>
      <c r="I560" s="37">
        <f>IF($A560="","",IFERROR(MAX(0,$H560-$F560),0))</f>
        <v/>
      </c>
    </row>
    <row r="561">
      <c r="A561" s="36" t="n"/>
      <c r="B561" s="36" t="n"/>
      <c r="C561" s="36" t="n"/>
      <c r="D561" s="36" t="n"/>
      <c r="E561" s="36" t="n"/>
      <c r="F561" s="36" t="n"/>
      <c r="G561" s="37">
        <f>IF($A561="","",$B561+$C561-$D561-$E561)</f>
        <v/>
      </c>
      <c r="H561" s="37">
        <f>IF($A561="","",IFERROR(ROUND($G561*INDEX(tblKurallar[deger_2025],MATCH("AKV-003",tblKurallar[kural_id],0)),2),0))</f>
        <v/>
      </c>
      <c r="I561" s="37">
        <f>IF($A561="","",IFERROR(MAX(0,$H561-$F561),0))</f>
        <v/>
      </c>
    </row>
    <row r="562">
      <c r="A562" s="36" t="n"/>
      <c r="B562" s="36" t="n"/>
      <c r="C562" s="36" t="n"/>
      <c r="D562" s="36" t="n"/>
      <c r="E562" s="36" t="n"/>
      <c r="F562" s="36" t="n"/>
      <c r="G562" s="37">
        <f>IF($A562="","",$B562+$C562-$D562-$E562)</f>
        <v/>
      </c>
      <c r="H562" s="37">
        <f>IF($A562="","",IFERROR(ROUND($G562*INDEX(tblKurallar[deger_2025],MATCH("AKV-003",tblKurallar[kural_id],0)),2),0))</f>
        <v/>
      </c>
      <c r="I562" s="37">
        <f>IF($A562="","",IFERROR(MAX(0,$H562-$F562),0))</f>
        <v/>
      </c>
    </row>
    <row r="563">
      <c r="A563" s="36" t="n"/>
      <c r="B563" s="36" t="n"/>
      <c r="C563" s="36" t="n"/>
      <c r="D563" s="36" t="n"/>
      <c r="E563" s="36" t="n"/>
      <c r="F563" s="36" t="n"/>
      <c r="G563" s="37">
        <f>IF($A563="","",$B563+$C563-$D563-$E563)</f>
        <v/>
      </c>
      <c r="H563" s="37">
        <f>IF($A563="","",IFERROR(ROUND($G563*INDEX(tblKurallar[deger_2025],MATCH("AKV-003",tblKurallar[kural_id],0)),2),0))</f>
        <v/>
      </c>
      <c r="I563" s="37">
        <f>IF($A563="","",IFERROR(MAX(0,$H563-$F563),0))</f>
        <v/>
      </c>
    </row>
    <row r="564">
      <c r="A564" s="36" t="n"/>
      <c r="B564" s="36" t="n"/>
      <c r="C564" s="36" t="n"/>
      <c r="D564" s="36" t="n"/>
      <c r="E564" s="36" t="n"/>
      <c r="F564" s="36" t="n"/>
      <c r="G564" s="37">
        <f>IF($A564="","",$B564+$C564-$D564-$E564)</f>
        <v/>
      </c>
      <c r="H564" s="37">
        <f>IF($A564="","",IFERROR(ROUND($G564*INDEX(tblKurallar[deger_2025],MATCH("AKV-003",tblKurallar[kural_id],0)),2),0))</f>
        <v/>
      </c>
      <c r="I564" s="37">
        <f>IF($A564="","",IFERROR(MAX(0,$H564-$F564),0))</f>
        <v/>
      </c>
    </row>
    <row r="565">
      <c r="A565" s="36" t="n"/>
      <c r="B565" s="36" t="n"/>
      <c r="C565" s="36" t="n"/>
      <c r="D565" s="36" t="n"/>
      <c r="E565" s="36" t="n"/>
      <c r="F565" s="36" t="n"/>
      <c r="G565" s="37">
        <f>IF($A565="","",$B565+$C565-$D565-$E565)</f>
        <v/>
      </c>
      <c r="H565" s="37">
        <f>IF($A565="","",IFERROR(ROUND($G565*INDEX(tblKurallar[deger_2025],MATCH("AKV-003",tblKurallar[kural_id],0)),2),0))</f>
        <v/>
      </c>
      <c r="I565" s="37">
        <f>IF($A565="","",IFERROR(MAX(0,$H565-$F565),0))</f>
        <v/>
      </c>
    </row>
    <row r="566">
      <c r="A566" s="36" t="n"/>
      <c r="B566" s="36" t="n"/>
      <c r="C566" s="36" t="n"/>
      <c r="D566" s="36" t="n"/>
      <c r="E566" s="36" t="n"/>
      <c r="F566" s="36" t="n"/>
      <c r="G566" s="37">
        <f>IF($A566="","",$B566+$C566-$D566-$E566)</f>
        <v/>
      </c>
      <c r="H566" s="37">
        <f>IF($A566="","",IFERROR(ROUND($G566*INDEX(tblKurallar[deger_2025],MATCH("AKV-003",tblKurallar[kural_id],0)),2),0))</f>
        <v/>
      </c>
      <c r="I566" s="37">
        <f>IF($A566="","",IFERROR(MAX(0,$H566-$F566),0))</f>
        <v/>
      </c>
    </row>
    <row r="567">
      <c r="A567" s="36" t="n"/>
      <c r="B567" s="36" t="n"/>
      <c r="C567" s="36" t="n"/>
      <c r="D567" s="36" t="n"/>
      <c r="E567" s="36" t="n"/>
      <c r="F567" s="36" t="n"/>
      <c r="G567" s="37">
        <f>IF($A567="","",$B567+$C567-$D567-$E567)</f>
        <v/>
      </c>
      <c r="H567" s="37">
        <f>IF($A567="","",IFERROR(ROUND($G567*INDEX(tblKurallar[deger_2025],MATCH("AKV-003",tblKurallar[kural_id],0)),2),0))</f>
        <v/>
      </c>
      <c r="I567" s="37">
        <f>IF($A567="","",IFERROR(MAX(0,$H567-$F567),0))</f>
        <v/>
      </c>
    </row>
    <row r="568">
      <c r="A568" s="36" t="n"/>
      <c r="B568" s="36" t="n"/>
      <c r="C568" s="36" t="n"/>
      <c r="D568" s="36" t="n"/>
      <c r="E568" s="36" t="n"/>
      <c r="F568" s="36" t="n"/>
      <c r="G568" s="37">
        <f>IF($A568="","",$B568+$C568-$D568-$E568)</f>
        <v/>
      </c>
      <c r="H568" s="37">
        <f>IF($A568="","",IFERROR(ROUND($G568*INDEX(tblKurallar[deger_2025],MATCH("AKV-003",tblKurallar[kural_id],0)),2),0))</f>
        <v/>
      </c>
      <c r="I568" s="37">
        <f>IF($A568="","",IFERROR(MAX(0,$H568-$F568),0))</f>
        <v/>
      </c>
    </row>
    <row r="569">
      <c r="A569" s="36" t="n"/>
      <c r="B569" s="36" t="n"/>
      <c r="C569" s="36" t="n"/>
      <c r="D569" s="36" t="n"/>
      <c r="E569" s="36" t="n"/>
      <c r="F569" s="36" t="n"/>
      <c r="G569" s="37">
        <f>IF($A569="","",$B569+$C569-$D569-$E569)</f>
        <v/>
      </c>
      <c r="H569" s="37">
        <f>IF($A569="","",IFERROR(ROUND($G569*INDEX(tblKurallar[deger_2025],MATCH("AKV-003",tblKurallar[kural_id],0)),2),0))</f>
        <v/>
      </c>
      <c r="I569" s="37">
        <f>IF($A569="","",IFERROR(MAX(0,$H569-$F569),0))</f>
        <v/>
      </c>
    </row>
    <row r="570">
      <c r="A570" s="36" t="n"/>
      <c r="B570" s="36" t="n"/>
      <c r="C570" s="36" t="n"/>
      <c r="D570" s="36" t="n"/>
      <c r="E570" s="36" t="n"/>
      <c r="F570" s="36" t="n"/>
      <c r="G570" s="37">
        <f>IF($A570="","",$B570+$C570-$D570-$E570)</f>
        <v/>
      </c>
      <c r="H570" s="37">
        <f>IF($A570="","",IFERROR(ROUND($G570*INDEX(tblKurallar[deger_2025],MATCH("AKV-003",tblKurallar[kural_id],0)),2),0))</f>
        <v/>
      </c>
      <c r="I570" s="37">
        <f>IF($A570="","",IFERROR(MAX(0,$H570-$F570),0))</f>
        <v/>
      </c>
    </row>
    <row r="571">
      <c r="A571" s="36" t="n"/>
      <c r="B571" s="36" t="n"/>
      <c r="C571" s="36" t="n"/>
      <c r="D571" s="36" t="n"/>
      <c r="E571" s="36" t="n"/>
      <c r="F571" s="36" t="n"/>
      <c r="G571" s="37">
        <f>IF($A571="","",$B571+$C571-$D571-$E571)</f>
        <v/>
      </c>
      <c r="H571" s="37">
        <f>IF($A571="","",IFERROR(ROUND($G571*INDEX(tblKurallar[deger_2025],MATCH("AKV-003",tblKurallar[kural_id],0)),2),0))</f>
        <v/>
      </c>
      <c r="I571" s="37">
        <f>IF($A571="","",IFERROR(MAX(0,$H571-$F571),0))</f>
        <v/>
      </c>
    </row>
    <row r="572">
      <c r="A572" s="36" t="n"/>
      <c r="B572" s="36" t="n"/>
      <c r="C572" s="36" t="n"/>
      <c r="D572" s="36" t="n"/>
      <c r="E572" s="36" t="n"/>
      <c r="F572" s="36" t="n"/>
      <c r="G572" s="37">
        <f>IF($A572="","",$B572+$C572-$D572-$E572)</f>
        <v/>
      </c>
      <c r="H572" s="37">
        <f>IF($A572="","",IFERROR(ROUND($G572*INDEX(tblKurallar[deger_2025],MATCH("AKV-003",tblKurallar[kural_id],0)),2),0))</f>
        <v/>
      </c>
      <c r="I572" s="37">
        <f>IF($A572="","",IFERROR(MAX(0,$H572-$F572),0))</f>
        <v/>
      </c>
    </row>
    <row r="573">
      <c r="A573" s="36" t="n"/>
      <c r="B573" s="36" t="n"/>
      <c r="C573" s="36" t="n"/>
      <c r="D573" s="36" t="n"/>
      <c r="E573" s="36" t="n"/>
      <c r="F573" s="36" t="n"/>
      <c r="G573" s="37">
        <f>IF($A573="","",$B573+$C573-$D573-$E573)</f>
        <v/>
      </c>
      <c r="H573" s="37">
        <f>IF($A573="","",IFERROR(ROUND($G573*INDEX(tblKurallar[deger_2025],MATCH("AKV-003",tblKurallar[kural_id],0)),2),0))</f>
        <v/>
      </c>
      <c r="I573" s="37">
        <f>IF($A573="","",IFERROR(MAX(0,$H573-$F573),0))</f>
        <v/>
      </c>
    </row>
    <row r="574">
      <c r="A574" s="36" t="n"/>
      <c r="B574" s="36" t="n"/>
      <c r="C574" s="36" t="n"/>
      <c r="D574" s="36" t="n"/>
      <c r="E574" s="36" t="n"/>
      <c r="F574" s="36" t="n"/>
      <c r="G574" s="37">
        <f>IF($A574="","",$B574+$C574-$D574-$E574)</f>
        <v/>
      </c>
      <c r="H574" s="37">
        <f>IF($A574="","",IFERROR(ROUND($G574*INDEX(tblKurallar[deger_2025],MATCH("AKV-003",tblKurallar[kural_id],0)),2),0))</f>
        <v/>
      </c>
      <c r="I574" s="37">
        <f>IF($A574="","",IFERROR(MAX(0,$H574-$F574),0))</f>
        <v/>
      </c>
    </row>
    <row r="575">
      <c r="A575" s="36" t="n"/>
      <c r="B575" s="36" t="n"/>
      <c r="C575" s="36" t="n"/>
      <c r="D575" s="36" t="n"/>
      <c r="E575" s="36" t="n"/>
      <c r="F575" s="36" t="n"/>
      <c r="G575" s="37">
        <f>IF($A575="","",$B575+$C575-$D575-$E575)</f>
        <v/>
      </c>
      <c r="H575" s="37">
        <f>IF($A575="","",IFERROR(ROUND($G575*INDEX(tblKurallar[deger_2025],MATCH("AKV-003",tblKurallar[kural_id],0)),2),0))</f>
        <v/>
      </c>
      <c r="I575" s="37">
        <f>IF($A575="","",IFERROR(MAX(0,$H575-$F575),0))</f>
        <v/>
      </c>
    </row>
    <row r="576">
      <c r="A576" s="36" t="n"/>
      <c r="B576" s="36" t="n"/>
      <c r="C576" s="36" t="n"/>
      <c r="D576" s="36" t="n"/>
      <c r="E576" s="36" t="n"/>
      <c r="F576" s="36" t="n"/>
      <c r="G576" s="37">
        <f>IF($A576="","",$B576+$C576-$D576-$E576)</f>
        <v/>
      </c>
      <c r="H576" s="37">
        <f>IF($A576="","",IFERROR(ROUND($G576*INDEX(tblKurallar[deger_2025],MATCH("AKV-003",tblKurallar[kural_id],0)),2),0))</f>
        <v/>
      </c>
      <c r="I576" s="37">
        <f>IF($A576="","",IFERROR(MAX(0,$H576-$F576),0))</f>
        <v/>
      </c>
    </row>
    <row r="577">
      <c r="A577" s="36" t="n"/>
      <c r="B577" s="36" t="n"/>
      <c r="C577" s="36" t="n"/>
      <c r="D577" s="36" t="n"/>
      <c r="E577" s="36" t="n"/>
      <c r="F577" s="36" t="n"/>
      <c r="G577" s="37">
        <f>IF($A577="","",$B577+$C577-$D577-$E577)</f>
        <v/>
      </c>
      <c r="H577" s="37">
        <f>IF($A577="","",IFERROR(ROUND($G577*INDEX(tblKurallar[deger_2025],MATCH("AKV-003",tblKurallar[kural_id],0)),2),0))</f>
        <v/>
      </c>
      <c r="I577" s="37">
        <f>IF($A577="","",IFERROR(MAX(0,$H577-$F577),0))</f>
        <v/>
      </c>
    </row>
    <row r="578">
      <c r="A578" s="36" t="n"/>
      <c r="B578" s="36" t="n"/>
      <c r="C578" s="36" t="n"/>
      <c r="D578" s="36" t="n"/>
      <c r="E578" s="36" t="n"/>
      <c r="F578" s="36" t="n"/>
      <c r="G578" s="37">
        <f>IF($A578="","",$B578+$C578-$D578-$E578)</f>
        <v/>
      </c>
      <c r="H578" s="37">
        <f>IF($A578="","",IFERROR(ROUND($G578*INDEX(tblKurallar[deger_2025],MATCH("AKV-003",tblKurallar[kural_id],0)),2),0))</f>
        <v/>
      </c>
      <c r="I578" s="37">
        <f>IF($A578="","",IFERROR(MAX(0,$H578-$F578),0))</f>
        <v/>
      </c>
    </row>
    <row r="579">
      <c r="A579" s="36" t="n"/>
      <c r="B579" s="36" t="n"/>
      <c r="C579" s="36" t="n"/>
      <c r="D579" s="36" t="n"/>
      <c r="E579" s="36" t="n"/>
      <c r="F579" s="36" t="n"/>
      <c r="G579" s="37">
        <f>IF($A579="","",$B579+$C579-$D579-$E579)</f>
        <v/>
      </c>
      <c r="H579" s="37">
        <f>IF($A579="","",IFERROR(ROUND($G579*INDEX(tblKurallar[deger_2025],MATCH("AKV-003",tblKurallar[kural_id],0)),2),0))</f>
        <v/>
      </c>
      <c r="I579" s="37">
        <f>IF($A579="","",IFERROR(MAX(0,$H579-$F579),0))</f>
        <v/>
      </c>
    </row>
    <row r="580">
      <c r="A580" s="36" t="n"/>
      <c r="B580" s="36" t="n"/>
      <c r="C580" s="36" t="n"/>
      <c r="D580" s="36" t="n"/>
      <c r="E580" s="36" t="n"/>
      <c r="F580" s="36" t="n"/>
      <c r="G580" s="37">
        <f>IF($A580="","",$B580+$C580-$D580-$E580)</f>
        <v/>
      </c>
      <c r="H580" s="37">
        <f>IF($A580="","",IFERROR(ROUND($G580*INDEX(tblKurallar[deger_2025],MATCH("AKV-003",tblKurallar[kural_id],0)),2),0))</f>
        <v/>
      </c>
      <c r="I580" s="37">
        <f>IF($A580="","",IFERROR(MAX(0,$H580-$F580),0))</f>
        <v/>
      </c>
    </row>
    <row r="581">
      <c r="A581" s="36" t="n"/>
      <c r="B581" s="36" t="n"/>
      <c r="C581" s="36" t="n"/>
      <c r="D581" s="36" t="n"/>
      <c r="E581" s="36" t="n"/>
      <c r="F581" s="36" t="n"/>
      <c r="G581" s="37">
        <f>IF($A581="","",$B581+$C581-$D581-$E581)</f>
        <v/>
      </c>
      <c r="H581" s="37">
        <f>IF($A581="","",IFERROR(ROUND($G581*INDEX(tblKurallar[deger_2025],MATCH("AKV-003",tblKurallar[kural_id],0)),2),0))</f>
        <v/>
      </c>
      <c r="I581" s="37">
        <f>IF($A581="","",IFERROR(MAX(0,$H581-$F581),0))</f>
        <v/>
      </c>
    </row>
    <row r="582">
      <c r="A582" s="36" t="n"/>
      <c r="B582" s="36" t="n"/>
      <c r="C582" s="36" t="n"/>
      <c r="D582" s="36" t="n"/>
      <c r="E582" s="36" t="n"/>
      <c r="F582" s="36" t="n"/>
      <c r="G582" s="37">
        <f>IF($A582="","",$B582+$C582-$D582-$E582)</f>
        <v/>
      </c>
      <c r="H582" s="37">
        <f>IF($A582="","",IFERROR(ROUND($G582*INDEX(tblKurallar[deger_2025],MATCH("AKV-003",tblKurallar[kural_id],0)),2),0))</f>
        <v/>
      </c>
      <c r="I582" s="37">
        <f>IF($A582="","",IFERROR(MAX(0,$H582-$F582),0))</f>
        <v/>
      </c>
    </row>
    <row r="583">
      <c r="A583" s="36" t="n"/>
      <c r="B583" s="36" t="n"/>
      <c r="C583" s="36" t="n"/>
      <c r="D583" s="36" t="n"/>
      <c r="E583" s="36" t="n"/>
      <c r="F583" s="36" t="n"/>
      <c r="G583" s="37">
        <f>IF($A583="","",$B583+$C583-$D583-$E583)</f>
        <v/>
      </c>
      <c r="H583" s="37">
        <f>IF($A583="","",IFERROR(ROUND($G583*INDEX(tblKurallar[deger_2025],MATCH("AKV-003",tblKurallar[kural_id],0)),2),0))</f>
        <v/>
      </c>
      <c r="I583" s="37">
        <f>IF($A583="","",IFERROR(MAX(0,$H583-$F583),0))</f>
        <v/>
      </c>
    </row>
    <row r="584">
      <c r="A584" s="36" t="n"/>
      <c r="B584" s="36" t="n"/>
      <c r="C584" s="36" t="n"/>
      <c r="D584" s="36" t="n"/>
      <c r="E584" s="36" t="n"/>
      <c r="F584" s="36" t="n"/>
      <c r="G584" s="37">
        <f>IF($A584="","",$B584+$C584-$D584-$E584)</f>
        <v/>
      </c>
      <c r="H584" s="37">
        <f>IF($A584="","",IFERROR(ROUND($G584*INDEX(tblKurallar[deger_2025],MATCH("AKV-003",tblKurallar[kural_id],0)),2),0))</f>
        <v/>
      </c>
      <c r="I584" s="37">
        <f>IF($A584="","",IFERROR(MAX(0,$H584-$F584),0))</f>
        <v/>
      </c>
    </row>
    <row r="585">
      <c r="A585" s="36" t="n"/>
      <c r="B585" s="36" t="n"/>
      <c r="C585" s="36" t="n"/>
      <c r="D585" s="36" t="n"/>
      <c r="E585" s="36" t="n"/>
      <c r="F585" s="36" t="n"/>
      <c r="G585" s="37">
        <f>IF($A585="","",$B585+$C585-$D585-$E585)</f>
        <v/>
      </c>
      <c r="H585" s="37">
        <f>IF($A585="","",IFERROR(ROUND($G585*INDEX(tblKurallar[deger_2025],MATCH("AKV-003",tblKurallar[kural_id],0)),2),0))</f>
        <v/>
      </c>
      <c r="I585" s="37">
        <f>IF($A585="","",IFERROR(MAX(0,$H585-$F585),0))</f>
        <v/>
      </c>
    </row>
    <row r="586">
      <c r="A586" s="36" t="n"/>
      <c r="B586" s="36" t="n"/>
      <c r="C586" s="36" t="n"/>
      <c r="D586" s="36" t="n"/>
      <c r="E586" s="36" t="n"/>
      <c r="F586" s="36" t="n"/>
      <c r="G586" s="37">
        <f>IF($A586="","",$B586+$C586-$D586-$E586)</f>
        <v/>
      </c>
      <c r="H586" s="37">
        <f>IF($A586="","",IFERROR(ROUND($G586*INDEX(tblKurallar[deger_2025],MATCH("AKV-003",tblKurallar[kural_id],0)),2),0))</f>
        <v/>
      </c>
      <c r="I586" s="37">
        <f>IF($A586="","",IFERROR(MAX(0,$H586-$F586),0))</f>
        <v/>
      </c>
    </row>
    <row r="587">
      <c r="A587" s="36" t="n"/>
      <c r="B587" s="36" t="n"/>
      <c r="C587" s="36" t="n"/>
      <c r="D587" s="36" t="n"/>
      <c r="E587" s="36" t="n"/>
      <c r="F587" s="36" t="n"/>
      <c r="G587" s="37">
        <f>IF($A587="","",$B587+$C587-$D587-$E587)</f>
        <v/>
      </c>
      <c r="H587" s="37">
        <f>IF($A587="","",IFERROR(ROUND($G587*INDEX(tblKurallar[deger_2025],MATCH("AKV-003",tblKurallar[kural_id],0)),2),0))</f>
        <v/>
      </c>
      <c r="I587" s="37">
        <f>IF($A587="","",IFERROR(MAX(0,$H587-$F587),0))</f>
        <v/>
      </c>
    </row>
    <row r="588">
      <c r="A588" s="36" t="n"/>
      <c r="B588" s="36" t="n"/>
      <c r="C588" s="36" t="n"/>
      <c r="D588" s="36" t="n"/>
      <c r="E588" s="36" t="n"/>
      <c r="F588" s="36" t="n"/>
      <c r="G588" s="37">
        <f>IF($A588="","",$B588+$C588-$D588-$E588)</f>
        <v/>
      </c>
      <c r="H588" s="37">
        <f>IF($A588="","",IFERROR(ROUND($G588*INDEX(tblKurallar[deger_2025],MATCH("AKV-003",tblKurallar[kural_id],0)),2),0))</f>
        <v/>
      </c>
      <c r="I588" s="37">
        <f>IF($A588="","",IFERROR(MAX(0,$H588-$F588),0))</f>
        <v/>
      </c>
    </row>
    <row r="589">
      <c r="A589" s="36" t="n"/>
      <c r="B589" s="36" t="n"/>
      <c r="C589" s="36" t="n"/>
      <c r="D589" s="36" t="n"/>
      <c r="E589" s="36" t="n"/>
      <c r="F589" s="36" t="n"/>
      <c r="G589" s="37">
        <f>IF($A589="","",$B589+$C589-$D589-$E589)</f>
        <v/>
      </c>
      <c r="H589" s="37">
        <f>IF($A589="","",IFERROR(ROUND($G589*INDEX(tblKurallar[deger_2025],MATCH("AKV-003",tblKurallar[kural_id],0)),2),0))</f>
        <v/>
      </c>
      <c r="I589" s="37">
        <f>IF($A589="","",IFERROR(MAX(0,$H589-$F589),0))</f>
        <v/>
      </c>
    </row>
    <row r="590">
      <c r="A590" s="36" t="n"/>
      <c r="B590" s="36" t="n"/>
      <c r="C590" s="36" t="n"/>
      <c r="D590" s="36" t="n"/>
      <c r="E590" s="36" t="n"/>
      <c r="F590" s="36" t="n"/>
      <c r="G590" s="37">
        <f>IF($A590="","",$B590+$C590-$D590-$E590)</f>
        <v/>
      </c>
      <c r="H590" s="37">
        <f>IF($A590="","",IFERROR(ROUND($G590*INDEX(tblKurallar[deger_2025],MATCH("AKV-003",tblKurallar[kural_id],0)),2),0))</f>
        <v/>
      </c>
      <c r="I590" s="37">
        <f>IF($A590="","",IFERROR(MAX(0,$H590-$F590),0))</f>
        <v/>
      </c>
    </row>
    <row r="591">
      <c r="A591" s="36" t="n"/>
      <c r="B591" s="36" t="n"/>
      <c r="C591" s="36" t="n"/>
      <c r="D591" s="36" t="n"/>
      <c r="E591" s="36" t="n"/>
      <c r="F591" s="36" t="n"/>
      <c r="G591" s="37">
        <f>IF($A591="","",$B591+$C591-$D591-$E591)</f>
        <v/>
      </c>
      <c r="H591" s="37">
        <f>IF($A591="","",IFERROR(ROUND($G591*INDEX(tblKurallar[deger_2025],MATCH("AKV-003",tblKurallar[kural_id],0)),2),0))</f>
        <v/>
      </c>
      <c r="I591" s="37">
        <f>IF($A591="","",IFERROR(MAX(0,$H591-$F591),0))</f>
        <v/>
      </c>
    </row>
    <row r="592">
      <c r="A592" s="36" t="n"/>
      <c r="B592" s="36" t="n"/>
      <c r="C592" s="36" t="n"/>
      <c r="D592" s="36" t="n"/>
      <c r="E592" s="36" t="n"/>
      <c r="F592" s="36" t="n"/>
      <c r="G592" s="37">
        <f>IF($A592="","",$B592+$C592-$D592-$E592)</f>
        <v/>
      </c>
      <c r="H592" s="37">
        <f>IF($A592="","",IFERROR(ROUND($G592*INDEX(tblKurallar[deger_2025],MATCH("AKV-003",tblKurallar[kural_id],0)),2),0))</f>
        <v/>
      </c>
      <c r="I592" s="37">
        <f>IF($A592="","",IFERROR(MAX(0,$H592-$F592),0))</f>
        <v/>
      </c>
    </row>
    <row r="593">
      <c r="A593" s="36" t="n"/>
      <c r="B593" s="36" t="n"/>
      <c r="C593" s="36" t="n"/>
      <c r="D593" s="36" t="n"/>
      <c r="E593" s="36" t="n"/>
      <c r="F593" s="36" t="n"/>
      <c r="G593" s="37">
        <f>IF($A593="","",$B593+$C593-$D593-$E593)</f>
        <v/>
      </c>
      <c r="H593" s="37">
        <f>IF($A593="","",IFERROR(ROUND($G593*INDEX(tblKurallar[deger_2025],MATCH("AKV-003",tblKurallar[kural_id],0)),2),0))</f>
        <v/>
      </c>
      <c r="I593" s="37">
        <f>IF($A593="","",IFERROR(MAX(0,$H593-$F593),0))</f>
        <v/>
      </c>
    </row>
    <row r="594">
      <c r="A594" s="36" t="n"/>
      <c r="B594" s="36" t="n"/>
      <c r="C594" s="36" t="n"/>
      <c r="D594" s="36" t="n"/>
      <c r="E594" s="36" t="n"/>
      <c r="F594" s="36" t="n"/>
      <c r="G594" s="37">
        <f>IF($A594="","",$B594+$C594-$D594-$E594)</f>
        <v/>
      </c>
      <c r="H594" s="37">
        <f>IF($A594="","",IFERROR(ROUND($G594*INDEX(tblKurallar[deger_2025],MATCH("AKV-003",tblKurallar[kural_id],0)),2),0))</f>
        <v/>
      </c>
      <c r="I594" s="37">
        <f>IF($A594="","",IFERROR(MAX(0,$H594-$F594),0))</f>
        <v/>
      </c>
    </row>
    <row r="595">
      <c r="A595" s="36" t="n"/>
      <c r="B595" s="36" t="n"/>
      <c r="C595" s="36" t="n"/>
      <c r="D595" s="36" t="n"/>
      <c r="E595" s="36" t="n"/>
      <c r="F595" s="36" t="n"/>
      <c r="G595" s="37">
        <f>IF($A595="","",$B595+$C595-$D595-$E595)</f>
        <v/>
      </c>
      <c r="H595" s="37">
        <f>IF($A595="","",IFERROR(ROUND($G595*INDEX(tblKurallar[deger_2025],MATCH("AKV-003",tblKurallar[kural_id],0)),2),0))</f>
        <v/>
      </c>
      <c r="I595" s="37">
        <f>IF($A595="","",IFERROR(MAX(0,$H595-$F595),0))</f>
        <v/>
      </c>
    </row>
    <row r="596">
      <c r="A596" s="36" t="n"/>
      <c r="B596" s="36" t="n"/>
      <c r="C596" s="36" t="n"/>
      <c r="D596" s="36" t="n"/>
      <c r="E596" s="36" t="n"/>
      <c r="F596" s="36" t="n"/>
      <c r="G596" s="37">
        <f>IF($A596="","",$B596+$C596-$D596-$E596)</f>
        <v/>
      </c>
      <c r="H596" s="37">
        <f>IF($A596="","",IFERROR(ROUND($G596*INDEX(tblKurallar[deger_2025],MATCH("AKV-003",tblKurallar[kural_id],0)),2),0))</f>
        <v/>
      </c>
      <c r="I596" s="37">
        <f>IF($A596="","",IFERROR(MAX(0,$H596-$F596),0))</f>
        <v/>
      </c>
    </row>
    <row r="597">
      <c r="A597" s="36" t="n"/>
      <c r="B597" s="36" t="n"/>
      <c r="C597" s="36" t="n"/>
      <c r="D597" s="36" t="n"/>
      <c r="E597" s="36" t="n"/>
      <c r="F597" s="36" t="n"/>
      <c r="G597" s="37">
        <f>IF($A597="","",$B597+$C597-$D597-$E597)</f>
        <v/>
      </c>
      <c r="H597" s="37">
        <f>IF($A597="","",IFERROR(ROUND($G597*INDEX(tblKurallar[deger_2025],MATCH("AKV-003",tblKurallar[kural_id],0)),2),0))</f>
        <v/>
      </c>
      <c r="I597" s="37">
        <f>IF($A597="","",IFERROR(MAX(0,$H597-$F597),0))</f>
        <v/>
      </c>
    </row>
    <row r="598">
      <c r="A598" s="36" t="n"/>
      <c r="B598" s="36" t="n"/>
      <c r="C598" s="36" t="n"/>
      <c r="D598" s="36" t="n"/>
      <c r="E598" s="36" t="n"/>
      <c r="F598" s="36" t="n"/>
      <c r="G598" s="37">
        <f>IF($A598="","",$B598+$C598-$D598-$E598)</f>
        <v/>
      </c>
      <c r="H598" s="37">
        <f>IF($A598="","",IFERROR(ROUND($G598*INDEX(tblKurallar[deger_2025],MATCH("AKV-003",tblKurallar[kural_id],0)),2),0))</f>
        <v/>
      </c>
      <c r="I598" s="37">
        <f>IF($A598="","",IFERROR(MAX(0,$H598-$F598),0))</f>
        <v/>
      </c>
    </row>
    <row r="599">
      <c r="A599" s="36" t="n"/>
      <c r="B599" s="36" t="n"/>
      <c r="C599" s="36" t="n"/>
      <c r="D599" s="36" t="n"/>
      <c r="E599" s="36" t="n"/>
      <c r="F599" s="36" t="n"/>
      <c r="G599" s="37">
        <f>IF($A599="","",$B599+$C599-$D599-$E599)</f>
        <v/>
      </c>
      <c r="H599" s="37">
        <f>IF($A599="","",IFERROR(ROUND($G599*INDEX(tblKurallar[deger_2025],MATCH("AKV-003",tblKurallar[kural_id],0)),2),0))</f>
        <v/>
      </c>
      <c r="I599" s="37">
        <f>IF($A599="","",IFERROR(MAX(0,$H599-$F599),0))</f>
        <v/>
      </c>
    </row>
    <row r="600">
      <c r="A600" s="36" t="n"/>
      <c r="B600" s="36" t="n"/>
      <c r="C600" s="36" t="n"/>
      <c r="D600" s="36" t="n"/>
      <c r="E600" s="36" t="n"/>
      <c r="F600" s="36" t="n"/>
      <c r="G600" s="37">
        <f>IF($A600="","",$B600+$C600-$D600-$E600)</f>
        <v/>
      </c>
      <c r="H600" s="37">
        <f>IF($A600="","",IFERROR(ROUND($G600*INDEX(tblKurallar[deger_2025],MATCH("AKV-003",tblKurallar[kural_id],0)),2),0))</f>
        <v/>
      </c>
      <c r="I600" s="37">
        <f>IF($A600="","",IFERROR(MAX(0,$H600-$F600),0))</f>
        <v/>
      </c>
    </row>
    <row r="601">
      <c r="A601" s="36" t="n"/>
      <c r="B601" s="36" t="n"/>
      <c r="C601" s="36" t="n"/>
      <c r="D601" s="36" t="n"/>
      <c r="E601" s="36" t="n"/>
      <c r="F601" s="36" t="n"/>
      <c r="G601" s="37">
        <f>IF($A601="","",$B601+$C601-$D601-$E601)</f>
        <v/>
      </c>
      <c r="H601" s="37">
        <f>IF($A601="","",IFERROR(ROUND($G601*INDEX(tblKurallar[deger_2025],MATCH("AKV-003",tblKurallar[kural_id],0)),2),0))</f>
        <v/>
      </c>
      <c r="I601" s="37">
        <f>IF($A601="","",IFERROR(MAX(0,$H601-$F601),0))</f>
        <v/>
      </c>
    </row>
    <row r="602">
      <c r="A602" s="36" t="n"/>
      <c r="B602" s="36" t="n"/>
      <c r="C602" s="36" t="n"/>
      <c r="D602" s="36" t="n"/>
      <c r="E602" s="36" t="n"/>
      <c r="F602" s="36" t="n"/>
      <c r="G602" s="37">
        <f>IF($A602="","",$B602+$C602-$D602-$E602)</f>
        <v/>
      </c>
      <c r="H602" s="37">
        <f>IF($A602="","",IFERROR(ROUND($G602*INDEX(tblKurallar[deger_2025],MATCH("AKV-003",tblKurallar[kural_id],0)),2),0))</f>
        <v/>
      </c>
      <c r="I602" s="37">
        <f>IF($A602="","",IFERROR(MAX(0,$H602-$F602),0))</f>
        <v/>
      </c>
    </row>
    <row r="603">
      <c r="A603" s="36" t="n"/>
      <c r="B603" s="36" t="n"/>
      <c r="C603" s="36" t="n"/>
      <c r="D603" s="36" t="n"/>
      <c r="E603" s="36" t="n"/>
      <c r="F603" s="36" t="n"/>
      <c r="G603" s="37">
        <f>IF($A603="","",$B603+$C603-$D603-$E603)</f>
        <v/>
      </c>
      <c r="H603" s="37">
        <f>IF($A603="","",IFERROR(ROUND($G603*INDEX(tblKurallar[deger_2025],MATCH("AKV-003",tblKurallar[kural_id],0)),2),0))</f>
        <v/>
      </c>
      <c r="I603" s="37">
        <f>IF($A603="","",IFERROR(MAX(0,$H603-$F603),0))</f>
        <v/>
      </c>
    </row>
    <row r="604">
      <c r="A604" s="36" t="n"/>
      <c r="B604" s="36" t="n"/>
      <c r="C604" s="36" t="n"/>
      <c r="D604" s="36" t="n"/>
      <c r="E604" s="36" t="n"/>
      <c r="F604" s="36" t="n"/>
      <c r="G604" s="37">
        <f>IF($A604="","",$B604+$C604-$D604-$E604)</f>
        <v/>
      </c>
      <c r="H604" s="37">
        <f>IF($A604="","",IFERROR(ROUND($G604*INDEX(tblKurallar[deger_2025],MATCH("AKV-003",tblKurallar[kural_id],0)),2),0))</f>
        <v/>
      </c>
      <c r="I604" s="37">
        <f>IF($A604="","",IFERROR(MAX(0,$H604-$F604),0))</f>
        <v/>
      </c>
    </row>
    <row r="605">
      <c r="A605" s="36" t="n"/>
      <c r="B605" s="36" t="n"/>
      <c r="C605" s="36" t="n"/>
      <c r="D605" s="36" t="n"/>
      <c r="E605" s="36" t="n"/>
      <c r="F605" s="36" t="n"/>
      <c r="G605" s="37">
        <f>IF($A605="","",$B605+$C605-$D605-$E605)</f>
        <v/>
      </c>
      <c r="H605" s="37">
        <f>IF($A605="","",IFERROR(ROUND($G605*INDEX(tblKurallar[deger_2025],MATCH("AKV-003",tblKurallar[kural_id],0)),2),0))</f>
        <v/>
      </c>
      <c r="I605" s="37">
        <f>IF($A605="","",IFERROR(MAX(0,$H605-$F605),0))</f>
        <v/>
      </c>
    </row>
    <row r="606">
      <c r="A606" s="36" t="n"/>
      <c r="B606" s="36" t="n"/>
      <c r="C606" s="36" t="n"/>
      <c r="D606" s="36" t="n"/>
      <c r="E606" s="36" t="n"/>
      <c r="F606" s="36" t="n"/>
      <c r="G606" s="37">
        <f>IF($A606="","",$B606+$C606-$D606-$E606)</f>
        <v/>
      </c>
      <c r="H606" s="37">
        <f>IF($A606="","",IFERROR(ROUND($G606*INDEX(tblKurallar[deger_2025],MATCH("AKV-003",tblKurallar[kural_id],0)),2),0))</f>
        <v/>
      </c>
      <c r="I606" s="37">
        <f>IF($A606="","",IFERROR(MAX(0,$H606-$F606),0))</f>
        <v/>
      </c>
    </row>
    <row r="607">
      <c r="A607" s="36" t="n"/>
      <c r="B607" s="36" t="n"/>
      <c r="C607" s="36" t="n"/>
      <c r="D607" s="36" t="n"/>
      <c r="E607" s="36" t="n"/>
      <c r="F607" s="36" t="n"/>
      <c r="G607" s="37">
        <f>IF($A607="","",$B607+$C607-$D607-$E607)</f>
        <v/>
      </c>
      <c r="H607" s="37">
        <f>IF($A607="","",IFERROR(ROUND($G607*INDEX(tblKurallar[deger_2025],MATCH("AKV-003",tblKurallar[kural_id],0)),2),0))</f>
        <v/>
      </c>
      <c r="I607" s="37">
        <f>IF($A607="","",IFERROR(MAX(0,$H607-$F607),0))</f>
        <v/>
      </c>
    </row>
    <row r="608">
      <c r="A608" s="36" t="n"/>
      <c r="B608" s="36" t="n"/>
      <c r="C608" s="36" t="n"/>
      <c r="D608" s="36" t="n"/>
      <c r="E608" s="36" t="n"/>
      <c r="F608" s="36" t="n"/>
      <c r="G608" s="37">
        <f>IF($A608="","",$B608+$C608-$D608-$E608)</f>
        <v/>
      </c>
      <c r="H608" s="37">
        <f>IF($A608="","",IFERROR(ROUND($G608*INDEX(tblKurallar[deger_2025],MATCH("AKV-003",tblKurallar[kural_id],0)),2),0))</f>
        <v/>
      </c>
      <c r="I608" s="37">
        <f>IF($A608="","",IFERROR(MAX(0,$H608-$F608),0))</f>
        <v/>
      </c>
    </row>
    <row r="609">
      <c r="A609" s="36" t="n"/>
      <c r="B609" s="36" t="n"/>
      <c r="C609" s="36" t="n"/>
      <c r="D609" s="36" t="n"/>
      <c r="E609" s="36" t="n"/>
      <c r="F609" s="36" t="n"/>
      <c r="G609" s="37">
        <f>IF($A609="","",$B609+$C609-$D609-$E609)</f>
        <v/>
      </c>
      <c r="H609" s="37">
        <f>IF($A609="","",IFERROR(ROUND($G609*INDEX(tblKurallar[deger_2025],MATCH("AKV-003",tblKurallar[kural_id],0)),2),0))</f>
        <v/>
      </c>
      <c r="I609" s="37">
        <f>IF($A609="","",IFERROR(MAX(0,$H609-$F609),0))</f>
        <v/>
      </c>
    </row>
    <row r="610">
      <c r="A610" s="36" t="n"/>
      <c r="B610" s="36" t="n"/>
      <c r="C610" s="36" t="n"/>
      <c r="D610" s="36" t="n"/>
      <c r="E610" s="36" t="n"/>
      <c r="F610" s="36" t="n"/>
      <c r="G610" s="37">
        <f>IF($A610="","",$B610+$C610-$D610-$E610)</f>
        <v/>
      </c>
      <c r="H610" s="37">
        <f>IF($A610="","",IFERROR(ROUND($G610*INDEX(tblKurallar[deger_2025],MATCH("AKV-003",tblKurallar[kural_id],0)),2),0))</f>
        <v/>
      </c>
      <c r="I610" s="37">
        <f>IF($A610="","",IFERROR(MAX(0,$H610-$F610),0))</f>
        <v/>
      </c>
    </row>
    <row r="611">
      <c r="A611" s="36" t="n"/>
      <c r="B611" s="36" t="n"/>
      <c r="C611" s="36" t="n"/>
      <c r="D611" s="36" t="n"/>
      <c r="E611" s="36" t="n"/>
      <c r="F611" s="36" t="n"/>
      <c r="G611" s="37">
        <f>IF($A611="","",$B611+$C611-$D611-$E611)</f>
        <v/>
      </c>
      <c r="H611" s="37">
        <f>IF($A611="","",IFERROR(ROUND($G611*INDEX(tblKurallar[deger_2025],MATCH("AKV-003",tblKurallar[kural_id],0)),2),0))</f>
        <v/>
      </c>
      <c r="I611" s="37">
        <f>IF($A611="","",IFERROR(MAX(0,$H611-$F611),0))</f>
        <v/>
      </c>
    </row>
    <row r="612">
      <c r="A612" s="36" t="n"/>
      <c r="B612" s="36" t="n"/>
      <c r="C612" s="36" t="n"/>
      <c r="D612" s="36" t="n"/>
      <c r="E612" s="36" t="n"/>
      <c r="F612" s="36" t="n"/>
      <c r="G612" s="37">
        <f>IF($A612="","",$B612+$C612-$D612-$E612)</f>
        <v/>
      </c>
      <c r="H612" s="37">
        <f>IF($A612="","",IFERROR(ROUND($G612*INDEX(tblKurallar[deger_2025],MATCH("AKV-003",tblKurallar[kural_id],0)),2),0))</f>
        <v/>
      </c>
      <c r="I612" s="37">
        <f>IF($A612="","",IFERROR(MAX(0,$H612-$F612),0))</f>
        <v/>
      </c>
    </row>
    <row r="613">
      <c r="A613" s="36" t="n"/>
      <c r="B613" s="36" t="n"/>
      <c r="C613" s="36" t="n"/>
      <c r="D613" s="36" t="n"/>
      <c r="E613" s="36" t="n"/>
      <c r="F613" s="36" t="n"/>
      <c r="G613" s="37">
        <f>IF($A613="","",$B613+$C613-$D613-$E613)</f>
        <v/>
      </c>
      <c r="H613" s="37">
        <f>IF($A613="","",IFERROR(ROUND($G613*INDEX(tblKurallar[deger_2025],MATCH("AKV-003",tblKurallar[kural_id],0)),2),0))</f>
        <v/>
      </c>
      <c r="I613" s="37">
        <f>IF($A613="","",IFERROR(MAX(0,$H613-$F613),0))</f>
        <v/>
      </c>
    </row>
    <row r="614">
      <c r="A614" s="36" t="n"/>
      <c r="B614" s="36" t="n"/>
      <c r="C614" s="36" t="n"/>
      <c r="D614" s="36" t="n"/>
      <c r="E614" s="36" t="n"/>
      <c r="F614" s="36" t="n"/>
      <c r="G614" s="37">
        <f>IF($A614="","",$B614+$C614-$D614-$E614)</f>
        <v/>
      </c>
      <c r="H614" s="37">
        <f>IF($A614="","",IFERROR(ROUND($G614*INDEX(tblKurallar[deger_2025],MATCH("AKV-003",tblKurallar[kural_id],0)),2),0))</f>
        <v/>
      </c>
      <c r="I614" s="37">
        <f>IF($A614="","",IFERROR(MAX(0,$H614-$F614),0))</f>
        <v/>
      </c>
    </row>
    <row r="615">
      <c r="A615" s="36" t="n"/>
      <c r="B615" s="36" t="n"/>
      <c r="C615" s="36" t="n"/>
      <c r="D615" s="36" t="n"/>
      <c r="E615" s="36" t="n"/>
      <c r="F615" s="36" t="n"/>
      <c r="G615" s="37">
        <f>IF($A615="","",$B615+$C615-$D615-$E615)</f>
        <v/>
      </c>
      <c r="H615" s="37">
        <f>IF($A615="","",IFERROR(ROUND($G615*INDEX(tblKurallar[deger_2025],MATCH("AKV-003",tblKurallar[kural_id],0)),2),0))</f>
        <v/>
      </c>
      <c r="I615" s="37">
        <f>IF($A615="","",IFERROR(MAX(0,$H615-$F615),0))</f>
        <v/>
      </c>
    </row>
    <row r="616">
      <c r="A616" s="36" t="n"/>
      <c r="B616" s="36" t="n"/>
      <c r="C616" s="36" t="n"/>
      <c r="D616" s="36" t="n"/>
      <c r="E616" s="36" t="n"/>
      <c r="F616" s="36" t="n"/>
      <c r="G616" s="37">
        <f>IF($A616="","",$B616+$C616-$D616-$E616)</f>
        <v/>
      </c>
      <c r="H616" s="37">
        <f>IF($A616="","",IFERROR(ROUND($G616*INDEX(tblKurallar[deger_2025],MATCH("AKV-003",tblKurallar[kural_id],0)),2),0))</f>
        <v/>
      </c>
      <c r="I616" s="37">
        <f>IF($A616="","",IFERROR(MAX(0,$H616-$F616),0))</f>
        <v/>
      </c>
    </row>
    <row r="617">
      <c r="A617" s="36" t="n"/>
      <c r="B617" s="36" t="n"/>
      <c r="C617" s="36" t="n"/>
      <c r="D617" s="36" t="n"/>
      <c r="E617" s="36" t="n"/>
      <c r="F617" s="36" t="n"/>
      <c r="G617" s="37">
        <f>IF($A617="","",$B617+$C617-$D617-$E617)</f>
        <v/>
      </c>
      <c r="H617" s="37">
        <f>IF($A617="","",IFERROR(ROUND($G617*INDEX(tblKurallar[deger_2025],MATCH("AKV-003",tblKurallar[kural_id],0)),2),0))</f>
        <v/>
      </c>
      <c r="I617" s="37">
        <f>IF($A617="","",IFERROR(MAX(0,$H617-$F617),0))</f>
        <v/>
      </c>
    </row>
    <row r="618">
      <c r="A618" s="36" t="n"/>
      <c r="B618" s="36" t="n"/>
      <c r="C618" s="36" t="n"/>
      <c r="D618" s="36" t="n"/>
      <c r="E618" s="36" t="n"/>
      <c r="F618" s="36" t="n"/>
      <c r="G618" s="37">
        <f>IF($A618="","",$B618+$C618-$D618-$E618)</f>
        <v/>
      </c>
      <c r="H618" s="37">
        <f>IF($A618="","",IFERROR(ROUND($G618*INDEX(tblKurallar[deger_2025],MATCH("AKV-003",tblKurallar[kural_id],0)),2),0))</f>
        <v/>
      </c>
      <c r="I618" s="37">
        <f>IF($A618="","",IFERROR(MAX(0,$H618-$F618),0))</f>
        <v/>
      </c>
    </row>
    <row r="619">
      <c r="A619" s="36" t="n"/>
      <c r="B619" s="36" t="n"/>
      <c r="C619" s="36" t="n"/>
      <c r="D619" s="36" t="n"/>
      <c r="E619" s="36" t="n"/>
      <c r="F619" s="36" t="n"/>
      <c r="G619" s="37">
        <f>IF($A619="","",$B619+$C619-$D619-$E619)</f>
        <v/>
      </c>
      <c r="H619" s="37">
        <f>IF($A619="","",IFERROR(ROUND($G619*INDEX(tblKurallar[deger_2025],MATCH("AKV-003",tblKurallar[kural_id],0)),2),0))</f>
        <v/>
      </c>
      <c r="I619" s="37">
        <f>IF($A619="","",IFERROR(MAX(0,$H619-$F619),0))</f>
        <v/>
      </c>
    </row>
    <row r="620">
      <c r="A620" s="36" t="n"/>
      <c r="B620" s="36" t="n"/>
      <c r="C620" s="36" t="n"/>
      <c r="D620" s="36" t="n"/>
      <c r="E620" s="36" t="n"/>
      <c r="F620" s="36" t="n"/>
      <c r="G620" s="37">
        <f>IF($A620="","",$B620+$C620-$D620-$E620)</f>
        <v/>
      </c>
      <c r="H620" s="37">
        <f>IF($A620="","",IFERROR(ROUND($G620*INDEX(tblKurallar[deger_2025],MATCH("AKV-003",tblKurallar[kural_id],0)),2),0))</f>
        <v/>
      </c>
      <c r="I620" s="37">
        <f>IF($A620="","",IFERROR(MAX(0,$H620-$F620),0))</f>
        <v/>
      </c>
    </row>
    <row r="621">
      <c r="A621" s="36" t="n"/>
      <c r="B621" s="36" t="n"/>
      <c r="C621" s="36" t="n"/>
      <c r="D621" s="36" t="n"/>
      <c r="E621" s="36" t="n"/>
      <c r="F621" s="36" t="n"/>
      <c r="G621" s="37">
        <f>IF($A621="","",$B621+$C621-$D621-$E621)</f>
        <v/>
      </c>
      <c r="H621" s="37">
        <f>IF($A621="","",IFERROR(ROUND($G621*INDEX(tblKurallar[deger_2025],MATCH("AKV-003",tblKurallar[kural_id],0)),2),0))</f>
        <v/>
      </c>
      <c r="I621" s="37">
        <f>IF($A621="","",IFERROR(MAX(0,$H621-$F621),0))</f>
        <v/>
      </c>
    </row>
    <row r="622">
      <c r="A622" s="36" t="n"/>
      <c r="B622" s="36" t="n"/>
      <c r="C622" s="36" t="n"/>
      <c r="D622" s="36" t="n"/>
      <c r="E622" s="36" t="n"/>
      <c r="F622" s="36" t="n"/>
      <c r="G622" s="37">
        <f>IF($A622="","",$B622+$C622-$D622-$E622)</f>
        <v/>
      </c>
      <c r="H622" s="37">
        <f>IF($A622="","",IFERROR(ROUND($G622*INDEX(tblKurallar[deger_2025],MATCH("AKV-003",tblKurallar[kural_id],0)),2),0))</f>
        <v/>
      </c>
      <c r="I622" s="37">
        <f>IF($A622="","",IFERROR(MAX(0,$H622-$F622),0))</f>
        <v/>
      </c>
    </row>
    <row r="623">
      <c r="A623" s="36" t="n"/>
      <c r="B623" s="36" t="n"/>
      <c r="C623" s="36" t="n"/>
      <c r="D623" s="36" t="n"/>
      <c r="E623" s="36" t="n"/>
      <c r="F623" s="36" t="n"/>
      <c r="G623" s="37">
        <f>IF($A623="","",$B623+$C623-$D623-$E623)</f>
        <v/>
      </c>
      <c r="H623" s="37">
        <f>IF($A623="","",IFERROR(ROUND($G623*INDEX(tblKurallar[deger_2025],MATCH("AKV-003",tblKurallar[kural_id],0)),2),0))</f>
        <v/>
      </c>
      <c r="I623" s="37">
        <f>IF($A623="","",IFERROR(MAX(0,$H623-$F623),0))</f>
        <v/>
      </c>
    </row>
    <row r="624">
      <c r="A624" s="36" t="n"/>
      <c r="B624" s="36" t="n"/>
      <c r="C624" s="36" t="n"/>
      <c r="D624" s="36" t="n"/>
      <c r="E624" s="36" t="n"/>
      <c r="F624" s="36" t="n"/>
      <c r="G624" s="37">
        <f>IF($A624="","",$B624+$C624-$D624-$E624)</f>
        <v/>
      </c>
      <c r="H624" s="37">
        <f>IF($A624="","",IFERROR(ROUND($G624*INDEX(tblKurallar[deger_2025],MATCH("AKV-003",tblKurallar[kural_id],0)),2),0))</f>
        <v/>
      </c>
      <c r="I624" s="37">
        <f>IF($A624="","",IFERROR(MAX(0,$H624-$F624),0))</f>
        <v/>
      </c>
    </row>
    <row r="625">
      <c r="A625" s="36" t="n"/>
      <c r="B625" s="36" t="n"/>
      <c r="C625" s="36" t="n"/>
      <c r="D625" s="36" t="n"/>
      <c r="E625" s="36" t="n"/>
      <c r="F625" s="36" t="n"/>
      <c r="G625" s="37">
        <f>IF($A625="","",$B625+$C625-$D625-$E625)</f>
        <v/>
      </c>
      <c r="H625" s="37">
        <f>IF($A625="","",IFERROR(ROUND($G625*INDEX(tblKurallar[deger_2025],MATCH("AKV-003",tblKurallar[kural_id],0)),2),0))</f>
        <v/>
      </c>
      <c r="I625" s="37">
        <f>IF($A625="","",IFERROR(MAX(0,$H625-$F625),0))</f>
        <v/>
      </c>
    </row>
    <row r="626">
      <c r="A626" s="36" t="n"/>
      <c r="B626" s="36" t="n"/>
      <c r="C626" s="36" t="n"/>
      <c r="D626" s="36" t="n"/>
      <c r="E626" s="36" t="n"/>
      <c r="F626" s="36" t="n"/>
      <c r="G626" s="37">
        <f>IF($A626="","",$B626+$C626-$D626-$E626)</f>
        <v/>
      </c>
      <c r="H626" s="37">
        <f>IF($A626="","",IFERROR(ROUND($G626*INDEX(tblKurallar[deger_2025],MATCH("AKV-003",tblKurallar[kural_id],0)),2),0))</f>
        <v/>
      </c>
      <c r="I626" s="37">
        <f>IF($A626="","",IFERROR(MAX(0,$H626-$F626),0))</f>
        <v/>
      </c>
    </row>
    <row r="627">
      <c r="A627" s="36" t="n"/>
      <c r="B627" s="36" t="n"/>
      <c r="C627" s="36" t="n"/>
      <c r="D627" s="36" t="n"/>
      <c r="E627" s="36" t="n"/>
      <c r="F627" s="36" t="n"/>
      <c r="G627" s="37">
        <f>IF($A627="","",$B627+$C627-$D627-$E627)</f>
        <v/>
      </c>
      <c r="H627" s="37">
        <f>IF($A627="","",IFERROR(ROUND($G627*INDEX(tblKurallar[deger_2025],MATCH("AKV-003",tblKurallar[kural_id],0)),2),0))</f>
        <v/>
      </c>
      <c r="I627" s="37">
        <f>IF($A627="","",IFERROR(MAX(0,$H627-$F627),0))</f>
        <v/>
      </c>
    </row>
    <row r="628">
      <c r="A628" s="36" t="n"/>
      <c r="B628" s="36" t="n"/>
      <c r="C628" s="36" t="n"/>
      <c r="D628" s="36" t="n"/>
      <c r="E628" s="36" t="n"/>
      <c r="F628" s="36" t="n"/>
      <c r="G628" s="37">
        <f>IF($A628="","",$B628+$C628-$D628-$E628)</f>
        <v/>
      </c>
      <c r="H628" s="37">
        <f>IF($A628="","",IFERROR(ROUND($G628*INDEX(tblKurallar[deger_2025],MATCH("AKV-003",tblKurallar[kural_id],0)),2),0))</f>
        <v/>
      </c>
      <c r="I628" s="37">
        <f>IF($A628="","",IFERROR(MAX(0,$H628-$F628),0))</f>
        <v/>
      </c>
    </row>
    <row r="629">
      <c r="A629" s="36" t="n"/>
      <c r="B629" s="36" t="n"/>
      <c r="C629" s="36" t="n"/>
      <c r="D629" s="36" t="n"/>
      <c r="E629" s="36" t="n"/>
      <c r="F629" s="36" t="n"/>
      <c r="G629" s="37">
        <f>IF($A629="","",$B629+$C629-$D629-$E629)</f>
        <v/>
      </c>
      <c r="H629" s="37">
        <f>IF($A629="","",IFERROR(ROUND($G629*INDEX(tblKurallar[deger_2025],MATCH("AKV-003",tblKurallar[kural_id],0)),2),0))</f>
        <v/>
      </c>
      <c r="I629" s="37">
        <f>IF($A629="","",IFERROR(MAX(0,$H629-$F629),0))</f>
        <v/>
      </c>
    </row>
    <row r="630">
      <c r="A630" s="36" t="n"/>
      <c r="B630" s="36" t="n"/>
      <c r="C630" s="36" t="n"/>
      <c r="D630" s="36" t="n"/>
      <c r="E630" s="36" t="n"/>
      <c r="F630" s="36" t="n"/>
      <c r="G630" s="37">
        <f>IF($A630="","",$B630+$C630-$D630-$E630)</f>
        <v/>
      </c>
      <c r="H630" s="37">
        <f>IF($A630="","",IFERROR(ROUND($G630*INDEX(tblKurallar[deger_2025],MATCH("AKV-003",tblKurallar[kural_id],0)),2),0))</f>
        <v/>
      </c>
      <c r="I630" s="37">
        <f>IF($A630="","",IFERROR(MAX(0,$H630-$F630),0))</f>
        <v/>
      </c>
    </row>
    <row r="631">
      <c r="A631" s="36" t="n"/>
      <c r="B631" s="36" t="n"/>
      <c r="C631" s="36" t="n"/>
      <c r="D631" s="36" t="n"/>
      <c r="E631" s="36" t="n"/>
      <c r="F631" s="36" t="n"/>
      <c r="G631" s="37">
        <f>IF($A631="","",$B631+$C631-$D631-$E631)</f>
        <v/>
      </c>
      <c r="H631" s="37">
        <f>IF($A631="","",IFERROR(ROUND($G631*INDEX(tblKurallar[deger_2025],MATCH("AKV-003",tblKurallar[kural_id],0)),2),0))</f>
        <v/>
      </c>
      <c r="I631" s="37">
        <f>IF($A631="","",IFERROR(MAX(0,$H631-$F631),0))</f>
        <v/>
      </c>
    </row>
    <row r="632">
      <c r="A632" s="36" t="n"/>
      <c r="B632" s="36" t="n"/>
      <c r="C632" s="36" t="n"/>
      <c r="D632" s="36" t="n"/>
      <c r="E632" s="36" t="n"/>
      <c r="F632" s="36" t="n"/>
      <c r="G632" s="37">
        <f>IF($A632="","",$B632+$C632-$D632-$E632)</f>
        <v/>
      </c>
      <c r="H632" s="37">
        <f>IF($A632="","",IFERROR(ROUND($G632*INDEX(tblKurallar[deger_2025],MATCH("AKV-003",tblKurallar[kural_id],0)),2),0))</f>
        <v/>
      </c>
      <c r="I632" s="37">
        <f>IF($A632="","",IFERROR(MAX(0,$H632-$F632),0))</f>
        <v/>
      </c>
    </row>
    <row r="633">
      <c r="A633" s="36" t="n"/>
      <c r="B633" s="36" t="n"/>
      <c r="C633" s="36" t="n"/>
      <c r="D633" s="36" t="n"/>
      <c r="E633" s="36" t="n"/>
      <c r="F633" s="36" t="n"/>
      <c r="G633" s="37">
        <f>IF($A633="","",$B633+$C633-$D633-$E633)</f>
        <v/>
      </c>
      <c r="H633" s="37">
        <f>IF($A633="","",IFERROR(ROUND($G633*INDEX(tblKurallar[deger_2025],MATCH("AKV-003",tblKurallar[kural_id],0)),2),0))</f>
        <v/>
      </c>
      <c r="I633" s="37">
        <f>IF($A633="","",IFERROR(MAX(0,$H633-$F633),0))</f>
        <v/>
      </c>
    </row>
    <row r="634">
      <c r="A634" s="36" t="n"/>
      <c r="B634" s="36" t="n"/>
      <c r="C634" s="36" t="n"/>
      <c r="D634" s="36" t="n"/>
      <c r="E634" s="36" t="n"/>
      <c r="F634" s="36" t="n"/>
      <c r="G634" s="37">
        <f>IF($A634="","",$B634+$C634-$D634-$E634)</f>
        <v/>
      </c>
      <c r="H634" s="37">
        <f>IF($A634="","",IFERROR(ROUND($G634*INDEX(tblKurallar[deger_2025],MATCH("AKV-003",tblKurallar[kural_id],0)),2),0))</f>
        <v/>
      </c>
      <c r="I634" s="37">
        <f>IF($A634="","",IFERROR(MAX(0,$H634-$F634),0))</f>
        <v/>
      </c>
    </row>
    <row r="635">
      <c r="A635" s="36" t="n"/>
      <c r="B635" s="36" t="n"/>
      <c r="C635" s="36" t="n"/>
      <c r="D635" s="36" t="n"/>
      <c r="E635" s="36" t="n"/>
      <c r="F635" s="36" t="n"/>
      <c r="G635" s="37">
        <f>IF($A635="","",$B635+$C635-$D635-$E635)</f>
        <v/>
      </c>
      <c r="H635" s="37">
        <f>IF($A635="","",IFERROR(ROUND($G635*INDEX(tblKurallar[deger_2025],MATCH("AKV-003",tblKurallar[kural_id],0)),2),0))</f>
        <v/>
      </c>
      <c r="I635" s="37">
        <f>IF($A635="","",IFERROR(MAX(0,$H635-$F635),0))</f>
        <v/>
      </c>
    </row>
    <row r="636">
      <c r="A636" s="36" t="n"/>
      <c r="B636" s="36" t="n"/>
      <c r="C636" s="36" t="n"/>
      <c r="D636" s="36" t="n"/>
      <c r="E636" s="36" t="n"/>
      <c r="F636" s="36" t="n"/>
      <c r="G636" s="37">
        <f>IF($A636="","",$B636+$C636-$D636-$E636)</f>
        <v/>
      </c>
      <c r="H636" s="37">
        <f>IF($A636="","",IFERROR(ROUND($G636*INDEX(tblKurallar[deger_2025],MATCH("AKV-003",tblKurallar[kural_id],0)),2),0))</f>
        <v/>
      </c>
      <c r="I636" s="37">
        <f>IF($A636="","",IFERROR(MAX(0,$H636-$F636),0))</f>
        <v/>
      </c>
    </row>
    <row r="637">
      <c r="A637" s="36" t="n"/>
      <c r="B637" s="36" t="n"/>
      <c r="C637" s="36" t="n"/>
      <c r="D637" s="36" t="n"/>
      <c r="E637" s="36" t="n"/>
      <c r="F637" s="36" t="n"/>
      <c r="G637" s="37">
        <f>IF($A637="","",$B637+$C637-$D637-$E637)</f>
        <v/>
      </c>
      <c r="H637" s="37">
        <f>IF($A637="","",IFERROR(ROUND($G637*INDEX(tblKurallar[deger_2025],MATCH("AKV-003",tblKurallar[kural_id],0)),2),0))</f>
        <v/>
      </c>
      <c r="I637" s="37">
        <f>IF($A637="","",IFERROR(MAX(0,$H637-$F637),0))</f>
        <v/>
      </c>
    </row>
    <row r="638">
      <c r="A638" s="36" t="n"/>
      <c r="B638" s="36" t="n"/>
      <c r="C638" s="36" t="n"/>
      <c r="D638" s="36" t="n"/>
      <c r="E638" s="36" t="n"/>
      <c r="F638" s="36" t="n"/>
      <c r="G638" s="37">
        <f>IF($A638="","",$B638+$C638-$D638-$E638)</f>
        <v/>
      </c>
      <c r="H638" s="37">
        <f>IF($A638="","",IFERROR(ROUND($G638*INDEX(tblKurallar[deger_2025],MATCH("AKV-003",tblKurallar[kural_id],0)),2),0))</f>
        <v/>
      </c>
      <c r="I638" s="37">
        <f>IF($A638="","",IFERROR(MAX(0,$H638-$F638),0))</f>
        <v/>
      </c>
    </row>
    <row r="639">
      <c r="A639" s="36" t="n"/>
      <c r="B639" s="36" t="n"/>
      <c r="C639" s="36" t="n"/>
      <c r="D639" s="36" t="n"/>
      <c r="E639" s="36" t="n"/>
      <c r="F639" s="36" t="n"/>
      <c r="G639" s="37">
        <f>IF($A639="","",$B639+$C639-$D639-$E639)</f>
        <v/>
      </c>
      <c r="H639" s="37">
        <f>IF($A639="","",IFERROR(ROUND($G639*INDEX(tblKurallar[deger_2025],MATCH("AKV-003",tblKurallar[kural_id],0)),2),0))</f>
        <v/>
      </c>
      <c r="I639" s="37">
        <f>IF($A639="","",IFERROR(MAX(0,$H639-$F639),0))</f>
        <v/>
      </c>
    </row>
    <row r="640">
      <c r="A640" s="36" t="n"/>
      <c r="B640" s="36" t="n"/>
      <c r="C640" s="36" t="n"/>
      <c r="D640" s="36" t="n"/>
      <c r="E640" s="36" t="n"/>
      <c r="F640" s="36" t="n"/>
      <c r="G640" s="37">
        <f>IF($A640="","",$B640+$C640-$D640-$E640)</f>
        <v/>
      </c>
      <c r="H640" s="37">
        <f>IF($A640="","",IFERROR(ROUND($G640*INDEX(tblKurallar[deger_2025],MATCH("AKV-003",tblKurallar[kural_id],0)),2),0))</f>
        <v/>
      </c>
      <c r="I640" s="37">
        <f>IF($A640="","",IFERROR(MAX(0,$H640-$F640),0))</f>
        <v/>
      </c>
    </row>
    <row r="641">
      <c r="A641" s="36" t="n"/>
      <c r="B641" s="36" t="n"/>
      <c r="C641" s="36" t="n"/>
      <c r="D641" s="36" t="n"/>
      <c r="E641" s="36" t="n"/>
      <c r="F641" s="36" t="n"/>
      <c r="G641" s="37">
        <f>IF($A641="","",$B641+$C641-$D641-$E641)</f>
        <v/>
      </c>
      <c r="H641" s="37">
        <f>IF($A641="","",IFERROR(ROUND($G641*INDEX(tblKurallar[deger_2025],MATCH("AKV-003",tblKurallar[kural_id],0)),2),0))</f>
        <v/>
      </c>
      <c r="I641" s="37">
        <f>IF($A641="","",IFERROR(MAX(0,$H641-$F641),0))</f>
        <v/>
      </c>
    </row>
    <row r="642">
      <c r="A642" s="36" t="n"/>
      <c r="B642" s="36" t="n"/>
      <c r="C642" s="36" t="n"/>
      <c r="D642" s="36" t="n"/>
      <c r="E642" s="36" t="n"/>
      <c r="F642" s="36" t="n"/>
      <c r="G642" s="37">
        <f>IF($A642="","",$B642+$C642-$D642-$E642)</f>
        <v/>
      </c>
      <c r="H642" s="37">
        <f>IF($A642="","",IFERROR(ROUND($G642*INDEX(tblKurallar[deger_2025],MATCH("AKV-003",tblKurallar[kural_id],0)),2),0))</f>
        <v/>
      </c>
      <c r="I642" s="37">
        <f>IF($A642="","",IFERROR(MAX(0,$H642-$F642),0))</f>
        <v/>
      </c>
    </row>
    <row r="643">
      <c r="A643" s="36" t="n"/>
      <c r="B643" s="36" t="n"/>
      <c r="C643" s="36" t="n"/>
      <c r="D643" s="36" t="n"/>
      <c r="E643" s="36" t="n"/>
      <c r="F643" s="36" t="n"/>
      <c r="G643" s="37">
        <f>IF($A643="","",$B643+$C643-$D643-$E643)</f>
        <v/>
      </c>
      <c r="H643" s="37">
        <f>IF($A643="","",IFERROR(ROUND($G643*INDEX(tblKurallar[deger_2025],MATCH("AKV-003",tblKurallar[kural_id],0)),2),0))</f>
        <v/>
      </c>
      <c r="I643" s="37">
        <f>IF($A643="","",IFERROR(MAX(0,$H643-$F643),0))</f>
        <v/>
      </c>
    </row>
    <row r="644">
      <c r="A644" s="36" t="n"/>
      <c r="B644" s="36" t="n"/>
      <c r="C644" s="36" t="n"/>
      <c r="D644" s="36" t="n"/>
      <c r="E644" s="36" t="n"/>
      <c r="F644" s="36" t="n"/>
      <c r="G644" s="37">
        <f>IF($A644="","",$B644+$C644-$D644-$E644)</f>
        <v/>
      </c>
      <c r="H644" s="37">
        <f>IF($A644="","",IFERROR(ROUND($G644*INDEX(tblKurallar[deger_2025],MATCH("AKV-003",tblKurallar[kural_id],0)),2),0))</f>
        <v/>
      </c>
      <c r="I644" s="37">
        <f>IF($A644="","",IFERROR(MAX(0,$H644-$F644),0))</f>
        <v/>
      </c>
    </row>
    <row r="645">
      <c r="A645" s="36" t="n"/>
      <c r="B645" s="36" t="n"/>
      <c r="C645" s="36" t="n"/>
      <c r="D645" s="36" t="n"/>
      <c r="E645" s="36" t="n"/>
      <c r="F645" s="36" t="n"/>
      <c r="G645" s="37">
        <f>IF($A645="","",$B645+$C645-$D645-$E645)</f>
        <v/>
      </c>
      <c r="H645" s="37">
        <f>IF($A645="","",IFERROR(ROUND($G645*INDEX(tblKurallar[deger_2025],MATCH("AKV-003",tblKurallar[kural_id],0)),2),0))</f>
        <v/>
      </c>
      <c r="I645" s="37">
        <f>IF($A645="","",IFERROR(MAX(0,$H645-$F645),0))</f>
        <v/>
      </c>
    </row>
    <row r="646">
      <c r="A646" s="36" t="n"/>
      <c r="B646" s="36" t="n"/>
      <c r="C646" s="36" t="n"/>
      <c r="D646" s="36" t="n"/>
      <c r="E646" s="36" t="n"/>
      <c r="F646" s="36" t="n"/>
      <c r="G646" s="37">
        <f>IF($A646="","",$B646+$C646-$D646-$E646)</f>
        <v/>
      </c>
      <c r="H646" s="37">
        <f>IF($A646="","",IFERROR(ROUND($G646*INDEX(tblKurallar[deger_2025],MATCH("AKV-003",tblKurallar[kural_id],0)),2),0))</f>
        <v/>
      </c>
      <c r="I646" s="37">
        <f>IF($A646="","",IFERROR(MAX(0,$H646-$F646),0))</f>
        <v/>
      </c>
    </row>
    <row r="647">
      <c r="A647" s="36" t="n"/>
      <c r="B647" s="36" t="n"/>
      <c r="C647" s="36" t="n"/>
      <c r="D647" s="36" t="n"/>
      <c r="E647" s="36" t="n"/>
      <c r="F647" s="36" t="n"/>
      <c r="G647" s="37">
        <f>IF($A647="","",$B647+$C647-$D647-$E647)</f>
        <v/>
      </c>
      <c r="H647" s="37">
        <f>IF($A647="","",IFERROR(ROUND($G647*INDEX(tblKurallar[deger_2025],MATCH("AKV-003",tblKurallar[kural_id],0)),2),0))</f>
        <v/>
      </c>
      <c r="I647" s="37">
        <f>IF($A647="","",IFERROR(MAX(0,$H647-$F647),0))</f>
        <v/>
      </c>
    </row>
    <row r="648">
      <c r="A648" s="36" t="n"/>
      <c r="B648" s="36" t="n"/>
      <c r="C648" s="36" t="n"/>
      <c r="D648" s="36" t="n"/>
      <c r="E648" s="36" t="n"/>
      <c r="F648" s="36" t="n"/>
      <c r="G648" s="37">
        <f>IF($A648="","",$B648+$C648-$D648-$E648)</f>
        <v/>
      </c>
      <c r="H648" s="37">
        <f>IF($A648="","",IFERROR(ROUND($G648*INDEX(tblKurallar[deger_2025],MATCH("AKV-003",tblKurallar[kural_id],0)),2),0))</f>
        <v/>
      </c>
      <c r="I648" s="37">
        <f>IF($A648="","",IFERROR(MAX(0,$H648-$F648),0))</f>
        <v/>
      </c>
    </row>
    <row r="649">
      <c r="A649" s="36" t="n"/>
      <c r="B649" s="36" t="n"/>
      <c r="C649" s="36" t="n"/>
      <c r="D649" s="36" t="n"/>
      <c r="E649" s="36" t="n"/>
      <c r="F649" s="36" t="n"/>
      <c r="G649" s="37">
        <f>IF($A649="","",$B649+$C649-$D649-$E649)</f>
        <v/>
      </c>
      <c r="H649" s="37">
        <f>IF($A649="","",IFERROR(ROUND($G649*INDEX(tblKurallar[deger_2025],MATCH("AKV-003",tblKurallar[kural_id],0)),2),0))</f>
        <v/>
      </c>
      <c r="I649" s="37">
        <f>IF($A649="","",IFERROR(MAX(0,$H649-$F649),0))</f>
        <v/>
      </c>
    </row>
    <row r="650">
      <c r="A650" s="36" t="n"/>
      <c r="B650" s="36" t="n"/>
      <c r="C650" s="36" t="n"/>
      <c r="D650" s="36" t="n"/>
      <c r="E650" s="36" t="n"/>
      <c r="F650" s="36" t="n"/>
      <c r="G650" s="37">
        <f>IF($A650="","",$B650+$C650-$D650-$E650)</f>
        <v/>
      </c>
      <c r="H650" s="37">
        <f>IF($A650="","",IFERROR(ROUND($G650*INDEX(tblKurallar[deger_2025],MATCH("AKV-003",tblKurallar[kural_id],0)),2),0))</f>
        <v/>
      </c>
      <c r="I650" s="37">
        <f>IF($A650="","",IFERROR(MAX(0,$H650-$F650),0))</f>
        <v/>
      </c>
    </row>
    <row r="651">
      <c r="A651" s="36" t="n"/>
      <c r="B651" s="36" t="n"/>
      <c r="C651" s="36" t="n"/>
      <c r="D651" s="36" t="n"/>
      <c r="E651" s="36" t="n"/>
      <c r="F651" s="36" t="n"/>
      <c r="G651" s="37">
        <f>IF($A651="","",$B651+$C651-$D651-$E651)</f>
        <v/>
      </c>
      <c r="H651" s="37">
        <f>IF($A651="","",IFERROR(ROUND($G651*INDEX(tblKurallar[deger_2025],MATCH("AKV-003",tblKurallar[kural_id],0)),2),0))</f>
        <v/>
      </c>
      <c r="I651" s="37">
        <f>IF($A651="","",IFERROR(MAX(0,$H651-$F651),0))</f>
        <v/>
      </c>
    </row>
    <row r="652">
      <c r="A652" s="36" t="n"/>
      <c r="B652" s="36" t="n"/>
      <c r="C652" s="36" t="n"/>
      <c r="D652" s="36" t="n"/>
      <c r="E652" s="36" t="n"/>
      <c r="F652" s="36" t="n"/>
      <c r="G652" s="37">
        <f>IF($A652="","",$B652+$C652-$D652-$E652)</f>
        <v/>
      </c>
      <c r="H652" s="37">
        <f>IF($A652="","",IFERROR(ROUND($G652*INDEX(tblKurallar[deger_2025],MATCH("AKV-003",tblKurallar[kural_id],0)),2),0))</f>
        <v/>
      </c>
      <c r="I652" s="37">
        <f>IF($A652="","",IFERROR(MAX(0,$H652-$F652),0))</f>
        <v/>
      </c>
    </row>
    <row r="653">
      <c r="A653" s="36" t="n"/>
      <c r="B653" s="36" t="n"/>
      <c r="C653" s="36" t="n"/>
      <c r="D653" s="36" t="n"/>
      <c r="E653" s="36" t="n"/>
      <c r="F653" s="36" t="n"/>
      <c r="G653" s="37">
        <f>IF($A653="","",$B653+$C653-$D653-$E653)</f>
        <v/>
      </c>
      <c r="H653" s="37">
        <f>IF($A653="","",IFERROR(ROUND($G653*INDEX(tblKurallar[deger_2025],MATCH("AKV-003",tblKurallar[kural_id],0)),2),0))</f>
        <v/>
      </c>
      <c r="I653" s="37">
        <f>IF($A653="","",IFERROR(MAX(0,$H653-$F653),0))</f>
        <v/>
      </c>
    </row>
    <row r="654">
      <c r="A654" s="36" t="n"/>
      <c r="B654" s="36" t="n"/>
      <c r="C654" s="36" t="n"/>
      <c r="D654" s="36" t="n"/>
      <c r="E654" s="36" t="n"/>
      <c r="F654" s="36" t="n"/>
      <c r="G654" s="37">
        <f>IF($A654="","",$B654+$C654-$D654-$E654)</f>
        <v/>
      </c>
      <c r="H654" s="37">
        <f>IF($A654="","",IFERROR(ROUND($G654*INDEX(tblKurallar[deger_2025],MATCH("AKV-003",tblKurallar[kural_id],0)),2),0))</f>
        <v/>
      </c>
      <c r="I654" s="37">
        <f>IF($A654="","",IFERROR(MAX(0,$H654-$F654),0))</f>
        <v/>
      </c>
    </row>
    <row r="655">
      <c r="A655" s="36" t="n"/>
      <c r="B655" s="36" t="n"/>
      <c r="C655" s="36" t="n"/>
      <c r="D655" s="36" t="n"/>
      <c r="E655" s="36" t="n"/>
      <c r="F655" s="36" t="n"/>
      <c r="G655" s="37">
        <f>IF($A655="","",$B655+$C655-$D655-$E655)</f>
        <v/>
      </c>
      <c r="H655" s="37">
        <f>IF($A655="","",IFERROR(ROUND($G655*INDEX(tblKurallar[deger_2025],MATCH("AKV-003",tblKurallar[kural_id],0)),2),0))</f>
        <v/>
      </c>
      <c r="I655" s="37">
        <f>IF($A655="","",IFERROR(MAX(0,$H655-$F655),0))</f>
        <v/>
      </c>
    </row>
    <row r="656">
      <c r="A656" s="36" t="n"/>
      <c r="B656" s="36" t="n"/>
      <c r="C656" s="36" t="n"/>
      <c r="D656" s="36" t="n"/>
      <c r="E656" s="36" t="n"/>
      <c r="F656" s="36" t="n"/>
      <c r="G656" s="37">
        <f>IF($A656="","",$B656+$C656-$D656-$E656)</f>
        <v/>
      </c>
      <c r="H656" s="37">
        <f>IF($A656="","",IFERROR(ROUND($G656*INDEX(tblKurallar[deger_2025],MATCH("AKV-003",tblKurallar[kural_id],0)),2),0))</f>
        <v/>
      </c>
      <c r="I656" s="37">
        <f>IF($A656="","",IFERROR(MAX(0,$H656-$F656),0))</f>
        <v/>
      </c>
    </row>
    <row r="657">
      <c r="A657" s="36" t="n"/>
      <c r="B657" s="36" t="n"/>
      <c r="C657" s="36" t="n"/>
      <c r="D657" s="36" t="n"/>
      <c r="E657" s="36" t="n"/>
      <c r="F657" s="36" t="n"/>
      <c r="G657" s="37">
        <f>IF($A657="","",$B657+$C657-$D657-$E657)</f>
        <v/>
      </c>
      <c r="H657" s="37">
        <f>IF($A657="","",IFERROR(ROUND($G657*INDEX(tblKurallar[deger_2025],MATCH("AKV-003",tblKurallar[kural_id],0)),2),0))</f>
        <v/>
      </c>
      <c r="I657" s="37">
        <f>IF($A657="","",IFERROR(MAX(0,$H657-$F657),0))</f>
        <v/>
      </c>
    </row>
    <row r="658">
      <c r="A658" s="36" t="n"/>
      <c r="B658" s="36" t="n"/>
      <c r="C658" s="36" t="n"/>
      <c r="D658" s="36" t="n"/>
      <c r="E658" s="36" t="n"/>
      <c r="F658" s="36" t="n"/>
      <c r="G658" s="37">
        <f>IF($A658="","",$B658+$C658-$D658-$E658)</f>
        <v/>
      </c>
      <c r="H658" s="37">
        <f>IF($A658="","",IFERROR(ROUND($G658*INDEX(tblKurallar[deger_2025],MATCH("AKV-003",tblKurallar[kural_id],0)),2),0))</f>
        <v/>
      </c>
      <c r="I658" s="37">
        <f>IF($A658="","",IFERROR(MAX(0,$H658-$F658),0))</f>
        <v/>
      </c>
    </row>
    <row r="659">
      <c r="A659" s="36" t="n"/>
      <c r="B659" s="36" t="n"/>
      <c r="C659" s="36" t="n"/>
      <c r="D659" s="36" t="n"/>
      <c r="E659" s="36" t="n"/>
      <c r="F659" s="36" t="n"/>
      <c r="G659" s="37">
        <f>IF($A659="","",$B659+$C659-$D659-$E659)</f>
        <v/>
      </c>
      <c r="H659" s="37">
        <f>IF($A659="","",IFERROR(ROUND($G659*INDEX(tblKurallar[deger_2025],MATCH("AKV-003",tblKurallar[kural_id],0)),2),0))</f>
        <v/>
      </c>
      <c r="I659" s="37">
        <f>IF($A659="","",IFERROR(MAX(0,$H659-$F659),0))</f>
        <v/>
      </c>
    </row>
    <row r="660">
      <c r="A660" s="36" t="n"/>
      <c r="B660" s="36" t="n"/>
      <c r="C660" s="36" t="n"/>
      <c r="D660" s="36" t="n"/>
      <c r="E660" s="36" t="n"/>
      <c r="F660" s="36" t="n"/>
      <c r="G660" s="37">
        <f>IF($A660="","",$B660+$C660-$D660-$E660)</f>
        <v/>
      </c>
      <c r="H660" s="37">
        <f>IF($A660="","",IFERROR(ROUND($G660*INDEX(tblKurallar[deger_2025],MATCH("AKV-003",tblKurallar[kural_id],0)),2),0))</f>
        <v/>
      </c>
      <c r="I660" s="37">
        <f>IF($A660="","",IFERROR(MAX(0,$H660-$F660),0))</f>
        <v/>
      </c>
    </row>
    <row r="661">
      <c r="A661" s="36" t="n"/>
      <c r="B661" s="36" t="n"/>
      <c r="C661" s="36" t="n"/>
      <c r="D661" s="36" t="n"/>
      <c r="E661" s="36" t="n"/>
      <c r="F661" s="36" t="n"/>
      <c r="G661" s="37">
        <f>IF($A661="","",$B661+$C661-$D661-$E661)</f>
        <v/>
      </c>
      <c r="H661" s="37">
        <f>IF($A661="","",IFERROR(ROUND($G661*INDEX(tblKurallar[deger_2025],MATCH("AKV-003",tblKurallar[kural_id],0)),2),0))</f>
        <v/>
      </c>
      <c r="I661" s="37">
        <f>IF($A661="","",IFERROR(MAX(0,$H661-$F661),0))</f>
        <v/>
      </c>
    </row>
    <row r="662">
      <c r="A662" s="36" t="n"/>
      <c r="B662" s="36" t="n"/>
      <c r="C662" s="36" t="n"/>
      <c r="D662" s="36" t="n"/>
      <c r="E662" s="36" t="n"/>
      <c r="F662" s="36" t="n"/>
      <c r="G662" s="37">
        <f>IF($A662="","",$B662+$C662-$D662-$E662)</f>
        <v/>
      </c>
      <c r="H662" s="37">
        <f>IF($A662="","",IFERROR(ROUND($G662*INDEX(tblKurallar[deger_2025],MATCH("AKV-003",tblKurallar[kural_id],0)),2),0))</f>
        <v/>
      </c>
      <c r="I662" s="37">
        <f>IF($A662="","",IFERROR(MAX(0,$H662-$F662),0))</f>
        <v/>
      </c>
    </row>
    <row r="663">
      <c r="A663" s="36" t="n"/>
      <c r="B663" s="36" t="n"/>
      <c r="C663" s="36" t="n"/>
      <c r="D663" s="36" t="n"/>
      <c r="E663" s="36" t="n"/>
      <c r="F663" s="36" t="n"/>
      <c r="G663" s="37">
        <f>IF($A663="","",$B663+$C663-$D663-$E663)</f>
        <v/>
      </c>
      <c r="H663" s="37">
        <f>IF($A663="","",IFERROR(ROUND($G663*INDEX(tblKurallar[deger_2025],MATCH("AKV-003",tblKurallar[kural_id],0)),2),0))</f>
        <v/>
      </c>
      <c r="I663" s="37">
        <f>IF($A663="","",IFERROR(MAX(0,$H663-$F663),0))</f>
        <v/>
      </c>
    </row>
    <row r="664">
      <c r="A664" s="36" t="n"/>
      <c r="B664" s="36" t="n"/>
      <c r="C664" s="36" t="n"/>
      <c r="D664" s="36" t="n"/>
      <c r="E664" s="36" t="n"/>
      <c r="F664" s="36" t="n"/>
      <c r="G664" s="37">
        <f>IF($A664="","",$B664+$C664-$D664-$E664)</f>
        <v/>
      </c>
      <c r="H664" s="37">
        <f>IF($A664="","",IFERROR(ROUND($G664*INDEX(tblKurallar[deger_2025],MATCH("AKV-003",tblKurallar[kural_id],0)),2),0))</f>
        <v/>
      </c>
      <c r="I664" s="37">
        <f>IF($A664="","",IFERROR(MAX(0,$H664-$F664),0))</f>
        <v/>
      </c>
    </row>
    <row r="665">
      <c r="A665" s="36" t="n"/>
      <c r="B665" s="36" t="n"/>
      <c r="C665" s="36" t="n"/>
      <c r="D665" s="36" t="n"/>
      <c r="E665" s="36" t="n"/>
      <c r="F665" s="36" t="n"/>
      <c r="G665" s="37">
        <f>IF($A665="","",$B665+$C665-$D665-$E665)</f>
        <v/>
      </c>
      <c r="H665" s="37">
        <f>IF($A665="","",IFERROR(ROUND($G665*INDEX(tblKurallar[deger_2025],MATCH("AKV-003",tblKurallar[kural_id],0)),2),0))</f>
        <v/>
      </c>
      <c r="I665" s="37">
        <f>IF($A665="","",IFERROR(MAX(0,$H665-$F665),0))</f>
        <v/>
      </c>
    </row>
    <row r="666">
      <c r="A666" s="36" t="n"/>
      <c r="B666" s="36" t="n"/>
      <c r="C666" s="36" t="n"/>
      <c r="D666" s="36" t="n"/>
      <c r="E666" s="36" t="n"/>
      <c r="F666" s="36" t="n"/>
      <c r="G666" s="37">
        <f>IF($A666="","",$B666+$C666-$D666-$E666)</f>
        <v/>
      </c>
      <c r="H666" s="37">
        <f>IF($A666="","",IFERROR(ROUND($G666*INDEX(tblKurallar[deger_2025],MATCH("AKV-003",tblKurallar[kural_id],0)),2),0))</f>
        <v/>
      </c>
      <c r="I666" s="37">
        <f>IF($A666="","",IFERROR(MAX(0,$H666-$F666),0))</f>
        <v/>
      </c>
    </row>
    <row r="667">
      <c r="A667" s="36" t="n"/>
      <c r="B667" s="36" t="n"/>
      <c r="C667" s="36" t="n"/>
      <c r="D667" s="36" t="n"/>
      <c r="E667" s="36" t="n"/>
      <c r="F667" s="36" t="n"/>
      <c r="G667" s="37">
        <f>IF($A667="","",$B667+$C667-$D667-$E667)</f>
        <v/>
      </c>
      <c r="H667" s="37">
        <f>IF($A667="","",IFERROR(ROUND($G667*INDEX(tblKurallar[deger_2025],MATCH("AKV-003",tblKurallar[kural_id],0)),2),0))</f>
        <v/>
      </c>
      <c r="I667" s="37">
        <f>IF($A667="","",IFERROR(MAX(0,$H667-$F667),0))</f>
        <v/>
      </c>
    </row>
    <row r="668">
      <c r="A668" s="36" t="n"/>
      <c r="B668" s="36" t="n"/>
      <c r="C668" s="36" t="n"/>
      <c r="D668" s="36" t="n"/>
      <c r="E668" s="36" t="n"/>
      <c r="F668" s="36" t="n"/>
      <c r="G668" s="37">
        <f>IF($A668="","",$B668+$C668-$D668-$E668)</f>
        <v/>
      </c>
      <c r="H668" s="37">
        <f>IF($A668="","",IFERROR(ROUND($G668*INDEX(tblKurallar[deger_2025],MATCH("AKV-003",tblKurallar[kural_id],0)),2),0))</f>
        <v/>
      </c>
      <c r="I668" s="37">
        <f>IF($A668="","",IFERROR(MAX(0,$H668-$F668),0))</f>
        <v/>
      </c>
    </row>
    <row r="669">
      <c r="A669" s="36" t="n"/>
      <c r="B669" s="36" t="n"/>
      <c r="C669" s="36" t="n"/>
      <c r="D669" s="36" t="n"/>
      <c r="E669" s="36" t="n"/>
      <c r="F669" s="36" t="n"/>
      <c r="G669" s="37">
        <f>IF($A669="","",$B669+$C669-$D669-$E669)</f>
        <v/>
      </c>
      <c r="H669" s="37">
        <f>IF($A669="","",IFERROR(ROUND($G669*INDEX(tblKurallar[deger_2025],MATCH("AKV-003",tblKurallar[kural_id],0)),2),0))</f>
        <v/>
      </c>
      <c r="I669" s="37">
        <f>IF($A669="","",IFERROR(MAX(0,$H669-$F669),0))</f>
        <v/>
      </c>
    </row>
    <row r="670">
      <c r="A670" s="36" t="n"/>
      <c r="B670" s="36" t="n"/>
      <c r="C670" s="36" t="n"/>
      <c r="D670" s="36" t="n"/>
      <c r="E670" s="36" t="n"/>
      <c r="F670" s="36" t="n"/>
      <c r="G670" s="37">
        <f>IF($A670="","",$B670+$C670-$D670-$E670)</f>
        <v/>
      </c>
      <c r="H670" s="37">
        <f>IF($A670="","",IFERROR(ROUND($G670*INDEX(tblKurallar[deger_2025],MATCH("AKV-003",tblKurallar[kural_id],0)),2),0))</f>
        <v/>
      </c>
      <c r="I670" s="37">
        <f>IF($A670="","",IFERROR(MAX(0,$H670-$F670),0))</f>
        <v/>
      </c>
    </row>
    <row r="671">
      <c r="A671" s="36" t="n"/>
      <c r="B671" s="36" t="n"/>
      <c r="C671" s="36" t="n"/>
      <c r="D671" s="36" t="n"/>
      <c r="E671" s="36" t="n"/>
      <c r="F671" s="36" t="n"/>
      <c r="G671" s="37">
        <f>IF($A671="","",$B671+$C671-$D671-$E671)</f>
        <v/>
      </c>
      <c r="H671" s="37">
        <f>IF($A671="","",IFERROR(ROUND($G671*INDEX(tblKurallar[deger_2025],MATCH("AKV-003",tblKurallar[kural_id],0)),2),0))</f>
        <v/>
      </c>
      <c r="I671" s="37">
        <f>IF($A671="","",IFERROR(MAX(0,$H671-$F671),0))</f>
        <v/>
      </c>
    </row>
    <row r="672">
      <c r="A672" s="36" t="n"/>
      <c r="B672" s="36" t="n"/>
      <c r="C672" s="36" t="n"/>
      <c r="D672" s="36" t="n"/>
      <c r="E672" s="36" t="n"/>
      <c r="F672" s="36" t="n"/>
      <c r="G672" s="37">
        <f>IF($A672="","",$B672+$C672-$D672-$E672)</f>
        <v/>
      </c>
      <c r="H672" s="37">
        <f>IF($A672="","",IFERROR(ROUND($G672*INDEX(tblKurallar[deger_2025],MATCH("AKV-003",tblKurallar[kural_id],0)),2),0))</f>
        <v/>
      </c>
      <c r="I672" s="37">
        <f>IF($A672="","",IFERROR(MAX(0,$H672-$F672),0))</f>
        <v/>
      </c>
    </row>
    <row r="673">
      <c r="A673" s="36" t="n"/>
      <c r="B673" s="36" t="n"/>
      <c r="C673" s="36" t="n"/>
      <c r="D673" s="36" t="n"/>
      <c r="E673" s="36" t="n"/>
      <c r="F673" s="36" t="n"/>
      <c r="G673" s="37">
        <f>IF($A673="","",$B673+$C673-$D673-$E673)</f>
        <v/>
      </c>
      <c r="H673" s="37">
        <f>IF($A673="","",IFERROR(ROUND($G673*INDEX(tblKurallar[deger_2025],MATCH("AKV-003",tblKurallar[kural_id],0)),2),0))</f>
        <v/>
      </c>
      <c r="I673" s="37">
        <f>IF($A673="","",IFERROR(MAX(0,$H673-$F673),0))</f>
        <v/>
      </c>
    </row>
    <row r="674">
      <c r="A674" s="36" t="n"/>
      <c r="B674" s="36" t="n"/>
      <c r="C674" s="36" t="n"/>
      <c r="D674" s="36" t="n"/>
      <c r="E674" s="36" t="n"/>
      <c r="F674" s="36" t="n"/>
      <c r="G674" s="37">
        <f>IF($A674="","",$B674+$C674-$D674-$E674)</f>
        <v/>
      </c>
      <c r="H674" s="37">
        <f>IF($A674="","",IFERROR(ROUND($G674*INDEX(tblKurallar[deger_2025],MATCH("AKV-003",tblKurallar[kural_id],0)),2),0))</f>
        <v/>
      </c>
      <c r="I674" s="37">
        <f>IF($A674="","",IFERROR(MAX(0,$H674-$F674),0))</f>
        <v/>
      </c>
    </row>
    <row r="675">
      <c r="A675" s="36" t="n"/>
      <c r="B675" s="36" t="n"/>
      <c r="C675" s="36" t="n"/>
      <c r="D675" s="36" t="n"/>
      <c r="E675" s="36" t="n"/>
      <c r="F675" s="36" t="n"/>
      <c r="G675" s="37">
        <f>IF($A675="","",$B675+$C675-$D675-$E675)</f>
        <v/>
      </c>
      <c r="H675" s="37">
        <f>IF($A675="","",IFERROR(ROUND($G675*INDEX(tblKurallar[deger_2025],MATCH("AKV-003",tblKurallar[kural_id],0)),2),0))</f>
        <v/>
      </c>
      <c r="I675" s="37">
        <f>IF($A675="","",IFERROR(MAX(0,$H675-$F675),0))</f>
        <v/>
      </c>
    </row>
    <row r="676">
      <c r="A676" s="36" t="n"/>
      <c r="B676" s="36" t="n"/>
      <c r="C676" s="36" t="n"/>
      <c r="D676" s="36" t="n"/>
      <c r="E676" s="36" t="n"/>
      <c r="F676" s="36" t="n"/>
      <c r="G676" s="37">
        <f>IF($A676="","",$B676+$C676-$D676-$E676)</f>
        <v/>
      </c>
      <c r="H676" s="37">
        <f>IF($A676="","",IFERROR(ROUND($G676*INDEX(tblKurallar[deger_2025],MATCH("AKV-003",tblKurallar[kural_id],0)),2),0))</f>
        <v/>
      </c>
      <c r="I676" s="37">
        <f>IF($A676="","",IFERROR(MAX(0,$H676-$F676),0))</f>
        <v/>
      </c>
    </row>
    <row r="677">
      <c r="A677" s="36" t="n"/>
      <c r="B677" s="36" t="n"/>
      <c r="C677" s="36" t="n"/>
      <c r="D677" s="36" t="n"/>
      <c r="E677" s="36" t="n"/>
      <c r="F677" s="36" t="n"/>
      <c r="G677" s="37">
        <f>IF($A677="","",$B677+$C677-$D677-$E677)</f>
        <v/>
      </c>
      <c r="H677" s="37">
        <f>IF($A677="","",IFERROR(ROUND($G677*INDEX(tblKurallar[deger_2025],MATCH("AKV-003",tblKurallar[kural_id],0)),2),0))</f>
        <v/>
      </c>
      <c r="I677" s="37">
        <f>IF($A677="","",IFERROR(MAX(0,$H677-$F677),0))</f>
        <v/>
      </c>
    </row>
    <row r="678">
      <c r="A678" s="36" t="n"/>
      <c r="B678" s="36" t="n"/>
      <c r="C678" s="36" t="n"/>
      <c r="D678" s="36" t="n"/>
      <c r="E678" s="36" t="n"/>
      <c r="F678" s="36" t="n"/>
      <c r="G678" s="37">
        <f>IF($A678="","",$B678+$C678-$D678-$E678)</f>
        <v/>
      </c>
      <c r="H678" s="37">
        <f>IF($A678="","",IFERROR(ROUND($G678*INDEX(tblKurallar[deger_2025],MATCH("AKV-003",tblKurallar[kural_id],0)),2),0))</f>
        <v/>
      </c>
      <c r="I678" s="37">
        <f>IF($A678="","",IFERROR(MAX(0,$H678-$F678),0))</f>
        <v/>
      </c>
    </row>
    <row r="679">
      <c r="A679" s="36" t="n"/>
      <c r="B679" s="36" t="n"/>
      <c r="C679" s="36" t="n"/>
      <c r="D679" s="36" t="n"/>
      <c r="E679" s="36" t="n"/>
      <c r="F679" s="36" t="n"/>
      <c r="G679" s="37">
        <f>IF($A679="","",$B679+$C679-$D679-$E679)</f>
        <v/>
      </c>
      <c r="H679" s="37">
        <f>IF($A679="","",IFERROR(ROUND($G679*INDEX(tblKurallar[deger_2025],MATCH("AKV-003",tblKurallar[kural_id],0)),2),0))</f>
        <v/>
      </c>
      <c r="I679" s="37">
        <f>IF($A679="","",IFERROR(MAX(0,$H679-$F679),0))</f>
        <v/>
      </c>
    </row>
    <row r="680">
      <c r="A680" s="36" t="n"/>
      <c r="B680" s="36" t="n"/>
      <c r="C680" s="36" t="n"/>
      <c r="D680" s="36" t="n"/>
      <c r="E680" s="36" t="n"/>
      <c r="F680" s="36" t="n"/>
      <c r="G680" s="37">
        <f>IF($A680="","",$B680+$C680-$D680-$E680)</f>
        <v/>
      </c>
      <c r="H680" s="37">
        <f>IF($A680="","",IFERROR(ROUND($G680*INDEX(tblKurallar[deger_2025],MATCH("AKV-003",tblKurallar[kural_id],0)),2),0))</f>
        <v/>
      </c>
      <c r="I680" s="37">
        <f>IF($A680="","",IFERROR(MAX(0,$H680-$F680),0))</f>
        <v/>
      </c>
    </row>
    <row r="681">
      <c r="A681" s="36" t="n"/>
      <c r="B681" s="36" t="n"/>
      <c r="C681" s="36" t="n"/>
      <c r="D681" s="36" t="n"/>
      <c r="E681" s="36" t="n"/>
      <c r="F681" s="36" t="n"/>
      <c r="G681" s="37">
        <f>IF($A681="","",$B681+$C681-$D681-$E681)</f>
        <v/>
      </c>
      <c r="H681" s="37">
        <f>IF($A681="","",IFERROR(ROUND($G681*INDEX(tblKurallar[deger_2025],MATCH("AKV-003",tblKurallar[kural_id],0)),2),0))</f>
        <v/>
      </c>
      <c r="I681" s="37">
        <f>IF($A681="","",IFERROR(MAX(0,$H681-$F681),0))</f>
        <v/>
      </c>
    </row>
    <row r="682">
      <c r="A682" s="36" t="n"/>
      <c r="B682" s="36" t="n"/>
      <c r="C682" s="36" t="n"/>
      <c r="D682" s="36" t="n"/>
      <c r="E682" s="36" t="n"/>
      <c r="F682" s="36" t="n"/>
      <c r="G682" s="37">
        <f>IF($A682="","",$B682+$C682-$D682-$E682)</f>
        <v/>
      </c>
      <c r="H682" s="37">
        <f>IF($A682="","",IFERROR(ROUND($G682*INDEX(tblKurallar[deger_2025],MATCH("AKV-003",tblKurallar[kural_id],0)),2),0))</f>
        <v/>
      </c>
      <c r="I682" s="37">
        <f>IF($A682="","",IFERROR(MAX(0,$H682-$F682),0))</f>
        <v/>
      </c>
    </row>
    <row r="683">
      <c r="A683" s="36" t="n"/>
      <c r="B683" s="36" t="n"/>
      <c r="C683" s="36" t="n"/>
      <c r="D683" s="36" t="n"/>
      <c r="E683" s="36" t="n"/>
      <c r="F683" s="36" t="n"/>
      <c r="G683" s="37">
        <f>IF($A683="","",$B683+$C683-$D683-$E683)</f>
        <v/>
      </c>
      <c r="H683" s="37">
        <f>IF($A683="","",IFERROR(ROUND($G683*INDEX(tblKurallar[deger_2025],MATCH("AKV-003",tblKurallar[kural_id],0)),2),0))</f>
        <v/>
      </c>
      <c r="I683" s="37">
        <f>IF($A683="","",IFERROR(MAX(0,$H683-$F683),0))</f>
        <v/>
      </c>
    </row>
    <row r="684">
      <c r="A684" s="36" t="n"/>
      <c r="B684" s="36" t="n"/>
      <c r="C684" s="36" t="n"/>
      <c r="D684" s="36" t="n"/>
      <c r="E684" s="36" t="n"/>
      <c r="F684" s="36" t="n"/>
      <c r="G684" s="37">
        <f>IF($A684="","",$B684+$C684-$D684-$E684)</f>
        <v/>
      </c>
      <c r="H684" s="37">
        <f>IF($A684="","",IFERROR(ROUND($G684*INDEX(tblKurallar[deger_2025],MATCH("AKV-003",tblKurallar[kural_id],0)),2),0))</f>
        <v/>
      </c>
      <c r="I684" s="37">
        <f>IF($A684="","",IFERROR(MAX(0,$H684-$F684),0))</f>
        <v/>
      </c>
    </row>
    <row r="685">
      <c r="A685" s="36" t="n"/>
      <c r="B685" s="36" t="n"/>
      <c r="C685" s="36" t="n"/>
      <c r="D685" s="36" t="n"/>
      <c r="E685" s="36" t="n"/>
      <c r="F685" s="36" t="n"/>
      <c r="G685" s="37">
        <f>IF($A685="","",$B685+$C685-$D685-$E685)</f>
        <v/>
      </c>
      <c r="H685" s="37">
        <f>IF($A685="","",IFERROR(ROUND($G685*INDEX(tblKurallar[deger_2025],MATCH("AKV-003",tblKurallar[kural_id],0)),2),0))</f>
        <v/>
      </c>
      <c r="I685" s="37">
        <f>IF($A685="","",IFERROR(MAX(0,$H685-$F685),0))</f>
        <v/>
      </c>
    </row>
    <row r="686">
      <c r="A686" s="36" t="n"/>
      <c r="B686" s="36" t="n"/>
      <c r="C686" s="36" t="n"/>
      <c r="D686" s="36" t="n"/>
      <c r="E686" s="36" t="n"/>
      <c r="F686" s="36" t="n"/>
      <c r="G686" s="37">
        <f>IF($A686="","",$B686+$C686-$D686-$E686)</f>
        <v/>
      </c>
      <c r="H686" s="37">
        <f>IF($A686="","",IFERROR(ROUND($G686*INDEX(tblKurallar[deger_2025],MATCH("AKV-003",tblKurallar[kural_id],0)),2),0))</f>
        <v/>
      </c>
      <c r="I686" s="37">
        <f>IF($A686="","",IFERROR(MAX(0,$H686-$F686),0))</f>
        <v/>
      </c>
    </row>
    <row r="687">
      <c r="A687" s="36" t="n"/>
      <c r="B687" s="36" t="n"/>
      <c r="C687" s="36" t="n"/>
      <c r="D687" s="36" t="n"/>
      <c r="E687" s="36" t="n"/>
      <c r="F687" s="36" t="n"/>
      <c r="G687" s="37">
        <f>IF($A687="","",$B687+$C687-$D687-$E687)</f>
        <v/>
      </c>
      <c r="H687" s="37">
        <f>IF($A687="","",IFERROR(ROUND($G687*INDEX(tblKurallar[deger_2025],MATCH("AKV-003",tblKurallar[kural_id],0)),2),0))</f>
        <v/>
      </c>
      <c r="I687" s="37">
        <f>IF($A687="","",IFERROR(MAX(0,$H687-$F687),0))</f>
        <v/>
      </c>
    </row>
    <row r="688">
      <c r="A688" s="36" t="n"/>
      <c r="B688" s="36" t="n"/>
      <c r="C688" s="36" t="n"/>
      <c r="D688" s="36" t="n"/>
      <c r="E688" s="36" t="n"/>
      <c r="F688" s="36" t="n"/>
      <c r="G688" s="37">
        <f>IF($A688="","",$B688+$C688-$D688-$E688)</f>
        <v/>
      </c>
      <c r="H688" s="37">
        <f>IF($A688="","",IFERROR(ROUND($G688*INDEX(tblKurallar[deger_2025],MATCH("AKV-003",tblKurallar[kural_id],0)),2),0))</f>
        <v/>
      </c>
      <c r="I688" s="37">
        <f>IF($A688="","",IFERROR(MAX(0,$H688-$F688),0))</f>
        <v/>
      </c>
    </row>
    <row r="689">
      <c r="A689" s="36" t="n"/>
      <c r="B689" s="36" t="n"/>
      <c r="C689" s="36" t="n"/>
      <c r="D689" s="36" t="n"/>
      <c r="E689" s="36" t="n"/>
      <c r="F689" s="36" t="n"/>
      <c r="G689" s="37">
        <f>IF($A689="","",$B689+$C689-$D689-$E689)</f>
        <v/>
      </c>
      <c r="H689" s="37">
        <f>IF($A689="","",IFERROR(ROUND($G689*INDEX(tblKurallar[deger_2025],MATCH("AKV-003",tblKurallar[kural_id],0)),2),0))</f>
        <v/>
      </c>
      <c r="I689" s="37">
        <f>IF($A689="","",IFERROR(MAX(0,$H689-$F689),0))</f>
        <v/>
      </c>
    </row>
    <row r="690">
      <c r="A690" s="36" t="n"/>
      <c r="B690" s="36" t="n"/>
      <c r="C690" s="36" t="n"/>
      <c r="D690" s="36" t="n"/>
      <c r="E690" s="36" t="n"/>
      <c r="F690" s="36" t="n"/>
      <c r="G690" s="37">
        <f>IF($A690="","",$B690+$C690-$D690-$E690)</f>
        <v/>
      </c>
      <c r="H690" s="37">
        <f>IF($A690="","",IFERROR(ROUND($G690*INDEX(tblKurallar[deger_2025],MATCH("AKV-003",tblKurallar[kural_id],0)),2),0))</f>
        <v/>
      </c>
      <c r="I690" s="37">
        <f>IF($A690="","",IFERROR(MAX(0,$H690-$F690),0))</f>
        <v/>
      </c>
    </row>
    <row r="691">
      <c r="A691" s="36" t="n"/>
      <c r="B691" s="36" t="n"/>
      <c r="C691" s="36" t="n"/>
      <c r="D691" s="36" t="n"/>
      <c r="E691" s="36" t="n"/>
      <c r="F691" s="36" t="n"/>
      <c r="G691" s="37">
        <f>IF($A691="","",$B691+$C691-$D691-$E691)</f>
        <v/>
      </c>
      <c r="H691" s="37">
        <f>IF($A691="","",IFERROR(ROUND($G691*INDEX(tblKurallar[deger_2025],MATCH("AKV-003",tblKurallar[kural_id],0)),2),0))</f>
        <v/>
      </c>
      <c r="I691" s="37">
        <f>IF($A691="","",IFERROR(MAX(0,$H691-$F691),0))</f>
        <v/>
      </c>
    </row>
    <row r="692">
      <c r="A692" s="36" t="n"/>
      <c r="B692" s="36" t="n"/>
      <c r="C692" s="36" t="n"/>
      <c r="D692" s="36" t="n"/>
      <c r="E692" s="36" t="n"/>
      <c r="F692" s="36" t="n"/>
      <c r="G692" s="37">
        <f>IF($A692="","",$B692+$C692-$D692-$E692)</f>
        <v/>
      </c>
      <c r="H692" s="37">
        <f>IF($A692="","",IFERROR(ROUND($G692*INDEX(tblKurallar[deger_2025],MATCH("AKV-003",tblKurallar[kural_id],0)),2),0))</f>
        <v/>
      </c>
      <c r="I692" s="37">
        <f>IF($A692="","",IFERROR(MAX(0,$H692-$F692),0))</f>
        <v/>
      </c>
    </row>
    <row r="693">
      <c r="A693" s="36" t="n"/>
      <c r="B693" s="36" t="n"/>
      <c r="C693" s="36" t="n"/>
      <c r="D693" s="36" t="n"/>
      <c r="E693" s="36" t="n"/>
      <c r="F693" s="36" t="n"/>
      <c r="G693" s="37">
        <f>IF($A693="","",$B693+$C693-$D693-$E693)</f>
        <v/>
      </c>
      <c r="H693" s="37">
        <f>IF($A693="","",IFERROR(ROUND($G693*INDEX(tblKurallar[deger_2025],MATCH("AKV-003",tblKurallar[kural_id],0)),2),0))</f>
        <v/>
      </c>
      <c r="I693" s="37">
        <f>IF($A693="","",IFERROR(MAX(0,$H693-$F693),0))</f>
        <v/>
      </c>
    </row>
    <row r="694">
      <c r="A694" s="36" t="n"/>
      <c r="B694" s="36" t="n"/>
      <c r="C694" s="36" t="n"/>
      <c r="D694" s="36" t="n"/>
      <c r="E694" s="36" t="n"/>
      <c r="F694" s="36" t="n"/>
      <c r="G694" s="37">
        <f>IF($A694="","",$B694+$C694-$D694-$E694)</f>
        <v/>
      </c>
      <c r="H694" s="37">
        <f>IF($A694="","",IFERROR(ROUND($G694*INDEX(tblKurallar[deger_2025],MATCH("AKV-003",tblKurallar[kural_id],0)),2),0))</f>
        <v/>
      </c>
      <c r="I694" s="37">
        <f>IF($A694="","",IFERROR(MAX(0,$H694-$F694),0))</f>
        <v/>
      </c>
    </row>
    <row r="695">
      <c r="A695" s="36" t="n"/>
      <c r="B695" s="36" t="n"/>
      <c r="C695" s="36" t="n"/>
      <c r="D695" s="36" t="n"/>
      <c r="E695" s="36" t="n"/>
      <c r="F695" s="36" t="n"/>
      <c r="G695" s="37">
        <f>IF($A695="","",$B695+$C695-$D695-$E695)</f>
        <v/>
      </c>
      <c r="H695" s="37">
        <f>IF($A695="","",IFERROR(ROUND($G695*INDEX(tblKurallar[deger_2025],MATCH("AKV-003",tblKurallar[kural_id],0)),2),0))</f>
        <v/>
      </c>
      <c r="I695" s="37">
        <f>IF($A695="","",IFERROR(MAX(0,$H695-$F695),0))</f>
        <v/>
      </c>
    </row>
    <row r="696">
      <c r="A696" s="36" t="n"/>
      <c r="B696" s="36" t="n"/>
      <c r="C696" s="36" t="n"/>
      <c r="D696" s="36" t="n"/>
      <c r="E696" s="36" t="n"/>
      <c r="F696" s="36" t="n"/>
      <c r="G696" s="37">
        <f>IF($A696="","",$B696+$C696-$D696-$E696)</f>
        <v/>
      </c>
      <c r="H696" s="37">
        <f>IF($A696="","",IFERROR(ROUND($G696*INDEX(tblKurallar[deger_2025],MATCH("AKV-003",tblKurallar[kural_id],0)),2),0))</f>
        <v/>
      </c>
      <c r="I696" s="37">
        <f>IF($A696="","",IFERROR(MAX(0,$H696-$F696),0))</f>
        <v/>
      </c>
    </row>
    <row r="697">
      <c r="A697" s="36" t="n"/>
      <c r="B697" s="36" t="n"/>
      <c r="C697" s="36" t="n"/>
      <c r="D697" s="36" t="n"/>
      <c r="E697" s="36" t="n"/>
      <c r="F697" s="36" t="n"/>
      <c r="G697" s="37">
        <f>IF($A697="","",$B697+$C697-$D697-$E697)</f>
        <v/>
      </c>
      <c r="H697" s="37">
        <f>IF($A697="","",IFERROR(ROUND($G697*INDEX(tblKurallar[deger_2025],MATCH("AKV-003",tblKurallar[kural_id],0)),2),0))</f>
        <v/>
      </c>
      <c r="I697" s="37">
        <f>IF($A697="","",IFERROR(MAX(0,$H697-$F697),0))</f>
        <v/>
      </c>
    </row>
    <row r="698">
      <c r="A698" s="36" t="n"/>
      <c r="B698" s="36" t="n"/>
      <c r="C698" s="36" t="n"/>
      <c r="D698" s="36" t="n"/>
      <c r="E698" s="36" t="n"/>
      <c r="F698" s="36" t="n"/>
      <c r="G698" s="37">
        <f>IF($A698="","",$B698+$C698-$D698-$E698)</f>
        <v/>
      </c>
      <c r="H698" s="37">
        <f>IF($A698="","",IFERROR(ROUND($G698*INDEX(tblKurallar[deger_2025],MATCH("AKV-003",tblKurallar[kural_id],0)),2),0))</f>
        <v/>
      </c>
      <c r="I698" s="37">
        <f>IF($A698="","",IFERROR(MAX(0,$H698-$F698),0))</f>
        <v/>
      </c>
    </row>
    <row r="699">
      <c r="A699" s="36" t="n"/>
      <c r="B699" s="36" t="n"/>
      <c r="C699" s="36" t="n"/>
      <c r="D699" s="36" t="n"/>
      <c r="E699" s="36" t="n"/>
      <c r="F699" s="36" t="n"/>
      <c r="G699" s="37">
        <f>IF($A699="","",$B699+$C699-$D699-$E699)</f>
        <v/>
      </c>
      <c r="H699" s="37">
        <f>IF($A699="","",IFERROR(ROUND($G699*INDEX(tblKurallar[deger_2025],MATCH("AKV-003",tblKurallar[kural_id],0)),2),0))</f>
        <v/>
      </c>
      <c r="I699" s="37">
        <f>IF($A699="","",IFERROR(MAX(0,$H699-$F699),0))</f>
        <v/>
      </c>
    </row>
    <row r="700">
      <c r="A700" s="36" t="n"/>
      <c r="B700" s="36" t="n"/>
      <c r="C700" s="36" t="n"/>
      <c r="D700" s="36" t="n"/>
      <c r="E700" s="36" t="n"/>
      <c r="F700" s="36" t="n"/>
      <c r="G700" s="37">
        <f>IF($A700="","",$B700+$C700-$D700-$E700)</f>
        <v/>
      </c>
      <c r="H700" s="37">
        <f>IF($A700="","",IFERROR(ROUND($G700*INDEX(tblKurallar[deger_2025],MATCH("AKV-003",tblKurallar[kural_id],0)),2),0))</f>
        <v/>
      </c>
      <c r="I700" s="37">
        <f>IF($A700="","",IFERROR(MAX(0,$H700-$F700),0))</f>
        <v/>
      </c>
    </row>
    <row r="701">
      <c r="A701" s="36" t="n"/>
      <c r="B701" s="36" t="n"/>
      <c r="C701" s="36" t="n"/>
      <c r="D701" s="36" t="n"/>
      <c r="E701" s="36" t="n"/>
      <c r="F701" s="36" t="n"/>
      <c r="G701" s="37">
        <f>IF($A701="","",$B701+$C701-$D701-$E701)</f>
        <v/>
      </c>
      <c r="H701" s="37">
        <f>IF($A701="","",IFERROR(ROUND($G701*INDEX(tblKurallar[deger_2025],MATCH("AKV-003",tblKurallar[kural_id],0)),2),0))</f>
        <v/>
      </c>
      <c r="I701" s="37">
        <f>IF($A701="","",IFERROR(MAX(0,$H701-$F701),0))</f>
        <v/>
      </c>
    </row>
    <row r="702">
      <c r="A702" s="36" t="n"/>
      <c r="B702" s="36" t="n"/>
      <c r="C702" s="36" t="n"/>
      <c r="D702" s="36" t="n"/>
      <c r="E702" s="36" t="n"/>
      <c r="F702" s="36" t="n"/>
      <c r="G702" s="37">
        <f>IF($A702="","",$B702+$C702-$D702-$E702)</f>
        <v/>
      </c>
      <c r="H702" s="37">
        <f>IF($A702="","",IFERROR(ROUND($G702*INDEX(tblKurallar[deger_2025],MATCH("AKV-003",tblKurallar[kural_id],0)),2),0))</f>
        <v/>
      </c>
      <c r="I702" s="37">
        <f>IF($A702="","",IFERROR(MAX(0,$H702-$F702),0))</f>
        <v/>
      </c>
    </row>
    <row r="703">
      <c r="A703" s="36" t="n"/>
      <c r="B703" s="36" t="n"/>
      <c r="C703" s="36" t="n"/>
      <c r="D703" s="36" t="n"/>
      <c r="E703" s="36" t="n"/>
      <c r="F703" s="36" t="n"/>
      <c r="G703" s="37">
        <f>IF($A703="","",$B703+$C703-$D703-$E703)</f>
        <v/>
      </c>
      <c r="H703" s="37">
        <f>IF($A703="","",IFERROR(ROUND($G703*INDEX(tblKurallar[deger_2025],MATCH("AKV-003",tblKurallar[kural_id],0)),2),0))</f>
        <v/>
      </c>
      <c r="I703" s="37">
        <f>IF($A703="","",IFERROR(MAX(0,$H703-$F703),0))</f>
        <v/>
      </c>
    </row>
    <row r="704">
      <c r="A704" s="36" t="n"/>
      <c r="B704" s="36" t="n"/>
      <c r="C704" s="36" t="n"/>
      <c r="D704" s="36" t="n"/>
      <c r="E704" s="36" t="n"/>
      <c r="F704" s="36" t="n"/>
      <c r="G704" s="37">
        <f>IF($A704="","",$B704+$C704-$D704-$E704)</f>
        <v/>
      </c>
      <c r="H704" s="37">
        <f>IF($A704="","",IFERROR(ROUND($G704*INDEX(tblKurallar[deger_2025],MATCH("AKV-003",tblKurallar[kural_id],0)),2),0))</f>
        <v/>
      </c>
      <c r="I704" s="37">
        <f>IF($A704="","",IFERROR(MAX(0,$H704-$F704),0))</f>
        <v/>
      </c>
    </row>
    <row r="705">
      <c r="A705" s="36" t="n"/>
      <c r="B705" s="36" t="n"/>
      <c r="C705" s="36" t="n"/>
      <c r="D705" s="36" t="n"/>
      <c r="E705" s="36" t="n"/>
      <c r="F705" s="36" t="n"/>
      <c r="G705" s="37">
        <f>IF($A705="","",$B705+$C705-$D705-$E705)</f>
        <v/>
      </c>
      <c r="H705" s="37">
        <f>IF($A705="","",IFERROR(ROUND($G705*INDEX(tblKurallar[deger_2025],MATCH("AKV-003",tblKurallar[kural_id],0)),2),0))</f>
        <v/>
      </c>
      <c r="I705" s="37">
        <f>IF($A705="","",IFERROR(MAX(0,$H705-$F705),0))</f>
        <v/>
      </c>
    </row>
    <row r="706">
      <c r="A706" s="36" t="n"/>
      <c r="B706" s="36" t="n"/>
      <c r="C706" s="36" t="n"/>
      <c r="D706" s="36" t="n"/>
      <c r="E706" s="36" t="n"/>
      <c r="F706" s="36" t="n"/>
      <c r="G706" s="37">
        <f>IF($A706="","",$B706+$C706-$D706-$E706)</f>
        <v/>
      </c>
      <c r="H706" s="37">
        <f>IF($A706="","",IFERROR(ROUND($G706*INDEX(tblKurallar[deger_2025],MATCH("AKV-003",tblKurallar[kural_id],0)),2),0))</f>
        <v/>
      </c>
      <c r="I706" s="37">
        <f>IF($A706="","",IFERROR(MAX(0,$H706-$F706),0))</f>
        <v/>
      </c>
    </row>
    <row r="707">
      <c r="A707" s="36" t="n"/>
      <c r="B707" s="36" t="n"/>
      <c r="C707" s="36" t="n"/>
      <c r="D707" s="36" t="n"/>
      <c r="E707" s="36" t="n"/>
      <c r="F707" s="36" t="n"/>
      <c r="G707" s="37">
        <f>IF($A707="","",$B707+$C707-$D707-$E707)</f>
        <v/>
      </c>
      <c r="H707" s="37">
        <f>IF($A707="","",IFERROR(ROUND($G707*INDEX(tblKurallar[deger_2025],MATCH("AKV-003",tblKurallar[kural_id],0)),2),0))</f>
        <v/>
      </c>
      <c r="I707" s="37">
        <f>IF($A707="","",IFERROR(MAX(0,$H707-$F707),0))</f>
        <v/>
      </c>
    </row>
    <row r="708">
      <c r="A708" s="36" t="n"/>
      <c r="B708" s="36" t="n"/>
      <c r="C708" s="36" t="n"/>
      <c r="D708" s="36" t="n"/>
      <c r="E708" s="36" t="n"/>
      <c r="F708" s="36" t="n"/>
      <c r="G708" s="37">
        <f>IF($A708="","",$B708+$C708-$D708-$E708)</f>
        <v/>
      </c>
      <c r="H708" s="37">
        <f>IF($A708="","",IFERROR(ROUND($G708*INDEX(tblKurallar[deger_2025],MATCH("AKV-003",tblKurallar[kural_id],0)),2),0))</f>
        <v/>
      </c>
      <c r="I708" s="37">
        <f>IF($A708="","",IFERROR(MAX(0,$H708-$F708),0))</f>
        <v/>
      </c>
    </row>
    <row r="709">
      <c r="A709" s="36" t="n"/>
      <c r="B709" s="36" t="n"/>
      <c r="C709" s="36" t="n"/>
      <c r="D709" s="36" t="n"/>
      <c r="E709" s="36" t="n"/>
      <c r="F709" s="36" t="n"/>
      <c r="G709" s="37">
        <f>IF($A709="","",$B709+$C709-$D709-$E709)</f>
        <v/>
      </c>
      <c r="H709" s="37">
        <f>IF($A709="","",IFERROR(ROUND($G709*INDEX(tblKurallar[deger_2025],MATCH("AKV-003",tblKurallar[kural_id],0)),2),0))</f>
        <v/>
      </c>
      <c r="I709" s="37">
        <f>IF($A709="","",IFERROR(MAX(0,$H709-$F709),0))</f>
        <v/>
      </c>
    </row>
    <row r="710">
      <c r="A710" s="36" t="n"/>
      <c r="B710" s="36" t="n"/>
      <c r="C710" s="36" t="n"/>
      <c r="D710" s="36" t="n"/>
      <c r="E710" s="36" t="n"/>
      <c r="F710" s="36" t="n"/>
      <c r="G710" s="37">
        <f>IF($A710="","",$B710+$C710-$D710-$E710)</f>
        <v/>
      </c>
      <c r="H710" s="37">
        <f>IF($A710="","",IFERROR(ROUND($G710*INDEX(tblKurallar[deger_2025],MATCH("AKV-003",tblKurallar[kural_id],0)),2),0))</f>
        <v/>
      </c>
      <c r="I710" s="37">
        <f>IF($A710="","",IFERROR(MAX(0,$H710-$F710),0))</f>
        <v/>
      </c>
    </row>
    <row r="711">
      <c r="A711" s="36" t="n"/>
      <c r="B711" s="36" t="n"/>
      <c r="C711" s="36" t="n"/>
      <c r="D711" s="36" t="n"/>
      <c r="E711" s="36" t="n"/>
      <c r="F711" s="36" t="n"/>
      <c r="G711" s="37">
        <f>IF($A711="","",$B711+$C711-$D711-$E711)</f>
        <v/>
      </c>
      <c r="H711" s="37">
        <f>IF($A711="","",IFERROR(ROUND($G711*INDEX(tblKurallar[deger_2025],MATCH("AKV-003",tblKurallar[kural_id],0)),2),0))</f>
        <v/>
      </c>
      <c r="I711" s="37">
        <f>IF($A711="","",IFERROR(MAX(0,$H711-$F711),0))</f>
        <v/>
      </c>
    </row>
    <row r="712">
      <c r="A712" s="36" t="n"/>
      <c r="B712" s="36" t="n"/>
      <c r="C712" s="36" t="n"/>
      <c r="D712" s="36" t="n"/>
      <c r="E712" s="36" t="n"/>
      <c r="F712" s="36" t="n"/>
      <c r="G712" s="37">
        <f>IF($A712="","",$B712+$C712-$D712-$E712)</f>
        <v/>
      </c>
      <c r="H712" s="37">
        <f>IF($A712="","",IFERROR(ROUND($G712*INDEX(tblKurallar[deger_2025],MATCH("AKV-003",tblKurallar[kural_id],0)),2),0))</f>
        <v/>
      </c>
      <c r="I712" s="37">
        <f>IF($A712="","",IFERROR(MAX(0,$H712-$F712),0))</f>
        <v/>
      </c>
    </row>
    <row r="713">
      <c r="A713" s="36" t="n"/>
      <c r="B713" s="36" t="n"/>
      <c r="C713" s="36" t="n"/>
      <c r="D713" s="36" t="n"/>
      <c r="E713" s="36" t="n"/>
      <c r="F713" s="36" t="n"/>
      <c r="G713" s="37">
        <f>IF($A713="","",$B713+$C713-$D713-$E713)</f>
        <v/>
      </c>
      <c r="H713" s="37">
        <f>IF($A713="","",IFERROR(ROUND($G713*INDEX(tblKurallar[deger_2025],MATCH("AKV-003",tblKurallar[kural_id],0)),2),0))</f>
        <v/>
      </c>
      <c r="I713" s="37">
        <f>IF($A713="","",IFERROR(MAX(0,$H713-$F713),0))</f>
        <v/>
      </c>
    </row>
    <row r="714">
      <c r="A714" s="36" t="n"/>
      <c r="B714" s="36" t="n"/>
      <c r="C714" s="36" t="n"/>
      <c r="D714" s="36" t="n"/>
      <c r="E714" s="36" t="n"/>
      <c r="F714" s="36" t="n"/>
      <c r="G714" s="37">
        <f>IF($A714="","",$B714+$C714-$D714-$E714)</f>
        <v/>
      </c>
      <c r="H714" s="37">
        <f>IF($A714="","",IFERROR(ROUND($G714*INDEX(tblKurallar[deger_2025],MATCH("AKV-003",tblKurallar[kural_id],0)),2),0))</f>
        <v/>
      </c>
      <c r="I714" s="37">
        <f>IF($A714="","",IFERROR(MAX(0,$H714-$F714),0))</f>
        <v/>
      </c>
    </row>
    <row r="715">
      <c r="A715" s="36" t="n"/>
      <c r="B715" s="36" t="n"/>
      <c r="C715" s="36" t="n"/>
      <c r="D715" s="36" t="n"/>
      <c r="E715" s="36" t="n"/>
      <c r="F715" s="36" t="n"/>
      <c r="G715" s="37">
        <f>IF($A715="","",$B715+$C715-$D715-$E715)</f>
        <v/>
      </c>
      <c r="H715" s="37">
        <f>IF($A715="","",IFERROR(ROUND($G715*INDEX(tblKurallar[deger_2025],MATCH("AKV-003",tblKurallar[kural_id],0)),2),0))</f>
        <v/>
      </c>
      <c r="I715" s="37">
        <f>IF($A715="","",IFERROR(MAX(0,$H715-$F715),0))</f>
        <v/>
      </c>
    </row>
    <row r="716">
      <c r="A716" s="36" t="n"/>
      <c r="B716" s="36" t="n"/>
      <c r="C716" s="36" t="n"/>
      <c r="D716" s="36" t="n"/>
      <c r="E716" s="36" t="n"/>
      <c r="F716" s="36" t="n"/>
      <c r="G716" s="37">
        <f>IF($A716="","",$B716+$C716-$D716-$E716)</f>
        <v/>
      </c>
      <c r="H716" s="37">
        <f>IF($A716="","",IFERROR(ROUND($G716*INDEX(tblKurallar[deger_2025],MATCH("AKV-003",tblKurallar[kural_id],0)),2),0))</f>
        <v/>
      </c>
      <c r="I716" s="37">
        <f>IF($A716="","",IFERROR(MAX(0,$H716-$F716),0))</f>
        <v/>
      </c>
    </row>
    <row r="717">
      <c r="A717" s="36" t="n"/>
      <c r="B717" s="36" t="n"/>
      <c r="C717" s="36" t="n"/>
      <c r="D717" s="36" t="n"/>
      <c r="E717" s="36" t="n"/>
      <c r="F717" s="36" t="n"/>
      <c r="G717" s="37">
        <f>IF($A717="","",$B717+$C717-$D717-$E717)</f>
        <v/>
      </c>
      <c r="H717" s="37">
        <f>IF($A717="","",IFERROR(ROUND($G717*INDEX(tblKurallar[deger_2025],MATCH("AKV-003",tblKurallar[kural_id],0)),2),0))</f>
        <v/>
      </c>
      <c r="I717" s="37">
        <f>IF($A717="","",IFERROR(MAX(0,$H717-$F717),0))</f>
        <v/>
      </c>
    </row>
    <row r="718">
      <c r="A718" s="36" t="n"/>
      <c r="B718" s="36" t="n"/>
      <c r="C718" s="36" t="n"/>
      <c r="D718" s="36" t="n"/>
      <c r="E718" s="36" t="n"/>
      <c r="F718" s="36" t="n"/>
      <c r="G718" s="37">
        <f>IF($A718="","",$B718+$C718-$D718-$E718)</f>
        <v/>
      </c>
      <c r="H718" s="37">
        <f>IF($A718="","",IFERROR(ROUND($G718*INDEX(tblKurallar[deger_2025],MATCH("AKV-003",tblKurallar[kural_id],0)),2),0))</f>
        <v/>
      </c>
      <c r="I718" s="37">
        <f>IF($A718="","",IFERROR(MAX(0,$H718-$F718),0))</f>
        <v/>
      </c>
    </row>
    <row r="719">
      <c r="A719" s="36" t="n"/>
      <c r="B719" s="36" t="n"/>
      <c r="C719" s="36" t="n"/>
      <c r="D719" s="36" t="n"/>
      <c r="E719" s="36" t="n"/>
      <c r="F719" s="36" t="n"/>
      <c r="G719" s="37">
        <f>IF($A719="","",$B719+$C719-$D719-$E719)</f>
        <v/>
      </c>
      <c r="H719" s="37">
        <f>IF($A719="","",IFERROR(ROUND($G719*INDEX(tblKurallar[deger_2025],MATCH("AKV-003",tblKurallar[kural_id],0)),2),0))</f>
        <v/>
      </c>
      <c r="I719" s="37">
        <f>IF($A719="","",IFERROR(MAX(0,$H719-$F719),0))</f>
        <v/>
      </c>
    </row>
    <row r="720">
      <c r="A720" s="36" t="n"/>
      <c r="B720" s="36" t="n"/>
      <c r="C720" s="36" t="n"/>
      <c r="D720" s="36" t="n"/>
      <c r="E720" s="36" t="n"/>
      <c r="F720" s="36" t="n"/>
      <c r="G720" s="37">
        <f>IF($A720="","",$B720+$C720-$D720-$E720)</f>
        <v/>
      </c>
      <c r="H720" s="37">
        <f>IF($A720="","",IFERROR(ROUND($G720*INDEX(tblKurallar[deger_2025],MATCH("AKV-003",tblKurallar[kural_id],0)),2),0))</f>
        <v/>
      </c>
      <c r="I720" s="37">
        <f>IF($A720="","",IFERROR(MAX(0,$H720-$F720),0))</f>
        <v/>
      </c>
    </row>
    <row r="721">
      <c r="A721" s="36" t="n"/>
      <c r="B721" s="36" t="n"/>
      <c r="C721" s="36" t="n"/>
      <c r="D721" s="36" t="n"/>
      <c r="E721" s="36" t="n"/>
      <c r="F721" s="36" t="n"/>
      <c r="G721" s="37">
        <f>IF($A721="","",$B721+$C721-$D721-$E721)</f>
        <v/>
      </c>
      <c r="H721" s="37">
        <f>IF($A721="","",IFERROR(ROUND($G721*INDEX(tblKurallar[deger_2025],MATCH("AKV-003",tblKurallar[kural_id],0)),2),0))</f>
        <v/>
      </c>
      <c r="I721" s="37">
        <f>IF($A721="","",IFERROR(MAX(0,$H721-$F721),0))</f>
        <v/>
      </c>
    </row>
    <row r="722">
      <c r="A722" s="36" t="n"/>
      <c r="B722" s="36" t="n"/>
      <c r="C722" s="36" t="n"/>
      <c r="D722" s="36" t="n"/>
      <c r="E722" s="36" t="n"/>
      <c r="F722" s="36" t="n"/>
      <c r="G722" s="37">
        <f>IF($A722="","",$B722+$C722-$D722-$E722)</f>
        <v/>
      </c>
      <c r="H722" s="37">
        <f>IF($A722="","",IFERROR(ROUND($G722*INDEX(tblKurallar[deger_2025],MATCH("AKV-003",tblKurallar[kural_id],0)),2),0))</f>
        <v/>
      </c>
      <c r="I722" s="37">
        <f>IF($A722="","",IFERROR(MAX(0,$H722-$F722),0))</f>
        <v/>
      </c>
    </row>
    <row r="723">
      <c r="A723" s="36" t="n"/>
      <c r="B723" s="36" t="n"/>
      <c r="C723" s="36" t="n"/>
      <c r="D723" s="36" t="n"/>
      <c r="E723" s="36" t="n"/>
      <c r="F723" s="36" t="n"/>
      <c r="G723" s="37">
        <f>IF($A723="","",$B723+$C723-$D723-$E723)</f>
        <v/>
      </c>
      <c r="H723" s="37">
        <f>IF($A723="","",IFERROR(ROUND($G723*INDEX(tblKurallar[deger_2025],MATCH("AKV-003",tblKurallar[kural_id],0)),2),0))</f>
        <v/>
      </c>
      <c r="I723" s="37">
        <f>IF($A723="","",IFERROR(MAX(0,$H723-$F723),0))</f>
        <v/>
      </c>
    </row>
    <row r="724">
      <c r="A724" s="36" t="n"/>
      <c r="B724" s="36" t="n"/>
      <c r="C724" s="36" t="n"/>
      <c r="D724" s="36" t="n"/>
      <c r="E724" s="36" t="n"/>
      <c r="F724" s="36" t="n"/>
      <c r="G724" s="37">
        <f>IF($A724="","",$B724+$C724-$D724-$E724)</f>
        <v/>
      </c>
      <c r="H724" s="37">
        <f>IF($A724="","",IFERROR(ROUND($G724*INDEX(tblKurallar[deger_2025],MATCH("AKV-003",tblKurallar[kural_id],0)),2),0))</f>
        <v/>
      </c>
      <c r="I724" s="37">
        <f>IF($A724="","",IFERROR(MAX(0,$H724-$F724),0))</f>
        <v/>
      </c>
    </row>
    <row r="725">
      <c r="A725" s="36" t="n"/>
      <c r="B725" s="36" t="n"/>
      <c r="C725" s="36" t="n"/>
      <c r="D725" s="36" t="n"/>
      <c r="E725" s="36" t="n"/>
      <c r="F725" s="36" t="n"/>
      <c r="G725" s="37">
        <f>IF($A725="","",$B725+$C725-$D725-$E725)</f>
        <v/>
      </c>
      <c r="H725" s="37">
        <f>IF($A725="","",IFERROR(ROUND($G725*INDEX(tblKurallar[deger_2025],MATCH("AKV-003",tblKurallar[kural_id],0)),2),0))</f>
        <v/>
      </c>
      <c r="I725" s="37">
        <f>IF($A725="","",IFERROR(MAX(0,$H725-$F725),0))</f>
        <v/>
      </c>
    </row>
    <row r="726">
      <c r="A726" s="36" t="n"/>
      <c r="B726" s="36" t="n"/>
      <c r="C726" s="36" t="n"/>
      <c r="D726" s="36" t="n"/>
      <c r="E726" s="36" t="n"/>
      <c r="F726" s="36" t="n"/>
      <c r="G726" s="37">
        <f>IF($A726="","",$B726+$C726-$D726-$E726)</f>
        <v/>
      </c>
      <c r="H726" s="37">
        <f>IF($A726="","",IFERROR(ROUND($G726*INDEX(tblKurallar[deger_2025],MATCH("AKV-003",tblKurallar[kural_id],0)),2),0))</f>
        <v/>
      </c>
      <c r="I726" s="37">
        <f>IF($A726="","",IFERROR(MAX(0,$H726-$F726),0))</f>
        <v/>
      </c>
    </row>
    <row r="727">
      <c r="A727" s="36" t="n"/>
      <c r="B727" s="36" t="n"/>
      <c r="C727" s="36" t="n"/>
      <c r="D727" s="36" t="n"/>
      <c r="E727" s="36" t="n"/>
      <c r="F727" s="36" t="n"/>
      <c r="G727" s="37">
        <f>IF($A727="","",$B727+$C727-$D727-$E727)</f>
        <v/>
      </c>
      <c r="H727" s="37">
        <f>IF($A727="","",IFERROR(ROUND($G727*INDEX(tblKurallar[deger_2025],MATCH("AKV-003",tblKurallar[kural_id],0)),2),0))</f>
        <v/>
      </c>
      <c r="I727" s="37">
        <f>IF($A727="","",IFERROR(MAX(0,$H727-$F727),0))</f>
        <v/>
      </c>
    </row>
    <row r="728">
      <c r="A728" s="36" t="n"/>
      <c r="B728" s="36" t="n"/>
      <c r="C728" s="36" t="n"/>
      <c r="D728" s="36" t="n"/>
      <c r="E728" s="36" t="n"/>
      <c r="F728" s="36" t="n"/>
      <c r="G728" s="37">
        <f>IF($A728="","",$B728+$C728-$D728-$E728)</f>
        <v/>
      </c>
      <c r="H728" s="37">
        <f>IF($A728="","",IFERROR(ROUND($G728*INDEX(tblKurallar[deger_2025],MATCH("AKV-003",tblKurallar[kural_id],0)),2),0))</f>
        <v/>
      </c>
      <c r="I728" s="37">
        <f>IF($A728="","",IFERROR(MAX(0,$H728-$F728),0))</f>
        <v/>
      </c>
    </row>
    <row r="729">
      <c r="A729" s="36" t="n"/>
      <c r="B729" s="36" t="n"/>
      <c r="C729" s="36" t="n"/>
      <c r="D729" s="36" t="n"/>
      <c r="E729" s="36" t="n"/>
      <c r="F729" s="36" t="n"/>
      <c r="G729" s="37">
        <f>IF($A729="","",$B729+$C729-$D729-$E729)</f>
        <v/>
      </c>
      <c r="H729" s="37">
        <f>IF($A729="","",IFERROR(ROUND($G729*INDEX(tblKurallar[deger_2025],MATCH("AKV-003",tblKurallar[kural_id],0)),2),0))</f>
        <v/>
      </c>
      <c r="I729" s="37">
        <f>IF($A729="","",IFERROR(MAX(0,$H729-$F729),0))</f>
        <v/>
      </c>
    </row>
    <row r="730">
      <c r="A730" s="36" t="n"/>
      <c r="B730" s="36" t="n"/>
      <c r="C730" s="36" t="n"/>
      <c r="D730" s="36" t="n"/>
      <c r="E730" s="36" t="n"/>
      <c r="F730" s="36" t="n"/>
      <c r="G730" s="37">
        <f>IF($A730="","",$B730+$C730-$D730-$E730)</f>
        <v/>
      </c>
      <c r="H730" s="37">
        <f>IF($A730="","",IFERROR(ROUND($G730*INDEX(tblKurallar[deger_2025],MATCH("AKV-003",tblKurallar[kural_id],0)),2),0))</f>
        <v/>
      </c>
      <c r="I730" s="37">
        <f>IF($A730="","",IFERROR(MAX(0,$H730-$F730),0))</f>
        <v/>
      </c>
    </row>
    <row r="731">
      <c r="A731" s="36" t="n"/>
      <c r="B731" s="36" t="n"/>
      <c r="C731" s="36" t="n"/>
      <c r="D731" s="36" t="n"/>
      <c r="E731" s="36" t="n"/>
      <c r="F731" s="36" t="n"/>
      <c r="G731" s="37">
        <f>IF($A731="","",$B731+$C731-$D731-$E731)</f>
        <v/>
      </c>
      <c r="H731" s="37">
        <f>IF($A731="","",IFERROR(ROUND($G731*INDEX(tblKurallar[deger_2025],MATCH("AKV-003",tblKurallar[kural_id],0)),2),0))</f>
        <v/>
      </c>
      <c r="I731" s="37">
        <f>IF($A731="","",IFERROR(MAX(0,$H731-$F731),0))</f>
        <v/>
      </c>
    </row>
    <row r="732">
      <c r="A732" s="36" t="n"/>
      <c r="B732" s="36" t="n"/>
      <c r="C732" s="36" t="n"/>
      <c r="D732" s="36" t="n"/>
      <c r="E732" s="36" t="n"/>
      <c r="F732" s="36" t="n"/>
      <c r="G732" s="37">
        <f>IF($A732="","",$B732+$C732-$D732-$E732)</f>
        <v/>
      </c>
      <c r="H732" s="37">
        <f>IF($A732="","",IFERROR(ROUND($G732*INDEX(tblKurallar[deger_2025],MATCH("AKV-003",tblKurallar[kural_id],0)),2),0))</f>
        <v/>
      </c>
      <c r="I732" s="37">
        <f>IF($A732="","",IFERROR(MAX(0,$H732-$F732),0))</f>
        <v/>
      </c>
    </row>
    <row r="733">
      <c r="A733" s="36" t="n"/>
      <c r="B733" s="36" t="n"/>
      <c r="C733" s="36" t="n"/>
      <c r="D733" s="36" t="n"/>
      <c r="E733" s="36" t="n"/>
      <c r="F733" s="36" t="n"/>
      <c r="G733" s="37">
        <f>IF($A733="","",$B733+$C733-$D733-$E733)</f>
        <v/>
      </c>
      <c r="H733" s="37">
        <f>IF($A733="","",IFERROR(ROUND($G733*INDEX(tblKurallar[deger_2025],MATCH("AKV-003",tblKurallar[kural_id],0)),2),0))</f>
        <v/>
      </c>
      <c r="I733" s="37">
        <f>IF($A733="","",IFERROR(MAX(0,$H733-$F733),0))</f>
        <v/>
      </c>
    </row>
    <row r="734">
      <c r="A734" s="36" t="n"/>
      <c r="B734" s="36" t="n"/>
      <c r="C734" s="36" t="n"/>
      <c r="D734" s="36" t="n"/>
      <c r="E734" s="36" t="n"/>
      <c r="F734" s="36" t="n"/>
      <c r="G734" s="37">
        <f>IF($A734="","",$B734+$C734-$D734-$E734)</f>
        <v/>
      </c>
      <c r="H734" s="37">
        <f>IF($A734="","",IFERROR(ROUND($G734*INDEX(tblKurallar[deger_2025],MATCH("AKV-003",tblKurallar[kural_id],0)),2),0))</f>
        <v/>
      </c>
      <c r="I734" s="37">
        <f>IF($A734="","",IFERROR(MAX(0,$H734-$F734),0))</f>
        <v/>
      </c>
    </row>
    <row r="735">
      <c r="A735" s="36" t="n"/>
      <c r="B735" s="36" t="n"/>
      <c r="C735" s="36" t="n"/>
      <c r="D735" s="36" t="n"/>
      <c r="E735" s="36" t="n"/>
      <c r="F735" s="36" t="n"/>
      <c r="G735" s="37">
        <f>IF($A735="","",$B735+$C735-$D735-$E735)</f>
        <v/>
      </c>
      <c r="H735" s="37">
        <f>IF($A735="","",IFERROR(ROUND($G735*INDEX(tblKurallar[deger_2025],MATCH("AKV-003",tblKurallar[kural_id],0)),2),0))</f>
        <v/>
      </c>
      <c r="I735" s="37">
        <f>IF($A735="","",IFERROR(MAX(0,$H735-$F735),0))</f>
        <v/>
      </c>
    </row>
    <row r="736">
      <c r="A736" s="36" t="n"/>
      <c r="B736" s="36" t="n"/>
      <c r="C736" s="36" t="n"/>
      <c r="D736" s="36" t="n"/>
      <c r="E736" s="36" t="n"/>
      <c r="F736" s="36" t="n"/>
      <c r="G736" s="37">
        <f>IF($A736="","",$B736+$C736-$D736-$E736)</f>
        <v/>
      </c>
      <c r="H736" s="37">
        <f>IF($A736="","",IFERROR(ROUND($G736*INDEX(tblKurallar[deger_2025],MATCH("AKV-003",tblKurallar[kural_id],0)),2),0))</f>
        <v/>
      </c>
      <c r="I736" s="37">
        <f>IF($A736="","",IFERROR(MAX(0,$H736-$F736),0))</f>
        <v/>
      </c>
    </row>
    <row r="737">
      <c r="A737" s="36" t="n"/>
      <c r="B737" s="36" t="n"/>
      <c r="C737" s="36" t="n"/>
      <c r="D737" s="36" t="n"/>
      <c r="E737" s="36" t="n"/>
      <c r="F737" s="36" t="n"/>
      <c r="G737" s="37">
        <f>IF($A737="","",$B737+$C737-$D737-$E737)</f>
        <v/>
      </c>
      <c r="H737" s="37">
        <f>IF($A737="","",IFERROR(ROUND($G737*INDEX(tblKurallar[deger_2025],MATCH("AKV-003",tblKurallar[kural_id],0)),2),0))</f>
        <v/>
      </c>
      <c r="I737" s="37">
        <f>IF($A737="","",IFERROR(MAX(0,$H737-$F737),0))</f>
        <v/>
      </c>
    </row>
    <row r="738">
      <c r="A738" s="36" t="n"/>
      <c r="B738" s="36" t="n"/>
      <c r="C738" s="36" t="n"/>
      <c r="D738" s="36" t="n"/>
      <c r="E738" s="36" t="n"/>
      <c r="F738" s="36" t="n"/>
      <c r="G738" s="37">
        <f>IF($A738="","",$B738+$C738-$D738-$E738)</f>
        <v/>
      </c>
      <c r="H738" s="37">
        <f>IF($A738="","",IFERROR(ROUND($G738*INDEX(tblKurallar[deger_2025],MATCH("AKV-003",tblKurallar[kural_id],0)),2),0))</f>
        <v/>
      </c>
      <c r="I738" s="37">
        <f>IF($A738="","",IFERROR(MAX(0,$H738-$F738),0))</f>
        <v/>
      </c>
    </row>
    <row r="739">
      <c r="A739" s="36" t="n"/>
      <c r="B739" s="36" t="n"/>
      <c r="C739" s="36" t="n"/>
      <c r="D739" s="36" t="n"/>
      <c r="E739" s="36" t="n"/>
      <c r="F739" s="36" t="n"/>
      <c r="G739" s="37">
        <f>IF($A739="","",$B739+$C739-$D739-$E739)</f>
        <v/>
      </c>
      <c r="H739" s="37">
        <f>IF($A739="","",IFERROR(ROUND($G739*INDEX(tblKurallar[deger_2025],MATCH("AKV-003",tblKurallar[kural_id],0)),2),0))</f>
        <v/>
      </c>
      <c r="I739" s="37">
        <f>IF($A739="","",IFERROR(MAX(0,$H739-$F739),0))</f>
        <v/>
      </c>
    </row>
    <row r="740">
      <c r="A740" s="36" t="n"/>
      <c r="B740" s="36" t="n"/>
      <c r="C740" s="36" t="n"/>
      <c r="D740" s="36" t="n"/>
      <c r="E740" s="36" t="n"/>
      <c r="F740" s="36" t="n"/>
      <c r="G740" s="37">
        <f>IF($A740="","",$B740+$C740-$D740-$E740)</f>
        <v/>
      </c>
      <c r="H740" s="37">
        <f>IF($A740="","",IFERROR(ROUND($G740*INDEX(tblKurallar[deger_2025],MATCH("AKV-003",tblKurallar[kural_id],0)),2),0))</f>
        <v/>
      </c>
      <c r="I740" s="37">
        <f>IF($A740="","",IFERROR(MAX(0,$H740-$F740),0))</f>
        <v/>
      </c>
    </row>
    <row r="741">
      <c r="A741" s="36" t="n"/>
      <c r="B741" s="36" t="n"/>
      <c r="C741" s="36" t="n"/>
      <c r="D741" s="36" t="n"/>
      <c r="E741" s="36" t="n"/>
      <c r="F741" s="36" t="n"/>
      <c r="G741" s="37">
        <f>IF($A741="","",$B741+$C741-$D741-$E741)</f>
        <v/>
      </c>
      <c r="H741" s="37">
        <f>IF($A741="","",IFERROR(ROUND($G741*INDEX(tblKurallar[deger_2025],MATCH("AKV-003",tblKurallar[kural_id],0)),2),0))</f>
        <v/>
      </c>
      <c r="I741" s="37">
        <f>IF($A741="","",IFERROR(MAX(0,$H741-$F741),0))</f>
        <v/>
      </c>
    </row>
    <row r="742">
      <c r="A742" s="36" t="n"/>
      <c r="B742" s="36" t="n"/>
      <c r="C742" s="36" t="n"/>
      <c r="D742" s="36" t="n"/>
      <c r="E742" s="36" t="n"/>
      <c r="F742" s="36" t="n"/>
      <c r="G742" s="37">
        <f>IF($A742="","",$B742+$C742-$D742-$E742)</f>
        <v/>
      </c>
      <c r="H742" s="37">
        <f>IF($A742="","",IFERROR(ROUND($G742*INDEX(tblKurallar[deger_2025],MATCH("AKV-003",tblKurallar[kural_id],0)),2),0))</f>
        <v/>
      </c>
      <c r="I742" s="37">
        <f>IF($A742="","",IFERROR(MAX(0,$H742-$F742),0))</f>
        <v/>
      </c>
    </row>
    <row r="743">
      <c r="A743" s="36" t="n"/>
      <c r="B743" s="36" t="n"/>
      <c r="C743" s="36" t="n"/>
      <c r="D743" s="36" t="n"/>
      <c r="E743" s="36" t="n"/>
      <c r="F743" s="36" t="n"/>
      <c r="G743" s="37">
        <f>IF($A743="","",$B743+$C743-$D743-$E743)</f>
        <v/>
      </c>
      <c r="H743" s="37">
        <f>IF($A743="","",IFERROR(ROUND($G743*INDEX(tblKurallar[deger_2025],MATCH("AKV-003",tblKurallar[kural_id],0)),2),0))</f>
        <v/>
      </c>
      <c r="I743" s="37">
        <f>IF($A743="","",IFERROR(MAX(0,$H743-$F743),0))</f>
        <v/>
      </c>
    </row>
    <row r="744">
      <c r="A744" s="36" t="n"/>
      <c r="B744" s="36" t="n"/>
      <c r="C744" s="36" t="n"/>
      <c r="D744" s="36" t="n"/>
      <c r="E744" s="36" t="n"/>
      <c r="F744" s="36" t="n"/>
      <c r="G744" s="37">
        <f>IF($A744="","",$B744+$C744-$D744-$E744)</f>
        <v/>
      </c>
      <c r="H744" s="37">
        <f>IF($A744="","",IFERROR(ROUND($G744*INDEX(tblKurallar[deger_2025],MATCH("AKV-003",tblKurallar[kural_id],0)),2),0))</f>
        <v/>
      </c>
      <c r="I744" s="37">
        <f>IF($A744="","",IFERROR(MAX(0,$H744-$F744),0))</f>
        <v/>
      </c>
    </row>
    <row r="745">
      <c r="A745" s="36" t="n"/>
      <c r="B745" s="36" t="n"/>
      <c r="C745" s="36" t="n"/>
      <c r="D745" s="36" t="n"/>
      <c r="E745" s="36" t="n"/>
      <c r="F745" s="36" t="n"/>
      <c r="G745" s="37">
        <f>IF($A745="","",$B745+$C745-$D745-$E745)</f>
        <v/>
      </c>
      <c r="H745" s="37">
        <f>IF($A745="","",IFERROR(ROUND($G745*INDEX(tblKurallar[deger_2025],MATCH("AKV-003",tblKurallar[kural_id],0)),2),0))</f>
        <v/>
      </c>
      <c r="I745" s="37">
        <f>IF($A745="","",IFERROR(MAX(0,$H745-$F745),0))</f>
        <v/>
      </c>
    </row>
    <row r="746">
      <c r="A746" s="36" t="n"/>
      <c r="B746" s="36" t="n"/>
      <c r="C746" s="36" t="n"/>
      <c r="D746" s="36" t="n"/>
      <c r="E746" s="36" t="n"/>
      <c r="F746" s="36" t="n"/>
      <c r="G746" s="37">
        <f>IF($A746="","",$B746+$C746-$D746-$E746)</f>
        <v/>
      </c>
      <c r="H746" s="37">
        <f>IF($A746="","",IFERROR(ROUND($G746*INDEX(tblKurallar[deger_2025],MATCH("AKV-003",tblKurallar[kural_id],0)),2),0))</f>
        <v/>
      </c>
      <c r="I746" s="37">
        <f>IF($A746="","",IFERROR(MAX(0,$H746-$F746),0))</f>
        <v/>
      </c>
    </row>
    <row r="747">
      <c r="A747" s="36" t="n"/>
      <c r="B747" s="36" t="n"/>
      <c r="C747" s="36" t="n"/>
      <c r="D747" s="36" t="n"/>
      <c r="E747" s="36" t="n"/>
      <c r="F747" s="36" t="n"/>
      <c r="G747" s="37">
        <f>IF($A747="","",$B747+$C747-$D747-$E747)</f>
        <v/>
      </c>
      <c r="H747" s="37">
        <f>IF($A747="","",IFERROR(ROUND($G747*INDEX(tblKurallar[deger_2025],MATCH("AKV-003",tblKurallar[kural_id],0)),2),0))</f>
        <v/>
      </c>
      <c r="I747" s="37">
        <f>IF($A747="","",IFERROR(MAX(0,$H747-$F747),0))</f>
        <v/>
      </c>
    </row>
    <row r="748">
      <c r="A748" s="36" t="n"/>
      <c r="B748" s="36" t="n"/>
      <c r="C748" s="36" t="n"/>
      <c r="D748" s="36" t="n"/>
      <c r="E748" s="36" t="n"/>
      <c r="F748" s="36" t="n"/>
      <c r="G748" s="37">
        <f>IF($A748="","",$B748+$C748-$D748-$E748)</f>
        <v/>
      </c>
      <c r="H748" s="37">
        <f>IF($A748="","",IFERROR(ROUND($G748*INDEX(tblKurallar[deger_2025],MATCH("AKV-003",tblKurallar[kural_id],0)),2),0))</f>
        <v/>
      </c>
      <c r="I748" s="37">
        <f>IF($A748="","",IFERROR(MAX(0,$H748-$F748),0))</f>
        <v/>
      </c>
    </row>
    <row r="749">
      <c r="A749" s="36" t="n"/>
      <c r="B749" s="36" t="n"/>
      <c r="C749" s="36" t="n"/>
      <c r="D749" s="36" t="n"/>
      <c r="E749" s="36" t="n"/>
      <c r="F749" s="36" t="n"/>
      <c r="G749" s="37">
        <f>IF($A749="","",$B749+$C749-$D749-$E749)</f>
        <v/>
      </c>
      <c r="H749" s="37">
        <f>IF($A749="","",IFERROR(ROUND($G749*INDEX(tblKurallar[deger_2025],MATCH("AKV-003",tblKurallar[kural_id],0)),2),0))</f>
        <v/>
      </c>
      <c r="I749" s="37">
        <f>IF($A749="","",IFERROR(MAX(0,$H749-$F749),0))</f>
        <v/>
      </c>
    </row>
    <row r="750">
      <c r="A750" s="36" t="n"/>
      <c r="B750" s="36" t="n"/>
      <c r="C750" s="36" t="n"/>
      <c r="D750" s="36" t="n"/>
      <c r="E750" s="36" t="n"/>
      <c r="F750" s="36" t="n"/>
      <c r="G750" s="37">
        <f>IF($A750="","",$B750+$C750-$D750-$E750)</f>
        <v/>
      </c>
      <c r="H750" s="37">
        <f>IF($A750="","",IFERROR(ROUND($G750*INDEX(tblKurallar[deger_2025],MATCH("AKV-003",tblKurallar[kural_id],0)),2),0))</f>
        <v/>
      </c>
      <c r="I750" s="37">
        <f>IF($A750="","",IFERROR(MAX(0,$H750-$F750),0))</f>
        <v/>
      </c>
    </row>
    <row r="751">
      <c r="A751" s="36" t="n"/>
      <c r="B751" s="36" t="n"/>
      <c r="C751" s="36" t="n"/>
      <c r="D751" s="36" t="n"/>
      <c r="E751" s="36" t="n"/>
      <c r="F751" s="36" t="n"/>
      <c r="G751" s="37">
        <f>IF($A751="","",$B751+$C751-$D751-$E751)</f>
        <v/>
      </c>
      <c r="H751" s="37">
        <f>IF($A751="","",IFERROR(ROUND($G751*INDEX(tblKurallar[deger_2025],MATCH("AKV-003",tblKurallar[kural_id],0)),2),0))</f>
        <v/>
      </c>
      <c r="I751" s="37">
        <f>IF($A751="","",IFERROR(MAX(0,$H751-$F751),0))</f>
        <v/>
      </c>
    </row>
    <row r="752">
      <c r="A752" s="36" t="n"/>
      <c r="B752" s="36" t="n"/>
      <c r="C752" s="36" t="n"/>
      <c r="D752" s="36" t="n"/>
      <c r="E752" s="36" t="n"/>
      <c r="F752" s="36" t="n"/>
      <c r="G752" s="37">
        <f>IF($A752="","",$B752+$C752-$D752-$E752)</f>
        <v/>
      </c>
      <c r="H752" s="37">
        <f>IF($A752="","",IFERROR(ROUND($G752*INDEX(tblKurallar[deger_2025],MATCH("AKV-003",tblKurallar[kural_id],0)),2),0))</f>
        <v/>
      </c>
      <c r="I752" s="37">
        <f>IF($A752="","",IFERROR(MAX(0,$H752-$F752),0))</f>
        <v/>
      </c>
    </row>
    <row r="753">
      <c r="A753" s="36" t="n"/>
      <c r="B753" s="36" t="n"/>
      <c r="C753" s="36" t="n"/>
      <c r="D753" s="36" t="n"/>
      <c r="E753" s="36" t="n"/>
      <c r="F753" s="36" t="n"/>
      <c r="G753" s="37">
        <f>IF($A753="","",$B753+$C753-$D753-$E753)</f>
        <v/>
      </c>
      <c r="H753" s="37">
        <f>IF($A753="","",IFERROR(ROUND($G753*INDEX(tblKurallar[deger_2025],MATCH("AKV-003",tblKurallar[kural_id],0)),2),0))</f>
        <v/>
      </c>
      <c r="I753" s="37">
        <f>IF($A753="","",IFERROR(MAX(0,$H753-$F753),0))</f>
        <v/>
      </c>
    </row>
    <row r="754">
      <c r="A754" s="36" t="n"/>
      <c r="B754" s="36" t="n"/>
      <c r="C754" s="36" t="n"/>
      <c r="D754" s="36" t="n"/>
      <c r="E754" s="36" t="n"/>
      <c r="F754" s="36" t="n"/>
      <c r="G754" s="37">
        <f>IF($A754="","",$B754+$C754-$D754-$E754)</f>
        <v/>
      </c>
      <c r="H754" s="37">
        <f>IF($A754="","",IFERROR(ROUND($G754*INDEX(tblKurallar[deger_2025],MATCH("AKV-003",tblKurallar[kural_id],0)),2),0))</f>
        <v/>
      </c>
      <c r="I754" s="37">
        <f>IF($A754="","",IFERROR(MAX(0,$H754-$F754),0))</f>
        <v/>
      </c>
    </row>
    <row r="755">
      <c r="A755" s="36" t="n"/>
      <c r="B755" s="36" t="n"/>
      <c r="C755" s="36" t="n"/>
      <c r="D755" s="36" t="n"/>
      <c r="E755" s="36" t="n"/>
      <c r="F755" s="36" t="n"/>
      <c r="G755" s="37">
        <f>IF($A755="","",$B755+$C755-$D755-$E755)</f>
        <v/>
      </c>
      <c r="H755" s="37">
        <f>IF($A755="","",IFERROR(ROUND($G755*INDEX(tblKurallar[deger_2025],MATCH("AKV-003",tblKurallar[kural_id],0)),2),0))</f>
        <v/>
      </c>
      <c r="I755" s="37">
        <f>IF($A755="","",IFERROR(MAX(0,$H755-$F755),0))</f>
        <v/>
      </c>
    </row>
    <row r="756">
      <c r="A756" s="36" t="n"/>
      <c r="B756" s="36" t="n"/>
      <c r="C756" s="36" t="n"/>
      <c r="D756" s="36" t="n"/>
      <c r="E756" s="36" t="n"/>
      <c r="F756" s="36" t="n"/>
      <c r="G756" s="37">
        <f>IF($A756="","",$B756+$C756-$D756-$E756)</f>
        <v/>
      </c>
      <c r="H756" s="37">
        <f>IF($A756="","",IFERROR(ROUND($G756*INDEX(tblKurallar[deger_2025],MATCH("AKV-003",tblKurallar[kural_id],0)),2),0))</f>
        <v/>
      </c>
      <c r="I756" s="37">
        <f>IF($A756="","",IFERROR(MAX(0,$H756-$F756),0))</f>
        <v/>
      </c>
    </row>
    <row r="757">
      <c r="A757" s="36" t="n"/>
      <c r="B757" s="36" t="n"/>
      <c r="C757" s="36" t="n"/>
      <c r="D757" s="36" t="n"/>
      <c r="E757" s="36" t="n"/>
      <c r="F757" s="36" t="n"/>
      <c r="G757" s="37">
        <f>IF($A757="","",$B757+$C757-$D757-$E757)</f>
        <v/>
      </c>
      <c r="H757" s="37">
        <f>IF($A757="","",IFERROR(ROUND($G757*INDEX(tblKurallar[deger_2025],MATCH("AKV-003",tblKurallar[kural_id],0)),2),0))</f>
        <v/>
      </c>
      <c r="I757" s="37">
        <f>IF($A757="","",IFERROR(MAX(0,$H757-$F757),0))</f>
        <v/>
      </c>
    </row>
    <row r="758">
      <c r="A758" s="36" t="n"/>
      <c r="B758" s="36" t="n"/>
      <c r="C758" s="36" t="n"/>
      <c r="D758" s="36" t="n"/>
      <c r="E758" s="36" t="n"/>
      <c r="F758" s="36" t="n"/>
      <c r="G758" s="37">
        <f>IF($A758="","",$B758+$C758-$D758-$E758)</f>
        <v/>
      </c>
      <c r="H758" s="37">
        <f>IF($A758="","",IFERROR(ROUND($G758*INDEX(tblKurallar[deger_2025],MATCH("AKV-003",tblKurallar[kural_id],0)),2),0))</f>
        <v/>
      </c>
      <c r="I758" s="37">
        <f>IF($A758="","",IFERROR(MAX(0,$H758-$F758),0))</f>
        <v/>
      </c>
    </row>
    <row r="759">
      <c r="A759" s="36" t="n"/>
      <c r="B759" s="36" t="n"/>
      <c r="C759" s="36" t="n"/>
      <c r="D759" s="36" t="n"/>
      <c r="E759" s="36" t="n"/>
      <c r="F759" s="36" t="n"/>
      <c r="G759" s="37">
        <f>IF($A759="","",$B759+$C759-$D759-$E759)</f>
        <v/>
      </c>
      <c r="H759" s="37">
        <f>IF($A759="","",IFERROR(ROUND($G759*INDEX(tblKurallar[deger_2025],MATCH("AKV-003",tblKurallar[kural_id],0)),2),0))</f>
        <v/>
      </c>
      <c r="I759" s="37">
        <f>IF($A759="","",IFERROR(MAX(0,$H759-$F759),0))</f>
        <v/>
      </c>
    </row>
    <row r="760">
      <c r="A760" s="36" t="n"/>
      <c r="B760" s="36" t="n"/>
      <c r="C760" s="36" t="n"/>
      <c r="D760" s="36" t="n"/>
      <c r="E760" s="36" t="n"/>
      <c r="F760" s="36" t="n"/>
      <c r="G760" s="37">
        <f>IF($A760="","",$B760+$C760-$D760-$E760)</f>
        <v/>
      </c>
      <c r="H760" s="37">
        <f>IF($A760="","",IFERROR(ROUND($G760*INDEX(tblKurallar[deger_2025],MATCH("AKV-003",tblKurallar[kural_id],0)),2),0))</f>
        <v/>
      </c>
      <c r="I760" s="37">
        <f>IF($A760="","",IFERROR(MAX(0,$H760-$F760),0))</f>
        <v/>
      </c>
    </row>
    <row r="761">
      <c r="A761" s="36" t="n"/>
      <c r="B761" s="36" t="n"/>
      <c r="C761" s="36" t="n"/>
      <c r="D761" s="36" t="n"/>
      <c r="E761" s="36" t="n"/>
      <c r="F761" s="36" t="n"/>
      <c r="G761" s="37">
        <f>IF($A761="","",$B761+$C761-$D761-$E761)</f>
        <v/>
      </c>
      <c r="H761" s="37">
        <f>IF($A761="","",IFERROR(ROUND($G761*INDEX(tblKurallar[deger_2025],MATCH("AKV-003",tblKurallar[kural_id],0)),2),0))</f>
        <v/>
      </c>
      <c r="I761" s="37">
        <f>IF($A761="","",IFERROR(MAX(0,$H761-$F761),0))</f>
        <v/>
      </c>
    </row>
    <row r="762">
      <c r="A762" s="36" t="n"/>
      <c r="B762" s="36" t="n"/>
      <c r="C762" s="36" t="n"/>
      <c r="D762" s="36" t="n"/>
      <c r="E762" s="36" t="n"/>
      <c r="F762" s="36" t="n"/>
      <c r="G762" s="37">
        <f>IF($A762="","",$B762+$C762-$D762-$E762)</f>
        <v/>
      </c>
      <c r="H762" s="37">
        <f>IF($A762="","",IFERROR(ROUND($G762*INDEX(tblKurallar[deger_2025],MATCH("AKV-003",tblKurallar[kural_id],0)),2),0))</f>
        <v/>
      </c>
      <c r="I762" s="37">
        <f>IF($A762="","",IFERROR(MAX(0,$H762-$F762),0))</f>
        <v/>
      </c>
    </row>
    <row r="763">
      <c r="A763" s="36" t="n"/>
      <c r="B763" s="36" t="n"/>
      <c r="C763" s="36" t="n"/>
      <c r="D763" s="36" t="n"/>
      <c r="E763" s="36" t="n"/>
      <c r="F763" s="36" t="n"/>
      <c r="G763" s="37">
        <f>IF($A763="","",$B763+$C763-$D763-$E763)</f>
        <v/>
      </c>
      <c r="H763" s="37">
        <f>IF($A763="","",IFERROR(ROUND($G763*INDEX(tblKurallar[deger_2025],MATCH("AKV-003",tblKurallar[kural_id],0)),2),0))</f>
        <v/>
      </c>
      <c r="I763" s="37">
        <f>IF($A763="","",IFERROR(MAX(0,$H763-$F763),0))</f>
        <v/>
      </c>
    </row>
    <row r="764">
      <c r="A764" s="36" t="n"/>
      <c r="B764" s="36" t="n"/>
      <c r="C764" s="36" t="n"/>
      <c r="D764" s="36" t="n"/>
      <c r="E764" s="36" t="n"/>
      <c r="F764" s="36" t="n"/>
      <c r="G764" s="37">
        <f>IF($A764="","",$B764+$C764-$D764-$E764)</f>
        <v/>
      </c>
      <c r="H764" s="37">
        <f>IF($A764="","",IFERROR(ROUND($G764*INDEX(tblKurallar[deger_2025],MATCH("AKV-003",tblKurallar[kural_id],0)),2),0))</f>
        <v/>
      </c>
      <c r="I764" s="37">
        <f>IF($A764="","",IFERROR(MAX(0,$H764-$F764),0))</f>
        <v/>
      </c>
    </row>
    <row r="765">
      <c r="A765" s="36" t="n"/>
      <c r="B765" s="36" t="n"/>
      <c r="C765" s="36" t="n"/>
      <c r="D765" s="36" t="n"/>
      <c r="E765" s="36" t="n"/>
      <c r="F765" s="36" t="n"/>
      <c r="G765" s="37">
        <f>IF($A765="","",$B765+$C765-$D765-$E765)</f>
        <v/>
      </c>
      <c r="H765" s="37">
        <f>IF($A765="","",IFERROR(ROUND($G765*INDEX(tblKurallar[deger_2025],MATCH("AKV-003",tblKurallar[kural_id],0)),2),0))</f>
        <v/>
      </c>
      <c r="I765" s="37">
        <f>IF($A765="","",IFERROR(MAX(0,$H765-$F765),0))</f>
        <v/>
      </c>
    </row>
    <row r="766">
      <c r="A766" s="36" t="n"/>
      <c r="B766" s="36" t="n"/>
      <c r="C766" s="36" t="n"/>
      <c r="D766" s="36" t="n"/>
      <c r="E766" s="36" t="n"/>
      <c r="F766" s="36" t="n"/>
      <c r="G766" s="37">
        <f>IF($A766="","",$B766+$C766-$D766-$E766)</f>
        <v/>
      </c>
      <c r="H766" s="37">
        <f>IF($A766="","",IFERROR(ROUND($G766*INDEX(tblKurallar[deger_2025],MATCH("AKV-003",tblKurallar[kural_id],0)),2),0))</f>
        <v/>
      </c>
      <c r="I766" s="37">
        <f>IF($A766="","",IFERROR(MAX(0,$H766-$F766),0))</f>
        <v/>
      </c>
    </row>
    <row r="767">
      <c r="A767" s="36" t="n"/>
      <c r="B767" s="36" t="n"/>
      <c r="C767" s="36" t="n"/>
      <c r="D767" s="36" t="n"/>
      <c r="E767" s="36" t="n"/>
      <c r="F767" s="36" t="n"/>
      <c r="G767" s="37">
        <f>IF($A767="","",$B767+$C767-$D767-$E767)</f>
        <v/>
      </c>
      <c r="H767" s="37">
        <f>IF($A767="","",IFERROR(ROUND($G767*INDEX(tblKurallar[deger_2025],MATCH("AKV-003",tblKurallar[kural_id],0)),2),0))</f>
        <v/>
      </c>
      <c r="I767" s="37">
        <f>IF($A767="","",IFERROR(MAX(0,$H767-$F767),0))</f>
        <v/>
      </c>
    </row>
    <row r="768">
      <c r="A768" s="36" t="n"/>
      <c r="B768" s="36" t="n"/>
      <c r="C768" s="36" t="n"/>
      <c r="D768" s="36" t="n"/>
      <c r="E768" s="36" t="n"/>
      <c r="F768" s="36" t="n"/>
      <c r="G768" s="37">
        <f>IF($A768="","",$B768+$C768-$D768-$E768)</f>
        <v/>
      </c>
      <c r="H768" s="37">
        <f>IF($A768="","",IFERROR(ROUND($G768*INDEX(tblKurallar[deger_2025],MATCH("AKV-003",tblKurallar[kural_id],0)),2),0))</f>
        <v/>
      </c>
      <c r="I768" s="37">
        <f>IF($A768="","",IFERROR(MAX(0,$H768-$F768),0))</f>
        <v/>
      </c>
    </row>
    <row r="769">
      <c r="A769" s="36" t="n"/>
      <c r="B769" s="36" t="n"/>
      <c r="C769" s="36" t="n"/>
      <c r="D769" s="36" t="n"/>
      <c r="E769" s="36" t="n"/>
      <c r="F769" s="36" t="n"/>
      <c r="G769" s="37">
        <f>IF($A769="","",$B769+$C769-$D769-$E769)</f>
        <v/>
      </c>
      <c r="H769" s="37">
        <f>IF($A769="","",IFERROR(ROUND($G769*INDEX(tblKurallar[deger_2025],MATCH("AKV-003",tblKurallar[kural_id],0)),2),0))</f>
        <v/>
      </c>
      <c r="I769" s="37">
        <f>IF($A769="","",IFERROR(MAX(0,$H769-$F769),0))</f>
        <v/>
      </c>
    </row>
    <row r="770">
      <c r="A770" s="36" t="n"/>
      <c r="B770" s="36" t="n"/>
      <c r="C770" s="36" t="n"/>
      <c r="D770" s="36" t="n"/>
      <c r="E770" s="36" t="n"/>
      <c r="F770" s="36" t="n"/>
      <c r="G770" s="37">
        <f>IF($A770="","",$B770+$C770-$D770-$E770)</f>
        <v/>
      </c>
      <c r="H770" s="37">
        <f>IF($A770="","",IFERROR(ROUND($G770*INDEX(tblKurallar[deger_2025],MATCH("AKV-003",tblKurallar[kural_id],0)),2),0))</f>
        <v/>
      </c>
      <c r="I770" s="37">
        <f>IF($A770="","",IFERROR(MAX(0,$H770-$F770),0))</f>
        <v/>
      </c>
    </row>
    <row r="771">
      <c r="A771" s="36" t="n"/>
      <c r="B771" s="36" t="n"/>
      <c r="C771" s="36" t="n"/>
      <c r="D771" s="36" t="n"/>
      <c r="E771" s="36" t="n"/>
      <c r="F771" s="36" t="n"/>
      <c r="G771" s="37">
        <f>IF($A771="","",$B771+$C771-$D771-$E771)</f>
        <v/>
      </c>
      <c r="H771" s="37">
        <f>IF($A771="","",IFERROR(ROUND($G771*INDEX(tblKurallar[deger_2025],MATCH("AKV-003",tblKurallar[kural_id],0)),2),0))</f>
        <v/>
      </c>
      <c r="I771" s="37">
        <f>IF($A771="","",IFERROR(MAX(0,$H771-$F771),0))</f>
        <v/>
      </c>
    </row>
    <row r="772">
      <c r="A772" s="36" t="n"/>
      <c r="B772" s="36" t="n"/>
      <c r="C772" s="36" t="n"/>
      <c r="D772" s="36" t="n"/>
      <c r="E772" s="36" t="n"/>
      <c r="F772" s="36" t="n"/>
      <c r="G772" s="37">
        <f>IF($A772="","",$B772+$C772-$D772-$E772)</f>
        <v/>
      </c>
      <c r="H772" s="37">
        <f>IF($A772="","",IFERROR(ROUND($G772*INDEX(tblKurallar[deger_2025],MATCH("AKV-003",tblKurallar[kural_id],0)),2),0))</f>
        <v/>
      </c>
      <c r="I772" s="37">
        <f>IF($A772="","",IFERROR(MAX(0,$H772-$F772),0))</f>
        <v/>
      </c>
    </row>
    <row r="773">
      <c r="A773" s="36" t="n"/>
      <c r="B773" s="36" t="n"/>
      <c r="C773" s="36" t="n"/>
      <c r="D773" s="36" t="n"/>
      <c r="E773" s="36" t="n"/>
      <c r="F773" s="36" t="n"/>
      <c r="G773" s="37">
        <f>IF($A773="","",$B773+$C773-$D773-$E773)</f>
        <v/>
      </c>
      <c r="H773" s="37">
        <f>IF($A773="","",IFERROR(ROUND($G773*INDEX(tblKurallar[deger_2025],MATCH("AKV-003",tblKurallar[kural_id],0)),2),0))</f>
        <v/>
      </c>
      <c r="I773" s="37">
        <f>IF($A773="","",IFERROR(MAX(0,$H773-$F773),0))</f>
        <v/>
      </c>
    </row>
    <row r="774">
      <c r="A774" s="36" t="n"/>
      <c r="B774" s="36" t="n"/>
      <c r="C774" s="36" t="n"/>
      <c r="D774" s="36" t="n"/>
      <c r="E774" s="36" t="n"/>
      <c r="F774" s="36" t="n"/>
      <c r="G774" s="37">
        <f>IF($A774="","",$B774+$C774-$D774-$E774)</f>
        <v/>
      </c>
      <c r="H774" s="37">
        <f>IF($A774="","",IFERROR(ROUND($G774*INDEX(tblKurallar[deger_2025],MATCH("AKV-003",tblKurallar[kural_id],0)),2),0))</f>
        <v/>
      </c>
      <c r="I774" s="37">
        <f>IF($A774="","",IFERROR(MAX(0,$H774-$F774),0))</f>
        <v/>
      </c>
    </row>
    <row r="775">
      <c r="A775" s="36" t="n"/>
      <c r="B775" s="36" t="n"/>
      <c r="C775" s="36" t="n"/>
      <c r="D775" s="36" t="n"/>
      <c r="E775" s="36" t="n"/>
      <c r="F775" s="36" t="n"/>
      <c r="G775" s="37">
        <f>IF($A775="","",$B775+$C775-$D775-$E775)</f>
        <v/>
      </c>
      <c r="H775" s="37">
        <f>IF($A775="","",IFERROR(ROUND($G775*INDEX(tblKurallar[deger_2025],MATCH("AKV-003",tblKurallar[kural_id],0)),2),0))</f>
        <v/>
      </c>
      <c r="I775" s="37">
        <f>IF($A775="","",IFERROR(MAX(0,$H775-$F775),0))</f>
        <v/>
      </c>
    </row>
    <row r="776">
      <c r="A776" s="36" t="n"/>
      <c r="B776" s="36" t="n"/>
      <c r="C776" s="36" t="n"/>
      <c r="D776" s="36" t="n"/>
      <c r="E776" s="36" t="n"/>
      <c r="F776" s="36" t="n"/>
      <c r="G776" s="37">
        <f>IF($A776="","",$B776+$C776-$D776-$E776)</f>
        <v/>
      </c>
      <c r="H776" s="37">
        <f>IF($A776="","",IFERROR(ROUND($G776*INDEX(tblKurallar[deger_2025],MATCH("AKV-003",tblKurallar[kural_id],0)),2),0))</f>
        <v/>
      </c>
      <c r="I776" s="37">
        <f>IF($A776="","",IFERROR(MAX(0,$H776-$F776),0))</f>
        <v/>
      </c>
    </row>
    <row r="777">
      <c r="A777" s="36" t="n"/>
      <c r="B777" s="36" t="n"/>
      <c r="C777" s="36" t="n"/>
      <c r="D777" s="36" t="n"/>
      <c r="E777" s="36" t="n"/>
      <c r="F777" s="36" t="n"/>
      <c r="G777" s="37">
        <f>IF($A777="","",$B777+$C777-$D777-$E777)</f>
        <v/>
      </c>
      <c r="H777" s="37">
        <f>IF($A777="","",IFERROR(ROUND($G777*INDEX(tblKurallar[deger_2025],MATCH("AKV-003",tblKurallar[kural_id],0)),2),0))</f>
        <v/>
      </c>
      <c r="I777" s="37">
        <f>IF($A777="","",IFERROR(MAX(0,$H777-$F777),0))</f>
        <v/>
      </c>
    </row>
    <row r="778">
      <c r="A778" s="36" t="n"/>
      <c r="B778" s="36" t="n"/>
      <c r="C778" s="36" t="n"/>
      <c r="D778" s="36" t="n"/>
      <c r="E778" s="36" t="n"/>
      <c r="F778" s="36" t="n"/>
      <c r="G778" s="37">
        <f>IF($A778="","",$B778+$C778-$D778-$E778)</f>
        <v/>
      </c>
      <c r="H778" s="37">
        <f>IF($A778="","",IFERROR(ROUND($G778*INDEX(tblKurallar[deger_2025],MATCH("AKV-003",tblKurallar[kural_id],0)),2),0))</f>
        <v/>
      </c>
      <c r="I778" s="37">
        <f>IF($A778="","",IFERROR(MAX(0,$H778-$F778),0))</f>
        <v/>
      </c>
    </row>
    <row r="779">
      <c r="A779" s="36" t="n"/>
      <c r="B779" s="36" t="n"/>
      <c r="C779" s="36" t="n"/>
      <c r="D779" s="36" t="n"/>
      <c r="E779" s="36" t="n"/>
      <c r="F779" s="36" t="n"/>
      <c r="G779" s="37">
        <f>IF($A779="","",$B779+$C779-$D779-$E779)</f>
        <v/>
      </c>
      <c r="H779" s="37">
        <f>IF($A779="","",IFERROR(ROUND($G779*INDEX(tblKurallar[deger_2025],MATCH("AKV-003",tblKurallar[kural_id],0)),2),0))</f>
        <v/>
      </c>
      <c r="I779" s="37">
        <f>IF($A779="","",IFERROR(MAX(0,$H779-$F779),0))</f>
        <v/>
      </c>
    </row>
    <row r="780">
      <c r="A780" s="36" t="n"/>
      <c r="B780" s="36" t="n"/>
      <c r="C780" s="36" t="n"/>
      <c r="D780" s="36" t="n"/>
      <c r="E780" s="36" t="n"/>
      <c r="F780" s="36" t="n"/>
      <c r="G780" s="37">
        <f>IF($A780="","",$B780+$C780-$D780-$E780)</f>
        <v/>
      </c>
      <c r="H780" s="37">
        <f>IF($A780="","",IFERROR(ROUND($G780*INDEX(tblKurallar[deger_2025],MATCH("AKV-003",tblKurallar[kural_id],0)),2),0))</f>
        <v/>
      </c>
      <c r="I780" s="37">
        <f>IF($A780="","",IFERROR(MAX(0,$H780-$F780),0))</f>
        <v/>
      </c>
    </row>
    <row r="781">
      <c r="A781" s="36" t="n"/>
      <c r="B781" s="36" t="n"/>
      <c r="C781" s="36" t="n"/>
      <c r="D781" s="36" t="n"/>
      <c r="E781" s="36" t="n"/>
      <c r="F781" s="36" t="n"/>
      <c r="G781" s="37">
        <f>IF($A781="","",$B781+$C781-$D781-$E781)</f>
        <v/>
      </c>
      <c r="H781" s="37">
        <f>IF($A781="","",IFERROR(ROUND($G781*INDEX(tblKurallar[deger_2025],MATCH("AKV-003",tblKurallar[kural_id],0)),2),0))</f>
        <v/>
      </c>
      <c r="I781" s="37">
        <f>IF($A781="","",IFERROR(MAX(0,$H781-$F781),0))</f>
        <v/>
      </c>
    </row>
    <row r="782">
      <c r="A782" s="36" t="n"/>
      <c r="B782" s="36" t="n"/>
      <c r="C782" s="36" t="n"/>
      <c r="D782" s="36" t="n"/>
      <c r="E782" s="36" t="n"/>
      <c r="F782" s="36" t="n"/>
      <c r="G782" s="37">
        <f>IF($A782="","",$B782+$C782-$D782-$E782)</f>
        <v/>
      </c>
      <c r="H782" s="37">
        <f>IF($A782="","",IFERROR(ROUND($G782*INDEX(tblKurallar[deger_2025],MATCH("AKV-003",tblKurallar[kural_id],0)),2),0))</f>
        <v/>
      </c>
      <c r="I782" s="37">
        <f>IF($A782="","",IFERROR(MAX(0,$H782-$F782),0))</f>
        <v/>
      </c>
    </row>
    <row r="783">
      <c r="A783" s="36" t="n"/>
      <c r="B783" s="36" t="n"/>
      <c r="C783" s="36" t="n"/>
      <c r="D783" s="36" t="n"/>
      <c r="E783" s="36" t="n"/>
      <c r="F783" s="36" t="n"/>
      <c r="G783" s="37">
        <f>IF($A783="","",$B783+$C783-$D783-$E783)</f>
        <v/>
      </c>
      <c r="H783" s="37">
        <f>IF($A783="","",IFERROR(ROUND($G783*INDEX(tblKurallar[deger_2025],MATCH("AKV-003",tblKurallar[kural_id],0)),2),0))</f>
        <v/>
      </c>
      <c r="I783" s="37">
        <f>IF($A783="","",IFERROR(MAX(0,$H783-$F783),0))</f>
        <v/>
      </c>
    </row>
    <row r="784">
      <c r="A784" s="36" t="n"/>
      <c r="B784" s="36" t="n"/>
      <c r="C784" s="36" t="n"/>
      <c r="D784" s="36" t="n"/>
      <c r="E784" s="36" t="n"/>
      <c r="F784" s="36" t="n"/>
      <c r="G784" s="37">
        <f>IF($A784="","",$B784+$C784-$D784-$E784)</f>
        <v/>
      </c>
      <c r="H784" s="37">
        <f>IF($A784="","",IFERROR(ROUND($G784*INDEX(tblKurallar[deger_2025],MATCH("AKV-003",tblKurallar[kural_id],0)),2),0))</f>
        <v/>
      </c>
      <c r="I784" s="37">
        <f>IF($A784="","",IFERROR(MAX(0,$H784-$F784),0))</f>
        <v/>
      </c>
    </row>
    <row r="785">
      <c r="A785" s="36" t="n"/>
      <c r="B785" s="36" t="n"/>
      <c r="C785" s="36" t="n"/>
      <c r="D785" s="36" t="n"/>
      <c r="E785" s="36" t="n"/>
      <c r="F785" s="36" t="n"/>
      <c r="G785" s="37">
        <f>IF($A785="","",$B785+$C785-$D785-$E785)</f>
        <v/>
      </c>
      <c r="H785" s="37">
        <f>IF($A785="","",IFERROR(ROUND($G785*INDEX(tblKurallar[deger_2025],MATCH("AKV-003",tblKurallar[kural_id],0)),2),0))</f>
        <v/>
      </c>
      <c r="I785" s="37">
        <f>IF($A785="","",IFERROR(MAX(0,$H785-$F785),0))</f>
        <v/>
      </c>
    </row>
    <row r="786">
      <c r="A786" s="36" t="n"/>
      <c r="B786" s="36" t="n"/>
      <c r="C786" s="36" t="n"/>
      <c r="D786" s="36" t="n"/>
      <c r="E786" s="36" t="n"/>
      <c r="F786" s="36" t="n"/>
      <c r="G786" s="37">
        <f>IF($A786="","",$B786+$C786-$D786-$E786)</f>
        <v/>
      </c>
      <c r="H786" s="37">
        <f>IF($A786="","",IFERROR(ROUND($G786*INDEX(tblKurallar[deger_2025],MATCH("AKV-003",tblKurallar[kural_id],0)),2),0))</f>
        <v/>
      </c>
      <c r="I786" s="37">
        <f>IF($A786="","",IFERROR(MAX(0,$H786-$F786),0))</f>
        <v/>
      </c>
    </row>
    <row r="787">
      <c r="A787" s="36" t="n"/>
      <c r="B787" s="36" t="n"/>
      <c r="C787" s="36" t="n"/>
      <c r="D787" s="36" t="n"/>
      <c r="E787" s="36" t="n"/>
      <c r="F787" s="36" t="n"/>
      <c r="G787" s="37">
        <f>IF($A787="","",$B787+$C787-$D787-$E787)</f>
        <v/>
      </c>
      <c r="H787" s="37">
        <f>IF($A787="","",IFERROR(ROUND($G787*INDEX(tblKurallar[deger_2025],MATCH("AKV-003",tblKurallar[kural_id],0)),2),0))</f>
        <v/>
      </c>
      <c r="I787" s="37">
        <f>IF($A787="","",IFERROR(MAX(0,$H787-$F787),0))</f>
        <v/>
      </c>
    </row>
    <row r="788">
      <c r="A788" s="36" t="n"/>
      <c r="B788" s="36" t="n"/>
      <c r="C788" s="36" t="n"/>
      <c r="D788" s="36" t="n"/>
      <c r="E788" s="36" t="n"/>
      <c r="F788" s="36" t="n"/>
      <c r="G788" s="37">
        <f>IF($A788="","",$B788+$C788-$D788-$E788)</f>
        <v/>
      </c>
      <c r="H788" s="37">
        <f>IF($A788="","",IFERROR(ROUND($G788*INDEX(tblKurallar[deger_2025],MATCH("AKV-003",tblKurallar[kural_id],0)),2),0))</f>
        <v/>
      </c>
      <c r="I788" s="37">
        <f>IF($A788="","",IFERROR(MAX(0,$H788-$F788),0))</f>
        <v/>
      </c>
    </row>
    <row r="789">
      <c r="A789" s="36" t="n"/>
      <c r="B789" s="36" t="n"/>
      <c r="C789" s="36" t="n"/>
      <c r="D789" s="36" t="n"/>
      <c r="E789" s="36" t="n"/>
      <c r="F789" s="36" t="n"/>
      <c r="G789" s="37">
        <f>IF($A789="","",$B789+$C789-$D789-$E789)</f>
        <v/>
      </c>
      <c r="H789" s="37">
        <f>IF($A789="","",IFERROR(ROUND($G789*INDEX(tblKurallar[deger_2025],MATCH("AKV-003",tblKurallar[kural_id],0)),2),0))</f>
        <v/>
      </c>
      <c r="I789" s="37">
        <f>IF($A789="","",IFERROR(MAX(0,$H789-$F789),0))</f>
        <v/>
      </c>
    </row>
    <row r="790">
      <c r="A790" s="36" t="n"/>
      <c r="B790" s="36" t="n"/>
      <c r="C790" s="36" t="n"/>
      <c r="D790" s="36" t="n"/>
      <c r="E790" s="36" t="n"/>
      <c r="F790" s="36" t="n"/>
      <c r="G790" s="37">
        <f>IF($A790="","",$B790+$C790-$D790-$E790)</f>
        <v/>
      </c>
      <c r="H790" s="37">
        <f>IF($A790="","",IFERROR(ROUND($G790*INDEX(tblKurallar[deger_2025],MATCH("AKV-003",tblKurallar[kural_id],0)),2),0))</f>
        <v/>
      </c>
      <c r="I790" s="37">
        <f>IF($A790="","",IFERROR(MAX(0,$H790-$F790),0))</f>
        <v/>
      </c>
    </row>
    <row r="791">
      <c r="A791" s="36" t="n"/>
      <c r="B791" s="36" t="n"/>
      <c r="C791" s="36" t="n"/>
      <c r="D791" s="36" t="n"/>
      <c r="E791" s="36" t="n"/>
      <c r="F791" s="36" t="n"/>
      <c r="G791" s="37">
        <f>IF($A791="","",$B791+$C791-$D791-$E791)</f>
        <v/>
      </c>
      <c r="H791" s="37">
        <f>IF($A791="","",IFERROR(ROUND($G791*INDEX(tblKurallar[deger_2025],MATCH("AKV-003",tblKurallar[kural_id],0)),2),0))</f>
        <v/>
      </c>
      <c r="I791" s="37">
        <f>IF($A791="","",IFERROR(MAX(0,$H791-$F791),0))</f>
        <v/>
      </c>
    </row>
    <row r="792">
      <c r="A792" s="36" t="n"/>
      <c r="B792" s="36" t="n"/>
      <c r="C792" s="36" t="n"/>
      <c r="D792" s="36" t="n"/>
      <c r="E792" s="36" t="n"/>
      <c r="F792" s="36" t="n"/>
      <c r="G792" s="37">
        <f>IF($A792="","",$B792+$C792-$D792-$E792)</f>
        <v/>
      </c>
      <c r="H792" s="37">
        <f>IF($A792="","",IFERROR(ROUND($G792*INDEX(tblKurallar[deger_2025],MATCH("AKV-003",tblKurallar[kural_id],0)),2),0))</f>
        <v/>
      </c>
      <c r="I792" s="37">
        <f>IF($A792="","",IFERROR(MAX(0,$H792-$F792),0))</f>
        <v/>
      </c>
    </row>
    <row r="793">
      <c r="A793" s="36" t="n"/>
      <c r="B793" s="36" t="n"/>
      <c r="C793" s="36" t="n"/>
      <c r="D793" s="36" t="n"/>
      <c r="E793" s="36" t="n"/>
      <c r="F793" s="36" t="n"/>
      <c r="G793" s="37">
        <f>IF($A793="","",$B793+$C793-$D793-$E793)</f>
        <v/>
      </c>
      <c r="H793" s="37">
        <f>IF($A793="","",IFERROR(ROUND($G793*INDEX(tblKurallar[deger_2025],MATCH("AKV-003",tblKurallar[kural_id],0)),2),0))</f>
        <v/>
      </c>
      <c r="I793" s="37">
        <f>IF($A793="","",IFERROR(MAX(0,$H793-$F793),0))</f>
        <v/>
      </c>
    </row>
    <row r="794">
      <c r="A794" s="36" t="n"/>
      <c r="B794" s="36" t="n"/>
      <c r="C794" s="36" t="n"/>
      <c r="D794" s="36" t="n"/>
      <c r="E794" s="36" t="n"/>
      <c r="F794" s="36" t="n"/>
      <c r="G794" s="37">
        <f>IF($A794="","",$B794+$C794-$D794-$E794)</f>
        <v/>
      </c>
      <c r="H794" s="37">
        <f>IF($A794="","",IFERROR(ROUND($G794*INDEX(tblKurallar[deger_2025],MATCH("AKV-003",tblKurallar[kural_id],0)),2),0))</f>
        <v/>
      </c>
      <c r="I794" s="37">
        <f>IF($A794="","",IFERROR(MAX(0,$H794-$F794),0))</f>
        <v/>
      </c>
    </row>
    <row r="795">
      <c r="A795" s="36" t="n"/>
      <c r="B795" s="36" t="n"/>
      <c r="C795" s="36" t="n"/>
      <c r="D795" s="36" t="n"/>
      <c r="E795" s="36" t="n"/>
      <c r="F795" s="36" t="n"/>
      <c r="G795" s="37">
        <f>IF($A795="","",$B795+$C795-$D795-$E795)</f>
        <v/>
      </c>
      <c r="H795" s="37">
        <f>IF($A795="","",IFERROR(ROUND($G795*INDEX(tblKurallar[deger_2025],MATCH("AKV-003",tblKurallar[kural_id],0)),2),0))</f>
        <v/>
      </c>
      <c r="I795" s="37">
        <f>IF($A795="","",IFERROR(MAX(0,$H795-$F795),0))</f>
        <v/>
      </c>
    </row>
    <row r="796">
      <c r="A796" s="36" t="n"/>
      <c r="B796" s="36" t="n"/>
      <c r="C796" s="36" t="n"/>
      <c r="D796" s="36" t="n"/>
      <c r="E796" s="36" t="n"/>
      <c r="F796" s="36" t="n"/>
      <c r="G796" s="37">
        <f>IF($A796="","",$B796+$C796-$D796-$E796)</f>
        <v/>
      </c>
      <c r="H796" s="37">
        <f>IF($A796="","",IFERROR(ROUND($G796*INDEX(tblKurallar[deger_2025],MATCH("AKV-003",tblKurallar[kural_id],0)),2),0))</f>
        <v/>
      </c>
      <c r="I796" s="37">
        <f>IF($A796="","",IFERROR(MAX(0,$H796-$F796),0))</f>
        <v/>
      </c>
    </row>
    <row r="797">
      <c r="A797" s="36" t="n"/>
      <c r="B797" s="36" t="n"/>
      <c r="C797" s="36" t="n"/>
      <c r="D797" s="36" t="n"/>
      <c r="E797" s="36" t="n"/>
      <c r="F797" s="36" t="n"/>
      <c r="G797" s="37">
        <f>IF($A797="","",$B797+$C797-$D797-$E797)</f>
        <v/>
      </c>
      <c r="H797" s="37">
        <f>IF($A797="","",IFERROR(ROUND($G797*INDEX(tblKurallar[deger_2025],MATCH("AKV-003",tblKurallar[kural_id],0)),2),0))</f>
        <v/>
      </c>
      <c r="I797" s="37">
        <f>IF($A797="","",IFERROR(MAX(0,$H797-$F797),0))</f>
        <v/>
      </c>
    </row>
    <row r="798">
      <c r="A798" s="36" t="n"/>
      <c r="B798" s="36" t="n"/>
      <c r="C798" s="36" t="n"/>
      <c r="D798" s="36" t="n"/>
      <c r="E798" s="36" t="n"/>
      <c r="F798" s="36" t="n"/>
      <c r="G798" s="37">
        <f>IF($A798="","",$B798+$C798-$D798-$E798)</f>
        <v/>
      </c>
      <c r="H798" s="37">
        <f>IF($A798="","",IFERROR(ROUND($G798*INDEX(tblKurallar[deger_2025],MATCH("AKV-003",tblKurallar[kural_id],0)),2),0))</f>
        <v/>
      </c>
      <c r="I798" s="37">
        <f>IF($A798="","",IFERROR(MAX(0,$H798-$F798),0))</f>
        <v/>
      </c>
    </row>
    <row r="799">
      <c r="A799" s="36" t="n"/>
      <c r="B799" s="36" t="n"/>
      <c r="C799" s="36" t="n"/>
      <c r="D799" s="36" t="n"/>
      <c r="E799" s="36" t="n"/>
      <c r="F799" s="36" t="n"/>
      <c r="G799" s="37">
        <f>IF($A799="","",$B799+$C799-$D799-$E799)</f>
        <v/>
      </c>
      <c r="H799" s="37">
        <f>IF($A799="","",IFERROR(ROUND($G799*INDEX(tblKurallar[deger_2025],MATCH("AKV-003",tblKurallar[kural_id],0)),2),0))</f>
        <v/>
      </c>
      <c r="I799" s="37">
        <f>IF($A799="","",IFERROR(MAX(0,$H799-$F799),0))</f>
        <v/>
      </c>
    </row>
    <row r="800">
      <c r="A800" s="36" t="n"/>
      <c r="B800" s="36" t="n"/>
      <c r="C800" s="36" t="n"/>
      <c r="D800" s="36" t="n"/>
      <c r="E800" s="36" t="n"/>
      <c r="F800" s="36" t="n"/>
      <c r="G800" s="37">
        <f>IF($A800="","",$B800+$C800-$D800-$E800)</f>
        <v/>
      </c>
      <c r="H800" s="37">
        <f>IF($A800="","",IFERROR(ROUND($G800*INDEX(tblKurallar[deger_2025],MATCH("AKV-003",tblKurallar[kural_id],0)),2),0))</f>
        <v/>
      </c>
      <c r="I800" s="37">
        <f>IF($A800="","",IFERROR(MAX(0,$H800-$F800),0))</f>
        <v/>
      </c>
    </row>
    <row r="801">
      <c r="A801" s="36" t="n"/>
      <c r="B801" s="36" t="n"/>
      <c r="C801" s="36" t="n"/>
      <c r="D801" s="36" t="n"/>
      <c r="E801" s="36" t="n"/>
      <c r="F801" s="36" t="n"/>
      <c r="G801" s="37">
        <f>IF($A801="","",$B801+$C801-$D801-$E801)</f>
        <v/>
      </c>
      <c r="H801" s="37">
        <f>IF($A801="","",IFERROR(ROUND($G801*INDEX(tblKurallar[deger_2025],MATCH("AKV-003",tblKurallar[kural_id],0)),2),0))</f>
        <v/>
      </c>
      <c r="I801" s="37">
        <f>IF($A801="","",IFERROR(MAX(0,$H801-$F801),0))</f>
        <v/>
      </c>
    </row>
    <row r="802">
      <c r="A802" s="36" t="n"/>
      <c r="B802" s="36" t="n"/>
      <c r="C802" s="36" t="n"/>
      <c r="D802" s="36" t="n"/>
      <c r="E802" s="36" t="n"/>
      <c r="F802" s="36" t="n"/>
      <c r="G802" s="37">
        <f>IF($A802="","",$B802+$C802-$D802-$E802)</f>
        <v/>
      </c>
      <c r="H802" s="37">
        <f>IF($A802="","",IFERROR(ROUND($G802*INDEX(tblKurallar[deger_2025],MATCH("AKV-003",tblKurallar[kural_id],0)),2),0))</f>
        <v/>
      </c>
      <c r="I802" s="37">
        <f>IF($A802="","",IFERROR(MAX(0,$H802-$F802),0))</f>
        <v/>
      </c>
    </row>
    <row r="803">
      <c r="A803" s="36" t="n"/>
      <c r="B803" s="36" t="n"/>
      <c r="C803" s="36" t="n"/>
      <c r="D803" s="36" t="n"/>
      <c r="E803" s="36" t="n"/>
      <c r="F803" s="36" t="n"/>
      <c r="G803" s="37">
        <f>IF($A803="","",$B803+$C803-$D803-$E803)</f>
        <v/>
      </c>
      <c r="H803" s="37">
        <f>IF($A803="","",IFERROR(ROUND($G803*INDEX(tblKurallar[deger_2025],MATCH("AKV-003",tblKurallar[kural_id],0)),2),0))</f>
        <v/>
      </c>
      <c r="I803" s="37">
        <f>IF($A803="","",IFERROR(MAX(0,$H803-$F803),0))</f>
        <v/>
      </c>
    </row>
    <row r="804">
      <c r="A804" s="36" t="n"/>
      <c r="B804" s="36" t="n"/>
      <c r="C804" s="36" t="n"/>
      <c r="D804" s="36" t="n"/>
      <c r="E804" s="36" t="n"/>
      <c r="F804" s="36" t="n"/>
      <c r="G804" s="37">
        <f>IF($A804="","",$B804+$C804-$D804-$E804)</f>
        <v/>
      </c>
      <c r="H804" s="37">
        <f>IF($A804="","",IFERROR(ROUND($G804*INDEX(tblKurallar[deger_2025],MATCH("AKV-003",tblKurallar[kural_id],0)),2),0))</f>
        <v/>
      </c>
      <c r="I804" s="37">
        <f>IF($A804="","",IFERROR(MAX(0,$H804-$F804),0))</f>
        <v/>
      </c>
    </row>
    <row r="805">
      <c r="A805" s="36" t="n"/>
      <c r="B805" s="36" t="n"/>
      <c r="C805" s="36" t="n"/>
      <c r="D805" s="36" t="n"/>
      <c r="E805" s="36" t="n"/>
      <c r="F805" s="36" t="n"/>
      <c r="G805" s="37">
        <f>IF($A805="","",$B805+$C805-$D805-$E805)</f>
        <v/>
      </c>
      <c r="H805" s="37">
        <f>IF($A805="","",IFERROR(ROUND($G805*INDEX(tblKurallar[deger_2025],MATCH("AKV-003",tblKurallar[kural_id],0)),2),0))</f>
        <v/>
      </c>
      <c r="I805" s="37">
        <f>IF($A805="","",IFERROR(MAX(0,$H805-$F805),0))</f>
        <v/>
      </c>
    </row>
    <row r="806">
      <c r="A806" s="36" t="n"/>
      <c r="B806" s="36" t="n"/>
      <c r="C806" s="36" t="n"/>
      <c r="D806" s="36" t="n"/>
      <c r="E806" s="36" t="n"/>
      <c r="F806" s="36" t="n"/>
      <c r="G806" s="37">
        <f>IF($A806="","",$B806+$C806-$D806-$E806)</f>
        <v/>
      </c>
      <c r="H806" s="37">
        <f>IF($A806="","",IFERROR(ROUND($G806*INDEX(tblKurallar[deger_2025],MATCH("AKV-003",tblKurallar[kural_id],0)),2),0))</f>
        <v/>
      </c>
      <c r="I806" s="37">
        <f>IF($A806="","",IFERROR(MAX(0,$H806-$F806),0))</f>
        <v/>
      </c>
    </row>
    <row r="807">
      <c r="A807" s="36" t="n"/>
      <c r="B807" s="36" t="n"/>
      <c r="C807" s="36" t="n"/>
      <c r="D807" s="36" t="n"/>
      <c r="E807" s="36" t="n"/>
      <c r="F807" s="36" t="n"/>
      <c r="G807" s="37">
        <f>IF($A807="","",$B807+$C807-$D807-$E807)</f>
        <v/>
      </c>
      <c r="H807" s="37">
        <f>IF($A807="","",IFERROR(ROUND($G807*INDEX(tblKurallar[deger_2025],MATCH("AKV-003",tblKurallar[kural_id],0)),2),0))</f>
        <v/>
      </c>
      <c r="I807" s="37">
        <f>IF($A807="","",IFERROR(MAX(0,$H807-$F807),0))</f>
        <v/>
      </c>
    </row>
    <row r="808">
      <c r="A808" s="36" t="n"/>
      <c r="B808" s="36" t="n"/>
      <c r="C808" s="36" t="n"/>
      <c r="D808" s="36" t="n"/>
      <c r="E808" s="36" t="n"/>
      <c r="F808" s="36" t="n"/>
      <c r="G808" s="37">
        <f>IF($A808="","",$B808+$C808-$D808-$E808)</f>
        <v/>
      </c>
      <c r="H808" s="37">
        <f>IF($A808="","",IFERROR(ROUND($G808*INDEX(tblKurallar[deger_2025],MATCH("AKV-003",tblKurallar[kural_id],0)),2),0))</f>
        <v/>
      </c>
      <c r="I808" s="37">
        <f>IF($A808="","",IFERROR(MAX(0,$H808-$F808),0))</f>
        <v/>
      </c>
    </row>
    <row r="809">
      <c r="A809" s="36" t="n"/>
      <c r="B809" s="36" t="n"/>
      <c r="C809" s="36" t="n"/>
      <c r="D809" s="36" t="n"/>
      <c r="E809" s="36" t="n"/>
      <c r="F809" s="36" t="n"/>
      <c r="G809" s="37">
        <f>IF($A809="","",$B809+$C809-$D809-$E809)</f>
        <v/>
      </c>
      <c r="H809" s="37">
        <f>IF($A809="","",IFERROR(ROUND($G809*INDEX(tblKurallar[deger_2025],MATCH("AKV-003",tblKurallar[kural_id],0)),2),0))</f>
        <v/>
      </c>
      <c r="I809" s="37">
        <f>IF($A809="","",IFERROR(MAX(0,$H809-$F809),0))</f>
        <v/>
      </c>
    </row>
    <row r="810">
      <c r="A810" s="36" t="n"/>
      <c r="B810" s="36" t="n"/>
      <c r="C810" s="36" t="n"/>
      <c r="D810" s="36" t="n"/>
      <c r="E810" s="36" t="n"/>
      <c r="F810" s="36" t="n"/>
      <c r="G810" s="37">
        <f>IF($A810="","",$B810+$C810-$D810-$E810)</f>
        <v/>
      </c>
      <c r="H810" s="37">
        <f>IF($A810="","",IFERROR(ROUND($G810*INDEX(tblKurallar[deger_2025],MATCH("AKV-003",tblKurallar[kural_id],0)),2),0))</f>
        <v/>
      </c>
      <c r="I810" s="37">
        <f>IF($A810="","",IFERROR(MAX(0,$H810-$F810),0))</f>
        <v/>
      </c>
    </row>
    <row r="811">
      <c r="A811" s="36" t="n"/>
      <c r="B811" s="36" t="n"/>
      <c r="C811" s="36" t="n"/>
      <c r="D811" s="36" t="n"/>
      <c r="E811" s="36" t="n"/>
      <c r="F811" s="36" t="n"/>
      <c r="G811" s="37">
        <f>IF($A811="","",$B811+$C811-$D811-$E811)</f>
        <v/>
      </c>
      <c r="H811" s="37">
        <f>IF($A811="","",IFERROR(ROUND($G811*INDEX(tblKurallar[deger_2025],MATCH("AKV-003",tblKurallar[kural_id],0)),2),0))</f>
        <v/>
      </c>
      <c r="I811" s="37">
        <f>IF($A811="","",IFERROR(MAX(0,$H811-$F811),0))</f>
        <v/>
      </c>
    </row>
    <row r="812">
      <c r="A812" s="36" t="n"/>
      <c r="B812" s="36" t="n"/>
      <c r="C812" s="36" t="n"/>
      <c r="D812" s="36" t="n"/>
      <c r="E812" s="36" t="n"/>
      <c r="F812" s="36" t="n"/>
      <c r="G812" s="37">
        <f>IF($A812="","",$B812+$C812-$D812-$E812)</f>
        <v/>
      </c>
      <c r="H812" s="37">
        <f>IF($A812="","",IFERROR(ROUND($G812*INDEX(tblKurallar[deger_2025],MATCH("AKV-003",tblKurallar[kural_id],0)),2),0))</f>
        <v/>
      </c>
      <c r="I812" s="37">
        <f>IF($A812="","",IFERROR(MAX(0,$H812-$F812),0))</f>
        <v/>
      </c>
    </row>
    <row r="813">
      <c r="A813" s="36" t="n"/>
      <c r="B813" s="36" t="n"/>
      <c r="C813" s="36" t="n"/>
      <c r="D813" s="36" t="n"/>
      <c r="E813" s="36" t="n"/>
      <c r="F813" s="36" t="n"/>
      <c r="G813" s="37">
        <f>IF($A813="","",$B813+$C813-$D813-$E813)</f>
        <v/>
      </c>
      <c r="H813" s="37">
        <f>IF($A813="","",IFERROR(ROUND($G813*INDEX(tblKurallar[deger_2025],MATCH("AKV-003",tblKurallar[kural_id],0)),2),0))</f>
        <v/>
      </c>
      <c r="I813" s="37">
        <f>IF($A813="","",IFERROR(MAX(0,$H813-$F813),0))</f>
        <v/>
      </c>
    </row>
    <row r="814">
      <c r="A814" s="36" t="n"/>
      <c r="B814" s="36" t="n"/>
      <c r="C814" s="36" t="n"/>
      <c r="D814" s="36" t="n"/>
      <c r="E814" s="36" t="n"/>
      <c r="F814" s="36" t="n"/>
      <c r="G814" s="37">
        <f>IF($A814="","",$B814+$C814-$D814-$E814)</f>
        <v/>
      </c>
      <c r="H814" s="37">
        <f>IF($A814="","",IFERROR(ROUND($G814*INDEX(tblKurallar[deger_2025],MATCH("AKV-003",tblKurallar[kural_id],0)),2),0))</f>
        <v/>
      </c>
      <c r="I814" s="37">
        <f>IF($A814="","",IFERROR(MAX(0,$H814-$F814),0))</f>
        <v/>
      </c>
    </row>
    <row r="815">
      <c r="A815" s="36" t="n"/>
      <c r="B815" s="36" t="n"/>
      <c r="C815" s="36" t="n"/>
      <c r="D815" s="36" t="n"/>
      <c r="E815" s="36" t="n"/>
      <c r="F815" s="36" t="n"/>
      <c r="G815" s="37">
        <f>IF($A815="","",$B815+$C815-$D815-$E815)</f>
        <v/>
      </c>
      <c r="H815" s="37">
        <f>IF($A815="","",IFERROR(ROUND($G815*INDEX(tblKurallar[deger_2025],MATCH("AKV-003",tblKurallar[kural_id],0)),2),0))</f>
        <v/>
      </c>
      <c r="I815" s="37">
        <f>IF($A815="","",IFERROR(MAX(0,$H815-$F815),0))</f>
        <v/>
      </c>
    </row>
    <row r="816">
      <c r="A816" s="36" t="n"/>
      <c r="B816" s="36" t="n"/>
      <c r="C816" s="36" t="n"/>
      <c r="D816" s="36" t="n"/>
      <c r="E816" s="36" t="n"/>
      <c r="F816" s="36" t="n"/>
      <c r="G816" s="37">
        <f>IF($A816="","",$B816+$C816-$D816-$E816)</f>
        <v/>
      </c>
      <c r="H816" s="37">
        <f>IF($A816="","",IFERROR(ROUND($G816*INDEX(tblKurallar[deger_2025],MATCH("AKV-003",tblKurallar[kural_id],0)),2),0))</f>
        <v/>
      </c>
      <c r="I816" s="37">
        <f>IF($A816="","",IFERROR(MAX(0,$H816-$F816),0))</f>
        <v/>
      </c>
    </row>
    <row r="817">
      <c r="A817" s="36" t="n"/>
      <c r="B817" s="36" t="n"/>
      <c r="C817" s="36" t="n"/>
      <c r="D817" s="36" t="n"/>
      <c r="E817" s="36" t="n"/>
      <c r="F817" s="36" t="n"/>
      <c r="G817" s="37">
        <f>IF($A817="","",$B817+$C817-$D817-$E817)</f>
        <v/>
      </c>
      <c r="H817" s="37">
        <f>IF($A817="","",IFERROR(ROUND($G817*INDEX(tblKurallar[deger_2025],MATCH("AKV-003",tblKurallar[kural_id],0)),2),0))</f>
        <v/>
      </c>
      <c r="I817" s="37">
        <f>IF($A817="","",IFERROR(MAX(0,$H817-$F817),0))</f>
        <v/>
      </c>
    </row>
    <row r="818">
      <c r="A818" s="36" t="n"/>
      <c r="B818" s="36" t="n"/>
      <c r="C818" s="36" t="n"/>
      <c r="D818" s="36" t="n"/>
      <c r="E818" s="36" t="n"/>
      <c r="F818" s="36" t="n"/>
      <c r="G818" s="37">
        <f>IF($A818="","",$B818+$C818-$D818-$E818)</f>
        <v/>
      </c>
      <c r="H818" s="37">
        <f>IF($A818="","",IFERROR(ROUND($G818*INDEX(tblKurallar[deger_2025],MATCH("AKV-003",tblKurallar[kural_id],0)),2),0))</f>
        <v/>
      </c>
      <c r="I818" s="37">
        <f>IF($A818="","",IFERROR(MAX(0,$H818-$F818),0))</f>
        <v/>
      </c>
    </row>
    <row r="819">
      <c r="A819" s="36" t="n"/>
      <c r="B819" s="36" t="n"/>
      <c r="C819" s="36" t="n"/>
      <c r="D819" s="36" t="n"/>
      <c r="E819" s="36" t="n"/>
      <c r="F819" s="36" t="n"/>
      <c r="G819" s="37">
        <f>IF($A819="","",$B819+$C819-$D819-$E819)</f>
        <v/>
      </c>
      <c r="H819" s="37">
        <f>IF($A819="","",IFERROR(ROUND($G819*INDEX(tblKurallar[deger_2025],MATCH("AKV-003",tblKurallar[kural_id],0)),2),0))</f>
        <v/>
      </c>
      <c r="I819" s="37">
        <f>IF($A819="","",IFERROR(MAX(0,$H819-$F819),0))</f>
        <v/>
      </c>
    </row>
    <row r="820">
      <c r="A820" s="36" t="n"/>
      <c r="B820" s="36" t="n"/>
      <c r="C820" s="36" t="n"/>
      <c r="D820" s="36" t="n"/>
      <c r="E820" s="36" t="n"/>
      <c r="F820" s="36" t="n"/>
      <c r="G820" s="37">
        <f>IF($A820="","",$B820+$C820-$D820-$E820)</f>
        <v/>
      </c>
      <c r="H820" s="37">
        <f>IF($A820="","",IFERROR(ROUND($G820*INDEX(tblKurallar[deger_2025],MATCH("AKV-003",tblKurallar[kural_id],0)),2),0))</f>
        <v/>
      </c>
      <c r="I820" s="37">
        <f>IF($A820="","",IFERROR(MAX(0,$H820-$F820),0))</f>
        <v/>
      </c>
    </row>
    <row r="821">
      <c r="A821" s="36" t="n"/>
      <c r="B821" s="36" t="n"/>
      <c r="C821" s="36" t="n"/>
      <c r="D821" s="36" t="n"/>
      <c r="E821" s="36" t="n"/>
      <c r="F821" s="36" t="n"/>
      <c r="G821" s="37">
        <f>IF($A821="","",$B821+$C821-$D821-$E821)</f>
        <v/>
      </c>
      <c r="H821" s="37">
        <f>IF($A821="","",IFERROR(ROUND($G821*INDEX(tblKurallar[deger_2025],MATCH("AKV-003",tblKurallar[kural_id],0)),2),0))</f>
        <v/>
      </c>
      <c r="I821" s="37">
        <f>IF($A821="","",IFERROR(MAX(0,$H821-$F821),0))</f>
        <v/>
      </c>
    </row>
    <row r="822">
      <c r="A822" s="36" t="n"/>
      <c r="B822" s="36" t="n"/>
      <c r="C822" s="36" t="n"/>
      <c r="D822" s="36" t="n"/>
      <c r="E822" s="36" t="n"/>
      <c r="F822" s="36" t="n"/>
      <c r="G822" s="37">
        <f>IF($A822="","",$B822+$C822-$D822-$E822)</f>
        <v/>
      </c>
      <c r="H822" s="37">
        <f>IF($A822="","",IFERROR(ROUND($G822*INDEX(tblKurallar[deger_2025],MATCH("AKV-003",tblKurallar[kural_id],0)),2),0))</f>
        <v/>
      </c>
      <c r="I822" s="37">
        <f>IF($A822="","",IFERROR(MAX(0,$H822-$F822),0))</f>
        <v/>
      </c>
    </row>
    <row r="823">
      <c r="A823" s="36" t="n"/>
      <c r="B823" s="36" t="n"/>
      <c r="C823" s="36" t="n"/>
      <c r="D823" s="36" t="n"/>
      <c r="E823" s="36" t="n"/>
      <c r="F823" s="36" t="n"/>
      <c r="G823" s="37">
        <f>IF($A823="","",$B823+$C823-$D823-$E823)</f>
        <v/>
      </c>
      <c r="H823" s="37">
        <f>IF($A823="","",IFERROR(ROUND($G823*INDEX(tblKurallar[deger_2025],MATCH("AKV-003",tblKurallar[kural_id],0)),2),0))</f>
        <v/>
      </c>
      <c r="I823" s="37">
        <f>IF($A823="","",IFERROR(MAX(0,$H823-$F823),0))</f>
        <v/>
      </c>
    </row>
    <row r="824">
      <c r="A824" s="36" t="n"/>
      <c r="B824" s="36" t="n"/>
      <c r="C824" s="36" t="n"/>
      <c r="D824" s="36" t="n"/>
      <c r="E824" s="36" t="n"/>
      <c r="F824" s="36" t="n"/>
      <c r="G824" s="37">
        <f>IF($A824="","",$B824+$C824-$D824-$E824)</f>
        <v/>
      </c>
      <c r="H824" s="37">
        <f>IF($A824="","",IFERROR(ROUND($G824*INDEX(tblKurallar[deger_2025],MATCH("AKV-003",tblKurallar[kural_id],0)),2),0))</f>
        <v/>
      </c>
      <c r="I824" s="37">
        <f>IF($A824="","",IFERROR(MAX(0,$H824-$F824),0))</f>
        <v/>
      </c>
    </row>
    <row r="825">
      <c r="A825" s="36" t="n"/>
      <c r="B825" s="36" t="n"/>
      <c r="C825" s="36" t="n"/>
      <c r="D825" s="36" t="n"/>
      <c r="E825" s="36" t="n"/>
      <c r="F825" s="36" t="n"/>
      <c r="G825" s="37">
        <f>IF($A825="","",$B825+$C825-$D825-$E825)</f>
        <v/>
      </c>
      <c r="H825" s="37">
        <f>IF($A825="","",IFERROR(ROUND($G825*INDEX(tblKurallar[deger_2025],MATCH("AKV-003",tblKurallar[kural_id],0)),2),0))</f>
        <v/>
      </c>
      <c r="I825" s="37">
        <f>IF($A825="","",IFERROR(MAX(0,$H825-$F825),0))</f>
        <v/>
      </c>
    </row>
    <row r="826">
      <c r="A826" s="36" t="n"/>
      <c r="B826" s="36" t="n"/>
      <c r="C826" s="36" t="n"/>
      <c r="D826" s="36" t="n"/>
      <c r="E826" s="36" t="n"/>
      <c r="F826" s="36" t="n"/>
      <c r="G826" s="37">
        <f>IF($A826="","",$B826+$C826-$D826-$E826)</f>
        <v/>
      </c>
      <c r="H826" s="37">
        <f>IF($A826="","",IFERROR(ROUND($G826*INDEX(tblKurallar[deger_2025],MATCH("AKV-003",tblKurallar[kural_id],0)),2),0))</f>
        <v/>
      </c>
      <c r="I826" s="37">
        <f>IF($A826="","",IFERROR(MAX(0,$H826-$F826),0))</f>
        <v/>
      </c>
    </row>
    <row r="827">
      <c r="A827" s="36" t="n"/>
      <c r="B827" s="36" t="n"/>
      <c r="C827" s="36" t="n"/>
      <c r="D827" s="36" t="n"/>
      <c r="E827" s="36" t="n"/>
      <c r="F827" s="36" t="n"/>
      <c r="G827" s="37">
        <f>IF($A827="","",$B827+$C827-$D827-$E827)</f>
        <v/>
      </c>
      <c r="H827" s="37">
        <f>IF($A827="","",IFERROR(ROUND($G827*INDEX(tblKurallar[deger_2025],MATCH("AKV-003",tblKurallar[kural_id],0)),2),0))</f>
        <v/>
      </c>
      <c r="I827" s="37">
        <f>IF($A827="","",IFERROR(MAX(0,$H827-$F827),0))</f>
        <v/>
      </c>
    </row>
    <row r="828">
      <c r="A828" s="36" t="n"/>
      <c r="B828" s="36" t="n"/>
      <c r="C828" s="36" t="n"/>
      <c r="D828" s="36" t="n"/>
      <c r="E828" s="36" t="n"/>
      <c r="F828" s="36" t="n"/>
      <c r="G828" s="37">
        <f>IF($A828="","",$B828+$C828-$D828-$E828)</f>
        <v/>
      </c>
      <c r="H828" s="37">
        <f>IF($A828="","",IFERROR(ROUND($G828*INDEX(tblKurallar[deger_2025],MATCH("AKV-003",tblKurallar[kural_id],0)),2),0))</f>
        <v/>
      </c>
      <c r="I828" s="37">
        <f>IF($A828="","",IFERROR(MAX(0,$H828-$F828),0))</f>
        <v/>
      </c>
    </row>
    <row r="829">
      <c r="A829" s="36" t="n"/>
      <c r="B829" s="36" t="n"/>
      <c r="C829" s="36" t="n"/>
      <c r="D829" s="36" t="n"/>
      <c r="E829" s="36" t="n"/>
      <c r="F829" s="36" t="n"/>
      <c r="G829" s="37">
        <f>IF($A829="","",$B829+$C829-$D829-$E829)</f>
        <v/>
      </c>
      <c r="H829" s="37">
        <f>IF($A829="","",IFERROR(ROUND($G829*INDEX(tblKurallar[deger_2025],MATCH("AKV-003",tblKurallar[kural_id],0)),2),0))</f>
        <v/>
      </c>
      <c r="I829" s="37">
        <f>IF($A829="","",IFERROR(MAX(0,$H829-$F829),0))</f>
        <v/>
      </c>
    </row>
    <row r="830">
      <c r="A830" s="36" t="n"/>
      <c r="B830" s="36" t="n"/>
      <c r="C830" s="36" t="n"/>
      <c r="D830" s="36" t="n"/>
      <c r="E830" s="36" t="n"/>
      <c r="F830" s="36" t="n"/>
      <c r="G830" s="37">
        <f>IF($A830="","",$B830+$C830-$D830-$E830)</f>
        <v/>
      </c>
      <c r="H830" s="37">
        <f>IF($A830="","",IFERROR(ROUND($G830*INDEX(tblKurallar[deger_2025],MATCH("AKV-003",tblKurallar[kural_id],0)),2),0))</f>
        <v/>
      </c>
      <c r="I830" s="37">
        <f>IF($A830="","",IFERROR(MAX(0,$H830-$F830),0))</f>
        <v/>
      </c>
    </row>
    <row r="831">
      <c r="A831" s="36" t="n"/>
      <c r="B831" s="36" t="n"/>
      <c r="C831" s="36" t="n"/>
      <c r="D831" s="36" t="n"/>
      <c r="E831" s="36" t="n"/>
      <c r="F831" s="36" t="n"/>
      <c r="G831" s="37">
        <f>IF($A831="","",$B831+$C831-$D831-$E831)</f>
        <v/>
      </c>
      <c r="H831" s="37">
        <f>IF($A831="","",IFERROR(ROUND($G831*INDEX(tblKurallar[deger_2025],MATCH("AKV-003",tblKurallar[kural_id],0)),2),0))</f>
        <v/>
      </c>
      <c r="I831" s="37">
        <f>IF($A831="","",IFERROR(MAX(0,$H831-$F831),0))</f>
        <v/>
      </c>
    </row>
    <row r="832">
      <c r="A832" s="36" t="n"/>
      <c r="B832" s="36" t="n"/>
      <c r="C832" s="36" t="n"/>
      <c r="D832" s="36" t="n"/>
      <c r="E832" s="36" t="n"/>
      <c r="F832" s="36" t="n"/>
      <c r="G832" s="37">
        <f>IF($A832="","",$B832+$C832-$D832-$E832)</f>
        <v/>
      </c>
      <c r="H832" s="37">
        <f>IF($A832="","",IFERROR(ROUND($G832*INDEX(tblKurallar[deger_2025],MATCH("AKV-003",tblKurallar[kural_id],0)),2),0))</f>
        <v/>
      </c>
      <c r="I832" s="37">
        <f>IF($A832="","",IFERROR(MAX(0,$H832-$F832),0))</f>
        <v/>
      </c>
    </row>
    <row r="833">
      <c r="A833" s="36" t="n"/>
      <c r="B833" s="36" t="n"/>
      <c r="C833" s="36" t="n"/>
      <c r="D833" s="36" t="n"/>
      <c r="E833" s="36" t="n"/>
      <c r="F833" s="36" t="n"/>
      <c r="G833" s="37">
        <f>IF($A833="","",$B833+$C833-$D833-$E833)</f>
        <v/>
      </c>
      <c r="H833" s="37">
        <f>IF($A833="","",IFERROR(ROUND($G833*INDEX(tblKurallar[deger_2025],MATCH("AKV-003",tblKurallar[kural_id],0)),2),0))</f>
        <v/>
      </c>
      <c r="I833" s="37">
        <f>IF($A833="","",IFERROR(MAX(0,$H833-$F833),0))</f>
        <v/>
      </c>
    </row>
    <row r="834">
      <c r="A834" s="36" t="n"/>
      <c r="B834" s="36" t="n"/>
      <c r="C834" s="36" t="n"/>
      <c r="D834" s="36" t="n"/>
      <c r="E834" s="36" t="n"/>
      <c r="F834" s="36" t="n"/>
      <c r="G834" s="37">
        <f>IF($A834="","",$B834+$C834-$D834-$E834)</f>
        <v/>
      </c>
      <c r="H834" s="37">
        <f>IF($A834="","",IFERROR(ROUND($G834*INDEX(tblKurallar[deger_2025],MATCH("AKV-003",tblKurallar[kural_id],0)),2),0))</f>
        <v/>
      </c>
      <c r="I834" s="37">
        <f>IF($A834="","",IFERROR(MAX(0,$H834-$F834),0))</f>
        <v/>
      </c>
    </row>
    <row r="835">
      <c r="A835" s="36" t="n"/>
      <c r="B835" s="36" t="n"/>
      <c r="C835" s="36" t="n"/>
      <c r="D835" s="36" t="n"/>
      <c r="E835" s="36" t="n"/>
      <c r="F835" s="36" t="n"/>
      <c r="G835" s="37">
        <f>IF($A835="","",$B835+$C835-$D835-$E835)</f>
        <v/>
      </c>
      <c r="H835" s="37">
        <f>IF($A835="","",IFERROR(ROUND($G835*INDEX(tblKurallar[deger_2025],MATCH("AKV-003",tblKurallar[kural_id],0)),2),0))</f>
        <v/>
      </c>
      <c r="I835" s="37">
        <f>IF($A835="","",IFERROR(MAX(0,$H835-$F835),0))</f>
        <v/>
      </c>
    </row>
    <row r="836">
      <c r="A836" s="36" t="n"/>
      <c r="B836" s="36" t="n"/>
      <c r="C836" s="36" t="n"/>
      <c r="D836" s="36" t="n"/>
      <c r="E836" s="36" t="n"/>
      <c r="F836" s="36" t="n"/>
      <c r="G836" s="37">
        <f>IF($A836="","",$B836+$C836-$D836-$E836)</f>
        <v/>
      </c>
      <c r="H836" s="37">
        <f>IF($A836="","",IFERROR(ROUND($G836*INDEX(tblKurallar[deger_2025],MATCH("AKV-003",tblKurallar[kural_id],0)),2),0))</f>
        <v/>
      </c>
      <c r="I836" s="37">
        <f>IF($A836="","",IFERROR(MAX(0,$H836-$F836),0))</f>
        <v/>
      </c>
    </row>
    <row r="837">
      <c r="A837" s="36" t="n"/>
      <c r="B837" s="36" t="n"/>
      <c r="C837" s="36" t="n"/>
      <c r="D837" s="36" t="n"/>
      <c r="E837" s="36" t="n"/>
      <c r="F837" s="36" t="n"/>
      <c r="G837" s="37">
        <f>IF($A837="","",$B837+$C837-$D837-$E837)</f>
        <v/>
      </c>
      <c r="H837" s="37">
        <f>IF($A837="","",IFERROR(ROUND($G837*INDEX(tblKurallar[deger_2025],MATCH("AKV-003",tblKurallar[kural_id],0)),2),0))</f>
        <v/>
      </c>
      <c r="I837" s="37">
        <f>IF($A837="","",IFERROR(MAX(0,$H837-$F837),0))</f>
        <v/>
      </c>
    </row>
    <row r="838">
      <c r="A838" s="36" t="n"/>
      <c r="B838" s="36" t="n"/>
      <c r="C838" s="36" t="n"/>
      <c r="D838" s="36" t="n"/>
      <c r="E838" s="36" t="n"/>
      <c r="F838" s="36" t="n"/>
      <c r="G838" s="37">
        <f>IF($A838="","",$B838+$C838-$D838-$E838)</f>
        <v/>
      </c>
      <c r="H838" s="37">
        <f>IF($A838="","",IFERROR(ROUND($G838*INDEX(tblKurallar[deger_2025],MATCH("AKV-003",tblKurallar[kural_id],0)),2),0))</f>
        <v/>
      </c>
      <c r="I838" s="37">
        <f>IF($A838="","",IFERROR(MAX(0,$H838-$F838),0))</f>
        <v/>
      </c>
    </row>
    <row r="839">
      <c r="A839" s="36" t="n"/>
      <c r="B839" s="36" t="n"/>
      <c r="C839" s="36" t="n"/>
      <c r="D839" s="36" t="n"/>
      <c r="E839" s="36" t="n"/>
      <c r="F839" s="36" t="n"/>
      <c r="G839" s="37">
        <f>IF($A839="","",$B839+$C839-$D839-$E839)</f>
        <v/>
      </c>
      <c r="H839" s="37">
        <f>IF($A839="","",IFERROR(ROUND($G839*INDEX(tblKurallar[deger_2025],MATCH("AKV-003",tblKurallar[kural_id],0)),2),0))</f>
        <v/>
      </c>
      <c r="I839" s="37">
        <f>IF($A839="","",IFERROR(MAX(0,$H839-$F839),0))</f>
        <v/>
      </c>
    </row>
    <row r="840">
      <c r="A840" s="36" t="n"/>
      <c r="B840" s="36" t="n"/>
      <c r="C840" s="36" t="n"/>
      <c r="D840" s="36" t="n"/>
      <c r="E840" s="36" t="n"/>
      <c r="F840" s="36" t="n"/>
      <c r="G840" s="37">
        <f>IF($A840="","",$B840+$C840-$D840-$E840)</f>
        <v/>
      </c>
      <c r="H840" s="37">
        <f>IF($A840="","",IFERROR(ROUND($G840*INDEX(tblKurallar[deger_2025],MATCH("AKV-003",tblKurallar[kural_id],0)),2),0))</f>
        <v/>
      </c>
      <c r="I840" s="37">
        <f>IF($A840="","",IFERROR(MAX(0,$H840-$F840),0))</f>
        <v/>
      </c>
    </row>
    <row r="841">
      <c r="A841" s="36" t="n"/>
      <c r="B841" s="36" t="n"/>
      <c r="C841" s="36" t="n"/>
      <c r="D841" s="36" t="n"/>
      <c r="E841" s="36" t="n"/>
      <c r="F841" s="36" t="n"/>
      <c r="G841" s="37">
        <f>IF($A841="","",$B841+$C841-$D841-$E841)</f>
        <v/>
      </c>
      <c r="H841" s="37">
        <f>IF($A841="","",IFERROR(ROUND($G841*INDEX(tblKurallar[deger_2025],MATCH("AKV-003",tblKurallar[kural_id],0)),2),0))</f>
        <v/>
      </c>
      <c r="I841" s="37">
        <f>IF($A841="","",IFERROR(MAX(0,$H841-$F841),0))</f>
        <v/>
      </c>
    </row>
    <row r="842">
      <c r="A842" s="36" t="n"/>
      <c r="B842" s="36" t="n"/>
      <c r="C842" s="36" t="n"/>
      <c r="D842" s="36" t="n"/>
      <c r="E842" s="36" t="n"/>
      <c r="F842" s="36" t="n"/>
      <c r="G842" s="37">
        <f>IF($A842="","",$B842+$C842-$D842-$E842)</f>
        <v/>
      </c>
      <c r="H842" s="37">
        <f>IF($A842="","",IFERROR(ROUND($G842*INDEX(tblKurallar[deger_2025],MATCH("AKV-003",tblKurallar[kural_id],0)),2),0))</f>
        <v/>
      </c>
      <c r="I842" s="37">
        <f>IF($A842="","",IFERROR(MAX(0,$H842-$F842),0))</f>
        <v/>
      </c>
    </row>
    <row r="843">
      <c r="A843" s="36" t="n"/>
      <c r="B843" s="36" t="n"/>
      <c r="C843" s="36" t="n"/>
      <c r="D843" s="36" t="n"/>
      <c r="E843" s="36" t="n"/>
      <c r="F843" s="36" t="n"/>
      <c r="G843" s="37">
        <f>IF($A843="","",$B843+$C843-$D843-$E843)</f>
        <v/>
      </c>
      <c r="H843" s="37">
        <f>IF($A843="","",IFERROR(ROUND($G843*INDEX(tblKurallar[deger_2025],MATCH("AKV-003",tblKurallar[kural_id],0)),2),0))</f>
        <v/>
      </c>
      <c r="I843" s="37">
        <f>IF($A843="","",IFERROR(MAX(0,$H843-$F843),0))</f>
        <v/>
      </c>
    </row>
    <row r="844">
      <c r="A844" s="36" t="n"/>
      <c r="B844" s="36" t="n"/>
      <c r="C844" s="36" t="n"/>
      <c r="D844" s="36" t="n"/>
      <c r="E844" s="36" t="n"/>
      <c r="F844" s="36" t="n"/>
      <c r="G844" s="37">
        <f>IF($A844="","",$B844+$C844-$D844-$E844)</f>
        <v/>
      </c>
      <c r="H844" s="37">
        <f>IF($A844="","",IFERROR(ROUND($G844*INDEX(tblKurallar[deger_2025],MATCH("AKV-003",tblKurallar[kural_id],0)),2),0))</f>
        <v/>
      </c>
      <c r="I844" s="37">
        <f>IF($A844="","",IFERROR(MAX(0,$H844-$F844),0))</f>
        <v/>
      </c>
    </row>
    <row r="845">
      <c r="A845" s="36" t="n"/>
      <c r="B845" s="36" t="n"/>
      <c r="C845" s="36" t="n"/>
      <c r="D845" s="36" t="n"/>
      <c r="E845" s="36" t="n"/>
      <c r="F845" s="36" t="n"/>
      <c r="G845" s="37">
        <f>IF($A845="","",$B845+$C845-$D845-$E845)</f>
        <v/>
      </c>
      <c r="H845" s="37">
        <f>IF($A845="","",IFERROR(ROUND($G845*INDEX(tblKurallar[deger_2025],MATCH("AKV-003",tblKurallar[kural_id],0)),2),0))</f>
        <v/>
      </c>
      <c r="I845" s="37">
        <f>IF($A845="","",IFERROR(MAX(0,$H845-$F845),0))</f>
        <v/>
      </c>
    </row>
    <row r="846">
      <c r="A846" s="36" t="n"/>
      <c r="B846" s="36" t="n"/>
      <c r="C846" s="36" t="n"/>
      <c r="D846" s="36" t="n"/>
      <c r="E846" s="36" t="n"/>
      <c r="F846" s="36" t="n"/>
      <c r="G846" s="37">
        <f>IF($A846="","",$B846+$C846-$D846-$E846)</f>
        <v/>
      </c>
      <c r="H846" s="37">
        <f>IF($A846="","",IFERROR(ROUND($G846*INDEX(tblKurallar[deger_2025],MATCH("AKV-003",tblKurallar[kural_id],0)),2),0))</f>
        <v/>
      </c>
      <c r="I846" s="37">
        <f>IF($A846="","",IFERROR(MAX(0,$H846-$F846),0))</f>
        <v/>
      </c>
    </row>
    <row r="847">
      <c r="A847" s="36" t="n"/>
      <c r="B847" s="36" t="n"/>
      <c r="C847" s="36" t="n"/>
      <c r="D847" s="36" t="n"/>
      <c r="E847" s="36" t="n"/>
      <c r="F847" s="36" t="n"/>
      <c r="G847" s="37">
        <f>IF($A847="","",$B847+$C847-$D847-$E847)</f>
        <v/>
      </c>
      <c r="H847" s="37">
        <f>IF($A847="","",IFERROR(ROUND($G847*INDEX(tblKurallar[deger_2025],MATCH("AKV-003",tblKurallar[kural_id],0)),2),0))</f>
        <v/>
      </c>
      <c r="I847" s="37">
        <f>IF($A847="","",IFERROR(MAX(0,$H847-$F847),0))</f>
        <v/>
      </c>
    </row>
    <row r="848">
      <c r="A848" s="36" t="n"/>
      <c r="B848" s="36" t="n"/>
      <c r="C848" s="36" t="n"/>
      <c r="D848" s="36" t="n"/>
      <c r="E848" s="36" t="n"/>
      <c r="F848" s="36" t="n"/>
      <c r="G848" s="37">
        <f>IF($A848="","",$B848+$C848-$D848-$E848)</f>
        <v/>
      </c>
      <c r="H848" s="37">
        <f>IF($A848="","",IFERROR(ROUND($G848*INDEX(tblKurallar[deger_2025],MATCH("AKV-003",tblKurallar[kural_id],0)),2),0))</f>
        <v/>
      </c>
      <c r="I848" s="37">
        <f>IF($A848="","",IFERROR(MAX(0,$H848-$F848),0))</f>
        <v/>
      </c>
    </row>
    <row r="849">
      <c r="A849" s="36" t="n"/>
      <c r="B849" s="36" t="n"/>
      <c r="C849" s="36" t="n"/>
      <c r="D849" s="36" t="n"/>
      <c r="E849" s="36" t="n"/>
      <c r="F849" s="36" t="n"/>
      <c r="G849" s="37">
        <f>IF($A849="","",$B849+$C849-$D849-$E849)</f>
        <v/>
      </c>
      <c r="H849" s="37">
        <f>IF($A849="","",IFERROR(ROUND($G849*INDEX(tblKurallar[deger_2025],MATCH("AKV-003",tblKurallar[kural_id],0)),2),0))</f>
        <v/>
      </c>
      <c r="I849" s="37">
        <f>IF($A849="","",IFERROR(MAX(0,$H849-$F849),0))</f>
        <v/>
      </c>
    </row>
    <row r="850">
      <c r="A850" s="36" t="n"/>
      <c r="B850" s="36" t="n"/>
      <c r="C850" s="36" t="n"/>
      <c r="D850" s="36" t="n"/>
      <c r="E850" s="36" t="n"/>
      <c r="F850" s="36" t="n"/>
      <c r="G850" s="37">
        <f>IF($A850="","",$B850+$C850-$D850-$E850)</f>
        <v/>
      </c>
      <c r="H850" s="37">
        <f>IF($A850="","",IFERROR(ROUND($G850*INDEX(tblKurallar[deger_2025],MATCH("AKV-003",tblKurallar[kural_id],0)),2),0))</f>
        <v/>
      </c>
      <c r="I850" s="37">
        <f>IF($A850="","",IFERROR(MAX(0,$H850-$F850),0))</f>
        <v/>
      </c>
    </row>
    <row r="851">
      <c r="A851" s="36" t="n"/>
      <c r="B851" s="36" t="n"/>
      <c r="C851" s="36" t="n"/>
      <c r="D851" s="36" t="n"/>
      <c r="E851" s="36" t="n"/>
      <c r="F851" s="36" t="n"/>
      <c r="G851" s="37">
        <f>IF($A851="","",$B851+$C851-$D851-$E851)</f>
        <v/>
      </c>
      <c r="H851" s="37">
        <f>IF($A851="","",IFERROR(ROUND($G851*INDEX(tblKurallar[deger_2025],MATCH("AKV-003",tblKurallar[kural_id],0)),2),0))</f>
        <v/>
      </c>
      <c r="I851" s="37">
        <f>IF($A851="","",IFERROR(MAX(0,$H851-$F851),0))</f>
        <v/>
      </c>
    </row>
    <row r="852">
      <c r="A852" s="36" t="n"/>
      <c r="B852" s="36" t="n"/>
      <c r="C852" s="36" t="n"/>
      <c r="D852" s="36" t="n"/>
      <c r="E852" s="36" t="n"/>
      <c r="F852" s="36" t="n"/>
      <c r="G852" s="37">
        <f>IF($A852="","",$B852+$C852-$D852-$E852)</f>
        <v/>
      </c>
      <c r="H852" s="37">
        <f>IF($A852="","",IFERROR(ROUND($G852*INDEX(tblKurallar[deger_2025],MATCH("AKV-003",tblKurallar[kural_id],0)),2),0))</f>
        <v/>
      </c>
      <c r="I852" s="37">
        <f>IF($A852="","",IFERROR(MAX(0,$H852-$F852),0))</f>
        <v/>
      </c>
    </row>
    <row r="853">
      <c r="A853" s="36" t="n"/>
      <c r="B853" s="36" t="n"/>
      <c r="C853" s="36" t="n"/>
      <c r="D853" s="36" t="n"/>
      <c r="E853" s="36" t="n"/>
      <c r="F853" s="36" t="n"/>
      <c r="G853" s="37">
        <f>IF($A853="","",$B853+$C853-$D853-$E853)</f>
        <v/>
      </c>
      <c r="H853" s="37">
        <f>IF($A853="","",IFERROR(ROUND($G853*INDEX(tblKurallar[deger_2025],MATCH("AKV-003",tblKurallar[kural_id],0)),2),0))</f>
        <v/>
      </c>
      <c r="I853" s="37">
        <f>IF($A853="","",IFERROR(MAX(0,$H853-$F853),0))</f>
        <v/>
      </c>
    </row>
    <row r="854">
      <c r="A854" s="36" t="n"/>
      <c r="B854" s="36" t="n"/>
      <c r="C854" s="36" t="n"/>
      <c r="D854" s="36" t="n"/>
      <c r="E854" s="36" t="n"/>
      <c r="F854" s="36" t="n"/>
      <c r="G854" s="37">
        <f>IF($A854="","",$B854+$C854-$D854-$E854)</f>
        <v/>
      </c>
      <c r="H854" s="37">
        <f>IF($A854="","",IFERROR(ROUND($G854*INDEX(tblKurallar[deger_2025],MATCH("AKV-003",tblKurallar[kural_id],0)),2),0))</f>
        <v/>
      </c>
      <c r="I854" s="37">
        <f>IF($A854="","",IFERROR(MAX(0,$H854-$F854),0))</f>
        <v/>
      </c>
    </row>
    <row r="855">
      <c r="A855" s="36" t="n"/>
      <c r="B855" s="36" t="n"/>
      <c r="C855" s="36" t="n"/>
      <c r="D855" s="36" t="n"/>
      <c r="E855" s="36" t="n"/>
      <c r="F855" s="36" t="n"/>
      <c r="G855" s="37">
        <f>IF($A855="","",$B855+$C855-$D855-$E855)</f>
        <v/>
      </c>
      <c r="H855" s="37">
        <f>IF($A855="","",IFERROR(ROUND($G855*INDEX(tblKurallar[deger_2025],MATCH("AKV-003",tblKurallar[kural_id],0)),2),0))</f>
        <v/>
      </c>
      <c r="I855" s="37">
        <f>IF($A855="","",IFERROR(MAX(0,$H855-$F855),0))</f>
        <v/>
      </c>
    </row>
    <row r="856">
      <c r="A856" s="36" t="n"/>
      <c r="B856" s="36" t="n"/>
      <c r="C856" s="36" t="n"/>
      <c r="D856" s="36" t="n"/>
      <c r="E856" s="36" t="n"/>
      <c r="F856" s="36" t="n"/>
      <c r="G856" s="37">
        <f>IF($A856="","",$B856+$C856-$D856-$E856)</f>
        <v/>
      </c>
      <c r="H856" s="37">
        <f>IF($A856="","",IFERROR(ROUND($G856*INDEX(tblKurallar[deger_2025],MATCH("AKV-003",tblKurallar[kural_id],0)),2),0))</f>
        <v/>
      </c>
      <c r="I856" s="37">
        <f>IF($A856="","",IFERROR(MAX(0,$H856-$F856),0))</f>
        <v/>
      </c>
    </row>
    <row r="857">
      <c r="A857" s="36" t="n"/>
      <c r="B857" s="36" t="n"/>
      <c r="C857" s="36" t="n"/>
      <c r="D857" s="36" t="n"/>
      <c r="E857" s="36" t="n"/>
      <c r="F857" s="36" t="n"/>
      <c r="G857" s="37">
        <f>IF($A857="","",$B857+$C857-$D857-$E857)</f>
        <v/>
      </c>
      <c r="H857" s="37">
        <f>IF($A857="","",IFERROR(ROUND($G857*INDEX(tblKurallar[deger_2025],MATCH("AKV-003",tblKurallar[kural_id],0)),2),0))</f>
        <v/>
      </c>
      <c r="I857" s="37">
        <f>IF($A857="","",IFERROR(MAX(0,$H857-$F857),0))</f>
        <v/>
      </c>
    </row>
    <row r="858">
      <c r="A858" s="36" t="n"/>
      <c r="B858" s="36" t="n"/>
      <c r="C858" s="36" t="n"/>
      <c r="D858" s="36" t="n"/>
      <c r="E858" s="36" t="n"/>
      <c r="F858" s="36" t="n"/>
      <c r="G858" s="37">
        <f>IF($A858="","",$B858+$C858-$D858-$E858)</f>
        <v/>
      </c>
      <c r="H858" s="37">
        <f>IF($A858="","",IFERROR(ROUND($G858*INDEX(tblKurallar[deger_2025],MATCH("AKV-003",tblKurallar[kural_id],0)),2),0))</f>
        <v/>
      </c>
      <c r="I858" s="37">
        <f>IF($A858="","",IFERROR(MAX(0,$H858-$F858),0))</f>
        <v/>
      </c>
    </row>
    <row r="859">
      <c r="A859" s="36" t="n"/>
      <c r="B859" s="36" t="n"/>
      <c r="C859" s="36" t="n"/>
      <c r="D859" s="36" t="n"/>
      <c r="E859" s="36" t="n"/>
      <c r="F859" s="36" t="n"/>
      <c r="G859" s="37">
        <f>IF($A859="","",$B859+$C859-$D859-$E859)</f>
        <v/>
      </c>
      <c r="H859" s="37">
        <f>IF($A859="","",IFERROR(ROUND($G859*INDEX(tblKurallar[deger_2025],MATCH("AKV-003",tblKurallar[kural_id],0)),2),0))</f>
        <v/>
      </c>
      <c r="I859" s="37">
        <f>IF($A859="","",IFERROR(MAX(0,$H859-$F859),0))</f>
        <v/>
      </c>
    </row>
    <row r="860">
      <c r="A860" s="36" t="n"/>
      <c r="B860" s="36" t="n"/>
      <c r="C860" s="36" t="n"/>
      <c r="D860" s="36" t="n"/>
      <c r="E860" s="36" t="n"/>
      <c r="F860" s="36" t="n"/>
      <c r="G860" s="37">
        <f>IF($A860="","",$B860+$C860-$D860-$E860)</f>
        <v/>
      </c>
      <c r="H860" s="37">
        <f>IF($A860="","",IFERROR(ROUND($G860*INDEX(tblKurallar[deger_2025],MATCH("AKV-003",tblKurallar[kural_id],0)),2),0))</f>
        <v/>
      </c>
      <c r="I860" s="37">
        <f>IF($A860="","",IFERROR(MAX(0,$H860-$F860),0))</f>
        <v/>
      </c>
    </row>
    <row r="861">
      <c r="A861" s="36" t="n"/>
      <c r="B861" s="36" t="n"/>
      <c r="C861" s="36" t="n"/>
      <c r="D861" s="36" t="n"/>
      <c r="E861" s="36" t="n"/>
      <c r="F861" s="36" t="n"/>
      <c r="G861" s="37">
        <f>IF($A861="","",$B861+$C861-$D861-$E861)</f>
        <v/>
      </c>
      <c r="H861" s="37">
        <f>IF($A861="","",IFERROR(ROUND($G861*INDEX(tblKurallar[deger_2025],MATCH("AKV-003",tblKurallar[kural_id],0)),2),0))</f>
        <v/>
      </c>
      <c r="I861" s="37">
        <f>IF($A861="","",IFERROR(MAX(0,$H861-$F861),0))</f>
        <v/>
      </c>
    </row>
    <row r="862">
      <c r="A862" s="36" t="n"/>
      <c r="B862" s="36" t="n"/>
      <c r="C862" s="36" t="n"/>
      <c r="D862" s="36" t="n"/>
      <c r="E862" s="36" t="n"/>
      <c r="F862" s="36" t="n"/>
      <c r="G862" s="37">
        <f>IF($A862="","",$B862+$C862-$D862-$E862)</f>
        <v/>
      </c>
      <c r="H862" s="37">
        <f>IF($A862="","",IFERROR(ROUND($G862*INDEX(tblKurallar[deger_2025],MATCH("AKV-003",tblKurallar[kural_id],0)),2),0))</f>
        <v/>
      </c>
      <c r="I862" s="37">
        <f>IF($A862="","",IFERROR(MAX(0,$H862-$F862),0))</f>
        <v/>
      </c>
    </row>
    <row r="863">
      <c r="A863" s="36" t="n"/>
      <c r="B863" s="36" t="n"/>
      <c r="C863" s="36" t="n"/>
      <c r="D863" s="36" t="n"/>
      <c r="E863" s="36" t="n"/>
      <c r="F863" s="36" t="n"/>
      <c r="G863" s="37">
        <f>IF($A863="","",$B863+$C863-$D863-$E863)</f>
        <v/>
      </c>
      <c r="H863" s="37">
        <f>IF($A863="","",IFERROR(ROUND($G863*INDEX(tblKurallar[deger_2025],MATCH("AKV-003",tblKurallar[kural_id],0)),2),0))</f>
        <v/>
      </c>
      <c r="I863" s="37">
        <f>IF($A863="","",IFERROR(MAX(0,$H863-$F863),0))</f>
        <v/>
      </c>
    </row>
    <row r="864">
      <c r="A864" s="36" t="n"/>
      <c r="B864" s="36" t="n"/>
      <c r="C864" s="36" t="n"/>
      <c r="D864" s="36" t="n"/>
      <c r="E864" s="36" t="n"/>
      <c r="F864" s="36" t="n"/>
      <c r="G864" s="37">
        <f>IF($A864="","",$B864+$C864-$D864-$E864)</f>
        <v/>
      </c>
      <c r="H864" s="37">
        <f>IF($A864="","",IFERROR(ROUND($G864*INDEX(tblKurallar[deger_2025],MATCH("AKV-003",tblKurallar[kural_id],0)),2),0))</f>
        <v/>
      </c>
      <c r="I864" s="37">
        <f>IF($A864="","",IFERROR(MAX(0,$H864-$F864),0))</f>
        <v/>
      </c>
    </row>
    <row r="865">
      <c r="A865" s="36" t="n"/>
      <c r="B865" s="36" t="n"/>
      <c r="C865" s="36" t="n"/>
      <c r="D865" s="36" t="n"/>
      <c r="E865" s="36" t="n"/>
      <c r="F865" s="36" t="n"/>
      <c r="G865" s="37">
        <f>IF($A865="","",$B865+$C865-$D865-$E865)</f>
        <v/>
      </c>
      <c r="H865" s="37">
        <f>IF($A865="","",IFERROR(ROUND($G865*INDEX(tblKurallar[deger_2025],MATCH("AKV-003",tblKurallar[kural_id],0)),2),0))</f>
        <v/>
      </c>
      <c r="I865" s="37">
        <f>IF($A865="","",IFERROR(MAX(0,$H865-$F865),0))</f>
        <v/>
      </c>
    </row>
    <row r="866">
      <c r="A866" s="36" t="n"/>
      <c r="B866" s="36" t="n"/>
      <c r="C866" s="36" t="n"/>
      <c r="D866" s="36" t="n"/>
      <c r="E866" s="36" t="n"/>
      <c r="F866" s="36" t="n"/>
      <c r="G866" s="37">
        <f>IF($A866="","",$B866+$C866-$D866-$E866)</f>
        <v/>
      </c>
      <c r="H866" s="37">
        <f>IF($A866="","",IFERROR(ROUND($G866*INDEX(tblKurallar[deger_2025],MATCH("AKV-003",tblKurallar[kural_id],0)),2),0))</f>
        <v/>
      </c>
      <c r="I866" s="37">
        <f>IF($A866="","",IFERROR(MAX(0,$H866-$F866),0))</f>
        <v/>
      </c>
    </row>
    <row r="867">
      <c r="A867" s="36" t="n"/>
      <c r="B867" s="36" t="n"/>
      <c r="C867" s="36" t="n"/>
      <c r="D867" s="36" t="n"/>
      <c r="E867" s="36" t="n"/>
      <c r="F867" s="36" t="n"/>
      <c r="G867" s="37">
        <f>IF($A867="","",$B867+$C867-$D867-$E867)</f>
        <v/>
      </c>
      <c r="H867" s="37">
        <f>IF($A867="","",IFERROR(ROUND($G867*INDEX(tblKurallar[deger_2025],MATCH("AKV-003",tblKurallar[kural_id],0)),2),0))</f>
        <v/>
      </c>
      <c r="I867" s="37">
        <f>IF($A867="","",IFERROR(MAX(0,$H867-$F867),0))</f>
        <v/>
      </c>
    </row>
    <row r="868">
      <c r="A868" s="36" t="n"/>
      <c r="B868" s="36" t="n"/>
      <c r="C868" s="36" t="n"/>
      <c r="D868" s="36" t="n"/>
      <c r="E868" s="36" t="n"/>
      <c r="F868" s="36" t="n"/>
      <c r="G868" s="37">
        <f>IF($A868="","",$B868+$C868-$D868-$E868)</f>
        <v/>
      </c>
      <c r="H868" s="37">
        <f>IF($A868="","",IFERROR(ROUND($G868*INDEX(tblKurallar[deger_2025],MATCH("AKV-003",tblKurallar[kural_id],0)),2),0))</f>
        <v/>
      </c>
      <c r="I868" s="37">
        <f>IF($A868="","",IFERROR(MAX(0,$H868-$F868),0))</f>
        <v/>
      </c>
    </row>
    <row r="869">
      <c r="A869" s="36" t="n"/>
      <c r="B869" s="36" t="n"/>
      <c r="C869" s="36" t="n"/>
      <c r="D869" s="36" t="n"/>
      <c r="E869" s="36" t="n"/>
      <c r="F869" s="36" t="n"/>
      <c r="G869" s="37">
        <f>IF($A869="","",$B869+$C869-$D869-$E869)</f>
        <v/>
      </c>
      <c r="H869" s="37">
        <f>IF($A869="","",IFERROR(ROUND($G869*INDEX(tblKurallar[deger_2025],MATCH("AKV-003",tblKurallar[kural_id],0)),2),0))</f>
        <v/>
      </c>
      <c r="I869" s="37">
        <f>IF($A869="","",IFERROR(MAX(0,$H869-$F869),0))</f>
        <v/>
      </c>
    </row>
    <row r="870">
      <c r="A870" s="36" t="n"/>
      <c r="B870" s="36" t="n"/>
      <c r="C870" s="36" t="n"/>
      <c r="D870" s="36" t="n"/>
      <c r="E870" s="36" t="n"/>
      <c r="F870" s="36" t="n"/>
      <c r="G870" s="37">
        <f>IF($A870="","",$B870+$C870-$D870-$E870)</f>
        <v/>
      </c>
      <c r="H870" s="37">
        <f>IF($A870="","",IFERROR(ROUND($G870*INDEX(tblKurallar[deger_2025],MATCH("AKV-003",tblKurallar[kural_id],0)),2),0))</f>
        <v/>
      </c>
      <c r="I870" s="37">
        <f>IF($A870="","",IFERROR(MAX(0,$H870-$F870),0))</f>
        <v/>
      </c>
    </row>
    <row r="871">
      <c r="A871" s="36" t="n"/>
      <c r="B871" s="36" t="n"/>
      <c r="C871" s="36" t="n"/>
      <c r="D871" s="36" t="n"/>
      <c r="E871" s="36" t="n"/>
      <c r="F871" s="36" t="n"/>
      <c r="G871" s="37">
        <f>IF($A871="","",$B871+$C871-$D871-$E871)</f>
        <v/>
      </c>
      <c r="H871" s="37">
        <f>IF($A871="","",IFERROR(ROUND($G871*INDEX(tblKurallar[deger_2025],MATCH("AKV-003",tblKurallar[kural_id],0)),2),0))</f>
        <v/>
      </c>
      <c r="I871" s="37">
        <f>IF($A871="","",IFERROR(MAX(0,$H871-$F871),0))</f>
        <v/>
      </c>
    </row>
    <row r="872">
      <c r="A872" s="36" t="n"/>
      <c r="B872" s="36" t="n"/>
      <c r="C872" s="36" t="n"/>
      <c r="D872" s="36" t="n"/>
      <c r="E872" s="36" t="n"/>
      <c r="F872" s="36" t="n"/>
      <c r="G872" s="37">
        <f>IF($A872="","",$B872+$C872-$D872-$E872)</f>
        <v/>
      </c>
      <c r="H872" s="37">
        <f>IF($A872="","",IFERROR(ROUND($G872*INDEX(tblKurallar[deger_2025],MATCH("AKV-003",tblKurallar[kural_id],0)),2),0))</f>
        <v/>
      </c>
      <c r="I872" s="37">
        <f>IF($A872="","",IFERROR(MAX(0,$H872-$F872),0))</f>
        <v/>
      </c>
    </row>
    <row r="873">
      <c r="A873" s="36" t="n"/>
      <c r="B873" s="36" t="n"/>
      <c r="C873" s="36" t="n"/>
      <c r="D873" s="36" t="n"/>
      <c r="E873" s="36" t="n"/>
      <c r="F873" s="36" t="n"/>
      <c r="G873" s="37">
        <f>IF($A873="","",$B873+$C873-$D873-$E873)</f>
        <v/>
      </c>
      <c r="H873" s="37">
        <f>IF($A873="","",IFERROR(ROUND($G873*INDEX(tblKurallar[deger_2025],MATCH("AKV-003",tblKurallar[kural_id],0)),2),0))</f>
        <v/>
      </c>
      <c r="I873" s="37">
        <f>IF($A873="","",IFERROR(MAX(0,$H873-$F873),0))</f>
        <v/>
      </c>
    </row>
    <row r="874">
      <c r="A874" s="36" t="n"/>
      <c r="B874" s="36" t="n"/>
      <c r="C874" s="36" t="n"/>
      <c r="D874" s="36" t="n"/>
      <c r="E874" s="36" t="n"/>
      <c r="F874" s="36" t="n"/>
      <c r="G874" s="37">
        <f>IF($A874="","",$B874+$C874-$D874-$E874)</f>
        <v/>
      </c>
      <c r="H874" s="37">
        <f>IF($A874="","",IFERROR(ROUND($G874*INDEX(tblKurallar[deger_2025],MATCH("AKV-003",tblKurallar[kural_id],0)),2),0))</f>
        <v/>
      </c>
      <c r="I874" s="37">
        <f>IF($A874="","",IFERROR(MAX(0,$H874-$F874),0))</f>
        <v/>
      </c>
    </row>
    <row r="875">
      <c r="A875" s="36" t="n"/>
      <c r="B875" s="36" t="n"/>
      <c r="C875" s="36" t="n"/>
      <c r="D875" s="36" t="n"/>
      <c r="E875" s="36" t="n"/>
      <c r="F875" s="36" t="n"/>
      <c r="G875" s="37">
        <f>IF($A875="","",$B875+$C875-$D875-$E875)</f>
        <v/>
      </c>
      <c r="H875" s="37">
        <f>IF($A875="","",IFERROR(ROUND($G875*INDEX(tblKurallar[deger_2025],MATCH("AKV-003",tblKurallar[kural_id],0)),2),0))</f>
        <v/>
      </c>
      <c r="I875" s="37">
        <f>IF($A875="","",IFERROR(MAX(0,$H875-$F875),0))</f>
        <v/>
      </c>
    </row>
    <row r="876">
      <c r="A876" s="36" t="n"/>
      <c r="B876" s="36" t="n"/>
      <c r="C876" s="36" t="n"/>
      <c r="D876" s="36" t="n"/>
      <c r="E876" s="36" t="n"/>
      <c r="F876" s="36" t="n"/>
      <c r="G876" s="37">
        <f>IF($A876="","",$B876+$C876-$D876-$E876)</f>
        <v/>
      </c>
      <c r="H876" s="37">
        <f>IF($A876="","",IFERROR(ROUND($G876*INDEX(tblKurallar[deger_2025],MATCH("AKV-003",tblKurallar[kural_id],0)),2),0))</f>
        <v/>
      </c>
      <c r="I876" s="37">
        <f>IF($A876="","",IFERROR(MAX(0,$H876-$F876),0))</f>
        <v/>
      </c>
    </row>
    <row r="877">
      <c r="A877" s="36" t="n"/>
      <c r="B877" s="36" t="n"/>
      <c r="C877" s="36" t="n"/>
      <c r="D877" s="36" t="n"/>
      <c r="E877" s="36" t="n"/>
      <c r="F877" s="36" t="n"/>
      <c r="G877" s="37">
        <f>IF($A877="","",$B877+$C877-$D877-$E877)</f>
        <v/>
      </c>
      <c r="H877" s="37">
        <f>IF($A877="","",IFERROR(ROUND($G877*INDEX(tblKurallar[deger_2025],MATCH("AKV-003",tblKurallar[kural_id],0)),2),0))</f>
        <v/>
      </c>
      <c r="I877" s="37">
        <f>IF($A877="","",IFERROR(MAX(0,$H877-$F877),0))</f>
        <v/>
      </c>
    </row>
    <row r="878">
      <c r="A878" s="36" t="n"/>
      <c r="B878" s="36" t="n"/>
      <c r="C878" s="36" t="n"/>
      <c r="D878" s="36" t="n"/>
      <c r="E878" s="36" t="n"/>
      <c r="F878" s="36" t="n"/>
      <c r="G878" s="37">
        <f>IF($A878="","",$B878+$C878-$D878-$E878)</f>
        <v/>
      </c>
      <c r="H878" s="37">
        <f>IF($A878="","",IFERROR(ROUND($G878*INDEX(tblKurallar[deger_2025],MATCH("AKV-003",tblKurallar[kural_id],0)),2),0))</f>
        <v/>
      </c>
      <c r="I878" s="37">
        <f>IF($A878="","",IFERROR(MAX(0,$H878-$F878),0))</f>
        <v/>
      </c>
    </row>
    <row r="879">
      <c r="A879" s="36" t="n"/>
      <c r="B879" s="36" t="n"/>
      <c r="C879" s="36" t="n"/>
      <c r="D879" s="36" t="n"/>
      <c r="E879" s="36" t="n"/>
      <c r="F879" s="36" t="n"/>
      <c r="G879" s="37">
        <f>IF($A879="","",$B879+$C879-$D879-$E879)</f>
        <v/>
      </c>
      <c r="H879" s="37">
        <f>IF($A879="","",IFERROR(ROUND($G879*INDEX(tblKurallar[deger_2025],MATCH("AKV-003",tblKurallar[kural_id],0)),2),0))</f>
        <v/>
      </c>
      <c r="I879" s="37">
        <f>IF($A879="","",IFERROR(MAX(0,$H879-$F879),0))</f>
        <v/>
      </c>
    </row>
    <row r="880">
      <c r="A880" s="36" t="n"/>
      <c r="B880" s="36" t="n"/>
      <c r="C880" s="36" t="n"/>
      <c r="D880" s="36" t="n"/>
      <c r="E880" s="36" t="n"/>
      <c r="F880" s="36" t="n"/>
      <c r="G880" s="37">
        <f>IF($A880="","",$B880+$C880-$D880-$E880)</f>
        <v/>
      </c>
      <c r="H880" s="37">
        <f>IF($A880="","",IFERROR(ROUND($G880*INDEX(tblKurallar[deger_2025],MATCH("AKV-003",tblKurallar[kural_id],0)),2),0))</f>
        <v/>
      </c>
      <c r="I880" s="37">
        <f>IF($A880="","",IFERROR(MAX(0,$H880-$F880),0))</f>
        <v/>
      </c>
    </row>
    <row r="881">
      <c r="A881" s="36" t="n"/>
      <c r="B881" s="36" t="n"/>
      <c r="C881" s="36" t="n"/>
      <c r="D881" s="36" t="n"/>
      <c r="E881" s="36" t="n"/>
      <c r="F881" s="36" t="n"/>
      <c r="G881" s="37">
        <f>IF($A881="","",$B881+$C881-$D881-$E881)</f>
        <v/>
      </c>
      <c r="H881" s="37">
        <f>IF($A881="","",IFERROR(ROUND($G881*INDEX(tblKurallar[deger_2025],MATCH("AKV-003",tblKurallar[kural_id],0)),2),0))</f>
        <v/>
      </c>
      <c r="I881" s="37">
        <f>IF($A881="","",IFERROR(MAX(0,$H881-$F881),0))</f>
        <v/>
      </c>
    </row>
    <row r="882">
      <c r="A882" s="36" t="n"/>
      <c r="B882" s="36" t="n"/>
      <c r="C882" s="36" t="n"/>
      <c r="D882" s="36" t="n"/>
      <c r="E882" s="36" t="n"/>
      <c r="F882" s="36" t="n"/>
      <c r="G882" s="37">
        <f>IF($A882="","",$B882+$C882-$D882-$E882)</f>
        <v/>
      </c>
      <c r="H882" s="37">
        <f>IF($A882="","",IFERROR(ROUND($G882*INDEX(tblKurallar[deger_2025],MATCH("AKV-003",tblKurallar[kural_id],0)),2),0))</f>
        <v/>
      </c>
      <c r="I882" s="37">
        <f>IF($A882="","",IFERROR(MAX(0,$H882-$F882),0))</f>
        <v/>
      </c>
    </row>
    <row r="883">
      <c r="A883" s="36" t="n"/>
      <c r="B883" s="36" t="n"/>
      <c r="C883" s="36" t="n"/>
      <c r="D883" s="36" t="n"/>
      <c r="E883" s="36" t="n"/>
      <c r="F883" s="36" t="n"/>
      <c r="G883" s="37">
        <f>IF($A883="","",$B883+$C883-$D883-$E883)</f>
        <v/>
      </c>
      <c r="H883" s="37">
        <f>IF($A883="","",IFERROR(ROUND($G883*INDEX(tblKurallar[deger_2025],MATCH("AKV-003",tblKurallar[kural_id],0)),2),0))</f>
        <v/>
      </c>
      <c r="I883" s="37">
        <f>IF($A883="","",IFERROR(MAX(0,$H883-$F883),0))</f>
        <v/>
      </c>
    </row>
    <row r="884">
      <c r="A884" s="36" t="n"/>
      <c r="B884" s="36" t="n"/>
      <c r="C884" s="36" t="n"/>
      <c r="D884" s="36" t="n"/>
      <c r="E884" s="36" t="n"/>
      <c r="F884" s="36" t="n"/>
      <c r="G884" s="37">
        <f>IF($A884="","",$B884+$C884-$D884-$E884)</f>
        <v/>
      </c>
      <c r="H884" s="37">
        <f>IF($A884="","",IFERROR(ROUND($G884*INDEX(tblKurallar[deger_2025],MATCH("AKV-003",tblKurallar[kural_id],0)),2),0))</f>
        <v/>
      </c>
      <c r="I884" s="37">
        <f>IF($A884="","",IFERROR(MAX(0,$H884-$F884),0))</f>
        <v/>
      </c>
    </row>
    <row r="885">
      <c r="A885" s="36" t="n"/>
      <c r="B885" s="36" t="n"/>
      <c r="C885" s="36" t="n"/>
      <c r="D885" s="36" t="n"/>
      <c r="E885" s="36" t="n"/>
      <c r="F885" s="36" t="n"/>
      <c r="G885" s="37">
        <f>IF($A885="","",$B885+$C885-$D885-$E885)</f>
        <v/>
      </c>
      <c r="H885" s="37">
        <f>IF($A885="","",IFERROR(ROUND($G885*INDEX(tblKurallar[deger_2025],MATCH("AKV-003",tblKurallar[kural_id],0)),2),0))</f>
        <v/>
      </c>
      <c r="I885" s="37">
        <f>IF($A885="","",IFERROR(MAX(0,$H885-$F885),0))</f>
        <v/>
      </c>
    </row>
    <row r="886">
      <c r="A886" s="36" t="n"/>
      <c r="B886" s="36" t="n"/>
      <c r="C886" s="36" t="n"/>
      <c r="D886" s="36" t="n"/>
      <c r="E886" s="36" t="n"/>
      <c r="F886" s="36" t="n"/>
      <c r="G886" s="37">
        <f>IF($A886="","",$B886+$C886-$D886-$E886)</f>
        <v/>
      </c>
      <c r="H886" s="37">
        <f>IF($A886="","",IFERROR(ROUND($G886*INDEX(tblKurallar[deger_2025],MATCH("AKV-003",tblKurallar[kural_id],0)),2),0))</f>
        <v/>
      </c>
      <c r="I886" s="37">
        <f>IF($A886="","",IFERROR(MAX(0,$H886-$F886),0))</f>
        <v/>
      </c>
    </row>
    <row r="887">
      <c r="A887" s="36" t="n"/>
      <c r="B887" s="36" t="n"/>
      <c r="C887" s="36" t="n"/>
      <c r="D887" s="36" t="n"/>
      <c r="E887" s="36" t="n"/>
      <c r="F887" s="36" t="n"/>
      <c r="G887" s="37">
        <f>IF($A887="","",$B887+$C887-$D887-$E887)</f>
        <v/>
      </c>
      <c r="H887" s="37">
        <f>IF($A887="","",IFERROR(ROUND($G887*INDEX(tblKurallar[deger_2025],MATCH("AKV-003",tblKurallar[kural_id],0)),2),0))</f>
        <v/>
      </c>
      <c r="I887" s="37">
        <f>IF($A887="","",IFERROR(MAX(0,$H887-$F887),0))</f>
        <v/>
      </c>
    </row>
    <row r="888">
      <c r="A888" s="36" t="n"/>
      <c r="B888" s="36" t="n"/>
      <c r="C888" s="36" t="n"/>
      <c r="D888" s="36" t="n"/>
      <c r="E888" s="36" t="n"/>
      <c r="F888" s="36" t="n"/>
      <c r="G888" s="37">
        <f>IF($A888="","",$B888+$C888-$D888-$E888)</f>
        <v/>
      </c>
      <c r="H888" s="37">
        <f>IF($A888="","",IFERROR(ROUND($G888*INDEX(tblKurallar[deger_2025],MATCH("AKV-003",tblKurallar[kural_id],0)),2),0))</f>
        <v/>
      </c>
      <c r="I888" s="37">
        <f>IF($A888="","",IFERROR(MAX(0,$H888-$F888),0))</f>
        <v/>
      </c>
    </row>
    <row r="889">
      <c r="A889" s="36" t="n"/>
      <c r="B889" s="36" t="n"/>
      <c r="C889" s="36" t="n"/>
      <c r="D889" s="36" t="n"/>
      <c r="E889" s="36" t="n"/>
      <c r="F889" s="36" t="n"/>
      <c r="G889" s="37">
        <f>IF($A889="","",$B889+$C889-$D889-$E889)</f>
        <v/>
      </c>
      <c r="H889" s="37">
        <f>IF($A889="","",IFERROR(ROUND($G889*INDEX(tblKurallar[deger_2025],MATCH("AKV-003",tblKurallar[kural_id],0)),2),0))</f>
        <v/>
      </c>
      <c r="I889" s="37">
        <f>IF($A889="","",IFERROR(MAX(0,$H889-$F889),0))</f>
        <v/>
      </c>
    </row>
    <row r="890">
      <c r="A890" s="36" t="n"/>
      <c r="B890" s="36" t="n"/>
      <c r="C890" s="36" t="n"/>
      <c r="D890" s="36" t="n"/>
      <c r="E890" s="36" t="n"/>
      <c r="F890" s="36" t="n"/>
      <c r="G890" s="37">
        <f>IF($A890="","",$B890+$C890-$D890-$E890)</f>
        <v/>
      </c>
      <c r="H890" s="37">
        <f>IF($A890="","",IFERROR(ROUND($G890*INDEX(tblKurallar[deger_2025],MATCH("AKV-003",tblKurallar[kural_id],0)),2),0))</f>
        <v/>
      </c>
      <c r="I890" s="37">
        <f>IF($A890="","",IFERROR(MAX(0,$H890-$F890),0))</f>
        <v/>
      </c>
    </row>
    <row r="891">
      <c r="A891" s="36" t="n"/>
      <c r="B891" s="36" t="n"/>
      <c r="C891" s="36" t="n"/>
      <c r="D891" s="36" t="n"/>
      <c r="E891" s="36" t="n"/>
      <c r="F891" s="36" t="n"/>
      <c r="G891" s="37">
        <f>IF($A891="","",$B891+$C891-$D891-$E891)</f>
        <v/>
      </c>
      <c r="H891" s="37">
        <f>IF($A891="","",IFERROR(ROUND($G891*INDEX(tblKurallar[deger_2025],MATCH("AKV-003",tblKurallar[kural_id],0)),2),0))</f>
        <v/>
      </c>
      <c r="I891" s="37">
        <f>IF($A891="","",IFERROR(MAX(0,$H891-$F891),0))</f>
        <v/>
      </c>
    </row>
    <row r="892">
      <c r="A892" s="36" t="n"/>
      <c r="B892" s="36" t="n"/>
      <c r="C892" s="36" t="n"/>
      <c r="D892" s="36" t="n"/>
      <c r="E892" s="36" t="n"/>
      <c r="F892" s="36" t="n"/>
      <c r="G892" s="37">
        <f>IF($A892="","",$B892+$C892-$D892-$E892)</f>
        <v/>
      </c>
      <c r="H892" s="37">
        <f>IF($A892="","",IFERROR(ROUND($G892*INDEX(tblKurallar[deger_2025],MATCH("AKV-003",tblKurallar[kural_id],0)),2),0))</f>
        <v/>
      </c>
      <c r="I892" s="37">
        <f>IF($A892="","",IFERROR(MAX(0,$H892-$F892),0))</f>
        <v/>
      </c>
    </row>
    <row r="893">
      <c r="A893" s="36" t="n"/>
      <c r="B893" s="36" t="n"/>
      <c r="C893" s="36" t="n"/>
      <c r="D893" s="36" t="n"/>
      <c r="E893" s="36" t="n"/>
      <c r="F893" s="36" t="n"/>
      <c r="G893" s="37">
        <f>IF($A893="","",$B893+$C893-$D893-$E893)</f>
        <v/>
      </c>
      <c r="H893" s="37">
        <f>IF($A893="","",IFERROR(ROUND($G893*INDEX(tblKurallar[deger_2025],MATCH("AKV-003",tblKurallar[kural_id],0)),2),0))</f>
        <v/>
      </c>
      <c r="I893" s="37">
        <f>IF($A893="","",IFERROR(MAX(0,$H893-$F893),0))</f>
        <v/>
      </c>
    </row>
    <row r="894">
      <c r="A894" s="36" t="n"/>
      <c r="B894" s="36" t="n"/>
      <c r="C894" s="36" t="n"/>
      <c r="D894" s="36" t="n"/>
      <c r="E894" s="36" t="n"/>
      <c r="F894" s="36" t="n"/>
      <c r="G894" s="37">
        <f>IF($A894="","",$B894+$C894-$D894-$E894)</f>
        <v/>
      </c>
      <c r="H894" s="37">
        <f>IF($A894="","",IFERROR(ROUND($G894*INDEX(tblKurallar[deger_2025],MATCH("AKV-003",tblKurallar[kural_id],0)),2),0))</f>
        <v/>
      </c>
      <c r="I894" s="37">
        <f>IF($A894="","",IFERROR(MAX(0,$H894-$F894),0))</f>
        <v/>
      </c>
    </row>
    <row r="895">
      <c r="A895" s="36" t="n"/>
      <c r="B895" s="36" t="n"/>
      <c r="C895" s="36" t="n"/>
      <c r="D895" s="36" t="n"/>
      <c r="E895" s="36" t="n"/>
      <c r="F895" s="36" t="n"/>
      <c r="G895" s="37">
        <f>IF($A895="","",$B895+$C895-$D895-$E895)</f>
        <v/>
      </c>
      <c r="H895" s="37">
        <f>IF($A895="","",IFERROR(ROUND($G895*INDEX(tblKurallar[deger_2025],MATCH("AKV-003",tblKurallar[kural_id],0)),2),0))</f>
        <v/>
      </c>
      <c r="I895" s="37">
        <f>IF($A895="","",IFERROR(MAX(0,$H895-$F895),0))</f>
        <v/>
      </c>
    </row>
    <row r="896">
      <c r="A896" s="36" t="n"/>
      <c r="B896" s="36" t="n"/>
      <c r="C896" s="36" t="n"/>
      <c r="D896" s="36" t="n"/>
      <c r="E896" s="36" t="n"/>
      <c r="F896" s="36" t="n"/>
      <c r="G896" s="37">
        <f>IF($A896="","",$B896+$C896-$D896-$E896)</f>
        <v/>
      </c>
      <c r="H896" s="37">
        <f>IF($A896="","",IFERROR(ROUND($G896*INDEX(tblKurallar[deger_2025],MATCH("AKV-003",tblKurallar[kural_id],0)),2),0))</f>
        <v/>
      </c>
      <c r="I896" s="37">
        <f>IF($A896="","",IFERROR(MAX(0,$H896-$F896),0))</f>
        <v/>
      </c>
    </row>
    <row r="897">
      <c r="A897" s="36" t="n"/>
      <c r="B897" s="36" t="n"/>
      <c r="C897" s="36" t="n"/>
      <c r="D897" s="36" t="n"/>
      <c r="E897" s="36" t="n"/>
      <c r="F897" s="36" t="n"/>
      <c r="G897" s="37">
        <f>IF($A897="","",$B897+$C897-$D897-$E897)</f>
        <v/>
      </c>
      <c r="H897" s="37">
        <f>IF($A897="","",IFERROR(ROUND($G897*INDEX(tblKurallar[deger_2025],MATCH("AKV-003",tblKurallar[kural_id],0)),2),0))</f>
        <v/>
      </c>
      <c r="I897" s="37">
        <f>IF($A897="","",IFERROR(MAX(0,$H897-$F897),0))</f>
        <v/>
      </c>
    </row>
    <row r="898">
      <c r="A898" s="36" t="n"/>
      <c r="B898" s="36" t="n"/>
      <c r="C898" s="36" t="n"/>
      <c r="D898" s="36" t="n"/>
      <c r="E898" s="36" t="n"/>
      <c r="F898" s="36" t="n"/>
      <c r="G898" s="37">
        <f>IF($A898="","",$B898+$C898-$D898-$E898)</f>
        <v/>
      </c>
      <c r="H898" s="37">
        <f>IF($A898="","",IFERROR(ROUND($G898*INDEX(tblKurallar[deger_2025],MATCH("AKV-003",tblKurallar[kural_id],0)),2),0))</f>
        <v/>
      </c>
      <c r="I898" s="37">
        <f>IF($A898="","",IFERROR(MAX(0,$H898-$F898),0))</f>
        <v/>
      </c>
    </row>
    <row r="899">
      <c r="A899" s="36" t="n"/>
      <c r="B899" s="36" t="n"/>
      <c r="C899" s="36" t="n"/>
      <c r="D899" s="36" t="n"/>
      <c r="E899" s="36" t="n"/>
      <c r="F899" s="36" t="n"/>
      <c r="G899" s="37">
        <f>IF($A899="","",$B899+$C899-$D899-$E899)</f>
        <v/>
      </c>
      <c r="H899" s="37">
        <f>IF($A899="","",IFERROR(ROUND($G899*INDEX(tblKurallar[deger_2025],MATCH("AKV-003",tblKurallar[kural_id],0)),2),0))</f>
        <v/>
      </c>
      <c r="I899" s="37">
        <f>IF($A899="","",IFERROR(MAX(0,$H899-$F899),0))</f>
        <v/>
      </c>
    </row>
    <row r="900">
      <c r="A900" s="36" t="n"/>
      <c r="B900" s="36" t="n"/>
      <c r="C900" s="36" t="n"/>
      <c r="D900" s="36" t="n"/>
      <c r="E900" s="36" t="n"/>
      <c r="F900" s="36" t="n"/>
      <c r="G900" s="37">
        <f>IF($A900="","",$B900+$C900-$D900-$E900)</f>
        <v/>
      </c>
      <c r="H900" s="37">
        <f>IF($A900="","",IFERROR(ROUND($G900*INDEX(tblKurallar[deger_2025],MATCH("AKV-003",tblKurallar[kural_id],0)),2),0))</f>
        <v/>
      </c>
      <c r="I900" s="37">
        <f>IF($A900="","",IFERROR(MAX(0,$H900-$F900),0))</f>
        <v/>
      </c>
    </row>
    <row r="901">
      <c r="A901" s="36" t="n"/>
      <c r="B901" s="36" t="n"/>
      <c r="C901" s="36" t="n"/>
      <c r="D901" s="36" t="n"/>
      <c r="E901" s="36" t="n"/>
      <c r="F901" s="36" t="n"/>
      <c r="G901" s="37">
        <f>IF($A901="","",$B901+$C901-$D901-$E901)</f>
        <v/>
      </c>
      <c r="H901" s="37">
        <f>IF($A901="","",IFERROR(ROUND($G901*INDEX(tblKurallar[deger_2025],MATCH("AKV-003",tblKurallar[kural_id],0)),2),0))</f>
        <v/>
      </c>
      <c r="I901" s="37">
        <f>IF($A901="","",IFERROR(MAX(0,$H901-$F901),0))</f>
        <v/>
      </c>
    </row>
    <row r="902">
      <c r="A902" s="36" t="n"/>
      <c r="B902" s="36" t="n"/>
      <c r="C902" s="36" t="n"/>
      <c r="D902" s="36" t="n"/>
      <c r="E902" s="36" t="n"/>
      <c r="F902" s="36" t="n"/>
      <c r="G902" s="37">
        <f>IF($A902="","",$B902+$C902-$D902-$E902)</f>
        <v/>
      </c>
      <c r="H902" s="37">
        <f>IF($A902="","",IFERROR(ROUND($G902*INDEX(tblKurallar[deger_2025],MATCH("AKV-003",tblKurallar[kural_id],0)),2),0))</f>
        <v/>
      </c>
      <c r="I902" s="37">
        <f>IF($A902="","",IFERROR(MAX(0,$H902-$F902),0))</f>
        <v/>
      </c>
    </row>
    <row r="903">
      <c r="A903" s="36" t="n"/>
      <c r="B903" s="36" t="n"/>
      <c r="C903" s="36" t="n"/>
      <c r="D903" s="36" t="n"/>
      <c r="E903" s="36" t="n"/>
      <c r="F903" s="36" t="n"/>
      <c r="G903" s="37">
        <f>IF($A903="","",$B903+$C903-$D903-$E903)</f>
        <v/>
      </c>
      <c r="H903" s="37">
        <f>IF($A903="","",IFERROR(ROUND($G903*INDEX(tblKurallar[deger_2025],MATCH("AKV-003",tblKurallar[kural_id],0)),2),0))</f>
        <v/>
      </c>
      <c r="I903" s="37">
        <f>IF($A903="","",IFERROR(MAX(0,$H903-$F903),0))</f>
        <v/>
      </c>
    </row>
    <row r="904">
      <c r="A904" s="36" t="n"/>
      <c r="B904" s="36" t="n"/>
      <c r="C904" s="36" t="n"/>
      <c r="D904" s="36" t="n"/>
      <c r="E904" s="36" t="n"/>
      <c r="F904" s="36" t="n"/>
      <c r="G904" s="37">
        <f>IF($A904="","",$B904+$C904-$D904-$E904)</f>
        <v/>
      </c>
      <c r="H904" s="37">
        <f>IF($A904="","",IFERROR(ROUND($G904*INDEX(tblKurallar[deger_2025],MATCH("AKV-003",tblKurallar[kural_id],0)),2),0))</f>
        <v/>
      </c>
      <c r="I904" s="37">
        <f>IF($A904="","",IFERROR(MAX(0,$H904-$F904),0))</f>
        <v/>
      </c>
    </row>
    <row r="905">
      <c r="A905" s="36" t="n"/>
      <c r="B905" s="36" t="n"/>
      <c r="C905" s="36" t="n"/>
      <c r="D905" s="36" t="n"/>
      <c r="E905" s="36" t="n"/>
      <c r="F905" s="36" t="n"/>
      <c r="G905" s="37">
        <f>IF($A905="","",$B905+$C905-$D905-$E905)</f>
        <v/>
      </c>
      <c r="H905" s="37">
        <f>IF($A905="","",IFERROR(ROUND($G905*INDEX(tblKurallar[deger_2025],MATCH("AKV-003",tblKurallar[kural_id],0)),2),0))</f>
        <v/>
      </c>
      <c r="I905" s="37">
        <f>IF($A905="","",IFERROR(MAX(0,$H905-$F905),0))</f>
        <v/>
      </c>
    </row>
    <row r="906">
      <c r="A906" s="36" t="n"/>
      <c r="B906" s="36" t="n"/>
      <c r="C906" s="36" t="n"/>
      <c r="D906" s="36" t="n"/>
      <c r="E906" s="36" t="n"/>
      <c r="F906" s="36" t="n"/>
      <c r="G906" s="37">
        <f>IF($A906="","",$B906+$C906-$D906-$E906)</f>
        <v/>
      </c>
      <c r="H906" s="37">
        <f>IF($A906="","",IFERROR(ROUND($G906*INDEX(tblKurallar[deger_2025],MATCH("AKV-003",tblKurallar[kural_id],0)),2),0))</f>
        <v/>
      </c>
      <c r="I906" s="37">
        <f>IF($A906="","",IFERROR(MAX(0,$H906-$F906),0))</f>
        <v/>
      </c>
    </row>
    <row r="907">
      <c r="A907" s="36" t="n"/>
      <c r="B907" s="36" t="n"/>
      <c r="C907" s="36" t="n"/>
      <c r="D907" s="36" t="n"/>
      <c r="E907" s="36" t="n"/>
      <c r="F907" s="36" t="n"/>
      <c r="G907" s="37">
        <f>IF($A907="","",$B907+$C907-$D907-$E907)</f>
        <v/>
      </c>
      <c r="H907" s="37">
        <f>IF($A907="","",IFERROR(ROUND($G907*INDEX(tblKurallar[deger_2025],MATCH("AKV-003",tblKurallar[kural_id],0)),2),0))</f>
        <v/>
      </c>
      <c r="I907" s="37">
        <f>IF($A907="","",IFERROR(MAX(0,$H907-$F907),0))</f>
        <v/>
      </c>
    </row>
    <row r="908">
      <c r="A908" s="36" t="n"/>
      <c r="B908" s="36" t="n"/>
      <c r="C908" s="36" t="n"/>
      <c r="D908" s="36" t="n"/>
      <c r="E908" s="36" t="n"/>
      <c r="F908" s="36" t="n"/>
      <c r="G908" s="37">
        <f>IF($A908="","",$B908+$C908-$D908-$E908)</f>
        <v/>
      </c>
      <c r="H908" s="37">
        <f>IF($A908="","",IFERROR(ROUND($G908*INDEX(tblKurallar[deger_2025],MATCH("AKV-003",tblKurallar[kural_id],0)),2),0))</f>
        <v/>
      </c>
      <c r="I908" s="37">
        <f>IF($A908="","",IFERROR(MAX(0,$H908-$F908),0))</f>
        <v/>
      </c>
    </row>
    <row r="909">
      <c r="A909" s="36" t="n"/>
      <c r="B909" s="36" t="n"/>
      <c r="C909" s="36" t="n"/>
      <c r="D909" s="36" t="n"/>
      <c r="E909" s="36" t="n"/>
      <c r="F909" s="36" t="n"/>
      <c r="G909" s="37">
        <f>IF($A909="","",$B909+$C909-$D909-$E909)</f>
        <v/>
      </c>
      <c r="H909" s="37">
        <f>IF($A909="","",IFERROR(ROUND($G909*INDEX(tblKurallar[deger_2025],MATCH("AKV-003",tblKurallar[kural_id],0)),2),0))</f>
        <v/>
      </c>
      <c r="I909" s="37">
        <f>IF($A909="","",IFERROR(MAX(0,$H909-$F909),0))</f>
        <v/>
      </c>
    </row>
    <row r="910">
      <c r="A910" s="36" t="n"/>
      <c r="B910" s="36" t="n"/>
      <c r="C910" s="36" t="n"/>
      <c r="D910" s="36" t="n"/>
      <c r="E910" s="36" t="n"/>
      <c r="F910" s="36" t="n"/>
      <c r="G910" s="37">
        <f>IF($A910="","",$B910+$C910-$D910-$E910)</f>
        <v/>
      </c>
      <c r="H910" s="37">
        <f>IF($A910="","",IFERROR(ROUND($G910*INDEX(tblKurallar[deger_2025],MATCH("AKV-003",tblKurallar[kural_id],0)),2),0))</f>
        <v/>
      </c>
      <c r="I910" s="37">
        <f>IF($A910="","",IFERROR(MAX(0,$H910-$F910),0))</f>
        <v/>
      </c>
    </row>
    <row r="911">
      <c r="A911" s="36" t="n"/>
      <c r="B911" s="36" t="n"/>
      <c r="C911" s="36" t="n"/>
      <c r="D911" s="36" t="n"/>
      <c r="E911" s="36" t="n"/>
      <c r="F911" s="36" t="n"/>
      <c r="G911" s="37">
        <f>IF($A911="","",$B911+$C911-$D911-$E911)</f>
        <v/>
      </c>
      <c r="H911" s="37">
        <f>IF($A911="","",IFERROR(ROUND($G911*INDEX(tblKurallar[deger_2025],MATCH("AKV-003",tblKurallar[kural_id],0)),2),0))</f>
        <v/>
      </c>
      <c r="I911" s="37">
        <f>IF($A911="","",IFERROR(MAX(0,$H911-$F911),0))</f>
        <v/>
      </c>
    </row>
    <row r="912">
      <c r="A912" s="36" t="n"/>
      <c r="B912" s="36" t="n"/>
      <c r="C912" s="36" t="n"/>
      <c r="D912" s="36" t="n"/>
      <c r="E912" s="36" t="n"/>
      <c r="F912" s="36" t="n"/>
      <c r="G912" s="37">
        <f>IF($A912="","",$B912+$C912-$D912-$E912)</f>
        <v/>
      </c>
      <c r="H912" s="37">
        <f>IF($A912="","",IFERROR(ROUND($G912*INDEX(tblKurallar[deger_2025],MATCH("AKV-003",tblKurallar[kural_id],0)),2),0))</f>
        <v/>
      </c>
      <c r="I912" s="37">
        <f>IF($A912="","",IFERROR(MAX(0,$H912-$F912),0))</f>
        <v/>
      </c>
    </row>
    <row r="913">
      <c r="A913" s="36" t="n"/>
      <c r="B913" s="36" t="n"/>
      <c r="C913" s="36" t="n"/>
      <c r="D913" s="36" t="n"/>
      <c r="E913" s="36" t="n"/>
      <c r="F913" s="36" t="n"/>
      <c r="G913" s="37">
        <f>IF($A913="","",$B913+$C913-$D913-$E913)</f>
        <v/>
      </c>
      <c r="H913" s="37">
        <f>IF($A913="","",IFERROR(ROUND($G913*INDEX(tblKurallar[deger_2025],MATCH("AKV-003",tblKurallar[kural_id],0)),2),0))</f>
        <v/>
      </c>
      <c r="I913" s="37">
        <f>IF($A913="","",IFERROR(MAX(0,$H913-$F913),0))</f>
        <v/>
      </c>
    </row>
    <row r="914">
      <c r="A914" s="36" t="n"/>
      <c r="B914" s="36" t="n"/>
      <c r="C914" s="36" t="n"/>
      <c r="D914" s="36" t="n"/>
      <c r="E914" s="36" t="n"/>
      <c r="F914" s="36" t="n"/>
      <c r="G914" s="37">
        <f>IF($A914="","",$B914+$C914-$D914-$E914)</f>
        <v/>
      </c>
      <c r="H914" s="37">
        <f>IF($A914="","",IFERROR(ROUND($G914*INDEX(tblKurallar[deger_2025],MATCH("AKV-003",tblKurallar[kural_id],0)),2),0))</f>
        <v/>
      </c>
      <c r="I914" s="37">
        <f>IF($A914="","",IFERROR(MAX(0,$H914-$F914),0))</f>
        <v/>
      </c>
    </row>
    <row r="915">
      <c r="A915" s="36" t="n"/>
      <c r="B915" s="36" t="n"/>
      <c r="C915" s="36" t="n"/>
      <c r="D915" s="36" t="n"/>
      <c r="E915" s="36" t="n"/>
      <c r="F915" s="36" t="n"/>
      <c r="G915" s="37">
        <f>IF($A915="","",$B915+$C915-$D915-$E915)</f>
        <v/>
      </c>
      <c r="H915" s="37">
        <f>IF($A915="","",IFERROR(ROUND($G915*INDEX(tblKurallar[deger_2025],MATCH("AKV-003",tblKurallar[kural_id],0)),2),0))</f>
        <v/>
      </c>
      <c r="I915" s="37">
        <f>IF($A915="","",IFERROR(MAX(0,$H915-$F915),0))</f>
        <v/>
      </c>
    </row>
    <row r="916">
      <c r="A916" s="36" t="n"/>
      <c r="B916" s="36" t="n"/>
      <c r="C916" s="36" t="n"/>
      <c r="D916" s="36" t="n"/>
      <c r="E916" s="36" t="n"/>
      <c r="F916" s="36" t="n"/>
      <c r="G916" s="37">
        <f>IF($A916="","",$B916+$C916-$D916-$E916)</f>
        <v/>
      </c>
      <c r="H916" s="37">
        <f>IF($A916="","",IFERROR(ROUND($G916*INDEX(tblKurallar[deger_2025],MATCH("AKV-003",tblKurallar[kural_id],0)),2),0))</f>
        <v/>
      </c>
      <c r="I916" s="37">
        <f>IF($A916="","",IFERROR(MAX(0,$H916-$F916),0))</f>
        <v/>
      </c>
    </row>
    <row r="917">
      <c r="A917" s="36" t="n"/>
      <c r="B917" s="36" t="n"/>
      <c r="C917" s="36" t="n"/>
      <c r="D917" s="36" t="n"/>
      <c r="E917" s="36" t="n"/>
      <c r="F917" s="36" t="n"/>
      <c r="G917" s="37">
        <f>IF($A917="","",$B917+$C917-$D917-$E917)</f>
        <v/>
      </c>
      <c r="H917" s="37">
        <f>IF($A917="","",IFERROR(ROUND($G917*INDEX(tblKurallar[deger_2025],MATCH("AKV-003",tblKurallar[kural_id],0)),2),0))</f>
        <v/>
      </c>
      <c r="I917" s="37">
        <f>IF($A917="","",IFERROR(MAX(0,$H917-$F917),0))</f>
        <v/>
      </c>
    </row>
    <row r="918">
      <c r="A918" s="36" t="n"/>
      <c r="B918" s="36" t="n"/>
      <c r="C918" s="36" t="n"/>
      <c r="D918" s="36" t="n"/>
      <c r="E918" s="36" t="n"/>
      <c r="F918" s="36" t="n"/>
      <c r="G918" s="37">
        <f>IF($A918="","",$B918+$C918-$D918-$E918)</f>
        <v/>
      </c>
      <c r="H918" s="37">
        <f>IF($A918="","",IFERROR(ROUND($G918*INDEX(tblKurallar[deger_2025],MATCH("AKV-003",tblKurallar[kural_id],0)),2),0))</f>
        <v/>
      </c>
      <c r="I918" s="37">
        <f>IF($A918="","",IFERROR(MAX(0,$H918-$F918),0))</f>
        <v/>
      </c>
    </row>
    <row r="919">
      <c r="A919" s="36" t="n"/>
      <c r="B919" s="36" t="n"/>
      <c r="C919" s="36" t="n"/>
      <c r="D919" s="36" t="n"/>
      <c r="E919" s="36" t="n"/>
      <c r="F919" s="36" t="n"/>
      <c r="G919" s="37">
        <f>IF($A919="","",$B919+$C919-$D919-$E919)</f>
        <v/>
      </c>
      <c r="H919" s="37">
        <f>IF($A919="","",IFERROR(ROUND($G919*INDEX(tblKurallar[deger_2025],MATCH("AKV-003",tblKurallar[kural_id],0)),2),0))</f>
        <v/>
      </c>
      <c r="I919" s="37">
        <f>IF($A919="","",IFERROR(MAX(0,$H919-$F919),0))</f>
        <v/>
      </c>
    </row>
    <row r="920">
      <c r="A920" s="36" t="n"/>
      <c r="B920" s="36" t="n"/>
      <c r="C920" s="36" t="n"/>
      <c r="D920" s="36" t="n"/>
      <c r="E920" s="36" t="n"/>
      <c r="F920" s="36" t="n"/>
      <c r="G920" s="37">
        <f>IF($A920="","",$B920+$C920-$D920-$E920)</f>
        <v/>
      </c>
      <c r="H920" s="37">
        <f>IF($A920="","",IFERROR(ROUND($G920*INDEX(tblKurallar[deger_2025],MATCH("AKV-003",tblKurallar[kural_id],0)),2),0))</f>
        <v/>
      </c>
      <c r="I920" s="37">
        <f>IF($A920="","",IFERROR(MAX(0,$H920-$F920),0))</f>
        <v/>
      </c>
    </row>
    <row r="921">
      <c r="A921" s="36" t="n"/>
      <c r="B921" s="36" t="n"/>
      <c r="C921" s="36" t="n"/>
      <c r="D921" s="36" t="n"/>
      <c r="E921" s="36" t="n"/>
      <c r="F921" s="36" t="n"/>
      <c r="G921" s="37">
        <f>IF($A921="","",$B921+$C921-$D921-$E921)</f>
        <v/>
      </c>
      <c r="H921" s="37">
        <f>IF($A921="","",IFERROR(ROUND($G921*INDEX(tblKurallar[deger_2025],MATCH("AKV-003",tblKurallar[kural_id],0)),2),0))</f>
        <v/>
      </c>
      <c r="I921" s="37">
        <f>IF($A921="","",IFERROR(MAX(0,$H921-$F921),0))</f>
        <v/>
      </c>
    </row>
    <row r="922">
      <c r="A922" s="36" t="n"/>
      <c r="B922" s="36" t="n"/>
      <c r="C922" s="36" t="n"/>
      <c r="D922" s="36" t="n"/>
      <c r="E922" s="36" t="n"/>
      <c r="F922" s="36" t="n"/>
      <c r="G922" s="37">
        <f>IF($A922="","",$B922+$C922-$D922-$E922)</f>
        <v/>
      </c>
      <c r="H922" s="37">
        <f>IF($A922="","",IFERROR(ROUND($G922*INDEX(tblKurallar[deger_2025],MATCH("AKV-003",tblKurallar[kural_id],0)),2),0))</f>
        <v/>
      </c>
      <c r="I922" s="37">
        <f>IF($A922="","",IFERROR(MAX(0,$H922-$F922),0))</f>
        <v/>
      </c>
    </row>
    <row r="923">
      <c r="A923" s="36" t="n"/>
      <c r="B923" s="36" t="n"/>
      <c r="C923" s="36" t="n"/>
      <c r="D923" s="36" t="n"/>
      <c r="E923" s="36" t="n"/>
      <c r="F923" s="36" t="n"/>
      <c r="G923" s="37">
        <f>IF($A923="","",$B923+$C923-$D923-$E923)</f>
        <v/>
      </c>
      <c r="H923" s="37">
        <f>IF($A923="","",IFERROR(ROUND($G923*INDEX(tblKurallar[deger_2025],MATCH("AKV-003",tblKurallar[kural_id],0)),2),0))</f>
        <v/>
      </c>
      <c r="I923" s="37">
        <f>IF($A923="","",IFERROR(MAX(0,$H923-$F923),0))</f>
        <v/>
      </c>
    </row>
    <row r="924">
      <c r="A924" s="36" t="n"/>
      <c r="B924" s="36" t="n"/>
      <c r="C924" s="36" t="n"/>
      <c r="D924" s="36" t="n"/>
      <c r="E924" s="36" t="n"/>
      <c r="F924" s="36" t="n"/>
      <c r="G924" s="37">
        <f>IF($A924="","",$B924+$C924-$D924-$E924)</f>
        <v/>
      </c>
      <c r="H924" s="37">
        <f>IF($A924="","",IFERROR(ROUND($G924*INDEX(tblKurallar[deger_2025],MATCH("AKV-003",tblKurallar[kural_id],0)),2),0))</f>
        <v/>
      </c>
      <c r="I924" s="37">
        <f>IF($A924="","",IFERROR(MAX(0,$H924-$F924),0))</f>
        <v/>
      </c>
    </row>
    <row r="925">
      <c r="A925" s="36" t="n"/>
      <c r="B925" s="36" t="n"/>
      <c r="C925" s="36" t="n"/>
      <c r="D925" s="36" t="n"/>
      <c r="E925" s="36" t="n"/>
      <c r="F925" s="36" t="n"/>
      <c r="G925" s="37">
        <f>IF($A925="","",$B925+$C925-$D925-$E925)</f>
        <v/>
      </c>
      <c r="H925" s="37">
        <f>IF($A925="","",IFERROR(ROUND($G925*INDEX(tblKurallar[deger_2025],MATCH("AKV-003",tblKurallar[kural_id],0)),2),0))</f>
        <v/>
      </c>
      <c r="I925" s="37">
        <f>IF($A925="","",IFERROR(MAX(0,$H925-$F925),0))</f>
        <v/>
      </c>
    </row>
    <row r="926">
      <c r="A926" s="36" t="n"/>
      <c r="B926" s="36" t="n"/>
      <c r="C926" s="36" t="n"/>
      <c r="D926" s="36" t="n"/>
      <c r="E926" s="36" t="n"/>
      <c r="F926" s="36" t="n"/>
      <c r="G926" s="37">
        <f>IF($A926="","",$B926+$C926-$D926-$E926)</f>
        <v/>
      </c>
      <c r="H926" s="37">
        <f>IF($A926="","",IFERROR(ROUND($G926*INDEX(tblKurallar[deger_2025],MATCH("AKV-003",tblKurallar[kural_id],0)),2),0))</f>
        <v/>
      </c>
      <c r="I926" s="37">
        <f>IF($A926="","",IFERROR(MAX(0,$H926-$F926),0))</f>
        <v/>
      </c>
    </row>
    <row r="927">
      <c r="A927" s="36" t="n"/>
      <c r="B927" s="36" t="n"/>
      <c r="C927" s="36" t="n"/>
      <c r="D927" s="36" t="n"/>
      <c r="E927" s="36" t="n"/>
      <c r="F927" s="36" t="n"/>
      <c r="G927" s="37">
        <f>IF($A927="","",$B927+$C927-$D927-$E927)</f>
        <v/>
      </c>
      <c r="H927" s="37">
        <f>IF($A927="","",IFERROR(ROUND($G927*INDEX(tblKurallar[deger_2025],MATCH("AKV-003",tblKurallar[kural_id],0)),2),0))</f>
        <v/>
      </c>
      <c r="I927" s="37">
        <f>IF($A927="","",IFERROR(MAX(0,$H927-$F927),0))</f>
        <v/>
      </c>
    </row>
    <row r="928">
      <c r="A928" s="36" t="n"/>
      <c r="B928" s="36" t="n"/>
      <c r="C928" s="36" t="n"/>
      <c r="D928" s="36" t="n"/>
      <c r="E928" s="36" t="n"/>
      <c r="F928" s="36" t="n"/>
      <c r="G928" s="37">
        <f>IF($A928="","",$B928+$C928-$D928-$E928)</f>
        <v/>
      </c>
      <c r="H928" s="37">
        <f>IF($A928="","",IFERROR(ROUND($G928*INDEX(tblKurallar[deger_2025],MATCH("AKV-003",tblKurallar[kural_id],0)),2),0))</f>
        <v/>
      </c>
      <c r="I928" s="37">
        <f>IF($A928="","",IFERROR(MAX(0,$H928-$F928),0))</f>
        <v/>
      </c>
    </row>
    <row r="929">
      <c r="A929" s="36" t="n"/>
      <c r="B929" s="36" t="n"/>
      <c r="C929" s="36" t="n"/>
      <c r="D929" s="36" t="n"/>
      <c r="E929" s="36" t="n"/>
      <c r="F929" s="36" t="n"/>
      <c r="G929" s="37">
        <f>IF($A929="","",$B929+$C929-$D929-$E929)</f>
        <v/>
      </c>
      <c r="H929" s="37">
        <f>IF($A929="","",IFERROR(ROUND($G929*INDEX(tblKurallar[deger_2025],MATCH("AKV-003",tblKurallar[kural_id],0)),2),0))</f>
        <v/>
      </c>
      <c r="I929" s="37">
        <f>IF($A929="","",IFERROR(MAX(0,$H929-$F929),0))</f>
        <v/>
      </c>
    </row>
    <row r="930">
      <c r="A930" s="36" t="n"/>
      <c r="B930" s="36" t="n"/>
      <c r="C930" s="36" t="n"/>
      <c r="D930" s="36" t="n"/>
      <c r="E930" s="36" t="n"/>
      <c r="F930" s="36" t="n"/>
      <c r="G930" s="37">
        <f>IF($A930="","",$B930+$C930-$D930-$E930)</f>
        <v/>
      </c>
      <c r="H930" s="37">
        <f>IF($A930="","",IFERROR(ROUND($G930*INDEX(tblKurallar[deger_2025],MATCH("AKV-003",tblKurallar[kural_id],0)),2),0))</f>
        <v/>
      </c>
      <c r="I930" s="37">
        <f>IF($A930="","",IFERROR(MAX(0,$H930-$F930),0))</f>
        <v/>
      </c>
    </row>
    <row r="931">
      <c r="A931" s="36" t="n"/>
      <c r="B931" s="36" t="n"/>
      <c r="C931" s="36" t="n"/>
      <c r="D931" s="36" t="n"/>
      <c r="E931" s="36" t="n"/>
      <c r="F931" s="36" t="n"/>
      <c r="G931" s="37">
        <f>IF($A931="","",$B931+$C931-$D931-$E931)</f>
        <v/>
      </c>
      <c r="H931" s="37">
        <f>IF($A931="","",IFERROR(ROUND($G931*INDEX(tblKurallar[deger_2025],MATCH("AKV-003",tblKurallar[kural_id],0)),2),0))</f>
        <v/>
      </c>
      <c r="I931" s="37">
        <f>IF($A931="","",IFERROR(MAX(0,$H931-$F931),0))</f>
        <v/>
      </c>
    </row>
    <row r="932">
      <c r="A932" s="36" t="n"/>
      <c r="B932" s="36" t="n"/>
      <c r="C932" s="36" t="n"/>
      <c r="D932" s="36" t="n"/>
      <c r="E932" s="36" t="n"/>
      <c r="F932" s="36" t="n"/>
      <c r="G932" s="37">
        <f>IF($A932="","",$B932+$C932-$D932-$E932)</f>
        <v/>
      </c>
      <c r="H932" s="37">
        <f>IF($A932="","",IFERROR(ROUND($G932*INDEX(tblKurallar[deger_2025],MATCH("AKV-003",tblKurallar[kural_id],0)),2),0))</f>
        <v/>
      </c>
      <c r="I932" s="37">
        <f>IF($A932="","",IFERROR(MAX(0,$H932-$F932),0))</f>
        <v/>
      </c>
    </row>
    <row r="933">
      <c r="A933" s="36" t="n"/>
      <c r="B933" s="36" t="n"/>
      <c r="C933" s="36" t="n"/>
      <c r="D933" s="36" t="n"/>
      <c r="E933" s="36" t="n"/>
      <c r="F933" s="36" t="n"/>
      <c r="G933" s="37">
        <f>IF($A933="","",$B933+$C933-$D933-$E933)</f>
        <v/>
      </c>
      <c r="H933" s="37">
        <f>IF($A933="","",IFERROR(ROUND($G933*INDEX(tblKurallar[deger_2025],MATCH("AKV-003",tblKurallar[kural_id],0)),2),0))</f>
        <v/>
      </c>
      <c r="I933" s="37">
        <f>IF($A933="","",IFERROR(MAX(0,$H933-$F933),0))</f>
        <v/>
      </c>
    </row>
    <row r="934">
      <c r="A934" s="36" t="n"/>
      <c r="B934" s="36" t="n"/>
      <c r="C934" s="36" t="n"/>
      <c r="D934" s="36" t="n"/>
      <c r="E934" s="36" t="n"/>
      <c r="F934" s="36" t="n"/>
      <c r="G934" s="37">
        <f>IF($A934="","",$B934+$C934-$D934-$E934)</f>
        <v/>
      </c>
      <c r="H934" s="37">
        <f>IF($A934="","",IFERROR(ROUND($G934*INDEX(tblKurallar[deger_2025],MATCH("AKV-003",tblKurallar[kural_id],0)),2),0))</f>
        <v/>
      </c>
      <c r="I934" s="37">
        <f>IF($A934="","",IFERROR(MAX(0,$H934-$F934),0))</f>
        <v/>
      </c>
    </row>
    <row r="935">
      <c r="A935" s="36" t="n"/>
      <c r="B935" s="36" t="n"/>
      <c r="C935" s="36" t="n"/>
      <c r="D935" s="36" t="n"/>
      <c r="E935" s="36" t="n"/>
      <c r="F935" s="36" t="n"/>
      <c r="G935" s="37">
        <f>IF($A935="","",$B935+$C935-$D935-$E935)</f>
        <v/>
      </c>
      <c r="H935" s="37">
        <f>IF($A935="","",IFERROR(ROUND($G935*INDEX(tblKurallar[deger_2025],MATCH("AKV-003",tblKurallar[kural_id],0)),2),0))</f>
        <v/>
      </c>
      <c r="I935" s="37">
        <f>IF($A935="","",IFERROR(MAX(0,$H935-$F935),0))</f>
        <v/>
      </c>
    </row>
    <row r="936">
      <c r="A936" s="36" t="n"/>
      <c r="B936" s="36" t="n"/>
      <c r="C936" s="36" t="n"/>
      <c r="D936" s="36" t="n"/>
      <c r="E936" s="36" t="n"/>
      <c r="F936" s="36" t="n"/>
      <c r="G936" s="37">
        <f>IF($A936="","",$B936+$C936-$D936-$E936)</f>
        <v/>
      </c>
      <c r="H936" s="37">
        <f>IF($A936="","",IFERROR(ROUND($G936*INDEX(tblKurallar[deger_2025],MATCH("AKV-003",tblKurallar[kural_id],0)),2),0))</f>
        <v/>
      </c>
      <c r="I936" s="37">
        <f>IF($A936="","",IFERROR(MAX(0,$H936-$F936),0))</f>
        <v/>
      </c>
    </row>
    <row r="937">
      <c r="A937" s="36" t="n"/>
      <c r="B937" s="36" t="n"/>
      <c r="C937" s="36" t="n"/>
      <c r="D937" s="36" t="n"/>
      <c r="E937" s="36" t="n"/>
      <c r="F937" s="36" t="n"/>
      <c r="G937" s="37">
        <f>IF($A937="","",$B937+$C937-$D937-$E937)</f>
        <v/>
      </c>
      <c r="H937" s="37">
        <f>IF($A937="","",IFERROR(ROUND($G937*INDEX(tblKurallar[deger_2025],MATCH("AKV-003",tblKurallar[kural_id],0)),2),0))</f>
        <v/>
      </c>
      <c r="I937" s="37">
        <f>IF($A937="","",IFERROR(MAX(0,$H937-$F937),0))</f>
        <v/>
      </c>
    </row>
    <row r="938">
      <c r="A938" s="36" t="n"/>
      <c r="B938" s="36" t="n"/>
      <c r="C938" s="36" t="n"/>
      <c r="D938" s="36" t="n"/>
      <c r="E938" s="36" t="n"/>
      <c r="F938" s="36" t="n"/>
      <c r="G938" s="37">
        <f>IF($A938="","",$B938+$C938-$D938-$E938)</f>
        <v/>
      </c>
      <c r="H938" s="37">
        <f>IF($A938="","",IFERROR(ROUND($G938*INDEX(tblKurallar[deger_2025],MATCH("AKV-003",tblKurallar[kural_id],0)),2),0))</f>
        <v/>
      </c>
      <c r="I938" s="37">
        <f>IF($A938="","",IFERROR(MAX(0,$H938-$F938),0))</f>
        <v/>
      </c>
    </row>
    <row r="939">
      <c r="A939" s="36" t="n"/>
      <c r="B939" s="36" t="n"/>
      <c r="C939" s="36" t="n"/>
      <c r="D939" s="36" t="n"/>
      <c r="E939" s="36" t="n"/>
      <c r="F939" s="36" t="n"/>
      <c r="G939" s="37">
        <f>IF($A939="","",$B939+$C939-$D939-$E939)</f>
        <v/>
      </c>
      <c r="H939" s="37">
        <f>IF($A939="","",IFERROR(ROUND($G939*INDEX(tblKurallar[deger_2025],MATCH("AKV-003",tblKurallar[kural_id],0)),2),0))</f>
        <v/>
      </c>
      <c r="I939" s="37">
        <f>IF($A939="","",IFERROR(MAX(0,$H939-$F939),0))</f>
        <v/>
      </c>
    </row>
    <row r="940">
      <c r="A940" s="36" t="n"/>
      <c r="B940" s="36" t="n"/>
      <c r="C940" s="36" t="n"/>
      <c r="D940" s="36" t="n"/>
      <c r="E940" s="36" t="n"/>
      <c r="F940" s="36" t="n"/>
      <c r="G940" s="37">
        <f>IF($A940="","",$B940+$C940-$D940-$E940)</f>
        <v/>
      </c>
      <c r="H940" s="37">
        <f>IF($A940="","",IFERROR(ROUND($G940*INDEX(tblKurallar[deger_2025],MATCH("AKV-003",tblKurallar[kural_id],0)),2),0))</f>
        <v/>
      </c>
      <c r="I940" s="37">
        <f>IF($A940="","",IFERROR(MAX(0,$H940-$F940),0))</f>
        <v/>
      </c>
    </row>
    <row r="941">
      <c r="A941" s="36" t="n"/>
      <c r="B941" s="36" t="n"/>
      <c r="C941" s="36" t="n"/>
      <c r="D941" s="36" t="n"/>
      <c r="E941" s="36" t="n"/>
      <c r="F941" s="36" t="n"/>
      <c r="G941" s="37">
        <f>IF($A941="","",$B941+$C941-$D941-$E941)</f>
        <v/>
      </c>
      <c r="H941" s="37">
        <f>IF($A941="","",IFERROR(ROUND($G941*INDEX(tblKurallar[deger_2025],MATCH("AKV-003",tblKurallar[kural_id],0)),2),0))</f>
        <v/>
      </c>
      <c r="I941" s="37">
        <f>IF($A941="","",IFERROR(MAX(0,$H941-$F941),0))</f>
        <v/>
      </c>
    </row>
    <row r="942">
      <c r="A942" s="36" t="n"/>
      <c r="B942" s="36" t="n"/>
      <c r="C942" s="36" t="n"/>
      <c r="D942" s="36" t="n"/>
      <c r="E942" s="36" t="n"/>
      <c r="F942" s="36" t="n"/>
      <c r="G942" s="37">
        <f>IF($A942="","",$B942+$C942-$D942-$E942)</f>
        <v/>
      </c>
      <c r="H942" s="37">
        <f>IF($A942="","",IFERROR(ROUND($G942*INDEX(tblKurallar[deger_2025],MATCH("AKV-003",tblKurallar[kural_id],0)),2),0))</f>
        <v/>
      </c>
      <c r="I942" s="37">
        <f>IF($A942="","",IFERROR(MAX(0,$H942-$F942),0))</f>
        <v/>
      </c>
    </row>
    <row r="943">
      <c r="A943" s="36" t="n"/>
      <c r="B943" s="36" t="n"/>
      <c r="C943" s="36" t="n"/>
      <c r="D943" s="36" t="n"/>
      <c r="E943" s="36" t="n"/>
      <c r="F943" s="36" t="n"/>
      <c r="G943" s="37">
        <f>IF($A943="","",$B943+$C943-$D943-$E943)</f>
        <v/>
      </c>
      <c r="H943" s="37">
        <f>IF($A943="","",IFERROR(ROUND($G943*INDEX(tblKurallar[deger_2025],MATCH("AKV-003",tblKurallar[kural_id],0)),2),0))</f>
        <v/>
      </c>
      <c r="I943" s="37">
        <f>IF($A943="","",IFERROR(MAX(0,$H943-$F943),0))</f>
        <v/>
      </c>
    </row>
    <row r="944">
      <c r="A944" s="36" t="n"/>
      <c r="B944" s="36" t="n"/>
      <c r="C944" s="36" t="n"/>
      <c r="D944" s="36" t="n"/>
      <c r="E944" s="36" t="n"/>
      <c r="F944" s="36" t="n"/>
      <c r="G944" s="37">
        <f>IF($A944="","",$B944+$C944-$D944-$E944)</f>
        <v/>
      </c>
      <c r="H944" s="37">
        <f>IF($A944="","",IFERROR(ROUND($G944*INDEX(tblKurallar[deger_2025],MATCH("AKV-003",tblKurallar[kural_id],0)),2),0))</f>
        <v/>
      </c>
      <c r="I944" s="37">
        <f>IF($A944="","",IFERROR(MAX(0,$H944-$F944),0))</f>
        <v/>
      </c>
    </row>
    <row r="945">
      <c r="A945" s="36" t="n"/>
      <c r="B945" s="36" t="n"/>
      <c r="C945" s="36" t="n"/>
      <c r="D945" s="36" t="n"/>
      <c r="E945" s="36" t="n"/>
      <c r="F945" s="36" t="n"/>
      <c r="G945" s="37">
        <f>IF($A945="","",$B945+$C945-$D945-$E945)</f>
        <v/>
      </c>
      <c r="H945" s="37">
        <f>IF($A945="","",IFERROR(ROUND($G945*INDEX(tblKurallar[deger_2025],MATCH("AKV-003",tblKurallar[kural_id],0)),2),0))</f>
        <v/>
      </c>
      <c r="I945" s="37">
        <f>IF($A945="","",IFERROR(MAX(0,$H945-$F945),0))</f>
        <v/>
      </c>
    </row>
    <row r="946">
      <c r="A946" s="36" t="n"/>
      <c r="B946" s="36" t="n"/>
      <c r="C946" s="36" t="n"/>
      <c r="D946" s="36" t="n"/>
      <c r="E946" s="36" t="n"/>
      <c r="F946" s="36" t="n"/>
      <c r="G946" s="37">
        <f>IF($A946="","",$B946+$C946-$D946-$E946)</f>
        <v/>
      </c>
      <c r="H946" s="37">
        <f>IF($A946="","",IFERROR(ROUND($G946*INDEX(tblKurallar[deger_2025],MATCH("AKV-003",tblKurallar[kural_id],0)),2),0))</f>
        <v/>
      </c>
      <c r="I946" s="37">
        <f>IF($A946="","",IFERROR(MAX(0,$H946-$F946),0))</f>
        <v/>
      </c>
    </row>
    <row r="947">
      <c r="A947" s="36" t="n"/>
      <c r="B947" s="36" t="n"/>
      <c r="C947" s="36" t="n"/>
      <c r="D947" s="36" t="n"/>
      <c r="E947" s="36" t="n"/>
      <c r="F947" s="36" t="n"/>
      <c r="G947" s="37">
        <f>IF($A947="","",$B947+$C947-$D947-$E947)</f>
        <v/>
      </c>
      <c r="H947" s="37">
        <f>IF($A947="","",IFERROR(ROUND($G947*INDEX(tblKurallar[deger_2025],MATCH("AKV-003",tblKurallar[kural_id],0)),2),0))</f>
        <v/>
      </c>
      <c r="I947" s="37">
        <f>IF($A947="","",IFERROR(MAX(0,$H947-$F947),0))</f>
        <v/>
      </c>
    </row>
    <row r="948">
      <c r="A948" s="36" t="n"/>
      <c r="B948" s="36" t="n"/>
      <c r="C948" s="36" t="n"/>
      <c r="D948" s="36" t="n"/>
      <c r="E948" s="36" t="n"/>
      <c r="F948" s="36" t="n"/>
      <c r="G948" s="37">
        <f>IF($A948="","",$B948+$C948-$D948-$E948)</f>
        <v/>
      </c>
      <c r="H948" s="37">
        <f>IF($A948="","",IFERROR(ROUND($G948*INDEX(tblKurallar[deger_2025],MATCH("AKV-003",tblKurallar[kural_id],0)),2),0))</f>
        <v/>
      </c>
      <c r="I948" s="37">
        <f>IF($A948="","",IFERROR(MAX(0,$H948-$F948),0))</f>
        <v/>
      </c>
    </row>
    <row r="949">
      <c r="A949" s="36" t="n"/>
      <c r="B949" s="36" t="n"/>
      <c r="C949" s="36" t="n"/>
      <c r="D949" s="36" t="n"/>
      <c r="E949" s="36" t="n"/>
      <c r="F949" s="36" t="n"/>
      <c r="G949" s="37">
        <f>IF($A949="","",$B949+$C949-$D949-$E949)</f>
        <v/>
      </c>
      <c r="H949" s="37">
        <f>IF($A949="","",IFERROR(ROUND($G949*INDEX(tblKurallar[deger_2025],MATCH("AKV-003",tblKurallar[kural_id],0)),2),0))</f>
        <v/>
      </c>
      <c r="I949" s="37">
        <f>IF($A949="","",IFERROR(MAX(0,$H949-$F949),0))</f>
        <v/>
      </c>
    </row>
    <row r="950">
      <c r="A950" s="36" t="n"/>
      <c r="B950" s="36" t="n"/>
      <c r="C950" s="36" t="n"/>
      <c r="D950" s="36" t="n"/>
      <c r="E950" s="36" t="n"/>
      <c r="F950" s="36" t="n"/>
      <c r="G950" s="37">
        <f>IF($A950="","",$B950+$C950-$D950-$E950)</f>
        <v/>
      </c>
      <c r="H950" s="37">
        <f>IF($A950="","",IFERROR(ROUND($G950*INDEX(tblKurallar[deger_2025],MATCH("AKV-003",tblKurallar[kural_id],0)),2),0))</f>
        <v/>
      </c>
      <c r="I950" s="37">
        <f>IF($A950="","",IFERROR(MAX(0,$H950-$F950),0))</f>
        <v/>
      </c>
    </row>
    <row r="951">
      <c r="A951" s="36" t="n"/>
      <c r="B951" s="36" t="n"/>
      <c r="C951" s="36" t="n"/>
      <c r="D951" s="36" t="n"/>
      <c r="E951" s="36" t="n"/>
      <c r="F951" s="36" t="n"/>
      <c r="G951" s="37">
        <f>IF($A951="","",$B951+$C951-$D951-$E951)</f>
        <v/>
      </c>
      <c r="H951" s="37">
        <f>IF($A951="","",IFERROR(ROUND($G951*INDEX(tblKurallar[deger_2025],MATCH("AKV-003",tblKurallar[kural_id],0)),2),0))</f>
        <v/>
      </c>
      <c r="I951" s="37">
        <f>IF($A951="","",IFERROR(MAX(0,$H951-$F951),0))</f>
        <v/>
      </c>
    </row>
    <row r="952">
      <c r="A952" s="36" t="n"/>
      <c r="B952" s="36" t="n"/>
      <c r="C952" s="36" t="n"/>
      <c r="D952" s="36" t="n"/>
      <c r="E952" s="36" t="n"/>
      <c r="F952" s="36" t="n"/>
      <c r="G952" s="37">
        <f>IF($A952="","",$B952+$C952-$D952-$E952)</f>
        <v/>
      </c>
      <c r="H952" s="37">
        <f>IF($A952="","",IFERROR(ROUND($G952*INDEX(tblKurallar[deger_2025],MATCH("AKV-003",tblKurallar[kural_id],0)),2),0))</f>
        <v/>
      </c>
      <c r="I952" s="37">
        <f>IF($A952="","",IFERROR(MAX(0,$H952-$F952),0))</f>
        <v/>
      </c>
    </row>
    <row r="953">
      <c r="A953" s="36" t="n"/>
      <c r="B953" s="36" t="n"/>
      <c r="C953" s="36" t="n"/>
      <c r="D953" s="36" t="n"/>
      <c r="E953" s="36" t="n"/>
      <c r="F953" s="36" t="n"/>
      <c r="G953" s="37">
        <f>IF($A953="","",$B953+$C953-$D953-$E953)</f>
        <v/>
      </c>
      <c r="H953" s="37">
        <f>IF($A953="","",IFERROR(ROUND($G953*INDEX(tblKurallar[deger_2025],MATCH("AKV-003",tblKurallar[kural_id],0)),2),0))</f>
        <v/>
      </c>
      <c r="I953" s="37">
        <f>IF($A953="","",IFERROR(MAX(0,$H953-$F953),0))</f>
        <v/>
      </c>
    </row>
    <row r="954">
      <c r="A954" s="36" t="n"/>
      <c r="B954" s="36" t="n"/>
      <c r="C954" s="36" t="n"/>
      <c r="D954" s="36" t="n"/>
      <c r="E954" s="36" t="n"/>
      <c r="F954" s="36" t="n"/>
      <c r="G954" s="37">
        <f>IF($A954="","",$B954+$C954-$D954-$E954)</f>
        <v/>
      </c>
      <c r="H954" s="37">
        <f>IF($A954="","",IFERROR(ROUND($G954*INDEX(tblKurallar[deger_2025],MATCH("AKV-003",tblKurallar[kural_id],0)),2),0))</f>
        <v/>
      </c>
      <c r="I954" s="37">
        <f>IF($A954="","",IFERROR(MAX(0,$H954-$F954),0))</f>
        <v/>
      </c>
    </row>
    <row r="955">
      <c r="A955" s="36" t="n"/>
      <c r="B955" s="36" t="n"/>
      <c r="C955" s="36" t="n"/>
      <c r="D955" s="36" t="n"/>
      <c r="E955" s="36" t="n"/>
      <c r="F955" s="36" t="n"/>
      <c r="G955" s="37">
        <f>IF($A955="","",$B955+$C955-$D955-$E955)</f>
        <v/>
      </c>
      <c r="H955" s="37">
        <f>IF($A955="","",IFERROR(ROUND($G955*INDEX(tblKurallar[deger_2025],MATCH("AKV-003",tblKurallar[kural_id],0)),2),0))</f>
        <v/>
      </c>
      <c r="I955" s="37">
        <f>IF($A955="","",IFERROR(MAX(0,$H955-$F955),0))</f>
        <v/>
      </c>
    </row>
    <row r="956">
      <c r="A956" s="36" t="n"/>
      <c r="B956" s="36" t="n"/>
      <c r="C956" s="36" t="n"/>
      <c r="D956" s="36" t="n"/>
      <c r="E956" s="36" t="n"/>
      <c r="F956" s="36" t="n"/>
      <c r="G956" s="37">
        <f>IF($A956="","",$B956+$C956-$D956-$E956)</f>
        <v/>
      </c>
      <c r="H956" s="37">
        <f>IF($A956="","",IFERROR(ROUND($G956*INDEX(tblKurallar[deger_2025],MATCH("AKV-003",tblKurallar[kural_id],0)),2),0))</f>
        <v/>
      </c>
      <c r="I956" s="37">
        <f>IF($A956="","",IFERROR(MAX(0,$H956-$F956),0))</f>
        <v/>
      </c>
    </row>
    <row r="957">
      <c r="A957" s="36" t="n"/>
      <c r="B957" s="36" t="n"/>
      <c r="C957" s="36" t="n"/>
      <c r="D957" s="36" t="n"/>
      <c r="E957" s="36" t="n"/>
      <c r="F957" s="36" t="n"/>
      <c r="G957" s="37">
        <f>IF($A957="","",$B957+$C957-$D957-$E957)</f>
        <v/>
      </c>
      <c r="H957" s="37">
        <f>IF($A957="","",IFERROR(ROUND($G957*INDEX(tblKurallar[deger_2025],MATCH("AKV-003",tblKurallar[kural_id],0)),2),0))</f>
        <v/>
      </c>
      <c r="I957" s="37">
        <f>IF($A957="","",IFERROR(MAX(0,$H957-$F957),0))</f>
        <v/>
      </c>
    </row>
    <row r="958">
      <c r="A958" s="36" t="n"/>
      <c r="B958" s="36" t="n"/>
      <c r="C958" s="36" t="n"/>
      <c r="D958" s="36" t="n"/>
      <c r="E958" s="36" t="n"/>
      <c r="F958" s="36" t="n"/>
      <c r="G958" s="37">
        <f>IF($A958="","",$B958+$C958-$D958-$E958)</f>
        <v/>
      </c>
      <c r="H958" s="37">
        <f>IF($A958="","",IFERROR(ROUND($G958*INDEX(tblKurallar[deger_2025],MATCH("AKV-003",tblKurallar[kural_id],0)),2),0))</f>
        <v/>
      </c>
      <c r="I958" s="37">
        <f>IF($A958="","",IFERROR(MAX(0,$H958-$F958),0))</f>
        <v/>
      </c>
    </row>
    <row r="959">
      <c r="A959" s="36" t="n"/>
      <c r="B959" s="36" t="n"/>
      <c r="C959" s="36" t="n"/>
      <c r="D959" s="36" t="n"/>
      <c r="E959" s="36" t="n"/>
      <c r="F959" s="36" t="n"/>
      <c r="G959" s="37">
        <f>IF($A959="","",$B959+$C959-$D959-$E959)</f>
        <v/>
      </c>
      <c r="H959" s="37">
        <f>IF($A959="","",IFERROR(ROUND($G959*INDEX(tblKurallar[deger_2025],MATCH("AKV-003",tblKurallar[kural_id],0)),2),0))</f>
        <v/>
      </c>
      <c r="I959" s="37">
        <f>IF($A959="","",IFERROR(MAX(0,$H959-$F959),0))</f>
        <v/>
      </c>
    </row>
    <row r="960">
      <c r="A960" s="36" t="n"/>
      <c r="B960" s="36" t="n"/>
      <c r="C960" s="36" t="n"/>
      <c r="D960" s="36" t="n"/>
      <c r="E960" s="36" t="n"/>
      <c r="F960" s="36" t="n"/>
      <c r="G960" s="37">
        <f>IF($A960="","",$B960+$C960-$D960-$E960)</f>
        <v/>
      </c>
      <c r="H960" s="37">
        <f>IF($A960="","",IFERROR(ROUND($G960*INDEX(tblKurallar[deger_2025],MATCH("AKV-003",tblKurallar[kural_id],0)),2),0))</f>
        <v/>
      </c>
      <c r="I960" s="37">
        <f>IF($A960="","",IFERROR(MAX(0,$H960-$F960),0))</f>
        <v/>
      </c>
    </row>
    <row r="961">
      <c r="A961" s="36" t="n"/>
      <c r="B961" s="36" t="n"/>
      <c r="C961" s="36" t="n"/>
      <c r="D961" s="36" t="n"/>
      <c r="E961" s="36" t="n"/>
      <c r="F961" s="36" t="n"/>
      <c r="G961" s="37">
        <f>IF($A961="","",$B961+$C961-$D961-$E961)</f>
        <v/>
      </c>
      <c r="H961" s="37">
        <f>IF($A961="","",IFERROR(ROUND($G961*INDEX(tblKurallar[deger_2025],MATCH("AKV-003",tblKurallar[kural_id],0)),2),0))</f>
        <v/>
      </c>
      <c r="I961" s="37">
        <f>IF($A961="","",IFERROR(MAX(0,$H961-$F961),0))</f>
        <v/>
      </c>
    </row>
    <row r="962">
      <c r="A962" s="36" t="n"/>
      <c r="B962" s="36" t="n"/>
      <c r="C962" s="36" t="n"/>
      <c r="D962" s="36" t="n"/>
      <c r="E962" s="36" t="n"/>
      <c r="F962" s="36" t="n"/>
      <c r="G962" s="37">
        <f>IF($A962="","",$B962+$C962-$D962-$E962)</f>
        <v/>
      </c>
      <c r="H962" s="37">
        <f>IF($A962="","",IFERROR(ROUND($G962*INDEX(tblKurallar[deger_2025],MATCH("AKV-003",tblKurallar[kural_id],0)),2),0))</f>
        <v/>
      </c>
      <c r="I962" s="37">
        <f>IF($A962="","",IFERROR(MAX(0,$H962-$F962),0))</f>
        <v/>
      </c>
    </row>
    <row r="963">
      <c r="A963" s="36" t="n"/>
      <c r="B963" s="36" t="n"/>
      <c r="C963" s="36" t="n"/>
      <c r="D963" s="36" t="n"/>
      <c r="E963" s="36" t="n"/>
      <c r="F963" s="36" t="n"/>
      <c r="G963" s="37">
        <f>IF($A963="","",$B963+$C963-$D963-$E963)</f>
        <v/>
      </c>
      <c r="H963" s="37">
        <f>IF($A963="","",IFERROR(ROUND($G963*INDEX(tblKurallar[deger_2025],MATCH("AKV-003",tblKurallar[kural_id],0)),2),0))</f>
        <v/>
      </c>
      <c r="I963" s="37">
        <f>IF($A963="","",IFERROR(MAX(0,$H963-$F963),0))</f>
        <v/>
      </c>
    </row>
    <row r="964">
      <c r="A964" s="36" t="n"/>
      <c r="B964" s="36" t="n"/>
      <c r="C964" s="36" t="n"/>
      <c r="D964" s="36" t="n"/>
      <c r="E964" s="36" t="n"/>
      <c r="F964" s="36" t="n"/>
      <c r="G964" s="37">
        <f>IF($A964="","",$B964+$C964-$D964-$E964)</f>
        <v/>
      </c>
      <c r="H964" s="37">
        <f>IF($A964="","",IFERROR(ROUND($G964*INDEX(tblKurallar[deger_2025],MATCH("AKV-003",tblKurallar[kural_id],0)),2),0))</f>
        <v/>
      </c>
      <c r="I964" s="37">
        <f>IF($A964="","",IFERROR(MAX(0,$H964-$F964),0))</f>
        <v/>
      </c>
    </row>
    <row r="965">
      <c r="A965" s="36" t="n"/>
      <c r="B965" s="36" t="n"/>
      <c r="C965" s="36" t="n"/>
      <c r="D965" s="36" t="n"/>
      <c r="E965" s="36" t="n"/>
      <c r="F965" s="36" t="n"/>
      <c r="G965" s="37">
        <f>IF($A965="","",$B965+$C965-$D965-$E965)</f>
        <v/>
      </c>
      <c r="H965" s="37">
        <f>IF($A965="","",IFERROR(ROUND($G965*INDEX(tblKurallar[deger_2025],MATCH("AKV-003",tblKurallar[kural_id],0)),2),0))</f>
        <v/>
      </c>
      <c r="I965" s="37">
        <f>IF($A965="","",IFERROR(MAX(0,$H965-$F965),0))</f>
        <v/>
      </c>
    </row>
    <row r="966">
      <c r="A966" s="36" t="n"/>
      <c r="B966" s="36" t="n"/>
      <c r="C966" s="36" t="n"/>
      <c r="D966" s="36" t="n"/>
      <c r="E966" s="36" t="n"/>
      <c r="F966" s="36" t="n"/>
      <c r="G966" s="37">
        <f>IF($A966="","",$B966+$C966-$D966-$E966)</f>
        <v/>
      </c>
      <c r="H966" s="37">
        <f>IF($A966="","",IFERROR(ROUND($G966*INDEX(tblKurallar[deger_2025],MATCH("AKV-003",tblKurallar[kural_id],0)),2),0))</f>
        <v/>
      </c>
      <c r="I966" s="37">
        <f>IF($A966="","",IFERROR(MAX(0,$H966-$F966),0))</f>
        <v/>
      </c>
    </row>
    <row r="967">
      <c r="A967" s="36" t="n"/>
      <c r="B967" s="36" t="n"/>
      <c r="C967" s="36" t="n"/>
      <c r="D967" s="36" t="n"/>
      <c r="E967" s="36" t="n"/>
      <c r="F967" s="36" t="n"/>
      <c r="G967" s="37">
        <f>IF($A967="","",$B967+$C967-$D967-$E967)</f>
        <v/>
      </c>
      <c r="H967" s="37">
        <f>IF($A967="","",IFERROR(ROUND($G967*INDEX(tblKurallar[deger_2025],MATCH("AKV-003",tblKurallar[kural_id],0)),2),0))</f>
        <v/>
      </c>
      <c r="I967" s="37">
        <f>IF($A967="","",IFERROR(MAX(0,$H967-$F967),0))</f>
        <v/>
      </c>
    </row>
    <row r="968">
      <c r="A968" s="36" t="n"/>
      <c r="B968" s="36" t="n"/>
      <c r="C968" s="36" t="n"/>
      <c r="D968" s="36" t="n"/>
      <c r="E968" s="36" t="n"/>
      <c r="F968" s="36" t="n"/>
      <c r="G968" s="37">
        <f>IF($A968="","",$B968+$C968-$D968-$E968)</f>
        <v/>
      </c>
      <c r="H968" s="37">
        <f>IF($A968="","",IFERROR(ROUND($G968*INDEX(tblKurallar[deger_2025],MATCH("AKV-003",tblKurallar[kural_id],0)),2),0))</f>
        <v/>
      </c>
      <c r="I968" s="37">
        <f>IF($A968="","",IFERROR(MAX(0,$H968-$F968),0))</f>
        <v/>
      </c>
    </row>
    <row r="969">
      <c r="A969" s="36" t="n"/>
      <c r="B969" s="36" t="n"/>
      <c r="C969" s="36" t="n"/>
      <c r="D969" s="36" t="n"/>
      <c r="E969" s="36" t="n"/>
      <c r="F969" s="36" t="n"/>
      <c r="G969" s="37">
        <f>IF($A969="","",$B969+$C969-$D969-$E969)</f>
        <v/>
      </c>
      <c r="H969" s="37">
        <f>IF($A969="","",IFERROR(ROUND($G969*INDEX(tblKurallar[deger_2025],MATCH("AKV-003",tblKurallar[kural_id],0)),2),0))</f>
        <v/>
      </c>
      <c r="I969" s="37">
        <f>IF($A969="","",IFERROR(MAX(0,$H969-$F969),0))</f>
        <v/>
      </c>
    </row>
    <row r="970">
      <c r="A970" s="36" t="n"/>
      <c r="B970" s="36" t="n"/>
      <c r="C970" s="36" t="n"/>
      <c r="D970" s="36" t="n"/>
      <c r="E970" s="36" t="n"/>
      <c r="F970" s="36" t="n"/>
      <c r="G970" s="37">
        <f>IF($A970="","",$B970+$C970-$D970-$E970)</f>
        <v/>
      </c>
      <c r="H970" s="37">
        <f>IF($A970="","",IFERROR(ROUND($G970*INDEX(tblKurallar[deger_2025],MATCH("AKV-003",tblKurallar[kural_id],0)),2),0))</f>
        <v/>
      </c>
      <c r="I970" s="37">
        <f>IF($A970="","",IFERROR(MAX(0,$H970-$F970),0))</f>
        <v/>
      </c>
    </row>
    <row r="971">
      <c r="A971" s="36" t="n"/>
      <c r="B971" s="36" t="n"/>
      <c r="C971" s="36" t="n"/>
      <c r="D971" s="36" t="n"/>
      <c r="E971" s="36" t="n"/>
      <c r="F971" s="36" t="n"/>
      <c r="G971" s="37">
        <f>IF($A971="","",$B971+$C971-$D971-$E971)</f>
        <v/>
      </c>
      <c r="H971" s="37">
        <f>IF($A971="","",IFERROR(ROUND($G971*INDEX(tblKurallar[deger_2025],MATCH("AKV-003",tblKurallar[kural_id],0)),2),0))</f>
        <v/>
      </c>
      <c r="I971" s="37">
        <f>IF($A971="","",IFERROR(MAX(0,$H971-$F971),0))</f>
        <v/>
      </c>
    </row>
    <row r="972">
      <c r="A972" s="36" t="n"/>
      <c r="B972" s="36" t="n"/>
      <c r="C972" s="36" t="n"/>
      <c r="D972" s="36" t="n"/>
      <c r="E972" s="36" t="n"/>
      <c r="F972" s="36" t="n"/>
      <c r="G972" s="37">
        <f>IF($A972="","",$B972+$C972-$D972-$E972)</f>
        <v/>
      </c>
      <c r="H972" s="37">
        <f>IF($A972="","",IFERROR(ROUND($G972*INDEX(tblKurallar[deger_2025],MATCH("AKV-003",tblKurallar[kural_id],0)),2),0))</f>
        <v/>
      </c>
      <c r="I972" s="37">
        <f>IF($A972="","",IFERROR(MAX(0,$H972-$F972),0))</f>
        <v/>
      </c>
    </row>
    <row r="973">
      <c r="A973" s="36" t="n"/>
      <c r="B973" s="36" t="n"/>
      <c r="C973" s="36" t="n"/>
      <c r="D973" s="36" t="n"/>
      <c r="E973" s="36" t="n"/>
      <c r="F973" s="36" t="n"/>
      <c r="G973" s="37">
        <f>IF($A973="","",$B973+$C973-$D973-$E973)</f>
        <v/>
      </c>
      <c r="H973" s="37">
        <f>IF($A973="","",IFERROR(ROUND($G973*INDEX(tblKurallar[deger_2025],MATCH("AKV-003",tblKurallar[kural_id],0)),2),0))</f>
        <v/>
      </c>
      <c r="I973" s="37">
        <f>IF($A973="","",IFERROR(MAX(0,$H973-$F973),0))</f>
        <v/>
      </c>
    </row>
    <row r="974">
      <c r="A974" s="36" t="n"/>
      <c r="B974" s="36" t="n"/>
      <c r="C974" s="36" t="n"/>
      <c r="D974" s="36" t="n"/>
      <c r="E974" s="36" t="n"/>
      <c r="F974" s="36" t="n"/>
      <c r="G974" s="37">
        <f>IF($A974="","",$B974+$C974-$D974-$E974)</f>
        <v/>
      </c>
      <c r="H974" s="37">
        <f>IF($A974="","",IFERROR(ROUND($G974*INDEX(tblKurallar[deger_2025],MATCH("AKV-003",tblKurallar[kural_id],0)),2),0))</f>
        <v/>
      </c>
      <c r="I974" s="37">
        <f>IF($A974="","",IFERROR(MAX(0,$H974-$F974),0))</f>
        <v/>
      </c>
    </row>
    <row r="975">
      <c r="A975" s="36" t="n"/>
      <c r="B975" s="36" t="n"/>
      <c r="C975" s="36" t="n"/>
      <c r="D975" s="36" t="n"/>
      <c r="E975" s="36" t="n"/>
      <c r="F975" s="36" t="n"/>
      <c r="G975" s="37">
        <f>IF($A975="","",$B975+$C975-$D975-$E975)</f>
        <v/>
      </c>
      <c r="H975" s="37">
        <f>IF($A975="","",IFERROR(ROUND($G975*INDEX(tblKurallar[deger_2025],MATCH("AKV-003",tblKurallar[kural_id],0)),2),0))</f>
        <v/>
      </c>
      <c r="I975" s="37">
        <f>IF($A975="","",IFERROR(MAX(0,$H975-$F975),0))</f>
        <v/>
      </c>
    </row>
    <row r="976">
      <c r="A976" s="36" t="n"/>
      <c r="B976" s="36" t="n"/>
      <c r="C976" s="36" t="n"/>
      <c r="D976" s="36" t="n"/>
      <c r="E976" s="36" t="n"/>
      <c r="F976" s="36" t="n"/>
      <c r="G976" s="37">
        <f>IF($A976="","",$B976+$C976-$D976-$E976)</f>
        <v/>
      </c>
      <c r="H976" s="37">
        <f>IF($A976="","",IFERROR(ROUND($G976*INDEX(tblKurallar[deger_2025],MATCH("AKV-003",tblKurallar[kural_id],0)),2),0))</f>
        <v/>
      </c>
      <c r="I976" s="37">
        <f>IF($A976="","",IFERROR(MAX(0,$H976-$F976),0))</f>
        <v/>
      </c>
    </row>
    <row r="977">
      <c r="A977" s="36" t="n"/>
      <c r="B977" s="36" t="n"/>
      <c r="C977" s="36" t="n"/>
      <c r="D977" s="36" t="n"/>
      <c r="E977" s="36" t="n"/>
      <c r="F977" s="36" t="n"/>
      <c r="G977" s="37">
        <f>IF($A977="","",$B977+$C977-$D977-$E977)</f>
        <v/>
      </c>
      <c r="H977" s="37">
        <f>IF($A977="","",IFERROR(ROUND($G977*INDEX(tblKurallar[deger_2025],MATCH("AKV-003",tblKurallar[kural_id],0)),2),0))</f>
        <v/>
      </c>
      <c r="I977" s="37">
        <f>IF($A977="","",IFERROR(MAX(0,$H977-$F977),0))</f>
        <v/>
      </c>
    </row>
    <row r="978">
      <c r="A978" s="36" t="n"/>
      <c r="B978" s="36" t="n"/>
      <c r="C978" s="36" t="n"/>
      <c r="D978" s="36" t="n"/>
      <c r="E978" s="36" t="n"/>
      <c r="F978" s="36" t="n"/>
      <c r="G978" s="37">
        <f>IF($A978="","",$B978+$C978-$D978-$E978)</f>
        <v/>
      </c>
      <c r="H978" s="37">
        <f>IF($A978="","",IFERROR(ROUND($G978*INDEX(tblKurallar[deger_2025],MATCH("AKV-003",tblKurallar[kural_id],0)),2),0))</f>
        <v/>
      </c>
      <c r="I978" s="37">
        <f>IF($A978="","",IFERROR(MAX(0,$H978-$F978),0))</f>
        <v/>
      </c>
    </row>
    <row r="979">
      <c r="A979" s="36" t="n"/>
      <c r="B979" s="36" t="n"/>
      <c r="C979" s="36" t="n"/>
      <c r="D979" s="36" t="n"/>
      <c r="E979" s="36" t="n"/>
      <c r="F979" s="36" t="n"/>
      <c r="G979" s="37">
        <f>IF($A979="","",$B979+$C979-$D979-$E979)</f>
        <v/>
      </c>
      <c r="H979" s="37">
        <f>IF($A979="","",IFERROR(ROUND($G979*INDEX(tblKurallar[deger_2025],MATCH("AKV-003",tblKurallar[kural_id],0)),2),0))</f>
        <v/>
      </c>
      <c r="I979" s="37">
        <f>IF($A979="","",IFERROR(MAX(0,$H979-$F979),0))</f>
        <v/>
      </c>
    </row>
    <row r="980">
      <c r="A980" s="36" t="n"/>
      <c r="B980" s="36" t="n"/>
      <c r="C980" s="36" t="n"/>
      <c r="D980" s="36" t="n"/>
      <c r="E980" s="36" t="n"/>
      <c r="F980" s="36" t="n"/>
      <c r="G980" s="37">
        <f>IF($A980="","",$B980+$C980-$D980-$E980)</f>
        <v/>
      </c>
      <c r="H980" s="37">
        <f>IF($A980="","",IFERROR(ROUND($G980*INDEX(tblKurallar[deger_2025],MATCH("AKV-003",tblKurallar[kural_id],0)),2),0))</f>
        <v/>
      </c>
      <c r="I980" s="37">
        <f>IF($A980="","",IFERROR(MAX(0,$H980-$F980),0))</f>
        <v/>
      </c>
    </row>
    <row r="981">
      <c r="A981" s="36" t="n"/>
      <c r="B981" s="36" t="n"/>
      <c r="C981" s="36" t="n"/>
      <c r="D981" s="36" t="n"/>
      <c r="E981" s="36" t="n"/>
      <c r="F981" s="36" t="n"/>
      <c r="G981" s="37">
        <f>IF($A981="","",$B981+$C981-$D981-$E981)</f>
        <v/>
      </c>
      <c r="H981" s="37">
        <f>IF($A981="","",IFERROR(ROUND($G981*INDEX(tblKurallar[deger_2025],MATCH("AKV-003",tblKurallar[kural_id],0)),2),0))</f>
        <v/>
      </c>
      <c r="I981" s="37">
        <f>IF($A981="","",IFERROR(MAX(0,$H981-$F981),0))</f>
        <v/>
      </c>
    </row>
    <row r="982">
      <c r="A982" s="36" t="n"/>
      <c r="B982" s="36" t="n"/>
      <c r="C982" s="36" t="n"/>
      <c r="D982" s="36" t="n"/>
      <c r="E982" s="36" t="n"/>
      <c r="F982" s="36" t="n"/>
      <c r="G982" s="37">
        <f>IF($A982="","",$B982+$C982-$D982-$E982)</f>
        <v/>
      </c>
      <c r="H982" s="37">
        <f>IF($A982="","",IFERROR(ROUND($G982*INDEX(tblKurallar[deger_2025],MATCH("AKV-003",tblKurallar[kural_id],0)),2),0))</f>
        <v/>
      </c>
      <c r="I982" s="37">
        <f>IF($A982="","",IFERROR(MAX(0,$H982-$F982),0))</f>
        <v/>
      </c>
    </row>
    <row r="983">
      <c r="A983" s="36" t="n"/>
      <c r="B983" s="36" t="n"/>
      <c r="C983" s="36" t="n"/>
      <c r="D983" s="36" t="n"/>
      <c r="E983" s="36" t="n"/>
      <c r="F983" s="36" t="n"/>
      <c r="G983" s="37">
        <f>IF($A983="","",$B983+$C983-$D983-$E983)</f>
        <v/>
      </c>
      <c r="H983" s="37">
        <f>IF($A983="","",IFERROR(ROUND($G983*INDEX(tblKurallar[deger_2025],MATCH("AKV-003",tblKurallar[kural_id],0)),2),0))</f>
        <v/>
      </c>
      <c r="I983" s="37">
        <f>IF($A983="","",IFERROR(MAX(0,$H983-$F983),0))</f>
        <v/>
      </c>
    </row>
    <row r="984">
      <c r="A984" s="36" t="n"/>
      <c r="B984" s="36" t="n"/>
      <c r="C984" s="36" t="n"/>
      <c r="D984" s="36" t="n"/>
      <c r="E984" s="36" t="n"/>
      <c r="F984" s="36" t="n"/>
      <c r="G984" s="37">
        <f>IF($A984="","",$B984+$C984-$D984-$E984)</f>
        <v/>
      </c>
      <c r="H984" s="37">
        <f>IF($A984="","",IFERROR(ROUND($G984*INDEX(tblKurallar[deger_2025],MATCH("AKV-003",tblKurallar[kural_id],0)),2),0))</f>
        <v/>
      </c>
      <c r="I984" s="37">
        <f>IF($A984="","",IFERROR(MAX(0,$H984-$F984),0))</f>
        <v/>
      </c>
    </row>
    <row r="985">
      <c r="A985" s="36" t="n"/>
      <c r="B985" s="36" t="n"/>
      <c r="C985" s="36" t="n"/>
      <c r="D985" s="36" t="n"/>
      <c r="E985" s="36" t="n"/>
      <c r="F985" s="36" t="n"/>
      <c r="G985" s="37">
        <f>IF($A985="","",$B985+$C985-$D985-$E985)</f>
        <v/>
      </c>
      <c r="H985" s="37">
        <f>IF($A985="","",IFERROR(ROUND($G985*INDEX(tblKurallar[deger_2025],MATCH("AKV-003",tblKurallar[kural_id],0)),2),0))</f>
        <v/>
      </c>
      <c r="I985" s="37">
        <f>IF($A985="","",IFERROR(MAX(0,$H985-$F985),0))</f>
        <v/>
      </c>
    </row>
    <row r="986">
      <c r="A986" s="36" t="n"/>
      <c r="B986" s="36" t="n"/>
      <c r="C986" s="36" t="n"/>
      <c r="D986" s="36" t="n"/>
      <c r="E986" s="36" t="n"/>
      <c r="F986" s="36" t="n"/>
      <c r="G986" s="37">
        <f>IF($A986="","",$B986+$C986-$D986-$E986)</f>
        <v/>
      </c>
      <c r="H986" s="37">
        <f>IF($A986="","",IFERROR(ROUND($G986*INDEX(tblKurallar[deger_2025],MATCH("AKV-003",tblKurallar[kural_id],0)),2),0))</f>
        <v/>
      </c>
      <c r="I986" s="37">
        <f>IF($A986="","",IFERROR(MAX(0,$H986-$F986),0))</f>
        <v/>
      </c>
    </row>
    <row r="987">
      <c r="A987" s="36" t="n"/>
      <c r="B987" s="36" t="n"/>
      <c r="C987" s="36" t="n"/>
      <c r="D987" s="36" t="n"/>
      <c r="E987" s="36" t="n"/>
      <c r="F987" s="36" t="n"/>
      <c r="G987" s="37">
        <f>IF($A987="","",$B987+$C987-$D987-$E987)</f>
        <v/>
      </c>
      <c r="H987" s="37">
        <f>IF($A987="","",IFERROR(ROUND($G987*INDEX(tblKurallar[deger_2025],MATCH("AKV-003",tblKurallar[kural_id],0)),2),0))</f>
        <v/>
      </c>
      <c r="I987" s="37">
        <f>IF($A987="","",IFERROR(MAX(0,$H987-$F987),0))</f>
        <v/>
      </c>
    </row>
    <row r="988">
      <c r="A988" s="36" t="n"/>
      <c r="B988" s="36" t="n"/>
      <c r="C988" s="36" t="n"/>
      <c r="D988" s="36" t="n"/>
      <c r="E988" s="36" t="n"/>
      <c r="F988" s="36" t="n"/>
      <c r="G988" s="37">
        <f>IF($A988="","",$B988+$C988-$D988-$E988)</f>
        <v/>
      </c>
      <c r="H988" s="37">
        <f>IF($A988="","",IFERROR(ROUND($G988*INDEX(tblKurallar[deger_2025],MATCH("AKV-003",tblKurallar[kural_id],0)),2),0))</f>
        <v/>
      </c>
      <c r="I988" s="37">
        <f>IF($A988="","",IFERROR(MAX(0,$H988-$F988),0))</f>
        <v/>
      </c>
    </row>
    <row r="989">
      <c r="A989" s="36" t="n"/>
      <c r="B989" s="36" t="n"/>
      <c r="C989" s="36" t="n"/>
      <c r="D989" s="36" t="n"/>
      <c r="E989" s="36" t="n"/>
      <c r="F989" s="36" t="n"/>
      <c r="G989" s="37">
        <f>IF($A989="","",$B989+$C989-$D989-$E989)</f>
        <v/>
      </c>
      <c r="H989" s="37">
        <f>IF($A989="","",IFERROR(ROUND($G989*INDEX(tblKurallar[deger_2025],MATCH("AKV-003",tblKurallar[kural_id],0)),2),0))</f>
        <v/>
      </c>
      <c r="I989" s="37">
        <f>IF($A989="","",IFERROR(MAX(0,$H989-$F989),0))</f>
        <v/>
      </c>
    </row>
    <row r="990">
      <c r="A990" s="36" t="n"/>
      <c r="B990" s="36" t="n"/>
      <c r="C990" s="36" t="n"/>
      <c r="D990" s="36" t="n"/>
      <c r="E990" s="36" t="n"/>
      <c r="F990" s="36" t="n"/>
      <c r="G990" s="37">
        <f>IF($A990="","",$B990+$C990-$D990-$E990)</f>
        <v/>
      </c>
      <c r="H990" s="37">
        <f>IF($A990="","",IFERROR(ROUND($G990*INDEX(tblKurallar[deger_2025],MATCH("AKV-003",tblKurallar[kural_id],0)),2),0))</f>
        <v/>
      </c>
      <c r="I990" s="37">
        <f>IF($A990="","",IFERROR(MAX(0,$H990-$F990),0))</f>
        <v/>
      </c>
    </row>
    <row r="991">
      <c r="A991" s="36" t="n"/>
      <c r="B991" s="36" t="n"/>
      <c r="C991" s="36" t="n"/>
      <c r="D991" s="36" t="n"/>
      <c r="E991" s="36" t="n"/>
      <c r="F991" s="36" t="n"/>
      <c r="G991" s="37">
        <f>IF($A991="","",$B991+$C991-$D991-$E991)</f>
        <v/>
      </c>
      <c r="H991" s="37">
        <f>IF($A991="","",IFERROR(ROUND($G991*INDEX(tblKurallar[deger_2025],MATCH("AKV-003",tblKurallar[kural_id],0)),2),0))</f>
        <v/>
      </c>
      <c r="I991" s="37">
        <f>IF($A991="","",IFERROR(MAX(0,$H991-$F991),0))</f>
        <v/>
      </c>
    </row>
    <row r="992">
      <c r="A992" s="36" t="n"/>
      <c r="B992" s="36" t="n"/>
      <c r="C992" s="36" t="n"/>
      <c r="D992" s="36" t="n"/>
      <c r="E992" s="36" t="n"/>
      <c r="F992" s="36" t="n"/>
      <c r="G992" s="37">
        <f>IF($A992="","",$B992+$C992-$D992-$E992)</f>
        <v/>
      </c>
      <c r="H992" s="37">
        <f>IF($A992="","",IFERROR(ROUND($G992*INDEX(tblKurallar[deger_2025],MATCH("AKV-003",tblKurallar[kural_id],0)),2),0))</f>
        <v/>
      </c>
      <c r="I992" s="37">
        <f>IF($A992="","",IFERROR(MAX(0,$H992-$F992),0))</f>
        <v/>
      </c>
    </row>
    <row r="993">
      <c r="A993" s="36" t="n"/>
      <c r="B993" s="36" t="n"/>
      <c r="C993" s="36" t="n"/>
      <c r="D993" s="36" t="n"/>
      <c r="E993" s="36" t="n"/>
      <c r="F993" s="36" t="n"/>
      <c r="G993" s="37">
        <f>IF($A993="","",$B993+$C993-$D993-$E993)</f>
        <v/>
      </c>
      <c r="H993" s="37">
        <f>IF($A993="","",IFERROR(ROUND($G993*INDEX(tblKurallar[deger_2025],MATCH("AKV-003",tblKurallar[kural_id],0)),2),0))</f>
        <v/>
      </c>
      <c r="I993" s="37">
        <f>IF($A993="","",IFERROR(MAX(0,$H993-$F993),0))</f>
        <v/>
      </c>
    </row>
    <row r="994">
      <c r="A994" s="36" t="n"/>
      <c r="B994" s="36" t="n"/>
      <c r="C994" s="36" t="n"/>
      <c r="D994" s="36" t="n"/>
      <c r="E994" s="36" t="n"/>
      <c r="F994" s="36" t="n"/>
      <c r="G994" s="37">
        <f>IF($A994="","",$B994+$C994-$D994-$E994)</f>
        <v/>
      </c>
      <c r="H994" s="37">
        <f>IF($A994="","",IFERROR(ROUND($G994*INDEX(tblKurallar[deger_2025],MATCH("AKV-003",tblKurallar[kural_id],0)),2),0))</f>
        <v/>
      </c>
      <c r="I994" s="37">
        <f>IF($A994="","",IFERROR(MAX(0,$H994-$F994),0))</f>
        <v/>
      </c>
    </row>
    <row r="995">
      <c r="A995" s="36" t="n"/>
      <c r="B995" s="36" t="n"/>
      <c r="C995" s="36" t="n"/>
      <c r="D995" s="36" t="n"/>
      <c r="E995" s="36" t="n"/>
      <c r="F995" s="36" t="n"/>
      <c r="G995" s="37">
        <f>IF($A995="","",$B995+$C995-$D995-$E995)</f>
        <v/>
      </c>
      <c r="H995" s="37">
        <f>IF($A995="","",IFERROR(ROUND($G995*INDEX(tblKurallar[deger_2025],MATCH("AKV-003",tblKurallar[kural_id],0)),2),0))</f>
        <v/>
      </c>
      <c r="I995" s="37">
        <f>IF($A995="","",IFERROR(MAX(0,$H995-$F995),0))</f>
        <v/>
      </c>
    </row>
    <row r="996">
      <c r="A996" s="36" t="n"/>
      <c r="B996" s="36" t="n"/>
      <c r="C996" s="36" t="n"/>
      <c r="D996" s="36" t="n"/>
      <c r="E996" s="36" t="n"/>
      <c r="F996" s="36" t="n"/>
      <c r="G996" s="37">
        <f>IF($A996="","",$B996+$C996-$D996-$E996)</f>
        <v/>
      </c>
      <c r="H996" s="37">
        <f>IF($A996="","",IFERROR(ROUND($G996*INDEX(tblKurallar[deger_2025],MATCH("AKV-003",tblKurallar[kural_id],0)),2),0))</f>
        <v/>
      </c>
      <c r="I996" s="37">
        <f>IF($A996="","",IFERROR(MAX(0,$H996-$F996),0))</f>
        <v/>
      </c>
    </row>
    <row r="997">
      <c r="A997" s="36" t="n"/>
      <c r="B997" s="36" t="n"/>
      <c r="C997" s="36" t="n"/>
      <c r="D997" s="36" t="n"/>
      <c r="E997" s="36" t="n"/>
      <c r="F997" s="36" t="n"/>
      <c r="G997" s="37">
        <f>IF($A997="","",$B997+$C997-$D997-$E997)</f>
        <v/>
      </c>
      <c r="H997" s="37">
        <f>IF($A997="","",IFERROR(ROUND($G997*INDEX(tblKurallar[deger_2025],MATCH("AKV-003",tblKurallar[kural_id],0)),2),0))</f>
        <v/>
      </c>
      <c r="I997" s="37">
        <f>IF($A997="","",IFERROR(MAX(0,$H997-$F997),0))</f>
        <v/>
      </c>
    </row>
    <row r="998">
      <c r="A998" s="36" t="n"/>
      <c r="B998" s="36" t="n"/>
      <c r="C998" s="36" t="n"/>
      <c r="D998" s="36" t="n"/>
      <c r="E998" s="36" t="n"/>
      <c r="F998" s="36" t="n"/>
      <c r="G998" s="37">
        <f>IF($A998="","",$B998+$C998-$D998-$E998)</f>
        <v/>
      </c>
      <c r="H998" s="37">
        <f>IF($A998="","",IFERROR(ROUND($G998*INDEX(tblKurallar[deger_2025],MATCH("AKV-003",tblKurallar[kural_id],0)),2),0))</f>
        <v/>
      </c>
      <c r="I998" s="37">
        <f>IF($A998="","",IFERROR(MAX(0,$H998-$F998),0))</f>
        <v/>
      </c>
    </row>
    <row r="999">
      <c r="A999" s="36" t="n"/>
      <c r="B999" s="36" t="n"/>
      <c r="C999" s="36" t="n"/>
      <c r="D999" s="36" t="n"/>
      <c r="E999" s="36" t="n"/>
      <c r="F999" s="36" t="n"/>
      <c r="G999" s="37">
        <f>IF($A999="","",$B999+$C999-$D999-$E999)</f>
        <v/>
      </c>
      <c r="H999" s="37">
        <f>IF($A999="","",IFERROR(ROUND($G999*INDEX(tblKurallar[deger_2025],MATCH("AKV-003",tblKurallar[kural_id],0)),2),0))</f>
        <v/>
      </c>
      <c r="I999" s="37">
        <f>IF($A999="","",IFERROR(MAX(0,$H999-$F999),0))</f>
        <v/>
      </c>
    </row>
    <row r="1000">
      <c r="A1000" s="36" t="n"/>
      <c r="B1000" s="36" t="n"/>
      <c r="C1000" s="36" t="n"/>
      <c r="D1000" s="36" t="n"/>
      <c r="E1000" s="36" t="n"/>
      <c r="F1000" s="36" t="n"/>
      <c r="G1000" s="37">
        <f>IF($A1000="","",$B1000+$C1000-$D1000-$E1000)</f>
        <v/>
      </c>
      <c r="H1000" s="37">
        <f>IF($A1000="","",IFERROR(ROUND($G1000*INDEX(tblKurallar[deger_2025],MATCH("AKV-003",tblKurallar[kural_id],0)),2),0))</f>
        <v/>
      </c>
      <c r="I1000" s="37">
        <f>IF($A1000="","",IFERROR(MAX(0,$H1000-$F1000),0))</f>
        <v/>
      </c>
    </row>
    <row r="1001">
      <c r="A1001" s="36" t="n"/>
      <c r="B1001" s="36" t="n"/>
      <c r="C1001" s="36" t="n"/>
      <c r="D1001" s="36" t="n"/>
      <c r="E1001" s="36" t="n"/>
      <c r="F1001" s="36" t="n"/>
      <c r="G1001" s="37">
        <f>IF($A1001="","",$B1001+$C1001-$D1001-$E1001)</f>
        <v/>
      </c>
      <c r="H1001" s="37">
        <f>IF($A1001="","",IFERROR(ROUND($G1001*INDEX(tblKurallar[deger_2025],MATCH("AKV-003",tblKurallar[kural_id],0)),2),0))</f>
        <v/>
      </c>
      <c r="I1001" s="37">
        <f>IF($A1001="","",IFERROR(MAX(0,$H1001-$F1001),0))</f>
        <v/>
      </c>
    </row>
    <row r="1002">
      <c r="A1002" s="36" t="n"/>
      <c r="B1002" s="36" t="n"/>
      <c r="C1002" s="36" t="n"/>
      <c r="D1002" s="36" t="n"/>
      <c r="E1002" s="36" t="n"/>
      <c r="F1002" s="36" t="n"/>
      <c r="G1002" s="37">
        <f>IF($A1002="","",$B1002+$C1002-$D1002-$E1002)</f>
        <v/>
      </c>
      <c r="H1002" s="37">
        <f>IF($A1002="","",IFERROR(ROUND($G1002*INDEX(tblKurallar[deger_2025],MATCH("AKV-003",tblKurallar[kural_id],0)),2),0))</f>
        <v/>
      </c>
      <c r="I1002" s="37">
        <f>IF($A1002="","",IFERROR(MAX(0,$H1002-$F1002),0))</f>
        <v/>
      </c>
    </row>
    <row r="1003">
      <c r="A1003" s="36" t="n"/>
      <c r="B1003" s="36" t="n"/>
      <c r="C1003" s="36" t="n"/>
      <c r="D1003" s="36" t="n"/>
      <c r="E1003" s="36" t="n"/>
      <c r="F1003" s="36" t="n"/>
      <c r="G1003" s="37">
        <f>IF($A1003="","",$B1003+$C1003-$D1003-$E1003)</f>
        <v/>
      </c>
      <c r="H1003" s="37">
        <f>IF($A1003="","",IFERROR(ROUND($G1003*INDEX(tblKurallar[deger_2025],MATCH("AKV-003",tblKurallar[kural_id],0)),2),0))</f>
        <v/>
      </c>
      <c r="I1003" s="37">
        <f>IF($A1003="","",IFERROR(MAX(0,$H1003-$F1003),0))</f>
        <v/>
      </c>
    </row>
    <row r="1004">
      <c r="A1004" s="36" t="n"/>
      <c r="B1004" s="36" t="n"/>
      <c r="C1004" s="36" t="n"/>
      <c r="D1004" s="36" t="n"/>
      <c r="E1004" s="36" t="n"/>
      <c r="F1004" s="36" t="n"/>
      <c r="G1004" s="37">
        <f>IF($A1004="","",$B1004+$C1004-$D1004-$E1004)</f>
        <v/>
      </c>
      <c r="H1004" s="37">
        <f>IF($A1004="","",IFERROR(ROUND($G1004*INDEX(tblKurallar[deger_2025],MATCH("AKV-003",tblKurallar[kural_id],0)),2),0))</f>
        <v/>
      </c>
      <c r="I1004" s="37">
        <f>IF($A1004="","",IFERROR(MAX(0,$H1004-$F1004),0))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I3"/>
    <mergeCell ref="A1:AD1"/>
  </mergeCells>
  <conditionalFormatting sqref="B6:B20">
    <cfRule type="cellIs" priority="1" operator="lessThan" dxfId="3">
      <formula>0</formula>
    </cfRule>
  </conditionalFormatting>
  <conditionalFormatting sqref="C6:C20">
    <cfRule type="cellIs" priority="2" operator="lessThan" dxfId="3">
      <formula>0</formula>
    </cfRule>
  </conditionalFormatting>
  <conditionalFormatting sqref="D6:D20">
    <cfRule type="cellIs" priority="3" operator="lessThan" dxfId="3">
      <formula>0</formula>
    </cfRule>
  </conditionalFormatting>
  <conditionalFormatting sqref="E6:E20">
    <cfRule type="cellIs" priority="4" operator="lessThan" dxfId="3">
      <formula>0</formula>
    </cfRule>
  </conditionalFormatting>
  <conditionalFormatting sqref="F6:F20">
    <cfRule type="cellIs" priority="5" operator="lessThan" dxfId="3">
      <formula>0</formula>
    </cfRule>
  </conditionalFormatting>
  <conditionalFormatting sqref="G6:G20">
    <cfRule type="cellIs" priority="6" operator="lessThan" dxfId="3">
      <formula>0</formula>
    </cfRule>
  </conditionalFormatting>
  <conditionalFormatting sqref="H6:H20">
    <cfRule type="cellIs" priority="7" operator="lessThan" dxfId="3">
      <formula>0</formula>
    </cfRule>
  </conditionalFormatting>
  <conditionalFormatting sqref="I6:I20">
    <cfRule type="cellIs" priority="8" operator="lessThan" dxfId="3">
      <formula>0</formula>
    </cfRule>
    <cfRule type="cellIs" priority="9" operator="greaterThan" dxfId="5">
      <formula>0</formula>
    </cfRule>
  </conditionalFormatting>
  <dataValidations count="5">
    <dataValidation sqref="B6:B1004" showDropDown="0" showInputMessage="1" showErrorMessage="1" allowBlank="1" errorTitle="Geçersiz" error="0 ile 1e12 arasında." promptTitle="Ticari Kâr" prompt="Ticari Kâr tutarını TL girin." type="decimal" errorStyle="stop" operator="between">
      <formula1>0</formula1>
      <formula2>1000000000000</formula2>
    </dataValidation>
    <dataValidation sqref="C6:C1004" showDropDown="0" showInputMessage="1" showErrorMessage="1" allowBlank="1" errorTitle="Geçersiz" error="0 ile 1e12 arasında." promptTitle="KKEG" prompt="KKEG tutarını TL girin." type="decimal" errorStyle="stop" operator="between">
      <formula1>0</formula1>
      <formula2>1000000000000</formula2>
    </dataValidation>
    <dataValidation sqref="D6:D1004" showDropDown="0" showInputMessage="1" showErrorMessage="1" allowBlank="1" errorTitle="Geçersiz" error="0 ile 1e12 arasında." promptTitle="İstisna" prompt="İstisna tutarını TL girin." type="decimal" errorStyle="stop" operator="between">
      <formula1>0</formula1>
      <formula2>1000000000000</formula2>
    </dataValidation>
    <dataValidation sqref="E6:E1004" showDropDown="0" showInputMessage="1" showErrorMessage="1" allowBlank="1" errorTitle="Geçersiz" error="0 ile 1e12 arasında." promptTitle="İndirim" prompt="İndirim tutarını TL girin." type="decimal" errorStyle="stop" operator="between">
      <formula1>0</formula1>
      <formula2>1000000000000</formula2>
    </dataValidation>
    <dataValidation sqref="F6:F1004" showDropDown="0" showInputMessage="1" showErrorMessage="1" allowBlank="1" errorTitle="Geçersiz" error="0 ile 1e12 arasında." promptTitle="Ödenen KV" prompt="Ödenen KV tutarını TL girin." type="decimal" errorStyle="stop" operator="between">
      <formula1>0</formula1>
      <formula2>1000000000000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tabColor rgb="00595959"/>
    <outlinePr summaryBelow="1" summaryRight="1"/>
    <pageSetUpPr/>
  </sheetPr>
  <dimension ref="A1:T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3" max="3"/>
    <col width="12" customWidth="1" min="5" max="5"/>
  </cols>
  <sheetData>
    <row r="1" ht="26" customHeight="1">
      <c r="A1" s="1" t="inlineStr">
        <is>
          <t>LISTELER — Asgari Kurumlar Vergisi Simülasyon Motoru</t>
        </is>
      </c>
    </row>
    <row r="3">
      <c r="A3" s="10" t="inlineStr">
        <is>
          <t>Doğrulama listeleri</t>
        </is>
      </c>
    </row>
    <row r="5">
      <c r="A5" s="50" t="inlineStr">
        <is>
          <t>Yıllar</t>
        </is>
      </c>
      <c r="C5" s="50" t="inlineStr">
        <is>
          <t>Yorum A/B</t>
        </is>
      </c>
      <c r="E5" s="50" t="inlineStr">
        <is>
          <t>Evet/Hayır</t>
        </is>
      </c>
    </row>
    <row r="6">
      <c r="A6" s="61" t="n">
        <v>2025</v>
      </c>
      <c r="C6" s="59" t="inlineStr">
        <is>
          <t>A</t>
        </is>
      </c>
      <c r="E6" s="59" t="inlineStr">
        <is>
          <t>Evet</t>
        </is>
      </c>
    </row>
    <row r="7">
      <c r="A7" s="61" t="n">
        <v>2026</v>
      </c>
      <c r="C7" s="59" t="inlineStr">
        <is>
          <t>B</t>
        </is>
      </c>
      <c r="E7" s="59" t="inlineStr">
        <is>
          <t>Hayır</t>
        </is>
      </c>
    </row>
    <row r="8">
      <c r="A8" s="61" t="n">
        <v>2027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0F2742"/>
    <outlinePr summaryBelow="1" summaryRight="1"/>
    <pageSetUpPr/>
  </sheetPr>
  <dimension ref="A1:AD3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32" customWidth="1" min="4" max="4"/>
    <col width="22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AYARLAR — Asgari Kurumlar Vergisi Simülasyon Motoru</t>
        </is>
      </c>
    </row>
    <row r="3">
      <c r="A3" s="9" t="inlineStr">
        <is>
          <t>Parametreler (tek kaynak)</t>
        </is>
      </c>
    </row>
    <row r="5" ht="30" customHeight="1">
      <c r="A5" s="22" t="inlineStr">
        <is>
          <t>anahtar</t>
        </is>
      </c>
      <c r="B5" s="22" t="inlineStr">
        <is>
          <t>deger</t>
        </is>
      </c>
      <c r="C5" s="22" t="inlineStr">
        <is>
          <t>birim</t>
        </is>
      </c>
      <c r="D5" s="22" t="inlineStr">
        <is>
          <t>aciklama</t>
        </is>
      </c>
      <c r="E5" s="22" t="inlineStr">
        <is>
          <t>kaynak</t>
        </is>
      </c>
      <c r="F5" s="22" t="inlineStr">
        <is>
          <t>yururluk_tarihi</t>
        </is>
      </c>
      <c r="G5" s="22" t="inlineStr">
        <is>
          <t>dogrulama_tarihi</t>
        </is>
      </c>
      <c r="H5" s="22" t="inlineStr">
        <is>
          <t>kontrol</t>
        </is>
      </c>
    </row>
    <row r="6">
      <c r="A6" s="7" t="inlineStr">
        <is>
          <t>hesapYili</t>
        </is>
      </c>
      <c r="B6" s="44" t="n">
        <v>2025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10.08.2026</t>
        </is>
      </c>
      <c r="H6" s="62">
        <f>IF(A6="","",IF(B6="","EKSİK","TAM"))</f>
        <v/>
      </c>
    </row>
    <row r="7">
      <c r="A7" s="7" t="inlineStr">
        <is>
          <t>raporTarihi</t>
        </is>
      </c>
      <c r="B7" s="63" t="n">
        <v>46244</v>
      </c>
      <c r="C7" s="7" t="inlineStr">
        <is>
          <t>tarih</t>
        </is>
      </c>
      <c r="D7" s="7" t="inlineStr">
        <is>
          <t>Rapor tarihi (sabit)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10.08.2026</t>
        </is>
      </c>
      <c r="H7" s="62">
        <f>IF(A7="","",IF(B7="","EKSİK","TAM"))</f>
        <v/>
      </c>
    </row>
    <row r="8">
      <c r="A8" s="7" t="inlineStr">
        <is>
          <t>akv_tolerans</t>
        </is>
      </c>
      <c r="B8" s="64" t="n">
        <v>0.01</v>
      </c>
      <c r="C8" s="7" t="inlineStr">
        <is>
          <t>TL</t>
        </is>
      </c>
      <c r="D8" s="7" t="inlineStr">
        <is>
          <t>Vaka tutarlılık toleransı</t>
        </is>
      </c>
      <c r="E8" s="7" t="inlineStr">
        <is>
          <t>Uygulama notu</t>
        </is>
      </c>
      <c r="F8" s="7" t="inlineStr">
        <is>
          <t>01.01.2025</t>
        </is>
      </c>
      <c r="G8" s="7" t="inlineStr">
        <is>
          <t>10.08.2026</t>
        </is>
      </c>
      <c r="H8" s="62">
        <f>IF(A8="","",IF(B8="","EKSİK","TAM"))</f>
        <v/>
      </c>
    </row>
    <row r="9">
      <c r="A9" s="7" t="inlineStr">
        <is>
          <t>akv_farkEsik</t>
        </is>
      </c>
      <c r="B9" s="64" t="n">
        <v>100000</v>
      </c>
      <c r="C9" s="7" t="inlineStr">
        <is>
          <t>TL</t>
        </is>
      </c>
      <c r="D9" s="7" t="inlineStr">
        <is>
          <t>PANO fark uyarı eşiği</t>
        </is>
      </c>
      <c r="E9" s="7" t="inlineStr">
        <is>
          <t>İç politika</t>
        </is>
      </c>
      <c r="F9" s="7" t="inlineStr">
        <is>
          <t>01.01.2025</t>
        </is>
      </c>
      <c r="G9" s="7" t="inlineStr">
        <is>
          <t>10.08.2026</t>
        </is>
      </c>
      <c r="H9" s="62">
        <f>IF(A9="","",IF(B9="","EKSİK","TAM"))</f>
        <v/>
      </c>
    </row>
    <row r="10">
      <c r="A10" s="7" t="inlineStr">
        <is>
          <t>akv_senaryoIyi</t>
        </is>
      </c>
      <c r="B10" s="43" t="n">
        <v>0.9</v>
      </c>
      <c r="C10" s="7" t="inlineStr">
        <is>
          <t>çarpan</t>
        </is>
      </c>
      <c r="D10" s="7" t="inlineStr">
        <is>
          <t>İyimser matrah çarpanı</t>
        </is>
      </c>
      <c r="E10" s="7" t="inlineStr">
        <is>
          <t>Model varsayımı</t>
        </is>
      </c>
      <c r="F10" s="7" t="inlineStr">
        <is>
          <t>01.01.2025</t>
        </is>
      </c>
      <c r="G10" s="7" t="inlineStr">
        <is>
          <t>10.08.2026</t>
        </is>
      </c>
      <c r="H10" s="62">
        <f>IF(A10="","",IF(B10="","EKSİK","TAM"))</f>
        <v/>
      </c>
    </row>
    <row r="11">
      <c r="A11" s="7" t="inlineStr">
        <is>
          <t>akv_senaryoKotu</t>
        </is>
      </c>
      <c r="B11" s="43" t="n">
        <v>1.1</v>
      </c>
      <c r="C11" s="7" t="inlineStr">
        <is>
          <t>çarpan</t>
        </is>
      </c>
      <c r="D11" s="7" t="inlineStr">
        <is>
          <t>Kötümser matrah çarpanı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10.08.2026</t>
        </is>
      </c>
      <c r="H11" s="62">
        <f>IF(A11="","",IF(B11="","EKSİK","TAM"))</f>
        <v/>
      </c>
    </row>
    <row r="12">
      <c r="A12" s="7" t="inlineStr">
        <is>
          <t>akv_oranArtisPuan</t>
        </is>
      </c>
      <c r="B12" s="43" t="n">
        <v>0.01</v>
      </c>
      <c r="C12" s="7" t="inlineStr">
        <is>
          <t>oran</t>
        </is>
      </c>
      <c r="D12" s="7" t="inlineStr">
        <is>
          <t>M-SEN +1 puan</t>
        </is>
      </c>
      <c r="E12" s="7" t="inlineStr">
        <is>
          <t>Senaryo motoru</t>
        </is>
      </c>
      <c r="F12" s="7" t="inlineStr">
        <is>
          <t>01.01.2025</t>
        </is>
      </c>
      <c r="G12" s="7" t="inlineStr">
        <is>
          <t>10.08.2026</t>
        </is>
      </c>
      <c r="H12" s="62">
        <f>IF(A12="","",IF(B12="","EKSİK","TAM"))</f>
        <v/>
      </c>
    </row>
    <row r="13">
      <c r="A13" s="7" t="inlineStr">
        <is>
          <t>akv_tahminAlt</t>
        </is>
      </c>
      <c r="B13" s="43" t="n">
        <v>0.85</v>
      </c>
      <c r="C13" s="7" t="inlineStr">
        <is>
          <t>çarpan</t>
        </is>
      </c>
      <c r="D13" s="7" t="inlineStr">
        <is>
          <t>Tahmin alt bant</t>
        </is>
      </c>
      <c r="E13" s="7" t="inlineStr">
        <is>
          <t>Model varsayımı</t>
        </is>
      </c>
      <c r="F13" s="7" t="inlineStr">
        <is>
          <t>01.01.2025</t>
        </is>
      </c>
      <c r="G13" s="7" t="inlineStr">
        <is>
          <t>10.08.2026</t>
        </is>
      </c>
      <c r="H13" s="62">
        <f>IF(A13="","",IF(B13="","EKSİK","TAM"))</f>
        <v/>
      </c>
    </row>
    <row r="14">
      <c r="A14" s="7" t="inlineStr">
        <is>
          <t>akv_tahminUst</t>
        </is>
      </c>
      <c r="B14" s="43" t="n">
        <v>1.15</v>
      </c>
      <c r="C14" s="7" t="inlineStr">
        <is>
          <t>çarpan</t>
        </is>
      </c>
      <c r="D14" s="7" t="inlineStr">
        <is>
          <t>Tahmin üst bant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10.08.2026</t>
        </is>
      </c>
      <c r="H14" s="62">
        <f>IF(A14="","",IF(B14="","EKSİK","TAM"))</f>
        <v/>
      </c>
    </row>
    <row r="15">
      <c r="A15" s="7" t="inlineStr">
        <is>
          <t>akv_tornadoMatrah</t>
        </is>
      </c>
      <c r="B15" s="43" t="n">
        <v>1.05</v>
      </c>
      <c r="C15" s="7" t="inlineStr">
        <is>
          <t>çarpan</t>
        </is>
      </c>
      <c r="D15" s="7" t="inlineStr">
        <is>
          <t>Tornado matrah şoku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10.08.2026</t>
        </is>
      </c>
      <c r="H15" s="62">
        <f>IF(A15="","",IF(B15="","EKSİK","TAM"))</f>
        <v/>
      </c>
    </row>
    <row r="16">
      <c r="A16" s="7" t="inlineStr">
        <is>
          <t>akv_tornadoOdenen</t>
        </is>
      </c>
      <c r="B16" s="43" t="n">
        <v>0.95</v>
      </c>
      <c r="C16" s="7" t="inlineStr">
        <is>
          <t>çarpan</t>
        </is>
      </c>
      <c r="D16" s="7" t="inlineStr">
        <is>
          <t>Tornado ödenen şoku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10.08.2026</t>
        </is>
      </c>
      <c r="H16" s="62">
        <f>IF(A16="","",IF(B16="","EKSİK","TAM"))</f>
        <v/>
      </c>
    </row>
    <row r="17">
      <c r="A17" s="7" t="inlineStr">
        <is>
          <t>akv_yorumAIstisnaCarpan</t>
        </is>
      </c>
      <c r="B17" s="43" t="n">
        <v>0.5</v>
      </c>
      <c r="C17" s="7" t="inlineStr">
        <is>
          <t>çarpan</t>
        </is>
      </c>
      <c r="D17" s="7" t="inlineStr">
        <is>
          <t>Yorum A istisna çarpanı</t>
        </is>
      </c>
      <c r="E17" s="7" t="inlineStr">
        <is>
          <t>Belirsizlik A</t>
        </is>
      </c>
      <c r="F17" s="7" t="inlineStr">
        <is>
          <t>01.01.2025</t>
        </is>
      </c>
      <c r="G17" s="7" t="inlineStr">
        <is>
          <t>10.08.2026</t>
        </is>
      </c>
      <c r="H17" s="62">
        <f>IF(A17="","",IF(B17="","EKSİK","TAM"))</f>
        <v/>
      </c>
    </row>
    <row r="18">
      <c r="A18" s="7" t="inlineStr">
        <is>
          <t>akv_yuzdelikOran</t>
        </is>
      </c>
      <c r="B18" s="43" t="n">
        <v>0.9</v>
      </c>
      <c r="C18" s="7" t="inlineStr">
        <is>
          <t>oran</t>
        </is>
      </c>
      <c r="D18" s="7" t="inlineStr">
        <is>
          <t>Yüzdelik P90</t>
        </is>
      </c>
      <c r="E18" s="7" t="inlineStr">
        <is>
          <t>İstatistik</t>
        </is>
      </c>
      <c r="F18" s="7" t="inlineStr">
        <is>
          <t>01.01.2025</t>
        </is>
      </c>
      <c r="G18" s="7" t="inlineStr">
        <is>
          <t>10.08.2026</t>
        </is>
      </c>
      <c r="H18" s="62">
        <f>IF(A18="","",IF(B18="","EKSİK","TAM"))</f>
        <v/>
      </c>
    </row>
    <row r="19">
      <c r="A19" s="7" t="inlineStr">
        <is>
          <t>akv_parmakIzi</t>
        </is>
      </c>
      <c r="B19" s="65" t="inlineStr">
        <is>
          <t>36abc96f6d9001c2</t>
        </is>
      </c>
      <c r="C19" s="7" t="inlineStr">
        <is>
          <t>metin</t>
        </is>
      </c>
      <c r="D19" s="7" t="inlineStr">
        <is>
          <t>Dosya parmak izi etiketi</t>
        </is>
      </c>
      <c r="E19" s="7" t="inlineStr">
        <is>
          <t>Üretim</t>
        </is>
      </c>
      <c r="F19" s="7" t="inlineStr">
        <is>
          <t>01.01.2025</t>
        </is>
      </c>
      <c r="G19" s="7" t="inlineStr">
        <is>
          <t>10.08.2026</t>
        </is>
      </c>
      <c r="H19" s="62">
        <f>IF(A19="","",IF(B19="","EKSİK","TAM"))</f>
        <v/>
      </c>
    </row>
    <row r="20">
      <c r="A20" s="7" t="inlineStr">
        <is>
          <t>dosya_surumu</t>
        </is>
      </c>
      <c r="B20" s="65" t="inlineStr">
        <is>
          <t>1.0.0</t>
        </is>
      </c>
      <c r="C20" s="7" t="inlineStr">
        <is>
          <t>metin</t>
        </is>
      </c>
      <c r="D20" s="7" t="inlineStr">
        <is>
          <t>Ürün sürümü</t>
        </is>
      </c>
      <c r="E20" s="7" t="inlineStr">
        <is>
          <t>ExcelArşiv</t>
        </is>
      </c>
      <c r="F20" s="7" t="inlineStr">
        <is>
          <t>01.01.2025</t>
        </is>
      </c>
      <c r="G20" s="7" t="inlineStr">
        <is>
          <t>10.08.2026</t>
        </is>
      </c>
      <c r="H20" s="62">
        <f>IF(A20="","",IF(B20="","EKSİK","TAM"))</f>
        <v/>
      </c>
    </row>
    <row r="21">
      <c r="A21" s="7" t="inlineStr">
        <is>
          <t>akv_girisBeklenen</t>
        </is>
      </c>
      <c r="B21" s="44" t="n">
        <v>9</v>
      </c>
      <c r="C21" s="7" t="inlineStr">
        <is>
          <t>adet</t>
        </is>
      </c>
      <c r="D21" s="7" t="inlineStr">
        <is>
          <t>Zorunlu giriş alanı sayısı</t>
        </is>
      </c>
      <c r="E21" s="7" t="inlineStr">
        <is>
          <t>Ürün mimarisi</t>
        </is>
      </c>
      <c r="F21" s="7" t="inlineStr">
        <is>
          <t>01.01.2025</t>
        </is>
      </c>
      <c r="G21" s="7" t="inlineStr">
        <is>
          <t>10.08.2026</t>
        </is>
      </c>
      <c r="H21" s="62">
        <f>IF(A21="","",IF(B21="","EKSİK","TAM"))</f>
        <v/>
      </c>
    </row>
    <row r="22">
      <c r="A22" s="7" t="inlineStr">
        <is>
          <t>akv_riskDusuk</t>
        </is>
      </c>
      <c r="B22" s="44" t="n">
        <v>15</v>
      </c>
      <c r="C22" s="7" t="inlineStr">
        <is>
          <t>puan</t>
        </is>
      </c>
      <c r="D22" s="7" t="inlineStr">
        <is>
          <t>Düşük risk skoru</t>
        </is>
      </c>
      <c r="E22" s="7" t="inlineStr">
        <is>
          <t>İç politika</t>
        </is>
      </c>
      <c r="F22" s="7" t="inlineStr">
        <is>
          <t>01.01.2025</t>
        </is>
      </c>
      <c r="G22" s="7" t="inlineStr">
        <is>
          <t>10.08.2026</t>
        </is>
      </c>
      <c r="H22" s="62">
        <f>IF(A22="","",IF(B22="","EKSİK","TAM"))</f>
        <v/>
      </c>
    </row>
    <row r="23">
      <c r="A23" s="7" t="inlineStr">
        <is>
          <t>akv_riskOrta</t>
        </is>
      </c>
      <c r="B23" s="44" t="n">
        <v>55</v>
      </c>
      <c r="C23" s="7" t="inlineStr">
        <is>
          <t>puan</t>
        </is>
      </c>
      <c r="D23" s="7" t="inlineStr">
        <is>
          <t>Orta risk skoru</t>
        </is>
      </c>
      <c r="E23" s="7" t="inlineStr">
        <is>
          <t>İç politika</t>
        </is>
      </c>
      <c r="F23" s="7" t="inlineStr">
        <is>
          <t>01.01.2025</t>
        </is>
      </c>
      <c r="G23" s="7" t="inlineStr">
        <is>
          <t>10.08.2026</t>
        </is>
      </c>
      <c r="H23" s="62">
        <f>IF(A23="","",IF(B23="","EKSİK","TAM"))</f>
        <v/>
      </c>
    </row>
    <row r="24">
      <c r="A24" s="7" t="inlineStr">
        <is>
          <t>akv_riskYuksek</t>
        </is>
      </c>
      <c r="B24" s="44" t="n">
        <v>85</v>
      </c>
      <c r="C24" s="7" t="inlineStr">
        <is>
          <t>puan</t>
        </is>
      </c>
      <c r="D24" s="7" t="inlineStr">
        <is>
          <t>Yüksek risk skoru</t>
        </is>
      </c>
      <c r="E24" s="7" t="inlineStr">
        <is>
          <t>İç politika</t>
        </is>
      </c>
      <c r="F24" s="7" t="inlineStr">
        <is>
          <t>01.01.2025</t>
        </is>
      </c>
      <c r="G24" s="7" t="inlineStr">
        <is>
          <t>10.08.2026</t>
        </is>
      </c>
      <c r="H24" s="62">
        <f>IF(A24="","",IF(B24="","EKSİK","TAM"))</f>
        <v/>
      </c>
    </row>
    <row r="25">
      <c r="A25" s="7" t="inlineStr">
        <is>
          <t>akv_riskEsikOran</t>
        </is>
      </c>
      <c r="B25" s="43" t="n">
        <v>0.5</v>
      </c>
      <c r="C25" s="7" t="inlineStr">
        <is>
          <t>oran</t>
        </is>
      </c>
      <c r="D25" s="7" t="inlineStr">
        <is>
          <t>Yüksek risk fark/asgari eşiği</t>
        </is>
      </c>
      <c r="E25" s="7" t="inlineStr">
        <is>
          <t>İç politika</t>
        </is>
      </c>
      <c r="F25" s="7" t="inlineStr">
        <is>
          <t>01.01.2025</t>
        </is>
      </c>
      <c r="G25" s="7" t="inlineStr">
        <is>
          <t>10.08.2026</t>
        </is>
      </c>
      <c r="H25" s="62">
        <f>IF(A25="","",IF(B25="","EKSİK","TAM"))</f>
        <v/>
      </c>
    </row>
    <row r="26">
      <c r="A26" s="7" t="inlineStr">
        <is>
          <t>akv_yilTaban</t>
        </is>
      </c>
      <c r="B26" s="44" t="n">
        <v>2024</v>
      </c>
      <c r="C26" s="7" t="inlineStr">
        <is>
          <t>yıl</t>
        </is>
      </c>
      <c r="D26" s="7" t="inlineStr">
        <is>
          <t>CHOOSE yıl tabanı (hesapYili−taban)</t>
        </is>
      </c>
      <c r="E26" s="7" t="inlineStr">
        <is>
          <t>Ürün mimarisi</t>
        </is>
      </c>
      <c r="F26" s="7" t="inlineStr">
        <is>
          <t>01.01.2025</t>
        </is>
      </c>
      <c r="G26" s="7" t="inlineStr">
        <is>
          <t>10.08.2026</t>
        </is>
      </c>
      <c r="H26" s="62">
        <f>IF(A26="","",IF(B26="","EKSİK","TAM"))</f>
        <v/>
      </c>
    </row>
    <row r="27">
      <c r="A27" s="7" t="inlineStr">
        <is>
          <t>akv_yuvarMax</t>
        </is>
      </c>
      <c r="B27" s="44" t="n">
        <v>10</v>
      </c>
      <c r="C27" s="7" t="inlineStr">
        <is>
          <t>adet</t>
        </is>
      </c>
      <c r="D27" s="7" t="inlineStr">
        <is>
          <t>ROUND basamak tavanı</t>
        </is>
      </c>
      <c r="E27" s="7" t="inlineStr">
        <is>
          <t>Ürün mimarisi</t>
        </is>
      </c>
      <c r="F27" s="7" t="inlineStr">
        <is>
          <t>01.01.2025</t>
        </is>
      </c>
      <c r="G27" s="7" t="inlineStr">
        <is>
          <t>10.08.2026</t>
        </is>
      </c>
      <c r="H27" s="62">
        <f>IF(A27="","",IF(B27="","EKSİK","TAM"))</f>
        <v/>
      </c>
    </row>
    <row r="28">
      <c r="A28" s="7" t="inlineStr">
        <is>
          <t>vaka_matrah_1</t>
        </is>
      </c>
      <c r="B28" s="64" t="n">
        <v>10200000</v>
      </c>
      <c r="C28" s="7" t="inlineStr">
        <is>
          <t>TL</t>
        </is>
      </c>
      <c r="D28" s="7" t="inlineStr">
        <is>
          <t>Vaka1 matrah</t>
        </is>
      </c>
      <c r="E28" s="7" t="inlineStr">
        <is>
          <t>Tebliğ örneği</t>
        </is>
      </c>
      <c r="F28" s="7" t="inlineStr">
        <is>
          <t>01.01.2025</t>
        </is>
      </c>
      <c r="G28" s="7" t="inlineStr">
        <is>
          <t>10.08.2026</t>
        </is>
      </c>
      <c r="H28" s="62">
        <f>IF(A28="","",IF(B28="","EKSİK","TAM"))</f>
        <v/>
      </c>
    </row>
    <row r="29">
      <c r="A29" s="7" t="inlineStr">
        <is>
          <t>vaka_odenen_1</t>
        </is>
      </c>
      <c r="B29" s="64" t="n">
        <v>800000</v>
      </c>
      <c r="C29" s="7" t="inlineStr">
        <is>
          <t>TL</t>
        </is>
      </c>
      <c r="D29" s="7" t="inlineStr">
        <is>
          <t>Vaka1 ödenen</t>
        </is>
      </c>
      <c r="E29" s="7" t="inlineStr">
        <is>
          <t>Tebliğ örneği</t>
        </is>
      </c>
      <c r="F29" s="7" t="inlineStr">
        <is>
          <t>01.01.2025</t>
        </is>
      </c>
      <c r="G29" s="7" t="inlineStr">
        <is>
          <t>10.08.2026</t>
        </is>
      </c>
      <c r="H29" s="62">
        <f>IF(A29="","",IF(B29="","EKSİK","TAM"))</f>
        <v/>
      </c>
    </row>
    <row r="30">
      <c r="A30" s="7" t="inlineStr">
        <is>
          <t>vaka_matrah_2</t>
        </is>
      </c>
      <c r="B30" s="64" t="n">
        <v>10200000</v>
      </c>
      <c r="C30" s="7" t="inlineStr">
        <is>
          <t>TL</t>
        </is>
      </c>
      <c r="D30" s="7" t="inlineStr">
        <is>
          <t>Vaka2 matrah</t>
        </is>
      </c>
      <c r="E30" s="7" t="inlineStr">
        <is>
          <t>Tebliğ örneği</t>
        </is>
      </c>
      <c r="F30" s="7" t="inlineStr">
        <is>
          <t>01.01.2025</t>
        </is>
      </c>
      <c r="G30" s="7" t="inlineStr">
        <is>
          <t>10.08.2026</t>
        </is>
      </c>
      <c r="H30" s="62">
        <f>IF(A30="","",IF(B30="","EKSİK","TAM"))</f>
        <v/>
      </c>
    </row>
    <row r="31">
      <c r="A31" s="7" t="inlineStr">
        <is>
          <t>vaka_odenen_2</t>
        </is>
      </c>
      <c r="B31" s="64" t="n">
        <v>1020000</v>
      </c>
      <c r="C31" s="7" t="inlineStr">
        <is>
          <t>TL</t>
        </is>
      </c>
      <c r="D31" s="7" t="inlineStr">
        <is>
          <t>Vaka2 ödenen</t>
        </is>
      </c>
      <c r="E31" s="7" t="inlineStr">
        <is>
          <t>Tebliğ örneği</t>
        </is>
      </c>
      <c r="F31" s="7" t="inlineStr">
        <is>
          <t>01.01.2025</t>
        </is>
      </c>
      <c r="G31" s="7" t="inlineStr">
        <is>
          <t>10.08.2026</t>
        </is>
      </c>
      <c r="H31" s="62">
        <f>IF(A31="","",IF(B31="","EKSİK","TAM"))</f>
        <v/>
      </c>
    </row>
    <row r="32">
      <c r="A32" s="7" t="inlineStr">
        <is>
          <t>vaka_matrah_3</t>
        </is>
      </c>
      <c r="B32" s="64" t="n">
        <v>5000000</v>
      </c>
      <c r="C32" s="7" t="inlineStr">
        <is>
          <t>TL</t>
        </is>
      </c>
      <c r="D32" s="7" t="inlineStr">
        <is>
          <t>Vaka3 matrah</t>
        </is>
      </c>
      <c r="E32" s="7" t="inlineStr">
        <is>
          <t>Tebliğ örneği</t>
        </is>
      </c>
      <c r="F32" s="7" t="inlineStr">
        <is>
          <t>01.01.2025</t>
        </is>
      </c>
      <c r="G32" s="7" t="inlineStr">
        <is>
          <t>10.08.2026</t>
        </is>
      </c>
      <c r="H32" s="62">
        <f>IF(A32="","",IF(B32="","EKSİK","TAM"))</f>
        <v/>
      </c>
    </row>
    <row r="33">
      <c r="A33" s="7" t="inlineStr">
        <is>
          <t>vaka_odenen_3</t>
        </is>
      </c>
      <c r="B33" s="64" t="n">
        <v>400000</v>
      </c>
      <c r="C33" s="7" t="inlineStr">
        <is>
          <t>TL</t>
        </is>
      </c>
      <c r="D33" s="7" t="inlineStr">
        <is>
          <t>Vaka3 ödenen</t>
        </is>
      </c>
      <c r="E33" s="7" t="inlineStr">
        <is>
          <t>Tebliğ örneği</t>
        </is>
      </c>
      <c r="F33" s="7" t="inlineStr">
        <is>
          <t>01.01.2025</t>
        </is>
      </c>
      <c r="G33" s="7" t="inlineStr">
        <is>
          <t>10.08.2026</t>
        </is>
      </c>
      <c r="H33" s="62">
        <f>IF(A33="","",IF(B33="","EKSİK","TAM"))</f>
        <v/>
      </c>
    </row>
    <row r="35">
      <c r="B35" s="66" t="inlineStr">
        <is>
          <t>Parametre satırları yukarıda; ad tanımları B kolonuna bağlı.</t>
        </is>
      </c>
    </row>
    <row r="37">
      <c r="B37" s="13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5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9" showDropDown="0" showInputMessage="1" showErrorMessage="1" allowBlank="1" errorTitle="Geçersiz" error="0 ve üzeri." promptTitle="Fark eşiği" prompt="Uyarı eşiği TL." type="decimal" errorStyle="stop" operator="greaterThanOrEqual">
      <formula1>0</formula1>
    </dataValidation>
    <dataValidation sqref="B10" showDropDown="0" showInputMessage="1" showErrorMessage="1" allowBlank="1" errorTitle="Geçersiz" error="0-2." promptTitle="İyimser çarpan" prompt="0-2 aralığı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 aralığı." type="decimal" errorStyle="stop" operator="between">
      <formula1>0</formula1>
      <formula2>2</formula2>
    </dataValidation>
    <dataValidation sqref="B12" showDropDown="0" showInputMessage="1" showErrorMessage="1" allowBlank="1" errorTitle="Geçersiz" error="0-0.2." promptTitle="Oran artış" prompt="Puan cinsinden." type="decimal" errorStyle="stop" operator="between">
      <formula1>0</formula1>
      <formula2>0.2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/>
  </sheetPr>
  <dimension ref="A1:AD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6" customHeight="1">
      <c r="A1" s="1" t="inlineStr">
        <is>
          <t>KILAVUZ — Asgari Kurumlar Vergisi Simülasyon Motoru</t>
        </is>
      </c>
    </row>
    <row r="3">
      <c r="A3" s="9" t="inlineStr">
        <is>
          <t>Karar kuralları</t>
        </is>
      </c>
    </row>
    <row r="5">
      <c r="A5" s="6" t="inlineStr">
        <is>
          <t>• VERİ YOK — giriş tablosu boşsa hesap yapılmaz.</t>
        </is>
      </c>
    </row>
    <row r="6">
      <c r="A6" s="6" t="inlineStr">
        <is>
          <t>• EK VERGİ YOK / UYGUN — ödenen KV ≥ asgari KV (fark = 0).</t>
        </is>
      </c>
    </row>
    <row r="7">
      <c r="A7" s="6" t="inlineStr">
        <is>
          <t>• FARK HESAPLA / DİKKAT — ödenen KV &lt; asgari KV; tamamlayıcı fark üretilir.</t>
        </is>
      </c>
    </row>
    <row r="9">
      <c r="A9" s="67" t="inlineStr">
        <is>
          <t>Belirsizlik beyanları (M05)</t>
        </is>
      </c>
    </row>
    <row r="10">
      <c r="A10" s="12" t="inlineStr">
        <is>
          <t>Bu nokta mevzuatta tartışmalıdır; dosya yorum A ve yorum B sonucunu yan yana gösterir: istisna_kirilim_sirasi</t>
        </is>
      </c>
    </row>
    <row r="12">
      <c r="A12" s="10" t="inlineStr">
        <is>
          <t>Yorum A</t>
        </is>
      </c>
      <c r="B12" s="6" t="inlineStr">
        <is>
          <t>İstisnanın bir kısmı asgari matrah hesabında dikkate alınır (çarpan AYARLAR'da). Bu nokta mevzuatta tartışmalıdır; sonuç yorum B ile yan yana okunmalıdır.</t>
        </is>
      </c>
    </row>
    <row r="13">
      <c r="A13" s="10" t="inlineStr">
        <is>
          <t>Yorum B</t>
        </is>
      </c>
      <c r="B13" s="6" t="inlineStr">
        <is>
          <t>İstisnanın tamamı matrahtan düşülür. Dosya her iki yorumun asgari KV sonucunu MOTOR'da üretir.</t>
        </is>
      </c>
    </row>
    <row r="15">
      <c r="A15" s="10" t="inlineStr">
        <is>
          <t>Kullanım sırası</t>
        </is>
      </c>
    </row>
    <row r="16">
      <c r="A16" s="6" t="inlineStr">
        <is>
          <t>GIRDI → KURALLAR (gerekirse) → MOTOR (inceleme) → SENARYO → VAKALAR → PANO → KANIT_RAPORU → AYARLAR.</t>
        </is>
      </c>
    </row>
    <row r="18">
      <c r="A18" s="8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5:T5"/>
    <mergeCell ref="A6:T6"/>
    <mergeCell ref="A7:T7"/>
    <mergeCell ref="A16:J16"/>
    <mergeCell ref="A10:T10"/>
    <mergeCell ref="B12:J12"/>
    <mergeCell ref="B13:J13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2026-08-10T21:03:45Z</dcterms:created>
  <dcterms:modified xmlns:dcterms="http://purl.org/dc/terms/" xmlns:xsi="http://www.w3.org/2001/XMLSchema-instance" xsi:type="dcterms:W3CDTF">2026-09-25T14:12:44Z</dcterms:modified>
</cp:coreProperties>
</file>