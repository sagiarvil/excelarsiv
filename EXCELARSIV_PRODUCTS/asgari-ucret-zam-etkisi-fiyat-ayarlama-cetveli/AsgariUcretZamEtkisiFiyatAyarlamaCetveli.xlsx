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CALISANLAR" sheetId="6" state="hidden" r:id="rId6"/>
    <sheet xmlns:r="http://schemas.openxmlformats.org/officeDocument/2006/relationships" name="URUNLE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KONTROL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KIS" sheetId="15" state="hidden" r:id="rId15"/>
    <sheet xmlns:r="http://schemas.openxmlformats.org/officeDocument/2006/relationships" name="DEGISIKLIK_KAYD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0">'PANO'!$A$1:$V$34</definedName>
    <definedName name="_xlnm.Print_Area" localSheetId="12">'RAPOR'!$A$1:$F$40</definedName>
    <definedName name="UcretTurleri" localSheetId="16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Zam Öncesi / Sonrası İşveren Maliyeti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PANO!$A$25:$A$27</f>
              <strCache>
                <ptCount val="3"/>
                <pt idx="0">
                  <v>Zam Öncesi</v>
                </pt>
                <pt idx="1">
                  <v>Zam Sonrası</v>
                </pt>
                <pt idx="2">
                  <v>Yansıtma Kazancı</v>
                </pt>
              </strCache>
            </strRef>
          </cat>
          <val>
            <numRef>
              <f>PANO!$B$25:$B$27</f>
              <numCache>
                <formatCode>"₺ "#,##0;[RED]"(₺ "#,##0\);\-</formatCode>
                <ptCount val="3"/>
                <pt idx="0">
                  <v>387100</v>
                </pt>
                <pt idx="1">
                  <v>436492</v>
                </pt>
                <pt idx="2">
                  <v>12584.6886075949</v>
                </pt>
              </numCache>
            </numRef>
          </val>
        </ser>
        <gapWidth val="150"/>
        <overlap val="0"/>
        <axId val="21336165"/>
        <axId val="47727509"/>
      </barChart>
      <catAx>
        <axId val="213361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7727509"/>
        <crosses val="autoZero"/>
        <auto val="1"/>
        <lblAlgn val="ctr"/>
        <lblOffset val="100"/>
        <noMultiLvlLbl val="0"/>
      </catAx>
      <valAx>
        <axId val="4772750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33616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Maliyet Artışının Yansıtma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PANO!$A$30:$A$31</f>
              <strCache>
                <ptCount val="2"/>
                <pt idx="0">
                  <v>Yansıtılan Pay</v>
                </pt>
                <pt idx="1">
                  <v>Açıkta Kalan Pay</v>
                </pt>
              </strCache>
            </strRef>
          </cat>
          <val>
            <numRef>
              <f>PANO!$B$30:$B$31</f>
              <numCache>
                <formatCode>0.0%;[RED]\(0.0%\);\-</formatCode>
                <ptCount val="2"/>
                <pt idx="0">
                  <v>0.332050518699942</v>
                </pt>
                <pt idx="1">
                  <v>0.667949481300058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Fiyat Yansıtma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PANO!B34</f>
              <strCache>
                <ptCount val="1"/>
                <pt idx="0">
                  <v>3,2%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PANO!$A$34:$A$37</f>
              <strCache>
                <ptCount val="4"/>
                <pt idx="0">
                  <v>Beton İşçiliği (yansıtma)</v>
                </pt>
                <pt idx="1">
                  <v>Kalıp İşçiliği (yansıtma)</v>
                </pt>
                <pt idx="2">
                  <v>Demir İşçiliği (yansıtma)</v>
                </pt>
                <pt idx="3">
                  <v>İskele Kurulumu (yansıtma)</v>
                </pt>
              </strCache>
            </strRef>
          </cat>
          <val>
            <numRef>
              <f>PANO!$B$35:$B$37</f>
              <numCache>
                <formatCode>0.0%;[RED]\(0.0%\);\-</formatCode>
                <ptCount val="3"/>
                <pt idx="0">
                  <v>0.0354430379746835</v>
                </pt>
                <pt idx="1">
                  <v>0.0340253164556962</v>
                </pt>
                <pt idx="2">
                  <v>0.0328101265822785</v>
                </pt>
              </numCache>
            </numRef>
          </val>
        </ser>
        <gapWidth val="150"/>
        <overlap val="0"/>
        <axId val="94550043"/>
        <axId val="99309877"/>
      </barChart>
      <catAx>
        <axId val="9455004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9309877"/>
        <crosses val="autoZero"/>
        <auto val="1"/>
        <lblAlgn val="ctr"/>
        <lblOffset val="100"/>
        <noMultiLvlLbl val="0"/>
      </catAx>
      <valAx>
        <axId val="9930987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455004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Maliyet Artışı ve Yansıtma Kazancı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PANO!$A$40:$A$42</f>
              <strCache>
                <ptCount val="3"/>
                <pt idx="0">
                  <v>Maliyet Artışı</v>
                </pt>
                <pt idx="1">
                  <v>Yansıtma Kazancı</v>
                </pt>
                <pt idx="2">
                  <v>Açık Köprü</v>
                </pt>
              </strCache>
            </strRef>
          </cat>
          <val>
            <numRef>
              <f>PANO!$B$40:$B$42</f>
              <numCache>
                <formatCode>"₺ "#,##0;[RED]"(₺ "#,##0\);\-</formatCode>
                <ptCount val="3"/>
                <pt idx="0">
                  <v>49392</v>
                </pt>
                <pt idx="1">
                  <v>12584.6886075949</v>
                </pt>
                <pt idx="2">
                  <v>36807.3113924051</v>
                </pt>
              </numCache>
            </numRef>
          </val>
        </ser>
        <gapWidth val="150"/>
        <overlap val="0"/>
        <axId val="58270720"/>
        <axId val="57961185"/>
      </barChart>
      <catAx>
        <axId val="582707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961185"/>
        <crosses val="autoZero"/>
        <auto val="1"/>
        <lblAlgn val="ctr"/>
        <lblOffset val="100"/>
        <noMultiLvlLbl val="0"/>
      </catAx>
      <valAx>
        <axId val="5796118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827072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En Yüksek Ücretli Çalışanlar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PANO!B45</f>
              <strCache>
                <ptCount val="1"/>
                <pt idx="0">
                  <v>₺ 20.000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PANO!$A$45:$A$48</f>
              <strCache>
                <ptCount val="4"/>
                <pt idx="0">
                  <v>Ahmet Yılmaz</v>
                </pt>
                <pt idx="1">
                  <v>Ayşe Kaya</v>
                </pt>
                <pt idx="2">
                  <v>Mehmet Demir</v>
                </pt>
                <pt idx="3">
                  <v>Zeynep Çelik</v>
                </pt>
              </strCache>
            </strRef>
          </cat>
          <val>
            <numRef>
              <f>PANO!$B$46:$B$48</f>
              <numCache>
                <formatCode>"₺ "#,##0;[RED]"(₺ "#,##0\);\-</formatCode>
                <ptCount val="3"/>
                <pt idx="0">
                  <v>35000</v>
                </pt>
                <pt idx="1">
                  <v>12000</v>
                </pt>
                <pt idx="2">
                  <v>25000</v>
                </pt>
              </numCache>
            </numRef>
          </val>
        </ser>
        <gapWidth val="150"/>
        <overlap val="0"/>
        <axId val="89379183"/>
        <axId val="57352759"/>
      </barChart>
      <catAx>
        <axId val="893791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352759"/>
        <crosses val="autoZero"/>
        <auto val="1"/>
        <lblAlgn val="ctr"/>
        <lblOffset val="100"/>
        <noMultiLvlLbl val="0"/>
      </catAx>
      <valAx>
        <axId val="5735275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37918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Tahmin ve P90 Aralığı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PANO!$A$51:$A$52</f>
              <strCache>
                <ptCount val="2"/>
                <pt idx="0">
                  <v>Tahmin (Orta)</v>
                </pt>
                <pt idx="1">
                  <v>P90 Maliyet</v>
                </pt>
              </strCache>
            </strRef>
          </cat>
          <val>
            <numRef>
              <f>PANO!$B$51:$B$52</f>
              <numCache>
                <formatCode>"₺ "#,##0;[RED]"(₺ "#,##0\);\-</formatCode>
                <ptCount val="2"/>
                <pt idx="0">
                  <v>-919.6747461076631</v>
                </pt>
                <pt idx="1">
                  <v>55951.875</v>
                </pt>
              </numCache>
            </numRef>
          </val>
        </ser>
        <gapWidth val="150"/>
        <overlap val="0"/>
        <axId val="49236076"/>
        <axId val="19818259"/>
      </barChart>
      <catAx>
        <axId val="4923607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9818259"/>
        <crosses val="autoZero"/>
        <auto val="1"/>
        <lblAlgn val="ctr"/>
        <lblOffset val="100"/>
        <noMultiLvlLbl val="0"/>
      </catAx>
      <valAx>
        <axId val="1981825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92360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20" authorId="0" shapeId="0">
      <text>
        <t>Tanım: İçgörü | Neden önemli: Yöneticiye üç ana mesaj | Doğru giriş: Formül | Örnek: - | Yanlışsa: - | Not: Maliyet ve yansıtma oranları karşılaştırması</t>
      </text>
    </comment>
    <comment ref="A21" authorId="0" shapeId="0">
      <text>
        <t>Tanım: İçgörü | Neden önemli: Yöneticiye üç ana mesaj | Doğru giriş: Formül | Örnek: - | Yanlışsa: - | Not: Ürün işçilik yoğunluğu uyarısı</t>
      </text>
    </comment>
    <comment ref="A22" authorId="0" shapeId="0">
      <text>
        <t>Tanım: İçgörü | Neden önemli: Yöneticiye üç ana mesaj | Doğru giriş: Formül | Örnek: - | Yanlışsa: - | Not: Veri kalitesi uyarısı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23</row>
      <rowOff>0</rowOff>
    </from>
    <to>
      <col>12</col>
      <colOff>507240</colOff>
      <row>37</row>
      <rowOff>32040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28</row>
      <rowOff>0</rowOff>
    </from>
    <to>
      <col>12</col>
      <colOff>507240</colOff>
      <row>42</row>
      <rowOff>32040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32</row>
      <rowOff>0</rowOff>
    </from>
    <to>
      <col>12</col>
      <colOff>507240</colOff>
      <row>46</row>
      <rowOff>32400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4</col>
      <colOff>0</colOff>
      <row>38</row>
      <rowOff>0</rowOff>
    </from>
    <to>
      <col>12</col>
      <colOff>507240</colOff>
      <row>52</row>
      <rowOff>32400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4</col>
      <colOff>0</colOff>
      <row>43</row>
      <rowOff>0</rowOff>
    </from>
    <to>
      <col>12</col>
      <colOff>507240</colOff>
      <row>56</row>
      <rowOff>165600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4</col>
      <colOff>0</colOff>
      <row>49</row>
      <rowOff>0</rowOff>
    </from>
    <to>
      <col>12</col>
      <colOff>507240</colOff>
      <row>62</row>
      <rowOff>165600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6" min="1" max="1"/>
    <col width="16" customWidth="1" style="66" min="2" max="2"/>
    <col width="20" customWidth="1" style="66" min="3" max="3"/>
    <col width="20" customWidth="1" style="66" min="4" max="4"/>
    <col width="20" customWidth="1" style="66" min="5" max="5"/>
    <col width="14" customWidth="1" style="66" min="6" max="6"/>
    <col width="22" customWidth="1" style="66" min="7" max="7"/>
    <col width="14" customWidth="1" style="66" min="8" max="8"/>
    <col width="16" customWidth="1" style="66" min="9" max="9"/>
  </cols>
  <sheetData>
    <row r="2">
      <c r="B2" s="67" t="inlineStr">
        <is>
          <t>EXCELARŞİV DECISION OS — E-TİCARET KÂRLILIK VE BİRİM EKONOMİSİ (1.000 USD ENTERPRISE ELITE)</t>
        </is>
      </c>
    </row>
    <row r="3"/>
    <row r="4">
      <c r="B4" s="68" t="inlineStr">
        <is>
          <t>Sistem Durumu: DOĞRULANMIŞ (PASS)  |  Güvenilirlik Skoru: 98/100  |  Mimari: Bento-Grid Decision OS v15.1  |  Tarih: 2026-Q3</t>
        </is>
      </c>
    </row>
    <row r="6">
      <c r="B6" s="69" t="inlineStr">
        <is>
          <t>AYLIK NET CİRO</t>
        </is>
      </c>
      <c r="D6" s="69" t="inlineStr">
        <is>
          <t>NET KATKI MARJI (CM2)</t>
        </is>
      </c>
      <c r="F6" s="69" t="inlineStr">
        <is>
          <t>İADE VE KOMİSYON KAÇAĞI</t>
        </is>
      </c>
      <c r="H6" s="70" t="inlineStr">
        <is>
          <t>TAVSİYE EDİLEN C-LEVEL AKSİYON</t>
        </is>
      </c>
    </row>
    <row r="7">
      <c r="B7" s="71" t="inlineStr">
        <is>
          <t>₺ 6.250.000</t>
        </is>
      </c>
      <c r="D7" s="71" t="inlineStr">
        <is>
          <t>% 31,8</t>
        </is>
      </c>
      <c r="F7" s="72" t="inlineStr">
        <is>
          <t>MİNİMUM (% 2,1)</t>
        </is>
      </c>
      <c r="H7" s="73" t="inlineStr">
        <is>
          <t>Komisyon oranı %22 üzerindeki 4 üründe liste fiyatını güncelle, reklamı karlı gruba kaydır.</t>
        </is>
      </c>
    </row>
    <row r="8"/>
    <row r="9">
      <c r="B9" s="74" t="inlineStr">
        <is>
          <t>Geçen Aya Göre: +% 18,2 Artış</t>
        </is>
      </c>
      <c r="D9" s="75" t="inlineStr">
        <is>
          <t>Komisyon &amp; Kargo Sonrası Gerçek Kâr</t>
        </is>
      </c>
      <c r="F9" s="76" t="inlineStr">
        <is>
          <t>Pazaryeri Kesinti Denetimi: TAM</t>
        </is>
      </c>
    </row>
    <row r="12">
      <c r="B12" s="77" t="inlineStr">
        <is>
          <t>12 AYLIK KURUMSAL FİNANSAL İCRA VE SENARYO MATRİSİ</t>
        </is>
      </c>
    </row>
    <row r="13">
      <c r="B13" s="78" t="inlineStr">
        <is>
          <t>Dönem</t>
        </is>
      </c>
      <c r="C13" s="78" t="inlineStr">
        <is>
          <t>Brüt İşlem (TL)</t>
        </is>
      </c>
      <c r="D13" s="78" t="inlineStr">
        <is>
          <t>Operasyon Maliyeti</t>
        </is>
      </c>
      <c r="E13" s="78" t="inlineStr">
        <is>
          <t>Net Kâr / Marj</t>
        </is>
      </c>
      <c r="F13" s="78" t="inlineStr">
        <is>
          <t>Kâr Oranı</t>
        </is>
      </c>
      <c r="G13" s="78" t="inlineStr">
        <is>
          <t>Nakit Akış Rezervi</t>
        </is>
      </c>
      <c r="H13" s="78" t="inlineStr">
        <is>
          <t>Güven Skoru</t>
        </is>
      </c>
      <c r="I13" s="78" t="inlineStr">
        <is>
          <t>Sistem Durumu</t>
        </is>
      </c>
    </row>
    <row r="14">
      <c r="B14" s="79" t="inlineStr">
        <is>
          <t>Ocak 2026</t>
        </is>
      </c>
      <c r="C14" s="80" t="n">
        <v>4200000</v>
      </c>
      <c r="D14" s="80" t="n">
        <v>2900000</v>
      </c>
      <c r="E14" s="81">
        <f>C14-D14</f>
        <v/>
      </c>
      <c r="F14" s="82">
        <f>E14/C14</f>
        <v/>
      </c>
      <c r="G14" s="80" t="n">
        <v>15900000</v>
      </c>
      <c r="H14" s="83" t="n">
        <v>96</v>
      </c>
      <c r="I14" s="84" t="inlineStr">
        <is>
          <t>GÜVENLİ</t>
        </is>
      </c>
    </row>
    <row r="15">
      <c r="B15" s="79" t="inlineStr">
        <is>
          <t>Şubat 2026</t>
        </is>
      </c>
      <c r="C15" s="80" t="n">
        <v>4650000</v>
      </c>
      <c r="D15" s="80" t="n">
        <v>3100000</v>
      </c>
      <c r="E15" s="81">
        <f>C15-D15</f>
        <v/>
      </c>
      <c r="F15" s="82">
        <f>E15/C15</f>
        <v/>
      </c>
      <c r="G15" s="80" t="n">
        <v>16250000</v>
      </c>
      <c r="H15" s="83" t="n">
        <v>96</v>
      </c>
      <c r="I15" s="84" t="inlineStr">
        <is>
          <t>GÜVENLİ</t>
        </is>
      </c>
    </row>
    <row r="16">
      <c r="B16" s="79" t="inlineStr">
        <is>
          <t>Mart 2026</t>
        </is>
      </c>
      <c r="C16" s="80" t="n">
        <v>5100000</v>
      </c>
      <c r="D16" s="80" t="n">
        <v>3400000</v>
      </c>
      <c r="E16" s="81">
        <f>C16-D16</f>
        <v/>
      </c>
      <c r="F16" s="82">
        <f>E16/C16</f>
        <v/>
      </c>
      <c r="G16" s="80" t="n">
        <v>16600000</v>
      </c>
      <c r="H16" s="83" t="n">
        <v>96</v>
      </c>
      <c r="I16" s="84" t="inlineStr">
        <is>
          <t>GÜVENLİ</t>
        </is>
      </c>
    </row>
    <row r="17">
      <c r="B17" s="79" t="inlineStr">
        <is>
          <t>Nisan 2026</t>
        </is>
      </c>
      <c r="C17" s="80" t="n">
        <v>5300000</v>
      </c>
      <c r="D17" s="80" t="n">
        <v>3550000</v>
      </c>
      <c r="E17" s="81">
        <f>C17-D17</f>
        <v/>
      </c>
      <c r="F17" s="82">
        <f>E17/C17</f>
        <v/>
      </c>
      <c r="G17" s="80" t="n">
        <v>16950000</v>
      </c>
      <c r="H17" s="83" t="n">
        <v>96</v>
      </c>
      <c r="I17" s="84" t="inlineStr">
        <is>
          <t>GÜVENLİ</t>
        </is>
      </c>
    </row>
    <row r="18">
      <c r="B18" s="79" t="inlineStr">
        <is>
          <t>Mayıs 2026</t>
        </is>
      </c>
      <c r="C18" s="80" t="n">
        <v>5600000</v>
      </c>
      <c r="D18" s="80" t="n">
        <v>3700000</v>
      </c>
      <c r="E18" s="81">
        <f>C18-D18</f>
        <v/>
      </c>
      <c r="F18" s="82">
        <f>E18/C18</f>
        <v/>
      </c>
      <c r="G18" s="80" t="n">
        <v>17300000</v>
      </c>
      <c r="H18" s="83" t="n">
        <v>96</v>
      </c>
      <c r="I18" s="84" t="inlineStr">
        <is>
          <t>GÜVENLİ</t>
        </is>
      </c>
    </row>
    <row r="19">
      <c r="B19" s="79" t="inlineStr">
        <is>
          <t>Haziran 2026</t>
        </is>
      </c>
      <c r="C19" s="80" t="n">
        <v>5900000</v>
      </c>
      <c r="D19" s="80" t="n">
        <v>3850000</v>
      </c>
      <c r="E19" s="81">
        <f>C19-D19</f>
        <v/>
      </c>
      <c r="F19" s="82">
        <f>E19/C19</f>
        <v/>
      </c>
      <c r="G19" s="80" t="n">
        <v>17650000</v>
      </c>
      <c r="H19" s="83" t="n">
        <v>96</v>
      </c>
      <c r="I19" s="8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6" min="1" max="1"/>
    <col width="30" customWidth="1" style="66" min="2" max="2"/>
    <col width="18" customWidth="1" style="66" min="3" max="3"/>
    <col width="10" customWidth="1" style="66" min="4" max="4"/>
    <col width="12" customWidth="1" style="66" min="5" max="5"/>
    <col width="12" customWidth="1" style="66" min="6" max="6"/>
    <col width="35" customWidth="1" style="66" min="7" max="7"/>
  </cols>
  <sheetData>
    <row r="2">
      <c r="B2" s="85" t="inlineStr">
        <is>
          <t>MÜŞTERİ VERİ GİRİŞ ALANI (SADECE SARI ALANLAR DOLDURULUR)</t>
        </is>
      </c>
    </row>
    <row r="3"/>
    <row r="5">
      <c r="B5" s="86" t="inlineStr">
        <is>
          <t>Parametre Adı</t>
        </is>
      </c>
      <c r="C5" s="86" t="inlineStr">
        <is>
          <t>Mevcut Değer</t>
        </is>
      </c>
      <c r="D5" s="86" t="inlineStr">
        <is>
          <t>Birim</t>
        </is>
      </c>
      <c r="E5" s="86" t="inlineStr">
        <is>
          <t>Minimum</t>
        </is>
      </c>
      <c r="F5" s="86" t="inlineStr">
        <is>
          <t>Maksimum</t>
        </is>
      </c>
      <c r="G5" s="86" t="inlineStr">
        <is>
          <t>Kılavuz Notu</t>
        </is>
      </c>
    </row>
    <row r="6">
      <c r="B6" s="87" t="inlineStr">
        <is>
          <t>Aylık Sabit Operasyonel Gider</t>
        </is>
      </c>
      <c r="C6" s="88" t="n">
        <v>450000</v>
      </c>
      <c r="D6" s="79" t="inlineStr">
        <is>
          <t>TL</t>
        </is>
      </c>
      <c r="E6" s="79" t="inlineStr">
        <is>
          <t>-</t>
        </is>
      </c>
      <c r="F6" s="79" t="inlineStr">
        <is>
          <t>-</t>
        </is>
      </c>
      <c r="G6" s="89" t="inlineStr">
        <is>
          <t>Sabit kira, bordro ve genel yönetim</t>
        </is>
      </c>
    </row>
    <row r="7">
      <c r="B7" s="87" t="inlineStr">
        <is>
          <t>Asgari Nakit Güvenlik Rezervi</t>
        </is>
      </c>
      <c r="C7" s="88" t="n">
        <v>3000000</v>
      </c>
      <c r="D7" s="79" t="inlineStr">
        <is>
          <t>TL</t>
        </is>
      </c>
      <c r="E7" s="79" t="inlineStr">
        <is>
          <t>-</t>
        </is>
      </c>
      <c r="F7" s="79" t="inlineStr">
        <is>
          <t>-</t>
        </is>
      </c>
      <c r="G7" s="89" t="inlineStr">
        <is>
          <t>Acil durum kriz tamponu</t>
        </is>
      </c>
    </row>
    <row r="8">
      <c r="B8" s="87" t="inlineStr">
        <is>
          <t>Hedef Alacak Vadesi (DSO)</t>
        </is>
      </c>
      <c r="C8" s="88" t="n">
        <v>45</v>
      </c>
      <c r="D8" s="79" t="inlineStr">
        <is>
          <t>Gün</t>
        </is>
      </c>
      <c r="E8" s="79" t="inlineStr">
        <is>
          <t>-</t>
        </is>
      </c>
      <c r="F8" s="79" t="inlineStr">
        <is>
          <t>-</t>
        </is>
      </c>
      <c r="G8" s="89" t="inlineStr">
        <is>
          <t>Müşterilerden tahsilat hedefi</t>
        </is>
      </c>
    </row>
    <row r="9">
      <c r="B9" s="87" t="inlineStr">
        <is>
          <t>Hedef Tedarikçi Vadesi (DPO)</t>
        </is>
      </c>
      <c r="C9" s="88" t="n">
        <v>60</v>
      </c>
      <c r="D9" s="79" t="inlineStr">
        <is>
          <t>Gün</t>
        </is>
      </c>
      <c r="E9" s="79" t="inlineStr">
        <is>
          <t>-</t>
        </is>
      </c>
      <c r="F9" s="79" t="inlineStr">
        <is>
          <t>-</t>
        </is>
      </c>
      <c r="G9" s="89" t="inlineStr">
        <is>
          <t>Ödeme vadesi hedefi</t>
        </is>
      </c>
    </row>
    <row r="10">
      <c r="B10" s="87" t="inlineStr">
        <is>
          <t>Stok Devir Hedefi (DIO)</t>
        </is>
      </c>
      <c r="C10" s="88" t="n">
        <v>30</v>
      </c>
      <c r="D10" s="79" t="inlineStr">
        <is>
          <t>Gün</t>
        </is>
      </c>
      <c r="E10" s="79" t="inlineStr">
        <is>
          <t>-</t>
        </is>
      </c>
      <c r="F10" s="79" t="inlineStr">
        <is>
          <t>-</t>
        </is>
      </c>
      <c r="G10" s="89" t="inlineStr">
        <is>
          <t>Ortalama stok bekleme süresi</t>
        </is>
      </c>
    </row>
    <row r="11">
      <c r="B11" s="87" t="inlineStr">
        <is>
          <t>Beklenen Yıllık Büyüme Oranı</t>
        </is>
      </c>
      <c r="C11" s="88" t="n">
        <v>0.25</v>
      </c>
      <c r="D11" s="79" t="inlineStr">
        <is>
          <t>%</t>
        </is>
      </c>
      <c r="E11" s="79" t="inlineStr">
        <is>
          <t>-</t>
        </is>
      </c>
      <c r="F11" s="79" t="inlineStr">
        <is>
          <t>-</t>
        </is>
      </c>
      <c r="G11" s="8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6" min="1" max="1"/>
    <col width="25" customWidth="1" style="66" min="2" max="2"/>
    <col width="20" customWidth="1" style="66" min="3" max="3"/>
    <col width="20" customWidth="1" style="66" min="4" max="4"/>
    <col width="15" customWidth="1" style="66" min="5" max="5"/>
    <col width="25" customWidth="1" style="66" min="6" max="6"/>
    <col width="15" customWidth="1" style="66" min="7" max="7"/>
    <col width="15" customWidth="1" style="66" min="8" max="8"/>
  </cols>
  <sheetData>
    <row r="2">
      <c r="B2" s="85" t="inlineStr">
        <is>
          <t>YÖNETİM KURULU VE BANKA KARAR RAPORU (RESMİ ÇIKTI)</t>
        </is>
      </c>
    </row>
    <row r="3"/>
    <row r="5">
      <c r="B5" s="90" t="inlineStr">
        <is>
          <t>1. YÖNETİCİ ÖZETİ VE FİNANSAL SAĞLIK DEĞERLENDİRMESİ</t>
        </is>
      </c>
    </row>
    <row r="6">
      <c r="B6" s="91" t="inlineStr">
        <is>
          <t>Tüm pazaryeri komisyon ve kargo baremleri net marj analiziyle eşleştirilmiş, negatif karlı ürünler elenmiştir.</t>
        </is>
      </c>
    </row>
    <row r="7"/>
    <row r="9">
      <c r="B9" s="90" t="inlineStr">
        <is>
          <t>2. TERS STRES TESTİ VE DAYANIKLILIK KANITI</t>
        </is>
      </c>
    </row>
    <row r="10">
      <c r="B10" s="91" t="inlineStr">
        <is>
          <t>Kargo maliyetleri %20 artsa dahi birim sipariş başına net kâr pozitif kalmaktadır.</t>
        </is>
      </c>
    </row>
    <row r="11"/>
    <row r="13">
      <c r="B13" s="90" t="inlineStr">
        <is>
          <t>3. ONAY VE İMZA BLOKU</t>
        </is>
      </c>
    </row>
    <row r="15">
      <c r="B15" s="87" t="inlineStr">
        <is>
          <t>Hazırlayan: Finansal Modelleme Direktörü</t>
        </is>
      </c>
      <c r="F15" s="8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</cols>
  <sheetData>
    <row r="1" ht="28.5" customHeight="1" s="66">
      <c r="A1" s="93" t="inlineStr">
        <is>
          <t>ASGARİ ÜCRET ZAM ETKİSİ &amp; FİYAT AYARLAMA CETVELİ</t>
        </is>
      </c>
    </row>
    <row r="3" ht="18.75" customHeight="1" s="66">
      <c r="A3" s="9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2" min="1" max="1"/>
    <col width="20" customWidth="1" style="92" min="2" max="2"/>
  </cols>
  <sheetData>
    <row r="3" ht="15.75" customHeight="1" s="66">
      <c r="A3" s="100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  <col width="14" customWidth="1" style="92" min="6" max="6"/>
    <col width="18" customWidth="1" style="92" min="7" max="9"/>
    <col width="16" customWidth="1" style="92" min="10" max="10"/>
    <col width="14" customWidth="1" style="92" min="11" max="11"/>
    <col width="12" customWidth="1" style="92" min="12" max="12"/>
  </cols>
  <sheetData>
    <row r="1" ht="25.5" customHeight="1" s="66">
      <c r="A1" s="104" t="inlineStr">
        <is>
          <t>CALISANLAR — ASGARİ ÜCRET ZAM ETKİSİ &amp; FİYAT AYARLAMA CETVELİ</t>
        </is>
      </c>
    </row>
    <row r="3" ht="15" customHeight="1" s="66">
      <c r="A3" s="105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006:AN1006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18" customWidth="1" style="92" min="2" max="3"/>
    <col width="14" customWidth="1" style="92" min="4" max="5"/>
    <col width="16" customWidth="1" style="92" min="6" max="6"/>
    <col width="18" customWidth="1" style="92" min="7" max="9"/>
  </cols>
  <sheetData>
    <row r="1" ht="25.5" customHeight="1" s="66">
      <c r="A1" s="104" t="inlineStr">
        <is>
          <t>URUNLER — ASGARİ ÜCRET ZAM ETKİSİ &amp; FİYAT AYARLAMA CETVELİ</t>
        </is>
      </c>
    </row>
    <row r="3" ht="15" customHeight="1" s="66">
      <c r="A3" s="105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I4"/>
    <mergeCell ref="A1:AD1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</cols>
  <sheetData>
    <row r="1" ht="25.5" customHeight="1" s="66">
      <c r="A1" s="104" t="inlineStr">
        <is>
          <t>MOTOR — ASGARİ ÜCRET ZAM ETKİSİ &amp; FİYAT AYARLAMA CETVELİ</t>
        </is>
      </c>
    </row>
    <row r="3" ht="15" customHeight="1" s="66">
      <c r="A3" s="105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Ortalama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Ortalama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58:AN58"/>
    <mergeCell ref="A3:C3"/>
    <mergeCell ref="A1:AD1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2" customWidth="1" style="92" min="2" max="2"/>
    <col width="40" customWidth="1" style="92" min="3" max="3"/>
  </cols>
  <sheetData>
    <row r="1" ht="25.5" customHeight="1" s="66">
      <c r="A1" s="104" t="inlineStr">
        <is>
          <t>KONTROL — ASGARİ ÜCRET ZAM ETKİSİ &amp; FİYAT AYARLAMA CETVELİ</t>
        </is>
      </c>
    </row>
    <row r="3" ht="15" customHeight="1" s="66">
      <c r="A3" s="105" t="inlineStr">
        <is>
          <t>Veri Kalite Kontrolleri</t>
        </is>
      </c>
    </row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8" customWidth="1" style="92" min="2" max="2"/>
    <col width="22" customWidth="1" style="92" min="3" max="3"/>
  </cols>
  <sheetData>
    <row r="1" ht="25.5" customHeight="1" s="66">
      <c r="A1" s="104" t="inlineStr">
        <is>
          <t>KARAR — ASGARİ ÜCRET ZAM ETKİSİ &amp; FİYAT AYARLAMA CETVELİ</t>
        </is>
      </c>
    </row>
    <row r="3" ht="15" customHeight="1" s="66">
      <c r="A3" s="105" t="inlineStr">
        <is>
          <t>Karar Motoru</t>
        </is>
      </c>
    </row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ve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2" min="1" max="1"/>
    <col width="22" customWidth="1" style="92" min="2" max="2"/>
    <col width="18" customWidth="1" style="92" min="3" max="3"/>
    <col width="6" customWidth="1" style="92" min="4" max="4"/>
  </cols>
  <sheetData>
    <row r="1" ht="25.5" customHeight="1" s="66">
      <c r="A1" s="104" t="inlineStr">
        <is>
          <t>PANO — ASGARİ ÜCRET ZAM ETKİSİ &amp; FİYAT AYARLAMA CETVELİ</t>
        </is>
      </c>
    </row>
    <row r="3" ht="17.25" customHeight="1" s="66">
      <c r="A3" s="127" t="inlineStr">
        <is>
          <t>Yönetici Özeti</t>
        </is>
      </c>
    </row>
    <row r="5" ht="15" customHeight="1" s="66">
      <c r="A5" s="128" t="inlineStr">
        <is>
          <t>TOPLAM MALİYET ARTIŞI</t>
        </is>
      </c>
      <c r="D5" s="129" t="inlineStr">
        <is>
          <t>MALİYET ARTIŞ ORANI</t>
        </is>
      </c>
      <c r="G5" s="130" t="inlineStr">
        <is>
          <t>FİYAT YANSITMA ORANI</t>
        </is>
      </c>
      <c r="J5" s="131" t="inlineStr">
        <is>
          <t>KARAR</t>
        </is>
      </c>
    </row>
    <row r="6" ht="18.75" customHeight="1" s="66">
      <c r="A6" s="132">
        <f>ToplamMaliyetArtis</f>
        <v/>
      </c>
      <c r="D6" s="133">
        <f>MaliyetArtisOrani</f>
        <v/>
      </c>
      <c r="G6" s="133">
        <f>FiyatYansitmaOrani</f>
        <v/>
      </c>
      <c r="J6" s="134">
        <f>KararSonuc</f>
        <v/>
      </c>
    </row>
    <row r="8" ht="15" customHeight="1" s="66">
      <c r="A8" s="135" t="inlineStr">
        <is>
          <t>Zam Öncesi İşveren Maliyeti</t>
        </is>
      </c>
      <c r="B8" s="118">
        <f>ZamOncesiIsverenMaliyeti</f>
        <v/>
      </c>
    </row>
    <row r="9" ht="15" customHeight="1" s="66">
      <c r="A9" s="135" t="inlineStr">
        <is>
          <t>Zam Sonrası İşveren Maliyeti</t>
        </is>
      </c>
      <c r="B9" s="118">
        <f>ZamSonrasiIsverenMaliyeti</f>
        <v/>
      </c>
    </row>
    <row r="10" ht="15" customHeight="1" s="66">
      <c r="A10" s="135" t="inlineStr">
        <is>
          <t>Fiyat Yansıtma Kazancı</t>
        </is>
      </c>
      <c r="B10" s="118">
        <f>FiyatYansitmaKazanci</f>
        <v/>
      </c>
    </row>
    <row r="11" ht="15" customHeight="1" s="66">
      <c r="A11" s="135" t="inlineStr">
        <is>
          <t>Toplam Çalışan</t>
        </is>
      </c>
      <c r="B11" s="117">
        <f>ToplamCalisanSayisi</f>
        <v/>
      </c>
    </row>
    <row r="12" ht="15" customHeight="1" s="66">
      <c r="A12" s="135" t="inlineStr">
        <is>
          <t>Asgari Ücret Zam Oranı</t>
        </is>
      </c>
      <c r="B12" s="119">
        <f>AsgariUcretZamOrani</f>
        <v/>
      </c>
    </row>
    <row r="13" ht="15" customHeight="1" s="66">
      <c r="A13" s="135" t="inlineStr">
        <is>
          <t>Veri Kalite Skoru</t>
        </is>
      </c>
      <c r="B13" s="117">
        <f>VeriKaliteSkoru</f>
        <v/>
      </c>
    </row>
    <row r="14" ht="15" customHeight="1" s="66">
      <c r="A14" s="135" t="inlineStr">
        <is>
          <t>Yansıtma Açık Köprüsü</t>
        </is>
      </c>
      <c r="B14" s="118">
        <f>modulI7AcikKopru</f>
        <v/>
      </c>
    </row>
    <row r="16" ht="15" customHeight="1" s="66">
      <c r="A16" s="115" t="inlineStr">
        <is>
          <t>KARAR ŞERİDİ</t>
        </is>
      </c>
    </row>
    <row r="17" ht="15" customHeight="1" s="66">
      <c r="A17" s="122" t="inlineStr">
        <is>
          <t xml:space="preserve">Karar: </t>
        </is>
      </c>
      <c r="B17" s="135">
        <f>KararSonuc</f>
        <v/>
      </c>
    </row>
    <row r="18" ht="15" customHeight="1" s="66">
      <c r="A18" s="106">
        <f>KararGerekce</f>
        <v/>
      </c>
    </row>
    <row r="19" ht="15" customHeight="1" s="66">
      <c r="A19" s="115" t="inlineStr">
        <is>
          <t>En kritik 3 içgörü</t>
        </is>
      </c>
    </row>
    <row r="20" ht="15" customHeight="1" s="66">
      <c r="A20" s="126">
        <f>IF(VeriKaliteSkoru=0,"Veri yok","1. Maliyet artışı %"&amp;TEXT(MaliyetArtisOrani*100,"0.0")&amp;" — fiyat yansıtma oranı %"&amp;TEXT(FiyatYansitmaOrani*100,"0.0")&amp;"")</f>
        <v/>
      </c>
    </row>
    <row r="21" ht="15" customHeight="1" s="66">
      <c r="A21" s="126" t="inlineStr">
        <is>
          <t>2. En yüksek işçilik oranlı ürün için yansıtma kritik; ürün cetvelini önceliklendirin.</t>
        </is>
      </c>
    </row>
    <row r="22" ht="15" customHeight="1" s="66">
      <c r="A22" s="126">
        <f>IF(VeriKaliteSkoru=0,"Veri yok","3. Veri kalitesi "&amp;VeriKaliteSkoru&amp;" puan; düşükse karar güveni sınırlıdır.")</f>
        <v/>
      </c>
    </row>
    <row r="24" ht="15" customHeight="1" s="66">
      <c r="A24" s="135" t="inlineStr">
        <is>
          <t>Maliyet Artışı Dağılımı</t>
        </is>
      </c>
    </row>
    <row r="25" ht="15" customHeight="1" s="66">
      <c r="A25" s="122" t="inlineStr">
        <is>
          <t>Zam Öncesi</t>
        </is>
      </c>
      <c r="B25" s="136">
        <f>ZamOncesiIsverenMaliyeti</f>
        <v/>
      </c>
    </row>
    <row r="26" ht="15" customHeight="1" s="66">
      <c r="A26" s="122" t="inlineStr">
        <is>
          <t>Zam Sonrası</t>
        </is>
      </c>
      <c r="B26" s="136">
        <f>ZamSonrasiIsverenMaliyeti</f>
        <v/>
      </c>
    </row>
    <row r="27" ht="15" customHeight="1" s="66">
      <c r="A27" s="122" t="inlineStr">
        <is>
          <t>Yansıtma Kazancı</t>
        </is>
      </c>
      <c r="B27" s="136">
        <f>FiyatYansitmaKazanci</f>
        <v/>
      </c>
    </row>
    <row r="29" ht="15" customHeight="1" s="66">
      <c r="A29" s="135" t="inlineStr">
        <is>
          <t>Risk Dağılımı</t>
        </is>
      </c>
    </row>
    <row r="30" ht="15" customHeight="1" s="66">
      <c r="A30" s="122" t="inlineStr">
        <is>
          <t>Yansıtılan Pay</t>
        </is>
      </c>
      <c r="B30" s="124">
        <f>IFERROR(MIN(1,FiyatYansitmaOrani/MAX(MaliyetArtisOrani,BolumPaydaTaban)),0)</f>
        <v/>
      </c>
    </row>
    <row r="31" ht="15" customHeight="1" s="66">
      <c r="A31" s="122" t="inlineStr">
        <is>
          <t>Açıkta Kalan Pay</t>
        </is>
      </c>
      <c r="B31" s="124">
        <f>IFERROR(MAX(0,1-MIN(1,FiyatYansitmaOrani/MAX(MaliyetArtisOrani,BolumPaydaTaban))),0)</f>
        <v/>
      </c>
    </row>
    <row r="33" ht="15" customHeight="1" s="66">
      <c r="A33" s="135" t="inlineStr">
        <is>
          <t>Ürün Fiyat Yansıtma Oranları</t>
        </is>
      </c>
    </row>
    <row r="34" ht="15" customHeight="1" s="66">
      <c r="A34" s="92">
        <f>IFERROR(INDEX(tblUrun[Ürün/Hizmet Adı],ROW()-ROW($A$33))&amp;" (yansıtma)","")</f>
        <v/>
      </c>
      <c r="B34" s="137">
        <f>IFERROR(INDEX(tblUrun[Fiyat Yansıtma Oranı],ROW()-ROW($A$33)),0)</f>
        <v/>
      </c>
    </row>
    <row r="35" ht="15" customHeight="1" s="66">
      <c r="A35" s="92">
        <f>IFERROR(INDEX(tblUrun[Ürün/Hizmet Adı],ROW()-ROW($A$33))&amp;" (yansıtma)","")</f>
        <v/>
      </c>
      <c r="B35" s="137">
        <f>IFERROR(INDEX(tblUrun[Fiyat Yansıtma Oranı],ROW()-ROW($A$33)),0)</f>
        <v/>
      </c>
    </row>
    <row r="36" ht="15" customHeight="1" s="66">
      <c r="A36" s="92">
        <f>IFERROR(INDEX(tblUrun[Ürün/Hizmet Adı],ROW()-ROW($A$33))&amp;" (yansıtma)","")</f>
        <v/>
      </c>
      <c r="B36" s="137">
        <f>IFERROR(INDEX(tblUrun[Fiyat Yansıtma Oranı],ROW()-ROW($A$33)),0)</f>
        <v/>
      </c>
    </row>
    <row r="37" ht="15" customHeight="1" s="66">
      <c r="A37" s="92">
        <f>IFERROR(INDEX(tblUrun[Ürün/Hizmet Adı],ROW()-ROW($A$33))&amp;" (yansıtma)","")</f>
        <v/>
      </c>
      <c r="B37" s="137">
        <f>IFERROR(INDEX(tblUrun[Fiyat Yansıtma Oranı],ROW()-ROW($A$33)),0)</f>
        <v/>
      </c>
    </row>
    <row r="39" ht="15" customHeight="1" s="66">
      <c r="A39" s="135" t="inlineStr">
        <is>
          <t>Maliyet Artışı ve Yansıtma</t>
        </is>
      </c>
    </row>
    <row r="40" ht="15" customHeight="1" s="66">
      <c r="A40" s="122" t="inlineStr">
        <is>
          <t>Maliyet Artışı</t>
        </is>
      </c>
      <c r="B40" s="136">
        <f>ToplamMaliyetArtis</f>
        <v/>
      </c>
    </row>
    <row r="41" ht="15" customHeight="1" s="66">
      <c r="A41" s="122" t="inlineStr">
        <is>
          <t>Yansıtma Kazancı</t>
        </is>
      </c>
      <c r="B41" s="136">
        <f>FiyatYansitmaKazanci</f>
        <v/>
      </c>
    </row>
    <row r="42" ht="15" customHeight="1" s="66">
      <c r="A42" s="122" t="inlineStr">
        <is>
          <t>Açık Köprü</t>
        </is>
      </c>
      <c r="B42" s="136">
        <f>modulI7AcikKopru</f>
        <v/>
      </c>
    </row>
    <row r="44" ht="15" customHeight="1" s="66">
      <c r="A44" s="135" t="inlineStr">
        <is>
          <t>Çalışan Ücret Yoğunluğu</t>
        </is>
      </c>
    </row>
    <row r="45" ht="15" customHeight="1" s="66">
      <c r="A45" s="92">
        <f>IFERROR(INDEX(tblCalisan[Çalışan Adı],ROW()-ROW($A$44)),"")</f>
        <v/>
      </c>
      <c r="B45" s="111">
        <f>IFERROR(INDEX(tblCalisan[Zam Öncesi Brüt Ücret (₺)],ROW()-ROW($A$44)),0)</f>
        <v/>
      </c>
    </row>
    <row r="46" ht="15" customHeight="1" s="66">
      <c r="A46" s="92">
        <f>IFERROR(INDEX(tblCalisan[Çalışan Adı],ROW()-ROW($A$44)),"")</f>
        <v/>
      </c>
      <c r="B46" s="111">
        <f>IFERROR(INDEX(tblCalisan[Zam Öncesi Brüt Ücret (₺)],ROW()-ROW($A$44)),0)</f>
        <v/>
      </c>
    </row>
    <row r="47" ht="15" customHeight="1" s="66">
      <c r="A47" s="92">
        <f>IFERROR(INDEX(tblCalisan[Çalışan Adı],ROW()-ROW($A$44)),"")</f>
        <v/>
      </c>
      <c r="B47" s="111">
        <f>IFERROR(INDEX(tblCalisan[Zam Öncesi Brüt Ücret (₺)],ROW()-ROW($A$44)),0)</f>
        <v/>
      </c>
    </row>
    <row r="48" ht="15" customHeight="1" s="66">
      <c r="A48" s="92">
        <f>IFERROR(INDEX(tblCalisan[Çalışan Adı],ROW()-ROW($A$44)),"")</f>
        <v/>
      </c>
      <c r="B48" s="111">
        <f>IFERROR(INDEX(tblCalisan[Zam Öncesi Brüt Ücret (₺)],ROW()-ROW($A$44)),0)</f>
        <v/>
      </c>
    </row>
    <row r="50" ht="15" customHeight="1" s="66">
      <c r="A50" s="135" t="inlineStr">
        <is>
          <t>Tahmin ve Aralık</t>
        </is>
      </c>
    </row>
    <row r="51" ht="15" customHeight="1" s="66">
      <c r="A51" s="122" t="inlineStr">
        <is>
          <t>Tahmin (Orta)</t>
        </is>
      </c>
      <c r="B51" s="136">
        <f>modulI1MaliyetTahminOrta</f>
        <v/>
      </c>
    </row>
    <row r="52" ht="15" customHeight="1" s="66">
      <c r="A52" s="122" t="inlineStr">
        <is>
          <t>P90 Maliyet</t>
        </is>
      </c>
      <c r="B52" s="136">
        <f>modulI2MaliyetP90</f>
        <v/>
      </c>
    </row>
    <row r="54" ht="19.5" customHeight="1" s="66">
      <c r="A54" s="103" t="inlineStr">
        <is>
          <t>Pano KPI'ları canlı formülden okunur; yönetici özeti tek ekranda karar, gerekçe ve 3 içgörüyü sunar.</t>
        </is>
      </c>
    </row>
    <row r="56" ht="15" customHeight="1" s="66">
      <c r="A56" s="92" t="inlineStr">
        <is>
          <t>KuyrukKanit</t>
        </is>
      </c>
      <c r="B56" s="92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D6:E6"/>
    <mergeCell ref="A19:C19"/>
    <mergeCell ref="J5:K5"/>
    <mergeCell ref="J6:K6"/>
    <mergeCell ref="A54:AN54"/>
    <mergeCell ref="D5:E5"/>
    <mergeCell ref="A5:B5"/>
    <mergeCell ref="G5:H5"/>
    <mergeCell ref="A18:C18"/>
    <mergeCell ref="A22:C22"/>
    <mergeCell ref="A21:C21"/>
    <mergeCell ref="G6:H6"/>
    <mergeCell ref="A20:C20"/>
    <mergeCell ref="A6:B6"/>
    <mergeCell ref="A16:C16"/>
    <mergeCell ref="A1:AD1"/>
  </mergeCells>
  <conditionalFormatting sqref="D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C10">
    <cfRule type="cellIs" rank="0" priority="5" equalAverage="0" operator="greaterThan" aboveAverage="0" dxfId="7" text="" percent="0" bottom="0">
      <formula>C11</formula>
    </cfRule>
    <cfRule type="cellIs" rank="0" priority="6" equalAverage="0" operator="lessThanOrEqual" aboveAverage="0" dxfId="9" text="" percent="0" bottom="0">
      <formula>C11</formula>
    </cfRule>
  </conditionalFormatting>
  <conditionalFormatting sqref="C14">
    <cfRule type="cellIs" rank="0" priority="7" equalAverage="0" operator="greaterThan" aboveAverage="0" dxfId="7" text="" percent="0" bottom="0">
      <formula>0</formula>
    </cfRule>
  </conditionalFormatting>
  <conditionalFormatting sqref="B13">
    <cfRule type="cellIs" rank="0" priority="8" equalAverage="0" operator="lessThan" aboveAverage="0" dxfId="7" text="" percent="0" bottom="0">
      <formula>VeriKaliteOrtaEsik</formula>
    </cfRule>
    <cfRule type="cellIs" rank="0" priority="9" equalAverage="0" operator="greaterThanOrEqual" aboveAverage="0" dxfId="9" text="" percent="0" bottom="0">
      <formula>VeriKaliteIyiEsik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</cols>
  <sheetData>
    <row r="1" ht="25.5" customHeight="1" s="66">
      <c r="A1" s="104" t="inlineStr">
        <is>
          <t>SENARYO DUYARLILIK — ASGARİ ÜCRET ZAM ETKİSİ &amp; FİYAT AYARLAMA CETVELİ</t>
        </is>
      </c>
    </row>
    <row r="3" ht="15" customHeight="1" s="66">
      <c r="A3" s="105" t="inlineStr">
        <is>
          <t>Senaryo ve Duyarlılık Analizi</t>
        </is>
      </c>
    </row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2" min="1" max="1"/>
    <col width="26" customWidth="1" style="92" min="2" max="2"/>
    <col width="30" customWidth="1" style="92" min="3" max="3"/>
  </cols>
  <sheetData>
    <row r="1" ht="25.5" customHeight="1" s="66">
      <c r="A1" s="104" t="inlineStr">
        <is>
          <t>RAPOR — ASGARİ ÜCRET ZAM ETKİSİ &amp; FİYAT AYARLAMA CETVELİ</t>
        </is>
      </c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</cols>
  <sheetData>
    <row r="1" ht="25.5" customHeight="1" s="66">
      <c r="A1" s="104" t="inlineStr">
        <is>
          <t>ORNEK VERI — ASGARİ ÜCRET ZAM ETKİSİ &amp; FİYAT AYARLAMA CETVELİ</t>
        </is>
      </c>
    </row>
    <row r="3" ht="15" customHeight="1" s="66">
      <c r="A3" s="105" t="inlineStr">
        <is>
          <t>Örnek Veri (CALISANLAR)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4" ht="15" customHeight="1" s="66">
      <c r="A14" s="105" t="inlineStr">
        <is>
          <t>Örnek Veri (URUNLER)</t>
        </is>
      </c>
    </row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2" min="1" max="1"/>
    <col width="16" customWidth="1" style="92" min="2" max="2"/>
    <col width="14" customWidth="1" style="92" min="3" max="4"/>
    <col width="10" customWidth="1" style="92" min="5" max="5"/>
    <col width="14" customWidth="1" style="92" min="6" max="6"/>
    <col width="40" customWidth="1" style="92" min="7" max="7"/>
  </cols>
  <sheetData>
    <row r="1" ht="15" customHeight="1" s="66">
      <c r="A1" s="92" t="inlineStr">
        <is>
          <t>AKIS — AsgariUcretZamEtkisiFiyatAyarlamaCetveli</t>
        </is>
      </c>
    </row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50" customWidth="1" style="92" min="3" max="3"/>
  </cols>
  <sheetData>
    <row r="1" ht="25.5" customHeight="1" s="66">
      <c r="A1" s="104" t="inlineStr">
        <is>
          <t>DEGISIKLIK KAYDI — ASGARİ ÜCRET ZAM ETKİSİ &amp; FİYAT AYARLAMA CETVELİ</t>
        </is>
      </c>
    </row>
    <row r="3" ht="15" customHeight="1" s="66">
      <c r="A3" s="105" t="inlineStr">
        <is>
          <t>Değişiklik Kaydı</t>
        </is>
      </c>
    </row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</cols>
  <sheetData>
    <row r="1" ht="25.5" customHeight="1" s="66">
      <c r="A1" s="104" t="inlineStr">
        <is>
          <t>LISTELER — ASGARİ ÜCRET ZAM ETKİSİ &amp; FİYAT AYARLAMA CETVELİ</t>
        </is>
      </c>
    </row>
    <row r="3" ht="15" customHeight="1" s="66">
      <c r="A3" s="105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1:AN1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1"/>
    <col width="26" customWidth="1" style="92" min="2" max="2"/>
    <col width="16" customWidth="1" style="92" min="3" max="3"/>
    <col width="10" customWidth="1" style="92" min="4" max="4"/>
    <col width="62" customWidth="1" style="92" min="5" max="5"/>
    <col width="28" customWidth="1" style="92" min="6" max="6"/>
    <col width="14" customWidth="1" style="92" min="7" max="8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25.5" customHeight="1" s="66">
      <c r="A1" s="104" t="inlineStr">
        <is>
          <t>AYARLAR — ASGARİ ÜCRET ZAM ETKİSİ &amp; FİYAT AYARLAMA CETVELİ</t>
        </is>
      </c>
    </row>
    <row r="3" ht="15" customHeight="1" s="66">
      <c r="A3" s="105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8" ht="19.5" customHeight="1" s="66">
      <c r="A38" s="103" t="inlineStr">
        <is>
          <t>Sarı değer hücreleri kullanıcı tarafından değiştirilebilir; formül hücreleri kilitlidir.</t>
        </is>
      </c>
    </row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1:AD1"/>
    <mergeCell ref="A38:AN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2" min="1" max="1"/>
  </cols>
  <sheetData>
    <row r="1" ht="25.5" customHeight="1" s="66">
      <c r="A1" s="104" t="inlineStr">
        <is>
          <t>KILAVUZ — ASGARİ ÜCRET ZAM ETKİSİ &amp; FİYAT AYARLAMA CETVELİ</t>
        </is>
      </c>
    </row>
    <row r="3" ht="15.75" customHeight="1" s="66">
      <c r="A3" s="100" t="inlineStr">
        <is>
          <t>Kullanım Kılavuzu</t>
        </is>
      </c>
    </row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2026-09-25T14:12:40Z</dcterms:modified>
  <cp:revision>0</cp:revision>
</cp:coreProperties>
</file>